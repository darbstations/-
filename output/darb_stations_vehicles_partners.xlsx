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لمحطات" sheetId="1" state="visible" r:id="rId3"/>
    <sheet name="ربط المحطة بالشريك" sheetId="2" state="visible" r:id="rId4"/>
    <sheet name="البراندات" sheetId="3" state="visible" r:id="rId5"/>
    <sheet name="الافتراضات" sheetId="4" state="visible" r:id="rId6"/>
  </sheets>
  <definedNames>
    <definedName function="false" hidden="true" localSheetId="2" name="_xlnm._FilterDatabase" vbProcedure="false">البراندات!$A$1:$D$208</definedName>
    <definedName function="false" hidden="true" localSheetId="0" name="_xlnm._FilterDatabase" vbProcedure="false">المحطات!$A$1:$T$99</definedName>
    <definedName function="false" hidden="true" localSheetId="1" name="_xlnm._FilterDatabase" vbProcedure="false">'ربط المحطة بالشريك'!$A$1:$E$355</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E1" authorId="0">
      <text>
        <r>
          <rPr>
            <sz val="10"/>
            <rFont val="FreeSans"/>
            <family val="2"/>
          </rPr>
          <t xml:space="preserve">متوسط عدد التعبئات (الزيارات) اليومية من ملف تحليل المحطات</t>
        </r>
      </text>
    </comment>
    <comment ref="K1" authorId="0">
      <text>
        <r>
          <rPr>
            <sz val="10"/>
            <rFont val="FreeSans"/>
            <family val="2"/>
          </rPr>
          <t xml:space="preserve">تقدير: سيارات الديزل. المعادلة ومعاملها في تبويب الافتراضات</t>
        </r>
      </text>
    </comment>
  </commentList>
</comments>
</file>

<file path=xl/sharedStrings.xml><?xml version="1.0" encoding="utf-8"?>
<sst xmlns="http://schemas.openxmlformats.org/spreadsheetml/2006/main" count="3230" uniqueCount="600">
  <si>
    <t xml:space="preserve">كود المحطة</t>
  </si>
  <si>
    <t xml:space="preserve">اسم المحطة</t>
  </si>
  <si>
    <t xml:space="preserve">المنطقة</t>
  </si>
  <si>
    <t xml:space="preserve">أشهر البيانات</t>
  </si>
  <si>
    <t xml:space="preserve">متوسط الزيارات اليومية</t>
  </si>
  <si>
    <t xml:space="preserve">حصة 91 (إيراد)</t>
  </si>
  <si>
    <t xml:space="preserve">حصة 95 (إيراد)</t>
  </si>
  <si>
    <t xml:space="preserve">حصة الديزل (إيراد)</t>
  </si>
  <si>
    <t xml:space="preserve">حصة لترات الديزل</t>
  </si>
  <si>
    <t xml:space="preserve">سيارات صغيرة / يوم</t>
  </si>
  <si>
    <t xml:space="preserve">سيارات كبيرة / يوم</t>
  </si>
  <si>
    <t xml:space="preserve">نسبة الكبيرة</t>
  </si>
  <si>
    <t xml:space="preserve">سيارات صغيرة / شهر</t>
  </si>
  <si>
    <t xml:space="preserve">سيارات كبيرة / شهر</t>
  </si>
  <si>
    <t xml:space="preserve">خدمات السيارات</t>
  </si>
  <si>
    <t xml:space="preserve">المطاعم</t>
  </si>
  <si>
    <t xml:space="preserve">المقاهي</t>
  </si>
  <si>
    <t xml:space="preserve">الماركت</t>
  </si>
  <si>
    <t xml:space="preserve">أخرى</t>
  </si>
  <si>
    <t xml:space="preserve">عدد الشركاء</t>
  </si>
  <si>
    <t xml:space="preserve">MK007</t>
  </si>
  <si>
    <t xml:space="preserve">العمرة الجديدة</t>
  </si>
  <si>
    <t xml:space="preserve">مكة</t>
  </si>
  <si>
    <t xml:space="preserve">درب الصيانة، كار شيلد، هانكوك، واش واي، برنت، العكبري، البركة، قطب، كار ليزر، كار هب برو</t>
  </si>
  <si>
    <t xml:space="preserve">صامولجي، ترويقة زمان، بيتزا ريتا، ماكدونالدز، قيس ايسكريم، باباسنفور، بف، اندو محموس، مدور، ضيافة البركة، عريكة عم قاسم، شاورمر، ايتر، مكبب، لمة برجر، قادري، كافتيرجي، هنش برجر، ركن مندي حضرموت، ورق عنب سوما، ناصية حلم، ركن الجمبري، رو، انسول</t>
  </si>
  <si>
    <t xml:space="preserve">رو، المذاق المغربي، جوينت، ريشو، بوبا بيرلز، انسول، تشاميقوس، كوف، بون، اودز، يو كوفي، ٣٦٠ كافي، سكيليتون، ستار جوس</t>
  </si>
  <si>
    <t xml:space="preserve">بنده</t>
  </si>
  <si>
    <t xml:space="preserve">—</t>
  </si>
  <si>
    <t xml:space="preserve">MK003</t>
  </si>
  <si>
    <t xml:space="preserve">العوالي</t>
  </si>
  <si>
    <t xml:space="preserve">بترومين، مغسلة صقر</t>
  </si>
  <si>
    <t xml:space="preserve">باباسنفور، بف، طعمية السلطان، الطازج، كازاباستا، برقر كينق، شاورمر، بوقا، لمة، حاشي باشا، مندي الدعدي، فطيرة و شاي T80، باسكن، دومينوز، فروتي الرضاء، فاير جريل، شاورما وصوص، شيفز، محطة العصائر، مذاق المنئوشة</t>
  </si>
  <si>
    <t xml:space="preserve">تيم هورتنز، قهوة الامراء، يو كوفي، براتو، بارنز، المذاق المغربي، بون، قهوة هيام، زيكا، بنز كوكيز، قيس ايسكريم</t>
  </si>
  <si>
    <t xml:space="preserve">تموينات السلطان، لوازم الرحلات</t>
  </si>
  <si>
    <t xml:space="preserve">Redbox</t>
  </si>
  <si>
    <t xml:space="preserve">MK004</t>
  </si>
  <si>
    <t xml:space="preserve">عاصفة الصحراء</t>
  </si>
  <si>
    <t xml:space="preserve">الطائف</t>
  </si>
  <si>
    <t xml:space="preserve">مغسلة From، بنشر اكس ماكس</t>
  </si>
  <si>
    <t xml:space="preserve">كرك شباتي، كنتاكي، ماكدونالدز</t>
  </si>
  <si>
    <t xml:space="preserve">بون، يو كوفي، كرسبي كريم، بارنز، تيم هورتنز، دانكن</t>
  </si>
  <si>
    <t xml:space="preserve">أسواق الحليس</t>
  </si>
  <si>
    <t xml:space="preserve">MK289</t>
  </si>
  <si>
    <t xml:space="preserve">طريق الليث - الفضيلة</t>
  </si>
  <si>
    <t xml:space="preserve">جدة</t>
  </si>
  <si>
    <t xml:space="preserve">MK046</t>
  </si>
  <si>
    <t xml:space="preserve">الحليس - طريق الجنوب</t>
  </si>
  <si>
    <t xml:space="preserve">بنشر الشموخ، مغاسل</t>
  </si>
  <si>
    <t xml:space="preserve">مملوح وسمسم</t>
  </si>
  <si>
    <t xml:space="preserve">كرز البن، Pulse، ديوانية ذوق الشيوخ</t>
  </si>
  <si>
    <t xml:space="preserve">MK072</t>
  </si>
  <si>
    <t xml:space="preserve">العزيزية</t>
  </si>
  <si>
    <t xml:space="preserve">مغسلة سيارات ازدان، حلول كار</t>
  </si>
  <si>
    <t xml:space="preserve">عنوان القهوة</t>
  </si>
  <si>
    <t xml:space="preserve">راشن زون ماركت</t>
  </si>
  <si>
    <t xml:space="preserve">MK005</t>
  </si>
  <si>
    <t xml:space="preserve">الشيباني</t>
  </si>
  <si>
    <t xml:space="preserve">الشموخ خدمات سيارات</t>
  </si>
  <si>
    <t xml:space="preserve">كرك شباتي، كافتيريا باجيت، ماكدونالدز</t>
  </si>
  <si>
    <t xml:space="preserve">بارنز، مزاج مغربي، ايت اوز كوفي، تيم هورتنز، دانكن، كرسبي كريم، بون، يو كوفي</t>
  </si>
  <si>
    <t xml:space="preserve">MK028</t>
  </si>
  <si>
    <t xml:space="preserve">أحلى مساء</t>
  </si>
  <si>
    <t xml:space="preserve">اويل روز بنشر</t>
  </si>
  <si>
    <t xml:space="preserve">الطازج، ماكدونالدز، كافتيريا باجيت</t>
  </si>
  <si>
    <t xml:space="preserve">مزاج مغربي، يو كوفي، كيان، بون، ايت اوز، دوز كافيه</t>
  </si>
  <si>
    <t xml:space="preserve">فريش واي</t>
  </si>
  <si>
    <t xml:space="preserve">MK047</t>
  </si>
  <si>
    <t xml:space="preserve">القادسية</t>
  </si>
  <si>
    <t xml:space="preserve">Express care، valvoline by aramco</t>
  </si>
  <si>
    <t xml:space="preserve">ماكدونالدز</t>
  </si>
  <si>
    <t xml:space="preserve">اوريف كافيه، تيم هورتنز</t>
  </si>
  <si>
    <t xml:space="preserve">MK015</t>
  </si>
  <si>
    <t xml:space="preserve">النسيم</t>
  </si>
  <si>
    <t xml:space="preserve">كاراجي، بترومين</t>
  </si>
  <si>
    <t xml:space="preserve">كنتاكي، هارديز، الطازج</t>
  </si>
  <si>
    <t xml:space="preserve">بارنز، كرسبي كريم، بون</t>
  </si>
  <si>
    <t xml:space="preserve">MK006</t>
  </si>
  <si>
    <t xml:space="preserve">جنوب الطائف</t>
  </si>
  <si>
    <t xml:space="preserve">بنشر اويل روز</t>
  </si>
  <si>
    <t xml:space="preserve">جاب كوكيز، بارنز، دانكن، يو كوفي</t>
  </si>
  <si>
    <t xml:space="preserve">MK029</t>
  </si>
  <si>
    <t xml:space="preserve">الدائري الثالث - الذكرى</t>
  </si>
  <si>
    <t xml:space="preserve">بترومين، car shield، T3 autocarwash</t>
  </si>
  <si>
    <t xml:space="preserve">ماكدونالدز، كرك شباتي، مشراق، بوبايز، معلوم</t>
  </si>
  <si>
    <t xml:space="preserve">بون، جوينت، وزنة براد</t>
  </si>
  <si>
    <t xml:space="preserve">أسواق درب</t>
  </si>
  <si>
    <t xml:space="preserve">MK033</t>
  </si>
  <si>
    <t xml:space="preserve">أبو وافي العمرة</t>
  </si>
  <si>
    <t xml:space="preserve">تكانة كافيه</t>
  </si>
  <si>
    <t xml:space="preserve">RY075</t>
  </si>
  <si>
    <t xml:space="preserve">الدائري الشمالي</t>
  </si>
  <si>
    <t xml:space="preserve">الرياض</t>
  </si>
  <si>
    <t xml:space="preserve">واش واي، بترومين</t>
  </si>
  <si>
    <t xml:space="preserve">الطازج، شاورما وصوص، تسالي مرصى مطروح، كودو، كنتاكي، مطعم طابور، باسكن روبنز</t>
  </si>
  <si>
    <t xml:space="preserve">هاف مليون، مزاج مغربي، يو كوفي</t>
  </si>
  <si>
    <t xml:space="preserve">Trolley - ترولي</t>
  </si>
  <si>
    <t xml:space="preserve">JA092</t>
  </si>
  <si>
    <t xml:space="preserve">الصفا - أحد المسارحة</t>
  </si>
  <si>
    <t xml:space="preserve">جازان</t>
  </si>
  <si>
    <t xml:space="preserve">MK001</t>
  </si>
  <si>
    <t xml:space="preserve">جبل النور</t>
  </si>
  <si>
    <t xml:space="preserve">درب الصيانة</t>
  </si>
  <si>
    <t xml:space="preserve">يو كوفي</t>
  </si>
  <si>
    <t xml:space="preserve">MK008</t>
  </si>
  <si>
    <t xml:space="preserve">الحسينية</t>
  </si>
  <si>
    <t xml:space="preserve">مغسلة درب الصيانة، بنشر درب الصيانة</t>
  </si>
  <si>
    <t xml:space="preserve">طعمية السلطان، سندويشة وشاورما</t>
  </si>
  <si>
    <t xml:space="preserve">جاب كوكيز، قهوة الامراء</t>
  </si>
  <si>
    <t xml:space="preserve">صراف بنك الرياض</t>
  </si>
  <si>
    <t xml:space="preserve">MK054</t>
  </si>
  <si>
    <t xml:space="preserve">طريق السيل</t>
  </si>
  <si>
    <t xml:space="preserve">MK210</t>
  </si>
  <si>
    <t xml:space="preserve">الفلاح - فلسطين</t>
  </si>
  <si>
    <t xml:space="preserve">الواحه ماكس اكسبريس</t>
  </si>
  <si>
    <t xml:space="preserve">صراف بنك الانماء</t>
  </si>
  <si>
    <t xml:space="preserve">MK258</t>
  </si>
  <si>
    <t xml:space="preserve">طريق 60</t>
  </si>
  <si>
    <t xml:space="preserve">MK016</t>
  </si>
  <si>
    <t xml:space="preserve">الرصيفة</t>
  </si>
  <si>
    <t xml:space="preserve">درب الصيانة، مغسلة car wash</t>
  </si>
  <si>
    <t xml:space="preserve">تست شطائر، طعمية السلطان</t>
  </si>
  <si>
    <t xml:space="preserve">قهوة الامراء، بون، عنوان القهوة، يو كوفي</t>
  </si>
  <si>
    <t xml:space="preserve">MK063</t>
  </si>
  <si>
    <t xml:space="preserve">السواط - شهار</t>
  </si>
  <si>
    <t xml:space="preserve">ناشونال ويل ستوب</t>
  </si>
  <si>
    <t xml:space="preserve">ايت اوز، جوينت، بارنز، دانكن</t>
  </si>
  <si>
    <t xml:space="preserve">MK017</t>
  </si>
  <si>
    <t xml:space="preserve">عرفات الشوقية</t>
  </si>
  <si>
    <t xml:space="preserve">بنشر رواد الصيانة، بترومين، مغسلة water wash</t>
  </si>
  <si>
    <t xml:space="preserve">بوبايز، قيس ايسكريم</t>
  </si>
  <si>
    <t xml:space="preserve">بارنز، بون، ريناز</t>
  </si>
  <si>
    <t xml:space="preserve">MK064</t>
  </si>
  <si>
    <t xml:space="preserve">الجعرانة</t>
  </si>
  <si>
    <t xml:space="preserve">رواد الصيانة</t>
  </si>
  <si>
    <t xml:space="preserve">طعمية السلطان، سناك تشيكن</t>
  </si>
  <si>
    <t xml:space="preserve">أسواق ومخابز البوابة الكبرى</t>
  </si>
  <si>
    <t xml:space="preserve">MK020</t>
  </si>
  <si>
    <t xml:space="preserve">ممشى الشوقية</t>
  </si>
  <si>
    <t xml:space="preserve">بترومين، واش واي</t>
  </si>
  <si>
    <t xml:space="preserve">مذاق المنئوشة، هيام، مشراق، كيمس</t>
  </si>
  <si>
    <t xml:space="preserve">بوبا بيرلز، يو كوفي، كوف</t>
  </si>
  <si>
    <t xml:space="preserve">AS153</t>
  </si>
  <si>
    <t xml:space="preserve">مدخل محايل</t>
  </si>
  <si>
    <t xml:space="preserve">عسير</t>
  </si>
  <si>
    <t xml:space="preserve">MK035</t>
  </si>
  <si>
    <t xml:space="preserve">الجمعية الوسام</t>
  </si>
  <si>
    <t xml:space="preserve">JA348</t>
  </si>
  <si>
    <t xml:space="preserve">جنوب صبيا</t>
  </si>
  <si>
    <t xml:space="preserve">RY338</t>
  </si>
  <si>
    <t xml:space="preserve">التعاون</t>
  </si>
  <si>
    <t xml:space="preserve">MK022</t>
  </si>
  <si>
    <t xml:space="preserve">بطحاء قريش 1</t>
  </si>
  <si>
    <t xml:space="preserve">واش واي، بنشر درب الصيانة</t>
  </si>
  <si>
    <t xml:space="preserve">ديبو</t>
  </si>
  <si>
    <t xml:space="preserve">MK018</t>
  </si>
  <si>
    <t xml:space="preserve">الرصيفة المسار</t>
  </si>
  <si>
    <t xml:space="preserve">بارنز، فنو ومنو مشروبات</t>
  </si>
  <si>
    <t xml:space="preserve">JA069</t>
  </si>
  <si>
    <t xml:space="preserve">كورنيش جيزان</t>
  </si>
  <si>
    <t xml:space="preserve">مرسى مطروح</t>
  </si>
  <si>
    <t xml:space="preserve">كوفي لوتسو سويت آند ستوري، ماهو كافيه، المذاق المغربي، كوفي 24، مزاج المغربي</t>
  </si>
  <si>
    <t xml:space="preserve">فرست مارت</t>
  </si>
  <si>
    <t xml:space="preserve">MK014</t>
  </si>
  <si>
    <t xml:space="preserve">خليص</t>
  </si>
  <si>
    <t xml:space="preserve">كافيانو كوفي</t>
  </si>
  <si>
    <t xml:space="preserve">RY025</t>
  </si>
  <si>
    <t xml:space="preserve">الحمرا - طريق الملك عبدالله</t>
  </si>
  <si>
    <t xml:space="preserve">الخرج</t>
  </si>
  <si>
    <t xml:space="preserve">فال كارز مغسلة سيارات، الوقت الذهبي لغيار الزيوت</t>
  </si>
  <si>
    <t xml:space="preserve">كودو، كرك شباتي</t>
  </si>
  <si>
    <t xml:space="preserve">مزاج مغربي</t>
  </si>
  <si>
    <t xml:space="preserve">MK084</t>
  </si>
  <si>
    <t xml:space="preserve">الكر النازل</t>
  </si>
  <si>
    <t xml:space="preserve">كرك شباتي</t>
  </si>
  <si>
    <t xml:space="preserve">ديوانية جهز للقهوة، كرز البن، المذاق المغربي، كويك سيب Quick sip كوفي</t>
  </si>
  <si>
    <t xml:space="preserve">أسواق ومخابز سنابل العز</t>
  </si>
  <si>
    <t xml:space="preserve">JA041</t>
  </si>
  <si>
    <t xml:space="preserve">القسوم - أحد المسارحة</t>
  </si>
  <si>
    <t xml:space="preserve">MK068</t>
  </si>
  <si>
    <t xml:space="preserve">الجموم - الكنيدري</t>
  </si>
  <si>
    <t xml:space="preserve">كوفي بولس</t>
  </si>
  <si>
    <t xml:space="preserve">تموينات بشرى</t>
  </si>
  <si>
    <t xml:space="preserve">MK071</t>
  </si>
  <si>
    <t xml:space="preserve">الأجاويد</t>
  </si>
  <si>
    <t xml:space="preserve">ستوري لزينة السيارات</t>
  </si>
  <si>
    <t xml:space="preserve">كورس جرايند</t>
  </si>
  <si>
    <t xml:space="preserve">تموينات الخير</t>
  </si>
  <si>
    <t xml:space="preserve">MK310</t>
  </si>
  <si>
    <t xml:space="preserve">الشاطئ-طريق الملك</t>
  </si>
  <si>
    <t xml:space="preserve">MK002</t>
  </si>
  <si>
    <t xml:space="preserve">المعيصم</t>
  </si>
  <si>
    <t xml:space="preserve">البترول الذهبي، مغسلة</t>
  </si>
  <si>
    <t xml:space="preserve">ماكدونالدز، كرسبي كريم، باباسنفور</t>
  </si>
  <si>
    <t xml:space="preserve">تيم هورتنز، دانكن، ملتن، يو كوفي، بون، قيس ايسكريم، تفطيرة، بارنز، المذاق المغربي، سينابون</t>
  </si>
  <si>
    <t xml:space="preserve">JA061</t>
  </si>
  <si>
    <t xml:space="preserve">طريق صبيا</t>
  </si>
  <si>
    <t xml:space="preserve">البترول الذهبي</t>
  </si>
  <si>
    <t xml:space="preserve">كوفي بلاك اند وايت، دوز كافيه، Cove كافيه</t>
  </si>
  <si>
    <t xml:space="preserve">EP051</t>
  </si>
  <si>
    <t xml:space="preserve">كورنيش الخبر</t>
  </si>
  <si>
    <t xml:space="preserve">الشرقية</t>
  </si>
  <si>
    <t xml:space="preserve">MK023</t>
  </si>
  <si>
    <t xml:space="preserve">بن درويش</t>
  </si>
  <si>
    <t xml:space="preserve">بترومين، درب الصيانة غسيل وبنشر</t>
  </si>
  <si>
    <t xml:space="preserve">بون، زيكا، كودو، عنوان القهوة</t>
  </si>
  <si>
    <t xml:space="preserve">MK093</t>
  </si>
  <si>
    <t xml:space="preserve">الملك خالد</t>
  </si>
  <si>
    <t xml:space="preserve">QS055</t>
  </si>
  <si>
    <t xml:space="preserve">الدائري الشرقي</t>
  </si>
  <si>
    <t xml:space="preserve">القصيم</t>
  </si>
  <si>
    <t xml:space="preserve">JA053</t>
  </si>
  <si>
    <t xml:space="preserve">خبت نخلان</t>
  </si>
  <si>
    <t xml:space="preserve">سوبر ماركت مترو مارت</t>
  </si>
  <si>
    <t xml:space="preserve">MK257</t>
  </si>
  <si>
    <t xml:space="preserve">الربوة</t>
  </si>
  <si>
    <t xml:space="preserve">MK031</t>
  </si>
  <si>
    <t xml:space="preserve">بطحاء قريش 2</t>
  </si>
  <si>
    <t xml:space="preserve">الطازج</t>
  </si>
  <si>
    <t xml:space="preserve">بون</t>
  </si>
  <si>
    <t xml:space="preserve">RY042</t>
  </si>
  <si>
    <t xml:space="preserve">الناصفة</t>
  </si>
  <si>
    <t xml:space="preserve">مغسلة واش واي، ليدر اكسبريس</t>
  </si>
  <si>
    <t xml:space="preserve">كنتاكي</t>
  </si>
  <si>
    <t xml:space="preserve">ريشو قهوة</t>
  </si>
  <si>
    <t xml:space="preserve">MK027</t>
  </si>
  <si>
    <t xml:space="preserve">الصيانة-طريق المطار</t>
  </si>
  <si>
    <t xml:space="preserve">RY024</t>
  </si>
  <si>
    <t xml:space="preserve">غرناطة - طريق الملك عبدالله</t>
  </si>
  <si>
    <t xml:space="preserve">براعة الغسيل الالي، الزيت الذهبي</t>
  </si>
  <si>
    <t xml:space="preserve">تيكا واي، بوبايز، كودو</t>
  </si>
  <si>
    <t xml:space="preserve">مزاج مغربي، دوز كافيه، تيم هورتنز</t>
  </si>
  <si>
    <t xml:space="preserve">EP335</t>
  </si>
  <si>
    <t xml:space="preserve">النزهة الاحساء</t>
  </si>
  <si>
    <t xml:space="preserve">JA070</t>
  </si>
  <si>
    <t xml:space="preserve">الظبية</t>
  </si>
  <si>
    <t xml:space="preserve">MK323</t>
  </si>
  <si>
    <t xml:space="preserve">جبل ثور - جوهرة النسيم</t>
  </si>
  <si>
    <t xml:space="preserve">MK019</t>
  </si>
  <si>
    <t xml:space="preserve">الشرايع</t>
  </si>
  <si>
    <t xml:space="preserve">رواد الصيانة (بنشر، غسيل )</t>
  </si>
  <si>
    <t xml:space="preserve">كنتاكي، هارديز</t>
  </si>
  <si>
    <t xml:space="preserve">بون، بارنز</t>
  </si>
  <si>
    <t xml:space="preserve">MK099</t>
  </si>
  <si>
    <t xml:space="preserve">البيعة</t>
  </si>
  <si>
    <t xml:space="preserve">ترويشة غسيل سيارات، بترومين</t>
  </si>
  <si>
    <t xml:space="preserve">مطعم سولو سالت</t>
  </si>
  <si>
    <t xml:space="preserve">EP336</t>
  </si>
  <si>
    <t xml:space="preserve">طيبة - الدمام</t>
  </si>
  <si>
    <t xml:space="preserve">MK100</t>
  </si>
  <si>
    <t xml:space="preserve">الكوثر</t>
  </si>
  <si>
    <t xml:space="preserve">كافيه فولت</t>
  </si>
  <si>
    <t xml:space="preserve">تموينات جنى</t>
  </si>
  <si>
    <t xml:space="preserve">HA052</t>
  </si>
  <si>
    <t xml:space="preserve">حائل</t>
  </si>
  <si>
    <t xml:space="preserve">MD009</t>
  </si>
  <si>
    <t xml:space="preserve">طريق السلام</t>
  </si>
  <si>
    <t xml:space="preserve">المدينة المنورة</t>
  </si>
  <si>
    <t xml:space="preserve">HA043</t>
  </si>
  <si>
    <t xml:space="preserve">العريفي</t>
  </si>
  <si>
    <t xml:space="preserve">مغسلة طمس، مركز التقدم الذهبي خدمات سيارات</t>
  </si>
  <si>
    <t xml:space="preserve">DOB كافيه، بوبايز، بارنز</t>
  </si>
  <si>
    <t xml:space="preserve">تموينات شموع</t>
  </si>
  <si>
    <t xml:space="preserve">JA056</t>
  </si>
  <si>
    <t xml:space="preserve">الروابي - المودة</t>
  </si>
  <si>
    <t xml:space="preserve">AS192</t>
  </si>
  <si>
    <t xml:space="preserve">الرؤيا-وادي هشبل</t>
  </si>
  <si>
    <t xml:space="preserve">MK040</t>
  </si>
  <si>
    <t xml:space="preserve">عبدالله الخريجي</t>
  </si>
  <si>
    <t xml:space="preserve">JA060</t>
  </si>
  <si>
    <t xml:space="preserve">صناعية صامطة</t>
  </si>
  <si>
    <t xml:space="preserve">اويل زون</t>
  </si>
  <si>
    <t xml:space="preserve">مطعم لهب الطعام</t>
  </si>
  <si>
    <t xml:space="preserve">NJ219</t>
  </si>
  <si>
    <t xml:space="preserve">المركب</t>
  </si>
  <si>
    <t xml:space="preserve">نجران</t>
  </si>
  <si>
    <t xml:space="preserve">BH050</t>
  </si>
  <si>
    <t xml:space="preserve">الاطاولة</t>
  </si>
  <si>
    <t xml:space="preserve">الباحة</t>
  </si>
  <si>
    <t xml:space="preserve">JA141</t>
  </si>
  <si>
    <t xml:space="preserve">الأمير سلطان-بيش</t>
  </si>
  <si>
    <t xml:space="preserve">MK161</t>
  </si>
  <si>
    <t xml:space="preserve">أبو عهر</t>
  </si>
  <si>
    <t xml:space="preserve">MK049</t>
  </si>
  <si>
    <t xml:space="preserve">السلولي</t>
  </si>
  <si>
    <t xml:space="preserve">لا توجد بيانات مبيعات</t>
  </si>
  <si>
    <t xml:space="preserve">مغسلة السلام، خدمات سيارات السلام</t>
  </si>
  <si>
    <t xml:space="preserve">بون، براتو</t>
  </si>
  <si>
    <t xml:space="preserve">Savve Mart</t>
  </si>
  <si>
    <t xml:space="preserve">MK067</t>
  </si>
  <si>
    <t xml:space="preserve">تربه</t>
  </si>
  <si>
    <t xml:space="preserve">بنشر ناشونال اويل ستوب، مغسلة Spot less</t>
  </si>
  <si>
    <t xml:space="preserve">كيمس، شاي خادر</t>
  </si>
  <si>
    <t xml:space="preserve">MK154</t>
  </si>
  <si>
    <t xml:space="preserve">العليا</t>
  </si>
  <si>
    <t xml:space="preserve">بترومين</t>
  </si>
  <si>
    <t xml:space="preserve">ايسو كافيه</t>
  </si>
  <si>
    <t xml:space="preserve">اليخت للتسوق</t>
  </si>
  <si>
    <t xml:space="preserve">AS081</t>
  </si>
  <si>
    <t xml:space="preserve">خميس مشيط العزيزيه</t>
  </si>
  <si>
    <t xml:space="preserve">خميس مشيط</t>
  </si>
  <si>
    <t xml:space="preserve">KRO كافيه</t>
  </si>
  <si>
    <t xml:space="preserve">EP102</t>
  </si>
  <si>
    <t xml:space="preserve">شارع أحد تاروت-القطيف</t>
  </si>
  <si>
    <t xml:space="preserve">الشرقية </t>
  </si>
  <si>
    <t xml:space="preserve">تموينات الذاهب</t>
  </si>
  <si>
    <t xml:space="preserve">صراف بنك الجزيرة</t>
  </si>
  <si>
    <t xml:space="preserve">BH065</t>
  </si>
  <si>
    <t xml:space="preserve">النزهه </t>
  </si>
  <si>
    <t xml:space="preserve">كودو</t>
  </si>
  <si>
    <t xml:space="preserve">دوز كافيه</t>
  </si>
  <si>
    <t xml:space="preserve">ودق ماركت</t>
  </si>
  <si>
    <t xml:space="preserve">صراف بنك الاهلي</t>
  </si>
  <si>
    <t xml:space="preserve">JA227</t>
  </si>
  <si>
    <t xml:space="preserve">العارضة</t>
  </si>
  <si>
    <t xml:space="preserve">صراف بنك البلاد</t>
  </si>
  <si>
    <t xml:space="preserve">JA272</t>
  </si>
  <si>
    <t xml:space="preserve">الفيصلية</t>
  </si>
  <si>
    <t xml:space="preserve">AS085</t>
  </si>
  <si>
    <t xml:space="preserve">خيبر بيشة</t>
  </si>
  <si>
    <t xml:space="preserve">AS271</t>
  </si>
  <si>
    <t xml:space="preserve">مسارات درب عقبة شعار</t>
  </si>
  <si>
    <t xml:space="preserve">بارنز</t>
  </si>
  <si>
    <t xml:space="preserve">MK300</t>
  </si>
  <si>
    <t xml:space="preserve">البغدادية</t>
  </si>
  <si>
    <t xml:space="preserve">MK103</t>
  </si>
  <si>
    <t xml:space="preserve">المعلمي</t>
  </si>
  <si>
    <t xml:space="preserve">MK216</t>
  </si>
  <si>
    <t xml:space="preserve">الواحة</t>
  </si>
  <si>
    <t xml:space="preserve">MK223</t>
  </si>
  <si>
    <t xml:space="preserve">الحمراء</t>
  </si>
  <si>
    <t xml:space="preserve">RY106</t>
  </si>
  <si>
    <t xml:space="preserve">نجم الدين الايوبي</t>
  </si>
  <si>
    <t xml:space="preserve">JA256</t>
  </si>
  <si>
    <t xml:space="preserve">الفطيحة</t>
  </si>
  <si>
    <t xml:space="preserve">JA302</t>
  </si>
  <si>
    <t xml:space="preserve">جزيرة فرسان -</t>
  </si>
  <si>
    <t xml:space="preserve">EP134</t>
  </si>
  <si>
    <t xml:space="preserve">حفر الباطن - الواحة</t>
  </si>
  <si>
    <t xml:space="preserve">NP131</t>
  </si>
  <si>
    <t xml:space="preserve">NP130</t>
  </si>
  <si>
    <t xml:space="preserve">MD224</t>
  </si>
  <si>
    <t xml:space="preserve">EP301</t>
  </si>
  <si>
    <t xml:space="preserve">EP299</t>
  </si>
  <si>
    <t xml:space="preserve">EP324</t>
  </si>
  <si>
    <t xml:space="preserve">AS128</t>
  </si>
  <si>
    <t xml:space="preserve">MK205</t>
  </si>
  <si>
    <t xml:space="preserve">JA207</t>
  </si>
  <si>
    <t xml:space="preserve">MK311</t>
  </si>
  <si>
    <t xml:space="preserve">JA156</t>
  </si>
  <si>
    <t xml:space="preserve">الإجمالي</t>
  </si>
  <si>
    <t xml:space="preserve">الفئة</t>
  </si>
  <si>
    <t xml:space="preserve">الشريك / البراند</t>
  </si>
  <si>
    <t xml:space="preserve">كار شيلد</t>
  </si>
  <si>
    <t xml:space="preserve">هانكوك</t>
  </si>
  <si>
    <t xml:space="preserve">واش واي</t>
  </si>
  <si>
    <t xml:space="preserve">برنت</t>
  </si>
  <si>
    <t xml:space="preserve">العكبري</t>
  </si>
  <si>
    <t xml:space="preserve">البركة</t>
  </si>
  <si>
    <t xml:space="preserve">قطب</t>
  </si>
  <si>
    <t xml:space="preserve">كار ليزر</t>
  </si>
  <si>
    <t xml:space="preserve">كار هب برو</t>
  </si>
  <si>
    <t xml:space="preserve">صامولجي</t>
  </si>
  <si>
    <t xml:space="preserve">ترويقة زمان</t>
  </si>
  <si>
    <t xml:space="preserve">بيتزا ريتا</t>
  </si>
  <si>
    <t xml:space="preserve">قيس ايسكريم</t>
  </si>
  <si>
    <t xml:space="preserve">باباسنفور</t>
  </si>
  <si>
    <t xml:space="preserve">بف</t>
  </si>
  <si>
    <t xml:space="preserve">اندو محموس</t>
  </si>
  <si>
    <t xml:space="preserve">مدور</t>
  </si>
  <si>
    <t xml:space="preserve">ضيافة البركة</t>
  </si>
  <si>
    <t xml:space="preserve">عريكة عم قاسم</t>
  </si>
  <si>
    <t xml:space="preserve">شاورمر</t>
  </si>
  <si>
    <t xml:space="preserve">ايتر</t>
  </si>
  <si>
    <t xml:space="preserve">مكبب</t>
  </si>
  <si>
    <t xml:space="preserve">لمة برجر</t>
  </si>
  <si>
    <t xml:space="preserve">قادري</t>
  </si>
  <si>
    <t xml:space="preserve">كافتيرجي</t>
  </si>
  <si>
    <t xml:space="preserve">هنش برجر</t>
  </si>
  <si>
    <t xml:space="preserve">ركن مندي حضرموت</t>
  </si>
  <si>
    <t xml:space="preserve">ورق عنب سوما</t>
  </si>
  <si>
    <t xml:space="preserve">ناصية حلم</t>
  </si>
  <si>
    <t xml:space="preserve">ركن الجمبري</t>
  </si>
  <si>
    <t xml:space="preserve">رو</t>
  </si>
  <si>
    <t xml:space="preserve">انسول</t>
  </si>
  <si>
    <t xml:space="preserve">المذاق المغربي</t>
  </si>
  <si>
    <t xml:space="preserve">جوينت</t>
  </si>
  <si>
    <t xml:space="preserve">ريشو</t>
  </si>
  <si>
    <t xml:space="preserve">بوبا بيرلز</t>
  </si>
  <si>
    <t xml:space="preserve">تشاميقوس</t>
  </si>
  <si>
    <t xml:space="preserve">كوف</t>
  </si>
  <si>
    <t xml:space="preserve">اودز</t>
  </si>
  <si>
    <t xml:space="preserve">٣٦٠ كافي</t>
  </si>
  <si>
    <t xml:space="preserve">سكيليتون</t>
  </si>
  <si>
    <t xml:space="preserve">ستار جوس</t>
  </si>
  <si>
    <t xml:space="preserve">مغسلة صقر</t>
  </si>
  <si>
    <t xml:space="preserve">طعمية السلطان</t>
  </si>
  <si>
    <t xml:space="preserve">كازاباستا</t>
  </si>
  <si>
    <t xml:space="preserve">برقر كينق</t>
  </si>
  <si>
    <t xml:space="preserve">بوقا</t>
  </si>
  <si>
    <t xml:space="preserve">لمة</t>
  </si>
  <si>
    <t xml:space="preserve">حاشي باشا</t>
  </si>
  <si>
    <t xml:space="preserve">مندي الدعدي</t>
  </si>
  <si>
    <t xml:space="preserve">فطيرة و شاي T80</t>
  </si>
  <si>
    <t xml:space="preserve">باسكن</t>
  </si>
  <si>
    <t xml:space="preserve">دومينوز</t>
  </si>
  <si>
    <t xml:space="preserve">فروتي الرضاء</t>
  </si>
  <si>
    <t xml:space="preserve">فاير جريل</t>
  </si>
  <si>
    <t xml:space="preserve">شاورما وصوص</t>
  </si>
  <si>
    <t xml:space="preserve">شيفز</t>
  </si>
  <si>
    <t xml:space="preserve">محطة العصائر</t>
  </si>
  <si>
    <t xml:space="preserve">مذاق المنئوشة</t>
  </si>
  <si>
    <t xml:space="preserve">تيم هورتنز</t>
  </si>
  <si>
    <t xml:space="preserve">قهوة الامراء</t>
  </si>
  <si>
    <t xml:space="preserve">براتو</t>
  </si>
  <si>
    <t xml:space="preserve">قهوة هيام</t>
  </si>
  <si>
    <t xml:space="preserve">زيكا</t>
  </si>
  <si>
    <t xml:space="preserve">بنز كوكيز</t>
  </si>
  <si>
    <t xml:space="preserve">تموينات السلطان</t>
  </si>
  <si>
    <t xml:space="preserve">لوازم الرحلات</t>
  </si>
  <si>
    <t xml:space="preserve">مغسلة From</t>
  </si>
  <si>
    <t xml:space="preserve">بنشر اكس ماكس</t>
  </si>
  <si>
    <t xml:space="preserve">كرسبي كريم</t>
  </si>
  <si>
    <t xml:space="preserve">دانكن</t>
  </si>
  <si>
    <t xml:space="preserve">بنشر الشموخ</t>
  </si>
  <si>
    <t xml:space="preserve">مغاسل</t>
  </si>
  <si>
    <t xml:space="preserve">كرز البن</t>
  </si>
  <si>
    <t xml:space="preserve">Pulse</t>
  </si>
  <si>
    <t xml:space="preserve">ديوانية ذوق الشيوخ</t>
  </si>
  <si>
    <t xml:space="preserve">مغسلة سيارات ازدان</t>
  </si>
  <si>
    <t xml:space="preserve">حلول كار</t>
  </si>
  <si>
    <t xml:space="preserve">كافتيريا باجيت</t>
  </si>
  <si>
    <t xml:space="preserve">ايت اوز كوفي</t>
  </si>
  <si>
    <t xml:space="preserve">كيان</t>
  </si>
  <si>
    <t xml:space="preserve">ايت اوز</t>
  </si>
  <si>
    <t xml:space="preserve">Express care</t>
  </si>
  <si>
    <t xml:space="preserve">valvoline by aramco</t>
  </si>
  <si>
    <t xml:space="preserve">اوريف كافيه</t>
  </si>
  <si>
    <t xml:space="preserve">كاراجي</t>
  </si>
  <si>
    <t xml:space="preserve">هارديز</t>
  </si>
  <si>
    <t xml:space="preserve">جاب كوكيز</t>
  </si>
  <si>
    <t xml:space="preserve">car shield</t>
  </si>
  <si>
    <t xml:space="preserve">T3 autocarwash</t>
  </si>
  <si>
    <t xml:space="preserve">مشراق</t>
  </si>
  <si>
    <t xml:space="preserve">بوبايز</t>
  </si>
  <si>
    <t xml:space="preserve">معلوم</t>
  </si>
  <si>
    <t xml:space="preserve">وزنة براد</t>
  </si>
  <si>
    <t xml:space="preserve">تسالي مرصى مطروح</t>
  </si>
  <si>
    <t xml:space="preserve">مطعم طابور</t>
  </si>
  <si>
    <t xml:space="preserve">باسكن روبنز</t>
  </si>
  <si>
    <t xml:space="preserve">هاف مليون</t>
  </si>
  <si>
    <t xml:space="preserve">مغسلة درب الصيانة</t>
  </si>
  <si>
    <t xml:space="preserve">بنشر درب الصيانة</t>
  </si>
  <si>
    <t xml:space="preserve">سندويشة وشاورما</t>
  </si>
  <si>
    <t xml:space="preserve">مغسلة car wash</t>
  </si>
  <si>
    <t xml:space="preserve">تست شطائر</t>
  </si>
  <si>
    <t xml:space="preserve">بنشر رواد الصيانة</t>
  </si>
  <si>
    <t xml:space="preserve">مغسلة water wash</t>
  </si>
  <si>
    <t xml:space="preserve">ريناز</t>
  </si>
  <si>
    <t xml:space="preserve">سناك تشيكن</t>
  </si>
  <si>
    <t xml:space="preserve">هيام</t>
  </si>
  <si>
    <t xml:space="preserve">كيمس</t>
  </si>
  <si>
    <t xml:space="preserve">فنو ومنو مشروبات</t>
  </si>
  <si>
    <t xml:space="preserve">كوفي لوتسو سويت آند ستوري</t>
  </si>
  <si>
    <t xml:space="preserve">ماهو كافيه</t>
  </si>
  <si>
    <t xml:space="preserve">كوفي 24</t>
  </si>
  <si>
    <t xml:space="preserve">مزاج المغربي</t>
  </si>
  <si>
    <t xml:space="preserve">فال كارز مغسلة سيارات</t>
  </si>
  <si>
    <t xml:space="preserve">الوقت الذهبي لغيار الزيوت</t>
  </si>
  <si>
    <t xml:space="preserve">ديوانية جهز للقهوة</t>
  </si>
  <si>
    <t xml:space="preserve">كويك سيب Quick sip كوفي</t>
  </si>
  <si>
    <t xml:space="preserve">مغسلة</t>
  </si>
  <si>
    <t xml:space="preserve">ملتن</t>
  </si>
  <si>
    <t xml:space="preserve">تفطيرة</t>
  </si>
  <si>
    <t xml:space="preserve">سينابون</t>
  </si>
  <si>
    <t xml:space="preserve">كوفي بلاك اند وايت</t>
  </si>
  <si>
    <t xml:space="preserve">Cove كافيه</t>
  </si>
  <si>
    <t xml:space="preserve">درب الصيانة غسيل وبنشر</t>
  </si>
  <si>
    <t xml:space="preserve">مغسلة واش واي</t>
  </si>
  <si>
    <t xml:space="preserve">ليدر اكسبريس</t>
  </si>
  <si>
    <t xml:space="preserve">براعة الغسيل الالي</t>
  </si>
  <si>
    <t xml:space="preserve">الزيت الذهبي</t>
  </si>
  <si>
    <t xml:space="preserve">تيكا واي</t>
  </si>
  <si>
    <t xml:space="preserve">رواد الصيانة (بنشر</t>
  </si>
  <si>
    <t xml:space="preserve">غسيل )</t>
  </si>
  <si>
    <t xml:space="preserve">ترويشة غسيل سيارات</t>
  </si>
  <si>
    <t xml:space="preserve">مغسلة طمس</t>
  </si>
  <si>
    <t xml:space="preserve">مركز التقدم الذهبي خدمات سيارات</t>
  </si>
  <si>
    <t xml:space="preserve">DOB كافيه</t>
  </si>
  <si>
    <t xml:space="preserve">مغسلة السلام</t>
  </si>
  <si>
    <t xml:space="preserve">خدمات سيارات السلام</t>
  </si>
  <si>
    <t xml:space="preserve">بنشر ناشونال اويل ستوب</t>
  </si>
  <si>
    <t xml:space="preserve">مغسلة Spot less</t>
  </si>
  <si>
    <t xml:space="preserve">شاي خادر</t>
  </si>
  <si>
    <t xml:space="preserve">عدد المحطات</t>
  </si>
  <si>
    <t xml:space="preserve">المحطات</t>
  </si>
  <si>
    <t xml:space="preserve">أحلى مساء (MK028)، القادسية (MK047)، النسيم (MK015)، أبو وافي العمرة (MK033)، جبل النور (MK001)، الحسينية (MK008)، الرصيفة (MK016)، السواط - شهار (MK063)، عرفات الشوقية (MK017)، ممشى الشوقية (MK020)، بطحاء قريش 1 (MK022)، الحمرا - طريق الملك عبدالله (RY025)، المعيصم (MK002)، طريق صبيا (JA061)، بن درويش (MK023)، بطحاء قريش 2 (MK031)، الشرايع (MK019)</t>
  </si>
  <si>
    <t xml:space="preserve">العمرة الجديدة (MK007)، العوالي (MK003)، عاصفة الصحراء (MK004)، الشيباني (MK005)، أحلى مساء (MK028)، النسيم (MK015)، الدائري الثالث - الذكرى (MK029)، الرصيفة (MK016)، عرفات الشوقية (MK017)، المعيصم (MK002)، بن درويش (MK023)، بطحاء قريش 2 (MK031)، الشرايع (MK019)، السلولي (MK049)</t>
  </si>
  <si>
    <t xml:space="preserve">العوالي (MK003)، عاصفة الصحراء (MK004)، الشيباني (MK005)، النسيم (MK015)، جنوب الطائف (MK006)، السواط - شهار (MK063)، عرفات الشوقية (MK017)، الرصيفة المسار (MK018)، المعيصم (MK002)، الشرايع (MK019)، العريفي (HA043)، مسارات درب عقبة شعار (AS271)</t>
  </si>
  <si>
    <t xml:space="preserve">العمرة الجديدة (MK007)، العوالي (MK003)، عاصفة الصحراء (MK004)، الشيباني (MK005)، أحلى مساء (MK028)، جنوب الطائف (MK006)، الدائري الشمالي (RY075)، جبل النور (MK001)، الرصيفة (MK016)، ممشى الشوقية (MK020)، المعيصم (MK002)</t>
  </si>
  <si>
    <t xml:space="preserve">العوالي (MK003)، النسيم (MK015)، الدائري الثالث - الذكرى (MK029)، الدائري الشمالي (RY075)، عرفات الشوقية (MK017)، ممشى الشوقية (MK020)، بن درويش (MK023)، البيعة (MK099)، العليا (MK154)، خميس مشيط العزيزيه (AS081)، النزهه  (BH065)</t>
  </si>
  <si>
    <t xml:space="preserve">العمرة الجديدة (MK007)، عاصفة الصحراء (MK004)، الشيباني (MK005)، أحلى مساء (MK028)، القادسية (MK047)، الدائري الثالث - الذكرى (MK029)، المعيصم (MK002)</t>
  </si>
  <si>
    <t xml:space="preserve">عاصفة الصحراء (MK004)، النسيم (MK015)، الدائري الشمالي (RY075)، الناصفة (RY042)، الشرايع (MK019)، العليا (MK154)</t>
  </si>
  <si>
    <t xml:space="preserve">العوالي (MK003)، عاصفة الصحراء (MK004)، الشيباني (MK005)، القادسية (MK047)، المعيصم (MK002)، غرناطة - طريق الملك عبدالله (RY024)</t>
  </si>
  <si>
    <t xml:space="preserve">العوالي (MK003)، أحلى مساء (MK028)، النسيم (MK015)، الدائري الشمالي (RY075)، بطحاء قريش 2 (MK031)</t>
  </si>
  <si>
    <t xml:space="preserve">عاصفة الصحراء (MK004)، الشيباني (MK005)، الدائري الثالث - الذكرى (MK029)، الحمرا - طريق الملك عبدالله (RY025)، الكر النازل (MK084)</t>
  </si>
  <si>
    <t xml:space="preserve">العمرة الجديدة (MK007)، العوالي (MK003)، كورنيش جيزان (JA069)، الكر النازل (MK084)، المعيصم (MK002)</t>
  </si>
  <si>
    <t xml:space="preserve">عاصفة الصحراء (MK004)، الشيباني (MK005)، جنوب الطائف (MK006)، السواط - شهار (MK063)، المعيصم (MK002)</t>
  </si>
  <si>
    <t xml:space="preserve">الشيباني (MK005)، أحلى مساء (MK028)، الدائري الشمالي (RY075)، الحمرا - طريق الملك عبدالله (RY025)، غرناطة - طريق الملك عبدالله (RY024)</t>
  </si>
  <si>
    <t xml:space="preserve">العوالي (MK003)، الحسينية (MK008)، الرصيفة (MK016)، الجعرانة (MK064)</t>
  </si>
  <si>
    <t xml:space="preserve">الدائري الشمالي (RY075)، الحمرا - طريق الملك عبدالله (RY025)، غرناطة - طريق الملك عبدالله (RY024)، النزهه  (BH065)</t>
  </si>
  <si>
    <t xml:space="preserve">أحلى مساء (MK028)، طريق صبيا (JA061)، غرناطة - طريق الملك عبدالله (RY024)، النزهه  (BH065)</t>
  </si>
  <si>
    <t xml:space="preserve">العمرة الجديدة (MK007)، جبل النور (MK001)، الرصيفة (MK016)، الرصيفة المسار (MK018)</t>
  </si>
  <si>
    <t xml:space="preserve">العمرة الجديدة (MK007)، الدائري الشمالي (RY075)، ممشى الشوقية (MK020)، بطحاء قريش 1 (MK022)</t>
  </si>
  <si>
    <t xml:space="preserve">عاصفة الصحراء (MK004)، الشيباني (MK005)، جنوب الطائف (MK006)</t>
  </si>
  <si>
    <t xml:space="preserve">الدائري الثالث - الذكرى (MK029)، الجمعية الوسام (MK035)، الرصيفة المسار (MK018)</t>
  </si>
  <si>
    <t xml:space="preserve">العمرة الجديدة (MK007)، العوالي (MK003)، المعيصم (MK002)</t>
  </si>
  <si>
    <t xml:space="preserve">الدائري الثالث - الذكرى (MK029)، عرفات الشوقية (MK017)، غرناطة - طريق الملك عبدالله (RY024)</t>
  </si>
  <si>
    <t xml:space="preserve">العمرة الجديدة (MK007)، الدائري الثالث - الذكرى (MK029)، السواط - شهار (MK063)</t>
  </si>
  <si>
    <t xml:space="preserve">العزيزية (MK072)، الرصيفة (MK016)، بن درويش (MK023)</t>
  </si>
  <si>
    <t xml:space="preserve">العوالي (MK003)، الحسينية (MK008)، الرصيفة (MK016)</t>
  </si>
  <si>
    <t xml:space="preserve">عاصفة الصحراء (MK004)، الشيباني (MK005)، النسيم (MK015)</t>
  </si>
  <si>
    <t xml:space="preserve">المعيصم (MK002)، طريق صبيا (JA061)، العارضة (JA227)</t>
  </si>
  <si>
    <t xml:space="preserve">العمرة الجديدة (MK007)، العوالي (MK003)</t>
  </si>
  <si>
    <t xml:space="preserve">العوالي (MK003)، الدائري الشمالي (RY075)</t>
  </si>
  <si>
    <t xml:space="preserve">العمرة الجديدة (MK007)، عرفات الشوقية (MK017)</t>
  </si>
  <si>
    <t xml:space="preserve">الشيباني (MK005)، أحلى مساء (MK028)</t>
  </si>
  <si>
    <t xml:space="preserve">العوالي (MK003)، ممشى الشوقية (MK020)</t>
  </si>
  <si>
    <t xml:space="preserve">الدائري الثالث - الذكرى (MK029)، ممشى الشوقية (MK020)</t>
  </si>
  <si>
    <t xml:space="preserve">النسيم (MK015)، الشرايع (MK019)</t>
  </si>
  <si>
    <t xml:space="preserve">أحلى مساء (MK028)، السواط - شهار (MK063)</t>
  </si>
  <si>
    <t xml:space="preserve">العوالي (MK003)، السلولي (MK049)</t>
  </si>
  <si>
    <t xml:space="preserve">العمرة الجديدة (MK007)، ممشى الشوقية (MK020)</t>
  </si>
  <si>
    <t xml:space="preserve">جنوب الطائف (MK006)، الحسينية (MK008)</t>
  </si>
  <si>
    <t xml:space="preserve">العوالي (MK003)، بن درويش (MK023)</t>
  </si>
  <si>
    <t xml:space="preserve">العوالي (MK003)، المعيصم (MK002)</t>
  </si>
  <si>
    <t xml:space="preserve">الحليس - طريق الجنوب (MK046)، الكر النازل (MK084)</t>
  </si>
  <si>
    <t xml:space="preserve">الحسينية (MK008)، بطحاء قريش 1 (MK022)</t>
  </si>
  <si>
    <t xml:space="preserve">الجعرانة (MK064)، بطحاء قريش 2 (MK031)</t>
  </si>
  <si>
    <t xml:space="preserve">العوالي (MK003)</t>
  </si>
  <si>
    <t xml:space="preserve">الفلاح - فلسطين (MK210)</t>
  </si>
  <si>
    <t xml:space="preserve">النزهه  (BH065)</t>
  </si>
  <si>
    <t xml:space="preserve">العارضة (JA227)</t>
  </si>
  <si>
    <t xml:space="preserve">شارع أحد تاروت-القطيف (EP102)</t>
  </si>
  <si>
    <t xml:space="preserve">الحسينية (MK008)</t>
  </si>
  <si>
    <t xml:space="preserve">السلولي (MK049)</t>
  </si>
  <si>
    <t xml:space="preserve">الدائري الشمالي (RY075)</t>
  </si>
  <si>
    <t xml:space="preserve">الجعرانة (MK064)</t>
  </si>
  <si>
    <t xml:space="preserve">الكر النازل (MK084)</t>
  </si>
  <si>
    <t xml:space="preserve">العليا (MK154)</t>
  </si>
  <si>
    <t xml:space="preserve">العمرة الجديدة (MK007)</t>
  </si>
  <si>
    <t xml:space="preserve">الأجاويد (MK071)</t>
  </si>
  <si>
    <t xml:space="preserve">الجموم - الكنيدري (MK068)</t>
  </si>
  <si>
    <t xml:space="preserve">الكوثر (MK100)</t>
  </si>
  <si>
    <t xml:space="preserve">العريفي (HA043)</t>
  </si>
  <si>
    <t xml:space="preserve">العزيزية (MK072)</t>
  </si>
  <si>
    <t xml:space="preserve">خبت نخلان (JA053)</t>
  </si>
  <si>
    <t xml:space="preserve">كورنيش جيزان (JA069)</t>
  </si>
  <si>
    <t xml:space="preserve">الرصيفة (MK016)</t>
  </si>
  <si>
    <t xml:space="preserve">غرناطة - طريق الملك عبدالله (RY024)</t>
  </si>
  <si>
    <t xml:space="preserve">المعيصم (MK002)</t>
  </si>
  <si>
    <t xml:space="preserve">ممشى الشوقية (MK020)</t>
  </si>
  <si>
    <t xml:space="preserve">صناعية صامطة (JA060)</t>
  </si>
  <si>
    <t xml:space="preserve">الدائري الثالث - الذكرى (MK029)</t>
  </si>
  <si>
    <t xml:space="preserve">الحليس - طريق الجنوب (MK046)</t>
  </si>
  <si>
    <t xml:space="preserve">طريق صبيا (JA061)</t>
  </si>
  <si>
    <t xml:space="preserve">خميس مشيط العزيزيه (AS081)</t>
  </si>
  <si>
    <t xml:space="preserve">القادسية (MK047)</t>
  </si>
  <si>
    <t xml:space="preserve">الشيباني (MK005)</t>
  </si>
  <si>
    <t xml:space="preserve">أبو وافي العمرة (MK033)</t>
  </si>
  <si>
    <t xml:space="preserve">بطحاء قريش 1 (MK022)</t>
  </si>
  <si>
    <t xml:space="preserve">الناصفة (RY042)</t>
  </si>
  <si>
    <t xml:space="preserve">عرفات الشوقية (MK017)</t>
  </si>
  <si>
    <t xml:space="preserve">تربه (MK067)</t>
  </si>
  <si>
    <t xml:space="preserve">الرصيفة المسار (MK018)</t>
  </si>
  <si>
    <t xml:space="preserve">خليص (MK014)</t>
  </si>
  <si>
    <t xml:space="preserve">بن درويش (MK023)</t>
  </si>
  <si>
    <t xml:space="preserve">أحلى مساء (MK028)</t>
  </si>
  <si>
    <t xml:space="preserve">البيعة (MK099)</t>
  </si>
  <si>
    <t xml:space="preserve">الحمرا - طريق الملك عبدالله (RY025)</t>
  </si>
  <si>
    <t xml:space="preserve">عاصفة الصحراء (MK004)</t>
  </si>
  <si>
    <t xml:space="preserve">جنوب الطائف (MK006)</t>
  </si>
  <si>
    <t xml:space="preserve">الشرايع (MK019)</t>
  </si>
  <si>
    <t xml:space="preserve">النسيم (MK015)</t>
  </si>
  <si>
    <t xml:space="preserve">السواط - شهار (MK063)</t>
  </si>
  <si>
    <t xml:space="preserve">افتراضات تقدير السيارات الصغيرة والكبيرة</t>
  </si>
  <si>
    <t xml:space="preserve">سعر لتر بنزين 91 (ر.س)</t>
  </si>
  <si>
    <t xml:space="preserve">سعر أرامكو الحالي — عدّله إن تغيّر</t>
  </si>
  <si>
    <t xml:space="preserve">سعر لتر بنزين 95 (ر.س)</t>
  </si>
  <si>
    <t xml:space="preserve">سعر لتر الديزل (ر.س)</t>
  </si>
  <si>
    <t xml:space="preserve">تعبئة السيارة الكبيرة ÷ تعبئة الصغيرة (مرة)</t>
  </si>
  <si>
    <t xml:space="preserve">افتراض: الشاحنة/الحافلة تعبّئ ~3 أضعاف السيارة الصغيرة باللتر</t>
  </si>
  <si>
    <t xml:space="preserve">أيام الشهر</t>
  </si>
  <si>
    <t xml:space="preserve">لتحويل اليومي إلى شهري</t>
  </si>
  <si>
    <t xml:space="preserve">المنهجية</t>
  </si>
  <si>
    <t xml:space="preserve">1) الزيارات اليومية ومزيج الوقود (حصة كل وقود من الإيراد) مأخوذة من ملف تحليل المحطات (location-analysis) — فترة يناير–سبتمبر 2026 أو الأشهر المتوفرة لكل محطة.</t>
  </si>
  <si>
    <t xml:space="preserve">2) الملف لا يحتوي عدّادًا مباشرًا للسيارات حسب الحجم، لذلك: السيارة الكبيرة = من تعبّئ ديزل، والصغيرة = من تعبّئ بنزين 91/95.</t>
  </si>
  <si>
    <t xml:space="preserve">3) حصة الإيراد تُحوَّل إلى حصة لترات بالقسمة على سعر اللتر، ثم إلى عدد سيارات بقسمة لترات الديزل على معامل التعبئة (الخلية B6).</t>
  </si>
  <si>
    <t xml:space="preserve">   سيارات كبيرة = الزيارات × ح ÷ (ح + المعامل × (1 − ح))   حيث ح = حصة لترات الديزل.</t>
  </si>
  <si>
    <t xml:space="preserve">4) الأرقام تقديرية: بعض السيارات الصغيرة تعمل بالديزل (بيك أب)، فغيّر المعامل في الخلايا الصفراء لاختبار السيناريو وستتحدث الجداول تلقائيًا.</t>
  </si>
  <si>
    <t xml:space="preserve">5) الشركاء والبراندات من ملف Darb Units (تبويب Stations). المحطات المذكورة في ملف الوحدات بلا بيانات مبيعات تظهر في آخر الجدول بخانات حركة فارغة.</t>
  </si>
</sst>
</file>

<file path=xl/styles.xml><?xml version="1.0" encoding="utf-8"?>
<styleSheet xmlns="http://schemas.openxmlformats.org/spreadsheetml/2006/main">
  <numFmts count="5">
    <numFmt numFmtId="164" formatCode="General"/>
    <numFmt numFmtId="165" formatCode="#,##0;\-#,##0;\-"/>
    <numFmt numFmtId="166" formatCode="0%;\-0%;\-"/>
    <numFmt numFmtId="167" formatCode="#,##0"/>
    <numFmt numFmtId="168" formatCode="0%"/>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808080"/>
      <name val="Arial"/>
      <family val="0"/>
      <charset val="1"/>
    </font>
    <font>
      <b val="true"/>
      <sz val="10"/>
      <name val="Arial"/>
      <family val="0"/>
      <charset val="1"/>
    </font>
    <font>
      <sz val="10"/>
      <name val="FreeSans"/>
      <family val="2"/>
    </font>
    <font>
      <b val="true"/>
      <sz val="13"/>
      <name val="Arial"/>
      <family val="0"/>
      <charset val="1"/>
    </font>
    <font>
      <sz val="10"/>
      <color rgb="FF0000FF"/>
      <name val="Arial"/>
      <family val="0"/>
      <charset val="1"/>
    </font>
  </fonts>
  <fills count="8">
    <fill>
      <patternFill patternType="none"/>
    </fill>
    <fill>
      <patternFill patternType="gray125"/>
    </fill>
    <fill>
      <patternFill patternType="solid">
        <fgColor rgb="FF3E2A5C"/>
        <bgColor rgb="FF333399"/>
      </patternFill>
    </fill>
    <fill>
      <patternFill patternType="solid">
        <fgColor rgb="FF3E6E8E"/>
        <bgColor rgb="FF339966"/>
      </patternFill>
    </fill>
    <fill>
      <patternFill patternType="solid">
        <fgColor rgb="FFC0504D"/>
        <bgColor rgb="FF993366"/>
      </patternFill>
    </fill>
    <fill>
      <patternFill patternType="solid">
        <fgColor rgb="FFE3EEF7"/>
        <bgColor rgb="FFCCFFFF"/>
      </patternFill>
    </fill>
    <fill>
      <patternFill patternType="solid">
        <fgColor rgb="FFFBE5D6"/>
        <bgColor rgb="FFE3EEF7"/>
      </patternFill>
    </fill>
    <fill>
      <patternFill patternType="solid">
        <fgColor rgb="FFFFFF00"/>
        <bgColor rgb="FFFFFF00"/>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6" fontId="5" fillId="0" borderId="1" xfId="0" applyFont="true" applyBorder="true" applyAlignment="true" applyProtection="false">
      <alignment horizontal="center" vertical="top" textRotation="0" wrapText="false" indent="0" shrinkToFit="false"/>
      <protection locked="true" hidden="false"/>
    </xf>
    <xf numFmtId="165" fontId="5" fillId="5" borderId="1" xfId="0" applyFont="true" applyBorder="true" applyAlignment="true" applyProtection="false">
      <alignment horizontal="center" vertical="top" textRotation="0" wrapText="false" indent="0" shrinkToFit="false"/>
      <protection locked="true" hidden="false"/>
    </xf>
    <xf numFmtId="165" fontId="5" fillId="6"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right"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right"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3E2A5C"/>
          <bgColor rgb="FF000000"/>
        </patternFill>
      </fill>
    </dxf>
    <dxf>
      <fill>
        <patternFill patternType="solid">
          <bgColor rgb="FF000000"/>
        </patternFill>
      </fill>
    </dxf>
    <dxf>
      <fill>
        <patternFill patternType="solid">
          <fgColor rgb="FFFFFFFF"/>
          <bgColor rgb="FF000000"/>
        </patternFill>
      </fill>
    </dxf>
    <dxf>
      <fill>
        <patternFill patternType="solid">
          <fgColor rgb="FF808080"/>
          <bgColor rgb="FF000000"/>
        </patternFill>
      </fill>
    </dxf>
    <dxf>
      <fill>
        <patternFill patternType="solid">
          <fgColor rgb="FF3E6E8E"/>
          <bgColor rgb="FF000000"/>
        </patternFill>
      </fill>
    </dxf>
    <dxf>
      <fill>
        <patternFill patternType="solid">
          <fgColor rgb="FFE3EEF7"/>
          <bgColor rgb="FF000000"/>
        </patternFill>
      </fill>
    </dxf>
    <dxf>
      <fill>
        <patternFill patternType="solid">
          <fgColor rgb="FFC0504D"/>
          <bgColor rgb="FF000000"/>
        </patternFill>
      </fill>
    </dxf>
    <dxf>
      <fill>
        <patternFill patternType="solid">
          <fgColor rgb="FFFBE5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0504D"/>
      <rgbColor rgb="FFFBE5D6"/>
      <rgbColor rgb="FFE3EEF7"/>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E6E8E"/>
      <rgbColor rgb="FF969696"/>
      <rgbColor rgb="FF003366"/>
      <rgbColor rgb="FF339966"/>
      <rgbColor rgb="FF003300"/>
      <rgbColor rgb="FF333300"/>
      <rgbColor rgb="FF993300"/>
      <rgbColor rgb="FF993366"/>
      <rgbColor rgb="FF333399"/>
      <rgbColor rgb="FF3E2A5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11"/>
    <col collapsed="false" customWidth="true" hidden="false" outlineLevel="0" max="4" min="4" style="0" width="10"/>
    <col collapsed="false" customWidth="true" hidden="false" outlineLevel="0" max="5" min="5" style="0" width="12"/>
    <col collapsed="false" customWidth="true" hidden="false" outlineLevel="0" max="8" min="6" style="0" width="9"/>
    <col collapsed="false" customWidth="true" hidden="false" outlineLevel="0" max="9" min="9" style="0" width="10"/>
    <col collapsed="false" customWidth="true" hidden="false" outlineLevel="0" max="11" min="10" style="0" width="12"/>
    <col collapsed="false" customWidth="true" hidden="false" outlineLevel="0" max="12" min="12" style="0" width="9"/>
    <col collapsed="false" customWidth="true" hidden="false" outlineLevel="0" max="14" min="13" style="0" width="13"/>
    <col collapsed="false" customWidth="true" hidden="false" outlineLevel="0" max="15" min="15" style="0" width="30"/>
    <col collapsed="false" customWidth="true" hidden="false" outlineLevel="0" max="17" min="16" style="0" width="40"/>
    <col collapsed="false" customWidth="true" hidden="false" outlineLevel="0" max="18" min="18" style="0" width="22"/>
    <col collapsed="false" customWidth="true" hidden="false" outlineLevel="0" max="19" min="19" style="0" width="18"/>
    <col collapsed="false" customWidth="true" hidden="false" outlineLevel="0" max="20" min="20" style="0" width="9"/>
  </cols>
  <sheetData>
    <row r="1" customFormat="false" ht="36" hidden="false" customHeight="true" outlineLevel="0" collapsed="false">
      <c r="A1" s="1" t="s">
        <v>0</v>
      </c>
      <c r="B1" s="1" t="s">
        <v>1</v>
      </c>
      <c r="C1" s="1" t="s">
        <v>2</v>
      </c>
      <c r="D1" s="1" t="s">
        <v>3</v>
      </c>
      <c r="E1" s="1" t="s">
        <v>4</v>
      </c>
      <c r="F1" s="1" t="s">
        <v>5</v>
      </c>
      <c r="G1" s="1" t="s">
        <v>6</v>
      </c>
      <c r="H1" s="1" t="s">
        <v>7</v>
      </c>
      <c r="I1" s="1" t="s">
        <v>8</v>
      </c>
      <c r="J1" s="2" t="s">
        <v>9</v>
      </c>
      <c r="K1" s="3" t="s">
        <v>10</v>
      </c>
      <c r="L1" s="1" t="s">
        <v>11</v>
      </c>
      <c r="M1" s="2" t="s">
        <v>12</v>
      </c>
      <c r="N1" s="3" t="s">
        <v>13</v>
      </c>
      <c r="O1" s="1" t="s">
        <v>14</v>
      </c>
      <c r="P1" s="1" t="s">
        <v>15</v>
      </c>
      <c r="Q1" s="1" t="s">
        <v>16</v>
      </c>
      <c r="R1" s="1" t="s">
        <v>17</v>
      </c>
      <c r="S1" s="1" t="s">
        <v>18</v>
      </c>
      <c r="T1" s="1" t="s">
        <v>19</v>
      </c>
    </row>
    <row r="2" customFormat="false" ht="57.45" hidden="false" customHeight="false" outlineLevel="0" collapsed="false">
      <c r="A2" s="4" t="s">
        <v>20</v>
      </c>
      <c r="B2" s="4" t="s">
        <v>21</v>
      </c>
      <c r="C2" s="4" t="s">
        <v>22</v>
      </c>
      <c r="D2" s="4" t="n">
        <v>9</v>
      </c>
      <c r="E2" s="5" t="n">
        <v>4348.2</v>
      </c>
      <c r="F2" s="6" t="n">
        <v>0.357</v>
      </c>
      <c r="G2" s="6" t="n">
        <v>0.36</v>
      </c>
      <c r="H2" s="6" t="n">
        <v>0.282</v>
      </c>
      <c r="I2" s="6" t="n">
        <f aca="false">IFERROR((H2/الافتراضات!$B$5)/(F2/الافتراضات!$B$3+G2/الافتراضات!$B$4+H2/الافتراضات!$B$5),0)</f>
        <v>0.348008633896016</v>
      </c>
      <c r="J2" s="7" t="n">
        <f aca="false">E2-K2</f>
        <v>3691.41940839526</v>
      </c>
      <c r="K2" s="8" t="n">
        <f aca="false">E2*I2/(I2+الافتراضات!$B$6*(1-I2))</f>
        <v>656.78059160474</v>
      </c>
      <c r="L2" s="6" t="n">
        <f aca="false">IFERROR(K2/E2,0)</f>
        <v>0.151046546066129</v>
      </c>
      <c r="M2" s="7" t="n">
        <f aca="false">J2*الافتراضات!$B$7</f>
        <v>110742.582251858</v>
      </c>
      <c r="N2" s="8" t="n">
        <f aca="false">K2*الافتراضات!$B$7</f>
        <v>19703.4177481422</v>
      </c>
      <c r="O2" s="9" t="s">
        <v>23</v>
      </c>
      <c r="P2" s="9" t="s">
        <v>24</v>
      </c>
      <c r="Q2" s="9" t="s">
        <v>25</v>
      </c>
      <c r="R2" s="9" t="s">
        <v>26</v>
      </c>
      <c r="S2" s="9" t="s">
        <v>27</v>
      </c>
      <c r="T2" s="9" t="n">
        <v>49</v>
      </c>
    </row>
    <row r="3" customFormat="false" ht="46.25" hidden="false" customHeight="false" outlineLevel="0" collapsed="false">
      <c r="A3" s="4" t="s">
        <v>28</v>
      </c>
      <c r="B3" s="4" t="s">
        <v>29</v>
      </c>
      <c r="C3" s="4" t="s">
        <v>22</v>
      </c>
      <c r="D3" s="4" t="n">
        <v>9</v>
      </c>
      <c r="E3" s="5" t="n">
        <v>3524.3</v>
      </c>
      <c r="F3" s="6" t="n">
        <v>0.507</v>
      </c>
      <c r="G3" s="6" t="n">
        <v>0.492</v>
      </c>
      <c r="H3" s="6" t="n">
        <v>0</v>
      </c>
      <c r="I3" s="6" t="n">
        <f aca="false">IFERROR((H3/الافتراضات!$B$5)/(F3/الافتراضات!$B$3+G3/الافتراضات!$B$4+H3/الافتراضات!$B$5),0)</f>
        <v>0</v>
      </c>
      <c r="J3" s="7" t="n">
        <f aca="false">E3-K3</f>
        <v>3524.3</v>
      </c>
      <c r="K3" s="8" t="n">
        <f aca="false">E3*I3/(I3+الافتراضات!$B$6*(1-I3))</f>
        <v>0</v>
      </c>
      <c r="L3" s="6" t="n">
        <f aca="false">IFERROR(K3/E3,0)</f>
        <v>0</v>
      </c>
      <c r="M3" s="7" t="n">
        <f aca="false">J3*الافتراضات!$B$7</f>
        <v>105729</v>
      </c>
      <c r="N3" s="8" t="n">
        <f aca="false">K3*الافتراضات!$B$7</f>
        <v>0</v>
      </c>
      <c r="O3" s="9" t="s">
        <v>30</v>
      </c>
      <c r="P3" s="9" t="s">
        <v>31</v>
      </c>
      <c r="Q3" s="9" t="s">
        <v>32</v>
      </c>
      <c r="R3" s="9" t="s">
        <v>33</v>
      </c>
      <c r="S3" s="9" t="s">
        <v>34</v>
      </c>
      <c r="T3" s="9" t="n">
        <v>36</v>
      </c>
    </row>
    <row r="4" customFormat="false" ht="15" hidden="false" customHeight="false" outlineLevel="0" collapsed="false">
      <c r="A4" s="4" t="s">
        <v>35</v>
      </c>
      <c r="B4" s="4" t="s">
        <v>36</v>
      </c>
      <c r="C4" s="4" t="s">
        <v>37</v>
      </c>
      <c r="D4" s="4" t="n">
        <v>6</v>
      </c>
      <c r="E4" s="5" t="n">
        <v>2228.9</v>
      </c>
      <c r="F4" s="6" t="n">
        <v>0.342</v>
      </c>
      <c r="G4" s="6" t="n">
        <v>0.31</v>
      </c>
      <c r="H4" s="6" t="n">
        <v>0.348</v>
      </c>
      <c r="I4" s="6" t="n">
        <f aca="false">IFERROR((H4/الافتراضات!$B$5)/(F4/الافتراضات!$B$3+G4/الافتراضات!$B$4+H4/الافتراضات!$B$5),0)</f>
        <v>0.419640938417948</v>
      </c>
      <c r="J4" s="7" t="n">
        <f aca="false">E4-K4</f>
        <v>1796.01721088817</v>
      </c>
      <c r="K4" s="8" t="n">
        <f aca="false">E4*I4/(I4+الافتراضات!$B$6*(1-I4))</f>
        <v>432.882789111834</v>
      </c>
      <c r="L4" s="6" t="n">
        <f aca="false">IFERROR(K4/E4,0)</f>
        <v>0.194213643102802</v>
      </c>
      <c r="M4" s="7" t="n">
        <f aca="false">J4*الافتراضات!$B$7</f>
        <v>53880.516326645</v>
      </c>
      <c r="N4" s="8" t="n">
        <f aca="false">K4*الافتراضات!$B$7</f>
        <v>12986.483673355</v>
      </c>
      <c r="O4" s="9" t="s">
        <v>38</v>
      </c>
      <c r="P4" s="9" t="s">
        <v>39</v>
      </c>
      <c r="Q4" s="9" t="s">
        <v>40</v>
      </c>
      <c r="R4" s="9" t="s">
        <v>41</v>
      </c>
      <c r="S4" s="9" t="s">
        <v>27</v>
      </c>
      <c r="T4" s="9" t="n">
        <v>12</v>
      </c>
    </row>
    <row r="5" customFormat="false" ht="15" hidden="false" customHeight="false" outlineLevel="0" collapsed="false">
      <c r="A5" s="4" t="s">
        <v>42</v>
      </c>
      <c r="B5" s="4" t="s">
        <v>43</v>
      </c>
      <c r="C5" s="4" t="s">
        <v>44</v>
      </c>
      <c r="D5" s="4" t="n">
        <v>9</v>
      </c>
      <c r="E5" s="5" t="n">
        <v>1961</v>
      </c>
      <c r="F5" s="6" t="n">
        <v>0.214</v>
      </c>
      <c r="G5" s="6" t="n">
        <v>0.124</v>
      </c>
      <c r="H5" s="6" t="n">
        <v>0.663</v>
      </c>
      <c r="I5" s="6" t="n">
        <f aca="false">IFERROR((H5/الافتراضات!$B$5)/(F5/الافتراضات!$B$3+G5/الافتراضات!$B$4+H5/الافتراضات!$B$5),0)</f>
        <v>0.725146921374741</v>
      </c>
      <c r="J5" s="7" t="n">
        <f aca="false">E5-K5</f>
        <v>1043.39823003685</v>
      </c>
      <c r="K5" s="8" t="n">
        <f aca="false">E5*I5/(I5+الافتراضات!$B$6*(1-I5))</f>
        <v>917.601769963149</v>
      </c>
      <c r="L5" s="6" t="n">
        <f aca="false">IFERROR(K5/E5,0)</f>
        <v>0.467925430883809</v>
      </c>
      <c r="M5" s="7" t="n">
        <f aca="false">J5*الافتراضات!$B$7</f>
        <v>31301.9469011055</v>
      </c>
      <c r="N5" s="8" t="n">
        <f aca="false">K5*الافتراضات!$B$7</f>
        <v>27528.0530988945</v>
      </c>
      <c r="O5" s="9" t="s">
        <v>27</v>
      </c>
      <c r="P5" s="9" t="s">
        <v>27</v>
      </c>
      <c r="Q5" s="9" t="s">
        <v>27</v>
      </c>
      <c r="R5" s="9" t="s">
        <v>27</v>
      </c>
      <c r="S5" s="9" t="s">
        <v>27</v>
      </c>
      <c r="T5" s="9" t="n">
        <v>0</v>
      </c>
    </row>
    <row r="6" customFormat="false" ht="15" hidden="false" customHeight="false" outlineLevel="0" collapsed="false">
      <c r="A6" s="4" t="s">
        <v>45</v>
      </c>
      <c r="B6" s="4" t="s">
        <v>46</v>
      </c>
      <c r="C6" s="4" t="s">
        <v>37</v>
      </c>
      <c r="D6" s="4" t="n">
        <v>5</v>
      </c>
      <c r="E6" s="5" t="n">
        <v>1860.7</v>
      </c>
      <c r="F6" s="6" t="n">
        <v>0.393</v>
      </c>
      <c r="G6" s="6" t="n">
        <v>0.333</v>
      </c>
      <c r="H6" s="6" t="n">
        <v>0.275</v>
      </c>
      <c r="I6" s="6" t="n">
        <f aca="false">IFERROR((H6/الافتراضات!$B$5)/(F6/الافتراضات!$B$3+G6/الافتراضات!$B$4+H6/الافتراضات!$B$5),0)</f>
        <v>0.338877986796899</v>
      </c>
      <c r="J6" s="7" t="n">
        <f aca="false">E6-K6</f>
        <v>1589.17372504224</v>
      </c>
      <c r="K6" s="8" t="n">
        <f aca="false">E6*I6/(I6+الافتراضات!$B$6*(1-I6))</f>
        <v>271.526274957762</v>
      </c>
      <c r="L6" s="6" t="n">
        <f aca="false">IFERROR(K6/E6,0)</f>
        <v>0.145926949512421</v>
      </c>
      <c r="M6" s="7" t="n">
        <f aca="false">J6*الافتراضات!$B$7</f>
        <v>47675.2117512672</v>
      </c>
      <c r="N6" s="8" t="n">
        <f aca="false">K6*الافتراضات!$B$7</f>
        <v>8145.78824873286</v>
      </c>
      <c r="O6" s="9" t="s">
        <v>47</v>
      </c>
      <c r="P6" s="9" t="s">
        <v>48</v>
      </c>
      <c r="Q6" s="9" t="s">
        <v>49</v>
      </c>
      <c r="R6" s="9" t="s">
        <v>27</v>
      </c>
      <c r="S6" s="9" t="s">
        <v>27</v>
      </c>
      <c r="T6" s="9" t="n">
        <v>6</v>
      </c>
    </row>
    <row r="7" customFormat="false" ht="15" hidden="false" customHeight="false" outlineLevel="0" collapsed="false">
      <c r="A7" s="4" t="s">
        <v>50</v>
      </c>
      <c r="B7" s="4" t="s">
        <v>51</v>
      </c>
      <c r="C7" s="4" t="s">
        <v>22</v>
      </c>
      <c r="D7" s="4" t="n">
        <v>9</v>
      </c>
      <c r="E7" s="5" t="n">
        <v>2484.5</v>
      </c>
      <c r="F7" s="6" t="n">
        <v>0.642</v>
      </c>
      <c r="G7" s="6" t="n">
        <v>0.231</v>
      </c>
      <c r="H7" s="6" t="n">
        <v>0.127</v>
      </c>
      <c r="I7" s="6" t="n">
        <f aca="false">IFERROR((H7/الافتراضات!$B$5)/(F7/الافتراضات!$B$3+G7/الافتراضات!$B$4+H7/الافتراضات!$B$5),0)</f>
        <v>0.162729239947326</v>
      </c>
      <c r="J7" s="7" t="n">
        <f aca="false">E7-K7</f>
        <v>2333.33360620507</v>
      </c>
      <c r="K7" s="8" t="n">
        <f aca="false">E7*I7/(I7+الافتراضات!$B$6*(1-I7))</f>
        <v>151.166393794928</v>
      </c>
      <c r="L7" s="6" t="n">
        <f aca="false">IFERROR(K7/E7,0)</f>
        <v>0.0608437890098323</v>
      </c>
      <c r="M7" s="7" t="n">
        <f aca="false">J7*الافتراضات!$B$7</f>
        <v>70000.0081861522</v>
      </c>
      <c r="N7" s="8" t="n">
        <f aca="false">K7*الافتراضات!$B$7</f>
        <v>4534.99181384785</v>
      </c>
      <c r="O7" s="9" t="s">
        <v>52</v>
      </c>
      <c r="P7" s="9" t="s">
        <v>27</v>
      </c>
      <c r="Q7" s="9" t="s">
        <v>53</v>
      </c>
      <c r="R7" s="9" t="s">
        <v>54</v>
      </c>
      <c r="S7" s="9" t="s">
        <v>27</v>
      </c>
      <c r="T7" s="9" t="n">
        <v>4</v>
      </c>
    </row>
    <row r="8" customFormat="false" ht="23.85" hidden="false" customHeight="false" outlineLevel="0" collapsed="false">
      <c r="A8" s="4" t="s">
        <v>55</v>
      </c>
      <c r="B8" s="4" t="s">
        <v>56</v>
      </c>
      <c r="C8" s="4" t="s">
        <v>37</v>
      </c>
      <c r="D8" s="4" t="n">
        <v>6</v>
      </c>
      <c r="E8" s="5" t="n">
        <v>1735.1</v>
      </c>
      <c r="F8" s="6" t="n">
        <v>0.52</v>
      </c>
      <c r="G8" s="6" t="n">
        <v>0.477</v>
      </c>
      <c r="H8" s="6" t="n">
        <v>0.003</v>
      </c>
      <c r="I8" s="6" t="n">
        <f aca="false">IFERROR((H8/الافتراضات!$B$5)/(F8/الافتراضات!$B$3+G8/الافتراضات!$B$4+H8/الافتراضات!$B$5),0)</f>
        <v>0.004060637705215</v>
      </c>
      <c r="J8" s="7" t="n">
        <f aca="false">E8-K8</f>
        <v>1732.74508754168</v>
      </c>
      <c r="K8" s="8" t="n">
        <f aca="false">E8*I8/(I8+الافتراضات!$B$6*(1-I8))</f>
        <v>2.35491245832001</v>
      </c>
      <c r="L8" s="6" t="n">
        <f aca="false">IFERROR(K8/E8,0)</f>
        <v>0.00135722002093252</v>
      </c>
      <c r="M8" s="7" t="n">
        <f aca="false">J8*الافتراضات!$B$7</f>
        <v>51982.3526262504</v>
      </c>
      <c r="N8" s="8" t="n">
        <f aca="false">K8*الافتراضات!$B$7</f>
        <v>70.6473737496002</v>
      </c>
      <c r="O8" s="9" t="s">
        <v>57</v>
      </c>
      <c r="P8" s="9" t="s">
        <v>58</v>
      </c>
      <c r="Q8" s="9" t="s">
        <v>59</v>
      </c>
      <c r="R8" s="9" t="s">
        <v>41</v>
      </c>
      <c r="S8" s="9" t="s">
        <v>27</v>
      </c>
      <c r="T8" s="9" t="n">
        <v>13</v>
      </c>
    </row>
    <row r="9" customFormat="false" ht="15" hidden="false" customHeight="false" outlineLevel="0" collapsed="false">
      <c r="A9" s="4" t="s">
        <v>60</v>
      </c>
      <c r="B9" s="4" t="s">
        <v>61</v>
      </c>
      <c r="C9" s="4" t="s">
        <v>37</v>
      </c>
      <c r="D9" s="4" t="n">
        <v>9</v>
      </c>
      <c r="E9" s="5" t="n">
        <v>1506.1</v>
      </c>
      <c r="F9" s="6" t="n">
        <v>0.465</v>
      </c>
      <c r="G9" s="6" t="n">
        <v>0.453</v>
      </c>
      <c r="H9" s="6" t="n">
        <v>0.082</v>
      </c>
      <c r="I9" s="6" t="n">
        <f aca="false">IFERROR((H9/الافتراضات!$B$5)/(F9/الافتراضات!$B$3+G9/الافتراضات!$B$4+H9/الافتراضات!$B$5),0)</f>
        <v>0.108062409002266</v>
      </c>
      <c r="J9" s="7" t="n">
        <f aca="false">E9-K9</f>
        <v>1447.63732349392</v>
      </c>
      <c r="K9" s="8" t="n">
        <f aca="false">E9*I9/(I9+الافتراضات!$B$6*(1-I9))</f>
        <v>58.4626765060823</v>
      </c>
      <c r="L9" s="6" t="n">
        <f aca="false">IFERROR(K9/E9,0)</f>
        <v>0.0388172608100938</v>
      </c>
      <c r="M9" s="7" t="n">
        <f aca="false">J9*الافتراضات!$B$7</f>
        <v>43429.1197048175</v>
      </c>
      <c r="N9" s="8" t="n">
        <f aca="false">K9*الافتراضات!$B$7</f>
        <v>1753.88029518247</v>
      </c>
      <c r="O9" s="9" t="s">
        <v>62</v>
      </c>
      <c r="P9" s="9" t="s">
        <v>63</v>
      </c>
      <c r="Q9" s="9" t="s">
        <v>64</v>
      </c>
      <c r="R9" s="9" t="s">
        <v>65</v>
      </c>
      <c r="S9" s="9" t="s">
        <v>27</v>
      </c>
      <c r="T9" s="9" t="n">
        <v>11</v>
      </c>
    </row>
    <row r="10" customFormat="false" ht="15" hidden="false" customHeight="false" outlineLevel="0" collapsed="false">
      <c r="A10" s="4" t="s">
        <v>66</v>
      </c>
      <c r="B10" s="4" t="s">
        <v>67</v>
      </c>
      <c r="C10" s="4" t="s">
        <v>22</v>
      </c>
      <c r="D10" s="4" t="n">
        <v>9</v>
      </c>
      <c r="E10" s="5" t="n">
        <v>1696.7</v>
      </c>
      <c r="F10" s="6" t="n">
        <v>0.355</v>
      </c>
      <c r="G10" s="6" t="n">
        <v>0.369</v>
      </c>
      <c r="H10" s="6" t="n">
        <v>0.276</v>
      </c>
      <c r="I10" s="6" t="n">
        <f aca="false">IFERROR((H10/الافتراضات!$B$5)/(F10/الافتراضات!$B$3+G10/الافتراضات!$B$4+H10/الافتراضات!$B$5),0)</f>
        <v>0.341071788901333</v>
      </c>
      <c r="J10" s="7" t="n">
        <f aca="false">E10-K10</f>
        <v>1447.03116862334</v>
      </c>
      <c r="K10" s="8" t="n">
        <f aca="false">E10*I10/(I10+الافتراضات!$B$6*(1-I10))</f>
        <v>249.668831376659</v>
      </c>
      <c r="L10" s="6" t="n">
        <f aca="false">IFERROR(K10/E10,0)</f>
        <v>0.147149661918229</v>
      </c>
      <c r="M10" s="7" t="n">
        <f aca="false">J10*الافتراضات!$B$7</f>
        <v>43410.9350587002</v>
      </c>
      <c r="N10" s="8" t="n">
        <f aca="false">K10*الافتراضات!$B$7</f>
        <v>7490.06494129976</v>
      </c>
      <c r="O10" s="9" t="s">
        <v>68</v>
      </c>
      <c r="P10" s="9" t="s">
        <v>69</v>
      </c>
      <c r="Q10" s="9" t="s">
        <v>70</v>
      </c>
      <c r="R10" s="9" t="s">
        <v>65</v>
      </c>
      <c r="S10" s="9" t="s">
        <v>27</v>
      </c>
      <c r="T10" s="9" t="n">
        <v>6</v>
      </c>
    </row>
    <row r="11" customFormat="false" ht="15" hidden="false" customHeight="false" outlineLevel="0" collapsed="false">
      <c r="A11" s="4" t="s">
        <v>71</v>
      </c>
      <c r="B11" s="4" t="s">
        <v>72</v>
      </c>
      <c r="C11" s="4" t="s">
        <v>44</v>
      </c>
      <c r="D11" s="4" t="n">
        <v>6</v>
      </c>
      <c r="E11" s="5" t="n">
        <v>1989.8</v>
      </c>
      <c r="F11" s="6" t="n">
        <v>0.563</v>
      </c>
      <c r="G11" s="6" t="n">
        <v>0.427</v>
      </c>
      <c r="H11" s="6" t="n">
        <v>0</v>
      </c>
      <c r="I11" s="6" t="n">
        <f aca="false">IFERROR((H11/الافتراضات!$B$5)/(F11/الافتراضات!$B$3+G11/الافتراضات!$B$4+H11/الافتراضات!$B$5),0)</f>
        <v>0</v>
      </c>
      <c r="J11" s="7" t="n">
        <f aca="false">E11-K11</f>
        <v>1989.8</v>
      </c>
      <c r="K11" s="8" t="n">
        <f aca="false">E11*I11/(I11+الافتراضات!$B$6*(1-I11))</f>
        <v>0</v>
      </c>
      <c r="L11" s="6" t="n">
        <f aca="false">IFERROR(K11/E11,0)</f>
        <v>0</v>
      </c>
      <c r="M11" s="7" t="n">
        <f aca="false">J11*الافتراضات!$B$7</f>
        <v>59694</v>
      </c>
      <c r="N11" s="8" t="n">
        <f aca="false">K11*الافتراضات!$B$7</f>
        <v>0</v>
      </c>
      <c r="O11" s="9" t="s">
        <v>73</v>
      </c>
      <c r="P11" s="9" t="s">
        <v>74</v>
      </c>
      <c r="Q11" s="9" t="s">
        <v>75</v>
      </c>
      <c r="R11" s="9" t="s">
        <v>65</v>
      </c>
      <c r="S11" s="9" t="s">
        <v>27</v>
      </c>
      <c r="T11" s="9" t="n">
        <v>9</v>
      </c>
    </row>
    <row r="12" customFormat="false" ht="15" hidden="false" customHeight="false" outlineLevel="0" collapsed="false">
      <c r="A12" s="4" t="s">
        <v>76</v>
      </c>
      <c r="B12" s="4" t="s">
        <v>77</v>
      </c>
      <c r="C12" s="4" t="s">
        <v>37</v>
      </c>
      <c r="D12" s="4" t="n">
        <v>5</v>
      </c>
      <c r="E12" s="5" t="n">
        <v>1709.4</v>
      </c>
      <c r="F12" s="6" t="n">
        <v>0.539</v>
      </c>
      <c r="G12" s="6" t="n">
        <v>0.461</v>
      </c>
      <c r="H12" s="6" t="n">
        <v>0</v>
      </c>
      <c r="I12" s="6" t="n">
        <f aca="false">IFERROR((H12/الافتراضات!$B$5)/(F12/الافتراضات!$B$3+G12/الافتراضات!$B$4+H12/الافتراضات!$B$5),0)</f>
        <v>0</v>
      </c>
      <c r="J12" s="7" t="n">
        <f aca="false">E12-K12</f>
        <v>1709.4</v>
      </c>
      <c r="K12" s="8" t="n">
        <f aca="false">E12*I12/(I12+الافتراضات!$B$6*(1-I12))</f>
        <v>0</v>
      </c>
      <c r="L12" s="6" t="n">
        <f aca="false">IFERROR(K12/E12,0)</f>
        <v>0</v>
      </c>
      <c r="M12" s="7" t="n">
        <f aca="false">J12*الافتراضات!$B$7</f>
        <v>51282</v>
      </c>
      <c r="N12" s="8" t="n">
        <f aca="false">K12*الافتراضات!$B$7</f>
        <v>0</v>
      </c>
      <c r="O12" s="9" t="s">
        <v>78</v>
      </c>
      <c r="P12" s="9" t="s">
        <v>27</v>
      </c>
      <c r="Q12" s="9" t="s">
        <v>79</v>
      </c>
      <c r="R12" s="9" t="s">
        <v>41</v>
      </c>
      <c r="S12" s="9" t="s">
        <v>27</v>
      </c>
      <c r="T12" s="9" t="n">
        <v>6</v>
      </c>
    </row>
    <row r="13" customFormat="false" ht="15" hidden="false" customHeight="false" outlineLevel="0" collapsed="false">
      <c r="A13" s="4" t="s">
        <v>80</v>
      </c>
      <c r="B13" s="4" t="s">
        <v>81</v>
      </c>
      <c r="C13" s="4" t="s">
        <v>22</v>
      </c>
      <c r="D13" s="4" t="n">
        <v>9</v>
      </c>
      <c r="E13" s="5" t="n">
        <v>1606.8</v>
      </c>
      <c r="F13" s="6" t="n">
        <v>0.416</v>
      </c>
      <c r="G13" s="6" t="n">
        <v>0.373</v>
      </c>
      <c r="H13" s="6" t="n">
        <v>0.211</v>
      </c>
      <c r="I13" s="6" t="n">
        <f aca="false">IFERROR((H13/الافتراضات!$B$5)/(F13/الافتراضات!$B$3+G13/الافتراضات!$B$4+H13/الافتراضات!$B$5),0)</f>
        <v>0.265906122572323</v>
      </c>
      <c r="J13" s="7" t="n">
        <f aca="false">E13-K13</f>
        <v>1433.69406147943</v>
      </c>
      <c r="K13" s="8" t="n">
        <f aca="false">E13*I13/(I13+الافتراضات!$B$6*(1-I13))</f>
        <v>173.105938520567</v>
      </c>
      <c r="L13" s="6" t="n">
        <f aca="false">IFERROR(K13/E13,0)</f>
        <v>0.107733344859701</v>
      </c>
      <c r="M13" s="7" t="n">
        <f aca="false">J13*الافتراضات!$B$7</f>
        <v>43010.821844383</v>
      </c>
      <c r="N13" s="8" t="n">
        <f aca="false">K13*الافتراضات!$B$7</f>
        <v>5193.17815561702</v>
      </c>
      <c r="O13" s="9" t="s">
        <v>82</v>
      </c>
      <c r="P13" s="9" t="s">
        <v>83</v>
      </c>
      <c r="Q13" s="9" t="s">
        <v>84</v>
      </c>
      <c r="R13" s="9" t="s">
        <v>85</v>
      </c>
      <c r="S13" s="9" t="s">
        <v>27</v>
      </c>
      <c r="T13" s="9" t="n">
        <v>12</v>
      </c>
    </row>
    <row r="14" customFormat="false" ht="15" hidden="false" customHeight="false" outlineLevel="0" collapsed="false">
      <c r="A14" s="4" t="s">
        <v>86</v>
      </c>
      <c r="B14" s="4" t="s">
        <v>87</v>
      </c>
      <c r="C14" s="4" t="s">
        <v>22</v>
      </c>
      <c r="D14" s="4" t="n">
        <v>9</v>
      </c>
      <c r="E14" s="5" t="n">
        <v>1468.4</v>
      </c>
      <c r="F14" s="6" t="n">
        <v>0.341</v>
      </c>
      <c r="G14" s="6" t="n">
        <v>0.205</v>
      </c>
      <c r="H14" s="6" t="n">
        <v>0.453</v>
      </c>
      <c r="I14" s="6" t="n">
        <f aca="false">IFERROR((H14/الافتراضات!$B$5)/(F14/الافتراضات!$B$3+G14/الافتراضات!$B$4+H14/الافتراضات!$B$5),0)</f>
        <v>0.52753422829686</v>
      </c>
      <c r="J14" s="7" t="n">
        <f aca="false">E14-K14</f>
        <v>1070.11798156225</v>
      </c>
      <c r="K14" s="8" t="n">
        <f aca="false">E14*I14/(I14+الافتراضات!$B$6*(1-I14))</f>
        <v>398.282018437753</v>
      </c>
      <c r="L14" s="6" t="n">
        <f aca="false">IFERROR(K14/E14,0)</f>
        <v>0.271235370769377</v>
      </c>
      <c r="M14" s="7" t="n">
        <f aca="false">J14*الافتراضات!$B$7</f>
        <v>32103.5394468674</v>
      </c>
      <c r="N14" s="8" t="n">
        <f aca="false">K14*الافتراضات!$B$7</f>
        <v>11948.4605531326</v>
      </c>
      <c r="O14" s="9" t="s">
        <v>27</v>
      </c>
      <c r="P14" s="9" t="s">
        <v>27</v>
      </c>
      <c r="Q14" s="9" t="s">
        <v>88</v>
      </c>
      <c r="R14" s="9" t="s">
        <v>65</v>
      </c>
      <c r="S14" s="9" t="s">
        <v>27</v>
      </c>
      <c r="T14" s="9" t="n">
        <v>2</v>
      </c>
    </row>
    <row r="15" customFormat="false" ht="23.85" hidden="false" customHeight="false" outlineLevel="0" collapsed="false">
      <c r="A15" s="4" t="s">
        <v>89</v>
      </c>
      <c r="B15" s="4" t="s">
        <v>90</v>
      </c>
      <c r="C15" s="4" t="s">
        <v>91</v>
      </c>
      <c r="D15" s="4" t="n">
        <v>9</v>
      </c>
      <c r="E15" s="5" t="n">
        <v>1207</v>
      </c>
      <c r="F15" s="6" t="n">
        <v>0.47</v>
      </c>
      <c r="G15" s="6" t="n">
        <v>0.454</v>
      </c>
      <c r="H15" s="6" t="n">
        <v>0.076</v>
      </c>
      <c r="I15" s="6" t="n">
        <f aca="false">IFERROR((H15/الافتراضات!$B$5)/(F15/الافتراضات!$B$3+G15/الافتراضات!$B$4+H15/الافتراضات!$B$5),0)</f>
        <v>0.100351156155465</v>
      </c>
      <c r="J15" s="7" t="n">
        <f aca="false">E15-K15</f>
        <v>1163.730630682</v>
      </c>
      <c r="K15" s="8" t="n">
        <f aca="false">E15*I15/(I15+الافتراضات!$B$6*(1-I15))</f>
        <v>43.2693693180014</v>
      </c>
      <c r="L15" s="6" t="n">
        <f aca="false">IFERROR(K15/E15,0)</f>
        <v>0.0358486904043093</v>
      </c>
      <c r="M15" s="7" t="n">
        <f aca="false">J15*الافتراضات!$B$7</f>
        <v>34911.91892046</v>
      </c>
      <c r="N15" s="8" t="n">
        <f aca="false">K15*الافتراضات!$B$7</f>
        <v>1298.08107954004</v>
      </c>
      <c r="O15" s="9" t="s">
        <v>92</v>
      </c>
      <c r="P15" s="9" t="s">
        <v>93</v>
      </c>
      <c r="Q15" s="9" t="s">
        <v>94</v>
      </c>
      <c r="R15" s="9" t="s">
        <v>95</v>
      </c>
      <c r="S15" s="9" t="s">
        <v>27</v>
      </c>
      <c r="T15" s="9" t="n">
        <v>13</v>
      </c>
    </row>
    <row r="16" customFormat="false" ht="15" hidden="false" customHeight="false" outlineLevel="0" collapsed="false">
      <c r="A16" s="4" t="s">
        <v>96</v>
      </c>
      <c r="B16" s="4" t="s">
        <v>97</v>
      </c>
      <c r="C16" s="4" t="s">
        <v>98</v>
      </c>
      <c r="D16" s="4" t="n">
        <v>8</v>
      </c>
      <c r="E16" s="5" t="n">
        <v>1943.6</v>
      </c>
      <c r="F16" s="6" t="n">
        <v>0.462</v>
      </c>
      <c r="G16" s="6" t="n">
        <v>0.484</v>
      </c>
      <c r="H16" s="6" t="n">
        <v>0.055</v>
      </c>
      <c r="I16" s="6" t="n">
        <f aca="false">IFERROR((H16/الافتراضات!$B$5)/(F16/الافتراضات!$B$3+G16/الافتراضات!$B$4+H16/الافتراضات!$B$5),0)</f>
        <v>0.073175060607056</v>
      </c>
      <c r="J16" s="7" t="n">
        <f aca="false">E16-K16</f>
        <v>1893.76100298317</v>
      </c>
      <c r="K16" s="8" t="n">
        <f aca="false">E16*I16/(I16+الافتراضات!$B$6*(1-I16))</f>
        <v>49.8389970168254</v>
      </c>
      <c r="L16" s="6" t="n">
        <f aca="false">IFERROR(K16/E16,0)</f>
        <v>0.0256426204037998</v>
      </c>
      <c r="M16" s="7" t="n">
        <f aca="false">J16*الافتراضات!$B$7</f>
        <v>56812.8300894952</v>
      </c>
      <c r="N16" s="8" t="n">
        <f aca="false">K16*الافتراضات!$B$7</f>
        <v>1495.16991050476</v>
      </c>
      <c r="O16" s="9" t="s">
        <v>27</v>
      </c>
      <c r="P16" s="9" t="s">
        <v>27</v>
      </c>
      <c r="Q16" s="9" t="s">
        <v>27</v>
      </c>
      <c r="R16" s="9" t="s">
        <v>27</v>
      </c>
      <c r="S16" s="9" t="s">
        <v>27</v>
      </c>
      <c r="T16" s="9" t="n">
        <v>0</v>
      </c>
    </row>
    <row r="17" customFormat="false" ht="15" hidden="false" customHeight="false" outlineLevel="0" collapsed="false">
      <c r="A17" s="4" t="s">
        <v>99</v>
      </c>
      <c r="B17" s="4" t="s">
        <v>100</v>
      </c>
      <c r="C17" s="4" t="s">
        <v>22</v>
      </c>
      <c r="D17" s="4" t="n">
        <v>9</v>
      </c>
      <c r="E17" s="5" t="n">
        <v>1835.3</v>
      </c>
      <c r="F17" s="6" t="n">
        <v>0.554</v>
      </c>
      <c r="G17" s="6" t="n">
        <v>0.446</v>
      </c>
      <c r="H17" s="6" t="n">
        <v>0</v>
      </c>
      <c r="I17" s="6" t="n">
        <f aca="false">IFERROR((H17/الافتراضات!$B$5)/(F17/الافتراضات!$B$3+G17/الافتراضات!$B$4+H17/الافتراضات!$B$5),0)</f>
        <v>0</v>
      </c>
      <c r="J17" s="7" t="n">
        <f aca="false">E17-K17</f>
        <v>1835.3</v>
      </c>
      <c r="K17" s="8" t="n">
        <f aca="false">E17*I17/(I17+الافتراضات!$B$6*(1-I17))</f>
        <v>0</v>
      </c>
      <c r="L17" s="6" t="n">
        <f aca="false">IFERROR(K17/E17,0)</f>
        <v>0</v>
      </c>
      <c r="M17" s="7" t="n">
        <f aca="false">J17*الافتراضات!$B$7</f>
        <v>55059</v>
      </c>
      <c r="N17" s="8" t="n">
        <f aca="false">K17*الافتراضات!$B$7</f>
        <v>0</v>
      </c>
      <c r="O17" s="9" t="s">
        <v>101</v>
      </c>
      <c r="P17" s="9" t="s">
        <v>27</v>
      </c>
      <c r="Q17" s="9" t="s">
        <v>102</v>
      </c>
      <c r="R17" s="9" t="s">
        <v>65</v>
      </c>
      <c r="S17" s="9" t="s">
        <v>27</v>
      </c>
      <c r="T17" s="9" t="n">
        <v>3</v>
      </c>
    </row>
    <row r="18" customFormat="false" ht="15" hidden="false" customHeight="false" outlineLevel="0" collapsed="false">
      <c r="A18" s="4" t="s">
        <v>103</v>
      </c>
      <c r="B18" s="4" t="s">
        <v>104</v>
      </c>
      <c r="C18" s="4" t="s">
        <v>22</v>
      </c>
      <c r="D18" s="4" t="n">
        <v>6</v>
      </c>
      <c r="E18" s="5" t="n">
        <v>1772.3</v>
      </c>
      <c r="F18" s="6" t="n">
        <v>0.599</v>
      </c>
      <c r="G18" s="6" t="n">
        <v>0.401</v>
      </c>
      <c r="H18" s="6" t="n">
        <v>0</v>
      </c>
      <c r="I18" s="6" t="n">
        <f aca="false">IFERROR((H18/الافتراضات!$B$5)/(F18/الافتراضات!$B$3+G18/الافتراضات!$B$4+H18/الافتراضات!$B$5),0)</f>
        <v>0</v>
      </c>
      <c r="J18" s="7" t="n">
        <f aca="false">E18-K18</f>
        <v>1772.3</v>
      </c>
      <c r="K18" s="8" t="n">
        <f aca="false">E18*I18/(I18+الافتراضات!$B$6*(1-I18))</f>
        <v>0</v>
      </c>
      <c r="L18" s="6" t="n">
        <f aca="false">IFERROR(K18/E18,0)</f>
        <v>0</v>
      </c>
      <c r="M18" s="7" t="n">
        <f aca="false">J18*الافتراضات!$B$7</f>
        <v>53169</v>
      </c>
      <c r="N18" s="8" t="n">
        <f aca="false">K18*الافتراضات!$B$7</f>
        <v>0</v>
      </c>
      <c r="O18" s="9" t="s">
        <v>105</v>
      </c>
      <c r="P18" s="9" t="s">
        <v>106</v>
      </c>
      <c r="Q18" s="9" t="s">
        <v>107</v>
      </c>
      <c r="R18" s="9" t="s">
        <v>65</v>
      </c>
      <c r="S18" s="9" t="s">
        <v>108</v>
      </c>
      <c r="T18" s="9" t="n">
        <v>8</v>
      </c>
    </row>
    <row r="19" customFormat="false" ht="15" hidden="false" customHeight="false" outlineLevel="0" collapsed="false">
      <c r="A19" s="4" t="s">
        <v>109</v>
      </c>
      <c r="B19" s="4" t="s">
        <v>110</v>
      </c>
      <c r="C19" s="4" t="s">
        <v>22</v>
      </c>
      <c r="D19" s="4" t="n">
        <v>7</v>
      </c>
      <c r="E19" s="5" t="n">
        <v>794.9</v>
      </c>
      <c r="F19" s="6" t="n">
        <v>0.311</v>
      </c>
      <c r="G19" s="6" t="n">
        <v>0.274</v>
      </c>
      <c r="H19" s="6" t="n">
        <v>0.414</v>
      </c>
      <c r="I19" s="6" t="n">
        <f aca="false">IFERROR((H19/الافتراضات!$B$5)/(F19/الافتراضات!$B$3+G19/الافتراضات!$B$4+H19/الافتراضات!$B$5),0)</f>
        <v>0.489346192172468</v>
      </c>
      <c r="J19" s="7" t="n">
        <f aca="false">E19-K19</f>
        <v>602.45957918269</v>
      </c>
      <c r="K19" s="8" t="n">
        <f aca="false">E19*I19/(I19+الافتراضات!$B$6*(1-I19))</f>
        <v>192.440420817311</v>
      </c>
      <c r="L19" s="6" t="n">
        <f aca="false">IFERROR(K19/E19,0)</f>
        <v>0.242093874471393</v>
      </c>
      <c r="M19" s="7" t="n">
        <f aca="false">J19*الافتراضات!$B$7</f>
        <v>18073.7873754807</v>
      </c>
      <c r="N19" s="8" t="n">
        <f aca="false">K19*الافتراضات!$B$7</f>
        <v>5773.21262451932</v>
      </c>
      <c r="O19" s="9" t="s">
        <v>27</v>
      </c>
      <c r="P19" s="9" t="s">
        <v>27</v>
      </c>
      <c r="Q19" s="9" t="s">
        <v>27</v>
      </c>
      <c r="R19" s="9" t="s">
        <v>27</v>
      </c>
      <c r="S19" s="9" t="s">
        <v>27</v>
      </c>
      <c r="T19" s="9" t="n">
        <v>0</v>
      </c>
    </row>
    <row r="20" customFormat="false" ht="15" hidden="false" customHeight="false" outlineLevel="0" collapsed="false">
      <c r="A20" s="4" t="s">
        <v>111</v>
      </c>
      <c r="B20" s="4" t="s">
        <v>112</v>
      </c>
      <c r="C20" s="4" t="s">
        <v>44</v>
      </c>
      <c r="D20" s="4" t="n">
        <v>8</v>
      </c>
      <c r="E20" s="5" t="n">
        <v>1369.2</v>
      </c>
      <c r="F20" s="6" t="n">
        <v>0.447</v>
      </c>
      <c r="G20" s="6" t="n">
        <v>0.216</v>
      </c>
      <c r="H20" s="6" t="n">
        <v>0.337</v>
      </c>
      <c r="I20" s="6" t="n">
        <f aca="false">IFERROR((H20/الافتراضات!$B$5)/(F20/الافتراضات!$B$3+G20/الافتراضات!$B$4+H20/الافتراضات!$B$5),0)</f>
        <v>0.405406433403093</v>
      </c>
      <c r="J20" s="7" t="n">
        <f aca="false">E20-K20</f>
        <v>1115.64356336696</v>
      </c>
      <c r="K20" s="8" t="n">
        <f aca="false">E20*I20/(I20+الافتراضات!$B$6*(1-I20))</f>
        <v>253.556436633036</v>
      </c>
      <c r="L20" s="6" t="n">
        <f aca="false">IFERROR(K20/E20,0)</f>
        <v>0.185185828683199</v>
      </c>
      <c r="M20" s="7" t="n">
        <f aca="false">J20*الافتراضات!$B$7</f>
        <v>33469.3069010089</v>
      </c>
      <c r="N20" s="8" t="n">
        <f aca="false">K20*الافتراضات!$B$7</f>
        <v>7606.69309899107</v>
      </c>
      <c r="O20" s="9" t="s">
        <v>27</v>
      </c>
      <c r="P20" s="9" t="s">
        <v>27</v>
      </c>
      <c r="Q20" s="9" t="s">
        <v>27</v>
      </c>
      <c r="R20" s="9" t="s">
        <v>113</v>
      </c>
      <c r="S20" s="9" t="s">
        <v>114</v>
      </c>
      <c r="T20" s="9" t="n">
        <v>2</v>
      </c>
    </row>
    <row r="21" customFormat="false" ht="15" hidden="false" customHeight="false" outlineLevel="0" collapsed="false">
      <c r="A21" s="4" t="s">
        <v>115</v>
      </c>
      <c r="B21" s="4" t="s">
        <v>116</v>
      </c>
      <c r="C21" s="4" t="s">
        <v>22</v>
      </c>
      <c r="D21" s="4" t="n">
        <v>3</v>
      </c>
      <c r="E21" s="5" t="n">
        <v>1766.8</v>
      </c>
      <c r="F21" s="6" t="n">
        <v>0.65</v>
      </c>
      <c r="G21" s="6" t="n">
        <v>0.35</v>
      </c>
      <c r="H21" s="6" t="n">
        <v>0</v>
      </c>
      <c r="I21" s="6" t="n">
        <f aca="false">IFERROR((H21/الافتراضات!$B$5)/(F21/الافتراضات!$B$3+G21/الافتراضات!$B$4+H21/الافتراضات!$B$5),0)</f>
        <v>0</v>
      </c>
      <c r="J21" s="7" t="n">
        <f aca="false">E21-K21</f>
        <v>1766.8</v>
      </c>
      <c r="K21" s="8" t="n">
        <f aca="false">E21*I21/(I21+الافتراضات!$B$6*(1-I21))</f>
        <v>0</v>
      </c>
      <c r="L21" s="6" t="n">
        <f aca="false">IFERROR(K21/E21,0)</f>
        <v>0</v>
      </c>
      <c r="M21" s="7" t="n">
        <f aca="false">J21*الافتراضات!$B$7</f>
        <v>53004</v>
      </c>
      <c r="N21" s="8" t="n">
        <f aca="false">K21*الافتراضات!$B$7</f>
        <v>0</v>
      </c>
      <c r="O21" s="9" t="s">
        <v>27</v>
      </c>
      <c r="P21" s="9" t="s">
        <v>27</v>
      </c>
      <c r="Q21" s="9" t="s">
        <v>27</v>
      </c>
      <c r="R21" s="9" t="s">
        <v>27</v>
      </c>
      <c r="S21" s="9" t="s">
        <v>27</v>
      </c>
      <c r="T21" s="9" t="n">
        <v>0</v>
      </c>
    </row>
    <row r="22" customFormat="false" ht="15" hidden="false" customHeight="false" outlineLevel="0" collapsed="false">
      <c r="A22" s="4" t="s">
        <v>117</v>
      </c>
      <c r="B22" s="4" t="s">
        <v>118</v>
      </c>
      <c r="C22" s="4" t="s">
        <v>22</v>
      </c>
      <c r="D22" s="4" t="n">
        <v>9</v>
      </c>
      <c r="E22" s="5" t="n">
        <v>1564.8</v>
      </c>
      <c r="F22" s="6" t="n">
        <v>0.576</v>
      </c>
      <c r="G22" s="6" t="n">
        <v>0.424</v>
      </c>
      <c r="H22" s="6" t="n">
        <v>0</v>
      </c>
      <c r="I22" s="6" t="n">
        <f aca="false">IFERROR((H22/الافتراضات!$B$5)/(F22/الافتراضات!$B$3+G22/الافتراضات!$B$4+H22/الافتراضات!$B$5),0)</f>
        <v>0</v>
      </c>
      <c r="J22" s="7" t="n">
        <f aca="false">E22-K22</f>
        <v>1564.8</v>
      </c>
      <c r="K22" s="8" t="n">
        <f aca="false">E22*I22/(I22+الافتراضات!$B$6*(1-I22))</f>
        <v>0</v>
      </c>
      <c r="L22" s="6" t="n">
        <f aca="false">IFERROR(K22/E22,0)</f>
        <v>0</v>
      </c>
      <c r="M22" s="7" t="n">
        <f aca="false">J22*الافتراضات!$B$7</f>
        <v>46944</v>
      </c>
      <c r="N22" s="8" t="n">
        <f aca="false">K22*الافتراضات!$B$7</f>
        <v>0</v>
      </c>
      <c r="O22" s="9" t="s">
        <v>119</v>
      </c>
      <c r="P22" s="9" t="s">
        <v>120</v>
      </c>
      <c r="Q22" s="9" t="s">
        <v>121</v>
      </c>
      <c r="R22" s="9" t="s">
        <v>65</v>
      </c>
      <c r="S22" s="9" t="s">
        <v>27</v>
      </c>
      <c r="T22" s="9" t="n">
        <v>9</v>
      </c>
    </row>
    <row r="23" customFormat="false" ht="15" hidden="false" customHeight="false" outlineLevel="0" collapsed="false">
      <c r="A23" s="4" t="s">
        <v>122</v>
      </c>
      <c r="B23" s="4" t="s">
        <v>123</v>
      </c>
      <c r="C23" s="4" t="s">
        <v>37</v>
      </c>
      <c r="D23" s="4" t="n">
        <v>7</v>
      </c>
      <c r="E23" s="5" t="n">
        <v>1186</v>
      </c>
      <c r="F23" s="6" t="n">
        <v>0.461</v>
      </c>
      <c r="G23" s="6" t="n">
        <v>0.481</v>
      </c>
      <c r="H23" s="6" t="n">
        <v>0.058</v>
      </c>
      <c r="I23" s="6" t="n">
        <f aca="false">IFERROR((H23/الافتراضات!$B$5)/(F23/الافتراضات!$B$3+G23/الافتراضات!$B$4+H23/الافتراضات!$B$5),0)</f>
        <v>0.0771560398101377</v>
      </c>
      <c r="J23" s="7" t="n">
        <f aca="false">E23-K23</f>
        <v>1153.84360556213</v>
      </c>
      <c r="K23" s="8" t="n">
        <f aca="false">E23*I23/(I23+الافتراضات!$B$6*(1-I23))</f>
        <v>32.1563944378738</v>
      </c>
      <c r="L23" s="6" t="n">
        <f aca="false">IFERROR(K23/E23,0)</f>
        <v>0.0271133174012427</v>
      </c>
      <c r="M23" s="7" t="n">
        <f aca="false">J23*الافتراضات!$B$7</f>
        <v>34615.3081668638</v>
      </c>
      <c r="N23" s="8" t="n">
        <f aca="false">K23*الافتراضات!$B$7</f>
        <v>964.691833136214</v>
      </c>
      <c r="O23" s="9" t="s">
        <v>124</v>
      </c>
      <c r="P23" s="9" t="s">
        <v>27</v>
      </c>
      <c r="Q23" s="9" t="s">
        <v>125</v>
      </c>
      <c r="R23" s="9" t="s">
        <v>65</v>
      </c>
      <c r="S23" s="9" t="s">
        <v>27</v>
      </c>
      <c r="T23" s="9" t="n">
        <v>6</v>
      </c>
    </row>
    <row r="24" customFormat="false" ht="23.85" hidden="false" customHeight="false" outlineLevel="0" collapsed="false">
      <c r="A24" s="4" t="s">
        <v>126</v>
      </c>
      <c r="B24" s="4" t="s">
        <v>127</v>
      </c>
      <c r="C24" s="4" t="s">
        <v>22</v>
      </c>
      <c r="D24" s="4" t="n">
        <v>9</v>
      </c>
      <c r="E24" s="5" t="n">
        <v>1256.8</v>
      </c>
      <c r="F24" s="6" t="n">
        <v>0.518</v>
      </c>
      <c r="G24" s="6" t="n">
        <v>0.482</v>
      </c>
      <c r="H24" s="6" t="n">
        <v>0</v>
      </c>
      <c r="I24" s="6" t="n">
        <f aca="false">IFERROR((H24/الافتراضات!$B$5)/(F24/الافتراضات!$B$3+G24/الافتراضات!$B$4+H24/الافتراضات!$B$5),0)</f>
        <v>0</v>
      </c>
      <c r="J24" s="7" t="n">
        <f aca="false">E24-K24</f>
        <v>1256.8</v>
      </c>
      <c r="K24" s="8" t="n">
        <f aca="false">E24*I24/(I24+الافتراضات!$B$6*(1-I24))</f>
        <v>0</v>
      </c>
      <c r="L24" s="6" t="n">
        <f aca="false">IFERROR(K24/E24,0)</f>
        <v>0</v>
      </c>
      <c r="M24" s="7" t="n">
        <f aca="false">J24*الافتراضات!$B$7</f>
        <v>37704</v>
      </c>
      <c r="N24" s="8" t="n">
        <f aca="false">K24*الافتراضات!$B$7</f>
        <v>0</v>
      </c>
      <c r="O24" s="9" t="s">
        <v>128</v>
      </c>
      <c r="P24" s="9" t="s">
        <v>129</v>
      </c>
      <c r="Q24" s="9" t="s">
        <v>130</v>
      </c>
      <c r="R24" s="9" t="s">
        <v>65</v>
      </c>
      <c r="S24" s="9" t="s">
        <v>27</v>
      </c>
      <c r="T24" s="9" t="n">
        <v>9</v>
      </c>
    </row>
    <row r="25" customFormat="false" ht="15" hidden="false" customHeight="false" outlineLevel="0" collapsed="false">
      <c r="A25" s="4" t="s">
        <v>131</v>
      </c>
      <c r="B25" s="4" t="s">
        <v>132</v>
      </c>
      <c r="C25" s="4" t="s">
        <v>22</v>
      </c>
      <c r="D25" s="4" t="n">
        <v>9</v>
      </c>
      <c r="E25" s="5" t="n">
        <v>1142.1</v>
      </c>
      <c r="F25" s="6" t="n">
        <v>0.368</v>
      </c>
      <c r="G25" s="6" t="n">
        <v>0.342</v>
      </c>
      <c r="H25" s="6" t="n">
        <v>0.29</v>
      </c>
      <c r="I25" s="6" t="n">
        <f aca="false">IFERROR((H25/الافتراضات!$B$5)/(F25/الافتراضات!$B$3+G25/الافتراضات!$B$4+H25/الافتراضات!$B$5),0)</f>
        <v>0.35631926997687</v>
      </c>
      <c r="J25" s="7" t="n">
        <f aca="false">E25-K25</f>
        <v>964.186607058443</v>
      </c>
      <c r="K25" s="8" t="n">
        <f aca="false">E25*I25/(I25+الافتراضات!$B$6*(1-I25))</f>
        <v>177.913392941557</v>
      </c>
      <c r="L25" s="6" t="n">
        <f aca="false">IFERROR(K25/E25,0)</f>
        <v>0.155777421365517</v>
      </c>
      <c r="M25" s="7" t="n">
        <f aca="false">J25*الافتراضات!$B$7</f>
        <v>28925.5982117533</v>
      </c>
      <c r="N25" s="8" t="n">
        <f aca="false">K25*الافتراضات!$B$7</f>
        <v>5337.4017882467</v>
      </c>
      <c r="O25" s="9" t="s">
        <v>133</v>
      </c>
      <c r="P25" s="9" t="s">
        <v>134</v>
      </c>
      <c r="Q25" s="9" t="s">
        <v>27</v>
      </c>
      <c r="R25" s="9" t="s">
        <v>135</v>
      </c>
      <c r="S25" s="9" t="s">
        <v>27</v>
      </c>
      <c r="T25" s="9" t="n">
        <v>4</v>
      </c>
    </row>
    <row r="26" customFormat="false" ht="15" hidden="false" customHeight="false" outlineLevel="0" collapsed="false">
      <c r="A26" s="4" t="s">
        <v>136</v>
      </c>
      <c r="B26" s="4" t="s">
        <v>137</v>
      </c>
      <c r="C26" s="4" t="s">
        <v>22</v>
      </c>
      <c r="D26" s="4" t="n">
        <v>9</v>
      </c>
      <c r="E26" s="5" t="n">
        <v>1372.4</v>
      </c>
      <c r="F26" s="6" t="n">
        <v>0.522</v>
      </c>
      <c r="G26" s="6" t="n">
        <v>0.478</v>
      </c>
      <c r="H26" s="6" t="n">
        <v>0</v>
      </c>
      <c r="I26" s="6" t="n">
        <f aca="false">IFERROR((H26/الافتراضات!$B$5)/(F26/الافتراضات!$B$3+G26/الافتراضات!$B$4+H26/الافتراضات!$B$5),0)</f>
        <v>0</v>
      </c>
      <c r="J26" s="7" t="n">
        <f aca="false">E26-K26</f>
        <v>1372.4</v>
      </c>
      <c r="K26" s="8" t="n">
        <f aca="false">E26*I26/(I26+الافتراضات!$B$6*(1-I26))</f>
        <v>0</v>
      </c>
      <c r="L26" s="6" t="n">
        <f aca="false">IFERROR(K26/E26,0)</f>
        <v>0</v>
      </c>
      <c r="M26" s="7" t="n">
        <f aca="false">J26*الافتراضات!$B$7</f>
        <v>41172</v>
      </c>
      <c r="N26" s="8" t="n">
        <f aca="false">K26*الافتراضات!$B$7</f>
        <v>0</v>
      </c>
      <c r="O26" s="9" t="s">
        <v>138</v>
      </c>
      <c r="P26" s="9" t="s">
        <v>139</v>
      </c>
      <c r="Q26" s="9" t="s">
        <v>140</v>
      </c>
      <c r="R26" s="9" t="s">
        <v>65</v>
      </c>
      <c r="S26" s="9" t="s">
        <v>27</v>
      </c>
      <c r="T26" s="9" t="n">
        <v>10</v>
      </c>
    </row>
    <row r="27" customFormat="false" ht="15" hidden="false" customHeight="false" outlineLevel="0" collapsed="false">
      <c r="A27" s="4" t="s">
        <v>141</v>
      </c>
      <c r="B27" s="4" t="s">
        <v>142</v>
      </c>
      <c r="C27" s="4" t="s">
        <v>143</v>
      </c>
      <c r="D27" s="4" t="n">
        <v>6</v>
      </c>
      <c r="E27" s="5" t="n">
        <v>1145</v>
      </c>
      <c r="F27" s="6" t="n">
        <v>0.49</v>
      </c>
      <c r="G27" s="6" t="n">
        <v>0.385</v>
      </c>
      <c r="H27" s="6" t="n">
        <v>0.125</v>
      </c>
      <c r="I27" s="6" t="n">
        <f aca="false">IFERROR((H27/الافتراضات!$B$5)/(F27/الافتراضات!$B$3+G27/الافتراضات!$B$4+H27/الافتراضات!$B$5),0)</f>
        <v>0.161830918964109</v>
      </c>
      <c r="J27" s="7" t="n">
        <f aca="false">E27-K27</f>
        <v>1075.7649515895</v>
      </c>
      <c r="K27" s="8" t="n">
        <f aca="false">E27*I27/(I27+الافتراضات!$B$6*(1-I27))</f>
        <v>69.2350484104986</v>
      </c>
      <c r="L27" s="6" t="n">
        <f aca="false">IFERROR(K27/E27,0)</f>
        <v>0.0604672911882084</v>
      </c>
      <c r="M27" s="7" t="n">
        <f aca="false">J27*الافتراضات!$B$7</f>
        <v>32272.948547685</v>
      </c>
      <c r="N27" s="8" t="n">
        <f aca="false">K27*الافتراضات!$B$7</f>
        <v>2077.05145231496</v>
      </c>
      <c r="O27" s="9" t="s">
        <v>27</v>
      </c>
      <c r="P27" s="9" t="s">
        <v>27</v>
      </c>
      <c r="Q27" s="9" t="s">
        <v>27</v>
      </c>
      <c r="R27" s="9" t="s">
        <v>27</v>
      </c>
      <c r="S27" s="9" t="s">
        <v>27</v>
      </c>
      <c r="T27" s="9" t="n">
        <v>0</v>
      </c>
    </row>
    <row r="28" customFormat="false" ht="15" hidden="false" customHeight="false" outlineLevel="0" collapsed="false">
      <c r="A28" s="4" t="s">
        <v>144</v>
      </c>
      <c r="B28" s="4" t="s">
        <v>145</v>
      </c>
      <c r="C28" s="4" t="s">
        <v>37</v>
      </c>
      <c r="D28" s="4" t="n">
        <v>9</v>
      </c>
      <c r="E28" s="5" t="n">
        <v>815.2</v>
      </c>
      <c r="F28" s="6" t="n">
        <v>0.367</v>
      </c>
      <c r="G28" s="6" t="n">
        <v>0.359</v>
      </c>
      <c r="H28" s="6" t="n">
        <v>0.275</v>
      </c>
      <c r="I28" s="6" t="n">
        <f aca="false">IFERROR((H28/الافتراضات!$B$5)/(F28/الافتراضات!$B$3+G28/الافتراضات!$B$4+H28/الافتراضات!$B$5),0)</f>
        <v>0.339411072396453</v>
      </c>
      <c r="J28" s="7" t="n">
        <f aca="false">E28-K28</f>
        <v>695.99848961298</v>
      </c>
      <c r="K28" s="8" t="n">
        <f aca="false">E28*I28/(I28+الافتراضات!$B$6*(1-I28))</f>
        <v>119.20151038702</v>
      </c>
      <c r="L28" s="6" t="n">
        <f aca="false">IFERROR(K28/E28,0)</f>
        <v>0.146223638845706</v>
      </c>
      <c r="M28" s="7" t="n">
        <f aca="false">J28*الافتراضات!$B$7</f>
        <v>20879.9546883894</v>
      </c>
      <c r="N28" s="8" t="n">
        <f aca="false">K28*الافتراضات!$B$7</f>
        <v>3576.0453116106</v>
      </c>
      <c r="O28" s="9" t="s">
        <v>27</v>
      </c>
      <c r="P28" s="9" t="s">
        <v>27</v>
      </c>
      <c r="Q28" s="9" t="s">
        <v>27</v>
      </c>
      <c r="R28" s="9" t="s">
        <v>85</v>
      </c>
      <c r="S28" s="9" t="s">
        <v>27</v>
      </c>
      <c r="T28" s="9" t="n">
        <v>1</v>
      </c>
    </row>
    <row r="29" customFormat="false" ht="15" hidden="false" customHeight="false" outlineLevel="0" collapsed="false">
      <c r="A29" s="4" t="s">
        <v>146</v>
      </c>
      <c r="B29" s="4" t="s">
        <v>147</v>
      </c>
      <c r="C29" s="4" t="s">
        <v>98</v>
      </c>
      <c r="D29" s="4" t="n">
        <v>4</v>
      </c>
      <c r="E29" s="5" t="n">
        <v>1624.6</v>
      </c>
      <c r="F29" s="6" t="n">
        <v>0.452</v>
      </c>
      <c r="G29" s="6" t="n">
        <v>0.44</v>
      </c>
      <c r="H29" s="6" t="n">
        <v>0.108</v>
      </c>
      <c r="I29" s="6" t="n">
        <f aca="false">IFERROR((H29/الافتراضات!$B$5)/(F29/الافتراضات!$B$3+G29/الافتراضات!$B$4+H29/الافتراضات!$B$5),0)</f>
        <v>0.141054798178125</v>
      </c>
      <c r="J29" s="7" t="n">
        <f aca="false">E29-K29</f>
        <v>1540.28547988066</v>
      </c>
      <c r="K29" s="8" t="n">
        <f aca="false">E29*I29/(I29+الافتراضات!$B$6*(1-I29))</f>
        <v>84.3145201193401</v>
      </c>
      <c r="L29" s="6" t="n">
        <f aca="false">IFERROR(K29/E29,0)</f>
        <v>0.0518986335832451</v>
      </c>
      <c r="M29" s="7" t="n">
        <f aca="false">J29*الافتراضات!$B$7</f>
        <v>46208.5643964198</v>
      </c>
      <c r="N29" s="8" t="n">
        <f aca="false">K29*الافتراضات!$B$7</f>
        <v>2529.4356035802</v>
      </c>
      <c r="O29" s="9" t="s">
        <v>27</v>
      </c>
      <c r="P29" s="9" t="s">
        <v>27</v>
      </c>
      <c r="Q29" s="9" t="s">
        <v>27</v>
      </c>
      <c r="R29" s="9" t="s">
        <v>27</v>
      </c>
      <c r="S29" s="9" t="s">
        <v>27</v>
      </c>
      <c r="T29" s="9" t="n">
        <v>0</v>
      </c>
    </row>
    <row r="30" customFormat="false" ht="15" hidden="false" customHeight="false" outlineLevel="0" collapsed="false">
      <c r="A30" s="4" t="s">
        <v>148</v>
      </c>
      <c r="B30" s="4" t="s">
        <v>149</v>
      </c>
      <c r="C30" s="4" t="s">
        <v>91</v>
      </c>
      <c r="D30" s="4" t="n">
        <v>2</v>
      </c>
      <c r="E30" s="5" t="n">
        <v>769.3</v>
      </c>
      <c r="F30" s="6" t="n">
        <v>0.561</v>
      </c>
      <c r="G30" s="6" t="n">
        <v>0.439</v>
      </c>
      <c r="H30" s="6" t="n">
        <v>0</v>
      </c>
      <c r="I30" s="6" t="n">
        <f aca="false">IFERROR((H30/الافتراضات!$B$5)/(F30/الافتراضات!$B$3+G30/الافتراضات!$B$4+H30/الافتراضات!$B$5),0)</f>
        <v>0</v>
      </c>
      <c r="J30" s="7" t="n">
        <f aca="false">E30-K30</f>
        <v>769.3</v>
      </c>
      <c r="K30" s="8" t="n">
        <f aca="false">E30*I30/(I30+الافتراضات!$B$6*(1-I30))</f>
        <v>0</v>
      </c>
      <c r="L30" s="6" t="n">
        <f aca="false">IFERROR(K30/E30,0)</f>
        <v>0</v>
      </c>
      <c r="M30" s="7" t="n">
        <f aca="false">J30*الافتراضات!$B$7</f>
        <v>23079</v>
      </c>
      <c r="N30" s="8" t="n">
        <f aca="false">K30*الافتراضات!$B$7</f>
        <v>0</v>
      </c>
      <c r="O30" s="9" t="s">
        <v>27</v>
      </c>
      <c r="P30" s="9" t="s">
        <v>27</v>
      </c>
      <c r="Q30" s="9" t="s">
        <v>27</v>
      </c>
      <c r="R30" s="9" t="s">
        <v>27</v>
      </c>
      <c r="S30" s="9" t="s">
        <v>27</v>
      </c>
      <c r="T30" s="9" t="n">
        <v>0</v>
      </c>
    </row>
    <row r="31" customFormat="false" ht="15" hidden="false" customHeight="false" outlineLevel="0" collapsed="false">
      <c r="A31" s="4" t="s">
        <v>150</v>
      </c>
      <c r="B31" s="4" t="s">
        <v>151</v>
      </c>
      <c r="C31" s="4" t="s">
        <v>22</v>
      </c>
      <c r="D31" s="4" t="n">
        <v>9</v>
      </c>
      <c r="E31" s="5" t="n">
        <v>828.3</v>
      </c>
      <c r="F31" s="6" t="n">
        <v>0.367</v>
      </c>
      <c r="G31" s="6" t="n">
        <v>0.319</v>
      </c>
      <c r="H31" s="6" t="n">
        <v>0.314</v>
      </c>
      <c r="I31" s="6" t="n">
        <f aca="false">IFERROR((H31/الافتراضات!$B$5)/(F31/الافتراضات!$B$3+G31/الافتراضات!$B$4+H31/الافتراضات!$B$5),0)</f>
        <v>0.382586652876645</v>
      </c>
      <c r="J31" s="7" t="n">
        <f aca="false">E31-K31</f>
        <v>686.500850475996</v>
      </c>
      <c r="K31" s="8" t="n">
        <f aca="false">E31*I31/(I31+الافتراضات!$B$6*(1-I31))</f>
        <v>141.799149524004</v>
      </c>
      <c r="L31" s="6" t="n">
        <f aca="false">IFERROR(K31/E31,0)</f>
        <v>0.171192985058559</v>
      </c>
      <c r="M31" s="7" t="n">
        <f aca="false">J31*الافتراضات!$B$7</f>
        <v>20595.0255142799</v>
      </c>
      <c r="N31" s="8" t="n">
        <f aca="false">K31*الافتراضات!$B$7</f>
        <v>4253.97448572012</v>
      </c>
      <c r="O31" s="9" t="s">
        <v>152</v>
      </c>
      <c r="P31" s="9" t="s">
        <v>27</v>
      </c>
      <c r="Q31" s="9" t="s">
        <v>153</v>
      </c>
      <c r="R31" s="9" t="s">
        <v>65</v>
      </c>
      <c r="S31" s="9" t="s">
        <v>27</v>
      </c>
      <c r="T31" s="9" t="n">
        <v>4</v>
      </c>
    </row>
    <row r="32" customFormat="false" ht="15" hidden="false" customHeight="false" outlineLevel="0" collapsed="false">
      <c r="A32" s="4" t="s">
        <v>154</v>
      </c>
      <c r="B32" s="4" t="s">
        <v>155</v>
      </c>
      <c r="C32" s="4" t="s">
        <v>22</v>
      </c>
      <c r="D32" s="4" t="n">
        <v>7</v>
      </c>
      <c r="E32" s="5" t="n">
        <v>1111.4</v>
      </c>
      <c r="F32" s="6" t="n">
        <v>0.521</v>
      </c>
      <c r="G32" s="6" t="n">
        <v>0.304</v>
      </c>
      <c r="H32" s="6" t="n">
        <v>0.175</v>
      </c>
      <c r="I32" s="6" t="n">
        <f aca="false">IFERROR((H32/الافتراضات!$B$5)/(F32/الافتراضات!$B$3+G32/الافتراضات!$B$4+H32/الافتراضات!$B$5),0)</f>
        <v>0.221994318871446</v>
      </c>
      <c r="J32" s="7" t="n">
        <f aca="false">E32-K32</f>
        <v>1014.87285241492</v>
      </c>
      <c r="K32" s="8" t="n">
        <f aca="false">E32*I32/(I32+الافتراضات!$B$6*(1-I32))</f>
        <v>96.527147585077</v>
      </c>
      <c r="L32" s="6" t="n">
        <f aca="false">IFERROR(K32/E32,0)</f>
        <v>0.0868518513452196</v>
      </c>
      <c r="M32" s="7" t="n">
        <f aca="false">J32*الافتراضات!$B$7</f>
        <v>30446.1855724477</v>
      </c>
      <c r="N32" s="8" t="n">
        <f aca="false">K32*الافتراضات!$B$7</f>
        <v>2895.81442755231</v>
      </c>
      <c r="O32" s="9" t="s">
        <v>101</v>
      </c>
      <c r="P32" s="9" t="s">
        <v>27</v>
      </c>
      <c r="Q32" s="9" t="s">
        <v>156</v>
      </c>
      <c r="R32" s="9" t="s">
        <v>85</v>
      </c>
      <c r="S32" s="9" t="s">
        <v>27</v>
      </c>
      <c r="T32" s="9" t="n">
        <v>4</v>
      </c>
    </row>
    <row r="33" customFormat="false" ht="23.85" hidden="false" customHeight="false" outlineLevel="0" collapsed="false">
      <c r="A33" s="4" t="s">
        <v>157</v>
      </c>
      <c r="B33" s="4" t="s">
        <v>158</v>
      </c>
      <c r="C33" s="4" t="s">
        <v>98</v>
      </c>
      <c r="D33" s="4" t="n">
        <v>9</v>
      </c>
      <c r="E33" s="5" t="n">
        <v>943</v>
      </c>
      <c r="F33" s="6" t="n">
        <v>0.429</v>
      </c>
      <c r="G33" s="6" t="n">
        <v>0.548</v>
      </c>
      <c r="H33" s="6" t="n">
        <v>0.023</v>
      </c>
      <c r="I33" s="6" t="n">
        <f aca="false">IFERROR((H33/الافتراضات!$B$5)/(F33/الافتراضات!$B$3+G33/الافتراضات!$B$4+H33/الافتراضات!$B$5),0)</f>
        <v>0.0310772877357261</v>
      </c>
      <c r="J33" s="7" t="n">
        <f aca="false">E33-K33</f>
        <v>933.024702426441</v>
      </c>
      <c r="K33" s="8" t="n">
        <f aca="false">E33*I33/(I33+الافتراضات!$B$6*(1-I33))</f>
        <v>9.97529757355855</v>
      </c>
      <c r="L33" s="6" t="n">
        <f aca="false">IFERROR(K33/E33,0)</f>
        <v>0.0105782582964566</v>
      </c>
      <c r="M33" s="7" t="n">
        <f aca="false">J33*الافتراضات!$B$7</f>
        <v>27990.7410727932</v>
      </c>
      <c r="N33" s="8" t="n">
        <f aca="false">K33*الافتراضات!$B$7</f>
        <v>299.258927206756</v>
      </c>
      <c r="O33" s="9" t="s">
        <v>27</v>
      </c>
      <c r="P33" s="9" t="s">
        <v>159</v>
      </c>
      <c r="Q33" s="9" t="s">
        <v>160</v>
      </c>
      <c r="R33" s="9" t="s">
        <v>161</v>
      </c>
      <c r="S33" s="9" t="s">
        <v>27</v>
      </c>
      <c r="T33" s="9" t="n">
        <v>7</v>
      </c>
    </row>
    <row r="34" customFormat="false" ht="15" hidden="false" customHeight="false" outlineLevel="0" collapsed="false">
      <c r="A34" s="4" t="s">
        <v>162</v>
      </c>
      <c r="B34" s="4" t="s">
        <v>163</v>
      </c>
      <c r="C34" s="4" t="s">
        <v>22</v>
      </c>
      <c r="D34" s="4" t="n">
        <v>9</v>
      </c>
      <c r="E34" s="5" t="n">
        <v>425.1</v>
      </c>
      <c r="F34" s="6" t="n">
        <v>0.226</v>
      </c>
      <c r="G34" s="6" t="n">
        <v>0.192</v>
      </c>
      <c r="H34" s="6" t="n">
        <v>0.582</v>
      </c>
      <c r="I34" s="6" t="n">
        <f aca="false">IFERROR((H34/الافتراضات!$B$5)/(F34/الافتراضات!$B$3+G34/الافتراضات!$B$4+H34/الافتراضات!$B$5),0)</f>
        <v>0.653285580001093</v>
      </c>
      <c r="J34" s="7" t="n">
        <f aca="false">E34-K34</f>
        <v>261.106277028551</v>
      </c>
      <c r="K34" s="8" t="n">
        <f aca="false">E34*I34/(I34+الافتراضات!$B$6*(1-I34))</f>
        <v>163.993722971449</v>
      </c>
      <c r="L34" s="6" t="n">
        <f aca="false">IFERROR(K34/E34,0)</f>
        <v>0.38577681244754</v>
      </c>
      <c r="M34" s="7" t="n">
        <f aca="false">J34*الافتراضات!$B$7</f>
        <v>7833.18831085652</v>
      </c>
      <c r="N34" s="8" t="n">
        <f aca="false">K34*الافتراضات!$B$7</f>
        <v>4919.81168914348</v>
      </c>
      <c r="O34" s="9" t="s">
        <v>27</v>
      </c>
      <c r="P34" s="9" t="s">
        <v>27</v>
      </c>
      <c r="Q34" s="9" t="s">
        <v>164</v>
      </c>
      <c r="R34" s="9" t="s">
        <v>27</v>
      </c>
      <c r="S34" s="9" t="s">
        <v>27</v>
      </c>
      <c r="T34" s="9" t="n">
        <v>1</v>
      </c>
    </row>
    <row r="35" customFormat="false" ht="23.85" hidden="false" customHeight="false" outlineLevel="0" collapsed="false">
      <c r="A35" s="4" t="s">
        <v>165</v>
      </c>
      <c r="B35" s="4" t="s">
        <v>166</v>
      </c>
      <c r="C35" s="4" t="s">
        <v>167</v>
      </c>
      <c r="D35" s="4" t="n">
        <v>7</v>
      </c>
      <c r="E35" s="5" t="n">
        <v>865.8</v>
      </c>
      <c r="F35" s="6" t="n">
        <v>0.468</v>
      </c>
      <c r="G35" s="6" t="n">
        <v>0.45</v>
      </c>
      <c r="H35" s="6" t="n">
        <v>0.082</v>
      </c>
      <c r="I35" s="6" t="n">
        <f aca="false">IFERROR((H35/الافتراضات!$B$5)/(F35/الافتراضات!$B$3+G35/الافتراضات!$B$4+H35/الافتراضات!$B$5),0)</f>
        <v>0.108041469832232</v>
      </c>
      <c r="J35" s="7" t="n">
        <f aca="false">E35-K35</f>
        <v>832.199033249406</v>
      </c>
      <c r="K35" s="8" t="n">
        <f aca="false">E35*I35/(I35+الافتراضات!$B$6*(1-I35))</f>
        <v>33.6009667505941</v>
      </c>
      <c r="L35" s="6" t="n">
        <f aca="false">IFERROR(K35/E35,0)</f>
        <v>0.0388091554060916</v>
      </c>
      <c r="M35" s="7" t="n">
        <f aca="false">J35*الافتراضات!$B$7</f>
        <v>24965.9709974822</v>
      </c>
      <c r="N35" s="8" t="n">
        <f aca="false">K35*الافتراضات!$B$7</f>
        <v>1008.02900251782</v>
      </c>
      <c r="O35" s="9" t="s">
        <v>168</v>
      </c>
      <c r="P35" s="9" t="s">
        <v>169</v>
      </c>
      <c r="Q35" s="9" t="s">
        <v>170</v>
      </c>
      <c r="R35" s="9" t="s">
        <v>65</v>
      </c>
      <c r="S35" s="9" t="s">
        <v>27</v>
      </c>
      <c r="T35" s="9" t="n">
        <v>6</v>
      </c>
    </row>
    <row r="36" customFormat="false" ht="23.85" hidden="false" customHeight="false" outlineLevel="0" collapsed="false">
      <c r="A36" s="4" t="s">
        <v>171</v>
      </c>
      <c r="B36" s="4" t="s">
        <v>172</v>
      </c>
      <c r="C36" s="4" t="s">
        <v>22</v>
      </c>
      <c r="D36" s="4" t="n">
        <v>9</v>
      </c>
      <c r="E36" s="5" t="n">
        <v>635.2</v>
      </c>
      <c r="F36" s="6" t="n">
        <v>0.461</v>
      </c>
      <c r="G36" s="6" t="n">
        <v>0.438</v>
      </c>
      <c r="H36" s="6" t="n">
        <v>0.101</v>
      </c>
      <c r="I36" s="6" t="n">
        <f aca="false">IFERROR((H36/الافتراضات!$B$5)/(F36/الافتراضات!$B$3+G36/الافتراضات!$B$4+H36/الافتراضات!$B$5),0)</f>
        <v>0.13218369303459</v>
      </c>
      <c r="J36" s="7" t="n">
        <f aca="false">E36-K36</f>
        <v>604.507617774404</v>
      </c>
      <c r="K36" s="8" t="n">
        <f aca="false">E36*I36/(I36+الافتراضات!$B$6*(1-I36))</f>
        <v>30.6923822255962</v>
      </c>
      <c r="L36" s="6" t="n">
        <f aca="false">IFERROR(K36/E36,0)</f>
        <v>0.0483192415390368</v>
      </c>
      <c r="M36" s="7" t="n">
        <f aca="false">J36*الافتراضات!$B$7</f>
        <v>18135.2285332321</v>
      </c>
      <c r="N36" s="8" t="n">
        <f aca="false">K36*الافتراضات!$B$7</f>
        <v>920.771466767885</v>
      </c>
      <c r="O36" s="9" t="s">
        <v>27</v>
      </c>
      <c r="P36" s="9" t="s">
        <v>173</v>
      </c>
      <c r="Q36" s="9" t="s">
        <v>174</v>
      </c>
      <c r="R36" s="9" t="s">
        <v>175</v>
      </c>
      <c r="S36" s="9" t="s">
        <v>27</v>
      </c>
      <c r="T36" s="9" t="n">
        <v>6</v>
      </c>
    </row>
    <row r="37" customFormat="false" ht="15" hidden="false" customHeight="false" outlineLevel="0" collapsed="false">
      <c r="A37" s="4" t="s">
        <v>176</v>
      </c>
      <c r="B37" s="4" t="s">
        <v>177</v>
      </c>
      <c r="C37" s="4" t="s">
        <v>98</v>
      </c>
      <c r="D37" s="4" t="n">
        <v>6</v>
      </c>
      <c r="E37" s="5" t="n">
        <v>928.8</v>
      </c>
      <c r="F37" s="6" t="n">
        <v>0.433</v>
      </c>
      <c r="G37" s="6" t="n">
        <v>0.501</v>
      </c>
      <c r="H37" s="6" t="n">
        <v>0.066</v>
      </c>
      <c r="I37" s="6" t="n">
        <f aca="false">IFERROR((H37/الافتراضات!$B$5)/(F37/الافتراضات!$B$3+G37/الافتراضات!$B$4+H37/الافتراضات!$B$5),0)</f>
        <v>0.0876900194469467</v>
      </c>
      <c r="J37" s="7" t="n">
        <f aca="false">E37-K37</f>
        <v>899.965505029416</v>
      </c>
      <c r="K37" s="8" t="n">
        <f aca="false">E37*I37/(I37+الافتراضات!$B$6*(1-I37))</f>
        <v>28.8344949705836</v>
      </c>
      <c r="L37" s="6" t="n">
        <f aca="false">IFERROR(K37/E37,0)</f>
        <v>0.0310448912258652</v>
      </c>
      <c r="M37" s="7" t="n">
        <f aca="false">J37*الافتراضات!$B$7</f>
        <v>26998.9651508825</v>
      </c>
      <c r="N37" s="8" t="n">
        <f aca="false">K37*الافتراضات!$B$7</f>
        <v>865.034849117508</v>
      </c>
      <c r="O37" s="9" t="s">
        <v>27</v>
      </c>
      <c r="P37" s="9" t="s">
        <v>27</v>
      </c>
      <c r="Q37" s="9" t="s">
        <v>27</v>
      </c>
      <c r="R37" s="9" t="s">
        <v>27</v>
      </c>
      <c r="S37" s="9" t="s">
        <v>27</v>
      </c>
      <c r="T37" s="9" t="n">
        <v>0</v>
      </c>
    </row>
    <row r="38" customFormat="false" ht="15" hidden="false" customHeight="false" outlineLevel="0" collapsed="false">
      <c r="A38" s="4" t="s">
        <v>178</v>
      </c>
      <c r="B38" s="4" t="s">
        <v>179</v>
      </c>
      <c r="C38" s="4" t="s">
        <v>22</v>
      </c>
      <c r="D38" s="4" t="n">
        <v>9</v>
      </c>
      <c r="E38" s="5" t="n">
        <v>894.5</v>
      </c>
      <c r="F38" s="6" t="n">
        <v>0.411</v>
      </c>
      <c r="G38" s="6" t="n">
        <v>0.474</v>
      </c>
      <c r="H38" s="6" t="n">
        <v>0.116</v>
      </c>
      <c r="I38" s="6" t="n">
        <f aca="false">IFERROR((H38/الافتراضات!$B$5)/(F38/الافتراضات!$B$3+G38/الافتراضات!$B$4+H38/الافتراضات!$B$5),0)</f>
        <v>0.151305096411128</v>
      </c>
      <c r="J38" s="7" t="n">
        <f aca="false">E38-K38</f>
        <v>844.324675551302</v>
      </c>
      <c r="K38" s="8" t="n">
        <f aca="false">E38*I38/(I38+الافتراضات!$B$6*(1-I38))</f>
        <v>50.1753244486979</v>
      </c>
      <c r="L38" s="6" t="n">
        <f aca="false">IFERROR(K38/E38,0)</f>
        <v>0.0560931519828932</v>
      </c>
      <c r="M38" s="7" t="n">
        <f aca="false">J38*الافتراضات!$B$7</f>
        <v>25329.7402665391</v>
      </c>
      <c r="N38" s="8" t="n">
        <f aca="false">K38*الافتراضات!$B$7</f>
        <v>1505.25973346094</v>
      </c>
      <c r="O38" s="9" t="s">
        <v>27</v>
      </c>
      <c r="P38" s="9" t="s">
        <v>27</v>
      </c>
      <c r="Q38" s="9" t="s">
        <v>180</v>
      </c>
      <c r="R38" s="9" t="s">
        <v>181</v>
      </c>
      <c r="S38" s="9" t="s">
        <v>27</v>
      </c>
      <c r="T38" s="9" t="n">
        <v>2</v>
      </c>
    </row>
    <row r="39" customFormat="false" ht="15" hidden="false" customHeight="false" outlineLevel="0" collapsed="false">
      <c r="A39" s="4" t="s">
        <v>182</v>
      </c>
      <c r="B39" s="4" t="s">
        <v>183</v>
      </c>
      <c r="C39" s="4" t="s">
        <v>44</v>
      </c>
      <c r="D39" s="4" t="n">
        <v>9</v>
      </c>
      <c r="E39" s="5" t="n">
        <v>966.7</v>
      </c>
      <c r="F39" s="6" t="n">
        <v>0.523</v>
      </c>
      <c r="G39" s="6" t="n">
        <v>0.312</v>
      </c>
      <c r="H39" s="6" t="n">
        <v>0.165</v>
      </c>
      <c r="I39" s="6" t="n">
        <f aca="false">IFERROR((H39/الافتراضات!$B$5)/(F39/الافتراضات!$B$3+G39/الافتراضات!$B$4+H39/الافتراضات!$B$5),0)</f>
        <v>0.210049007199452</v>
      </c>
      <c r="J39" s="7" t="n">
        <f aca="false">E39-K39</f>
        <v>887.993763719322</v>
      </c>
      <c r="K39" s="8" t="n">
        <f aca="false">E39*I39/(I39+الافتراضات!$B$6*(1-I39))</f>
        <v>78.706236280678</v>
      </c>
      <c r="L39" s="6" t="n">
        <f aca="false">IFERROR(K39/E39,0)</f>
        <v>0.0814174369304624</v>
      </c>
      <c r="M39" s="7" t="n">
        <f aca="false">J39*الافتراضات!$B$7</f>
        <v>26639.8129115797</v>
      </c>
      <c r="N39" s="8" t="n">
        <f aca="false">K39*الافتراضات!$B$7</f>
        <v>2361.18708842034</v>
      </c>
      <c r="O39" s="9" t="s">
        <v>184</v>
      </c>
      <c r="P39" s="9" t="s">
        <v>27</v>
      </c>
      <c r="Q39" s="9" t="s">
        <v>185</v>
      </c>
      <c r="R39" s="9" t="s">
        <v>186</v>
      </c>
      <c r="S39" s="9" t="s">
        <v>27</v>
      </c>
      <c r="T39" s="9" t="n">
        <v>3</v>
      </c>
    </row>
    <row r="40" customFormat="false" ht="15" hidden="false" customHeight="false" outlineLevel="0" collapsed="false">
      <c r="A40" s="4" t="s">
        <v>187</v>
      </c>
      <c r="B40" s="4" t="s">
        <v>188</v>
      </c>
      <c r="C40" s="4" t="s">
        <v>44</v>
      </c>
      <c r="D40" s="4" t="n">
        <v>1</v>
      </c>
      <c r="E40" s="5" t="n">
        <v>537.5</v>
      </c>
      <c r="F40" s="6" t="n">
        <v>0.446</v>
      </c>
      <c r="G40" s="6" t="n">
        <v>0.49</v>
      </c>
      <c r="H40" s="6" t="n">
        <v>0.037</v>
      </c>
      <c r="I40" s="6" t="n">
        <f aca="false">IFERROR((H40/الافتراضات!$B$5)/(F40/الافتراضات!$B$3+G40/الافتراضات!$B$4+H40/الافتراضات!$B$5),0)</f>
        <v>0.0509843148014727</v>
      </c>
      <c r="J40" s="7" t="n">
        <f aca="false">E40-K40</f>
        <v>528.043901806682</v>
      </c>
      <c r="K40" s="8" t="n">
        <f aca="false">E40*I40/(I40+الافتراضات!$B$6*(1-I40))</f>
        <v>9.45609819331838</v>
      </c>
      <c r="L40" s="6" t="n">
        <f aca="false">IFERROR(K40/E40,0)</f>
        <v>0.0175927408247784</v>
      </c>
      <c r="M40" s="7" t="n">
        <f aca="false">J40*الافتراضات!$B$7</f>
        <v>15841.3170542004</v>
      </c>
      <c r="N40" s="8" t="n">
        <f aca="false">K40*الافتراضات!$B$7</f>
        <v>283.682945799552</v>
      </c>
      <c r="O40" s="9" t="s">
        <v>27</v>
      </c>
      <c r="P40" s="9" t="s">
        <v>27</v>
      </c>
      <c r="Q40" s="9" t="s">
        <v>27</v>
      </c>
      <c r="R40" s="9" t="s">
        <v>27</v>
      </c>
      <c r="S40" s="9" t="s">
        <v>27</v>
      </c>
      <c r="T40" s="9" t="n">
        <v>0</v>
      </c>
    </row>
    <row r="41" customFormat="false" ht="23.85" hidden="false" customHeight="false" outlineLevel="0" collapsed="false">
      <c r="A41" s="4" t="s">
        <v>189</v>
      </c>
      <c r="B41" s="4" t="s">
        <v>190</v>
      </c>
      <c r="C41" s="4" t="s">
        <v>22</v>
      </c>
      <c r="D41" s="4" t="n">
        <v>9</v>
      </c>
      <c r="E41" s="5" t="n">
        <v>801.4</v>
      </c>
      <c r="F41" s="6" t="n">
        <v>0.561</v>
      </c>
      <c r="G41" s="6" t="n">
        <v>0.439</v>
      </c>
      <c r="H41" s="6" t="n">
        <v>0</v>
      </c>
      <c r="I41" s="6" t="n">
        <f aca="false">IFERROR((H41/الافتراضات!$B$5)/(F41/الافتراضات!$B$3+G41/الافتراضات!$B$4+H41/الافتراضات!$B$5),0)</f>
        <v>0</v>
      </c>
      <c r="J41" s="7" t="n">
        <f aca="false">E41-K41</f>
        <v>801.4</v>
      </c>
      <c r="K41" s="8" t="n">
        <f aca="false">E41*I41/(I41+الافتراضات!$B$6*(1-I41))</f>
        <v>0</v>
      </c>
      <c r="L41" s="6" t="n">
        <f aca="false">IFERROR(K41/E41,0)</f>
        <v>0</v>
      </c>
      <c r="M41" s="7" t="n">
        <f aca="false">J41*الافتراضات!$B$7</f>
        <v>24042</v>
      </c>
      <c r="N41" s="8" t="n">
        <f aca="false">K41*الافتراضات!$B$7</f>
        <v>0</v>
      </c>
      <c r="O41" s="9" t="s">
        <v>191</v>
      </c>
      <c r="P41" s="9" t="s">
        <v>192</v>
      </c>
      <c r="Q41" s="9" t="s">
        <v>193</v>
      </c>
      <c r="R41" s="9" t="s">
        <v>65</v>
      </c>
      <c r="S41" s="9" t="s">
        <v>27</v>
      </c>
      <c r="T41" s="9" t="n">
        <v>16</v>
      </c>
    </row>
    <row r="42" customFormat="false" ht="15" hidden="false" customHeight="false" outlineLevel="0" collapsed="false">
      <c r="A42" s="4" t="s">
        <v>194</v>
      </c>
      <c r="B42" s="4" t="s">
        <v>195</v>
      </c>
      <c r="C42" s="4" t="s">
        <v>98</v>
      </c>
      <c r="D42" s="4" t="n">
        <v>7</v>
      </c>
      <c r="E42" s="5" t="n">
        <v>538.3</v>
      </c>
      <c r="F42" s="6" t="n">
        <v>0.318</v>
      </c>
      <c r="G42" s="6" t="n">
        <v>0.314</v>
      </c>
      <c r="H42" s="6" t="n">
        <v>0.368</v>
      </c>
      <c r="I42" s="6" t="n">
        <f aca="false">IFERROR((H42/الافتراضات!$B$5)/(F42/الافتراضات!$B$3+G42/الافتراضات!$B$4+H42/الافتراضات!$B$5),0)</f>
        <v>0.441323761248659</v>
      </c>
      <c r="J42" s="7" t="n">
        <f aca="false">E42-K42</f>
        <v>426.10111804514</v>
      </c>
      <c r="K42" s="8" t="n">
        <f aca="false">E42*I42/(I42+الافتراضات!$B$6*(1-I42))</f>
        <v>112.19888195486</v>
      </c>
      <c r="L42" s="6" t="n">
        <f aca="false">IFERROR(K42/E42,0)</f>
        <v>0.208431881766412</v>
      </c>
      <c r="M42" s="7" t="n">
        <f aca="false">J42*الافتراضات!$B$7</f>
        <v>12783.0335413542</v>
      </c>
      <c r="N42" s="8" t="n">
        <f aca="false">K42*الافتراضات!$B$7</f>
        <v>3365.96645864579</v>
      </c>
      <c r="O42" s="9" t="s">
        <v>196</v>
      </c>
      <c r="P42" s="9" t="s">
        <v>27</v>
      </c>
      <c r="Q42" s="9" t="s">
        <v>197</v>
      </c>
      <c r="R42" s="9" t="s">
        <v>65</v>
      </c>
      <c r="S42" s="9" t="s">
        <v>27</v>
      </c>
      <c r="T42" s="9" t="n">
        <v>5</v>
      </c>
    </row>
    <row r="43" customFormat="false" ht="15" hidden="false" customHeight="false" outlineLevel="0" collapsed="false">
      <c r="A43" s="4" t="s">
        <v>198</v>
      </c>
      <c r="B43" s="4" t="s">
        <v>199</v>
      </c>
      <c r="C43" s="4" t="s">
        <v>200</v>
      </c>
      <c r="D43" s="4" t="n">
        <v>9</v>
      </c>
      <c r="E43" s="5" t="n">
        <v>656.1</v>
      </c>
      <c r="F43" s="6" t="n">
        <v>0.529</v>
      </c>
      <c r="G43" s="6" t="n">
        <v>0.397</v>
      </c>
      <c r="H43" s="6" t="n">
        <v>0.074</v>
      </c>
      <c r="I43" s="6" t="n">
        <f aca="false">IFERROR((H43/الافتراضات!$B$5)/(F43/الافتراضات!$B$3+G43/الافتراضات!$B$4+H43/الافتراضات!$B$5),0)</f>
        <v>0.0974122930528216</v>
      </c>
      <c r="J43" s="7" t="n">
        <f aca="false">E43-K43</f>
        <v>633.316324813275</v>
      </c>
      <c r="K43" s="8" t="n">
        <f aca="false">E43*I43/(I43+الافتراضات!$B$6*(1-I43))</f>
        <v>22.7836751867251</v>
      </c>
      <c r="L43" s="6" t="n">
        <f aca="false">IFERROR(K43/E43,0)</f>
        <v>0.034725918589735</v>
      </c>
      <c r="M43" s="7" t="n">
        <f aca="false">J43*الافتراضات!$B$7</f>
        <v>18999.4897443982</v>
      </c>
      <c r="N43" s="8" t="n">
        <f aca="false">K43*الافتراضات!$B$7</f>
        <v>683.510255601754</v>
      </c>
      <c r="O43" s="9" t="s">
        <v>27</v>
      </c>
      <c r="P43" s="9" t="s">
        <v>27</v>
      </c>
      <c r="Q43" s="9" t="s">
        <v>27</v>
      </c>
      <c r="R43" s="9" t="s">
        <v>27</v>
      </c>
      <c r="S43" s="9" t="s">
        <v>27</v>
      </c>
      <c r="T43" s="9" t="n">
        <v>0</v>
      </c>
    </row>
    <row r="44" customFormat="false" ht="15" hidden="false" customHeight="false" outlineLevel="0" collapsed="false">
      <c r="A44" s="4" t="s">
        <v>201</v>
      </c>
      <c r="B44" s="4" t="s">
        <v>202</v>
      </c>
      <c r="C44" s="4" t="s">
        <v>22</v>
      </c>
      <c r="D44" s="4" t="n">
        <v>9</v>
      </c>
      <c r="E44" s="5" t="n">
        <v>788.2</v>
      </c>
      <c r="F44" s="6" t="n">
        <v>0.541</v>
      </c>
      <c r="G44" s="6" t="n">
        <v>0.459</v>
      </c>
      <c r="H44" s="6" t="n">
        <v>0</v>
      </c>
      <c r="I44" s="6" t="n">
        <f aca="false">IFERROR((H44/الافتراضات!$B$5)/(F44/الافتراضات!$B$3+G44/الافتراضات!$B$4+H44/الافتراضات!$B$5),0)</f>
        <v>0</v>
      </c>
      <c r="J44" s="7" t="n">
        <f aca="false">E44-K44</f>
        <v>788.2</v>
      </c>
      <c r="K44" s="8" t="n">
        <f aca="false">E44*I44/(I44+الافتراضات!$B$6*(1-I44))</f>
        <v>0</v>
      </c>
      <c r="L44" s="6" t="n">
        <f aca="false">IFERROR(K44/E44,0)</f>
        <v>0</v>
      </c>
      <c r="M44" s="7" t="n">
        <f aca="false">J44*الافتراضات!$B$7</f>
        <v>23646</v>
      </c>
      <c r="N44" s="8" t="n">
        <f aca="false">K44*الافتراضات!$B$7</f>
        <v>0</v>
      </c>
      <c r="O44" s="9" t="s">
        <v>203</v>
      </c>
      <c r="P44" s="9" t="s">
        <v>27</v>
      </c>
      <c r="Q44" s="9" t="s">
        <v>204</v>
      </c>
      <c r="R44" s="9" t="s">
        <v>65</v>
      </c>
      <c r="S44" s="9" t="s">
        <v>27</v>
      </c>
      <c r="T44" s="9" t="n">
        <v>7</v>
      </c>
    </row>
    <row r="45" customFormat="false" ht="15" hidden="false" customHeight="false" outlineLevel="0" collapsed="false">
      <c r="A45" s="4" t="s">
        <v>205</v>
      </c>
      <c r="B45" s="4" t="s">
        <v>206</v>
      </c>
      <c r="C45" s="4" t="s">
        <v>37</v>
      </c>
      <c r="D45" s="4" t="n">
        <v>6</v>
      </c>
      <c r="E45" s="5" t="n">
        <v>684.8</v>
      </c>
      <c r="F45" s="6" t="n">
        <v>0.537</v>
      </c>
      <c r="G45" s="6" t="n">
        <v>0.386</v>
      </c>
      <c r="H45" s="6" t="n">
        <v>0.077</v>
      </c>
      <c r="I45" s="6" t="n">
        <f aca="false">IFERROR((H45/الافتراضات!$B$5)/(F45/الافتراضات!$B$3+G45/الافتراضات!$B$4+H45/الافتراضات!$B$5),0)</f>
        <v>0.101194283270658</v>
      </c>
      <c r="J45" s="7" t="n">
        <f aca="false">E45-K45</f>
        <v>660.029638985971</v>
      </c>
      <c r="K45" s="8" t="n">
        <f aca="false">E45*I45/(I45+الافتراضات!$B$6*(1-I45))</f>
        <v>24.7703610140289</v>
      </c>
      <c r="L45" s="6" t="n">
        <f aca="false">IFERROR(K45/E45,0)</f>
        <v>0.0361716720415141</v>
      </c>
      <c r="M45" s="7" t="n">
        <f aca="false">J45*الافتراضات!$B$7</f>
        <v>19800.8891695791</v>
      </c>
      <c r="N45" s="8" t="n">
        <f aca="false">K45*الافتراضات!$B$7</f>
        <v>743.110830420866</v>
      </c>
      <c r="O45" s="9" t="s">
        <v>27</v>
      </c>
      <c r="P45" s="9" t="s">
        <v>27</v>
      </c>
      <c r="Q45" s="9" t="s">
        <v>27</v>
      </c>
      <c r="R45" s="9" t="s">
        <v>27</v>
      </c>
      <c r="S45" s="9" t="s">
        <v>27</v>
      </c>
      <c r="T45" s="9" t="n">
        <v>0</v>
      </c>
    </row>
    <row r="46" customFormat="false" ht="15" hidden="false" customHeight="false" outlineLevel="0" collapsed="false">
      <c r="A46" s="4" t="s">
        <v>207</v>
      </c>
      <c r="B46" s="4" t="s">
        <v>208</v>
      </c>
      <c r="C46" s="4" t="s">
        <v>209</v>
      </c>
      <c r="D46" s="4" t="n">
        <v>9</v>
      </c>
      <c r="E46" s="5" t="n">
        <v>446.2</v>
      </c>
      <c r="F46" s="6" t="n">
        <v>0.339</v>
      </c>
      <c r="G46" s="6" t="n">
        <v>0.254</v>
      </c>
      <c r="H46" s="6" t="n">
        <v>0.407</v>
      </c>
      <c r="I46" s="6" t="n">
        <f aca="false">IFERROR((H46/الافتراضات!$B$5)/(F46/الافتراضات!$B$3+G46/الافتراضات!$B$4+H46/الافتراضات!$B$5),0)</f>
        <v>0.481031186349308</v>
      </c>
      <c r="J46" s="7" t="n">
        <f aca="false">E46-K46</f>
        <v>340.879742660584</v>
      </c>
      <c r="K46" s="8" t="n">
        <f aca="false">E46*I46/(I46+الافتراضات!$B$6*(1-I46))</f>
        <v>105.320257339416</v>
      </c>
      <c r="L46" s="6" t="n">
        <f aca="false">IFERROR(K46/E46,0)</f>
        <v>0.236038228013035</v>
      </c>
      <c r="M46" s="7" t="n">
        <f aca="false">J46*الافتراضات!$B$7</f>
        <v>10226.3922798175</v>
      </c>
      <c r="N46" s="8" t="n">
        <f aca="false">K46*الافتراضات!$B$7</f>
        <v>3159.60772018249</v>
      </c>
      <c r="O46" s="9" t="s">
        <v>27</v>
      </c>
      <c r="P46" s="9" t="s">
        <v>27</v>
      </c>
      <c r="Q46" s="9" t="s">
        <v>27</v>
      </c>
      <c r="R46" s="9" t="s">
        <v>27</v>
      </c>
      <c r="S46" s="9" t="s">
        <v>27</v>
      </c>
      <c r="T46" s="9" t="n">
        <v>0</v>
      </c>
    </row>
    <row r="47" customFormat="false" ht="15" hidden="false" customHeight="false" outlineLevel="0" collapsed="false">
      <c r="A47" s="4" t="s">
        <v>210</v>
      </c>
      <c r="B47" s="4" t="s">
        <v>211</v>
      </c>
      <c r="C47" s="4" t="s">
        <v>98</v>
      </c>
      <c r="D47" s="4" t="n">
        <v>9</v>
      </c>
      <c r="E47" s="5" t="n">
        <v>689.7</v>
      </c>
      <c r="F47" s="6" t="n">
        <v>0.364</v>
      </c>
      <c r="G47" s="6" t="n">
        <v>0.445</v>
      </c>
      <c r="H47" s="6" t="n">
        <v>0.191</v>
      </c>
      <c r="I47" s="6" t="n">
        <f aca="false">IFERROR((H47/الافتراضات!$B$5)/(F47/الافتراضات!$B$3+G47/الافتراضات!$B$4+H47/الافتراضات!$B$5),0)</f>
        <v>0.2432461191433</v>
      </c>
      <c r="J47" s="7" t="n">
        <f aca="false">E47-K47</f>
        <v>622.953896833495</v>
      </c>
      <c r="K47" s="8" t="n">
        <f aca="false">E47*I47/(I47+الافتراضات!$B$6*(1-I47))</f>
        <v>66.7461031665051</v>
      </c>
      <c r="L47" s="6" t="n">
        <f aca="false">IFERROR(K47/E47,0)</f>
        <v>0.0967755591800857</v>
      </c>
      <c r="M47" s="7" t="n">
        <f aca="false">J47*الافتراضات!$B$7</f>
        <v>18688.6169050049</v>
      </c>
      <c r="N47" s="8" t="n">
        <f aca="false">K47*الافتراضات!$B$7</f>
        <v>2002.38309499515</v>
      </c>
      <c r="O47" s="9" t="s">
        <v>27</v>
      </c>
      <c r="P47" s="9" t="s">
        <v>27</v>
      </c>
      <c r="Q47" s="9" t="s">
        <v>27</v>
      </c>
      <c r="R47" s="9" t="s">
        <v>212</v>
      </c>
      <c r="S47" s="9" t="s">
        <v>27</v>
      </c>
      <c r="T47" s="9" t="n">
        <v>1</v>
      </c>
    </row>
    <row r="48" customFormat="false" ht="15" hidden="false" customHeight="false" outlineLevel="0" collapsed="false">
      <c r="A48" s="4" t="s">
        <v>213</v>
      </c>
      <c r="B48" s="4" t="s">
        <v>214</v>
      </c>
      <c r="C48" s="4" t="s">
        <v>22</v>
      </c>
      <c r="D48" s="4" t="n">
        <v>3</v>
      </c>
      <c r="E48" s="5" t="n">
        <v>583.6</v>
      </c>
      <c r="F48" s="6" t="n">
        <v>0.465</v>
      </c>
      <c r="G48" s="6" t="n">
        <v>0.483</v>
      </c>
      <c r="H48" s="6" t="n">
        <v>0.051</v>
      </c>
      <c r="I48" s="6" t="n">
        <f aca="false">IFERROR((H48/الافتراضات!$B$5)/(F48/الافتراضات!$B$3+G48/الافتراضات!$B$4+H48/الافتراضات!$B$5),0)</f>
        <v>0.0680731417053532</v>
      </c>
      <c r="J48" s="7" t="n">
        <f aca="false">E48-K48</f>
        <v>569.727962727594</v>
      </c>
      <c r="K48" s="8" t="n">
        <f aca="false">E48*I48/(I48+الافتراضات!$B$6*(1-I48))</f>
        <v>13.8720372724057</v>
      </c>
      <c r="L48" s="6" t="n">
        <f aca="false">IFERROR(K48/E48,0)</f>
        <v>0.0237697691439439</v>
      </c>
      <c r="M48" s="7" t="n">
        <f aca="false">J48*الافتراضات!$B$7</f>
        <v>17091.8388818278</v>
      </c>
      <c r="N48" s="8" t="n">
        <f aca="false">K48*الافتراضات!$B$7</f>
        <v>416.16111817217</v>
      </c>
      <c r="O48" s="9" t="s">
        <v>27</v>
      </c>
      <c r="P48" s="9" t="s">
        <v>27</v>
      </c>
      <c r="Q48" s="9" t="s">
        <v>27</v>
      </c>
      <c r="R48" s="9" t="s">
        <v>27</v>
      </c>
      <c r="S48" s="9" t="s">
        <v>27</v>
      </c>
      <c r="T48" s="9" t="n">
        <v>0</v>
      </c>
    </row>
    <row r="49" customFormat="false" ht="15" hidden="false" customHeight="false" outlineLevel="0" collapsed="false">
      <c r="A49" s="4" t="s">
        <v>215</v>
      </c>
      <c r="B49" s="4" t="s">
        <v>216</v>
      </c>
      <c r="C49" s="4" t="s">
        <v>22</v>
      </c>
      <c r="D49" s="4" t="n">
        <v>9</v>
      </c>
      <c r="E49" s="5" t="n">
        <v>589.5</v>
      </c>
      <c r="F49" s="6" t="n">
        <v>0.455</v>
      </c>
      <c r="G49" s="6" t="n">
        <v>0.31</v>
      </c>
      <c r="H49" s="6" t="n">
        <v>0.235</v>
      </c>
      <c r="I49" s="6" t="n">
        <f aca="false">IFERROR((H49/الافتراضات!$B$5)/(F49/الافتراضات!$B$3+G49/الافتراضات!$B$4+H49/الافتراضات!$B$5),0)</f>
        <v>0.292898303354619</v>
      </c>
      <c r="J49" s="7" t="n">
        <f aca="false">E49-K49</f>
        <v>517.980114679902</v>
      </c>
      <c r="K49" s="8" t="n">
        <f aca="false">E49*I49/(I49+الافتراضات!$B$6*(1-I49))</f>
        <v>71.5198853200985</v>
      </c>
      <c r="L49" s="6" t="n">
        <f aca="false">IFERROR(K49/E49,0)</f>
        <v>0.121322960678708</v>
      </c>
      <c r="M49" s="7" t="n">
        <f aca="false">J49*الافتراضات!$B$7</f>
        <v>15539.403440397</v>
      </c>
      <c r="N49" s="8" t="n">
        <f aca="false">K49*الافتراضات!$B$7</f>
        <v>2145.59655960296</v>
      </c>
      <c r="O49" s="9" t="s">
        <v>133</v>
      </c>
      <c r="P49" s="9" t="s">
        <v>217</v>
      </c>
      <c r="Q49" s="9" t="s">
        <v>218</v>
      </c>
      <c r="R49" s="9" t="s">
        <v>65</v>
      </c>
      <c r="S49" s="9" t="s">
        <v>27</v>
      </c>
      <c r="T49" s="9" t="n">
        <v>4</v>
      </c>
    </row>
    <row r="50" customFormat="false" ht="15" hidden="false" customHeight="false" outlineLevel="0" collapsed="false">
      <c r="A50" s="4" t="s">
        <v>219</v>
      </c>
      <c r="B50" s="4" t="s">
        <v>220</v>
      </c>
      <c r="C50" s="4" t="s">
        <v>167</v>
      </c>
      <c r="D50" s="4" t="n">
        <v>9</v>
      </c>
      <c r="E50" s="5" t="n">
        <v>437.7</v>
      </c>
      <c r="F50" s="6" t="n">
        <v>0.391</v>
      </c>
      <c r="G50" s="6" t="n">
        <v>0.4</v>
      </c>
      <c r="H50" s="6" t="n">
        <v>0.209</v>
      </c>
      <c r="I50" s="6" t="n">
        <f aca="false">IFERROR((H50/الافتراضات!$B$5)/(F50/الافتراضات!$B$3+G50/الافتراضات!$B$4+H50/الافتراضات!$B$5),0)</f>
        <v>0.26398472143353</v>
      </c>
      <c r="J50" s="7" t="n">
        <f aca="false">E50-K50</f>
        <v>390.958622860445</v>
      </c>
      <c r="K50" s="8" t="n">
        <f aca="false">E50*I50/(I50+الافتراضات!$B$6*(1-I50))</f>
        <v>46.7413771395554</v>
      </c>
      <c r="L50" s="6" t="n">
        <f aca="false">IFERROR(K50/E50,0)</f>
        <v>0.1067886158089</v>
      </c>
      <c r="M50" s="7" t="n">
        <f aca="false">J50*الافتراضات!$B$7</f>
        <v>11728.7586858133</v>
      </c>
      <c r="N50" s="8" t="n">
        <f aca="false">K50*الافتراضات!$B$7</f>
        <v>1402.24131418666</v>
      </c>
      <c r="O50" s="9" t="s">
        <v>221</v>
      </c>
      <c r="P50" s="9" t="s">
        <v>222</v>
      </c>
      <c r="Q50" s="9" t="s">
        <v>223</v>
      </c>
      <c r="R50" s="9" t="s">
        <v>27</v>
      </c>
      <c r="S50" s="9" t="s">
        <v>27</v>
      </c>
      <c r="T50" s="9" t="n">
        <v>4</v>
      </c>
    </row>
    <row r="51" customFormat="false" ht="15" hidden="false" customHeight="false" outlineLevel="0" collapsed="false">
      <c r="A51" s="4" t="s">
        <v>224</v>
      </c>
      <c r="B51" s="4" t="s">
        <v>225</v>
      </c>
      <c r="C51" s="4" t="s">
        <v>37</v>
      </c>
      <c r="D51" s="4" t="n">
        <v>2</v>
      </c>
      <c r="E51" s="5" t="n">
        <v>444.1</v>
      </c>
      <c r="F51" s="6" t="n">
        <v>0.404</v>
      </c>
      <c r="G51" s="6" t="n">
        <v>0.392</v>
      </c>
      <c r="H51" s="6" t="n">
        <v>0.205</v>
      </c>
      <c r="I51" s="6" t="n">
        <f aca="false">IFERROR((H51/الافتراضات!$B$5)/(F51/الافتراضات!$B$3+G51/الافتراضات!$B$4+H51/الافتراضات!$B$5),0)</f>
        <v>0.258867147678455</v>
      </c>
      <c r="J51" s="7" t="n">
        <f aca="false">E51-K51</f>
        <v>397.786303577831</v>
      </c>
      <c r="K51" s="8" t="n">
        <f aca="false">E51*I51/(I51+الافتراضات!$B$6*(1-I51))</f>
        <v>46.3136964221692</v>
      </c>
      <c r="L51" s="6" t="n">
        <f aca="false">IFERROR(K51/E51,0)</f>
        <v>0.104286639095179</v>
      </c>
      <c r="M51" s="7" t="n">
        <f aca="false">J51*الافتراضات!$B$7</f>
        <v>11933.5891073349</v>
      </c>
      <c r="N51" s="8" t="n">
        <f aca="false">K51*الافتراضات!$B$7</f>
        <v>1389.41089266508</v>
      </c>
      <c r="O51" s="9" t="s">
        <v>27</v>
      </c>
      <c r="P51" s="9" t="s">
        <v>27</v>
      </c>
      <c r="Q51" s="9" t="s">
        <v>27</v>
      </c>
      <c r="R51" s="9" t="s">
        <v>27</v>
      </c>
      <c r="S51" s="9" t="s">
        <v>27</v>
      </c>
      <c r="T51" s="9" t="n">
        <v>0</v>
      </c>
    </row>
    <row r="52" customFormat="false" ht="15" hidden="false" customHeight="false" outlineLevel="0" collapsed="false">
      <c r="A52" s="4" t="s">
        <v>226</v>
      </c>
      <c r="B52" s="4" t="s">
        <v>227</v>
      </c>
      <c r="C52" s="4" t="s">
        <v>167</v>
      </c>
      <c r="D52" s="4" t="n">
        <v>7</v>
      </c>
      <c r="E52" s="5" t="n">
        <v>463.7</v>
      </c>
      <c r="F52" s="6" t="n">
        <v>0.509</v>
      </c>
      <c r="G52" s="6" t="n">
        <v>0.491</v>
      </c>
      <c r="H52" s="6" t="n">
        <v>0</v>
      </c>
      <c r="I52" s="6" t="n">
        <f aca="false">IFERROR((H52/الافتراضات!$B$5)/(F52/الافتراضات!$B$3+G52/الافتراضات!$B$4+H52/الافتراضات!$B$5),0)</f>
        <v>0</v>
      </c>
      <c r="J52" s="7" t="n">
        <f aca="false">E52-K52</f>
        <v>463.7</v>
      </c>
      <c r="K52" s="8" t="n">
        <f aca="false">E52*I52/(I52+الافتراضات!$B$6*(1-I52))</f>
        <v>0</v>
      </c>
      <c r="L52" s="6" t="n">
        <f aca="false">IFERROR(K52/E52,0)</f>
        <v>0</v>
      </c>
      <c r="M52" s="7" t="n">
        <f aca="false">J52*الافتراضات!$B$7</f>
        <v>13911</v>
      </c>
      <c r="N52" s="8" t="n">
        <f aca="false">K52*الافتراضات!$B$7</f>
        <v>0</v>
      </c>
      <c r="O52" s="9" t="s">
        <v>228</v>
      </c>
      <c r="P52" s="9" t="s">
        <v>229</v>
      </c>
      <c r="Q52" s="9" t="s">
        <v>230</v>
      </c>
      <c r="R52" s="9" t="s">
        <v>27</v>
      </c>
      <c r="S52" s="9" t="s">
        <v>27</v>
      </c>
      <c r="T52" s="9" t="n">
        <v>8</v>
      </c>
    </row>
    <row r="53" customFormat="false" ht="15" hidden="false" customHeight="false" outlineLevel="0" collapsed="false">
      <c r="A53" s="4" t="s">
        <v>231</v>
      </c>
      <c r="B53" s="4" t="s">
        <v>232</v>
      </c>
      <c r="C53" s="4" t="s">
        <v>200</v>
      </c>
      <c r="D53" s="4" t="n">
        <v>2</v>
      </c>
      <c r="E53" s="5" t="n">
        <v>421.3</v>
      </c>
      <c r="F53" s="6" t="n">
        <v>0.614</v>
      </c>
      <c r="G53" s="6" t="n">
        <v>0.386</v>
      </c>
      <c r="H53" s="6" t="n">
        <v>0</v>
      </c>
      <c r="I53" s="6" t="n">
        <f aca="false">IFERROR((H53/الافتراضات!$B$5)/(F53/الافتراضات!$B$3+G53/الافتراضات!$B$4+H53/الافتراضات!$B$5),0)</f>
        <v>0</v>
      </c>
      <c r="J53" s="7" t="n">
        <f aca="false">E53-K53</f>
        <v>421.3</v>
      </c>
      <c r="K53" s="8" t="n">
        <f aca="false">E53*I53/(I53+الافتراضات!$B$6*(1-I53))</f>
        <v>0</v>
      </c>
      <c r="L53" s="6" t="n">
        <f aca="false">IFERROR(K53/E53,0)</f>
        <v>0</v>
      </c>
      <c r="M53" s="7" t="n">
        <f aca="false">J53*الافتراضات!$B$7</f>
        <v>12639</v>
      </c>
      <c r="N53" s="8" t="n">
        <f aca="false">K53*الافتراضات!$B$7</f>
        <v>0</v>
      </c>
      <c r="O53" s="9" t="s">
        <v>27</v>
      </c>
      <c r="P53" s="9" t="s">
        <v>27</v>
      </c>
      <c r="Q53" s="9" t="s">
        <v>27</v>
      </c>
      <c r="R53" s="9" t="s">
        <v>27</v>
      </c>
      <c r="S53" s="9" t="s">
        <v>27</v>
      </c>
      <c r="T53" s="9" t="n">
        <v>0</v>
      </c>
    </row>
    <row r="54" customFormat="false" ht="15" hidden="false" customHeight="false" outlineLevel="0" collapsed="false">
      <c r="A54" s="4" t="s">
        <v>233</v>
      </c>
      <c r="B54" s="4" t="s">
        <v>234</v>
      </c>
      <c r="C54" s="4" t="s">
        <v>98</v>
      </c>
      <c r="D54" s="4" t="n">
        <v>2</v>
      </c>
      <c r="E54" s="5" t="n">
        <v>575</v>
      </c>
      <c r="F54" s="6" t="n">
        <v>0.462</v>
      </c>
      <c r="G54" s="6" t="n">
        <v>0.453</v>
      </c>
      <c r="H54" s="6" t="n">
        <v>0.085</v>
      </c>
      <c r="I54" s="6" t="n">
        <f aca="false">IFERROR((H54/الافتراضات!$B$5)/(F54/الافتراضات!$B$3+G54/الافتراضات!$B$4+H54/الافتراضات!$B$5),0)</f>
        <v>0.111910376105271</v>
      </c>
      <c r="J54" s="7" t="n">
        <f aca="false">E54-K54</f>
        <v>551.821213431457</v>
      </c>
      <c r="K54" s="8" t="n">
        <f aca="false">E54*I54/(I54+الافتراضات!$B$6*(1-I54))</f>
        <v>23.1787865685434</v>
      </c>
      <c r="L54" s="6" t="n">
        <f aca="false">IFERROR(K54/E54,0)</f>
        <v>0.0403109331626841</v>
      </c>
      <c r="M54" s="7" t="n">
        <f aca="false">J54*الافتراضات!$B$7</f>
        <v>16554.6364029437</v>
      </c>
      <c r="N54" s="8" t="n">
        <f aca="false">K54*الافتراضات!$B$7</f>
        <v>695.363597056301</v>
      </c>
      <c r="O54" s="9" t="s">
        <v>27</v>
      </c>
      <c r="P54" s="9" t="s">
        <v>27</v>
      </c>
      <c r="Q54" s="9" t="s">
        <v>27</v>
      </c>
      <c r="R54" s="9" t="s">
        <v>27</v>
      </c>
      <c r="S54" s="9" t="s">
        <v>27</v>
      </c>
      <c r="T54" s="9" t="n">
        <v>0</v>
      </c>
    </row>
    <row r="55" customFormat="false" ht="15" hidden="false" customHeight="false" outlineLevel="0" collapsed="false">
      <c r="A55" s="4" t="s">
        <v>235</v>
      </c>
      <c r="B55" s="4" t="s">
        <v>236</v>
      </c>
      <c r="C55" s="4" t="s">
        <v>22</v>
      </c>
      <c r="D55" s="4" t="n">
        <v>6</v>
      </c>
      <c r="E55" s="5" t="n">
        <v>477</v>
      </c>
      <c r="F55" s="6" t="n">
        <v>0.507</v>
      </c>
      <c r="G55" s="6" t="n">
        <v>0.493</v>
      </c>
      <c r="H55" s="6" t="n">
        <v>0</v>
      </c>
      <c r="I55" s="6" t="n">
        <f aca="false">IFERROR((H55/الافتراضات!$B$5)/(F55/الافتراضات!$B$3+G55/الافتراضات!$B$4+H55/الافتراضات!$B$5),0)</f>
        <v>0</v>
      </c>
      <c r="J55" s="7" t="n">
        <f aca="false">E55-K55</f>
        <v>477</v>
      </c>
      <c r="K55" s="8" t="n">
        <f aca="false">E55*I55/(I55+الافتراضات!$B$6*(1-I55))</f>
        <v>0</v>
      </c>
      <c r="L55" s="6" t="n">
        <f aca="false">IFERROR(K55/E55,0)</f>
        <v>0</v>
      </c>
      <c r="M55" s="7" t="n">
        <f aca="false">J55*الافتراضات!$B$7</f>
        <v>14310</v>
      </c>
      <c r="N55" s="8" t="n">
        <f aca="false">K55*الافتراضات!$B$7</f>
        <v>0</v>
      </c>
      <c r="O55" s="9" t="s">
        <v>27</v>
      </c>
      <c r="P55" s="9" t="s">
        <v>27</v>
      </c>
      <c r="Q55" s="9" t="s">
        <v>27</v>
      </c>
      <c r="R55" s="9" t="s">
        <v>27</v>
      </c>
      <c r="S55" s="9" t="s">
        <v>27</v>
      </c>
      <c r="T55" s="9" t="n">
        <v>0</v>
      </c>
    </row>
    <row r="56" customFormat="false" ht="15" hidden="false" customHeight="false" outlineLevel="0" collapsed="false">
      <c r="A56" s="4" t="s">
        <v>237</v>
      </c>
      <c r="B56" s="4" t="s">
        <v>238</v>
      </c>
      <c r="C56" s="4" t="s">
        <v>22</v>
      </c>
      <c r="D56" s="4" t="n">
        <v>9</v>
      </c>
      <c r="E56" s="5" t="n">
        <v>430.5</v>
      </c>
      <c r="F56" s="6" t="n">
        <v>0.489</v>
      </c>
      <c r="G56" s="6" t="n">
        <v>0.511</v>
      </c>
      <c r="H56" s="6" t="n">
        <v>0</v>
      </c>
      <c r="I56" s="6" t="n">
        <f aca="false">IFERROR((H56/الافتراضات!$B$5)/(F56/الافتراضات!$B$3+G56/الافتراضات!$B$4+H56/الافتراضات!$B$5),0)</f>
        <v>0</v>
      </c>
      <c r="J56" s="7" t="n">
        <f aca="false">E56-K56</f>
        <v>430.5</v>
      </c>
      <c r="K56" s="8" t="n">
        <f aca="false">E56*I56/(I56+الافتراضات!$B$6*(1-I56))</f>
        <v>0</v>
      </c>
      <c r="L56" s="6" t="n">
        <f aca="false">IFERROR(K56/E56,0)</f>
        <v>0</v>
      </c>
      <c r="M56" s="7" t="n">
        <f aca="false">J56*الافتراضات!$B$7</f>
        <v>12915</v>
      </c>
      <c r="N56" s="8" t="n">
        <f aca="false">K56*الافتراضات!$B$7</f>
        <v>0</v>
      </c>
      <c r="O56" s="9" t="s">
        <v>239</v>
      </c>
      <c r="P56" s="9" t="s">
        <v>240</v>
      </c>
      <c r="Q56" s="9" t="s">
        <v>241</v>
      </c>
      <c r="R56" s="9" t="s">
        <v>65</v>
      </c>
      <c r="S56" s="9" t="s">
        <v>27</v>
      </c>
      <c r="T56" s="9" t="n">
        <v>7</v>
      </c>
    </row>
    <row r="57" customFormat="false" ht="15" hidden="false" customHeight="false" outlineLevel="0" collapsed="false">
      <c r="A57" s="4" t="s">
        <v>242</v>
      </c>
      <c r="B57" s="4" t="s">
        <v>243</v>
      </c>
      <c r="C57" s="4" t="s">
        <v>37</v>
      </c>
      <c r="D57" s="4" t="n">
        <v>9</v>
      </c>
      <c r="E57" s="5" t="n">
        <v>466.4</v>
      </c>
      <c r="F57" s="6" t="n">
        <v>0.511</v>
      </c>
      <c r="G57" s="6" t="n">
        <v>0.47</v>
      </c>
      <c r="H57" s="6" t="n">
        <v>0.019</v>
      </c>
      <c r="I57" s="6" t="n">
        <f aca="false">IFERROR((H57/الافتراضات!$B$5)/(F57/الافتراضات!$B$3+G57/الافتراضات!$B$4+H57/الافتراضات!$B$5),0)</f>
        <v>0.0255733863756715</v>
      </c>
      <c r="J57" s="7" t="n">
        <f aca="false">E57-K57</f>
        <v>462.355231920192</v>
      </c>
      <c r="K57" s="8" t="n">
        <f aca="false">E57*I57/(I57+الافتراضات!$B$6*(1-I57))</f>
        <v>4.04476807980767</v>
      </c>
      <c r="L57" s="6" t="n">
        <f aca="false">IFERROR(K57/E57,0)</f>
        <v>0.0086723157800336</v>
      </c>
      <c r="M57" s="7" t="n">
        <f aca="false">J57*الافتراضات!$B$7</f>
        <v>13870.6569576058</v>
      </c>
      <c r="N57" s="8" t="n">
        <f aca="false">K57*الافتراضات!$B$7</f>
        <v>121.34304239423</v>
      </c>
      <c r="O57" s="9" t="s">
        <v>244</v>
      </c>
      <c r="P57" s="9" t="s">
        <v>27</v>
      </c>
      <c r="Q57" s="9" t="s">
        <v>245</v>
      </c>
      <c r="R57" s="9" t="s">
        <v>27</v>
      </c>
      <c r="S57" s="9" t="s">
        <v>27</v>
      </c>
      <c r="T57" s="9" t="n">
        <v>3</v>
      </c>
    </row>
    <row r="58" customFormat="false" ht="15" hidden="false" customHeight="false" outlineLevel="0" collapsed="false">
      <c r="A58" s="4" t="s">
        <v>246</v>
      </c>
      <c r="B58" s="4" t="s">
        <v>247</v>
      </c>
      <c r="C58" s="4" t="s">
        <v>200</v>
      </c>
      <c r="D58" s="4" t="n">
        <v>2</v>
      </c>
      <c r="E58" s="5" t="n">
        <v>331.8</v>
      </c>
      <c r="F58" s="6" t="n">
        <v>0.488</v>
      </c>
      <c r="G58" s="6" t="n">
        <v>0.512</v>
      </c>
      <c r="H58" s="6" t="n">
        <v>0</v>
      </c>
      <c r="I58" s="6" t="n">
        <f aca="false">IFERROR((H58/الافتراضات!$B$5)/(F58/الافتراضات!$B$3+G58/الافتراضات!$B$4+H58/الافتراضات!$B$5),0)</f>
        <v>0</v>
      </c>
      <c r="J58" s="7" t="n">
        <f aca="false">E58-K58</f>
        <v>331.8</v>
      </c>
      <c r="K58" s="8" t="n">
        <f aca="false">E58*I58/(I58+الافتراضات!$B$6*(1-I58))</f>
        <v>0</v>
      </c>
      <c r="L58" s="6" t="n">
        <f aca="false">IFERROR(K58/E58,0)</f>
        <v>0</v>
      </c>
      <c r="M58" s="7" t="n">
        <f aca="false">J58*الافتراضات!$B$7</f>
        <v>9954</v>
      </c>
      <c r="N58" s="8" t="n">
        <f aca="false">K58*الافتراضات!$B$7</f>
        <v>0</v>
      </c>
      <c r="O58" s="9" t="s">
        <v>27</v>
      </c>
      <c r="P58" s="9" t="s">
        <v>27</v>
      </c>
      <c r="Q58" s="9" t="s">
        <v>27</v>
      </c>
      <c r="R58" s="9" t="s">
        <v>27</v>
      </c>
      <c r="S58" s="9" t="s">
        <v>27</v>
      </c>
      <c r="T58" s="9" t="n">
        <v>0</v>
      </c>
    </row>
    <row r="59" customFormat="false" ht="15" hidden="false" customHeight="false" outlineLevel="0" collapsed="false">
      <c r="A59" s="4" t="s">
        <v>248</v>
      </c>
      <c r="B59" s="4" t="s">
        <v>249</v>
      </c>
      <c r="C59" s="4" t="s">
        <v>44</v>
      </c>
      <c r="D59" s="4" t="n">
        <v>9</v>
      </c>
      <c r="E59" s="5" t="n">
        <v>330.4</v>
      </c>
      <c r="F59" s="6" t="n">
        <v>0.447</v>
      </c>
      <c r="G59" s="6" t="n">
        <v>0.263</v>
      </c>
      <c r="H59" s="6" t="n">
        <v>0.291</v>
      </c>
      <c r="I59" s="6" t="n">
        <f aca="false">IFERROR((H59/الافتراضات!$B$5)/(F59/الافتراضات!$B$3+G59/الافتراضات!$B$4+H59/الافتراضات!$B$5),0)</f>
        <v>0.355420048166322</v>
      </c>
      <c r="J59" s="7" t="n">
        <f aca="false">E59-K59</f>
        <v>279.101362571473</v>
      </c>
      <c r="K59" s="8" t="n">
        <f aca="false">E59*I59/(I59+الافتراضات!$B$6*(1-I59))</f>
        <v>51.2986374285267</v>
      </c>
      <c r="L59" s="6" t="n">
        <f aca="false">IFERROR(K59/E59,0)</f>
        <v>0.155262219819996</v>
      </c>
      <c r="M59" s="7" t="n">
        <f aca="false">J59*الافتراضات!$B$7</f>
        <v>8373.0408771442</v>
      </c>
      <c r="N59" s="8" t="n">
        <f aca="false">K59*الافتراضات!$B$7</f>
        <v>1538.9591228558</v>
      </c>
      <c r="O59" s="9" t="s">
        <v>27</v>
      </c>
      <c r="P59" s="9" t="s">
        <v>27</v>
      </c>
      <c r="Q59" s="9" t="s">
        <v>250</v>
      </c>
      <c r="R59" s="9" t="s">
        <v>251</v>
      </c>
      <c r="S59" s="9" t="s">
        <v>27</v>
      </c>
      <c r="T59" s="9" t="n">
        <v>2</v>
      </c>
    </row>
    <row r="60" customFormat="false" ht="15" hidden="false" customHeight="false" outlineLevel="0" collapsed="false">
      <c r="A60" s="4" t="s">
        <v>252</v>
      </c>
      <c r="B60" s="4" t="s">
        <v>253</v>
      </c>
      <c r="C60" s="4" t="s">
        <v>253</v>
      </c>
      <c r="D60" s="4" t="n">
        <v>2</v>
      </c>
      <c r="E60" s="5" t="n">
        <v>332.6</v>
      </c>
      <c r="F60" s="6" t="n">
        <v>0.542</v>
      </c>
      <c r="G60" s="6" t="n">
        <v>0.37</v>
      </c>
      <c r="H60" s="6" t="n">
        <v>0.088</v>
      </c>
      <c r="I60" s="6" t="n">
        <f aca="false">IFERROR((H60/الافتراضات!$B$5)/(F60/الافتراضات!$B$3+G60/الافتراضات!$B$4+H60/الافتراضات!$B$5),0)</f>
        <v>0.115134909523006</v>
      </c>
      <c r="J60" s="7" t="n">
        <f aca="false">E60-K60</f>
        <v>318.774151124655</v>
      </c>
      <c r="K60" s="8" t="n">
        <f aca="false">E60*I60/(I60+الافتراضات!$B$6*(1-I60))</f>
        <v>13.825848875345</v>
      </c>
      <c r="L60" s="6" t="n">
        <f aca="false">IFERROR(K60/E60,0)</f>
        <v>0.0415689984225648</v>
      </c>
      <c r="M60" s="7" t="n">
        <f aca="false">J60*الافتراضات!$B$7</f>
        <v>9563.22453373965</v>
      </c>
      <c r="N60" s="8" t="n">
        <f aca="false">K60*الافتراضات!$B$7</f>
        <v>414.775466260351</v>
      </c>
      <c r="O60" s="9" t="s">
        <v>27</v>
      </c>
      <c r="P60" s="9" t="s">
        <v>27</v>
      </c>
      <c r="Q60" s="9" t="s">
        <v>27</v>
      </c>
      <c r="R60" s="9" t="s">
        <v>27</v>
      </c>
      <c r="S60" s="9" t="s">
        <v>27</v>
      </c>
      <c r="T60" s="9" t="n">
        <v>0</v>
      </c>
    </row>
    <row r="61" customFormat="false" ht="15" hidden="false" customHeight="false" outlineLevel="0" collapsed="false">
      <c r="A61" s="4" t="s">
        <v>254</v>
      </c>
      <c r="B61" s="4" t="s">
        <v>255</v>
      </c>
      <c r="C61" s="4" t="s">
        <v>256</v>
      </c>
      <c r="D61" s="4" t="n">
        <v>5</v>
      </c>
      <c r="E61" s="5" t="n">
        <v>306.7</v>
      </c>
      <c r="F61" s="6" t="n">
        <v>0.391</v>
      </c>
      <c r="G61" s="6" t="n">
        <v>0.323</v>
      </c>
      <c r="H61" s="6" t="n">
        <v>0.286</v>
      </c>
      <c r="I61" s="6" t="n">
        <f aca="false">IFERROR((H61/الافتراضات!$B$5)/(F61/الافتراضات!$B$3+G61/الافتراضات!$B$4+H61/الافتراضات!$B$5),0)</f>
        <v>0.351414331090426</v>
      </c>
      <c r="J61" s="7" t="n">
        <f aca="false">E61-K61</f>
        <v>259.781960596046</v>
      </c>
      <c r="K61" s="8" t="n">
        <f aca="false">E61*I61/(I61+الافتراضات!$B$6*(1-I61))</f>
        <v>46.9180394039545</v>
      </c>
      <c r="L61" s="6" t="n">
        <f aca="false">IFERROR(K61/E61,0)</f>
        <v>0.152976978819545</v>
      </c>
      <c r="M61" s="7" t="n">
        <f aca="false">J61*الافتراضات!$B$7</f>
        <v>7793.45881788137</v>
      </c>
      <c r="N61" s="8" t="n">
        <f aca="false">K61*الافتراضات!$B$7</f>
        <v>1407.54118211864</v>
      </c>
      <c r="O61" s="9" t="s">
        <v>27</v>
      </c>
      <c r="P61" s="9" t="s">
        <v>27</v>
      </c>
      <c r="Q61" s="9" t="s">
        <v>27</v>
      </c>
      <c r="R61" s="9" t="s">
        <v>27</v>
      </c>
      <c r="S61" s="9" t="s">
        <v>27</v>
      </c>
      <c r="T61" s="9" t="n">
        <v>0</v>
      </c>
    </row>
    <row r="62" customFormat="false" ht="23.85" hidden="false" customHeight="false" outlineLevel="0" collapsed="false">
      <c r="A62" s="4" t="s">
        <v>257</v>
      </c>
      <c r="B62" s="4" t="s">
        <v>258</v>
      </c>
      <c r="C62" s="4" t="s">
        <v>253</v>
      </c>
      <c r="D62" s="4" t="n">
        <v>7</v>
      </c>
      <c r="E62" s="5" t="n">
        <v>325.8</v>
      </c>
      <c r="F62" s="6" t="n">
        <v>0.576</v>
      </c>
      <c r="G62" s="6" t="n">
        <v>0.347</v>
      </c>
      <c r="H62" s="6" t="n">
        <v>0.077</v>
      </c>
      <c r="I62" s="6" t="n">
        <f aca="false">IFERROR((H62/الافتراضات!$B$5)/(F62/الافتراضات!$B$3+G62/الافتراضات!$B$4+H62/الافتراضات!$B$5),0)</f>
        <v>0.100940663591634</v>
      </c>
      <c r="J62" s="7" t="n">
        <f aca="false">E62-K62</f>
        <v>314.046935872434</v>
      </c>
      <c r="K62" s="8" t="n">
        <f aca="false">E62*I62/(I62+الافتراضات!$B$6*(1-I62))</f>
        <v>11.7530641275658</v>
      </c>
      <c r="L62" s="6" t="n">
        <f aca="false">IFERROR(K62/E62,0)</f>
        <v>0.0360744755296678</v>
      </c>
      <c r="M62" s="7" t="n">
        <f aca="false">J62*الافتراضات!$B$7</f>
        <v>9421.40807617303</v>
      </c>
      <c r="N62" s="8" t="n">
        <f aca="false">K62*الافتراضات!$B$7</f>
        <v>352.591923826973</v>
      </c>
      <c r="O62" s="9" t="s">
        <v>259</v>
      </c>
      <c r="P62" s="9" t="s">
        <v>27</v>
      </c>
      <c r="Q62" s="9" t="s">
        <v>260</v>
      </c>
      <c r="R62" s="9" t="s">
        <v>261</v>
      </c>
      <c r="S62" s="9" t="s">
        <v>27</v>
      </c>
      <c r="T62" s="9" t="n">
        <v>6</v>
      </c>
    </row>
    <row r="63" customFormat="false" ht="15" hidden="false" customHeight="false" outlineLevel="0" collapsed="false">
      <c r="A63" s="4" t="s">
        <v>262</v>
      </c>
      <c r="B63" s="4" t="s">
        <v>263</v>
      </c>
      <c r="C63" s="4" t="s">
        <v>98</v>
      </c>
      <c r="D63" s="4" t="n">
        <v>9</v>
      </c>
      <c r="E63" s="5" t="n">
        <v>302.5</v>
      </c>
      <c r="F63" s="6" t="n">
        <v>0.425</v>
      </c>
      <c r="G63" s="6" t="n">
        <v>0.397</v>
      </c>
      <c r="H63" s="6" t="n">
        <v>0.178</v>
      </c>
      <c r="I63" s="6" t="n">
        <f aca="false">IFERROR((H63/الافتراضات!$B$5)/(F63/الافتراضات!$B$3+G63/الافتراضات!$B$4+H63/الافتراضات!$B$5),0)</f>
        <v>0.226906219572005</v>
      </c>
      <c r="J63" s="7" t="n">
        <f aca="false">E63-K63</f>
        <v>275.54238993397</v>
      </c>
      <c r="K63" s="8" t="n">
        <f aca="false">E63*I63/(I63+الافتراضات!$B$6*(1-I63))</f>
        <v>26.9576100660298</v>
      </c>
      <c r="L63" s="6" t="n">
        <f aca="false">IFERROR(K63/E63,0)</f>
        <v>0.0891160663339829</v>
      </c>
      <c r="M63" s="7" t="n">
        <f aca="false">J63*الافتراضات!$B$7</f>
        <v>8266.27169801911</v>
      </c>
      <c r="N63" s="8" t="n">
        <f aca="false">K63*الافتراضات!$B$7</f>
        <v>808.728301980895</v>
      </c>
      <c r="O63" s="9" t="s">
        <v>27</v>
      </c>
      <c r="P63" s="9" t="s">
        <v>27</v>
      </c>
      <c r="Q63" s="9" t="s">
        <v>27</v>
      </c>
      <c r="R63" s="9" t="s">
        <v>27</v>
      </c>
      <c r="S63" s="9" t="s">
        <v>27</v>
      </c>
      <c r="T63" s="9" t="n">
        <v>0</v>
      </c>
    </row>
    <row r="64" customFormat="false" ht="15" hidden="false" customHeight="false" outlineLevel="0" collapsed="false">
      <c r="A64" s="4" t="s">
        <v>264</v>
      </c>
      <c r="B64" s="4" t="s">
        <v>265</v>
      </c>
      <c r="C64" s="4" t="s">
        <v>143</v>
      </c>
      <c r="D64" s="4" t="n">
        <v>2</v>
      </c>
      <c r="E64" s="5" t="n">
        <v>246.2</v>
      </c>
      <c r="F64" s="6" t="n">
        <v>0.466</v>
      </c>
      <c r="G64" s="6" t="n">
        <v>0.347</v>
      </c>
      <c r="H64" s="6" t="n">
        <v>0.187</v>
      </c>
      <c r="I64" s="6" t="n">
        <f aca="false">IFERROR((H64/الافتراضات!$B$5)/(F64/الافتراضات!$B$3+G64/الافتراضات!$B$4+H64/الافتراضات!$B$5),0)</f>
        <v>0.236989972620029</v>
      </c>
      <c r="J64" s="7" t="n">
        <f aca="false">E64-K64</f>
        <v>223.101635777157</v>
      </c>
      <c r="K64" s="8" t="n">
        <f aca="false">E64*I64/(I64+الافتراضات!$B$6*(1-I64))</f>
        <v>23.098364222843</v>
      </c>
      <c r="L64" s="6" t="n">
        <f aca="false">IFERROR(K64/E64,0)</f>
        <v>0.0938195134965192</v>
      </c>
      <c r="M64" s="7" t="n">
        <f aca="false">J64*الافتراضات!$B$7</f>
        <v>6693.04907331471</v>
      </c>
      <c r="N64" s="8" t="n">
        <f aca="false">K64*الافتراضات!$B$7</f>
        <v>692.950926685291</v>
      </c>
      <c r="O64" s="9" t="s">
        <v>27</v>
      </c>
      <c r="P64" s="9" t="s">
        <v>27</v>
      </c>
      <c r="Q64" s="9" t="s">
        <v>27</v>
      </c>
      <c r="R64" s="9" t="s">
        <v>27</v>
      </c>
      <c r="S64" s="9" t="s">
        <v>27</v>
      </c>
      <c r="T64" s="9" t="n">
        <v>0</v>
      </c>
    </row>
    <row r="65" customFormat="false" ht="15" hidden="false" customHeight="false" outlineLevel="0" collapsed="false">
      <c r="A65" s="4" t="s">
        <v>266</v>
      </c>
      <c r="B65" s="4" t="s">
        <v>267</v>
      </c>
      <c r="C65" s="4" t="s">
        <v>44</v>
      </c>
      <c r="D65" s="4" t="n">
        <v>2</v>
      </c>
      <c r="E65" s="5" t="n">
        <v>236.2</v>
      </c>
      <c r="F65" s="6" t="n">
        <v>0.483</v>
      </c>
      <c r="G65" s="6" t="n">
        <v>0.467</v>
      </c>
      <c r="H65" s="6" t="n">
        <v>0.05</v>
      </c>
      <c r="I65" s="6" t="n">
        <f aca="false">IFERROR((H65/الافتراضات!$B$5)/(F65/الافتراضات!$B$3+G65/الافتراضات!$B$4+H65/الافتراضات!$B$5),0)</f>
        <v>0.0666221242533965</v>
      </c>
      <c r="J65" s="7" t="n">
        <f aca="false">E65-K65</f>
        <v>230.710817414265</v>
      </c>
      <c r="K65" s="8" t="n">
        <f aca="false">E65*I65/(I65+الافتراضات!$B$6*(1-I65))</f>
        <v>5.48918258573503</v>
      </c>
      <c r="L65" s="6" t="n">
        <f aca="false">IFERROR(K65/E65,0)</f>
        <v>0.0232395537075996</v>
      </c>
      <c r="M65" s="7" t="n">
        <f aca="false">J65*الافتراضات!$B$7</f>
        <v>6921.32452242795</v>
      </c>
      <c r="N65" s="8" t="n">
        <f aca="false">K65*الافتراضات!$B$7</f>
        <v>164.675477572051</v>
      </c>
      <c r="O65" s="9" t="s">
        <v>27</v>
      </c>
      <c r="P65" s="9" t="s">
        <v>27</v>
      </c>
      <c r="Q65" s="9" t="s">
        <v>27</v>
      </c>
      <c r="R65" s="9" t="s">
        <v>27</v>
      </c>
      <c r="S65" s="9" t="s">
        <v>27</v>
      </c>
      <c r="T65" s="9" t="n">
        <v>0</v>
      </c>
    </row>
    <row r="66" customFormat="false" ht="15" hidden="false" customHeight="false" outlineLevel="0" collapsed="false">
      <c r="A66" s="4" t="s">
        <v>268</v>
      </c>
      <c r="B66" s="4" t="s">
        <v>269</v>
      </c>
      <c r="C66" s="4" t="s">
        <v>98</v>
      </c>
      <c r="D66" s="4" t="n">
        <v>9</v>
      </c>
      <c r="E66" s="5" t="n">
        <v>423.9</v>
      </c>
      <c r="F66" s="6" t="n">
        <v>0.459</v>
      </c>
      <c r="G66" s="6" t="n">
        <v>0.347</v>
      </c>
      <c r="H66" s="6" t="n">
        <v>0.194</v>
      </c>
      <c r="I66" s="6" t="n">
        <f aca="false">IFERROR((H66/الافتراضات!$B$5)/(F66/الافتراضات!$B$3+G66/الافتراضات!$B$4+H66/الافتراضات!$B$5),0)</f>
        <v>0.245342090126713</v>
      </c>
      <c r="J66" s="7" t="n">
        <f aca="false">E66-K66</f>
        <v>382.454235705884</v>
      </c>
      <c r="K66" s="8" t="n">
        <f aca="false">E66*I66/(I66+الافتراضات!$B$6*(1-I66))</f>
        <v>41.4457642941162</v>
      </c>
      <c r="L66" s="6" t="n">
        <f aca="false">IFERROR(K66/E66,0)</f>
        <v>0.0977725036426425</v>
      </c>
      <c r="M66" s="7" t="n">
        <f aca="false">J66*الافتراضات!$B$7</f>
        <v>11473.6270711765</v>
      </c>
      <c r="N66" s="8" t="n">
        <f aca="false">K66*الافتراضات!$B$7</f>
        <v>1243.37292882348</v>
      </c>
      <c r="O66" s="9" t="s">
        <v>270</v>
      </c>
      <c r="P66" s="9" t="s">
        <v>271</v>
      </c>
      <c r="Q66" s="9" t="s">
        <v>27</v>
      </c>
      <c r="R66" s="9" t="s">
        <v>27</v>
      </c>
      <c r="S66" s="9" t="s">
        <v>27</v>
      </c>
      <c r="T66" s="9" t="n">
        <v>2</v>
      </c>
    </row>
    <row r="67" customFormat="false" ht="15" hidden="false" customHeight="false" outlineLevel="0" collapsed="false">
      <c r="A67" s="4" t="s">
        <v>272</v>
      </c>
      <c r="B67" s="4" t="s">
        <v>273</v>
      </c>
      <c r="C67" s="4" t="s">
        <v>274</v>
      </c>
      <c r="D67" s="4" t="n">
        <v>4</v>
      </c>
      <c r="E67" s="5" t="n">
        <v>292.5</v>
      </c>
      <c r="F67" s="6" t="n">
        <v>0.497</v>
      </c>
      <c r="G67" s="6" t="n">
        <v>0.346</v>
      </c>
      <c r="H67" s="6" t="n">
        <v>0.157</v>
      </c>
      <c r="I67" s="6" t="n">
        <f aca="false">IFERROR((H67/الافتراضات!$B$5)/(F67/الافتراضات!$B$3+G67/الافتراضات!$B$4+H67/الافتراضات!$B$5),0)</f>
        <v>0.200778565809048</v>
      </c>
      <c r="J67" s="7" t="n">
        <f aca="false">E67-K67</f>
        <v>269.898875605944</v>
      </c>
      <c r="K67" s="8" t="n">
        <f aca="false">E67*I67/(I67+الافتراضات!$B$6*(1-I67))</f>
        <v>22.6011243940558</v>
      </c>
      <c r="L67" s="6" t="n">
        <f aca="false">IFERROR(K67/E67,0)</f>
        <v>0.0772688013471994</v>
      </c>
      <c r="M67" s="7" t="n">
        <f aca="false">J67*الافتراضات!$B$7</f>
        <v>8096.96626817833</v>
      </c>
      <c r="N67" s="8" t="n">
        <f aca="false">K67*الافتراضات!$B$7</f>
        <v>678.033731821674</v>
      </c>
      <c r="O67" s="9" t="s">
        <v>27</v>
      </c>
      <c r="P67" s="9" t="s">
        <v>27</v>
      </c>
      <c r="Q67" s="9" t="s">
        <v>27</v>
      </c>
      <c r="R67" s="9" t="s">
        <v>27</v>
      </c>
      <c r="S67" s="9" t="s">
        <v>27</v>
      </c>
      <c r="T67" s="9" t="n">
        <v>0</v>
      </c>
    </row>
    <row r="68" customFormat="false" ht="15" hidden="false" customHeight="false" outlineLevel="0" collapsed="false">
      <c r="A68" s="4" t="s">
        <v>275</v>
      </c>
      <c r="B68" s="4" t="s">
        <v>276</v>
      </c>
      <c r="C68" s="4" t="s">
        <v>277</v>
      </c>
      <c r="D68" s="4" t="n">
        <v>1</v>
      </c>
      <c r="E68" s="5" t="n">
        <v>191.5</v>
      </c>
      <c r="F68" s="6" t="n">
        <v>0.495</v>
      </c>
      <c r="G68" s="6" t="n">
        <v>0.302</v>
      </c>
      <c r="H68" s="6" t="n">
        <v>0.203</v>
      </c>
      <c r="I68" s="6" t="n">
        <f aca="false">IFERROR((H68/الافتراضات!$B$5)/(F68/الافتراضات!$B$3+G68/الافتراضات!$B$4+H68/الافتراضات!$B$5),0)</f>
        <v>0.255318484068368</v>
      </c>
      <c r="J68" s="7" t="n">
        <f aca="false">E68-K68</f>
        <v>171.859035997053</v>
      </c>
      <c r="K68" s="8" t="n">
        <f aca="false">E68*I68/(I68+الافتراضات!$B$6*(1-I68))</f>
        <v>19.6409640029467</v>
      </c>
      <c r="L68" s="6" t="n">
        <f aca="false">IFERROR(K68/E68,0)</f>
        <v>0.102563780694238</v>
      </c>
      <c r="M68" s="7" t="n">
        <f aca="false">J68*الافتراضات!$B$7</f>
        <v>5155.7710799116</v>
      </c>
      <c r="N68" s="8" t="n">
        <f aca="false">K68*الافتراضات!$B$7</f>
        <v>589.2289200884</v>
      </c>
      <c r="O68" s="9" t="s">
        <v>27</v>
      </c>
      <c r="P68" s="9" t="s">
        <v>27</v>
      </c>
      <c r="Q68" s="9" t="s">
        <v>27</v>
      </c>
      <c r="R68" s="9" t="s">
        <v>27</v>
      </c>
      <c r="S68" s="9" t="s">
        <v>27</v>
      </c>
      <c r="T68" s="9" t="n">
        <v>0</v>
      </c>
    </row>
    <row r="69" customFormat="false" ht="15" hidden="false" customHeight="false" outlineLevel="0" collapsed="false">
      <c r="A69" s="4" t="s">
        <v>278</v>
      </c>
      <c r="B69" s="4" t="s">
        <v>279</v>
      </c>
      <c r="C69" s="4" t="s">
        <v>98</v>
      </c>
      <c r="D69" s="4" t="n">
        <v>1</v>
      </c>
      <c r="E69" s="5" t="n">
        <v>145.1</v>
      </c>
      <c r="F69" s="6" t="n">
        <v>0.433</v>
      </c>
      <c r="G69" s="6" t="n">
        <v>0.372</v>
      </c>
      <c r="H69" s="6" t="n">
        <v>0.195</v>
      </c>
      <c r="I69" s="6" t="n">
        <f aca="false">IFERROR((H69/الافتراضات!$B$5)/(F69/الافتراضات!$B$3+G69/الافتراضات!$B$4+H69/الافتراضات!$B$5),0)</f>
        <v>0.246914943633623</v>
      </c>
      <c r="J69" s="7" t="n">
        <f aca="false">E69-K69</f>
        <v>130.80433900747</v>
      </c>
      <c r="K69" s="8" t="n">
        <f aca="false">E69*I69/(I69+الافتراضات!$B$6*(1-I69))</f>
        <v>14.2956609925302</v>
      </c>
      <c r="L69" s="6" t="n">
        <f aca="false">IFERROR(K69/E69,0)</f>
        <v>0.0985228186942126</v>
      </c>
      <c r="M69" s="7" t="n">
        <f aca="false">J69*الافتراضات!$B$7</f>
        <v>3924.13017022409</v>
      </c>
      <c r="N69" s="8" t="n">
        <f aca="false">K69*الافتراضات!$B$7</f>
        <v>428.869829775907</v>
      </c>
      <c r="O69" s="9" t="s">
        <v>27</v>
      </c>
      <c r="P69" s="9" t="s">
        <v>27</v>
      </c>
      <c r="Q69" s="9" t="s">
        <v>27</v>
      </c>
      <c r="R69" s="9" t="s">
        <v>27</v>
      </c>
      <c r="S69" s="9" t="s">
        <v>27</v>
      </c>
      <c r="T69" s="9" t="n">
        <v>0</v>
      </c>
    </row>
    <row r="70" customFormat="false" ht="15" hidden="false" customHeight="false" outlineLevel="0" collapsed="false">
      <c r="A70" s="4" t="s">
        <v>280</v>
      </c>
      <c r="B70" s="4" t="s">
        <v>281</v>
      </c>
      <c r="C70" s="4" t="s">
        <v>22</v>
      </c>
      <c r="D70" s="4" t="n">
        <v>2</v>
      </c>
      <c r="E70" s="5" t="n">
        <v>71.3</v>
      </c>
      <c r="F70" s="6" t="n">
        <v>0.277</v>
      </c>
      <c r="G70" s="6" t="n">
        <v>0.155</v>
      </c>
      <c r="H70" s="6" t="n">
        <v>0.568</v>
      </c>
      <c r="I70" s="6" t="n">
        <f aca="false">IFERROR((H70/الافتراضات!$B$5)/(F70/الافتراضات!$B$3+G70/الافتراضات!$B$4+H70/الافتراضات!$B$5),0)</f>
        <v>0.638664532633839</v>
      </c>
      <c r="J70" s="7" t="n">
        <f aca="false">E70-K70</f>
        <v>44.8661754902317</v>
      </c>
      <c r="K70" s="8" t="n">
        <f aca="false">E70*I70/(I70+الافتراضات!$B$6*(1-I70))</f>
        <v>26.4338245097683</v>
      </c>
      <c r="L70" s="6" t="n">
        <f aca="false">IFERROR(K70/E70,0)</f>
        <v>0.370740876714842</v>
      </c>
      <c r="M70" s="7" t="n">
        <f aca="false">J70*الافتراضات!$B$7</f>
        <v>1345.98526470695</v>
      </c>
      <c r="N70" s="8" t="n">
        <f aca="false">K70*الافتراضات!$B$7</f>
        <v>793.014735293048</v>
      </c>
      <c r="O70" s="9" t="s">
        <v>27</v>
      </c>
      <c r="P70" s="9" t="s">
        <v>27</v>
      </c>
      <c r="Q70" s="9" t="s">
        <v>27</v>
      </c>
      <c r="R70" s="9" t="s">
        <v>27</v>
      </c>
      <c r="S70" s="9" t="s">
        <v>27</v>
      </c>
      <c r="T70" s="9" t="n">
        <v>0</v>
      </c>
    </row>
    <row r="71" customFormat="false" ht="15" hidden="false" customHeight="false" outlineLevel="0" collapsed="false">
      <c r="A71" s="4" t="s">
        <v>282</v>
      </c>
      <c r="B71" s="4" t="s">
        <v>283</v>
      </c>
      <c r="C71" s="4" t="s">
        <v>22</v>
      </c>
      <c r="D71" s="10" t="s">
        <v>284</v>
      </c>
      <c r="E71" s="5"/>
      <c r="F71" s="6"/>
      <c r="G71" s="6"/>
      <c r="H71" s="6"/>
      <c r="I71" s="6"/>
      <c r="J71" s="7"/>
      <c r="K71" s="8"/>
      <c r="L71" s="6"/>
      <c r="M71" s="7"/>
      <c r="N71" s="8"/>
      <c r="O71" s="9" t="s">
        <v>285</v>
      </c>
      <c r="P71" s="9" t="s">
        <v>27</v>
      </c>
      <c r="Q71" s="9" t="s">
        <v>286</v>
      </c>
      <c r="R71" s="9" t="s">
        <v>287</v>
      </c>
      <c r="S71" s="9" t="s">
        <v>27</v>
      </c>
      <c r="T71" s="9" t="n">
        <v>5</v>
      </c>
    </row>
    <row r="72" customFormat="false" ht="15" hidden="false" customHeight="false" outlineLevel="0" collapsed="false">
      <c r="A72" s="4" t="s">
        <v>288</v>
      </c>
      <c r="B72" s="4" t="s">
        <v>289</v>
      </c>
      <c r="C72" s="4" t="s">
        <v>37</v>
      </c>
      <c r="D72" s="10" t="s">
        <v>284</v>
      </c>
      <c r="E72" s="5"/>
      <c r="F72" s="6"/>
      <c r="G72" s="6"/>
      <c r="H72" s="6"/>
      <c r="I72" s="6"/>
      <c r="J72" s="7"/>
      <c r="K72" s="8"/>
      <c r="L72" s="6"/>
      <c r="M72" s="7"/>
      <c r="N72" s="8"/>
      <c r="O72" s="9" t="s">
        <v>290</v>
      </c>
      <c r="P72" s="9" t="s">
        <v>27</v>
      </c>
      <c r="Q72" s="9" t="s">
        <v>291</v>
      </c>
      <c r="R72" s="9" t="s">
        <v>27</v>
      </c>
      <c r="S72" s="9" t="s">
        <v>27</v>
      </c>
      <c r="T72" s="9" t="n">
        <v>4</v>
      </c>
    </row>
    <row r="73" customFormat="false" ht="15" hidden="false" customHeight="false" outlineLevel="0" collapsed="false">
      <c r="A73" s="4" t="s">
        <v>292</v>
      </c>
      <c r="B73" s="4" t="s">
        <v>293</v>
      </c>
      <c r="C73" s="4" t="s">
        <v>44</v>
      </c>
      <c r="D73" s="10" t="s">
        <v>284</v>
      </c>
      <c r="E73" s="5"/>
      <c r="F73" s="6"/>
      <c r="G73" s="6"/>
      <c r="H73" s="6"/>
      <c r="I73" s="6"/>
      <c r="J73" s="7"/>
      <c r="K73" s="8"/>
      <c r="L73" s="6"/>
      <c r="M73" s="7"/>
      <c r="N73" s="8"/>
      <c r="O73" s="9" t="s">
        <v>294</v>
      </c>
      <c r="P73" s="9" t="s">
        <v>222</v>
      </c>
      <c r="Q73" s="9" t="s">
        <v>295</v>
      </c>
      <c r="R73" s="9" t="s">
        <v>296</v>
      </c>
      <c r="S73" s="9" t="s">
        <v>27</v>
      </c>
      <c r="T73" s="9" t="n">
        <v>4</v>
      </c>
    </row>
    <row r="74" customFormat="false" ht="15" hidden="false" customHeight="false" outlineLevel="0" collapsed="false">
      <c r="A74" s="4" t="s">
        <v>297</v>
      </c>
      <c r="B74" s="4" t="s">
        <v>298</v>
      </c>
      <c r="C74" s="4" t="s">
        <v>299</v>
      </c>
      <c r="D74" s="10" t="s">
        <v>284</v>
      </c>
      <c r="E74" s="5"/>
      <c r="F74" s="6"/>
      <c r="G74" s="6"/>
      <c r="H74" s="6"/>
      <c r="I74" s="6"/>
      <c r="J74" s="7"/>
      <c r="K74" s="8"/>
      <c r="L74" s="6"/>
      <c r="M74" s="7"/>
      <c r="N74" s="8"/>
      <c r="O74" s="9" t="s">
        <v>294</v>
      </c>
      <c r="P74" s="9" t="s">
        <v>27</v>
      </c>
      <c r="Q74" s="9" t="s">
        <v>300</v>
      </c>
      <c r="R74" s="9" t="s">
        <v>27</v>
      </c>
      <c r="S74" s="9" t="s">
        <v>27</v>
      </c>
      <c r="T74" s="9" t="n">
        <v>2</v>
      </c>
    </row>
    <row r="75" customFormat="false" ht="15" hidden="false" customHeight="false" outlineLevel="0" collapsed="false">
      <c r="A75" s="4" t="s">
        <v>301</v>
      </c>
      <c r="B75" s="4" t="s">
        <v>302</v>
      </c>
      <c r="C75" s="4" t="s">
        <v>303</v>
      </c>
      <c r="D75" s="10" t="s">
        <v>284</v>
      </c>
      <c r="E75" s="5"/>
      <c r="F75" s="6"/>
      <c r="G75" s="6"/>
      <c r="H75" s="6"/>
      <c r="I75" s="6"/>
      <c r="J75" s="7"/>
      <c r="K75" s="8"/>
      <c r="L75" s="6"/>
      <c r="M75" s="7"/>
      <c r="N75" s="8"/>
      <c r="O75" s="9" t="s">
        <v>27</v>
      </c>
      <c r="P75" s="9" t="s">
        <v>27</v>
      </c>
      <c r="Q75" s="9" t="s">
        <v>27</v>
      </c>
      <c r="R75" s="9" t="s">
        <v>304</v>
      </c>
      <c r="S75" s="9" t="s">
        <v>305</v>
      </c>
      <c r="T75" s="9" t="n">
        <v>2</v>
      </c>
    </row>
    <row r="76" customFormat="false" ht="15" hidden="false" customHeight="false" outlineLevel="0" collapsed="false">
      <c r="A76" s="4" t="s">
        <v>306</v>
      </c>
      <c r="B76" s="4" t="s">
        <v>307</v>
      </c>
      <c r="C76" s="4" t="s">
        <v>277</v>
      </c>
      <c r="D76" s="10" t="s">
        <v>284</v>
      </c>
      <c r="E76" s="5"/>
      <c r="F76" s="6"/>
      <c r="G76" s="6"/>
      <c r="H76" s="6"/>
      <c r="I76" s="6"/>
      <c r="J76" s="7"/>
      <c r="K76" s="8"/>
      <c r="L76" s="6"/>
      <c r="M76" s="7"/>
      <c r="N76" s="8"/>
      <c r="O76" s="9" t="s">
        <v>294</v>
      </c>
      <c r="P76" s="9" t="s">
        <v>308</v>
      </c>
      <c r="Q76" s="9" t="s">
        <v>309</v>
      </c>
      <c r="R76" s="9" t="s">
        <v>310</v>
      </c>
      <c r="S76" s="9" t="s">
        <v>311</v>
      </c>
      <c r="T76" s="9" t="n">
        <v>5</v>
      </c>
    </row>
    <row r="77" customFormat="false" ht="15" hidden="false" customHeight="false" outlineLevel="0" collapsed="false">
      <c r="A77" s="4" t="s">
        <v>312</v>
      </c>
      <c r="B77" s="4" t="s">
        <v>313</v>
      </c>
      <c r="C77" s="4" t="s">
        <v>98</v>
      </c>
      <c r="D77" s="10" t="s">
        <v>284</v>
      </c>
      <c r="E77" s="5"/>
      <c r="F77" s="6"/>
      <c r="G77" s="6"/>
      <c r="H77" s="6"/>
      <c r="I77" s="6"/>
      <c r="J77" s="7"/>
      <c r="K77" s="8"/>
      <c r="L77" s="6"/>
      <c r="M77" s="7"/>
      <c r="N77" s="8"/>
      <c r="O77" s="9" t="s">
        <v>196</v>
      </c>
      <c r="P77" s="9" t="s">
        <v>27</v>
      </c>
      <c r="Q77" s="9" t="s">
        <v>27</v>
      </c>
      <c r="R77" s="9" t="s">
        <v>27</v>
      </c>
      <c r="S77" s="9" t="s">
        <v>314</v>
      </c>
      <c r="T77" s="9" t="n">
        <v>2</v>
      </c>
    </row>
    <row r="78" customFormat="false" ht="15" hidden="false" customHeight="false" outlineLevel="0" collapsed="false">
      <c r="A78" s="4" t="s">
        <v>315</v>
      </c>
      <c r="B78" s="4" t="s">
        <v>316</v>
      </c>
      <c r="C78" s="4" t="s">
        <v>98</v>
      </c>
      <c r="D78" s="10" t="s">
        <v>284</v>
      </c>
      <c r="E78" s="5"/>
      <c r="F78" s="6"/>
      <c r="G78" s="6"/>
      <c r="H78" s="6"/>
      <c r="I78" s="6"/>
      <c r="J78" s="7"/>
      <c r="K78" s="8"/>
      <c r="L78" s="6"/>
      <c r="M78" s="7"/>
      <c r="N78" s="8"/>
      <c r="O78" s="9" t="s">
        <v>27</v>
      </c>
      <c r="P78" s="9" t="s">
        <v>27</v>
      </c>
      <c r="Q78" s="9" t="s">
        <v>27</v>
      </c>
      <c r="R78" s="9" t="s">
        <v>27</v>
      </c>
      <c r="S78" s="9" t="s">
        <v>27</v>
      </c>
      <c r="T78" s="9" t="n">
        <v>0</v>
      </c>
    </row>
    <row r="79" customFormat="false" ht="15" hidden="false" customHeight="false" outlineLevel="0" collapsed="false">
      <c r="A79" s="4" t="s">
        <v>317</v>
      </c>
      <c r="B79" s="4" t="s">
        <v>318</v>
      </c>
      <c r="C79" s="4" t="s">
        <v>143</v>
      </c>
      <c r="D79" s="10" t="s">
        <v>284</v>
      </c>
      <c r="E79" s="5"/>
      <c r="F79" s="6"/>
      <c r="G79" s="6"/>
      <c r="H79" s="6"/>
      <c r="I79" s="6"/>
      <c r="J79" s="7"/>
      <c r="K79" s="8"/>
      <c r="L79" s="6"/>
      <c r="M79" s="7"/>
      <c r="N79" s="8"/>
      <c r="O79" s="9" t="s">
        <v>27</v>
      </c>
      <c r="P79" s="9" t="s">
        <v>27</v>
      </c>
      <c r="Q79" s="9" t="s">
        <v>27</v>
      </c>
      <c r="R79" s="9" t="s">
        <v>27</v>
      </c>
      <c r="S79" s="9" t="s">
        <v>27</v>
      </c>
      <c r="T79" s="9" t="n">
        <v>0</v>
      </c>
    </row>
    <row r="80" customFormat="false" ht="15" hidden="false" customHeight="false" outlineLevel="0" collapsed="false">
      <c r="A80" s="4" t="s">
        <v>319</v>
      </c>
      <c r="B80" s="4" t="s">
        <v>320</v>
      </c>
      <c r="C80" s="4" t="s">
        <v>143</v>
      </c>
      <c r="D80" s="10" t="s">
        <v>284</v>
      </c>
      <c r="E80" s="5"/>
      <c r="F80" s="6"/>
      <c r="G80" s="6"/>
      <c r="H80" s="6"/>
      <c r="I80" s="6"/>
      <c r="J80" s="7"/>
      <c r="K80" s="8"/>
      <c r="L80" s="6"/>
      <c r="M80" s="7"/>
      <c r="N80" s="8"/>
      <c r="O80" s="9" t="s">
        <v>27</v>
      </c>
      <c r="P80" s="9" t="s">
        <v>27</v>
      </c>
      <c r="Q80" s="9" t="s">
        <v>321</v>
      </c>
      <c r="R80" s="9" t="s">
        <v>27</v>
      </c>
      <c r="S80" s="9" t="s">
        <v>27</v>
      </c>
      <c r="T80" s="9" t="n">
        <v>1</v>
      </c>
    </row>
    <row r="81" customFormat="false" ht="15" hidden="false" customHeight="false" outlineLevel="0" collapsed="false">
      <c r="A81" s="4" t="s">
        <v>322</v>
      </c>
      <c r="B81" s="4" t="s">
        <v>323</v>
      </c>
      <c r="C81" s="4" t="s">
        <v>44</v>
      </c>
      <c r="D81" s="10" t="s">
        <v>284</v>
      </c>
      <c r="E81" s="5"/>
      <c r="F81" s="6"/>
      <c r="G81" s="6"/>
      <c r="H81" s="6"/>
      <c r="I81" s="6"/>
      <c r="J81" s="7"/>
      <c r="K81" s="8"/>
      <c r="L81" s="6"/>
      <c r="M81" s="7"/>
      <c r="N81" s="8"/>
      <c r="O81" s="9" t="s">
        <v>27</v>
      </c>
      <c r="P81" s="9" t="s">
        <v>27</v>
      </c>
      <c r="Q81" s="9" t="s">
        <v>27</v>
      </c>
      <c r="R81" s="9" t="s">
        <v>27</v>
      </c>
      <c r="S81" s="9" t="s">
        <v>27</v>
      </c>
      <c r="T81" s="9" t="n">
        <v>0</v>
      </c>
    </row>
    <row r="82" customFormat="false" ht="15" hidden="false" customHeight="false" outlineLevel="0" collapsed="false">
      <c r="A82" s="4" t="s">
        <v>324</v>
      </c>
      <c r="B82" s="4" t="s">
        <v>325</v>
      </c>
      <c r="C82" s="4" t="s">
        <v>44</v>
      </c>
      <c r="D82" s="10" t="s">
        <v>284</v>
      </c>
      <c r="E82" s="5"/>
      <c r="F82" s="6"/>
      <c r="G82" s="6"/>
      <c r="H82" s="6"/>
      <c r="I82" s="6"/>
      <c r="J82" s="7"/>
      <c r="K82" s="8"/>
      <c r="L82" s="6"/>
      <c r="M82" s="7"/>
      <c r="N82" s="8"/>
      <c r="O82" s="9" t="s">
        <v>27</v>
      </c>
      <c r="P82" s="9" t="s">
        <v>27</v>
      </c>
      <c r="Q82" s="9" t="s">
        <v>27</v>
      </c>
      <c r="R82" s="9" t="s">
        <v>27</v>
      </c>
      <c r="S82" s="9" t="s">
        <v>27</v>
      </c>
      <c r="T82" s="9" t="n">
        <v>0</v>
      </c>
    </row>
    <row r="83" customFormat="false" ht="15" hidden="false" customHeight="false" outlineLevel="0" collapsed="false">
      <c r="A83" s="4" t="s">
        <v>326</v>
      </c>
      <c r="B83" s="4" t="s">
        <v>327</v>
      </c>
      <c r="C83" s="4" t="s">
        <v>44</v>
      </c>
      <c r="D83" s="10" t="s">
        <v>284</v>
      </c>
      <c r="E83" s="5"/>
      <c r="F83" s="6"/>
      <c r="G83" s="6"/>
      <c r="H83" s="6"/>
      <c r="I83" s="6"/>
      <c r="J83" s="7"/>
      <c r="K83" s="8"/>
      <c r="L83" s="6"/>
      <c r="M83" s="7"/>
      <c r="N83" s="8"/>
      <c r="O83" s="9" t="s">
        <v>27</v>
      </c>
      <c r="P83" s="9" t="s">
        <v>27</v>
      </c>
      <c r="Q83" s="9" t="s">
        <v>27</v>
      </c>
      <c r="R83" s="9" t="s">
        <v>27</v>
      </c>
      <c r="S83" s="9" t="s">
        <v>27</v>
      </c>
      <c r="T83" s="9" t="n">
        <v>0</v>
      </c>
    </row>
    <row r="84" customFormat="false" ht="15" hidden="false" customHeight="false" outlineLevel="0" collapsed="false">
      <c r="A84" s="4" t="s">
        <v>328</v>
      </c>
      <c r="B84" s="4" t="s">
        <v>329</v>
      </c>
      <c r="C84" s="4" t="s">
        <v>44</v>
      </c>
      <c r="D84" s="10" t="s">
        <v>284</v>
      </c>
      <c r="E84" s="5"/>
      <c r="F84" s="6"/>
      <c r="G84" s="6"/>
      <c r="H84" s="6"/>
      <c r="I84" s="6"/>
      <c r="J84" s="7"/>
      <c r="K84" s="8"/>
      <c r="L84" s="6"/>
      <c r="M84" s="7"/>
      <c r="N84" s="8"/>
      <c r="O84" s="9" t="s">
        <v>27</v>
      </c>
      <c r="P84" s="9" t="s">
        <v>27</v>
      </c>
      <c r="Q84" s="9" t="s">
        <v>27</v>
      </c>
      <c r="R84" s="9" t="s">
        <v>27</v>
      </c>
      <c r="S84" s="9" t="s">
        <v>27</v>
      </c>
      <c r="T84" s="9" t="n">
        <v>0</v>
      </c>
    </row>
    <row r="85" customFormat="false" ht="15" hidden="false" customHeight="false" outlineLevel="0" collapsed="false">
      <c r="A85" s="4" t="s">
        <v>330</v>
      </c>
      <c r="B85" s="4" t="s">
        <v>331</v>
      </c>
      <c r="C85" s="4" t="s">
        <v>91</v>
      </c>
      <c r="D85" s="10" t="s">
        <v>284</v>
      </c>
      <c r="E85" s="5"/>
      <c r="F85" s="6"/>
      <c r="G85" s="6"/>
      <c r="H85" s="6"/>
      <c r="I85" s="6"/>
      <c r="J85" s="7"/>
      <c r="K85" s="8"/>
      <c r="L85" s="6"/>
      <c r="M85" s="7"/>
      <c r="N85" s="8"/>
      <c r="O85" s="9" t="s">
        <v>27</v>
      </c>
      <c r="P85" s="9" t="s">
        <v>27</v>
      </c>
      <c r="Q85" s="9" t="s">
        <v>27</v>
      </c>
      <c r="R85" s="9" t="s">
        <v>27</v>
      </c>
      <c r="S85" s="9" t="s">
        <v>27</v>
      </c>
      <c r="T85" s="9" t="n">
        <v>0</v>
      </c>
    </row>
    <row r="86" customFormat="false" ht="15" hidden="false" customHeight="false" outlineLevel="0" collapsed="false">
      <c r="A86" s="4" t="s">
        <v>332</v>
      </c>
      <c r="B86" s="4" t="s">
        <v>333</v>
      </c>
      <c r="C86" s="4" t="s">
        <v>98</v>
      </c>
      <c r="D86" s="10" t="s">
        <v>284</v>
      </c>
      <c r="E86" s="5"/>
      <c r="F86" s="6"/>
      <c r="G86" s="6"/>
      <c r="H86" s="6"/>
      <c r="I86" s="6"/>
      <c r="J86" s="7"/>
      <c r="K86" s="8"/>
      <c r="L86" s="6"/>
      <c r="M86" s="7"/>
      <c r="N86" s="8"/>
      <c r="O86" s="9" t="s">
        <v>27</v>
      </c>
      <c r="P86" s="9" t="s">
        <v>27</v>
      </c>
      <c r="Q86" s="9" t="s">
        <v>27</v>
      </c>
      <c r="R86" s="9" t="s">
        <v>27</v>
      </c>
      <c r="S86" s="9" t="s">
        <v>27</v>
      </c>
      <c r="T86" s="9" t="n">
        <v>0</v>
      </c>
    </row>
    <row r="87" customFormat="false" ht="15" hidden="false" customHeight="false" outlineLevel="0" collapsed="false">
      <c r="A87" s="4" t="s">
        <v>334</v>
      </c>
      <c r="B87" s="4" t="s">
        <v>335</v>
      </c>
      <c r="C87" s="4" t="s">
        <v>98</v>
      </c>
      <c r="D87" s="10" t="s">
        <v>284</v>
      </c>
      <c r="E87" s="5"/>
      <c r="F87" s="6"/>
      <c r="G87" s="6"/>
      <c r="H87" s="6"/>
      <c r="I87" s="6"/>
      <c r="J87" s="7"/>
      <c r="K87" s="8"/>
      <c r="L87" s="6"/>
      <c r="M87" s="7"/>
      <c r="N87" s="8"/>
      <c r="O87" s="9" t="s">
        <v>27</v>
      </c>
      <c r="P87" s="9" t="s">
        <v>27</v>
      </c>
      <c r="Q87" s="9" t="s">
        <v>27</v>
      </c>
      <c r="R87" s="9" t="s">
        <v>27</v>
      </c>
      <c r="S87" s="9" t="s">
        <v>27</v>
      </c>
      <c r="T87" s="9" t="n">
        <v>0</v>
      </c>
    </row>
    <row r="88" customFormat="false" ht="15" hidden="false" customHeight="false" outlineLevel="0" collapsed="false">
      <c r="A88" s="4" t="s">
        <v>336</v>
      </c>
      <c r="B88" s="4" t="s">
        <v>337</v>
      </c>
      <c r="C88" s="4" t="s">
        <v>200</v>
      </c>
      <c r="D88" s="10" t="s">
        <v>284</v>
      </c>
      <c r="E88" s="5"/>
      <c r="F88" s="6"/>
      <c r="G88" s="6"/>
      <c r="H88" s="6"/>
      <c r="I88" s="6"/>
      <c r="J88" s="7"/>
      <c r="K88" s="8"/>
      <c r="L88" s="6"/>
      <c r="M88" s="7"/>
      <c r="N88" s="8"/>
      <c r="O88" s="9" t="s">
        <v>27</v>
      </c>
      <c r="P88" s="9" t="s">
        <v>27</v>
      </c>
      <c r="Q88" s="9" t="s">
        <v>27</v>
      </c>
      <c r="R88" s="9" t="s">
        <v>27</v>
      </c>
      <c r="S88" s="9" t="s">
        <v>27</v>
      </c>
      <c r="T88" s="9" t="n">
        <v>0</v>
      </c>
    </row>
    <row r="89" customFormat="false" ht="15" hidden="false" customHeight="false" outlineLevel="0" collapsed="false">
      <c r="A89" s="4" t="s">
        <v>338</v>
      </c>
      <c r="B89" s="4"/>
      <c r="C89" s="4"/>
      <c r="D89" s="10" t="s">
        <v>284</v>
      </c>
      <c r="E89" s="5"/>
      <c r="F89" s="6"/>
      <c r="G89" s="6"/>
      <c r="H89" s="6"/>
      <c r="I89" s="6"/>
      <c r="J89" s="7"/>
      <c r="K89" s="8"/>
      <c r="L89" s="6"/>
      <c r="M89" s="7"/>
      <c r="N89" s="8"/>
      <c r="O89" s="9" t="s">
        <v>27</v>
      </c>
      <c r="P89" s="9" t="s">
        <v>27</v>
      </c>
      <c r="Q89" s="9" t="s">
        <v>27</v>
      </c>
      <c r="R89" s="9" t="s">
        <v>27</v>
      </c>
      <c r="S89" s="9" t="s">
        <v>27</v>
      </c>
      <c r="T89" s="9" t="n">
        <v>0</v>
      </c>
    </row>
    <row r="90" customFormat="false" ht="15" hidden="false" customHeight="false" outlineLevel="0" collapsed="false">
      <c r="A90" s="4" t="s">
        <v>339</v>
      </c>
      <c r="B90" s="4"/>
      <c r="C90" s="4"/>
      <c r="D90" s="10" t="s">
        <v>284</v>
      </c>
      <c r="E90" s="5"/>
      <c r="F90" s="6"/>
      <c r="G90" s="6"/>
      <c r="H90" s="6"/>
      <c r="I90" s="6"/>
      <c r="J90" s="7"/>
      <c r="K90" s="8"/>
      <c r="L90" s="6"/>
      <c r="M90" s="7"/>
      <c r="N90" s="8"/>
      <c r="O90" s="9" t="s">
        <v>27</v>
      </c>
      <c r="P90" s="9" t="s">
        <v>27</v>
      </c>
      <c r="Q90" s="9" t="s">
        <v>27</v>
      </c>
      <c r="R90" s="9" t="s">
        <v>27</v>
      </c>
      <c r="S90" s="9" t="s">
        <v>27</v>
      </c>
      <c r="T90" s="9" t="n">
        <v>0</v>
      </c>
    </row>
    <row r="91" customFormat="false" ht="15" hidden="false" customHeight="false" outlineLevel="0" collapsed="false">
      <c r="A91" s="4" t="s">
        <v>340</v>
      </c>
      <c r="B91" s="4"/>
      <c r="C91" s="4"/>
      <c r="D91" s="10" t="s">
        <v>284</v>
      </c>
      <c r="E91" s="5"/>
      <c r="F91" s="6"/>
      <c r="G91" s="6"/>
      <c r="H91" s="6"/>
      <c r="I91" s="6"/>
      <c r="J91" s="7"/>
      <c r="K91" s="8"/>
      <c r="L91" s="6"/>
      <c r="M91" s="7"/>
      <c r="N91" s="8"/>
      <c r="O91" s="9" t="s">
        <v>27</v>
      </c>
      <c r="P91" s="9" t="s">
        <v>27</v>
      </c>
      <c r="Q91" s="9" t="s">
        <v>27</v>
      </c>
      <c r="R91" s="9" t="s">
        <v>27</v>
      </c>
      <c r="S91" s="9" t="s">
        <v>27</v>
      </c>
      <c r="T91" s="9" t="n">
        <v>0</v>
      </c>
    </row>
    <row r="92" customFormat="false" ht="15" hidden="false" customHeight="false" outlineLevel="0" collapsed="false">
      <c r="A92" s="4" t="s">
        <v>341</v>
      </c>
      <c r="B92" s="4"/>
      <c r="C92" s="4"/>
      <c r="D92" s="10" t="s">
        <v>284</v>
      </c>
      <c r="E92" s="5"/>
      <c r="F92" s="6"/>
      <c r="G92" s="6"/>
      <c r="H92" s="6"/>
      <c r="I92" s="6"/>
      <c r="J92" s="7"/>
      <c r="K92" s="8"/>
      <c r="L92" s="6"/>
      <c r="M92" s="7"/>
      <c r="N92" s="8"/>
      <c r="O92" s="9" t="s">
        <v>27</v>
      </c>
      <c r="P92" s="9" t="s">
        <v>27</v>
      </c>
      <c r="Q92" s="9" t="s">
        <v>27</v>
      </c>
      <c r="R92" s="9" t="s">
        <v>27</v>
      </c>
      <c r="S92" s="9" t="s">
        <v>27</v>
      </c>
      <c r="T92" s="9" t="n">
        <v>0</v>
      </c>
    </row>
    <row r="93" customFormat="false" ht="15" hidden="false" customHeight="false" outlineLevel="0" collapsed="false">
      <c r="A93" s="4" t="s">
        <v>342</v>
      </c>
      <c r="B93" s="4"/>
      <c r="C93" s="4"/>
      <c r="D93" s="10" t="s">
        <v>284</v>
      </c>
      <c r="E93" s="5"/>
      <c r="F93" s="6"/>
      <c r="G93" s="6"/>
      <c r="H93" s="6"/>
      <c r="I93" s="6"/>
      <c r="J93" s="7"/>
      <c r="K93" s="8"/>
      <c r="L93" s="6"/>
      <c r="M93" s="7"/>
      <c r="N93" s="8"/>
      <c r="O93" s="9" t="s">
        <v>27</v>
      </c>
      <c r="P93" s="9" t="s">
        <v>27</v>
      </c>
      <c r="Q93" s="9" t="s">
        <v>27</v>
      </c>
      <c r="R93" s="9" t="s">
        <v>27</v>
      </c>
      <c r="S93" s="9" t="s">
        <v>27</v>
      </c>
      <c r="T93" s="9" t="n">
        <v>0</v>
      </c>
    </row>
    <row r="94" customFormat="false" ht="15" hidden="false" customHeight="false" outlineLevel="0" collapsed="false">
      <c r="A94" s="4" t="s">
        <v>343</v>
      </c>
      <c r="B94" s="4"/>
      <c r="C94" s="4"/>
      <c r="D94" s="10" t="s">
        <v>284</v>
      </c>
      <c r="E94" s="5"/>
      <c r="F94" s="6"/>
      <c r="G94" s="6"/>
      <c r="H94" s="6"/>
      <c r="I94" s="6"/>
      <c r="J94" s="7"/>
      <c r="K94" s="8"/>
      <c r="L94" s="6"/>
      <c r="M94" s="7"/>
      <c r="N94" s="8"/>
      <c r="O94" s="9" t="s">
        <v>27</v>
      </c>
      <c r="P94" s="9" t="s">
        <v>27</v>
      </c>
      <c r="Q94" s="9" t="s">
        <v>27</v>
      </c>
      <c r="R94" s="9" t="s">
        <v>27</v>
      </c>
      <c r="S94" s="9" t="s">
        <v>27</v>
      </c>
      <c r="T94" s="9" t="n">
        <v>0</v>
      </c>
    </row>
    <row r="95" customFormat="false" ht="15" hidden="false" customHeight="false" outlineLevel="0" collapsed="false">
      <c r="A95" s="4" t="s">
        <v>344</v>
      </c>
      <c r="B95" s="4"/>
      <c r="C95" s="4"/>
      <c r="D95" s="10" t="s">
        <v>284</v>
      </c>
      <c r="E95" s="5"/>
      <c r="F95" s="6"/>
      <c r="G95" s="6"/>
      <c r="H95" s="6"/>
      <c r="I95" s="6"/>
      <c r="J95" s="7"/>
      <c r="K95" s="8"/>
      <c r="L95" s="6"/>
      <c r="M95" s="7"/>
      <c r="N95" s="8"/>
      <c r="O95" s="9" t="s">
        <v>27</v>
      </c>
      <c r="P95" s="9" t="s">
        <v>27</v>
      </c>
      <c r="Q95" s="9" t="s">
        <v>27</v>
      </c>
      <c r="R95" s="9" t="s">
        <v>27</v>
      </c>
      <c r="S95" s="9" t="s">
        <v>27</v>
      </c>
      <c r="T95" s="9" t="n">
        <v>0</v>
      </c>
    </row>
    <row r="96" customFormat="false" ht="15" hidden="false" customHeight="false" outlineLevel="0" collapsed="false">
      <c r="A96" s="4" t="s">
        <v>345</v>
      </c>
      <c r="B96" s="4"/>
      <c r="C96" s="4"/>
      <c r="D96" s="10" t="s">
        <v>284</v>
      </c>
      <c r="E96" s="5"/>
      <c r="F96" s="6"/>
      <c r="G96" s="6"/>
      <c r="H96" s="6"/>
      <c r="I96" s="6"/>
      <c r="J96" s="7"/>
      <c r="K96" s="8"/>
      <c r="L96" s="6"/>
      <c r="M96" s="7"/>
      <c r="N96" s="8"/>
      <c r="O96" s="9" t="s">
        <v>27</v>
      </c>
      <c r="P96" s="9" t="s">
        <v>27</v>
      </c>
      <c r="Q96" s="9" t="s">
        <v>27</v>
      </c>
      <c r="R96" s="9" t="s">
        <v>27</v>
      </c>
      <c r="S96" s="9" t="s">
        <v>27</v>
      </c>
      <c r="T96" s="9" t="n">
        <v>0</v>
      </c>
    </row>
    <row r="97" customFormat="false" ht="15" hidden="false" customHeight="false" outlineLevel="0" collapsed="false">
      <c r="A97" s="4" t="s">
        <v>346</v>
      </c>
      <c r="B97" s="4"/>
      <c r="C97" s="4"/>
      <c r="D97" s="10" t="s">
        <v>284</v>
      </c>
      <c r="E97" s="5"/>
      <c r="F97" s="6"/>
      <c r="G97" s="6"/>
      <c r="H97" s="6"/>
      <c r="I97" s="6"/>
      <c r="J97" s="7"/>
      <c r="K97" s="8"/>
      <c r="L97" s="6"/>
      <c r="M97" s="7"/>
      <c r="N97" s="8"/>
      <c r="O97" s="9" t="s">
        <v>27</v>
      </c>
      <c r="P97" s="9" t="s">
        <v>27</v>
      </c>
      <c r="Q97" s="9" t="s">
        <v>27</v>
      </c>
      <c r="R97" s="9" t="s">
        <v>27</v>
      </c>
      <c r="S97" s="9" t="s">
        <v>27</v>
      </c>
      <c r="T97" s="9" t="n">
        <v>0</v>
      </c>
    </row>
    <row r="98" customFormat="false" ht="15" hidden="false" customHeight="false" outlineLevel="0" collapsed="false">
      <c r="A98" s="4" t="s">
        <v>347</v>
      </c>
      <c r="B98" s="4"/>
      <c r="C98" s="4"/>
      <c r="D98" s="10" t="s">
        <v>284</v>
      </c>
      <c r="E98" s="5"/>
      <c r="F98" s="6"/>
      <c r="G98" s="6"/>
      <c r="H98" s="6"/>
      <c r="I98" s="6"/>
      <c r="J98" s="7"/>
      <c r="K98" s="8"/>
      <c r="L98" s="6"/>
      <c r="M98" s="7"/>
      <c r="N98" s="8"/>
      <c r="O98" s="9" t="s">
        <v>27</v>
      </c>
      <c r="P98" s="9" t="s">
        <v>27</v>
      </c>
      <c r="Q98" s="9" t="s">
        <v>27</v>
      </c>
      <c r="R98" s="9" t="s">
        <v>27</v>
      </c>
      <c r="S98" s="9" t="s">
        <v>27</v>
      </c>
      <c r="T98" s="9" t="n">
        <v>0</v>
      </c>
    </row>
    <row r="99" customFormat="false" ht="15" hidden="false" customHeight="false" outlineLevel="0" collapsed="false">
      <c r="A99" s="4" t="s">
        <v>348</v>
      </c>
      <c r="B99" s="4"/>
      <c r="C99" s="4"/>
      <c r="D99" s="10" t="s">
        <v>284</v>
      </c>
      <c r="E99" s="5"/>
      <c r="F99" s="6"/>
      <c r="G99" s="6"/>
      <c r="H99" s="6"/>
      <c r="I99" s="6"/>
      <c r="J99" s="7"/>
      <c r="K99" s="8"/>
      <c r="L99" s="6"/>
      <c r="M99" s="7"/>
      <c r="N99" s="8"/>
      <c r="O99" s="9" t="s">
        <v>27</v>
      </c>
      <c r="P99" s="9" t="s">
        <v>27</v>
      </c>
      <c r="Q99" s="9" t="s">
        <v>27</v>
      </c>
      <c r="R99" s="9" t="s">
        <v>27</v>
      </c>
      <c r="S99" s="9" t="s">
        <v>27</v>
      </c>
      <c r="T99" s="9" t="n">
        <v>0</v>
      </c>
    </row>
    <row r="100" customFormat="false" ht="15" hidden="false" customHeight="false" outlineLevel="0" collapsed="false">
      <c r="B100" s="11" t="s">
        <v>349</v>
      </c>
      <c r="E100" s="12" t="n">
        <f aca="false">SUM(E2:E99)</f>
        <v>70851.5</v>
      </c>
      <c r="J100" s="12" t="n">
        <f aca="false">SUM(J2:J99)</f>
        <v>65032.7329782957</v>
      </c>
      <c r="K100" s="12" t="n">
        <f aca="false">SUM(K2:K99)</f>
        <v>5818.76702170435</v>
      </c>
      <c r="L100" s="13" t="n">
        <f aca="false">IFERROR(K100/E100,0)</f>
        <v>0.0821262361658447</v>
      </c>
      <c r="M100" s="12" t="n">
        <f aca="false">SUM(M2:M99)</f>
        <v>1950981.98934887</v>
      </c>
      <c r="N100" s="12" t="n">
        <f aca="false">SUM(N2:N99)</f>
        <v>174563.01065113</v>
      </c>
      <c r="T100" s="12" t="n">
        <f aca="false">SUM(T2:T99)</f>
        <v>354</v>
      </c>
    </row>
  </sheetData>
  <autoFilter ref="A1:T9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16"/>
    <col collapsed="false" customWidth="true" hidden="false" outlineLevel="0" max="5" min="5" style="0" width="32"/>
  </cols>
  <sheetData>
    <row r="1" customFormat="false" ht="15" hidden="false" customHeight="false" outlineLevel="0" collapsed="false">
      <c r="A1" s="14" t="s">
        <v>0</v>
      </c>
      <c r="B1" s="14" t="s">
        <v>1</v>
      </c>
      <c r="C1" s="14" t="s">
        <v>2</v>
      </c>
      <c r="D1" s="14" t="s">
        <v>350</v>
      </c>
      <c r="E1" s="14" t="s">
        <v>351</v>
      </c>
    </row>
    <row r="2" customFormat="false" ht="15" hidden="false" customHeight="false" outlineLevel="0" collapsed="false">
      <c r="A2" s="15" t="s">
        <v>20</v>
      </c>
      <c r="B2" s="15" t="s">
        <v>21</v>
      </c>
      <c r="C2" s="15" t="s">
        <v>22</v>
      </c>
      <c r="D2" s="15" t="s">
        <v>14</v>
      </c>
      <c r="E2" s="15" t="s">
        <v>101</v>
      </c>
    </row>
    <row r="3" customFormat="false" ht="15" hidden="false" customHeight="false" outlineLevel="0" collapsed="false">
      <c r="A3" s="15" t="s">
        <v>20</v>
      </c>
      <c r="B3" s="15" t="s">
        <v>21</v>
      </c>
      <c r="C3" s="15" t="s">
        <v>22</v>
      </c>
      <c r="D3" s="15" t="s">
        <v>14</v>
      </c>
      <c r="E3" s="15" t="s">
        <v>352</v>
      </c>
    </row>
    <row r="4" customFormat="false" ht="15" hidden="false" customHeight="false" outlineLevel="0" collapsed="false">
      <c r="A4" s="15" t="s">
        <v>20</v>
      </c>
      <c r="B4" s="15" t="s">
        <v>21</v>
      </c>
      <c r="C4" s="15" t="s">
        <v>22</v>
      </c>
      <c r="D4" s="15" t="s">
        <v>14</v>
      </c>
      <c r="E4" s="15" t="s">
        <v>353</v>
      </c>
    </row>
    <row r="5" customFormat="false" ht="15" hidden="false" customHeight="false" outlineLevel="0" collapsed="false">
      <c r="A5" s="15" t="s">
        <v>20</v>
      </c>
      <c r="B5" s="15" t="s">
        <v>21</v>
      </c>
      <c r="C5" s="15" t="s">
        <v>22</v>
      </c>
      <c r="D5" s="15" t="s">
        <v>14</v>
      </c>
      <c r="E5" s="15" t="s">
        <v>354</v>
      </c>
    </row>
    <row r="6" customFormat="false" ht="15" hidden="false" customHeight="false" outlineLevel="0" collapsed="false">
      <c r="A6" s="15" t="s">
        <v>20</v>
      </c>
      <c r="B6" s="15" t="s">
        <v>21</v>
      </c>
      <c r="C6" s="15" t="s">
        <v>22</v>
      </c>
      <c r="D6" s="15" t="s">
        <v>14</v>
      </c>
      <c r="E6" s="15" t="s">
        <v>355</v>
      </c>
    </row>
    <row r="7" customFormat="false" ht="15" hidden="false" customHeight="false" outlineLevel="0" collapsed="false">
      <c r="A7" s="15" t="s">
        <v>20</v>
      </c>
      <c r="B7" s="15" t="s">
        <v>21</v>
      </c>
      <c r="C7" s="15" t="s">
        <v>22</v>
      </c>
      <c r="D7" s="15" t="s">
        <v>14</v>
      </c>
      <c r="E7" s="15" t="s">
        <v>356</v>
      </c>
    </row>
    <row r="8" customFormat="false" ht="15" hidden="false" customHeight="false" outlineLevel="0" collapsed="false">
      <c r="A8" s="15" t="s">
        <v>20</v>
      </c>
      <c r="B8" s="15" t="s">
        <v>21</v>
      </c>
      <c r="C8" s="15" t="s">
        <v>22</v>
      </c>
      <c r="D8" s="15" t="s">
        <v>14</v>
      </c>
      <c r="E8" s="15" t="s">
        <v>357</v>
      </c>
    </row>
    <row r="9" customFormat="false" ht="15" hidden="false" customHeight="false" outlineLevel="0" collapsed="false">
      <c r="A9" s="15" t="s">
        <v>20</v>
      </c>
      <c r="B9" s="15" t="s">
        <v>21</v>
      </c>
      <c r="C9" s="15" t="s">
        <v>22</v>
      </c>
      <c r="D9" s="15" t="s">
        <v>14</v>
      </c>
      <c r="E9" s="15" t="s">
        <v>358</v>
      </c>
    </row>
    <row r="10" customFormat="false" ht="15" hidden="false" customHeight="false" outlineLevel="0" collapsed="false">
      <c r="A10" s="15" t="s">
        <v>20</v>
      </c>
      <c r="B10" s="15" t="s">
        <v>21</v>
      </c>
      <c r="C10" s="15" t="s">
        <v>22</v>
      </c>
      <c r="D10" s="15" t="s">
        <v>14</v>
      </c>
      <c r="E10" s="15" t="s">
        <v>359</v>
      </c>
    </row>
    <row r="11" customFormat="false" ht="15" hidden="false" customHeight="false" outlineLevel="0" collapsed="false">
      <c r="A11" s="15" t="s">
        <v>20</v>
      </c>
      <c r="B11" s="15" t="s">
        <v>21</v>
      </c>
      <c r="C11" s="15" t="s">
        <v>22</v>
      </c>
      <c r="D11" s="15" t="s">
        <v>14</v>
      </c>
      <c r="E11" s="15" t="s">
        <v>360</v>
      </c>
    </row>
    <row r="12" customFormat="false" ht="15" hidden="false" customHeight="false" outlineLevel="0" collapsed="false">
      <c r="A12" s="15" t="s">
        <v>20</v>
      </c>
      <c r="B12" s="15" t="s">
        <v>21</v>
      </c>
      <c r="C12" s="15" t="s">
        <v>22</v>
      </c>
      <c r="D12" s="15" t="s">
        <v>15</v>
      </c>
      <c r="E12" s="15" t="s">
        <v>361</v>
      </c>
    </row>
    <row r="13" customFormat="false" ht="15" hidden="false" customHeight="false" outlineLevel="0" collapsed="false">
      <c r="A13" s="15" t="s">
        <v>20</v>
      </c>
      <c r="B13" s="15" t="s">
        <v>21</v>
      </c>
      <c r="C13" s="15" t="s">
        <v>22</v>
      </c>
      <c r="D13" s="15" t="s">
        <v>15</v>
      </c>
      <c r="E13" s="15" t="s">
        <v>362</v>
      </c>
    </row>
    <row r="14" customFormat="false" ht="15" hidden="false" customHeight="false" outlineLevel="0" collapsed="false">
      <c r="A14" s="15" t="s">
        <v>20</v>
      </c>
      <c r="B14" s="15" t="s">
        <v>21</v>
      </c>
      <c r="C14" s="15" t="s">
        <v>22</v>
      </c>
      <c r="D14" s="15" t="s">
        <v>15</v>
      </c>
      <c r="E14" s="15" t="s">
        <v>363</v>
      </c>
    </row>
    <row r="15" customFormat="false" ht="15" hidden="false" customHeight="false" outlineLevel="0" collapsed="false">
      <c r="A15" s="15" t="s">
        <v>20</v>
      </c>
      <c r="B15" s="15" t="s">
        <v>21</v>
      </c>
      <c r="C15" s="15" t="s">
        <v>22</v>
      </c>
      <c r="D15" s="15" t="s">
        <v>15</v>
      </c>
      <c r="E15" s="15" t="s">
        <v>69</v>
      </c>
    </row>
    <row r="16" customFormat="false" ht="15" hidden="false" customHeight="false" outlineLevel="0" collapsed="false">
      <c r="A16" s="15" t="s">
        <v>20</v>
      </c>
      <c r="B16" s="15" t="s">
        <v>21</v>
      </c>
      <c r="C16" s="15" t="s">
        <v>22</v>
      </c>
      <c r="D16" s="15" t="s">
        <v>15</v>
      </c>
      <c r="E16" s="15" t="s">
        <v>364</v>
      </c>
    </row>
    <row r="17" customFormat="false" ht="15" hidden="false" customHeight="false" outlineLevel="0" collapsed="false">
      <c r="A17" s="15" t="s">
        <v>20</v>
      </c>
      <c r="B17" s="15" t="s">
        <v>21</v>
      </c>
      <c r="C17" s="15" t="s">
        <v>22</v>
      </c>
      <c r="D17" s="15" t="s">
        <v>15</v>
      </c>
      <c r="E17" s="15" t="s">
        <v>365</v>
      </c>
    </row>
    <row r="18" customFormat="false" ht="15" hidden="false" customHeight="false" outlineLevel="0" collapsed="false">
      <c r="A18" s="15" t="s">
        <v>20</v>
      </c>
      <c r="B18" s="15" t="s">
        <v>21</v>
      </c>
      <c r="C18" s="15" t="s">
        <v>22</v>
      </c>
      <c r="D18" s="15" t="s">
        <v>15</v>
      </c>
      <c r="E18" s="15" t="s">
        <v>366</v>
      </c>
    </row>
    <row r="19" customFormat="false" ht="15" hidden="false" customHeight="false" outlineLevel="0" collapsed="false">
      <c r="A19" s="15" t="s">
        <v>20</v>
      </c>
      <c r="B19" s="15" t="s">
        <v>21</v>
      </c>
      <c r="C19" s="15" t="s">
        <v>22</v>
      </c>
      <c r="D19" s="15" t="s">
        <v>15</v>
      </c>
      <c r="E19" s="15" t="s">
        <v>367</v>
      </c>
    </row>
    <row r="20" customFormat="false" ht="15" hidden="false" customHeight="false" outlineLevel="0" collapsed="false">
      <c r="A20" s="15" t="s">
        <v>20</v>
      </c>
      <c r="B20" s="15" t="s">
        <v>21</v>
      </c>
      <c r="C20" s="15" t="s">
        <v>22</v>
      </c>
      <c r="D20" s="15" t="s">
        <v>15</v>
      </c>
      <c r="E20" s="15" t="s">
        <v>368</v>
      </c>
    </row>
    <row r="21" customFormat="false" ht="15" hidden="false" customHeight="false" outlineLevel="0" collapsed="false">
      <c r="A21" s="15" t="s">
        <v>20</v>
      </c>
      <c r="B21" s="15" t="s">
        <v>21</v>
      </c>
      <c r="C21" s="15" t="s">
        <v>22</v>
      </c>
      <c r="D21" s="15" t="s">
        <v>15</v>
      </c>
      <c r="E21" s="15" t="s">
        <v>369</v>
      </c>
    </row>
    <row r="22" customFormat="false" ht="15" hidden="false" customHeight="false" outlineLevel="0" collapsed="false">
      <c r="A22" s="15" t="s">
        <v>20</v>
      </c>
      <c r="B22" s="15" t="s">
        <v>21</v>
      </c>
      <c r="C22" s="15" t="s">
        <v>22</v>
      </c>
      <c r="D22" s="15" t="s">
        <v>15</v>
      </c>
      <c r="E22" s="15" t="s">
        <v>370</v>
      </c>
    </row>
    <row r="23" customFormat="false" ht="15" hidden="false" customHeight="false" outlineLevel="0" collapsed="false">
      <c r="A23" s="15" t="s">
        <v>20</v>
      </c>
      <c r="B23" s="15" t="s">
        <v>21</v>
      </c>
      <c r="C23" s="15" t="s">
        <v>22</v>
      </c>
      <c r="D23" s="15" t="s">
        <v>15</v>
      </c>
      <c r="E23" s="15" t="s">
        <v>371</v>
      </c>
    </row>
    <row r="24" customFormat="false" ht="15" hidden="false" customHeight="false" outlineLevel="0" collapsed="false">
      <c r="A24" s="15" t="s">
        <v>20</v>
      </c>
      <c r="B24" s="15" t="s">
        <v>21</v>
      </c>
      <c r="C24" s="15" t="s">
        <v>22</v>
      </c>
      <c r="D24" s="15" t="s">
        <v>15</v>
      </c>
      <c r="E24" s="15" t="s">
        <v>372</v>
      </c>
    </row>
    <row r="25" customFormat="false" ht="15" hidden="false" customHeight="false" outlineLevel="0" collapsed="false">
      <c r="A25" s="15" t="s">
        <v>20</v>
      </c>
      <c r="B25" s="15" t="s">
        <v>21</v>
      </c>
      <c r="C25" s="15" t="s">
        <v>22</v>
      </c>
      <c r="D25" s="15" t="s">
        <v>15</v>
      </c>
      <c r="E25" s="15" t="s">
        <v>373</v>
      </c>
    </row>
    <row r="26" customFormat="false" ht="15" hidden="false" customHeight="false" outlineLevel="0" collapsed="false">
      <c r="A26" s="15" t="s">
        <v>20</v>
      </c>
      <c r="B26" s="15" t="s">
        <v>21</v>
      </c>
      <c r="C26" s="15" t="s">
        <v>22</v>
      </c>
      <c r="D26" s="15" t="s">
        <v>15</v>
      </c>
      <c r="E26" s="15" t="s">
        <v>374</v>
      </c>
    </row>
    <row r="27" customFormat="false" ht="15" hidden="false" customHeight="false" outlineLevel="0" collapsed="false">
      <c r="A27" s="15" t="s">
        <v>20</v>
      </c>
      <c r="B27" s="15" t="s">
        <v>21</v>
      </c>
      <c r="C27" s="15" t="s">
        <v>22</v>
      </c>
      <c r="D27" s="15" t="s">
        <v>15</v>
      </c>
      <c r="E27" s="15" t="s">
        <v>375</v>
      </c>
    </row>
    <row r="28" customFormat="false" ht="15" hidden="false" customHeight="false" outlineLevel="0" collapsed="false">
      <c r="A28" s="15" t="s">
        <v>20</v>
      </c>
      <c r="B28" s="15" t="s">
        <v>21</v>
      </c>
      <c r="C28" s="15" t="s">
        <v>22</v>
      </c>
      <c r="D28" s="15" t="s">
        <v>15</v>
      </c>
      <c r="E28" s="15" t="s">
        <v>376</v>
      </c>
    </row>
    <row r="29" customFormat="false" ht="15" hidden="false" customHeight="false" outlineLevel="0" collapsed="false">
      <c r="A29" s="15" t="s">
        <v>20</v>
      </c>
      <c r="B29" s="15" t="s">
        <v>21</v>
      </c>
      <c r="C29" s="15" t="s">
        <v>22</v>
      </c>
      <c r="D29" s="15" t="s">
        <v>15</v>
      </c>
      <c r="E29" s="15" t="s">
        <v>377</v>
      </c>
    </row>
    <row r="30" customFormat="false" ht="15" hidden="false" customHeight="false" outlineLevel="0" collapsed="false">
      <c r="A30" s="15" t="s">
        <v>20</v>
      </c>
      <c r="B30" s="15" t="s">
        <v>21</v>
      </c>
      <c r="C30" s="15" t="s">
        <v>22</v>
      </c>
      <c r="D30" s="15" t="s">
        <v>15</v>
      </c>
      <c r="E30" s="15" t="s">
        <v>378</v>
      </c>
    </row>
    <row r="31" customFormat="false" ht="15" hidden="false" customHeight="false" outlineLevel="0" collapsed="false">
      <c r="A31" s="15" t="s">
        <v>20</v>
      </c>
      <c r="B31" s="15" t="s">
        <v>21</v>
      </c>
      <c r="C31" s="15" t="s">
        <v>22</v>
      </c>
      <c r="D31" s="15" t="s">
        <v>15</v>
      </c>
      <c r="E31" s="15" t="s">
        <v>379</v>
      </c>
    </row>
    <row r="32" customFormat="false" ht="15" hidden="false" customHeight="false" outlineLevel="0" collapsed="false">
      <c r="A32" s="15" t="s">
        <v>20</v>
      </c>
      <c r="B32" s="15" t="s">
        <v>21</v>
      </c>
      <c r="C32" s="15" t="s">
        <v>22</v>
      </c>
      <c r="D32" s="15" t="s">
        <v>15</v>
      </c>
      <c r="E32" s="15" t="s">
        <v>380</v>
      </c>
    </row>
    <row r="33" customFormat="false" ht="15" hidden="false" customHeight="false" outlineLevel="0" collapsed="false">
      <c r="A33" s="15" t="s">
        <v>20</v>
      </c>
      <c r="B33" s="15" t="s">
        <v>21</v>
      </c>
      <c r="C33" s="15" t="s">
        <v>22</v>
      </c>
      <c r="D33" s="15" t="s">
        <v>15</v>
      </c>
      <c r="E33" s="15" t="s">
        <v>381</v>
      </c>
    </row>
    <row r="34" customFormat="false" ht="15" hidden="false" customHeight="false" outlineLevel="0" collapsed="false">
      <c r="A34" s="15" t="s">
        <v>20</v>
      </c>
      <c r="B34" s="15" t="s">
        <v>21</v>
      </c>
      <c r="C34" s="15" t="s">
        <v>22</v>
      </c>
      <c r="D34" s="15" t="s">
        <v>15</v>
      </c>
      <c r="E34" s="15" t="s">
        <v>382</v>
      </c>
    </row>
    <row r="35" customFormat="false" ht="15" hidden="false" customHeight="false" outlineLevel="0" collapsed="false">
      <c r="A35" s="15" t="s">
        <v>20</v>
      </c>
      <c r="B35" s="15" t="s">
        <v>21</v>
      </c>
      <c r="C35" s="15" t="s">
        <v>22</v>
      </c>
      <c r="D35" s="15" t="s">
        <v>15</v>
      </c>
      <c r="E35" s="15" t="s">
        <v>383</v>
      </c>
    </row>
    <row r="36" customFormat="false" ht="15" hidden="false" customHeight="false" outlineLevel="0" collapsed="false">
      <c r="A36" s="15" t="s">
        <v>20</v>
      </c>
      <c r="B36" s="15" t="s">
        <v>21</v>
      </c>
      <c r="C36" s="15" t="s">
        <v>22</v>
      </c>
      <c r="D36" s="15" t="s">
        <v>16</v>
      </c>
      <c r="E36" s="15" t="s">
        <v>382</v>
      </c>
    </row>
    <row r="37" customFormat="false" ht="15" hidden="false" customHeight="false" outlineLevel="0" collapsed="false">
      <c r="A37" s="15" t="s">
        <v>20</v>
      </c>
      <c r="B37" s="15" t="s">
        <v>21</v>
      </c>
      <c r="C37" s="15" t="s">
        <v>22</v>
      </c>
      <c r="D37" s="15" t="s">
        <v>16</v>
      </c>
      <c r="E37" s="15" t="s">
        <v>384</v>
      </c>
    </row>
    <row r="38" customFormat="false" ht="15" hidden="false" customHeight="false" outlineLevel="0" collapsed="false">
      <c r="A38" s="15" t="s">
        <v>20</v>
      </c>
      <c r="B38" s="15" t="s">
        <v>21</v>
      </c>
      <c r="C38" s="15" t="s">
        <v>22</v>
      </c>
      <c r="D38" s="15" t="s">
        <v>16</v>
      </c>
      <c r="E38" s="15" t="s">
        <v>385</v>
      </c>
    </row>
    <row r="39" customFormat="false" ht="15" hidden="false" customHeight="false" outlineLevel="0" collapsed="false">
      <c r="A39" s="15" t="s">
        <v>20</v>
      </c>
      <c r="B39" s="15" t="s">
        <v>21</v>
      </c>
      <c r="C39" s="15" t="s">
        <v>22</v>
      </c>
      <c r="D39" s="15" t="s">
        <v>16</v>
      </c>
      <c r="E39" s="15" t="s">
        <v>386</v>
      </c>
    </row>
    <row r="40" customFormat="false" ht="15" hidden="false" customHeight="false" outlineLevel="0" collapsed="false">
      <c r="A40" s="15" t="s">
        <v>20</v>
      </c>
      <c r="B40" s="15" t="s">
        <v>21</v>
      </c>
      <c r="C40" s="15" t="s">
        <v>22</v>
      </c>
      <c r="D40" s="15" t="s">
        <v>16</v>
      </c>
      <c r="E40" s="15" t="s">
        <v>387</v>
      </c>
    </row>
    <row r="41" customFormat="false" ht="15" hidden="false" customHeight="false" outlineLevel="0" collapsed="false">
      <c r="A41" s="15" t="s">
        <v>20</v>
      </c>
      <c r="B41" s="15" t="s">
        <v>21</v>
      </c>
      <c r="C41" s="15" t="s">
        <v>22</v>
      </c>
      <c r="D41" s="15" t="s">
        <v>16</v>
      </c>
      <c r="E41" s="15" t="s">
        <v>383</v>
      </c>
    </row>
    <row r="42" customFormat="false" ht="15" hidden="false" customHeight="false" outlineLevel="0" collapsed="false">
      <c r="A42" s="15" t="s">
        <v>20</v>
      </c>
      <c r="B42" s="15" t="s">
        <v>21</v>
      </c>
      <c r="C42" s="15" t="s">
        <v>22</v>
      </c>
      <c r="D42" s="15" t="s">
        <v>16</v>
      </c>
      <c r="E42" s="15" t="s">
        <v>388</v>
      </c>
    </row>
    <row r="43" customFormat="false" ht="15" hidden="false" customHeight="false" outlineLevel="0" collapsed="false">
      <c r="A43" s="15" t="s">
        <v>20</v>
      </c>
      <c r="B43" s="15" t="s">
        <v>21</v>
      </c>
      <c r="C43" s="15" t="s">
        <v>22</v>
      </c>
      <c r="D43" s="15" t="s">
        <v>16</v>
      </c>
      <c r="E43" s="15" t="s">
        <v>389</v>
      </c>
    </row>
    <row r="44" customFormat="false" ht="15" hidden="false" customHeight="false" outlineLevel="0" collapsed="false">
      <c r="A44" s="15" t="s">
        <v>20</v>
      </c>
      <c r="B44" s="15" t="s">
        <v>21</v>
      </c>
      <c r="C44" s="15" t="s">
        <v>22</v>
      </c>
      <c r="D44" s="15" t="s">
        <v>16</v>
      </c>
      <c r="E44" s="15" t="s">
        <v>218</v>
      </c>
    </row>
    <row r="45" customFormat="false" ht="15" hidden="false" customHeight="false" outlineLevel="0" collapsed="false">
      <c r="A45" s="15" t="s">
        <v>20</v>
      </c>
      <c r="B45" s="15" t="s">
        <v>21</v>
      </c>
      <c r="C45" s="15" t="s">
        <v>22</v>
      </c>
      <c r="D45" s="15" t="s">
        <v>16</v>
      </c>
      <c r="E45" s="15" t="s">
        <v>390</v>
      </c>
    </row>
    <row r="46" customFormat="false" ht="15" hidden="false" customHeight="false" outlineLevel="0" collapsed="false">
      <c r="A46" s="15" t="s">
        <v>20</v>
      </c>
      <c r="B46" s="15" t="s">
        <v>21</v>
      </c>
      <c r="C46" s="15" t="s">
        <v>22</v>
      </c>
      <c r="D46" s="15" t="s">
        <v>16</v>
      </c>
      <c r="E46" s="15" t="s">
        <v>102</v>
      </c>
    </row>
    <row r="47" customFormat="false" ht="15" hidden="false" customHeight="false" outlineLevel="0" collapsed="false">
      <c r="A47" s="15" t="s">
        <v>20</v>
      </c>
      <c r="B47" s="15" t="s">
        <v>21</v>
      </c>
      <c r="C47" s="15" t="s">
        <v>22</v>
      </c>
      <c r="D47" s="15" t="s">
        <v>16</v>
      </c>
      <c r="E47" s="15" t="s">
        <v>391</v>
      </c>
    </row>
    <row r="48" customFormat="false" ht="15" hidden="false" customHeight="false" outlineLevel="0" collapsed="false">
      <c r="A48" s="15" t="s">
        <v>20</v>
      </c>
      <c r="B48" s="15" t="s">
        <v>21</v>
      </c>
      <c r="C48" s="15" t="s">
        <v>22</v>
      </c>
      <c r="D48" s="15" t="s">
        <v>16</v>
      </c>
      <c r="E48" s="15" t="s">
        <v>392</v>
      </c>
    </row>
    <row r="49" customFormat="false" ht="15" hidden="false" customHeight="false" outlineLevel="0" collapsed="false">
      <c r="A49" s="15" t="s">
        <v>20</v>
      </c>
      <c r="B49" s="15" t="s">
        <v>21</v>
      </c>
      <c r="C49" s="15" t="s">
        <v>22</v>
      </c>
      <c r="D49" s="15" t="s">
        <v>16</v>
      </c>
      <c r="E49" s="15" t="s">
        <v>393</v>
      </c>
    </row>
    <row r="50" customFormat="false" ht="15" hidden="false" customHeight="false" outlineLevel="0" collapsed="false">
      <c r="A50" s="15" t="s">
        <v>20</v>
      </c>
      <c r="B50" s="15" t="s">
        <v>21</v>
      </c>
      <c r="C50" s="15" t="s">
        <v>22</v>
      </c>
      <c r="D50" s="15" t="s">
        <v>17</v>
      </c>
      <c r="E50" s="15" t="s">
        <v>26</v>
      </c>
    </row>
    <row r="51" customFormat="false" ht="15" hidden="false" customHeight="false" outlineLevel="0" collapsed="false">
      <c r="A51" s="15" t="s">
        <v>28</v>
      </c>
      <c r="B51" s="15" t="s">
        <v>29</v>
      </c>
      <c r="C51" s="15" t="s">
        <v>22</v>
      </c>
      <c r="D51" s="15" t="s">
        <v>14</v>
      </c>
      <c r="E51" s="15" t="s">
        <v>294</v>
      </c>
    </row>
    <row r="52" customFormat="false" ht="15" hidden="false" customHeight="false" outlineLevel="0" collapsed="false">
      <c r="A52" s="15" t="s">
        <v>28</v>
      </c>
      <c r="B52" s="15" t="s">
        <v>29</v>
      </c>
      <c r="C52" s="15" t="s">
        <v>22</v>
      </c>
      <c r="D52" s="15" t="s">
        <v>14</v>
      </c>
      <c r="E52" s="15" t="s">
        <v>394</v>
      </c>
    </row>
    <row r="53" customFormat="false" ht="15" hidden="false" customHeight="false" outlineLevel="0" collapsed="false">
      <c r="A53" s="15" t="s">
        <v>28</v>
      </c>
      <c r="B53" s="15" t="s">
        <v>29</v>
      </c>
      <c r="C53" s="15" t="s">
        <v>22</v>
      </c>
      <c r="D53" s="15" t="s">
        <v>15</v>
      </c>
      <c r="E53" s="15" t="s">
        <v>365</v>
      </c>
    </row>
    <row r="54" customFormat="false" ht="15" hidden="false" customHeight="false" outlineLevel="0" collapsed="false">
      <c r="A54" s="15" t="s">
        <v>28</v>
      </c>
      <c r="B54" s="15" t="s">
        <v>29</v>
      </c>
      <c r="C54" s="15" t="s">
        <v>22</v>
      </c>
      <c r="D54" s="15" t="s">
        <v>15</v>
      </c>
      <c r="E54" s="15" t="s">
        <v>366</v>
      </c>
    </row>
    <row r="55" customFormat="false" ht="15" hidden="false" customHeight="false" outlineLevel="0" collapsed="false">
      <c r="A55" s="15" t="s">
        <v>28</v>
      </c>
      <c r="B55" s="15" t="s">
        <v>29</v>
      </c>
      <c r="C55" s="15" t="s">
        <v>22</v>
      </c>
      <c r="D55" s="15" t="s">
        <v>15</v>
      </c>
      <c r="E55" s="15" t="s">
        <v>395</v>
      </c>
    </row>
    <row r="56" customFormat="false" ht="15" hidden="false" customHeight="false" outlineLevel="0" collapsed="false">
      <c r="A56" s="15" t="s">
        <v>28</v>
      </c>
      <c r="B56" s="15" t="s">
        <v>29</v>
      </c>
      <c r="C56" s="15" t="s">
        <v>22</v>
      </c>
      <c r="D56" s="15" t="s">
        <v>15</v>
      </c>
      <c r="E56" s="15" t="s">
        <v>217</v>
      </c>
    </row>
    <row r="57" customFormat="false" ht="15" hidden="false" customHeight="false" outlineLevel="0" collapsed="false">
      <c r="A57" s="15" t="s">
        <v>28</v>
      </c>
      <c r="B57" s="15" t="s">
        <v>29</v>
      </c>
      <c r="C57" s="15" t="s">
        <v>22</v>
      </c>
      <c r="D57" s="15" t="s">
        <v>15</v>
      </c>
      <c r="E57" s="15" t="s">
        <v>396</v>
      </c>
    </row>
    <row r="58" customFormat="false" ht="15" hidden="false" customHeight="false" outlineLevel="0" collapsed="false">
      <c r="A58" s="15" t="s">
        <v>28</v>
      </c>
      <c r="B58" s="15" t="s">
        <v>29</v>
      </c>
      <c r="C58" s="15" t="s">
        <v>22</v>
      </c>
      <c r="D58" s="15" t="s">
        <v>15</v>
      </c>
      <c r="E58" s="15" t="s">
        <v>397</v>
      </c>
    </row>
    <row r="59" customFormat="false" ht="15" hidden="false" customHeight="false" outlineLevel="0" collapsed="false">
      <c r="A59" s="15" t="s">
        <v>28</v>
      </c>
      <c r="B59" s="15" t="s">
        <v>29</v>
      </c>
      <c r="C59" s="15" t="s">
        <v>22</v>
      </c>
      <c r="D59" s="15" t="s">
        <v>15</v>
      </c>
      <c r="E59" s="15" t="s">
        <v>371</v>
      </c>
    </row>
    <row r="60" customFormat="false" ht="15" hidden="false" customHeight="false" outlineLevel="0" collapsed="false">
      <c r="A60" s="15" t="s">
        <v>28</v>
      </c>
      <c r="B60" s="15" t="s">
        <v>29</v>
      </c>
      <c r="C60" s="15" t="s">
        <v>22</v>
      </c>
      <c r="D60" s="15" t="s">
        <v>15</v>
      </c>
      <c r="E60" s="15" t="s">
        <v>398</v>
      </c>
    </row>
    <row r="61" customFormat="false" ht="15" hidden="false" customHeight="false" outlineLevel="0" collapsed="false">
      <c r="A61" s="15" t="s">
        <v>28</v>
      </c>
      <c r="B61" s="15" t="s">
        <v>29</v>
      </c>
      <c r="C61" s="15" t="s">
        <v>22</v>
      </c>
      <c r="D61" s="15" t="s">
        <v>15</v>
      </c>
      <c r="E61" s="15" t="s">
        <v>399</v>
      </c>
    </row>
    <row r="62" customFormat="false" ht="15" hidden="false" customHeight="false" outlineLevel="0" collapsed="false">
      <c r="A62" s="15" t="s">
        <v>28</v>
      </c>
      <c r="B62" s="15" t="s">
        <v>29</v>
      </c>
      <c r="C62" s="15" t="s">
        <v>22</v>
      </c>
      <c r="D62" s="15" t="s">
        <v>15</v>
      </c>
      <c r="E62" s="15" t="s">
        <v>400</v>
      </c>
    </row>
    <row r="63" customFormat="false" ht="15" hidden="false" customHeight="false" outlineLevel="0" collapsed="false">
      <c r="A63" s="15" t="s">
        <v>28</v>
      </c>
      <c r="B63" s="15" t="s">
        <v>29</v>
      </c>
      <c r="C63" s="15" t="s">
        <v>22</v>
      </c>
      <c r="D63" s="15" t="s">
        <v>15</v>
      </c>
      <c r="E63" s="15" t="s">
        <v>401</v>
      </c>
    </row>
    <row r="64" customFormat="false" ht="15" hidden="false" customHeight="false" outlineLevel="0" collapsed="false">
      <c r="A64" s="15" t="s">
        <v>28</v>
      </c>
      <c r="B64" s="15" t="s">
        <v>29</v>
      </c>
      <c r="C64" s="15" t="s">
        <v>22</v>
      </c>
      <c r="D64" s="15" t="s">
        <v>15</v>
      </c>
      <c r="E64" s="15" t="s">
        <v>402</v>
      </c>
    </row>
    <row r="65" customFormat="false" ht="15" hidden="false" customHeight="false" outlineLevel="0" collapsed="false">
      <c r="A65" s="15" t="s">
        <v>28</v>
      </c>
      <c r="B65" s="15" t="s">
        <v>29</v>
      </c>
      <c r="C65" s="15" t="s">
        <v>22</v>
      </c>
      <c r="D65" s="15" t="s">
        <v>15</v>
      </c>
      <c r="E65" s="15" t="s">
        <v>403</v>
      </c>
    </row>
    <row r="66" customFormat="false" ht="15" hidden="false" customHeight="false" outlineLevel="0" collapsed="false">
      <c r="A66" s="15" t="s">
        <v>28</v>
      </c>
      <c r="B66" s="15" t="s">
        <v>29</v>
      </c>
      <c r="C66" s="15" t="s">
        <v>22</v>
      </c>
      <c r="D66" s="15" t="s">
        <v>15</v>
      </c>
      <c r="E66" s="15" t="s">
        <v>404</v>
      </c>
    </row>
    <row r="67" customFormat="false" ht="15" hidden="false" customHeight="false" outlineLevel="0" collapsed="false">
      <c r="A67" s="15" t="s">
        <v>28</v>
      </c>
      <c r="B67" s="15" t="s">
        <v>29</v>
      </c>
      <c r="C67" s="15" t="s">
        <v>22</v>
      </c>
      <c r="D67" s="15" t="s">
        <v>15</v>
      </c>
      <c r="E67" s="15" t="s">
        <v>405</v>
      </c>
    </row>
    <row r="68" customFormat="false" ht="15" hidden="false" customHeight="false" outlineLevel="0" collapsed="false">
      <c r="A68" s="15" t="s">
        <v>28</v>
      </c>
      <c r="B68" s="15" t="s">
        <v>29</v>
      </c>
      <c r="C68" s="15" t="s">
        <v>22</v>
      </c>
      <c r="D68" s="15" t="s">
        <v>15</v>
      </c>
      <c r="E68" s="15" t="s">
        <v>406</v>
      </c>
    </row>
    <row r="69" customFormat="false" ht="15" hidden="false" customHeight="false" outlineLevel="0" collapsed="false">
      <c r="A69" s="15" t="s">
        <v>28</v>
      </c>
      <c r="B69" s="15" t="s">
        <v>29</v>
      </c>
      <c r="C69" s="15" t="s">
        <v>22</v>
      </c>
      <c r="D69" s="15" t="s">
        <v>15</v>
      </c>
      <c r="E69" s="15" t="s">
        <v>407</v>
      </c>
    </row>
    <row r="70" customFormat="false" ht="15" hidden="false" customHeight="false" outlineLevel="0" collapsed="false">
      <c r="A70" s="15" t="s">
        <v>28</v>
      </c>
      <c r="B70" s="15" t="s">
        <v>29</v>
      </c>
      <c r="C70" s="15" t="s">
        <v>22</v>
      </c>
      <c r="D70" s="15" t="s">
        <v>15</v>
      </c>
      <c r="E70" s="15" t="s">
        <v>408</v>
      </c>
    </row>
    <row r="71" customFormat="false" ht="15" hidden="false" customHeight="false" outlineLevel="0" collapsed="false">
      <c r="A71" s="15" t="s">
        <v>28</v>
      </c>
      <c r="B71" s="15" t="s">
        <v>29</v>
      </c>
      <c r="C71" s="15" t="s">
        <v>22</v>
      </c>
      <c r="D71" s="15" t="s">
        <v>15</v>
      </c>
      <c r="E71" s="15" t="s">
        <v>409</v>
      </c>
    </row>
    <row r="72" customFormat="false" ht="15" hidden="false" customHeight="false" outlineLevel="0" collapsed="false">
      <c r="A72" s="15" t="s">
        <v>28</v>
      </c>
      <c r="B72" s="15" t="s">
        <v>29</v>
      </c>
      <c r="C72" s="15" t="s">
        <v>22</v>
      </c>
      <c r="D72" s="15" t="s">
        <v>15</v>
      </c>
      <c r="E72" s="15" t="s">
        <v>410</v>
      </c>
    </row>
    <row r="73" customFormat="false" ht="15" hidden="false" customHeight="false" outlineLevel="0" collapsed="false">
      <c r="A73" s="15" t="s">
        <v>28</v>
      </c>
      <c r="B73" s="15" t="s">
        <v>29</v>
      </c>
      <c r="C73" s="15" t="s">
        <v>22</v>
      </c>
      <c r="D73" s="15" t="s">
        <v>16</v>
      </c>
      <c r="E73" s="15" t="s">
        <v>411</v>
      </c>
    </row>
    <row r="74" customFormat="false" ht="15" hidden="false" customHeight="false" outlineLevel="0" collapsed="false">
      <c r="A74" s="15" t="s">
        <v>28</v>
      </c>
      <c r="B74" s="15" t="s">
        <v>29</v>
      </c>
      <c r="C74" s="15" t="s">
        <v>22</v>
      </c>
      <c r="D74" s="15" t="s">
        <v>16</v>
      </c>
      <c r="E74" s="15" t="s">
        <v>412</v>
      </c>
    </row>
    <row r="75" customFormat="false" ht="15" hidden="false" customHeight="false" outlineLevel="0" collapsed="false">
      <c r="A75" s="15" t="s">
        <v>28</v>
      </c>
      <c r="B75" s="15" t="s">
        <v>29</v>
      </c>
      <c r="C75" s="15" t="s">
        <v>22</v>
      </c>
      <c r="D75" s="15" t="s">
        <v>16</v>
      </c>
      <c r="E75" s="15" t="s">
        <v>102</v>
      </c>
    </row>
    <row r="76" customFormat="false" ht="15" hidden="false" customHeight="false" outlineLevel="0" collapsed="false">
      <c r="A76" s="15" t="s">
        <v>28</v>
      </c>
      <c r="B76" s="15" t="s">
        <v>29</v>
      </c>
      <c r="C76" s="15" t="s">
        <v>22</v>
      </c>
      <c r="D76" s="15" t="s">
        <v>16</v>
      </c>
      <c r="E76" s="15" t="s">
        <v>413</v>
      </c>
    </row>
    <row r="77" customFormat="false" ht="15" hidden="false" customHeight="false" outlineLevel="0" collapsed="false">
      <c r="A77" s="15" t="s">
        <v>28</v>
      </c>
      <c r="B77" s="15" t="s">
        <v>29</v>
      </c>
      <c r="C77" s="15" t="s">
        <v>22</v>
      </c>
      <c r="D77" s="15" t="s">
        <v>16</v>
      </c>
      <c r="E77" s="15" t="s">
        <v>321</v>
      </c>
    </row>
    <row r="78" customFormat="false" ht="15" hidden="false" customHeight="false" outlineLevel="0" collapsed="false">
      <c r="A78" s="15" t="s">
        <v>28</v>
      </c>
      <c r="B78" s="15" t="s">
        <v>29</v>
      </c>
      <c r="C78" s="15" t="s">
        <v>22</v>
      </c>
      <c r="D78" s="15" t="s">
        <v>16</v>
      </c>
      <c r="E78" s="15" t="s">
        <v>384</v>
      </c>
    </row>
    <row r="79" customFormat="false" ht="15" hidden="false" customHeight="false" outlineLevel="0" collapsed="false">
      <c r="A79" s="15" t="s">
        <v>28</v>
      </c>
      <c r="B79" s="15" t="s">
        <v>29</v>
      </c>
      <c r="C79" s="15" t="s">
        <v>22</v>
      </c>
      <c r="D79" s="15" t="s">
        <v>16</v>
      </c>
      <c r="E79" s="15" t="s">
        <v>218</v>
      </c>
    </row>
    <row r="80" customFormat="false" ht="15" hidden="false" customHeight="false" outlineLevel="0" collapsed="false">
      <c r="A80" s="15" t="s">
        <v>28</v>
      </c>
      <c r="B80" s="15" t="s">
        <v>29</v>
      </c>
      <c r="C80" s="15" t="s">
        <v>22</v>
      </c>
      <c r="D80" s="15" t="s">
        <v>16</v>
      </c>
      <c r="E80" s="15" t="s">
        <v>414</v>
      </c>
    </row>
    <row r="81" customFormat="false" ht="15" hidden="false" customHeight="false" outlineLevel="0" collapsed="false">
      <c r="A81" s="15" t="s">
        <v>28</v>
      </c>
      <c r="B81" s="15" t="s">
        <v>29</v>
      </c>
      <c r="C81" s="15" t="s">
        <v>22</v>
      </c>
      <c r="D81" s="15" t="s">
        <v>16</v>
      </c>
      <c r="E81" s="15" t="s">
        <v>415</v>
      </c>
    </row>
    <row r="82" customFormat="false" ht="15" hidden="false" customHeight="false" outlineLevel="0" collapsed="false">
      <c r="A82" s="15" t="s">
        <v>28</v>
      </c>
      <c r="B82" s="15" t="s">
        <v>29</v>
      </c>
      <c r="C82" s="15" t="s">
        <v>22</v>
      </c>
      <c r="D82" s="15" t="s">
        <v>16</v>
      </c>
      <c r="E82" s="15" t="s">
        <v>416</v>
      </c>
    </row>
    <row r="83" customFormat="false" ht="15" hidden="false" customHeight="false" outlineLevel="0" collapsed="false">
      <c r="A83" s="15" t="s">
        <v>28</v>
      </c>
      <c r="B83" s="15" t="s">
        <v>29</v>
      </c>
      <c r="C83" s="15" t="s">
        <v>22</v>
      </c>
      <c r="D83" s="15" t="s">
        <v>16</v>
      </c>
      <c r="E83" s="15" t="s">
        <v>364</v>
      </c>
    </row>
    <row r="84" customFormat="false" ht="15" hidden="false" customHeight="false" outlineLevel="0" collapsed="false">
      <c r="A84" s="15" t="s">
        <v>28</v>
      </c>
      <c r="B84" s="15" t="s">
        <v>29</v>
      </c>
      <c r="C84" s="15" t="s">
        <v>22</v>
      </c>
      <c r="D84" s="15" t="s">
        <v>17</v>
      </c>
      <c r="E84" s="15" t="s">
        <v>417</v>
      </c>
    </row>
    <row r="85" customFormat="false" ht="15" hidden="false" customHeight="false" outlineLevel="0" collapsed="false">
      <c r="A85" s="15" t="s">
        <v>28</v>
      </c>
      <c r="B85" s="15" t="s">
        <v>29</v>
      </c>
      <c r="C85" s="15" t="s">
        <v>22</v>
      </c>
      <c r="D85" s="15" t="s">
        <v>17</v>
      </c>
      <c r="E85" s="15" t="s">
        <v>418</v>
      </c>
    </row>
    <row r="86" customFormat="false" ht="15" hidden="false" customHeight="false" outlineLevel="0" collapsed="false">
      <c r="A86" s="15" t="s">
        <v>28</v>
      </c>
      <c r="B86" s="15" t="s">
        <v>29</v>
      </c>
      <c r="C86" s="15" t="s">
        <v>22</v>
      </c>
      <c r="D86" s="15" t="s">
        <v>18</v>
      </c>
      <c r="E86" s="15" t="s">
        <v>34</v>
      </c>
    </row>
    <row r="87" customFormat="false" ht="15" hidden="false" customHeight="false" outlineLevel="0" collapsed="false">
      <c r="A87" s="15" t="s">
        <v>35</v>
      </c>
      <c r="B87" s="15" t="s">
        <v>36</v>
      </c>
      <c r="C87" s="15" t="s">
        <v>37</v>
      </c>
      <c r="D87" s="15" t="s">
        <v>14</v>
      </c>
      <c r="E87" s="15" t="s">
        <v>419</v>
      </c>
    </row>
    <row r="88" customFormat="false" ht="15" hidden="false" customHeight="false" outlineLevel="0" collapsed="false">
      <c r="A88" s="15" t="s">
        <v>35</v>
      </c>
      <c r="B88" s="15" t="s">
        <v>36</v>
      </c>
      <c r="C88" s="15" t="s">
        <v>37</v>
      </c>
      <c r="D88" s="15" t="s">
        <v>14</v>
      </c>
      <c r="E88" s="15" t="s">
        <v>420</v>
      </c>
    </row>
    <row r="89" customFormat="false" ht="15" hidden="false" customHeight="false" outlineLevel="0" collapsed="false">
      <c r="A89" s="15" t="s">
        <v>35</v>
      </c>
      <c r="B89" s="15" t="s">
        <v>36</v>
      </c>
      <c r="C89" s="15" t="s">
        <v>37</v>
      </c>
      <c r="D89" s="15" t="s">
        <v>15</v>
      </c>
      <c r="E89" s="15" t="s">
        <v>173</v>
      </c>
    </row>
    <row r="90" customFormat="false" ht="15" hidden="false" customHeight="false" outlineLevel="0" collapsed="false">
      <c r="A90" s="15" t="s">
        <v>35</v>
      </c>
      <c r="B90" s="15" t="s">
        <v>36</v>
      </c>
      <c r="C90" s="15" t="s">
        <v>37</v>
      </c>
      <c r="D90" s="15" t="s">
        <v>15</v>
      </c>
      <c r="E90" s="15" t="s">
        <v>222</v>
      </c>
    </row>
    <row r="91" customFormat="false" ht="15" hidden="false" customHeight="false" outlineLevel="0" collapsed="false">
      <c r="A91" s="15" t="s">
        <v>35</v>
      </c>
      <c r="B91" s="15" t="s">
        <v>36</v>
      </c>
      <c r="C91" s="15" t="s">
        <v>37</v>
      </c>
      <c r="D91" s="15" t="s">
        <v>15</v>
      </c>
      <c r="E91" s="15" t="s">
        <v>69</v>
      </c>
    </row>
    <row r="92" customFormat="false" ht="15" hidden="false" customHeight="false" outlineLevel="0" collapsed="false">
      <c r="A92" s="15" t="s">
        <v>35</v>
      </c>
      <c r="B92" s="15" t="s">
        <v>36</v>
      </c>
      <c r="C92" s="15" t="s">
        <v>37</v>
      </c>
      <c r="D92" s="15" t="s">
        <v>16</v>
      </c>
      <c r="E92" s="15" t="s">
        <v>218</v>
      </c>
    </row>
    <row r="93" customFormat="false" ht="15" hidden="false" customHeight="false" outlineLevel="0" collapsed="false">
      <c r="A93" s="15" t="s">
        <v>35</v>
      </c>
      <c r="B93" s="15" t="s">
        <v>36</v>
      </c>
      <c r="C93" s="15" t="s">
        <v>37</v>
      </c>
      <c r="D93" s="15" t="s">
        <v>16</v>
      </c>
      <c r="E93" s="15" t="s">
        <v>102</v>
      </c>
    </row>
    <row r="94" customFormat="false" ht="15" hidden="false" customHeight="false" outlineLevel="0" collapsed="false">
      <c r="A94" s="15" t="s">
        <v>35</v>
      </c>
      <c r="B94" s="15" t="s">
        <v>36</v>
      </c>
      <c r="C94" s="15" t="s">
        <v>37</v>
      </c>
      <c r="D94" s="15" t="s">
        <v>16</v>
      </c>
      <c r="E94" s="15" t="s">
        <v>421</v>
      </c>
    </row>
    <row r="95" customFormat="false" ht="15" hidden="false" customHeight="false" outlineLevel="0" collapsed="false">
      <c r="A95" s="15" t="s">
        <v>35</v>
      </c>
      <c r="B95" s="15" t="s">
        <v>36</v>
      </c>
      <c r="C95" s="15" t="s">
        <v>37</v>
      </c>
      <c r="D95" s="15" t="s">
        <v>16</v>
      </c>
      <c r="E95" s="15" t="s">
        <v>321</v>
      </c>
    </row>
    <row r="96" customFormat="false" ht="15" hidden="false" customHeight="false" outlineLevel="0" collapsed="false">
      <c r="A96" s="15" t="s">
        <v>35</v>
      </c>
      <c r="B96" s="15" t="s">
        <v>36</v>
      </c>
      <c r="C96" s="15" t="s">
        <v>37</v>
      </c>
      <c r="D96" s="15" t="s">
        <v>16</v>
      </c>
      <c r="E96" s="15" t="s">
        <v>411</v>
      </c>
    </row>
    <row r="97" customFormat="false" ht="15" hidden="false" customHeight="false" outlineLevel="0" collapsed="false">
      <c r="A97" s="15" t="s">
        <v>35</v>
      </c>
      <c r="B97" s="15" t="s">
        <v>36</v>
      </c>
      <c r="C97" s="15" t="s">
        <v>37</v>
      </c>
      <c r="D97" s="15" t="s">
        <v>16</v>
      </c>
      <c r="E97" s="15" t="s">
        <v>422</v>
      </c>
    </row>
    <row r="98" customFormat="false" ht="15" hidden="false" customHeight="false" outlineLevel="0" collapsed="false">
      <c r="A98" s="15" t="s">
        <v>35</v>
      </c>
      <c r="B98" s="15" t="s">
        <v>36</v>
      </c>
      <c r="C98" s="15" t="s">
        <v>37</v>
      </c>
      <c r="D98" s="15" t="s">
        <v>17</v>
      </c>
      <c r="E98" s="15" t="s">
        <v>41</v>
      </c>
    </row>
    <row r="99" customFormat="false" ht="15" hidden="false" customHeight="false" outlineLevel="0" collapsed="false">
      <c r="A99" s="15" t="s">
        <v>45</v>
      </c>
      <c r="B99" s="15" t="s">
        <v>46</v>
      </c>
      <c r="C99" s="15" t="s">
        <v>37</v>
      </c>
      <c r="D99" s="15" t="s">
        <v>14</v>
      </c>
      <c r="E99" s="15" t="s">
        <v>423</v>
      </c>
    </row>
    <row r="100" customFormat="false" ht="15" hidden="false" customHeight="false" outlineLevel="0" collapsed="false">
      <c r="A100" s="15" t="s">
        <v>45</v>
      </c>
      <c r="B100" s="15" t="s">
        <v>46</v>
      </c>
      <c r="C100" s="15" t="s">
        <v>37</v>
      </c>
      <c r="D100" s="15" t="s">
        <v>14</v>
      </c>
      <c r="E100" s="15" t="s">
        <v>424</v>
      </c>
    </row>
    <row r="101" customFormat="false" ht="15" hidden="false" customHeight="false" outlineLevel="0" collapsed="false">
      <c r="A101" s="15" t="s">
        <v>45</v>
      </c>
      <c r="B101" s="15" t="s">
        <v>46</v>
      </c>
      <c r="C101" s="15" t="s">
        <v>37</v>
      </c>
      <c r="D101" s="15" t="s">
        <v>15</v>
      </c>
      <c r="E101" s="15" t="s">
        <v>48</v>
      </c>
    </row>
    <row r="102" customFormat="false" ht="15" hidden="false" customHeight="false" outlineLevel="0" collapsed="false">
      <c r="A102" s="15" t="s">
        <v>45</v>
      </c>
      <c r="B102" s="15" t="s">
        <v>46</v>
      </c>
      <c r="C102" s="15" t="s">
        <v>37</v>
      </c>
      <c r="D102" s="15" t="s">
        <v>16</v>
      </c>
      <c r="E102" s="15" t="s">
        <v>425</v>
      </c>
    </row>
    <row r="103" customFormat="false" ht="15" hidden="false" customHeight="false" outlineLevel="0" collapsed="false">
      <c r="A103" s="15" t="s">
        <v>45</v>
      </c>
      <c r="B103" s="15" t="s">
        <v>46</v>
      </c>
      <c r="C103" s="15" t="s">
        <v>37</v>
      </c>
      <c r="D103" s="15" t="s">
        <v>16</v>
      </c>
      <c r="E103" s="15" t="s">
        <v>426</v>
      </c>
    </row>
    <row r="104" customFormat="false" ht="15" hidden="false" customHeight="false" outlineLevel="0" collapsed="false">
      <c r="A104" s="15" t="s">
        <v>45</v>
      </c>
      <c r="B104" s="15" t="s">
        <v>46</v>
      </c>
      <c r="C104" s="15" t="s">
        <v>37</v>
      </c>
      <c r="D104" s="15" t="s">
        <v>16</v>
      </c>
      <c r="E104" s="15" t="s">
        <v>427</v>
      </c>
    </row>
    <row r="105" customFormat="false" ht="15" hidden="false" customHeight="false" outlineLevel="0" collapsed="false">
      <c r="A105" s="15" t="s">
        <v>50</v>
      </c>
      <c r="B105" s="15" t="s">
        <v>51</v>
      </c>
      <c r="C105" s="15" t="s">
        <v>22</v>
      </c>
      <c r="D105" s="15" t="s">
        <v>14</v>
      </c>
      <c r="E105" s="15" t="s">
        <v>428</v>
      </c>
    </row>
    <row r="106" customFormat="false" ht="15" hidden="false" customHeight="false" outlineLevel="0" collapsed="false">
      <c r="A106" s="15" t="s">
        <v>50</v>
      </c>
      <c r="B106" s="15" t="s">
        <v>51</v>
      </c>
      <c r="C106" s="15" t="s">
        <v>22</v>
      </c>
      <c r="D106" s="15" t="s">
        <v>14</v>
      </c>
      <c r="E106" s="15" t="s">
        <v>429</v>
      </c>
    </row>
    <row r="107" customFormat="false" ht="15" hidden="false" customHeight="false" outlineLevel="0" collapsed="false">
      <c r="A107" s="15" t="s">
        <v>50</v>
      </c>
      <c r="B107" s="15" t="s">
        <v>51</v>
      </c>
      <c r="C107" s="15" t="s">
        <v>22</v>
      </c>
      <c r="D107" s="15" t="s">
        <v>16</v>
      </c>
      <c r="E107" s="15" t="s">
        <v>53</v>
      </c>
    </row>
    <row r="108" customFormat="false" ht="15" hidden="false" customHeight="false" outlineLevel="0" collapsed="false">
      <c r="A108" s="15" t="s">
        <v>50</v>
      </c>
      <c r="B108" s="15" t="s">
        <v>51</v>
      </c>
      <c r="C108" s="15" t="s">
        <v>22</v>
      </c>
      <c r="D108" s="15" t="s">
        <v>17</v>
      </c>
      <c r="E108" s="15" t="s">
        <v>54</v>
      </c>
    </row>
    <row r="109" customFormat="false" ht="15" hidden="false" customHeight="false" outlineLevel="0" collapsed="false">
      <c r="A109" s="15" t="s">
        <v>55</v>
      </c>
      <c r="B109" s="15" t="s">
        <v>56</v>
      </c>
      <c r="C109" s="15" t="s">
        <v>37</v>
      </c>
      <c r="D109" s="15" t="s">
        <v>14</v>
      </c>
      <c r="E109" s="15" t="s">
        <v>57</v>
      </c>
    </row>
    <row r="110" customFormat="false" ht="15" hidden="false" customHeight="false" outlineLevel="0" collapsed="false">
      <c r="A110" s="15" t="s">
        <v>55</v>
      </c>
      <c r="B110" s="15" t="s">
        <v>56</v>
      </c>
      <c r="C110" s="15" t="s">
        <v>37</v>
      </c>
      <c r="D110" s="15" t="s">
        <v>15</v>
      </c>
      <c r="E110" s="15" t="s">
        <v>173</v>
      </c>
    </row>
    <row r="111" customFormat="false" ht="15" hidden="false" customHeight="false" outlineLevel="0" collapsed="false">
      <c r="A111" s="15" t="s">
        <v>55</v>
      </c>
      <c r="B111" s="15" t="s">
        <v>56</v>
      </c>
      <c r="C111" s="15" t="s">
        <v>37</v>
      </c>
      <c r="D111" s="15" t="s">
        <v>15</v>
      </c>
      <c r="E111" s="15" t="s">
        <v>430</v>
      </c>
    </row>
    <row r="112" customFormat="false" ht="15" hidden="false" customHeight="false" outlineLevel="0" collapsed="false">
      <c r="A112" s="15" t="s">
        <v>55</v>
      </c>
      <c r="B112" s="15" t="s">
        <v>56</v>
      </c>
      <c r="C112" s="15" t="s">
        <v>37</v>
      </c>
      <c r="D112" s="15" t="s">
        <v>15</v>
      </c>
      <c r="E112" s="15" t="s">
        <v>69</v>
      </c>
    </row>
    <row r="113" customFormat="false" ht="15" hidden="false" customHeight="false" outlineLevel="0" collapsed="false">
      <c r="A113" s="15" t="s">
        <v>55</v>
      </c>
      <c r="B113" s="15" t="s">
        <v>56</v>
      </c>
      <c r="C113" s="15" t="s">
        <v>37</v>
      </c>
      <c r="D113" s="15" t="s">
        <v>16</v>
      </c>
      <c r="E113" s="15" t="s">
        <v>321</v>
      </c>
    </row>
    <row r="114" customFormat="false" ht="15" hidden="false" customHeight="false" outlineLevel="0" collapsed="false">
      <c r="A114" s="15" t="s">
        <v>55</v>
      </c>
      <c r="B114" s="15" t="s">
        <v>56</v>
      </c>
      <c r="C114" s="15" t="s">
        <v>37</v>
      </c>
      <c r="D114" s="15" t="s">
        <v>16</v>
      </c>
      <c r="E114" s="15" t="s">
        <v>170</v>
      </c>
    </row>
    <row r="115" customFormat="false" ht="15" hidden="false" customHeight="false" outlineLevel="0" collapsed="false">
      <c r="A115" s="15" t="s">
        <v>55</v>
      </c>
      <c r="B115" s="15" t="s">
        <v>56</v>
      </c>
      <c r="C115" s="15" t="s">
        <v>37</v>
      </c>
      <c r="D115" s="15" t="s">
        <v>16</v>
      </c>
      <c r="E115" s="15" t="s">
        <v>431</v>
      </c>
    </row>
    <row r="116" customFormat="false" ht="15" hidden="false" customHeight="false" outlineLevel="0" collapsed="false">
      <c r="A116" s="15" t="s">
        <v>55</v>
      </c>
      <c r="B116" s="15" t="s">
        <v>56</v>
      </c>
      <c r="C116" s="15" t="s">
        <v>37</v>
      </c>
      <c r="D116" s="15" t="s">
        <v>16</v>
      </c>
      <c r="E116" s="15" t="s">
        <v>411</v>
      </c>
    </row>
    <row r="117" customFormat="false" ht="15" hidden="false" customHeight="false" outlineLevel="0" collapsed="false">
      <c r="A117" s="15" t="s">
        <v>55</v>
      </c>
      <c r="B117" s="15" t="s">
        <v>56</v>
      </c>
      <c r="C117" s="15" t="s">
        <v>37</v>
      </c>
      <c r="D117" s="15" t="s">
        <v>16</v>
      </c>
      <c r="E117" s="15" t="s">
        <v>422</v>
      </c>
    </row>
    <row r="118" customFormat="false" ht="15" hidden="false" customHeight="false" outlineLevel="0" collapsed="false">
      <c r="A118" s="15" t="s">
        <v>55</v>
      </c>
      <c r="B118" s="15" t="s">
        <v>56</v>
      </c>
      <c r="C118" s="15" t="s">
        <v>37</v>
      </c>
      <c r="D118" s="15" t="s">
        <v>16</v>
      </c>
      <c r="E118" s="15" t="s">
        <v>421</v>
      </c>
    </row>
    <row r="119" customFormat="false" ht="15" hidden="false" customHeight="false" outlineLevel="0" collapsed="false">
      <c r="A119" s="15" t="s">
        <v>55</v>
      </c>
      <c r="B119" s="15" t="s">
        <v>56</v>
      </c>
      <c r="C119" s="15" t="s">
        <v>37</v>
      </c>
      <c r="D119" s="15" t="s">
        <v>16</v>
      </c>
      <c r="E119" s="15" t="s">
        <v>218</v>
      </c>
    </row>
    <row r="120" customFormat="false" ht="15" hidden="false" customHeight="false" outlineLevel="0" collapsed="false">
      <c r="A120" s="15" t="s">
        <v>55</v>
      </c>
      <c r="B120" s="15" t="s">
        <v>56</v>
      </c>
      <c r="C120" s="15" t="s">
        <v>37</v>
      </c>
      <c r="D120" s="15" t="s">
        <v>16</v>
      </c>
      <c r="E120" s="15" t="s">
        <v>102</v>
      </c>
    </row>
    <row r="121" customFormat="false" ht="15" hidden="false" customHeight="false" outlineLevel="0" collapsed="false">
      <c r="A121" s="15" t="s">
        <v>55</v>
      </c>
      <c r="B121" s="15" t="s">
        <v>56</v>
      </c>
      <c r="C121" s="15" t="s">
        <v>37</v>
      </c>
      <c r="D121" s="15" t="s">
        <v>17</v>
      </c>
      <c r="E121" s="15" t="s">
        <v>41</v>
      </c>
    </row>
    <row r="122" customFormat="false" ht="15" hidden="false" customHeight="false" outlineLevel="0" collapsed="false">
      <c r="A122" s="15" t="s">
        <v>60</v>
      </c>
      <c r="B122" s="15" t="s">
        <v>61</v>
      </c>
      <c r="C122" s="15" t="s">
        <v>37</v>
      </c>
      <c r="D122" s="15" t="s">
        <v>14</v>
      </c>
      <c r="E122" s="15" t="s">
        <v>62</v>
      </c>
    </row>
    <row r="123" customFormat="false" ht="15" hidden="false" customHeight="false" outlineLevel="0" collapsed="false">
      <c r="A123" s="15" t="s">
        <v>60</v>
      </c>
      <c r="B123" s="15" t="s">
        <v>61</v>
      </c>
      <c r="C123" s="15" t="s">
        <v>37</v>
      </c>
      <c r="D123" s="15" t="s">
        <v>15</v>
      </c>
      <c r="E123" s="15" t="s">
        <v>217</v>
      </c>
    </row>
    <row r="124" customFormat="false" ht="15" hidden="false" customHeight="false" outlineLevel="0" collapsed="false">
      <c r="A124" s="15" t="s">
        <v>60</v>
      </c>
      <c r="B124" s="15" t="s">
        <v>61</v>
      </c>
      <c r="C124" s="15" t="s">
        <v>37</v>
      </c>
      <c r="D124" s="15" t="s">
        <v>15</v>
      </c>
      <c r="E124" s="15" t="s">
        <v>69</v>
      </c>
    </row>
    <row r="125" customFormat="false" ht="15" hidden="false" customHeight="false" outlineLevel="0" collapsed="false">
      <c r="A125" s="15" t="s">
        <v>60</v>
      </c>
      <c r="B125" s="15" t="s">
        <v>61</v>
      </c>
      <c r="C125" s="15" t="s">
        <v>37</v>
      </c>
      <c r="D125" s="15" t="s">
        <v>15</v>
      </c>
      <c r="E125" s="15" t="s">
        <v>430</v>
      </c>
    </row>
    <row r="126" customFormat="false" ht="15" hidden="false" customHeight="false" outlineLevel="0" collapsed="false">
      <c r="A126" s="15" t="s">
        <v>60</v>
      </c>
      <c r="B126" s="15" t="s">
        <v>61</v>
      </c>
      <c r="C126" s="15" t="s">
        <v>37</v>
      </c>
      <c r="D126" s="15" t="s">
        <v>16</v>
      </c>
      <c r="E126" s="15" t="s">
        <v>170</v>
      </c>
    </row>
    <row r="127" customFormat="false" ht="15" hidden="false" customHeight="false" outlineLevel="0" collapsed="false">
      <c r="A127" s="15" t="s">
        <v>60</v>
      </c>
      <c r="B127" s="15" t="s">
        <v>61</v>
      </c>
      <c r="C127" s="15" t="s">
        <v>37</v>
      </c>
      <c r="D127" s="15" t="s">
        <v>16</v>
      </c>
      <c r="E127" s="15" t="s">
        <v>102</v>
      </c>
    </row>
    <row r="128" customFormat="false" ht="15" hidden="false" customHeight="false" outlineLevel="0" collapsed="false">
      <c r="A128" s="15" t="s">
        <v>60</v>
      </c>
      <c r="B128" s="15" t="s">
        <v>61</v>
      </c>
      <c r="C128" s="15" t="s">
        <v>37</v>
      </c>
      <c r="D128" s="15" t="s">
        <v>16</v>
      </c>
      <c r="E128" s="15" t="s">
        <v>432</v>
      </c>
    </row>
    <row r="129" customFormat="false" ht="15" hidden="false" customHeight="false" outlineLevel="0" collapsed="false">
      <c r="A129" s="15" t="s">
        <v>60</v>
      </c>
      <c r="B129" s="15" t="s">
        <v>61</v>
      </c>
      <c r="C129" s="15" t="s">
        <v>37</v>
      </c>
      <c r="D129" s="15" t="s">
        <v>16</v>
      </c>
      <c r="E129" s="15" t="s">
        <v>218</v>
      </c>
    </row>
    <row r="130" customFormat="false" ht="15" hidden="false" customHeight="false" outlineLevel="0" collapsed="false">
      <c r="A130" s="15" t="s">
        <v>60</v>
      </c>
      <c r="B130" s="15" t="s">
        <v>61</v>
      </c>
      <c r="C130" s="15" t="s">
        <v>37</v>
      </c>
      <c r="D130" s="15" t="s">
        <v>16</v>
      </c>
      <c r="E130" s="15" t="s">
        <v>433</v>
      </c>
    </row>
    <row r="131" customFormat="false" ht="15" hidden="false" customHeight="false" outlineLevel="0" collapsed="false">
      <c r="A131" s="15" t="s">
        <v>60</v>
      </c>
      <c r="B131" s="15" t="s">
        <v>61</v>
      </c>
      <c r="C131" s="15" t="s">
        <v>37</v>
      </c>
      <c r="D131" s="15" t="s">
        <v>16</v>
      </c>
      <c r="E131" s="15" t="s">
        <v>309</v>
      </c>
    </row>
    <row r="132" customFormat="false" ht="15" hidden="false" customHeight="false" outlineLevel="0" collapsed="false">
      <c r="A132" s="15" t="s">
        <v>60</v>
      </c>
      <c r="B132" s="15" t="s">
        <v>61</v>
      </c>
      <c r="C132" s="15" t="s">
        <v>37</v>
      </c>
      <c r="D132" s="15" t="s">
        <v>17</v>
      </c>
      <c r="E132" s="15" t="s">
        <v>65</v>
      </c>
    </row>
    <row r="133" customFormat="false" ht="15" hidden="false" customHeight="false" outlineLevel="0" collapsed="false">
      <c r="A133" s="15" t="s">
        <v>66</v>
      </c>
      <c r="B133" s="15" t="s">
        <v>67</v>
      </c>
      <c r="C133" s="15" t="s">
        <v>22</v>
      </c>
      <c r="D133" s="15" t="s">
        <v>14</v>
      </c>
      <c r="E133" s="15" t="s">
        <v>434</v>
      </c>
    </row>
    <row r="134" customFormat="false" ht="15" hidden="false" customHeight="false" outlineLevel="0" collapsed="false">
      <c r="A134" s="15" t="s">
        <v>66</v>
      </c>
      <c r="B134" s="15" t="s">
        <v>67</v>
      </c>
      <c r="C134" s="15" t="s">
        <v>22</v>
      </c>
      <c r="D134" s="15" t="s">
        <v>14</v>
      </c>
      <c r="E134" s="15" t="s">
        <v>435</v>
      </c>
    </row>
    <row r="135" customFormat="false" ht="15" hidden="false" customHeight="false" outlineLevel="0" collapsed="false">
      <c r="A135" s="15" t="s">
        <v>66</v>
      </c>
      <c r="B135" s="15" t="s">
        <v>67</v>
      </c>
      <c r="C135" s="15" t="s">
        <v>22</v>
      </c>
      <c r="D135" s="15" t="s">
        <v>15</v>
      </c>
      <c r="E135" s="15" t="s">
        <v>69</v>
      </c>
    </row>
    <row r="136" customFormat="false" ht="15" hidden="false" customHeight="false" outlineLevel="0" collapsed="false">
      <c r="A136" s="15" t="s">
        <v>66</v>
      </c>
      <c r="B136" s="15" t="s">
        <v>67</v>
      </c>
      <c r="C136" s="15" t="s">
        <v>22</v>
      </c>
      <c r="D136" s="15" t="s">
        <v>16</v>
      </c>
      <c r="E136" s="15" t="s">
        <v>436</v>
      </c>
    </row>
    <row r="137" customFormat="false" ht="15" hidden="false" customHeight="false" outlineLevel="0" collapsed="false">
      <c r="A137" s="15" t="s">
        <v>66</v>
      </c>
      <c r="B137" s="15" t="s">
        <v>67</v>
      </c>
      <c r="C137" s="15" t="s">
        <v>22</v>
      </c>
      <c r="D137" s="15" t="s">
        <v>16</v>
      </c>
      <c r="E137" s="15" t="s">
        <v>411</v>
      </c>
    </row>
    <row r="138" customFormat="false" ht="15" hidden="false" customHeight="false" outlineLevel="0" collapsed="false">
      <c r="A138" s="15" t="s">
        <v>66</v>
      </c>
      <c r="B138" s="15" t="s">
        <v>67</v>
      </c>
      <c r="C138" s="15" t="s">
        <v>22</v>
      </c>
      <c r="D138" s="15" t="s">
        <v>17</v>
      </c>
      <c r="E138" s="15" t="s">
        <v>65</v>
      </c>
    </row>
    <row r="139" customFormat="false" ht="15" hidden="false" customHeight="false" outlineLevel="0" collapsed="false">
      <c r="A139" s="15" t="s">
        <v>71</v>
      </c>
      <c r="B139" s="15" t="s">
        <v>72</v>
      </c>
      <c r="C139" s="15" t="s">
        <v>44</v>
      </c>
      <c r="D139" s="15" t="s">
        <v>14</v>
      </c>
      <c r="E139" s="15" t="s">
        <v>437</v>
      </c>
    </row>
    <row r="140" customFormat="false" ht="15" hidden="false" customHeight="false" outlineLevel="0" collapsed="false">
      <c r="A140" s="15" t="s">
        <v>71</v>
      </c>
      <c r="B140" s="15" t="s">
        <v>72</v>
      </c>
      <c r="C140" s="15" t="s">
        <v>44</v>
      </c>
      <c r="D140" s="15" t="s">
        <v>14</v>
      </c>
      <c r="E140" s="15" t="s">
        <v>294</v>
      </c>
    </row>
    <row r="141" customFormat="false" ht="15" hidden="false" customHeight="false" outlineLevel="0" collapsed="false">
      <c r="A141" s="15" t="s">
        <v>71</v>
      </c>
      <c r="B141" s="15" t="s">
        <v>72</v>
      </c>
      <c r="C141" s="15" t="s">
        <v>44</v>
      </c>
      <c r="D141" s="15" t="s">
        <v>15</v>
      </c>
      <c r="E141" s="15" t="s">
        <v>222</v>
      </c>
    </row>
    <row r="142" customFormat="false" ht="15" hidden="false" customHeight="false" outlineLevel="0" collapsed="false">
      <c r="A142" s="15" t="s">
        <v>71</v>
      </c>
      <c r="B142" s="15" t="s">
        <v>72</v>
      </c>
      <c r="C142" s="15" t="s">
        <v>44</v>
      </c>
      <c r="D142" s="15" t="s">
        <v>15</v>
      </c>
      <c r="E142" s="15" t="s">
        <v>438</v>
      </c>
    </row>
    <row r="143" customFormat="false" ht="15" hidden="false" customHeight="false" outlineLevel="0" collapsed="false">
      <c r="A143" s="15" t="s">
        <v>71</v>
      </c>
      <c r="B143" s="15" t="s">
        <v>72</v>
      </c>
      <c r="C143" s="15" t="s">
        <v>44</v>
      </c>
      <c r="D143" s="15" t="s">
        <v>15</v>
      </c>
      <c r="E143" s="15" t="s">
        <v>217</v>
      </c>
    </row>
    <row r="144" customFormat="false" ht="15" hidden="false" customHeight="false" outlineLevel="0" collapsed="false">
      <c r="A144" s="15" t="s">
        <v>71</v>
      </c>
      <c r="B144" s="15" t="s">
        <v>72</v>
      </c>
      <c r="C144" s="15" t="s">
        <v>44</v>
      </c>
      <c r="D144" s="15" t="s">
        <v>16</v>
      </c>
      <c r="E144" s="15" t="s">
        <v>321</v>
      </c>
    </row>
    <row r="145" customFormat="false" ht="15" hidden="false" customHeight="false" outlineLevel="0" collapsed="false">
      <c r="A145" s="15" t="s">
        <v>71</v>
      </c>
      <c r="B145" s="15" t="s">
        <v>72</v>
      </c>
      <c r="C145" s="15" t="s">
        <v>44</v>
      </c>
      <c r="D145" s="15" t="s">
        <v>16</v>
      </c>
      <c r="E145" s="15" t="s">
        <v>421</v>
      </c>
    </row>
    <row r="146" customFormat="false" ht="15" hidden="false" customHeight="false" outlineLevel="0" collapsed="false">
      <c r="A146" s="15" t="s">
        <v>71</v>
      </c>
      <c r="B146" s="15" t="s">
        <v>72</v>
      </c>
      <c r="C146" s="15" t="s">
        <v>44</v>
      </c>
      <c r="D146" s="15" t="s">
        <v>16</v>
      </c>
      <c r="E146" s="15" t="s">
        <v>218</v>
      </c>
    </row>
    <row r="147" customFormat="false" ht="15" hidden="false" customHeight="false" outlineLevel="0" collapsed="false">
      <c r="A147" s="15" t="s">
        <v>71</v>
      </c>
      <c r="B147" s="15" t="s">
        <v>72</v>
      </c>
      <c r="C147" s="15" t="s">
        <v>44</v>
      </c>
      <c r="D147" s="15" t="s">
        <v>17</v>
      </c>
      <c r="E147" s="15" t="s">
        <v>65</v>
      </c>
    </row>
    <row r="148" customFormat="false" ht="15" hidden="false" customHeight="false" outlineLevel="0" collapsed="false">
      <c r="A148" s="15" t="s">
        <v>76</v>
      </c>
      <c r="B148" s="15" t="s">
        <v>77</v>
      </c>
      <c r="C148" s="15" t="s">
        <v>37</v>
      </c>
      <c r="D148" s="15" t="s">
        <v>14</v>
      </c>
      <c r="E148" s="15" t="s">
        <v>78</v>
      </c>
    </row>
    <row r="149" customFormat="false" ht="15" hidden="false" customHeight="false" outlineLevel="0" collapsed="false">
      <c r="A149" s="15" t="s">
        <v>76</v>
      </c>
      <c r="B149" s="15" t="s">
        <v>77</v>
      </c>
      <c r="C149" s="15" t="s">
        <v>37</v>
      </c>
      <c r="D149" s="15" t="s">
        <v>16</v>
      </c>
      <c r="E149" s="15" t="s">
        <v>439</v>
      </c>
    </row>
    <row r="150" customFormat="false" ht="15" hidden="false" customHeight="false" outlineLevel="0" collapsed="false">
      <c r="A150" s="15" t="s">
        <v>76</v>
      </c>
      <c r="B150" s="15" t="s">
        <v>77</v>
      </c>
      <c r="C150" s="15" t="s">
        <v>37</v>
      </c>
      <c r="D150" s="15" t="s">
        <v>16</v>
      </c>
      <c r="E150" s="15" t="s">
        <v>321</v>
      </c>
    </row>
    <row r="151" customFormat="false" ht="15" hidden="false" customHeight="false" outlineLevel="0" collapsed="false">
      <c r="A151" s="15" t="s">
        <v>76</v>
      </c>
      <c r="B151" s="15" t="s">
        <v>77</v>
      </c>
      <c r="C151" s="15" t="s">
        <v>37</v>
      </c>
      <c r="D151" s="15" t="s">
        <v>16</v>
      </c>
      <c r="E151" s="15" t="s">
        <v>422</v>
      </c>
    </row>
    <row r="152" customFormat="false" ht="15" hidden="false" customHeight="false" outlineLevel="0" collapsed="false">
      <c r="A152" s="15" t="s">
        <v>76</v>
      </c>
      <c r="B152" s="15" t="s">
        <v>77</v>
      </c>
      <c r="C152" s="15" t="s">
        <v>37</v>
      </c>
      <c r="D152" s="15" t="s">
        <v>16</v>
      </c>
      <c r="E152" s="15" t="s">
        <v>102</v>
      </c>
    </row>
    <row r="153" customFormat="false" ht="15" hidden="false" customHeight="false" outlineLevel="0" collapsed="false">
      <c r="A153" s="15" t="s">
        <v>76</v>
      </c>
      <c r="B153" s="15" t="s">
        <v>77</v>
      </c>
      <c r="C153" s="15" t="s">
        <v>37</v>
      </c>
      <c r="D153" s="15" t="s">
        <v>17</v>
      </c>
      <c r="E153" s="15" t="s">
        <v>41</v>
      </c>
    </row>
    <row r="154" customFormat="false" ht="15" hidden="false" customHeight="false" outlineLevel="0" collapsed="false">
      <c r="A154" s="15" t="s">
        <v>80</v>
      </c>
      <c r="B154" s="15" t="s">
        <v>81</v>
      </c>
      <c r="C154" s="15" t="s">
        <v>22</v>
      </c>
      <c r="D154" s="15" t="s">
        <v>14</v>
      </c>
      <c r="E154" s="15" t="s">
        <v>294</v>
      </c>
    </row>
    <row r="155" customFormat="false" ht="15" hidden="false" customHeight="false" outlineLevel="0" collapsed="false">
      <c r="A155" s="15" t="s">
        <v>80</v>
      </c>
      <c r="B155" s="15" t="s">
        <v>81</v>
      </c>
      <c r="C155" s="15" t="s">
        <v>22</v>
      </c>
      <c r="D155" s="15" t="s">
        <v>14</v>
      </c>
      <c r="E155" s="15" t="s">
        <v>440</v>
      </c>
    </row>
    <row r="156" customFormat="false" ht="15" hidden="false" customHeight="false" outlineLevel="0" collapsed="false">
      <c r="A156" s="15" t="s">
        <v>80</v>
      </c>
      <c r="B156" s="15" t="s">
        <v>81</v>
      </c>
      <c r="C156" s="15" t="s">
        <v>22</v>
      </c>
      <c r="D156" s="15" t="s">
        <v>14</v>
      </c>
      <c r="E156" s="15" t="s">
        <v>441</v>
      </c>
    </row>
    <row r="157" customFormat="false" ht="15" hidden="false" customHeight="false" outlineLevel="0" collapsed="false">
      <c r="A157" s="15" t="s">
        <v>80</v>
      </c>
      <c r="B157" s="15" t="s">
        <v>81</v>
      </c>
      <c r="C157" s="15" t="s">
        <v>22</v>
      </c>
      <c r="D157" s="15" t="s">
        <v>15</v>
      </c>
      <c r="E157" s="15" t="s">
        <v>69</v>
      </c>
    </row>
    <row r="158" customFormat="false" ht="15" hidden="false" customHeight="false" outlineLevel="0" collapsed="false">
      <c r="A158" s="15" t="s">
        <v>80</v>
      </c>
      <c r="B158" s="15" t="s">
        <v>81</v>
      </c>
      <c r="C158" s="15" t="s">
        <v>22</v>
      </c>
      <c r="D158" s="15" t="s">
        <v>15</v>
      </c>
      <c r="E158" s="15" t="s">
        <v>173</v>
      </c>
    </row>
    <row r="159" customFormat="false" ht="15" hidden="false" customHeight="false" outlineLevel="0" collapsed="false">
      <c r="A159" s="15" t="s">
        <v>80</v>
      </c>
      <c r="B159" s="15" t="s">
        <v>81</v>
      </c>
      <c r="C159" s="15" t="s">
        <v>22</v>
      </c>
      <c r="D159" s="15" t="s">
        <v>15</v>
      </c>
      <c r="E159" s="15" t="s">
        <v>442</v>
      </c>
    </row>
    <row r="160" customFormat="false" ht="15" hidden="false" customHeight="false" outlineLevel="0" collapsed="false">
      <c r="A160" s="15" t="s">
        <v>80</v>
      </c>
      <c r="B160" s="15" t="s">
        <v>81</v>
      </c>
      <c r="C160" s="15" t="s">
        <v>22</v>
      </c>
      <c r="D160" s="15" t="s">
        <v>15</v>
      </c>
      <c r="E160" s="15" t="s">
        <v>443</v>
      </c>
    </row>
    <row r="161" customFormat="false" ht="15" hidden="false" customHeight="false" outlineLevel="0" collapsed="false">
      <c r="A161" s="15" t="s">
        <v>80</v>
      </c>
      <c r="B161" s="15" t="s">
        <v>81</v>
      </c>
      <c r="C161" s="15" t="s">
        <v>22</v>
      </c>
      <c r="D161" s="15" t="s">
        <v>15</v>
      </c>
      <c r="E161" s="15" t="s">
        <v>444</v>
      </c>
    </row>
    <row r="162" customFormat="false" ht="15" hidden="false" customHeight="false" outlineLevel="0" collapsed="false">
      <c r="A162" s="15" t="s">
        <v>80</v>
      </c>
      <c r="B162" s="15" t="s">
        <v>81</v>
      </c>
      <c r="C162" s="15" t="s">
        <v>22</v>
      </c>
      <c r="D162" s="15" t="s">
        <v>16</v>
      </c>
      <c r="E162" s="15" t="s">
        <v>218</v>
      </c>
    </row>
    <row r="163" customFormat="false" ht="15" hidden="false" customHeight="false" outlineLevel="0" collapsed="false">
      <c r="A163" s="15" t="s">
        <v>80</v>
      </c>
      <c r="B163" s="15" t="s">
        <v>81</v>
      </c>
      <c r="C163" s="15" t="s">
        <v>22</v>
      </c>
      <c r="D163" s="15" t="s">
        <v>16</v>
      </c>
      <c r="E163" s="15" t="s">
        <v>385</v>
      </c>
    </row>
    <row r="164" customFormat="false" ht="15" hidden="false" customHeight="false" outlineLevel="0" collapsed="false">
      <c r="A164" s="15" t="s">
        <v>80</v>
      </c>
      <c r="B164" s="15" t="s">
        <v>81</v>
      </c>
      <c r="C164" s="15" t="s">
        <v>22</v>
      </c>
      <c r="D164" s="15" t="s">
        <v>16</v>
      </c>
      <c r="E164" s="15" t="s">
        <v>445</v>
      </c>
    </row>
    <row r="165" customFormat="false" ht="15" hidden="false" customHeight="false" outlineLevel="0" collapsed="false">
      <c r="A165" s="15" t="s">
        <v>80</v>
      </c>
      <c r="B165" s="15" t="s">
        <v>81</v>
      </c>
      <c r="C165" s="15" t="s">
        <v>22</v>
      </c>
      <c r="D165" s="15" t="s">
        <v>17</v>
      </c>
      <c r="E165" s="15" t="s">
        <v>85</v>
      </c>
    </row>
    <row r="166" customFormat="false" ht="15" hidden="false" customHeight="false" outlineLevel="0" collapsed="false">
      <c r="A166" s="15" t="s">
        <v>86</v>
      </c>
      <c r="B166" s="15" t="s">
        <v>87</v>
      </c>
      <c r="C166" s="15" t="s">
        <v>22</v>
      </c>
      <c r="D166" s="15" t="s">
        <v>16</v>
      </c>
      <c r="E166" s="15" t="s">
        <v>88</v>
      </c>
    </row>
    <row r="167" customFormat="false" ht="15" hidden="false" customHeight="false" outlineLevel="0" collapsed="false">
      <c r="A167" s="15" t="s">
        <v>86</v>
      </c>
      <c r="B167" s="15" t="s">
        <v>87</v>
      </c>
      <c r="C167" s="15" t="s">
        <v>22</v>
      </c>
      <c r="D167" s="15" t="s">
        <v>17</v>
      </c>
      <c r="E167" s="15" t="s">
        <v>65</v>
      </c>
    </row>
    <row r="168" customFormat="false" ht="15" hidden="false" customHeight="false" outlineLevel="0" collapsed="false">
      <c r="A168" s="15" t="s">
        <v>89</v>
      </c>
      <c r="B168" s="15" t="s">
        <v>90</v>
      </c>
      <c r="C168" s="15" t="s">
        <v>91</v>
      </c>
      <c r="D168" s="15" t="s">
        <v>14</v>
      </c>
      <c r="E168" s="15" t="s">
        <v>354</v>
      </c>
    </row>
    <row r="169" customFormat="false" ht="15" hidden="false" customHeight="false" outlineLevel="0" collapsed="false">
      <c r="A169" s="15" t="s">
        <v>89</v>
      </c>
      <c r="B169" s="15" t="s">
        <v>90</v>
      </c>
      <c r="C169" s="15" t="s">
        <v>91</v>
      </c>
      <c r="D169" s="15" t="s">
        <v>14</v>
      </c>
      <c r="E169" s="15" t="s">
        <v>294</v>
      </c>
    </row>
    <row r="170" customFormat="false" ht="15" hidden="false" customHeight="false" outlineLevel="0" collapsed="false">
      <c r="A170" s="15" t="s">
        <v>89</v>
      </c>
      <c r="B170" s="15" t="s">
        <v>90</v>
      </c>
      <c r="C170" s="15" t="s">
        <v>91</v>
      </c>
      <c r="D170" s="15" t="s">
        <v>15</v>
      </c>
      <c r="E170" s="15" t="s">
        <v>217</v>
      </c>
    </row>
    <row r="171" customFormat="false" ht="15" hidden="false" customHeight="false" outlineLevel="0" collapsed="false">
      <c r="A171" s="15" t="s">
        <v>89</v>
      </c>
      <c r="B171" s="15" t="s">
        <v>90</v>
      </c>
      <c r="C171" s="15" t="s">
        <v>91</v>
      </c>
      <c r="D171" s="15" t="s">
        <v>15</v>
      </c>
      <c r="E171" s="15" t="s">
        <v>407</v>
      </c>
    </row>
    <row r="172" customFormat="false" ht="15" hidden="false" customHeight="false" outlineLevel="0" collapsed="false">
      <c r="A172" s="15" t="s">
        <v>89</v>
      </c>
      <c r="B172" s="15" t="s">
        <v>90</v>
      </c>
      <c r="C172" s="15" t="s">
        <v>91</v>
      </c>
      <c r="D172" s="15" t="s">
        <v>15</v>
      </c>
      <c r="E172" s="15" t="s">
        <v>446</v>
      </c>
    </row>
    <row r="173" customFormat="false" ht="15" hidden="false" customHeight="false" outlineLevel="0" collapsed="false">
      <c r="A173" s="15" t="s">
        <v>89</v>
      </c>
      <c r="B173" s="15" t="s">
        <v>90</v>
      </c>
      <c r="C173" s="15" t="s">
        <v>91</v>
      </c>
      <c r="D173" s="15" t="s">
        <v>15</v>
      </c>
      <c r="E173" s="15" t="s">
        <v>308</v>
      </c>
    </row>
    <row r="174" customFormat="false" ht="15" hidden="false" customHeight="false" outlineLevel="0" collapsed="false">
      <c r="A174" s="15" t="s">
        <v>89</v>
      </c>
      <c r="B174" s="15" t="s">
        <v>90</v>
      </c>
      <c r="C174" s="15" t="s">
        <v>91</v>
      </c>
      <c r="D174" s="15" t="s">
        <v>15</v>
      </c>
      <c r="E174" s="15" t="s">
        <v>222</v>
      </c>
    </row>
    <row r="175" customFormat="false" ht="15" hidden="false" customHeight="false" outlineLevel="0" collapsed="false">
      <c r="A175" s="15" t="s">
        <v>89</v>
      </c>
      <c r="B175" s="15" t="s">
        <v>90</v>
      </c>
      <c r="C175" s="15" t="s">
        <v>91</v>
      </c>
      <c r="D175" s="15" t="s">
        <v>15</v>
      </c>
      <c r="E175" s="15" t="s">
        <v>447</v>
      </c>
    </row>
    <row r="176" customFormat="false" ht="15" hidden="false" customHeight="false" outlineLevel="0" collapsed="false">
      <c r="A176" s="15" t="s">
        <v>89</v>
      </c>
      <c r="B176" s="15" t="s">
        <v>90</v>
      </c>
      <c r="C176" s="15" t="s">
        <v>91</v>
      </c>
      <c r="D176" s="15" t="s">
        <v>15</v>
      </c>
      <c r="E176" s="15" t="s">
        <v>448</v>
      </c>
    </row>
    <row r="177" customFormat="false" ht="15" hidden="false" customHeight="false" outlineLevel="0" collapsed="false">
      <c r="A177" s="15" t="s">
        <v>89</v>
      </c>
      <c r="B177" s="15" t="s">
        <v>90</v>
      </c>
      <c r="C177" s="15" t="s">
        <v>91</v>
      </c>
      <c r="D177" s="15" t="s">
        <v>16</v>
      </c>
      <c r="E177" s="15" t="s">
        <v>449</v>
      </c>
    </row>
    <row r="178" customFormat="false" ht="15" hidden="false" customHeight="false" outlineLevel="0" collapsed="false">
      <c r="A178" s="15" t="s">
        <v>89</v>
      </c>
      <c r="B178" s="15" t="s">
        <v>90</v>
      </c>
      <c r="C178" s="15" t="s">
        <v>91</v>
      </c>
      <c r="D178" s="15" t="s">
        <v>16</v>
      </c>
      <c r="E178" s="15" t="s">
        <v>170</v>
      </c>
    </row>
    <row r="179" customFormat="false" ht="15" hidden="false" customHeight="false" outlineLevel="0" collapsed="false">
      <c r="A179" s="15" t="s">
        <v>89</v>
      </c>
      <c r="B179" s="15" t="s">
        <v>90</v>
      </c>
      <c r="C179" s="15" t="s">
        <v>91</v>
      </c>
      <c r="D179" s="15" t="s">
        <v>16</v>
      </c>
      <c r="E179" s="15" t="s">
        <v>102</v>
      </c>
    </row>
    <row r="180" customFormat="false" ht="15" hidden="false" customHeight="false" outlineLevel="0" collapsed="false">
      <c r="A180" s="15" t="s">
        <v>89</v>
      </c>
      <c r="B180" s="15" t="s">
        <v>90</v>
      </c>
      <c r="C180" s="15" t="s">
        <v>91</v>
      </c>
      <c r="D180" s="15" t="s">
        <v>17</v>
      </c>
      <c r="E180" s="15" t="s">
        <v>95</v>
      </c>
    </row>
    <row r="181" customFormat="false" ht="15" hidden="false" customHeight="false" outlineLevel="0" collapsed="false">
      <c r="A181" s="15" t="s">
        <v>99</v>
      </c>
      <c r="B181" s="15" t="s">
        <v>100</v>
      </c>
      <c r="C181" s="15" t="s">
        <v>22</v>
      </c>
      <c r="D181" s="15" t="s">
        <v>14</v>
      </c>
      <c r="E181" s="15" t="s">
        <v>101</v>
      </c>
    </row>
    <row r="182" customFormat="false" ht="15" hidden="false" customHeight="false" outlineLevel="0" collapsed="false">
      <c r="A182" s="15" t="s">
        <v>99</v>
      </c>
      <c r="B182" s="15" t="s">
        <v>100</v>
      </c>
      <c r="C182" s="15" t="s">
        <v>22</v>
      </c>
      <c r="D182" s="15" t="s">
        <v>16</v>
      </c>
      <c r="E182" s="15" t="s">
        <v>102</v>
      </c>
    </row>
    <row r="183" customFormat="false" ht="15" hidden="false" customHeight="false" outlineLevel="0" collapsed="false">
      <c r="A183" s="15" t="s">
        <v>99</v>
      </c>
      <c r="B183" s="15" t="s">
        <v>100</v>
      </c>
      <c r="C183" s="15" t="s">
        <v>22</v>
      </c>
      <c r="D183" s="15" t="s">
        <v>17</v>
      </c>
      <c r="E183" s="15" t="s">
        <v>65</v>
      </c>
    </row>
    <row r="184" customFormat="false" ht="15" hidden="false" customHeight="false" outlineLevel="0" collapsed="false">
      <c r="A184" s="15" t="s">
        <v>103</v>
      </c>
      <c r="B184" s="15" t="s">
        <v>104</v>
      </c>
      <c r="C184" s="15" t="s">
        <v>22</v>
      </c>
      <c r="D184" s="15" t="s">
        <v>14</v>
      </c>
      <c r="E184" s="15" t="s">
        <v>450</v>
      </c>
    </row>
    <row r="185" customFormat="false" ht="15" hidden="false" customHeight="false" outlineLevel="0" collapsed="false">
      <c r="A185" s="15" t="s">
        <v>103</v>
      </c>
      <c r="B185" s="15" t="s">
        <v>104</v>
      </c>
      <c r="C185" s="15" t="s">
        <v>22</v>
      </c>
      <c r="D185" s="15" t="s">
        <v>14</v>
      </c>
      <c r="E185" s="15" t="s">
        <v>451</v>
      </c>
    </row>
    <row r="186" customFormat="false" ht="15" hidden="false" customHeight="false" outlineLevel="0" collapsed="false">
      <c r="A186" s="15" t="s">
        <v>103</v>
      </c>
      <c r="B186" s="15" t="s">
        <v>104</v>
      </c>
      <c r="C186" s="15" t="s">
        <v>22</v>
      </c>
      <c r="D186" s="15" t="s">
        <v>15</v>
      </c>
      <c r="E186" s="15" t="s">
        <v>395</v>
      </c>
    </row>
    <row r="187" customFormat="false" ht="15" hidden="false" customHeight="false" outlineLevel="0" collapsed="false">
      <c r="A187" s="15" t="s">
        <v>103</v>
      </c>
      <c r="B187" s="15" t="s">
        <v>104</v>
      </c>
      <c r="C187" s="15" t="s">
        <v>22</v>
      </c>
      <c r="D187" s="15" t="s">
        <v>15</v>
      </c>
      <c r="E187" s="15" t="s">
        <v>452</v>
      </c>
    </row>
    <row r="188" customFormat="false" ht="15" hidden="false" customHeight="false" outlineLevel="0" collapsed="false">
      <c r="A188" s="15" t="s">
        <v>103</v>
      </c>
      <c r="B188" s="15" t="s">
        <v>104</v>
      </c>
      <c r="C188" s="15" t="s">
        <v>22</v>
      </c>
      <c r="D188" s="15" t="s">
        <v>16</v>
      </c>
      <c r="E188" s="15" t="s">
        <v>439</v>
      </c>
    </row>
    <row r="189" customFormat="false" ht="15" hidden="false" customHeight="false" outlineLevel="0" collapsed="false">
      <c r="A189" s="15" t="s">
        <v>103</v>
      </c>
      <c r="B189" s="15" t="s">
        <v>104</v>
      </c>
      <c r="C189" s="15" t="s">
        <v>22</v>
      </c>
      <c r="D189" s="15" t="s">
        <v>16</v>
      </c>
      <c r="E189" s="15" t="s">
        <v>412</v>
      </c>
    </row>
    <row r="190" customFormat="false" ht="15" hidden="false" customHeight="false" outlineLevel="0" collapsed="false">
      <c r="A190" s="15" t="s">
        <v>103</v>
      </c>
      <c r="B190" s="15" t="s">
        <v>104</v>
      </c>
      <c r="C190" s="15" t="s">
        <v>22</v>
      </c>
      <c r="D190" s="15" t="s">
        <v>17</v>
      </c>
      <c r="E190" s="15" t="s">
        <v>65</v>
      </c>
    </row>
    <row r="191" customFormat="false" ht="15" hidden="false" customHeight="false" outlineLevel="0" collapsed="false">
      <c r="A191" s="15" t="s">
        <v>103</v>
      </c>
      <c r="B191" s="15" t="s">
        <v>104</v>
      </c>
      <c r="C191" s="15" t="s">
        <v>22</v>
      </c>
      <c r="D191" s="15" t="s">
        <v>18</v>
      </c>
      <c r="E191" s="15" t="s">
        <v>108</v>
      </c>
    </row>
    <row r="192" customFormat="false" ht="15" hidden="false" customHeight="false" outlineLevel="0" collapsed="false">
      <c r="A192" s="15" t="s">
        <v>111</v>
      </c>
      <c r="B192" s="15" t="s">
        <v>112</v>
      </c>
      <c r="C192" s="15" t="s">
        <v>44</v>
      </c>
      <c r="D192" s="15" t="s">
        <v>17</v>
      </c>
      <c r="E192" s="15" t="s">
        <v>113</v>
      </c>
    </row>
    <row r="193" customFormat="false" ht="15" hidden="false" customHeight="false" outlineLevel="0" collapsed="false">
      <c r="A193" s="15" t="s">
        <v>111</v>
      </c>
      <c r="B193" s="15" t="s">
        <v>112</v>
      </c>
      <c r="C193" s="15" t="s">
        <v>44</v>
      </c>
      <c r="D193" s="15" t="s">
        <v>18</v>
      </c>
      <c r="E193" s="15" t="s">
        <v>114</v>
      </c>
    </row>
    <row r="194" customFormat="false" ht="15" hidden="false" customHeight="false" outlineLevel="0" collapsed="false">
      <c r="A194" s="15" t="s">
        <v>117</v>
      </c>
      <c r="B194" s="15" t="s">
        <v>118</v>
      </c>
      <c r="C194" s="15" t="s">
        <v>22</v>
      </c>
      <c r="D194" s="15" t="s">
        <v>14</v>
      </c>
      <c r="E194" s="15" t="s">
        <v>101</v>
      </c>
    </row>
    <row r="195" customFormat="false" ht="15" hidden="false" customHeight="false" outlineLevel="0" collapsed="false">
      <c r="A195" s="15" t="s">
        <v>117</v>
      </c>
      <c r="B195" s="15" t="s">
        <v>118</v>
      </c>
      <c r="C195" s="15" t="s">
        <v>22</v>
      </c>
      <c r="D195" s="15" t="s">
        <v>14</v>
      </c>
      <c r="E195" s="15" t="s">
        <v>453</v>
      </c>
    </row>
    <row r="196" customFormat="false" ht="15" hidden="false" customHeight="false" outlineLevel="0" collapsed="false">
      <c r="A196" s="15" t="s">
        <v>117</v>
      </c>
      <c r="B196" s="15" t="s">
        <v>118</v>
      </c>
      <c r="C196" s="15" t="s">
        <v>22</v>
      </c>
      <c r="D196" s="15" t="s">
        <v>15</v>
      </c>
      <c r="E196" s="15" t="s">
        <v>454</v>
      </c>
    </row>
    <row r="197" customFormat="false" ht="15" hidden="false" customHeight="false" outlineLevel="0" collapsed="false">
      <c r="A197" s="15" t="s">
        <v>117</v>
      </c>
      <c r="B197" s="15" t="s">
        <v>118</v>
      </c>
      <c r="C197" s="15" t="s">
        <v>22</v>
      </c>
      <c r="D197" s="15" t="s">
        <v>15</v>
      </c>
      <c r="E197" s="15" t="s">
        <v>395</v>
      </c>
    </row>
    <row r="198" customFormat="false" ht="15" hidden="false" customHeight="false" outlineLevel="0" collapsed="false">
      <c r="A198" s="15" t="s">
        <v>117</v>
      </c>
      <c r="B198" s="15" t="s">
        <v>118</v>
      </c>
      <c r="C198" s="15" t="s">
        <v>22</v>
      </c>
      <c r="D198" s="15" t="s">
        <v>16</v>
      </c>
      <c r="E198" s="15" t="s">
        <v>412</v>
      </c>
    </row>
    <row r="199" customFormat="false" ht="15" hidden="false" customHeight="false" outlineLevel="0" collapsed="false">
      <c r="A199" s="15" t="s">
        <v>117</v>
      </c>
      <c r="B199" s="15" t="s">
        <v>118</v>
      </c>
      <c r="C199" s="15" t="s">
        <v>22</v>
      </c>
      <c r="D199" s="15" t="s">
        <v>16</v>
      </c>
      <c r="E199" s="15" t="s">
        <v>218</v>
      </c>
    </row>
    <row r="200" customFormat="false" ht="15" hidden="false" customHeight="false" outlineLevel="0" collapsed="false">
      <c r="A200" s="15" t="s">
        <v>117</v>
      </c>
      <c r="B200" s="15" t="s">
        <v>118</v>
      </c>
      <c r="C200" s="15" t="s">
        <v>22</v>
      </c>
      <c r="D200" s="15" t="s">
        <v>16</v>
      </c>
      <c r="E200" s="15" t="s">
        <v>53</v>
      </c>
    </row>
    <row r="201" customFormat="false" ht="15" hidden="false" customHeight="false" outlineLevel="0" collapsed="false">
      <c r="A201" s="15" t="s">
        <v>117</v>
      </c>
      <c r="B201" s="15" t="s">
        <v>118</v>
      </c>
      <c r="C201" s="15" t="s">
        <v>22</v>
      </c>
      <c r="D201" s="15" t="s">
        <v>16</v>
      </c>
      <c r="E201" s="15" t="s">
        <v>102</v>
      </c>
    </row>
    <row r="202" customFormat="false" ht="15" hidden="false" customHeight="false" outlineLevel="0" collapsed="false">
      <c r="A202" s="15" t="s">
        <v>117</v>
      </c>
      <c r="B202" s="15" t="s">
        <v>118</v>
      </c>
      <c r="C202" s="15" t="s">
        <v>22</v>
      </c>
      <c r="D202" s="15" t="s">
        <v>17</v>
      </c>
      <c r="E202" s="15" t="s">
        <v>65</v>
      </c>
    </row>
    <row r="203" customFormat="false" ht="15" hidden="false" customHeight="false" outlineLevel="0" collapsed="false">
      <c r="A203" s="15" t="s">
        <v>122</v>
      </c>
      <c r="B203" s="15" t="s">
        <v>123</v>
      </c>
      <c r="C203" s="15" t="s">
        <v>37</v>
      </c>
      <c r="D203" s="15" t="s">
        <v>14</v>
      </c>
      <c r="E203" s="15" t="s">
        <v>124</v>
      </c>
    </row>
    <row r="204" customFormat="false" ht="15" hidden="false" customHeight="false" outlineLevel="0" collapsed="false">
      <c r="A204" s="15" t="s">
        <v>122</v>
      </c>
      <c r="B204" s="15" t="s">
        <v>123</v>
      </c>
      <c r="C204" s="15" t="s">
        <v>37</v>
      </c>
      <c r="D204" s="15" t="s">
        <v>16</v>
      </c>
      <c r="E204" s="15" t="s">
        <v>433</v>
      </c>
    </row>
    <row r="205" customFormat="false" ht="15" hidden="false" customHeight="false" outlineLevel="0" collapsed="false">
      <c r="A205" s="15" t="s">
        <v>122</v>
      </c>
      <c r="B205" s="15" t="s">
        <v>123</v>
      </c>
      <c r="C205" s="15" t="s">
        <v>37</v>
      </c>
      <c r="D205" s="15" t="s">
        <v>16</v>
      </c>
      <c r="E205" s="15" t="s">
        <v>385</v>
      </c>
    </row>
    <row r="206" customFormat="false" ht="15" hidden="false" customHeight="false" outlineLevel="0" collapsed="false">
      <c r="A206" s="15" t="s">
        <v>122</v>
      </c>
      <c r="B206" s="15" t="s">
        <v>123</v>
      </c>
      <c r="C206" s="15" t="s">
        <v>37</v>
      </c>
      <c r="D206" s="15" t="s">
        <v>16</v>
      </c>
      <c r="E206" s="15" t="s">
        <v>321</v>
      </c>
    </row>
    <row r="207" customFormat="false" ht="15" hidden="false" customHeight="false" outlineLevel="0" collapsed="false">
      <c r="A207" s="15" t="s">
        <v>122</v>
      </c>
      <c r="B207" s="15" t="s">
        <v>123</v>
      </c>
      <c r="C207" s="15" t="s">
        <v>37</v>
      </c>
      <c r="D207" s="15" t="s">
        <v>16</v>
      </c>
      <c r="E207" s="15" t="s">
        <v>422</v>
      </c>
    </row>
    <row r="208" customFormat="false" ht="15" hidden="false" customHeight="false" outlineLevel="0" collapsed="false">
      <c r="A208" s="15" t="s">
        <v>122</v>
      </c>
      <c r="B208" s="15" t="s">
        <v>123</v>
      </c>
      <c r="C208" s="15" t="s">
        <v>37</v>
      </c>
      <c r="D208" s="15" t="s">
        <v>17</v>
      </c>
      <c r="E208" s="15" t="s">
        <v>65</v>
      </c>
    </row>
    <row r="209" customFormat="false" ht="15" hidden="false" customHeight="false" outlineLevel="0" collapsed="false">
      <c r="A209" s="15" t="s">
        <v>126</v>
      </c>
      <c r="B209" s="15" t="s">
        <v>127</v>
      </c>
      <c r="C209" s="15" t="s">
        <v>22</v>
      </c>
      <c r="D209" s="15" t="s">
        <v>14</v>
      </c>
      <c r="E209" s="15" t="s">
        <v>455</v>
      </c>
    </row>
    <row r="210" customFormat="false" ht="15" hidden="false" customHeight="false" outlineLevel="0" collapsed="false">
      <c r="A210" s="15" t="s">
        <v>126</v>
      </c>
      <c r="B210" s="15" t="s">
        <v>127</v>
      </c>
      <c r="C210" s="15" t="s">
        <v>22</v>
      </c>
      <c r="D210" s="15" t="s">
        <v>14</v>
      </c>
      <c r="E210" s="15" t="s">
        <v>294</v>
      </c>
    </row>
    <row r="211" customFormat="false" ht="15" hidden="false" customHeight="false" outlineLevel="0" collapsed="false">
      <c r="A211" s="15" t="s">
        <v>126</v>
      </c>
      <c r="B211" s="15" t="s">
        <v>127</v>
      </c>
      <c r="C211" s="15" t="s">
        <v>22</v>
      </c>
      <c r="D211" s="15" t="s">
        <v>14</v>
      </c>
      <c r="E211" s="15" t="s">
        <v>456</v>
      </c>
    </row>
    <row r="212" customFormat="false" ht="15" hidden="false" customHeight="false" outlineLevel="0" collapsed="false">
      <c r="A212" s="15" t="s">
        <v>126</v>
      </c>
      <c r="B212" s="15" t="s">
        <v>127</v>
      </c>
      <c r="C212" s="15" t="s">
        <v>22</v>
      </c>
      <c r="D212" s="15" t="s">
        <v>15</v>
      </c>
      <c r="E212" s="15" t="s">
        <v>443</v>
      </c>
    </row>
    <row r="213" customFormat="false" ht="15" hidden="false" customHeight="false" outlineLevel="0" collapsed="false">
      <c r="A213" s="15" t="s">
        <v>126</v>
      </c>
      <c r="B213" s="15" t="s">
        <v>127</v>
      </c>
      <c r="C213" s="15" t="s">
        <v>22</v>
      </c>
      <c r="D213" s="15" t="s">
        <v>15</v>
      </c>
      <c r="E213" s="15" t="s">
        <v>364</v>
      </c>
    </row>
    <row r="214" customFormat="false" ht="15" hidden="false" customHeight="false" outlineLevel="0" collapsed="false">
      <c r="A214" s="15" t="s">
        <v>126</v>
      </c>
      <c r="B214" s="15" t="s">
        <v>127</v>
      </c>
      <c r="C214" s="15" t="s">
        <v>22</v>
      </c>
      <c r="D214" s="15" t="s">
        <v>16</v>
      </c>
      <c r="E214" s="15" t="s">
        <v>321</v>
      </c>
    </row>
    <row r="215" customFormat="false" ht="15" hidden="false" customHeight="false" outlineLevel="0" collapsed="false">
      <c r="A215" s="15" t="s">
        <v>126</v>
      </c>
      <c r="B215" s="15" t="s">
        <v>127</v>
      </c>
      <c r="C215" s="15" t="s">
        <v>22</v>
      </c>
      <c r="D215" s="15" t="s">
        <v>16</v>
      </c>
      <c r="E215" s="15" t="s">
        <v>218</v>
      </c>
    </row>
    <row r="216" customFormat="false" ht="15" hidden="false" customHeight="false" outlineLevel="0" collapsed="false">
      <c r="A216" s="15" t="s">
        <v>126</v>
      </c>
      <c r="B216" s="15" t="s">
        <v>127</v>
      </c>
      <c r="C216" s="15" t="s">
        <v>22</v>
      </c>
      <c r="D216" s="15" t="s">
        <v>16</v>
      </c>
      <c r="E216" s="15" t="s">
        <v>457</v>
      </c>
    </row>
    <row r="217" customFormat="false" ht="15" hidden="false" customHeight="false" outlineLevel="0" collapsed="false">
      <c r="A217" s="15" t="s">
        <v>126</v>
      </c>
      <c r="B217" s="15" t="s">
        <v>127</v>
      </c>
      <c r="C217" s="15" t="s">
        <v>22</v>
      </c>
      <c r="D217" s="15" t="s">
        <v>17</v>
      </c>
      <c r="E217" s="15" t="s">
        <v>65</v>
      </c>
    </row>
    <row r="218" customFormat="false" ht="15" hidden="false" customHeight="false" outlineLevel="0" collapsed="false">
      <c r="A218" s="15" t="s">
        <v>131</v>
      </c>
      <c r="B218" s="15" t="s">
        <v>132</v>
      </c>
      <c r="C218" s="15" t="s">
        <v>22</v>
      </c>
      <c r="D218" s="15" t="s">
        <v>14</v>
      </c>
      <c r="E218" s="15" t="s">
        <v>133</v>
      </c>
    </row>
    <row r="219" customFormat="false" ht="15" hidden="false" customHeight="false" outlineLevel="0" collapsed="false">
      <c r="A219" s="15" t="s">
        <v>131</v>
      </c>
      <c r="B219" s="15" t="s">
        <v>132</v>
      </c>
      <c r="C219" s="15" t="s">
        <v>22</v>
      </c>
      <c r="D219" s="15" t="s">
        <v>15</v>
      </c>
      <c r="E219" s="15" t="s">
        <v>395</v>
      </c>
    </row>
    <row r="220" customFormat="false" ht="15" hidden="false" customHeight="false" outlineLevel="0" collapsed="false">
      <c r="A220" s="15" t="s">
        <v>131</v>
      </c>
      <c r="B220" s="15" t="s">
        <v>132</v>
      </c>
      <c r="C220" s="15" t="s">
        <v>22</v>
      </c>
      <c r="D220" s="15" t="s">
        <v>15</v>
      </c>
      <c r="E220" s="15" t="s">
        <v>458</v>
      </c>
    </row>
    <row r="221" customFormat="false" ht="15" hidden="false" customHeight="false" outlineLevel="0" collapsed="false">
      <c r="A221" s="15" t="s">
        <v>131</v>
      </c>
      <c r="B221" s="15" t="s">
        <v>132</v>
      </c>
      <c r="C221" s="15" t="s">
        <v>22</v>
      </c>
      <c r="D221" s="15" t="s">
        <v>17</v>
      </c>
      <c r="E221" s="15" t="s">
        <v>135</v>
      </c>
    </row>
    <row r="222" customFormat="false" ht="15" hidden="false" customHeight="false" outlineLevel="0" collapsed="false">
      <c r="A222" s="15" t="s">
        <v>136</v>
      </c>
      <c r="B222" s="15" t="s">
        <v>137</v>
      </c>
      <c r="C222" s="15" t="s">
        <v>22</v>
      </c>
      <c r="D222" s="15" t="s">
        <v>14</v>
      </c>
      <c r="E222" s="15" t="s">
        <v>294</v>
      </c>
    </row>
    <row r="223" customFormat="false" ht="15" hidden="false" customHeight="false" outlineLevel="0" collapsed="false">
      <c r="A223" s="15" t="s">
        <v>136</v>
      </c>
      <c r="B223" s="15" t="s">
        <v>137</v>
      </c>
      <c r="C223" s="15" t="s">
        <v>22</v>
      </c>
      <c r="D223" s="15" t="s">
        <v>14</v>
      </c>
      <c r="E223" s="15" t="s">
        <v>354</v>
      </c>
    </row>
    <row r="224" customFormat="false" ht="15" hidden="false" customHeight="false" outlineLevel="0" collapsed="false">
      <c r="A224" s="15" t="s">
        <v>136</v>
      </c>
      <c r="B224" s="15" t="s">
        <v>137</v>
      </c>
      <c r="C224" s="15" t="s">
        <v>22</v>
      </c>
      <c r="D224" s="15" t="s">
        <v>15</v>
      </c>
      <c r="E224" s="15" t="s">
        <v>410</v>
      </c>
    </row>
    <row r="225" customFormat="false" ht="15" hidden="false" customHeight="false" outlineLevel="0" collapsed="false">
      <c r="A225" s="15" t="s">
        <v>136</v>
      </c>
      <c r="B225" s="15" t="s">
        <v>137</v>
      </c>
      <c r="C225" s="15" t="s">
        <v>22</v>
      </c>
      <c r="D225" s="15" t="s">
        <v>15</v>
      </c>
      <c r="E225" s="15" t="s">
        <v>459</v>
      </c>
    </row>
    <row r="226" customFormat="false" ht="15" hidden="false" customHeight="false" outlineLevel="0" collapsed="false">
      <c r="A226" s="15" t="s">
        <v>136</v>
      </c>
      <c r="B226" s="15" t="s">
        <v>137</v>
      </c>
      <c r="C226" s="15" t="s">
        <v>22</v>
      </c>
      <c r="D226" s="15" t="s">
        <v>15</v>
      </c>
      <c r="E226" s="15" t="s">
        <v>442</v>
      </c>
    </row>
    <row r="227" customFormat="false" ht="15" hidden="false" customHeight="false" outlineLevel="0" collapsed="false">
      <c r="A227" s="15" t="s">
        <v>136</v>
      </c>
      <c r="B227" s="15" t="s">
        <v>137</v>
      </c>
      <c r="C227" s="15" t="s">
        <v>22</v>
      </c>
      <c r="D227" s="15" t="s">
        <v>15</v>
      </c>
      <c r="E227" s="15" t="s">
        <v>460</v>
      </c>
    </row>
    <row r="228" customFormat="false" ht="15" hidden="false" customHeight="false" outlineLevel="0" collapsed="false">
      <c r="A228" s="15" t="s">
        <v>136</v>
      </c>
      <c r="B228" s="15" t="s">
        <v>137</v>
      </c>
      <c r="C228" s="15" t="s">
        <v>22</v>
      </c>
      <c r="D228" s="15" t="s">
        <v>16</v>
      </c>
      <c r="E228" s="15" t="s">
        <v>387</v>
      </c>
    </row>
    <row r="229" customFormat="false" ht="15" hidden="false" customHeight="false" outlineLevel="0" collapsed="false">
      <c r="A229" s="15" t="s">
        <v>136</v>
      </c>
      <c r="B229" s="15" t="s">
        <v>137</v>
      </c>
      <c r="C229" s="15" t="s">
        <v>22</v>
      </c>
      <c r="D229" s="15" t="s">
        <v>16</v>
      </c>
      <c r="E229" s="15" t="s">
        <v>102</v>
      </c>
    </row>
    <row r="230" customFormat="false" ht="15" hidden="false" customHeight="false" outlineLevel="0" collapsed="false">
      <c r="A230" s="15" t="s">
        <v>136</v>
      </c>
      <c r="B230" s="15" t="s">
        <v>137</v>
      </c>
      <c r="C230" s="15" t="s">
        <v>22</v>
      </c>
      <c r="D230" s="15" t="s">
        <v>16</v>
      </c>
      <c r="E230" s="15" t="s">
        <v>389</v>
      </c>
    </row>
    <row r="231" customFormat="false" ht="15" hidden="false" customHeight="false" outlineLevel="0" collapsed="false">
      <c r="A231" s="15" t="s">
        <v>136</v>
      </c>
      <c r="B231" s="15" t="s">
        <v>137</v>
      </c>
      <c r="C231" s="15" t="s">
        <v>22</v>
      </c>
      <c r="D231" s="15" t="s">
        <v>17</v>
      </c>
      <c r="E231" s="15" t="s">
        <v>65</v>
      </c>
    </row>
    <row r="232" customFormat="false" ht="15" hidden="false" customHeight="false" outlineLevel="0" collapsed="false">
      <c r="A232" s="15" t="s">
        <v>144</v>
      </c>
      <c r="B232" s="15" t="s">
        <v>145</v>
      </c>
      <c r="C232" s="15" t="s">
        <v>37</v>
      </c>
      <c r="D232" s="15" t="s">
        <v>17</v>
      </c>
      <c r="E232" s="15" t="s">
        <v>85</v>
      </c>
    </row>
    <row r="233" customFormat="false" ht="15" hidden="false" customHeight="false" outlineLevel="0" collapsed="false">
      <c r="A233" s="15" t="s">
        <v>150</v>
      </c>
      <c r="B233" s="15" t="s">
        <v>151</v>
      </c>
      <c r="C233" s="15" t="s">
        <v>22</v>
      </c>
      <c r="D233" s="15" t="s">
        <v>14</v>
      </c>
      <c r="E233" s="15" t="s">
        <v>354</v>
      </c>
    </row>
    <row r="234" customFormat="false" ht="15" hidden="false" customHeight="false" outlineLevel="0" collapsed="false">
      <c r="A234" s="15" t="s">
        <v>150</v>
      </c>
      <c r="B234" s="15" t="s">
        <v>151</v>
      </c>
      <c r="C234" s="15" t="s">
        <v>22</v>
      </c>
      <c r="D234" s="15" t="s">
        <v>14</v>
      </c>
      <c r="E234" s="15" t="s">
        <v>451</v>
      </c>
    </row>
    <row r="235" customFormat="false" ht="15" hidden="false" customHeight="false" outlineLevel="0" collapsed="false">
      <c r="A235" s="15" t="s">
        <v>150</v>
      </c>
      <c r="B235" s="15" t="s">
        <v>151</v>
      </c>
      <c r="C235" s="15" t="s">
        <v>22</v>
      </c>
      <c r="D235" s="15" t="s">
        <v>16</v>
      </c>
      <c r="E235" s="15" t="s">
        <v>153</v>
      </c>
    </row>
    <row r="236" customFormat="false" ht="15" hidden="false" customHeight="false" outlineLevel="0" collapsed="false">
      <c r="A236" s="15" t="s">
        <v>150</v>
      </c>
      <c r="B236" s="15" t="s">
        <v>151</v>
      </c>
      <c r="C236" s="15" t="s">
        <v>22</v>
      </c>
      <c r="D236" s="15" t="s">
        <v>17</v>
      </c>
      <c r="E236" s="15" t="s">
        <v>65</v>
      </c>
    </row>
    <row r="237" customFormat="false" ht="15" hidden="false" customHeight="false" outlineLevel="0" collapsed="false">
      <c r="A237" s="15" t="s">
        <v>154</v>
      </c>
      <c r="B237" s="15" t="s">
        <v>155</v>
      </c>
      <c r="C237" s="15" t="s">
        <v>22</v>
      </c>
      <c r="D237" s="15" t="s">
        <v>14</v>
      </c>
      <c r="E237" s="15" t="s">
        <v>101</v>
      </c>
    </row>
    <row r="238" customFormat="false" ht="15" hidden="false" customHeight="false" outlineLevel="0" collapsed="false">
      <c r="A238" s="15" t="s">
        <v>154</v>
      </c>
      <c r="B238" s="15" t="s">
        <v>155</v>
      </c>
      <c r="C238" s="15" t="s">
        <v>22</v>
      </c>
      <c r="D238" s="15" t="s">
        <v>16</v>
      </c>
      <c r="E238" s="15" t="s">
        <v>321</v>
      </c>
    </row>
    <row r="239" customFormat="false" ht="15" hidden="false" customHeight="false" outlineLevel="0" collapsed="false">
      <c r="A239" s="15" t="s">
        <v>154</v>
      </c>
      <c r="B239" s="15" t="s">
        <v>155</v>
      </c>
      <c r="C239" s="15" t="s">
        <v>22</v>
      </c>
      <c r="D239" s="15" t="s">
        <v>16</v>
      </c>
      <c r="E239" s="15" t="s">
        <v>461</v>
      </c>
    </row>
    <row r="240" customFormat="false" ht="15" hidden="false" customHeight="false" outlineLevel="0" collapsed="false">
      <c r="A240" s="15" t="s">
        <v>154</v>
      </c>
      <c r="B240" s="15" t="s">
        <v>155</v>
      </c>
      <c r="C240" s="15" t="s">
        <v>22</v>
      </c>
      <c r="D240" s="15" t="s">
        <v>17</v>
      </c>
      <c r="E240" s="15" t="s">
        <v>85</v>
      </c>
    </row>
    <row r="241" customFormat="false" ht="15" hidden="false" customHeight="false" outlineLevel="0" collapsed="false">
      <c r="A241" s="15" t="s">
        <v>157</v>
      </c>
      <c r="B241" s="15" t="s">
        <v>158</v>
      </c>
      <c r="C241" s="15" t="s">
        <v>98</v>
      </c>
      <c r="D241" s="15" t="s">
        <v>15</v>
      </c>
      <c r="E241" s="15" t="s">
        <v>159</v>
      </c>
    </row>
    <row r="242" customFormat="false" ht="15" hidden="false" customHeight="false" outlineLevel="0" collapsed="false">
      <c r="A242" s="15" t="s">
        <v>157</v>
      </c>
      <c r="B242" s="15" t="s">
        <v>158</v>
      </c>
      <c r="C242" s="15" t="s">
        <v>98</v>
      </c>
      <c r="D242" s="15" t="s">
        <v>16</v>
      </c>
      <c r="E242" s="15" t="s">
        <v>462</v>
      </c>
    </row>
    <row r="243" customFormat="false" ht="15" hidden="false" customHeight="false" outlineLevel="0" collapsed="false">
      <c r="A243" s="15" t="s">
        <v>157</v>
      </c>
      <c r="B243" s="15" t="s">
        <v>158</v>
      </c>
      <c r="C243" s="15" t="s">
        <v>98</v>
      </c>
      <c r="D243" s="15" t="s">
        <v>16</v>
      </c>
      <c r="E243" s="15" t="s">
        <v>463</v>
      </c>
    </row>
    <row r="244" customFormat="false" ht="15" hidden="false" customHeight="false" outlineLevel="0" collapsed="false">
      <c r="A244" s="15" t="s">
        <v>157</v>
      </c>
      <c r="B244" s="15" t="s">
        <v>158</v>
      </c>
      <c r="C244" s="15" t="s">
        <v>98</v>
      </c>
      <c r="D244" s="15" t="s">
        <v>16</v>
      </c>
      <c r="E244" s="15" t="s">
        <v>384</v>
      </c>
    </row>
    <row r="245" customFormat="false" ht="15" hidden="false" customHeight="false" outlineLevel="0" collapsed="false">
      <c r="A245" s="15" t="s">
        <v>157</v>
      </c>
      <c r="B245" s="15" t="s">
        <v>158</v>
      </c>
      <c r="C245" s="15" t="s">
        <v>98</v>
      </c>
      <c r="D245" s="15" t="s">
        <v>16</v>
      </c>
      <c r="E245" s="15" t="s">
        <v>464</v>
      </c>
    </row>
    <row r="246" customFormat="false" ht="15" hidden="false" customHeight="false" outlineLevel="0" collapsed="false">
      <c r="A246" s="15" t="s">
        <v>157</v>
      </c>
      <c r="B246" s="15" t="s">
        <v>158</v>
      </c>
      <c r="C246" s="15" t="s">
        <v>98</v>
      </c>
      <c r="D246" s="15" t="s">
        <v>16</v>
      </c>
      <c r="E246" s="15" t="s">
        <v>465</v>
      </c>
    </row>
    <row r="247" customFormat="false" ht="15" hidden="false" customHeight="false" outlineLevel="0" collapsed="false">
      <c r="A247" s="15" t="s">
        <v>157</v>
      </c>
      <c r="B247" s="15" t="s">
        <v>158</v>
      </c>
      <c r="C247" s="15" t="s">
        <v>98</v>
      </c>
      <c r="D247" s="15" t="s">
        <v>17</v>
      </c>
      <c r="E247" s="15" t="s">
        <v>161</v>
      </c>
    </row>
    <row r="248" customFormat="false" ht="15" hidden="false" customHeight="false" outlineLevel="0" collapsed="false">
      <c r="A248" s="15" t="s">
        <v>162</v>
      </c>
      <c r="B248" s="15" t="s">
        <v>163</v>
      </c>
      <c r="C248" s="15" t="s">
        <v>22</v>
      </c>
      <c r="D248" s="15" t="s">
        <v>16</v>
      </c>
      <c r="E248" s="15" t="s">
        <v>164</v>
      </c>
    </row>
    <row r="249" customFormat="false" ht="15" hidden="false" customHeight="false" outlineLevel="0" collapsed="false">
      <c r="A249" s="15" t="s">
        <v>165</v>
      </c>
      <c r="B249" s="15" t="s">
        <v>166</v>
      </c>
      <c r="C249" s="15" t="s">
        <v>167</v>
      </c>
      <c r="D249" s="15" t="s">
        <v>14</v>
      </c>
      <c r="E249" s="15" t="s">
        <v>466</v>
      </c>
    </row>
    <row r="250" customFormat="false" ht="15" hidden="false" customHeight="false" outlineLevel="0" collapsed="false">
      <c r="A250" s="15" t="s">
        <v>165</v>
      </c>
      <c r="B250" s="15" t="s">
        <v>166</v>
      </c>
      <c r="C250" s="15" t="s">
        <v>167</v>
      </c>
      <c r="D250" s="15" t="s">
        <v>14</v>
      </c>
      <c r="E250" s="15" t="s">
        <v>467</v>
      </c>
    </row>
    <row r="251" customFormat="false" ht="15" hidden="false" customHeight="false" outlineLevel="0" collapsed="false">
      <c r="A251" s="15" t="s">
        <v>165</v>
      </c>
      <c r="B251" s="15" t="s">
        <v>166</v>
      </c>
      <c r="C251" s="15" t="s">
        <v>167</v>
      </c>
      <c r="D251" s="15" t="s">
        <v>15</v>
      </c>
      <c r="E251" s="15" t="s">
        <v>308</v>
      </c>
    </row>
    <row r="252" customFormat="false" ht="15" hidden="false" customHeight="false" outlineLevel="0" collapsed="false">
      <c r="A252" s="15" t="s">
        <v>165</v>
      </c>
      <c r="B252" s="15" t="s">
        <v>166</v>
      </c>
      <c r="C252" s="15" t="s">
        <v>167</v>
      </c>
      <c r="D252" s="15" t="s">
        <v>15</v>
      </c>
      <c r="E252" s="15" t="s">
        <v>173</v>
      </c>
    </row>
    <row r="253" customFormat="false" ht="15" hidden="false" customHeight="false" outlineLevel="0" collapsed="false">
      <c r="A253" s="15" t="s">
        <v>165</v>
      </c>
      <c r="B253" s="15" t="s">
        <v>166</v>
      </c>
      <c r="C253" s="15" t="s">
        <v>167</v>
      </c>
      <c r="D253" s="15" t="s">
        <v>16</v>
      </c>
      <c r="E253" s="15" t="s">
        <v>170</v>
      </c>
    </row>
    <row r="254" customFormat="false" ht="15" hidden="false" customHeight="false" outlineLevel="0" collapsed="false">
      <c r="A254" s="15" t="s">
        <v>165</v>
      </c>
      <c r="B254" s="15" t="s">
        <v>166</v>
      </c>
      <c r="C254" s="15" t="s">
        <v>167</v>
      </c>
      <c r="D254" s="15" t="s">
        <v>17</v>
      </c>
      <c r="E254" s="15" t="s">
        <v>65</v>
      </c>
    </row>
    <row r="255" customFormat="false" ht="15" hidden="false" customHeight="false" outlineLevel="0" collapsed="false">
      <c r="A255" s="15" t="s">
        <v>171</v>
      </c>
      <c r="B255" s="15" t="s">
        <v>172</v>
      </c>
      <c r="C255" s="15" t="s">
        <v>22</v>
      </c>
      <c r="D255" s="15" t="s">
        <v>15</v>
      </c>
      <c r="E255" s="15" t="s">
        <v>173</v>
      </c>
    </row>
    <row r="256" customFormat="false" ht="15" hidden="false" customHeight="false" outlineLevel="0" collapsed="false">
      <c r="A256" s="15" t="s">
        <v>171</v>
      </c>
      <c r="B256" s="15" t="s">
        <v>172</v>
      </c>
      <c r="C256" s="15" t="s">
        <v>22</v>
      </c>
      <c r="D256" s="15" t="s">
        <v>16</v>
      </c>
      <c r="E256" s="15" t="s">
        <v>468</v>
      </c>
    </row>
    <row r="257" customFormat="false" ht="15" hidden="false" customHeight="false" outlineLevel="0" collapsed="false">
      <c r="A257" s="15" t="s">
        <v>171</v>
      </c>
      <c r="B257" s="15" t="s">
        <v>172</v>
      </c>
      <c r="C257" s="15" t="s">
        <v>22</v>
      </c>
      <c r="D257" s="15" t="s">
        <v>16</v>
      </c>
      <c r="E257" s="15" t="s">
        <v>425</v>
      </c>
    </row>
    <row r="258" customFormat="false" ht="15" hidden="false" customHeight="false" outlineLevel="0" collapsed="false">
      <c r="A258" s="15" t="s">
        <v>171</v>
      </c>
      <c r="B258" s="15" t="s">
        <v>172</v>
      </c>
      <c r="C258" s="15" t="s">
        <v>22</v>
      </c>
      <c r="D258" s="15" t="s">
        <v>16</v>
      </c>
      <c r="E258" s="15" t="s">
        <v>384</v>
      </c>
    </row>
    <row r="259" customFormat="false" ht="15" hidden="false" customHeight="false" outlineLevel="0" collapsed="false">
      <c r="A259" s="15" t="s">
        <v>171</v>
      </c>
      <c r="B259" s="15" t="s">
        <v>172</v>
      </c>
      <c r="C259" s="15" t="s">
        <v>22</v>
      </c>
      <c r="D259" s="15" t="s">
        <v>16</v>
      </c>
      <c r="E259" s="15" t="s">
        <v>469</v>
      </c>
    </row>
    <row r="260" customFormat="false" ht="15" hidden="false" customHeight="false" outlineLevel="0" collapsed="false">
      <c r="A260" s="15" t="s">
        <v>171</v>
      </c>
      <c r="B260" s="15" t="s">
        <v>172</v>
      </c>
      <c r="C260" s="15" t="s">
        <v>22</v>
      </c>
      <c r="D260" s="15" t="s">
        <v>17</v>
      </c>
      <c r="E260" s="15" t="s">
        <v>175</v>
      </c>
    </row>
    <row r="261" customFormat="false" ht="15" hidden="false" customHeight="false" outlineLevel="0" collapsed="false">
      <c r="A261" s="15" t="s">
        <v>178</v>
      </c>
      <c r="B261" s="15" t="s">
        <v>179</v>
      </c>
      <c r="C261" s="15" t="s">
        <v>22</v>
      </c>
      <c r="D261" s="15" t="s">
        <v>16</v>
      </c>
      <c r="E261" s="15" t="s">
        <v>180</v>
      </c>
    </row>
    <row r="262" customFormat="false" ht="15" hidden="false" customHeight="false" outlineLevel="0" collapsed="false">
      <c r="A262" s="15" t="s">
        <v>178</v>
      </c>
      <c r="B262" s="15" t="s">
        <v>179</v>
      </c>
      <c r="C262" s="15" t="s">
        <v>22</v>
      </c>
      <c r="D262" s="15" t="s">
        <v>17</v>
      </c>
      <c r="E262" s="15" t="s">
        <v>181</v>
      </c>
    </row>
    <row r="263" customFormat="false" ht="15" hidden="false" customHeight="false" outlineLevel="0" collapsed="false">
      <c r="A263" s="15" t="s">
        <v>182</v>
      </c>
      <c r="B263" s="15" t="s">
        <v>183</v>
      </c>
      <c r="C263" s="15" t="s">
        <v>44</v>
      </c>
      <c r="D263" s="15" t="s">
        <v>14</v>
      </c>
      <c r="E263" s="15" t="s">
        <v>184</v>
      </c>
    </row>
    <row r="264" customFormat="false" ht="15" hidden="false" customHeight="false" outlineLevel="0" collapsed="false">
      <c r="A264" s="15" t="s">
        <v>182</v>
      </c>
      <c r="B264" s="15" t="s">
        <v>183</v>
      </c>
      <c r="C264" s="15" t="s">
        <v>44</v>
      </c>
      <c r="D264" s="15" t="s">
        <v>16</v>
      </c>
      <c r="E264" s="15" t="s">
        <v>185</v>
      </c>
    </row>
    <row r="265" customFormat="false" ht="15" hidden="false" customHeight="false" outlineLevel="0" collapsed="false">
      <c r="A265" s="15" t="s">
        <v>182</v>
      </c>
      <c r="B265" s="15" t="s">
        <v>183</v>
      </c>
      <c r="C265" s="15" t="s">
        <v>44</v>
      </c>
      <c r="D265" s="15" t="s">
        <v>17</v>
      </c>
      <c r="E265" s="15" t="s">
        <v>186</v>
      </c>
    </row>
    <row r="266" customFormat="false" ht="15" hidden="false" customHeight="false" outlineLevel="0" collapsed="false">
      <c r="A266" s="15" t="s">
        <v>189</v>
      </c>
      <c r="B266" s="15" t="s">
        <v>190</v>
      </c>
      <c r="C266" s="15" t="s">
        <v>22</v>
      </c>
      <c r="D266" s="15" t="s">
        <v>14</v>
      </c>
      <c r="E266" s="15" t="s">
        <v>196</v>
      </c>
    </row>
    <row r="267" customFormat="false" ht="15" hidden="false" customHeight="false" outlineLevel="0" collapsed="false">
      <c r="A267" s="15" t="s">
        <v>189</v>
      </c>
      <c r="B267" s="15" t="s">
        <v>190</v>
      </c>
      <c r="C267" s="15" t="s">
        <v>22</v>
      </c>
      <c r="D267" s="15" t="s">
        <v>14</v>
      </c>
      <c r="E267" s="15" t="s">
        <v>470</v>
      </c>
    </row>
    <row r="268" customFormat="false" ht="15" hidden="false" customHeight="false" outlineLevel="0" collapsed="false">
      <c r="A268" s="15" t="s">
        <v>189</v>
      </c>
      <c r="B268" s="15" t="s">
        <v>190</v>
      </c>
      <c r="C268" s="15" t="s">
        <v>22</v>
      </c>
      <c r="D268" s="15" t="s">
        <v>15</v>
      </c>
      <c r="E268" s="15" t="s">
        <v>69</v>
      </c>
    </row>
    <row r="269" customFormat="false" ht="15" hidden="false" customHeight="false" outlineLevel="0" collapsed="false">
      <c r="A269" s="15" t="s">
        <v>189</v>
      </c>
      <c r="B269" s="15" t="s">
        <v>190</v>
      </c>
      <c r="C269" s="15" t="s">
        <v>22</v>
      </c>
      <c r="D269" s="15" t="s">
        <v>15</v>
      </c>
      <c r="E269" s="15" t="s">
        <v>421</v>
      </c>
    </row>
    <row r="270" customFormat="false" ht="15" hidden="false" customHeight="false" outlineLevel="0" collapsed="false">
      <c r="A270" s="15" t="s">
        <v>189</v>
      </c>
      <c r="B270" s="15" t="s">
        <v>190</v>
      </c>
      <c r="C270" s="15" t="s">
        <v>22</v>
      </c>
      <c r="D270" s="15" t="s">
        <v>15</v>
      </c>
      <c r="E270" s="15" t="s">
        <v>365</v>
      </c>
    </row>
    <row r="271" customFormat="false" ht="15" hidden="false" customHeight="false" outlineLevel="0" collapsed="false">
      <c r="A271" s="15" t="s">
        <v>189</v>
      </c>
      <c r="B271" s="15" t="s">
        <v>190</v>
      </c>
      <c r="C271" s="15" t="s">
        <v>22</v>
      </c>
      <c r="D271" s="15" t="s">
        <v>16</v>
      </c>
      <c r="E271" s="15" t="s">
        <v>411</v>
      </c>
    </row>
    <row r="272" customFormat="false" ht="15" hidden="false" customHeight="false" outlineLevel="0" collapsed="false">
      <c r="A272" s="15" t="s">
        <v>189</v>
      </c>
      <c r="B272" s="15" t="s">
        <v>190</v>
      </c>
      <c r="C272" s="15" t="s">
        <v>22</v>
      </c>
      <c r="D272" s="15" t="s">
        <v>16</v>
      </c>
      <c r="E272" s="15" t="s">
        <v>422</v>
      </c>
    </row>
    <row r="273" customFormat="false" ht="15" hidden="false" customHeight="false" outlineLevel="0" collapsed="false">
      <c r="A273" s="15" t="s">
        <v>189</v>
      </c>
      <c r="B273" s="15" t="s">
        <v>190</v>
      </c>
      <c r="C273" s="15" t="s">
        <v>22</v>
      </c>
      <c r="D273" s="15" t="s">
        <v>16</v>
      </c>
      <c r="E273" s="15" t="s">
        <v>471</v>
      </c>
    </row>
    <row r="274" customFormat="false" ht="15" hidden="false" customHeight="false" outlineLevel="0" collapsed="false">
      <c r="A274" s="15" t="s">
        <v>189</v>
      </c>
      <c r="B274" s="15" t="s">
        <v>190</v>
      </c>
      <c r="C274" s="15" t="s">
        <v>22</v>
      </c>
      <c r="D274" s="15" t="s">
        <v>16</v>
      </c>
      <c r="E274" s="15" t="s">
        <v>102</v>
      </c>
    </row>
    <row r="275" customFormat="false" ht="15" hidden="false" customHeight="false" outlineLevel="0" collapsed="false">
      <c r="A275" s="15" t="s">
        <v>189</v>
      </c>
      <c r="B275" s="15" t="s">
        <v>190</v>
      </c>
      <c r="C275" s="15" t="s">
        <v>22</v>
      </c>
      <c r="D275" s="15" t="s">
        <v>16</v>
      </c>
      <c r="E275" s="15" t="s">
        <v>218</v>
      </c>
    </row>
    <row r="276" customFormat="false" ht="15" hidden="false" customHeight="false" outlineLevel="0" collapsed="false">
      <c r="A276" s="15" t="s">
        <v>189</v>
      </c>
      <c r="B276" s="15" t="s">
        <v>190</v>
      </c>
      <c r="C276" s="15" t="s">
        <v>22</v>
      </c>
      <c r="D276" s="15" t="s">
        <v>16</v>
      </c>
      <c r="E276" s="15" t="s">
        <v>364</v>
      </c>
    </row>
    <row r="277" customFormat="false" ht="15" hidden="false" customHeight="false" outlineLevel="0" collapsed="false">
      <c r="A277" s="15" t="s">
        <v>189</v>
      </c>
      <c r="B277" s="15" t="s">
        <v>190</v>
      </c>
      <c r="C277" s="15" t="s">
        <v>22</v>
      </c>
      <c r="D277" s="15" t="s">
        <v>16</v>
      </c>
      <c r="E277" s="15" t="s">
        <v>472</v>
      </c>
    </row>
    <row r="278" customFormat="false" ht="15" hidden="false" customHeight="false" outlineLevel="0" collapsed="false">
      <c r="A278" s="15" t="s">
        <v>189</v>
      </c>
      <c r="B278" s="15" t="s">
        <v>190</v>
      </c>
      <c r="C278" s="15" t="s">
        <v>22</v>
      </c>
      <c r="D278" s="15" t="s">
        <v>16</v>
      </c>
      <c r="E278" s="15" t="s">
        <v>321</v>
      </c>
    </row>
    <row r="279" customFormat="false" ht="15" hidden="false" customHeight="false" outlineLevel="0" collapsed="false">
      <c r="A279" s="15" t="s">
        <v>189</v>
      </c>
      <c r="B279" s="15" t="s">
        <v>190</v>
      </c>
      <c r="C279" s="15" t="s">
        <v>22</v>
      </c>
      <c r="D279" s="15" t="s">
        <v>16</v>
      </c>
      <c r="E279" s="15" t="s">
        <v>384</v>
      </c>
    </row>
    <row r="280" customFormat="false" ht="15" hidden="false" customHeight="false" outlineLevel="0" collapsed="false">
      <c r="A280" s="15" t="s">
        <v>189</v>
      </c>
      <c r="B280" s="15" t="s">
        <v>190</v>
      </c>
      <c r="C280" s="15" t="s">
        <v>22</v>
      </c>
      <c r="D280" s="15" t="s">
        <v>16</v>
      </c>
      <c r="E280" s="15" t="s">
        <v>473</v>
      </c>
    </row>
    <row r="281" customFormat="false" ht="15" hidden="false" customHeight="false" outlineLevel="0" collapsed="false">
      <c r="A281" s="15" t="s">
        <v>189</v>
      </c>
      <c r="B281" s="15" t="s">
        <v>190</v>
      </c>
      <c r="C281" s="15" t="s">
        <v>22</v>
      </c>
      <c r="D281" s="15" t="s">
        <v>17</v>
      </c>
      <c r="E281" s="15" t="s">
        <v>65</v>
      </c>
    </row>
    <row r="282" customFormat="false" ht="15" hidden="false" customHeight="false" outlineLevel="0" collapsed="false">
      <c r="A282" s="15" t="s">
        <v>194</v>
      </c>
      <c r="B282" s="15" t="s">
        <v>195</v>
      </c>
      <c r="C282" s="15" t="s">
        <v>98</v>
      </c>
      <c r="D282" s="15" t="s">
        <v>14</v>
      </c>
      <c r="E282" s="15" t="s">
        <v>196</v>
      </c>
    </row>
    <row r="283" customFormat="false" ht="15" hidden="false" customHeight="false" outlineLevel="0" collapsed="false">
      <c r="A283" s="15" t="s">
        <v>194</v>
      </c>
      <c r="B283" s="15" t="s">
        <v>195</v>
      </c>
      <c r="C283" s="15" t="s">
        <v>98</v>
      </c>
      <c r="D283" s="15" t="s">
        <v>16</v>
      </c>
      <c r="E283" s="15" t="s">
        <v>474</v>
      </c>
    </row>
    <row r="284" customFormat="false" ht="15" hidden="false" customHeight="false" outlineLevel="0" collapsed="false">
      <c r="A284" s="15" t="s">
        <v>194</v>
      </c>
      <c r="B284" s="15" t="s">
        <v>195</v>
      </c>
      <c r="C284" s="15" t="s">
        <v>98</v>
      </c>
      <c r="D284" s="15" t="s">
        <v>16</v>
      </c>
      <c r="E284" s="15" t="s">
        <v>309</v>
      </c>
    </row>
    <row r="285" customFormat="false" ht="15" hidden="false" customHeight="false" outlineLevel="0" collapsed="false">
      <c r="A285" s="15" t="s">
        <v>194</v>
      </c>
      <c r="B285" s="15" t="s">
        <v>195</v>
      </c>
      <c r="C285" s="15" t="s">
        <v>98</v>
      </c>
      <c r="D285" s="15" t="s">
        <v>16</v>
      </c>
      <c r="E285" s="15" t="s">
        <v>475</v>
      </c>
    </row>
    <row r="286" customFormat="false" ht="15" hidden="false" customHeight="false" outlineLevel="0" collapsed="false">
      <c r="A286" s="15" t="s">
        <v>194</v>
      </c>
      <c r="B286" s="15" t="s">
        <v>195</v>
      </c>
      <c r="C286" s="15" t="s">
        <v>98</v>
      </c>
      <c r="D286" s="15" t="s">
        <v>17</v>
      </c>
      <c r="E286" s="15" t="s">
        <v>65</v>
      </c>
    </row>
    <row r="287" customFormat="false" ht="15" hidden="false" customHeight="false" outlineLevel="0" collapsed="false">
      <c r="A287" s="15" t="s">
        <v>201</v>
      </c>
      <c r="B287" s="15" t="s">
        <v>202</v>
      </c>
      <c r="C287" s="15" t="s">
        <v>22</v>
      </c>
      <c r="D287" s="15" t="s">
        <v>14</v>
      </c>
      <c r="E287" s="15" t="s">
        <v>294</v>
      </c>
    </row>
    <row r="288" customFormat="false" ht="15" hidden="false" customHeight="false" outlineLevel="0" collapsed="false">
      <c r="A288" s="15" t="s">
        <v>201</v>
      </c>
      <c r="B288" s="15" t="s">
        <v>202</v>
      </c>
      <c r="C288" s="15" t="s">
        <v>22</v>
      </c>
      <c r="D288" s="15" t="s">
        <v>14</v>
      </c>
      <c r="E288" s="15" t="s">
        <v>476</v>
      </c>
    </row>
    <row r="289" customFormat="false" ht="15" hidden="false" customHeight="false" outlineLevel="0" collapsed="false">
      <c r="A289" s="15" t="s">
        <v>201</v>
      </c>
      <c r="B289" s="15" t="s">
        <v>202</v>
      </c>
      <c r="C289" s="15" t="s">
        <v>22</v>
      </c>
      <c r="D289" s="15" t="s">
        <v>16</v>
      </c>
      <c r="E289" s="15" t="s">
        <v>218</v>
      </c>
    </row>
    <row r="290" customFormat="false" ht="15" hidden="false" customHeight="false" outlineLevel="0" collapsed="false">
      <c r="A290" s="15" t="s">
        <v>201</v>
      </c>
      <c r="B290" s="15" t="s">
        <v>202</v>
      </c>
      <c r="C290" s="15" t="s">
        <v>22</v>
      </c>
      <c r="D290" s="15" t="s">
        <v>16</v>
      </c>
      <c r="E290" s="15" t="s">
        <v>415</v>
      </c>
    </row>
    <row r="291" customFormat="false" ht="15" hidden="false" customHeight="false" outlineLevel="0" collapsed="false">
      <c r="A291" s="15" t="s">
        <v>201</v>
      </c>
      <c r="B291" s="15" t="s">
        <v>202</v>
      </c>
      <c r="C291" s="15" t="s">
        <v>22</v>
      </c>
      <c r="D291" s="15" t="s">
        <v>16</v>
      </c>
      <c r="E291" s="15" t="s">
        <v>308</v>
      </c>
    </row>
    <row r="292" customFormat="false" ht="15" hidden="false" customHeight="false" outlineLevel="0" collapsed="false">
      <c r="A292" s="15" t="s">
        <v>201</v>
      </c>
      <c r="B292" s="15" t="s">
        <v>202</v>
      </c>
      <c r="C292" s="15" t="s">
        <v>22</v>
      </c>
      <c r="D292" s="15" t="s">
        <v>16</v>
      </c>
      <c r="E292" s="15" t="s">
        <v>53</v>
      </c>
    </row>
    <row r="293" customFormat="false" ht="15" hidden="false" customHeight="false" outlineLevel="0" collapsed="false">
      <c r="A293" s="15" t="s">
        <v>201</v>
      </c>
      <c r="B293" s="15" t="s">
        <v>202</v>
      </c>
      <c r="C293" s="15" t="s">
        <v>22</v>
      </c>
      <c r="D293" s="15" t="s">
        <v>17</v>
      </c>
      <c r="E293" s="15" t="s">
        <v>65</v>
      </c>
    </row>
    <row r="294" customFormat="false" ht="15" hidden="false" customHeight="false" outlineLevel="0" collapsed="false">
      <c r="A294" s="15" t="s">
        <v>210</v>
      </c>
      <c r="B294" s="15" t="s">
        <v>211</v>
      </c>
      <c r="C294" s="15" t="s">
        <v>98</v>
      </c>
      <c r="D294" s="15" t="s">
        <v>17</v>
      </c>
      <c r="E294" s="15" t="s">
        <v>212</v>
      </c>
    </row>
    <row r="295" customFormat="false" ht="15" hidden="false" customHeight="false" outlineLevel="0" collapsed="false">
      <c r="A295" s="15" t="s">
        <v>215</v>
      </c>
      <c r="B295" s="15" t="s">
        <v>216</v>
      </c>
      <c r="C295" s="15" t="s">
        <v>22</v>
      </c>
      <c r="D295" s="15" t="s">
        <v>14</v>
      </c>
      <c r="E295" s="15" t="s">
        <v>133</v>
      </c>
    </row>
    <row r="296" customFormat="false" ht="15" hidden="false" customHeight="false" outlineLevel="0" collapsed="false">
      <c r="A296" s="15" t="s">
        <v>215</v>
      </c>
      <c r="B296" s="15" t="s">
        <v>216</v>
      </c>
      <c r="C296" s="15" t="s">
        <v>22</v>
      </c>
      <c r="D296" s="15" t="s">
        <v>15</v>
      </c>
      <c r="E296" s="15" t="s">
        <v>217</v>
      </c>
    </row>
    <row r="297" customFormat="false" ht="15" hidden="false" customHeight="false" outlineLevel="0" collapsed="false">
      <c r="A297" s="15" t="s">
        <v>215</v>
      </c>
      <c r="B297" s="15" t="s">
        <v>216</v>
      </c>
      <c r="C297" s="15" t="s">
        <v>22</v>
      </c>
      <c r="D297" s="15" t="s">
        <v>16</v>
      </c>
      <c r="E297" s="15" t="s">
        <v>218</v>
      </c>
    </row>
    <row r="298" customFormat="false" ht="15" hidden="false" customHeight="false" outlineLevel="0" collapsed="false">
      <c r="A298" s="15" t="s">
        <v>215</v>
      </c>
      <c r="B298" s="15" t="s">
        <v>216</v>
      </c>
      <c r="C298" s="15" t="s">
        <v>22</v>
      </c>
      <c r="D298" s="15" t="s">
        <v>17</v>
      </c>
      <c r="E298" s="15" t="s">
        <v>65</v>
      </c>
    </row>
    <row r="299" customFormat="false" ht="15" hidden="false" customHeight="false" outlineLevel="0" collapsed="false">
      <c r="A299" s="15" t="s">
        <v>219</v>
      </c>
      <c r="B299" s="15" t="s">
        <v>220</v>
      </c>
      <c r="C299" s="15" t="s">
        <v>167</v>
      </c>
      <c r="D299" s="15" t="s">
        <v>14</v>
      </c>
      <c r="E299" s="15" t="s">
        <v>477</v>
      </c>
    </row>
    <row r="300" customFormat="false" ht="15" hidden="false" customHeight="false" outlineLevel="0" collapsed="false">
      <c r="A300" s="15" t="s">
        <v>219</v>
      </c>
      <c r="B300" s="15" t="s">
        <v>220</v>
      </c>
      <c r="C300" s="15" t="s">
        <v>167</v>
      </c>
      <c r="D300" s="15" t="s">
        <v>14</v>
      </c>
      <c r="E300" s="15" t="s">
        <v>478</v>
      </c>
    </row>
    <row r="301" customFormat="false" ht="15" hidden="false" customHeight="false" outlineLevel="0" collapsed="false">
      <c r="A301" s="15" t="s">
        <v>219</v>
      </c>
      <c r="B301" s="15" t="s">
        <v>220</v>
      </c>
      <c r="C301" s="15" t="s">
        <v>167</v>
      </c>
      <c r="D301" s="15" t="s">
        <v>15</v>
      </c>
      <c r="E301" s="15" t="s">
        <v>222</v>
      </c>
    </row>
    <row r="302" customFormat="false" ht="15" hidden="false" customHeight="false" outlineLevel="0" collapsed="false">
      <c r="A302" s="15" t="s">
        <v>219</v>
      </c>
      <c r="B302" s="15" t="s">
        <v>220</v>
      </c>
      <c r="C302" s="15" t="s">
        <v>167</v>
      </c>
      <c r="D302" s="15" t="s">
        <v>16</v>
      </c>
      <c r="E302" s="15" t="s">
        <v>223</v>
      </c>
    </row>
    <row r="303" customFormat="false" ht="15" hidden="false" customHeight="false" outlineLevel="0" collapsed="false">
      <c r="A303" s="15" t="s">
        <v>226</v>
      </c>
      <c r="B303" s="15" t="s">
        <v>227</v>
      </c>
      <c r="C303" s="15" t="s">
        <v>167</v>
      </c>
      <c r="D303" s="15" t="s">
        <v>14</v>
      </c>
      <c r="E303" s="15" t="s">
        <v>479</v>
      </c>
    </row>
    <row r="304" customFormat="false" ht="15" hidden="false" customHeight="false" outlineLevel="0" collapsed="false">
      <c r="A304" s="15" t="s">
        <v>226</v>
      </c>
      <c r="B304" s="15" t="s">
        <v>227</v>
      </c>
      <c r="C304" s="15" t="s">
        <v>167</v>
      </c>
      <c r="D304" s="15" t="s">
        <v>14</v>
      </c>
      <c r="E304" s="15" t="s">
        <v>480</v>
      </c>
    </row>
    <row r="305" customFormat="false" ht="15" hidden="false" customHeight="false" outlineLevel="0" collapsed="false">
      <c r="A305" s="15" t="s">
        <v>226</v>
      </c>
      <c r="B305" s="15" t="s">
        <v>227</v>
      </c>
      <c r="C305" s="15" t="s">
        <v>167</v>
      </c>
      <c r="D305" s="15" t="s">
        <v>15</v>
      </c>
      <c r="E305" s="15" t="s">
        <v>481</v>
      </c>
    </row>
    <row r="306" customFormat="false" ht="15" hidden="false" customHeight="false" outlineLevel="0" collapsed="false">
      <c r="A306" s="15" t="s">
        <v>226</v>
      </c>
      <c r="B306" s="15" t="s">
        <v>227</v>
      </c>
      <c r="C306" s="15" t="s">
        <v>167</v>
      </c>
      <c r="D306" s="15" t="s">
        <v>15</v>
      </c>
      <c r="E306" s="15" t="s">
        <v>443</v>
      </c>
    </row>
    <row r="307" customFormat="false" ht="15" hidden="false" customHeight="false" outlineLevel="0" collapsed="false">
      <c r="A307" s="15" t="s">
        <v>226</v>
      </c>
      <c r="B307" s="15" t="s">
        <v>227</v>
      </c>
      <c r="C307" s="15" t="s">
        <v>167</v>
      </c>
      <c r="D307" s="15" t="s">
        <v>15</v>
      </c>
      <c r="E307" s="15" t="s">
        <v>308</v>
      </c>
    </row>
    <row r="308" customFormat="false" ht="15" hidden="false" customHeight="false" outlineLevel="0" collapsed="false">
      <c r="A308" s="15" t="s">
        <v>226</v>
      </c>
      <c r="B308" s="15" t="s">
        <v>227</v>
      </c>
      <c r="C308" s="15" t="s">
        <v>167</v>
      </c>
      <c r="D308" s="15" t="s">
        <v>16</v>
      </c>
      <c r="E308" s="15" t="s">
        <v>170</v>
      </c>
    </row>
    <row r="309" customFormat="false" ht="15" hidden="false" customHeight="false" outlineLevel="0" collapsed="false">
      <c r="A309" s="15" t="s">
        <v>226</v>
      </c>
      <c r="B309" s="15" t="s">
        <v>227</v>
      </c>
      <c r="C309" s="15" t="s">
        <v>167</v>
      </c>
      <c r="D309" s="15" t="s">
        <v>16</v>
      </c>
      <c r="E309" s="15" t="s">
        <v>309</v>
      </c>
    </row>
    <row r="310" customFormat="false" ht="15" hidden="false" customHeight="false" outlineLevel="0" collapsed="false">
      <c r="A310" s="15" t="s">
        <v>226</v>
      </c>
      <c r="B310" s="15" t="s">
        <v>227</v>
      </c>
      <c r="C310" s="15" t="s">
        <v>167</v>
      </c>
      <c r="D310" s="15" t="s">
        <v>16</v>
      </c>
      <c r="E310" s="15" t="s">
        <v>411</v>
      </c>
    </row>
    <row r="311" customFormat="false" ht="15" hidden="false" customHeight="false" outlineLevel="0" collapsed="false">
      <c r="A311" s="15" t="s">
        <v>237</v>
      </c>
      <c r="B311" s="15" t="s">
        <v>238</v>
      </c>
      <c r="C311" s="15" t="s">
        <v>22</v>
      </c>
      <c r="D311" s="15" t="s">
        <v>14</v>
      </c>
      <c r="E311" s="15" t="s">
        <v>482</v>
      </c>
    </row>
    <row r="312" customFormat="false" ht="15" hidden="false" customHeight="false" outlineLevel="0" collapsed="false">
      <c r="A312" s="15" t="s">
        <v>237</v>
      </c>
      <c r="B312" s="15" t="s">
        <v>238</v>
      </c>
      <c r="C312" s="15" t="s">
        <v>22</v>
      </c>
      <c r="D312" s="15" t="s">
        <v>14</v>
      </c>
      <c r="E312" s="15" t="s">
        <v>483</v>
      </c>
    </row>
    <row r="313" customFormat="false" ht="15" hidden="false" customHeight="false" outlineLevel="0" collapsed="false">
      <c r="A313" s="15" t="s">
        <v>237</v>
      </c>
      <c r="B313" s="15" t="s">
        <v>238</v>
      </c>
      <c r="C313" s="15" t="s">
        <v>22</v>
      </c>
      <c r="D313" s="15" t="s">
        <v>15</v>
      </c>
      <c r="E313" s="15" t="s">
        <v>222</v>
      </c>
    </row>
    <row r="314" customFormat="false" ht="15" hidden="false" customHeight="false" outlineLevel="0" collapsed="false">
      <c r="A314" s="15" t="s">
        <v>237</v>
      </c>
      <c r="B314" s="15" t="s">
        <v>238</v>
      </c>
      <c r="C314" s="15" t="s">
        <v>22</v>
      </c>
      <c r="D314" s="15" t="s">
        <v>15</v>
      </c>
      <c r="E314" s="15" t="s">
        <v>438</v>
      </c>
    </row>
    <row r="315" customFormat="false" ht="15" hidden="false" customHeight="false" outlineLevel="0" collapsed="false">
      <c r="A315" s="15" t="s">
        <v>237</v>
      </c>
      <c r="B315" s="15" t="s">
        <v>238</v>
      </c>
      <c r="C315" s="15" t="s">
        <v>22</v>
      </c>
      <c r="D315" s="15" t="s">
        <v>16</v>
      </c>
      <c r="E315" s="15" t="s">
        <v>218</v>
      </c>
    </row>
    <row r="316" customFormat="false" ht="15" hidden="false" customHeight="false" outlineLevel="0" collapsed="false">
      <c r="A316" s="15" t="s">
        <v>237</v>
      </c>
      <c r="B316" s="15" t="s">
        <v>238</v>
      </c>
      <c r="C316" s="15" t="s">
        <v>22</v>
      </c>
      <c r="D316" s="15" t="s">
        <v>16</v>
      </c>
      <c r="E316" s="15" t="s">
        <v>321</v>
      </c>
    </row>
    <row r="317" customFormat="false" ht="15" hidden="false" customHeight="false" outlineLevel="0" collapsed="false">
      <c r="A317" s="15" t="s">
        <v>237</v>
      </c>
      <c r="B317" s="15" t="s">
        <v>238</v>
      </c>
      <c r="C317" s="15" t="s">
        <v>22</v>
      </c>
      <c r="D317" s="15" t="s">
        <v>17</v>
      </c>
      <c r="E317" s="15" t="s">
        <v>65</v>
      </c>
    </row>
    <row r="318" customFormat="false" ht="15" hidden="false" customHeight="false" outlineLevel="0" collapsed="false">
      <c r="A318" s="15" t="s">
        <v>242</v>
      </c>
      <c r="B318" s="15" t="s">
        <v>243</v>
      </c>
      <c r="C318" s="15" t="s">
        <v>37</v>
      </c>
      <c r="D318" s="15" t="s">
        <v>14</v>
      </c>
      <c r="E318" s="15" t="s">
        <v>484</v>
      </c>
    </row>
    <row r="319" customFormat="false" ht="15" hidden="false" customHeight="false" outlineLevel="0" collapsed="false">
      <c r="A319" s="15" t="s">
        <v>242</v>
      </c>
      <c r="B319" s="15" t="s">
        <v>243</v>
      </c>
      <c r="C319" s="15" t="s">
        <v>37</v>
      </c>
      <c r="D319" s="15" t="s">
        <v>14</v>
      </c>
      <c r="E319" s="15" t="s">
        <v>294</v>
      </c>
    </row>
    <row r="320" customFormat="false" ht="15" hidden="false" customHeight="false" outlineLevel="0" collapsed="false">
      <c r="A320" s="15" t="s">
        <v>242</v>
      </c>
      <c r="B320" s="15" t="s">
        <v>243</v>
      </c>
      <c r="C320" s="15" t="s">
        <v>37</v>
      </c>
      <c r="D320" s="15" t="s">
        <v>16</v>
      </c>
      <c r="E320" s="15" t="s">
        <v>245</v>
      </c>
    </row>
    <row r="321" customFormat="false" ht="15" hidden="false" customHeight="false" outlineLevel="0" collapsed="false">
      <c r="A321" s="15" t="s">
        <v>248</v>
      </c>
      <c r="B321" s="15" t="s">
        <v>249</v>
      </c>
      <c r="C321" s="15" t="s">
        <v>44</v>
      </c>
      <c r="D321" s="15" t="s">
        <v>16</v>
      </c>
      <c r="E321" s="15" t="s">
        <v>250</v>
      </c>
    </row>
    <row r="322" customFormat="false" ht="15" hidden="false" customHeight="false" outlineLevel="0" collapsed="false">
      <c r="A322" s="15" t="s">
        <v>248</v>
      </c>
      <c r="B322" s="15" t="s">
        <v>249</v>
      </c>
      <c r="C322" s="15" t="s">
        <v>44</v>
      </c>
      <c r="D322" s="15" t="s">
        <v>17</v>
      </c>
      <c r="E322" s="15" t="s">
        <v>251</v>
      </c>
    </row>
    <row r="323" customFormat="false" ht="15" hidden="false" customHeight="false" outlineLevel="0" collapsed="false">
      <c r="A323" s="15" t="s">
        <v>257</v>
      </c>
      <c r="B323" s="15" t="s">
        <v>258</v>
      </c>
      <c r="C323" s="15" t="s">
        <v>253</v>
      </c>
      <c r="D323" s="15" t="s">
        <v>14</v>
      </c>
      <c r="E323" s="15" t="s">
        <v>485</v>
      </c>
    </row>
    <row r="324" customFormat="false" ht="15" hidden="false" customHeight="false" outlineLevel="0" collapsed="false">
      <c r="A324" s="15" t="s">
        <v>257</v>
      </c>
      <c r="B324" s="15" t="s">
        <v>258</v>
      </c>
      <c r="C324" s="15" t="s">
        <v>253</v>
      </c>
      <c r="D324" s="15" t="s">
        <v>14</v>
      </c>
      <c r="E324" s="15" t="s">
        <v>486</v>
      </c>
    </row>
    <row r="325" customFormat="false" ht="15" hidden="false" customHeight="false" outlineLevel="0" collapsed="false">
      <c r="A325" s="15" t="s">
        <v>257</v>
      </c>
      <c r="B325" s="15" t="s">
        <v>258</v>
      </c>
      <c r="C325" s="15" t="s">
        <v>253</v>
      </c>
      <c r="D325" s="15" t="s">
        <v>16</v>
      </c>
      <c r="E325" s="15" t="s">
        <v>487</v>
      </c>
    </row>
    <row r="326" customFormat="false" ht="15" hidden="false" customHeight="false" outlineLevel="0" collapsed="false">
      <c r="A326" s="15" t="s">
        <v>257</v>
      </c>
      <c r="B326" s="15" t="s">
        <v>258</v>
      </c>
      <c r="C326" s="15" t="s">
        <v>253</v>
      </c>
      <c r="D326" s="15" t="s">
        <v>16</v>
      </c>
      <c r="E326" s="15" t="s">
        <v>443</v>
      </c>
    </row>
    <row r="327" customFormat="false" ht="15" hidden="false" customHeight="false" outlineLevel="0" collapsed="false">
      <c r="A327" s="15" t="s">
        <v>257</v>
      </c>
      <c r="B327" s="15" t="s">
        <v>258</v>
      </c>
      <c r="C327" s="15" t="s">
        <v>253</v>
      </c>
      <c r="D327" s="15" t="s">
        <v>16</v>
      </c>
      <c r="E327" s="15" t="s">
        <v>321</v>
      </c>
    </row>
    <row r="328" customFormat="false" ht="15" hidden="false" customHeight="false" outlineLevel="0" collapsed="false">
      <c r="A328" s="15" t="s">
        <v>257</v>
      </c>
      <c r="B328" s="15" t="s">
        <v>258</v>
      </c>
      <c r="C328" s="15" t="s">
        <v>253</v>
      </c>
      <c r="D328" s="15" t="s">
        <v>17</v>
      </c>
      <c r="E328" s="15" t="s">
        <v>261</v>
      </c>
    </row>
    <row r="329" customFormat="false" ht="15" hidden="false" customHeight="false" outlineLevel="0" collapsed="false">
      <c r="A329" s="15" t="s">
        <v>268</v>
      </c>
      <c r="B329" s="15" t="s">
        <v>269</v>
      </c>
      <c r="C329" s="15" t="s">
        <v>98</v>
      </c>
      <c r="D329" s="15" t="s">
        <v>14</v>
      </c>
      <c r="E329" s="15" t="s">
        <v>270</v>
      </c>
    </row>
    <row r="330" customFormat="false" ht="15" hidden="false" customHeight="false" outlineLevel="0" collapsed="false">
      <c r="A330" s="15" t="s">
        <v>268</v>
      </c>
      <c r="B330" s="15" t="s">
        <v>269</v>
      </c>
      <c r="C330" s="15" t="s">
        <v>98</v>
      </c>
      <c r="D330" s="15" t="s">
        <v>15</v>
      </c>
      <c r="E330" s="15" t="s">
        <v>271</v>
      </c>
    </row>
    <row r="331" customFormat="false" ht="15" hidden="false" customHeight="false" outlineLevel="0" collapsed="false">
      <c r="A331" s="15" t="s">
        <v>282</v>
      </c>
      <c r="B331" s="15" t="s">
        <v>283</v>
      </c>
      <c r="C331" s="15" t="s">
        <v>22</v>
      </c>
      <c r="D331" s="15" t="s">
        <v>14</v>
      </c>
      <c r="E331" s="15" t="s">
        <v>488</v>
      </c>
    </row>
    <row r="332" customFormat="false" ht="15" hidden="false" customHeight="false" outlineLevel="0" collapsed="false">
      <c r="A332" s="15" t="s">
        <v>282</v>
      </c>
      <c r="B332" s="15" t="s">
        <v>283</v>
      </c>
      <c r="C332" s="15" t="s">
        <v>22</v>
      </c>
      <c r="D332" s="15" t="s">
        <v>14</v>
      </c>
      <c r="E332" s="15" t="s">
        <v>489</v>
      </c>
    </row>
    <row r="333" customFormat="false" ht="15" hidden="false" customHeight="false" outlineLevel="0" collapsed="false">
      <c r="A333" s="15" t="s">
        <v>282</v>
      </c>
      <c r="B333" s="15" t="s">
        <v>283</v>
      </c>
      <c r="C333" s="15" t="s">
        <v>22</v>
      </c>
      <c r="D333" s="15" t="s">
        <v>16</v>
      </c>
      <c r="E333" s="15" t="s">
        <v>218</v>
      </c>
    </row>
    <row r="334" customFormat="false" ht="15" hidden="false" customHeight="false" outlineLevel="0" collapsed="false">
      <c r="A334" s="15" t="s">
        <v>282</v>
      </c>
      <c r="B334" s="15" t="s">
        <v>283</v>
      </c>
      <c r="C334" s="15" t="s">
        <v>22</v>
      </c>
      <c r="D334" s="15" t="s">
        <v>16</v>
      </c>
      <c r="E334" s="15" t="s">
        <v>413</v>
      </c>
    </row>
    <row r="335" customFormat="false" ht="15" hidden="false" customHeight="false" outlineLevel="0" collapsed="false">
      <c r="A335" s="15" t="s">
        <v>282</v>
      </c>
      <c r="B335" s="15" t="s">
        <v>283</v>
      </c>
      <c r="C335" s="15" t="s">
        <v>22</v>
      </c>
      <c r="D335" s="15" t="s">
        <v>17</v>
      </c>
      <c r="E335" s="15" t="s">
        <v>287</v>
      </c>
    </row>
    <row r="336" customFormat="false" ht="15" hidden="false" customHeight="false" outlineLevel="0" collapsed="false">
      <c r="A336" s="15" t="s">
        <v>288</v>
      </c>
      <c r="B336" s="15" t="s">
        <v>289</v>
      </c>
      <c r="C336" s="15" t="s">
        <v>37</v>
      </c>
      <c r="D336" s="15" t="s">
        <v>14</v>
      </c>
      <c r="E336" s="15" t="s">
        <v>490</v>
      </c>
    </row>
    <row r="337" customFormat="false" ht="15" hidden="false" customHeight="false" outlineLevel="0" collapsed="false">
      <c r="A337" s="15" t="s">
        <v>288</v>
      </c>
      <c r="B337" s="15" t="s">
        <v>289</v>
      </c>
      <c r="C337" s="15" t="s">
        <v>37</v>
      </c>
      <c r="D337" s="15" t="s">
        <v>14</v>
      </c>
      <c r="E337" s="15" t="s">
        <v>491</v>
      </c>
    </row>
    <row r="338" customFormat="false" ht="15" hidden="false" customHeight="false" outlineLevel="0" collapsed="false">
      <c r="A338" s="15" t="s">
        <v>288</v>
      </c>
      <c r="B338" s="15" t="s">
        <v>289</v>
      </c>
      <c r="C338" s="15" t="s">
        <v>37</v>
      </c>
      <c r="D338" s="15" t="s">
        <v>16</v>
      </c>
      <c r="E338" s="15" t="s">
        <v>460</v>
      </c>
    </row>
    <row r="339" customFormat="false" ht="15" hidden="false" customHeight="false" outlineLevel="0" collapsed="false">
      <c r="A339" s="15" t="s">
        <v>288</v>
      </c>
      <c r="B339" s="15" t="s">
        <v>289</v>
      </c>
      <c r="C339" s="15" t="s">
        <v>37</v>
      </c>
      <c r="D339" s="15" t="s">
        <v>16</v>
      </c>
      <c r="E339" s="15" t="s">
        <v>492</v>
      </c>
    </row>
    <row r="340" customFormat="false" ht="15" hidden="false" customHeight="false" outlineLevel="0" collapsed="false">
      <c r="A340" s="15" t="s">
        <v>292</v>
      </c>
      <c r="B340" s="15" t="s">
        <v>293</v>
      </c>
      <c r="C340" s="15" t="s">
        <v>44</v>
      </c>
      <c r="D340" s="15" t="s">
        <v>14</v>
      </c>
      <c r="E340" s="15" t="s">
        <v>294</v>
      </c>
    </row>
    <row r="341" customFormat="false" ht="15" hidden="false" customHeight="false" outlineLevel="0" collapsed="false">
      <c r="A341" s="15" t="s">
        <v>292</v>
      </c>
      <c r="B341" s="15" t="s">
        <v>293</v>
      </c>
      <c r="C341" s="15" t="s">
        <v>44</v>
      </c>
      <c r="D341" s="15" t="s">
        <v>15</v>
      </c>
      <c r="E341" s="15" t="s">
        <v>222</v>
      </c>
    </row>
    <row r="342" customFormat="false" ht="15" hidden="false" customHeight="false" outlineLevel="0" collapsed="false">
      <c r="A342" s="15" t="s">
        <v>292</v>
      </c>
      <c r="B342" s="15" t="s">
        <v>293</v>
      </c>
      <c r="C342" s="15" t="s">
        <v>44</v>
      </c>
      <c r="D342" s="15" t="s">
        <v>16</v>
      </c>
      <c r="E342" s="15" t="s">
        <v>295</v>
      </c>
    </row>
    <row r="343" customFormat="false" ht="15" hidden="false" customHeight="false" outlineLevel="0" collapsed="false">
      <c r="A343" s="15" t="s">
        <v>292</v>
      </c>
      <c r="B343" s="15" t="s">
        <v>293</v>
      </c>
      <c r="C343" s="15" t="s">
        <v>44</v>
      </c>
      <c r="D343" s="15" t="s">
        <v>17</v>
      </c>
      <c r="E343" s="15" t="s">
        <v>296</v>
      </c>
    </row>
    <row r="344" customFormat="false" ht="15" hidden="false" customHeight="false" outlineLevel="0" collapsed="false">
      <c r="A344" s="15" t="s">
        <v>297</v>
      </c>
      <c r="B344" s="15" t="s">
        <v>298</v>
      </c>
      <c r="C344" s="15" t="s">
        <v>299</v>
      </c>
      <c r="D344" s="15" t="s">
        <v>14</v>
      </c>
      <c r="E344" s="15" t="s">
        <v>294</v>
      </c>
    </row>
    <row r="345" customFormat="false" ht="15" hidden="false" customHeight="false" outlineLevel="0" collapsed="false">
      <c r="A345" s="15" t="s">
        <v>297</v>
      </c>
      <c r="B345" s="15" t="s">
        <v>298</v>
      </c>
      <c r="C345" s="15" t="s">
        <v>299</v>
      </c>
      <c r="D345" s="15" t="s">
        <v>16</v>
      </c>
      <c r="E345" s="15" t="s">
        <v>300</v>
      </c>
    </row>
    <row r="346" customFormat="false" ht="15" hidden="false" customHeight="false" outlineLevel="0" collapsed="false">
      <c r="A346" s="15" t="s">
        <v>301</v>
      </c>
      <c r="B346" s="15" t="s">
        <v>302</v>
      </c>
      <c r="C346" s="15" t="s">
        <v>303</v>
      </c>
      <c r="D346" s="15" t="s">
        <v>17</v>
      </c>
      <c r="E346" s="15" t="s">
        <v>304</v>
      </c>
    </row>
    <row r="347" customFormat="false" ht="15" hidden="false" customHeight="false" outlineLevel="0" collapsed="false">
      <c r="A347" s="15" t="s">
        <v>301</v>
      </c>
      <c r="B347" s="15" t="s">
        <v>302</v>
      </c>
      <c r="C347" s="15" t="s">
        <v>303</v>
      </c>
      <c r="D347" s="15" t="s">
        <v>18</v>
      </c>
      <c r="E347" s="15" t="s">
        <v>305</v>
      </c>
    </row>
    <row r="348" customFormat="false" ht="15" hidden="false" customHeight="false" outlineLevel="0" collapsed="false">
      <c r="A348" s="15" t="s">
        <v>306</v>
      </c>
      <c r="B348" s="15" t="s">
        <v>307</v>
      </c>
      <c r="C348" s="15" t="s">
        <v>277</v>
      </c>
      <c r="D348" s="15" t="s">
        <v>14</v>
      </c>
      <c r="E348" s="15" t="s">
        <v>294</v>
      </c>
    </row>
    <row r="349" customFormat="false" ht="15" hidden="false" customHeight="false" outlineLevel="0" collapsed="false">
      <c r="A349" s="15" t="s">
        <v>306</v>
      </c>
      <c r="B349" s="15" t="s">
        <v>307</v>
      </c>
      <c r="C349" s="15" t="s">
        <v>277</v>
      </c>
      <c r="D349" s="15" t="s">
        <v>15</v>
      </c>
      <c r="E349" s="15" t="s">
        <v>308</v>
      </c>
    </row>
    <row r="350" customFormat="false" ht="15" hidden="false" customHeight="false" outlineLevel="0" collapsed="false">
      <c r="A350" s="15" t="s">
        <v>306</v>
      </c>
      <c r="B350" s="15" t="s">
        <v>307</v>
      </c>
      <c r="C350" s="15" t="s">
        <v>277</v>
      </c>
      <c r="D350" s="15" t="s">
        <v>16</v>
      </c>
      <c r="E350" s="15" t="s">
        <v>309</v>
      </c>
    </row>
    <row r="351" customFormat="false" ht="15" hidden="false" customHeight="false" outlineLevel="0" collapsed="false">
      <c r="A351" s="15" t="s">
        <v>306</v>
      </c>
      <c r="B351" s="15" t="s">
        <v>307</v>
      </c>
      <c r="C351" s="15" t="s">
        <v>277</v>
      </c>
      <c r="D351" s="15" t="s">
        <v>17</v>
      </c>
      <c r="E351" s="15" t="s">
        <v>310</v>
      </c>
    </row>
    <row r="352" customFormat="false" ht="15" hidden="false" customHeight="false" outlineLevel="0" collapsed="false">
      <c r="A352" s="15" t="s">
        <v>306</v>
      </c>
      <c r="B352" s="15" t="s">
        <v>307</v>
      </c>
      <c r="C352" s="15" t="s">
        <v>277</v>
      </c>
      <c r="D352" s="15" t="s">
        <v>18</v>
      </c>
      <c r="E352" s="15" t="s">
        <v>311</v>
      </c>
    </row>
    <row r="353" customFormat="false" ht="15" hidden="false" customHeight="false" outlineLevel="0" collapsed="false">
      <c r="A353" s="15" t="s">
        <v>312</v>
      </c>
      <c r="B353" s="15" t="s">
        <v>313</v>
      </c>
      <c r="C353" s="15" t="s">
        <v>98</v>
      </c>
      <c r="D353" s="15" t="s">
        <v>14</v>
      </c>
      <c r="E353" s="15" t="s">
        <v>196</v>
      </c>
    </row>
    <row r="354" customFormat="false" ht="15" hidden="false" customHeight="false" outlineLevel="0" collapsed="false">
      <c r="A354" s="15" t="s">
        <v>312</v>
      </c>
      <c r="B354" s="15" t="s">
        <v>313</v>
      </c>
      <c r="C354" s="15" t="s">
        <v>98</v>
      </c>
      <c r="D354" s="15" t="s">
        <v>18</v>
      </c>
      <c r="E354" s="15" t="s">
        <v>314</v>
      </c>
    </row>
    <row r="355" customFormat="false" ht="15" hidden="false" customHeight="false" outlineLevel="0" collapsed="false">
      <c r="A355" s="15" t="s">
        <v>319</v>
      </c>
      <c r="B355" s="15" t="s">
        <v>320</v>
      </c>
      <c r="C355" s="15" t="s">
        <v>143</v>
      </c>
      <c r="D355" s="15" t="s">
        <v>16</v>
      </c>
      <c r="E355" s="15" t="s">
        <v>321</v>
      </c>
    </row>
  </sheetData>
  <autoFilter ref="A1:E3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11"/>
    <col collapsed="false" customWidth="true" hidden="false" outlineLevel="0" max="4" min="4" style="0" width="90"/>
  </cols>
  <sheetData>
    <row r="1" customFormat="false" ht="15" hidden="false" customHeight="false" outlineLevel="0" collapsed="false">
      <c r="A1" s="14" t="s">
        <v>351</v>
      </c>
      <c r="B1" s="14" t="s">
        <v>350</v>
      </c>
      <c r="C1" s="14" t="s">
        <v>493</v>
      </c>
      <c r="D1" s="14" t="s">
        <v>494</v>
      </c>
    </row>
    <row r="2" customFormat="false" ht="35.05" hidden="false" customHeight="false" outlineLevel="0" collapsed="false">
      <c r="A2" s="16" t="s">
        <v>65</v>
      </c>
      <c r="B2" s="16" t="s">
        <v>17</v>
      </c>
      <c r="C2" s="16" t="n">
        <f aca="false">COUNTIFS('ربط المحطة بالشريك'!$E$2:$E$355,A2,'ربط المحطة بالشريك'!$D$2:$D$355,B2)</f>
        <v>17</v>
      </c>
      <c r="D2" s="9" t="s">
        <v>495</v>
      </c>
    </row>
    <row r="3" customFormat="false" ht="35.05" hidden="false" customHeight="false" outlineLevel="0" collapsed="false">
      <c r="A3" s="16" t="s">
        <v>218</v>
      </c>
      <c r="B3" s="16" t="s">
        <v>16</v>
      </c>
      <c r="C3" s="16" t="n">
        <f aca="false">COUNTIFS('ربط المحطة بالشريك'!$E$2:$E$355,A3,'ربط المحطة بالشريك'!$D$2:$D$355,B3)</f>
        <v>14</v>
      </c>
      <c r="D3" s="9" t="s">
        <v>496</v>
      </c>
    </row>
    <row r="4" customFormat="false" ht="35.05" hidden="false" customHeight="false" outlineLevel="0" collapsed="false">
      <c r="A4" s="16" t="s">
        <v>321</v>
      </c>
      <c r="B4" s="16" t="s">
        <v>16</v>
      </c>
      <c r="C4" s="16" t="n">
        <f aca="false">COUNTIFS('ربط المحطة بالشريك'!$E$2:$E$355,A4,'ربط المحطة بالشريك'!$D$2:$D$355,B4)</f>
        <v>12</v>
      </c>
      <c r="D4" s="9" t="s">
        <v>497</v>
      </c>
    </row>
    <row r="5" customFormat="false" ht="23.85" hidden="false" customHeight="false" outlineLevel="0" collapsed="false">
      <c r="A5" s="16" t="s">
        <v>102</v>
      </c>
      <c r="B5" s="16" t="s">
        <v>16</v>
      </c>
      <c r="C5" s="16" t="n">
        <f aca="false">COUNTIFS('ربط المحطة بالشريك'!$E$2:$E$355,A5,'ربط المحطة بالشريك'!$D$2:$D$355,B5)</f>
        <v>11</v>
      </c>
      <c r="D5" s="9" t="s">
        <v>498</v>
      </c>
    </row>
    <row r="6" customFormat="false" ht="23.85" hidden="false" customHeight="false" outlineLevel="0" collapsed="false">
      <c r="A6" s="16" t="s">
        <v>294</v>
      </c>
      <c r="B6" s="16" t="s">
        <v>14</v>
      </c>
      <c r="C6" s="16" t="n">
        <f aca="false">COUNTIFS('ربط المحطة بالشريك'!$E$2:$E$355,A6,'ربط المحطة بالشريك'!$D$2:$D$355,B6)</f>
        <v>11</v>
      </c>
      <c r="D6" s="9" t="s">
        <v>499</v>
      </c>
    </row>
    <row r="7" customFormat="false" ht="23.85" hidden="false" customHeight="false" outlineLevel="0" collapsed="false">
      <c r="A7" s="16" t="s">
        <v>69</v>
      </c>
      <c r="B7" s="16" t="s">
        <v>15</v>
      </c>
      <c r="C7" s="16" t="n">
        <f aca="false">COUNTIFS('ربط المحطة بالشريك'!$E$2:$E$355,A7,'ربط المحطة بالشريك'!$D$2:$D$355,B7)</f>
        <v>7</v>
      </c>
      <c r="D7" s="9" t="s">
        <v>500</v>
      </c>
    </row>
    <row r="8" customFormat="false" ht="15" hidden="false" customHeight="false" outlineLevel="0" collapsed="false">
      <c r="A8" s="16" t="s">
        <v>222</v>
      </c>
      <c r="B8" s="16" t="s">
        <v>15</v>
      </c>
      <c r="C8" s="16" t="n">
        <f aca="false">COUNTIFS('ربط المحطة بالشريك'!$E$2:$E$355,A8,'ربط المحطة بالشريك'!$D$2:$D$355,B8)</f>
        <v>6</v>
      </c>
      <c r="D8" s="9" t="s">
        <v>501</v>
      </c>
    </row>
    <row r="9" customFormat="false" ht="23.85" hidden="false" customHeight="false" outlineLevel="0" collapsed="false">
      <c r="A9" s="16" t="s">
        <v>411</v>
      </c>
      <c r="B9" s="16" t="s">
        <v>16</v>
      </c>
      <c r="C9" s="16" t="n">
        <f aca="false">COUNTIFS('ربط المحطة بالشريك'!$E$2:$E$355,A9,'ربط المحطة بالشريك'!$D$2:$D$355,B9)</f>
        <v>6</v>
      </c>
      <c r="D9" s="9" t="s">
        <v>502</v>
      </c>
    </row>
    <row r="10" customFormat="false" ht="15" hidden="false" customHeight="false" outlineLevel="0" collapsed="false">
      <c r="A10" s="16" t="s">
        <v>217</v>
      </c>
      <c r="B10" s="16" t="s">
        <v>15</v>
      </c>
      <c r="C10" s="16" t="n">
        <f aca="false">COUNTIFS('ربط المحطة بالشريك'!$E$2:$E$355,A10,'ربط المحطة بالشريك'!$D$2:$D$355,B10)</f>
        <v>5</v>
      </c>
      <c r="D10" s="9" t="s">
        <v>503</v>
      </c>
    </row>
    <row r="11" customFormat="false" ht="23.85" hidden="false" customHeight="false" outlineLevel="0" collapsed="false">
      <c r="A11" s="16" t="s">
        <v>173</v>
      </c>
      <c r="B11" s="16" t="s">
        <v>15</v>
      </c>
      <c r="C11" s="16" t="n">
        <f aca="false">COUNTIFS('ربط المحطة بالشريك'!$E$2:$E$355,A11,'ربط المحطة بالشريك'!$D$2:$D$355,B11)</f>
        <v>5</v>
      </c>
      <c r="D11" s="9" t="s">
        <v>504</v>
      </c>
    </row>
    <row r="12" customFormat="false" ht="15" hidden="false" customHeight="false" outlineLevel="0" collapsed="false">
      <c r="A12" s="16" t="s">
        <v>384</v>
      </c>
      <c r="B12" s="16" t="s">
        <v>16</v>
      </c>
      <c r="C12" s="16" t="n">
        <f aca="false">COUNTIFS('ربط المحطة بالشريك'!$E$2:$E$355,A12,'ربط المحطة بالشريك'!$D$2:$D$355,B12)</f>
        <v>5</v>
      </c>
      <c r="D12" s="9" t="s">
        <v>505</v>
      </c>
    </row>
    <row r="13" customFormat="false" ht="15" hidden="false" customHeight="false" outlineLevel="0" collapsed="false">
      <c r="A13" s="16" t="s">
        <v>422</v>
      </c>
      <c r="B13" s="16" t="s">
        <v>16</v>
      </c>
      <c r="C13" s="16" t="n">
        <f aca="false">COUNTIFS('ربط المحطة بالشريك'!$E$2:$E$355,A13,'ربط المحطة بالشريك'!$D$2:$D$355,B13)</f>
        <v>5</v>
      </c>
      <c r="D13" s="9" t="s">
        <v>506</v>
      </c>
    </row>
    <row r="14" customFormat="false" ht="23.85" hidden="false" customHeight="false" outlineLevel="0" collapsed="false">
      <c r="A14" s="16" t="s">
        <v>170</v>
      </c>
      <c r="B14" s="16" t="s">
        <v>16</v>
      </c>
      <c r="C14" s="16" t="n">
        <f aca="false">COUNTIFS('ربط المحطة بالشريك'!$E$2:$E$355,A14,'ربط المحطة بالشريك'!$D$2:$D$355,B14)</f>
        <v>5</v>
      </c>
      <c r="D14" s="9" t="s">
        <v>507</v>
      </c>
    </row>
    <row r="15" customFormat="false" ht="15" hidden="false" customHeight="false" outlineLevel="0" collapsed="false">
      <c r="A15" s="16" t="s">
        <v>395</v>
      </c>
      <c r="B15" s="16" t="s">
        <v>15</v>
      </c>
      <c r="C15" s="16" t="n">
        <f aca="false">COUNTIFS('ربط المحطة بالشريك'!$E$2:$E$355,A15,'ربط المحطة بالشريك'!$D$2:$D$355,B15)</f>
        <v>4</v>
      </c>
      <c r="D15" s="9" t="s">
        <v>508</v>
      </c>
    </row>
    <row r="16" customFormat="false" ht="15" hidden="false" customHeight="false" outlineLevel="0" collapsed="false">
      <c r="A16" s="16" t="s">
        <v>308</v>
      </c>
      <c r="B16" s="16" t="s">
        <v>15</v>
      </c>
      <c r="C16" s="16" t="n">
        <f aca="false">COUNTIFS('ربط المحطة بالشريك'!$E$2:$E$355,A16,'ربط المحطة بالشريك'!$D$2:$D$355,B16)</f>
        <v>4</v>
      </c>
      <c r="D16" s="9" t="s">
        <v>509</v>
      </c>
    </row>
    <row r="17" customFormat="false" ht="15" hidden="false" customHeight="false" outlineLevel="0" collapsed="false">
      <c r="A17" s="16" t="s">
        <v>309</v>
      </c>
      <c r="B17" s="16" t="s">
        <v>16</v>
      </c>
      <c r="C17" s="16" t="n">
        <f aca="false">COUNTIFS('ربط المحطة بالشريك'!$E$2:$E$355,A17,'ربط المحطة بالشريك'!$D$2:$D$355,B17)</f>
        <v>4</v>
      </c>
      <c r="D17" s="9" t="s">
        <v>510</v>
      </c>
    </row>
    <row r="18" customFormat="false" ht="15" hidden="false" customHeight="false" outlineLevel="0" collapsed="false">
      <c r="A18" s="16" t="s">
        <v>101</v>
      </c>
      <c r="B18" s="16" t="s">
        <v>14</v>
      </c>
      <c r="C18" s="16" t="n">
        <f aca="false">COUNTIFS('ربط المحطة بالشريك'!$E$2:$E$355,A18,'ربط المحطة بالشريك'!$D$2:$D$355,B18)</f>
        <v>4</v>
      </c>
      <c r="D18" s="9" t="s">
        <v>511</v>
      </c>
    </row>
    <row r="19" customFormat="false" ht="15" hidden="false" customHeight="false" outlineLevel="0" collapsed="false">
      <c r="A19" s="16" t="s">
        <v>354</v>
      </c>
      <c r="B19" s="16" t="s">
        <v>14</v>
      </c>
      <c r="C19" s="16" t="n">
        <f aca="false">COUNTIFS('ربط المحطة بالشريك'!$E$2:$E$355,A19,'ربط المحطة بالشريك'!$D$2:$D$355,B19)</f>
        <v>4</v>
      </c>
      <c r="D19" s="9" t="s">
        <v>512</v>
      </c>
    </row>
    <row r="20" customFormat="false" ht="15" hidden="false" customHeight="false" outlineLevel="0" collapsed="false">
      <c r="A20" s="16" t="s">
        <v>41</v>
      </c>
      <c r="B20" s="16" t="s">
        <v>17</v>
      </c>
      <c r="C20" s="16" t="n">
        <f aca="false">COUNTIFS('ربط المحطة بالشريك'!$E$2:$E$355,A20,'ربط المحطة بالشريك'!$D$2:$D$355,B20)</f>
        <v>3</v>
      </c>
      <c r="D20" s="9" t="s">
        <v>513</v>
      </c>
    </row>
    <row r="21" customFormat="false" ht="15" hidden="false" customHeight="false" outlineLevel="0" collapsed="false">
      <c r="A21" s="16" t="s">
        <v>85</v>
      </c>
      <c r="B21" s="16" t="s">
        <v>17</v>
      </c>
      <c r="C21" s="16" t="n">
        <f aca="false">COUNTIFS('ربط المحطة بالشريك'!$E$2:$E$355,A21,'ربط المحطة بالشريك'!$D$2:$D$355,B21)</f>
        <v>3</v>
      </c>
      <c r="D21" s="9" t="s">
        <v>514</v>
      </c>
    </row>
    <row r="22" customFormat="false" ht="15" hidden="false" customHeight="false" outlineLevel="0" collapsed="false">
      <c r="A22" s="16" t="s">
        <v>365</v>
      </c>
      <c r="B22" s="16" t="s">
        <v>15</v>
      </c>
      <c r="C22" s="16" t="n">
        <f aca="false">COUNTIFS('ربط المحطة بالشريك'!$E$2:$E$355,A22,'ربط المحطة بالشريك'!$D$2:$D$355,B22)</f>
        <v>3</v>
      </c>
      <c r="D22" s="9" t="s">
        <v>515</v>
      </c>
    </row>
    <row r="23" customFormat="false" ht="15" hidden="false" customHeight="false" outlineLevel="0" collapsed="false">
      <c r="A23" s="16" t="s">
        <v>443</v>
      </c>
      <c r="B23" s="16" t="s">
        <v>15</v>
      </c>
      <c r="C23" s="16" t="n">
        <f aca="false">COUNTIFS('ربط المحطة بالشريك'!$E$2:$E$355,A23,'ربط المحطة بالشريك'!$D$2:$D$355,B23)</f>
        <v>3</v>
      </c>
      <c r="D23" s="9" t="s">
        <v>516</v>
      </c>
    </row>
    <row r="24" customFormat="false" ht="15" hidden="false" customHeight="false" outlineLevel="0" collapsed="false">
      <c r="A24" s="16" t="s">
        <v>385</v>
      </c>
      <c r="B24" s="16" t="s">
        <v>16</v>
      </c>
      <c r="C24" s="16" t="n">
        <f aca="false">COUNTIFS('ربط المحطة بالشريك'!$E$2:$E$355,A24,'ربط المحطة بالشريك'!$D$2:$D$355,B24)</f>
        <v>3</v>
      </c>
      <c r="D24" s="9" t="s">
        <v>517</v>
      </c>
    </row>
    <row r="25" customFormat="false" ht="15" hidden="false" customHeight="false" outlineLevel="0" collapsed="false">
      <c r="A25" s="16" t="s">
        <v>53</v>
      </c>
      <c r="B25" s="16" t="s">
        <v>16</v>
      </c>
      <c r="C25" s="16" t="n">
        <f aca="false">COUNTIFS('ربط المحطة بالشريك'!$E$2:$E$355,A25,'ربط المحطة بالشريك'!$D$2:$D$355,B25)</f>
        <v>3</v>
      </c>
      <c r="D25" s="9" t="s">
        <v>518</v>
      </c>
    </row>
    <row r="26" customFormat="false" ht="15" hidden="false" customHeight="false" outlineLevel="0" collapsed="false">
      <c r="A26" s="16" t="s">
        <v>412</v>
      </c>
      <c r="B26" s="16" t="s">
        <v>16</v>
      </c>
      <c r="C26" s="16" t="n">
        <f aca="false">COUNTIFS('ربط المحطة بالشريك'!$E$2:$E$355,A26,'ربط المحطة بالشريك'!$D$2:$D$355,B26)</f>
        <v>3</v>
      </c>
      <c r="D26" s="9" t="s">
        <v>519</v>
      </c>
    </row>
    <row r="27" customFormat="false" ht="15" hidden="false" customHeight="false" outlineLevel="0" collapsed="false">
      <c r="A27" s="16" t="s">
        <v>421</v>
      </c>
      <c r="B27" s="16" t="s">
        <v>16</v>
      </c>
      <c r="C27" s="16" t="n">
        <f aca="false">COUNTIFS('ربط المحطة بالشريك'!$E$2:$E$355,A27,'ربط المحطة بالشريك'!$D$2:$D$355,B27)</f>
        <v>3</v>
      </c>
      <c r="D27" s="9" t="s">
        <v>520</v>
      </c>
    </row>
    <row r="28" customFormat="false" ht="15" hidden="false" customHeight="false" outlineLevel="0" collapsed="false">
      <c r="A28" s="16" t="s">
        <v>196</v>
      </c>
      <c r="B28" s="16" t="s">
        <v>14</v>
      </c>
      <c r="C28" s="16" t="n">
        <f aca="false">COUNTIFS('ربط المحطة بالشريك'!$E$2:$E$355,A28,'ربط المحطة بالشريك'!$D$2:$D$355,B28)</f>
        <v>3</v>
      </c>
      <c r="D28" s="9" t="s">
        <v>521</v>
      </c>
    </row>
    <row r="29" customFormat="false" ht="15" hidden="false" customHeight="false" outlineLevel="0" collapsed="false">
      <c r="A29" s="16" t="s">
        <v>366</v>
      </c>
      <c r="B29" s="16" t="s">
        <v>15</v>
      </c>
      <c r="C29" s="16" t="n">
        <f aca="false">COUNTIFS('ربط المحطة بالشريك'!$E$2:$E$355,A29,'ربط المحطة بالشريك'!$D$2:$D$355,B29)</f>
        <v>2</v>
      </c>
      <c r="D29" s="9" t="s">
        <v>522</v>
      </c>
    </row>
    <row r="30" customFormat="false" ht="15" hidden="false" customHeight="false" outlineLevel="0" collapsed="false">
      <c r="A30" s="16" t="s">
        <v>407</v>
      </c>
      <c r="B30" s="16" t="s">
        <v>15</v>
      </c>
      <c r="C30" s="16" t="n">
        <f aca="false">COUNTIFS('ربط المحطة بالشريك'!$E$2:$E$355,A30,'ربط المحطة بالشريك'!$D$2:$D$355,B30)</f>
        <v>2</v>
      </c>
      <c r="D30" s="9" t="s">
        <v>523</v>
      </c>
    </row>
    <row r="31" customFormat="false" ht="15" hidden="false" customHeight="false" outlineLevel="0" collapsed="false">
      <c r="A31" s="16" t="s">
        <v>371</v>
      </c>
      <c r="B31" s="16" t="s">
        <v>15</v>
      </c>
      <c r="C31" s="16" t="n">
        <f aca="false">COUNTIFS('ربط المحطة بالشريك'!$E$2:$E$355,A31,'ربط المحطة بالشريك'!$D$2:$D$355,B31)</f>
        <v>2</v>
      </c>
      <c r="D31" s="9" t="s">
        <v>522</v>
      </c>
    </row>
    <row r="32" customFormat="false" ht="15" hidden="false" customHeight="false" outlineLevel="0" collapsed="false">
      <c r="A32" s="16" t="s">
        <v>364</v>
      </c>
      <c r="B32" s="16" t="s">
        <v>15</v>
      </c>
      <c r="C32" s="16" t="n">
        <f aca="false">COUNTIFS('ربط المحطة بالشريك'!$E$2:$E$355,A32,'ربط المحطة بالشريك'!$D$2:$D$355,B32)</f>
        <v>2</v>
      </c>
      <c r="D32" s="9" t="s">
        <v>524</v>
      </c>
    </row>
    <row r="33" customFormat="false" ht="15" hidden="false" customHeight="false" outlineLevel="0" collapsed="false">
      <c r="A33" s="16" t="s">
        <v>430</v>
      </c>
      <c r="B33" s="16" t="s">
        <v>15</v>
      </c>
      <c r="C33" s="16" t="n">
        <f aca="false">COUNTIFS('ربط المحطة بالشريك'!$E$2:$E$355,A33,'ربط المحطة بالشريك'!$D$2:$D$355,B33)</f>
        <v>2</v>
      </c>
      <c r="D33" s="9" t="s">
        <v>525</v>
      </c>
    </row>
    <row r="34" customFormat="false" ht="15" hidden="false" customHeight="false" outlineLevel="0" collapsed="false">
      <c r="A34" s="16" t="s">
        <v>410</v>
      </c>
      <c r="B34" s="16" t="s">
        <v>15</v>
      </c>
      <c r="C34" s="16" t="n">
        <f aca="false">COUNTIFS('ربط المحطة بالشريك'!$E$2:$E$355,A34,'ربط المحطة بالشريك'!$D$2:$D$355,B34)</f>
        <v>2</v>
      </c>
      <c r="D34" s="9" t="s">
        <v>526</v>
      </c>
    </row>
    <row r="35" customFormat="false" ht="15" hidden="false" customHeight="false" outlineLevel="0" collapsed="false">
      <c r="A35" s="16" t="s">
        <v>442</v>
      </c>
      <c r="B35" s="16" t="s">
        <v>15</v>
      </c>
      <c r="C35" s="16" t="n">
        <f aca="false">COUNTIFS('ربط المحطة بالشريك'!$E$2:$E$355,A35,'ربط المحطة بالشريك'!$D$2:$D$355,B35)</f>
        <v>2</v>
      </c>
      <c r="D35" s="9" t="s">
        <v>527</v>
      </c>
    </row>
    <row r="36" customFormat="false" ht="15" hidden="false" customHeight="false" outlineLevel="0" collapsed="false">
      <c r="A36" s="16" t="s">
        <v>438</v>
      </c>
      <c r="B36" s="16" t="s">
        <v>15</v>
      </c>
      <c r="C36" s="16" t="n">
        <f aca="false">COUNTIFS('ربط المحطة بالشريك'!$E$2:$E$355,A36,'ربط المحطة بالشريك'!$D$2:$D$355,B36)</f>
        <v>2</v>
      </c>
      <c r="D36" s="9" t="s">
        <v>528</v>
      </c>
    </row>
    <row r="37" customFormat="false" ht="15" hidden="false" customHeight="false" outlineLevel="0" collapsed="false">
      <c r="A37" s="16" t="s">
        <v>433</v>
      </c>
      <c r="B37" s="16" t="s">
        <v>16</v>
      </c>
      <c r="C37" s="16" t="n">
        <f aca="false">COUNTIFS('ربط المحطة بالشريك'!$E$2:$E$355,A37,'ربط المحطة بالشريك'!$D$2:$D$355,B37)</f>
        <v>2</v>
      </c>
      <c r="D37" s="9" t="s">
        <v>529</v>
      </c>
    </row>
    <row r="38" customFormat="false" ht="15" hidden="false" customHeight="false" outlineLevel="0" collapsed="false">
      <c r="A38" s="16" t="s">
        <v>413</v>
      </c>
      <c r="B38" s="16" t="s">
        <v>16</v>
      </c>
      <c r="C38" s="16" t="n">
        <f aca="false">COUNTIFS('ربط المحطة بالشريك'!$E$2:$E$355,A38,'ربط المحطة بالشريك'!$D$2:$D$355,B38)</f>
        <v>2</v>
      </c>
      <c r="D38" s="9" t="s">
        <v>530</v>
      </c>
    </row>
    <row r="39" customFormat="false" ht="15" hidden="false" customHeight="false" outlineLevel="0" collapsed="false">
      <c r="A39" s="16" t="s">
        <v>387</v>
      </c>
      <c r="B39" s="16" t="s">
        <v>16</v>
      </c>
      <c r="C39" s="16" t="n">
        <f aca="false">COUNTIFS('ربط المحطة بالشريك'!$E$2:$E$355,A39,'ربط المحطة بالشريك'!$D$2:$D$355,B39)</f>
        <v>2</v>
      </c>
      <c r="D39" s="9" t="s">
        <v>531</v>
      </c>
    </row>
    <row r="40" customFormat="false" ht="15" hidden="false" customHeight="false" outlineLevel="0" collapsed="false">
      <c r="A40" s="16" t="s">
        <v>439</v>
      </c>
      <c r="B40" s="16" t="s">
        <v>16</v>
      </c>
      <c r="C40" s="16" t="n">
        <f aca="false">COUNTIFS('ربط المحطة بالشريك'!$E$2:$E$355,A40,'ربط المحطة بالشريك'!$D$2:$D$355,B40)</f>
        <v>2</v>
      </c>
      <c r="D40" s="9" t="s">
        <v>532</v>
      </c>
    </row>
    <row r="41" customFormat="false" ht="15" hidden="false" customHeight="false" outlineLevel="0" collapsed="false">
      <c r="A41" s="16" t="s">
        <v>415</v>
      </c>
      <c r="B41" s="16" t="s">
        <v>16</v>
      </c>
      <c r="C41" s="16" t="n">
        <f aca="false">COUNTIFS('ربط المحطة بالشريك'!$E$2:$E$355,A41,'ربط المحطة بالشريك'!$D$2:$D$355,B41)</f>
        <v>2</v>
      </c>
      <c r="D41" s="9" t="s">
        <v>533</v>
      </c>
    </row>
    <row r="42" customFormat="false" ht="15" hidden="false" customHeight="false" outlineLevel="0" collapsed="false">
      <c r="A42" s="16" t="s">
        <v>364</v>
      </c>
      <c r="B42" s="16" t="s">
        <v>16</v>
      </c>
      <c r="C42" s="16" t="n">
        <f aca="false">COUNTIFS('ربط المحطة بالشريك'!$E$2:$E$355,A42,'ربط المحطة بالشريك'!$D$2:$D$355,B42)</f>
        <v>2</v>
      </c>
      <c r="D42" s="9" t="s">
        <v>534</v>
      </c>
    </row>
    <row r="43" customFormat="false" ht="15" hidden="false" customHeight="false" outlineLevel="0" collapsed="false">
      <c r="A43" s="16" t="s">
        <v>425</v>
      </c>
      <c r="B43" s="16" t="s">
        <v>16</v>
      </c>
      <c r="C43" s="16" t="n">
        <f aca="false">COUNTIFS('ربط المحطة بالشريك'!$E$2:$E$355,A43,'ربط المحطة بالشريك'!$D$2:$D$355,B43)</f>
        <v>2</v>
      </c>
      <c r="D43" s="9" t="s">
        <v>535</v>
      </c>
    </row>
    <row r="44" customFormat="false" ht="15" hidden="false" customHeight="false" outlineLevel="0" collapsed="false">
      <c r="A44" s="16" t="s">
        <v>389</v>
      </c>
      <c r="B44" s="16" t="s">
        <v>16</v>
      </c>
      <c r="C44" s="16" t="n">
        <f aca="false">COUNTIFS('ربط المحطة بالشريك'!$E$2:$E$355,A44,'ربط المحطة بالشريك'!$D$2:$D$355,B44)</f>
        <v>2</v>
      </c>
      <c r="D44" s="9" t="s">
        <v>531</v>
      </c>
    </row>
    <row r="45" customFormat="false" ht="15" hidden="false" customHeight="false" outlineLevel="0" collapsed="false">
      <c r="A45" s="16" t="s">
        <v>451</v>
      </c>
      <c r="B45" s="16" t="s">
        <v>14</v>
      </c>
      <c r="C45" s="16" t="n">
        <f aca="false">COUNTIFS('ربط المحطة بالشريك'!$E$2:$E$355,A45,'ربط المحطة بالشريك'!$D$2:$D$355,B45)</f>
        <v>2</v>
      </c>
      <c r="D45" s="9" t="s">
        <v>536</v>
      </c>
    </row>
    <row r="46" customFormat="false" ht="15" hidden="false" customHeight="false" outlineLevel="0" collapsed="false">
      <c r="A46" s="16" t="s">
        <v>133</v>
      </c>
      <c r="B46" s="16" t="s">
        <v>14</v>
      </c>
      <c r="C46" s="16" t="n">
        <f aca="false">COUNTIFS('ربط المحطة بالشريك'!$E$2:$E$355,A46,'ربط المحطة بالشريك'!$D$2:$D$355,B46)</f>
        <v>2</v>
      </c>
      <c r="D46" s="9" t="s">
        <v>537</v>
      </c>
    </row>
    <row r="47" customFormat="false" ht="15" hidden="false" customHeight="false" outlineLevel="0" collapsed="false">
      <c r="A47" s="16" t="s">
        <v>34</v>
      </c>
      <c r="B47" s="16" t="s">
        <v>18</v>
      </c>
      <c r="C47" s="16" t="n">
        <f aca="false">COUNTIFS('ربط المحطة بالشريك'!$E$2:$E$355,A47,'ربط المحطة بالشريك'!$D$2:$D$355,B47)</f>
        <v>1</v>
      </c>
      <c r="D47" s="9" t="s">
        <v>538</v>
      </c>
    </row>
    <row r="48" customFormat="false" ht="15" hidden="false" customHeight="false" outlineLevel="0" collapsed="false">
      <c r="A48" s="16" t="s">
        <v>114</v>
      </c>
      <c r="B48" s="16" t="s">
        <v>18</v>
      </c>
      <c r="C48" s="16" t="n">
        <f aca="false">COUNTIFS('ربط المحطة بالشريك'!$E$2:$E$355,A48,'ربط المحطة بالشريك'!$D$2:$D$355,B48)</f>
        <v>1</v>
      </c>
      <c r="D48" s="9" t="s">
        <v>539</v>
      </c>
    </row>
    <row r="49" customFormat="false" ht="15" hidden="false" customHeight="false" outlineLevel="0" collapsed="false">
      <c r="A49" s="16" t="s">
        <v>311</v>
      </c>
      <c r="B49" s="16" t="s">
        <v>18</v>
      </c>
      <c r="C49" s="16" t="n">
        <f aca="false">COUNTIFS('ربط المحطة بالشريك'!$E$2:$E$355,A49,'ربط المحطة بالشريك'!$D$2:$D$355,B49)</f>
        <v>1</v>
      </c>
      <c r="D49" s="9" t="s">
        <v>540</v>
      </c>
    </row>
    <row r="50" customFormat="false" ht="15" hidden="false" customHeight="false" outlineLevel="0" collapsed="false">
      <c r="A50" s="16" t="s">
        <v>314</v>
      </c>
      <c r="B50" s="16" t="s">
        <v>18</v>
      </c>
      <c r="C50" s="16" t="n">
        <f aca="false">COUNTIFS('ربط المحطة بالشريك'!$E$2:$E$355,A50,'ربط المحطة بالشريك'!$D$2:$D$355,B50)</f>
        <v>1</v>
      </c>
      <c r="D50" s="9" t="s">
        <v>541</v>
      </c>
    </row>
    <row r="51" customFormat="false" ht="15" hidden="false" customHeight="false" outlineLevel="0" collapsed="false">
      <c r="A51" s="16" t="s">
        <v>305</v>
      </c>
      <c r="B51" s="16" t="s">
        <v>18</v>
      </c>
      <c r="C51" s="16" t="n">
        <f aca="false">COUNTIFS('ربط المحطة بالشريك'!$E$2:$E$355,A51,'ربط المحطة بالشريك'!$D$2:$D$355,B51)</f>
        <v>1</v>
      </c>
      <c r="D51" s="9" t="s">
        <v>542</v>
      </c>
    </row>
    <row r="52" customFormat="false" ht="15" hidden="false" customHeight="false" outlineLevel="0" collapsed="false">
      <c r="A52" s="16" t="s">
        <v>108</v>
      </c>
      <c r="B52" s="16" t="s">
        <v>18</v>
      </c>
      <c r="C52" s="16" t="n">
        <f aca="false">COUNTIFS('ربط المحطة بالشريك'!$E$2:$E$355,A52,'ربط المحطة بالشريك'!$D$2:$D$355,B52)</f>
        <v>1</v>
      </c>
      <c r="D52" s="9" t="s">
        <v>543</v>
      </c>
    </row>
    <row r="53" customFormat="false" ht="15" hidden="false" customHeight="false" outlineLevel="0" collapsed="false">
      <c r="A53" s="16" t="s">
        <v>287</v>
      </c>
      <c r="B53" s="16" t="s">
        <v>17</v>
      </c>
      <c r="C53" s="16" t="n">
        <f aca="false">COUNTIFS('ربط المحطة بالشريك'!$E$2:$E$355,A53,'ربط المحطة بالشريك'!$D$2:$D$355,B53)</f>
        <v>1</v>
      </c>
      <c r="D53" s="9" t="s">
        <v>544</v>
      </c>
    </row>
    <row r="54" customFormat="false" ht="15" hidden="false" customHeight="false" outlineLevel="0" collapsed="false">
      <c r="A54" s="16" t="s">
        <v>95</v>
      </c>
      <c r="B54" s="16" t="s">
        <v>17</v>
      </c>
      <c r="C54" s="16" t="n">
        <f aca="false">COUNTIFS('ربط المحطة بالشريك'!$E$2:$E$355,A54,'ربط المحطة بالشريك'!$D$2:$D$355,B54)</f>
        <v>1</v>
      </c>
      <c r="D54" s="9" t="s">
        <v>545</v>
      </c>
    </row>
    <row r="55" customFormat="false" ht="15" hidden="false" customHeight="false" outlineLevel="0" collapsed="false">
      <c r="A55" s="16" t="s">
        <v>135</v>
      </c>
      <c r="B55" s="16" t="s">
        <v>17</v>
      </c>
      <c r="C55" s="16" t="n">
        <f aca="false">COUNTIFS('ربط المحطة بالشريك'!$E$2:$E$355,A55,'ربط المحطة بالشريك'!$D$2:$D$355,B55)</f>
        <v>1</v>
      </c>
      <c r="D55" s="9" t="s">
        <v>546</v>
      </c>
    </row>
    <row r="56" customFormat="false" ht="15" hidden="false" customHeight="false" outlineLevel="0" collapsed="false">
      <c r="A56" s="16" t="s">
        <v>175</v>
      </c>
      <c r="B56" s="16" t="s">
        <v>17</v>
      </c>
      <c r="C56" s="16" t="n">
        <f aca="false">COUNTIFS('ربط المحطة بالشريك'!$E$2:$E$355,A56,'ربط المحطة بالشريك'!$D$2:$D$355,B56)</f>
        <v>1</v>
      </c>
      <c r="D56" s="9" t="s">
        <v>547</v>
      </c>
    </row>
    <row r="57" customFormat="false" ht="15" hidden="false" customHeight="false" outlineLevel="0" collapsed="false">
      <c r="A57" s="16" t="s">
        <v>113</v>
      </c>
      <c r="B57" s="16" t="s">
        <v>17</v>
      </c>
      <c r="C57" s="16" t="n">
        <f aca="false">COUNTIFS('ربط المحطة بالشريك'!$E$2:$E$355,A57,'ربط المحطة بالشريك'!$D$2:$D$355,B57)</f>
        <v>1</v>
      </c>
      <c r="D57" s="9" t="s">
        <v>539</v>
      </c>
    </row>
    <row r="58" customFormat="false" ht="15" hidden="false" customHeight="false" outlineLevel="0" collapsed="false">
      <c r="A58" s="16" t="s">
        <v>296</v>
      </c>
      <c r="B58" s="16" t="s">
        <v>17</v>
      </c>
      <c r="C58" s="16" t="n">
        <f aca="false">COUNTIFS('ربط المحطة بالشريك'!$E$2:$E$355,A58,'ربط المحطة بالشريك'!$D$2:$D$355,B58)</f>
        <v>1</v>
      </c>
      <c r="D58" s="9" t="s">
        <v>548</v>
      </c>
    </row>
    <row r="59" customFormat="false" ht="15" hidden="false" customHeight="false" outlineLevel="0" collapsed="false">
      <c r="A59" s="16" t="s">
        <v>26</v>
      </c>
      <c r="B59" s="16" t="s">
        <v>17</v>
      </c>
      <c r="C59" s="16" t="n">
        <f aca="false">COUNTIFS('ربط المحطة بالشريك'!$E$2:$E$355,A59,'ربط المحطة بالشريك'!$D$2:$D$355,B59)</f>
        <v>1</v>
      </c>
      <c r="D59" s="9" t="s">
        <v>549</v>
      </c>
    </row>
    <row r="60" customFormat="false" ht="15" hidden="false" customHeight="false" outlineLevel="0" collapsed="false">
      <c r="A60" s="16" t="s">
        <v>186</v>
      </c>
      <c r="B60" s="16" t="s">
        <v>17</v>
      </c>
      <c r="C60" s="16" t="n">
        <f aca="false">COUNTIFS('ربط المحطة بالشريك'!$E$2:$E$355,A60,'ربط المحطة بالشريك'!$D$2:$D$355,B60)</f>
        <v>1</v>
      </c>
      <c r="D60" s="9" t="s">
        <v>550</v>
      </c>
    </row>
    <row r="61" customFormat="false" ht="15" hidden="false" customHeight="false" outlineLevel="0" collapsed="false">
      <c r="A61" s="16" t="s">
        <v>304</v>
      </c>
      <c r="B61" s="16" t="s">
        <v>17</v>
      </c>
      <c r="C61" s="16" t="n">
        <f aca="false">COUNTIFS('ربط المحطة بالشريك'!$E$2:$E$355,A61,'ربط المحطة بالشريك'!$D$2:$D$355,B61)</f>
        <v>1</v>
      </c>
      <c r="D61" s="9" t="s">
        <v>542</v>
      </c>
    </row>
    <row r="62" customFormat="false" ht="15" hidden="false" customHeight="false" outlineLevel="0" collapsed="false">
      <c r="A62" s="16" t="s">
        <v>417</v>
      </c>
      <c r="B62" s="16" t="s">
        <v>17</v>
      </c>
      <c r="C62" s="16" t="n">
        <f aca="false">COUNTIFS('ربط المحطة بالشريك'!$E$2:$E$355,A62,'ربط المحطة بالشريك'!$D$2:$D$355,B62)</f>
        <v>1</v>
      </c>
      <c r="D62" s="9" t="s">
        <v>538</v>
      </c>
    </row>
    <row r="63" customFormat="false" ht="15" hidden="false" customHeight="false" outlineLevel="0" collapsed="false">
      <c r="A63" s="16" t="s">
        <v>181</v>
      </c>
      <c r="B63" s="16" t="s">
        <v>17</v>
      </c>
      <c r="C63" s="16" t="n">
        <f aca="false">COUNTIFS('ربط المحطة بالشريك'!$E$2:$E$355,A63,'ربط المحطة بالشريك'!$D$2:$D$355,B63)</f>
        <v>1</v>
      </c>
      <c r="D63" s="9" t="s">
        <v>551</v>
      </c>
    </row>
    <row r="64" customFormat="false" ht="15" hidden="false" customHeight="false" outlineLevel="0" collapsed="false">
      <c r="A64" s="16" t="s">
        <v>251</v>
      </c>
      <c r="B64" s="16" t="s">
        <v>17</v>
      </c>
      <c r="C64" s="16" t="n">
        <f aca="false">COUNTIFS('ربط المحطة بالشريك'!$E$2:$E$355,A64,'ربط المحطة بالشريك'!$D$2:$D$355,B64)</f>
        <v>1</v>
      </c>
      <c r="D64" s="9" t="s">
        <v>552</v>
      </c>
    </row>
    <row r="65" customFormat="false" ht="15" hidden="false" customHeight="false" outlineLevel="0" collapsed="false">
      <c r="A65" s="16" t="s">
        <v>261</v>
      </c>
      <c r="B65" s="16" t="s">
        <v>17</v>
      </c>
      <c r="C65" s="16" t="n">
        <f aca="false">COUNTIFS('ربط المحطة بالشريك'!$E$2:$E$355,A65,'ربط المحطة بالشريك'!$D$2:$D$355,B65)</f>
        <v>1</v>
      </c>
      <c r="D65" s="9" t="s">
        <v>553</v>
      </c>
    </row>
    <row r="66" customFormat="false" ht="15" hidden="false" customHeight="false" outlineLevel="0" collapsed="false">
      <c r="A66" s="16" t="s">
        <v>54</v>
      </c>
      <c r="B66" s="16" t="s">
        <v>17</v>
      </c>
      <c r="C66" s="16" t="n">
        <f aca="false">COUNTIFS('ربط المحطة بالشريك'!$E$2:$E$355,A66,'ربط المحطة بالشريك'!$D$2:$D$355,B66)</f>
        <v>1</v>
      </c>
      <c r="D66" s="9" t="s">
        <v>554</v>
      </c>
    </row>
    <row r="67" customFormat="false" ht="15" hidden="false" customHeight="false" outlineLevel="0" collapsed="false">
      <c r="A67" s="16" t="s">
        <v>212</v>
      </c>
      <c r="B67" s="16" t="s">
        <v>17</v>
      </c>
      <c r="C67" s="16" t="n">
        <f aca="false">COUNTIFS('ربط المحطة بالشريك'!$E$2:$E$355,A67,'ربط المحطة بالشريك'!$D$2:$D$355,B67)</f>
        <v>1</v>
      </c>
      <c r="D67" s="9" t="s">
        <v>555</v>
      </c>
    </row>
    <row r="68" customFormat="false" ht="15" hidden="false" customHeight="false" outlineLevel="0" collapsed="false">
      <c r="A68" s="16" t="s">
        <v>161</v>
      </c>
      <c r="B68" s="16" t="s">
        <v>17</v>
      </c>
      <c r="C68" s="16" t="n">
        <f aca="false">COUNTIFS('ربط المحطة بالشريك'!$E$2:$E$355,A68,'ربط المحطة بالشريك'!$D$2:$D$355,B68)</f>
        <v>1</v>
      </c>
      <c r="D68" s="9" t="s">
        <v>556</v>
      </c>
    </row>
    <row r="69" customFormat="false" ht="15" hidden="false" customHeight="false" outlineLevel="0" collapsed="false">
      <c r="A69" s="16" t="s">
        <v>418</v>
      </c>
      <c r="B69" s="16" t="s">
        <v>17</v>
      </c>
      <c r="C69" s="16" t="n">
        <f aca="false">COUNTIFS('ربط المحطة بالشريك'!$E$2:$E$355,A69,'ربط المحطة بالشريك'!$D$2:$D$355,B69)</f>
        <v>1</v>
      </c>
      <c r="D69" s="9" t="s">
        <v>538</v>
      </c>
    </row>
    <row r="70" customFormat="false" ht="15" hidden="false" customHeight="false" outlineLevel="0" collapsed="false">
      <c r="A70" s="16" t="s">
        <v>310</v>
      </c>
      <c r="B70" s="16" t="s">
        <v>17</v>
      </c>
      <c r="C70" s="16" t="n">
        <f aca="false">COUNTIFS('ربط المحطة بالشريك'!$E$2:$E$355,A70,'ربط المحطة بالشريك'!$D$2:$D$355,B70)</f>
        <v>1</v>
      </c>
      <c r="D70" s="9" t="s">
        <v>540</v>
      </c>
    </row>
    <row r="71" customFormat="false" ht="15" hidden="false" customHeight="false" outlineLevel="0" collapsed="false">
      <c r="A71" s="16" t="s">
        <v>367</v>
      </c>
      <c r="B71" s="16" t="s">
        <v>15</v>
      </c>
      <c r="C71" s="16" t="n">
        <f aca="false">COUNTIFS('ربط المحطة بالشريك'!$E$2:$E$355,A71,'ربط المحطة بالشريك'!$D$2:$D$355,B71)</f>
        <v>1</v>
      </c>
      <c r="D71" s="9" t="s">
        <v>549</v>
      </c>
    </row>
    <row r="72" customFormat="false" ht="15" hidden="false" customHeight="false" outlineLevel="0" collapsed="false">
      <c r="A72" s="16" t="s">
        <v>383</v>
      </c>
      <c r="B72" s="16" t="s">
        <v>15</v>
      </c>
      <c r="C72" s="16" t="n">
        <f aca="false">COUNTIFS('ربط المحطة بالشريك'!$E$2:$E$355,A72,'ربط المحطة بالشريك'!$D$2:$D$355,B72)</f>
        <v>1</v>
      </c>
      <c r="D72" s="9" t="s">
        <v>549</v>
      </c>
    </row>
    <row r="73" customFormat="false" ht="15" hidden="false" customHeight="false" outlineLevel="0" collapsed="false">
      <c r="A73" s="16" t="s">
        <v>372</v>
      </c>
      <c r="B73" s="16" t="s">
        <v>15</v>
      </c>
      <c r="C73" s="16" t="n">
        <f aca="false">COUNTIFS('ربط المحطة بالشريك'!$E$2:$E$355,A73,'ربط المحطة بالشريك'!$D$2:$D$355,B73)</f>
        <v>1</v>
      </c>
      <c r="D73" s="9" t="s">
        <v>549</v>
      </c>
    </row>
    <row r="74" customFormat="false" ht="15" hidden="false" customHeight="false" outlineLevel="0" collapsed="false">
      <c r="A74" s="16" t="s">
        <v>403</v>
      </c>
      <c r="B74" s="16" t="s">
        <v>15</v>
      </c>
      <c r="C74" s="16" t="n">
        <f aca="false">COUNTIFS('ربط المحطة بالشريك'!$E$2:$E$355,A74,'ربط المحطة بالشريك'!$D$2:$D$355,B74)</f>
        <v>1</v>
      </c>
      <c r="D74" s="9" t="s">
        <v>538</v>
      </c>
    </row>
    <row r="75" customFormat="false" ht="15" hidden="false" customHeight="false" outlineLevel="0" collapsed="false">
      <c r="A75" s="16" t="s">
        <v>448</v>
      </c>
      <c r="B75" s="16" t="s">
        <v>15</v>
      </c>
      <c r="C75" s="16" t="n">
        <f aca="false">COUNTIFS('ربط المحطة بالشريك'!$E$2:$E$355,A75,'ربط المحطة بالشريك'!$D$2:$D$355,B75)</f>
        <v>1</v>
      </c>
      <c r="D75" s="9" t="s">
        <v>545</v>
      </c>
    </row>
    <row r="76" customFormat="false" ht="15" hidden="false" customHeight="false" outlineLevel="0" collapsed="false">
      <c r="A76" s="16" t="s">
        <v>397</v>
      </c>
      <c r="B76" s="16" t="s">
        <v>15</v>
      </c>
      <c r="C76" s="16" t="n">
        <f aca="false">COUNTIFS('ربط المحطة بالشريك'!$E$2:$E$355,A76,'ربط المحطة بالشريك'!$D$2:$D$355,B76)</f>
        <v>1</v>
      </c>
      <c r="D76" s="9" t="s">
        <v>538</v>
      </c>
    </row>
    <row r="77" customFormat="false" ht="15" hidden="false" customHeight="false" outlineLevel="0" collapsed="false">
      <c r="A77" s="16" t="s">
        <v>398</v>
      </c>
      <c r="B77" s="16" t="s">
        <v>15</v>
      </c>
      <c r="C77" s="16" t="n">
        <f aca="false">COUNTIFS('ربط المحطة بالشريك'!$E$2:$E$355,A77,'ربط المحطة بالشريك'!$D$2:$D$355,B77)</f>
        <v>1</v>
      </c>
      <c r="D77" s="9" t="s">
        <v>538</v>
      </c>
    </row>
    <row r="78" customFormat="false" ht="15" hidden="false" customHeight="false" outlineLevel="0" collapsed="false">
      <c r="A78" s="16" t="s">
        <v>363</v>
      </c>
      <c r="B78" s="16" t="s">
        <v>15</v>
      </c>
      <c r="C78" s="16" t="n">
        <f aca="false">COUNTIFS('ربط المحطة بالشريك'!$E$2:$E$355,A78,'ربط المحطة بالشريك'!$D$2:$D$355,B78)</f>
        <v>1</v>
      </c>
      <c r="D78" s="9" t="s">
        <v>549</v>
      </c>
    </row>
    <row r="79" customFormat="false" ht="15" hidden="false" customHeight="false" outlineLevel="0" collapsed="false">
      <c r="A79" s="16" t="s">
        <v>362</v>
      </c>
      <c r="B79" s="16" t="s">
        <v>15</v>
      </c>
      <c r="C79" s="16" t="n">
        <f aca="false">COUNTIFS('ربط المحطة بالشريك'!$E$2:$E$355,A79,'ربط المحطة بالشريك'!$D$2:$D$355,B79)</f>
        <v>1</v>
      </c>
      <c r="D79" s="9" t="s">
        <v>549</v>
      </c>
    </row>
    <row r="80" customFormat="false" ht="15" hidden="false" customHeight="false" outlineLevel="0" collapsed="false">
      <c r="A80" s="16" t="s">
        <v>446</v>
      </c>
      <c r="B80" s="16" t="s">
        <v>15</v>
      </c>
      <c r="C80" s="16" t="n">
        <f aca="false">COUNTIFS('ربط المحطة بالشريك'!$E$2:$E$355,A80,'ربط المحطة بالشريك'!$D$2:$D$355,B80)</f>
        <v>1</v>
      </c>
      <c r="D80" s="9" t="s">
        <v>545</v>
      </c>
    </row>
    <row r="81" customFormat="false" ht="15" hidden="false" customHeight="false" outlineLevel="0" collapsed="false">
      <c r="A81" s="16" t="s">
        <v>454</v>
      </c>
      <c r="B81" s="16" t="s">
        <v>15</v>
      </c>
      <c r="C81" s="16" t="n">
        <f aca="false">COUNTIFS('ربط المحطة بالشريك'!$E$2:$E$355,A81,'ربط المحطة بالشريك'!$D$2:$D$355,B81)</f>
        <v>1</v>
      </c>
      <c r="D81" s="9" t="s">
        <v>557</v>
      </c>
    </row>
    <row r="82" customFormat="false" ht="15" hidden="false" customHeight="false" outlineLevel="0" collapsed="false">
      <c r="A82" s="16" t="s">
        <v>481</v>
      </c>
      <c r="B82" s="16" t="s">
        <v>15</v>
      </c>
      <c r="C82" s="16" t="n">
        <f aca="false">COUNTIFS('ربط المحطة بالشريك'!$E$2:$E$355,A82,'ربط المحطة بالشريك'!$D$2:$D$355,B82)</f>
        <v>1</v>
      </c>
      <c r="D82" s="9" t="s">
        <v>558</v>
      </c>
    </row>
    <row r="83" customFormat="false" ht="15" hidden="false" customHeight="false" outlineLevel="0" collapsed="false">
      <c r="A83" s="16" t="s">
        <v>400</v>
      </c>
      <c r="B83" s="16" t="s">
        <v>15</v>
      </c>
      <c r="C83" s="16" t="n">
        <f aca="false">COUNTIFS('ربط المحطة بالشريك'!$E$2:$E$355,A83,'ربط المحطة بالشريك'!$D$2:$D$355,B83)</f>
        <v>1</v>
      </c>
      <c r="D83" s="9" t="s">
        <v>538</v>
      </c>
    </row>
    <row r="84" customFormat="false" ht="15" hidden="false" customHeight="false" outlineLevel="0" collapsed="false">
      <c r="A84" s="16" t="s">
        <v>404</v>
      </c>
      <c r="B84" s="16" t="s">
        <v>15</v>
      </c>
      <c r="C84" s="16" t="n">
        <f aca="false">COUNTIFS('ربط المحطة بالشريك'!$E$2:$E$355,A84,'ربط المحطة بالشريك'!$D$2:$D$355,B84)</f>
        <v>1</v>
      </c>
      <c r="D84" s="9" t="s">
        <v>538</v>
      </c>
    </row>
    <row r="85" customFormat="false" ht="15" hidden="false" customHeight="false" outlineLevel="0" collapsed="false">
      <c r="A85" s="16" t="s">
        <v>381</v>
      </c>
      <c r="B85" s="16" t="s">
        <v>15</v>
      </c>
      <c r="C85" s="16" t="n">
        <f aca="false">COUNTIFS('ربط المحطة بالشريك'!$E$2:$E$355,A85,'ربط المحطة بالشريك'!$D$2:$D$355,B85)</f>
        <v>1</v>
      </c>
      <c r="D85" s="9" t="s">
        <v>549</v>
      </c>
    </row>
    <row r="86" customFormat="false" ht="15" hidden="false" customHeight="false" outlineLevel="0" collapsed="false">
      <c r="A86" s="16" t="s">
        <v>378</v>
      </c>
      <c r="B86" s="16" t="s">
        <v>15</v>
      </c>
      <c r="C86" s="16" t="n">
        <f aca="false">COUNTIFS('ربط المحطة بالشريك'!$E$2:$E$355,A86,'ربط المحطة بالشريك'!$D$2:$D$355,B86)</f>
        <v>1</v>
      </c>
      <c r="D86" s="9" t="s">
        <v>549</v>
      </c>
    </row>
    <row r="87" customFormat="false" ht="15" hidden="false" customHeight="false" outlineLevel="0" collapsed="false">
      <c r="A87" s="16" t="s">
        <v>382</v>
      </c>
      <c r="B87" s="16" t="s">
        <v>15</v>
      </c>
      <c r="C87" s="16" t="n">
        <f aca="false">COUNTIFS('ربط المحطة بالشريك'!$E$2:$E$355,A87,'ربط المحطة بالشريك'!$D$2:$D$355,B87)</f>
        <v>1</v>
      </c>
      <c r="D87" s="9" t="s">
        <v>549</v>
      </c>
    </row>
    <row r="88" customFormat="false" ht="15" hidden="false" customHeight="false" outlineLevel="0" collapsed="false">
      <c r="A88" s="16" t="s">
        <v>458</v>
      </c>
      <c r="B88" s="16" t="s">
        <v>15</v>
      </c>
      <c r="C88" s="16" t="n">
        <f aca="false">COUNTIFS('ربط المحطة بالشريك'!$E$2:$E$355,A88,'ربط المحطة بالشريك'!$D$2:$D$355,B88)</f>
        <v>1</v>
      </c>
      <c r="D88" s="9" t="s">
        <v>546</v>
      </c>
    </row>
    <row r="89" customFormat="false" ht="15" hidden="false" customHeight="false" outlineLevel="0" collapsed="false">
      <c r="A89" s="16" t="s">
        <v>452</v>
      </c>
      <c r="B89" s="16" t="s">
        <v>15</v>
      </c>
      <c r="C89" s="16" t="n">
        <f aca="false">COUNTIFS('ربط المحطة بالشريك'!$E$2:$E$355,A89,'ربط المحطة بالشريك'!$D$2:$D$355,B89)</f>
        <v>1</v>
      </c>
      <c r="D89" s="9" t="s">
        <v>543</v>
      </c>
    </row>
    <row r="90" customFormat="false" ht="15" hidden="false" customHeight="false" outlineLevel="0" collapsed="false">
      <c r="A90" s="16" t="s">
        <v>408</v>
      </c>
      <c r="B90" s="16" t="s">
        <v>15</v>
      </c>
      <c r="C90" s="16" t="n">
        <f aca="false">COUNTIFS('ربط المحطة بالشريك'!$E$2:$E$355,A90,'ربط المحطة بالشريك'!$D$2:$D$355,B90)</f>
        <v>1</v>
      </c>
      <c r="D90" s="9" t="s">
        <v>538</v>
      </c>
    </row>
    <row r="91" customFormat="false" ht="15" hidden="false" customHeight="false" outlineLevel="0" collapsed="false">
      <c r="A91" s="16" t="s">
        <v>361</v>
      </c>
      <c r="B91" s="16" t="s">
        <v>15</v>
      </c>
      <c r="C91" s="16" t="n">
        <f aca="false">COUNTIFS('ربط المحطة بالشريك'!$E$2:$E$355,A91,'ربط المحطة بالشريك'!$D$2:$D$355,B91)</f>
        <v>1</v>
      </c>
      <c r="D91" s="9" t="s">
        <v>549</v>
      </c>
    </row>
    <row r="92" customFormat="false" ht="15" hidden="false" customHeight="false" outlineLevel="0" collapsed="false">
      <c r="A92" s="16" t="s">
        <v>369</v>
      </c>
      <c r="B92" s="16" t="s">
        <v>15</v>
      </c>
      <c r="C92" s="16" t="n">
        <f aca="false">COUNTIFS('ربط المحطة بالشريك'!$E$2:$E$355,A92,'ربط المحطة بالشريك'!$D$2:$D$355,B92)</f>
        <v>1</v>
      </c>
      <c r="D92" s="9" t="s">
        <v>549</v>
      </c>
    </row>
    <row r="93" customFormat="false" ht="15" hidden="false" customHeight="false" outlineLevel="0" collapsed="false">
      <c r="A93" s="16" t="s">
        <v>370</v>
      </c>
      <c r="B93" s="16" t="s">
        <v>15</v>
      </c>
      <c r="C93" s="16" t="n">
        <f aca="false">COUNTIFS('ربط المحطة بالشريك'!$E$2:$E$355,A93,'ربط المحطة بالشريك'!$D$2:$D$355,B93)</f>
        <v>1</v>
      </c>
      <c r="D93" s="9" t="s">
        <v>549</v>
      </c>
    </row>
    <row r="94" customFormat="false" ht="15" hidden="false" customHeight="false" outlineLevel="0" collapsed="false">
      <c r="A94" s="16" t="s">
        <v>406</v>
      </c>
      <c r="B94" s="16" t="s">
        <v>15</v>
      </c>
      <c r="C94" s="16" t="n">
        <f aca="false">COUNTIFS('ربط المحطة بالشريك'!$E$2:$E$355,A94,'ربط المحطة بالشريك'!$D$2:$D$355,B94)</f>
        <v>1</v>
      </c>
      <c r="D94" s="9" t="s">
        <v>538</v>
      </c>
    </row>
    <row r="95" customFormat="false" ht="15" hidden="false" customHeight="false" outlineLevel="0" collapsed="false">
      <c r="A95" s="16" t="s">
        <v>405</v>
      </c>
      <c r="B95" s="16" t="s">
        <v>15</v>
      </c>
      <c r="C95" s="16" t="n">
        <f aca="false">COUNTIFS('ربط المحطة بالشريك'!$E$2:$E$355,A95,'ربط المحطة بالشريك'!$D$2:$D$355,B95)</f>
        <v>1</v>
      </c>
      <c r="D95" s="9" t="s">
        <v>538</v>
      </c>
    </row>
    <row r="96" customFormat="false" ht="15" hidden="false" customHeight="false" outlineLevel="0" collapsed="false">
      <c r="A96" s="16" t="s">
        <v>402</v>
      </c>
      <c r="B96" s="16" t="s">
        <v>15</v>
      </c>
      <c r="C96" s="16" t="n">
        <f aca="false">COUNTIFS('ربط المحطة بالشريك'!$E$2:$E$355,A96,'ربط المحطة بالشريك'!$D$2:$D$355,B96)</f>
        <v>1</v>
      </c>
      <c r="D96" s="9" t="s">
        <v>538</v>
      </c>
    </row>
    <row r="97" customFormat="false" ht="15" hidden="false" customHeight="false" outlineLevel="0" collapsed="false">
      <c r="A97" s="16" t="s">
        <v>375</v>
      </c>
      <c r="B97" s="16" t="s">
        <v>15</v>
      </c>
      <c r="C97" s="16" t="n">
        <f aca="false">COUNTIFS('ربط المحطة بالشريك'!$E$2:$E$355,A97,'ربط المحطة بالشريك'!$D$2:$D$355,B97)</f>
        <v>1</v>
      </c>
      <c r="D97" s="9" t="s">
        <v>549</v>
      </c>
    </row>
    <row r="98" customFormat="false" ht="15" hidden="false" customHeight="false" outlineLevel="0" collapsed="false">
      <c r="A98" s="16" t="s">
        <v>396</v>
      </c>
      <c r="B98" s="16" t="s">
        <v>15</v>
      </c>
      <c r="C98" s="16" t="n">
        <f aca="false">COUNTIFS('ربط المحطة بالشريك'!$E$2:$E$355,A98,'ربط المحطة بالشريك'!$D$2:$D$355,B98)</f>
        <v>1</v>
      </c>
      <c r="D98" s="9" t="s">
        <v>538</v>
      </c>
    </row>
    <row r="99" customFormat="false" ht="15" hidden="false" customHeight="false" outlineLevel="0" collapsed="false">
      <c r="A99" s="16" t="s">
        <v>376</v>
      </c>
      <c r="B99" s="16" t="s">
        <v>15</v>
      </c>
      <c r="C99" s="16" t="n">
        <f aca="false">COUNTIFS('ربط المحطة بالشريك'!$E$2:$E$355,A99,'ربط المحطة بالشريك'!$D$2:$D$355,B99)</f>
        <v>1</v>
      </c>
      <c r="D99" s="9" t="s">
        <v>549</v>
      </c>
    </row>
    <row r="100" customFormat="false" ht="15" hidden="false" customHeight="false" outlineLevel="0" collapsed="false">
      <c r="A100" s="16" t="s">
        <v>421</v>
      </c>
      <c r="B100" s="16" t="s">
        <v>15</v>
      </c>
      <c r="C100" s="16" t="n">
        <f aca="false">COUNTIFS('ربط المحطة بالشريك'!$E$2:$E$355,A100,'ربط المحطة بالشريك'!$D$2:$D$355,B100)</f>
        <v>1</v>
      </c>
      <c r="D100" s="9" t="s">
        <v>559</v>
      </c>
    </row>
    <row r="101" customFormat="false" ht="15" hidden="false" customHeight="false" outlineLevel="0" collapsed="false">
      <c r="A101" s="16" t="s">
        <v>460</v>
      </c>
      <c r="B101" s="16" t="s">
        <v>15</v>
      </c>
      <c r="C101" s="16" t="n">
        <f aca="false">COUNTIFS('ربط المحطة بالشريك'!$E$2:$E$355,A101,'ربط المحطة بالشريك'!$D$2:$D$355,B101)</f>
        <v>1</v>
      </c>
      <c r="D101" s="9" t="s">
        <v>560</v>
      </c>
    </row>
    <row r="102" customFormat="false" ht="15" hidden="false" customHeight="false" outlineLevel="0" collapsed="false">
      <c r="A102" s="16" t="s">
        <v>399</v>
      </c>
      <c r="B102" s="16" t="s">
        <v>15</v>
      </c>
      <c r="C102" s="16" t="n">
        <f aca="false">COUNTIFS('ربط المحطة بالشريك'!$E$2:$E$355,A102,'ربط المحطة بالشريك'!$D$2:$D$355,B102)</f>
        <v>1</v>
      </c>
      <c r="D102" s="9" t="s">
        <v>538</v>
      </c>
    </row>
    <row r="103" customFormat="false" ht="15" hidden="false" customHeight="false" outlineLevel="0" collapsed="false">
      <c r="A103" s="16" t="s">
        <v>374</v>
      </c>
      <c r="B103" s="16" t="s">
        <v>15</v>
      </c>
      <c r="C103" s="16" t="n">
        <f aca="false">COUNTIFS('ربط المحطة بالشريك'!$E$2:$E$355,A103,'ربط المحطة بالشريك'!$D$2:$D$355,B103)</f>
        <v>1</v>
      </c>
      <c r="D103" s="9" t="s">
        <v>549</v>
      </c>
    </row>
    <row r="104" customFormat="false" ht="15" hidden="false" customHeight="false" outlineLevel="0" collapsed="false">
      <c r="A104" s="16" t="s">
        <v>409</v>
      </c>
      <c r="B104" s="16" t="s">
        <v>15</v>
      </c>
      <c r="C104" s="16" t="n">
        <f aca="false">COUNTIFS('ربط المحطة بالشريك'!$E$2:$E$355,A104,'ربط المحطة بالشريك'!$D$2:$D$355,B104)</f>
        <v>1</v>
      </c>
      <c r="D104" s="9" t="s">
        <v>538</v>
      </c>
    </row>
    <row r="105" customFormat="false" ht="15" hidden="false" customHeight="false" outlineLevel="0" collapsed="false">
      <c r="A105" s="16" t="s">
        <v>368</v>
      </c>
      <c r="B105" s="16" t="s">
        <v>15</v>
      </c>
      <c r="C105" s="16" t="n">
        <f aca="false">COUNTIFS('ربط المحطة بالشريك'!$E$2:$E$355,A105,'ربط المحطة بالشريك'!$D$2:$D$355,B105)</f>
        <v>1</v>
      </c>
      <c r="D105" s="9" t="s">
        <v>549</v>
      </c>
    </row>
    <row r="106" customFormat="false" ht="15" hidden="false" customHeight="false" outlineLevel="0" collapsed="false">
      <c r="A106" s="16" t="s">
        <v>159</v>
      </c>
      <c r="B106" s="16" t="s">
        <v>15</v>
      </c>
      <c r="C106" s="16" t="n">
        <f aca="false">COUNTIFS('ربط المحطة بالشريك'!$E$2:$E$355,A106,'ربط المحطة بالشريك'!$D$2:$D$355,B106)</f>
        <v>1</v>
      </c>
      <c r="D106" s="9" t="s">
        <v>556</v>
      </c>
    </row>
    <row r="107" customFormat="false" ht="15" hidden="false" customHeight="false" outlineLevel="0" collapsed="false">
      <c r="A107" s="16" t="s">
        <v>447</v>
      </c>
      <c r="B107" s="16" t="s">
        <v>15</v>
      </c>
      <c r="C107" s="16" t="n">
        <f aca="false">COUNTIFS('ربط المحطة بالشريك'!$E$2:$E$355,A107,'ربط المحطة بالشريك'!$D$2:$D$355,B107)</f>
        <v>1</v>
      </c>
      <c r="D107" s="9" t="s">
        <v>545</v>
      </c>
    </row>
    <row r="108" customFormat="false" ht="15" hidden="false" customHeight="false" outlineLevel="0" collapsed="false">
      <c r="A108" s="16" t="s">
        <v>271</v>
      </c>
      <c r="B108" s="16" t="s">
        <v>15</v>
      </c>
      <c r="C108" s="16" t="n">
        <f aca="false">COUNTIFS('ربط المحطة بالشريك'!$E$2:$E$355,A108,'ربط المحطة بالشريك'!$D$2:$D$355,B108)</f>
        <v>1</v>
      </c>
      <c r="D108" s="9" t="s">
        <v>561</v>
      </c>
    </row>
    <row r="109" customFormat="false" ht="15" hidden="false" customHeight="false" outlineLevel="0" collapsed="false">
      <c r="A109" s="16" t="s">
        <v>444</v>
      </c>
      <c r="B109" s="16" t="s">
        <v>15</v>
      </c>
      <c r="C109" s="16" t="n">
        <f aca="false">COUNTIFS('ربط المحطة بالشريك'!$E$2:$E$355,A109,'ربط المحطة بالشريك'!$D$2:$D$355,B109)</f>
        <v>1</v>
      </c>
      <c r="D109" s="9" t="s">
        <v>562</v>
      </c>
    </row>
    <row r="110" customFormat="false" ht="15" hidden="false" customHeight="false" outlineLevel="0" collapsed="false">
      <c r="A110" s="16" t="s">
        <v>373</v>
      </c>
      <c r="B110" s="16" t="s">
        <v>15</v>
      </c>
      <c r="C110" s="16" t="n">
        <f aca="false">COUNTIFS('ربط المحطة بالشريك'!$E$2:$E$355,A110,'ربط المحطة بالشريك'!$D$2:$D$355,B110)</f>
        <v>1</v>
      </c>
      <c r="D110" s="9" t="s">
        <v>549</v>
      </c>
    </row>
    <row r="111" customFormat="false" ht="15" hidden="false" customHeight="false" outlineLevel="0" collapsed="false">
      <c r="A111" s="16" t="s">
        <v>48</v>
      </c>
      <c r="B111" s="16" t="s">
        <v>15</v>
      </c>
      <c r="C111" s="16" t="n">
        <f aca="false">COUNTIFS('ربط المحطة بالشريك'!$E$2:$E$355,A111,'ربط المحطة بالشريك'!$D$2:$D$355,B111)</f>
        <v>1</v>
      </c>
      <c r="D111" s="9" t="s">
        <v>563</v>
      </c>
    </row>
    <row r="112" customFormat="false" ht="15" hidden="false" customHeight="false" outlineLevel="0" collapsed="false">
      <c r="A112" s="16" t="s">
        <v>401</v>
      </c>
      <c r="B112" s="16" t="s">
        <v>15</v>
      </c>
      <c r="C112" s="16" t="n">
        <f aca="false">COUNTIFS('ربط المحطة بالشريك'!$E$2:$E$355,A112,'ربط المحطة بالشريك'!$D$2:$D$355,B112)</f>
        <v>1</v>
      </c>
      <c r="D112" s="9" t="s">
        <v>538</v>
      </c>
    </row>
    <row r="113" customFormat="false" ht="15" hidden="false" customHeight="false" outlineLevel="0" collapsed="false">
      <c r="A113" s="16" t="s">
        <v>380</v>
      </c>
      <c r="B113" s="16" t="s">
        <v>15</v>
      </c>
      <c r="C113" s="16" t="n">
        <f aca="false">COUNTIFS('ربط المحطة بالشريك'!$E$2:$E$355,A113,'ربط المحطة بالشريك'!$D$2:$D$355,B113)</f>
        <v>1</v>
      </c>
      <c r="D113" s="9" t="s">
        <v>549</v>
      </c>
    </row>
    <row r="114" customFormat="false" ht="15" hidden="false" customHeight="false" outlineLevel="0" collapsed="false">
      <c r="A114" s="16" t="s">
        <v>377</v>
      </c>
      <c r="B114" s="16" t="s">
        <v>15</v>
      </c>
      <c r="C114" s="16" t="n">
        <f aca="false">COUNTIFS('ربط المحطة بالشريك'!$E$2:$E$355,A114,'ربط المحطة بالشريك'!$D$2:$D$355,B114)</f>
        <v>1</v>
      </c>
      <c r="D114" s="9" t="s">
        <v>549</v>
      </c>
    </row>
    <row r="115" customFormat="false" ht="15" hidden="false" customHeight="false" outlineLevel="0" collapsed="false">
      <c r="A115" s="16" t="s">
        <v>459</v>
      </c>
      <c r="B115" s="16" t="s">
        <v>15</v>
      </c>
      <c r="C115" s="16" t="n">
        <f aca="false">COUNTIFS('ربط المحطة بالشريك'!$E$2:$E$355,A115,'ربط المحطة بالشريك'!$D$2:$D$355,B115)</f>
        <v>1</v>
      </c>
      <c r="D115" s="9" t="s">
        <v>560</v>
      </c>
    </row>
    <row r="116" customFormat="false" ht="15" hidden="false" customHeight="false" outlineLevel="0" collapsed="false">
      <c r="A116" s="16" t="s">
        <v>379</v>
      </c>
      <c r="B116" s="16" t="s">
        <v>15</v>
      </c>
      <c r="C116" s="16" t="n">
        <f aca="false">COUNTIFS('ربط المحطة بالشريك'!$E$2:$E$355,A116,'ربط المحطة بالشريك'!$D$2:$D$355,B116)</f>
        <v>1</v>
      </c>
      <c r="D116" s="9" t="s">
        <v>549</v>
      </c>
    </row>
    <row r="117" customFormat="false" ht="15" hidden="false" customHeight="false" outlineLevel="0" collapsed="false">
      <c r="A117" s="16" t="s">
        <v>475</v>
      </c>
      <c r="B117" s="16" t="s">
        <v>16</v>
      </c>
      <c r="C117" s="16" t="n">
        <f aca="false">COUNTIFS('ربط المحطة بالشريك'!$E$2:$E$355,A117,'ربط المحطة بالشريك'!$D$2:$D$355,B117)</f>
        <v>1</v>
      </c>
      <c r="D117" s="9" t="s">
        <v>564</v>
      </c>
    </row>
    <row r="118" customFormat="false" ht="15" hidden="false" customHeight="false" outlineLevel="0" collapsed="false">
      <c r="A118" s="16" t="s">
        <v>487</v>
      </c>
      <c r="B118" s="16" t="s">
        <v>16</v>
      </c>
      <c r="C118" s="16" t="n">
        <f aca="false">COUNTIFS('ربط المحطة بالشريك'!$E$2:$E$355,A118,'ربط المحطة بالشريك'!$D$2:$D$355,B118)</f>
        <v>1</v>
      </c>
      <c r="D118" s="9" t="s">
        <v>553</v>
      </c>
    </row>
    <row r="119" customFormat="false" ht="15" hidden="false" customHeight="false" outlineLevel="0" collapsed="false">
      <c r="A119" s="16" t="s">
        <v>300</v>
      </c>
      <c r="B119" s="16" t="s">
        <v>16</v>
      </c>
      <c r="C119" s="16" t="n">
        <f aca="false">COUNTIFS('ربط المحطة بالشريك'!$E$2:$E$355,A119,'ربط المحطة بالشريك'!$D$2:$D$355,B119)</f>
        <v>1</v>
      </c>
      <c r="D119" s="9" t="s">
        <v>565</v>
      </c>
    </row>
    <row r="120" customFormat="false" ht="15" hidden="false" customHeight="false" outlineLevel="0" collapsed="false">
      <c r="A120" s="16" t="s">
        <v>426</v>
      </c>
      <c r="B120" s="16" t="s">
        <v>16</v>
      </c>
      <c r="C120" s="16" t="n">
        <f aca="false">COUNTIFS('ربط المحطة بالشريك'!$E$2:$E$355,A120,'ربط المحطة بالشريك'!$D$2:$D$355,B120)</f>
        <v>1</v>
      </c>
      <c r="D120" s="9" t="s">
        <v>563</v>
      </c>
    </row>
    <row r="121" customFormat="false" ht="15" hidden="false" customHeight="false" outlineLevel="0" collapsed="false">
      <c r="A121" s="16" t="s">
        <v>383</v>
      </c>
      <c r="B121" s="16" t="s">
        <v>16</v>
      </c>
      <c r="C121" s="16" t="n">
        <f aca="false">COUNTIFS('ربط المحطة بالشريك'!$E$2:$E$355,A121,'ربط المحطة بالشريك'!$D$2:$D$355,B121)</f>
        <v>1</v>
      </c>
      <c r="D121" s="9" t="s">
        <v>549</v>
      </c>
    </row>
    <row r="122" customFormat="false" ht="15" hidden="false" customHeight="false" outlineLevel="0" collapsed="false">
      <c r="A122" s="16" t="s">
        <v>390</v>
      </c>
      <c r="B122" s="16" t="s">
        <v>16</v>
      </c>
      <c r="C122" s="16" t="n">
        <f aca="false">COUNTIFS('ربط المحطة بالشريك'!$E$2:$E$355,A122,'ربط المحطة بالشريك'!$D$2:$D$355,B122)</f>
        <v>1</v>
      </c>
      <c r="D122" s="9" t="s">
        <v>549</v>
      </c>
    </row>
    <row r="123" customFormat="false" ht="15" hidden="false" customHeight="false" outlineLevel="0" collapsed="false">
      <c r="A123" s="16" t="s">
        <v>436</v>
      </c>
      <c r="B123" s="16" t="s">
        <v>16</v>
      </c>
      <c r="C123" s="16" t="n">
        <f aca="false">COUNTIFS('ربط المحطة بالشريك'!$E$2:$E$355,A123,'ربط المحطة بالشريك'!$D$2:$D$355,B123)</f>
        <v>1</v>
      </c>
      <c r="D123" s="9" t="s">
        <v>566</v>
      </c>
    </row>
    <row r="124" customFormat="false" ht="15" hidden="false" customHeight="false" outlineLevel="0" collapsed="false">
      <c r="A124" s="16" t="s">
        <v>431</v>
      </c>
      <c r="B124" s="16" t="s">
        <v>16</v>
      </c>
      <c r="C124" s="16" t="n">
        <f aca="false">COUNTIFS('ربط المحطة بالشريك'!$E$2:$E$355,A124,'ربط المحطة بالشريك'!$D$2:$D$355,B124)</f>
        <v>1</v>
      </c>
      <c r="D124" s="9" t="s">
        <v>567</v>
      </c>
    </row>
    <row r="125" customFormat="false" ht="15" hidden="false" customHeight="false" outlineLevel="0" collapsed="false">
      <c r="A125" s="16" t="s">
        <v>295</v>
      </c>
      <c r="B125" s="16" t="s">
        <v>16</v>
      </c>
      <c r="C125" s="16" t="n">
        <f aca="false">COUNTIFS('ربط المحطة بالشريك'!$E$2:$E$355,A125,'ربط المحطة بالشريك'!$D$2:$D$355,B125)</f>
        <v>1</v>
      </c>
      <c r="D125" s="9" t="s">
        <v>548</v>
      </c>
    </row>
    <row r="126" customFormat="false" ht="15" hidden="false" customHeight="false" outlineLevel="0" collapsed="false">
      <c r="A126" s="16" t="s">
        <v>416</v>
      </c>
      <c r="B126" s="16" t="s">
        <v>16</v>
      </c>
      <c r="C126" s="16" t="n">
        <f aca="false">COUNTIFS('ربط المحطة بالشريك'!$E$2:$E$355,A126,'ربط المحطة بالشريك'!$D$2:$D$355,B126)</f>
        <v>1</v>
      </c>
      <c r="D126" s="9" t="s">
        <v>538</v>
      </c>
    </row>
    <row r="127" customFormat="false" ht="15" hidden="false" customHeight="false" outlineLevel="0" collapsed="false">
      <c r="A127" s="16" t="s">
        <v>443</v>
      </c>
      <c r="B127" s="16" t="s">
        <v>16</v>
      </c>
      <c r="C127" s="16" t="n">
        <f aca="false">COUNTIFS('ربط المحطة بالشريك'!$E$2:$E$355,A127,'ربط المحطة بالشريك'!$D$2:$D$355,B127)</f>
        <v>1</v>
      </c>
      <c r="D127" s="9" t="s">
        <v>553</v>
      </c>
    </row>
    <row r="128" customFormat="false" ht="15" hidden="false" customHeight="false" outlineLevel="0" collapsed="false">
      <c r="A128" s="16" t="s">
        <v>388</v>
      </c>
      <c r="B128" s="16" t="s">
        <v>16</v>
      </c>
      <c r="C128" s="16" t="n">
        <f aca="false">COUNTIFS('ربط المحطة بالشريك'!$E$2:$E$355,A128,'ربط المحطة بالشريك'!$D$2:$D$355,B128)</f>
        <v>1</v>
      </c>
      <c r="D128" s="9" t="s">
        <v>549</v>
      </c>
    </row>
    <row r="129" customFormat="false" ht="15" hidden="false" customHeight="false" outlineLevel="0" collapsed="false">
      <c r="A129" s="16" t="s">
        <v>472</v>
      </c>
      <c r="B129" s="16" t="s">
        <v>16</v>
      </c>
      <c r="C129" s="16" t="n">
        <f aca="false">COUNTIFS('ربط المحطة بالشريك'!$E$2:$E$355,A129,'ربط المحطة بالشريك'!$D$2:$D$355,B129)</f>
        <v>1</v>
      </c>
      <c r="D129" s="9" t="s">
        <v>559</v>
      </c>
    </row>
    <row r="130" customFormat="false" ht="15" hidden="false" customHeight="false" outlineLevel="0" collapsed="false">
      <c r="A130" s="16" t="s">
        <v>88</v>
      </c>
      <c r="B130" s="16" t="s">
        <v>16</v>
      </c>
      <c r="C130" s="16" t="n">
        <f aca="false">COUNTIFS('ربط المحطة بالشريك'!$E$2:$E$355,A130,'ربط المحطة بالشريك'!$D$2:$D$355,B130)</f>
        <v>1</v>
      </c>
      <c r="D130" s="9" t="s">
        <v>568</v>
      </c>
    </row>
    <row r="131" customFormat="false" ht="15" hidden="false" customHeight="false" outlineLevel="0" collapsed="false">
      <c r="A131" s="16" t="s">
        <v>153</v>
      </c>
      <c r="B131" s="16" t="s">
        <v>16</v>
      </c>
      <c r="C131" s="16" t="n">
        <f aca="false">COUNTIFS('ربط المحطة بالشريك'!$E$2:$E$355,A131,'ربط المحطة بالشريك'!$D$2:$D$355,B131)</f>
        <v>1</v>
      </c>
      <c r="D131" s="9" t="s">
        <v>569</v>
      </c>
    </row>
    <row r="132" customFormat="false" ht="15" hidden="false" customHeight="false" outlineLevel="0" collapsed="false">
      <c r="A132" s="16" t="s">
        <v>468</v>
      </c>
      <c r="B132" s="16" t="s">
        <v>16</v>
      </c>
      <c r="C132" s="16" t="n">
        <f aca="false">COUNTIFS('ربط المحطة بالشريك'!$E$2:$E$355,A132,'ربط المحطة بالشريك'!$D$2:$D$355,B132)</f>
        <v>1</v>
      </c>
      <c r="D132" s="9" t="s">
        <v>547</v>
      </c>
    </row>
    <row r="133" customFormat="false" ht="15" hidden="false" customHeight="false" outlineLevel="0" collapsed="false">
      <c r="A133" s="16" t="s">
        <v>427</v>
      </c>
      <c r="B133" s="16" t="s">
        <v>16</v>
      </c>
      <c r="C133" s="16" t="n">
        <f aca="false">COUNTIFS('ربط المحطة بالشريك'!$E$2:$E$355,A133,'ربط المحطة بالشريك'!$D$2:$D$355,B133)</f>
        <v>1</v>
      </c>
      <c r="D133" s="9" t="s">
        <v>563</v>
      </c>
    </row>
    <row r="134" customFormat="false" ht="15" hidden="false" customHeight="false" outlineLevel="0" collapsed="false">
      <c r="A134" s="16" t="s">
        <v>382</v>
      </c>
      <c r="B134" s="16" t="s">
        <v>16</v>
      </c>
      <c r="C134" s="16" t="n">
        <f aca="false">COUNTIFS('ربط المحطة بالشريك'!$E$2:$E$355,A134,'ربط المحطة بالشريك'!$D$2:$D$355,B134)</f>
        <v>1</v>
      </c>
      <c r="D134" s="9" t="s">
        <v>549</v>
      </c>
    </row>
    <row r="135" customFormat="false" ht="15" hidden="false" customHeight="false" outlineLevel="0" collapsed="false">
      <c r="A135" s="16" t="s">
        <v>386</v>
      </c>
      <c r="B135" s="16" t="s">
        <v>16</v>
      </c>
      <c r="C135" s="16" t="n">
        <f aca="false">COUNTIFS('ربط المحطة بالشريك'!$E$2:$E$355,A135,'ربط المحطة بالشريك'!$D$2:$D$355,B135)</f>
        <v>1</v>
      </c>
      <c r="D135" s="9" t="s">
        <v>549</v>
      </c>
    </row>
    <row r="136" customFormat="false" ht="15" hidden="false" customHeight="false" outlineLevel="0" collapsed="false">
      <c r="A136" s="16" t="s">
        <v>223</v>
      </c>
      <c r="B136" s="16" t="s">
        <v>16</v>
      </c>
      <c r="C136" s="16" t="n">
        <f aca="false">COUNTIFS('ربط المحطة بالشريك'!$E$2:$E$355,A136,'ربط المحطة بالشريك'!$D$2:$D$355,B136)</f>
        <v>1</v>
      </c>
      <c r="D136" s="9" t="s">
        <v>570</v>
      </c>
    </row>
    <row r="137" customFormat="false" ht="15" hidden="false" customHeight="false" outlineLevel="0" collapsed="false">
      <c r="A137" s="16" t="s">
        <v>457</v>
      </c>
      <c r="B137" s="16" t="s">
        <v>16</v>
      </c>
      <c r="C137" s="16" t="n">
        <f aca="false">COUNTIFS('ربط المحطة بالشريك'!$E$2:$E$355,A137,'ربط المحطة بالشريك'!$D$2:$D$355,B137)</f>
        <v>1</v>
      </c>
      <c r="D137" s="9" t="s">
        <v>571</v>
      </c>
    </row>
    <row r="138" customFormat="false" ht="15" hidden="false" customHeight="false" outlineLevel="0" collapsed="false">
      <c r="A138" s="16" t="s">
        <v>393</v>
      </c>
      <c r="B138" s="16" t="s">
        <v>16</v>
      </c>
      <c r="C138" s="16" t="n">
        <f aca="false">COUNTIFS('ربط المحطة بالشريك'!$E$2:$E$355,A138,'ربط المحطة بالشريك'!$D$2:$D$355,B138)</f>
        <v>1</v>
      </c>
      <c r="D138" s="9" t="s">
        <v>549</v>
      </c>
    </row>
    <row r="139" customFormat="false" ht="15" hidden="false" customHeight="false" outlineLevel="0" collapsed="false">
      <c r="A139" s="16" t="s">
        <v>392</v>
      </c>
      <c r="B139" s="16" t="s">
        <v>16</v>
      </c>
      <c r="C139" s="16" t="n">
        <f aca="false">COUNTIFS('ربط المحطة بالشريك'!$E$2:$E$355,A139,'ربط المحطة بالشريك'!$D$2:$D$355,B139)</f>
        <v>1</v>
      </c>
      <c r="D139" s="9" t="s">
        <v>549</v>
      </c>
    </row>
    <row r="140" customFormat="false" ht="15" hidden="false" customHeight="false" outlineLevel="0" collapsed="false">
      <c r="A140" s="16" t="s">
        <v>473</v>
      </c>
      <c r="B140" s="16" t="s">
        <v>16</v>
      </c>
      <c r="C140" s="16" t="n">
        <f aca="false">COUNTIFS('ربط المحطة بالشريك'!$E$2:$E$355,A140,'ربط المحطة بالشريك'!$D$2:$D$355,B140)</f>
        <v>1</v>
      </c>
      <c r="D140" s="9" t="s">
        <v>559</v>
      </c>
    </row>
    <row r="141" customFormat="false" ht="15" hidden="false" customHeight="false" outlineLevel="0" collapsed="false">
      <c r="A141" s="16" t="s">
        <v>492</v>
      </c>
      <c r="B141" s="16" t="s">
        <v>16</v>
      </c>
      <c r="C141" s="16" t="n">
        <f aca="false">COUNTIFS('ربط المحطة بالشريك'!$E$2:$E$355,A141,'ربط المحطة بالشريك'!$D$2:$D$355,B141)</f>
        <v>1</v>
      </c>
      <c r="D141" s="9" t="s">
        <v>572</v>
      </c>
    </row>
    <row r="142" customFormat="false" ht="15" hidden="false" customHeight="false" outlineLevel="0" collapsed="false">
      <c r="A142" s="16" t="s">
        <v>461</v>
      </c>
      <c r="B142" s="16" t="s">
        <v>16</v>
      </c>
      <c r="C142" s="16" t="n">
        <f aca="false">COUNTIFS('ربط المحطة بالشريك'!$E$2:$E$355,A142,'ربط المحطة بالشريك'!$D$2:$D$355,B142)</f>
        <v>1</v>
      </c>
      <c r="D142" s="9" t="s">
        <v>573</v>
      </c>
    </row>
    <row r="143" customFormat="false" ht="15" hidden="false" customHeight="false" outlineLevel="0" collapsed="false">
      <c r="A143" s="16" t="s">
        <v>414</v>
      </c>
      <c r="B143" s="16" t="s">
        <v>16</v>
      </c>
      <c r="C143" s="16" t="n">
        <f aca="false">COUNTIFS('ربط المحطة بالشريك'!$E$2:$E$355,A143,'ربط المحطة بالشريك'!$D$2:$D$355,B143)</f>
        <v>1</v>
      </c>
      <c r="D143" s="9" t="s">
        <v>538</v>
      </c>
    </row>
    <row r="144" customFormat="false" ht="15" hidden="false" customHeight="false" outlineLevel="0" collapsed="false">
      <c r="A144" s="16" t="s">
        <v>164</v>
      </c>
      <c r="B144" s="16" t="s">
        <v>16</v>
      </c>
      <c r="C144" s="16" t="n">
        <f aca="false">COUNTIFS('ربط المحطة بالشريك'!$E$2:$E$355,A144,'ربط المحطة بالشريك'!$D$2:$D$355,B144)</f>
        <v>1</v>
      </c>
      <c r="D144" s="9" t="s">
        <v>574</v>
      </c>
    </row>
    <row r="145" customFormat="false" ht="15" hidden="false" customHeight="false" outlineLevel="0" collapsed="false">
      <c r="A145" s="16" t="s">
        <v>250</v>
      </c>
      <c r="B145" s="16" t="s">
        <v>16</v>
      </c>
      <c r="C145" s="16" t="n">
        <f aca="false">COUNTIFS('ربط المحطة بالشريك'!$E$2:$E$355,A145,'ربط المحطة بالشريك'!$D$2:$D$355,B145)</f>
        <v>1</v>
      </c>
      <c r="D145" s="9" t="s">
        <v>552</v>
      </c>
    </row>
    <row r="146" customFormat="false" ht="15" hidden="false" customHeight="false" outlineLevel="0" collapsed="false">
      <c r="A146" s="16" t="s">
        <v>308</v>
      </c>
      <c r="B146" s="16" t="s">
        <v>16</v>
      </c>
      <c r="C146" s="16" t="n">
        <f aca="false">COUNTIFS('ربط المحطة بالشريك'!$E$2:$E$355,A146,'ربط المحطة بالشريك'!$D$2:$D$355,B146)</f>
        <v>1</v>
      </c>
      <c r="D146" s="9" t="s">
        <v>575</v>
      </c>
    </row>
    <row r="147" customFormat="false" ht="15" hidden="false" customHeight="false" outlineLevel="0" collapsed="false">
      <c r="A147" s="16" t="s">
        <v>185</v>
      </c>
      <c r="B147" s="16" t="s">
        <v>16</v>
      </c>
      <c r="C147" s="16" t="n">
        <f aca="false">COUNTIFS('ربط المحطة بالشريك'!$E$2:$E$355,A147,'ربط المحطة بالشريك'!$D$2:$D$355,B147)</f>
        <v>1</v>
      </c>
      <c r="D147" s="9" t="s">
        <v>550</v>
      </c>
    </row>
    <row r="148" customFormat="false" ht="15" hidden="false" customHeight="false" outlineLevel="0" collapsed="false">
      <c r="A148" s="16" t="s">
        <v>464</v>
      </c>
      <c r="B148" s="16" t="s">
        <v>16</v>
      </c>
      <c r="C148" s="16" t="n">
        <f aca="false">COUNTIFS('ربط المحطة بالشريك'!$E$2:$E$355,A148,'ربط المحطة بالشريك'!$D$2:$D$355,B148)</f>
        <v>1</v>
      </c>
      <c r="D148" s="9" t="s">
        <v>556</v>
      </c>
    </row>
    <row r="149" customFormat="false" ht="15" hidden="false" customHeight="false" outlineLevel="0" collapsed="false">
      <c r="A149" s="16" t="s">
        <v>474</v>
      </c>
      <c r="B149" s="16" t="s">
        <v>16</v>
      </c>
      <c r="C149" s="16" t="n">
        <f aca="false">COUNTIFS('ربط المحطة بالشريك'!$E$2:$E$355,A149,'ربط المحطة بالشريك'!$D$2:$D$355,B149)</f>
        <v>1</v>
      </c>
      <c r="D149" s="9" t="s">
        <v>564</v>
      </c>
    </row>
    <row r="150" customFormat="false" ht="15" hidden="false" customHeight="false" outlineLevel="0" collapsed="false">
      <c r="A150" s="16" t="s">
        <v>180</v>
      </c>
      <c r="B150" s="16" t="s">
        <v>16</v>
      </c>
      <c r="C150" s="16" t="n">
        <f aca="false">COUNTIFS('ربط المحطة بالشريك'!$E$2:$E$355,A150,'ربط المحطة بالشريك'!$D$2:$D$355,B150)</f>
        <v>1</v>
      </c>
      <c r="D150" s="9" t="s">
        <v>551</v>
      </c>
    </row>
    <row r="151" customFormat="false" ht="15" hidden="false" customHeight="false" outlineLevel="0" collapsed="false">
      <c r="A151" s="16" t="s">
        <v>462</v>
      </c>
      <c r="B151" s="16" t="s">
        <v>16</v>
      </c>
      <c r="C151" s="16" t="n">
        <f aca="false">COUNTIFS('ربط المحطة بالشريك'!$E$2:$E$355,A151,'ربط المحطة بالشريك'!$D$2:$D$355,B151)</f>
        <v>1</v>
      </c>
      <c r="D151" s="9" t="s">
        <v>556</v>
      </c>
    </row>
    <row r="152" customFormat="false" ht="15" hidden="false" customHeight="false" outlineLevel="0" collapsed="false">
      <c r="A152" s="16" t="s">
        <v>469</v>
      </c>
      <c r="B152" s="16" t="s">
        <v>16</v>
      </c>
      <c r="C152" s="16" t="n">
        <f aca="false">COUNTIFS('ربط المحطة بالشريك'!$E$2:$E$355,A152,'ربط المحطة بالشريك'!$D$2:$D$355,B152)</f>
        <v>1</v>
      </c>
      <c r="D152" s="9" t="s">
        <v>547</v>
      </c>
    </row>
    <row r="153" customFormat="false" ht="15" hidden="false" customHeight="false" outlineLevel="0" collapsed="false">
      <c r="A153" s="16" t="s">
        <v>432</v>
      </c>
      <c r="B153" s="16" t="s">
        <v>16</v>
      </c>
      <c r="C153" s="16" t="n">
        <f aca="false">COUNTIFS('ربط المحطة بالشريك'!$E$2:$E$355,A153,'ربط المحطة بالشريك'!$D$2:$D$355,B153)</f>
        <v>1</v>
      </c>
      <c r="D153" s="9" t="s">
        <v>576</v>
      </c>
    </row>
    <row r="154" customFormat="false" ht="15" hidden="false" customHeight="false" outlineLevel="0" collapsed="false">
      <c r="A154" s="16" t="s">
        <v>460</v>
      </c>
      <c r="B154" s="16" t="s">
        <v>16</v>
      </c>
      <c r="C154" s="16" t="n">
        <f aca="false">COUNTIFS('ربط المحطة بالشريك'!$E$2:$E$355,A154,'ربط المحطة بالشريك'!$D$2:$D$355,B154)</f>
        <v>1</v>
      </c>
      <c r="D154" s="9" t="s">
        <v>572</v>
      </c>
    </row>
    <row r="155" customFormat="false" ht="15" hidden="false" customHeight="false" outlineLevel="0" collapsed="false">
      <c r="A155" s="16" t="s">
        <v>463</v>
      </c>
      <c r="B155" s="16" t="s">
        <v>16</v>
      </c>
      <c r="C155" s="16" t="n">
        <f aca="false">COUNTIFS('ربط المحطة بالشريك'!$E$2:$E$355,A155,'ربط المحطة بالشريك'!$D$2:$D$355,B155)</f>
        <v>1</v>
      </c>
      <c r="D155" s="9" t="s">
        <v>556</v>
      </c>
    </row>
    <row r="156" customFormat="false" ht="15" hidden="false" customHeight="false" outlineLevel="0" collapsed="false">
      <c r="A156" s="16" t="s">
        <v>465</v>
      </c>
      <c r="B156" s="16" t="s">
        <v>16</v>
      </c>
      <c r="C156" s="16" t="n">
        <f aca="false">COUNTIFS('ربط المحطة بالشريك'!$E$2:$E$355,A156,'ربط المحطة بالشريك'!$D$2:$D$355,B156)</f>
        <v>1</v>
      </c>
      <c r="D156" s="9" t="s">
        <v>556</v>
      </c>
    </row>
    <row r="157" customFormat="false" ht="15" hidden="false" customHeight="false" outlineLevel="0" collapsed="false">
      <c r="A157" s="16" t="s">
        <v>245</v>
      </c>
      <c r="B157" s="16" t="s">
        <v>16</v>
      </c>
      <c r="C157" s="16" t="n">
        <f aca="false">COUNTIFS('ربط المحطة بالشريك'!$E$2:$E$355,A157,'ربط المحطة بالشريك'!$D$2:$D$355,B157)</f>
        <v>1</v>
      </c>
      <c r="D157" s="9" t="s">
        <v>577</v>
      </c>
    </row>
    <row r="158" customFormat="false" ht="15" hidden="false" customHeight="false" outlineLevel="0" collapsed="false">
      <c r="A158" s="16" t="s">
        <v>471</v>
      </c>
      <c r="B158" s="16" t="s">
        <v>16</v>
      </c>
      <c r="C158" s="16" t="n">
        <f aca="false">COUNTIFS('ربط المحطة بالشريك'!$E$2:$E$355,A158,'ربط المحطة بالشريك'!$D$2:$D$355,B158)</f>
        <v>1</v>
      </c>
      <c r="D158" s="9" t="s">
        <v>559</v>
      </c>
    </row>
    <row r="159" customFormat="false" ht="15" hidden="false" customHeight="false" outlineLevel="0" collapsed="false">
      <c r="A159" s="16" t="s">
        <v>449</v>
      </c>
      <c r="B159" s="16" t="s">
        <v>16</v>
      </c>
      <c r="C159" s="16" t="n">
        <f aca="false">COUNTIFS('ربط المحطة بالشريك'!$E$2:$E$355,A159,'ربط المحطة بالشريك'!$D$2:$D$355,B159)</f>
        <v>1</v>
      </c>
      <c r="D159" s="9" t="s">
        <v>545</v>
      </c>
    </row>
    <row r="160" customFormat="false" ht="15" hidden="false" customHeight="false" outlineLevel="0" collapsed="false">
      <c r="A160" s="16" t="s">
        <v>445</v>
      </c>
      <c r="B160" s="16" t="s">
        <v>16</v>
      </c>
      <c r="C160" s="16" t="n">
        <f aca="false">COUNTIFS('ربط المحطة بالشريك'!$E$2:$E$355,A160,'ربط المحطة بالشريك'!$D$2:$D$355,B160)</f>
        <v>1</v>
      </c>
      <c r="D160" s="9" t="s">
        <v>562</v>
      </c>
    </row>
    <row r="161" customFormat="false" ht="15" hidden="false" customHeight="false" outlineLevel="0" collapsed="false">
      <c r="A161" s="16" t="s">
        <v>391</v>
      </c>
      <c r="B161" s="16" t="s">
        <v>16</v>
      </c>
      <c r="C161" s="16" t="n">
        <f aca="false">COUNTIFS('ربط المحطة بالشريك'!$E$2:$E$355,A161,'ربط المحطة بالشريك'!$D$2:$D$355,B161)</f>
        <v>1</v>
      </c>
      <c r="D161" s="9" t="s">
        <v>549</v>
      </c>
    </row>
    <row r="162" customFormat="false" ht="15" hidden="false" customHeight="false" outlineLevel="0" collapsed="false">
      <c r="A162" s="16" t="s">
        <v>434</v>
      </c>
      <c r="B162" s="16" t="s">
        <v>14</v>
      </c>
      <c r="C162" s="16" t="n">
        <f aca="false">COUNTIFS('ربط المحطة بالشريك'!$E$2:$E$355,A162,'ربط المحطة بالشريك'!$D$2:$D$355,B162)</f>
        <v>1</v>
      </c>
      <c r="D162" s="9" t="s">
        <v>566</v>
      </c>
    </row>
    <row r="163" customFormat="false" ht="15" hidden="false" customHeight="false" outlineLevel="0" collapsed="false">
      <c r="A163" s="16" t="s">
        <v>441</v>
      </c>
      <c r="B163" s="16" t="s">
        <v>14</v>
      </c>
      <c r="C163" s="16" t="n">
        <f aca="false">COUNTIFS('ربط المحطة بالشريك'!$E$2:$E$355,A163,'ربط المحطة بالشريك'!$D$2:$D$355,B163)</f>
        <v>1</v>
      </c>
      <c r="D163" s="9" t="s">
        <v>562</v>
      </c>
    </row>
    <row r="164" customFormat="false" ht="15" hidden="false" customHeight="false" outlineLevel="0" collapsed="false">
      <c r="A164" s="16" t="s">
        <v>440</v>
      </c>
      <c r="B164" s="16" t="s">
        <v>14</v>
      </c>
      <c r="C164" s="16" t="n">
        <f aca="false">COUNTIFS('ربط المحطة بالشريك'!$E$2:$E$355,A164,'ربط المحطة بالشريك'!$D$2:$D$355,B164)</f>
        <v>1</v>
      </c>
      <c r="D164" s="9" t="s">
        <v>562</v>
      </c>
    </row>
    <row r="165" customFormat="false" ht="15" hidden="false" customHeight="false" outlineLevel="0" collapsed="false">
      <c r="A165" s="16" t="s">
        <v>435</v>
      </c>
      <c r="B165" s="16" t="s">
        <v>14</v>
      </c>
      <c r="C165" s="16" t="n">
        <f aca="false">COUNTIFS('ربط المحطة بالشريك'!$E$2:$E$355,A165,'ربط المحطة بالشريك'!$D$2:$D$355,B165)</f>
        <v>1</v>
      </c>
      <c r="D165" s="9" t="s">
        <v>566</v>
      </c>
    </row>
    <row r="166" customFormat="false" ht="15" hidden="false" customHeight="false" outlineLevel="0" collapsed="false">
      <c r="A166" s="16" t="s">
        <v>357</v>
      </c>
      <c r="B166" s="16" t="s">
        <v>14</v>
      </c>
      <c r="C166" s="16" t="n">
        <f aca="false">COUNTIFS('ربط المحطة بالشريك'!$E$2:$E$355,A166,'ربط المحطة بالشريك'!$D$2:$D$355,B166)</f>
        <v>1</v>
      </c>
      <c r="D166" s="9" t="s">
        <v>549</v>
      </c>
    </row>
    <row r="167" customFormat="false" ht="15" hidden="false" customHeight="false" outlineLevel="0" collapsed="false">
      <c r="A167" s="16" t="s">
        <v>480</v>
      </c>
      <c r="B167" s="16" t="s">
        <v>14</v>
      </c>
      <c r="C167" s="16" t="n">
        <f aca="false">COUNTIFS('ربط المحطة بالشريك'!$E$2:$E$355,A167,'ربط المحطة بالشريك'!$D$2:$D$355,B167)</f>
        <v>1</v>
      </c>
      <c r="D167" s="9" t="s">
        <v>558</v>
      </c>
    </row>
    <row r="168" customFormat="false" ht="15" hidden="false" customHeight="false" outlineLevel="0" collapsed="false">
      <c r="A168" s="16" t="s">
        <v>57</v>
      </c>
      <c r="B168" s="16" t="s">
        <v>14</v>
      </c>
      <c r="C168" s="16" t="n">
        <f aca="false">COUNTIFS('ربط المحطة بالشريك'!$E$2:$E$355,A168,'ربط المحطة بالشريك'!$D$2:$D$355,B168)</f>
        <v>1</v>
      </c>
      <c r="D168" s="9" t="s">
        <v>567</v>
      </c>
    </row>
    <row r="169" customFormat="false" ht="15" hidden="false" customHeight="false" outlineLevel="0" collapsed="false">
      <c r="A169" s="16" t="s">
        <v>356</v>
      </c>
      <c r="B169" s="16" t="s">
        <v>14</v>
      </c>
      <c r="C169" s="16" t="n">
        <f aca="false">COUNTIFS('ربط المحطة بالشريك'!$E$2:$E$355,A169,'ربط المحطة بالشريك'!$D$2:$D$355,B169)</f>
        <v>1</v>
      </c>
      <c r="D169" s="9" t="s">
        <v>549</v>
      </c>
    </row>
    <row r="170" customFormat="false" ht="15" hidden="false" customHeight="false" outlineLevel="0" collapsed="false">
      <c r="A170" s="16" t="s">
        <v>467</v>
      </c>
      <c r="B170" s="16" t="s">
        <v>14</v>
      </c>
      <c r="C170" s="16" t="n">
        <f aca="false">COUNTIFS('ربط المحطة بالشريك'!$E$2:$E$355,A170,'ربط المحطة بالشريك'!$D$2:$D$355,B170)</f>
        <v>1</v>
      </c>
      <c r="D170" s="9" t="s">
        <v>578</v>
      </c>
    </row>
    <row r="171" customFormat="false" ht="15" hidden="false" customHeight="false" outlineLevel="0" collapsed="false">
      <c r="A171" s="16" t="s">
        <v>62</v>
      </c>
      <c r="B171" s="16" t="s">
        <v>14</v>
      </c>
      <c r="C171" s="16" t="n">
        <f aca="false">COUNTIFS('ربط المحطة بالشريك'!$E$2:$E$355,A171,'ربط المحطة بالشريك'!$D$2:$D$355,B171)</f>
        <v>1</v>
      </c>
      <c r="D171" s="9" t="s">
        <v>576</v>
      </c>
    </row>
    <row r="172" customFormat="false" ht="15" hidden="false" customHeight="false" outlineLevel="0" collapsed="false">
      <c r="A172" s="16" t="s">
        <v>270</v>
      </c>
      <c r="B172" s="16" t="s">
        <v>14</v>
      </c>
      <c r="C172" s="16" t="n">
        <f aca="false">COUNTIFS('ربط المحطة بالشريك'!$E$2:$E$355,A172,'ربط المحطة بالشريك'!$D$2:$D$355,B172)</f>
        <v>1</v>
      </c>
      <c r="D172" s="9" t="s">
        <v>561</v>
      </c>
    </row>
    <row r="173" customFormat="false" ht="15" hidden="false" customHeight="false" outlineLevel="0" collapsed="false">
      <c r="A173" s="16" t="s">
        <v>479</v>
      </c>
      <c r="B173" s="16" t="s">
        <v>14</v>
      </c>
      <c r="C173" s="16" t="n">
        <f aca="false">COUNTIFS('ربط المحطة بالشريك'!$E$2:$E$355,A173,'ربط المحطة بالشريك'!$D$2:$D$355,B173)</f>
        <v>1</v>
      </c>
      <c r="D173" s="9" t="s">
        <v>558</v>
      </c>
    </row>
    <row r="174" customFormat="false" ht="15" hidden="false" customHeight="false" outlineLevel="0" collapsed="false">
      <c r="A174" s="16" t="s">
        <v>355</v>
      </c>
      <c r="B174" s="16" t="s">
        <v>14</v>
      </c>
      <c r="C174" s="16" t="n">
        <f aca="false">COUNTIFS('ربط المحطة بالشريك'!$E$2:$E$355,A174,'ربط المحطة بالشريك'!$D$2:$D$355,B174)</f>
        <v>1</v>
      </c>
      <c r="D174" s="9" t="s">
        <v>549</v>
      </c>
    </row>
    <row r="175" customFormat="false" ht="15" hidden="false" customHeight="false" outlineLevel="0" collapsed="false">
      <c r="A175" s="16" t="s">
        <v>420</v>
      </c>
      <c r="B175" s="16" t="s">
        <v>14</v>
      </c>
      <c r="C175" s="16" t="n">
        <f aca="false">COUNTIFS('ربط المحطة بالشريك'!$E$2:$E$355,A175,'ربط المحطة بالشريك'!$D$2:$D$355,B175)</f>
        <v>1</v>
      </c>
      <c r="D175" s="9" t="s">
        <v>579</v>
      </c>
    </row>
    <row r="176" customFormat="false" ht="15" hidden="false" customHeight="false" outlineLevel="0" collapsed="false">
      <c r="A176" s="16" t="s">
        <v>423</v>
      </c>
      <c r="B176" s="16" t="s">
        <v>14</v>
      </c>
      <c r="C176" s="16" t="n">
        <f aca="false">COUNTIFS('ربط المحطة بالشريك'!$E$2:$E$355,A176,'ربط المحطة بالشريك'!$D$2:$D$355,B176)</f>
        <v>1</v>
      </c>
      <c r="D176" s="9" t="s">
        <v>563</v>
      </c>
    </row>
    <row r="177" customFormat="false" ht="15" hidden="false" customHeight="false" outlineLevel="0" collapsed="false">
      <c r="A177" s="16" t="s">
        <v>78</v>
      </c>
      <c r="B177" s="16" t="s">
        <v>14</v>
      </c>
      <c r="C177" s="16" t="n">
        <f aca="false">COUNTIFS('ربط المحطة بالشريك'!$E$2:$E$355,A177,'ربط المحطة بالشريك'!$D$2:$D$355,B177)</f>
        <v>1</v>
      </c>
      <c r="D177" s="9" t="s">
        <v>580</v>
      </c>
    </row>
    <row r="178" customFormat="false" ht="15" hidden="false" customHeight="false" outlineLevel="0" collapsed="false">
      <c r="A178" s="16" t="s">
        <v>455</v>
      </c>
      <c r="B178" s="16" t="s">
        <v>14</v>
      </c>
      <c r="C178" s="16" t="n">
        <f aca="false">COUNTIFS('ربط المحطة بالشريك'!$E$2:$E$355,A178,'ربط المحطة بالشريك'!$D$2:$D$355,B178)</f>
        <v>1</v>
      </c>
      <c r="D178" s="9" t="s">
        <v>571</v>
      </c>
    </row>
    <row r="179" customFormat="false" ht="15" hidden="false" customHeight="false" outlineLevel="0" collapsed="false">
      <c r="A179" s="16" t="s">
        <v>490</v>
      </c>
      <c r="B179" s="16" t="s">
        <v>14</v>
      </c>
      <c r="C179" s="16" t="n">
        <f aca="false">COUNTIFS('ربط المحطة بالشريك'!$E$2:$E$355,A179,'ربط المحطة بالشريك'!$D$2:$D$355,B179)</f>
        <v>1</v>
      </c>
      <c r="D179" s="9" t="s">
        <v>572</v>
      </c>
    </row>
    <row r="180" customFormat="false" ht="15" hidden="false" customHeight="false" outlineLevel="0" collapsed="false">
      <c r="A180" s="16" t="s">
        <v>484</v>
      </c>
      <c r="B180" s="16" t="s">
        <v>14</v>
      </c>
      <c r="C180" s="16" t="n">
        <f aca="false">COUNTIFS('ربط المحطة بالشريك'!$E$2:$E$355,A180,'ربط المحطة بالشريك'!$D$2:$D$355,B180)</f>
        <v>1</v>
      </c>
      <c r="D180" s="9" t="s">
        <v>577</v>
      </c>
    </row>
    <row r="181" customFormat="false" ht="15" hidden="false" customHeight="false" outlineLevel="0" collapsed="false">
      <c r="A181" s="16" t="s">
        <v>429</v>
      </c>
      <c r="B181" s="16" t="s">
        <v>14</v>
      </c>
      <c r="C181" s="16" t="n">
        <f aca="false">COUNTIFS('ربط المحطة بالشريك'!$E$2:$E$355,A181,'ربط المحطة بالشريك'!$D$2:$D$355,B181)</f>
        <v>1</v>
      </c>
      <c r="D181" s="9" t="s">
        <v>554</v>
      </c>
    </row>
    <row r="182" customFormat="false" ht="15" hidden="false" customHeight="false" outlineLevel="0" collapsed="false">
      <c r="A182" s="16" t="s">
        <v>489</v>
      </c>
      <c r="B182" s="16" t="s">
        <v>14</v>
      </c>
      <c r="C182" s="16" t="n">
        <f aca="false">COUNTIFS('ربط المحطة بالشريك'!$E$2:$E$355,A182,'ربط المحطة بالشريك'!$D$2:$D$355,B182)</f>
        <v>1</v>
      </c>
      <c r="D182" s="9" t="s">
        <v>544</v>
      </c>
    </row>
    <row r="183" customFormat="false" ht="15" hidden="false" customHeight="false" outlineLevel="0" collapsed="false">
      <c r="A183" s="16" t="s">
        <v>476</v>
      </c>
      <c r="B183" s="16" t="s">
        <v>14</v>
      </c>
      <c r="C183" s="16" t="n">
        <f aca="false">COUNTIFS('ربط المحطة بالشريك'!$E$2:$E$355,A183,'ربط المحطة بالشريك'!$D$2:$D$355,B183)</f>
        <v>1</v>
      </c>
      <c r="D183" s="9" t="s">
        <v>575</v>
      </c>
    </row>
    <row r="184" customFormat="false" ht="15" hidden="false" customHeight="false" outlineLevel="0" collapsed="false">
      <c r="A184" s="16" t="s">
        <v>482</v>
      </c>
      <c r="B184" s="16" t="s">
        <v>14</v>
      </c>
      <c r="C184" s="16" t="n">
        <f aca="false">COUNTIFS('ربط المحطة بالشريك'!$E$2:$E$355,A184,'ربط المحطة بالشريك'!$D$2:$D$355,B184)</f>
        <v>1</v>
      </c>
      <c r="D184" s="9" t="s">
        <v>581</v>
      </c>
    </row>
    <row r="185" customFormat="false" ht="15" hidden="false" customHeight="false" outlineLevel="0" collapsed="false">
      <c r="A185" s="16" t="s">
        <v>184</v>
      </c>
      <c r="B185" s="16" t="s">
        <v>14</v>
      </c>
      <c r="C185" s="16" t="n">
        <f aca="false">COUNTIFS('ربط المحطة بالشريك'!$E$2:$E$355,A185,'ربط المحطة بالشريك'!$D$2:$D$355,B185)</f>
        <v>1</v>
      </c>
      <c r="D185" s="9" t="s">
        <v>550</v>
      </c>
    </row>
    <row r="186" customFormat="false" ht="15" hidden="false" customHeight="false" outlineLevel="0" collapsed="false">
      <c r="A186" s="16" t="s">
        <v>483</v>
      </c>
      <c r="B186" s="16" t="s">
        <v>14</v>
      </c>
      <c r="C186" s="16" t="n">
        <f aca="false">COUNTIFS('ربط المحطة بالشريك'!$E$2:$E$355,A186,'ربط المحطة بالشريك'!$D$2:$D$355,B186)</f>
        <v>1</v>
      </c>
      <c r="D186" s="9" t="s">
        <v>581</v>
      </c>
    </row>
    <row r="187" customFormat="false" ht="15" hidden="false" customHeight="false" outlineLevel="0" collapsed="false">
      <c r="A187" s="16" t="s">
        <v>466</v>
      </c>
      <c r="B187" s="16" t="s">
        <v>14</v>
      </c>
      <c r="C187" s="16" t="n">
        <f aca="false">COUNTIFS('ربط المحطة بالشريك'!$E$2:$E$355,A187,'ربط المحطة بالشريك'!$D$2:$D$355,B187)</f>
        <v>1</v>
      </c>
      <c r="D187" s="9" t="s">
        <v>578</v>
      </c>
    </row>
    <row r="188" customFormat="false" ht="15" hidden="false" customHeight="false" outlineLevel="0" collapsed="false">
      <c r="A188" s="16" t="s">
        <v>358</v>
      </c>
      <c r="B188" s="16" t="s">
        <v>14</v>
      </c>
      <c r="C188" s="16" t="n">
        <f aca="false">COUNTIFS('ربط المحطة بالشريك'!$E$2:$E$355,A188,'ربط المحطة بالشريك'!$D$2:$D$355,B188)</f>
        <v>1</v>
      </c>
      <c r="D188" s="9" t="s">
        <v>549</v>
      </c>
    </row>
    <row r="189" customFormat="false" ht="15" hidden="false" customHeight="false" outlineLevel="0" collapsed="false">
      <c r="A189" s="16" t="s">
        <v>352</v>
      </c>
      <c r="B189" s="16" t="s">
        <v>14</v>
      </c>
      <c r="C189" s="16" t="n">
        <f aca="false">COUNTIFS('ربط المحطة بالشريك'!$E$2:$E$355,A189,'ربط المحطة بالشريك'!$D$2:$D$355,B189)</f>
        <v>1</v>
      </c>
      <c r="D189" s="9" t="s">
        <v>549</v>
      </c>
    </row>
    <row r="190" customFormat="false" ht="15" hidden="false" customHeight="false" outlineLevel="0" collapsed="false">
      <c r="A190" s="16" t="s">
        <v>359</v>
      </c>
      <c r="B190" s="16" t="s">
        <v>14</v>
      </c>
      <c r="C190" s="16" t="n">
        <f aca="false">COUNTIFS('ربط المحطة بالشريك'!$E$2:$E$355,A190,'ربط المحطة بالشريك'!$D$2:$D$355,B190)</f>
        <v>1</v>
      </c>
      <c r="D190" s="9" t="s">
        <v>549</v>
      </c>
    </row>
    <row r="191" customFormat="false" ht="15" hidden="false" customHeight="false" outlineLevel="0" collapsed="false">
      <c r="A191" s="16" t="s">
        <v>360</v>
      </c>
      <c r="B191" s="16" t="s">
        <v>14</v>
      </c>
      <c r="C191" s="16" t="n">
        <f aca="false">COUNTIFS('ربط المحطة بالشريك'!$E$2:$E$355,A191,'ربط المحطة بالشريك'!$D$2:$D$355,B191)</f>
        <v>1</v>
      </c>
      <c r="D191" s="9" t="s">
        <v>549</v>
      </c>
    </row>
    <row r="192" customFormat="false" ht="15" hidden="false" customHeight="false" outlineLevel="0" collapsed="false">
      <c r="A192" s="16" t="s">
        <v>437</v>
      </c>
      <c r="B192" s="16" t="s">
        <v>14</v>
      </c>
      <c r="C192" s="16" t="n">
        <f aca="false">COUNTIFS('ربط المحطة بالشريك'!$E$2:$E$355,A192,'ربط المحطة بالشريك'!$D$2:$D$355,B192)</f>
        <v>1</v>
      </c>
      <c r="D192" s="9" t="s">
        <v>582</v>
      </c>
    </row>
    <row r="193" customFormat="false" ht="15" hidden="false" customHeight="false" outlineLevel="0" collapsed="false">
      <c r="A193" s="16" t="s">
        <v>478</v>
      </c>
      <c r="B193" s="16" t="s">
        <v>14</v>
      </c>
      <c r="C193" s="16" t="n">
        <f aca="false">COUNTIFS('ربط المحطة بالشريك'!$E$2:$E$355,A193,'ربط المحطة بالشريك'!$D$2:$D$355,B193)</f>
        <v>1</v>
      </c>
      <c r="D193" s="9" t="s">
        <v>570</v>
      </c>
    </row>
    <row r="194" customFormat="false" ht="15" hidden="false" customHeight="false" outlineLevel="0" collapsed="false">
      <c r="A194" s="16" t="s">
        <v>486</v>
      </c>
      <c r="B194" s="16" t="s">
        <v>14</v>
      </c>
      <c r="C194" s="16" t="n">
        <f aca="false">COUNTIFS('ربط المحطة بالشريك'!$E$2:$E$355,A194,'ربط المحطة بالشريك'!$D$2:$D$355,B194)</f>
        <v>1</v>
      </c>
      <c r="D194" s="9" t="s">
        <v>553</v>
      </c>
    </row>
    <row r="195" customFormat="false" ht="15" hidden="false" customHeight="false" outlineLevel="0" collapsed="false">
      <c r="A195" s="16" t="s">
        <v>424</v>
      </c>
      <c r="B195" s="16" t="s">
        <v>14</v>
      </c>
      <c r="C195" s="16" t="n">
        <f aca="false">COUNTIFS('ربط المحطة بالشريك'!$E$2:$E$355,A195,'ربط المحطة بالشريك'!$D$2:$D$355,B195)</f>
        <v>1</v>
      </c>
      <c r="D195" s="9" t="s">
        <v>563</v>
      </c>
    </row>
    <row r="196" customFormat="false" ht="15" hidden="false" customHeight="false" outlineLevel="0" collapsed="false">
      <c r="A196" s="16" t="s">
        <v>470</v>
      </c>
      <c r="B196" s="16" t="s">
        <v>14</v>
      </c>
      <c r="C196" s="16" t="n">
        <f aca="false">COUNTIFS('ربط المحطة بالشريك'!$E$2:$E$355,A196,'ربط المحطة بالشريك'!$D$2:$D$355,B196)</f>
        <v>1</v>
      </c>
      <c r="D196" s="9" t="s">
        <v>559</v>
      </c>
    </row>
    <row r="197" customFormat="false" ht="15" hidden="false" customHeight="false" outlineLevel="0" collapsed="false">
      <c r="A197" s="16" t="s">
        <v>419</v>
      </c>
      <c r="B197" s="16" t="s">
        <v>14</v>
      </c>
      <c r="C197" s="16" t="n">
        <f aca="false">COUNTIFS('ربط المحطة بالشريك'!$E$2:$E$355,A197,'ربط المحطة بالشريك'!$D$2:$D$355,B197)</f>
        <v>1</v>
      </c>
      <c r="D197" s="9" t="s">
        <v>579</v>
      </c>
    </row>
    <row r="198" customFormat="false" ht="15" hidden="false" customHeight="false" outlineLevel="0" collapsed="false">
      <c r="A198" s="16" t="s">
        <v>491</v>
      </c>
      <c r="B198" s="16" t="s">
        <v>14</v>
      </c>
      <c r="C198" s="16" t="n">
        <f aca="false">COUNTIFS('ربط المحطة بالشريك'!$E$2:$E$355,A198,'ربط المحطة بالشريك'!$D$2:$D$355,B198)</f>
        <v>1</v>
      </c>
      <c r="D198" s="9" t="s">
        <v>572</v>
      </c>
    </row>
    <row r="199" customFormat="false" ht="15" hidden="false" customHeight="false" outlineLevel="0" collapsed="false">
      <c r="A199" s="16" t="s">
        <v>453</v>
      </c>
      <c r="B199" s="16" t="s">
        <v>14</v>
      </c>
      <c r="C199" s="16" t="n">
        <f aca="false">COUNTIFS('ربط المحطة بالشريك'!$E$2:$E$355,A199,'ربط المحطة بالشريك'!$D$2:$D$355,B199)</f>
        <v>1</v>
      </c>
      <c r="D199" s="9" t="s">
        <v>557</v>
      </c>
    </row>
    <row r="200" customFormat="false" ht="15" hidden="false" customHeight="false" outlineLevel="0" collapsed="false">
      <c r="A200" s="16" t="s">
        <v>456</v>
      </c>
      <c r="B200" s="16" t="s">
        <v>14</v>
      </c>
      <c r="C200" s="16" t="n">
        <f aca="false">COUNTIFS('ربط المحطة بالشريك'!$E$2:$E$355,A200,'ربط المحطة بالشريك'!$D$2:$D$355,B200)</f>
        <v>1</v>
      </c>
      <c r="D200" s="9" t="s">
        <v>571</v>
      </c>
    </row>
    <row r="201" customFormat="false" ht="15" hidden="false" customHeight="false" outlineLevel="0" collapsed="false">
      <c r="A201" s="16" t="s">
        <v>488</v>
      </c>
      <c r="B201" s="16" t="s">
        <v>14</v>
      </c>
      <c r="C201" s="16" t="n">
        <f aca="false">COUNTIFS('ربط المحطة بالشريك'!$E$2:$E$355,A201,'ربط المحطة بالشريك'!$D$2:$D$355,B201)</f>
        <v>1</v>
      </c>
      <c r="D201" s="9" t="s">
        <v>544</v>
      </c>
    </row>
    <row r="202" customFormat="false" ht="15" hidden="false" customHeight="false" outlineLevel="0" collapsed="false">
      <c r="A202" s="16" t="s">
        <v>450</v>
      </c>
      <c r="B202" s="16" t="s">
        <v>14</v>
      </c>
      <c r="C202" s="16" t="n">
        <f aca="false">COUNTIFS('ربط المحطة بالشريك'!$E$2:$E$355,A202,'ربط المحطة بالشريك'!$D$2:$D$355,B202)</f>
        <v>1</v>
      </c>
      <c r="D202" s="9" t="s">
        <v>543</v>
      </c>
    </row>
    <row r="203" customFormat="false" ht="15" hidden="false" customHeight="false" outlineLevel="0" collapsed="false">
      <c r="A203" s="16" t="s">
        <v>428</v>
      </c>
      <c r="B203" s="16" t="s">
        <v>14</v>
      </c>
      <c r="C203" s="16" t="n">
        <f aca="false">COUNTIFS('ربط المحطة بالشريك'!$E$2:$E$355,A203,'ربط المحطة بالشريك'!$D$2:$D$355,B203)</f>
        <v>1</v>
      </c>
      <c r="D203" s="9" t="s">
        <v>554</v>
      </c>
    </row>
    <row r="204" customFormat="false" ht="15" hidden="false" customHeight="false" outlineLevel="0" collapsed="false">
      <c r="A204" s="16" t="s">
        <v>394</v>
      </c>
      <c r="B204" s="16" t="s">
        <v>14</v>
      </c>
      <c r="C204" s="16" t="n">
        <f aca="false">COUNTIFS('ربط المحطة بالشريك'!$E$2:$E$355,A204,'ربط المحطة بالشريك'!$D$2:$D$355,B204)</f>
        <v>1</v>
      </c>
      <c r="D204" s="9" t="s">
        <v>538</v>
      </c>
    </row>
    <row r="205" customFormat="false" ht="15" hidden="false" customHeight="false" outlineLevel="0" collapsed="false">
      <c r="A205" s="16" t="s">
        <v>485</v>
      </c>
      <c r="B205" s="16" t="s">
        <v>14</v>
      </c>
      <c r="C205" s="16" t="n">
        <f aca="false">COUNTIFS('ربط المحطة بالشريك'!$E$2:$E$355,A205,'ربط المحطة بالشريك'!$D$2:$D$355,B205)</f>
        <v>1</v>
      </c>
      <c r="D205" s="9" t="s">
        <v>553</v>
      </c>
    </row>
    <row r="206" customFormat="false" ht="15" hidden="false" customHeight="false" outlineLevel="0" collapsed="false">
      <c r="A206" s="16" t="s">
        <v>477</v>
      </c>
      <c r="B206" s="16" t="s">
        <v>14</v>
      </c>
      <c r="C206" s="16" t="n">
        <f aca="false">COUNTIFS('ربط المحطة بالشريك'!$E$2:$E$355,A206,'ربط المحطة بالشريك'!$D$2:$D$355,B206)</f>
        <v>1</v>
      </c>
      <c r="D206" s="9" t="s">
        <v>570</v>
      </c>
    </row>
    <row r="207" customFormat="false" ht="15" hidden="false" customHeight="false" outlineLevel="0" collapsed="false">
      <c r="A207" s="16" t="s">
        <v>124</v>
      </c>
      <c r="B207" s="16" t="s">
        <v>14</v>
      </c>
      <c r="C207" s="16" t="n">
        <f aca="false">COUNTIFS('ربط المحطة بالشريك'!$E$2:$E$355,A207,'ربط المحطة بالشريك'!$D$2:$D$355,B207)</f>
        <v>1</v>
      </c>
      <c r="D207" s="9" t="s">
        <v>583</v>
      </c>
    </row>
    <row r="208" customFormat="false" ht="15" hidden="false" customHeight="false" outlineLevel="0" collapsed="false">
      <c r="A208" s="16" t="s">
        <v>353</v>
      </c>
      <c r="B208" s="16" t="s">
        <v>14</v>
      </c>
      <c r="C208" s="16" t="n">
        <f aca="false">COUNTIFS('ربط المحطة بالشريك'!$E$2:$E$355,A208,'ربط المحطة بالشريك'!$D$2:$D$355,B208)</f>
        <v>1</v>
      </c>
      <c r="D208" s="9" t="s">
        <v>549</v>
      </c>
    </row>
  </sheetData>
  <autoFilter ref="A1:D2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2"/>
    <col collapsed="false" customWidth="true" hidden="false" outlineLevel="0" max="3" min="3" style="0" width="60"/>
  </cols>
  <sheetData>
    <row r="1" customFormat="false" ht="16.15" hidden="false" customHeight="false" outlineLevel="0" collapsed="false">
      <c r="A1" s="17" t="s">
        <v>584</v>
      </c>
    </row>
    <row r="3" customFormat="false" ht="15" hidden="false" customHeight="false" outlineLevel="0" collapsed="false">
      <c r="A3" s="11" t="s">
        <v>585</v>
      </c>
      <c r="B3" s="18" t="n">
        <v>2.18</v>
      </c>
      <c r="C3" s="19" t="s">
        <v>586</v>
      </c>
    </row>
    <row r="4" customFormat="false" ht="15" hidden="false" customHeight="false" outlineLevel="0" collapsed="false">
      <c r="A4" s="11" t="s">
        <v>587</v>
      </c>
      <c r="B4" s="18" t="n">
        <v>2.33</v>
      </c>
      <c r="C4" s="19" t="s">
        <v>586</v>
      </c>
    </row>
    <row r="5" customFormat="false" ht="15" hidden="false" customHeight="false" outlineLevel="0" collapsed="false">
      <c r="A5" s="11" t="s">
        <v>588</v>
      </c>
      <c r="B5" s="18" t="n">
        <v>1.66</v>
      </c>
      <c r="C5" s="19" t="s">
        <v>586</v>
      </c>
    </row>
    <row r="6" customFormat="false" ht="15" hidden="false" customHeight="false" outlineLevel="0" collapsed="false">
      <c r="A6" s="11" t="s">
        <v>589</v>
      </c>
      <c r="B6" s="18" t="n">
        <v>3</v>
      </c>
      <c r="C6" s="19" t="s">
        <v>590</v>
      </c>
    </row>
    <row r="7" customFormat="false" ht="15" hidden="false" customHeight="false" outlineLevel="0" collapsed="false">
      <c r="A7" s="11" t="s">
        <v>591</v>
      </c>
      <c r="B7" s="18" t="n">
        <v>30</v>
      </c>
      <c r="C7" s="19" t="s">
        <v>592</v>
      </c>
    </row>
    <row r="10" customFormat="false" ht="15" hidden="false" customHeight="false" outlineLevel="0" collapsed="false">
      <c r="A10" s="11" t="s">
        <v>593</v>
      </c>
    </row>
    <row r="11" customFormat="false" ht="15" hidden="false" customHeight="false" outlineLevel="0" collapsed="false">
      <c r="A11" s="20" t="s">
        <v>594</v>
      </c>
    </row>
    <row r="12" customFormat="false" ht="15" hidden="false" customHeight="false" outlineLevel="0" collapsed="false">
      <c r="A12" s="20" t="s">
        <v>595</v>
      </c>
    </row>
    <row r="13" customFormat="false" ht="15" hidden="false" customHeight="false" outlineLevel="0" collapsed="false">
      <c r="A13" s="20" t="s">
        <v>596</v>
      </c>
    </row>
    <row r="14" customFormat="false" ht="15" hidden="false" customHeight="false" outlineLevel="0" collapsed="false">
      <c r="A14" s="20" t="s">
        <v>597</v>
      </c>
    </row>
    <row r="15" customFormat="false" ht="15" hidden="false" customHeight="false" outlineLevel="0" collapsed="false">
      <c r="A15" s="20" t="s">
        <v>598</v>
      </c>
    </row>
    <row r="16" customFormat="false" ht="15" hidden="false" customHeight="false" outlineLevel="0" collapsed="false">
      <c r="A16" s="20" t="s">
        <v>599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2026-10-08T12:18:19Z</dcterms:created>
  <dc:creator>openpyxl</dc:creator>
  <dc:description/>
  <dc:language>en-US</dc:language>
  <cp:lastModifiedBy/>
  <dcterms:modified xsi:type="dcterms:W3CDTF">2026-10-08T12:18:19Z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