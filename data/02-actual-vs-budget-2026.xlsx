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rb-FS-01\userdata\mohammad.aldeeb\"/>
    </mc:Choice>
  </mc:AlternateContent>
  <xr:revisionPtr revIDLastSave="0" documentId="13_ncr:1_{DB5187A3-8E6D-4A7E-8ED0-8AFFC94BFFA5}" xr6:coauthVersionLast="47" xr6:coauthVersionMax="47" xr10:uidLastSave="{00000000-0000-0000-0000-000000000000}"/>
  <bookViews>
    <workbookView xWindow="-108" yWindow="-108" windowWidth="23256" windowHeight="13896" activeTab="1" xr2:uid="{BBF434AF-6E86-40AD-8DE5-14389509DE3A}"/>
  </bookViews>
  <sheets>
    <sheet name="Summary" sheetId="2" r:id="rId1"/>
    <sheet name="Sales Analysis 2026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xlfn.IFERROR" hidden="1">#NAME?</definedName>
    <definedName name="_Fill" hidden="1">#REF!</definedName>
    <definedName name="_xlnm._FilterDatabase" localSheetId="1" hidden="1">'Sales Analysis 2026'!$A$2:$T$971</definedName>
    <definedName name="_Key1" hidden="1">#REF!</definedName>
    <definedName name="_Order1" hidden="1">255</definedName>
    <definedName name="_Order2" hidden="1">0</definedName>
    <definedName name="_Regression_Int" hidden="1">1</definedName>
    <definedName name="_Sort" hidden="1">#REF!</definedName>
    <definedName name="a" hidden="1">#REF!</definedName>
    <definedName name="AA">[1]FILIALE!$H$17</definedName>
    <definedName name="ab" hidden="1">#REF!</definedName>
    <definedName name="Act_BU_Ref">[2]Sum!$A$2</definedName>
    <definedName name="asd">[3]PARAM!$C$18</definedName>
    <definedName name="b" hidden="1">#REF!</definedName>
    <definedName name="BASE">'[4]Unit-RES.OM'!$G$23</definedName>
    <definedName name="BB">[1]FILIALE!$H$18</definedName>
    <definedName name="BUD">[1]FILIALE!$G$15</definedName>
    <definedName name="CC">[1]FILIALE!$H$19</definedName>
    <definedName name="Consolidation">'[4]Unit-RES.OM'!$D$21</definedName>
    <definedName name="Currency_Selection">#REF!</definedName>
    <definedName name="dc" hidden="1">#REF!</definedName>
    <definedName name="dcc" hidden="1">#REF!</definedName>
    <definedName name="DD">[1]FILIALE!$H$20</definedName>
    <definedName name="ddddd" hidden="1">#REF!</definedName>
    <definedName name="DelRange1">#REF!</definedName>
    <definedName name="DEV">[1]FILIALE!$D$6</definedName>
    <definedName name="DME_Dirty" hidden="1">"False"</definedName>
    <definedName name="DME_ODMALinks1" hidden="1">"::ODMA\DME-MSE\ECU1-46342=C:\DOCUME~1\ec01309\LOCALS~1\Temp\Dme\DME46342.xls"</definedName>
    <definedName name="DME_ODMALinksCount" hidden="1">"1"</definedName>
    <definedName name="EssAliasTable">"Default"</definedName>
    <definedName name="EssAliasTable_1">"Default"</definedName>
    <definedName name="EssfHasNonUnique">"FALSE"</definedName>
    <definedName name="EssLatest">"M01"</definedName>
    <definedName name="EssOptions">"A2100000000111100011101101020_01-00"</definedName>
    <definedName name="EssSamplingValue">100</definedName>
    <definedName name="FITC06.1_R5">#REF!</definedName>
    <definedName name="H_GDWLIQ" hidden="1">#REF!</definedName>
    <definedName name="Language">[5]Param!$C$2</definedName>
    <definedName name="ListConso">#REF!</definedName>
    <definedName name="ListScenario">#REF!</definedName>
    <definedName name="Month_APL">#REF!</definedName>
    <definedName name="Month_Forex">#REF!</definedName>
    <definedName name="NEW" hidden="1">#REF!</definedName>
    <definedName name="NMH" hidden="1">#REF!</definedName>
    <definedName name="o" hidden="1">#REF!</definedName>
    <definedName name="ONGLET1">[6]PARAM!$C$18</definedName>
    <definedName name="OptionsEss">"A1100010000121100011101101020_01-00"</definedName>
    <definedName name="Periode">2016</definedName>
    <definedName name="Phase">'[4]Unit-RES.OM'!$E$22</definedName>
    <definedName name="qqqq" hidden="1">#REF!</definedName>
    <definedName name="SAPBEXrevision" hidden="1">8</definedName>
    <definedName name="SAPBEXsysID" hidden="1">"BW1"</definedName>
    <definedName name="SAPBEXwbID" hidden="1">"42TZW1BWMGDQE8JUJ7TAK21I8"</definedName>
    <definedName name="Share">#REF!</definedName>
    <definedName name="Step4PnL">#REF!</definedName>
    <definedName name="Step4Roadmap">#REF!</definedName>
    <definedName name="Sumry_M">[2]Cri!$G$1</definedName>
    <definedName name="TextRefCopyRangeCount" hidden="1">11</definedName>
    <definedName name="TOTAL">[1]FILIALE!$D$4</definedName>
    <definedName name="UNIT">'[4]Unit-RES.OM'!$D$19</definedName>
    <definedName name="wrn.integral." hidden="1">{#N/A,#N/A,FALSE,"inv";#N/A,#N/A,FALSE,"acq";#N/A,#N/A,FALSE,"desinv";#N/A,#N/A,FALSE,"Mba";#N/A,#N/A,FALSE,"autofi";#N/A,#N/A,FALSE,"Synt"}</definedName>
    <definedName name="ww" hidden="1">#REF!</definedName>
    <definedName name="x" hidden="1">#REF!</definedName>
    <definedName name="XX" hidden="1">#REF!</definedName>
    <definedName name="yyyyyyyyy" hidden="1">#REF!</definedName>
    <definedName name="z_cnc">#REF!</definedName>
    <definedName name="z_currency">#REF!</definedName>
    <definedName name="Z_EQUITY">#REF!</definedName>
    <definedName name="z_FORDN">#REF!</definedName>
    <definedName name="z_forex_ACTUAL_N_MINUS_1">[7]PARAM!$E$11</definedName>
    <definedName name="z_forex_BUDGET_N">[7]PARAM!$F$11</definedName>
    <definedName name="z_forex_BUDGET_N_PLUS_1">[7]PARAM!$J$11</definedName>
    <definedName name="z_forex_FORBN">[7]PARAM!$I$11</definedName>
    <definedName name="z_forex_LTP_N_PLUS_1">[7]PARAM!$L$11</definedName>
    <definedName name="Z_LANG">[1]FILIALE!$D$13</definedName>
    <definedName name="z_org">#REF!</definedName>
    <definedName name="Z_PER" hidden="1">#REF!</definedName>
    <definedName name="z_period">#REF!</definedName>
    <definedName name="Z_Period2">#REF!</definedName>
    <definedName name="z_previous">#REF!</definedName>
    <definedName name="z_rates">#REF!</definedName>
    <definedName name="Z_unitcurrency">[8]PARAM!$N$4</definedName>
    <definedName name="Z_YEAR">#REF!</definedName>
    <definedName name="Z_YTDperio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K16" i="1"/>
  <c r="R6" i="1" l="1"/>
  <c r="Q6" i="1"/>
  <c r="P6" i="1"/>
  <c r="O6" i="1"/>
  <c r="N6" i="1"/>
  <c r="M6" i="1"/>
  <c r="L6" i="1"/>
  <c r="K6" i="1"/>
  <c r="J6" i="1"/>
  <c r="I6" i="1"/>
  <c r="H6" i="1"/>
  <c r="G6" i="1"/>
  <c r="G7" i="1" s="1"/>
  <c r="R970" i="1" l="1"/>
  <c r="Q970" i="1"/>
  <c r="P970" i="1"/>
  <c r="O970" i="1"/>
  <c r="N970" i="1"/>
  <c r="M970" i="1"/>
  <c r="L970" i="1"/>
  <c r="K970" i="1"/>
  <c r="J970" i="1"/>
  <c r="I970" i="1"/>
  <c r="H970" i="1"/>
  <c r="G970" i="1"/>
  <c r="T969" i="1"/>
  <c r="S969" i="1"/>
  <c r="T968" i="1"/>
  <c r="S968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T966" i="1"/>
  <c r="S966" i="1"/>
  <c r="T965" i="1"/>
  <c r="T967" i="1" s="1"/>
  <c r="S965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T963" i="1"/>
  <c r="S963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T961" i="1"/>
  <c r="S961" i="1"/>
  <c r="T960" i="1"/>
  <c r="T962" i="1" s="1"/>
  <c r="S960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T958" i="1"/>
  <c r="S958" i="1"/>
  <c r="T957" i="1"/>
  <c r="S957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T955" i="1"/>
  <c r="S955" i="1"/>
  <c r="T954" i="1"/>
  <c r="T956" i="1" s="1"/>
  <c r="S954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T952" i="1"/>
  <c r="S952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T950" i="1"/>
  <c r="S950" i="1"/>
  <c r="T949" i="1"/>
  <c r="S949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T947" i="1"/>
  <c r="S947" i="1"/>
  <c r="T946" i="1"/>
  <c r="S946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T944" i="1"/>
  <c r="S944" i="1"/>
  <c r="T943" i="1"/>
  <c r="S943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T941" i="1"/>
  <c r="S941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T939" i="1"/>
  <c r="S939" i="1"/>
  <c r="T938" i="1"/>
  <c r="S938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T936" i="1"/>
  <c r="S936" i="1"/>
  <c r="T935" i="1"/>
  <c r="S935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T933" i="1"/>
  <c r="S933" i="1"/>
  <c r="T932" i="1"/>
  <c r="S932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T930" i="1"/>
  <c r="S930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T928" i="1"/>
  <c r="S928" i="1"/>
  <c r="T927" i="1"/>
  <c r="S927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T925" i="1"/>
  <c r="S925" i="1"/>
  <c r="T924" i="1"/>
  <c r="S924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T922" i="1"/>
  <c r="S922" i="1"/>
  <c r="T921" i="1"/>
  <c r="S921" i="1"/>
  <c r="T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T919" i="1"/>
  <c r="S919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T917" i="1"/>
  <c r="S917" i="1"/>
  <c r="T916" i="1"/>
  <c r="S916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T914" i="1"/>
  <c r="S914" i="1"/>
  <c r="T913" i="1"/>
  <c r="S913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T911" i="1"/>
  <c r="S911" i="1"/>
  <c r="T910" i="1"/>
  <c r="S910" i="1"/>
  <c r="T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T908" i="1"/>
  <c r="S908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T906" i="1"/>
  <c r="S906" i="1"/>
  <c r="T905" i="1"/>
  <c r="S905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T903" i="1"/>
  <c r="S903" i="1"/>
  <c r="T902" i="1"/>
  <c r="S902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T900" i="1"/>
  <c r="S900" i="1"/>
  <c r="T899" i="1"/>
  <c r="S899" i="1"/>
  <c r="T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T897" i="1"/>
  <c r="S897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T895" i="1"/>
  <c r="S895" i="1"/>
  <c r="T894" i="1"/>
  <c r="S894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T892" i="1"/>
  <c r="S892" i="1"/>
  <c r="T891" i="1"/>
  <c r="S891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T889" i="1"/>
  <c r="S889" i="1"/>
  <c r="T888" i="1"/>
  <c r="S888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T886" i="1"/>
  <c r="S886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T884" i="1"/>
  <c r="S884" i="1"/>
  <c r="T883" i="1"/>
  <c r="S883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T881" i="1"/>
  <c r="S881" i="1"/>
  <c r="T880" i="1"/>
  <c r="S880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T878" i="1"/>
  <c r="S878" i="1"/>
  <c r="T877" i="1"/>
  <c r="S877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T875" i="1"/>
  <c r="S875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T873" i="1"/>
  <c r="S873" i="1"/>
  <c r="T872" i="1"/>
  <c r="S872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T870" i="1"/>
  <c r="S870" i="1"/>
  <c r="T869" i="1"/>
  <c r="S869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T867" i="1"/>
  <c r="S867" i="1"/>
  <c r="T866" i="1"/>
  <c r="S866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T864" i="1"/>
  <c r="S864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T862" i="1"/>
  <c r="S862" i="1"/>
  <c r="T861" i="1"/>
  <c r="S861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T859" i="1"/>
  <c r="S859" i="1"/>
  <c r="T858" i="1"/>
  <c r="S858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T856" i="1"/>
  <c r="S856" i="1"/>
  <c r="T855" i="1"/>
  <c r="S855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T853" i="1"/>
  <c r="S853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T851" i="1"/>
  <c r="S851" i="1"/>
  <c r="T850" i="1"/>
  <c r="S850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T848" i="1"/>
  <c r="S848" i="1"/>
  <c r="T847" i="1"/>
  <c r="S847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T845" i="1"/>
  <c r="S845" i="1"/>
  <c r="T844" i="1"/>
  <c r="S844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T842" i="1"/>
  <c r="S842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T840" i="1"/>
  <c r="S840" i="1"/>
  <c r="T839" i="1"/>
  <c r="S839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T837" i="1"/>
  <c r="S837" i="1"/>
  <c r="T836" i="1"/>
  <c r="S836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T834" i="1"/>
  <c r="S834" i="1"/>
  <c r="T833" i="1"/>
  <c r="S833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T831" i="1"/>
  <c r="S831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T829" i="1"/>
  <c r="S829" i="1"/>
  <c r="T828" i="1"/>
  <c r="S828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T826" i="1"/>
  <c r="S826" i="1"/>
  <c r="T825" i="1"/>
  <c r="S825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T823" i="1"/>
  <c r="S823" i="1"/>
  <c r="T822" i="1"/>
  <c r="S822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T820" i="1"/>
  <c r="S820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T818" i="1"/>
  <c r="S818" i="1"/>
  <c r="T817" i="1"/>
  <c r="T819" i="1" s="1"/>
  <c r="S817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T815" i="1"/>
  <c r="S815" i="1"/>
  <c r="T814" i="1"/>
  <c r="S814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T812" i="1"/>
  <c r="S812" i="1"/>
  <c r="T811" i="1"/>
  <c r="T813" i="1" s="1"/>
  <c r="S811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T809" i="1"/>
  <c r="S809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T807" i="1"/>
  <c r="S807" i="1"/>
  <c r="T806" i="1"/>
  <c r="S806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T804" i="1"/>
  <c r="S804" i="1"/>
  <c r="T803" i="1"/>
  <c r="S803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T801" i="1"/>
  <c r="S801" i="1"/>
  <c r="T800" i="1"/>
  <c r="S800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T798" i="1"/>
  <c r="S798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T796" i="1"/>
  <c r="S796" i="1"/>
  <c r="T795" i="1"/>
  <c r="S795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T793" i="1"/>
  <c r="S793" i="1"/>
  <c r="T792" i="1"/>
  <c r="S792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T790" i="1"/>
  <c r="S790" i="1"/>
  <c r="T789" i="1"/>
  <c r="S789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T787" i="1"/>
  <c r="S787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T785" i="1"/>
  <c r="S785" i="1"/>
  <c r="T784" i="1"/>
  <c r="S784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T782" i="1"/>
  <c r="S782" i="1"/>
  <c r="T781" i="1"/>
  <c r="S781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T779" i="1"/>
  <c r="S779" i="1"/>
  <c r="T778" i="1"/>
  <c r="S778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T776" i="1"/>
  <c r="S776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T774" i="1"/>
  <c r="S774" i="1"/>
  <c r="T773" i="1"/>
  <c r="S773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T771" i="1"/>
  <c r="S771" i="1"/>
  <c r="T770" i="1"/>
  <c r="S770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T768" i="1"/>
  <c r="S768" i="1"/>
  <c r="T767" i="1"/>
  <c r="S767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T765" i="1"/>
  <c r="S765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T763" i="1"/>
  <c r="S763" i="1"/>
  <c r="T762" i="1"/>
  <c r="T764" i="1" s="1"/>
  <c r="S762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T760" i="1"/>
  <c r="S760" i="1"/>
  <c r="T759" i="1"/>
  <c r="S759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T757" i="1"/>
  <c r="S757" i="1"/>
  <c r="T756" i="1"/>
  <c r="T758" i="1" s="1"/>
  <c r="S756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T754" i="1"/>
  <c r="S754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T752" i="1"/>
  <c r="S752" i="1"/>
  <c r="T751" i="1"/>
  <c r="S751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T749" i="1"/>
  <c r="S749" i="1"/>
  <c r="T748" i="1"/>
  <c r="S748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T746" i="1"/>
  <c r="S746" i="1"/>
  <c r="T745" i="1"/>
  <c r="S745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T743" i="1"/>
  <c r="S743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T741" i="1"/>
  <c r="S741" i="1"/>
  <c r="T740" i="1"/>
  <c r="S740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T738" i="1"/>
  <c r="S738" i="1"/>
  <c r="T737" i="1"/>
  <c r="S737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T735" i="1"/>
  <c r="S735" i="1"/>
  <c r="T734" i="1"/>
  <c r="S734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T732" i="1"/>
  <c r="S732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T730" i="1"/>
  <c r="S730" i="1"/>
  <c r="T729" i="1"/>
  <c r="S729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T727" i="1"/>
  <c r="S727" i="1"/>
  <c r="T726" i="1"/>
  <c r="S726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T724" i="1"/>
  <c r="S724" i="1"/>
  <c r="T723" i="1"/>
  <c r="S723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T721" i="1"/>
  <c r="S721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T719" i="1"/>
  <c r="S719" i="1"/>
  <c r="T718" i="1"/>
  <c r="S718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T716" i="1"/>
  <c r="S716" i="1"/>
  <c r="T715" i="1"/>
  <c r="S715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T713" i="1"/>
  <c r="S713" i="1"/>
  <c r="T712" i="1"/>
  <c r="S712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T710" i="1"/>
  <c r="S710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T708" i="1"/>
  <c r="S708" i="1"/>
  <c r="T707" i="1"/>
  <c r="S707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T705" i="1"/>
  <c r="S705" i="1"/>
  <c r="T704" i="1"/>
  <c r="S704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T702" i="1"/>
  <c r="S702" i="1"/>
  <c r="T701" i="1"/>
  <c r="T703" i="1" s="1"/>
  <c r="S701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T699" i="1"/>
  <c r="S699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T697" i="1"/>
  <c r="S697" i="1"/>
  <c r="T696" i="1"/>
  <c r="S696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T694" i="1"/>
  <c r="S694" i="1"/>
  <c r="T693" i="1"/>
  <c r="S693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T691" i="1"/>
  <c r="S691" i="1"/>
  <c r="T690" i="1"/>
  <c r="S690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T688" i="1"/>
  <c r="S688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T686" i="1"/>
  <c r="S686" i="1"/>
  <c r="T685" i="1"/>
  <c r="S685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T683" i="1"/>
  <c r="S683" i="1"/>
  <c r="T682" i="1"/>
  <c r="S682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T680" i="1"/>
  <c r="S680" i="1"/>
  <c r="T679" i="1"/>
  <c r="S679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T677" i="1"/>
  <c r="S677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T675" i="1"/>
  <c r="S675" i="1"/>
  <c r="T674" i="1"/>
  <c r="S674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T672" i="1"/>
  <c r="S672" i="1"/>
  <c r="T671" i="1"/>
  <c r="S671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T669" i="1"/>
  <c r="S669" i="1"/>
  <c r="T668" i="1"/>
  <c r="T670" i="1" s="1"/>
  <c r="S668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T666" i="1"/>
  <c r="S666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T664" i="1"/>
  <c r="S664" i="1"/>
  <c r="T663" i="1"/>
  <c r="S663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T661" i="1"/>
  <c r="S661" i="1"/>
  <c r="T660" i="1"/>
  <c r="S660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T658" i="1"/>
  <c r="S658" i="1"/>
  <c r="T657" i="1"/>
  <c r="S657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T655" i="1"/>
  <c r="S655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T653" i="1"/>
  <c r="S653" i="1"/>
  <c r="T652" i="1"/>
  <c r="S652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T650" i="1"/>
  <c r="S650" i="1"/>
  <c r="T649" i="1"/>
  <c r="S649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T647" i="1"/>
  <c r="S647" i="1"/>
  <c r="T646" i="1"/>
  <c r="S646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T644" i="1"/>
  <c r="S644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T642" i="1"/>
  <c r="S642" i="1"/>
  <c r="T641" i="1"/>
  <c r="S641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T639" i="1"/>
  <c r="S639" i="1"/>
  <c r="T638" i="1"/>
  <c r="S638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T636" i="1"/>
  <c r="S636" i="1"/>
  <c r="T635" i="1"/>
  <c r="S635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T633" i="1"/>
  <c r="S633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T631" i="1"/>
  <c r="S631" i="1"/>
  <c r="T630" i="1"/>
  <c r="S630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T628" i="1"/>
  <c r="S628" i="1"/>
  <c r="T627" i="1"/>
  <c r="S627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T625" i="1"/>
  <c r="S625" i="1"/>
  <c r="T624" i="1"/>
  <c r="S624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T622" i="1"/>
  <c r="S622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T620" i="1"/>
  <c r="S620" i="1"/>
  <c r="T619" i="1"/>
  <c r="S619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T617" i="1"/>
  <c r="S617" i="1"/>
  <c r="T616" i="1"/>
  <c r="S616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T614" i="1"/>
  <c r="S614" i="1"/>
  <c r="T613" i="1"/>
  <c r="S613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T611" i="1"/>
  <c r="S611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T609" i="1"/>
  <c r="S609" i="1"/>
  <c r="T608" i="1"/>
  <c r="S608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T606" i="1"/>
  <c r="S606" i="1"/>
  <c r="T605" i="1"/>
  <c r="S605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T603" i="1"/>
  <c r="S603" i="1"/>
  <c r="T602" i="1"/>
  <c r="S602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T600" i="1"/>
  <c r="S600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T598" i="1"/>
  <c r="S598" i="1"/>
  <c r="T597" i="1"/>
  <c r="S597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T595" i="1"/>
  <c r="S595" i="1"/>
  <c r="T594" i="1"/>
  <c r="S594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T592" i="1"/>
  <c r="S592" i="1"/>
  <c r="T591" i="1"/>
  <c r="S591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T589" i="1"/>
  <c r="S589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T587" i="1"/>
  <c r="S587" i="1"/>
  <c r="T586" i="1"/>
  <c r="S586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T584" i="1"/>
  <c r="S584" i="1"/>
  <c r="T583" i="1"/>
  <c r="S583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T581" i="1"/>
  <c r="S581" i="1"/>
  <c r="T580" i="1"/>
  <c r="S580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T578" i="1"/>
  <c r="S578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T576" i="1"/>
  <c r="S576" i="1"/>
  <c r="T575" i="1"/>
  <c r="S575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T573" i="1"/>
  <c r="S573" i="1"/>
  <c r="T572" i="1"/>
  <c r="S572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T570" i="1"/>
  <c r="S570" i="1"/>
  <c r="T569" i="1"/>
  <c r="S569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T567" i="1"/>
  <c r="S567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T565" i="1"/>
  <c r="S565" i="1"/>
  <c r="T564" i="1"/>
  <c r="S564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T562" i="1"/>
  <c r="S562" i="1"/>
  <c r="T561" i="1"/>
  <c r="S561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T559" i="1"/>
  <c r="S559" i="1"/>
  <c r="T558" i="1"/>
  <c r="S558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T556" i="1"/>
  <c r="S556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T554" i="1"/>
  <c r="S554" i="1"/>
  <c r="T553" i="1"/>
  <c r="S553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T551" i="1"/>
  <c r="S551" i="1"/>
  <c r="T550" i="1"/>
  <c r="S550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T548" i="1"/>
  <c r="S548" i="1"/>
  <c r="T547" i="1"/>
  <c r="S547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T545" i="1"/>
  <c r="S545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T543" i="1"/>
  <c r="S543" i="1"/>
  <c r="T542" i="1"/>
  <c r="S542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T540" i="1"/>
  <c r="S540" i="1"/>
  <c r="T539" i="1"/>
  <c r="S539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T537" i="1"/>
  <c r="S537" i="1"/>
  <c r="T536" i="1"/>
  <c r="S536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T534" i="1"/>
  <c r="S534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T532" i="1"/>
  <c r="S532" i="1"/>
  <c r="T531" i="1"/>
  <c r="S531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T529" i="1"/>
  <c r="S529" i="1"/>
  <c r="T528" i="1"/>
  <c r="S528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T526" i="1"/>
  <c r="S526" i="1"/>
  <c r="T525" i="1"/>
  <c r="S525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T523" i="1"/>
  <c r="S523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T521" i="1"/>
  <c r="S521" i="1"/>
  <c r="T520" i="1"/>
  <c r="S520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T518" i="1"/>
  <c r="S518" i="1"/>
  <c r="T517" i="1"/>
  <c r="S517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T515" i="1"/>
  <c r="S515" i="1"/>
  <c r="T514" i="1"/>
  <c r="S514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T512" i="1"/>
  <c r="S512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T510" i="1"/>
  <c r="S510" i="1"/>
  <c r="T509" i="1"/>
  <c r="S509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T507" i="1"/>
  <c r="S507" i="1"/>
  <c r="T506" i="1"/>
  <c r="S506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T504" i="1"/>
  <c r="S504" i="1"/>
  <c r="T503" i="1"/>
  <c r="S503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T501" i="1"/>
  <c r="S501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T499" i="1"/>
  <c r="S499" i="1"/>
  <c r="T498" i="1"/>
  <c r="S498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T496" i="1"/>
  <c r="S496" i="1"/>
  <c r="T495" i="1"/>
  <c r="S495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T493" i="1"/>
  <c r="S493" i="1"/>
  <c r="T492" i="1"/>
  <c r="T494" i="1" s="1"/>
  <c r="S492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T490" i="1"/>
  <c r="S490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T488" i="1"/>
  <c r="S488" i="1"/>
  <c r="T487" i="1"/>
  <c r="S487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T485" i="1"/>
  <c r="S485" i="1"/>
  <c r="T484" i="1"/>
  <c r="S484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T482" i="1"/>
  <c r="S482" i="1"/>
  <c r="T481" i="1"/>
  <c r="T483" i="1" s="1"/>
  <c r="S481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T479" i="1"/>
  <c r="S479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T477" i="1"/>
  <c r="S477" i="1"/>
  <c r="T476" i="1"/>
  <c r="S476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T474" i="1"/>
  <c r="S474" i="1"/>
  <c r="T473" i="1"/>
  <c r="S473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T471" i="1"/>
  <c r="S471" i="1"/>
  <c r="T470" i="1"/>
  <c r="S470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T468" i="1"/>
  <c r="S468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T466" i="1"/>
  <c r="S466" i="1"/>
  <c r="T465" i="1"/>
  <c r="S465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T463" i="1"/>
  <c r="S463" i="1"/>
  <c r="T462" i="1"/>
  <c r="S462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T460" i="1"/>
  <c r="S460" i="1"/>
  <c r="T459" i="1"/>
  <c r="S459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T457" i="1"/>
  <c r="S457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T455" i="1"/>
  <c r="S455" i="1"/>
  <c r="T454" i="1"/>
  <c r="S454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T452" i="1"/>
  <c r="S452" i="1"/>
  <c r="T451" i="1"/>
  <c r="S451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T449" i="1"/>
  <c r="S449" i="1"/>
  <c r="T448" i="1"/>
  <c r="S448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T446" i="1"/>
  <c r="S446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T444" i="1"/>
  <c r="S444" i="1"/>
  <c r="T443" i="1"/>
  <c r="S443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T441" i="1"/>
  <c r="S441" i="1"/>
  <c r="T440" i="1"/>
  <c r="S440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T438" i="1"/>
  <c r="S438" i="1"/>
  <c r="T437" i="1"/>
  <c r="S437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T435" i="1"/>
  <c r="S435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T433" i="1"/>
  <c r="S433" i="1"/>
  <c r="T432" i="1"/>
  <c r="S432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T430" i="1"/>
  <c r="S430" i="1"/>
  <c r="T429" i="1"/>
  <c r="S429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T427" i="1"/>
  <c r="S427" i="1"/>
  <c r="T426" i="1"/>
  <c r="S426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T424" i="1"/>
  <c r="S424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T422" i="1"/>
  <c r="S422" i="1"/>
  <c r="T421" i="1"/>
  <c r="S421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T419" i="1"/>
  <c r="S419" i="1"/>
  <c r="T418" i="1"/>
  <c r="S418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T416" i="1"/>
  <c r="S416" i="1"/>
  <c r="T415" i="1"/>
  <c r="S415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T413" i="1"/>
  <c r="S413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T411" i="1"/>
  <c r="S411" i="1"/>
  <c r="T410" i="1"/>
  <c r="S410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T408" i="1"/>
  <c r="S408" i="1"/>
  <c r="T407" i="1"/>
  <c r="S407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T405" i="1"/>
  <c r="S405" i="1"/>
  <c r="T404" i="1"/>
  <c r="S404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T402" i="1"/>
  <c r="S402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T400" i="1"/>
  <c r="S400" i="1"/>
  <c r="T399" i="1"/>
  <c r="S399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T397" i="1"/>
  <c r="S397" i="1"/>
  <c r="T396" i="1"/>
  <c r="S396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T394" i="1"/>
  <c r="S394" i="1"/>
  <c r="T393" i="1"/>
  <c r="S393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T391" i="1"/>
  <c r="S391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T389" i="1"/>
  <c r="S389" i="1"/>
  <c r="T388" i="1"/>
  <c r="S388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T386" i="1"/>
  <c r="S386" i="1"/>
  <c r="T385" i="1"/>
  <c r="S385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T383" i="1"/>
  <c r="S383" i="1"/>
  <c r="T382" i="1"/>
  <c r="S382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T380" i="1"/>
  <c r="S380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T378" i="1"/>
  <c r="S378" i="1"/>
  <c r="T377" i="1"/>
  <c r="S377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T375" i="1"/>
  <c r="S375" i="1"/>
  <c r="T374" i="1"/>
  <c r="S374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T372" i="1"/>
  <c r="S372" i="1"/>
  <c r="T371" i="1"/>
  <c r="S371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T369" i="1"/>
  <c r="S369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T367" i="1"/>
  <c r="S367" i="1"/>
  <c r="T366" i="1"/>
  <c r="S366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T364" i="1"/>
  <c r="S364" i="1"/>
  <c r="T363" i="1"/>
  <c r="S363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T361" i="1"/>
  <c r="S361" i="1"/>
  <c r="T360" i="1"/>
  <c r="S360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T358" i="1"/>
  <c r="S358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T356" i="1"/>
  <c r="S356" i="1"/>
  <c r="T355" i="1"/>
  <c r="S355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T353" i="1"/>
  <c r="S353" i="1"/>
  <c r="T352" i="1"/>
  <c r="S352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T350" i="1"/>
  <c r="S350" i="1"/>
  <c r="T349" i="1"/>
  <c r="S349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T347" i="1"/>
  <c r="S347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T345" i="1"/>
  <c r="S345" i="1"/>
  <c r="T344" i="1"/>
  <c r="S344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T342" i="1"/>
  <c r="S342" i="1"/>
  <c r="T341" i="1"/>
  <c r="S341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T339" i="1"/>
  <c r="S339" i="1"/>
  <c r="T338" i="1"/>
  <c r="S338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T336" i="1"/>
  <c r="S336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T334" i="1"/>
  <c r="S334" i="1"/>
  <c r="T333" i="1"/>
  <c r="S333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T331" i="1"/>
  <c r="S331" i="1"/>
  <c r="T330" i="1"/>
  <c r="S330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T328" i="1"/>
  <c r="S328" i="1"/>
  <c r="T327" i="1"/>
  <c r="S327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T325" i="1"/>
  <c r="S325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T323" i="1"/>
  <c r="S323" i="1"/>
  <c r="T322" i="1"/>
  <c r="S322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T320" i="1"/>
  <c r="S320" i="1"/>
  <c r="T319" i="1"/>
  <c r="S319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T317" i="1"/>
  <c r="S317" i="1"/>
  <c r="T316" i="1"/>
  <c r="T318" i="1" s="1"/>
  <c r="S316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T314" i="1"/>
  <c r="S314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T312" i="1"/>
  <c r="S312" i="1"/>
  <c r="T311" i="1"/>
  <c r="S311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T309" i="1"/>
  <c r="S309" i="1"/>
  <c r="T308" i="1"/>
  <c r="S308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T306" i="1"/>
  <c r="S306" i="1"/>
  <c r="T305" i="1"/>
  <c r="S305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T303" i="1"/>
  <c r="S303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T301" i="1"/>
  <c r="S301" i="1"/>
  <c r="T300" i="1"/>
  <c r="S300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T298" i="1"/>
  <c r="S298" i="1"/>
  <c r="T297" i="1"/>
  <c r="S297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T295" i="1"/>
  <c r="S295" i="1"/>
  <c r="T294" i="1"/>
  <c r="S294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T292" i="1"/>
  <c r="S292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T290" i="1"/>
  <c r="S290" i="1"/>
  <c r="T289" i="1"/>
  <c r="S289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T287" i="1"/>
  <c r="S287" i="1"/>
  <c r="T286" i="1"/>
  <c r="S286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T284" i="1"/>
  <c r="S284" i="1"/>
  <c r="T283" i="1"/>
  <c r="S283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T281" i="1"/>
  <c r="S281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T279" i="1"/>
  <c r="S279" i="1"/>
  <c r="T278" i="1"/>
  <c r="S278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T276" i="1"/>
  <c r="S276" i="1"/>
  <c r="T275" i="1"/>
  <c r="S275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T273" i="1"/>
  <c r="S273" i="1"/>
  <c r="T272" i="1"/>
  <c r="S272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T270" i="1"/>
  <c r="S270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T268" i="1"/>
  <c r="S268" i="1"/>
  <c r="T267" i="1"/>
  <c r="S267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T265" i="1"/>
  <c r="S265" i="1"/>
  <c r="T264" i="1"/>
  <c r="S264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T262" i="1"/>
  <c r="S262" i="1"/>
  <c r="T261" i="1"/>
  <c r="S261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T259" i="1"/>
  <c r="S259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T257" i="1"/>
  <c r="S257" i="1"/>
  <c r="T256" i="1"/>
  <c r="S256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T254" i="1"/>
  <c r="S254" i="1"/>
  <c r="T253" i="1"/>
  <c r="S253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T251" i="1"/>
  <c r="S251" i="1"/>
  <c r="T250" i="1"/>
  <c r="S250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T248" i="1"/>
  <c r="S248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T246" i="1"/>
  <c r="S246" i="1"/>
  <c r="T245" i="1"/>
  <c r="S245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T243" i="1"/>
  <c r="S243" i="1"/>
  <c r="T242" i="1"/>
  <c r="S242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T240" i="1"/>
  <c r="S240" i="1"/>
  <c r="T239" i="1"/>
  <c r="S239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T237" i="1"/>
  <c r="S237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T235" i="1"/>
  <c r="S235" i="1"/>
  <c r="T234" i="1"/>
  <c r="S234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T232" i="1"/>
  <c r="S232" i="1"/>
  <c r="T231" i="1"/>
  <c r="S231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T229" i="1"/>
  <c r="S229" i="1"/>
  <c r="T228" i="1"/>
  <c r="S228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T226" i="1"/>
  <c r="S226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T224" i="1"/>
  <c r="S224" i="1"/>
  <c r="T223" i="1"/>
  <c r="S223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T221" i="1"/>
  <c r="S221" i="1"/>
  <c r="T220" i="1"/>
  <c r="S220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T218" i="1"/>
  <c r="S218" i="1"/>
  <c r="T217" i="1"/>
  <c r="S217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T215" i="1"/>
  <c r="S215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T213" i="1"/>
  <c r="S213" i="1"/>
  <c r="T212" i="1"/>
  <c r="S212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T210" i="1"/>
  <c r="S210" i="1"/>
  <c r="T209" i="1"/>
  <c r="S209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T207" i="1"/>
  <c r="S207" i="1"/>
  <c r="T206" i="1"/>
  <c r="S206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T204" i="1"/>
  <c r="S204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T202" i="1"/>
  <c r="S202" i="1"/>
  <c r="T201" i="1"/>
  <c r="S201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T199" i="1"/>
  <c r="S199" i="1"/>
  <c r="T198" i="1"/>
  <c r="S198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T196" i="1"/>
  <c r="S196" i="1"/>
  <c r="T195" i="1"/>
  <c r="S195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T193" i="1"/>
  <c r="S193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T191" i="1"/>
  <c r="S191" i="1"/>
  <c r="T190" i="1"/>
  <c r="S190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T188" i="1"/>
  <c r="S188" i="1"/>
  <c r="T187" i="1"/>
  <c r="S187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T185" i="1"/>
  <c r="S185" i="1"/>
  <c r="T184" i="1"/>
  <c r="S184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T182" i="1"/>
  <c r="S182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T180" i="1"/>
  <c r="S180" i="1"/>
  <c r="T179" i="1"/>
  <c r="S179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T177" i="1"/>
  <c r="S177" i="1"/>
  <c r="T176" i="1"/>
  <c r="S176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T174" i="1"/>
  <c r="S174" i="1"/>
  <c r="T173" i="1"/>
  <c r="S173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T171" i="1"/>
  <c r="S171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T169" i="1"/>
  <c r="S169" i="1"/>
  <c r="T168" i="1"/>
  <c r="S168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T166" i="1"/>
  <c r="S166" i="1"/>
  <c r="T165" i="1"/>
  <c r="S165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T163" i="1"/>
  <c r="S163" i="1"/>
  <c r="T162" i="1"/>
  <c r="S162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T160" i="1"/>
  <c r="S160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T158" i="1"/>
  <c r="S158" i="1"/>
  <c r="T157" i="1"/>
  <c r="S157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T155" i="1"/>
  <c r="S155" i="1"/>
  <c r="T154" i="1"/>
  <c r="S154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T152" i="1"/>
  <c r="S152" i="1"/>
  <c r="T151" i="1"/>
  <c r="S151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T149" i="1"/>
  <c r="S149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T147" i="1"/>
  <c r="S147" i="1"/>
  <c r="T146" i="1"/>
  <c r="S146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T144" i="1"/>
  <c r="S144" i="1"/>
  <c r="T143" i="1"/>
  <c r="T145" i="1" s="1"/>
  <c r="S143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T141" i="1"/>
  <c r="S141" i="1"/>
  <c r="T140" i="1"/>
  <c r="T142" i="1" s="1"/>
  <c r="S140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T138" i="1"/>
  <c r="S138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T136" i="1"/>
  <c r="S136" i="1"/>
  <c r="T135" i="1"/>
  <c r="S135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T133" i="1"/>
  <c r="S133" i="1"/>
  <c r="T132" i="1"/>
  <c r="S132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T130" i="1"/>
  <c r="S130" i="1"/>
  <c r="T129" i="1"/>
  <c r="S129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T127" i="1"/>
  <c r="S127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T125" i="1"/>
  <c r="S125" i="1"/>
  <c r="T124" i="1"/>
  <c r="S124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T122" i="1"/>
  <c r="S122" i="1"/>
  <c r="T121" i="1"/>
  <c r="S121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T119" i="1"/>
  <c r="S119" i="1"/>
  <c r="T118" i="1"/>
  <c r="S118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T116" i="1"/>
  <c r="S116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T114" i="1"/>
  <c r="S114" i="1"/>
  <c r="T113" i="1"/>
  <c r="S113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T111" i="1"/>
  <c r="S111" i="1"/>
  <c r="T110" i="1"/>
  <c r="S110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T108" i="1"/>
  <c r="S108" i="1"/>
  <c r="T107" i="1"/>
  <c r="S107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T105" i="1"/>
  <c r="S105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T103" i="1"/>
  <c r="S103" i="1"/>
  <c r="T102" i="1"/>
  <c r="S102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T100" i="1"/>
  <c r="S100" i="1"/>
  <c r="T99" i="1"/>
  <c r="S99" i="1"/>
  <c r="R98" i="1"/>
  <c r="Q98" i="1"/>
  <c r="P98" i="1"/>
  <c r="O98" i="1"/>
  <c r="N98" i="1"/>
  <c r="M98" i="1"/>
  <c r="L98" i="1"/>
  <c r="K98" i="1"/>
  <c r="J98" i="1"/>
  <c r="I98" i="1"/>
  <c r="H98" i="1"/>
  <c r="G98" i="1"/>
  <c r="T97" i="1"/>
  <c r="S97" i="1"/>
  <c r="T96" i="1"/>
  <c r="S96" i="1"/>
  <c r="R95" i="1"/>
  <c r="Q95" i="1"/>
  <c r="P95" i="1"/>
  <c r="O95" i="1"/>
  <c r="N95" i="1"/>
  <c r="M95" i="1"/>
  <c r="L95" i="1"/>
  <c r="K95" i="1"/>
  <c r="J95" i="1"/>
  <c r="I95" i="1"/>
  <c r="H95" i="1"/>
  <c r="G95" i="1"/>
  <c r="T94" i="1"/>
  <c r="S94" i="1"/>
  <c r="R93" i="1"/>
  <c r="Q93" i="1"/>
  <c r="P93" i="1"/>
  <c r="O93" i="1"/>
  <c r="N93" i="1"/>
  <c r="M93" i="1"/>
  <c r="L93" i="1"/>
  <c r="K93" i="1"/>
  <c r="J93" i="1"/>
  <c r="I93" i="1"/>
  <c r="H93" i="1"/>
  <c r="G93" i="1"/>
  <c r="T92" i="1"/>
  <c r="S92" i="1"/>
  <c r="T91" i="1"/>
  <c r="S91" i="1"/>
  <c r="R90" i="1"/>
  <c r="Q90" i="1"/>
  <c r="P90" i="1"/>
  <c r="O90" i="1"/>
  <c r="N90" i="1"/>
  <c r="M90" i="1"/>
  <c r="L90" i="1"/>
  <c r="K90" i="1"/>
  <c r="J90" i="1"/>
  <c r="I90" i="1"/>
  <c r="H90" i="1"/>
  <c r="G90" i="1"/>
  <c r="T89" i="1"/>
  <c r="S89" i="1"/>
  <c r="T88" i="1"/>
  <c r="S88" i="1"/>
  <c r="R87" i="1"/>
  <c r="Q87" i="1"/>
  <c r="P87" i="1"/>
  <c r="O87" i="1"/>
  <c r="N87" i="1"/>
  <c r="M87" i="1"/>
  <c r="L87" i="1"/>
  <c r="K87" i="1"/>
  <c r="J87" i="1"/>
  <c r="I87" i="1"/>
  <c r="H87" i="1"/>
  <c r="G87" i="1"/>
  <c r="T86" i="1"/>
  <c r="S86" i="1"/>
  <c r="T85" i="1"/>
  <c r="S85" i="1"/>
  <c r="R84" i="1"/>
  <c r="Q84" i="1"/>
  <c r="P84" i="1"/>
  <c r="O84" i="1"/>
  <c r="N84" i="1"/>
  <c r="M84" i="1"/>
  <c r="L84" i="1"/>
  <c r="K84" i="1"/>
  <c r="J84" i="1"/>
  <c r="I84" i="1"/>
  <c r="H84" i="1"/>
  <c r="G84" i="1"/>
  <c r="T83" i="1"/>
  <c r="S83" i="1"/>
  <c r="R82" i="1"/>
  <c r="Q82" i="1"/>
  <c r="P82" i="1"/>
  <c r="O82" i="1"/>
  <c r="N82" i="1"/>
  <c r="M82" i="1"/>
  <c r="L82" i="1"/>
  <c r="K82" i="1"/>
  <c r="J82" i="1"/>
  <c r="I82" i="1"/>
  <c r="H82" i="1"/>
  <c r="G82" i="1"/>
  <c r="T81" i="1"/>
  <c r="S81" i="1"/>
  <c r="T80" i="1"/>
  <c r="S80" i="1"/>
  <c r="R79" i="1"/>
  <c r="Q79" i="1"/>
  <c r="P79" i="1"/>
  <c r="O79" i="1"/>
  <c r="N79" i="1"/>
  <c r="M79" i="1"/>
  <c r="L79" i="1"/>
  <c r="K79" i="1"/>
  <c r="J79" i="1"/>
  <c r="I79" i="1"/>
  <c r="H79" i="1"/>
  <c r="G79" i="1"/>
  <c r="T78" i="1"/>
  <c r="S78" i="1"/>
  <c r="T77" i="1"/>
  <c r="S77" i="1"/>
  <c r="R76" i="1"/>
  <c r="Q76" i="1"/>
  <c r="P76" i="1"/>
  <c r="O76" i="1"/>
  <c r="N76" i="1"/>
  <c r="M76" i="1"/>
  <c r="L76" i="1"/>
  <c r="K76" i="1"/>
  <c r="J76" i="1"/>
  <c r="I76" i="1"/>
  <c r="H76" i="1"/>
  <c r="G76" i="1"/>
  <c r="T75" i="1"/>
  <c r="S75" i="1"/>
  <c r="T74" i="1"/>
  <c r="S74" i="1"/>
  <c r="R73" i="1"/>
  <c r="Q73" i="1"/>
  <c r="P73" i="1"/>
  <c r="O73" i="1"/>
  <c r="N73" i="1"/>
  <c r="M73" i="1"/>
  <c r="L73" i="1"/>
  <c r="K73" i="1"/>
  <c r="J73" i="1"/>
  <c r="I73" i="1"/>
  <c r="H73" i="1"/>
  <c r="G73" i="1"/>
  <c r="T72" i="1"/>
  <c r="S72" i="1"/>
  <c r="R71" i="1"/>
  <c r="Q71" i="1"/>
  <c r="P71" i="1"/>
  <c r="O71" i="1"/>
  <c r="N71" i="1"/>
  <c r="M71" i="1"/>
  <c r="L71" i="1"/>
  <c r="K71" i="1"/>
  <c r="J71" i="1"/>
  <c r="I71" i="1"/>
  <c r="H71" i="1"/>
  <c r="G71" i="1"/>
  <c r="T70" i="1"/>
  <c r="S70" i="1"/>
  <c r="T69" i="1"/>
  <c r="S69" i="1"/>
  <c r="R68" i="1"/>
  <c r="Q68" i="1"/>
  <c r="P68" i="1"/>
  <c r="O68" i="1"/>
  <c r="N68" i="1"/>
  <c r="M68" i="1"/>
  <c r="L68" i="1"/>
  <c r="K68" i="1"/>
  <c r="J68" i="1"/>
  <c r="I68" i="1"/>
  <c r="H68" i="1"/>
  <c r="G68" i="1"/>
  <c r="T67" i="1"/>
  <c r="S67" i="1"/>
  <c r="T66" i="1"/>
  <c r="S66" i="1"/>
  <c r="R65" i="1"/>
  <c r="Q65" i="1"/>
  <c r="P65" i="1"/>
  <c r="O65" i="1"/>
  <c r="N65" i="1"/>
  <c r="M65" i="1"/>
  <c r="L65" i="1"/>
  <c r="K65" i="1"/>
  <c r="J65" i="1"/>
  <c r="I65" i="1"/>
  <c r="H65" i="1"/>
  <c r="G65" i="1"/>
  <c r="T64" i="1"/>
  <c r="S64" i="1"/>
  <c r="T63" i="1"/>
  <c r="S63" i="1"/>
  <c r="R62" i="1"/>
  <c r="Q62" i="1"/>
  <c r="P62" i="1"/>
  <c r="O62" i="1"/>
  <c r="N62" i="1"/>
  <c r="M62" i="1"/>
  <c r="L62" i="1"/>
  <c r="K62" i="1"/>
  <c r="J62" i="1"/>
  <c r="I62" i="1"/>
  <c r="H62" i="1"/>
  <c r="G62" i="1"/>
  <c r="T61" i="1"/>
  <c r="S61" i="1"/>
  <c r="R60" i="1"/>
  <c r="Q60" i="1"/>
  <c r="P60" i="1"/>
  <c r="O60" i="1"/>
  <c r="N60" i="1"/>
  <c r="M60" i="1"/>
  <c r="L60" i="1"/>
  <c r="K60" i="1"/>
  <c r="J60" i="1"/>
  <c r="I60" i="1"/>
  <c r="H60" i="1"/>
  <c r="G60" i="1"/>
  <c r="T59" i="1"/>
  <c r="S59" i="1"/>
  <c r="T58" i="1"/>
  <c r="S58" i="1"/>
  <c r="R57" i="1"/>
  <c r="Q57" i="1"/>
  <c r="P57" i="1"/>
  <c r="O57" i="1"/>
  <c r="N57" i="1"/>
  <c r="M57" i="1"/>
  <c r="L57" i="1"/>
  <c r="K57" i="1"/>
  <c r="J57" i="1"/>
  <c r="I57" i="1"/>
  <c r="H57" i="1"/>
  <c r="G57" i="1"/>
  <c r="T56" i="1"/>
  <c r="S56" i="1"/>
  <c r="T55" i="1"/>
  <c r="S55" i="1"/>
  <c r="R54" i="1"/>
  <c r="Q54" i="1"/>
  <c r="P54" i="1"/>
  <c r="O54" i="1"/>
  <c r="N54" i="1"/>
  <c r="M54" i="1"/>
  <c r="L54" i="1"/>
  <c r="K54" i="1"/>
  <c r="J54" i="1"/>
  <c r="I54" i="1"/>
  <c r="H54" i="1"/>
  <c r="G54" i="1"/>
  <c r="T53" i="1"/>
  <c r="S53" i="1"/>
  <c r="T52" i="1"/>
  <c r="S52" i="1"/>
  <c r="R51" i="1"/>
  <c r="Q51" i="1"/>
  <c r="P51" i="1"/>
  <c r="O51" i="1"/>
  <c r="N51" i="1"/>
  <c r="M51" i="1"/>
  <c r="L51" i="1"/>
  <c r="K51" i="1"/>
  <c r="J51" i="1"/>
  <c r="I51" i="1"/>
  <c r="H51" i="1"/>
  <c r="G51" i="1"/>
  <c r="T50" i="1"/>
  <c r="S50" i="1"/>
  <c r="R49" i="1"/>
  <c r="Q49" i="1"/>
  <c r="P49" i="1"/>
  <c r="O49" i="1"/>
  <c r="N49" i="1"/>
  <c r="M49" i="1"/>
  <c r="L49" i="1"/>
  <c r="K49" i="1"/>
  <c r="J49" i="1"/>
  <c r="I49" i="1"/>
  <c r="H49" i="1"/>
  <c r="G49" i="1"/>
  <c r="T48" i="1"/>
  <c r="S48" i="1"/>
  <c r="T47" i="1"/>
  <c r="S47" i="1"/>
  <c r="R46" i="1"/>
  <c r="Q46" i="1"/>
  <c r="P46" i="1"/>
  <c r="O46" i="1"/>
  <c r="N46" i="1"/>
  <c r="M46" i="1"/>
  <c r="L46" i="1"/>
  <c r="K46" i="1"/>
  <c r="J46" i="1"/>
  <c r="I46" i="1"/>
  <c r="H46" i="1"/>
  <c r="G46" i="1"/>
  <c r="T45" i="1"/>
  <c r="S45" i="1"/>
  <c r="T44" i="1"/>
  <c r="S44" i="1"/>
  <c r="R43" i="1"/>
  <c r="Q43" i="1"/>
  <c r="P43" i="1"/>
  <c r="O43" i="1"/>
  <c r="N43" i="1"/>
  <c r="M43" i="1"/>
  <c r="L43" i="1"/>
  <c r="K43" i="1"/>
  <c r="J43" i="1"/>
  <c r="I43" i="1"/>
  <c r="H43" i="1"/>
  <c r="G43" i="1"/>
  <c r="T42" i="1"/>
  <c r="S42" i="1"/>
  <c r="T41" i="1"/>
  <c r="S41" i="1"/>
  <c r="R40" i="1"/>
  <c r="Q40" i="1"/>
  <c r="P40" i="1"/>
  <c r="O40" i="1"/>
  <c r="N40" i="1"/>
  <c r="M40" i="1"/>
  <c r="L40" i="1"/>
  <c r="K40" i="1"/>
  <c r="J40" i="1"/>
  <c r="I40" i="1"/>
  <c r="H40" i="1"/>
  <c r="G40" i="1"/>
  <c r="T39" i="1"/>
  <c r="S39" i="1"/>
  <c r="R38" i="1"/>
  <c r="Q38" i="1"/>
  <c r="P38" i="1"/>
  <c r="O38" i="1"/>
  <c r="N38" i="1"/>
  <c r="M38" i="1"/>
  <c r="L38" i="1"/>
  <c r="K38" i="1"/>
  <c r="J38" i="1"/>
  <c r="I38" i="1"/>
  <c r="H38" i="1"/>
  <c r="G38" i="1"/>
  <c r="T37" i="1"/>
  <c r="S37" i="1"/>
  <c r="T36" i="1"/>
  <c r="S36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R35" i="1"/>
  <c r="Q35" i="1"/>
  <c r="P35" i="1"/>
  <c r="O35" i="1"/>
  <c r="N35" i="1"/>
  <c r="M35" i="1"/>
  <c r="L35" i="1"/>
  <c r="K35" i="1"/>
  <c r="J35" i="1"/>
  <c r="I35" i="1"/>
  <c r="H35" i="1"/>
  <c r="G35" i="1"/>
  <c r="T34" i="1"/>
  <c r="S34" i="1"/>
  <c r="T33" i="1"/>
  <c r="S33" i="1"/>
  <c r="R32" i="1"/>
  <c r="Q32" i="1"/>
  <c r="P32" i="1"/>
  <c r="O32" i="1"/>
  <c r="N32" i="1"/>
  <c r="M32" i="1"/>
  <c r="L32" i="1"/>
  <c r="K32" i="1"/>
  <c r="J32" i="1"/>
  <c r="I32" i="1"/>
  <c r="H32" i="1"/>
  <c r="G32" i="1"/>
  <c r="T31" i="1"/>
  <c r="S31" i="1"/>
  <c r="T30" i="1"/>
  <c r="S30" i="1"/>
  <c r="R29" i="1"/>
  <c r="Q29" i="1"/>
  <c r="P29" i="1"/>
  <c r="O29" i="1"/>
  <c r="N29" i="1"/>
  <c r="M29" i="1"/>
  <c r="L29" i="1"/>
  <c r="K29" i="1"/>
  <c r="J29" i="1"/>
  <c r="I29" i="1"/>
  <c r="H29" i="1"/>
  <c r="G29" i="1"/>
  <c r="T28" i="1"/>
  <c r="S28" i="1"/>
  <c r="R27" i="1"/>
  <c r="Q27" i="1"/>
  <c r="P27" i="1"/>
  <c r="O27" i="1"/>
  <c r="N27" i="1"/>
  <c r="M27" i="1"/>
  <c r="L27" i="1"/>
  <c r="K27" i="1"/>
  <c r="J27" i="1"/>
  <c r="I27" i="1"/>
  <c r="H27" i="1"/>
  <c r="G27" i="1"/>
  <c r="T26" i="1"/>
  <c r="S26" i="1"/>
  <c r="T25" i="1"/>
  <c r="S25" i="1"/>
  <c r="R24" i="1"/>
  <c r="Q24" i="1"/>
  <c r="P24" i="1"/>
  <c r="O24" i="1"/>
  <c r="N24" i="1"/>
  <c r="M24" i="1"/>
  <c r="L24" i="1"/>
  <c r="K24" i="1"/>
  <c r="J24" i="1"/>
  <c r="I24" i="1"/>
  <c r="H24" i="1"/>
  <c r="G24" i="1"/>
  <c r="T23" i="1"/>
  <c r="S23" i="1"/>
  <c r="T22" i="1"/>
  <c r="S22" i="1"/>
  <c r="R21" i="1"/>
  <c r="Q21" i="1"/>
  <c r="P21" i="1"/>
  <c r="O21" i="1"/>
  <c r="N21" i="1"/>
  <c r="M21" i="1"/>
  <c r="L21" i="1"/>
  <c r="K21" i="1"/>
  <c r="J21" i="1"/>
  <c r="I21" i="1"/>
  <c r="H21" i="1"/>
  <c r="G21" i="1"/>
  <c r="T20" i="1"/>
  <c r="S20" i="1"/>
  <c r="T19" i="1"/>
  <c r="S19" i="1"/>
  <c r="R18" i="1"/>
  <c r="Q18" i="1"/>
  <c r="P18" i="1"/>
  <c r="O18" i="1"/>
  <c r="N18" i="1"/>
  <c r="M18" i="1"/>
  <c r="L18" i="1"/>
  <c r="K18" i="1"/>
  <c r="J18" i="1"/>
  <c r="I18" i="1"/>
  <c r="H18" i="1"/>
  <c r="G18" i="1"/>
  <c r="T17" i="1"/>
  <c r="S17" i="1"/>
  <c r="R16" i="1"/>
  <c r="Q16" i="1"/>
  <c r="P16" i="1"/>
  <c r="O16" i="1"/>
  <c r="N16" i="1"/>
  <c r="M16" i="1"/>
  <c r="L16" i="1"/>
  <c r="I16" i="1"/>
  <c r="H16" i="1"/>
  <c r="G16" i="1"/>
  <c r="T15" i="1"/>
  <c r="S15" i="1"/>
  <c r="T14" i="1"/>
  <c r="S14" i="1"/>
  <c r="R13" i="1"/>
  <c r="Q13" i="1"/>
  <c r="P13" i="1"/>
  <c r="O13" i="1"/>
  <c r="N13" i="1"/>
  <c r="M13" i="1"/>
  <c r="L13" i="1"/>
  <c r="K13" i="1"/>
  <c r="J13" i="1"/>
  <c r="I13" i="1"/>
  <c r="H13" i="1"/>
  <c r="G13" i="1"/>
  <c r="T12" i="1"/>
  <c r="S12" i="1"/>
  <c r="T11" i="1"/>
  <c r="S11" i="1"/>
  <c r="R10" i="1"/>
  <c r="Q10" i="1"/>
  <c r="P10" i="1"/>
  <c r="O10" i="1"/>
  <c r="N10" i="1"/>
  <c r="M10" i="1"/>
  <c r="L10" i="1"/>
  <c r="K10" i="1"/>
  <c r="J10" i="1"/>
  <c r="I10" i="1"/>
  <c r="H10" i="1"/>
  <c r="G10" i="1"/>
  <c r="T9" i="1"/>
  <c r="S9" i="1"/>
  <c r="T8" i="1"/>
  <c r="S8" i="1"/>
  <c r="R7" i="1"/>
  <c r="Q7" i="1"/>
  <c r="P7" i="1"/>
  <c r="O7" i="1"/>
  <c r="N7" i="1"/>
  <c r="M7" i="1"/>
  <c r="L7" i="1"/>
  <c r="K7" i="1"/>
  <c r="J7" i="1"/>
  <c r="I7" i="1"/>
  <c r="H7" i="1"/>
  <c r="T6" i="1"/>
  <c r="S6" i="1"/>
  <c r="R5" i="1"/>
  <c r="Q5" i="1"/>
  <c r="P5" i="1"/>
  <c r="O5" i="1"/>
  <c r="N5" i="1"/>
  <c r="M5" i="1"/>
  <c r="L5" i="1"/>
  <c r="K5" i="1"/>
  <c r="J5" i="1"/>
  <c r="I5" i="1"/>
  <c r="H5" i="1"/>
  <c r="G5" i="1"/>
  <c r="T4" i="1"/>
  <c r="S4" i="1"/>
  <c r="T3" i="1"/>
  <c r="S3" i="1"/>
  <c r="T500" i="1" l="1"/>
  <c r="T502" i="1"/>
  <c r="T148" i="1"/>
  <c r="S637" i="1"/>
  <c r="T901" i="1"/>
  <c r="T907" i="1"/>
  <c r="T876" i="1"/>
  <c r="T931" i="1"/>
  <c r="T788" i="1"/>
  <c r="T849" i="1"/>
  <c r="T854" i="1"/>
  <c r="T945" i="1"/>
  <c r="T951" i="1"/>
  <c r="T863" i="1"/>
  <c r="T865" i="1"/>
  <c r="T35" i="1"/>
  <c r="T879" i="1"/>
  <c r="T887" i="1"/>
  <c r="S972" i="1"/>
  <c r="T972" i="1" s="1"/>
  <c r="T970" i="1"/>
  <c r="T766" i="1"/>
  <c r="T549" i="1"/>
  <c r="T555" i="1"/>
  <c r="T912" i="1"/>
  <c r="T918" i="1"/>
  <c r="T802" i="1"/>
  <c r="T890" i="1"/>
  <c r="T896" i="1"/>
  <c r="T777" i="1"/>
  <c r="T832" i="1"/>
  <c r="T164" i="1"/>
  <c r="T343" i="1"/>
  <c r="T428" i="1"/>
  <c r="T431" i="1"/>
  <c r="T128" i="1"/>
  <c r="T843" i="1"/>
  <c r="T821" i="1"/>
  <c r="T117" i="1"/>
  <c r="T937" i="1"/>
  <c r="T942" i="1"/>
  <c r="T505" i="1"/>
  <c r="T511" i="1"/>
  <c r="T513" i="1"/>
  <c r="T593" i="1"/>
  <c r="T596" i="1"/>
  <c r="T599" i="1"/>
  <c r="T601" i="1"/>
  <c r="T846" i="1"/>
  <c r="T516" i="1"/>
  <c r="T522" i="1"/>
  <c r="T524" i="1"/>
  <c r="T604" i="1"/>
  <c r="T934" i="1"/>
  <c r="T953" i="1"/>
  <c r="T791" i="1"/>
  <c r="T794" i="1"/>
  <c r="T923" i="1"/>
  <c r="T929" i="1"/>
  <c r="T868" i="1"/>
  <c r="T874" i="1"/>
  <c r="T885" i="1"/>
  <c r="T486" i="1"/>
  <c r="T120" i="1"/>
  <c r="T835" i="1"/>
  <c r="T838" i="1"/>
  <c r="T841" i="1"/>
  <c r="T964" i="1"/>
  <c r="T126" i="1"/>
  <c r="T109" i="1"/>
  <c r="T115" i="1"/>
  <c r="T824" i="1"/>
  <c r="T830" i="1"/>
  <c r="T860" i="1"/>
  <c r="S458" i="1"/>
  <c r="S49" i="1"/>
  <c r="S142" i="1"/>
  <c r="S148" i="1"/>
  <c r="S582" i="1"/>
  <c r="S588" i="1"/>
  <c r="S590" i="1"/>
  <c r="S43" i="1"/>
  <c r="S145" i="1"/>
  <c r="S832" i="1"/>
  <c r="S846" i="1"/>
  <c r="S857" i="1"/>
  <c r="S863" i="1"/>
  <c r="S821" i="1"/>
  <c r="S601" i="1"/>
  <c r="S505" i="1"/>
  <c r="S511" i="1"/>
  <c r="S835" i="1"/>
  <c r="S838" i="1"/>
  <c r="S841" i="1"/>
  <c r="S852" i="1"/>
  <c r="S109" i="1"/>
  <c r="S115" i="1"/>
  <c r="S879" i="1"/>
  <c r="S38" i="1"/>
  <c r="S131" i="1"/>
  <c r="S137" i="1"/>
  <c r="S307" i="1"/>
  <c r="S313" i="1"/>
  <c r="S868" i="1"/>
  <c r="S874" i="1"/>
  <c r="S970" i="1"/>
  <c r="S959" i="1"/>
  <c r="S964" i="1"/>
  <c r="S942" i="1"/>
  <c r="S926" i="1"/>
  <c r="S931" i="1"/>
  <c r="S915" i="1"/>
  <c r="S920" i="1"/>
  <c r="S502" i="1"/>
  <c r="S909" i="1"/>
  <c r="S898" i="1"/>
  <c r="S876" i="1"/>
  <c r="S887" i="1"/>
  <c r="S865" i="1"/>
  <c r="S469" i="1"/>
  <c r="S480" i="1"/>
  <c r="S854" i="1"/>
  <c r="S494" i="1"/>
  <c r="S500" i="1"/>
  <c r="S780" i="1"/>
  <c r="S786" i="1"/>
  <c r="S788" i="1"/>
  <c r="S967" i="1"/>
  <c r="S73" i="1"/>
  <c r="S483" i="1"/>
  <c r="S486" i="1"/>
  <c r="S489" i="1"/>
  <c r="S491" i="1"/>
  <c r="S98" i="1"/>
  <c r="S104" i="1"/>
  <c r="S472" i="1"/>
  <c r="S478" i="1"/>
  <c r="S808" i="1"/>
  <c r="S32" i="1"/>
  <c r="S824" i="1"/>
  <c r="S830" i="1"/>
  <c r="S885" i="1"/>
  <c r="S890" i="1"/>
  <c r="S896" i="1"/>
  <c r="S901" i="1"/>
  <c r="S907" i="1"/>
  <c r="S940" i="1"/>
  <c r="S948" i="1"/>
  <c r="S953" i="1"/>
  <c r="S813" i="1"/>
  <c r="S819" i="1"/>
  <c r="S843" i="1"/>
  <c r="S406" i="1"/>
  <c r="S409" i="1"/>
  <c r="S412" i="1"/>
  <c r="S516" i="1"/>
  <c r="S522" i="1"/>
  <c r="S791" i="1"/>
  <c r="S794" i="1"/>
  <c r="S461" i="1"/>
  <c r="S467" i="1"/>
  <c r="T472" i="1"/>
  <c r="T475" i="1"/>
  <c r="S747" i="1"/>
  <c r="S450" i="1"/>
  <c r="S456" i="1"/>
  <c r="T959" i="1"/>
  <c r="S447" i="1"/>
  <c r="S816" i="1"/>
  <c r="S827" i="1"/>
  <c r="T852" i="1"/>
  <c r="T857" i="1"/>
  <c r="S912" i="1"/>
  <c r="S918" i="1"/>
  <c r="S923" i="1"/>
  <c r="S929" i="1"/>
  <c r="S934" i="1"/>
  <c r="T948" i="1"/>
  <c r="T816" i="1"/>
  <c r="T827" i="1"/>
  <c r="S849" i="1"/>
  <c r="S860" i="1"/>
  <c r="S871" i="1"/>
  <c r="T940" i="1"/>
  <c r="T458" i="1"/>
  <c r="T10" i="1"/>
  <c r="T13" i="1"/>
  <c r="S54" i="1"/>
  <c r="S60" i="1"/>
  <c r="S153" i="1"/>
  <c r="S159" i="1"/>
  <c r="S417" i="1"/>
  <c r="S420" i="1"/>
  <c r="S423" i="1"/>
  <c r="S436" i="1"/>
  <c r="T871" i="1"/>
  <c r="S882" i="1"/>
  <c r="S893" i="1"/>
  <c r="S904" i="1"/>
  <c r="S945" i="1"/>
  <c r="T153" i="1"/>
  <c r="T159" i="1"/>
  <c r="T417" i="1"/>
  <c r="T420" i="1"/>
  <c r="S615" i="1"/>
  <c r="S621" i="1"/>
  <c r="T882" i="1"/>
  <c r="T893" i="1"/>
  <c r="T904" i="1"/>
  <c r="T915" i="1"/>
  <c r="T926" i="1"/>
  <c r="S937" i="1"/>
  <c r="S951" i="1"/>
  <c r="S956" i="1"/>
  <c r="S962" i="1"/>
  <c r="S971" i="1"/>
  <c r="T971" i="1" s="1"/>
  <c r="T62" i="1"/>
  <c r="T637" i="1"/>
  <c r="S51" i="1"/>
  <c r="T810" i="1"/>
  <c r="S403" i="1"/>
  <c r="S645" i="1"/>
  <c r="S733" i="1"/>
  <c r="S810" i="1"/>
  <c r="T51" i="1"/>
  <c r="S40" i="1"/>
  <c r="S304" i="1"/>
  <c r="S392" i="1"/>
  <c r="S612" i="1"/>
  <c r="S205" i="1"/>
  <c r="T205" i="1"/>
  <c r="S95" i="1"/>
  <c r="S282" i="1"/>
  <c r="S62" i="1"/>
  <c r="S634" i="1"/>
  <c r="T40" i="1"/>
  <c r="S128" i="1"/>
  <c r="T623" i="1"/>
  <c r="S293" i="1"/>
  <c r="T106" i="1"/>
  <c r="T76" i="1"/>
  <c r="T175" i="1"/>
  <c r="T178" i="1"/>
  <c r="T181" i="1"/>
  <c r="T747" i="1"/>
  <c r="S65" i="1"/>
  <c r="S71" i="1"/>
  <c r="S84" i="1"/>
  <c r="S164" i="1"/>
  <c r="S170" i="1"/>
  <c r="T560" i="1"/>
  <c r="S648" i="1"/>
  <c r="S736" i="1"/>
  <c r="S739" i="1"/>
  <c r="S194" i="1"/>
  <c r="S524" i="1"/>
  <c r="S623" i="1"/>
  <c r="S722" i="1"/>
  <c r="S271" i="1"/>
  <c r="T381" i="1"/>
  <c r="S513" i="1"/>
  <c r="S711" i="1"/>
  <c r="T183" i="1"/>
  <c r="S574" i="1"/>
  <c r="S579" i="1"/>
  <c r="S689" i="1"/>
  <c r="T161" i="1"/>
  <c r="T249" i="1"/>
  <c r="T579" i="1"/>
  <c r="T689" i="1"/>
  <c r="S150" i="1"/>
  <c r="S238" i="1"/>
  <c r="S678" i="1"/>
  <c r="S120" i="1"/>
  <c r="S126" i="1"/>
  <c r="T131" i="1"/>
  <c r="T134" i="1"/>
  <c r="T150" i="1"/>
  <c r="T238" i="1"/>
  <c r="S139" i="1"/>
  <c r="S227" i="1"/>
  <c r="S667" i="1"/>
  <c r="T194" i="1"/>
  <c r="T711" i="1"/>
  <c r="S172" i="1"/>
  <c r="S260" i="1"/>
  <c r="S700" i="1"/>
  <c r="T260" i="1"/>
  <c r="S161" i="1"/>
  <c r="S249" i="1"/>
  <c r="T574" i="1"/>
  <c r="T227" i="1"/>
  <c r="S326" i="1"/>
  <c r="S425" i="1"/>
  <c r="S87" i="1"/>
  <c r="S90" i="1"/>
  <c r="S93" i="1"/>
  <c r="T98" i="1"/>
  <c r="T101" i="1"/>
  <c r="T104" i="1"/>
  <c r="S117" i="1"/>
  <c r="S216" i="1"/>
  <c r="S296" i="1"/>
  <c r="S302" i="1"/>
  <c r="T307" i="1"/>
  <c r="S640" i="1"/>
  <c r="S643" i="1"/>
  <c r="S656" i="1"/>
  <c r="S76" i="1"/>
  <c r="S82" i="1"/>
  <c r="T87" i="1"/>
  <c r="T90" i="1"/>
  <c r="S106" i="1"/>
  <c r="T216" i="1"/>
  <c r="S285" i="1"/>
  <c r="S291" i="1"/>
  <c r="T296" i="1"/>
  <c r="S414" i="1"/>
  <c r="T527" i="1"/>
  <c r="T541" i="1"/>
  <c r="T546" i="1"/>
  <c r="S626" i="1"/>
  <c r="S632" i="1"/>
  <c r="T645" i="1"/>
  <c r="T808" i="1"/>
  <c r="T329" i="1"/>
  <c r="T332" i="1"/>
  <c r="T340" i="1"/>
  <c r="S439" i="1"/>
  <c r="S445" i="1"/>
  <c r="T450" i="1"/>
  <c r="T456" i="1"/>
  <c r="T461" i="1"/>
  <c r="S769" i="1"/>
  <c r="S772" i="1"/>
  <c r="S775" i="1"/>
  <c r="S777" i="1"/>
  <c r="T780" i="1"/>
  <c r="T786" i="1"/>
  <c r="S973" i="1"/>
  <c r="T973" i="1" s="1"/>
  <c r="S318" i="1"/>
  <c r="S324" i="1"/>
  <c r="S337" i="1"/>
  <c r="S428" i="1"/>
  <c r="S431" i="1"/>
  <c r="S434" i="1"/>
  <c r="T439" i="1"/>
  <c r="T585" i="1"/>
  <c r="T590" i="1"/>
  <c r="S758" i="1"/>
  <c r="S764" i="1"/>
  <c r="S766" i="1"/>
  <c r="T769" i="1"/>
  <c r="T772" i="1"/>
  <c r="T775" i="1"/>
  <c r="T799" i="1"/>
  <c r="S665" i="1"/>
  <c r="S370" i="1"/>
  <c r="T365" i="1"/>
  <c r="T370" i="1"/>
  <c r="S651" i="1"/>
  <c r="T667" i="1"/>
  <c r="S354" i="1"/>
  <c r="S359" i="1"/>
  <c r="T354" i="1"/>
  <c r="T57" i="1"/>
  <c r="S563" i="1"/>
  <c r="S568" i="1"/>
  <c r="T805" i="1"/>
  <c r="S659" i="1"/>
  <c r="T359" i="1"/>
  <c r="T73" i="1"/>
  <c r="T32" i="1"/>
  <c r="S315" i="1"/>
  <c r="S274" i="1"/>
  <c r="S277" i="1"/>
  <c r="S280" i="1"/>
  <c r="T285" i="1"/>
  <c r="T384" i="1"/>
  <c r="S398" i="1"/>
  <c r="T414" i="1"/>
  <c r="S538" i="1"/>
  <c r="S552" i="1"/>
  <c r="S557" i="1"/>
  <c r="S703" i="1"/>
  <c r="S725" i="1"/>
  <c r="S728" i="1"/>
  <c r="S731" i="1"/>
  <c r="T736" i="1"/>
  <c r="T739" i="1"/>
  <c r="S662" i="1"/>
  <c r="S805" i="1"/>
  <c r="S186" i="1"/>
  <c r="S219" i="1"/>
  <c r="S225" i="1"/>
  <c r="S236" i="1"/>
  <c r="S241" i="1"/>
  <c r="S247" i="1"/>
  <c r="S252" i="1"/>
  <c r="S258" i="1"/>
  <c r="S263" i="1"/>
  <c r="S269" i="1"/>
  <c r="T277" i="1"/>
  <c r="S373" i="1"/>
  <c r="S376" i="1"/>
  <c r="S381" i="1"/>
  <c r="S387" i="1"/>
  <c r="T398" i="1"/>
  <c r="T403" i="1"/>
  <c r="T557" i="1"/>
  <c r="S681" i="1"/>
  <c r="S687" i="1"/>
  <c r="S692" i="1"/>
  <c r="S698" i="1"/>
  <c r="S706" i="1"/>
  <c r="S709" i="1"/>
  <c r="S714" i="1"/>
  <c r="S720" i="1"/>
  <c r="T725" i="1"/>
  <c r="T728" i="1"/>
  <c r="S365" i="1"/>
  <c r="S607" i="1"/>
  <c r="T618" i="1"/>
  <c r="T629" i="1"/>
  <c r="T634" i="1"/>
  <c r="S348" i="1"/>
  <c r="T68" i="1"/>
  <c r="S192" i="1"/>
  <c r="S197" i="1"/>
  <c r="S203" i="1"/>
  <c r="S208" i="1"/>
  <c r="S214" i="1"/>
  <c r="S230" i="1"/>
  <c r="T274" i="1"/>
  <c r="S379" i="1"/>
  <c r="S10" i="1"/>
  <c r="S13" i="1"/>
  <c r="S175" i="1"/>
  <c r="S178" i="1"/>
  <c r="T186" i="1"/>
  <c r="T192" i="1"/>
  <c r="T197" i="1"/>
  <c r="T203" i="1"/>
  <c r="T208" i="1"/>
  <c r="T214" i="1"/>
  <c r="T219" i="1"/>
  <c r="T225" i="1"/>
  <c r="T230" i="1"/>
  <c r="T236" i="1"/>
  <c r="T241" i="1"/>
  <c r="T247" i="1"/>
  <c r="T252" i="1"/>
  <c r="T258" i="1"/>
  <c r="T263" i="1"/>
  <c r="S527" i="1"/>
  <c r="S670" i="1"/>
  <c r="S676" i="1"/>
  <c r="T681" i="1"/>
  <c r="T687" i="1"/>
  <c r="T692" i="1"/>
  <c r="T706" i="1"/>
  <c r="T709" i="1"/>
  <c r="T714" i="1"/>
  <c r="T337" i="1"/>
  <c r="T348" i="1"/>
  <c r="T538" i="1"/>
  <c r="T552" i="1"/>
  <c r="T563" i="1"/>
  <c r="T568" i="1"/>
  <c r="S802" i="1"/>
  <c r="S167" i="1"/>
  <c r="T233" i="1"/>
  <c r="S134" i="1"/>
  <c r="T167" i="1"/>
  <c r="S442" i="1"/>
  <c r="T453" i="1"/>
  <c r="T464" i="1"/>
  <c r="T750" i="1"/>
  <c r="T755" i="1"/>
  <c r="T326" i="1"/>
  <c r="S546" i="1"/>
  <c r="S299" i="1"/>
  <c r="T310" i="1"/>
  <c r="T299" i="1"/>
  <c r="T304" i="1"/>
  <c r="S497" i="1"/>
  <c r="S530" i="1"/>
  <c r="T139" i="1"/>
  <c r="S744" i="1"/>
  <c r="T46" i="1"/>
  <c r="T54" i="1"/>
  <c r="S79" i="1"/>
  <c r="S401" i="1"/>
  <c r="T406" i="1"/>
  <c r="S684" i="1"/>
  <c r="T744" i="1"/>
  <c r="S519" i="1"/>
  <c r="S535" i="1"/>
  <c r="S189" i="1"/>
  <c r="S211" i="1"/>
  <c r="T293" i="1"/>
  <c r="T535" i="1"/>
  <c r="S761" i="1"/>
  <c r="S783" i="1"/>
  <c r="S183" i="1"/>
  <c r="T200" i="1"/>
  <c r="T222" i="1"/>
  <c r="S244" i="1"/>
  <c r="T282" i="1"/>
  <c r="T491" i="1"/>
  <c r="T761" i="1"/>
  <c r="T783" i="1"/>
  <c r="T244" i="1"/>
  <c r="T255" i="1"/>
  <c r="T271" i="1"/>
  <c r="T480" i="1"/>
  <c r="S750" i="1"/>
  <c r="S755" i="1"/>
  <c r="S101" i="1"/>
  <c r="S112" i="1"/>
  <c r="S123" i="1"/>
  <c r="T156" i="1"/>
  <c r="T172" i="1"/>
  <c r="T469" i="1"/>
  <c r="T442" i="1"/>
  <c r="T38" i="1"/>
  <c r="T43" i="1"/>
  <c r="T49" i="1"/>
  <c r="T60" i="1"/>
  <c r="T65" i="1"/>
  <c r="T95" i="1"/>
  <c r="S395" i="1"/>
  <c r="T409" i="1"/>
  <c r="T436" i="1"/>
  <c r="S46" i="1"/>
  <c r="S57" i="1"/>
  <c r="S68" i="1"/>
  <c r="T79" i="1"/>
  <c r="T84" i="1"/>
  <c r="S384" i="1"/>
  <c r="S390" i="1"/>
  <c r="T395" i="1"/>
  <c r="T425" i="1"/>
  <c r="S593" i="1"/>
  <c r="S596" i="1"/>
  <c r="S599" i="1"/>
  <c r="S604" i="1"/>
  <c r="S610" i="1"/>
  <c r="T615" i="1"/>
  <c r="T621" i="1"/>
  <c r="T626" i="1"/>
  <c r="T640" i="1"/>
  <c r="T643" i="1"/>
  <c r="T648" i="1"/>
  <c r="S654" i="1"/>
  <c r="T659" i="1"/>
  <c r="T662" i="1"/>
  <c r="S673" i="1"/>
  <c r="T684" i="1"/>
  <c r="S695" i="1"/>
  <c r="S717" i="1"/>
  <c r="T733" i="1"/>
  <c r="S508" i="1"/>
  <c r="S222" i="1"/>
  <c r="T288" i="1"/>
  <c r="T497" i="1"/>
  <c r="T508" i="1"/>
  <c r="T519" i="1"/>
  <c r="T530" i="1"/>
  <c r="S799" i="1"/>
  <c r="T189" i="1"/>
  <c r="S618" i="1"/>
  <c r="S629" i="1"/>
  <c r="T673" i="1"/>
  <c r="T678" i="1"/>
  <c r="T695" i="1"/>
  <c r="T700" i="1"/>
  <c r="T717" i="1"/>
  <c r="T722" i="1"/>
  <c r="S321" i="1"/>
  <c r="S288" i="1"/>
  <c r="S156" i="1"/>
  <c r="S453" i="1"/>
  <c r="S464" i="1"/>
  <c r="T112" i="1"/>
  <c r="T123" i="1"/>
  <c r="T447" i="1"/>
  <c r="T373" i="1"/>
  <c r="S577" i="1"/>
  <c r="S310" i="1"/>
  <c r="T321" i="1"/>
  <c r="S541" i="1"/>
  <c r="T315" i="1"/>
  <c r="S200" i="1"/>
  <c r="T211" i="1"/>
  <c r="S233" i="1"/>
  <c r="S255" i="1"/>
  <c r="S266" i="1"/>
  <c r="S475" i="1"/>
  <c r="T266" i="1"/>
  <c r="S340" i="1"/>
  <c r="S351" i="1"/>
  <c r="S357" i="1"/>
  <c r="S362" i="1"/>
  <c r="S368" i="1"/>
  <c r="T376" i="1"/>
  <c r="S571" i="1"/>
  <c r="T582" i="1"/>
  <c r="S329" i="1"/>
  <c r="S332" i="1"/>
  <c r="S335" i="1"/>
  <c r="S343" i="1"/>
  <c r="S346" i="1"/>
  <c r="T351" i="1"/>
  <c r="T357" i="1"/>
  <c r="T362" i="1"/>
  <c r="T387" i="1"/>
  <c r="T392" i="1"/>
  <c r="S549" i="1"/>
  <c r="S555" i="1"/>
  <c r="S560" i="1"/>
  <c r="S566" i="1"/>
  <c r="T571" i="1"/>
  <c r="S585" i="1"/>
  <c r="T607" i="1"/>
  <c r="T612" i="1"/>
  <c r="T651" i="1"/>
  <c r="T656" i="1"/>
  <c r="S797" i="1"/>
  <c r="T797" i="1"/>
  <c r="S753" i="1"/>
  <c r="T753" i="1"/>
  <c r="S742" i="1"/>
  <c r="T742" i="1"/>
  <c r="T731" i="1"/>
  <c r="T720" i="1"/>
  <c r="T698" i="1"/>
  <c r="T676" i="1"/>
  <c r="T665" i="1"/>
  <c r="T654" i="1"/>
  <c r="T632" i="1"/>
  <c r="T610" i="1"/>
  <c r="T588" i="1"/>
  <c r="T577" i="1"/>
  <c r="T566" i="1"/>
  <c r="S544" i="1"/>
  <c r="T544" i="1"/>
  <c r="S533" i="1"/>
  <c r="T533" i="1"/>
  <c r="T489" i="1"/>
  <c r="T478" i="1"/>
  <c r="T467" i="1"/>
  <c r="T445" i="1"/>
  <c r="T434" i="1"/>
  <c r="T423" i="1"/>
  <c r="T412" i="1"/>
  <c r="T401" i="1"/>
  <c r="T390" i="1"/>
  <c r="T379" i="1"/>
  <c r="T368" i="1"/>
  <c r="T346" i="1"/>
  <c r="T335" i="1"/>
  <c r="T324" i="1"/>
  <c r="T313" i="1"/>
  <c r="T302" i="1"/>
  <c r="T291" i="1"/>
  <c r="T280" i="1"/>
  <c r="T269" i="1"/>
  <c r="S181" i="1"/>
  <c r="T170" i="1"/>
  <c r="T137" i="1"/>
  <c r="T93" i="1"/>
  <c r="T82" i="1"/>
  <c r="T71" i="1"/>
  <c r="S21" i="1"/>
  <c r="S24" i="1"/>
  <c r="T21" i="1"/>
  <c r="T24" i="1"/>
  <c r="S5" i="1"/>
  <c r="T7" i="1"/>
  <c r="T16" i="1"/>
  <c r="S35" i="1"/>
  <c r="S16" i="1"/>
  <c r="S27" i="1"/>
  <c r="T27" i="1"/>
  <c r="S7" i="1"/>
  <c r="S18" i="1"/>
  <c r="T18" i="1"/>
  <c r="T29" i="1"/>
  <c r="S29" i="1"/>
  <c r="T5" i="1"/>
</calcChain>
</file>

<file path=xl/sharedStrings.xml><?xml version="1.0" encoding="utf-8"?>
<sst xmlns="http://schemas.openxmlformats.org/spreadsheetml/2006/main" count="1844" uniqueCount="324">
  <si>
    <t>Darb NW Monthly Sales Analysis 2026</t>
  </si>
  <si>
    <t>#</t>
  </si>
  <si>
    <t>Station Name</t>
  </si>
  <si>
    <t>Code</t>
  </si>
  <si>
    <t>B.Model</t>
  </si>
  <si>
    <t>City</t>
  </si>
  <si>
    <t>Description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</si>
  <si>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</si>
  <si>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</si>
  <si>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</si>
  <si>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</si>
  <si>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</si>
  <si>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</si>
  <si>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</si>
  <si>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</si>
  <si>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</si>
  <si>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</si>
  <si>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</si>
  <si>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</si>
  <si>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</si>
  <si>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Total</t>
  </si>
  <si>
    <t>العوالي</t>
  </si>
  <si>
    <t>MK003</t>
  </si>
  <si>
    <t xml:space="preserve">Rent </t>
  </si>
  <si>
    <t>مكة</t>
  </si>
  <si>
    <t>BU.2026</t>
  </si>
  <si>
    <t>Act.2026</t>
  </si>
  <si>
    <t>BU vs Act</t>
  </si>
  <si>
    <t>Act.2025</t>
  </si>
  <si>
    <t>2026 vs 2025</t>
  </si>
  <si>
    <t>Payment App 2026</t>
  </si>
  <si>
    <t>Payment App 2025</t>
  </si>
  <si>
    <t>2026 vs 2025 P.A</t>
  </si>
  <si>
    <t>#Transaction 2025</t>
  </si>
  <si>
    <t>#Transaction 2026</t>
  </si>
  <si>
    <t>2026 vs 2026 trx</t>
  </si>
  <si>
    <t>JA069</t>
  </si>
  <si>
    <t>Operating</t>
  </si>
  <si>
    <t>جازان</t>
  </si>
  <si>
    <t>احلى مسا</t>
  </si>
  <si>
    <t>MK028</t>
  </si>
  <si>
    <t>Total NW Sales 2026</t>
  </si>
  <si>
    <t>Total Payment App 2026</t>
  </si>
  <si>
    <t>Total # of Transactions 2026</t>
  </si>
  <si>
    <t>جبل النور</t>
  </si>
  <si>
    <t>MK001</t>
  </si>
  <si>
    <t>المعيصم</t>
  </si>
  <si>
    <t>MK002</t>
  </si>
  <si>
    <t>عاصفة الصحراء</t>
  </si>
  <si>
    <t>MK004</t>
  </si>
  <si>
    <t>الطائف</t>
  </si>
  <si>
    <t>الشيباني</t>
  </si>
  <si>
    <t>MK005</t>
  </si>
  <si>
    <t>جنوب الطائف</t>
  </si>
  <si>
    <t>MK006</t>
  </si>
  <si>
    <t>العمرة</t>
  </si>
  <si>
    <t>MK007</t>
  </si>
  <si>
    <t>جنوب الحسينية</t>
  </si>
  <si>
    <t>MK008</t>
  </si>
  <si>
    <t>النسيم</t>
  </si>
  <si>
    <t>جدة</t>
  </si>
  <si>
    <t>MK015</t>
  </si>
  <si>
    <t>MK016</t>
  </si>
  <si>
    <t>الرصيفة</t>
  </si>
  <si>
    <t>عرفات الشوقية</t>
  </si>
  <si>
    <t>MK017</t>
  </si>
  <si>
    <t>الرصيفة مسار</t>
  </si>
  <si>
    <t>MK018</t>
  </si>
  <si>
    <t>عرفات الشرائع</t>
  </si>
  <si>
    <t>MK019</t>
  </si>
  <si>
    <t>ممشى الشوقية</t>
  </si>
  <si>
    <t>MK020</t>
  </si>
  <si>
    <t>بطحاء قريش</t>
  </si>
  <si>
    <t>MK022</t>
  </si>
  <si>
    <t>بن درويش</t>
  </si>
  <si>
    <t>MK023</t>
  </si>
  <si>
    <t>الرياض</t>
  </si>
  <si>
    <t>الخرج غرناطة</t>
  </si>
  <si>
    <t>RY024</t>
  </si>
  <si>
    <t>RY025</t>
  </si>
  <si>
    <t>الخرج الحمراء</t>
  </si>
  <si>
    <t>الذكرى الخالدة</t>
  </si>
  <si>
    <t>MK029</t>
  </si>
  <si>
    <t>بطحاء قريش 2</t>
  </si>
  <si>
    <t>MK031</t>
  </si>
  <si>
    <t>أبو وافي</t>
  </si>
  <si>
    <t>MK033</t>
  </si>
  <si>
    <t>الجمعية</t>
  </si>
  <si>
    <t>MK035</t>
  </si>
  <si>
    <t>العريفي</t>
  </si>
  <si>
    <t>حائل</t>
  </si>
  <si>
    <t>HAF043</t>
  </si>
  <si>
    <t>الحليس</t>
  </si>
  <si>
    <t>MK046</t>
  </si>
  <si>
    <t>القادسية</t>
  </si>
  <si>
    <t>MK047</t>
  </si>
  <si>
    <t>صامطة</t>
  </si>
  <si>
    <t>صبيا</t>
  </si>
  <si>
    <t>JA061</t>
  </si>
  <si>
    <t>JA060</t>
  </si>
  <si>
    <t>نخلان صبيا</t>
  </si>
  <si>
    <t>JA053</t>
  </si>
  <si>
    <t>كورنيش جازان</t>
  </si>
  <si>
    <t>السواط</t>
  </si>
  <si>
    <t>MK063</t>
  </si>
  <si>
    <t>MK064</t>
  </si>
  <si>
    <t>جعرانه</t>
  </si>
  <si>
    <t>بن دهيش العزيزية</t>
  </si>
  <si>
    <t>MK072</t>
  </si>
  <si>
    <t>الدائري الشمالي</t>
  </si>
  <si>
    <t>RY075</t>
  </si>
  <si>
    <t>الكر النازل</t>
  </si>
  <si>
    <t>MK084</t>
  </si>
  <si>
    <t>الخليص</t>
  </si>
  <si>
    <t>MK014</t>
  </si>
  <si>
    <t>العرجاني الخرج</t>
  </si>
  <si>
    <t>RY042</t>
  </si>
  <si>
    <t>الملك خالد</t>
  </si>
  <si>
    <t>MK093</t>
  </si>
  <si>
    <t>الأجاويد</t>
  </si>
  <si>
    <t>MK071</t>
  </si>
  <si>
    <t>البيعة</t>
  </si>
  <si>
    <t>MK099</t>
  </si>
  <si>
    <t>الجموم</t>
  </si>
  <si>
    <t>MK068</t>
  </si>
  <si>
    <t>الخبر</t>
  </si>
  <si>
    <t>EP051</t>
  </si>
  <si>
    <t>الكوثر</t>
  </si>
  <si>
    <t>MK100</t>
  </si>
  <si>
    <t>القصيم</t>
  </si>
  <si>
    <t>QS055</t>
  </si>
  <si>
    <t>الروابي</t>
  </si>
  <si>
    <t>JA056</t>
  </si>
  <si>
    <t>الاطاولة</t>
  </si>
  <si>
    <t>الباحة</t>
  </si>
  <si>
    <t>HB050</t>
  </si>
  <si>
    <t>سلطان المطرفي</t>
  </si>
  <si>
    <t>MK054</t>
  </si>
  <si>
    <t>محايل عسير</t>
  </si>
  <si>
    <t>AS153</t>
  </si>
  <si>
    <t>عسير</t>
  </si>
  <si>
    <t>القسوم</t>
  </si>
  <si>
    <t>JA041</t>
  </si>
  <si>
    <t>2024 A</t>
  </si>
  <si>
    <t>2025 A</t>
  </si>
  <si>
    <t>2026 A</t>
  </si>
  <si>
    <t>BU 2026</t>
  </si>
  <si>
    <t>Model</t>
  </si>
  <si>
    <t>Region</t>
  </si>
  <si>
    <t>Gas Stions Name</t>
  </si>
  <si>
    <t>Code-U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</si>
  <si>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</si>
  <si>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</si>
  <si>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</si>
  <si>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</si>
  <si>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</si>
  <si>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</si>
  <si>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</si>
  <si>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</si>
  <si>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</si>
  <si>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</si>
  <si>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</si>
  <si>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A-2024</t>
  </si>
  <si>
    <t>A-2025</t>
  </si>
  <si>
    <t>A-2026</t>
  </si>
  <si>
    <t>BU-2026</t>
  </si>
  <si>
    <t>investment</t>
  </si>
  <si>
    <t>Western Region</t>
  </si>
  <si>
    <t>BAHRA</t>
  </si>
  <si>
    <t>Prime</t>
  </si>
  <si>
    <t>Small Gas Station</t>
  </si>
  <si>
    <t>بحره</t>
  </si>
  <si>
    <t>MK127</t>
  </si>
  <si>
    <t xml:space="preserve">MAKKAH </t>
  </si>
  <si>
    <t>Medium Gas Station</t>
  </si>
  <si>
    <t>TAIF</t>
  </si>
  <si>
    <t>الحلقة الشرقية</t>
  </si>
  <si>
    <t>العنود</t>
  </si>
  <si>
    <t>ابيار الماشي المحيسني</t>
  </si>
  <si>
    <t>MD011</t>
  </si>
  <si>
    <t>MADINA</t>
  </si>
  <si>
    <t>العمره</t>
  </si>
  <si>
    <t>T</t>
  </si>
  <si>
    <t xml:space="preserve"> Total</t>
  </si>
  <si>
    <t>Rental</t>
  </si>
  <si>
    <t>MK08</t>
  </si>
  <si>
    <t>JEDDAH</t>
  </si>
  <si>
    <t>نسيم جدة</t>
  </si>
  <si>
    <t>Central Region</t>
  </si>
  <si>
    <t>KHARJ</t>
  </si>
  <si>
    <t>Regular</t>
  </si>
  <si>
    <t>الخرج الحمرا</t>
  </si>
  <si>
    <t>الدائري الرابع-بطحاء قريش</t>
  </si>
  <si>
    <t>Southern Region</t>
  </si>
  <si>
    <t>JIZAN</t>
  </si>
  <si>
    <t>مسارات صبيا</t>
  </si>
  <si>
    <t>مسارات صامطة</t>
  </si>
  <si>
    <t>طريق القاضي-بطحاء قريش</t>
  </si>
  <si>
    <t>الصيانة -طريق المطار</t>
  </si>
  <si>
    <t>MK027</t>
  </si>
  <si>
    <t>Eastern Region</t>
  </si>
  <si>
    <t>KHOBAR</t>
  </si>
  <si>
    <t>كورنيش الخبر</t>
  </si>
  <si>
    <t>الصفاء-شارع محمد بن ناصر</t>
  </si>
  <si>
    <t>JA092</t>
  </si>
  <si>
    <t>المسار</t>
  </si>
  <si>
    <t>الراشدية</t>
  </si>
  <si>
    <t>MK037</t>
  </si>
  <si>
    <t xml:space="preserve">الروضة </t>
  </si>
  <si>
    <t>MK040</t>
  </si>
  <si>
    <t>KASIM</t>
  </si>
  <si>
    <t>الدائري الشرقي-بريدة</t>
  </si>
  <si>
    <t>الخزامى-طريق الرياض</t>
  </si>
  <si>
    <t>RIYADH</t>
  </si>
  <si>
    <t>القدية</t>
  </si>
  <si>
    <t>RY073</t>
  </si>
  <si>
    <t>الخمرة - طريق جدة</t>
  </si>
  <si>
    <t>MK104</t>
  </si>
  <si>
    <t>حلي</t>
  </si>
  <si>
    <t>MK036</t>
  </si>
  <si>
    <t>RABIGH</t>
  </si>
  <si>
    <t>الجود-رابغ</t>
  </si>
  <si>
    <t>MK039</t>
  </si>
  <si>
    <t>الردف</t>
  </si>
  <si>
    <t>خميس مشيط</t>
  </si>
  <si>
    <t xml:space="preserve">سوق الاشواق </t>
  </si>
  <si>
    <t>AS197</t>
  </si>
  <si>
    <t xml:space="preserve">Abhaابها  </t>
  </si>
  <si>
    <t>محطة المصيف</t>
  </si>
  <si>
    <t>AS226</t>
  </si>
  <si>
    <t>ابوعريشAbu Arish</t>
  </si>
  <si>
    <t>محطة درب الناصرية ( أبو عريش )</t>
  </si>
  <si>
    <t>JA187</t>
  </si>
  <si>
    <t>بيشBaish</t>
  </si>
  <si>
    <t xml:space="preserve">محطة طريق الملك عبدالعزيز بيش </t>
  </si>
  <si>
    <t>JA188</t>
  </si>
  <si>
    <t>العزيزيه شارع بن دهيش</t>
  </si>
  <si>
    <t>ممشي الشوقية</t>
  </si>
  <si>
    <t>ليه</t>
  </si>
  <si>
    <t>دائري الطائف</t>
  </si>
  <si>
    <t>خبت نخلان-طريق الملك عبدالعزيز</t>
  </si>
  <si>
    <t>المودة</t>
  </si>
  <si>
    <t>طريق الملك فهد1</t>
  </si>
  <si>
    <t>JA059</t>
  </si>
  <si>
    <t>كورنيش جيزان</t>
  </si>
  <si>
    <t>طريق الهجرة</t>
  </si>
  <si>
    <t>MD096</t>
  </si>
  <si>
    <t>KHILIS</t>
  </si>
  <si>
    <t>خليص</t>
  </si>
  <si>
    <t>بن العباس-الشوقية</t>
  </si>
  <si>
    <t>MK013</t>
  </si>
  <si>
    <t xml:space="preserve">الخالدية- مكة </t>
  </si>
  <si>
    <t>العمرة الجديدة</t>
  </si>
  <si>
    <t>KONFODAH</t>
  </si>
  <si>
    <t>مجمع القنفذة</t>
  </si>
  <si>
    <t>MK044</t>
  </si>
  <si>
    <t>GOOMOM</t>
  </si>
  <si>
    <t>الريان-الجموم</t>
  </si>
  <si>
    <t>MK057</t>
  </si>
  <si>
    <t>جعرانة -مكة</t>
  </si>
  <si>
    <t>الامير فواز</t>
  </si>
  <si>
    <t>MK066</t>
  </si>
  <si>
    <t>الكنيدري-الجموم</t>
  </si>
  <si>
    <t>مدائن الفهد</t>
  </si>
  <si>
    <t>MK082</t>
  </si>
  <si>
    <t>الجال-الملك خالد</t>
  </si>
  <si>
    <t>وادي جليل-الطائف</t>
  </si>
  <si>
    <t>MK098</t>
  </si>
  <si>
    <t>عين شمس</t>
  </si>
  <si>
    <t>MK142</t>
  </si>
  <si>
    <t>زيارة ام الغلف - طريق الملك فهد ابوعريش)</t>
  </si>
  <si>
    <t>JA058</t>
  </si>
  <si>
    <t>YANBO</t>
  </si>
  <si>
    <t>مدينه الملك عبد الله</t>
  </si>
  <si>
    <t>MK045</t>
  </si>
  <si>
    <t xml:space="preserve"> </t>
  </si>
  <si>
    <t>صناعية محايل</t>
  </si>
  <si>
    <t>الصفاء-بيشة</t>
  </si>
  <si>
    <t>AS124</t>
  </si>
  <si>
    <t>Northern Region</t>
  </si>
  <si>
    <t>TABOUK</t>
  </si>
  <si>
    <t>القادسية - تبوك</t>
  </si>
  <si>
    <t>TB146</t>
  </si>
  <si>
    <t>السر-الطائف</t>
  </si>
  <si>
    <t>MK091</t>
  </si>
  <si>
    <t>to be updated</t>
  </si>
  <si>
    <t>الزهور</t>
  </si>
  <si>
    <t>JA094</t>
  </si>
  <si>
    <t>الوسام1- الطائف</t>
  </si>
  <si>
    <t>MK021</t>
  </si>
  <si>
    <t>الامير سلطان</t>
  </si>
  <si>
    <t>AS 141</t>
  </si>
  <si>
    <t>القسوم-جيزان</t>
  </si>
  <si>
    <t xml:space="preserve">  الرياض الدائري الشمالي</t>
  </si>
  <si>
    <t>الاجاويد</t>
  </si>
  <si>
    <t>HAFER ALBATIN</t>
  </si>
  <si>
    <t>اسكان الحفر-الورود</t>
  </si>
  <si>
    <t>EPO074</t>
  </si>
  <si>
    <t>دوار البلديه احد المسارحه</t>
  </si>
  <si>
    <t>JAF090</t>
  </si>
  <si>
    <t>عشيرة Ashayrah</t>
  </si>
  <si>
    <t xml:space="preserve"> عشيرة</t>
  </si>
  <si>
    <t>MK048</t>
  </si>
  <si>
    <t>الطائف Al Taif</t>
  </si>
  <si>
    <t xml:space="preserve"> مدينة الورود</t>
  </si>
  <si>
    <t>MK143</t>
  </si>
  <si>
    <t>جدة jeddah</t>
  </si>
  <si>
    <t>الربوة جدة</t>
  </si>
  <si>
    <t>MK191</t>
  </si>
  <si>
    <t>نجرانNajran</t>
  </si>
  <si>
    <t xml:space="preserve">المركب </t>
  </si>
  <si>
    <t>NJ219</t>
  </si>
  <si>
    <t>الدلمAl dilam</t>
  </si>
  <si>
    <t>طريق الحاير</t>
  </si>
  <si>
    <t>RY149</t>
  </si>
  <si>
    <t>تبوك Tabuk</t>
  </si>
  <si>
    <t>بئر بن هرماس</t>
  </si>
  <si>
    <t>TB148</t>
  </si>
  <si>
    <t>الفردوس</t>
  </si>
  <si>
    <t>احلي مسا</t>
  </si>
  <si>
    <t>Not updated</t>
  </si>
  <si>
    <t>Al fadila - الفضيلة</t>
  </si>
  <si>
    <t>MK289</t>
  </si>
  <si>
    <t>Payment App 2026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</si>
</sst>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1"/>
      <color theme="5" tint="-0.249977111117893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20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2" tint="-0.249977111117893"/>
      <name val="Calibri"/>
      <family val="2"/>
    </font>
    <font>
      <b/>
      <sz val="11"/>
      <color theme="2" tint="-0.249977111117893"/>
      <name val="Calibri"/>
      <family val="2"/>
    </font>
    <font>
      <b/>
      <sz val="14"/>
      <color theme="5" tint="-0.499984740745262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auto="1"/>
      </left>
      <right/>
      <top style="medium">
        <color indexed="64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5" fontId="2" fillId="0" borderId="7" xfId="1" applyNumberFormat="1" applyFont="1" applyFill="1" applyBorder="1"/>
    <xf numFmtId="165" fontId="2" fillId="4" borderId="8" xfId="1" applyNumberFormat="1" applyFont="1" applyFill="1" applyBorder="1"/>
    <xf numFmtId="165" fontId="2" fillId="4" borderId="9" xfId="1" applyNumberFormat="1" applyFont="1" applyFill="1" applyBorder="1"/>
    <xf numFmtId="165" fontId="2" fillId="4" borderId="7" xfId="1" applyNumberFormat="1" applyFont="1" applyFill="1" applyBorder="1"/>
    <xf numFmtId="165" fontId="2" fillId="5" borderId="11" xfId="1" applyNumberFormat="1" applyFont="1" applyFill="1" applyBorder="1"/>
    <xf numFmtId="165" fontId="2" fillId="4" borderId="12" xfId="1" applyNumberFormat="1" applyFont="1" applyFill="1" applyBorder="1"/>
    <xf numFmtId="165" fontId="3" fillId="4" borderId="12" xfId="1" applyNumberFormat="1" applyFont="1" applyFill="1" applyBorder="1"/>
    <xf numFmtId="165" fontId="3" fillId="4" borderId="13" xfId="1" applyNumberFormat="1" applyFont="1" applyFill="1" applyBorder="1"/>
    <xf numFmtId="165" fontId="2" fillId="4" borderId="11" xfId="1" applyNumberFormat="1" applyFont="1" applyFill="1" applyBorder="1"/>
    <xf numFmtId="165" fontId="2" fillId="4" borderId="13" xfId="1" applyNumberFormat="1" applyFont="1" applyFill="1" applyBorder="1"/>
    <xf numFmtId="165" fontId="2" fillId="4" borderId="15" xfId="1" applyNumberFormat="1" applyFont="1" applyFill="1" applyBorder="1"/>
    <xf numFmtId="9" fontId="3" fillId="4" borderId="16" xfId="2" applyFont="1" applyFill="1" applyBorder="1"/>
    <xf numFmtId="9" fontId="3" fillId="4" borderId="17" xfId="2" applyFont="1" applyFill="1" applyBorder="1"/>
    <xf numFmtId="9" fontId="2" fillId="4" borderId="15" xfId="2" applyFont="1" applyFill="1" applyBorder="1"/>
    <xf numFmtId="9" fontId="2" fillId="4" borderId="17" xfId="2" applyFont="1" applyFill="1" applyBorder="1"/>
    <xf numFmtId="165" fontId="3" fillId="4" borderId="8" xfId="1" applyNumberFormat="1" applyFont="1" applyFill="1" applyBorder="1"/>
    <xf numFmtId="165" fontId="3" fillId="4" borderId="19" xfId="1" applyNumberFormat="1" applyFont="1" applyFill="1" applyBorder="1"/>
    <xf numFmtId="9" fontId="3" fillId="4" borderId="20" xfId="2" applyFont="1" applyFill="1" applyBorder="1"/>
    <xf numFmtId="0" fontId="2" fillId="6" borderId="7" xfId="0" applyFont="1" applyFill="1" applyBorder="1"/>
    <xf numFmtId="0" fontId="3" fillId="4" borderId="8" xfId="0" applyFont="1" applyFill="1" applyBorder="1"/>
    <xf numFmtId="0" fontId="3" fillId="4" borderId="19" xfId="0" applyFont="1" applyFill="1" applyBorder="1"/>
    <xf numFmtId="0" fontId="2" fillId="4" borderId="11" xfId="0" applyFont="1" applyFill="1" applyBorder="1"/>
    <xf numFmtId="165" fontId="3" fillId="4" borderId="21" xfId="1" applyNumberFormat="1" applyFont="1" applyFill="1" applyBorder="1"/>
    <xf numFmtId="0" fontId="2" fillId="4" borderId="7" xfId="0" applyFont="1" applyFill="1" applyBorder="1"/>
    <xf numFmtId="0" fontId="2" fillId="3" borderId="11" xfId="0" applyFont="1" applyFill="1" applyBorder="1"/>
    <xf numFmtId="165" fontId="3" fillId="4" borderId="0" xfId="1" applyNumberFormat="1" applyFont="1" applyFill="1" applyBorder="1" applyAlignment="1">
      <alignment horizontal="center" vertical="center"/>
    </xf>
    <xf numFmtId="165" fontId="2" fillId="4" borderId="19" xfId="1" applyNumberFormat="1" applyFont="1" applyFill="1" applyBorder="1"/>
    <xf numFmtId="165" fontId="2" fillId="5" borderId="7" xfId="1" applyNumberFormat="1" applyFont="1" applyFill="1" applyBorder="1"/>
    <xf numFmtId="165" fontId="2" fillId="5" borderId="9" xfId="1" applyNumberFormat="1" applyFont="1" applyFill="1" applyBorder="1"/>
    <xf numFmtId="165" fontId="2" fillId="4" borderId="29" xfId="1" applyNumberFormat="1" applyFont="1" applyFill="1" applyBorder="1"/>
    <xf numFmtId="165" fontId="2" fillId="4" borderId="27" xfId="1" applyNumberFormat="1" applyFont="1" applyFill="1" applyBorder="1"/>
    <xf numFmtId="165" fontId="2" fillId="6" borderId="11" xfId="1" applyNumberFormat="1" applyFont="1" applyFill="1" applyBorder="1"/>
    <xf numFmtId="165" fontId="2" fillId="6" borderId="28" xfId="1" applyNumberFormat="1" applyFont="1" applyFill="1" applyBorder="1"/>
    <xf numFmtId="165" fontId="2" fillId="4" borderId="16" xfId="1" applyNumberFormat="1" applyFont="1" applyFill="1" applyBorder="1"/>
    <xf numFmtId="165" fontId="2" fillId="4" borderId="20" xfId="1" applyNumberFormat="1" applyFont="1" applyFill="1" applyBorder="1"/>
    <xf numFmtId="165" fontId="2" fillId="3" borderId="15" xfId="1" applyNumberFormat="1" applyFont="1" applyFill="1" applyBorder="1"/>
    <xf numFmtId="165" fontId="2" fillId="3" borderId="17" xfId="1" applyNumberFormat="1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165" fontId="3" fillId="0" borderId="32" xfId="1" applyNumberFormat="1" applyFont="1" applyBorder="1" applyAlignment="1">
      <alignment horizontal="center" vertical="center"/>
    </xf>
    <xf numFmtId="165" fontId="2" fillId="4" borderId="21" xfId="1" applyNumberFormat="1" applyFont="1" applyFill="1" applyBorder="1"/>
    <xf numFmtId="165" fontId="3" fillId="4" borderId="29" xfId="1" applyNumberFormat="1" applyFont="1" applyFill="1" applyBorder="1"/>
    <xf numFmtId="9" fontId="3" fillId="4" borderId="34" xfId="2" applyFont="1" applyFill="1" applyBorder="1"/>
    <xf numFmtId="165" fontId="3" fillId="4" borderId="33" xfId="1" applyNumberFormat="1" applyFont="1" applyFill="1" applyBorder="1"/>
    <xf numFmtId="0" fontId="3" fillId="7" borderId="35" xfId="0" applyFont="1" applyFill="1" applyBorder="1" applyAlignment="1">
      <alignment horizontal="center"/>
    </xf>
    <xf numFmtId="0" fontId="3" fillId="7" borderId="36" xfId="0" applyFont="1" applyFill="1" applyBorder="1" applyAlignment="1">
      <alignment horizontal="center"/>
    </xf>
    <xf numFmtId="0" fontId="4" fillId="11" borderId="38" xfId="0" applyFont="1" applyFill="1" applyBorder="1" applyAlignment="1">
      <alignment horizontal="center" vertical="center" wrapText="1"/>
    </xf>
    <xf numFmtId="0" fontId="2" fillId="11" borderId="32" xfId="0" applyFont="1" applyFill="1" applyBorder="1" applyAlignment="1">
      <alignment horizontal="center" vertical="center" wrapText="1"/>
    </xf>
    <xf numFmtId="0" fontId="5" fillId="11" borderId="32" xfId="0" applyFont="1" applyFill="1" applyBorder="1" applyAlignment="1">
      <alignment horizontal="center" vertical="center" wrapText="1"/>
    </xf>
    <xf numFmtId="0" fontId="6" fillId="11" borderId="32" xfId="0" applyFont="1" applyFill="1" applyBorder="1" applyAlignment="1">
      <alignment horizontal="center" vertical="center"/>
    </xf>
    <xf numFmtId="0" fontId="6" fillId="11" borderId="39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165" fontId="5" fillId="3" borderId="32" xfId="1" applyNumberFormat="1" applyFont="1" applyFill="1" applyBorder="1" applyAlignment="1">
      <alignment horizontal="center" vertical="center" wrapText="1"/>
    </xf>
    <xf numFmtId="165" fontId="5" fillId="3" borderId="39" xfId="1" applyNumberFormat="1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65" fontId="5" fillId="0" borderId="32" xfId="1" applyNumberFormat="1" applyFont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165" fontId="9" fillId="10" borderId="32" xfId="1" applyNumberFormat="1" applyFont="1" applyFill="1" applyBorder="1" applyAlignment="1">
      <alignment horizontal="center" vertical="center"/>
    </xf>
    <xf numFmtId="165" fontId="9" fillId="10" borderId="39" xfId="1" applyNumberFormat="1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 wrapText="1"/>
    </xf>
    <xf numFmtId="165" fontId="4" fillId="3" borderId="32" xfId="0" applyNumberFormat="1" applyFont="1" applyFill="1" applyBorder="1" applyAlignment="1">
      <alignment horizontal="center" vertical="center" wrapText="1"/>
    </xf>
    <xf numFmtId="165" fontId="5" fillId="3" borderId="32" xfId="0" applyNumberFormat="1" applyFont="1" applyFill="1" applyBorder="1" applyAlignment="1">
      <alignment horizontal="center" vertical="center" wrapText="1"/>
    </xf>
    <xf numFmtId="165" fontId="13" fillId="3" borderId="32" xfId="0" applyNumberFormat="1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165" fontId="15" fillId="3" borderId="32" xfId="1" applyNumberFormat="1" applyFont="1" applyFill="1" applyBorder="1" applyAlignment="1">
      <alignment horizontal="center" vertical="center" wrapText="1"/>
    </xf>
    <xf numFmtId="165" fontId="15" fillId="3" borderId="39" xfId="1" applyNumberFormat="1" applyFont="1" applyFill="1" applyBorder="1" applyAlignment="1">
      <alignment horizontal="center" vertical="center" wrapText="1"/>
    </xf>
    <xf numFmtId="165" fontId="3" fillId="0" borderId="32" xfId="1" applyNumberFormat="1" applyFont="1" applyFill="1" applyBorder="1" applyAlignment="1">
      <alignment horizontal="center" vertical="center"/>
    </xf>
    <xf numFmtId="165" fontId="5" fillId="0" borderId="32" xfId="1" applyNumberFormat="1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165" fontId="10" fillId="0" borderId="32" xfId="1" applyNumberFormat="1" applyFont="1" applyBorder="1" applyAlignment="1">
      <alignment horizontal="center" vertical="center"/>
    </xf>
    <xf numFmtId="165" fontId="16" fillId="10" borderId="32" xfId="1" applyNumberFormat="1" applyFont="1" applyFill="1" applyBorder="1" applyAlignment="1">
      <alignment horizontal="center" vertical="center"/>
    </xf>
    <xf numFmtId="165" fontId="16" fillId="10" borderId="39" xfId="1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65" fontId="3" fillId="0" borderId="41" xfId="1" applyNumberFormat="1" applyFont="1" applyBorder="1" applyAlignment="1">
      <alignment horizontal="center" vertical="center"/>
    </xf>
    <xf numFmtId="165" fontId="5" fillId="0" borderId="41" xfId="1" applyNumberFormat="1" applyFont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165" fontId="9" fillId="10" borderId="41" xfId="1" applyNumberFormat="1" applyFont="1" applyFill="1" applyBorder="1" applyAlignment="1">
      <alignment horizontal="center" vertical="center"/>
    </xf>
    <xf numFmtId="165" fontId="9" fillId="10" borderId="42" xfId="1" applyNumberFormat="1" applyFont="1" applyFill="1" applyBorder="1" applyAlignment="1">
      <alignment horizontal="center" vertical="center"/>
    </xf>
    <xf numFmtId="3" fontId="17" fillId="4" borderId="43" xfId="0" applyNumberFormat="1" applyFont="1" applyFill="1" applyBorder="1" applyAlignment="1">
      <alignment horizontal="center" vertical="center"/>
    </xf>
    <xf numFmtId="165" fontId="2" fillId="3" borderId="18" xfId="1" applyNumberFormat="1" applyFont="1" applyFill="1" applyBorder="1" applyAlignment="1">
      <alignment horizontal="center"/>
    </xf>
    <xf numFmtId="165" fontId="2" fillId="3" borderId="30" xfId="1" applyNumberFormat="1" applyFont="1" applyFill="1" applyBorder="1" applyAlignment="1">
      <alignment horizontal="center"/>
    </xf>
    <xf numFmtId="165" fontId="2" fillId="3" borderId="31" xfId="1" applyNumberFormat="1" applyFont="1" applyFill="1" applyBorder="1" applyAlignment="1">
      <alignment horizontal="center"/>
    </xf>
    <xf numFmtId="165" fontId="2" fillId="5" borderId="10" xfId="1" applyNumberFormat="1" applyFont="1" applyFill="1" applyBorder="1" applyAlignment="1">
      <alignment horizontal="center"/>
    </xf>
    <xf numFmtId="165" fontId="2" fillId="5" borderId="25" xfId="1" applyNumberFormat="1" applyFont="1" applyFill="1" applyBorder="1" applyAlignment="1">
      <alignment horizontal="center"/>
    </xf>
    <xf numFmtId="165" fontId="2" fillId="5" borderId="26" xfId="1" applyNumberFormat="1" applyFont="1" applyFill="1" applyBorder="1" applyAlignment="1">
      <alignment horizontal="center"/>
    </xf>
    <xf numFmtId="165" fontId="2" fillId="6" borderId="14" xfId="1" applyNumberFormat="1" applyFont="1" applyFill="1" applyBorder="1" applyAlignment="1">
      <alignment horizontal="center"/>
    </xf>
    <xf numFmtId="165" fontId="2" fillId="6" borderId="27" xfId="1" applyNumberFormat="1" applyFont="1" applyFill="1" applyBorder="1" applyAlignment="1">
      <alignment horizontal="center"/>
    </xf>
    <xf numFmtId="165" fontId="2" fillId="6" borderId="28" xfId="1" applyNumberFormat="1" applyFont="1" applyFill="1" applyBorder="1" applyAlignment="1">
      <alignment horizontal="center"/>
    </xf>
    <xf numFmtId="0" fontId="3" fillId="0" borderId="7" xfId="1" applyNumberFormat="1" applyFont="1" applyBorder="1" applyAlignment="1">
      <alignment horizontal="center" vertical="center"/>
    </xf>
    <xf numFmtId="0" fontId="3" fillId="0" borderId="11" xfId="1" applyNumberFormat="1" applyFont="1" applyBorder="1" applyAlignment="1">
      <alignment horizontal="center" vertical="center"/>
    </xf>
    <xf numFmtId="0" fontId="3" fillId="0" borderId="22" xfId="1" applyNumberFormat="1" applyFont="1" applyBorder="1" applyAlignment="1">
      <alignment horizontal="center" vertical="center"/>
    </xf>
    <xf numFmtId="0" fontId="3" fillId="0" borderId="8" xfId="1" applyNumberFormat="1" applyFont="1" applyBorder="1" applyAlignment="1">
      <alignment horizontal="center" vertical="center"/>
    </xf>
    <xf numFmtId="0" fontId="3" fillId="0" borderId="12" xfId="1" applyNumberFormat="1" applyFont="1" applyBorder="1" applyAlignment="1">
      <alignment horizontal="center" vertical="center"/>
    </xf>
    <xf numFmtId="0" fontId="3" fillId="0" borderId="23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165" fontId="3" fillId="0" borderId="12" xfId="1" applyNumberFormat="1" applyFont="1" applyBorder="1" applyAlignment="1">
      <alignment horizontal="center" vertical="center"/>
    </xf>
    <xf numFmtId="165" fontId="3" fillId="0" borderId="16" xfId="1" applyNumberFormat="1" applyFont="1" applyBorder="1" applyAlignment="1">
      <alignment horizontal="center" vertical="center"/>
    </xf>
    <xf numFmtId="165" fontId="3" fillId="0" borderId="23" xfId="1" applyNumberFormat="1" applyFont="1" applyBorder="1" applyAlignment="1">
      <alignment horizontal="center" vertical="center"/>
    </xf>
    <xf numFmtId="165" fontId="3" fillId="0" borderId="9" xfId="1" applyNumberFormat="1" applyFont="1" applyBorder="1" applyAlignment="1">
      <alignment horizontal="center" vertical="center"/>
    </xf>
    <xf numFmtId="165" fontId="3" fillId="0" borderId="13" xfId="1" applyNumberFormat="1" applyFont="1" applyBorder="1" applyAlignment="1">
      <alignment horizontal="center" vertical="center"/>
    </xf>
    <xf numFmtId="165" fontId="3" fillId="0" borderId="24" xfId="1" applyNumberFormat="1" applyFont="1" applyBorder="1" applyAlignment="1">
      <alignment horizontal="center" vertical="center"/>
    </xf>
    <xf numFmtId="0" fontId="3" fillId="0" borderId="15" xfId="1" applyNumberFormat="1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/>
    </xf>
    <xf numFmtId="0" fontId="3" fillId="0" borderId="16" xfId="1" applyNumberFormat="1" applyFont="1" applyBorder="1" applyAlignment="1">
      <alignment horizontal="center" vertical="center"/>
    </xf>
    <xf numFmtId="165" fontId="3" fillId="0" borderId="17" xfId="1" applyNumberFormat="1" applyFont="1" applyBorder="1" applyAlignment="1">
      <alignment horizontal="center" vertical="center"/>
    </xf>
    <xf numFmtId="0" fontId="3" fillId="2" borderId="36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0" fontId="3" fillId="9" borderId="36" xfId="0" applyFont="1" applyFill="1" applyBorder="1" applyAlignment="1">
      <alignment horizontal="center"/>
    </xf>
    <xf numFmtId="0" fontId="3" fillId="10" borderId="36" xfId="0" applyFont="1" applyFill="1" applyBorder="1" applyAlignment="1">
      <alignment horizontal="center"/>
    </xf>
    <xf numFmtId="0" fontId="3" fillId="10" borderId="37" xfId="0" applyFont="1" applyFill="1" applyBorder="1" applyAlignment="1">
      <alignment horizontal="center"/>
    </xf>
    <xf numFmtId="165" fontId="3" fillId="9" borderId="8" xfId="1" applyNumberFormat="1" applyFont="1" applyFill="1" applyBorder="1"/>
    <xf numFmtId="165" fontId="2" fillId="9" borderId="8" xfId="1" applyNumberFormat="1" applyFont="1" applyFill="1" applyBorder="1"/>
    <xf numFmtId="165" fontId="3" fillId="9" borderId="19" xfId="1" applyNumberFormat="1" applyFont="1" applyFill="1" applyBorder="1"/>
  </cellXfs>
  <cellStyles count="3">
    <cellStyle name="Comma" xfId="1" builtinId="3"/>
    <cellStyle name="Percent" xfId="2" builtinId="5"/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cretariat%20General\Finance\BU%20and%20LTP\Monthly%20BU\2016\Final\Budget%202016%20-%20FINANCE_JORDAN_VF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ocal\Work\Reporting\Dash%20Board\2018\2018.12\GM\WP%20YTD_12.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ocal\Work\Reporting\Dash%20Board\2016\Jul\02-PL%20REPORTING%20HCP-NEW_JORDAN%20yc%20lubs%20V1-%20Corrected%20Formul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cretariat%20General\Finance\BU%20and%20LTP\LPT%2018-22\12.04.2017\Financial_Grid_2016_O.JORDAN_CONSO%2015.05.201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@GMT-2023.04.25-09.00.08\Secretariat%20General\Finance\BU%20and%20LTP\LTP\2023%20LTP\PPT%20Files\V2\LTP%20Grid%202023_TEMJ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ocal\Work\Reporting\Dash%20Board\2015\Dec\PL%20REPORTING%202015%20HCPM_JORDAN_12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Finance\BU%20and%20LTP\Monthly%20BU\2025\2021%20Budget%20Package_TJ%20VF%20With%20CDMS%20comment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Finance\BU%20and%20LTP\Monthly%20BU\2025\2019%20Budget%20Package_Jordan_Sent%20V13%20Sensitivity%20analysis.xlsb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ownloads\&#1605;&#1604;&#1601;%20&#1605;&#1576;&#1610;&#1593;&#1575;&#1578;%202025.xlsx" TargetMode="External"/><Relationship Id="rId1" Type="http://schemas.openxmlformats.org/officeDocument/2006/relationships/externalLinkPath" Target="file:///Z:\Downloads\&#1605;&#1604;&#1601;%20&#1605;&#1576;&#1610;&#1593;&#1575;&#1578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FILIALE"/>
      <sheetName val="INDEX"/>
      <sheetName val="SOMMAIRE"/>
      <sheetName val="COM"/>
      <sheetName val="Synthèse"/>
      <sheetName val="BPEF"/>
      <sheetName val="BPM"/>
      <sheetName val="BPV"/>
      <sheetName val="BPSTR"/>
      <sheetName val="BPSTR-CG"/>
      <sheetName val="BP CG-MINES"/>
      <sheetName val="BPR"/>
      <sheetName val="PDM-RES"/>
      <sheetName val="BPRecLog"/>
      <sheetName val="BPEAN"/>
      <sheetName val="BP-DIVERSIFICATION"/>
      <sheetName val="BPEANA"/>
      <sheetName val="BPP"/>
      <sheetName val="BPCLE"/>
      <sheetName val="RESFUNCTION"/>
      <sheetName val="RES1A"/>
      <sheetName val="RES1C R"/>
      <sheetName val="RES1C PC"/>
      <sheetName val="RES1C BU"/>
      <sheetName val="BPIA"/>
      <sheetName val="BPIPAGE1"/>
      <sheetName val="BPIPAGE4"/>
      <sheetName val="BPANAPLT"/>
      <sheetName val="BPANAMAR"/>
      <sheetName val="BPANAROA"/>
      <sheetName val="BPANAROB"/>
      <sheetName val="BPANAROC"/>
      <sheetName val="BPANAROD"/>
      <sheetName val="BPCMO"/>
      <sheetName val="BPBFR"/>
      <sheetName val="BPCLIENTS"/>
      <sheetName val="BPF5"/>
      <sheetName val="BPF"/>
      <sheetName val="BPLT"/>
      <sheetName val="BP-VERIF"/>
      <sheetName val="FICH-BUD"/>
      <sheetName val="FICH-FIN"/>
      <sheetName val="xxx"/>
      <sheetName val="DATA_Horus"/>
      <sheetName val="DATA_RES1A_HORUS"/>
      <sheetName val="DATA_RES1C_R_HORUS"/>
      <sheetName val="DATA_BFR_R_HORUS"/>
      <sheetName val="DATA_CMO_R_HORUS"/>
      <sheetName val="INV_PLT_HORUS"/>
      <sheetName val="CMO_PLT_HORUS"/>
      <sheetName val="BPR_HORUS"/>
      <sheetName val="RES1C_PLT_HORUS"/>
      <sheetName val="CMO_PC_HORUS"/>
      <sheetName val="CMO_BU_HORUS"/>
      <sheetName val="CMO_R_HORUS"/>
      <sheetName val="RES1C_PC_HORUS"/>
      <sheetName val="RES1C_BU_HORUS"/>
      <sheetName val="BFR_PC_HORUS"/>
      <sheetName val="BFR_BU_HORUS"/>
      <sheetName val="INV_PC_HORUS"/>
      <sheetName val="INV_BU_HORUS"/>
      <sheetName val="BPP_HORUS"/>
    </sheetNames>
    <sheetDataSet>
      <sheetData sheetId="0"/>
      <sheetData sheetId="1">
        <row r="4">
          <cell r="D4" t="str">
            <v>Total Jordan Ltd</v>
          </cell>
        </row>
        <row r="6">
          <cell r="D6" t="str">
            <v>k. JOD</v>
          </cell>
        </row>
        <row r="13">
          <cell r="D13" t="str">
            <v>EN</v>
          </cell>
        </row>
        <row r="15">
          <cell r="G15" t="str">
            <v>BUDGET 2016</v>
          </cell>
        </row>
        <row r="17">
          <cell r="H17" t="str">
            <v>2014</v>
          </cell>
        </row>
        <row r="18">
          <cell r="H18" t="str">
            <v>2015</v>
          </cell>
        </row>
        <row r="19">
          <cell r="H19" t="str">
            <v>2016</v>
          </cell>
        </row>
        <row r="20">
          <cell r="H20" t="str">
            <v>2017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46">
          <cell r="E146">
            <v>4913.6729536991415</v>
          </cell>
        </row>
      </sheetData>
      <sheetData sheetId="22"/>
      <sheetData sheetId="23"/>
      <sheetData sheetId="24"/>
      <sheetData sheetId="25">
        <row r="279">
          <cell r="D279">
            <v>1027.9185288199999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"/>
      <sheetName val="Summary"/>
      <sheetName val="NW - WP Sales"/>
      <sheetName val="GT"/>
      <sheetName val="Sum"/>
      <sheetName val="Cri"/>
      <sheetName val="sapdata"/>
      <sheetName val="APMO's comment"/>
      <sheetName val="Sheet1"/>
      <sheetName val="GRAPHS"/>
    </sheetNames>
    <sheetDataSet>
      <sheetData sheetId="0"/>
      <sheetData sheetId="1"/>
      <sheetData sheetId="2"/>
      <sheetData sheetId="3"/>
      <sheetData sheetId="4">
        <row r="2">
          <cell r="A2" t="str">
            <v>Type</v>
          </cell>
        </row>
      </sheetData>
      <sheetData sheetId="5">
        <row r="1">
          <cell r="G1">
            <v>12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"/>
      <sheetName val="PARAM"/>
      <sheetName val="X"/>
      <sheetName val="BPCLE"/>
      <sheetName val="XX"/>
      <sheetName val="M13"/>
      <sheetName val="M14"/>
      <sheetName val="M15"/>
      <sheetName val="M16"/>
      <sheetName val="M17"/>
      <sheetName val="M18"/>
      <sheetName val="M19"/>
      <sheetName val="M20"/>
      <sheetName val="M21"/>
      <sheetName val="M22"/>
      <sheetName val="M23"/>
      <sheetName val="M24"/>
      <sheetName val="XXX"/>
      <sheetName val="prix_pompes"/>
      <sheetName val="MOIS"/>
      <sheetName val="CUM"/>
      <sheetName val="ANALYSE"/>
      <sheetName val="XXXX"/>
      <sheetName val="XXXXX"/>
      <sheetName val="RES1"/>
      <sheetName val="RES1CUM"/>
      <sheetName val="IncateursFR"/>
      <sheetName val="IncateursEN"/>
      <sheetName val="Feuil1"/>
    </sheetNames>
    <sheetDataSet>
      <sheetData sheetId="0" refreshError="1"/>
      <sheetData sheetId="1">
        <row r="18">
          <cell r="C18" t="str">
            <v>M19!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Total activités hors CPM"/>
      <sheetName val="Unit-RES.OM"/>
      <sheetName val="Unit-RES.LUB.OM"/>
      <sheetName val="Unit-RAFF"/>
      <sheetName val="Unit-CGEN"/>
      <sheetName val="Unit-BULK"/>
      <sheetName val="Unit-LUB.AUTO"/>
      <sheetName val="Unit-LUB.HUIL"/>
      <sheetName val="Unit-LUB.INDU"/>
      <sheetName val="Unit-LUB.DIVERS"/>
      <sheetName val="Unit-GPL"/>
      <sheetName val="Unit-AVIA_LOC"/>
      <sheetName val="Unit-BITU"/>
      <sheetName val="Unit-FLUID"/>
      <sheetName val="Unit-COMBL"/>
      <sheetName val="Unit-ACS"/>
      <sheetName val="Unit-ATV.CORP"/>
      <sheetName val="Unit-LUB.MARN"/>
      <sheetName val="Unit-AVIA_WW"/>
      <sheetName val="Unit-MAR"/>
      <sheetName val="DonneesPays"/>
    </sheetNames>
    <sheetDataSet>
      <sheetData sheetId="0" refreshError="1"/>
      <sheetData sheetId="1" refreshError="1"/>
      <sheetData sheetId="2" refreshError="1">
        <row r="19">
          <cell r="D19" t="str">
            <v>Total Jordanie</v>
          </cell>
        </row>
        <row r="21">
          <cell r="D21" t="str">
            <v>Consolidé</v>
          </cell>
        </row>
        <row r="22">
          <cell r="E22" t="str">
            <v>BUD</v>
          </cell>
        </row>
        <row r="23">
          <cell r="G23" t="str">
            <v>Base60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s"/>
      <sheetName val="Home"/>
      <sheetName val="Param"/>
      <sheetName val="Language"/>
      <sheetName val="change log"/>
      <sheetName val="Synthesis"/>
      <sheetName val="TOT_ACT"/>
      <sheetName val="BPCLE"/>
      <sheetName val="Data_Strat"/>
      <sheetName val="{"/>
      <sheetName val="NTW_FUEL"/>
      <sheetName val="NTW_SFS"/>
      <sheetName val="NTW_WASH"/>
      <sheetName val="NTW_ADB"/>
      <sheetName val="NTW_H2"/>
      <sheetName val="NTW_EVCPO"/>
      <sheetName val="NTW_GNV"/>
      <sheetName val="RNP_FLEET"/>
      <sheetName val="CS_GNV"/>
      <sheetName val="H2_B2B"/>
      <sheetName val="EVCPO_B2G"/>
      <sheetName val="EVCPO_B2B_H"/>
      <sheetName val="EV_MSP"/>
      <sheetName val="EV_SALES"/>
      <sheetName val="CS_RES"/>
      <sheetName val="CS_CONS"/>
      <sheetName val="CS_OTH"/>
      <sheetName val="CS_B2B"/>
      <sheetName val="CS_DIVP"/>
      <sheetName val="CS_DIVS"/>
      <sheetName val="CS_MIN"/>
      <sheetName val="CS_B2C"/>
      <sheetName val="BULK"/>
      <sheetName val="GPL_COND"/>
      <sheetName val="GPL_VRAC"/>
      <sheetName val="GPL_GPLC"/>
      <sheetName val="GPL_DIV"/>
      <sheetName val="LUB_AUTO"/>
      <sheetName val="LUB_IND"/>
      <sheetName val="LUB_BO"/>
      <sheetName val="LUB_OTH"/>
      <sheetName val="LUB_NTW"/>
      <sheetName val="AVIA_WW"/>
      <sheetName val="AVIA_LOC"/>
      <sheetName val="LUB_MAR"/>
      <sheetName val="BTM"/>
      <sheetName val="FS"/>
      <sheetName val="MAR_LNG"/>
      <sheetName val="MAR_FUEL"/>
      <sheetName val="ACS"/>
      <sheetName val="REFIN"/>
      <sheetName val="ATV_CORP"/>
      <sheetName val="}"/>
      <sheetName val="{{"/>
      <sheetName val="ATV_LOG"/>
      <sheetName val="PROD_LUB"/>
      <sheetName val="PROD_BTM"/>
      <sheetName val="PROD_FS"/>
      <sheetName val="PROD_DIV"/>
      <sheetName val="ATV_ADMIN"/>
      <sheetName val="}}"/>
    </sheetNames>
    <sheetDataSet>
      <sheetData sheetId="0" refreshError="1"/>
      <sheetData sheetId="1" refreshError="1"/>
      <sheetData sheetId="2">
        <row r="2">
          <cell r="C2" t="str">
            <v>EN</v>
          </cell>
        </row>
      </sheetData>
      <sheetData sheetId="3" refreshError="1"/>
      <sheetData sheetId="4" refreshError="1"/>
      <sheetData sheetId="5" refreshError="1"/>
      <sheetData sheetId="6">
        <row r="481">
          <cell r="G481">
            <v>574198.8760830001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"/>
      <sheetName val="PARAM"/>
      <sheetName val="X"/>
      <sheetName val="BPCLE"/>
      <sheetName val="XX"/>
      <sheetName val="M13"/>
      <sheetName val="M14"/>
      <sheetName val="M15"/>
      <sheetName val="M16"/>
      <sheetName val="M17"/>
      <sheetName val="M18"/>
      <sheetName val="M19"/>
      <sheetName val="M20"/>
      <sheetName val="M21"/>
      <sheetName val="M22"/>
      <sheetName val="M23"/>
      <sheetName val="M24"/>
      <sheetName val="XXX"/>
      <sheetName val="prix_pompes"/>
      <sheetName val="MOIS"/>
      <sheetName val="CUM"/>
      <sheetName val="ANALYSE"/>
      <sheetName val="XXXX"/>
      <sheetName val="XXXXX"/>
      <sheetName val="RES1"/>
      <sheetName val="RES1CUM"/>
      <sheetName val="IncateursFR"/>
      <sheetName val="IncateursEN"/>
      <sheetName val="Feuil1"/>
    </sheetNames>
    <sheetDataSet>
      <sheetData sheetId="0" refreshError="1"/>
      <sheetData sheetId="1">
        <row r="18">
          <cell r="C18" t="str">
            <v>M24!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PT INDEX"/>
      <sheetName val="CONTROL SHEET"/>
      <sheetName val="PARAM"/>
      <sheetName val="KI 01"/>
      <sheetName val="GI 01"/>
      <sheetName val="GI 02"/>
      <sheetName val="GI 03"/>
      <sheetName val="GI 03.1"/>
      <sheetName val="GI 04"/>
      <sheetName val="BPCLE"/>
      <sheetName val="IFRS16- Support Activities"/>
      <sheetName val="FITC 01 (M&amp;S)"/>
      <sheetName val="FIBO 01 (Bus Ops)"/>
      <sheetName val="FITC 01 (M&amp;S) incl. Holding"/>
      <sheetName val="FIBO 01 (Bus Ops) incl. Holding"/>
      <sheetName val="FITC 02(Supply Logistics)"/>
      <sheetName val="FITC 03(Admin)"/>
      <sheetName val="FITC 04(Production)"/>
      <sheetName val="FITC 04(Lubs Prod)"/>
      <sheetName val="FITC 04(Bit Prod)"/>
      <sheetName val="FITC 04(SF Prod)"/>
      <sheetName val="FITC 04(Other Prod)"/>
      <sheetName val="FINW 01 (NW Total)"/>
      <sheetName val="FINW 01 (NW Fuel)"/>
      <sheetName val="FINW 01 (NW SFS)"/>
      <sheetName val="FINW 01 (NW WASH)"/>
      <sheetName val="FINW 01 (NW ADBLUE)"/>
      <sheetName val="FINW 01 (NW Lub)"/>
      <sheetName val="FINW 01 (NW GMR)"/>
      <sheetName val="FINW 01 (NW EVCPOR)"/>
      <sheetName val="FINW 02"/>
      <sheetName val="FINW 03"/>
      <sheetName val="FINW 04"/>
      <sheetName val="FICS 01 (CS Total)"/>
      <sheetName val="FICSR 01"/>
      <sheetName val="FICSC 01"/>
      <sheetName val="FICSPD 01"/>
      <sheetName val="FICSSD 01"/>
      <sheetName val="FICSGASB2B 01"/>
      <sheetName val="FICS 02"/>
      <sheetName val="FIMNE 01 (MNE Total)"/>
      <sheetName val="FIMNE 01 (EV CPO B2X)"/>
      <sheetName val="FIMNE 01 (EV MSP)"/>
      <sheetName val="FIMNE 01 (EV SALES)"/>
      <sheetName val="FIMNE 01 (GM B2B)"/>
      <sheetName val="FIMNE 01 (RNP FLEET)"/>
      <sheetName val="FIMNE 03"/>
      <sheetName val="FIMAR 01"/>
      <sheetName val="FIMAR 02"/>
      <sheetName val="FIBS 01"/>
      <sheetName val="FIBS 02"/>
      <sheetName val="FILUB 01 (Lubs Total)"/>
      <sheetName val="FILUB 01 (Lubs Auto)"/>
      <sheetName val="FILUB 01 (Lubs Industry)"/>
      <sheetName val="FILUB 01 (Lubs Base Oil)"/>
      <sheetName val="FILUB 01 (Lubs Others)"/>
      <sheetName val="FILUB 01 (Lubs Others ex LM"/>
      <sheetName val="FILUB 02"/>
      <sheetName val="FILPG 01 (LPG Total)"/>
      <sheetName val="FILPG 01 (LPG Cylinder)"/>
      <sheetName val="FILPG 01 (LPG Bulk)"/>
      <sheetName val="FILPG 01 (LPG Autogas)"/>
      <sheetName val="FILPG 01 (LPG Others)"/>
      <sheetName val="FILPG 02"/>
      <sheetName val="FILPG 03"/>
      <sheetName val="FISF 01"/>
      <sheetName val="FISF 02"/>
      <sheetName val="FIAV 01"/>
      <sheetName val="FIAV 02"/>
      <sheetName val="FIACS 01"/>
      <sheetName val="FIBIT 01"/>
      <sheetName val="FICORP 01"/>
      <sheetName val="FILUBMARINE 01"/>
      <sheetName val="FIHOLDING 01"/>
      <sheetName val="FITC 05.1 (V.Exp)"/>
      <sheetName val="FITC 05.2 (F.Exp)"/>
      <sheetName val="FITC 05.3 (CAP2 CAP3)"/>
      <sheetName val="FITC 05.4 (CAP2 CAP3)"/>
      <sheetName val="FITC 06.1"/>
      <sheetName val="FITC 07"/>
      <sheetName val="FITC 08"/>
      <sheetName val="FITC 09"/>
      <sheetName val="FITC 09.1"/>
      <sheetName val="FITC 10"/>
      <sheetName val="FITC 11"/>
      <sheetName val="FITC 12"/>
      <sheetName val="PPT A&amp;P -All"/>
      <sheetName val="PPT A&amp;P RETAIL"/>
      <sheetName val="PPT A&amp;P LUB"/>
      <sheetName val="PPT A&amp;P Support"/>
      <sheetName val="APL LOAD"/>
      <sheetName val="APL CHECK"/>
      <sheetName val="EQUITY LOAD "/>
      <sheetName val="EQUITY CHECK"/>
      <sheetName val="CAPEX LOAD+CHECK"/>
      <sheetName val="S.STATIONS LOAD+CHECK"/>
      <sheetName val="CMO LOAD+CHECK"/>
      <sheetName val="3rd Party Dividends"/>
      <sheetName val="HC_INFLATION_LOAD+CHECK"/>
      <sheetName val="HC_in Nconso Param LOAD+CHECK"/>
      <sheetName val="MKT SIZE LOAD+CHECK"/>
    </sheetNames>
    <sheetDataSet>
      <sheetData sheetId="0" refreshError="1"/>
      <sheetData sheetId="1" refreshError="1"/>
      <sheetData sheetId="2" refreshError="1"/>
      <sheetData sheetId="3">
        <row r="11">
          <cell r="E11">
            <v>0.70899756888736298</v>
          </cell>
          <cell r="F11">
            <v>0.71</v>
          </cell>
          <cell r="I11">
            <v>0.71</v>
          </cell>
          <cell r="J11">
            <v>0.71</v>
          </cell>
          <cell r="L11">
            <v>0.71</v>
          </cell>
        </row>
      </sheetData>
      <sheetData sheetId="4">
        <row r="141">
          <cell r="D141">
            <v>9336.4830000000002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9">
          <cell r="H89">
            <v>-3333.5107619915843</v>
          </cell>
        </row>
      </sheetData>
      <sheetData sheetId="13">
        <row r="95">
          <cell r="F95">
            <v>-7414.232</v>
          </cell>
        </row>
      </sheetData>
      <sheetData sheetId="14" refreshError="1"/>
      <sheetData sheetId="15">
        <row r="126">
          <cell r="F126">
            <v>-9336.483000000002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29">
          <cell r="B129">
            <v>-3213.7449999999999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PT INDEX"/>
      <sheetName val="CONTROL SHEET"/>
      <sheetName val="PARAM"/>
      <sheetName val="KI 01"/>
      <sheetName val="GI 01"/>
      <sheetName val="GI 02"/>
      <sheetName val="GI 03"/>
      <sheetName val="GI 04"/>
      <sheetName val="FITC 01 (M&amp;S)"/>
      <sheetName val="FIBO 01 (Bus Ops)"/>
      <sheetName val="FITC 02(Supply Logistics)"/>
      <sheetName val="FITC 03(Admin)"/>
      <sheetName val="FITC 04(Production)"/>
      <sheetName val="FITC 04(Lubs Prod)"/>
      <sheetName val="FITC 04(Bit Prod)"/>
      <sheetName val="FITC 04(SF Prod)"/>
      <sheetName val="FITC 04(Other Prod)"/>
      <sheetName val="FINW 01 (NW Total)"/>
      <sheetName val="FINW 01 (NW No Lub)"/>
      <sheetName val="FINW 01 (NW Lub)"/>
      <sheetName val="FINW 01 (NW NGV)"/>
      <sheetName val="FINW 02"/>
      <sheetName val="FINW 03"/>
      <sheetName val="FINW 04"/>
      <sheetName val="FICS 01 (CS Total)"/>
      <sheetName val="FICSC 01"/>
      <sheetName val="FICSR 01"/>
      <sheetName val="FICSNGV 01"/>
      <sheetName val="FICS 02"/>
      <sheetName val="FIMAR 01"/>
      <sheetName val="FIMAR 02"/>
      <sheetName val="FIBS 01"/>
      <sheetName val="FIBS 02"/>
      <sheetName val="FILUB 01 (Lubs Total)"/>
      <sheetName val="FILUB 01 (Lubs Auto)"/>
      <sheetName val="FILUB 01 (Lubs Industry)"/>
      <sheetName val="FILUB 01 (Lubs Base Oil)"/>
      <sheetName val="FILUB 01 (Lubs Others)"/>
      <sheetName val="FILUB 02"/>
      <sheetName val="FILPG 01 (LPG Total)"/>
      <sheetName val="FILPG 01 (LPG Cylinder)"/>
      <sheetName val="FILPG 01 (LPG Bulk)"/>
      <sheetName val="FILPG 01 (LPG Autogas)"/>
      <sheetName val="FILPG 01 (LPG Others)"/>
      <sheetName val="FILPG 02"/>
      <sheetName val="FILPG 03"/>
      <sheetName val="FISF 01"/>
      <sheetName val="FISF 02"/>
      <sheetName val="FIAV 01"/>
      <sheetName val="FIAV 02"/>
      <sheetName val="FIBIT 01"/>
      <sheetName val="FIACS 01"/>
      <sheetName val="FICORP 01"/>
      <sheetName val="FIHOLDING 01"/>
      <sheetName val="FILUBMARINE 01"/>
      <sheetName val="FITC 05.1 (V.Exp)"/>
      <sheetName val="FITC 05.2 (F.Exp)"/>
      <sheetName val="FITC 05.3 (CAP2)"/>
      <sheetName val="FITC 05.4 (CAP2)"/>
      <sheetName val="FITC 06.1"/>
      <sheetName val="FITC 06.2"/>
      <sheetName val="FITC 07"/>
      <sheetName val="FITC 08"/>
      <sheetName val="FITC 09"/>
      <sheetName val="FITC 09.1"/>
      <sheetName val="FITC 10"/>
      <sheetName val="FITC 11"/>
      <sheetName val="FITC 12"/>
      <sheetName val="PPT A&amp;P -All"/>
      <sheetName val="PPT A&amp;P RETAIL"/>
      <sheetName val="PPT A&amp;P LUB"/>
      <sheetName val="PPT A&amp;P Support"/>
      <sheetName val="OtherRetrieval"/>
      <sheetName val="APL LOAD"/>
      <sheetName val="APL CHECK"/>
      <sheetName val="EQUITY LOAD "/>
      <sheetName val="EQUITY CHECK"/>
      <sheetName val="CAPEX LOAD"/>
      <sheetName val="CAPEX CHECK"/>
      <sheetName val="CAPEX-Solar &amp; Dev."/>
      <sheetName val="S.STATIONS LOAD+CHECK"/>
      <sheetName val="CMO LOAD"/>
      <sheetName val="CMO CHECK"/>
      <sheetName val="3rd Party Dividends"/>
      <sheetName val="HC_INFLATION_LOAD+CHECK"/>
      <sheetName val="MKT SIZE LOAD+CHECK"/>
    </sheetNames>
    <sheetDataSet>
      <sheetData sheetId="0" refreshError="1"/>
      <sheetData sheetId="1" refreshError="1"/>
      <sheetData sheetId="2" refreshError="1"/>
      <sheetData sheetId="3" refreshError="1">
        <row r="4">
          <cell r="N4" t="str">
            <v>JOD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Sales "/>
    </sheetNames>
    <sheetDataSet>
      <sheetData sheetId="0">
        <row r="10">
          <cell r="H10">
            <v>1059419</v>
          </cell>
          <cell r="I10">
            <v>970321.1</v>
          </cell>
          <cell r="J10">
            <v>1131549</v>
          </cell>
          <cell r="K10">
            <v>994636</v>
          </cell>
          <cell r="L10">
            <v>986696.10000000009</v>
          </cell>
          <cell r="M10">
            <v>923363.03850000002</v>
          </cell>
          <cell r="N10">
            <v>883945</v>
          </cell>
          <cell r="O10">
            <v>879346.35999999975</v>
          </cell>
          <cell r="P10">
            <v>1120532.6400000032</v>
          </cell>
          <cell r="Q10">
            <v>1037446.2</v>
          </cell>
          <cell r="R10">
            <v>952013.95000000019</v>
          </cell>
          <cell r="S10">
            <v>935327.67999999993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5BAA-7BC2-435A-A414-833B011D233D}">
  <sheetPr>
    <tabColor rgb="FFFFC000"/>
  </sheetPr>
  <dimension ref="A1:BH96"/>
  <sheetViews>
    <sheetView showGridLines="0" topLeftCell="A71" zoomScale="80" zoomScaleNormal="80" workbookViewId="0">
      <pane xSplit="7" topLeftCell="H1" activePane="topRight" state="frozen"/>
      <selection pane="topRight" activeCell="AS82" sqref="AS82:BD82"/>
    </sheetView>
  </sheetViews>
  <sheetFormatPr defaultColWidth="9.109375" defaultRowHeight="14.4" outlineLevelCol="1" x14ac:dyDescent="0.3"/>
  <cols>
    <col min="1" max="1" width="20" style="45" bestFit="1" customWidth="1"/>
    <col min="2" max="3" width="15.88671875" style="45" bestFit="1" customWidth="1"/>
    <col min="4" max="4" width="13.5546875" style="45" bestFit="1" customWidth="1"/>
    <col min="5" max="5" width="20.44140625" style="45" bestFit="1" customWidth="1"/>
    <col min="6" max="6" width="43.44140625" style="45" bestFit="1" customWidth="1"/>
    <col min="7" max="7" width="5.33203125" style="45" customWidth="1"/>
    <col min="8" max="8" width="7.6640625" style="45" bestFit="1" customWidth="1"/>
    <col min="9" max="18" width="15.6640625" style="45" hidden="1" customWidth="1" outlineLevel="1"/>
    <col min="19" max="20" width="14.33203125" style="45" hidden="1" customWidth="1" outlineLevel="1"/>
    <col min="21" max="22" width="15.6640625" style="45" hidden="1" customWidth="1" outlineLevel="1"/>
    <col min="23" max="26" width="14.33203125" style="45" hidden="1" customWidth="1" outlineLevel="1"/>
    <col min="27" max="32" width="15.6640625" style="45" hidden="1" customWidth="1" outlineLevel="1"/>
    <col min="33" max="33" width="15.6640625" style="45" bestFit="1" customWidth="1" collapsed="1"/>
    <col min="34" max="34" width="15.6640625" style="45" bestFit="1" customWidth="1"/>
    <col min="35" max="35" width="6.5546875" style="45" bestFit="1" customWidth="1"/>
    <col min="36" max="36" width="6" style="45" bestFit="1" customWidth="1"/>
    <col min="37" max="37" width="6.88671875" style="45" bestFit="1" customWidth="1"/>
    <col min="38" max="38" width="5.88671875" style="45" bestFit="1" customWidth="1"/>
    <col min="39" max="39" width="5.109375" style="45" bestFit="1" customWidth="1"/>
    <col min="40" max="40" width="6.44140625" style="45" bestFit="1" customWidth="1"/>
    <col min="41" max="41" width="6.5546875" style="45" bestFit="1" customWidth="1"/>
    <col min="42" max="42" width="6.109375" style="45" bestFit="1" customWidth="1"/>
    <col min="43" max="43" width="6.5546875" style="45" bestFit="1" customWidth="1"/>
    <col min="44" max="44" width="6.88671875" style="45" bestFit="1" customWidth="1"/>
    <col min="45" max="56" width="15.6640625" style="45" bestFit="1" customWidth="1"/>
    <col min="57" max="58" width="17.109375" style="45" bestFit="1" customWidth="1"/>
    <col min="59" max="59" width="15.6640625" style="45" bestFit="1" customWidth="1"/>
    <col min="60" max="60" width="17.109375" style="45" bestFit="1" customWidth="1"/>
    <col min="61" max="16384" width="9.109375" style="45"/>
  </cols>
  <sheetData>
    <row r="1" spans="1:60" ht="15" thickTop="1" x14ac:dyDescent="0.3">
      <c r="A1" s="53"/>
      <c r="B1" s="54"/>
      <c r="C1" s="54"/>
      <c r="D1" s="54"/>
      <c r="E1" s="54"/>
      <c r="F1" s="54"/>
      <c r="G1" s="54"/>
      <c r="H1" s="54"/>
      <c r="I1" s="121" t="s">
        <v>143</v>
      </c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 t="s">
        <v>144</v>
      </c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2" t="s">
        <v>145</v>
      </c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3" t="s">
        <v>146</v>
      </c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4" t="s">
        <v>20</v>
      </c>
      <c r="BF1" s="124"/>
      <c r="BG1" s="124"/>
      <c r="BH1" s="125"/>
    </row>
    <row r="2" spans="1:60" ht="21" x14ac:dyDescent="0.3">
      <c r="A2" s="55" t="s">
        <v>147</v>
      </c>
      <c r="B2" s="56" t="s">
        <v>148</v>
      </c>
      <c r="C2" s="56"/>
      <c r="D2" s="56"/>
      <c r="E2" s="56"/>
      <c r="F2" s="57" t="s">
        <v>149</v>
      </c>
      <c r="G2" s="56" t="s">
        <v>1</v>
      </c>
      <c r="H2" s="56" t="s">
        <v>150</v>
      </c>
      <c r="I2" s="58" t="s">
        <v>151</v>
      </c>
      <c r="J2" s="58" t="s">
        <v>152</v>
      </c>
      <c r="K2" s="58" t="s">
        <v>153</v>
      </c>
      <c r="L2" s="58" t="s">
        <v>154</v>
      </c>
      <c r="M2" s="58" t="s">
        <v>11</v>
      </c>
      <c r="N2" s="58" t="s">
        <v>155</v>
      </c>
      <c r="O2" s="58" t="s">
        <v>156</v>
      </c>
      <c r="P2" s="58" t="s">
        <v>157</v>
      </c>
      <c r="Q2" s="58" t="s">
        <v>158</v>
      </c>
      <c r="R2" s="58" t="s">
        <v>159</v>
      </c>
      <c r="S2" s="58" t="s">
        <v>160</v>
      </c>
      <c r="T2" s="58" t="s">
        <v>161</v>
      </c>
      <c r="U2" s="58" t="s">
        <v>151</v>
      </c>
      <c r="V2" s="58" t="s">
        <v>152</v>
      </c>
      <c r="W2" s="58" t="s">
        <v>153</v>
      </c>
      <c r="X2" s="58" t="s">
        <v>154</v>
      </c>
      <c r="Y2" s="58" t="s">
        <v>11</v>
      </c>
      <c r="Z2" s="58" t="s">
        <v>155</v>
      </c>
      <c r="AA2" s="58" t="s">
        <v>156</v>
      </c>
      <c r="AB2" s="58" t="s">
        <v>157</v>
      </c>
      <c r="AC2" s="58" t="s">
        <v>158</v>
      </c>
      <c r="AD2" s="58" t="s">
        <v>159</v>
      </c>
      <c r="AE2" s="58" t="s">
        <v>160</v>
      </c>
      <c r="AF2" s="58" t="s">
        <v>161</v>
      </c>
      <c r="AG2" s="58" t="s">
        <v>151</v>
      </c>
      <c r="AH2" s="58" t="s">
        <v>152</v>
      </c>
      <c r="AI2" s="58" t="s">
        <v>153</v>
      </c>
      <c r="AJ2" s="58" t="s">
        <v>154</v>
      </c>
      <c r="AK2" s="58" t="s">
        <v>11</v>
      </c>
      <c r="AL2" s="58" t="s">
        <v>155</v>
      </c>
      <c r="AM2" s="58" t="s">
        <v>156</v>
      </c>
      <c r="AN2" s="58" t="s">
        <v>157</v>
      </c>
      <c r="AO2" s="58" t="s">
        <v>158</v>
      </c>
      <c r="AP2" s="58" t="s">
        <v>159</v>
      </c>
      <c r="AQ2" s="58" t="s">
        <v>160</v>
      </c>
      <c r="AR2" s="58" t="s">
        <v>161</v>
      </c>
      <c r="AS2" s="58" t="s">
        <v>151</v>
      </c>
      <c r="AT2" s="58" t="s">
        <v>152</v>
      </c>
      <c r="AU2" s="58" t="s">
        <v>153</v>
      </c>
      <c r="AV2" s="58" t="s">
        <v>154</v>
      </c>
      <c r="AW2" s="58" t="s">
        <v>11</v>
      </c>
      <c r="AX2" s="58" t="s">
        <v>155</v>
      </c>
      <c r="AY2" s="58" t="s">
        <v>156</v>
      </c>
      <c r="AZ2" s="58" t="s">
        <v>157</v>
      </c>
      <c r="BA2" s="58" t="s">
        <v>158</v>
      </c>
      <c r="BB2" s="58" t="s">
        <v>159</v>
      </c>
      <c r="BC2" s="58" t="s">
        <v>160</v>
      </c>
      <c r="BD2" s="58" t="s">
        <v>161</v>
      </c>
      <c r="BE2" s="58" t="s">
        <v>162</v>
      </c>
      <c r="BF2" s="58" t="s">
        <v>163</v>
      </c>
      <c r="BG2" s="58" t="s">
        <v>164</v>
      </c>
      <c r="BH2" s="59" t="s">
        <v>165</v>
      </c>
    </row>
    <row r="3" spans="1:60" ht="18" x14ac:dyDescent="0.3">
      <c r="A3" s="60"/>
      <c r="B3" s="61"/>
      <c r="C3" s="62"/>
      <c r="D3" s="62"/>
      <c r="E3" s="62"/>
      <c r="F3" s="62"/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4"/>
    </row>
    <row r="4" spans="1:60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7"/>
    </row>
    <row r="5" spans="1:60" ht="18" x14ac:dyDescent="0.3">
      <c r="A5" s="65" t="s">
        <v>166</v>
      </c>
      <c r="B5" s="66" t="s">
        <v>167</v>
      </c>
      <c r="C5" s="66" t="s">
        <v>168</v>
      </c>
      <c r="D5" s="66" t="s">
        <v>169</v>
      </c>
      <c r="E5" s="48" t="s">
        <v>170</v>
      </c>
      <c r="F5" s="68" t="s">
        <v>171</v>
      </c>
      <c r="G5" s="66">
        <v>1</v>
      </c>
      <c r="H5" s="69" t="s">
        <v>172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240335.56</v>
      </c>
      <c r="BA5" s="48">
        <v>304925.74174999999</v>
      </c>
      <c r="BB5" s="48">
        <v>433299.47902674996</v>
      </c>
      <c r="BC5" s="48">
        <v>557099.33017724997</v>
      </c>
      <c r="BD5" s="48">
        <v>628284.24458878743</v>
      </c>
      <c r="BE5" s="70">
        <v>0</v>
      </c>
      <c r="BF5" s="70">
        <v>0</v>
      </c>
      <c r="BG5" s="70">
        <v>0</v>
      </c>
      <c r="BH5" s="71">
        <v>2163944.3555427874</v>
      </c>
    </row>
    <row r="6" spans="1:60" ht="18" x14ac:dyDescent="0.3">
      <c r="A6" s="65" t="s">
        <v>166</v>
      </c>
      <c r="B6" s="66" t="s">
        <v>167</v>
      </c>
      <c r="C6" s="66" t="s">
        <v>173</v>
      </c>
      <c r="D6" s="66" t="s">
        <v>169</v>
      </c>
      <c r="E6" s="48" t="s">
        <v>174</v>
      </c>
      <c r="F6" s="68" t="s">
        <v>21</v>
      </c>
      <c r="G6" s="66">
        <v>2</v>
      </c>
      <c r="H6" s="69" t="s">
        <v>22</v>
      </c>
      <c r="I6" s="48">
        <v>6857304</v>
      </c>
      <c r="J6" s="48">
        <v>5785426</v>
      </c>
      <c r="K6" s="48">
        <v>3087076</v>
      </c>
      <c r="L6" s="48">
        <v>3177240</v>
      </c>
      <c r="M6" s="48">
        <v>3407933</v>
      </c>
      <c r="N6" s="48">
        <v>3200347</v>
      </c>
      <c r="O6" s="48">
        <v>3150398</v>
      </c>
      <c r="P6" s="48">
        <v>3467658</v>
      </c>
      <c r="Q6" s="48">
        <v>2942959</v>
      </c>
      <c r="R6" s="48">
        <v>2981505</v>
      </c>
      <c r="S6" s="48">
        <v>2884528</v>
      </c>
      <c r="T6" s="48">
        <v>2853077.1</v>
      </c>
      <c r="U6" s="48">
        <v>4540958</v>
      </c>
      <c r="V6" s="48">
        <v>3976372.2</v>
      </c>
      <c r="W6" s="48">
        <v>2930223.1</v>
      </c>
      <c r="X6" s="48">
        <v>3038611.8</v>
      </c>
      <c r="Y6" s="48">
        <v>3151009.4000000004</v>
      </c>
      <c r="Z6" s="48">
        <v>2629569.1</v>
      </c>
      <c r="AA6" s="48">
        <v>3234188</v>
      </c>
      <c r="AB6" s="48">
        <v>3625623</v>
      </c>
      <c r="AC6" s="48">
        <v>3017369.4000000004</v>
      </c>
      <c r="AD6" s="48">
        <v>2864823.7</v>
      </c>
      <c r="AE6" s="48">
        <v>2759932</v>
      </c>
      <c r="AF6" s="48">
        <v>2826964.6999999997</v>
      </c>
      <c r="AG6" s="48">
        <v>2959947.65</v>
      </c>
      <c r="AH6" s="48">
        <v>2599362.8899999997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2338593.37</v>
      </c>
      <c r="AT6" s="48">
        <v>2067713.5440000002</v>
      </c>
      <c r="AU6" s="48">
        <v>3047432.0240000002</v>
      </c>
      <c r="AV6" s="48">
        <v>3129770.1539999996</v>
      </c>
      <c r="AW6" s="48">
        <v>3261294.7290000003</v>
      </c>
      <c r="AX6" s="48">
        <v>2721604.0185000002</v>
      </c>
      <c r="AY6" s="48">
        <v>3347384.58</v>
      </c>
      <c r="AZ6" s="48">
        <v>3915672.84</v>
      </c>
      <c r="BA6" s="48">
        <v>3138064.176</v>
      </c>
      <c r="BB6" s="48">
        <v>2979416.648</v>
      </c>
      <c r="BC6" s="48">
        <v>2870387.7903999994</v>
      </c>
      <c r="BD6" s="48">
        <v>2880800</v>
      </c>
      <c r="BE6" s="70">
        <v>43795451.100000001</v>
      </c>
      <c r="BF6" s="70">
        <v>38595644.400000006</v>
      </c>
      <c r="BG6" s="70">
        <v>5559310.5399999991</v>
      </c>
      <c r="BH6" s="71">
        <v>35698133.873899996</v>
      </c>
    </row>
    <row r="7" spans="1:60" ht="18" x14ac:dyDescent="0.3">
      <c r="A7" s="65" t="s">
        <v>166</v>
      </c>
      <c r="B7" s="66" t="s">
        <v>167</v>
      </c>
      <c r="C7" s="66" t="s">
        <v>173</v>
      </c>
      <c r="D7" s="66" t="s">
        <v>169</v>
      </c>
      <c r="E7" s="48" t="s">
        <v>170</v>
      </c>
      <c r="F7" s="68" t="s">
        <v>44</v>
      </c>
      <c r="G7" s="66">
        <v>3</v>
      </c>
      <c r="H7" s="69" t="s">
        <v>45</v>
      </c>
      <c r="I7" s="48">
        <v>1977389.7999999998</v>
      </c>
      <c r="J7" s="48">
        <v>1763276</v>
      </c>
      <c r="K7" s="48">
        <v>1047817</v>
      </c>
      <c r="L7" s="48">
        <v>951608</v>
      </c>
      <c r="M7" s="48">
        <v>977006</v>
      </c>
      <c r="N7" s="48">
        <v>1025232</v>
      </c>
      <c r="O7" s="48">
        <v>862732</v>
      </c>
      <c r="P7" s="48">
        <v>954016</v>
      </c>
      <c r="Q7" s="48">
        <v>976738</v>
      </c>
      <c r="R7" s="48">
        <v>1038129</v>
      </c>
      <c r="S7" s="48">
        <v>965665</v>
      </c>
      <c r="T7" s="48">
        <v>1022508</v>
      </c>
      <c r="U7" s="48">
        <v>2118838</v>
      </c>
      <c r="V7" s="48">
        <v>1940642.2000000002</v>
      </c>
      <c r="W7" s="48">
        <v>1131549</v>
      </c>
      <c r="X7" s="48">
        <v>994636</v>
      </c>
      <c r="Y7" s="48">
        <v>986696.10000000009</v>
      </c>
      <c r="Z7" s="48">
        <v>923363.03850000002</v>
      </c>
      <c r="AA7" s="48">
        <v>883945</v>
      </c>
      <c r="AB7" s="48">
        <v>879377.1</v>
      </c>
      <c r="AC7" s="48">
        <v>1120550</v>
      </c>
      <c r="AD7" s="48">
        <v>1037446.2</v>
      </c>
      <c r="AE7" s="48">
        <v>951674</v>
      </c>
      <c r="AF7" s="48">
        <v>935323</v>
      </c>
      <c r="AG7" s="48">
        <v>933279.40000000014</v>
      </c>
      <c r="AH7" s="48">
        <v>1136270.4500000002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1091201.57</v>
      </c>
      <c r="AT7" s="48">
        <v>999430.73300000001</v>
      </c>
      <c r="AU7" s="48">
        <v>1165495.47</v>
      </c>
      <c r="AV7" s="48">
        <v>1024475.08</v>
      </c>
      <c r="AW7" s="48">
        <v>1016296.983</v>
      </c>
      <c r="AX7" s="48">
        <v>951063.9296550001</v>
      </c>
      <c r="AY7" s="48">
        <v>906043.625</v>
      </c>
      <c r="AZ7" s="48">
        <v>910155.29850000003</v>
      </c>
      <c r="BA7" s="48">
        <v>1165372</v>
      </c>
      <c r="BB7" s="48">
        <v>1068569.5859999999</v>
      </c>
      <c r="BC7" s="48">
        <v>980574.3685000001</v>
      </c>
      <c r="BD7" s="48">
        <v>988800</v>
      </c>
      <c r="BE7" s="70">
        <v>13562116.800000001</v>
      </c>
      <c r="BF7" s="70">
        <v>13904039.638499999</v>
      </c>
      <c r="BG7" s="70">
        <v>2069549.8500000003</v>
      </c>
      <c r="BH7" s="71">
        <v>12267478.643654998</v>
      </c>
    </row>
    <row r="8" spans="1:60" ht="18" x14ac:dyDescent="0.3">
      <c r="A8" s="65" t="s">
        <v>166</v>
      </c>
      <c r="B8" s="66" t="s">
        <v>167</v>
      </c>
      <c r="C8" s="66" t="s">
        <v>175</v>
      </c>
      <c r="D8" s="66" t="s">
        <v>169</v>
      </c>
      <c r="E8" s="48" t="s">
        <v>174</v>
      </c>
      <c r="F8" s="68" t="s">
        <v>176</v>
      </c>
      <c r="G8" s="66">
        <v>4</v>
      </c>
      <c r="H8" s="69" t="s">
        <v>52</v>
      </c>
      <c r="I8" s="48">
        <v>3382474.4000000004</v>
      </c>
      <c r="J8" s="48">
        <v>3048622.2</v>
      </c>
      <c r="K8" s="48">
        <v>1691975.2</v>
      </c>
      <c r="L8" s="48">
        <v>1734743.2</v>
      </c>
      <c r="M8" s="48">
        <v>1705909.1</v>
      </c>
      <c r="N8" s="48">
        <v>1703533.1</v>
      </c>
      <c r="O8" s="48">
        <v>1880768.01</v>
      </c>
      <c r="P8" s="48">
        <v>1989743.4</v>
      </c>
      <c r="Q8" s="48">
        <v>1613165.9</v>
      </c>
      <c r="R8" s="48">
        <v>1479048.3</v>
      </c>
      <c r="S8" s="48">
        <v>1454953</v>
      </c>
      <c r="T8" s="48">
        <v>1429143.9</v>
      </c>
      <c r="U8" s="48">
        <v>3133339.4000000004</v>
      </c>
      <c r="V8" s="48">
        <v>2732315.2</v>
      </c>
      <c r="W8" s="48">
        <v>1329372.5</v>
      </c>
      <c r="X8" s="48">
        <v>1460839.4</v>
      </c>
      <c r="Y8" s="48">
        <v>1447545.2</v>
      </c>
      <c r="Z8" s="48">
        <v>1330930.7000000002</v>
      </c>
      <c r="AA8" s="48">
        <v>1459812.9</v>
      </c>
      <c r="AB8" s="48">
        <v>1691809.6</v>
      </c>
      <c r="AC8" s="48">
        <v>1377925.6</v>
      </c>
      <c r="AD8" s="48">
        <v>1388577.2999999998</v>
      </c>
      <c r="AE8" s="48">
        <v>1321898</v>
      </c>
      <c r="AF8" s="48">
        <v>1297900.2</v>
      </c>
      <c r="AG8" s="48">
        <v>1338482.24</v>
      </c>
      <c r="AH8" s="48">
        <v>1224764.46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1621503.1395</v>
      </c>
      <c r="AT8" s="48">
        <v>1413973.1159999999</v>
      </c>
      <c r="AU8" s="48">
        <v>1375900.5374999999</v>
      </c>
      <c r="AV8" s="48">
        <v>1533881.37</v>
      </c>
      <c r="AW8" s="48">
        <v>1498209.2819999999</v>
      </c>
      <c r="AX8" s="48">
        <v>1364203.9675000003</v>
      </c>
      <c r="AY8" s="48">
        <v>1496308.2225000001</v>
      </c>
      <c r="AZ8" s="48">
        <v>1793318.176</v>
      </c>
      <c r="BA8" s="48">
        <v>1412373.7399999998</v>
      </c>
      <c r="BB8" s="48">
        <v>1416348.8459999999</v>
      </c>
      <c r="BC8" s="48">
        <v>1349067.2489999998</v>
      </c>
      <c r="BD8" s="48">
        <v>1356600</v>
      </c>
      <c r="BE8" s="70">
        <v>23114079.709999997</v>
      </c>
      <c r="BF8" s="70">
        <v>19972265.999999996</v>
      </c>
      <c r="BG8" s="70">
        <v>2563246.7000000002</v>
      </c>
      <c r="BH8" s="71">
        <v>17631687.645999998</v>
      </c>
    </row>
    <row r="9" spans="1:60" ht="18" x14ac:dyDescent="0.3">
      <c r="A9" s="65" t="s">
        <v>166</v>
      </c>
      <c r="B9" s="66" t="s">
        <v>167</v>
      </c>
      <c r="C9" s="66" t="s">
        <v>175</v>
      </c>
      <c r="D9" s="66" t="s">
        <v>169</v>
      </c>
      <c r="E9" s="48" t="s">
        <v>170</v>
      </c>
      <c r="F9" s="68" t="s">
        <v>177</v>
      </c>
      <c r="G9" s="66">
        <v>5</v>
      </c>
      <c r="H9" s="69" t="s">
        <v>54</v>
      </c>
      <c r="I9" s="48">
        <v>2749712.4000000004</v>
      </c>
      <c r="J9" s="48">
        <v>2660436.5999999996</v>
      </c>
      <c r="K9" s="48">
        <v>1445880.2</v>
      </c>
      <c r="L9" s="48">
        <v>1528440.2999999998</v>
      </c>
      <c r="M9" s="48">
        <v>1497124.2</v>
      </c>
      <c r="N9" s="48">
        <v>1623163.8199999998</v>
      </c>
      <c r="O9" s="48">
        <v>1941440.4</v>
      </c>
      <c r="P9" s="48">
        <v>1846383.5</v>
      </c>
      <c r="Q9" s="48">
        <v>1506960.2999999998</v>
      </c>
      <c r="R9" s="48">
        <v>1445674.7</v>
      </c>
      <c r="S9" s="48">
        <v>1339791.2</v>
      </c>
      <c r="T9" s="48">
        <v>1273121.7</v>
      </c>
      <c r="U9" s="48">
        <v>2536635</v>
      </c>
      <c r="V9" s="48">
        <v>2472792.4</v>
      </c>
      <c r="W9" s="48">
        <v>1406390.2</v>
      </c>
      <c r="X9" s="48">
        <v>1371536.3</v>
      </c>
      <c r="Y9" s="48">
        <v>1387199.1</v>
      </c>
      <c r="Z9" s="48">
        <v>1397425.4</v>
      </c>
      <c r="AA9" s="48">
        <v>1671348.7999999998</v>
      </c>
      <c r="AB9" s="48">
        <v>1798426.4</v>
      </c>
      <c r="AC9" s="48">
        <v>1205325.4001</v>
      </c>
      <c r="AD9" s="48">
        <v>1191511.2</v>
      </c>
      <c r="AE9" s="48">
        <v>1046881</v>
      </c>
      <c r="AF9" s="48">
        <v>1013463.7</v>
      </c>
      <c r="AG9" s="48">
        <v>1044470.6</v>
      </c>
      <c r="AH9" s="48">
        <v>980771.47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1312708.6125</v>
      </c>
      <c r="AT9" s="48">
        <v>1279670.067</v>
      </c>
      <c r="AU9" s="48">
        <v>1455613.8569999998</v>
      </c>
      <c r="AV9" s="48">
        <v>1440113.115</v>
      </c>
      <c r="AW9" s="48">
        <v>1435751.0685000001</v>
      </c>
      <c r="AX9" s="48">
        <v>1432361.0350000001</v>
      </c>
      <c r="AY9" s="48">
        <v>1713132.52</v>
      </c>
      <c r="AZ9" s="48">
        <v>1906331.9839999997</v>
      </c>
      <c r="BA9" s="48">
        <v>1235458.5351025001</v>
      </c>
      <c r="BB9" s="48">
        <v>1215341.4240000001</v>
      </c>
      <c r="BC9" s="48">
        <v>1067844.65754</v>
      </c>
      <c r="BD9" s="48">
        <v>1071000</v>
      </c>
      <c r="BE9" s="70">
        <v>20858129.319999997</v>
      </c>
      <c r="BF9" s="70">
        <v>18498934.900099996</v>
      </c>
      <c r="BG9" s="70">
        <v>2025242.0699999998</v>
      </c>
      <c r="BH9" s="71">
        <v>16565326.875642501</v>
      </c>
    </row>
    <row r="10" spans="1:60" ht="18" x14ac:dyDescent="0.3">
      <c r="A10" s="65" t="s">
        <v>166</v>
      </c>
      <c r="B10" s="66" t="s">
        <v>167</v>
      </c>
      <c r="C10" s="66" t="s">
        <v>175</v>
      </c>
      <c r="D10" s="66" t="s">
        <v>169</v>
      </c>
      <c r="E10" s="48" t="s">
        <v>174</v>
      </c>
      <c r="F10" s="68" t="s">
        <v>48</v>
      </c>
      <c r="G10" s="66">
        <v>6</v>
      </c>
      <c r="H10" s="69" t="s">
        <v>49</v>
      </c>
      <c r="I10" s="48">
        <v>5976630</v>
      </c>
      <c r="J10" s="48">
        <v>5618519.4000000004</v>
      </c>
      <c r="K10" s="48">
        <v>3182933.9</v>
      </c>
      <c r="L10" s="48">
        <v>2701993.2</v>
      </c>
      <c r="M10" s="48">
        <v>2777858.1</v>
      </c>
      <c r="N10" s="48">
        <v>2768790</v>
      </c>
      <c r="O10" s="48">
        <v>3129962.55</v>
      </c>
      <c r="P10" s="48">
        <v>3285726.1</v>
      </c>
      <c r="Q10" s="48">
        <v>3050071.9</v>
      </c>
      <c r="R10" s="48">
        <v>3180252</v>
      </c>
      <c r="S10" s="48">
        <v>3215151</v>
      </c>
      <c r="T10" s="48">
        <v>3079912</v>
      </c>
      <c r="U10" s="48">
        <v>6721410.1999999993</v>
      </c>
      <c r="V10" s="48">
        <v>5551934</v>
      </c>
      <c r="W10" s="48">
        <v>2842095.2</v>
      </c>
      <c r="X10" s="48">
        <v>2494044.7999999998</v>
      </c>
      <c r="Y10" s="48">
        <v>2655931.9000000004</v>
      </c>
      <c r="Z10" s="48">
        <v>2472192.2000000002</v>
      </c>
      <c r="AA10" s="48">
        <v>3004523</v>
      </c>
      <c r="AB10" s="48">
        <v>3003468.0999999996</v>
      </c>
      <c r="AC10" s="48">
        <v>2501739.7039999999</v>
      </c>
      <c r="AD10" s="48">
        <v>2612089</v>
      </c>
      <c r="AE10" s="48">
        <v>2576224</v>
      </c>
      <c r="AF10" s="48">
        <v>2658440.2999999998</v>
      </c>
      <c r="AG10" s="48">
        <v>2643146.84</v>
      </c>
      <c r="AH10" s="48">
        <v>2357811.5100000002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0</v>
      </c>
      <c r="AQ10" s="48">
        <v>0</v>
      </c>
      <c r="AR10" s="48">
        <v>0</v>
      </c>
      <c r="AS10" s="48">
        <v>3478329.7785</v>
      </c>
      <c r="AT10" s="48">
        <v>2873125.8449999997</v>
      </c>
      <c r="AU10" s="48">
        <v>2941568.5319999997</v>
      </c>
      <c r="AV10" s="48">
        <v>2618747.04</v>
      </c>
      <c r="AW10" s="48">
        <v>2748889.5164999999</v>
      </c>
      <c r="AX10" s="48">
        <v>2533997.0049999999</v>
      </c>
      <c r="AY10" s="48">
        <v>3079636.0750000002</v>
      </c>
      <c r="AZ10" s="48">
        <v>3183676.1859999998</v>
      </c>
      <c r="BA10" s="48">
        <v>2564283.1966000004</v>
      </c>
      <c r="BB10" s="48">
        <v>2664330.7800000003</v>
      </c>
      <c r="BC10" s="48">
        <v>2630738.0082</v>
      </c>
      <c r="BD10" s="48">
        <v>2636700</v>
      </c>
      <c r="BE10" s="70">
        <v>41967800.150000006</v>
      </c>
      <c r="BF10" s="70">
        <v>39094092.403999999</v>
      </c>
      <c r="BG10" s="70">
        <v>5000958.3499999996</v>
      </c>
      <c r="BH10" s="71">
        <v>33954021.962799996</v>
      </c>
    </row>
    <row r="11" spans="1:60" ht="18" x14ac:dyDescent="0.3">
      <c r="A11" s="65" t="s">
        <v>166</v>
      </c>
      <c r="B11" s="66" t="s">
        <v>167</v>
      </c>
      <c r="C11" s="66" t="s">
        <v>173</v>
      </c>
      <c r="D11" s="66" t="s">
        <v>169</v>
      </c>
      <c r="E11" s="48" t="s">
        <v>170</v>
      </c>
      <c r="F11" s="68" t="s">
        <v>178</v>
      </c>
      <c r="G11" s="66">
        <v>7</v>
      </c>
      <c r="H11" s="69" t="s">
        <v>179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0</v>
      </c>
      <c r="AI11" s="48">
        <v>0</v>
      </c>
      <c r="AJ11" s="48">
        <v>0</v>
      </c>
      <c r="AK11" s="48">
        <v>0</v>
      </c>
      <c r="AL11" s="48">
        <v>0</v>
      </c>
      <c r="AM11" s="48">
        <v>0</v>
      </c>
      <c r="AN11" s="48">
        <v>0</v>
      </c>
      <c r="AO11" s="48">
        <v>0</v>
      </c>
      <c r="AP11" s="48">
        <v>0</v>
      </c>
      <c r="AQ11" s="48">
        <v>0</v>
      </c>
      <c r="AR11" s="48">
        <v>0</v>
      </c>
      <c r="AS11" s="48">
        <v>0</v>
      </c>
      <c r="AT11" s="48">
        <v>0</v>
      </c>
      <c r="AU11" s="48">
        <v>0</v>
      </c>
      <c r="AV11" s="48">
        <v>0</v>
      </c>
      <c r="AW11" s="48">
        <v>0</v>
      </c>
      <c r="AX11" s="48">
        <v>0</v>
      </c>
      <c r="AY11" s="48">
        <v>0</v>
      </c>
      <c r="AZ11" s="48">
        <v>0</v>
      </c>
      <c r="BA11" s="48">
        <v>0</v>
      </c>
      <c r="BB11" s="48">
        <v>0</v>
      </c>
      <c r="BC11" s="48">
        <v>567685.64999999991</v>
      </c>
      <c r="BD11" s="48">
        <v>658515.35400000005</v>
      </c>
      <c r="BE11" s="70">
        <v>0</v>
      </c>
      <c r="BF11" s="70">
        <v>0</v>
      </c>
      <c r="BG11" s="70">
        <v>0</v>
      </c>
      <c r="BH11" s="71">
        <v>1226201.004</v>
      </c>
    </row>
    <row r="12" spans="1:60" ht="18" x14ac:dyDescent="0.3">
      <c r="A12" s="65" t="s">
        <v>166</v>
      </c>
      <c r="B12" s="66" t="s">
        <v>167</v>
      </c>
      <c r="C12" s="66" t="s">
        <v>180</v>
      </c>
      <c r="D12" s="66" t="s">
        <v>169</v>
      </c>
      <c r="E12" s="48" t="s">
        <v>170</v>
      </c>
      <c r="F12" s="68" t="s">
        <v>181</v>
      </c>
      <c r="G12" s="66">
        <v>8</v>
      </c>
      <c r="H12" s="72" t="s">
        <v>56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1379619</v>
      </c>
      <c r="AF12" s="48">
        <v>3429680.2</v>
      </c>
      <c r="AG12" s="48">
        <v>4250476.08</v>
      </c>
      <c r="AH12" s="48">
        <v>4167920.8600000003</v>
      </c>
      <c r="AI12" s="48">
        <v>0</v>
      </c>
      <c r="AJ12" s="48">
        <v>0</v>
      </c>
      <c r="AK12" s="48">
        <v>0</v>
      </c>
      <c r="AL12" s="48">
        <v>0</v>
      </c>
      <c r="AM12" s="48">
        <v>0</v>
      </c>
      <c r="AN12" s="48">
        <v>0</v>
      </c>
      <c r="AO12" s="48">
        <v>0</v>
      </c>
      <c r="AP12" s="48">
        <v>0</v>
      </c>
      <c r="AQ12" s="48">
        <v>0</v>
      </c>
      <c r="AR12" s="48">
        <v>0</v>
      </c>
      <c r="AS12" s="48">
        <v>3720000</v>
      </c>
      <c r="AT12" s="48">
        <v>3906000</v>
      </c>
      <c r="AU12" s="48">
        <v>4101300</v>
      </c>
      <c r="AV12" s="48">
        <v>4224339</v>
      </c>
      <c r="AW12" s="48">
        <v>4351069.17</v>
      </c>
      <c r="AX12" s="48">
        <v>4351069.17</v>
      </c>
      <c r="AY12" s="48">
        <v>4438090.5533999996</v>
      </c>
      <c r="AZ12" s="48">
        <v>4504661.9117009994</v>
      </c>
      <c r="BA12" s="48">
        <v>4572231.8403765149</v>
      </c>
      <c r="BB12" s="48">
        <v>4800843.4323953409</v>
      </c>
      <c r="BC12" s="48">
        <v>4944868.7353672013</v>
      </c>
      <c r="BD12" s="48">
        <v>5093214.7974282177</v>
      </c>
      <c r="BE12" s="70">
        <v>0</v>
      </c>
      <c r="BF12" s="70">
        <v>4809299.2</v>
      </c>
      <c r="BG12" s="70">
        <v>8418396.9400000013</v>
      </c>
      <c r="BH12" s="71">
        <v>53007688.610668279</v>
      </c>
    </row>
    <row r="13" spans="1:60" ht="18" x14ac:dyDescent="0.3">
      <c r="A13" s="65"/>
      <c r="B13" s="66"/>
      <c r="C13" s="66"/>
      <c r="D13" s="66"/>
      <c r="E13" s="48"/>
      <c r="F13" s="68"/>
      <c r="G13" s="66"/>
      <c r="H13" s="6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70"/>
      <c r="BF13" s="70"/>
      <c r="BG13" s="70">
        <v>0</v>
      </c>
      <c r="BH13" s="71"/>
    </row>
    <row r="14" spans="1:60" ht="25.8" x14ac:dyDescent="0.3">
      <c r="A14" s="73" t="s">
        <v>166</v>
      </c>
      <c r="B14" s="74"/>
      <c r="C14" s="74"/>
      <c r="D14" s="74"/>
      <c r="E14" s="75"/>
      <c r="F14" s="76"/>
      <c r="G14" s="77" t="s">
        <v>182</v>
      </c>
      <c r="H14" s="78" t="s">
        <v>183</v>
      </c>
      <c r="I14" s="79">
        <v>20943510.600000001</v>
      </c>
      <c r="J14" s="79">
        <v>18876280.199999999</v>
      </c>
      <c r="K14" s="79">
        <v>10455682.300000001</v>
      </c>
      <c r="L14" s="79">
        <v>10094024.699999999</v>
      </c>
      <c r="M14" s="79">
        <v>10365830.4</v>
      </c>
      <c r="N14" s="79">
        <v>10321065.92</v>
      </c>
      <c r="O14" s="79">
        <v>10965300.960000001</v>
      </c>
      <c r="P14" s="79">
        <v>11543527</v>
      </c>
      <c r="Q14" s="79">
        <v>10089895.1</v>
      </c>
      <c r="R14" s="79">
        <v>10124609</v>
      </c>
      <c r="S14" s="79">
        <v>9860088.1999999993</v>
      </c>
      <c r="T14" s="79">
        <v>9657762.6999999993</v>
      </c>
      <c r="U14" s="79">
        <v>19051180.600000001</v>
      </c>
      <c r="V14" s="79">
        <v>16674056.000000002</v>
      </c>
      <c r="W14" s="79">
        <v>9639630</v>
      </c>
      <c r="X14" s="79">
        <v>9359668.2999999989</v>
      </c>
      <c r="Y14" s="79">
        <v>9628381.7000000011</v>
      </c>
      <c r="Z14" s="79">
        <v>8753480.438500002</v>
      </c>
      <c r="AA14" s="79">
        <v>10253817.699999999</v>
      </c>
      <c r="AB14" s="79">
        <v>10998704.199999999</v>
      </c>
      <c r="AC14" s="79">
        <v>9222910.1041000001</v>
      </c>
      <c r="AD14" s="79">
        <v>9094447.4000000004</v>
      </c>
      <c r="AE14" s="79">
        <v>10036228</v>
      </c>
      <c r="AF14" s="79">
        <v>12161772.099999998</v>
      </c>
      <c r="AG14" s="79">
        <v>13169802.810000001</v>
      </c>
      <c r="AH14" s="79">
        <v>12466901.640000001</v>
      </c>
      <c r="AI14" s="79">
        <v>0</v>
      </c>
      <c r="AJ14" s="79">
        <v>0</v>
      </c>
      <c r="AK14" s="79">
        <v>0</v>
      </c>
      <c r="AL14" s="79">
        <v>0</v>
      </c>
      <c r="AM14" s="79">
        <v>0</v>
      </c>
      <c r="AN14" s="79">
        <v>0</v>
      </c>
      <c r="AO14" s="79">
        <v>0</v>
      </c>
      <c r="AP14" s="79">
        <v>0</v>
      </c>
      <c r="AQ14" s="79">
        <v>0</v>
      </c>
      <c r="AR14" s="79">
        <v>0</v>
      </c>
      <c r="AS14" s="79">
        <v>13562336.4705</v>
      </c>
      <c r="AT14" s="79">
        <v>12539913.305</v>
      </c>
      <c r="AU14" s="79">
        <v>14087310.420499999</v>
      </c>
      <c r="AV14" s="79">
        <v>13971325.759</v>
      </c>
      <c r="AW14" s="79">
        <v>14311510.749</v>
      </c>
      <c r="AX14" s="79">
        <v>13354299.125655001</v>
      </c>
      <c r="AY14" s="79">
        <v>14980595.5759</v>
      </c>
      <c r="AZ14" s="79">
        <v>16454151.956201</v>
      </c>
      <c r="BA14" s="79">
        <v>14392709.229829013</v>
      </c>
      <c r="BB14" s="79">
        <v>14578150.195422092</v>
      </c>
      <c r="BC14" s="79">
        <v>14968265.789184451</v>
      </c>
      <c r="BD14" s="79">
        <v>15313914.396017008</v>
      </c>
      <c r="BE14" s="79">
        <v>143297577.07999998</v>
      </c>
      <c r="BF14" s="79">
        <v>134874276.54259998</v>
      </c>
      <c r="BG14" s="79">
        <v>25636704.449999999</v>
      </c>
      <c r="BH14" s="80">
        <v>172514482.97220856</v>
      </c>
    </row>
    <row r="15" spans="1:60" ht="18" x14ac:dyDescent="0.3">
      <c r="A15" s="65" t="s">
        <v>184</v>
      </c>
      <c r="B15" s="66" t="s">
        <v>167</v>
      </c>
      <c r="C15" s="66" t="s">
        <v>173</v>
      </c>
      <c r="D15" s="66" t="s">
        <v>169</v>
      </c>
      <c r="E15" s="81" t="s">
        <v>174</v>
      </c>
      <c r="F15" s="82" t="s">
        <v>46</v>
      </c>
      <c r="G15" s="66">
        <v>1</v>
      </c>
      <c r="H15" s="69" t="s">
        <v>47</v>
      </c>
      <c r="I15" s="48">
        <v>3765322</v>
      </c>
      <c r="J15" s="48">
        <v>3470134</v>
      </c>
      <c r="K15" s="48">
        <v>1763232</v>
      </c>
      <c r="L15" s="48">
        <v>1586172</v>
      </c>
      <c r="M15" s="48">
        <v>1580970</v>
      </c>
      <c r="N15" s="48">
        <v>1387079</v>
      </c>
      <c r="O15" s="48">
        <v>1599487</v>
      </c>
      <c r="P15" s="48">
        <v>1723544</v>
      </c>
      <c r="Q15" s="48">
        <v>1669693</v>
      </c>
      <c r="R15" s="48">
        <v>1723915.1</v>
      </c>
      <c r="S15" s="48">
        <v>1673496</v>
      </c>
      <c r="T15" s="48">
        <v>1738459</v>
      </c>
      <c r="U15" s="48">
        <v>3697272.2</v>
      </c>
      <c r="V15" s="48">
        <v>3324766</v>
      </c>
      <c r="W15" s="48">
        <v>1725738</v>
      </c>
      <c r="X15" s="48">
        <v>1598535</v>
      </c>
      <c r="Y15" s="48">
        <v>1118601.8999999999</v>
      </c>
      <c r="Z15" s="48">
        <v>1290486.8999999999</v>
      </c>
      <c r="AA15" s="48">
        <v>1529905.9094</v>
      </c>
      <c r="AB15" s="48">
        <v>1566416.1</v>
      </c>
      <c r="AC15" s="48">
        <v>1581156.1</v>
      </c>
      <c r="AD15" s="48">
        <v>1600129.9</v>
      </c>
      <c r="AE15" s="48">
        <v>1439079.1</v>
      </c>
      <c r="AF15" s="48">
        <v>1389454.2</v>
      </c>
      <c r="AG15" s="48">
        <v>1375036.9100000001</v>
      </c>
      <c r="AH15" s="48">
        <v>496654.24</v>
      </c>
      <c r="AI15" s="48">
        <v>0</v>
      </c>
      <c r="AJ15" s="48">
        <v>0</v>
      </c>
      <c r="AK15" s="48">
        <v>0</v>
      </c>
      <c r="AL15" s="48">
        <v>0</v>
      </c>
      <c r="AM15" s="48">
        <v>0</v>
      </c>
      <c r="AN15" s="48">
        <v>0</v>
      </c>
      <c r="AO15" s="48">
        <v>0</v>
      </c>
      <c r="AP15" s="48">
        <v>0</v>
      </c>
      <c r="AQ15" s="48">
        <v>0</v>
      </c>
      <c r="AR15" s="48">
        <v>0</v>
      </c>
      <c r="AS15" s="48">
        <v>1904095.1830000002</v>
      </c>
      <c r="AT15" s="48">
        <v>1712254.49</v>
      </c>
      <c r="AU15" s="48">
        <v>1777510.1400000001</v>
      </c>
      <c r="AV15" s="48">
        <v>1646491.0499999998</v>
      </c>
      <c r="AW15" s="48">
        <v>1152159.9569999999</v>
      </c>
      <c r="AX15" s="48">
        <v>1329201.507</v>
      </c>
      <c r="AY15" s="48">
        <v>1568153.5571349999</v>
      </c>
      <c r="AZ15" s="48">
        <v>1621240.6635</v>
      </c>
      <c r="BA15" s="48">
        <v>1644402.344</v>
      </c>
      <c r="BB15" s="48">
        <v>1639901.3674999999</v>
      </c>
      <c r="BC15" s="48">
        <v>1482198.9224</v>
      </c>
      <c r="BD15" s="48">
        <v>1485260</v>
      </c>
      <c r="BE15" s="70">
        <v>23681503.100000001</v>
      </c>
      <c r="BF15" s="70">
        <v>21861541.3094</v>
      </c>
      <c r="BG15" s="70">
        <v>1871691.1500000001</v>
      </c>
      <c r="BH15" s="71">
        <v>18962869.181535002</v>
      </c>
    </row>
    <row r="16" spans="1:60" ht="18" x14ac:dyDescent="0.3">
      <c r="A16" s="65" t="s">
        <v>184</v>
      </c>
      <c r="B16" s="66" t="s">
        <v>167</v>
      </c>
      <c r="C16" s="66" t="s">
        <v>173</v>
      </c>
      <c r="D16" s="66" t="s">
        <v>169</v>
      </c>
      <c r="E16" s="81" t="s">
        <v>170</v>
      </c>
      <c r="F16" s="82" t="s">
        <v>57</v>
      </c>
      <c r="G16" s="66">
        <v>2</v>
      </c>
      <c r="H16" s="69" t="s">
        <v>185</v>
      </c>
      <c r="I16" s="48">
        <v>3772870</v>
      </c>
      <c r="J16" s="48">
        <v>3541848</v>
      </c>
      <c r="K16" s="48">
        <v>1843426.5</v>
      </c>
      <c r="L16" s="48">
        <v>1827737.3</v>
      </c>
      <c r="M16" s="48">
        <v>2149713.1</v>
      </c>
      <c r="N16" s="48">
        <v>2820192.1</v>
      </c>
      <c r="O16" s="48">
        <v>1735629.1</v>
      </c>
      <c r="P16" s="48">
        <v>1615102.1</v>
      </c>
      <c r="Q16" s="48">
        <v>1779768</v>
      </c>
      <c r="R16" s="48">
        <v>1910121.6</v>
      </c>
      <c r="S16" s="48">
        <v>1816324.1</v>
      </c>
      <c r="T16" s="48">
        <v>2033805.5</v>
      </c>
      <c r="U16" s="48">
        <v>3345966</v>
      </c>
      <c r="V16" s="48">
        <v>3867898</v>
      </c>
      <c r="W16" s="48">
        <v>1612337.4</v>
      </c>
      <c r="X16" s="48">
        <v>1888743.1</v>
      </c>
      <c r="Y16" s="48">
        <v>1832254.1</v>
      </c>
      <c r="Z16" s="48">
        <v>1738337</v>
      </c>
      <c r="AA16" s="48">
        <v>1750759.8850500002</v>
      </c>
      <c r="AB16" s="48">
        <v>1891573</v>
      </c>
      <c r="AC16" s="48">
        <v>2063390.7999999998</v>
      </c>
      <c r="AD16" s="48">
        <v>1680536</v>
      </c>
      <c r="AE16" s="48">
        <v>1627978.3</v>
      </c>
      <c r="AF16" s="48">
        <v>1809228.9</v>
      </c>
      <c r="AG16" s="48">
        <v>1612918.75</v>
      </c>
      <c r="AH16" s="48">
        <v>1744742.19</v>
      </c>
      <c r="AI16" s="48">
        <v>0</v>
      </c>
      <c r="AJ16" s="48">
        <v>0</v>
      </c>
      <c r="AK16" s="48">
        <v>0</v>
      </c>
      <c r="AL16" s="48">
        <v>0</v>
      </c>
      <c r="AM16" s="48">
        <v>0</v>
      </c>
      <c r="AN16" s="48">
        <v>0</v>
      </c>
      <c r="AO16" s="48">
        <v>0</v>
      </c>
      <c r="AP16" s="48">
        <v>0</v>
      </c>
      <c r="AQ16" s="48">
        <v>0</v>
      </c>
      <c r="AR16" s="48">
        <v>0</v>
      </c>
      <c r="AS16" s="48">
        <v>1723172.49</v>
      </c>
      <c r="AT16" s="48">
        <v>1991967.47</v>
      </c>
      <c r="AU16" s="48">
        <v>1660707.5219999999</v>
      </c>
      <c r="AV16" s="48">
        <v>1945405.3929999999</v>
      </c>
      <c r="AW16" s="48">
        <v>1887221.7229999998</v>
      </c>
      <c r="AX16" s="48">
        <v>1790487.1099999999</v>
      </c>
      <c r="AY16" s="48">
        <v>1820790.280452</v>
      </c>
      <c r="AZ16" s="48">
        <v>1986151.65</v>
      </c>
      <c r="BA16" s="48">
        <v>2125292.5240000002</v>
      </c>
      <c r="BB16" s="48">
        <v>1722576.5317499998</v>
      </c>
      <c r="BC16" s="48">
        <v>1676904.5088999998</v>
      </c>
      <c r="BD16" s="48">
        <v>1684050</v>
      </c>
      <c r="BE16" s="70">
        <v>26846537.400000006</v>
      </c>
      <c r="BF16" s="70">
        <v>25109002.48505</v>
      </c>
      <c r="BG16" s="70">
        <v>3357660.94</v>
      </c>
      <c r="BH16" s="71">
        <v>22014727.203102</v>
      </c>
    </row>
    <row r="17" spans="1:60" ht="18" x14ac:dyDescent="0.3">
      <c r="A17" s="65" t="s">
        <v>184</v>
      </c>
      <c r="B17" s="66" t="s">
        <v>167</v>
      </c>
      <c r="C17" s="66" t="s">
        <v>173</v>
      </c>
      <c r="D17" s="66" t="s">
        <v>169</v>
      </c>
      <c r="E17" s="81" t="s">
        <v>170</v>
      </c>
      <c r="F17" s="82" t="s">
        <v>68</v>
      </c>
      <c r="G17" s="66">
        <v>3</v>
      </c>
      <c r="H17" s="69" t="s">
        <v>69</v>
      </c>
      <c r="I17" s="48">
        <v>1565468</v>
      </c>
      <c r="J17" s="48">
        <v>1360318</v>
      </c>
      <c r="K17" s="48">
        <v>695074</v>
      </c>
      <c r="L17" s="48">
        <v>754998</v>
      </c>
      <c r="M17" s="48">
        <v>768382</v>
      </c>
      <c r="N17" s="48">
        <v>735626</v>
      </c>
      <c r="O17" s="48">
        <v>726869.01</v>
      </c>
      <c r="P17" s="48">
        <v>824326</v>
      </c>
      <c r="Q17" s="48">
        <v>794752</v>
      </c>
      <c r="R17" s="48">
        <v>814082</v>
      </c>
      <c r="S17" s="48">
        <v>797781</v>
      </c>
      <c r="T17" s="48">
        <v>829202</v>
      </c>
      <c r="U17" s="48">
        <v>2059518</v>
      </c>
      <c r="V17" s="48">
        <v>1739064</v>
      </c>
      <c r="W17" s="48">
        <v>884247</v>
      </c>
      <c r="X17" s="48">
        <v>821754</v>
      </c>
      <c r="Y17" s="48">
        <v>829555</v>
      </c>
      <c r="Z17" s="48">
        <v>748814</v>
      </c>
      <c r="AA17" s="48">
        <v>842253.2</v>
      </c>
      <c r="AB17" s="48">
        <v>969293.1</v>
      </c>
      <c r="AC17" s="48">
        <v>925596.2</v>
      </c>
      <c r="AD17" s="48">
        <v>886685</v>
      </c>
      <c r="AE17" s="48">
        <v>792268.10000000009</v>
      </c>
      <c r="AF17" s="48">
        <v>642899</v>
      </c>
      <c r="AG17" s="48">
        <v>567685.14</v>
      </c>
      <c r="AH17" s="48">
        <v>253265.85</v>
      </c>
      <c r="AI17" s="48">
        <v>0</v>
      </c>
      <c r="AJ17" s="48">
        <v>0</v>
      </c>
      <c r="AK17" s="48">
        <v>0</v>
      </c>
      <c r="AL17" s="48">
        <v>0</v>
      </c>
      <c r="AM17" s="48">
        <v>0</v>
      </c>
      <c r="AN17" s="48">
        <v>0</v>
      </c>
      <c r="AO17" s="48">
        <v>0</v>
      </c>
      <c r="AP17" s="48">
        <v>0</v>
      </c>
      <c r="AQ17" s="48">
        <v>0</v>
      </c>
      <c r="AR17" s="48">
        <v>0</v>
      </c>
      <c r="AS17" s="48">
        <v>1060651.77</v>
      </c>
      <c r="AT17" s="48">
        <v>895617.96</v>
      </c>
      <c r="AU17" s="48">
        <v>910774.40999999992</v>
      </c>
      <c r="AV17" s="48">
        <v>846406.62</v>
      </c>
      <c r="AW17" s="48">
        <v>854441.64999999991</v>
      </c>
      <c r="AX17" s="48">
        <v>771278.41999999993</v>
      </c>
      <c r="AY17" s="48">
        <v>875943.32799999998</v>
      </c>
      <c r="AZ17" s="48">
        <v>1017757.755</v>
      </c>
      <c r="BA17" s="48">
        <v>953364.08599999989</v>
      </c>
      <c r="BB17" s="48">
        <v>908852.125</v>
      </c>
      <c r="BC17" s="48">
        <v>816928.4114000001</v>
      </c>
      <c r="BD17" s="48">
        <v>820910</v>
      </c>
      <c r="BE17" s="70">
        <v>10666878.01</v>
      </c>
      <c r="BF17" s="70">
        <v>12141946.6</v>
      </c>
      <c r="BG17" s="70">
        <v>820950.99</v>
      </c>
      <c r="BH17" s="71">
        <v>10732926.535399999</v>
      </c>
    </row>
    <row r="18" spans="1:60" ht="18" x14ac:dyDescent="0.3">
      <c r="A18" s="65" t="s">
        <v>184</v>
      </c>
      <c r="B18" s="66" t="s">
        <v>167</v>
      </c>
      <c r="C18" s="66" t="s">
        <v>186</v>
      </c>
      <c r="D18" s="66" t="s">
        <v>169</v>
      </c>
      <c r="E18" s="81" t="s">
        <v>170</v>
      </c>
      <c r="F18" s="82" t="s">
        <v>187</v>
      </c>
      <c r="G18" s="66">
        <v>4</v>
      </c>
      <c r="H18" s="69" t="s">
        <v>61</v>
      </c>
      <c r="I18" s="48">
        <v>3606438</v>
      </c>
      <c r="J18" s="48">
        <v>3388328</v>
      </c>
      <c r="K18" s="48">
        <v>1768328</v>
      </c>
      <c r="L18" s="48">
        <v>1699918</v>
      </c>
      <c r="M18" s="48">
        <v>1772463</v>
      </c>
      <c r="N18" s="48">
        <v>1583315.3</v>
      </c>
      <c r="O18" s="48">
        <v>1750735.88</v>
      </c>
      <c r="P18" s="48">
        <v>1927417.5</v>
      </c>
      <c r="Q18" s="48">
        <v>1887801.7</v>
      </c>
      <c r="R18" s="48">
        <v>1804610.7000000002</v>
      </c>
      <c r="S18" s="48">
        <v>1732846.8</v>
      </c>
      <c r="T18" s="48">
        <v>1880443.7000000002</v>
      </c>
      <c r="U18" s="48">
        <v>3786990.5999999996</v>
      </c>
      <c r="V18" s="48">
        <v>3517909.8</v>
      </c>
      <c r="W18" s="48">
        <v>1620025.1</v>
      </c>
      <c r="X18" s="48">
        <v>1215934.3999999999</v>
      </c>
      <c r="Y18" s="48">
        <v>1314998.8999999999</v>
      </c>
      <c r="Z18" s="48">
        <v>1256375.8226999999</v>
      </c>
      <c r="AA18" s="48">
        <v>1223007</v>
      </c>
      <c r="AB18" s="48">
        <v>1348832.5</v>
      </c>
      <c r="AC18" s="48">
        <v>1421101.301</v>
      </c>
      <c r="AD18" s="48">
        <v>1401037.3</v>
      </c>
      <c r="AE18" s="48">
        <v>1285920.3</v>
      </c>
      <c r="AF18" s="48">
        <v>1303206.2</v>
      </c>
      <c r="AG18" s="48">
        <v>1414235.2200000002</v>
      </c>
      <c r="AH18" s="48">
        <v>1303792.53</v>
      </c>
      <c r="AI18" s="48">
        <v>0</v>
      </c>
      <c r="AJ18" s="48">
        <v>0</v>
      </c>
      <c r="AK18" s="48">
        <v>0</v>
      </c>
      <c r="AL18" s="48">
        <v>0</v>
      </c>
      <c r="AM18" s="48">
        <v>0</v>
      </c>
      <c r="AN18" s="48">
        <v>0</v>
      </c>
      <c r="AO18" s="48">
        <v>0</v>
      </c>
      <c r="AP18" s="48">
        <v>0</v>
      </c>
      <c r="AQ18" s="48">
        <v>0</v>
      </c>
      <c r="AR18" s="48">
        <v>0</v>
      </c>
      <c r="AS18" s="48">
        <v>1950300.159</v>
      </c>
      <c r="AT18" s="48">
        <v>1811723.5469999998</v>
      </c>
      <c r="AU18" s="48">
        <v>1668625.8530000001</v>
      </c>
      <c r="AV18" s="48">
        <v>1252412.432</v>
      </c>
      <c r="AW18" s="48">
        <v>1354448.8670000001</v>
      </c>
      <c r="AX18" s="48">
        <v>1294067.0973809999</v>
      </c>
      <c r="AY18" s="48">
        <v>1271927.28</v>
      </c>
      <c r="AZ18" s="48">
        <v>1416274.125</v>
      </c>
      <c r="BA18" s="48">
        <v>1463734.3400300001</v>
      </c>
      <c r="BB18" s="48">
        <v>1436063.2324999999</v>
      </c>
      <c r="BC18" s="48">
        <v>1324500.0513999998</v>
      </c>
      <c r="BD18" s="48">
        <v>1330760</v>
      </c>
      <c r="BE18" s="70">
        <v>24802646.579999998</v>
      </c>
      <c r="BF18" s="70">
        <v>20695339.223700002</v>
      </c>
      <c r="BG18" s="70">
        <v>2718027.75</v>
      </c>
      <c r="BH18" s="71">
        <v>17574836.984311</v>
      </c>
    </row>
    <row r="19" spans="1:60" ht="18" x14ac:dyDescent="0.3">
      <c r="A19" s="65" t="s">
        <v>184</v>
      </c>
      <c r="B19" s="66" t="s">
        <v>188</v>
      </c>
      <c r="C19" s="66" t="s">
        <v>189</v>
      </c>
      <c r="D19" s="66" t="s">
        <v>190</v>
      </c>
      <c r="E19" s="81" t="s">
        <v>174</v>
      </c>
      <c r="F19" s="82" t="s">
        <v>77</v>
      </c>
      <c r="G19" s="66">
        <v>5</v>
      </c>
      <c r="H19" s="69" t="s">
        <v>78</v>
      </c>
      <c r="I19" s="48">
        <v>0</v>
      </c>
      <c r="J19" s="48">
        <v>0</v>
      </c>
      <c r="K19" s="48">
        <v>18509</v>
      </c>
      <c r="L19" s="48">
        <v>220316</v>
      </c>
      <c r="M19" s="48">
        <v>306561</v>
      </c>
      <c r="N19" s="48">
        <v>279754.90000000002</v>
      </c>
      <c r="O19" s="48">
        <v>283737</v>
      </c>
      <c r="P19" s="48">
        <v>332717</v>
      </c>
      <c r="Q19" s="48">
        <v>349162</v>
      </c>
      <c r="R19" s="48">
        <v>359101</v>
      </c>
      <c r="S19" s="48">
        <v>326853.90000000002</v>
      </c>
      <c r="T19" s="48">
        <v>339751.7</v>
      </c>
      <c r="U19" s="48">
        <v>763086.39999999991</v>
      </c>
      <c r="V19" s="48">
        <v>773676</v>
      </c>
      <c r="W19" s="48">
        <v>341014</v>
      </c>
      <c r="X19" s="48">
        <v>378038.1</v>
      </c>
      <c r="Y19" s="48">
        <v>427896</v>
      </c>
      <c r="Z19" s="48">
        <v>354412.90009999997</v>
      </c>
      <c r="AA19" s="48">
        <v>380904.5</v>
      </c>
      <c r="AB19" s="48">
        <v>397889.2</v>
      </c>
      <c r="AC19" s="48">
        <v>476680.6</v>
      </c>
      <c r="AD19" s="48">
        <v>447294.2</v>
      </c>
      <c r="AE19" s="48">
        <v>404411.5</v>
      </c>
      <c r="AF19" s="48">
        <v>444982.3</v>
      </c>
      <c r="AG19" s="48">
        <v>450127.81</v>
      </c>
      <c r="AH19" s="48">
        <v>427784.88</v>
      </c>
      <c r="AI19" s="48">
        <v>0</v>
      </c>
      <c r="AJ19" s="48">
        <v>0</v>
      </c>
      <c r="AK19" s="48">
        <v>0</v>
      </c>
      <c r="AL19" s="48">
        <v>0</v>
      </c>
      <c r="AM19" s="48">
        <v>0</v>
      </c>
      <c r="AN19" s="48">
        <v>0</v>
      </c>
      <c r="AO19" s="48">
        <v>0</v>
      </c>
      <c r="AP19" s="48">
        <v>0</v>
      </c>
      <c r="AQ19" s="48">
        <v>0</v>
      </c>
      <c r="AR19" s="48">
        <v>0</v>
      </c>
      <c r="AS19" s="48">
        <v>392989.49600000004</v>
      </c>
      <c r="AT19" s="48">
        <v>398443.14</v>
      </c>
      <c r="AU19" s="48">
        <v>351244.42</v>
      </c>
      <c r="AV19" s="48">
        <v>389379.24300000002</v>
      </c>
      <c r="AW19" s="48">
        <v>440732.88</v>
      </c>
      <c r="AX19" s="48">
        <v>365045.28710299998</v>
      </c>
      <c r="AY19" s="48">
        <v>396140.67999999993</v>
      </c>
      <c r="AZ19" s="48">
        <v>417783.66000000003</v>
      </c>
      <c r="BA19" s="48">
        <v>490981.01799999992</v>
      </c>
      <c r="BB19" s="48">
        <v>458476.55499999999</v>
      </c>
      <c r="BC19" s="48">
        <v>428302.07100200007</v>
      </c>
      <c r="BD19" s="48">
        <v>442900</v>
      </c>
      <c r="BE19" s="70">
        <v>2816463.5</v>
      </c>
      <c r="BF19" s="70">
        <v>5590285.7001</v>
      </c>
      <c r="BG19" s="70">
        <v>877912.69</v>
      </c>
      <c r="BH19" s="71">
        <v>4972418.4501050012</v>
      </c>
    </row>
    <row r="20" spans="1:60" ht="18" x14ac:dyDescent="0.3">
      <c r="A20" s="65" t="s">
        <v>184</v>
      </c>
      <c r="B20" s="66" t="s">
        <v>167</v>
      </c>
      <c r="C20" s="66" t="s">
        <v>173</v>
      </c>
      <c r="D20" s="66" t="s">
        <v>169</v>
      </c>
      <c r="E20" s="81" t="s">
        <v>170</v>
      </c>
      <c r="F20" s="82" t="s">
        <v>64</v>
      </c>
      <c r="G20" s="66">
        <v>6</v>
      </c>
      <c r="H20" s="69" t="s">
        <v>65</v>
      </c>
      <c r="I20" s="48">
        <v>0</v>
      </c>
      <c r="J20" s="48">
        <v>0</v>
      </c>
      <c r="K20" s="48">
        <v>0</v>
      </c>
      <c r="L20" s="48">
        <v>306886</v>
      </c>
      <c r="M20" s="48">
        <v>629049</v>
      </c>
      <c r="N20" s="48">
        <v>630446</v>
      </c>
      <c r="O20" s="48">
        <v>592710.01</v>
      </c>
      <c r="P20" s="48">
        <v>682950</v>
      </c>
      <c r="Q20" s="48">
        <v>708895</v>
      </c>
      <c r="R20" s="48">
        <v>800192</v>
      </c>
      <c r="S20" s="48">
        <v>763900</v>
      </c>
      <c r="T20" s="48">
        <v>753227</v>
      </c>
      <c r="U20" s="48">
        <v>1552478</v>
      </c>
      <c r="V20" s="48">
        <v>1372584.2000000002</v>
      </c>
      <c r="W20" s="48">
        <v>733102.6</v>
      </c>
      <c r="X20" s="48">
        <v>728513.8</v>
      </c>
      <c r="Y20" s="48">
        <v>765861.8</v>
      </c>
      <c r="Z20" s="48">
        <v>723389.2</v>
      </c>
      <c r="AA20" s="48">
        <v>739888.3</v>
      </c>
      <c r="AB20" s="48">
        <v>799547.60000000009</v>
      </c>
      <c r="AC20" s="48">
        <v>838908.60100000002</v>
      </c>
      <c r="AD20" s="48">
        <v>841624</v>
      </c>
      <c r="AE20" s="48">
        <v>749653.09999999986</v>
      </c>
      <c r="AF20" s="48">
        <v>752841.3</v>
      </c>
      <c r="AG20" s="48">
        <v>766278.12</v>
      </c>
      <c r="AH20" s="48">
        <v>713840.49</v>
      </c>
      <c r="AI20" s="48">
        <v>0</v>
      </c>
      <c r="AJ20" s="48">
        <v>0</v>
      </c>
      <c r="AK20" s="48">
        <v>0</v>
      </c>
      <c r="AL20" s="48">
        <v>0</v>
      </c>
      <c r="AM20" s="48">
        <v>0</v>
      </c>
      <c r="AN20" s="48">
        <v>0</v>
      </c>
      <c r="AO20" s="48">
        <v>0</v>
      </c>
      <c r="AP20" s="48">
        <v>0</v>
      </c>
      <c r="AQ20" s="48">
        <v>0</v>
      </c>
      <c r="AR20" s="48">
        <v>0</v>
      </c>
      <c r="AS20" s="48">
        <v>799526.17</v>
      </c>
      <c r="AT20" s="48">
        <v>706880.8629999999</v>
      </c>
      <c r="AU20" s="48">
        <v>755095.67799999996</v>
      </c>
      <c r="AV20" s="48">
        <v>750369.21399999992</v>
      </c>
      <c r="AW20" s="48">
        <v>788837.65399999998</v>
      </c>
      <c r="AX20" s="48">
        <v>745090.87599999993</v>
      </c>
      <c r="AY20" s="48">
        <v>769483.83199999994</v>
      </c>
      <c r="AZ20" s="48">
        <v>839524.98</v>
      </c>
      <c r="BA20" s="48">
        <v>864075.85903000005</v>
      </c>
      <c r="BB20" s="48">
        <v>862664.6</v>
      </c>
      <c r="BC20" s="48">
        <v>795323.32225900015</v>
      </c>
      <c r="BD20" s="48">
        <v>798857.7</v>
      </c>
      <c r="BE20" s="70">
        <v>5868255.0099999998</v>
      </c>
      <c r="BF20" s="70">
        <v>10598392.501</v>
      </c>
      <c r="BG20" s="70">
        <v>1480118.6099999999</v>
      </c>
      <c r="BH20" s="71">
        <v>9475730.7482890002</v>
      </c>
    </row>
    <row r="21" spans="1:60" ht="18" x14ac:dyDescent="0.3">
      <c r="A21" s="65" t="s">
        <v>184</v>
      </c>
      <c r="B21" s="66" t="s">
        <v>188</v>
      </c>
      <c r="C21" s="66" t="s">
        <v>189</v>
      </c>
      <c r="D21" s="66" t="s">
        <v>169</v>
      </c>
      <c r="E21" s="81" t="s">
        <v>170</v>
      </c>
      <c r="F21" s="82" t="s">
        <v>191</v>
      </c>
      <c r="G21" s="66">
        <v>7</v>
      </c>
      <c r="H21" s="69" t="s">
        <v>79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213424</v>
      </c>
      <c r="O21" s="48">
        <v>337938</v>
      </c>
      <c r="P21" s="48">
        <v>402998.1</v>
      </c>
      <c r="Q21" s="48">
        <v>438015</v>
      </c>
      <c r="R21" s="48">
        <v>472724</v>
      </c>
      <c r="S21" s="48">
        <v>471314</v>
      </c>
      <c r="T21" s="48">
        <v>522015</v>
      </c>
      <c r="U21" s="48">
        <v>1043204</v>
      </c>
      <c r="V21" s="48">
        <v>1039423.6000000001</v>
      </c>
      <c r="W21" s="48">
        <v>492947</v>
      </c>
      <c r="X21" s="48">
        <v>554481</v>
      </c>
      <c r="Y21" s="48">
        <v>634834</v>
      </c>
      <c r="Z21" s="48">
        <v>568049.96900000004</v>
      </c>
      <c r="AA21" s="48">
        <v>610579.96869999997</v>
      </c>
      <c r="AB21" s="48">
        <v>622142</v>
      </c>
      <c r="AC21" s="48">
        <v>670223</v>
      </c>
      <c r="AD21" s="48">
        <v>588288.1</v>
      </c>
      <c r="AE21" s="48">
        <v>585286.60000000009</v>
      </c>
      <c r="AF21" s="48">
        <v>651855.9</v>
      </c>
      <c r="AG21" s="48">
        <v>606944.43000000005</v>
      </c>
      <c r="AH21" s="48">
        <v>570423.76</v>
      </c>
      <c r="AI21" s="48">
        <v>0</v>
      </c>
      <c r="AJ21" s="48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</v>
      </c>
      <c r="AR21" s="48">
        <v>0</v>
      </c>
      <c r="AS21" s="48">
        <v>537250.06000000006</v>
      </c>
      <c r="AT21" s="48">
        <v>535303.15399999998</v>
      </c>
      <c r="AU21" s="48">
        <v>507735.41</v>
      </c>
      <c r="AV21" s="48">
        <v>571115.42999999993</v>
      </c>
      <c r="AW21" s="48">
        <v>653879.02</v>
      </c>
      <c r="AX21" s="48">
        <v>585091.46806999994</v>
      </c>
      <c r="AY21" s="48">
        <v>635003.16744800005</v>
      </c>
      <c r="AZ21" s="48">
        <v>653249.10000000009</v>
      </c>
      <c r="BA21" s="48">
        <v>690329.69000000006</v>
      </c>
      <c r="BB21" s="48">
        <v>602995.30249999999</v>
      </c>
      <c r="BC21" s="48">
        <v>608894.28500000015</v>
      </c>
      <c r="BD21" s="48">
        <v>616970</v>
      </c>
      <c r="BE21" s="70">
        <v>2858428.1</v>
      </c>
      <c r="BF21" s="70">
        <v>8061315.1377000008</v>
      </c>
      <c r="BG21" s="70">
        <v>1177368.19</v>
      </c>
      <c r="BH21" s="71">
        <v>7197816.0870180009</v>
      </c>
    </row>
    <row r="22" spans="1:60" ht="18" x14ac:dyDescent="0.3">
      <c r="A22" s="65" t="s">
        <v>184</v>
      </c>
      <c r="B22" s="66" t="s">
        <v>167</v>
      </c>
      <c r="C22" s="66" t="s">
        <v>173</v>
      </c>
      <c r="D22" s="66" t="s">
        <v>190</v>
      </c>
      <c r="E22" s="81" t="s">
        <v>170</v>
      </c>
      <c r="F22" s="82" t="s">
        <v>192</v>
      </c>
      <c r="G22" s="66">
        <v>8</v>
      </c>
      <c r="H22" s="69" t="s">
        <v>73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342341</v>
      </c>
      <c r="O22" s="48">
        <v>434697</v>
      </c>
      <c r="P22" s="48">
        <v>641355</v>
      </c>
      <c r="Q22" s="48">
        <v>807782</v>
      </c>
      <c r="R22" s="48">
        <v>870817.1</v>
      </c>
      <c r="S22" s="48">
        <v>810623.1</v>
      </c>
      <c r="T22" s="48">
        <v>843975.8</v>
      </c>
      <c r="U22" s="48">
        <v>1576499.7999999998</v>
      </c>
      <c r="V22" s="48">
        <v>1390040.4</v>
      </c>
      <c r="W22" s="48">
        <v>757796.1</v>
      </c>
      <c r="X22" s="48">
        <v>745744.1</v>
      </c>
      <c r="Y22" s="48">
        <v>736190</v>
      </c>
      <c r="Z22" s="48">
        <v>699911.58143999998</v>
      </c>
      <c r="AA22" s="48">
        <v>637545.29949</v>
      </c>
      <c r="AB22" s="48">
        <v>671870.2</v>
      </c>
      <c r="AC22" s="48">
        <v>716191</v>
      </c>
      <c r="AD22" s="48">
        <v>723323</v>
      </c>
      <c r="AE22" s="48">
        <v>729422</v>
      </c>
      <c r="AF22" s="48">
        <v>717909.1</v>
      </c>
      <c r="AG22" s="48">
        <v>700858.25</v>
      </c>
      <c r="AH22" s="48">
        <v>757836.01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811897.397</v>
      </c>
      <c r="AT22" s="48">
        <v>715870.80599999998</v>
      </c>
      <c r="AU22" s="48">
        <v>780529.98300000001</v>
      </c>
      <c r="AV22" s="48">
        <v>768116.42299999995</v>
      </c>
      <c r="AW22" s="48">
        <v>758275.70000000007</v>
      </c>
      <c r="AX22" s="48">
        <v>720908.92888320005</v>
      </c>
      <c r="AY22" s="48">
        <v>653483.93197725003</v>
      </c>
      <c r="AZ22" s="48">
        <v>695385.65700000001</v>
      </c>
      <c r="BA22" s="48">
        <v>744838.64</v>
      </c>
      <c r="BB22" s="48">
        <v>745022.69</v>
      </c>
      <c r="BC22" s="48">
        <v>751307.60580000002</v>
      </c>
      <c r="BD22" s="48">
        <v>762200</v>
      </c>
      <c r="BE22" s="70">
        <v>4751591</v>
      </c>
      <c r="BF22" s="70">
        <v>10102442.58093</v>
      </c>
      <c r="BG22" s="70">
        <v>1458694.26</v>
      </c>
      <c r="BH22" s="71">
        <v>8907837.7626604475</v>
      </c>
    </row>
    <row r="23" spans="1:60" ht="18" x14ac:dyDescent="0.3">
      <c r="A23" s="65" t="s">
        <v>184</v>
      </c>
      <c r="B23" s="66" t="s">
        <v>193</v>
      </c>
      <c r="C23" s="66" t="s">
        <v>194</v>
      </c>
      <c r="D23" s="66" t="s">
        <v>190</v>
      </c>
      <c r="E23" s="81" t="s">
        <v>170</v>
      </c>
      <c r="F23" s="82" t="s">
        <v>195</v>
      </c>
      <c r="G23" s="66">
        <v>9</v>
      </c>
      <c r="H23" s="69" t="s">
        <v>98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69972</v>
      </c>
      <c r="R23" s="48">
        <v>520472</v>
      </c>
      <c r="S23" s="48">
        <v>603921</v>
      </c>
      <c r="T23" s="48">
        <v>536282.1</v>
      </c>
      <c r="U23" s="48">
        <v>1003772</v>
      </c>
      <c r="V23" s="48">
        <v>908568</v>
      </c>
      <c r="W23" s="48">
        <v>431966.9</v>
      </c>
      <c r="X23" s="48">
        <v>448761</v>
      </c>
      <c r="Y23" s="48">
        <v>489998</v>
      </c>
      <c r="Z23" s="48">
        <v>411223</v>
      </c>
      <c r="AA23" s="48">
        <v>509098</v>
      </c>
      <c r="AB23" s="48">
        <v>533719.9</v>
      </c>
      <c r="AC23" s="48">
        <v>565322.90599999996</v>
      </c>
      <c r="AD23" s="48">
        <v>597141.20000000007</v>
      </c>
      <c r="AE23" s="48">
        <v>619898.19999999995</v>
      </c>
      <c r="AF23" s="48">
        <v>633867.1</v>
      </c>
      <c r="AG23" s="48">
        <v>631783.91999999993</v>
      </c>
      <c r="AH23" s="48">
        <v>510061.25000000006</v>
      </c>
      <c r="AI23" s="48">
        <v>0</v>
      </c>
      <c r="AJ23" s="48">
        <v>0</v>
      </c>
      <c r="AK23" s="48">
        <v>0</v>
      </c>
      <c r="AL23" s="48">
        <v>0</v>
      </c>
      <c r="AM23" s="48">
        <v>0</v>
      </c>
      <c r="AN23" s="48">
        <v>0</v>
      </c>
      <c r="AO23" s="48">
        <v>0</v>
      </c>
      <c r="AP23" s="48">
        <v>0</v>
      </c>
      <c r="AQ23" s="48">
        <v>0</v>
      </c>
      <c r="AR23" s="48">
        <v>0</v>
      </c>
      <c r="AS23" s="48">
        <v>516942.57999999996</v>
      </c>
      <c r="AT23" s="48">
        <v>467912.52</v>
      </c>
      <c r="AU23" s="48">
        <v>444925.90700000001</v>
      </c>
      <c r="AV23" s="48">
        <v>462223.82999999996</v>
      </c>
      <c r="AW23" s="48">
        <v>504697.94</v>
      </c>
      <c r="AX23" s="48">
        <v>423559.69</v>
      </c>
      <c r="AY23" s="48">
        <v>529461.91999999993</v>
      </c>
      <c r="AZ23" s="48">
        <v>560405.89500000002</v>
      </c>
      <c r="BA23" s="48">
        <v>582282.59317999997</v>
      </c>
      <c r="BB23" s="48">
        <v>612069.7300000001</v>
      </c>
      <c r="BC23" s="48">
        <v>648503.0895</v>
      </c>
      <c r="BD23" s="48">
        <v>581950</v>
      </c>
      <c r="BE23" s="70">
        <v>1730647.1</v>
      </c>
      <c r="BF23" s="70">
        <v>7153336.2060000002</v>
      </c>
      <c r="BG23" s="70">
        <v>1141845.17</v>
      </c>
      <c r="BH23" s="71">
        <v>6334935.6946799997</v>
      </c>
    </row>
    <row r="24" spans="1:60" ht="18" x14ac:dyDescent="0.3">
      <c r="A24" s="65" t="s">
        <v>184</v>
      </c>
      <c r="B24" s="66" t="s">
        <v>193</v>
      </c>
      <c r="C24" s="66" t="s">
        <v>194</v>
      </c>
      <c r="D24" s="66" t="s">
        <v>190</v>
      </c>
      <c r="E24" s="81" t="s">
        <v>170</v>
      </c>
      <c r="F24" s="82" t="s">
        <v>196</v>
      </c>
      <c r="G24" s="66">
        <v>10</v>
      </c>
      <c r="H24" s="69" t="s">
        <v>99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158773</v>
      </c>
      <c r="T24" s="48">
        <v>200972</v>
      </c>
      <c r="U24" s="48">
        <v>392176</v>
      </c>
      <c r="V24" s="48">
        <v>401324</v>
      </c>
      <c r="W24" s="48">
        <v>204126</v>
      </c>
      <c r="X24" s="48">
        <v>189764</v>
      </c>
      <c r="Y24" s="48">
        <v>202252</v>
      </c>
      <c r="Z24" s="48">
        <v>179092.09000000003</v>
      </c>
      <c r="AA24" s="48">
        <v>197566.99956999999</v>
      </c>
      <c r="AB24" s="48">
        <v>212634</v>
      </c>
      <c r="AC24" s="48">
        <v>211804.00017000001</v>
      </c>
      <c r="AD24" s="48">
        <v>200404</v>
      </c>
      <c r="AE24" s="48">
        <v>189817</v>
      </c>
      <c r="AF24" s="48">
        <v>196952</v>
      </c>
      <c r="AG24" s="48">
        <v>197618.17</v>
      </c>
      <c r="AH24" s="48">
        <v>196567.38</v>
      </c>
      <c r="AI24" s="48">
        <v>0</v>
      </c>
      <c r="AJ24" s="48">
        <v>0</v>
      </c>
      <c r="AK24" s="48">
        <v>0</v>
      </c>
      <c r="AL24" s="48">
        <v>0</v>
      </c>
      <c r="AM24" s="48">
        <v>0</v>
      </c>
      <c r="AN24" s="48">
        <v>0</v>
      </c>
      <c r="AO24" s="48">
        <v>0</v>
      </c>
      <c r="AP24" s="48">
        <v>0</v>
      </c>
      <c r="AQ24" s="48">
        <v>0</v>
      </c>
      <c r="AR24" s="48">
        <v>0</v>
      </c>
      <c r="AS24" s="48">
        <v>201970.64</v>
      </c>
      <c r="AT24" s="48">
        <v>206681.86000000002</v>
      </c>
      <c r="AU24" s="48">
        <v>210249.78000000003</v>
      </c>
      <c r="AV24" s="48">
        <v>195456.92</v>
      </c>
      <c r="AW24" s="48">
        <v>208319.56</v>
      </c>
      <c r="AX24" s="48">
        <v>184464.85270000002</v>
      </c>
      <c r="AY24" s="48">
        <v>205469.67955279999</v>
      </c>
      <c r="AZ24" s="48">
        <v>223265.7</v>
      </c>
      <c r="BA24" s="48">
        <v>218158.12017509999</v>
      </c>
      <c r="BB24" s="48">
        <v>205414.1</v>
      </c>
      <c r="BC24" s="48">
        <v>195844.42660000001</v>
      </c>
      <c r="BD24" s="48">
        <v>236931.80019497097</v>
      </c>
      <c r="BE24" s="70">
        <v>359745</v>
      </c>
      <c r="BF24" s="70">
        <v>2777912.0897400002</v>
      </c>
      <c r="BG24" s="70">
        <v>394185.55000000005</v>
      </c>
      <c r="BH24" s="71">
        <v>2492227.4392228709</v>
      </c>
    </row>
    <row r="25" spans="1:60" ht="18" x14ac:dyDescent="0.3">
      <c r="A25" s="65" t="s">
        <v>184</v>
      </c>
      <c r="B25" s="66" t="s">
        <v>167</v>
      </c>
      <c r="C25" s="66" t="s">
        <v>175</v>
      </c>
      <c r="D25" s="66" t="s">
        <v>190</v>
      </c>
      <c r="E25" s="81" t="s">
        <v>170</v>
      </c>
      <c r="F25" s="82" t="s">
        <v>197</v>
      </c>
      <c r="G25" s="66">
        <v>11</v>
      </c>
      <c r="H25" s="69" t="s">
        <v>84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30044</v>
      </c>
      <c r="X25" s="48">
        <v>273916</v>
      </c>
      <c r="Y25" s="48">
        <v>303173</v>
      </c>
      <c r="Z25" s="48">
        <v>317089</v>
      </c>
      <c r="AA25" s="48">
        <v>311229</v>
      </c>
      <c r="AB25" s="48">
        <v>334321</v>
      </c>
      <c r="AC25" s="48">
        <v>376690</v>
      </c>
      <c r="AD25" s="48">
        <v>393774</v>
      </c>
      <c r="AE25" s="48">
        <v>420358</v>
      </c>
      <c r="AF25" s="48">
        <v>484673</v>
      </c>
      <c r="AG25" s="48">
        <v>506121.84</v>
      </c>
      <c r="AH25" s="48">
        <v>458647.76</v>
      </c>
      <c r="AI25" s="48">
        <v>0</v>
      </c>
      <c r="AJ25" s="48">
        <v>0</v>
      </c>
      <c r="AK25" s="48">
        <v>0</v>
      </c>
      <c r="AL25" s="48">
        <v>0</v>
      </c>
      <c r="AM25" s="48">
        <v>0</v>
      </c>
      <c r="AN25" s="48">
        <v>0</v>
      </c>
      <c r="AO25" s="48">
        <v>0</v>
      </c>
      <c r="AP25" s="48">
        <v>0</v>
      </c>
      <c r="AQ25" s="48">
        <v>0</v>
      </c>
      <c r="AR25" s="48">
        <v>0</v>
      </c>
      <c r="AS25" s="48">
        <v>340000</v>
      </c>
      <c r="AT25" s="48">
        <v>349000</v>
      </c>
      <c r="AU25" s="48">
        <v>349000</v>
      </c>
      <c r="AV25" s="48">
        <v>349900</v>
      </c>
      <c r="AW25" s="48">
        <v>351500</v>
      </c>
      <c r="AX25" s="48">
        <v>354000</v>
      </c>
      <c r="AY25" s="48">
        <v>352000</v>
      </c>
      <c r="AZ25" s="48">
        <v>357000</v>
      </c>
      <c r="BA25" s="48">
        <v>369000</v>
      </c>
      <c r="BB25" s="48">
        <v>368000</v>
      </c>
      <c r="BC25" s="48">
        <v>368000</v>
      </c>
      <c r="BD25" s="48">
        <v>370000</v>
      </c>
      <c r="BE25" s="70">
        <v>0</v>
      </c>
      <c r="BF25" s="70">
        <v>3245267</v>
      </c>
      <c r="BG25" s="70">
        <v>964769.60000000009</v>
      </c>
      <c r="BH25" s="71">
        <v>4277400</v>
      </c>
    </row>
    <row r="26" spans="1:60" ht="18" x14ac:dyDescent="0.3">
      <c r="A26" s="65" t="s">
        <v>184</v>
      </c>
      <c r="B26" s="66" t="s">
        <v>167</v>
      </c>
      <c r="C26" s="66" t="s">
        <v>175</v>
      </c>
      <c r="D26" s="66" t="s">
        <v>190</v>
      </c>
      <c r="E26" s="81" t="s">
        <v>170</v>
      </c>
      <c r="F26" s="82" t="s">
        <v>198</v>
      </c>
      <c r="G26" s="66">
        <v>12</v>
      </c>
      <c r="H26" s="69" t="s">
        <v>199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0</v>
      </c>
      <c r="AK26" s="48">
        <v>0</v>
      </c>
      <c r="AL26" s="48">
        <v>0</v>
      </c>
      <c r="AM26" s="48">
        <v>0</v>
      </c>
      <c r="AN26" s="48">
        <v>0</v>
      </c>
      <c r="AO26" s="48">
        <v>0</v>
      </c>
      <c r="AP26" s="48">
        <v>0</v>
      </c>
      <c r="AQ26" s="48">
        <v>0</v>
      </c>
      <c r="AR26" s="48">
        <v>0</v>
      </c>
      <c r="AS26" s="48">
        <v>192975</v>
      </c>
      <c r="AT26" s="48">
        <v>235043.55</v>
      </c>
      <c r="AU26" s="48">
        <v>274217.47499999998</v>
      </c>
      <c r="AV26" s="48">
        <v>318092.27100000001</v>
      </c>
      <c r="AW26" s="48">
        <v>357853.80487499997</v>
      </c>
      <c r="AX26" s="48">
        <v>405567.645525</v>
      </c>
      <c r="AY26" s="48">
        <v>496414.79812260001</v>
      </c>
      <c r="AZ26" s="48">
        <v>608108.12770018494</v>
      </c>
      <c r="BA26" s="48">
        <v>694980.71737164003</v>
      </c>
      <c r="BB26" s="48">
        <v>738417.01220736757</v>
      </c>
      <c r="BC26" s="48">
        <v>781853.30704309489</v>
      </c>
      <c r="BD26" s="48">
        <v>825289.60187882232</v>
      </c>
      <c r="BE26" s="70">
        <v>0</v>
      </c>
      <c r="BF26" s="70">
        <v>0</v>
      </c>
      <c r="BG26" s="70">
        <v>0</v>
      </c>
      <c r="BH26" s="71">
        <v>5928813.3107237089</v>
      </c>
    </row>
    <row r="27" spans="1:60" ht="18" x14ac:dyDescent="0.3">
      <c r="A27" s="65" t="s">
        <v>184</v>
      </c>
      <c r="B27" s="66" t="s">
        <v>200</v>
      </c>
      <c r="C27" s="66" t="s">
        <v>201</v>
      </c>
      <c r="D27" s="66" t="s">
        <v>190</v>
      </c>
      <c r="E27" s="81" t="s">
        <v>170</v>
      </c>
      <c r="F27" s="82" t="s">
        <v>202</v>
      </c>
      <c r="G27" s="66">
        <v>13</v>
      </c>
      <c r="H27" s="69" t="s">
        <v>126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5754.5</v>
      </c>
      <c r="AF27" s="48">
        <v>264677.2</v>
      </c>
      <c r="AG27" s="48">
        <v>372111.35999999999</v>
      </c>
      <c r="AH27" s="48">
        <v>393894.33000000007</v>
      </c>
      <c r="AI27" s="48">
        <v>0</v>
      </c>
      <c r="AJ27" s="48">
        <v>0</v>
      </c>
      <c r="AK27" s="48">
        <v>0</v>
      </c>
      <c r="AL27" s="48">
        <v>0</v>
      </c>
      <c r="AM27" s="48">
        <v>0</v>
      </c>
      <c r="AN27" s="48">
        <v>0</v>
      </c>
      <c r="AO27" s="48">
        <v>0</v>
      </c>
      <c r="AP27" s="48">
        <v>0</v>
      </c>
      <c r="AQ27" s="48">
        <v>0</v>
      </c>
      <c r="AR27" s="48">
        <v>0</v>
      </c>
      <c r="AS27" s="48">
        <v>361500</v>
      </c>
      <c r="AT27" s="48">
        <v>369322.5</v>
      </c>
      <c r="AU27" s="48">
        <v>374266.5</v>
      </c>
      <c r="AV27" s="48">
        <v>382426.65749999997</v>
      </c>
      <c r="AW27" s="48">
        <v>382579.42709999997</v>
      </c>
      <c r="AX27" s="48">
        <v>390231.01564200001</v>
      </c>
      <c r="AY27" s="48">
        <v>394465.85852699995</v>
      </c>
      <c r="AZ27" s="48">
        <v>408834.48531158996</v>
      </c>
      <c r="BA27" s="48">
        <v>412475.65828798676</v>
      </c>
      <c r="BB27" s="48">
        <v>416189.65472391149</v>
      </c>
      <c r="BC27" s="48">
        <v>419977.93108855473</v>
      </c>
      <c r="BD27" s="48">
        <v>423841.97298049083</v>
      </c>
      <c r="BE27" s="70">
        <v>0</v>
      </c>
      <c r="BF27" s="70">
        <v>270431.7</v>
      </c>
      <c r="BG27" s="70">
        <v>766005.69000000006</v>
      </c>
      <c r="BH27" s="71">
        <v>4736111.6611615345</v>
      </c>
    </row>
    <row r="28" spans="1:60" ht="18" x14ac:dyDescent="0.3">
      <c r="A28" s="65" t="s">
        <v>184</v>
      </c>
      <c r="B28" s="66" t="s">
        <v>193</v>
      </c>
      <c r="C28" s="66" t="s">
        <v>194</v>
      </c>
      <c r="D28" s="66" t="s">
        <v>190</v>
      </c>
      <c r="E28" s="81" t="s">
        <v>170</v>
      </c>
      <c r="F28" s="82" t="s">
        <v>203</v>
      </c>
      <c r="G28" s="66">
        <v>14</v>
      </c>
      <c r="H28" s="69" t="s">
        <v>204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48">
        <v>0</v>
      </c>
      <c r="AH28" s="48">
        <v>191982</v>
      </c>
      <c r="AI28" s="48">
        <v>0</v>
      </c>
      <c r="AJ28" s="48">
        <v>0</v>
      </c>
      <c r="AK28" s="48">
        <v>0</v>
      </c>
      <c r="AL28" s="48">
        <v>0</v>
      </c>
      <c r="AM28" s="48">
        <v>0</v>
      </c>
      <c r="AN28" s="48">
        <v>0</v>
      </c>
      <c r="AO28" s="48">
        <v>0</v>
      </c>
      <c r="AP28" s="48">
        <v>0</v>
      </c>
      <c r="AQ28" s="48">
        <v>0</v>
      </c>
      <c r="AR28" s="48">
        <v>0</v>
      </c>
      <c r="AS28" s="48">
        <v>0</v>
      </c>
      <c r="AT28" s="48">
        <v>0</v>
      </c>
      <c r="AU28" s="48">
        <v>141050</v>
      </c>
      <c r="AV28" s="48">
        <v>161200</v>
      </c>
      <c r="AW28" s="48">
        <v>183163.5</v>
      </c>
      <c r="AX28" s="48">
        <v>203515</v>
      </c>
      <c r="AY28" s="48">
        <v>246660.18000000002</v>
      </c>
      <c r="AZ28" s="48">
        <v>290647.91210000002</v>
      </c>
      <c r="BA28" s="48">
        <v>332169.04240000003</v>
      </c>
      <c r="BB28" s="48">
        <v>352929.60755000002</v>
      </c>
      <c r="BC28" s="48">
        <v>373690.17270000005</v>
      </c>
      <c r="BD28" s="48">
        <v>395200</v>
      </c>
      <c r="BE28" s="70">
        <v>0</v>
      </c>
      <c r="BF28" s="70">
        <v>0</v>
      </c>
      <c r="BG28" s="70">
        <v>191982</v>
      </c>
      <c r="BH28" s="71">
        <v>2680225.4147500005</v>
      </c>
    </row>
    <row r="29" spans="1:60" ht="18" x14ac:dyDescent="0.3">
      <c r="A29" s="65" t="s">
        <v>184</v>
      </c>
      <c r="B29" s="66" t="s">
        <v>167</v>
      </c>
      <c r="C29" s="66" t="s">
        <v>173</v>
      </c>
      <c r="D29" s="66" t="s">
        <v>190</v>
      </c>
      <c r="E29" s="81" t="s">
        <v>170</v>
      </c>
      <c r="F29" s="82" t="s">
        <v>205</v>
      </c>
      <c r="G29" s="66">
        <v>15</v>
      </c>
      <c r="H29" s="69" t="s">
        <v>67</v>
      </c>
      <c r="I29" s="48">
        <v>0</v>
      </c>
      <c r="J29" s="48">
        <v>0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  <c r="AA29" s="48">
        <v>93296</v>
      </c>
      <c r="AB29" s="48">
        <v>635735</v>
      </c>
      <c r="AC29" s="48">
        <v>669775.01300000004</v>
      </c>
      <c r="AD29" s="48">
        <v>718202</v>
      </c>
      <c r="AE29" s="48">
        <v>709594</v>
      </c>
      <c r="AF29" s="48">
        <v>743840.7</v>
      </c>
      <c r="AG29" s="48">
        <v>743535.33000000007</v>
      </c>
      <c r="AH29" s="48">
        <v>756533.96</v>
      </c>
      <c r="AI29" s="48">
        <v>0</v>
      </c>
      <c r="AJ29" s="48">
        <v>0</v>
      </c>
      <c r="AK29" s="48">
        <v>0</v>
      </c>
      <c r="AL29" s="48">
        <v>0</v>
      </c>
      <c r="AM29" s="48">
        <v>0</v>
      </c>
      <c r="AN29" s="48">
        <v>0</v>
      </c>
      <c r="AO29" s="48">
        <v>0</v>
      </c>
      <c r="AP29" s="48">
        <v>0</v>
      </c>
      <c r="AQ29" s="48">
        <v>0</v>
      </c>
      <c r="AR29" s="48">
        <v>0</v>
      </c>
      <c r="AS29" s="48">
        <v>650000</v>
      </c>
      <c r="AT29" s="48">
        <v>650000</v>
      </c>
      <c r="AU29" s="48">
        <v>658000</v>
      </c>
      <c r="AV29" s="48">
        <v>658000</v>
      </c>
      <c r="AW29" s="48">
        <v>666000</v>
      </c>
      <c r="AX29" s="48">
        <v>666000</v>
      </c>
      <c r="AY29" s="48">
        <v>666500</v>
      </c>
      <c r="AZ29" s="48">
        <v>667000</v>
      </c>
      <c r="BA29" s="48">
        <v>670000</v>
      </c>
      <c r="BB29" s="48">
        <v>677000</v>
      </c>
      <c r="BC29" s="48">
        <v>682000</v>
      </c>
      <c r="BD29" s="48">
        <v>692500</v>
      </c>
      <c r="BE29" s="70">
        <v>0</v>
      </c>
      <c r="BF29" s="70">
        <v>3570442.7130000005</v>
      </c>
      <c r="BG29" s="70">
        <v>1500069.29</v>
      </c>
      <c r="BH29" s="71">
        <v>8003000</v>
      </c>
    </row>
    <row r="30" spans="1:60" ht="18" x14ac:dyDescent="0.3">
      <c r="A30" s="65" t="s">
        <v>184</v>
      </c>
      <c r="B30" s="66" t="s">
        <v>167</v>
      </c>
      <c r="C30" s="66" t="s">
        <v>173</v>
      </c>
      <c r="D30" s="66" t="s">
        <v>190</v>
      </c>
      <c r="E30" s="81" t="s">
        <v>170</v>
      </c>
      <c r="F30" s="82" t="s">
        <v>206</v>
      </c>
      <c r="G30" s="66">
        <v>16</v>
      </c>
      <c r="H30" s="69" t="s">
        <v>207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48">
        <v>0</v>
      </c>
      <c r="AH30" s="48">
        <v>0</v>
      </c>
      <c r="AI30" s="48">
        <v>0</v>
      </c>
      <c r="AJ30" s="48">
        <v>0</v>
      </c>
      <c r="AK30" s="48">
        <v>0</v>
      </c>
      <c r="AL30" s="48">
        <v>0</v>
      </c>
      <c r="AM30" s="48">
        <v>0</v>
      </c>
      <c r="AN30" s="48">
        <v>0</v>
      </c>
      <c r="AO30" s="48">
        <v>0</v>
      </c>
      <c r="AP30" s="48">
        <v>0</v>
      </c>
      <c r="AQ30" s="48">
        <v>0</v>
      </c>
      <c r="AR30" s="48">
        <v>0</v>
      </c>
      <c r="AS30" s="48">
        <v>255750</v>
      </c>
      <c r="AT30" s="48">
        <v>309969</v>
      </c>
      <c r="AU30" s="48">
        <v>367054.95750000002</v>
      </c>
      <c r="AV30" s="48">
        <v>419491.38</v>
      </c>
      <c r="AW30" s="48">
        <v>481366.35855</v>
      </c>
      <c r="AX30" s="48">
        <v>534851.50950000004</v>
      </c>
      <c r="AY30" s="48">
        <v>657867.35668500001</v>
      </c>
      <c r="AZ30" s="48">
        <v>794374.83319713746</v>
      </c>
      <c r="BA30" s="48">
        <v>907856.95222530002</v>
      </c>
      <c r="BB30" s="48">
        <v>1008004.9222676533</v>
      </c>
      <c r="BC30" s="48">
        <v>1120664.2959328617</v>
      </c>
      <c r="BD30" s="48">
        <v>1200667.2748369577</v>
      </c>
      <c r="BE30" s="70">
        <v>0</v>
      </c>
      <c r="BF30" s="70">
        <v>0</v>
      </c>
      <c r="BG30" s="70">
        <v>0</v>
      </c>
      <c r="BH30" s="71">
        <v>8057918.8406949099</v>
      </c>
    </row>
    <row r="31" spans="1:60" ht="18" x14ac:dyDescent="0.3">
      <c r="A31" s="65" t="s">
        <v>184</v>
      </c>
      <c r="B31" s="66" t="s">
        <v>167</v>
      </c>
      <c r="C31" s="66" t="s">
        <v>186</v>
      </c>
      <c r="D31" s="66" t="s">
        <v>190</v>
      </c>
      <c r="E31" s="81" t="s">
        <v>170</v>
      </c>
      <c r="F31" s="82" t="s">
        <v>208</v>
      </c>
      <c r="G31" s="66">
        <v>17</v>
      </c>
      <c r="H31" s="69" t="s">
        <v>209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48">
        <v>0</v>
      </c>
      <c r="AH31" s="48">
        <v>0</v>
      </c>
      <c r="AI31" s="48">
        <v>0</v>
      </c>
      <c r="AJ31" s="48">
        <v>0</v>
      </c>
      <c r="AK31" s="48">
        <v>0</v>
      </c>
      <c r="AL31" s="48">
        <v>0</v>
      </c>
      <c r="AM31" s="48">
        <v>0</v>
      </c>
      <c r="AN31" s="48">
        <v>0</v>
      </c>
      <c r="AO31" s="48">
        <v>0</v>
      </c>
      <c r="AP31" s="48">
        <v>0</v>
      </c>
      <c r="AQ31" s="48">
        <v>0</v>
      </c>
      <c r="AR31" s="48">
        <v>0</v>
      </c>
      <c r="AS31" s="48">
        <v>0</v>
      </c>
      <c r="AT31" s="48">
        <v>0</v>
      </c>
      <c r="AU31" s="48">
        <v>0</v>
      </c>
      <c r="AV31" s="48">
        <v>209745.69</v>
      </c>
      <c r="AW31" s="48">
        <v>240683.179275</v>
      </c>
      <c r="AX31" s="48">
        <v>267425.75475000002</v>
      </c>
      <c r="AY31" s="48">
        <v>328690.56401999999</v>
      </c>
      <c r="AZ31" s="48">
        <v>396025.93792282499</v>
      </c>
      <c r="BA31" s="48">
        <v>452601.07191180001</v>
      </c>
      <c r="BB31" s="48">
        <v>501453.64905727218</v>
      </c>
      <c r="BC31" s="48">
        <v>553590.60527734784</v>
      </c>
      <c r="BD31" s="48">
        <v>592698.32679726719</v>
      </c>
      <c r="BE31" s="70">
        <v>0</v>
      </c>
      <c r="BF31" s="70">
        <v>0</v>
      </c>
      <c r="BG31" s="70">
        <v>0</v>
      </c>
      <c r="BH31" s="71">
        <v>3542914.7790115122</v>
      </c>
    </row>
    <row r="32" spans="1:60" ht="18" x14ac:dyDescent="0.3">
      <c r="A32" s="65" t="s">
        <v>184</v>
      </c>
      <c r="B32" s="66" t="s">
        <v>188</v>
      </c>
      <c r="C32" s="66" t="s">
        <v>210</v>
      </c>
      <c r="D32" s="66" t="s">
        <v>190</v>
      </c>
      <c r="E32" s="81" t="s">
        <v>170</v>
      </c>
      <c r="F32" s="82" t="s">
        <v>211</v>
      </c>
      <c r="G32" s="66">
        <v>18</v>
      </c>
      <c r="H32" s="83" t="s">
        <v>130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332296.81</v>
      </c>
      <c r="AG32" s="48">
        <v>518976.22</v>
      </c>
      <c r="AH32" s="48">
        <v>416496.62</v>
      </c>
      <c r="AI32" s="48">
        <v>0</v>
      </c>
      <c r="AJ32" s="48">
        <v>0</v>
      </c>
      <c r="AK32" s="48">
        <v>0</v>
      </c>
      <c r="AL32" s="48">
        <v>0</v>
      </c>
      <c r="AM32" s="48">
        <v>0</v>
      </c>
      <c r="AN32" s="48">
        <v>0</v>
      </c>
      <c r="AO32" s="48">
        <v>0</v>
      </c>
      <c r="AP32" s="48">
        <v>0</v>
      </c>
      <c r="AQ32" s="48">
        <v>0</v>
      </c>
      <c r="AR32" s="48">
        <v>0</v>
      </c>
      <c r="AS32" s="48">
        <v>64325</v>
      </c>
      <c r="AT32" s="48">
        <v>77961.899999999994</v>
      </c>
      <c r="AU32" s="48">
        <v>90955.55</v>
      </c>
      <c r="AV32" s="48">
        <v>103949.2</v>
      </c>
      <c r="AW32" s="48">
        <v>119281.70700000001</v>
      </c>
      <c r="AX32" s="48">
        <v>132535.22999999998</v>
      </c>
      <c r="AY32" s="48">
        <v>162223.12151999999</v>
      </c>
      <c r="AZ32" s="48">
        <v>193045.5146088</v>
      </c>
      <c r="BA32" s="48">
        <v>220623.44526720003</v>
      </c>
      <c r="BB32" s="48">
        <v>242616.844967274</v>
      </c>
      <c r="BC32" s="48">
        <v>267163.96104631585</v>
      </c>
      <c r="BD32" s="48">
        <v>294696.69147636672</v>
      </c>
      <c r="BE32" s="70">
        <v>0</v>
      </c>
      <c r="BF32" s="70">
        <v>332296.81</v>
      </c>
      <c r="BG32" s="70">
        <v>935472.84</v>
      </c>
      <c r="BH32" s="71">
        <v>1969378.1658859567</v>
      </c>
    </row>
    <row r="33" spans="1:60" ht="18" x14ac:dyDescent="0.3">
      <c r="A33" s="65" t="s">
        <v>184</v>
      </c>
      <c r="B33" s="66" t="s">
        <v>188</v>
      </c>
      <c r="C33" s="66" t="s">
        <v>189</v>
      </c>
      <c r="D33" s="66" t="s">
        <v>190</v>
      </c>
      <c r="E33" s="81" t="s">
        <v>170</v>
      </c>
      <c r="F33" s="82" t="s">
        <v>212</v>
      </c>
      <c r="G33" s="66">
        <v>19</v>
      </c>
      <c r="H33" s="69" t="s">
        <v>116</v>
      </c>
      <c r="I33" s="48">
        <v>0</v>
      </c>
      <c r="J33" s="48">
        <v>0</v>
      </c>
      <c r="K33" s="48">
        <v>0</v>
      </c>
      <c r="L33" s="48">
        <v>0</v>
      </c>
      <c r="M33" s="48">
        <v>0</v>
      </c>
      <c r="N33" s="48">
        <v>0</v>
      </c>
      <c r="O33" s="48">
        <v>0</v>
      </c>
      <c r="P33" s="48">
        <v>0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125144.39999999998</v>
      </c>
      <c r="AE33" s="48">
        <v>217452</v>
      </c>
      <c r="AF33" s="48">
        <v>323996.74</v>
      </c>
      <c r="AG33" s="48">
        <v>329837.03999999998</v>
      </c>
      <c r="AH33" s="48">
        <v>299244.81</v>
      </c>
      <c r="AI33" s="48">
        <v>0</v>
      </c>
      <c r="AJ33" s="48">
        <v>0</v>
      </c>
      <c r="AK33" s="48">
        <v>0</v>
      </c>
      <c r="AL33" s="48">
        <v>0</v>
      </c>
      <c r="AM33" s="48">
        <v>0</v>
      </c>
      <c r="AN33" s="48">
        <v>0</v>
      </c>
      <c r="AO33" s="48">
        <v>0</v>
      </c>
      <c r="AP33" s="48">
        <v>0</v>
      </c>
      <c r="AQ33" s="48">
        <v>0</v>
      </c>
      <c r="AR33" s="48">
        <v>0</v>
      </c>
      <c r="AS33" s="48">
        <v>209250</v>
      </c>
      <c r="AT33" s="48">
        <v>211342.5</v>
      </c>
      <c r="AU33" s="48">
        <v>213455.92499999999</v>
      </c>
      <c r="AV33" s="48">
        <v>217725.0435</v>
      </c>
      <c r="AW33" s="48">
        <v>217725.0435</v>
      </c>
      <c r="AX33" s="48">
        <v>222079.54436999999</v>
      </c>
      <c r="AY33" s="48">
        <v>226521.13525739999</v>
      </c>
      <c r="AZ33" s="48">
        <v>231051.55796254796</v>
      </c>
      <c r="BA33" s="48">
        <v>235672.58912179893</v>
      </c>
      <c r="BB33" s="48">
        <v>247456.21857788888</v>
      </c>
      <c r="BC33" s="48">
        <v>261066.31059967275</v>
      </c>
      <c r="BD33" s="48">
        <v>266287.63681166619</v>
      </c>
      <c r="BE33" s="70">
        <v>0</v>
      </c>
      <c r="BF33" s="70">
        <v>666593.1399999999</v>
      </c>
      <c r="BG33" s="70">
        <v>629081.85</v>
      </c>
      <c r="BH33" s="71">
        <v>2759633.5047009746</v>
      </c>
    </row>
    <row r="34" spans="1:60" ht="18" x14ac:dyDescent="0.3">
      <c r="A34" s="65" t="s">
        <v>184</v>
      </c>
      <c r="B34" s="66" t="s">
        <v>188</v>
      </c>
      <c r="C34" s="66" t="s">
        <v>213</v>
      </c>
      <c r="D34" s="66" t="s">
        <v>169</v>
      </c>
      <c r="E34" s="81" t="s">
        <v>170</v>
      </c>
      <c r="F34" s="82" t="s">
        <v>214</v>
      </c>
      <c r="G34" s="66">
        <v>20</v>
      </c>
      <c r="H34" s="69" t="s">
        <v>215</v>
      </c>
      <c r="I34" s="48">
        <v>0</v>
      </c>
      <c r="J34" s="48">
        <v>0</v>
      </c>
      <c r="K34" s="48">
        <v>0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  <c r="Q34" s="48">
        <v>0</v>
      </c>
      <c r="R34" s="48">
        <v>0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48">
        <v>0</v>
      </c>
      <c r="AK34" s="48">
        <v>0</v>
      </c>
      <c r="AL34" s="48">
        <v>0</v>
      </c>
      <c r="AM34" s="48">
        <v>0</v>
      </c>
      <c r="AN34" s="48">
        <v>0</v>
      </c>
      <c r="AO34" s="48">
        <v>0</v>
      </c>
      <c r="AP34" s="48">
        <v>0</v>
      </c>
      <c r="AQ34" s="48">
        <v>0</v>
      </c>
      <c r="AR34" s="48">
        <v>0</v>
      </c>
      <c r="AS34" s="48">
        <v>0</v>
      </c>
      <c r="AT34" s="48">
        <v>0</v>
      </c>
      <c r="AU34" s="48">
        <v>0</v>
      </c>
      <c r="AV34" s="48">
        <v>0</v>
      </c>
      <c r="AW34" s="48">
        <v>0</v>
      </c>
      <c r="AX34" s="48">
        <v>0</v>
      </c>
      <c r="AY34" s="48">
        <v>0</v>
      </c>
      <c r="AZ34" s="48">
        <v>1001200</v>
      </c>
      <c r="BA34" s="48">
        <v>1255530</v>
      </c>
      <c r="BB34" s="48">
        <v>1606501.44</v>
      </c>
      <c r="BC34" s="48">
        <v>1921221.7472000001</v>
      </c>
      <c r="BD34" s="48">
        <v>2257022.9166080002</v>
      </c>
      <c r="BE34" s="70">
        <v>0</v>
      </c>
      <c r="BF34" s="70">
        <v>0</v>
      </c>
      <c r="BG34" s="70">
        <v>0</v>
      </c>
      <c r="BH34" s="71">
        <v>8041476.1038080007</v>
      </c>
    </row>
    <row r="35" spans="1:60" ht="18" x14ac:dyDescent="0.3">
      <c r="A35" s="65" t="s">
        <v>184</v>
      </c>
      <c r="B35" s="66" t="s">
        <v>167</v>
      </c>
      <c r="C35" s="66" t="s">
        <v>186</v>
      </c>
      <c r="D35" s="66" t="s">
        <v>190</v>
      </c>
      <c r="E35" s="81" t="s">
        <v>170</v>
      </c>
      <c r="F35" s="82" t="s">
        <v>216</v>
      </c>
      <c r="G35" s="66">
        <v>21</v>
      </c>
      <c r="H35" s="69" t="s">
        <v>217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Z35" s="84">
        <v>0</v>
      </c>
      <c r="AA35" s="84">
        <v>0</v>
      </c>
      <c r="AB35" s="84">
        <v>0</v>
      </c>
      <c r="AC35" s="84">
        <v>0</v>
      </c>
      <c r="AD35" s="84">
        <v>0</v>
      </c>
      <c r="AE35" s="84">
        <v>0</v>
      </c>
      <c r="AF35" s="84">
        <v>0</v>
      </c>
      <c r="AG35" s="84">
        <v>0</v>
      </c>
      <c r="AH35" s="84">
        <v>0</v>
      </c>
      <c r="AI35" s="84">
        <v>0</v>
      </c>
      <c r="AJ35" s="84">
        <v>0</v>
      </c>
      <c r="AK35" s="84">
        <v>0</v>
      </c>
      <c r="AL35" s="84">
        <v>0</v>
      </c>
      <c r="AM35" s="84">
        <v>0</v>
      </c>
      <c r="AN35" s="84">
        <v>0</v>
      </c>
      <c r="AO35" s="84">
        <v>0</v>
      </c>
      <c r="AP35" s="84">
        <v>0</v>
      </c>
      <c r="AQ35" s="84">
        <v>0</v>
      </c>
      <c r="AR35" s="84">
        <v>0</v>
      </c>
      <c r="AS35" s="84">
        <v>0</v>
      </c>
      <c r="AT35" s="84">
        <v>0</v>
      </c>
      <c r="AU35" s="84">
        <v>0</v>
      </c>
      <c r="AV35" s="84">
        <v>0</v>
      </c>
      <c r="AW35" s="84">
        <v>0</v>
      </c>
      <c r="AX35" s="84">
        <v>0</v>
      </c>
      <c r="AY35" s="84">
        <v>0</v>
      </c>
      <c r="AZ35" s="84">
        <v>1860000</v>
      </c>
      <c r="BA35" s="84">
        <v>1800000</v>
      </c>
      <c r="BB35" s="84">
        <v>1860000</v>
      </c>
      <c r="BC35" s="84">
        <v>1800000</v>
      </c>
      <c r="BD35" s="84">
        <v>1860000</v>
      </c>
      <c r="BE35" s="85">
        <v>0</v>
      </c>
      <c r="BF35" s="85">
        <v>0</v>
      </c>
      <c r="BG35" s="85">
        <v>0</v>
      </c>
      <c r="BH35" s="86">
        <v>9180000</v>
      </c>
    </row>
    <row r="36" spans="1:60" ht="18" x14ac:dyDescent="0.3">
      <c r="A36" s="65" t="s">
        <v>184</v>
      </c>
      <c r="B36" s="66" t="s">
        <v>167</v>
      </c>
      <c r="C36" s="66" t="s">
        <v>175</v>
      </c>
      <c r="D36" s="66" t="s">
        <v>190</v>
      </c>
      <c r="E36" s="81" t="s">
        <v>170</v>
      </c>
      <c r="F36" s="82" t="s">
        <v>218</v>
      </c>
      <c r="G36" s="66">
        <v>22</v>
      </c>
      <c r="H36" s="69" t="s">
        <v>219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48">
        <v>0</v>
      </c>
      <c r="Q36" s="48">
        <v>0</v>
      </c>
      <c r="R36" s="48">
        <v>0</v>
      </c>
      <c r="S36" s="48">
        <v>0</v>
      </c>
      <c r="T36" s="48">
        <v>0</v>
      </c>
      <c r="U36" s="48">
        <v>0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48">
        <v>0</v>
      </c>
      <c r="AB36" s="48">
        <v>0</v>
      </c>
      <c r="AC36" s="48">
        <v>0</v>
      </c>
      <c r="AD36" s="48">
        <v>0</v>
      </c>
      <c r="AE36" s="48">
        <v>0</v>
      </c>
      <c r="AF36" s="48">
        <v>0</v>
      </c>
      <c r="AG36" s="48">
        <v>0</v>
      </c>
      <c r="AH36" s="48">
        <v>0</v>
      </c>
      <c r="AI36" s="48">
        <v>0</v>
      </c>
      <c r="AJ36" s="48">
        <v>0</v>
      </c>
      <c r="AK36" s="48">
        <v>0</v>
      </c>
      <c r="AL36" s="48">
        <v>0</v>
      </c>
      <c r="AM36" s="48">
        <v>0</v>
      </c>
      <c r="AN36" s="48">
        <v>0</v>
      </c>
      <c r="AO36" s="48">
        <v>0</v>
      </c>
      <c r="AP36" s="48">
        <v>0</v>
      </c>
      <c r="AQ36" s="48">
        <v>0</v>
      </c>
      <c r="AR36" s="48">
        <v>0</v>
      </c>
      <c r="AS36" s="48">
        <v>0</v>
      </c>
      <c r="AT36" s="48">
        <v>0</v>
      </c>
      <c r="AU36" s="48">
        <v>0</v>
      </c>
      <c r="AV36" s="48">
        <v>0</v>
      </c>
      <c r="AW36" s="48">
        <v>0</v>
      </c>
      <c r="AX36" s="48">
        <v>0</v>
      </c>
      <c r="AY36" s="48">
        <v>0</v>
      </c>
      <c r="AZ36" s="48">
        <v>585900</v>
      </c>
      <c r="BA36" s="48">
        <v>669600</v>
      </c>
      <c r="BB36" s="48">
        <v>718564.5</v>
      </c>
      <c r="BC36" s="48">
        <v>772245.49500000011</v>
      </c>
      <c r="BD36" s="48">
        <v>810350</v>
      </c>
      <c r="BE36" s="70">
        <v>0</v>
      </c>
      <c r="BF36" s="70">
        <v>0</v>
      </c>
      <c r="BG36" s="70">
        <v>0</v>
      </c>
      <c r="BH36" s="71">
        <v>3556659.9950000001</v>
      </c>
    </row>
    <row r="37" spans="1:60" ht="18" x14ac:dyDescent="0.3">
      <c r="A37" s="65" t="s">
        <v>184</v>
      </c>
      <c r="B37" s="66" t="s">
        <v>167</v>
      </c>
      <c r="C37" s="66" t="s">
        <v>220</v>
      </c>
      <c r="D37" s="66" t="s">
        <v>190</v>
      </c>
      <c r="E37" s="81" t="s">
        <v>170</v>
      </c>
      <c r="F37" s="82" t="s">
        <v>221</v>
      </c>
      <c r="G37" s="66">
        <v>23</v>
      </c>
      <c r="H37" s="69" t="s">
        <v>222</v>
      </c>
      <c r="I37" s="48">
        <v>0</v>
      </c>
      <c r="J37" s="48">
        <v>0</v>
      </c>
      <c r="K37" s="48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48">
        <v>0</v>
      </c>
      <c r="AH37" s="48">
        <v>0</v>
      </c>
      <c r="AI37" s="48">
        <v>0</v>
      </c>
      <c r="AJ37" s="48">
        <v>0</v>
      </c>
      <c r="AK37" s="48">
        <v>0</v>
      </c>
      <c r="AL37" s="48">
        <v>0</v>
      </c>
      <c r="AM37" s="48">
        <v>0</v>
      </c>
      <c r="AN37" s="48">
        <v>0</v>
      </c>
      <c r="AO37" s="48">
        <v>0</v>
      </c>
      <c r="AP37" s="48">
        <v>0</v>
      </c>
      <c r="AQ37" s="48">
        <v>0</v>
      </c>
      <c r="AR37" s="48">
        <v>0</v>
      </c>
      <c r="AS37" s="48">
        <v>0</v>
      </c>
      <c r="AT37" s="48">
        <v>0</v>
      </c>
      <c r="AU37" s="48">
        <v>0</v>
      </c>
      <c r="AV37" s="48">
        <v>0</v>
      </c>
      <c r="AW37" s="48">
        <v>0</v>
      </c>
      <c r="AX37" s="48">
        <v>0</v>
      </c>
      <c r="AY37" s="48">
        <v>0</v>
      </c>
      <c r="AZ37" s="48">
        <v>0</v>
      </c>
      <c r="BA37" s="48">
        <v>0</v>
      </c>
      <c r="BB37" s="48">
        <v>0</v>
      </c>
      <c r="BC37" s="48">
        <v>0</v>
      </c>
      <c r="BD37" s="48">
        <v>0</v>
      </c>
      <c r="BE37" s="70">
        <v>0</v>
      </c>
      <c r="BF37" s="70">
        <v>0</v>
      </c>
      <c r="BG37" s="70">
        <v>0</v>
      </c>
      <c r="BH37" s="71">
        <v>0</v>
      </c>
    </row>
    <row r="38" spans="1:60" ht="18" x14ac:dyDescent="0.3">
      <c r="A38" s="65" t="s">
        <v>184</v>
      </c>
      <c r="B38" s="66" t="s">
        <v>167</v>
      </c>
      <c r="C38" s="66" t="s">
        <v>175</v>
      </c>
      <c r="D38" s="66" t="s">
        <v>190</v>
      </c>
      <c r="E38" s="81" t="s">
        <v>170</v>
      </c>
      <c r="F38" s="82" t="s">
        <v>223</v>
      </c>
      <c r="G38" s="66">
        <v>24</v>
      </c>
      <c r="H38" s="69" t="s">
        <v>104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48">
        <v>0</v>
      </c>
      <c r="P38" s="48">
        <v>0</v>
      </c>
      <c r="Q38" s="48">
        <v>0</v>
      </c>
      <c r="R38" s="48">
        <v>0</v>
      </c>
      <c r="S38" s="48">
        <v>0</v>
      </c>
      <c r="T38" s="48">
        <v>52757</v>
      </c>
      <c r="U38" s="48">
        <v>782904</v>
      </c>
      <c r="V38" s="48">
        <v>816788</v>
      </c>
      <c r="W38" s="48">
        <v>472702</v>
      </c>
      <c r="X38" s="48">
        <v>570734</v>
      </c>
      <c r="Y38" s="48">
        <v>644592.9</v>
      </c>
      <c r="Z38" s="48">
        <v>683260</v>
      </c>
      <c r="AA38" s="48">
        <v>882499</v>
      </c>
      <c r="AB38" s="48">
        <v>1110509</v>
      </c>
      <c r="AC38" s="48">
        <v>821048</v>
      </c>
      <c r="AD38" s="48">
        <v>795337.3</v>
      </c>
      <c r="AE38" s="48">
        <v>759103.5</v>
      </c>
      <c r="AF38" s="48">
        <v>779347.29999999993</v>
      </c>
      <c r="AG38" s="48">
        <v>789260.78</v>
      </c>
      <c r="AH38" s="48">
        <v>682714.33</v>
      </c>
      <c r="AI38" s="48">
        <v>0</v>
      </c>
      <c r="AJ38" s="48">
        <v>0</v>
      </c>
      <c r="AK38" s="48">
        <v>0</v>
      </c>
      <c r="AL38" s="48">
        <v>0</v>
      </c>
      <c r="AM38" s="48">
        <v>0</v>
      </c>
      <c r="AN38" s="48">
        <v>0</v>
      </c>
      <c r="AO38" s="48">
        <v>0</v>
      </c>
      <c r="AP38" s="48">
        <v>0</v>
      </c>
      <c r="AQ38" s="48">
        <v>0</v>
      </c>
      <c r="AR38" s="48">
        <v>0</v>
      </c>
      <c r="AS38" s="48">
        <v>403195.56</v>
      </c>
      <c r="AT38" s="48">
        <v>420645.82</v>
      </c>
      <c r="AU38" s="48">
        <v>486883.06000000006</v>
      </c>
      <c r="AV38" s="48">
        <v>587856.0199999999</v>
      </c>
      <c r="AW38" s="48">
        <v>663930.68699999992</v>
      </c>
      <c r="AX38" s="48">
        <v>703757.8</v>
      </c>
      <c r="AY38" s="48">
        <v>917798.96</v>
      </c>
      <c r="AZ38" s="48">
        <v>1166034.45</v>
      </c>
      <c r="BA38" s="48">
        <v>845679.44000000006</v>
      </c>
      <c r="BB38" s="48">
        <v>815220.73249999993</v>
      </c>
      <c r="BC38" s="48">
        <v>781905.97030000004</v>
      </c>
      <c r="BD38" s="48">
        <v>898875.03377485205</v>
      </c>
      <c r="BE38" s="70">
        <v>52757</v>
      </c>
      <c r="BF38" s="70">
        <v>9118825</v>
      </c>
      <c r="BG38" s="70">
        <v>1471975.1099999999</v>
      </c>
      <c r="BH38" s="71">
        <v>8691783.5335748531</v>
      </c>
    </row>
    <row r="39" spans="1:60" ht="18" x14ac:dyDescent="0.3">
      <c r="A39" s="65" t="s">
        <v>184</v>
      </c>
      <c r="B39" s="66" t="s">
        <v>193</v>
      </c>
      <c r="C39" s="66" t="s">
        <v>224</v>
      </c>
      <c r="D39" s="66">
        <v>0</v>
      </c>
      <c r="E39" s="81">
        <v>0</v>
      </c>
      <c r="F39" s="82" t="s">
        <v>225</v>
      </c>
      <c r="G39" s="66">
        <v>25</v>
      </c>
      <c r="H39" s="83" t="s">
        <v>226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48">
        <v>0</v>
      </c>
      <c r="X39" s="48">
        <v>0</v>
      </c>
      <c r="Y39" s="48">
        <v>0</v>
      </c>
      <c r="Z39" s="48">
        <v>0</v>
      </c>
      <c r="AA39" s="48">
        <v>0</v>
      </c>
      <c r="AB39" s="48">
        <v>0</v>
      </c>
      <c r="AC39" s="48">
        <v>0</v>
      </c>
      <c r="AD39" s="48">
        <v>0</v>
      </c>
      <c r="AE39" s="48">
        <v>0</v>
      </c>
      <c r="AF39" s="48">
        <v>0</v>
      </c>
      <c r="AG39" s="48">
        <v>0</v>
      </c>
      <c r="AH39" s="48">
        <v>0</v>
      </c>
      <c r="AI39" s="48">
        <v>0</v>
      </c>
      <c r="AJ39" s="48">
        <v>0</v>
      </c>
      <c r="AK39" s="48">
        <v>0</v>
      </c>
      <c r="AL39" s="48">
        <v>0</v>
      </c>
      <c r="AM39" s="48">
        <v>0</v>
      </c>
      <c r="AN39" s="48">
        <v>0</v>
      </c>
      <c r="AO39" s="48">
        <v>0</v>
      </c>
      <c r="AP39" s="48">
        <v>0</v>
      </c>
      <c r="AQ39" s="48">
        <v>0</v>
      </c>
      <c r="AR39" s="48">
        <v>0</v>
      </c>
      <c r="AS39" s="48">
        <v>0</v>
      </c>
      <c r="AT39" s="48">
        <v>0</v>
      </c>
      <c r="AU39" s="48">
        <v>1023000</v>
      </c>
      <c r="AV39" s="48">
        <v>990000</v>
      </c>
      <c r="AW39" s="48">
        <v>1023000</v>
      </c>
      <c r="AX39" s="48">
        <v>990000</v>
      </c>
      <c r="AY39" s="48">
        <v>1023000</v>
      </c>
      <c r="AZ39" s="48">
        <v>1023000</v>
      </c>
      <c r="BA39" s="48">
        <v>990000</v>
      </c>
      <c r="BB39" s="48">
        <v>1023000</v>
      </c>
      <c r="BC39" s="48">
        <v>990000</v>
      </c>
      <c r="BD39" s="48">
        <v>1023000</v>
      </c>
      <c r="BE39" s="70">
        <v>0</v>
      </c>
      <c r="BF39" s="70">
        <v>0</v>
      </c>
      <c r="BG39" s="70">
        <v>0</v>
      </c>
      <c r="BH39" s="71">
        <v>10098000</v>
      </c>
    </row>
    <row r="40" spans="1:60" ht="18" x14ac:dyDescent="0.3">
      <c r="A40" s="65" t="s">
        <v>184</v>
      </c>
      <c r="B40" s="66" t="s">
        <v>193</v>
      </c>
      <c r="C40" s="66" t="s">
        <v>227</v>
      </c>
      <c r="D40" s="66">
        <v>0</v>
      </c>
      <c r="E40" s="81">
        <v>0</v>
      </c>
      <c r="F40" s="82" t="s">
        <v>228</v>
      </c>
      <c r="G40" s="66">
        <v>26</v>
      </c>
      <c r="H40" s="83" t="s">
        <v>229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>
        <v>0</v>
      </c>
      <c r="AH40" s="48">
        <v>0</v>
      </c>
      <c r="AI40" s="48">
        <v>0</v>
      </c>
      <c r="AJ40" s="48">
        <v>0</v>
      </c>
      <c r="AK40" s="48">
        <v>0</v>
      </c>
      <c r="AL40" s="48">
        <v>0</v>
      </c>
      <c r="AM40" s="48">
        <v>0</v>
      </c>
      <c r="AN40" s="48">
        <v>0</v>
      </c>
      <c r="AO40" s="48">
        <v>0</v>
      </c>
      <c r="AP40" s="48">
        <v>0</v>
      </c>
      <c r="AQ40" s="48">
        <v>0</v>
      </c>
      <c r="AR40" s="48">
        <v>0</v>
      </c>
      <c r="AS40" s="48">
        <v>0</v>
      </c>
      <c r="AT40" s="48">
        <v>0</v>
      </c>
      <c r="AU40" s="48">
        <v>0</v>
      </c>
      <c r="AV40" s="48">
        <v>0</v>
      </c>
      <c r="AW40" s="48">
        <v>0</v>
      </c>
      <c r="AX40" s="48">
        <v>990000</v>
      </c>
      <c r="AY40" s="48">
        <v>1023000</v>
      </c>
      <c r="AZ40" s="48">
        <v>1023000</v>
      </c>
      <c r="BA40" s="48">
        <v>990000</v>
      </c>
      <c r="BB40" s="48">
        <v>1023000</v>
      </c>
      <c r="BC40" s="48">
        <v>990000</v>
      </c>
      <c r="BD40" s="48">
        <v>1023000</v>
      </c>
      <c r="BE40" s="70">
        <v>0</v>
      </c>
      <c r="BF40" s="70">
        <v>0</v>
      </c>
      <c r="BG40" s="70">
        <v>0</v>
      </c>
      <c r="BH40" s="71">
        <v>7062000</v>
      </c>
    </row>
    <row r="41" spans="1:60" ht="18" x14ac:dyDescent="0.3">
      <c r="A41" s="65" t="s">
        <v>184</v>
      </c>
      <c r="B41" s="66" t="s">
        <v>193</v>
      </c>
      <c r="C41" s="66" t="s">
        <v>230</v>
      </c>
      <c r="D41" s="66">
        <v>0</v>
      </c>
      <c r="E41" s="81">
        <v>0</v>
      </c>
      <c r="F41" s="82" t="s">
        <v>231</v>
      </c>
      <c r="G41" s="66">
        <v>27</v>
      </c>
      <c r="H41" s="69" t="s">
        <v>232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48">
        <v>0</v>
      </c>
      <c r="AH41" s="48">
        <v>0</v>
      </c>
      <c r="AI41" s="48">
        <v>0</v>
      </c>
      <c r="AJ41" s="48">
        <v>0</v>
      </c>
      <c r="AK41" s="48">
        <v>0</v>
      </c>
      <c r="AL41" s="48">
        <v>0</v>
      </c>
      <c r="AM41" s="48">
        <v>0</v>
      </c>
      <c r="AN41" s="48">
        <v>0</v>
      </c>
      <c r="AO41" s="48">
        <v>0</v>
      </c>
      <c r="AP41" s="48">
        <v>0</v>
      </c>
      <c r="AQ41" s="48">
        <v>0</v>
      </c>
      <c r="AR41" s="48">
        <v>0</v>
      </c>
      <c r="AS41" s="48">
        <v>0</v>
      </c>
      <c r="AT41" s="48">
        <v>0</v>
      </c>
      <c r="AU41" s="48">
        <v>0</v>
      </c>
      <c r="AV41" s="48">
        <v>0</v>
      </c>
      <c r="AW41" s="48">
        <v>0</v>
      </c>
      <c r="AX41" s="48">
        <v>990000</v>
      </c>
      <c r="AY41" s="48">
        <v>1023000</v>
      </c>
      <c r="AZ41" s="48">
        <v>1023000</v>
      </c>
      <c r="BA41" s="48">
        <v>990000</v>
      </c>
      <c r="BB41" s="48">
        <v>1023000</v>
      </c>
      <c r="BC41" s="48">
        <v>990000</v>
      </c>
      <c r="BD41" s="48">
        <v>1023000</v>
      </c>
      <c r="BE41" s="70">
        <v>0</v>
      </c>
      <c r="BF41" s="70">
        <v>0</v>
      </c>
      <c r="BG41" s="70">
        <v>0</v>
      </c>
      <c r="BH41" s="71">
        <v>7062000</v>
      </c>
    </row>
    <row r="42" spans="1:60" ht="18" x14ac:dyDescent="0.3">
      <c r="A42" s="65" t="s">
        <v>184</v>
      </c>
      <c r="B42" s="66" t="s">
        <v>193</v>
      </c>
      <c r="C42" s="66" t="s">
        <v>233</v>
      </c>
      <c r="D42" s="66">
        <v>0</v>
      </c>
      <c r="E42" s="81">
        <v>0</v>
      </c>
      <c r="F42" s="82" t="s">
        <v>234</v>
      </c>
      <c r="G42" s="66">
        <v>28</v>
      </c>
      <c r="H42" s="69" t="s">
        <v>235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48">
        <v>0</v>
      </c>
      <c r="AJ42" s="48">
        <v>0</v>
      </c>
      <c r="AK42" s="48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990000</v>
      </c>
      <c r="AY42" s="48">
        <v>1023000</v>
      </c>
      <c r="AZ42" s="48">
        <v>1023000</v>
      </c>
      <c r="BA42" s="48">
        <v>990000</v>
      </c>
      <c r="BB42" s="48">
        <v>1023000</v>
      </c>
      <c r="BC42" s="48">
        <v>990000</v>
      </c>
      <c r="BD42" s="48">
        <v>1023000</v>
      </c>
      <c r="BE42" s="70">
        <v>0</v>
      </c>
      <c r="BF42" s="70">
        <v>0</v>
      </c>
      <c r="BG42" s="70">
        <v>0</v>
      </c>
      <c r="BH42" s="71">
        <v>7062000</v>
      </c>
    </row>
    <row r="43" spans="1:60" ht="18" x14ac:dyDescent="0.3">
      <c r="A43" s="65" t="s">
        <v>184</v>
      </c>
      <c r="B43" s="66" t="s">
        <v>167</v>
      </c>
      <c r="C43" s="66" t="s">
        <v>173</v>
      </c>
      <c r="D43" s="66" t="s">
        <v>169</v>
      </c>
      <c r="E43" s="48" t="s">
        <v>170</v>
      </c>
      <c r="F43" s="68" t="s">
        <v>236</v>
      </c>
      <c r="G43" s="66">
        <v>29</v>
      </c>
      <c r="H43" s="69" t="s">
        <v>108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80124.700000000012</v>
      </c>
      <c r="AC43" s="48">
        <v>1255445.7299999997</v>
      </c>
      <c r="AD43" s="48">
        <v>1638672.3000000003</v>
      </c>
      <c r="AE43" s="48">
        <v>1724133.4</v>
      </c>
      <c r="AF43" s="48">
        <v>1773448.6</v>
      </c>
      <c r="AG43" s="48">
        <v>1834191.92</v>
      </c>
      <c r="AH43" s="48">
        <v>1675995.43</v>
      </c>
      <c r="AI43" s="48">
        <v>0</v>
      </c>
      <c r="AJ43" s="48">
        <v>0</v>
      </c>
      <c r="AK43" s="48">
        <v>0</v>
      </c>
      <c r="AL43" s="48">
        <v>0</v>
      </c>
      <c r="AM43" s="48">
        <v>0</v>
      </c>
      <c r="AN43" s="48">
        <v>0</v>
      </c>
      <c r="AO43" s="48">
        <v>0</v>
      </c>
      <c r="AP43" s="48">
        <v>0</v>
      </c>
      <c r="AQ43" s="48">
        <v>0</v>
      </c>
      <c r="AR43" s="48">
        <v>0</v>
      </c>
      <c r="AS43" s="48">
        <v>1225000</v>
      </c>
      <c r="AT43" s="48">
        <v>1249500</v>
      </c>
      <c r="AU43" s="48">
        <v>1268242.5</v>
      </c>
      <c r="AV43" s="48">
        <v>1268242.5</v>
      </c>
      <c r="AW43" s="48">
        <v>1287266.1375000002</v>
      </c>
      <c r="AX43" s="48">
        <v>1287266.1375000002</v>
      </c>
      <c r="AY43" s="48">
        <v>1287266.1375000002</v>
      </c>
      <c r="AZ43" s="48">
        <v>1323125.6941875</v>
      </c>
      <c r="BA43" s="48">
        <v>1336356.951129375</v>
      </c>
      <c r="BB43" s="48">
        <v>1349720.5206406689</v>
      </c>
      <c r="BC43" s="48">
        <v>1384499.9764470316</v>
      </c>
      <c r="BD43" s="48">
        <v>1492000</v>
      </c>
      <c r="BE43" s="70">
        <v>0</v>
      </c>
      <c r="BF43" s="70">
        <v>6471824.7300000004</v>
      </c>
      <c r="BG43" s="70">
        <v>3510187.3499999996</v>
      </c>
      <c r="BH43" s="71">
        <v>15758486.554904576</v>
      </c>
    </row>
    <row r="44" spans="1:60" ht="18" x14ac:dyDescent="0.3">
      <c r="A44" s="65"/>
      <c r="B44" s="66"/>
      <c r="C44" s="66"/>
      <c r="D44" s="66"/>
      <c r="E44" s="48"/>
      <c r="F44" s="68"/>
      <c r="G44" s="66"/>
      <c r="H44" s="69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70"/>
      <c r="BF44" s="70"/>
      <c r="BG44" s="70"/>
      <c r="BH44" s="71"/>
    </row>
    <row r="45" spans="1:60" ht="25.8" x14ac:dyDescent="0.3">
      <c r="A45" s="73" t="s">
        <v>184</v>
      </c>
      <c r="B45" s="74"/>
      <c r="C45" s="74"/>
      <c r="D45" s="74"/>
      <c r="E45" s="75"/>
      <c r="F45" s="76"/>
      <c r="G45" s="77" t="s">
        <v>182</v>
      </c>
      <c r="H45" s="78" t="s">
        <v>183</v>
      </c>
      <c r="I45" s="79">
        <v>12710098</v>
      </c>
      <c r="J45" s="79">
        <v>11760628</v>
      </c>
      <c r="K45" s="79">
        <v>6088569.5</v>
      </c>
      <c r="L45" s="79">
        <v>6396027.2999999998</v>
      </c>
      <c r="M45" s="79">
        <v>7207138.0999999996</v>
      </c>
      <c r="N45" s="79">
        <v>7992178.2999999998</v>
      </c>
      <c r="O45" s="79">
        <v>7461803</v>
      </c>
      <c r="P45" s="79">
        <v>8150409.6999999993</v>
      </c>
      <c r="Q45" s="79">
        <v>8505840.6999999993</v>
      </c>
      <c r="R45" s="79">
        <v>9276035.5</v>
      </c>
      <c r="S45" s="79">
        <v>9155832.9000000004</v>
      </c>
      <c r="T45" s="79">
        <v>9730890.8000000007</v>
      </c>
      <c r="U45" s="79">
        <v>20003867</v>
      </c>
      <c r="V45" s="79">
        <v>19152042</v>
      </c>
      <c r="W45" s="79">
        <v>9306046.0999999996</v>
      </c>
      <c r="X45" s="79">
        <v>9414918.5</v>
      </c>
      <c r="Y45" s="79">
        <v>9300207.5999999996</v>
      </c>
      <c r="Z45" s="79">
        <v>8970441.4632399995</v>
      </c>
      <c r="AA45" s="79">
        <v>9708533.0622100011</v>
      </c>
      <c r="AB45" s="79">
        <v>11174607.299999999</v>
      </c>
      <c r="AC45" s="79">
        <v>12593333.251169998</v>
      </c>
      <c r="AD45" s="79">
        <v>12637592.700000001</v>
      </c>
      <c r="AE45" s="79">
        <v>12260129.6</v>
      </c>
      <c r="AF45" s="79">
        <v>13245476.35</v>
      </c>
      <c r="AG45" s="79">
        <v>13417521.209999999</v>
      </c>
      <c r="AH45" s="79">
        <v>11850477.819999998</v>
      </c>
      <c r="AI45" s="79">
        <v>0</v>
      </c>
      <c r="AJ45" s="79">
        <v>0</v>
      </c>
      <c r="AK45" s="79">
        <v>0</v>
      </c>
      <c r="AL45" s="79">
        <v>0</v>
      </c>
      <c r="AM45" s="79">
        <v>0</v>
      </c>
      <c r="AN45" s="79">
        <v>0</v>
      </c>
      <c r="AO45" s="79">
        <v>0</v>
      </c>
      <c r="AP45" s="79">
        <v>0</v>
      </c>
      <c r="AQ45" s="79">
        <v>0</v>
      </c>
      <c r="AR45" s="79">
        <v>0</v>
      </c>
      <c r="AS45" s="79">
        <v>13600791.505000001</v>
      </c>
      <c r="AT45" s="79">
        <v>13315441.08</v>
      </c>
      <c r="AU45" s="79">
        <v>14313525.070500001</v>
      </c>
      <c r="AV45" s="79">
        <v>14494005.317</v>
      </c>
      <c r="AW45" s="79">
        <v>14577364.795800004</v>
      </c>
      <c r="AX45" s="79">
        <v>17336424.874424201</v>
      </c>
      <c r="AY45" s="79">
        <v>18554265.768197048</v>
      </c>
      <c r="AZ45" s="79">
        <v>23405387.698490582</v>
      </c>
      <c r="BA45" s="79">
        <v>23940005.082130201</v>
      </c>
      <c r="BB45" s="79">
        <v>24188111.33674204</v>
      </c>
      <c r="BC45" s="79">
        <v>24176586.466895882</v>
      </c>
      <c r="BD45" s="79">
        <v>25232218.955359392</v>
      </c>
      <c r="BE45" s="79">
        <v>104435451.8</v>
      </c>
      <c r="BF45" s="79">
        <v>147767194.92661998</v>
      </c>
      <c r="BG45" s="79">
        <v>25267999.030000001</v>
      </c>
      <c r="BH45" s="80">
        <v>227134127.95053938</v>
      </c>
    </row>
    <row r="46" spans="1:60" ht="18" x14ac:dyDescent="0.3">
      <c r="A46" s="65" t="s">
        <v>37</v>
      </c>
      <c r="B46" s="66" t="s">
        <v>167</v>
      </c>
      <c r="C46" s="66" t="s">
        <v>173</v>
      </c>
      <c r="D46" s="66" t="s">
        <v>169</v>
      </c>
      <c r="E46" s="48" t="s">
        <v>170</v>
      </c>
      <c r="F46" s="68" t="s">
        <v>237</v>
      </c>
      <c r="G46" s="66">
        <v>1</v>
      </c>
      <c r="H46" s="69" t="s">
        <v>71</v>
      </c>
      <c r="I46" s="48">
        <v>0</v>
      </c>
      <c r="J46" s="48">
        <v>0</v>
      </c>
      <c r="K46" s="48">
        <v>0</v>
      </c>
      <c r="L46" s="48">
        <v>0</v>
      </c>
      <c r="M46" s="48">
        <v>32105.200000000001</v>
      </c>
      <c r="N46" s="48">
        <v>433617.8</v>
      </c>
      <c r="O46" s="48">
        <v>571005</v>
      </c>
      <c r="P46" s="48">
        <v>670126</v>
      </c>
      <c r="Q46" s="48">
        <v>714834</v>
      </c>
      <c r="R46" s="48">
        <v>786520</v>
      </c>
      <c r="S46" s="48">
        <v>661302</v>
      </c>
      <c r="T46" s="48">
        <v>679066</v>
      </c>
      <c r="U46" s="48">
        <v>1443750</v>
      </c>
      <c r="V46" s="48">
        <v>1333714</v>
      </c>
      <c r="W46" s="48">
        <v>747944</v>
      </c>
      <c r="X46" s="48">
        <v>719093</v>
      </c>
      <c r="Y46" s="48">
        <v>708489</v>
      </c>
      <c r="Z46" s="48">
        <v>697648.1</v>
      </c>
      <c r="AA46" s="48">
        <v>745318.79992000002</v>
      </c>
      <c r="AB46" s="48">
        <v>814760.7</v>
      </c>
      <c r="AC46" s="48">
        <v>849688.9</v>
      </c>
      <c r="AD46" s="48">
        <v>828929.1</v>
      </c>
      <c r="AE46" s="48">
        <v>746033.1</v>
      </c>
      <c r="AF46" s="48">
        <v>778371.8</v>
      </c>
      <c r="AG46" s="48">
        <v>780809.38</v>
      </c>
      <c r="AH46" s="48">
        <v>712723.57000000007</v>
      </c>
      <c r="AI46" s="48">
        <v>0</v>
      </c>
      <c r="AJ46" s="48">
        <v>0</v>
      </c>
      <c r="AK46" s="48">
        <v>0</v>
      </c>
      <c r="AL46" s="48">
        <v>0</v>
      </c>
      <c r="AM46" s="48">
        <v>0</v>
      </c>
      <c r="AN46" s="48">
        <v>0</v>
      </c>
      <c r="AO46" s="48">
        <v>0</v>
      </c>
      <c r="AP46" s="48">
        <v>0</v>
      </c>
      <c r="AQ46" s="48">
        <v>0</v>
      </c>
      <c r="AR46" s="48">
        <v>0</v>
      </c>
      <c r="AS46" s="48">
        <v>743531.25</v>
      </c>
      <c r="AT46" s="48">
        <v>686862.71</v>
      </c>
      <c r="AU46" s="48">
        <v>770382.32000000007</v>
      </c>
      <c r="AV46" s="48">
        <v>740665.79</v>
      </c>
      <c r="AW46" s="48">
        <v>729743.67000000016</v>
      </c>
      <c r="AX46" s="48">
        <v>718577.54300000006</v>
      </c>
      <c r="AY46" s="48">
        <v>763951.76991800009</v>
      </c>
      <c r="AZ46" s="48">
        <v>843277.32449999999</v>
      </c>
      <c r="BA46" s="48">
        <v>883676.45600000001</v>
      </c>
      <c r="BB46" s="48">
        <v>853796.973</v>
      </c>
      <c r="BC46" s="48">
        <v>768418.22330000007</v>
      </c>
      <c r="BD46" s="48">
        <v>768418.22330000007</v>
      </c>
      <c r="BE46" s="70">
        <v>4548576</v>
      </c>
      <c r="BF46" s="70">
        <v>10413740.499920001</v>
      </c>
      <c r="BG46" s="70">
        <v>1493532.9500000002</v>
      </c>
      <c r="BH46" s="71">
        <v>9271302.2530180011</v>
      </c>
    </row>
    <row r="47" spans="1:60" ht="18" x14ac:dyDescent="0.3">
      <c r="A47" s="65" t="s">
        <v>37</v>
      </c>
      <c r="B47" s="66" t="s">
        <v>167</v>
      </c>
      <c r="C47" s="66" t="s">
        <v>173</v>
      </c>
      <c r="D47" s="66" t="s">
        <v>169</v>
      </c>
      <c r="E47" s="48" t="s">
        <v>170</v>
      </c>
      <c r="F47" s="68" t="s">
        <v>63</v>
      </c>
      <c r="G47" s="66">
        <v>2</v>
      </c>
      <c r="H47" s="69" t="s">
        <v>62</v>
      </c>
      <c r="I47" s="48">
        <v>2245184</v>
      </c>
      <c r="J47" s="48">
        <v>2057842</v>
      </c>
      <c r="K47" s="48">
        <v>1128020</v>
      </c>
      <c r="L47" s="48">
        <v>1052299</v>
      </c>
      <c r="M47" s="48">
        <v>1092989</v>
      </c>
      <c r="N47" s="48">
        <v>1017601</v>
      </c>
      <c r="O47" s="48">
        <v>947453</v>
      </c>
      <c r="P47" s="48">
        <v>1046249</v>
      </c>
      <c r="Q47" s="48">
        <v>1097486</v>
      </c>
      <c r="R47" s="48">
        <v>1157385</v>
      </c>
      <c r="S47" s="48">
        <v>1035576</v>
      </c>
      <c r="T47" s="48">
        <v>1076334</v>
      </c>
      <c r="U47" s="48">
        <v>2205978</v>
      </c>
      <c r="V47" s="48">
        <v>1873146.5999999999</v>
      </c>
      <c r="W47" s="48">
        <v>1128631</v>
      </c>
      <c r="X47" s="48">
        <v>981194.1</v>
      </c>
      <c r="Y47" s="48">
        <v>895483.20013999997</v>
      </c>
      <c r="Z47" s="48">
        <v>886553.9</v>
      </c>
      <c r="AA47" s="48">
        <v>904585.1</v>
      </c>
      <c r="AB47" s="48">
        <v>860126.2</v>
      </c>
      <c r="AC47" s="48">
        <v>881529</v>
      </c>
      <c r="AD47" s="48">
        <v>867958.4</v>
      </c>
      <c r="AE47" s="48">
        <v>815032</v>
      </c>
      <c r="AF47" s="48">
        <v>956786</v>
      </c>
      <c r="AG47" s="48">
        <v>961956.01</v>
      </c>
      <c r="AH47" s="48">
        <v>931949.51</v>
      </c>
      <c r="AI47" s="48">
        <v>0</v>
      </c>
      <c r="AJ47" s="48">
        <v>0</v>
      </c>
      <c r="AK47" s="48">
        <v>0</v>
      </c>
      <c r="AL47" s="48">
        <v>0</v>
      </c>
      <c r="AM47" s="48">
        <v>0</v>
      </c>
      <c r="AN47" s="48">
        <v>0</v>
      </c>
      <c r="AO47" s="48">
        <v>0</v>
      </c>
      <c r="AP47" s="48">
        <v>0</v>
      </c>
      <c r="AQ47" s="48">
        <v>0</v>
      </c>
      <c r="AR47" s="48">
        <v>0</v>
      </c>
      <c r="AS47" s="48">
        <v>1136078.67</v>
      </c>
      <c r="AT47" s="48">
        <v>964670.49899999995</v>
      </c>
      <c r="AU47" s="48">
        <v>1162489.9300000002</v>
      </c>
      <c r="AV47" s="48">
        <v>1010629.923</v>
      </c>
      <c r="AW47" s="48">
        <v>922347.69614419993</v>
      </c>
      <c r="AX47" s="48">
        <v>913150.51699999999</v>
      </c>
      <c r="AY47" s="48">
        <v>927199.72749999992</v>
      </c>
      <c r="AZ47" s="48">
        <v>890230.61699999997</v>
      </c>
      <c r="BA47" s="48">
        <v>916790.16</v>
      </c>
      <c r="BB47" s="48">
        <v>893997.152</v>
      </c>
      <c r="BC47" s="48">
        <v>839486.26630000002</v>
      </c>
      <c r="BD47" s="48">
        <v>839486.26630000002</v>
      </c>
      <c r="BE47" s="70">
        <v>14954418</v>
      </c>
      <c r="BF47" s="70">
        <v>13257003.50014</v>
      </c>
      <c r="BG47" s="70">
        <v>1893905.52</v>
      </c>
      <c r="BH47" s="71">
        <v>11416557.424244201</v>
      </c>
    </row>
    <row r="48" spans="1:60" ht="18" x14ac:dyDescent="0.3">
      <c r="A48" s="65" t="s">
        <v>37</v>
      </c>
      <c r="B48" s="66" t="s">
        <v>167</v>
      </c>
      <c r="C48" s="66" t="s">
        <v>175</v>
      </c>
      <c r="D48" s="66" t="s">
        <v>169</v>
      </c>
      <c r="E48" s="48" t="s">
        <v>170</v>
      </c>
      <c r="F48" s="68" t="s">
        <v>238</v>
      </c>
      <c r="G48" s="66">
        <v>3</v>
      </c>
      <c r="H48" s="69" t="s">
        <v>93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48">
        <v>588572</v>
      </c>
      <c r="S48" s="48">
        <v>1238360.1000000001</v>
      </c>
      <c r="T48" s="48">
        <v>1165088</v>
      </c>
      <c r="U48" s="48">
        <v>2453524</v>
      </c>
      <c r="V48" s="48">
        <v>2294150</v>
      </c>
      <c r="W48" s="48">
        <v>1332513.5</v>
      </c>
      <c r="X48" s="48">
        <v>1227416.1000000001</v>
      </c>
      <c r="Y48" s="48">
        <v>1424408.9859</v>
      </c>
      <c r="Z48" s="48">
        <v>1505707.8</v>
      </c>
      <c r="AA48" s="48">
        <v>1926019</v>
      </c>
      <c r="AB48" s="48">
        <v>2060180.9</v>
      </c>
      <c r="AC48" s="48">
        <v>1452829</v>
      </c>
      <c r="AD48" s="48">
        <v>1458931</v>
      </c>
      <c r="AE48" s="48">
        <v>1398843.4</v>
      </c>
      <c r="AF48" s="48">
        <v>1401139</v>
      </c>
      <c r="AG48" s="48">
        <v>1426572.67</v>
      </c>
      <c r="AH48" s="48">
        <v>1381052.38</v>
      </c>
      <c r="AI48" s="48">
        <v>0</v>
      </c>
      <c r="AJ48" s="48">
        <v>0</v>
      </c>
      <c r="AK48" s="48">
        <v>0</v>
      </c>
      <c r="AL48" s="48">
        <v>0</v>
      </c>
      <c r="AM48" s="48">
        <v>0</v>
      </c>
      <c r="AN48" s="48">
        <v>0</v>
      </c>
      <c r="AO48" s="48">
        <v>0</v>
      </c>
      <c r="AP48" s="48">
        <v>0</v>
      </c>
      <c r="AQ48" s="48">
        <v>0</v>
      </c>
      <c r="AR48" s="48">
        <v>0</v>
      </c>
      <c r="AS48" s="48">
        <v>1269698.6700000002</v>
      </c>
      <c r="AT48" s="48">
        <v>1187222.625</v>
      </c>
      <c r="AU48" s="48">
        <v>1379151.4724999999</v>
      </c>
      <c r="AV48" s="48">
        <v>1288786.9049999998</v>
      </c>
      <c r="AW48" s="48">
        <v>1474263.3004064998</v>
      </c>
      <c r="AX48" s="48">
        <v>1543350.4950000001</v>
      </c>
      <c r="AY48" s="48">
        <v>1974169.4750000001</v>
      </c>
      <c r="AZ48" s="48">
        <v>2183791.7540000002</v>
      </c>
      <c r="BA48" s="48">
        <v>1489149.7250000001</v>
      </c>
      <c r="BB48" s="48">
        <v>1488109.62</v>
      </c>
      <c r="BC48" s="48">
        <v>1427124.4931999999</v>
      </c>
      <c r="BD48" s="48">
        <v>1427124.4931999999</v>
      </c>
      <c r="BE48" s="70">
        <v>2992020.1</v>
      </c>
      <c r="BF48" s="70">
        <v>19935662.685899999</v>
      </c>
      <c r="BG48" s="70">
        <v>2807625.05</v>
      </c>
      <c r="BH48" s="71">
        <v>18131943.028306499</v>
      </c>
    </row>
    <row r="49" spans="1:60" ht="18" x14ac:dyDescent="0.3">
      <c r="A49" s="65" t="s">
        <v>37</v>
      </c>
      <c r="B49" s="66" t="s">
        <v>167</v>
      </c>
      <c r="C49" s="66" t="s">
        <v>173</v>
      </c>
      <c r="D49" s="66" t="s">
        <v>169</v>
      </c>
      <c r="E49" s="48" t="s">
        <v>170</v>
      </c>
      <c r="F49" s="68" t="s">
        <v>94</v>
      </c>
      <c r="G49" s="66">
        <v>4</v>
      </c>
      <c r="H49" s="69" t="s">
        <v>95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411025</v>
      </c>
      <c r="S49" s="48">
        <v>925914</v>
      </c>
      <c r="T49" s="48">
        <v>1088472</v>
      </c>
      <c r="U49" s="48">
        <v>2222498</v>
      </c>
      <c r="V49" s="48">
        <v>2173032</v>
      </c>
      <c r="W49" s="48">
        <v>1220517</v>
      </c>
      <c r="X49" s="48">
        <v>1195905</v>
      </c>
      <c r="Y49" s="48">
        <v>1320201</v>
      </c>
      <c r="Z49" s="48">
        <v>1093592.00599</v>
      </c>
      <c r="AA49" s="48">
        <v>1214426.9982</v>
      </c>
      <c r="AB49" s="48">
        <v>1525516.098</v>
      </c>
      <c r="AC49" s="48">
        <v>1678011</v>
      </c>
      <c r="AD49" s="48">
        <v>1574923</v>
      </c>
      <c r="AE49" s="48">
        <v>1519408.8</v>
      </c>
      <c r="AF49" s="48">
        <v>1594879.7</v>
      </c>
      <c r="AG49" s="48">
        <v>1554827.81</v>
      </c>
      <c r="AH49" s="48">
        <v>1456895.24</v>
      </c>
      <c r="AI49" s="48">
        <v>0</v>
      </c>
      <c r="AJ49" s="48">
        <v>0</v>
      </c>
      <c r="AK49" s="48">
        <v>0</v>
      </c>
      <c r="AL49" s="48">
        <v>0</v>
      </c>
      <c r="AM49" s="48">
        <v>0</v>
      </c>
      <c r="AN49" s="48">
        <v>0</v>
      </c>
      <c r="AO49" s="48">
        <v>0</v>
      </c>
      <c r="AP49" s="48">
        <v>0</v>
      </c>
      <c r="AQ49" s="48">
        <v>0</v>
      </c>
      <c r="AR49" s="48">
        <v>0</v>
      </c>
      <c r="AS49" s="48">
        <v>1144586.47</v>
      </c>
      <c r="AT49" s="48">
        <v>1119111.48</v>
      </c>
      <c r="AU49" s="48">
        <v>1257132.51</v>
      </c>
      <c r="AV49" s="48">
        <v>1231782.1499999999</v>
      </c>
      <c r="AW49" s="48">
        <v>1359807.03</v>
      </c>
      <c r="AX49" s="48">
        <v>1126399.7661696998</v>
      </c>
      <c r="AY49" s="48">
        <v>1244787.673155</v>
      </c>
      <c r="AZ49" s="48">
        <v>1578909.1614299999</v>
      </c>
      <c r="BA49" s="48">
        <v>1745131.44</v>
      </c>
      <c r="BB49" s="48">
        <v>1622170.6900000002</v>
      </c>
      <c r="BC49" s="48">
        <v>1565915.7465000001</v>
      </c>
      <c r="BD49" s="48">
        <v>1565915.7465000001</v>
      </c>
      <c r="BE49" s="70">
        <v>2425411</v>
      </c>
      <c r="BF49" s="70">
        <v>18332910.602189999</v>
      </c>
      <c r="BG49" s="70">
        <v>3011723.05</v>
      </c>
      <c r="BH49" s="71">
        <v>16561649.863754699</v>
      </c>
    </row>
    <row r="50" spans="1:60" ht="18" x14ac:dyDescent="0.3">
      <c r="A50" s="65" t="s">
        <v>37</v>
      </c>
      <c r="B50" s="66" t="s">
        <v>167</v>
      </c>
      <c r="C50" s="66" t="s">
        <v>175</v>
      </c>
      <c r="D50" s="66" t="s">
        <v>190</v>
      </c>
      <c r="E50" s="48" t="s">
        <v>170</v>
      </c>
      <c r="F50" s="68" t="s">
        <v>239</v>
      </c>
      <c r="G50" s="66">
        <v>5</v>
      </c>
      <c r="H50" s="69" t="s">
        <v>88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403172.4</v>
      </c>
      <c r="X50" s="48">
        <v>836247.1</v>
      </c>
      <c r="Y50" s="48">
        <v>698828</v>
      </c>
      <c r="Z50" s="48">
        <v>677861.7</v>
      </c>
      <c r="AA50" s="48">
        <v>857937</v>
      </c>
      <c r="AB50" s="48">
        <v>1159945.2</v>
      </c>
      <c r="AC50" s="48">
        <v>800548.1</v>
      </c>
      <c r="AD50" s="48">
        <v>775130.4</v>
      </c>
      <c r="AE50" s="48">
        <v>727613.2</v>
      </c>
      <c r="AF50" s="48">
        <v>739116.1</v>
      </c>
      <c r="AG50" s="48">
        <v>694116.34</v>
      </c>
      <c r="AH50" s="48">
        <v>672238.5</v>
      </c>
      <c r="AI50" s="48">
        <v>0</v>
      </c>
      <c r="AJ50" s="48">
        <v>0</v>
      </c>
      <c r="AK50" s="48">
        <v>0</v>
      </c>
      <c r="AL50" s="48">
        <v>0</v>
      </c>
      <c r="AM50" s="48">
        <v>0</v>
      </c>
      <c r="AN50" s="48">
        <v>0</v>
      </c>
      <c r="AO50" s="48">
        <v>0</v>
      </c>
      <c r="AP50" s="48">
        <v>0</v>
      </c>
      <c r="AQ50" s="48">
        <v>0</v>
      </c>
      <c r="AR50" s="48">
        <v>0</v>
      </c>
      <c r="AS50" s="48">
        <v>775000</v>
      </c>
      <c r="AT50" s="48">
        <v>780000</v>
      </c>
      <c r="AU50" s="48">
        <v>782000</v>
      </c>
      <c r="AV50" s="48">
        <v>785000</v>
      </c>
      <c r="AW50" s="48">
        <v>805000</v>
      </c>
      <c r="AX50" s="48">
        <v>805000</v>
      </c>
      <c r="AY50" s="48">
        <v>835000</v>
      </c>
      <c r="AZ50" s="48">
        <v>885000</v>
      </c>
      <c r="BA50" s="48">
        <v>915000</v>
      </c>
      <c r="BB50" s="48">
        <v>920000</v>
      </c>
      <c r="BC50" s="48">
        <v>940000</v>
      </c>
      <c r="BD50" s="48">
        <v>940000</v>
      </c>
      <c r="BE50" s="70">
        <v>0</v>
      </c>
      <c r="BF50" s="70">
        <v>7676399.2000000002</v>
      </c>
      <c r="BG50" s="70">
        <v>1366354.8399999999</v>
      </c>
      <c r="BH50" s="71">
        <v>10167000</v>
      </c>
    </row>
    <row r="51" spans="1:60" ht="18" x14ac:dyDescent="0.3">
      <c r="A51" s="65" t="s">
        <v>37</v>
      </c>
      <c r="B51" s="66" t="s">
        <v>193</v>
      </c>
      <c r="C51" s="66" t="s">
        <v>194</v>
      </c>
      <c r="D51" s="66" t="s">
        <v>169</v>
      </c>
      <c r="E51" s="48" t="s">
        <v>170</v>
      </c>
      <c r="F51" s="68" t="s">
        <v>240</v>
      </c>
      <c r="G51" s="66">
        <v>6</v>
      </c>
      <c r="H51" s="69" t="s">
        <v>101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  <c r="Q51" s="48">
        <v>0</v>
      </c>
      <c r="R51" s="48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48">
        <v>0</v>
      </c>
      <c r="AA51" s="48">
        <v>0</v>
      </c>
      <c r="AB51" s="48">
        <v>0</v>
      </c>
      <c r="AC51" s="48">
        <v>0</v>
      </c>
      <c r="AD51" s="48">
        <v>264033.2</v>
      </c>
      <c r="AE51" s="48">
        <v>424321</v>
      </c>
      <c r="AF51" s="48">
        <v>501058.53999999992</v>
      </c>
      <c r="AG51" s="48">
        <v>527508.16</v>
      </c>
      <c r="AH51" s="48">
        <v>389901.79</v>
      </c>
      <c r="AI51" s="48">
        <v>0</v>
      </c>
      <c r="AJ51" s="48">
        <v>0</v>
      </c>
      <c r="AK51" s="48">
        <v>0</v>
      </c>
      <c r="AL51" s="48">
        <v>0</v>
      </c>
      <c r="AM51" s="48">
        <v>0</v>
      </c>
      <c r="AN51" s="48">
        <v>0</v>
      </c>
      <c r="AO51" s="48">
        <v>0</v>
      </c>
      <c r="AP51" s="48">
        <v>0</v>
      </c>
      <c r="AQ51" s="48">
        <v>0</v>
      </c>
      <c r="AR51" s="48">
        <v>0</v>
      </c>
      <c r="AS51" s="48">
        <v>321900</v>
      </c>
      <c r="AT51" s="48">
        <v>325119</v>
      </c>
      <c r="AU51" s="48">
        <v>329995.78500000003</v>
      </c>
      <c r="AV51" s="48">
        <v>333295.74285000004</v>
      </c>
      <c r="AW51" s="48">
        <v>338295.17899275001</v>
      </c>
      <c r="AX51" s="48">
        <v>341678.1307826775</v>
      </c>
      <c r="AY51" s="48">
        <v>345094.91209050431</v>
      </c>
      <c r="AZ51" s="48">
        <v>348545.86121140933</v>
      </c>
      <c r="BA51" s="48">
        <v>352031.31982352346</v>
      </c>
      <c r="BB51" s="48">
        <v>355551.63302175869</v>
      </c>
      <c r="BC51" s="48">
        <v>359107.14935197623</v>
      </c>
      <c r="BD51" s="48">
        <v>362698.22084549605</v>
      </c>
      <c r="BE51" s="70">
        <v>0</v>
      </c>
      <c r="BF51" s="70">
        <v>1189412.7399999998</v>
      </c>
      <c r="BG51" s="70">
        <v>917409.95</v>
      </c>
      <c r="BH51" s="71">
        <v>4113312.9339700965</v>
      </c>
    </row>
    <row r="52" spans="1:60" ht="18" x14ac:dyDescent="0.3">
      <c r="A52" s="65" t="s">
        <v>37</v>
      </c>
      <c r="B52" s="66" t="s">
        <v>193</v>
      </c>
      <c r="C52" s="66" t="s">
        <v>194</v>
      </c>
      <c r="D52" s="66" t="s">
        <v>169</v>
      </c>
      <c r="E52" s="48" t="s">
        <v>170</v>
      </c>
      <c r="F52" s="68" t="s">
        <v>241</v>
      </c>
      <c r="G52" s="66">
        <v>7</v>
      </c>
      <c r="H52" s="69" t="s">
        <v>132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39083</v>
      </c>
      <c r="AG52" s="48">
        <v>193302.02000000002</v>
      </c>
      <c r="AH52" s="48">
        <v>195462.55000000002</v>
      </c>
      <c r="AI52" s="48">
        <v>0</v>
      </c>
      <c r="AJ52" s="48">
        <v>0</v>
      </c>
      <c r="AK52" s="48">
        <v>0</v>
      </c>
      <c r="AL52" s="48">
        <v>0</v>
      </c>
      <c r="AM52" s="48">
        <v>0</v>
      </c>
      <c r="AN52" s="48">
        <v>0</v>
      </c>
      <c r="AO52" s="48">
        <v>0</v>
      </c>
      <c r="AP52" s="48">
        <v>0</v>
      </c>
      <c r="AQ52" s="48">
        <v>0</v>
      </c>
      <c r="AR52" s="48">
        <v>0</v>
      </c>
      <c r="AS52" s="48">
        <v>69750</v>
      </c>
      <c r="AT52" s="48">
        <v>84537</v>
      </c>
      <c r="AU52" s="48">
        <v>99612.764999999985</v>
      </c>
      <c r="AV52" s="48">
        <v>115550.80739999999</v>
      </c>
      <c r="AW52" s="48">
        <v>131944.57819987499</v>
      </c>
      <c r="AX52" s="48">
        <v>149537.18862652499</v>
      </c>
      <c r="AY52" s="48">
        <v>183930.74201062572</v>
      </c>
      <c r="AZ52" s="48">
        <v>214585.86567906337</v>
      </c>
      <c r="BA52" s="48">
        <v>245240.98934750102</v>
      </c>
      <c r="BB52" s="48">
        <v>263174.23669353698</v>
      </c>
      <c r="BC52" s="48">
        <v>278655.07414609799</v>
      </c>
      <c r="BD52" s="48">
        <v>299250</v>
      </c>
      <c r="BE52" s="70">
        <v>0</v>
      </c>
      <c r="BF52" s="70">
        <v>39083</v>
      </c>
      <c r="BG52" s="70">
        <v>388764.57000000007</v>
      </c>
      <c r="BH52" s="71">
        <v>2135769.247103225</v>
      </c>
    </row>
    <row r="53" spans="1:60" ht="18" x14ac:dyDescent="0.3">
      <c r="A53" s="65" t="s">
        <v>37</v>
      </c>
      <c r="B53" s="66" t="s">
        <v>193</v>
      </c>
      <c r="C53" s="66" t="s">
        <v>194</v>
      </c>
      <c r="D53" s="66" t="s">
        <v>169</v>
      </c>
      <c r="E53" s="48" t="s">
        <v>170</v>
      </c>
      <c r="F53" s="68" t="s">
        <v>242</v>
      </c>
      <c r="G53" s="66">
        <v>8</v>
      </c>
      <c r="H53" s="69" t="s">
        <v>243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48">
        <v>0</v>
      </c>
      <c r="S53" s="48">
        <v>0</v>
      </c>
      <c r="T53" s="48">
        <v>0</v>
      </c>
      <c r="U53" s="48">
        <v>0</v>
      </c>
      <c r="V53" s="48">
        <v>0</v>
      </c>
      <c r="W53" s="48">
        <v>0</v>
      </c>
      <c r="X53" s="48">
        <v>0</v>
      </c>
      <c r="Y53" s="48">
        <v>0</v>
      </c>
      <c r="Z53" s="48">
        <v>0</v>
      </c>
      <c r="AA53" s="48">
        <v>0</v>
      </c>
      <c r="AB53" s="48">
        <v>0</v>
      </c>
      <c r="AC53" s="48">
        <v>0</v>
      </c>
      <c r="AD53" s="48">
        <v>0</v>
      </c>
      <c r="AE53" s="48">
        <v>0</v>
      </c>
      <c r="AF53" s="48">
        <v>0</v>
      </c>
      <c r="AG53" s="48">
        <v>0</v>
      </c>
      <c r="AH53" s="48">
        <v>0</v>
      </c>
      <c r="AI53" s="48">
        <v>0</v>
      </c>
      <c r="AJ53" s="48">
        <v>0</v>
      </c>
      <c r="AK53" s="48">
        <v>0</v>
      </c>
      <c r="AL53" s="48">
        <v>0</v>
      </c>
      <c r="AM53" s="48">
        <v>0</v>
      </c>
      <c r="AN53" s="48">
        <v>0</v>
      </c>
      <c r="AO53" s="48">
        <v>0</v>
      </c>
      <c r="AP53" s="48">
        <v>0</v>
      </c>
      <c r="AQ53" s="48">
        <v>0</v>
      </c>
      <c r="AR53" s="48">
        <v>0</v>
      </c>
      <c r="AS53" s="48">
        <v>0</v>
      </c>
      <c r="AT53" s="48">
        <v>0</v>
      </c>
      <c r="AU53" s="48">
        <v>278668.70234279998</v>
      </c>
      <c r="AV53" s="48">
        <v>288505.70753550075</v>
      </c>
      <c r="AW53" s="48">
        <v>297218.57990307291</v>
      </c>
      <c r="AX53" s="48">
        <v>306194.58101614576</v>
      </c>
      <c r="AY53" s="48">
        <v>315441.65736283333</v>
      </c>
      <c r="AZ53" s="48">
        <v>321750.49051008996</v>
      </c>
      <c r="BA53" s="48">
        <v>328185.50032029185</v>
      </c>
      <c r="BB53" s="48">
        <v>334749.21032669768</v>
      </c>
      <c r="BC53" s="48">
        <v>351486.67084303265</v>
      </c>
      <c r="BD53" s="48">
        <v>430465.29217160161</v>
      </c>
      <c r="BE53" s="70">
        <v>0</v>
      </c>
      <c r="BF53" s="70">
        <v>0</v>
      </c>
      <c r="BG53" s="70">
        <v>0</v>
      </c>
      <c r="BH53" s="71">
        <v>3252666.3923320668</v>
      </c>
    </row>
    <row r="54" spans="1:60" ht="18" x14ac:dyDescent="0.3">
      <c r="A54" s="65" t="s">
        <v>37</v>
      </c>
      <c r="B54" s="66" t="s">
        <v>193</v>
      </c>
      <c r="C54" s="66" t="s">
        <v>194</v>
      </c>
      <c r="D54" s="66" t="s">
        <v>169</v>
      </c>
      <c r="E54" s="48" t="s">
        <v>170</v>
      </c>
      <c r="F54" s="68" t="s">
        <v>244</v>
      </c>
      <c r="G54" s="66">
        <v>9</v>
      </c>
      <c r="H54" s="69" t="s">
        <v>36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0</v>
      </c>
      <c r="AB54" s="48">
        <v>0</v>
      </c>
      <c r="AC54" s="48">
        <v>14993.199999999999</v>
      </c>
      <c r="AD54" s="48">
        <v>401287.60000000003</v>
      </c>
      <c r="AE54" s="48">
        <v>540328.30000000005</v>
      </c>
      <c r="AF54" s="48">
        <v>661532.37</v>
      </c>
      <c r="AG54" s="48">
        <v>666048.20000000007</v>
      </c>
      <c r="AH54" s="48">
        <v>538111.56000000006</v>
      </c>
      <c r="AI54" s="48">
        <v>0</v>
      </c>
      <c r="AJ54" s="48">
        <v>0</v>
      </c>
      <c r="AK54" s="48">
        <v>0</v>
      </c>
      <c r="AL54" s="48">
        <v>0</v>
      </c>
      <c r="AM54" s="48">
        <v>0</v>
      </c>
      <c r="AN54" s="48">
        <v>0</v>
      </c>
      <c r="AO54" s="48">
        <v>0</v>
      </c>
      <c r="AP54" s="48">
        <v>0</v>
      </c>
      <c r="AQ54" s="48">
        <v>0</v>
      </c>
      <c r="AR54" s="48">
        <v>0</v>
      </c>
      <c r="AS54" s="48">
        <v>570000</v>
      </c>
      <c r="AT54" s="48">
        <v>578550</v>
      </c>
      <c r="AU54" s="48">
        <v>587228.25</v>
      </c>
      <c r="AV54" s="48">
        <v>587228.25</v>
      </c>
      <c r="AW54" s="48">
        <v>587228.25</v>
      </c>
      <c r="AX54" s="48">
        <v>587228.25</v>
      </c>
      <c r="AY54" s="48">
        <v>587228.25</v>
      </c>
      <c r="AZ54" s="48">
        <v>587228.25</v>
      </c>
      <c r="BA54" s="48">
        <v>596036.67374999996</v>
      </c>
      <c r="BB54" s="48">
        <v>601997.04048750002</v>
      </c>
      <c r="BC54" s="48">
        <v>608017.01089237502</v>
      </c>
      <c r="BD54" s="48">
        <v>617137.26605576067</v>
      </c>
      <c r="BE54" s="70">
        <v>0</v>
      </c>
      <c r="BF54" s="70">
        <v>1618141.4700000002</v>
      </c>
      <c r="BG54" s="70">
        <v>1204159.7600000002</v>
      </c>
      <c r="BH54" s="71">
        <v>7095107.4911856363</v>
      </c>
    </row>
    <row r="55" spans="1:60" ht="18" x14ac:dyDescent="0.3">
      <c r="A55" s="65" t="s">
        <v>37</v>
      </c>
      <c r="B55" s="66" t="s">
        <v>167</v>
      </c>
      <c r="C55" s="66" t="s">
        <v>180</v>
      </c>
      <c r="D55" s="66" t="s">
        <v>169</v>
      </c>
      <c r="E55" s="48" t="s">
        <v>170</v>
      </c>
      <c r="F55" s="68" t="s">
        <v>245</v>
      </c>
      <c r="G55" s="66">
        <v>10</v>
      </c>
      <c r="H55" s="69" t="s">
        <v>246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48">
        <v>0</v>
      </c>
      <c r="AB55" s="48">
        <v>0</v>
      </c>
      <c r="AC55" s="48">
        <v>0</v>
      </c>
      <c r="AD55" s="48">
        <v>0</v>
      </c>
      <c r="AE55" s="48">
        <v>0</v>
      </c>
      <c r="AF55" s="48">
        <v>0</v>
      </c>
      <c r="AG55" s="48">
        <v>0</v>
      </c>
      <c r="AH55" s="48">
        <v>0</v>
      </c>
      <c r="AI55" s="48">
        <v>0</v>
      </c>
      <c r="AJ55" s="48">
        <v>0</v>
      </c>
      <c r="AK55" s="48">
        <v>0</v>
      </c>
      <c r="AL55" s="48">
        <v>0</v>
      </c>
      <c r="AM55" s="48">
        <v>0</v>
      </c>
      <c r="AN55" s="48">
        <v>0</v>
      </c>
      <c r="AO55" s="48">
        <v>0</v>
      </c>
      <c r="AP55" s="48">
        <v>0</v>
      </c>
      <c r="AQ55" s="48">
        <v>0</v>
      </c>
      <c r="AR55" s="48">
        <v>0</v>
      </c>
      <c r="AS55" s="48">
        <v>0</v>
      </c>
      <c r="AT55" s="48">
        <v>0</v>
      </c>
      <c r="AU55" s="48">
        <v>0</v>
      </c>
      <c r="AV55" s="48">
        <v>916499.14879193984</v>
      </c>
      <c r="AW55" s="48">
        <v>934829.13176777889</v>
      </c>
      <c r="AX55" s="48">
        <v>953525.71440313431</v>
      </c>
      <c r="AY55" s="48">
        <v>992048.15326502104</v>
      </c>
      <c r="AZ55" s="48">
        <v>1011889.1163303214</v>
      </c>
      <c r="BA55" s="48">
        <v>1032126.8986569279</v>
      </c>
      <c r="BB55" s="48">
        <v>1073824.8253626677</v>
      </c>
      <c r="BC55" s="48">
        <v>1144428.8076302633</v>
      </c>
      <c r="BD55" s="48">
        <v>1242906.9065268475</v>
      </c>
      <c r="BE55" s="70">
        <v>0</v>
      </c>
      <c r="BF55" s="70">
        <v>0</v>
      </c>
      <c r="BG55" s="70">
        <v>0</v>
      </c>
      <c r="BH55" s="71">
        <v>9302078.7027349025</v>
      </c>
    </row>
    <row r="56" spans="1:60" ht="18" x14ac:dyDescent="0.3">
      <c r="A56" s="65" t="s">
        <v>37</v>
      </c>
      <c r="B56" s="66" t="s">
        <v>167</v>
      </c>
      <c r="C56" s="66" t="s">
        <v>247</v>
      </c>
      <c r="D56" s="66" t="s">
        <v>169</v>
      </c>
      <c r="E56" s="48" t="s">
        <v>170</v>
      </c>
      <c r="F56" s="68" t="s">
        <v>248</v>
      </c>
      <c r="G56" s="66">
        <v>11</v>
      </c>
      <c r="H56" s="69" t="s">
        <v>114</v>
      </c>
      <c r="I56" s="48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8">
        <v>0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v>0</v>
      </c>
      <c r="Y56" s="48">
        <v>0</v>
      </c>
      <c r="Z56" s="48">
        <v>0</v>
      </c>
      <c r="AA56" s="48">
        <v>0</v>
      </c>
      <c r="AB56" s="48">
        <v>0</v>
      </c>
      <c r="AC56" s="48">
        <v>108779.42095999999</v>
      </c>
      <c r="AD56" s="48">
        <v>268898.40000000002</v>
      </c>
      <c r="AE56" s="48">
        <v>384845.80000000005</v>
      </c>
      <c r="AF56" s="48">
        <v>562920.63</v>
      </c>
      <c r="AG56" s="48">
        <v>729669.27</v>
      </c>
      <c r="AH56" s="48">
        <v>756859.86</v>
      </c>
      <c r="AI56" s="48">
        <v>0</v>
      </c>
      <c r="AJ56" s="48">
        <v>0</v>
      </c>
      <c r="AK56" s="48">
        <v>0</v>
      </c>
      <c r="AL56" s="48">
        <v>0</v>
      </c>
      <c r="AM56" s="48">
        <v>0</v>
      </c>
      <c r="AN56" s="48">
        <v>0</v>
      </c>
      <c r="AO56" s="48">
        <v>0</v>
      </c>
      <c r="AP56" s="48">
        <v>0</v>
      </c>
      <c r="AQ56" s="48">
        <v>0</v>
      </c>
      <c r="AR56" s="48">
        <v>0</v>
      </c>
      <c r="AS56" s="48">
        <v>273000</v>
      </c>
      <c r="AT56" s="48">
        <v>275730</v>
      </c>
      <c r="AU56" s="48">
        <v>278487.3</v>
      </c>
      <c r="AV56" s="48">
        <v>282664.60949999996</v>
      </c>
      <c r="AW56" s="48">
        <v>282664.60949999996</v>
      </c>
      <c r="AX56" s="48">
        <v>282664.60949999996</v>
      </c>
      <c r="AY56" s="48">
        <v>285491.255595</v>
      </c>
      <c r="AZ56" s="48">
        <v>285491.255595</v>
      </c>
      <c r="BA56" s="48">
        <v>289773.62442892499</v>
      </c>
      <c r="BB56" s="48">
        <v>295569.09691750351</v>
      </c>
      <c r="BC56" s="48">
        <v>300002.63337126601</v>
      </c>
      <c r="BD56" s="48">
        <v>304502.67287183506</v>
      </c>
      <c r="BE56" s="70">
        <v>0</v>
      </c>
      <c r="BF56" s="70">
        <v>1325444.2509600001</v>
      </c>
      <c r="BG56" s="70">
        <v>1486529.13</v>
      </c>
      <c r="BH56" s="71">
        <v>3436041.6672795299</v>
      </c>
    </row>
    <row r="57" spans="1:60" ht="18" x14ac:dyDescent="0.3">
      <c r="A57" s="65" t="s">
        <v>37</v>
      </c>
      <c r="B57" s="66" t="s">
        <v>167</v>
      </c>
      <c r="C57" s="66" t="s">
        <v>173</v>
      </c>
      <c r="D57" s="66" t="s">
        <v>169</v>
      </c>
      <c r="E57" s="48" t="s">
        <v>170</v>
      </c>
      <c r="F57" s="68" t="s">
        <v>249</v>
      </c>
      <c r="G57" s="66">
        <v>12</v>
      </c>
      <c r="H57" s="69" t="s">
        <v>250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0</v>
      </c>
      <c r="X57" s="48">
        <v>0</v>
      </c>
      <c r="Y57" s="48">
        <v>0</v>
      </c>
      <c r="Z57" s="48">
        <v>0</v>
      </c>
      <c r="AA57" s="48">
        <v>0</v>
      </c>
      <c r="AB57" s="48">
        <v>0</v>
      </c>
      <c r="AC57" s="48">
        <v>0</v>
      </c>
      <c r="AD57" s="48">
        <v>0</v>
      </c>
      <c r="AE57" s="48">
        <v>0</v>
      </c>
      <c r="AF57" s="48">
        <v>0</v>
      </c>
      <c r="AG57" s="48">
        <v>0</v>
      </c>
      <c r="AH57" s="48">
        <v>0</v>
      </c>
      <c r="AI57" s="48">
        <v>0</v>
      </c>
      <c r="AJ57" s="48">
        <v>0</v>
      </c>
      <c r="AK57" s="48">
        <v>0</v>
      </c>
      <c r="AL57" s="48">
        <v>0</v>
      </c>
      <c r="AM57" s="48">
        <v>0</v>
      </c>
      <c r="AN57" s="48">
        <v>0</v>
      </c>
      <c r="AO57" s="48">
        <v>0</v>
      </c>
      <c r="AP57" s="48">
        <v>0</v>
      </c>
      <c r="AQ57" s="48">
        <v>0</v>
      </c>
      <c r="AR57" s="48">
        <v>0</v>
      </c>
      <c r="AS57" s="48">
        <v>0</v>
      </c>
      <c r="AT57" s="48">
        <v>0</v>
      </c>
      <c r="AU57" s="48">
        <v>0</v>
      </c>
      <c r="AV57" s="48">
        <v>528549.31560059986</v>
      </c>
      <c r="AW57" s="48">
        <v>539120.30191261193</v>
      </c>
      <c r="AX57" s="48">
        <v>558151.24857012718</v>
      </c>
      <c r="AY57" s="48">
        <v>577853.9876446526</v>
      </c>
      <c r="AZ57" s="48">
        <v>598252.23340850882</v>
      </c>
      <c r="BA57" s="48">
        <v>610217.27807667921</v>
      </c>
      <c r="BB57" s="48">
        <v>622421.62363821268</v>
      </c>
      <c r="BC57" s="48">
        <v>653542.70482012338</v>
      </c>
      <c r="BD57" s="48">
        <v>700211.0101917974</v>
      </c>
      <c r="BE57" s="70">
        <v>0</v>
      </c>
      <c r="BF57" s="70">
        <v>0</v>
      </c>
      <c r="BG57" s="70">
        <v>0</v>
      </c>
      <c r="BH57" s="71">
        <v>5388319.7038633134</v>
      </c>
    </row>
    <row r="58" spans="1:60" ht="18" x14ac:dyDescent="0.3">
      <c r="A58" s="65" t="s">
        <v>37</v>
      </c>
      <c r="B58" s="66" t="s">
        <v>167</v>
      </c>
      <c r="C58" s="66" t="s">
        <v>173</v>
      </c>
      <c r="D58" s="66" t="s">
        <v>169</v>
      </c>
      <c r="E58" s="48" t="s">
        <v>170</v>
      </c>
      <c r="F58" s="68" t="s">
        <v>251</v>
      </c>
      <c r="G58" s="66">
        <v>13</v>
      </c>
      <c r="H58" s="69" t="s">
        <v>82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113926.3</v>
      </c>
      <c r="AC58" s="48">
        <v>655955.69999999984</v>
      </c>
      <c r="AD58" s="48">
        <v>794430</v>
      </c>
      <c r="AE58" s="48">
        <v>923445.3</v>
      </c>
      <c r="AF58" s="48">
        <v>1238613.2000000002</v>
      </c>
      <c r="AG58" s="48">
        <v>1293161.3199999998</v>
      </c>
      <c r="AH58" s="48">
        <v>1374984.65</v>
      </c>
      <c r="AI58" s="48">
        <v>0</v>
      </c>
      <c r="AJ58" s="48">
        <v>0</v>
      </c>
      <c r="AK58" s="48">
        <v>0</v>
      </c>
      <c r="AL58" s="48">
        <v>0</v>
      </c>
      <c r="AM58" s="48">
        <v>0</v>
      </c>
      <c r="AN58" s="48">
        <v>0</v>
      </c>
      <c r="AO58" s="48">
        <v>0</v>
      </c>
      <c r="AP58" s="48">
        <v>0</v>
      </c>
      <c r="AQ58" s="48">
        <v>0</v>
      </c>
      <c r="AR58" s="48">
        <v>0</v>
      </c>
      <c r="AS58" s="48">
        <v>760000</v>
      </c>
      <c r="AT58" s="48">
        <v>775200</v>
      </c>
      <c r="AU58" s="48">
        <v>790704</v>
      </c>
      <c r="AV58" s="48">
        <v>790704</v>
      </c>
      <c r="AW58" s="48">
        <v>798611.04</v>
      </c>
      <c r="AX58" s="48">
        <v>798611.04</v>
      </c>
      <c r="AY58" s="48">
        <v>798611.04</v>
      </c>
      <c r="AZ58" s="48">
        <v>810590.20559999999</v>
      </c>
      <c r="BA58" s="48">
        <v>810590.20559999999</v>
      </c>
      <c r="BB58" s="48">
        <v>818696.10765600007</v>
      </c>
      <c r="BC58" s="48">
        <v>818696.10765600007</v>
      </c>
      <c r="BD58" s="48">
        <v>826883.06873256015</v>
      </c>
      <c r="BE58" s="70">
        <v>0</v>
      </c>
      <c r="BF58" s="70">
        <v>3726370.5</v>
      </c>
      <c r="BG58" s="70">
        <v>2668145.9699999997</v>
      </c>
      <c r="BH58" s="71">
        <v>9597896.8152445592</v>
      </c>
    </row>
    <row r="59" spans="1:60" ht="18" x14ac:dyDescent="0.3">
      <c r="A59" s="65" t="s">
        <v>37</v>
      </c>
      <c r="B59" s="66" t="s">
        <v>167</v>
      </c>
      <c r="C59" s="66" t="s">
        <v>173</v>
      </c>
      <c r="D59" s="66" t="s">
        <v>169</v>
      </c>
      <c r="E59" s="48" t="s">
        <v>170</v>
      </c>
      <c r="F59" s="68" t="s">
        <v>252</v>
      </c>
      <c r="G59" s="66">
        <v>14</v>
      </c>
      <c r="H59" s="69" t="s">
        <v>86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8">
        <v>0</v>
      </c>
      <c r="AB59" s="48">
        <v>230808.22999999998</v>
      </c>
      <c r="AC59" s="48">
        <v>961075.10000000009</v>
      </c>
      <c r="AD59" s="48">
        <v>1160411.8000000003</v>
      </c>
      <c r="AE59" s="48">
        <v>1345490.9</v>
      </c>
      <c r="AF59" s="48">
        <v>1370967.7000000002</v>
      </c>
      <c r="AG59" s="48">
        <v>1371428.46</v>
      </c>
      <c r="AH59" s="48">
        <v>1459166.35</v>
      </c>
      <c r="AI59" s="48">
        <v>0</v>
      </c>
      <c r="AJ59" s="48">
        <v>0</v>
      </c>
      <c r="AK59" s="48">
        <v>0</v>
      </c>
      <c r="AL59" s="48">
        <v>0</v>
      </c>
      <c r="AM59" s="48">
        <v>0</v>
      </c>
      <c r="AN59" s="48">
        <v>0</v>
      </c>
      <c r="AO59" s="48">
        <v>0</v>
      </c>
      <c r="AP59" s="48">
        <v>0</v>
      </c>
      <c r="AQ59" s="48">
        <v>0</v>
      </c>
      <c r="AR59" s="48">
        <v>0</v>
      </c>
      <c r="AS59" s="48">
        <v>1130000</v>
      </c>
      <c r="AT59" s="48">
        <v>1141300</v>
      </c>
      <c r="AU59" s="48">
        <v>1152713</v>
      </c>
      <c r="AV59" s="48">
        <v>1152713</v>
      </c>
      <c r="AW59" s="48">
        <v>1164240.1299999999</v>
      </c>
      <c r="AX59" s="48">
        <v>1164240.1299999999</v>
      </c>
      <c r="AY59" s="48">
        <v>1164240.1299999999</v>
      </c>
      <c r="AZ59" s="48">
        <v>1187524.9325999999</v>
      </c>
      <c r="BA59" s="48">
        <v>1187524.9325999999</v>
      </c>
      <c r="BB59" s="48">
        <v>1205337.8065889999</v>
      </c>
      <c r="BC59" s="48">
        <v>1205337.8065889999</v>
      </c>
      <c r="BD59" s="48">
        <v>1217391.1846548901</v>
      </c>
      <c r="BE59" s="70">
        <v>0</v>
      </c>
      <c r="BF59" s="70">
        <v>5068753.7300000004</v>
      </c>
      <c r="BG59" s="70">
        <v>2830594.81</v>
      </c>
      <c r="BH59" s="71">
        <v>14072563.053032888</v>
      </c>
    </row>
    <row r="60" spans="1:60" ht="18" x14ac:dyDescent="0.3">
      <c r="A60" s="65" t="s">
        <v>37</v>
      </c>
      <c r="B60" s="66" t="s">
        <v>193</v>
      </c>
      <c r="C60" s="66" t="s">
        <v>253</v>
      </c>
      <c r="D60" s="66" t="s">
        <v>169</v>
      </c>
      <c r="E60" s="48" t="s">
        <v>170</v>
      </c>
      <c r="F60" s="68" t="s">
        <v>254</v>
      </c>
      <c r="G60" s="66">
        <v>15</v>
      </c>
      <c r="H60" s="69" t="s">
        <v>255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48">
        <v>0</v>
      </c>
      <c r="Y60" s="48">
        <v>0</v>
      </c>
      <c r="Z60" s="48">
        <v>0</v>
      </c>
      <c r="AA60" s="48">
        <v>0</v>
      </c>
      <c r="AB60" s="48">
        <v>0</v>
      </c>
      <c r="AC60" s="48">
        <v>0</v>
      </c>
      <c r="AD60" s="48">
        <v>0</v>
      </c>
      <c r="AE60" s="48">
        <v>0</v>
      </c>
      <c r="AF60" s="48">
        <v>0</v>
      </c>
      <c r="AG60" s="48">
        <v>0</v>
      </c>
      <c r="AH60" s="48">
        <v>0</v>
      </c>
      <c r="AI60" s="48">
        <v>0</v>
      </c>
      <c r="AJ60" s="48">
        <v>0</v>
      </c>
      <c r="AK60" s="48">
        <v>0</v>
      </c>
      <c r="AL60" s="48">
        <v>0</v>
      </c>
      <c r="AM60" s="48">
        <v>0</v>
      </c>
      <c r="AN60" s="48">
        <v>0</v>
      </c>
      <c r="AO60" s="48">
        <v>0</v>
      </c>
      <c r="AP60" s="48">
        <v>0</v>
      </c>
      <c r="AQ60" s="48">
        <v>0</v>
      </c>
      <c r="AR60" s="48">
        <v>0</v>
      </c>
      <c r="AS60" s="48">
        <v>0</v>
      </c>
      <c r="AT60" s="48">
        <v>1294125</v>
      </c>
      <c r="AU60" s="48">
        <v>1333207.5749999997</v>
      </c>
      <c r="AV60" s="48">
        <v>1359871.7264999999</v>
      </c>
      <c r="AW60" s="48">
        <v>1400939.8526403001</v>
      </c>
      <c r="AX60" s="48">
        <v>1428958.6496931061</v>
      </c>
      <c r="AY60" s="48">
        <v>1507964.3971220111</v>
      </c>
      <c r="AZ60" s="48">
        <v>1578638.8358449033</v>
      </c>
      <c r="BA60" s="48">
        <v>1670229.8681111541</v>
      </c>
      <c r="BB60" s="48">
        <v>1765508.1178014392</v>
      </c>
      <c r="BC60" s="48">
        <v>1916317.5100749703</v>
      </c>
      <c r="BD60" s="48">
        <v>2050459.7357802182</v>
      </c>
      <c r="BE60" s="70">
        <v>0</v>
      </c>
      <c r="BF60" s="70">
        <v>0</v>
      </c>
      <c r="BG60" s="70">
        <v>0</v>
      </c>
      <c r="BH60" s="71">
        <v>17306221.268568102</v>
      </c>
    </row>
    <row r="61" spans="1:60" ht="18" x14ac:dyDescent="0.3">
      <c r="A61" s="65" t="s">
        <v>37</v>
      </c>
      <c r="B61" s="66" t="s">
        <v>167</v>
      </c>
      <c r="C61" s="66" t="s">
        <v>256</v>
      </c>
      <c r="D61" s="66" t="s">
        <v>169</v>
      </c>
      <c r="E61" s="48" t="s">
        <v>170</v>
      </c>
      <c r="F61" s="68" t="s">
        <v>257</v>
      </c>
      <c r="G61" s="66">
        <v>16</v>
      </c>
      <c r="H61" s="69" t="s">
        <v>258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48">
        <v>0</v>
      </c>
      <c r="Y61" s="48">
        <v>0</v>
      </c>
      <c r="Z61" s="48">
        <v>0</v>
      </c>
      <c r="AA61" s="48">
        <v>0</v>
      </c>
      <c r="AB61" s="48">
        <v>0</v>
      </c>
      <c r="AC61" s="48">
        <v>0</v>
      </c>
      <c r="AD61" s="48">
        <v>0</v>
      </c>
      <c r="AE61" s="48">
        <v>0</v>
      </c>
      <c r="AF61" s="48">
        <v>0</v>
      </c>
      <c r="AG61" s="48">
        <v>0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8">
        <v>0</v>
      </c>
      <c r="AO61" s="48">
        <v>0</v>
      </c>
      <c r="AP61" s="48">
        <v>0</v>
      </c>
      <c r="AQ61" s="48">
        <v>0</v>
      </c>
      <c r="AR61" s="48">
        <v>0</v>
      </c>
      <c r="AS61" s="48">
        <v>0</v>
      </c>
      <c r="AT61" s="48">
        <v>0</v>
      </c>
      <c r="AU61" s="48">
        <v>0</v>
      </c>
      <c r="AV61" s="48">
        <v>0</v>
      </c>
      <c r="AW61" s="48">
        <v>0</v>
      </c>
      <c r="AX61" s="48">
        <v>0</v>
      </c>
      <c r="AY61" s="48">
        <v>0</v>
      </c>
      <c r="AZ61" s="48">
        <v>0</v>
      </c>
      <c r="BA61" s="48">
        <v>0</v>
      </c>
      <c r="BB61" s="48">
        <v>0</v>
      </c>
      <c r="BC61" s="48">
        <v>1027719.8543867564</v>
      </c>
      <c r="BD61" s="48">
        <v>1110656.8466357677</v>
      </c>
      <c r="BE61" s="70">
        <v>0</v>
      </c>
      <c r="BF61" s="70">
        <v>0</v>
      </c>
      <c r="BG61" s="70">
        <v>0</v>
      </c>
      <c r="BH61" s="71">
        <v>2138376.7010225244</v>
      </c>
    </row>
    <row r="62" spans="1:60" ht="18" x14ac:dyDescent="0.3">
      <c r="A62" s="65" t="s">
        <v>37</v>
      </c>
      <c r="B62" s="66" t="s">
        <v>167</v>
      </c>
      <c r="C62" s="66" t="s">
        <v>173</v>
      </c>
      <c r="D62" s="66" t="s">
        <v>169</v>
      </c>
      <c r="E62" s="48" t="s">
        <v>170</v>
      </c>
      <c r="F62" s="68" t="s">
        <v>259</v>
      </c>
      <c r="G62" s="66">
        <v>17</v>
      </c>
      <c r="H62" s="69" t="s">
        <v>105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486508</v>
      </c>
      <c r="AB62" s="48">
        <v>694274</v>
      </c>
      <c r="AC62" s="48">
        <v>801523</v>
      </c>
      <c r="AD62" s="48">
        <v>781907</v>
      </c>
      <c r="AE62" s="48">
        <v>707816</v>
      </c>
      <c r="AF62" s="48">
        <v>751604</v>
      </c>
      <c r="AG62" s="48">
        <v>769047.91999999993</v>
      </c>
      <c r="AH62" s="48">
        <v>844040.32000000007</v>
      </c>
      <c r="AI62" s="48">
        <v>0</v>
      </c>
      <c r="AJ62" s="48">
        <v>0</v>
      </c>
      <c r="AK62" s="48">
        <v>0</v>
      </c>
      <c r="AL62" s="48">
        <v>0</v>
      </c>
      <c r="AM62" s="48">
        <v>0</v>
      </c>
      <c r="AN62" s="48">
        <v>0</v>
      </c>
      <c r="AO62" s="48">
        <v>0</v>
      </c>
      <c r="AP62" s="48">
        <v>0</v>
      </c>
      <c r="AQ62" s="48">
        <v>0</v>
      </c>
      <c r="AR62" s="48">
        <v>0</v>
      </c>
      <c r="AS62" s="48">
        <v>690000</v>
      </c>
      <c r="AT62" s="48">
        <v>700350</v>
      </c>
      <c r="AU62" s="48">
        <v>707353.5</v>
      </c>
      <c r="AV62" s="48">
        <v>707353.5</v>
      </c>
      <c r="AW62" s="48">
        <v>714427.03500000003</v>
      </c>
      <c r="AX62" s="48">
        <v>714427.03500000003</v>
      </c>
      <c r="AY62" s="48">
        <v>714427.03500000003</v>
      </c>
      <c r="AZ62" s="48">
        <v>721571.30535000004</v>
      </c>
      <c r="BA62" s="48">
        <v>721571.30535000004</v>
      </c>
      <c r="BB62" s="48">
        <v>728787.01840350009</v>
      </c>
      <c r="BC62" s="48">
        <v>736074.88858753489</v>
      </c>
      <c r="BD62" s="48">
        <v>755000</v>
      </c>
      <c r="BE62" s="70">
        <v>0</v>
      </c>
      <c r="BF62" s="70">
        <v>4223632</v>
      </c>
      <c r="BG62" s="70">
        <v>1613088.24</v>
      </c>
      <c r="BH62" s="71">
        <v>8611342.6226910353</v>
      </c>
    </row>
    <row r="63" spans="1:60" ht="18" x14ac:dyDescent="0.3">
      <c r="A63" s="65" t="s">
        <v>37</v>
      </c>
      <c r="B63" s="66" t="s">
        <v>167</v>
      </c>
      <c r="C63" s="66" t="s">
        <v>186</v>
      </c>
      <c r="D63" s="66" t="s">
        <v>169</v>
      </c>
      <c r="E63" s="48" t="s">
        <v>170</v>
      </c>
      <c r="F63" s="68" t="s">
        <v>260</v>
      </c>
      <c r="G63" s="66">
        <v>18</v>
      </c>
      <c r="H63" s="69" t="s">
        <v>261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8">
        <v>0</v>
      </c>
      <c r="V63" s="48">
        <v>0</v>
      </c>
      <c r="W63" s="48">
        <v>0</v>
      </c>
      <c r="X63" s="48">
        <v>0</v>
      </c>
      <c r="Y63" s="48">
        <v>0</v>
      </c>
      <c r="Z63" s="48">
        <v>0</v>
      </c>
      <c r="AA63" s="48">
        <v>0</v>
      </c>
      <c r="AB63" s="48">
        <v>0</v>
      </c>
      <c r="AC63" s="48">
        <v>0</v>
      </c>
      <c r="AD63" s="48">
        <v>0</v>
      </c>
      <c r="AE63" s="48">
        <v>0</v>
      </c>
      <c r="AF63" s="48">
        <v>0</v>
      </c>
      <c r="AG63" s="48">
        <v>0</v>
      </c>
      <c r="AH63" s="48">
        <v>0</v>
      </c>
      <c r="AI63" s="48">
        <v>0</v>
      </c>
      <c r="AJ63" s="48">
        <v>0</v>
      </c>
      <c r="AK63" s="48">
        <v>0</v>
      </c>
      <c r="AL63" s="48">
        <v>0</v>
      </c>
      <c r="AM63" s="48">
        <v>0</v>
      </c>
      <c r="AN63" s="48">
        <v>0</v>
      </c>
      <c r="AO63" s="48">
        <v>0</v>
      </c>
      <c r="AP63" s="48">
        <v>0</v>
      </c>
      <c r="AQ63" s="48">
        <v>0</v>
      </c>
      <c r="AR63" s="48">
        <v>0</v>
      </c>
      <c r="AS63" s="48">
        <v>0</v>
      </c>
      <c r="AT63" s="48">
        <v>631533</v>
      </c>
      <c r="AU63" s="48">
        <v>650605.29659999989</v>
      </c>
      <c r="AV63" s="48">
        <v>663617.40253199986</v>
      </c>
      <c r="AW63" s="48">
        <v>687043.09684137953</v>
      </c>
      <c r="AX63" s="48">
        <v>707791.79836598935</v>
      </c>
      <c r="AY63" s="48">
        <v>721947.63433330902</v>
      </c>
      <c r="AZ63" s="48">
        <v>736386.5870199753</v>
      </c>
      <c r="BA63" s="48">
        <v>751114.31876037491</v>
      </c>
      <c r="BB63" s="48">
        <v>781459.33723829407</v>
      </c>
      <c r="BC63" s="48">
        <v>832840.28866171197</v>
      </c>
      <c r="BD63" s="48">
        <v>911684.13407522603</v>
      </c>
      <c r="BE63" s="70">
        <v>0</v>
      </c>
      <c r="BF63" s="70">
        <v>0</v>
      </c>
      <c r="BG63" s="70">
        <v>0</v>
      </c>
      <c r="BH63" s="71">
        <v>8076022.8944282597</v>
      </c>
    </row>
    <row r="64" spans="1:60" ht="18" x14ac:dyDescent="0.3">
      <c r="A64" s="65" t="s">
        <v>37</v>
      </c>
      <c r="B64" s="66" t="s">
        <v>167</v>
      </c>
      <c r="C64" s="66" t="s">
        <v>256</v>
      </c>
      <c r="D64" s="66" t="s">
        <v>169</v>
      </c>
      <c r="E64" s="48" t="s">
        <v>170</v>
      </c>
      <c r="F64" s="68" t="s">
        <v>262</v>
      </c>
      <c r="G64" s="66">
        <v>19</v>
      </c>
      <c r="H64" s="69" t="s">
        <v>124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8">
        <v>0</v>
      </c>
      <c r="AD64" s="48">
        <v>0</v>
      </c>
      <c r="AE64" s="48">
        <v>50622.8</v>
      </c>
      <c r="AF64" s="48">
        <v>518612.3</v>
      </c>
      <c r="AG64" s="48">
        <v>638775.62</v>
      </c>
      <c r="AH64" s="48">
        <v>581470.15</v>
      </c>
      <c r="AI64" s="48">
        <v>0</v>
      </c>
      <c r="AJ64" s="48">
        <v>0</v>
      </c>
      <c r="AK64" s="48">
        <v>0</v>
      </c>
      <c r="AL64" s="48">
        <v>0</v>
      </c>
      <c r="AM64" s="48">
        <v>0</v>
      </c>
      <c r="AN64" s="48">
        <v>0</v>
      </c>
      <c r="AO64" s="48">
        <v>0</v>
      </c>
      <c r="AP64" s="48">
        <v>0</v>
      </c>
      <c r="AQ64" s="48">
        <v>0</v>
      </c>
      <c r="AR64" s="48">
        <v>0</v>
      </c>
      <c r="AS64" s="48">
        <v>651000</v>
      </c>
      <c r="AT64" s="48">
        <v>657510</v>
      </c>
      <c r="AU64" s="48">
        <v>664085.1</v>
      </c>
      <c r="AV64" s="48">
        <v>664085.1</v>
      </c>
      <c r="AW64" s="48">
        <v>674046.37650000001</v>
      </c>
      <c r="AX64" s="48">
        <v>680786.84026500012</v>
      </c>
      <c r="AY64" s="48">
        <v>687594.70866765</v>
      </c>
      <c r="AZ64" s="48">
        <v>704784.57638434134</v>
      </c>
      <c r="BA64" s="48">
        <v>704784.57638434134</v>
      </c>
      <c r="BB64" s="48">
        <v>715356.34503010637</v>
      </c>
      <c r="BC64" s="48">
        <v>726086.69020555809</v>
      </c>
      <c r="BD64" s="48">
        <v>745000</v>
      </c>
      <c r="BE64" s="70">
        <v>0</v>
      </c>
      <c r="BF64" s="70">
        <v>569235.1</v>
      </c>
      <c r="BG64" s="70">
        <v>1220245.77</v>
      </c>
      <c r="BH64" s="71">
        <v>8275120.3134369981</v>
      </c>
    </row>
    <row r="65" spans="1:60" ht="18" x14ac:dyDescent="0.3">
      <c r="A65" s="65" t="s">
        <v>37</v>
      </c>
      <c r="B65" s="66" t="s">
        <v>167</v>
      </c>
      <c r="C65" s="66" t="s">
        <v>186</v>
      </c>
      <c r="D65" s="66" t="s">
        <v>169</v>
      </c>
      <c r="E65" s="48" t="s">
        <v>170</v>
      </c>
      <c r="F65" s="68" t="s">
        <v>263</v>
      </c>
      <c r="G65" s="66">
        <v>20</v>
      </c>
      <c r="H65" s="69" t="s">
        <v>264</v>
      </c>
      <c r="I65" s="48">
        <v>0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  <c r="Q65" s="48">
        <v>0</v>
      </c>
      <c r="R65" s="48">
        <v>0</v>
      </c>
      <c r="S65" s="48">
        <v>0</v>
      </c>
      <c r="T65" s="48">
        <v>0</v>
      </c>
      <c r="U65" s="48">
        <v>0</v>
      </c>
      <c r="V65" s="48">
        <v>0</v>
      </c>
      <c r="W65" s="48">
        <v>0</v>
      </c>
      <c r="X65" s="48">
        <v>0</v>
      </c>
      <c r="Y65" s="48">
        <v>0</v>
      </c>
      <c r="Z65" s="48">
        <v>0</v>
      </c>
      <c r="AA65" s="48">
        <v>0</v>
      </c>
      <c r="AB65" s="48">
        <v>0</v>
      </c>
      <c r="AC65" s="48">
        <v>0</v>
      </c>
      <c r="AD65" s="48">
        <v>0</v>
      </c>
      <c r="AE65" s="48">
        <v>0</v>
      </c>
      <c r="AF65" s="48">
        <v>0</v>
      </c>
      <c r="AG65" s="48">
        <v>0</v>
      </c>
      <c r="AH65" s="48">
        <v>0</v>
      </c>
      <c r="AI65" s="48">
        <v>0</v>
      </c>
      <c r="AJ65" s="48">
        <v>0</v>
      </c>
      <c r="AK65" s="48">
        <v>0</v>
      </c>
      <c r="AL65" s="48">
        <v>0</v>
      </c>
      <c r="AM65" s="48">
        <v>0</v>
      </c>
      <c r="AN65" s="48">
        <v>0</v>
      </c>
      <c r="AO65" s="48">
        <v>0</v>
      </c>
      <c r="AP65" s="48">
        <v>0</v>
      </c>
      <c r="AQ65" s="48">
        <v>0</v>
      </c>
      <c r="AR65" s="48">
        <v>0</v>
      </c>
      <c r="AS65" s="48">
        <v>0</v>
      </c>
      <c r="AT65" s="48">
        <v>0</v>
      </c>
      <c r="AU65" s="48">
        <v>0</v>
      </c>
      <c r="AV65" s="48">
        <v>555797.07791999995</v>
      </c>
      <c r="AW65" s="48">
        <v>566913.01947840001</v>
      </c>
      <c r="AX65" s="48">
        <v>584033.7926666477</v>
      </c>
      <c r="AY65" s="48">
        <v>604650.18554778036</v>
      </c>
      <c r="AZ65" s="48">
        <v>616743.18925873586</v>
      </c>
      <c r="BA65" s="48">
        <v>641659.61410478887</v>
      </c>
      <c r="BB65" s="48">
        <v>654492.80638688465</v>
      </c>
      <c r="BC65" s="48">
        <v>694089.62117329123</v>
      </c>
      <c r="BD65" s="48">
        <v>756603.84322737833</v>
      </c>
      <c r="BE65" s="70">
        <v>0</v>
      </c>
      <c r="BF65" s="70">
        <v>0</v>
      </c>
      <c r="BG65" s="70">
        <v>0</v>
      </c>
      <c r="BH65" s="71">
        <v>5674983.1497639064</v>
      </c>
    </row>
    <row r="66" spans="1:60" ht="18" x14ac:dyDescent="0.3">
      <c r="A66" s="65" t="s">
        <v>37</v>
      </c>
      <c r="B66" s="66" t="s">
        <v>167</v>
      </c>
      <c r="C66" s="66" t="s">
        <v>173</v>
      </c>
      <c r="D66" s="66" t="s">
        <v>169</v>
      </c>
      <c r="E66" s="48" t="s">
        <v>170</v>
      </c>
      <c r="F66" s="68" t="s">
        <v>111</v>
      </c>
      <c r="G66" s="66">
        <v>21</v>
      </c>
      <c r="H66" s="69" t="s">
        <v>112</v>
      </c>
      <c r="I66" s="48">
        <v>0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48">
        <v>0</v>
      </c>
      <c r="Y66" s="48">
        <v>0</v>
      </c>
      <c r="Z66" s="48">
        <v>0</v>
      </c>
      <c r="AA66" s="48">
        <v>0</v>
      </c>
      <c r="AB66" s="48">
        <v>140670.57886227546</v>
      </c>
      <c r="AC66" s="48">
        <v>285475.39999999997</v>
      </c>
      <c r="AD66" s="48">
        <v>308840.59999999998</v>
      </c>
      <c r="AE66" s="48">
        <v>433844.50000000006</v>
      </c>
      <c r="AF66" s="48">
        <v>471538.1</v>
      </c>
      <c r="AG66" s="48">
        <v>570687.95000000007</v>
      </c>
      <c r="AH66" s="48">
        <v>465369.41000000003</v>
      </c>
      <c r="AI66" s="48">
        <v>0</v>
      </c>
      <c r="AJ66" s="48">
        <v>0</v>
      </c>
      <c r="AK66" s="48">
        <v>0</v>
      </c>
      <c r="AL66" s="48">
        <v>0</v>
      </c>
      <c r="AM66" s="48">
        <v>0</v>
      </c>
      <c r="AN66" s="48">
        <v>0</v>
      </c>
      <c r="AO66" s="48">
        <v>0</v>
      </c>
      <c r="AP66" s="48">
        <v>0</v>
      </c>
      <c r="AQ66" s="48">
        <v>0</v>
      </c>
      <c r="AR66" s="48">
        <v>0</v>
      </c>
      <c r="AS66" s="48">
        <v>295000</v>
      </c>
      <c r="AT66" s="48">
        <v>299425</v>
      </c>
      <c r="AU66" s="48">
        <v>302419.25</v>
      </c>
      <c r="AV66" s="48">
        <v>302419.25</v>
      </c>
      <c r="AW66" s="48">
        <v>305443.4425</v>
      </c>
      <c r="AX66" s="48">
        <v>305443.4425</v>
      </c>
      <c r="AY66" s="48">
        <v>305443.4425</v>
      </c>
      <c r="AZ66" s="48">
        <v>305443.4425</v>
      </c>
      <c r="BA66" s="48">
        <v>305443.4425</v>
      </c>
      <c r="BB66" s="48">
        <v>311552.31135000003</v>
      </c>
      <c r="BC66" s="48">
        <v>316225.59602025</v>
      </c>
      <c r="BD66" s="48">
        <v>320968.9799605537</v>
      </c>
      <c r="BE66" s="70">
        <v>0</v>
      </c>
      <c r="BF66" s="70">
        <v>1640369.1788622756</v>
      </c>
      <c r="BG66" s="70">
        <v>1036057.3600000001</v>
      </c>
      <c r="BH66" s="71">
        <v>3675227.5998308035</v>
      </c>
    </row>
    <row r="67" spans="1:60" ht="18" x14ac:dyDescent="0.3">
      <c r="A67" s="65" t="s">
        <v>37</v>
      </c>
      <c r="B67" s="66" t="s">
        <v>167</v>
      </c>
      <c r="C67" s="66" t="s">
        <v>175</v>
      </c>
      <c r="D67" s="66" t="s">
        <v>169</v>
      </c>
      <c r="E67" s="48" t="s">
        <v>170</v>
      </c>
      <c r="F67" s="68" t="s">
        <v>265</v>
      </c>
      <c r="G67" s="66">
        <v>22</v>
      </c>
      <c r="H67" s="69" t="s">
        <v>118</v>
      </c>
      <c r="I67" s="48">
        <v>0</v>
      </c>
      <c r="J67" s="48">
        <v>0</v>
      </c>
      <c r="K67" s="48">
        <v>0</v>
      </c>
      <c r="L67" s="48">
        <v>0</v>
      </c>
      <c r="M67" s="48">
        <v>0</v>
      </c>
      <c r="N67" s="48">
        <v>0</v>
      </c>
      <c r="O67" s="48">
        <v>0</v>
      </c>
      <c r="P67" s="48">
        <v>0</v>
      </c>
      <c r="Q67" s="48">
        <v>0</v>
      </c>
      <c r="R67" s="48">
        <v>0</v>
      </c>
      <c r="S67" s="48">
        <v>0</v>
      </c>
      <c r="T67" s="48">
        <v>0</v>
      </c>
      <c r="U67" s="48">
        <v>0</v>
      </c>
      <c r="V67" s="48">
        <v>0</v>
      </c>
      <c r="W67" s="48">
        <v>0</v>
      </c>
      <c r="X67" s="48">
        <v>0</v>
      </c>
      <c r="Y67" s="48">
        <v>0</v>
      </c>
      <c r="Z67" s="48">
        <v>0</v>
      </c>
      <c r="AA67" s="48">
        <v>0</v>
      </c>
      <c r="AB67" s="48">
        <v>0</v>
      </c>
      <c r="AC67" s="48">
        <v>0</v>
      </c>
      <c r="AD67" s="48">
        <v>3207.3999999999996</v>
      </c>
      <c r="AE67" s="48">
        <v>377093.40000000008</v>
      </c>
      <c r="AF67" s="48">
        <v>408402.89999999997</v>
      </c>
      <c r="AG67" s="48">
        <v>431936.44</v>
      </c>
      <c r="AH67" s="48">
        <v>443563.14</v>
      </c>
      <c r="AI67" s="48">
        <v>0</v>
      </c>
      <c r="AJ67" s="48">
        <v>0</v>
      </c>
      <c r="AK67" s="48">
        <v>0</v>
      </c>
      <c r="AL67" s="48">
        <v>0</v>
      </c>
      <c r="AM67" s="48">
        <v>0</v>
      </c>
      <c r="AN67" s="48">
        <v>0</v>
      </c>
      <c r="AO67" s="48">
        <v>0</v>
      </c>
      <c r="AP67" s="48">
        <v>0</v>
      </c>
      <c r="AQ67" s="48">
        <v>0</v>
      </c>
      <c r="AR67" s="48">
        <v>0</v>
      </c>
      <c r="AS67" s="48">
        <v>408580</v>
      </c>
      <c r="AT67" s="48">
        <v>408580</v>
      </c>
      <c r="AU67" s="48">
        <v>414708.7</v>
      </c>
      <c r="AV67" s="48">
        <v>414708.7</v>
      </c>
      <c r="AW67" s="48">
        <v>420929.33050000004</v>
      </c>
      <c r="AX67" s="48">
        <v>429347.91711000004</v>
      </c>
      <c r="AY67" s="48">
        <v>437934.87545220007</v>
      </c>
      <c r="AZ67" s="48">
        <v>451072.92171576608</v>
      </c>
      <c r="BA67" s="48">
        <v>425000</v>
      </c>
      <c r="BB67" s="48">
        <v>425000</v>
      </c>
      <c r="BC67" s="48">
        <v>425000</v>
      </c>
      <c r="BD67" s="48">
        <v>425000</v>
      </c>
      <c r="BE67" s="70">
        <v>0</v>
      </c>
      <c r="BF67" s="70">
        <v>788703.70000000007</v>
      </c>
      <c r="BG67" s="70">
        <v>875499.58000000007</v>
      </c>
      <c r="BH67" s="71">
        <v>5085862.4447779665</v>
      </c>
    </row>
    <row r="68" spans="1:60" ht="18" x14ac:dyDescent="0.3">
      <c r="A68" s="65" t="s">
        <v>37</v>
      </c>
      <c r="B68" s="66" t="s">
        <v>167</v>
      </c>
      <c r="C68" s="66" t="s">
        <v>175</v>
      </c>
      <c r="D68" s="66" t="s">
        <v>169</v>
      </c>
      <c r="E68" s="48" t="s">
        <v>170</v>
      </c>
      <c r="F68" s="68" t="s">
        <v>266</v>
      </c>
      <c r="G68" s="66">
        <v>23</v>
      </c>
      <c r="H68" s="69" t="s">
        <v>267</v>
      </c>
      <c r="I68" s="48">
        <v>0</v>
      </c>
      <c r="J68" s="48">
        <v>0</v>
      </c>
      <c r="K68" s="48">
        <v>0</v>
      </c>
      <c r="L68" s="48">
        <v>0</v>
      </c>
      <c r="M68" s="48">
        <v>0</v>
      </c>
      <c r="N68" s="48">
        <v>0</v>
      </c>
      <c r="O68" s="48">
        <v>0</v>
      </c>
      <c r="P68" s="48">
        <v>0</v>
      </c>
      <c r="Q68" s="48">
        <v>0</v>
      </c>
      <c r="R68" s="48">
        <v>0</v>
      </c>
      <c r="S68" s="48">
        <v>0</v>
      </c>
      <c r="T68" s="48">
        <v>0</v>
      </c>
      <c r="U68" s="48">
        <v>0</v>
      </c>
      <c r="V68" s="48">
        <v>0</v>
      </c>
      <c r="W68" s="48">
        <v>0</v>
      </c>
      <c r="X68" s="48">
        <v>0</v>
      </c>
      <c r="Y68" s="48">
        <v>0</v>
      </c>
      <c r="Z68" s="48">
        <v>0</v>
      </c>
      <c r="AA68" s="48">
        <v>0</v>
      </c>
      <c r="AB68" s="48">
        <v>0</v>
      </c>
      <c r="AC68" s="48">
        <v>0</v>
      </c>
      <c r="AD68" s="48">
        <v>0</v>
      </c>
      <c r="AE68" s="48">
        <v>0</v>
      </c>
      <c r="AF68" s="48">
        <v>0</v>
      </c>
      <c r="AG68" s="48">
        <v>0</v>
      </c>
      <c r="AH68" s="48">
        <v>0</v>
      </c>
      <c r="AI68" s="48">
        <v>0</v>
      </c>
      <c r="AJ68" s="48">
        <v>0</v>
      </c>
      <c r="AK68" s="48">
        <v>0</v>
      </c>
      <c r="AL68" s="48">
        <v>0</v>
      </c>
      <c r="AM68" s="48">
        <v>0</v>
      </c>
      <c r="AN68" s="48">
        <v>0</v>
      </c>
      <c r="AO68" s="48">
        <v>0</v>
      </c>
      <c r="AP68" s="48">
        <v>0</v>
      </c>
      <c r="AQ68" s="48">
        <v>0</v>
      </c>
      <c r="AR68" s="48">
        <v>0</v>
      </c>
      <c r="AS68" s="48">
        <v>0</v>
      </c>
      <c r="AT68" s="48">
        <v>0</v>
      </c>
      <c r="AU68" s="48">
        <v>0</v>
      </c>
      <c r="AV68" s="48">
        <v>0</v>
      </c>
      <c r="AW68" s="48">
        <v>0</v>
      </c>
      <c r="AX68" s="48">
        <v>0</v>
      </c>
      <c r="AY68" s="48">
        <v>0</v>
      </c>
      <c r="AZ68" s="48">
        <v>872426.76457962813</v>
      </c>
      <c r="BA68" s="48">
        <v>898774.05286993296</v>
      </c>
      <c r="BB68" s="48">
        <v>925917.02926660492</v>
      </c>
      <c r="BC68" s="48">
        <v>981935.00953723467</v>
      </c>
      <c r="BD68" s="48">
        <v>1057365.6194171435</v>
      </c>
      <c r="BE68" s="70">
        <v>0</v>
      </c>
      <c r="BF68" s="70">
        <v>0</v>
      </c>
      <c r="BG68" s="70">
        <v>0</v>
      </c>
      <c r="BH68" s="71">
        <v>4736418.4756705444</v>
      </c>
    </row>
    <row r="69" spans="1:60" ht="18" x14ac:dyDescent="0.3">
      <c r="A69" s="65" t="s">
        <v>37</v>
      </c>
      <c r="B69" s="66" t="s">
        <v>167</v>
      </c>
      <c r="C69" s="66" t="s">
        <v>175</v>
      </c>
      <c r="D69" s="66" t="s">
        <v>169</v>
      </c>
      <c r="E69" s="48" t="s">
        <v>170</v>
      </c>
      <c r="F69" s="68" t="s">
        <v>121</v>
      </c>
      <c r="G69" s="66">
        <v>24</v>
      </c>
      <c r="H69" s="69" t="s">
        <v>122</v>
      </c>
      <c r="I69" s="48">
        <v>0</v>
      </c>
      <c r="J69" s="48">
        <v>0</v>
      </c>
      <c r="K69" s="48">
        <v>0</v>
      </c>
      <c r="L69" s="48">
        <v>0</v>
      </c>
      <c r="M69" s="48">
        <v>0</v>
      </c>
      <c r="N69" s="48">
        <v>0</v>
      </c>
      <c r="O69" s="48">
        <v>0</v>
      </c>
      <c r="P69" s="48">
        <v>0</v>
      </c>
      <c r="Q69" s="48">
        <v>0</v>
      </c>
      <c r="R69" s="48">
        <v>0</v>
      </c>
      <c r="S69" s="48">
        <v>0</v>
      </c>
      <c r="T69" s="48">
        <v>0</v>
      </c>
      <c r="U69" s="48">
        <v>0</v>
      </c>
      <c r="V69" s="48">
        <v>0</v>
      </c>
      <c r="W69" s="48">
        <v>0</v>
      </c>
      <c r="X69" s="48">
        <v>0</v>
      </c>
      <c r="Y69" s="48">
        <v>0</v>
      </c>
      <c r="Z69" s="48">
        <v>0</v>
      </c>
      <c r="AA69" s="48">
        <v>0</v>
      </c>
      <c r="AB69" s="48">
        <v>0</v>
      </c>
      <c r="AC69" s="48">
        <v>0</v>
      </c>
      <c r="AD69" s="48">
        <v>0</v>
      </c>
      <c r="AE69" s="48">
        <v>79478.899999999994</v>
      </c>
      <c r="AF69" s="48">
        <v>122380.79999999999</v>
      </c>
      <c r="AG69" s="48">
        <v>237849.43</v>
      </c>
      <c r="AH69" s="48">
        <v>253887.22</v>
      </c>
      <c r="AI69" s="48">
        <v>0</v>
      </c>
      <c r="AJ69" s="48">
        <v>0</v>
      </c>
      <c r="AK69" s="48">
        <v>0</v>
      </c>
      <c r="AL69" s="48">
        <v>0</v>
      </c>
      <c r="AM69" s="48">
        <v>0</v>
      </c>
      <c r="AN69" s="48">
        <v>0</v>
      </c>
      <c r="AO69" s="48">
        <v>0</v>
      </c>
      <c r="AP69" s="48">
        <v>0</v>
      </c>
      <c r="AQ69" s="48">
        <v>0</v>
      </c>
      <c r="AR69" s="48">
        <v>0</v>
      </c>
      <c r="AS69" s="48">
        <v>370000</v>
      </c>
      <c r="AT69" s="48">
        <v>377400</v>
      </c>
      <c r="AU69" s="48">
        <v>384948</v>
      </c>
      <c r="AV69" s="48">
        <v>392646.95999999996</v>
      </c>
      <c r="AW69" s="48">
        <v>400499.89919999999</v>
      </c>
      <c r="AX69" s="48">
        <v>408509.897184</v>
      </c>
      <c r="AY69" s="48">
        <v>416680.09512767999</v>
      </c>
      <c r="AZ69" s="48">
        <v>425013.69703023363</v>
      </c>
      <c r="BA69" s="48">
        <v>433513.97097083827</v>
      </c>
      <c r="BB69" s="48">
        <v>442184.25039025501</v>
      </c>
      <c r="BC69" s="48">
        <v>442184.25039025501</v>
      </c>
      <c r="BD69" s="48">
        <v>442184.25039025501</v>
      </c>
      <c r="BE69" s="70">
        <v>0</v>
      </c>
      <c r="BF69" s="70">
        <v>201859.69999999998</v>
      </c>
      <c r="BG69" s="70">
        <v>491736.65</v>
      </c>
      <c r="BH69" s="71">
        <v>4935765.2706835167</v>
      </c>
    </row>
    <row r="70" spans="1:60" ht="18" x14ac:dyDescent="0.3">
      <c r="A70" s="65" t="s">
        <v>37</v>
      </c>
      <c r="B70" s="66" t="s">
        <v>167</v>
      </c>
      <c r="C70" s="66" t="s">
        <v>173</v>
      </c>
      <c r="D70" s="66" t="s">
        <v>190</v>
      </c>
      <c r="E70" s="48" t="s">
        <v>170</v>
      </c>
      <c r="F70" s="68" t="s">
        <v>268</v>
      </c>
      <c r="G70" s="66">
        <v>25</v>
      </c>
      <c r="H70" s="69" t="s">
        <v>269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8">
        <v>0</v>
      </c>
      <c r="R70" s="48">
        <v>0</v>
      </c>
      <c r="S70" s="48">
        <v>0</v>
      </c>
      <c r="T70" s="48">
        <v>0</v>
      </c>
      <c r="U70" s="48">
        <v>0</v>
      </c>
      <c r="V70" s="48">
        <v>0</v>
      </c>
      <c r="W70" s="48">
        <v>0</v>
      </c>
      <c r="X70" s="48">
        <v>0</v>
      </c>
      <c r="Y70" s="48">
        <v>0</v>
      </c>
      <c r="Z70" s="48">
        <v>0</v>
      </c>
      <c r="AA70" s="48">
        <v>0</v>
      </c>
      <c r="AB70" s="48">
        <v>0</v>
      </c>
      <c r="AC70" s="48">
        <v>0</v>
      </c>
      <c r="AD70" s="48">
        <v>0</v>
      </c>
      <c r="AE70" s="48">
        <v>0</v>
      </c>
      <c r="AF70" s="48">
        <v>0</v>
      </c>
      <c r="AG70" s="48">
        <v>0</v>
      </c>
      <c r="AH70" s="48">
        <v>0</v>
      </c>
      <c r="AI70" s="48">
        <v>0</v>
      </c>
      <c r="AJ70" s="48">
        <v>0</v>
      </c>
      <c r="AK70" s="48">
        <v>0</v>
      </c>
      <c r="AL70" s="48">
        <v>0</v>
      </c>
      <c r="AM70" s="48">
        <v>0</v>
      </c>
      <c r="AN70" s="48">
        <v>0</v>
      </c>
      <c r="AO70" s="48">
        <v>0</v>
      </c>
      <c r="AP70" s="48">
        <v>0</v>
      </c>
      <c r="AQ70" s="48">
        <v>0</v>
      </c>
      <c r="AR70" s="48">
        <v>0</v>
      </c>
      <c r="AS70" s="48">
        <v>0</v>
      </c>
      <c r="AT70" s="48">
        <v>0</v>
      </c>
      <c r="AU70" s="48">
        <v>0</v>
      </c>
      <c r="AV70" s="48">
        <v>0</v>
      </c>
      <c r="AW70" s="48">
        <v>0</v>
      </c>
      <c r="AX70" s="48">
        <v>0</v>
      </c>
      <c r="AY70" s="48">
        <v>0</v>
      </c>
      <c r="AZ70" s="48">
        <v>1470662.2602913731</v>
      </c>
      <c r="BA70" s="48">
        <v>1500075.5054972006</v>
      </c>
      <c r="BB70" s="48">
        <v>1545377.7857632162</v>
      </c>
      <c r="BC70" s="48">
        <v>1622646.6750513772</v>
      </c>
      <c r="BD70" s="48">
        <v>1762275.421439548</v>
      </c>
      <c r="BE70" s="70">
        <v>0</v>
      </c>
      <c r="BF70" s="70">
        <v>0</v>
      </c>
      <c r="BG70" s="70">
        <v>0</v>
      </c>
      <c r="BH70" s="71">
        <v>7901037.6480427152</v>
      </c>
    </row>
    <row r="71" spans="1:60" ht="18" x14ac:dyDescent="0.3">
      <c r="A71" s="65" t="s">
        <v>37</v>
      </c>
      <c r="B71" s="66" t="s">
        <v>193</v>
      </c>
      <c r="C71" s="66" t="s">
        <v>194</v>
      </c>
      <c r="D71" s="66" t="s">
        <v>190</v>
      </c>
      <c r="E71" s="48" t="s">
        <v>170</v>
      </c>
      <c r="F71" s="68" t="s">
        <v>270</v>
      </c>
      <c r="G71" s="66">
        <v>26</v>
      </c>
      <c r="H71" s="69" t="s">
        <v>271</v>
      </c>
      <c r="I71" s="48">
        <v>0</v>
      </c>
      <c r="J71" s="48">
        <v>0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  <c r="Q71" s="48">
        <v>0</v>
      </c>
      <c r="R71" s="48">
        <v>0</v>
      </c>
      <c r="S71" s="48">
        <v>0</v>
      </c>
      <c r="T71" s="48">
        <v>0</v>
      </c>
      <c r="U71" s="48">
        <v>0</v>
      </c>
      <c r="V71" s="48">
        <v>0</v>
      </c>
      <c r="W71" s="48">
        <v>0</v>
      </c>
      <c r="X71" s="48">
        <v>0</v>
      </c>
      <c r="Y71" s="48">
        <v>0</v>
      </c>
      <c r="Z71" s="48">
        <v>0</v>
      </c>
      <c r="AA71" s="48">
        <v>0</v>
      </c>
      <c r="AB71" s="48">
        <v>0</v>
      </c>
      <c r="AC71" s="48">
        <v>0</v>
      </c>
      <c r="AD71" s="48">
        <v>0</v>
      </c>
      <c r="AE71" s="48">
        <v>0</v>
      </c>
      <c r="AF71" s="48">
        <v>0</v>
      </c>
      <c r="AG71" s="48">
        <v>0</v>
      </c>
      <c r="AH71" s="48">
        <v>0</v>
      </c>
      <c r="AI71" s="48">
        <v>0</v>
      </c>
      <c r="AJ71" s="48">
        <v>0</v>
      </c>
      <c r="AK71" s="48">
        <v>0</v>
      </c>
      <c r="AL71" s="48">
        <v>0</v>
      </c>
      <c r="AM71" s="48">
        <v>0</v>
      </c>
      <c r="AN71" s="48">
        <v>0</v>
      </c>
      <c r="AO71" s="48">
        <v>0</v>
      </c>
      <c r="AP71" s="48">
        <v>0</v>
      </c>
      <c r="AQ71" s="48">
        <v>0</v>
      </c>
      <c r="AR71" s="48">
        <v>0</v>
      </c>
      <c r="AS71" s="48">
        <v>0</v>
      </c>
      <c r="AT71" s="48">
        <v>0</v>
      </c>
      <c r="AU71" s="48">
        <v>0</v>
      </c>
      <c r="AV71" s="48">
        <v>0</v>
      </c>
      <c r="AW71" s="48">
        <v>0</v>
      </c>
      <c r="AX71" s="48">
        <v>0</v>
      </c>
      <c r="AY71" s="48">
        <v>0</v>
      </c>
      <c r="AZ71" s="48">
        <v>0</v>
      </c>
      <c r="BA71" s="48">
        <v>0</v>
      </c>
      <c r="BB71" s="48">
        <v>376035.87671701016</v>
      </c>
      <c r="BC71" s="48">
        <v>394837.67055286071</v>
      </c>
      <c r="BD71" s="48">
        <v>426701.07056647656</v>
      </c>
      <c r="BE71" s="70">
        <v>0</v>
      </c>
      <c r="BF71" s="70">
        <v>0</v>
      </c>
      <c r="BG71" s="70">
        <v>0</v>
      </c>
      <c r="BH71" s="71">
        <v>1197574.6178363473</v>
      </c>
    </row>
    <row r="72" spans="1:60" ht="18" x14ac:dyDescent="0.3">
      <c r="A72" s="65" t="s">
        <v>37</v>
      </c>
      <c r="B72" s="66" t="s">
        <v>167</v>
      </c>
      <c r="C72" s="66" t="s">
        <v>272</v>
      </c>
      <c r="D72" s="66" t="s">
        <v>190</v>
      </c>
      <c r="E72" s="48" t="s">
        <v>170</v>
      </c>
      <c r="F72" s="68" t="s">
        <v>273</v>
      </c>
      <c r="G72" s="66">
        <v>27</v>
      </c>
      <c r="H72" s="69" t="s">
        <v>274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8">
        <v>0</v>
      </c>
      <c r="R72" s="48">
        <v>0</v>
      </c>
      <c r="S72" s="48">
        <v>0</v>
      </c>
      <c r="T72" s="48">
        <v>0</v>
      </c>
      <c r="U72" s="48">
        <v>0</v>
      </c>
      <c r="V72" s="48">
        <v>0</v>
      </c>
      <c r="W72" s="48">
        <v>0</v>
      </c>
      <c r="X72" s="48">
        <v>0</v>
      </c>
      <c r="Y72" s="48">
        <v>0</v>
      </c>
      <c r="Z72" s="48">
        <v>0</v>
      </c>
      <c r="AA72" s="48">
        <v>0</v>
      </c>
      <c r="AB72" s="48">
        <v>0</v>
      </c>
      <c r="AC72" s="48">
        <v>0</v>
      </c>
      <c r="AD72" s="48">
        <v>0</v>
      </c>
      <c r="AE72" s="48">
        <v>0</v>
      </c>
      <c r="AF72" s="48">
        <v>0</v>
      </c>
      <c r="AG72" s="48">
        <v>0</v>
      </c>
      <c r="AH72" s="48">
        <v>0</v>
      </c>
      <c r="AI72" s="48">
        <v>0</v>
      </c>
      <c r="AJ72" s="48">
        <v>0</v>
      </c>
      <c r="AK72" s="48">
        <v>0</v>
      </c>
      <c r="AL72" s="48">
        <v>0</v>
      </c>
      <c r="AM72" s="48">
        <v>0</v>
      </c>
      <c r="AN72" s="48">
        <v>0</v>
      </c>
      <c r="AO72" s="48">
        <v>0</v>
      </c>
      <c r="AP72" s="48">
        <v>0</v>
      </c>
      <c r="AQ72" s="48">
        <v>0</v>
      </c>
      <c r="AR72" s="48">
        <v>0</v>
      </c>
      <c r="AS72" s="48">
        <v>640150</v>
      </c>
      <c r="AT72" s="48">
        <v>652953</v>
      </c>
      <c r="AU72" s="48">
        <v>672672.18059999996</v>
      </c>
      <c r="AV72" s="48">
        <v>692986.88045411988</v>
      </c>
      <c r="AW72" s="48">
        <v>720983.55042446638</v>
      </c>
      <c r="AX72" s="48">
        <v>748864.83972359286</v>
      </c>
      <c r="AY72" s="48">
        <v>775299.76856583566</v>
      </c>
      <c r="AZ72" s="48">
        <v>802667.85039620963</v>
      </c>
      <c r="BA72" s="48">
        <v>831002.02551519591</v>
      </c>
      <c r="BB72" s="48">
        <v>860336.39701588231</v>
      </c>
      <c r="BC72" s="48">
        <v>916903.51511967671</v>
      </c>
      <c r="BD72" s="48">
        <v>995803.06259572483</v>
      </c>
      <c r="BE72" s="70">
        <v>0</v>
      </c>
      <c r="BF72" s="70">
        <v>0</v>
      </c>
      <c r="BG72" s="70">
        <v>0</v>
      </c>
      <c r="BH72" s="71">
        <v>9310623.0704107042</v>
      </c>
    </row>
    <row r="73" spans="1:60" ht="18" x14ac:dyDescent="0.3">
      <c r="A73" s="65" t="s">
        <v>37</v>
      </c>
      <c r="B73" s="66" t="s">
        <v>167</v>
      </c>
      <c r="C73" s="66" t="s">
        <v>186</v>
      </c>
      <c r="D73" s="66" t="s">
        <v>190</v>
      </c>
      <c r="E73" s="48" t="s">
        <v>170</v>
      </c>
      <c r="F73" s="68" t="s">
        <v>127</v>
      </c>
      <c r="G73" s="66">
        <v>28</v>
      </c>
      <c r="H73" s="69" t="s">
        <v>128</v>
      </c>
      <c r="I73" s="48">
        <v>0</v>
      </c>
      <c r="J73" s="48">
        <v>0</v>
      </c>
      <c r="K73" s="48">
        <v>0</v>
      </c>
      <c r="L73" s="48">
        <v>0</v>
      </c>
      <c r="M73" s="48">
        <v>0</v>
      </c>
      <c r="N73" s="48">
        <v>0</v>
      </c>
      <c r="O73" s="48">
        <v>0</v>
      </c>
      <c r="P73" s="48">
        <v>0</v>
      </c>
      <c r="Q73" s="48">
        <v>0</v>
      </c>
      <c r="R73" s="48">
        <v>0</v>
      </c>
      <c r="S73" s="48">
        <v>0</v>
      </c>
      <c r="T73" s="48">
        <v>0</v>
      </c>
      <c r="U73" s="48">
        <v>0</v>
      </c>
      <c r="V73" s="48">
        <v>0</v>
      </c>
      <c r="W73" s="48">
        <v>0</v>
      </c>
      <c r="X73" s="48">
        <v>0</v>
      </c>
      <c r="Y73" s="48">
        <v>0</v>
      </c>
      <c r="Z73" s="48">
        <v>0</v>
      </c>
      <c r="AA73" s="48">
        <v>0</v>
      </c>
      <c r="AB73" s="48">
        <v>0</v>
      </c>
      <c r="AC73" s="48">
        <v>0</v>
      </c>
      <c r="AD73" s="48">
        <v>0</v>
      </c>
      <c r="AE73" s="48">
        <v>3480</v>
      </c>
      <c r="AF73" s="48">
        <v>215413</v>
      </c>
      <c r="AG73" s="48">
        <v>262152.36</v>
      </c>
      <c r="AH73" s="48">
        <v>253673.21000000002</v>
      </c>
      <c r="AI73" s="48">
        <v>0</v>
      </c>
      <c r="AJ73" s="48">
        <v>0</v>
      </c>
      <c r="AK73" s="48">
        <v>0</v>
      </c>
      <c r="AL73" s="48">
        <v>0</v>
      </c>
      <c r="AM73" s="48">
        <v>0</v>
      </c>
      <c r="AN73" s="48">
        <v>0</v>
      </c>
      <c r="AO73" s="48">
        <v>0</v>
      </c>
      <c r="AP73" s="48">
        <v>0</v>
      </c>
      <c r="AQ73" s="48">
        <v>0</v>
      </c>
      <c r="AR73" s="48">
        <v>0</v>
      </c>
      <c r="AS73" s="48">
        <v>378200</v>
      </c>
      <c r="AT73" s="48">
        <v>378200</v>
      </c>
      <c r="AU73" s="48">
        <v>381982</v>
      </c>
      <c r="AV73" s="48">
        <v>385801.81999999995</v>
      </c>
      <c r="AW73" s="48">
        <v>393517.85640000005</v>
      </c>
      <c r="AX73" s="48">
        <v>401388.21352799999</v>
      </c>
      <c r="AY73" s="48">
        <v>407409.03673091996</v>
      </c>
      <c r="AZ73" s="48">
        <v>413520.17228188377</v>
      </c>
      <c r="BA73" s="48">
        <v>419722.97486611211</v>
      </c>
      <c r="BB73" s="48">
        <v>426018.81948910374</v>
      </c>
      <c r="BC73" s="48">
        <v>432409.10178144032</v>
      </c>
      <c r="BD73" s="48">
        <v>438895.23830816185</v>
      </c>
      <c r="BE73" s="70">
        <v>0</v>
      </c>
      <c r="BF73" s="70">
        <v>218893</v>
      </c>
      <c r="BG73" s="70">
        <v>515825.57</v>
      </c>
      <c r="BH73" s="71">
        <v>4857065.2333856206</v>
      </c>
    </row>
    <row r="74" spans="1:60" ht="18" x14ac:dyDescent="0.3">
      <c r="A74" s="65" t="s">
        <v>37</v>
      </c>
      <c r="B74" s="66" t="s">
        <v>193</v>
      </c>
      <c r="C74" s="66" t="s">
        <v>275</v>
      </c>
      <c r="D74" s="66" t="s">
        <v>190</v>
      </c>
      <c r="E74" s="48" t="s">
        <v>170</v>
      </c>
      <c r="F74" s="68" t="s">
        <v>276</v>
      </c>
      <c r="G74" s="66">
        <v>29</v>
      </c>
      <c r="H74" s="69" t="s">
        <v>139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  <c r="Q74" s="48">
        <v>0</v>
      </c>
      <c r="R74" s="48">
        <v>0</v>
      </c>
      <c r="S74" s="48">
        <v>0</v>
      </c>
      <c r="T74" s="48">
        <v>0</v>
      </c>
      <c r="U74" s="48">
        <v>0</v>
      </c>
      <c r="V74" s="48">
        <v>0</v>
      </c>
      <c r="W74" s="48">
        <v>0</v>
      </c>
      <c r="X74" s="48">
        <v>0</v>
      </c>
      <c r="Y74" s="48">
        <v>0</v>
      </c>
      <c r="Z74" s="48">
        <v>0</v>
      </c>
      <c r="AA74" s="48">
        <v>0</v>
      </c>
      <c r="AB74" s="48">
        <v>0</v>
      </c>
      <c r="AC74" s="48">
        <v>0</v>
      </c>
      <c r="AD74" s="48">
        <v>0</v>
      </c>
      <c r="AE74" s="48">
        <v>0</v>
      </c>
      <c r="AF74" s="48">
        <v>0</v>
      </c>
      <c r="AG74" s="48">
        <v>0</v>
      </c>
      <c r="AH74" s="48">
        <v>0</v>
      </c>
      <c r="AI74" s="48">
        <v>0</v>
      </c>
      <c r="AJ74" s="48">
        <v>0</v>
      </c>
      <c r="AK74" s="48">
        <v>0</v>
      </c>
      <c r="AL74" s="48">
        <v>0</v>
      </c>
      <c r="AM74" s="48">
        <v>0</v>
      </c>
      <c r="AN74" s="48">
        <v>0</v>
      </c>
      <c r="AO74" s="48">
        <v>0</v>
      </c>
      <c r="AP74" s="48">
        <v>0</v>
      </c>
      <c r="AQ74" s="48">
        <v>0</v>
      </c>
      <c r="AR74" s="48">
        <v>0</v>
      </c>
      <c r="AS74" s="48">
        <v>0</v>
      </c>
      <c r="AT74" s="48">
        <v>0</v>
      </c>
      <c r="AU74" s="48">
        <v>264508.38287999993</v>
      </c>
      <c r="AV74" s="48">
        <v>269798.55053759995</v>
      </c>
      <c r="AW74" s="48">
        <v>279322.43937157729</v>
      </c>
      <c r="AX74" s="48">
        <v>284908.88815900881</v>
      </c>
      <c r="AY74" s="48">
        <v>294966.17191102181</v>
      </c>
      <c r="AZ74" s="48">
        <v>300865.49534924224</v>
      </c>
      <c r="BA74" s="48">
        <v>311486.0473350705</v>
      </c>
      <c r="BB74" s="48">
        <v>317715.76828177192</v>
      </c>
      <c r="BC74" s="48">
        <v>338605.58004629851</v>
      </c>
      <c r="BD74" s="48">
        <v>367742.59020928247</v>
      </c>
      <c r="BE74" s="70">
        <v>0</v>
      </c>
      <c r="BF74" s="70">
        <v>0</v>
      </c>
      <c r="BG74" s="70">
        <v>0</v>
      </c>
      <c r="BH74" s="71">
        <v>3029919.9140808731</v>
      </c>
    </row>
    <row r="75" spans="1:60" ht="18" x14ac:dyDescent="0.3">
      <c r="A75" s="65" t="s">
        <v>37</v>
      </c>
      <c r="B75" s="66" t="s">
        <v>193</v>
      </c>
      <c r="C75" s="66" t="s">
        <v>275</v>
      </c>
      <c r="D75" s="66" t="s">
        <v>190</v>
      </c>
      <c r="E75" s="48" t="s">
        <v>170</v>
      </c>
      <c r="F75" s="68" t="s">
        <v>277</v>
      </c>
      <c r="G75" s="66">
        <v>30</v>
      </c>
      <c r="H75" s="69" t="s">
        <v>278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  <c r="Q75" s="48">
        <v>0</v>
      </c>
      <c r="R75" s="48">
        <v>0</v>
      </c>
      <c r="S75" s="48">
        <v>0</v>
      </c>
      <c r="T75" s="48">
        <v>0</v>
      </c>
      <c r="U75" s="48">
        <v>0</v>
      </c>
      <c r="V75" s="48">
        <v>0</v>
      </c>
      <c r="W75" s="48">
        <v>0</v>
      </c>
      <c r="X75" s="48">
        <v>0</v>
      </c>
      <c r="Y75" s="48">
        <v>0</v>
      </c>
      <c r="Z75" s="48">
        <v>0</v>
      </c>
      <c r="AA75" s="48">
        <v>0</v>
      </c>
      <c r="AB75" s="48">
        <v>0</v>
      </c>
      <c r="AC75" s="48">
        <v>0</v>
      </c>
      <c r="AD75" s="48">
        <v>0</v>
      </c>
      <c r="AE75" s="48">
        <v>0</v>
      </c>
      <c r="AF75" s="48">
        <v>0</v>
      </c>
      <c r="AG75" s="48">
        <v>0</v>
      </c>
      <c r="AH75" s="48">
        <v>0</v>
      </c>
      <c r="AI75" s="48">
        <v>0</v>
      </c>
      <c r="AJ75" s="48">
        <v>0</v>
      </c>
      <c r="AK75" s="48">
        <v>0</v>
      </c>
      <c r="AL75" s="48">
        <v>0</v>
      </c>
      <c r="AM75" s="48">
        <v>0</v>
      </c>
      <c r="AN75" s="48">
        <v>0</v>
      </c>
      <c r="AO75" s="48">
        <v>0</v>
      </c>
      <c r="AP75" s="48">
        <v>0</v>
      </c>
      <c r="AQ75" s="48">
        <v>0</v>
      </c>
      <c r="AR75" s="48">
        <v>0</v>
      </c>
      <c r="AS75" s="48">
        <v>0</v>
      </c>
      <c r="AT75" s="48">
        <v>0</v>
      </c>
      <c r="AU75" s="48">
        <v>0</v>
      </c>
      <c r="AV75" s="48">
        <v>155997.57599999997</v>
      </c>
      <c r="AW75" s="48">
        <v>159117.52751999997</v>
      </c>
      <c r="AX75" s="48">
        <v>163922.876851104</v>
      </c>
      <c r="AY75" s="48">
        <v>168873.34773200733</v>
      </c>
      <c r="AZ75" s="48">
        <v>172250.81468664747</v>
      </c>
      <c r="BA75" s="48">
        <v>178331.26844508614</v>
      </c>
      <c r="BB75" s="48">
        <v>183716.87275212776</v>
      </c>
      <c r="BC75" s="48">
        <v>194831.74355363147</v>
      </c>
      <c r="BD75" s="48">
        <v>211597.01508642145</v>
      </c>
      <c r="BE75" s="70">
        <v>0</v>
      </c>
      <c r="BF75" s="70">
        <v>0</v>
      </c>
      <c r="BG75" s="70">
        <v>0</v>
      </c>
      <c r="BH75" s="71">
        <v>1588639.0426270256</v>
      </c>
    </row>
    <row r="76" spans="1:60" ht="18" x14ac:dyDescent="0.3">
      <c r="A76" s="65" t="s">
        <v>37</v>
      </c>
      <c r="B76" s="66" t="s">
        <v>279</v>
      </c>
      <c r="C76" s="66" t="s">
        <v>280</v>
      </c>
      <c r="D76" s="66" t="s">
        <v>190</v>
      </c>
      <c r="E76" s="48" t="s">
        <v>170</v>
      </c>
      <c r="F76" s="68" t="s">
        <v>281</v>
      </c>
      <c r="G76" s="66">
        <v>31</v>
      </c>
      <c r="H76" s="69" t="s">
        <v>282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  <c r="Q76" s="48">
        <v>0</v>
      </c>
      <c r="R76" s="48">
        <v>0</v>
      </c>
      <c r="S76" s="48">
        <v>0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  <c r="Z76" s="48">
        <v>0</v>
      </c>
      <c r="AA76" s="48">
        <v>0</v>
      </c>
      <c r="AB76" s="48">
        <v>0</v>
      </c>
      <c r="AC76" s="48">
        <v>0</v>
      </c>
      <c r="AD76" s="48">
        <v>0</v>
      </c>
      <c r="AE76" s="48">
        <v>0</v>
      </c>
      <c r="AF76" s="48">
        <v>0</v>
      </c>
      <c r="AG76" s="48">
        <v>0</v>
      </c>
      <c r="AH76" s="48">
        <v>0</v>
      </c>
      <c r="AI76" s="48">
        <v>0</v>
      </c>
      <c r="AJ76" s="48">
        <v>0</v>
      </c>
      <c r="AK76" s="48">
        <v>0</v>
      </c>
      <c r="AL76" s="48">
        <v>0</v>
      </c>
      <c r="AM76" s="48">
        <v>0</v>
      </c>
      <c r="AN76" s="48">
        <v>0</v>
      </c>
      <c r="AO76" s="48">
        <v>0</v>
      </c>
      <c r="AP76" s="48">
        <v>0</v>
      </c>
      <c r="AQ76" s="48">
        <v>0</v>
      </c>
      <c r="AR76" s="48">
        <v>0</v>
      </c>
      <c r="AS76" s="48">
        <v>0</v>
      </c>
      <c r="AT76" s="48">
        <v>0</v>
      </c>
      <c r="AU76" s="48">
        <v>0</v>
      </c>
      <c r="AV76" s="48">
        <v>0</v>
      </c>
      <c r="AW76" s="48">
        <v>0</v>
      </c>
      <c r="AX76" s="48">
        <v>0</v>
      </c>
      <c r="AY76" s="48">
        <v>635380.83694874868</v>
      </c>
      <c r="AZ76" s="48">
        <v>648088.45368772373</v>
      </c>
      <c r="BA76" s="48">
        <v>667660.72498909303</v>
      </c>
      <c r="BB76" s="48">
        <v>681013.93948887498</v>
      </c>
      <c r="BC76" s="48">
        <v>722215.28282795195</v>
      </c>
      <c r="BD76" s="48">
        <v>780498.05615216761</v>
      </c>
      <c r="BE76" s="70">
        <v>0</v>
      </c>
      <c r="BF76" s="70">
        <v>0</v>
      </c>
      <c r="BG76" s="70">
        <v>0</v>
      </c>
      <c r="BH76" s="71">
        <v>4134857.2940945597</v>
      </c>
    </row>
    <row r="77" spans="1:60" ht="18" x14ac:dyDescent="0.3">
      <c r="A77" s="65" t="s">
        <v>37</v>
      </c>
      <c r="B77" s="66" t="s">
        <v>167</v>
      </c>
      <c r="C77" s="66" t="s">
        <v>175</v>
      </c>
      <c r="D77" s="66" t="s">
        <v>169</v>
      </c>
      <c r="E77" s="48" t="s">
        <v>170</v>
      </c>
      <c r="F77" s="68" t="s">
        <v>283</v>
      </c>
      <c r="G77" s="66">
        <v>32</v>
      </c>
      <c r="H77" s="69" t="s">
        <v>284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0</v>
      </c>
      <c r="O77" s="48">
        <v>0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0</v>
      </c>
      <c r="AF77" s="48">
        <v>0</v>
      </c>
      <c r="AG77" s="48">
        <v>0</v>
      </c>
      <c r="AH77" s="48">
        <v>0</v>
      </c>
      <c r="AI77" s="48">
        <v>0</v>
      </c>
      <c r="AJ77" s="48">
        <v>0</v>
      </c>
      <c r="AK77" s="48">
        <v>0</v>
      </c>
      <c r="AL77" s="48">
        <v>0</v>
      </c>
      <c r="AM77" s="48">
        <v>0</v>
      </c>
      <c r="AN77" s="48">
        <v>0</v>
      </c>
      <c r="AO77" s="48">
        <v>0</v>
      </c>
      <c r="AP77" s="48">
        <v>0</v>
      </c>
      <c r="AQ77" s="48">
        <v>0</v>
      </c>
      <c r="AR77" s="48">
        <v>0</v>
      </c>
      <c r="AS77" s="48">
        <v>0</v>
      </c>
      <c r="AT77" s="48">
        <v>0</v>
      </c>
      <c r="AU77" s="48">
        <v>0</v>
      </c>
      <c r="AV77" s="48">
        <v>0</v>
      </c>
      <c r="AW77" s="48">
        <v>0</v>
      </c>
      <c r="AX77" s="48">
        <v>0</v>
      </c>
      <c r="AY77" s="48">
        <v>863873.56100531807</v>
      </c>
      <c r="AZ77" s="48">
        <v>894368.29770880565</v>
      </c>
      <c r="BA77" s="48">
        <v>912255.66366298194</v>
      </c>
      <c r="BB77" s="48">
        <v>949110.7924749665</v>
      </c>
      <c r="BC77" s="48">
        <v>996566.33209871489</v>
      </c>
      <c r="BD77" s="48">
        <v>1071463.8276760387</v>
      </c>
      <c r="BE77" s="70">
        <v>0</v>
      </c>
      <c r="BF77" s="70">
        <v>0</v>
      </c>
      <c r="BG77" s="70">
        <v>0</v>
      </c>
      <c r="BH77" s="71">
        <v>5687638.4746268261</v>
      </c>
    </row>
    <row r="78" spans="1:60" ht="18" x14ac:dyDescent="0.3">
      <c r="A78" s="65" t="s">
        <v>37</v>
      </c>
      <c r="B78" s="66" t="s">
        <v>167</v>
      </c>
      <c r="C78" s="66" t="s">
        <v>173</v>
      </c>
      <c r="D78" s="66" t="s">
        <v>285</v>
      </c>
      <c r="E78" s="48" t="s">
        <v>170</v>
      </c>
      <c r="F78" s="68" t="s">
        <v>136</v>
      </c>
      <c r="G78" s="66">
        <v>33</v>
      </c>
      <c r="H78" s="69" t="s">
        <v>137</v>
      </c>
      <c r="I78" s="48">
        <v>0</v>
      </c>
      <c r="J78" s="48">
        <v>0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48">
        <v>0</v>
      </c>
      <c r="Y78" s="48">
        <v>0</v>
      </c>
      <c r="Z78" s="48">
        <v>0</v>
      </c>
      <c r="AA78" s="48">
        <v>0</v>
      </c>
      <c r="AB78" s="48">
        <v>0</v>
      </c>
      <c r="AC78" s="48">
        <v>0</v>
      </c>
      <c r="AD78" s="48">
        <v>0</v>
      </c>
      <c r="AE78" s="48">
        <v>0</v>
      </c>
      <c r="AF78" s="48">
        <v>0</v>
      </c>
      <c r="AG78" s="48">
        <v>0</v>
      </c>
      <c r="AH78" s="48">
        <v>0</v>
      </c>
      <c r="AI78" s="48">
        <v>0</v>
      </c>
      <c r="AJ78" s="48">
        <v>0</v>
      </c>
      <c r="AK78" s="48">
        <v>0</v>
      </c>
      <c r="AL78" s="48">
        <v>0</v>
      </c>
      <c r="AM78" s="48">
        <v>0</v>
      </c>
      <c r="AN78" s="48">
        <v>0</v>
      </c>
      <c r="AO78" s="48">
        <v>0</v>
      </c>
      <c r="AP78" s="48">
        <v>0</v>
      </c>
      <c r="AQ78" s="48">
        <v>0</v>
      </c>
      <c r="AR78" s="48">
        <v>0</v>
      </c>
      <c r="AS78" s="48">
        <v>933100</v>
      </c>
      <c r="AT78" s="48">
        <v>951762</v>
      </c>
      <c r="AU78" s="48">
        <v>983327.29739999981</v>
      </c>
      <c r="AV78" s="48">
        <v>1018867.1909824798</v>
      </c>
      <c r="AW78" s="48">
        <v>1039244.5348021295</v>
      </c>
      <c r="AX78" s="48">
        <v>1070629.7197531539</v>
      </c>
      <c r="AY78" s="48">
        <v>1096544.3476373567</v>
      </c>
      <c r="AZ78" s="48">
        <v>1214160.750705289</v>
      </c>
      <c r="BA78" s="48">
        <v>1238443.9657193949</v>
      </c>
      <c r="BB78" s="48">
        <v>1321772.3808962759</v>
      </c>
      <c r="BC78" s="48">
        <v>1493268.1644935776</v>
      </c>
      <c r="BD78" s="48">
        <v>1597796.9360081281</v>
      </c>
      <c r="BE78" s="70">
        <v>0</v>
      </c>
      <c r="BF78" s="70">
        <v>0</v>
      </c>
      <c r="BG78" s="70">
        <v>0</v>
      </c>
      <c r="BH78" s="71">
        <v>13958917.288397783</v>
      </c>
    </row>
    <row r="79" spans="1:60" ht="18" x14ac:dyDescent="0.3">
      <c r="A79" s="65" t="s">
        <v>37</v>
      </c>
      <c r="B79" s="66" t="s">
        <v>193</v>
      </c>
      <c r="C79" s="66" t="s">
        <v>194</v>
      </c>
      <c r="D79" s="66" t="s">
        <v>190</v>
      </c>
      <c r="E79" s="48" t="s">
        <v>170</v>
      </c>
      <c r="F79" s="68" t="s">
        <v>286</v>
      </c>
      <c r="G79" s="66">
        <v>34</v>
      </c>
      <c r="H79" s="69" t="s">
        <v>287</v>
      </c>
      <c r="I79" s="48">
        <v>0</v>
      </c>
      <c r="J79" s="48">
        <v>0</v>
      </c>
      <c r="K79" s="48">
        <v>0</v>
      </c>
      <c r="L79" s="48">
        <v>0</v>
      </c>
      <c r="M79" s="48">
        <v>0</v>
      </c>
      <c r="N79" s="48">
        <v>0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0</v>
      </c>
      <c r="V79" s="48">
        <v>0</v>
      </c>
      <c r="W79" s="48">
        <v>0</v>
      </c>
      <c r="X79" s="48">
        <v>0</v>
      </c>
      <c r="Y79" s="48">
        <v>0</v>
      </c>
      <c r="Z79" s="48">
        <v>0</v>
      </c>
      <c r="AA79" s="48">
        <v>0</v>
      </c>
      <c r="AB79" s="48">
        <v>0</v>
      </c>
      <c r="AC79" s="48">
        <v>0</v>
      </c>
      <c r="AD79" s="48">
        <v>0</v>
      </c>
      <c r="AE79" s="48">
        <v>0</v>
      </c>
      <c r="AF79" s="48">
        <v>0</v>
      </c>
      <c r="AG79" s="48">
        <v>0</v>
      </c>
      <c r="AH79" s="48">
        <v>0</v>
      </c>
      <c r="AI79" s="48">
        <v>0</v>
      </c>
      <c r="AJ79" s="48">
        <v>0</v>
      </c>
      <c r="AK79" s="48">
        <v>0</v>
      </c>
      <c r="AL79" s="48">
        <v>0</v>
      </c>
      <c r="AM79" s="48">
        <v>0</v>
      </c>
      <c r="AN79" s="48">
        <v>0</v>
      </c>
      <c r="AO79" s="48">
        <v>0</v>
      </c>
      <c r="AP79" s="48">
        <v>0</v>
      </c>
      <c r="AQ79" s="48">
        <v>0</v>
      </c>
      <c r="AR79" s="48">
        <v>0</v>
      </c>
      <c r="AS79" s="48">
        <v>0</v>
      </c>
      <c r="AT79" s="48">
        <v>0</v>
      </c>
      <c r="AU79" s="48">
        <v>0</v>
      </c>
      <c r="AV79" s="48">
        <v>0</v>
      </c>
      <c r="AW79" s="48">
        <v>0</v>
      </c>
      <c r="AX79" s="48">
        <v>284788.01361525716</v>
      </c>
      <c r="AY79" s="48">
        <v>294841.03049587575</v>
      </c>
      <c r="AZ79" s="48">
        <v>305248.91887238016</v>
      </c>
      <c r="BA79" s="48">
        <v>316024.2057085752</v>
      </c>
      <c r="BB79" s="48">
        <v>327179.86017008789</v>
      </c>
      <c r="BC79" s="48">
        <v>348691.93597627117</v>
      </c>
      <c r="BD79" s="48">
        <v>378696.8770670293</v>
      </c>
      <c r="BE79" s="70">
        <v>0</v>
      </c>
      <c r="BF79" s="70">
        <v>0</v>
      </c>
      <c r="BG79" s="70">
        <v>0</v>
      </c>
      <c r="BH79" s="71">
        <v>2255470.8419054765</v>
      </c>
    </row>
    <row r="80" spans="1:60" ht="18" x14ac:dyDescent="0.3">
      <c r="A80" s="65" t="s">
        <v>37</v>
      </c>
      <c r="B80" s="66" t="s">
        <v>167</v>
      </c>
      <c r="C80" s="66" t="s">
        <v>175</v>
      </c>
      <c r="D80" s="66" t="s">
        <v>190</v>
      </c>
      <c r="E80" s="48" t="s">
        <v>170</v>
      </c>
      <c r="F80" s="68" t="s">
        <v>288</v>
      </c>
      <c r="G80" s="66">
        <v>35</v>
      </c>
      <c r="H80" s="69" t="s">
        <v>289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>
        <v>0</v>
      </c>
      <c r="AF80" s="48">
        <v>0</v>
      </c>
      <c r="AG80" s="48">
        <v>0</v>
      </c>
      <c r="AH80" s="48">
        <v>0</v>
      </c>
      <c r="AI80" s="48">
        <v>0</v>
      </c>
      <c r="AJ80" s="48">
        <v>0</v>
      </c>
      <c r="AK80" s="48">
        <v>0</v>
      </c>
      <c r="AL80" s="48">
        <v>0</v>
      </c>
      <c r="AM80" s="48">
        <v>0</v>
      </c>
      <c r="AN80" s="48">
        <v>0</v>
      </c>
      <c r="AO80" s="48">
        <v>0</v>
      </c>
      <c r="AP80" s="48">
        <v>0</v>
      </c>
      <c r="AQ80" s="48">
        <v>0</v>
      </c>
      <c r="AR80" s="48">
        <v>0</v>
      </c>
      <c r="AS80" s="48">
        <v>0</v>
      </c>
      <c r="AT80" s="48">
        <v>0</v>
      </c>
      <c r="AU80" s="48">
        <v>0</v>
      </c>
      <c r="AV80" s="48">
        <v>474519.83000587195</v>
      </c>
      <c r="AW80" s="48">
        <v>493690.43113810918</v>
      </c>
      <c r="AX80" s="48">
        <v>513635.52455608884</v>
      </c>
      <c r="AY80" s="48">
        <v>531766.85857291869</v>
      </c>
      <c r="AZ80" s="48">
        <v>550538.22868054267</v>
      </c>
      <c r="BA80" s="48">
        <v>569972.22815296589</v>
      </c>
      <c r="BB80" s="48">
        <v>590092.24780676572</v>
      </c>
      <c r="BC80" s="48">
        <v>628890.81310006056</v>
      </c>
      <c r="BD80" s="48">
        <v>683006.86756732082</v>
      </c>
      <c r="BE80" s="70">
        <v>0</v>
      </c>
      <c r="BF80" s="70">
        <v>0</v>
      </c>
      <c r="BG80" s="70">
        <v>0</v>
      </c>
      <c r="BH80" s="71">
        <v>5036113.0295806453</v>
      </c>
    </row>
    <row r="81" spans="1:60" ht="18" x14ac:dyDescent="0.3">
      <c r="A81" s="65" t="s">
        <v>37</v>
      </c>
      <c r="B81" s="66" t="s">
        <v>193</v>
      </c>
      <c r="C81" s="66" t="s">
        <v>275</v>
      </c>
      <c r="D81" s="66" t="s">
        <v>190</v>
      </c>
      <c r="E81" s="48" t="s">
        <v>170</v>
      </c>
      <c r="F81" s="68" t="s">
        <v>290</v>
      </c>
      <c r="G81" s="66">
        <v>36</v>
      </c>
      <c r="H81" s="69" t="s">
        <v>291</v>
      </c>
      <c r="I81" s="48">
        <v>0</v>
      </c>
      <c r="J81" s="48">
        <v>0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0</v>
      </c>
      <c r="X81" s="48">
        <v>0</v>
      </c>
      <c r="Y81" s="48">
        <v>0</v>
      </c>
      <c r="Z81" s="48">
        <v>0</v>
      </c>
      <c r="AA81" s="48">
        <v>0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48">
        <v>0</v>
      </c>
      <c r="AH81" s="48">
        <v>0</v>
      </c>
      <c r="AI81" s="48">
        <v>0</v>
      </c>
      <c r="AJ81" s="48">
        <v>0</v>
      </c>
      <c r="AK81" s="48">
        <v>0</v>
      </c>
      <c r="AL81" s="48">
        <v>0</v>
      </c>
      <c r="AM81" s="48">
        <v>0</v>
      </c>
      <c r="AN81" s="48">
        <v>0</v>
      </c>
      <c r="AO81" s="48">
        <v>0</v>
      </c>
      <c r="AP81" s="48">
        <v>0</v>
      </c>
      <c r="AQ81" s="48">
        <v>0</v>
      </c>
      <c r="AR81" s="48">
        <v>0</v>
      </c>
      <c r="AS81" s="48">
        <v>0</v>
      </c>
      <c r="AT81" s="48">
        <v>0</v>
      </c>
      <c r="AU81" s="48">
        <v>0</v>
      </c>
      <c r="AV81" s="48">
        <v>0</v>
      </c>
      <c r="AW81" s="48">
        <v>0</v>
      </c>
      <c r="AX81" s="48">
        <v>0</v>
      </c>
      <c r="AY81" s="48">
        <v>0</v>
      </c>
      <c r="AZ81" s="48">
        <v>0</v>
      </c>
      <c r="BA81" s="48">
        <v>0</v>
      </c>
      <c r="BB81" s="48">
        <v>181534.56117372905</v>
      </c>
      <c r="BC81" s="48">
        <v>190611.2892324155</v>
      </c>
      <c r="BD81" s="48">
        <v>205993.62027347146</v>
      </c>
      <c r="BE81" s="70">
        <v>0</v>
      </c>
      <c r="BF81" s="70">
        <v>0</v>
      </c>
      <c r="BG81" s="70">
        <v>0</v>
      </c>
      <c r="BH81" s="71">
        <v>578139.47067961597</v>
      </c>
    </row>
    <row r="82" spans="1:60" ht="18" x14ac:dyDescent="0.3">
      <c r="A82" s="65" t="s">
        <v>37</v>
      </c>
      <c r="B82" s="66" t="s">
        <v>193</v>
      </c>
      <c r="C82" s="66" t="s">
        <v>194</v>
      </c>
      <c r="D82" s="66" t="s">
        <v>190</v>
      </c>
      <c r="E82" s="48" t="s">
        <v>170</v>
      </c>
      <c r="F82" s="68" t="s">
        <v>292</v>
      </c>
      <c r="G82" s="66">
        <v>37</v>
      </c>
      <c r="H82" s="69" t="s">
        <v>142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0</v>
      </c>
      <c r="X82" s="48">
        <v>0</v>
      </c>
      <c r="Y82" s="48">
        <v>0</v>
      </c>
      <c r="Z82" s="48">
        <v>0</v>
      </c>
      <c r="AA82" s="48">
        <v>0</v>
      </c>
      <c r="AB82" s="48">
        <v>0</v>
      </c>
      <c r="AC82" s="48">
        <v>0</v>
      </c>
      <c r="AD82" s="48">
        <v>0</v>
      </c>
      <c r="AE82" s="48">
        <v>0</v>
      </c>
      <c r="AF82" s="48">
        <v>0</v>
      </c>
      <c r="AG82" s="48">
        <v>0</v>
      </c>
      <c r="AH82" s="48">
        <v>0</v>
      </c>
      <c r="AI82" s="48">
        <v>0</v>
      </c>
      <c r="AJ82" s="48">
        <v>0</v>
      </c>
      <c r="AK82" s="48">
        <v>0</v>
      </c>
      <c r="AL82" s="48">
        <v>0</v>
      </c>
      <c r="AM82" s="48">
        <v>0</v>
      </c>
      <c r="AN82" s="48">
        <v>0</v>
      </c>
      <c r="AO82" s="48">
        <v>0</v>
      </c>
      <c r="AP82" s="48">
        <v>0</v>
      </c>
      <c r="AQ82" s="48">
        <v>0</v>
      </c>
      <c r="AR82" s="48">
        <v>0</v>
      </c>
      <c r="AS82" s="48">
        <v>0</v>
      </c>
      <c r="AT82" s="48">
        <v>0</v>
      </c>
      <c r="AU82" s="48">
        <v>0</v>
      </c>
      <c r="AV82" s="48">
        <v>368451.41759999993</v>
      </c>
      <c r="AW82" s="48">
        <v>379578.65041151992</v>
      </c>
      <c r="AX82" s="48">
        <v>387170.2234197504</v>
      </c>
      <c r="AY82" s="48">
        <v>400837.33230646758</v>
      </c>
      <c r="AZ82" s="48">
        <v>408854.07895259687</v>
      </c>
      <c r="BA82" s="48">
        <v>421201.47213696537</v>
      </c>
      <c r="BB82" s="48">
        <v>429625.50157970469</v>
      </c>
      <c r="BC82" s="48">
        <v>451106.77665869001</v>
      </c>
      <c r="BD82" s="48">
        <v>487798.00575777562</v>
      </c>
      <c r="BE82" s="70">
        <v>0</v>
      </c>
      <c r="BF82" s="70">
        <v>0</v>
      </c>
      <c r="BG82" s="70">
        <v>0</v>
      </c>
      <c r="BH82" s="71">
        <v>3734623.4588234709</v>
      </c>
    </row>
    <row r="83" spans="1:60" ht="18" x14ac:dyDescent="0.3">
      <c r="A83" s="65" t="s">
        <v>37</v>
      </c>
      <c r="B83" s="66" t="s">
        <v>188</v>
      </c>
      <c r="C83" s="66" t="s">
        <v>213</v>
      </c>
      <c r="D83" s="66" t="s">
        <v>169</v>
      </c>
      <c r="E83" s="48" t="s">
        <v>170</v>
      </c>
      <c r="F83" s="68" t="s">
        <v>293</v>
      </c>
      <c r="G83" s="66">
        <v>38</v>
      </c>
      <c r="H83" s="69" t="s">
        <v>110</v>
      </c>
      <c r="I83" s="48">
        <v>0</v>
      </c>
      <c r="J83" s="48">
        <v>0</v>
      </c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  <c r="Q83" s="48">
        <v>0</v>
      </c>
      <c r="R83" s="48">
        <v>0</v>
      </c>
      <c r="S83" s="48">
        <v>0</v>
      </c>
      <c r="T83" s="48">
        <v>0</v>
      </c>
      <c r="U83" s="48">
        <v>0</v>
      </c>
      <c r="V83" s="48">
        <v>0</v>
      </c>
      <c r="W83" s="48">
        <v>0</v>
      </c>
      <c r="X83" s="48">
        <v>0</v>
      </c>
      <c r="Y83" s="48">
        <v>0</v>
      </c>
      <c r="Z83" s="48">
        <v>0</v>
      </c>
      <c r="AA83" s="48">
        <v>0</v>
      </c>
      <c r="AB83" s="48">
        <v>593209.69999999995</v>
      </c>
      <c r="AC83" s="48">
        <v>1098326.5193</v>
      </c>
      <c r="AD83" s="48">
        <v>1141156.7000000002</v>
      </c>
      <c r="AE83" s="48">
        <v>1102619.7</v>
      </c>
      <c r="AF83" s="48">
        <v>1168715.3</v>
      </c>
      <c r="AG83" s="48">
        <v>1221027.3099999998</v>
      </c>
      <c r="AH83" s="48">
        <v>1105541.74</v>
      </c>
      <c r="AI83" s="48">
        <v>0</v>
      </c>
      <c r="AJ83" s="48">
        <v>0</v>
      </c>
      <c r="AK83" s="48">
        <v>0</v>
      </c>
      <c r="AL83" s="48">
        <v>0</v>
      </c>
      <c r="AM83" s="48">
        <v>0</v>
      </c>
      <c r="AN83" s="48">
        <v>0</v>
      </c>
      <c r="AO83" s="48">
        <v>0</v>
      </c>
      <c r="AP83" s="48">
        <v>0</v>
      </c>
      <c r="AQ83" s="48">
        <v>0</v>
      </c>
      <c r="AR83" s="48">
        <v>0</v>
      </c>
      <c r="AS83" s="48">
        <v>1120000</v>
      </c>
      <c r="AT83" s="48">
        <v>1131200</v>
      </c>
      <c r="AU83" s="48">
        <v>1131200</v>
      </c>
      <c r="AV83" s="48">
        <v>1131200</v>
      </c>
      <c r="AW83" s="48">
        <v>1142512</v>
      </c>
      <c r="AX83" s="48">
        <v>1142512</v>
      </c>
      <c r="AY83" s="48">
        <v>1163077.216</v>
      </c>
      <c r="AZ83" s="48">
        <v>1163077.216</v>
      </c>
      <c r="BA83" s="48">
        <v>1174707.9881599999</v>
      </c>
      <c r="BB83" s="48">
        <v>1186455.0680415998</v>
      </c>
      <c r="BC83" s="48">
        <v>1186455.0680415998</v>
      </c>
      <c r="BD83" s="48">
        <v>1195000</v>
      </c>
      <c r="BE83" s="70">
        <v>0</v>
      </c>
      <c r="BF83" s="70">
        <v>5104027.9193000002</v>
      </c>
      <c r="BG83" s="70">
        <v>2326569.0499999998</v>
      </c>
      <c r="BH83" s="71">
        <v>13867396.5562432</v>
      </c>
    </row>
    <row r="84" spans="1:60" ht="18" x14ac:dyDescent="0.3">
      <c r="A84" s="65" t="s">
        <v>37</v>
      </c>
      <c r="B84" s="66" t="s">
        <v>167</v>
      </c>
      <c r="C84" s="66" t="s">
        <v>186</v>
      </c>
      <c r="D84" s="66" t="s">
        <v>169</v>
      </c>
      <c r="E84" s="48" t="s">
        <v>170</v>
      </c>
      <c r="F84" s="68" t="s">
        <v>294</v>
      </c>
      <c r="G84" s="66">
        <v>39</v>
      </c>
      <c r="H84" s="69" t="s">
        <v>120</v>
      </c>
      <c r="I84" s="48">
        <v>0</v>
      </c>
      <c r="J84" s="48">
        <v>0</v>
      </c>
      <c r="K84" s="48">
        <v>0</v>
      </c>
      <c r="L84" s="48">
        <v>0</v>
      </c>
      <c r="M84" s="48">
        <v>0</v>
      </c>
      <c r="N84" s="48">
        <v>0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48">
        <v>0</v>
      </c>
      <c r="Y84" s="48">
        <v>0</v>
      </c>
      <c r="Z84" s="48">
        <v>0</v>
      </c>
      <c r="AA84" s="48">
        <v>0</v>
      </c>
      <c r="AB84" s="48">
        <v>0</v>
      </c>
      <c r="AC84" s="48">
        <v>0</v>
      </c>
      <c r="AD84" s="48">
        <v>0</v>
      </c>
      <c r="AE84" s="48">
        <v>313788.5</v>
      </c>
      <c r="AF84" s="48">
        <v>521537.11</v>
      </c>
      <c r="AG84" s="48">
        <v>547156.75</v>
      </c>
      <c r="AH84" s="48">
        <v>518738.33</v>
      </c>
      <c r="AI84" s="48">
        <v>0</v>
      </c>
      <c r="AJ84" s="48">
        <v>0</v>
      </c>
      <c r="AK84" s="48">
        <v>0</v>
      </c>
      <c r="AL84" s="48">
        <v>0</v>
      </c>
      <c r="AM84" s="48">
        <v>0</v>
      </c>
      <c r="AN84" s="48">
        <v>0</v>
      </c>
      <c r="AO84" s="48">
        <v>0</v>
      </c>
      <c r="AP84" s="48">
        <v>0</v>
      </c>
      <c r="AQ84" s="48">
        <v>0</v>
      </c>
      <c r="AR84" s="48">
        <v>0</v>
      </c>
      <c r="AS84" s="48">
        <v>347758</v>
      </c>
      <c r="AT84" s="48">
        <v>351235.58</v>
      </c>
      <c r="AU84" s="48">
        <v>356504.11369999999</v>
      </c>
      <c r="AV84" s="48">
        <v>356504.11369999999</v>
      </c>
      <c r="AW84" s="48">
        <v>360069.15483700001</v>
      </c>
      <c r="AX84" s="48">
        <v>363669.84638536995</v>
      </c>
      <c r="AY84" s="48">
        <v>363669.84638536995</v>
      </c>
      <c r="AZ84" s="48">
        <v>363669.84638536995</v>
      </c>
      <c r="BA84" s="48">
        <v>363669.84638536995</v>
      </c>
      <c r="BB84" s="48">
        <v>367306.54484922369</v>
      </c>
      <c r="BC84" s="48">
        <v>367306.54484922369</v>
      </c>
      <c r="BD84" s="48">
        <v>367306.54484922369</v>
      </c>
      <c r="BE84" s="70">
        <v>0</v>
      </c>
      <c r="BF84" s="70">
        <v>835325.61</v>
      </c>
      <c r="BG84" s="70">
        <v>1065895.08</v>
      </c>
      <c r="BH84" s="71">
        <v>4328669.9823261509</v>
      </c>
    </row>
    <row r="85" spans="1:60" ht="18" x14ac:dyDescent="0.3">
      <c r="A85" s="65" t="s">
        <v>37</v>
      </c>
      <c r="B85" s="66" t="s">
        <v>200</v>
      </c>
      <c r="C85" s="66" t="s">
        <v>295</v>
      </c>
      <c r="D85" s="66" t="s">
        <v>169</v>
      </c>
      <c r="E85" s="48" t="s">
        <v>170</v>
      </c>
      <c r="F85" s="68" t="s">
        <v>296</v>
      </c>
      <c r="G85" s="66">
        <v>40</v>
      </c>
      <c r="H85" s="69" t="s">
        <v>297</v>
      </c>
      <c r="I85" s="48">
        <v>0</v>
      </c>
      <c r="J85" s="48">
        <v>0</v>
      </c>
      <c r="K85" s="48">
        <v>0</v>
      </c>
      <c r="L85" s="48">
        <v>0</v>
      </c>
      <c r="M85" s="48">
        <v>0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>
        <v>0</v>
      </c>
      <c r="AI85" s="48">
        <v>0</v>
      </c>
      <c r="AJ85" s="48">
        <v>0</v>
      </c>
      <c r="AK85" s="48">
        <v>0</v>
      </c>
      <c r="AL85" s="48">
        <v>0</v>
      </c>
      <c r="AM85" s="48">
        <v>0</v>
      </c>
      <c r="AN85" s="48">
        <v>0</v>
      </c>
      <c r="AO85" s="48">
        <v>0</v>
      </c>
      <c r="AP85" s="48">
        <v>0</v>
      </c>
      <c r="AQ85" s="48">
        <v>0</v>
      </c>
      <c r="AR85" s="48">
        <v>0</v>
      </c>
      <c r="AS85" s="48">
        <v>0</v>
      </c>
      <c r="AT85" s="48">
        <v>0</v>
      </c>
      <c r="AU85" s="48">
        <v>0</v>
      </c>
      <c r="AV85" s="48">
        <v>0</v>
      </c>
      <c r="AW85" s="48">
        <v>0</v>
      </c>
      <c r="AX85" s="48">
        <v>0</v>
      </c>
      <c r="AY85" s="48">
        <v>398412.12785004068</v>
      </c>
      <c r="AZ85" s="48">
        <v>410444.1741111119</v>
      </c>
      <c r="BA85" s="48">
        <v>418653.05759333418</v>
      </c>
      <c r="BB85" s="48">
        <v>427026.11874520086</v>
      </c>
      <c r="BC85" s="48">
        <v>456764.37972744729</v>
      </c>
      <c r="BD85" s="48">
        <v>488737.88630836864</v>
      </c>
      <c r="BE85" s="70">
        <v>0</v>
      </c>
      <c r="BF85" s="70">
        <v>0</v>
      </c>
      <c r="BG85" s="70">
        <v>0</v>
      </c>
      <c r="BH85" s="71">
        <v>2600037.7443355038</v>
      </c>
    </row>
    <row r="86" spans="1:60" ht="18" x14ac:dyDescent="0.3">
      <c r="A86" s="65" t="s">
        <v>37</v>
      </c>
      <c r="B86" s="66" t="s">
        <v>193</v>
      </c>
      <c r="C86" s="66" t="s">
        <v>194</v>
      </c>
      <c r="D86" s="66" t="s">
        <v>169</v>
      </c>
      <c r="E86" s="48" t="s">
        <v>170</v>
      </c>
      <c r="F86" s="68" t="s">
        <v>298</v>
      </c>
      <c r="G86" s="66">
        <v>41</v>
      </c>
      <c r="H86" s="69" t="s">
        <v>299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48">
        <v>0</v>
      </c>
      <c r="V86" s="48">
        <v>0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48">
        <v>0</v>
      </c>
      <c r="AC86" s="48">
        <v>0</v>
      </c>
      <c r="AD86" s="48">
        <v>0</v>
      </c>
      <c r="AE86" s="48">
        <v>0</v>
      </c>
      <c r="AF86" s="48">
        <v>0</v>
      </c>
      <c r="AG86" s="48">
        <v>0</v>
      </c>
      <c r="AH86" s="48">
        <v>0</v>
      </c>
      <c r="AI86" s="48">
        <v>0</v>
      </c>
      <c r="AJ86" s="48">
        <v>0</v>
      </c>
      <c r="AK86" s="48">
        <v>0</v>
      </c>
      <c r="AL86" s="48">
        <v>0</v>
      </c>
      <c r="AM86" s="48">
        <v>0</v>
      </c>
      <c r="AN86" s="48">
        <v>0</v>
      </c>
      <c r="AO86" s="48">
        <v>0</v>
      </c>
      <c r="AP86" s="48">
        <v>0</v>
      </c>
      <c r="AQ86" s="48">
        <v>0</v>
      </c>
      <c r="AR86" s="48">
        <v>0</v>
      </c>
      <c r="AS86" s="48">
        <v>349370</v>
      </c>
      <c r="AT86" s="48">
        <v>361702.76099999994</v>
      </c>
      <c r="AU86" s="48">
        <v>368936.81621999998</v>
      </c>
      <c r="AV86" s="48">
        <v>381960.28583256592</v>
      </c>
      <c r="AW86" s="48">
        <v>389599.49154921732</v>
      </c>
      <c r="AX86" s="48">
        <v>405339.31100780575</v>
      </c>
      <c r="AY86" s="48">
        <v>421715.01917252108</v>
      </c>
      <c r="AZ86" s="48">
        <v>451656.78553377005</v>
      </c>
      <c r="BA86" s="48">
        <v>460689.92124444549</v>
      </c>
      <c r="BB86" s="48">
        <v>469903.71966933442</v>
      </c>
      <c r="BC86" s="48">
        <v>493398.90565280116</v>
      </c>
      <c r="BD86" s="48">
        <v>527936.82904849725</v>
      </c>
      <c r="BE86" s="70">
        <v>0</v>
      </c>
      <c r="BF86" s="70">
        <v>0</v>
      </c>
      <c r="BG86" s="70">
        <v>0</v>
      </c>
      <c r="BH86" s="71">
        <v>5082209.8459309591</v>
      </c>
    </row>
    <row r="87" spans="1:60" ht="18" x14ac:dyDescent="0.3">
      <c r="A87" s="65" t="s">
        <v>37</v>
      </c>
      <c r="B87" s="66" t="s">
        <v>167</v>
      </c>
      <c r="C87" s="66" t="s">
        <v>300</v>
      </c>
      <c r="D87" s="66">
        <v>0</v>
      </c>
      <c r="E87" s="48">
        <v>0</v>
      </c>
      <c r="F87" s="68" t="s">
        <v>301</v>
      </c>
      <c r="G87" s="66">
        <v>42</v>
      </c>
      <c r="H87" s="69" t="s">
        <v>302</v>
      </c>
      <c r="I87" s="48">
        <v>0</v>
      </c>
      <c r="J87" s="48">
        <v>0</v>
      </c>
      <c r="K87" s="48">
        <v>0</v>
      </c>
      <c r="L87" s="48">
        <v>0</v>
      </c>
      <c r="M87" s="48">
        <v>0</v>
      </c>
      <c r="N87" s="48">
        <v>0</v>
      </c>
      <c r="O87" s="48">
        <v>0</v>
      </c>
      <c r="P87" s="48">
        <v>0</v>
      </c>
      <c r="Q87" s="48">
        <v>0</v>
      </c>
      <c r="R87" s="48">
        <v>0</v>
      </c>
      <c r="S87" s="48">
        <v>0</v>
      </c>
      <c r="T87" s="48">
        <v>0</v>
      </c>
      <c r="U87" s="48">
        <v>0</v>
      </c>
      <c r="V87" s="48">
        <v>0</v>
      </c>
      <c r="W87" s="48">
        <v>0</v>
      </c>
      <c r="X87" s="48">
        <v>0</v>
      </c>
      <c r="Y87" s="48">
        <v>0</v>
      </c>
      <c r="Z87" s="48">
        <v>0</v>
      </c>
      <c r="AA87" s="48">
        <v>0</v>
      </c>
      <c r="AB87" s="48">
        <v>0</v>
      </c>
      <c r="AC87" s="48">
        <v>0</v>
      </c>
      <c r="AD87" s="48">
        <v>0</v>
      </c>
      <c r="AE87" s="48">
        <v>0</v>
      </c>
      <c r="AF87" s="48">
        <v>0</v>
      </c>
      <c r="AG87" s="48">
        <v>0</v>
      </c>
      <c r="AH87" s="48">
        <v>0</v>
      </c>
      <c r="AI87" s="48">
        <v>0</v>
      </c>
      <c r="AJ87" s="48">
        <v>0</v>
      </c>
      <c r="AK87" s="48">
        <v>0</v>
      </c>
      <c r="AL87" s="48">
        <v>0</v>
      </c>
      <c r="AM87" s="48">
        <v>0</v>
      </c>
      <c r="AN87" s="48">
        <v>0</v>
      </c>
      <c r="AO87" s="48">
        <v>0</v>
      </c>
      <c r="AP87" s="48">
        <v>0</v>
      </c>
      <c r="AQ87" s="48">
        <v>0</v>
      </c>
      <c r="AR87" s="48">
        <v>0</v>
      </c>
      <c r="AS87" s="48">
        <v>0</v>
      </c>
      <c r="AT87" s="48">
        <v>0</v>
      </c>
      <c r="AU87" s="48">
        <v>0</v>
      </c>
      <c r="AV87" s="48">
        <v>0</v>
      </c>
      <c r="AW87" s="48">
        <v>0</v>
      </c>
      <c r="AX87" s="48">
        <v>0</v>
      </c>
      <c r="AY87" s="48">
        <v>0</v>
      </c>
      <c r="AZ87" s="48">
        <v>0</v>
      </c>
      <c r="BA87" s="48">
        <v>0</v>
      </c>
      <c r="BB87" s="48">
        <v>1023000</v>
      </c>
      <c r="BC87" s="48">
        <v>990000</v>
      </c>
      <c r="BD87" s="48">
        <v>1023000</v>
      </c>
      <c r="BE87" s="70">
        <v>0</v>
      </c>
      <c r="BF87" s="70">
        <v>0</v>
      </c>
      <c r="BG87" s="70">
        <v>0</v>
      </c>
      <c r="BH87" s="71">
        <v>3036000</v>
      </c>
    </row>
    <row r="88" spans="1:60" ht="18" x14ac:dyDescent="0.3">
      <c r="A88" s="65" t="s">
        <v>37</v>
      </c>
      <c r="B88" s="66" t="s">
        <v>167</v>
      </c>
      <c r="C88" s="66" t="s">
        <v>303</v>
      </c>
      <c r="D88" s="66">
        <v>0</v>
      </c>
      <c r="E88" s="48">
        <v>0</v>
      </c>
      <c r="F88" s="68" t="s">
        <v>304</v>
      </c>
      <c r="G88" s="66">
        <v>43</v>
      </c>
      <c r="H88" s="69" t="s">
        <v>305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  <c r="Q88" s="48">
        <v>0</v>
      </c>
      <c r="R88" s="48">
        <v>0</v>
      </c>
      <c r="S88" s="48">
        <v>0</v>
      </c>
      <c r="T88" s="48">
        <v>0</v>
      </c>
      <c r="U88" s="48">
        <v>0</v>
      </c>
      <c r="V88" s="48">
        <v>0</v>
      </c>
      <c r="W88" s="48">
        <v>0</v>
      </c>
      <c r="X88" s="48">
        <v>0</v>
      </c>
      <c r="Y88" s="48">
        <v>0</v>
      </c>
      <c r="Z88" s="48">
        <v>0</v>
      </c>
      <c r="AA88" s="48">
        <v>0</v>
      </c>
      <c r="AB88" s="48">
        <v>0</v>
      </c>
      <c r="AC88" s="48">
        <v>0</v>
      </c>
      <c r="AD88" s="48">
        <v>0</v>
      </c>
      <c r="AE88" s="48">
        <v>0</v>
      </c>
      <c r="AF88" s="48">
        <v>0</v>
      </c>
      <c r="AG88" s="48">
        <v>0</v>
      </c>
      <c r="AH88" s="48">
        <v>0</v>
      </c>
      <c r="AI88" s="48">
        <v>0</v>
      </c>
      <c r="AJ88" s="48">
        <v>0</v>
      </c>
      <c r="AK88" s="48">
        <v>0</v>
      </c>
      <c r="AL88" s="48">
        <v>0</v>
      </c>
      <c r="AM88" s="48">
        <v>0</v>
      </c>
      <c r="AN88" s="48">
        <v>0</v>
      </c>
      <c r="AO88" s="48">
        <v>0</v>
      </c>
      <c r="AP88" s="48">
        <v>0</v>
      </c>
      <c r="AQ88" s="48">
        <v>0</v>
      </c>
      <c r="AR88" s="48">
        <v>0</v>
      </c>
      <c r="AS88" s="48">
        <v>0</v>
      </c>
      <c r="AT88" s="48">
        <v>0</v>
      </c>
      <c r="AU88" s="48">
        <v>0</v>
      </c>
      <c r="AV88" s="48">
        <v>0</v>
      </c>
      <c r="AW88" s="48">
        <v>0</v>
      </c>
      <c r="AX88" s="48">
        <v>0</v>
      </c>
      <c r="AY88" s="48">
        <v>0</v>
      </c>
      <c r="AZ88" s="48">
        <v>0</v>
      </c>
      <c r="BA88" s="48">
        <v>0</v>
      </c>
      <c r="BB88" s="48">
        <v>1023000</v>
      </c>
      <c r="BC88" s="48">
        <v>990000</v>
      </c>
      <c r="BD88" s="48">
        <v>1023000</v>
      </c>
      <c r="BE88" s="70">
        <v>0</v>
      </c>
      <c r="BF88" s="70">
        <v>0</v>
      </c>
      <c r="BG88" s="70">
        <v>0</v>
      </c>
      <c r="BH88" s="71">
        <v>3036000</v>
      </c>
    </row>
    <row r="89" spans="1:60" ht="18" x14ac:dyDescent="0.3">
      <c r="A89" s="65" t="s">
        <v>37</v>
      </c>
      <c r="B89" s="66" t="s">
        <v>167</v>
      </c>
      <c r="C89" s="66" t="s">
        <v>306</v>
      </c>
      <c r="D89" s="66">
        <v>0</v>
      </c>
      <c r="E89" s="48">
        <v>0</v>
      </c>
      <c r="F89" s="68" t="s">
        <v>307</v>
      </c>
      <c r="G89" s="66">
        <v>44</v>
      </c>
      <c r="H89" s="69" t="s">
        <v>308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0</v>
      </c>
      <c r="O89" s="48">
        <v>0</v>
      </c>
      <c r="P89" s="48">
        <v>0</v>
      </c>
      <c r="Q89" s="48">
        <v>0</v>
      </c>
      <c r="R89" s="48">
        <v>0</v>
      </c>
      <c r="S89" s="48">
        <v>0</v>
      </c>
      <c r="T89" s="48">
        <v>0</v>
      </c>
      <c r="U89" s="48">
        <v>0</v>
      </c>
      <c r="V89" s="48">
        <v>0</v>
      </c>
      <c r="W89" s="48">
        <v>0</v>
      </c>
      <c r="X89" s="48">
        <v>0</v>
      </c>
      <c r="Y89" s="48">
        <v>0</v>
      </c>
      <c r="Z89" s="48">
        <v>0</v>
      </c>
      <c r="AA89" s="48">
        <v>0</v>
      </c>
      <c r="AB89" s="48">
        <v>0</v>
      </c>
      <c r="AC89" s="48">
        <v>0</v>
      </c>
      <c r="AD89" s="48">
        <v>0</v>
      </c>
      <c r="AE89" s="48">
        <v>0</v>
      </c>
      <c r="AF89" s="48">
        <v>0</v>
      </c>
      <c r="AG89" s="48">
        <v>0</v>
      </c>
      <c r="AH89" s="48">
        <v>0</v>
      </c>
      <c r="AI89" s="48">
        <v>0</v>
      </c>
      <c r="AJ89" s="48">
        <v>0</v>
      </c>
      <c r="AK89" s="48">
        <v>0</v>
      </c>
      <c r="AL89" s="48">
        <v>0</v>
      </c>
      <c r="AM89" s="48">
        <v>0</v>
      </c>
      <c r="AN89" s="48">
        <v>0</v>
      </c>
      <c r="AO89" s="48">
        <v>0</v>
      </c>
      <c r="AP89" s="48">
        <v>0</v>
      </c>
      <c r="AQ89" s="48">
        <v>0</v>
      </c>
      <c r="AR89" s="48">
        <v>0</v>
      </c>
      <c r="AS89" s="48">
        <v>0</v>
      </c>
      <c r="AT89" s="48">
        <v>0</v>
      </c>
      <c r="AU89" s="48">
        <v>0</v>
      </c>
      <c r="AV89" s="48">
        <v>0</v>
      </c>
      <c r="AW89" s="48">
        <v>0</v>
      </c>
      <c r="AX89" s="48">
        <v>0</v>
      </c>
      <c r="AY89" s="48">
        <v>0</v>
      </c>
      <c r="AZ89" s="48">
        <v>0</v>
      </c>
      <c r="BA89" s="48">
        <v>0</v>
      </c>
      <c r="BB89" s="48">
        <v>1023000</v>
      </c>
      <c r="BC89" s="48">
        <v>990000</v>
      </c>
      <c r="BD89" s="48">
        <v>1023000</v>
      </c>
      <c r="BE89" s="70">
        <v>0</v>
      </c>
      <c r="BF89" s="70">
        <v>0</v>
      </c>
      <c r="BG89" s="70">
        <v>0</v>
      </c>
      <c r="BH89" s="71">
        <v>3036000</v>
      </c>
    </row>
    <row r="90" spans="1:60" ht="18" x14ac:dyDescent="0.3">
      <c r="A90" s="65" t="s">
        <v>37</v>
      </c>
      <c r="B90" s="66" t="s">
        <v>193</v>
      </c>
      <c r="C90" s="66" t="s">
        <v>309</v>
      </c>
      <c r="D90" s="66">
        <v>0</v>
      </c>
      <c r="E90" s="48">
        <v>0</v>
      </c>
      <c r="F90" s="68" t="s">
        <v>310</v>
      </c>
      <c r="G90" s="66">
        <v>45</v>
      </c>
      <c r="H90" s="69" t="s">
        <v>311</v>
      </c>
      <c r="I90" s="48">
        <v>0</v>
      </c>
      <c r="J90" s="48">
        <v>0</v>
      </c>
      <c r="K90" s="48">
        <v>0</v>
      </c>
      <c r="L90" s="48">
        <v>0</v>
      </c>
      <c r="M90" s="48">
        <v>0</v>
      </c>
      <c r="N90" s="48">
        <v>0</v>
      </c>
      <c r="O90" s="48">
        <v>0</v>
      </c>
      <c r="P90" s="48">
        <v>0</v>
      </c>
      <c r="Q90" s="48">
        <v>0</v>
      </c>
      <c r="R90" s="48">
        <v>0</v>
      </c>
      <c r="S90" s="48">
        <v>0</v>
      </c>
      <c r="T90" s="48">
        <v>0</v>
      </c>
      <c r="U90" s="48">
        <v>0</v>
      </c>
      <c r="V90" s="48">
        <v>0</v>
      </c>
      <c r="W90" s="48">
        <v>0</v>
      </c>
      <c r="X90" s="48">
        <v>0</v>
      </c>
      <c r="Y90" s="48">
        <v>0</v>
      </c>
      <c r="Z90" s="48">
        <v>0</v>
      </c>
      <c r="AA90" s="48">
        <v>0</v>
      </c>
      <c r="AB90" s="48">
        <v>0</v>
      </c>
      <c r="AC90" s="48">
        <v>0</v>
      </c>
      <c r="AD90" s="48">
        <v>0</v>
      </c>
      <c r="AE90" s="48">
        <v>0</v>
      </c>
      <c r="AF90" s="48">
        <v>0</v>
      </c>
      <c r="AG90" s="48">
        <v>0</v>
      </c>
      <c r="AH90" s="48">
        <v>0</v>
      </c>
      <c r="AI90" s="48">
        <v>0</v>
      </c>
      <c r="AJ90" s="48">
        <v>0</v>
      </c>
      <c r="AK90" s="48">
        <v>0</v>
      </c>
      <c r="AL90" s="48">
        <v>0</v>
      </c>
      <c r="AM90" s="48">
        <v>0</v>
      </c>
      <c r="AN90" s="48">
        <v>0</v>
      </c>
      <c r="AO90" s="48">
        <v>0</v>
      </c>
      <c r="AP90" s="48">
        <v>0</v>
      </c>
      <c r="AQ90" s="48">
        <v>0</v>
      </c>
      <c r="AR90" s="48">
        <v>0</v>
      </c>
      <c r="AS90" s="48">
        <v>0</v>
      </c>
      <c r="AT90" s="48">
        <v>0</v>
      </c>
      <c r="AU90" s="48">
        <v>0</v>
      </c>
      <c r="AV90" s="48">
        <v>0</v>
      </c>
      <c r="AW90" s="48">
        <v>0</v>
      </c>
      <c r="AX90" s="48">
        <v>0</v>
      </c>
      <c r="AY90" s="48">
        <v>0</v>
      </c>
      <c r="AZ90" s="48">
        <v>0</v>
      </c>
      <c r="BA90" s="48">
        <v>0</v>
      </c>
      <c r="BB90" s="48">
        <v>1023000</v>
      </c>
      <c r="BC90" s="48">
        <v>990000</v>
      </c>
      <c r="BD90" s="48">
        <v>1023000</v>
      </c>
      <c r="BE90" s="70">
        <v>0</v>
      </c>
      <c r="BF90" s="70">
        <v>0</v>
      </c>
      <c r="BG90" s="70">
        <v>0</v>
      </c>
      <c r="BH90" s="71">
        <v>3036000</v>
      </c>
    </row>
    <row r="91" spans="1:60" ht="18" x14ac:dyDescent="0.3">
      <c r="A91" s="65" t="s">
        <v>37</v>
      </c>
      <c r="B91" s="66" t="s">
        <v>188</v>
      </c>
      <c r="C91" s="66" t="s">
        <v>312</v>
      </c>
      <c r="D91" s="66">
        <v>0</v>
      </c>
      <c r="E91" s="48">
        <v>0</v>
      </c>
      <c r="F91" s="68" t="s">
        <v>313</v>
      </c>
      <c r="G91" s="66">
        <v>46</v>
      </c>
      <c r="H91" s="69" t="s">
        <v>314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48">
        <v>0</v>
      </c>
      <c r="Y91" s="48">
        <v>0</v>
      </c>
      <c r="Z91" s="48">
        <v>0</v>
      </c>
      <c r="AA91" s="48">
        <v>0</v>
      </c>
      <c r="AB91" s="48">
        <v>0</v>
      </c>
      <c r="AC91" s="48">
        <v>0</v>
      </c>
      <c r="AD91" s="48">
        <v>0</v>
      </c>
      <c r="AE91" s="48">
        <v>0</v>
      </c>
      <c r="AF91" s="48">
        <v>0</v>
      </c>
      <c r="AG91" s="48">
        <v>0</v>
      </c>
      <c r="AH91" s="48">
        <v>0</v>
      </c>
      <c r="AI91" s="48">
        <v>0</v>
      </c>
      <c r="AJ91" s="48">
        <v>0</v>
      </c>
      <c r="AK91" s="48">
        <v>0</v>
      </c>
      <c r="AL91" s="48">
        <v>0</v>
      </c>
      <c r="AM91" s="48">
        <v>0</v>
      </c>
      <c r="AN91" s="48">
        <v>0</v>
      </c>
      <c r="AO91" s="48">
        <v>0</v>
      </c>
      <c r="AP91" s="48">
        <v>0</v>
      </c>
      <c r="AQ91" s="48">
        <v>0</v>
      </c>
      <c r="AR91" s="48">
        <v>0</v>
      </c>
      <c r="AS91" s="48">
        <v>0</v>
      </c>
      <c r="AT91" s="48">
        <v>0</v>
      </c>
      <c r="AU91" s="48">
        <v>0</v>
      </c>
      <c r="AV91" s="48">
        <v>0</v>
      </c>
      <c r="AW91" s="48">
        <v>0</v>
      </c>
      <c r="AX91" s="48">
        <v>0</v>
      </c>
      <c r="AY91" s="48">
        <v>0</v>
      </c>
      <c r="AZ91" s="48">
        <v>0</v>
      </c>
      <c r="BA91" s="48">
        <v>0</v>
      </c>
      <c r="BB91" s="48">
        <v>1023000</v>
      </c>
      <c r="BC91" s="48">
        <v>990000</v>
      </c>
      <c r="BD91" s="48">
        <v>1023000</v>
      </c>
      <c r="BE91" s="70">
        <v>0</v>
      </c>
      <c r="BF91" s="70">
        <v>0</v>
      </c>
      <c r="BG91" s="70">
        <v>0</v>
      </c>
      <c r="BH91" s="71">
        <v>3036000</v>
      </c>
    </row>
    <row r="92" spans="1:60" ht="18" x14ac:dyDescent="0.3">
      <c r="A92" s="65" t="s">
        <v>37</v>
      </c>
      <c r="B92" s="66" t="s">
        <v>279</v>
      </c>
      <c r="C92" s="66" t="s">
        <v>315</v>
      </c>
      <c r="D92" s="66">
        <v>0</v>
      </c>
      <c r="E92" s="48">
        <v>0</v>
      </c>
      <c r="F92" s="68" t="s">
        <v>316</v>
      </c>
      <c r="G92" s="66">
        <v>47</v>
      </c>
      <c r="H92" s="69" t="s">
        <v>317</v>
      </c>
      <c r="I92" s="48">
        <v>0</v>
      </c>
      <c r="J92" s="48">
        <v>0</v>
      </c>
      <c r="K92" s="48">
        <v>0</v>
      </c>
      <c r="L92" s="48">
        <v>0</v>
      </c>
      <c r="M92" s="48">
        <v>0</v>
      </c>
      <c r="N92" s="48">
        <v>0</v>
      </c>
      <c r="O92" s="48">
        <v>0</v>
      </c>
      <c r="P92" s="48">
        <v>0</v>
      </c>
      <c r="Q92" s="48">
        <v>0</v>
      </c>
      <c r="R92" s="48">
        <v>0</v>
      </c>
      <c r="S92" s="48">
        <v>0</v>
      </c>
      <c r="T92" s="48">
        <v>0</v>
      </c>
      <c r="U92" s="48">
        <v>0</v>
      </c>
      <c r="V92" s="48">
        <v>0</v>
      </c>
      <c r="W92" s="48">
        <v>0</v>
      </c>
      <c r="X92" s="48">
        <v>0</v>
      </c>
      <c r="Y92" s="48">
        <v>0</v>
      </c>
      <c r="Z92" s="48">
        <v>0</v>
      </c>
      <c r="AA92" s="48">
        <v>0</v>
      </c>
      <c r="AB92" s="48">
        <v>0</v>
      </c>
      <c r="AC92" s="48">
        <v>0</v>
      </c>
      <c r="AD92" s="48">
        <v>0</v>
      </c>
      <c r="AE92" s="48">
        <v>0</v>
      </c>
      <c r="AF92" s="48">
        <v>0</v>
      </c>
      <c r="AG92" s="48">
        <v>0</v>
      </c>
      <c r="AH92" s="48">
        <v>0</v>
      </c>
      <c r="AI92" s="48">
        <v>0</v>
      </c>
      <c r="AJ92" s="48">
        <v>0</v>
      </c>
      <c r="AK92" s="48">
        <v>0</v>
      </c>
      <c r="AL92" s="48">
        <v>0</v>
      </c>
      <c r="AM92" s="48">
        <v>0</v>
      </c>
      <c r="AN92" s="48">
        <v>0</v>
      </c>
      <c r="AO92" s="48">
        <v>0</v>
      </c>
      <c r="AP92" s="48">
        <v>0</v>
      </c>
      <c r="AQ92" s="48">
        <v>0</v>
      </c>
      <c r="AR92" s="48">
        <v>0</v>
      </c>
      <c r="AS92" s="48">
        <v>0</v>
      </c>
      <c r="AT92" s="48">
        <v>0</v>
      </c>
      <c r="AU92" s="48">
        <v>0</v>
      </c>
      <c r="AV92" s="48">
        <v>0</v>
      </c>
      <c r="AW92" s="48">
        <v>0</v>
      </c>
      <c r="AX92" s="48">
        <v>0</v>
      </c>
      <c r="AY92" s="48">
        <v>0</v>
      </c>
      <c r="AZ92" s="48">
        <v>0</v>
      </c>
      <c r="BA92" s="48">
        <v>0</v>
      </c>
      <c r="BB92" s="48">
        <v>1023000</v>
      </c>
      <c r="BC92" s="48">
        <v>990000</v>
      </c>
      <c r="BD92" s="48">
        <v>1023000</v>
      </c>
      <c r="BE92" s="70">
        <v>0</v>
      </c>
      <c r="BF92" s="70">
        <v>0</v>
      </c>
      <c r="BG92" s="70">
        <v>0</v>
      </c>
      <c r="BH92" s="71">
        <v>3036000</v>
      </c>
    </row>
    <row r="93" spans="1:60" ht="18" x14ac:dyDescent="0.3">
      <c r="A93" s="65" t="s">
        <v>37</v>
      </c>
      <c r="B93" s="66" t="s">
        <v>167</v>
      </c>
      <c r="C93" s="66" t="s">
        <v>173</v>
      </c>
      <c r="D93" s="66" t="s">
        <v>169</v>
      </c>
      <c r="E93" s="48" t="s">
        <v>174</v>
      </c>
      <c r="F93" s="68" t="s">
        <v>318</v>
      </c>
      <c r="G93" s="66">
        <v>48</v>
      </c>
      <c r="H93" s="69" t="s">
        <v>75</v>
      </c>
      <c r="I93" s="48">
        <v>0</v>
      </c>
      <c r="J93" s="48">
        <v>0</v>
      </c>
      <c r="K93" s="48">
        <v>0</v>
      </c>
      <c r="L93" s="48">
        <v>182616</v>
      </c>
      <c r="M93" s="48">
        <v>319071</v>
      </c>
      <c r="N93" s="48">
        <v>314573</v>
      </c>
      <c r="O93" s="48">
        <v>330145</v>
      </c>
      <c r="P93" s="48">
        <v>413588</v>
      </c>
      <c r="Q93" s="48">
        <v>440126</v>
      </c>
      <c r="R93" s="48">
        <v>499276</v>
      </c>
      <c r="S93" s="48">
        <v>451076</v>
      </c>
      <c r="T93" s="48">
        <v>481473</v>
      </c>
      <c r="U93" s="48">
        <v>1004734</v>
      </c>
      <c r="V93" s="48">
        <v>915161.2</v>
      </c>
      <c r="W93" s="48">
        <v>511011</v>
      </c>
      <c r="X93" s="48">
        <v>484102.1</v>
      </c>
      <c r="Y93" s="48">
        <v>511313</v>
      </c>
      <c r="Z93" s="48">
        <v>448141.1</v>
      </c>
      <c r="AA93" s="48">
        <v>490513.9</v>
      </c>
      <c r="AB93" s="48">
        <v>531860.63</v>
      </c>
      <c r="AC93" s="48">
        <v>554198.19999999995</v>
      </c>
      <c r="AD93" s="48">
        <v>562782.9</v>
      </c>
      <c r="AE93" s="48">
        <v>525266.79999999993</v>
      </c>
      <c r="AF93" s="48">
        <v>502791.30000000005</v>
      </c>
      <c r="AG93" s="48">
        <v>525755.07000000007</v>
      </c>
      <c r="AH93" s="48">
        <v>510043.64</v>
      </c>
      <c r="AI93" s="48">
        <v>0</v>
      </c>
      <c r="AJ93" s="48">
        <v>0</v>
      </c>
      <c r="AK93" s="48">
        <v>0</v>
      </c>
      <c r="AL93" s="48">
        <v>0</v>
      </c>
      <c r="AM93" s="48">
        <v>0</v>
      </c>
      <c r="AN93" s="48">
        <v>0</v>
      </c>
      <c r="AO93" s="48">
        <v>0</v>
      </c>
      <c r="AP93" s="48">
        <v>0</v>
      </c>
      <c r="AQ93" s="48">
        <v>0</v>
      </c>
      <c r="AR93" s="48">
        <v>0</v>
      </c>
      <c r="AS93" s="48">
        <v>517438.01</v>
      </c>
      <c r="AT93" s="48">
        <v>471308.01799999998</v>
      </c>
      <c r="AU93" s="48">
        <v>526341.32999999996</v>
      </c>
      <c r="AV93" s="48">
        <v>498625.16300000006</v>
      </c>
      <c r="AW93" s="48">
        <v>526652.39</v>
      </c>
      <c r="AX93" s="48">
        <v>461585.33299999998</v>
      </c>
      <c r="AY93" s="48">
        <v>502776.7475</v>
      </c>
      <c r="AZ93" s="48">
        <v>550475.75205000001</v>
      </c>
      <c r="BA93" s="48">
        <v>576366.12800000003</v>
      </c>
      <c r="BB93" s="48">
        <v>579666.38699999999</v>
      </c>
      <c r="BC93" s="48">
        <v>541025.32929999998</v>
      </c>
      <c r="BD93" s="48">
        <v>541025.32929999998</v>
      </c>
      <c r="BE93" s="70">
        <v>3431944</v>
      </c>
      <c r="BF93" s="70">
        <v>7041876.1300000008</v>
      </c>
      <c r="BG93" s="70">
        <v>1035798.7100000001</v>
      </c>
      <c r="BH93" s="71">
        <v>6293285.917150002</v>
      </c>
    </row>
    <row r="94" spans="1:60" ht="18" x14ac:dyDescent="0.3">
      <c r="A94" s="65" t="s">
        <v>37</v>
      </c>
      <c r="B94" s="66" t="s">
        <v>167</v>
      </c>
      <c r="C94" s="66" t="s">
        <v>175</v>
      </c>
      <c r="D94" s="66" t="s">
        <v>190</v>
      </c>
      <c r="E94" s="48" t="s">
        <v>170</v>
      </c>
      <c r="F94" s="68" t="s">
        <v>319</v>
      </c>
      <c r="G94" s="66">
        <v>49</v>
      </c>
      <c r="H94" s="69" t="s">
        <v>40</v>
      </c>
      <c r="I94" s="48">
        <v>121978</v>
      </c>
      <c r="J94" s="48">
        <v>3247292</v>
      </c>
      <c r="K94" s="48">
        <v>1973591</v>
      </c>
      <c r="L94" s="48">
        <v>2085962.9</v>
      </c>
      <c r="M94" s="48">
        <v>2064064</v>
      </c>
      <c r="N94" s="48">
        <v>2179567</v>
      </c>
      <c r="O94" s="48">
        <v>2919825</v>
      </c>
      <c r="P94" s="48">
        <v>2549570.2000000002</v>
      </c>
      <c r="Q94" s="48">
        <v>1679194.1</v>
      </c>
      <c r="R94" s="48">
        <v>1718110</v>
      </c>
      <c r="S94" s="48">
        <v>1827261.2</v>
      </c>
      <c r="T94" s="48">
        <v>1653309.75</v>
      </c>
      <c r="U94" s="48">
        <v>1043800</v>
      </c>
      <c r="V94" s="48">
        <v>1612200</v>
      </c>
      <c r="W94" s="48">
        <v>1504005</v>
      </c>
      <c r="X94" s="48">
        <v>1447296.1</v>
      </c>
      <c r="Y94" s="48">
        <v>1225557.5</v>
      </c>
      <c r="Z94" s="48">
        <v>1261288.7</v>
      </c>
      <c r="AA94" s="48">
        <v>1549035.1</v>
      </c>
      <c r="AB94" s="48">
        <v>1779564.4000000001</v>
      </c>
      <c r="AC94" s="48">
        <v>1265541.6000000001</v>
      </c>
      <c r="AD94" s="48">
        <v>1300700.3</v>
      </c>
      <c r="AE94" s="48">
        <v>1358388.1</v>
      </c>
      <c r="AF94" s="48">
        <v>1453847.8</v>
      </c>
      <c r="AG94" s="48">
        <v>1505724.34</v>
      </c>
      <c r="AH94" s="48">
        <v>1171479.82</v>
      </c>
      <c r="AI94" s="48">
        <v>0</v>
      </c>
      <c r="AJ94" s="48">
        <v>0</v>
      </c>
      <c r="AK94" s="48">
        <v>0</v>
      </c>
      <c r="AL94" s="48">
        <v>0</v>
      </c>
      <c r="AM94" s="48">
        <v>0</v>
      </c>
      <c r="AN94" s="48">
        <v>0</v>
      </c>
      <c r="AO94" s="48">
        <v>0</v>
      </c>
      <c r="AP94" s="48">
        <v>0</v>
      </c>
      <c r="AQ94" s="48">
        <v>0</v>
      </c>
      <c r="AR94" s="48">
        <v>0</v>
      </c>
      <c r="AS94" s="48">
        <v>540166.5</v>
      </c>
      <c r="AT94" s="48">
        <v>834313.49999999988</v>
      </c>
      <c r="AU94" s="48">
        <v>1556645.175</v>
      </c>
      <c r="AV94" s="48">
        <v>1519660.905</v>
      </c>
      <c r="AW94" s="48">
        <v>1268452.0125</v>
      </c>
      <c r="AX94" s="48">
        <v>1292820.9175</v>
      </c>
      <c r="AY94" s="48">
        <v>1587760.9775</v>
      </c>
      <c r="AZ94" s="48">
        <v>1886338.264</v>
      </c>
      <c r="BA94" s="48">
        <v>1297180.1400000001</v>
      </c>
      <c r="BB94" s="48">
        <v>1326714.3059999999</v>
      </c>
      <c r="BC94" s="48">
        <v>1386309.8255999999</v>
      </c>
      <c r="BD94" s="48">
        <v>1386309.8255999999</v>
      </c>
      <c r="BE94" s="70">
        <v>24019725.150000002</v>
      </c>
      <c r="BF94" s="70">
        <v>16801224.600000001</v>
      </c>
      <c r="BG94" s="70">
        <v>2677204.16</v>
      </c>
      <c r="BH94" s="71">
        <v>15882672.348700002</v>
      </c>
    </row>
    <row r="95" spans="1:60" ht="18.600000000000001" thickBot="1" x14ac:dyDescent="0.35">
      <c r="A95" s="87" t="s">
        <v>37</v>
      </c>
      <c r="B95" s="88" t="s">
        <v>167</v>
      </c>
      <c r="C95" s="88" t="s">
        <v>306</v>
      </c>
      <c r="D95" s="88" t="s">
        <v>320</v>
      </c>
      <c r="E95" s="89">
        <v>0</v>
      </c>
      <c r="F95" s="90" t="s">
        <v>321</v>
      </c>
      <c r="G95" s="88">
        <v>50</v>
      </c>
      <c r="H95" s="91" t="s">
        <v>322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0</v>
      </c>
      <c r="Q95" s="89">
        <v>0</v>
      </c>
      <c r="R95" s="89">
        <v>0</v>
      </c>
      <c r="S95" s="89">
        <v>0</v>
      </c>
      <c r="T95" s="89">
        <v>0</v>
      </c>
      <c r="U95" s="89">
        <v>0</v>
      </c>
      <c r="V95" s="89">
        <v>0</v>
      </c>
      <c r="W95" s="89">
        <v>0</v>
      </c>
      <c r="X95" s="89">
        <v>0</v>
      </c>
      <c r="Y95" s="89">
        <v>0</v>
      </c>
      <c r="Z95" s="89">
        <v>0</v>
      </c>
      <c r="AA95" s="89">
        <v>0</v>
      </c>
      <c r="AB95" s="89">
        <v>0</v>
      </c>
      <c r="AC95" s="89">
        <v>0</v>
      </c>
      <c r="AD95" s="89">
        <v>0</v>
      </c>
      <c r="AE95" s="89">
        <v>0</v>
      </c>
      <c r="AF95" s="89">
        <v>0</v>
      </c>
      <c r="AG95" s="89">
        <v>1939581.09</v>
      </c>
      <c r="AH95" s="89">
        <v>2116231.86</v>
      </c>
      <c r="AI95" s="89">
        <v>0</v>
      </c>
      <c r="AJ95" s="89">
        <v>0</v>
      </c>
      <c r="AK95" s="89">
        <v>0</v>
      </c>
      <c r="AL95" s="89">
        <v>0</v>
      </c>
      <c r="AM95" s="89">
        <v>0</v>
      </c>
      <c r="AN95" s="89">
        <v>0</v>
      </c>
      <c r="AO95" s="89">
        <v>0</v>
      </c>
      <c r="AP95" s="89">
        <v>0</v>
      </c>
      <c r="AQ95" s="89">
        <v>0</v>
      </c>
      <c r="AR95" s="89">
        <v>0</v>
      </c>
      <c r="AS95" s="89">
        <v>0</v>
      </c>
      <c r="AT95" s="89">
        <v>0</v>
      </c>
      <c r="AU95" s="89">
        <v>0</v>
      </c>
      <c r="AV95" s="89">
        <v>0</v>
      </c>
      <c r="AW95" s="89">
        <v>0</v>
      </c>
      <c r="AX95" s="89">
        <v>0</v>
      </c>
      <c r="AY95" s="89">
        <v>0</v>
      </c>
      <c r="AZ95" s="89">
        <v>0</v>
      </c>
      <c r="BA95" s="89">
        <v>0</v>
      </c>
      <c r="BB95" s="89">
        <v>0</v>
      </c>
      <c r="BC95" s="89">
        <v>0</v>
      </c>
      <c r="BD95" s="89">
        <v>0</v>
      </c>
      <c r="BE95" s="92">
        <v>0</v>
      </c>
      <c r="BF95" s="92">
        <v>0</v>
      </c>
      <c r="BG95" s="92">
        <v>4055812.95</v>
      </c>
      <c r="BH95" s="93">
        <v>0</v>
      </c>
    </row>
    <row r="96" spans="1:60" ht="15" thickTop="1" x14ac:dyDescent="0.3"/>
  </sheetData>
  <mergeCells count="5">
    <mergeCell ref="I1:T1"/>
    <mergeCell ref="U1:AF1"/>
    <mergeCell ref="AG1:AR1"/>
    <mergeCell ref="AS1:BD1"/>
    <mergeCell ref="BE1:BH1"/>
  </mergeCells>
  <conditionalFormatting sqref="H5:H13 H46:H95 H15:H4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44E9-08B4-4440-A4CA-4BE6FE4BA073}">
  <sheetPr>
    <tabColor rgb="FFFFFF00"/>
  </sheetPr>
  <dimension ref="A1:T973"/>
  <sheetViews>
    <sheetView showGridLines="0" tabSelected="1" zoomScale="73" zoomScaleNormal="73" workbookViewId="0">
      <pane xSplit="6" ySplit="1" topLeftCell="G232" activePane="bottomRight" state="frozen"/>
      <selection pane="topRight" activeCell="G1" sqref="G1"/>
      <selection pane="bottomLeft" activeCell="A2" sqref="A2"/>
      <selection pane="bottomRight" activeCell="Y255" sqref="Y255"/>
    </sheetView>
  </sheetViews>
  <sheetFormatPr defaultColWidth="9.109375" defaultRowHeight="14.4" x14ac:dyDescent="0.3"/>
  <cols>
    <col min="1" max="1" width="7.44140625" style="45" bestFit="1" customWidth="1"/>
    <col min="2" max="2" width="18" style="45" bestFit="1" customWidth="1"/>
    <col min="3" max="3" width="18" style="45" hidden="1" customWidth="1"/>
    <col min="4" max="4" width="13.44140625" style="1" hidden="1" customWidth="1"/>
    <col min="5" max="5" width="12.109375" style="46" hidden="1" customWidth="1"/>
    <col min="6" max="6" width="19.77734375" style="1" bestFit="1" customWidth="1"/>
    <col min="7" max="7" width="13.44140625" style="1" bestFit="1" customWidth="1"/>
    <col min="8" max="8" width="13.88671875" style="1" bestFit="1" customWidth="1"/>
    <col min="9" max="9" width="11.6640625" style="1" bestFit="1" customWidth="1"/>
    <col min="10" max="10" width="11.109375" style="1" customWidth="1"/>
    <col min="11" max="12" width="10.33203125" style="47" bestFit="1" customWidth="1"/>
    <col min="13" max="13" width="10.44140625" style="47" bestFit="1" customWidth="1"/>
    <col min="14" max="14" width="12.33203125" style="47" bestFit="1" customWidth="1"/>
    <col min="15" max="15" width="15.44140625" style="47" bestFit="1" customWidth="1"/>
    <col min="16" max="16" width="13.109375" style="1" bestFit="1" customWidth="1"/>
    <col min="17" max="17" width="15.33203125" style="1" bestFit="1" customWidth="1"/>
    <col min="18" max="18" width="15.109375" style="1" bestFit="1" customWidth="1"/>
    <col min="19" max="19" width="11.44140625" style="1" bestFit="1" customWidth="1"/>
    <col min="20" max="20" width="11.44140625" style="47" bestFit="1" customWidth="1"/>
    <col min="21" max="21" width="5.6640625" style="1" customWidth="1"/>
    <col min="22" max="16384" width="9.109375" style="1"/>
  </cols>
  <sheetData>
    <row r="1" spans="1:20" ht="15" thickBot="1" x14ac:dyDescent="0.35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</row>
    <row r="2" spans="1:20" ht="15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5" t="s">
        <v>18</v>
      </c>
      <c r="S2" s="6" t="s">
        <v>19</v>
      </c>
      <c r="T2" s="7" t="s">
        <v>20</v>
      </c>
    </row>
    <row r="3" spans="1:20" x14ac:dyDescent="0.3">
      <c r="A3" s="104">
        <v>1</v>
      </c>
      <c r="B3" s="107" t="s">
        <v>44</v>
      </c>
      <c r="C3" s="110" t="s">
        <v>45</v>
      </c>
      <c r="D3" s="110" t="s">
        <v>23</v>
      </c>
      <c r="E3" s="114" t="s">
        <v>24</v>
      </c>
      <c r="F3" s="8" t="s">
        <v>25</v>
      </c>
      <c r="G3" s="23">
        <v>1091202</v>
      </c>
      <c r="H3" s="52">
        <v>999430.73300000001</v>
      </c>
      <c r="I3" s="23">
        <v>1165495.47</v>
      </c>
      <c r="J3" s="48">
        <v>1024475.08</v>
      </c>
      <c r="K3" s="48">
        <v>1016296.983</v>
      </c>
      <c r="L3" s="48">
        <v>951063.9296550001</v>
      </c>
      <c r="M3" s="48">
        <v>906043.625</v>
      </c>
      <c r="N3" s="48">
        <v>910155.29850000003</v>
      </c>
      <c r="O3" s="48">
        <v>1165372</v>
      </c>
      <c r="P3" s="48">
        <v>1068569.5859999999</v>
      </c>
      <c r="Q3" s="48">
        <v>980574.3685000001</v>
      </c>
      <c r="R3" s="48">
        <v>988800</v>
      </c>
      <c r="S3" s="11">
        <f>SUMIF($G$4:$R$4,"&gt;=0",G3:R3)</f>
        <v>6247964.1956549995</v>
      </c>
      <c r="T3" s="10">
        <f>SUM(G3:R3)</f>
        <v>12267479.073654998</v>
      </c>
    </row>
    <row r="4" spans="1:20" ht="15.6" x14ac:dyDescent="0.3">
      <c r="A4" s="105"/>
      <c r="B4" s="108"/>
      <c r="C4" s="111"/>
      <c r="D4" s="111"/>
      <c r="E4" s="115"/>
      <c r="F4" s="12" t="s">
        <v>26</v>
      </c>
      <c r="G4" s="49">
        <v>933279</v>
      </c>
      <c r="H4" s="14">
        <v>1136270.4500000002</v>
      </c>
      <c r="I4" s="50">
        <v>1276778.3400000001</v>
      </c>
      <c r="J4" s="94">
        <v>1130827.05</v>
      </c>
      <c r="K4" s="13">
        <v>1033390.7400000002</v>
      </c>
      <c r="L4" s="13">
        <v>1175054.3899999997</v>
      </c>
      <c r="M4" s="13"/>
      <c r="N4" s="13"/>
      <c r="O4" s="13"/>
      <c r="P4" s="14"/>
      <c r="Q4" s="14"/>
      <c r="R4" s="15"/>
      <c r="S4" s="16">
        <f>SUMIF($G$4:$R$4,"&gt;=0",G4:R4)</f>
        <v>6685599.9699999997</v>
      </c>
      <c r="T4" s="17">
        <f t="shared" ref="T4" si="0">SUM(G4:R4)</f>
        <v>6685599.9699999997</v>
      </c>
    </row>
    <row r="5" spans="1:20" ht="15" thickBot="1" x14ac:dyDescent="0.35">
      <c r="A5" s="105"/>
      <c r="B5" s="108"/>
      <c r="C5" s="111"/>
      <c r="D5" s="111"/>
      <c r="E5" s="115"/>
      <c r="F5" s="18" t="s">
        <v>27</v>
      </c>
      <c r="G5" s="19">
        <f>G4/G3</f>
        <v>0.85527610836490398</v>
      </c>
      <c r="H5" s="51">
        <f t="shared" ref="H5:T5" si="1">H4/H3</f>
        <v>1.1369176597053876</v>
      </c>
      <c r="I5" s="19">
        <f t="shared" si="1"/>
        <v>1.0954811690516482</v>
      </c>
      <c r="J5" s="19">
        <f t="shared" si="1"/>
        <v>1.1038111829913912</v>
      </c>
      <c r="K5" s="19">
        <f t="shared" si="1"/>
        <v>1.0168196474907771</v>
      </c>
      <c r="L5" s="19">
        <f t="shared" si="1"/>
        <v>1.2355156718289722</v>
      </c>
      <c r="M5" s="19">
        <f t="shared" si="1"/>
        <v>0</v>
      </c>
      <c r="N5" s="19">
        <f t="shared" si="1"/>
        <v>0</v>
      </c>
      <c r="O5" s="19">
        <f t="shared" si="1"/>
        <v>0</v>
      </c>
      <c r="P5" s="19">
        <f t="shared" si="1"/>
        <v>0</v>
      </c>
      <c r="Q5" s="19">
        <f t="shared" si="1"/>
        <v>0</v>
      </c>
      <c r="R5" s="20">
        <f t="shared" si="1"/>
        <v>0</v>
      </c>
      <c r="S5" s="21">
        <f t="shared" si="1"/>
        <v>1.0700445394116285</v>
      </c>
      <c r="T5" s="22">
        <f t="shared" si="1"/>
        <v>0.54498564292297413</v>
      </c>
    </row>
    <row r="6" spans="1:20" x14ac:dyDescent="0.3">
      <c r="A6" s="105"/>
      <c r="B6" s="108"/>
      <c r="C6" s="111"/>
      <c r="D6" s="111"/>
      <c r="E6" s="115"/>
      <c r="F6" s="11" t="s">
        <v>28</v>
      </c>
      <c r="G6" s="23">
        <f>'[9]2025 Sales '!$H$10</f>
        <v>1059419</v>
      </c>
      <c r="H6" s="23">
        <f>'[9]2025 Sales '!$I$10</f>
        <v>970321.1</v>
      </c>
      <c r="I6" s="23">
        <f>'[9]2025 Sales '!$J$10</f>
        <v>1131549</v>
      </c>
      <c r="J6" s="23">
        <f>'[9]2025 Sales '!$K$10</f>
        <v>994636</v>
      </c>
      <c r="K6" s="9">
        <f>'[9]2025 Sales '!$L$10</f>
        <v>986696.10000000009</v>
      </c>
      <c r="L6" s="9">
        <f>'[9]2025 Sales '!$M$10</f>
        <v>923363.03850000002</v>
      </c>
      <c r="M6" s="9">
        <f>'[9]2025 Sales '!$N$10</f>
        <v>883945</v>
      </c>
      <c r="N6" s="9">
        <f>'[9]2025 Sales '!$O$10</f>
        <v>879346.35999999975</v>
      </c>
      <c r="O6" s="9">
        <f>'[9]2025 Sales '!$P$10</f>
        <v>1120532.6400000032</v>
      </c>
      <c r="P6" s="23">
        <f>'[9]2025 Sales '!$Q$10</f>
        <v>1037446.2</v>
      </c>
      <c r="Q6" s="23">
        <f>'[9]2025 Sales '!$R$10</f>
        <v>952013.95000000019</v>
      </c>
      <c r="R6" s="24">
        <f>'[9]2025 Sales '!$S$10</f>
        <v>935327.67999999993</v>
      </c>
      <c r="S6" s="11">
        <f>SUMIF($G$4:$R$4,"&gt;=0",G6:R6)</f>
        <v>6065984.2385</v>
      </c>
      <c r="T6" s="10">
        <f>SUM(G6:R6)</f>
        <v>11874596.068500001</v>
      </c>
    </row>
    <row r="7" spans="1:20" ht="15" thickBot="1" x14ac:dyDescent="0.35">
      <c r="A7" s="105"/>
      <c r="B7" s="108"/>
      <c r="C7" s="111"/>
      <c r="D7" s="111"/>
      <c r="E7" s="115"/>
      <c r="F7" s="18" t="s">
        <v>29</v>
      </c>
      <c r="G7" s="19">
        <f>(G4-G6)/G4</f>
        <v>-0.13515786811875119</v>
      </c>
      <c r="H7" s="19">
        <f t="shared" ref="H7:S7" si="2">(H4-H6)/H4</f>
        <v>0.14604740447135642</v>
      </c>
      <c r="I7" s="19">
        <f t="shared" si="2"/>
        <v>0.11374671346633283</v>
      </c>
      <c r="J7" s="19">
        <f t="shared" si="2"/>
        <v>0.12043490646956141</v>
      </c>
      <c r="K7" s="19">
        <f t="shared" si="2"/>
        <v>4.518585099765856E-2</v>
      </c>
      <c r="L7" s="19">
        <f t="shared" si="2"/>
        <v>0.21419549055937717</v>
      </c>
      <c r="M7" s="19" t="e">
        <f t="shared" si="2"/>
        <v>#DIV/0!</v>
      </c>
      <c r="N7" s="19" t="e">
        <f t="shared" si="2"/>
        <v>#DIV/0!</v>
      </c>
      <c r="O7" s="19" t="e">
        <f t="shared" si="2"/>
        <v>#DIV/0!</v>
      </c>
      <c r="P7" s="19" t="e">
        <f t="shared" si="2"/>
        <v>#DIV/0!</v>
      </c>
      <c r="Q7" s="19" t="e">
        <f t="shared" si="2"/>
        <v>#DIV/0!</v>
      </c>
      <c r="R7" s="25" t="e">
        <f t="shared" si="2"/>
        <v>#DIV/0!</v>
      </c>
      <c r="S7" s="21">
        <f t="shared" si="2"/>
        <v>9.2679151352215855E-2</v>
      </c>
      <c r="T7" s="22">
        <f t="shared" ref="T7" si="3">T4/T6</f>
        <v>0.5630170433952727</v>
      </c>
    </row>
    <row r="8" spans="1:20" x14ac:dyDescent="0.3">
      <c r="A8" s="105"/>
      <c r="B8" s="108"/>
      <c r="C8" s="111"/>
      <c r="D8" s="111"/>
      <c r="E8" s="115"/>
      <c r="F8" s="26" t="s">
        <v>323</v>
      </c>
      <c r="G8" s="23">
        <v>3434975.8629000001</v>
      </c>
      <c r="H8" s="23">
        <v>2571455.4201999991</v>
      </c>
      <c r="I8" s="23">
        <v>2890389.9804999977</v>
      </c>
      <c r="J8" s="27"/>
      <c r="K8" s="27"/>
      <c r="L8" s="27"/>
      <c r="M8" s="27"/>
      <c r="N8" s="27"/>
      <c r="O8" s="27"/>
      <c r="P8" s="27"/>
      <c r="Q8" s="27"/>
      <c r="R8" s="28"/>
      <c r="S8" s="11">
        <f>SUMIF($G$4:$R$4,"&gt;=0",G8:R8)</f>
        <v>8896821.2635999974</v>
      </c>
      <c r="T8" s="10">
        <f>SUM(G8:R8)</f>
        <v>8896821.2635999974</v>
      </c>
    </row>
    <row r="9" spans="1:20" x14ac:dyDescent="0.3">
      <c r="A9" s="105"/>
      <c r="B9" s="108"/>
      <c r="C9" s="111"/>
      <c r="D9" s="111"/>
      <c r="E9" s="115"/>
      <c r="F9" s="29" t="s">
        <v>31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30"/>
      <c r="S9" s="16">
        <f>SUMIF($G$4:$R$4,"&gt;=0",G9:R9)</f>
        <v>0</v>
      </c>
      <c r="T9" s="17">
        <f t="shared" ref="T9" si="4">SUM(G9:R9)</f>
        <v>0</v>
      </c>
    </row>
    <row r="10" spans="1:20" ht="15" thickBot="1" x14ac:dyDescent="0.35">
      <c r="A10" s="105"/>
      <c r="B10" s="108"/>
      <c r="C10" s="111"/>
      <c r="D10" s="111"/>
      <c r="E10" s="115"/>
      <c r="F10" s="18" t="s">
        <v>32</v>
      </c>
      <c r="G10" s="19">
        <f>(G8-G9)/G8</f>
        <v>1</v>
      </c>
      <c r="H10" s="19">
        <f t="shared" ref="H10:S10" si="5">(H8-H9)/H8</f>
        <v>1</v>
      </c>
      <c r="I10" s="19">
        <f t="shared" si="5"/>
        <v>1</v>
      </c>
      <c r="J10" s="19" t="e">
        <f t="shared" si="5"/>
        <v>#DIV/0!</v>
      </c>
      <c r="K10" s="19" t="e">
        <f t="shared" si="5"/>
        <v>#DIV/0!</v>
      </c>
      <c r="L10" s="19" t="e">
        <f t="shared" si="5"/>
        <v>#DIV/0!</v>
      </c>
      <c r="M10" s="19" t="e">
        <f t="shared" si="5"/>
        <v>#DIV/0!</v>
      </c>
      <c r="N10" s="19" t="e">
        <f t="shared" si="5"/>
        <v>#DIV/0!</v>
      </c>
      <c r="O10" s="19" t="e">
        <f t="shared" si="5"/>
        <v>#DIV/0!</v>
      </c>
      <c r="P10" s="19" t="e">
        <f t="shared" si="5"/>
        <v>#DIV/0!</v>
      </c>
      <c r="Q10" s="19" t="e">
        <f t="shared" si="5"/>
        <v>#DIV/0!</v>
      </c>
      <c r="R10" s="25" t="e">
        <f t="shared" si="5"/>
        <v>#DIV/0!</v>
      </c>
      <c r="S10" s="21">
        <f t="shared" si="5"/>
        <v>1</v>
      </c>
      <c r="T10" s="22" t="e">
        <f t="shared" ref="T10" si="6">T8/T9</f>
        <v>#DIV/0!</v>
      </c>
    </row>
    <row r="11" spans="1:20" x14ac:dyDescent="0.3">
      <c r="A11" s="105"/>
      <c r="B11" s="108"/>
      <c r="C11" s="111"/>
      <c r="D11" s="111"/>
      <c r="E11" s="115"/>
      <c r="F11" s="31" t="s">
        <v>33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4"/>
      <c r="S11" s="11">
        <f>SUMIF($G$4:$R$4,"&gt;=0",G11:R11)</f>
        <v>0</v>
      </c>
      <c r="T11" s="10">
        <f>SUM(G11:R11)</f>
        <v>0</v>
      </c>
    </row>
    <row r="12" spans="1:20" x14ac:dyDescent="0.3">
      <c r="A12" s="105"/>
      <c r="B12" s="108"/>
      <c r="C12" s="111"/>
      <c r="D12" s="111"/>
      <c r="E12" s="115"/>
      <c r="F12" s="32" t="s">
        <v>34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30"/>
      <c r="S12" s="16">
        <f>SUMIF($G$4:$R$4,"&gt;=0",G12:R12)</f>
        <v>0</v>
      </c>
      <c r="T12" s="17">
        <f>SUM(G12:R12)</f>
        <v>0</v>
      </c>
    </row>
    <row r="13" spans="1:20" ht="15" thickBot="1" x14ac:dyDescent="0.35">
      <c r="A13" s="117"/>
      <c r="B13" s="119"/>
      <c r="C13" s="112"/>
      <c r="D13" s="112"/>
      <c r="E13" s="120"/>
      <c r="F13" s="21" t="s">
        <v>35</v>
      </c>
      <c r="G13" s="19" t="e">
        <f t="shared" ref="G13:S13" si="7">(G12-G11)/G12</f>
        <v>#DIV/0!</v>
      </c>
      <c r="H13" s="19" t="e">
        <f t="shared" si="7"/>
        <v>#DIV/0!</v>
      </c>
      <c r="I13" s="19" t="e">
        <f t="shared" si="7"/>
        <v>#DIV/0!</v>
      </c>
      <c r="J13" s="19" t="e">
        <f t="shared" si="7"/>
        <v>#DIV/0!</v>
      </c>
      <c r="K13" s="19" t="e">
        <f t="shared" si="7"/>
        <v>#DIV/0!</v>
      </c>
      <c r="L13" s="19" t="e">
        <f t="shared" si="7"/>
        <v>#DIV/0!</v>
      </c>
      <c r="M13" s="19" t="e">
        <f t="shared" si="7"/>
        <v>#DIV/0!</v>
      </c>
      <c r="N13" s="19" t="e">
        <f t="shared" si="7"/>
        <v>#DIV/0!</v>
      </c>
      <c r="O13" s="19" t="e">
        <f t="shared" si="7"/>
        <v>#DIV/0!</v>
      </c>
      <c r="P13" s="19" t="e">
        <f t="shared" si="7"/>
        <v>#DIV/0!</v>
      </c>
      <c r="Q13" s="19" t="e">
        <f t="shared" si="7"/>
        <v>#DIV/0!</v>
      </c>
      <c r="R13" s="25" t="e">
        <f t="shared" si="7"/>
        <v>#DIV/0!</v>
      </c>
      <c r="S13" s="21" t="e">
        <f t="shared" si="7"/>
        <v>#DIV/0!</v>
      </c>
      <c r="T13" s="22" t="e">
        <f t="shared" ref="T13" si="8">T12/T11</f>
        <v>#DIV/0!</v>
      </c>
    </row>
    <row r="14" spans="1:20" x14ac:dyDescent="0.3">
      <c r="A14" s="104">
        <v>2</v>
      </c>
      <c r="B14" s="107" t="s">
        <v>46</v>
      </c>
      <c r="C14" s="110" t="s">
        <v>47</v>
      </c>
      <c r="D14" s="110" t="s">
        <v>23</v>
      </c>
      <c r="E14" s="114" t="s">
        <v>24</v>
      </c>
      <c r="F14" s="11" t="s">
        <v>25</v>
      </c>
      <c r="G14" s="23">
        <v>1904095.1830000002</v>
      </c>
      <c r="H14" s="23">
        <v>1712254.49</v>
      </c>
      <c r="I14" s="23">
        <v>1777510.1400000001</v>
      </c>
      <c r="J14" s="23">
        <v>1646491.0499999998</v>
      </c>
      <c r="K14" s="9">
        <v>1152159.9569999999</v>
      </c>
      <c r="L14" s="9">
        <v>1329201.507</v>
      </c>
      <c r="M14" s="9">
        <v>1568153.5571349999</v>
      </c>
      <c r="N14" s="9">
        <v>1621240.6635</v>
      </c>
      <c r="O14" s="9">
        <v>1644402.344</v>
      </c>
      <c r="P14" s="23">
        <v>1639901.3674999999</v>
      </c>
      <c r="Q14" s="23">
        <v>1482198.9224</v>
      </c>
      <c r="R14" s="24">
        <v>1485260</v>
      </c>
      <c r="S14" s="11">
        <f>SUMIF($G$4:$R$4,"&gt;=0",G14:R14)</f>
        <v>9521712.3269999996</v>
      </c>
      <c r="T14" s="10">
        <f>SUM(G14:R14)</f>
        <v>18962869.181535002</v>
      </c>
    </row>
    <row r="15" spans="1:20" x14ac:dyDescent="0.3">
      <c r="A15" s="105"/>
      <c r="B15" s="108"/>
      <c r="C15" s="111"/>
      <c r="D15" s="111"/>
      <c r="E15" s="115"/>
      <c r="F15" s="12" t="s">
        <v>26</v>
      </c>
      <c r="G15" s="14">
        <v>1375036.95</v>
      </c>
      <c r="H15" s="14">
        <v>497054.08999999985</v>
      </c>
      <c r="I15" s="14">
        <v>487219.97000000003</v>
      </c>
      <c r="J15" s="14">
        <v>433531.92000000004</v>
      </c>
      <c r="K15" s="13">
        <v>295249.09000000003</v>
      </c>
      <c r="L15" s="13">
        <v>382025.33000000013</v>
      </c>
      <c r="M15" s="13"/>
      <c r="N15" s="13"/>
      <c r="O15" s="13"/>
      <c r="P15" s="14"/>
      <c r="Q15" s="14"/>
      <c r="R15" s="30"/>
      <c r="S15" s="16">
        <f>SUMIF($G$4:$R$4,"&gt;=0",G15:R15)</f>
        <v>3470117.3499999996</v>
      </c>
      <c r="T15" s="17">
        <f t="shared" ref="T15" si="9">SUM(G15:R15)</f>
        <v>3470117.3499999996</v>
      </c>
    </row>
    <row r="16" spans="1:20" ht="15" thickBot="1" x14ac:dyDescent="0.35">
      <c r="A16" s="105"/>
      <c r="B16" s="108"/>
      <c r="C16" s="111"/>
      <c r="D16" s="111"/>
      <c r="E16" s="115"/>
      <c r="F16" s="18" t="s">
        <v>27</v>
      </c>
      <c r="G16" s="19">
        <f>G15/G14</f>
        <v>0.72214717114800864</v>
      </c>
      <c r="H16" s="19">
        <f t="shared" ref="H16:T16" si="10">H15/H14</f>
        <v>0.29029218080777225</v>
      </c>
      <c r="I16" s="19">
        <f t="shared" si="10"/>
        <v>0.27410249822822391</v>
      </c>
      <c r="J16" s="19">
        <f t="shared" si="10"/>
        <v>0.26330657552010384</v>
      </c>
      <c r="K16" s="19">
        <f t="shared" si="10"/>
        <v>0.25625703115804438</v>
      </c>
      <c r="L16" s="19">
        <f t="shared" si="10"/>
        <v>0.28740964254714779</v>
      </c>
      <c r="M16" s="19">
        <f t="shared" si="10"/>
        <v>0</v>
      </c>
      <c r="N16" s="19">
        <f t="shared" si="10"/>
        <v>0</v>
      </c>
      <c r="O16" s="19">
        <f t="shared" si="10"/>
        <v>0</v>
      </c>
      <c r="P16" s="19">
        <f t="shared" si="10"/>
        <v>0</v>
      </c>
      <c r="Q16" s="19">
        <f t="shared" si="10"/>
        <v>0</v>
      </c>
      <c r="R16" s="25">
        <f t="shared" si="10"/>
        <v>0</v>
      </c>
      <c r="S16" s="21">
        <f t="shared" si="10"/>
        <v>0.36444257406937725</v>
      </c>
      <c r="T16" s="22">
        <f t="shared" si="10"/>
        <v>0.18299537463344465</v>
      </c>
    </row>
    <row r="17" spans="1:20" x14ac:dyDescent="0.3">
      <c r="A17" s="105"/>
      <c r="B17" s="108"/>
      <c r="C17" s="111"/>
      <c r="D17" s="111"/>
      <c r="E17" s="115"/>
      <c r="F17" s="11" t="s">
        <v>28</v>
      </c>
      <c r="G17" s="23">
        <v>1848636.1</v>
      </c>
      <c r="H17" s="23">
        <v>1662383</v>
      </c>
      <c r="I17" s="23">
        <v>1725738</v>
      </c>
      <c r="J17" s="23">
        <v>1598535</v>
      </c>
      <c r="K17" s="9">
        <v>1118601.8999999999</v>
      </c>
      <c r="L17" s="9">
        <v>1290486.8999999999</v>
      </c>
      <c r="M17" s="9">
        <v>1529905.9094</v>
      </c>
      <c r="N17" s="9">
        <v>1566414.8799999943</v>
      </c>
      <c r="O17" s="9">
        <v>1565687.7950000004</v>
      </c>
      <c r="P17" s="23">
        <v>1600129.9</v>
      </c>
      <c r="Q17" s="23">
        <v>1439028.08</v>
      </c>
      <c r="R17" s="24">
        <v>1389486.6599999997</v>
      </c>
      <c r="S17" s="11">
        <f>SUMIF($G$4:$R$4,"&gt;=0",G17:R17)</f>
        <v>9244380.9000000004</v>
      </c>
      <c r="T17" s="10">
        <f>SUM(G17:R17)</f>
        <v>18335034.124399994</v>
      </c>
    </row>
    <row r="18" spans="1:20" ht="15" thickBot="1" x14ac:dyDescent="0.35">
      <c r="A18" s="105"/>
      <c r="B18" s="108"/>
      <c r="C18" s="111"/>
      <c r="D18" s="111"/>
      <c r="E18" s="115"/>
      <c r="F18" s="18" t="s">
        <v>29</v>
      </c>
      <c r="G18" s="19">
        <f>(G15-G17)/G15</f>
        <v>-0.34442648977542034</v>
      </c>
      <c r="H18" s="19">
        <f t="shared" ref="H18:S18" si="11">(H15-H17)/H15</f>
        <v>-2.3444710212524367</v>
      </c>
      <c r="I18" s="19">
        <f t="shared" si="11"/>
        <v>-2.542009987808997</v>
      </c>
      <c r="J18" s="19">
        <f t="shared" si="11"/>
        <v>-2.6872371473823655</v>
      </c>
      <c r="K18" s="19">
        <f t="shared" si="11"/>
        <v>-2.7886717957369478</v>
      </c>
      <c r="L18" s="19">
        <f t="shared" si="11"/>
        <v>-2.3780139657231616</v>
      </c>
      <c r="M18" s="19" t="e">
        <f t="shared" si="11"/>
        <v>#DIV/0!</v>
      </c>
      <c r="N18" s="19" t="e">
        <f t="shared" si="11"/>
        <v>#DIV/0!</v>
      </c>
      <c r="O18" s="19" t="e">
        <f t="shared" si="11"/>
        <v>#DIV/0!</v>
      </c>
      <c r="P18" s="19" t="e">
        <f t="shared" si="11"/>
        <v>#DIV/0!</v>
      </c>
      <c r="Q18" s="19" t="e">
        <f t="shared" si="11"/>
        <v>#DIV/0!</v>
      </c>
      <c r="R18" s="25" t="e">
        <f t="shared" si="11"/>
        <v>#DIV/0!</v>
      </c>
      <c r="S18" s="21">
        <f t="shared" si="11"/>
        <v>-1.6639966224773353</v>
      </c>
      <c r="T18" s="22">
        <f t="shared" ref="T18" si="12">T15/T17</f>
        <v>0.18926157030610696</v>
      </c>
    </row>
    <row r="19" spans="1:20" x14ac:dyDescent="0.3">
      <c r="A19" s="105"/>
      <c r="B19" s="108"/>
      <c r="C19" s="111"/>
      <c r="D19" s="111"/>
      <c r="E19" s="115"/>
      <c r="F19" s="26" t="s">
        <v>30</v>
      </c>
      <c r="G19" s="23">
        <v>3102066.7597999964</v>
      </c>
      <c r="H19" s="23">
        <v>1120881.3187000004</v>
      </c>
      <c r="I19" s="23">
        <v>1102678.8062000002</v>
      </c>
      <c r="J19" s="23"/>
      <c r="K19" s="9"/>
      <c r="L19" s="9"/>
      <c r="M19" s="9"/>
      <c r="N19" s="9"/>
      <c r="O19" s="9"/>
      <c r="P19" s="23"/>
      <c r="Q19" s="23"/>
      <c r="R19" s="24"/>
      <c r="S19" s="11">
        <f>SUMIF($G$4:$R$4,"&gt;=0",G19:R19)</f>
        <v>5325626.8846999975</v>
      </c>
      <c r="T19" s="10">
        <f>SUM(G19:R19)</f>
        <v>5325626.8846999975</v>
      </c>
    </row>
    <row r="20" spans="1:20" x14ac:dyDescent="0.3">
      <c r="A20" s="105"/>
      <c r="B20" s="108"/>
      <c r="C20" s="111"/>
      <c r="D20" s="111"/>
      <c r="E20" s="115"/>
      <c r="F20" s="29" t="s">
        <v>31</v>
      </c>
      <c r="G20" s="14"/>
      <c r="H20" s="14"/>
      <c r="I20" s="14"/>
      <c r="J20" s="14"/>
      <c r="K20" s="13"/>
      <c r="L20" s="13"/>
      <c r="M20" s="13"/>
      <c r="N20" s="13"/>
      <c r="O20" s="13"/>
      <c r="P20" s="14"/>
      <c r="Q20" s="14"/>
      <c r="R20" s="30"/>
      <c r="S20" s="16">
        <f>SUMIF($G$4:$R$4,"&gt;=0",G20:R20)</f>
        <v>0</v>
      </c>
      <c r="T20" s="17">
        <f t="shared" ref="T20" si="13">SUM(G20:R20)</f>
        <v>0</v>
      </c>
    </row>
    <row r="21" spans="1:20" ht="15" thickBot="1" x14ac:dyDescent="0.35">
      <c r="A21" s="105"/>
      <c r="B21" s="108"/>
      <c r="C21" s="111"/>
      <c r="D21" s="111"/>
      <c r="E21" s="115"/>
      <c r="F21" s="18" t="s">
        <v>32</v>
      </c>
      <c r="G21" s="19">
        <f>(G19-G20)/G19</f>
        <v>1</v>
      </c>
      <c r="H21" s="19">
        <f t="shared" ref="H21:S21" si="14">(H19-H20)/H19</f>
        <v>1</v>
      </c>
      <c r="I21" s="19">
        <f t="shared" si="14"/>
        <v>1</v>
      </c>
      <c r="J21" s="19" t="e">
        <f t="shared" si="14"/>
        <v>#DIV/0!</v>
      </c>
      <c r="K21" s="19" t="e">
        <f t="shared" si="14"/>
        <v>#DIV/0!</v>
      </c>
      <c r="L21" s="19" t="e">
        <f t="shared" si="14"/>
        <v>#DIV/0!</v>
      </c>
      <c r="M21" s="19" t="e">
        <f t="shared" si="14"/>
        <v>#DIV/0!</v>
      </c>
      <c r="N21" s="19" t="e">
        <f t="shared" si="14"/>
        <v>#DIV/0!</v>
      </c>
      <c r="O21" s="19" t="e">
        <f t="shared" si="14"/>
        <v>#DIV/0!</v>
      </c>
      <c r="P21" s="19" t="e">
        <f t="shared" si="14"/>
        <v>#DIV/0!</v>
      </c>
      <c r="Q21" s="19" t="e">
        <f t="shared" si="14"/>
        <v>#DIV/0!</v>
      </c>
      <c r="R21" s="25" t="e">
        <f t="shared" si="14"/>
        <v>#DIV/0!</v>
      </c>
      <c r="S21" s="21">
        <f t="shared" si="14"/>
        <v>1</v>
      </c>
      <c r="T21" s="22" t="e">
        <f t="shared" ref="T21" si="15">T19/T20</f>
        <v>#DIV/0!</v>
      </c>
    </row>
    <row r="22" spans="1:20" x14ac:dyDescent="0.3">
      <c r="A22" s="105"/>
      <c r="B22" s="108"/>
      <c r="C22" s="111"/>
      <c r="D22" s="111"/>
      <c r="E22" s="115"/>
      <c r="F22" s="31" t="s">
        <v>33</v>
      </c>
      <c r="G22" s="23"/>
      <c r="H22" s="23"/>
      <c r="I22" s="23"/>
      <c r="J22" s="23"/>
      <c r="K22" s="9"/>
      <c r="L22" s="9"/>
      <c r="M22" s="9"/>
      <c r="N22" s="9"/>
      <c r="O22" s="9"/>
      <c r="P22" s="23"/>
      <c r="Q22" s="23"/>
      <c r="R22" s="24"/>
      <c r="S22" s="11">
        <f>SUMIF($G$4:$R$4,"&gt;=0",G22:R22)</f>
        <v>0</v>
      </c>
      <c r="T22" s="10">
        <f>SUM(G22:R22)</f>
        <v>0</v>
      </c>
    </row>
    <row r="23" spans="1:20" x14ac:dyDescent="0.3">
      <c r="A23" s="105"/>
      <c r="B23" s="108"/>
      <c r="C23" s="111"/>
      <c r="D23" s="111"/>
      <c r="E23" s="115"/>
      <c r="F23" s="32" t="s">
        <v>34</v>
      </c>
      <c r="G23" s="14"/>
      <c r="H23" s="14"/>
      <c r="I23" s="14"/>
      <c r="J23" s="14"/>
      <c r="K23" s="13"/>
      <c r="L23" s="13"/>
      <c r="M23" s="13"/>
      <c r="N23" s="13"/>
      <c r="O23" s="13"/>
      <c r="P23" s="14"/>
      <c r="Q23" s="14"/>
      <c r="R23" s="30"/>
      <c r="S23" s="16">
        <f>SUMIF($G$4:$R$4,"&gt;=0",G23:R23)</f>
        <v>0</v>
      </c>
      <c r="T23" s="17">
        <f>SUM(G23:R23)</f>
        <v>0</v>
      </c>
    </row>
    <row r="24" spans="1:20" ht="15" thickBot="1" x14ac:dyDescent="0.35">
      <c r="A24" s="117"/>
      <c r="B24" s="119"/>
      <c r="C24" s="112"/>
      <c r="D24" s="112"/>
      <c r="E24" s="120"/>
      <c r="F24" s="21" t="s">
        <v>35</v>
      </c>
      <c r="G24" s="19" t="e">
        <f>(G23-G22)/G23</f>
        <v>#DIV/0!</v>
      </c>
      <c r="H24" s="19" t="e">
        <f t="shared" ref="H24:S24" si="16">(H23-H22)/H23</f>
        <v>#DIV/0!</v>
      </c>
      <c r="I24" s="19" t="e">
        <f t="shared" si="16"/>
        <v>#DIV/0!</v>
      </c>
      <c r="J24" s="19" t="e">
        <f t="shared" si="16"/>
        <v>#DIV/0!</v>
      </c>
      <c r="K24" s="19" t="e">
        <f t="shared" si="16"/>
        <v>#DIV/0!</v>
      </c>
      <c r="L24" s="19" t="e">
        <f t="shared" si="16"/>
        <v>#DIV/0!</v>
      </c>
      <c r="M24" s="19" t="e">
        <f t="shared" si="16"/>
        <v>#DIV/0!</v>
      </c>
      <c r="N24" s="19" t="e">
        <f t="shared" si="16"/>
        <v>#DIV/0!</v>
      </c>
      <c r="O24" s="19" t="e">
        <f t="shared" si="16"/>
        <v>#DIV/0!</v>
      </c>
      <c r="P24" s="19" t="e">
        <f t="shared" si="16"/>
        <v>#DIV/0!</v>
      </c>
      <c r="Q24" s="19" t="e">
        <f t="shared" si="16"/>
        <v>#DIV/0!</v>
      </c>
      <c r="R24" s="25" t="e">
        <f t="shared" si="16"/>
        <v>#DIV/0!</v>
      </c>
      <c r="S24" s="21" t="e">
        <f t="shared" si="16"/>
        <v>#DIV/0!</v>
      </c>
      <c r="T24" s="22" t="e">
        <f t="shared" ref="T24" si="17">T23/T22</f>
        <v>#DIV/0!</v>
      </c>
    </row>
    <row r="25" spans="1:20" x14ac:dyDescent="0.3">
      <c r="A25" s="104">
        <v>3</v>
      </c>
      <c r="B25" s="107" t="s">
        <v>21</v>
      </c>
      <c r="C25" s="110" t="s">
        <v>22</v>
      </c>
      <c r="D25" s="110" t="s">
        <v>23</v>
      </c>
      <c r="E25" s="114" t="s">
        <v>24</v>
      </c>
      <c r="F25" s="11" t="s">
        <v>25</v>
      </c>
      <c r="G25" s="23">
        <v>2338593.37</v>
      </c>
      <c r="H25" s="23">
        <v>2067713.5440000002</v>
      </c>
      <c r="I25" s="23">
        <v>3047432.0240000002</v>
      </c>
      <c r="J25" s="23">
        <v>3129770.1539999996</v>
      </c>
      <c r="K25" s="9">
        <v>3261294.7290000003</v>
      </c>
      <c r="L25" s="9">
        <v>2721604.0185000002</v>
      </c>
      <c r="M25" s="9">
        <v>3347384.58</v>
      </c>
      <c r="N25" s="9">
        <v>3915672.84</v>
      </c>
      <c r="O25" s="9">
        <v>3138064.176</v>
      </c>
      <c r="P25" s="23">
        <v>2979416.648</v>
      </c>
      <c r="Q25" s="23">
        <v>2870387.7903999994</v>
      </c>
      <c r="R25" s="24">
        <v>2880800</v>
      </c>
      <c r="S25" s="11">
        <f>SUMIF($G$4:$R$4,"&gt;=0",G25:R25)</f>
        <v>16566407.839500001</v>
      </c>
      <c r="T25" s="10">
        <f>SUM(G25:R25)</f>
        <v>35698133.873899996</v>
      </c>
    </row>
    <row r="26" spans="1:20" x14ac:dyDescent="0.3">
      <c r="A26" s="105"/>
      <c r="B26" s="108"/>
      <c r="C26" s="111"/>
      <c r="D26" s="111"/>
      <c r="E26" s="115"/>
      <c r="F26" s="12" t="s">
        <v>26</v>
      </c>
      <c r="G26" s="14">
        <v>2959947.65</v>
      </c>
      <c r="H26" s="14">
        <v>2599362.8899999997</v>
      </c>
      <c r="I26" s="14">
        <v>3067596.0499999993</v>
      </c>
      <c r="J26" s="14">
        <v>3151873.0099999993</v>
      </c>
      <c r="K26" s="13">
        <v>2973407.31</v>
      </c>
      <c r="L26" s="13">
        <v>2719357.09</v>
      </c>
      <c r="M26" s="13"/>
      <c r="N26" s="13"/>
      <c r="O26" s="13"/>
      <c r="P26" s="14"/>
      <c r="Q26" s="14"/>
      <c r="R26" s="30"/>
      <c r="S26" s="16">
        <f>SUMIF($G$4:$R$4,"&gt;=0",G26:R26)</f>
        <v>17471544</v>
      </c>
      <c r="T26" s="17">
        <f t="shared" ref="T26" si="18">SUM(G26:R26)</f>
        <v>17471544</v>
      </c>
    </row>
    <row r="27" spans="1:20" s="33" customFormat="1" ht="15" thickBot="1" x14ac:dyDescent="0.35">
      <c r="A27" s="105"/>
      <c r="B27" s="108"/>
      <c r="C27" s="111"/>
      <c r="D27" s="111"/>
      <c r="E27" s="115"/>
      <c r="F27" s="18" t="s">
        <v>27</v>
      </c>
      <c r="G27" s="19">
        <f>G26/G25</f>
        <v>1.2656957331577485</v>
      </c>
      <c r="H27" s="19">
        <f t="shared" ref="H27:T27" si="19">H26/H25</f>
        <v>1.2571194387843112</v>
      </c>
      <c r="I27" s="19">
        <f t="shared" si="19"/>
        <v>1.0066167270807675</v>
      </c>
      <c r="J27" s="19">
        <f t="shared" si="19"/>
        <v>1.007062133930746</v>
      </c>
      <c r="K27" s="19">
        <f t="shared" si="19"/>
        <v>0.91172603431390142</v>
      </c>
      <c r="L27" s="19">
        <f t="shared" si="19"/>
        <v>0.999174410206361</v>
      </c>
      <c r="M27" s="19">
        <f t="shared" si="19"/>
        <v>0</v>
      </c>
      <c r="N27" s="19">
        <f t="shared" si="19"/>
        <v>0</v>
      </c>
      <c r="O27" s="19">
        <f t="shared" si="19"/>
        <v>0</v>
      </c>
      <c r="P27" s="19">
        <f t="shared" si="19"/>
        <v>0</v>
      </c>
      <c r="Q27" s="19">
        <f t="shared" si="19"/>
        <v>0</v>
      </c>
      <c r="R27" s="25">
        <f t="shared" si="19"/>
        <v>0</v>
      </c>
      <c r="S27" s="21">
        <f t="shared" si="19"/>
        <v>1.0546368391548253</v>
      </c>
      <c r="T27" s="22">
        <f t="shared" si="19"/>
        <v>0.48942457501326092</v>
      </c>
    </row>
    <row r="28" spans="1:20" s="33" customFormat="1" x14ac:dyDescent="0.3">
      <c r="A28" s="105"/>
      <c r="B28" s="108"/>
      <c r="C28" s="111"/>
      <c r="D28" s="111"/>
      <c r="E28" s="115"/>
      <c r="F28" s="11" t="s">
        <v>28</v>
      </c>
      <c r="G28" s="23">
        <v>2270479</v>
      </c>
      <c r="H28" s="23">
        <v>1988186.1</v>
      </c>
      <c r="I28" s="23">
        <v>2930223.1</v>
      </c>
      <c r="J28" s="23">
        <v>3038611.8</v>
      </c>
      <c r="K28" s="9">
        <v>3151009.4000000004</v>
      </c>
      <c r="L28" s="9">
        <v>2629569.1</v>
      </c>
      <c r="M28" s="9">
        <v>3234188</v>
      </c>
      <c r="N28" s="9">
        <v>3626047.0799999526</v>
      </c>
      <c r="O28" s="9">
        <v>3017415.7800000501</v>
      </c>
      <c r="P28" s="23">
        <v>2864823.7</v>
      </c>
      <c r="Q28" s="23">
        <v>2759988.26</v>
      </c>
      <c r="R28" s="24">
        <v>2827034.91</v>
      </c>
      <c r="S28" s="11">
        <f>SUMIF($G$4:$R$4,"&gt;=0",G28:R28)</f>
        <v>16008078.5</v>
      </c>
      <c r="T28" s="10">
        <f>SUM(G28:R28)</f>
        <v>34337576.230000004</v>
      </c>
    </row>
    <row r="29" spans="1:20" s="33" customFormat="1" ht="15" thickBot="1" x14ac:dyDescent="0.35">
      <c r="A29" s="105"/>
      <c r="B29" s="108"/>
      <c r="C29" s="111"/>
      <c r="D29" s="111"/>
      <c r="E29" s="115"/>
      <c r="F29" s="18" t="s">
        <v>29</v>
      </c>
      <c r="G29" s="19">
        <f>(G26-G28)/G26</f>
        <v>0.23293271757694767</v>
      </c>
      <c r="H29" s="19">
        <f t="shared" ref="H29:S29" si="20">(H26-H28)/H26</f>
        <v>0.23512561187637776</v>
      </c>
      <c r="I29" s="19">
        <f>(I26-I28)/I26</f>
        <v>4.4781955564194731E-2</v>
      </c>
      <c r="J29" s="19">
        <f t="shared" si="20"/>
        <v>3.593457275742195E-2</v>
      </c>
      <c r="K29" s="19">
        <f t="shared" si="20"/>
        <v>-5.9730158529811485E-2</v>
      </c>
      <c r="L29" s="19">
        <f t="shared" si="20"/>
        <v>3.3018094729147823E-2</v>
      </c>
      <c r="M29" s="19" t="e">
        <f t="shared" si="20"/>
        <v>#DIV/0!</v>
      </c>
      <c r="N29" s="19" t="e">
        <f t="shared" si="20"/>
        <v>#DIV/0!</v>
      </c>
      <c r="O29" s="19" t="e">
        <f t="shared" si="20"/>
        <v>#DIV/0!</v>
      </c>
      <c r="P29" s="19" t="e">
        <f t="shared" si="20"/>
        <v>#DIV/0!</v>
      </c>
      <c r="Q29" s="19" t="e">
        <f t="shared" si="20"/>
        <v>#DIV/0!</v>
      </c>
      <c r="R29" s="25" t="e">
        <f t="shared" si="20"/>
        <v>#DIV/0!</v>
      </c>
      <c r="S29" s="21">
        <f t="shared" si="20"/>
        <v>8.3762803104293473E-2</v>
      </c>
      <c r="T29" s="22">
        <f t="shared" ref="T29" si="21">T26/T28</f>
        <v>0.50881704296692576</v>
      </c>
    </row>
    <row r="30" spans="1:20" s="33" customFormat="1" x14ac:dyDescent="0.3">
      <c r="A30" s="105"/>
      <c r="B30" s="108"/>
      <c r="C30" s="111"/>
      <c r="D30" s="111"/>
      <c r="E30" s="115"/>
      <c r="F30" s="26" t="s">
        <v>30</v>
      </c>
      <c r="G30" s="23">
        <v>6794540.9300999921</v>
      </c>
      <c r="H30" s="23">
        <v>5970158.6513999971</v>
      </c>
      <c r="I30" s="23">
        <v>7037307.9065999743</v>
      </c>
      <c r="J30" s="23"/>
      <c r="K30" s="9"/>
      <c r="L30" s="9"/>
      <c r="M30" s="9"/>
      <c r="N30" s="9"/>
      <c r="O30" s="9"/>
      <c r="P30" s="23"/>
      <c r="Q30" s="23"/>
      <c r="R30" s="24"/>
      <c r="S30" s="11">
        <f>SUMIF($G$4:$R$4,"&gt;=0",G30:R30)</f>
        <v>19802007.488099962</v>
      </c>
      <c r="T30" s="10">
        <f>SUM(G30:R30)</f>
        <v>19802007.488099962</v>
      </c>
    </row>
    <row r="31" spans="1:20" s="33" customFormat="1" x14ac:dyDescent="0.3">
      <c r="A31" s="105"/>
      <c r="B31" s="108"/>
      <c r="C31" s="111"/>
      <c r="D31" s="111"/>
      <c r="E31" s="115"/>
      <c r="F31" s="29" t="s">
        <v>31</v>
      </c>
      <c r="G31" s="14"/>
      <c r="H31" s="14"/>
      <c r="I31" s="14"/>
      <c r="J31" s="14"/>
      <c r="K31" s="13"/>
      <c r="L31" s="13"/>
      <c r="M31" s="13"/>
      <c r="N31" s="13"/>
      <c r="O31" s="13"/>
      <c r="P31" s="14"/>
      <c r="Q31" s="14"/>
      <c r="R31" s="30"/>
      <c r="S31" s="16">
        <f>SUMIF($G$4:$R$4,"&gt;=0",G31:R31)</f>
        <v>0</v>
      </c>
      <c r="T31" s="17">
        <f t="shared" ref="T31" si="22">SUM(G31:R31)</f>
        <v>0</v>
      </c>
    </row>
    <row r="32" spans="1:20" s="33" customFormat="1" ht="15" thickBot="1" x14ac:dyDescent="0.35">
      <c r="A32" s="105"/>
      <c r="B32" s="108"/>
      <c r="C32" s="111"/>
      <c r="D32" s="111"/>
      <c r="E32" s="115"/>
      <c r="F32" s="18" t="s">
        <v>32</v>
      </c>
      <c r="G32" s="19">
        <f>(G30-G31)/G30</f>
        <v>1</v>
      </c>
      <c r="H32" s="19">
        <f t="shared" ref="H32:S32" si="23">(H30-H31)/H30</f>
        <v>1</v>
      </c>
      <c r="I32" s="19">
        <f t="shared" si="23"/>
        <v>1</v>
      </c>
      <c r="J32" s="19" t="e">
        <f t="shared" si="23"/>
        <v>#DIV/0!</v>
      </c>
      <c r="K32" s="19" t="e">
        <f t="shared" si="23"/>
        <v>#DIV/0!</v>
      </c>
      <c r="L32" s="19" t="e">
        <f t="shared" si="23"/>
        <v>#DIV/0!</v>
      </c>
      <c r="M32" s="19" t="e">
        <f t="shared" si="23"/>
        <v>#DIV/0!</v>
      </c>
      <c r="N32" s="19" t="e">
        <f t="shared" si="23"/>
        <v>#DIV/0!</v>
      </c>
      <c r="O32" s="19" t="e">
        <f t="shared" si="23"/>
        <v>#DIV/0!</v>
      </c>
      <c r="P32" s="19" t="e">
        <f t="shared" si="23"/>
        <v>#DIV/0!</v>
      </c>
      <c r="Q32" s="19" t="e">
        <f t="shared" si="23"/>
        <v>#DIV/0!</v>
      </c>
      <c r="R32" s="25" t="e">
        <f t="shared" si="23"/>
        <v>#DIV/0!</v>
      </c>
      <c r="S32" s="21">
        <f t="shared" si="23"/>
        <v>1</v>
      </c>
      <c r="T32" s="22" t="e">
        <f t="shared" ref="T32" si="24">T30/T31</f>
        <v>#DIV/0!</v>
      </c>
    </row>
    <row r="33" spans="1:20" s="33" customFormat="1" x14ac:dyDescent="0.3">
      <c r="A33" s="105"/>
      <c r="B33" s="108"/>
      <c r="C33" s="111"/>
      <c r="D33" s="111"/>
      <c r="E33" s="115"/>
      <c r="F33" s="31" t="s">
        <v>33</v>
      </c>
      <c r="G33" s="23"/>
      <c r="H33" s="23"/>
      <c r="I33" s="23"/>
      <c r="J33" s="23"/>
      <c r="K33" s="9"/>
      <c r="L33" s="9"/>
      <c r="M33" s="9"/>
      <c r="N33" s="9"/>
      <c r="O33" s="9"/>
      <c r="P33" s="23"/>
      <c r="Q33" s="23"/>
      <c r="R33" s="24"/>
      <c r="S33" s="11">
        <f>SUMIF($G$4:$R$4,"&gt;=0",G33:R33)</f>
        <v>0</v>
      </c>
      <c r="T33" s="10">
        <f>SUM(G33:R33)</f>
        <v>0</v>
      </c>
    </row>
    <row r="34" spans="1:20" s="33" customFormat="1" x14ac:dyDescent="0.3">
      <c r="A34" s="105"/>
      <c r="B34" s="108"/>
      <c r="C34" s="111"/>
      <c r="D34" s="111"/>
      <c r="E34" s="115"/>
      <c r="F34" s="32" t="s">
        <v>34</v>
      </c>
      <c r="G34" s="14"/>
      <c r="H34" s="14"/>
      <c r="I34" s="14"/>
      <c r="J34" s="14"/>
      <c r="K34" s="13"/>
      <c r="L34" s="13"/>
      <c r="M34" s="13"/>
      <c r="N34" s="13"/>
      <c r="O34" s="13"/>
      <c r="P34" s="14"/>
      <c r="Q34" s="14"/>
      <c r="R34" s="30"/>
      <c r="S34" s="16">
        <f>SUMIF($G$4:$R$4,"&gt;=0",G34:R34)</f>
        <v>0</v>
      </c>
      <c r="T34" s="17">
        <f>SUM(G34:R34)</f>
        <v>0</v>
      </c>
    </row>
    <row r="35" spans="1:20" s="33" customFormat="1" ht="15" thickBot="1" x14ac:dyDescent="0.35">
      <c r="A35" s="106"/>
      <c r="B35" s="109"/>
      <c r="C35" s="112"/>
      <c r="D35" s="113"/>
      <c r="E35" s="116"/>
      <c r="F35" s="21" t="s">
        <v>35</v>
      </c>
      <c r="G35" s="19" t="e">
        <f>(G34-G33)/G34</f>
        <v>#DIV/0!</v>
      </c>
      <c r="H35" s="19" t="e">
        <f t="shared" ref="H35:S35" si="25">(H34-H33)/H34</f>
        <v>#DIV/0!</v>
      </c>
      <c r="I35" s="19" t="e">
        <f t="shared" si="25"/>
        <v>#DIV/0!</v>
      </c>
      <c r="J35" s="19" t="e">
        <f t="shared" si="25"/>
        <v>#DIV/0!</v>
      </c>
      <c r="K35" s="19" t="e">
        <f t="shared" si="25"/>
        <v>#DIV/0!</v>
      </c>
      <c r="L35" s="19" t="e">
        <f t="shared" si="25"/>
        <v>#DIV/0!</v>
      </c>
      <c r="M35" s="19" t="e">
        <f t="shared" si="25"/>
        <v>#DIV/0!</v>
      </c>
      <c r="N35" s="19" t="e">
        <f t="shared" si="25"/>
        <v>#DIV/0!</v>
      </c>
      <c r="O35" s="19" t="e">
        <f t="shared" si="25"/>
        <v>#DIV/0!</v>
      </c>
      <c r="P35" s="19" t="e">
        <f t="shared" si="25"/>
        <v>#DIV/0!</v>
      </c>
      <c r="Q35" s="19" t="e">
        <f t="shared" si="25"/>
        <v>#DIV/0!</v>
      </c>
      <c r="R35" s="25" t="e">
        <f t="shared" si="25"/>
        <v>#DIV/0!</v>
      </c>
      <c r="S35" s="21" t="e">
        <f t="shared" si="25"/>
        <v>#DIV/0!</v>
      </c>
      <c r="T35" s="22" t="e">
        <f t="shared" ref="T35" si="26">T34/T33</f>
        <v>#DIV/0!</v>
      </c>
    </row>
    <row r="36" spans="1:20" x14ac:dyDescent="0.3">
      <c r="A36" s="104">
        <v>4</v>
      </c>
      <c r="B36" s="107" t="s">
        <v>48</v>
      </c>
      <c r="C36" s="110" t="s">
        <v>49</v>
      </c>
      <c r="D36" s="110" t="s">
        <v>23</v>
      </c>
      <c r="E36" s="114" t="s">
        <v>50</v>
      </c>
      <c r="F36" s="11" t="s">
        <v>25</v>
      </c>
      <c r="G36" s="23">
        <v>3478329.7785</v>
      </c>
      <c r="H36" s="23">
        <v>2873125.8449999997</v>
      </c>
      <c r="I36" s="23">
        <v>2941568.5319999997</v>
      </c>
      <c r="J36" s="23">
        <v>2618747.04</v>
      </c>
      <c r="K36" s="9">
        <v>2748889.5164999999</v>
      </c>
      <c r="L36" s="9">
        <v>2533997.0049999999</v>
      </c>
      <c r="M36" s="9">
        <v>3079636.0750000002</v>
      </c>
      <c r="N36" s="9">
        <v>3183676.1859999998</v>
      </c>
      <c r="O36" s="9">
        <v>2564283.1966000004</v>
      </c>
      <c r="P36" s="23">
        <v>2664330.7800000003</v>
      </c>
      <c r="Q36" s="23">
        <v>2630738.0082</v>
      </c>
      <c r="R36" s="24">
        <v>2636700</v>
      </c>
      <c r="S36" s="11">
        <f>SUMIF($G$4:$R$4,"&gt;=0",G36:R36)</f>
        <v>17194657.716999996</v>
      </c>
      <c r="T36" s="10">
        <f>SUM(G36:R36)</f>
        <v>33954021.962799996</v>
      </c>
    </row>
    <row r="37" spans="1:20" x14ac:dyDescent="0.3">
      <c r="A37" s="105"/>
      <c r="B37" s="108"/>
      <c r="C37" s="111"/>
      <c r="D37" s="111"/>
      <c r="E37" s="115"/>
      <c r="F37" s="12" t="s">
        <v>26</v>
      </c>
      <c r="G37" s="14">
        <v>2643146.84</v>
      </c>
      <c r="H37" s="14">
        <v>2357811.5100000002</v>
      </c>
      <c r="I37" s="14">
        <v>2813359.5199999991</v>
      </c>
      <c r="J37" s="14">
        <v>2677710.4900000012</v>
      </c>
      <c r="K37" s="13">
        <v>2369578.79</v>
      </c>
      <c r="L37" s="13">
        <v>2470112.8899999997</v>
      </c>
      <c r="M37" s="13"/>
      <c r="N37" s="13"/>
      <c r="O37" s="13"/>
      <c r="P37" s="14"/>
      <c r="Q37" s="14"/>
      <c r="R37" s="30"/>
      <c r="S37" s="16">
        <f>SUMIF($G$4:$R$4,"&gt;=0",G37:R37)</f>
        <v>15331720.039999999</v>
      </c>
      <c r="T37" s="17">
        <f t="shared" ref="T37" si="27">SUM(G37:R37)</f>
        <v>15331720.039999999</v>
      </c>
    </row>
    <row r="38" spans="1:20" ht="15" thickBot="1" x14ac:dyDescent="0.35">
      <c r="A38" s="105"/>
      <c r="B38" s="108"/>
      <c r="C38" s="111"/>
      <c r="D38" s="111"/>
      <c r="E38" s="115"/>
      <c r="F38" s="18" t="s">
        <v>27</v>
      </c>
      <c r="G38" s="19">
        <f>G37/G36</f>
        <v>0.75988966208368958</v>
      </c>
      <c r="H38" s="19">
        <f>H37/H36</f>
        <v>0.82064331226674847</v>
      </c>
      <c r="I38" s="19">
        <f>I37/I36</f>
        <v>0.95641474587273001</v>
      </c>
      <c r="J38" s="19">
        <f t="shared" ref="J38:T38" si="28">J37/J36</f>
        <v>1.0225159013449427</v>
      </c>
      <c r="K38" s="19">
        <f t="shared" si="28"/>
        <v>0.86201310593851954</v>
      </c>
      <c r="L38" s="19">
        <f t="shared" si="28"/>
        <v>0.97478919080253601</v>
      </c>
      <c r="M38" s="19">
        <f t="shared" si="28"/>
        <v>0</v>
      </c>
      <c r="N38" s="19">
        <f t="shared" si="28"/>
        <v>0</v>
      </c>
      <c r="O38" s="19">
        <f t="shared" si="28"/>
        <v>0</v>
      </c>
      <c r="P38" s="19">
        <f t="shared" si="28"/>
        <v>0</v>
      </c>
      <c r="Q38" s="19">
        <f t="shared" si="28"/>
        <v>0</v>
      </c>
      <c r="R38" s="25">
        <f t="shared" si="28"/>
        <v>0</v>
      </c>
      <c r="S38" s="21">
        <f t="shared" si="28"/>
        <v>0.89165601853428289</v>
      </c>
      <c r="T38" s="22">
        <f t="shared" si="28"/>
        <v>0.45154356255048139</v>
      </c>
    </row>
    <row r="39" spans="1:20" x14ac:dyDescent="0.3">
      <c r="A39" s="105"/>
      <c r="B39" s="108"/>
      <c r="C39" s="111"/>
      <c r="D39" s="111"/>
      <c r="E39" s="115"/>
      <c r="F39" s="11" t="s">
        <v>28</v>
      </c>
      <c r="G39" s="23">
        <v>3360705.1</v>
      </c>
      <c r="H39" s="23">
        <v>2775967</v>
      </c>
      <c r="I39" s="23">
        <v>2842095.2</v>
      </c>
      <c r="J39" s="23">
        <v>2494044.7999999998</v>
      </c>
      <c r="K39" s="9">
        <v>2655931.9000000004</v>
      </c>
      <c r="L39" s="9">
        <v>2472192.2000000002</v>
      </c>
      <c r="M39" s="9">
        <v>3004523</v>
      </c>
      <c r="N39" s="9">
        <v>3003569.1200000024</v>
      </c>
      <c r="O39" s="9">
        <v>2462780.0699999998</v>
      </c>
      <c r="P39" s="23">
        <v>2612089</v>
      </c>
      <c r="Q39" s="23">
        <v>2579154.9099999997</v>
      </c>
      <c r="R39" s="24">
        <v>2659536.5300000003</v>
      </c>
      <c r="S39" s="11">
        <f>SUMIF($G$4:$R$4,"&gt;=0",G39:R39)</f>
        <v>16600936.200000003</v>
      </c>
      <c r="T39" s="10">
        <f>SUM(G39:R39)</f>
        <v>32922588.830000006</v>
      </c>
    </row>
    <row r="40" spans="1:20" ht="15" thickBot="1" x14ac:dyDescent="0.35">
      <c r="A40" s="105"/>
      <c r="B40" s="108"/>
      <c r="C40" s="111"/>
      <c r="D40" s="111"/>
      <c r="E40" s="115"/>
      <c r="F40" s="18" t="s">
        <v>29</v>
      </c>
      <c r="G40" s="19">
        <f>(G37-G39)/G37</f>
        <v>-0.27147877262846293</v>
      </c>
      <c r="H40" s="19">
        <f>(H37-H39)/H37</f>
        <v>-0.17734899003864804</v>
      </c>
      <c r="I40" s="19">
        <f>(I37-I39)/I37</f>
        <v>-1.021400919282478E-2</v>
      </c>
      <c r="J40" s="19">
        <f t="shared" ref="J40:S40" si="29">(J37-J39)/J37</f>
        <v>6.8590570446621091E-2</v>
      </c>
      <c r="K40" s="19">
        <f t="shared" si="29"/>
        <v>-0.12084557441535858</v>
      </c>
      <c r="L40" s="19">
        <f t="shared" si="29"/>
        <v>-8.4178743749664079E-4</v>
      </c>
      <c r="M40" s="19" t="e">
        <f t="shared" si="29"/>
        <v>#DIV/0!</v>
      </c>
      <c r="N40" s="19" t="e">
        <f t="shared" si="29"/>
        <v>#DIV/0!</v>
      </c>
      <c r="O40" s="19" t="e">
        <f t="shared" si="29"/>
        <v>#DIV/0!</v>
      </c>
      <c r="P40" s="19" t="e">
        <f t="shared" si="29"/>
        <v>#DIV/0!</v>
      </c>
      <c r="Q40" s="19" t="e">
        <f t="shared" si="29"/>
        <v>#DIV/0!</v>
      </c>
      <c r="R40" s="25" t="e">
        <f t="shared" si="29"/>
        <v>#DIV/0!</v>
      </c>
      <c r="S40" s="21">
        <f t="shared" si="29"/>
        <v>-8.2783677023103533E-2</v>
      </c>
      <c r="T40" s="22">
        <f t="shared" ref="T40" si="30">T37/T39</f>
        <v>0.46568998930088074</v>
      </c>
    </row>
    <row r="41" spans="1:20" x14ac:dyDescent="0.3">
      <c r="A41" s="105"/>
      <c r="B41" s="108"/>
      <c r="C41" s="111"/>
      <c r="D41" s="111"/>
      <c r="E41" s="115"/>
      <c r="F41" s="26" t="s">
        <v>30</v>
      </c>
      <c r="G41" s="23">
        <v>5602213.7106000027</v>
      </c>
      <c r="H41" s="23">
        <v>4996383.1397000011</v>
      </c>
      <c r="I41" s="23">
        <v>6019314.2320999987</v>
      </c>
      <c r="J41" s="23"/>
      <c r="K41" s="9"/>
      <c r="L41" s="9"/>
      <c r="M41" s="9"/>
      <c r="N41" s="9"/>
      <c r="O41" s="9"/>
      <c r="P41" s="23"/>
      <c r="Q41" s="23"/>
      <c r="R41" s="24"/>
      <c r="S41" s="11">
        <f>SUMIF($G$4:$R$4,"&gt;=0",G41:R41)</f>
        <v>16617911.082400002</v>
      </c>
      <c r="T41" s="10">
        <f>SUM(G41:R41)</f>
        <v>16617911.082400002</v>
      </c>
    </row>
    <row r="42" spans="1:20" x14ac:dyDescent="0.3">
      <c r="A42" s="105"/>
      <c r="B42" s="108"/>
      <c r="C42" s="111"/>
      <c r="D42" s="111"/>
      <c r="E42" s="115"/>
      <c r="F42" s="29" t="s">
        <v>31</v>
      </c>
      <c r="G42" s="14"/>
      <c r="H42" s="14"/>
      <c r="I42" s="14"/>
      <c r="J42" s="14"/>
      <c r="K42" s="13"/>
      <c r="L42" s="13"/>
      <c r="M42" s="13"/>
      <c r="N42" s="13"/>
      <c r="O42" s="13"/>
      <c r="P42" s="14"/>
      <c r="Q42" s="14"/>
      <c r="R42" s="30"/>
      <c r="S42" s="16">
        <f>SUMIF($G$4:$R$4,"&gt;=0",G42:R42)</f>
        <v>0</v>
      </c>
      <c r="T42" s="17">
        <f t="shared" ref="T42" si="31">SUM(G42:R42)</f>
        <v>0</v>
      </c>
    </row>
    <row r="43" spans="1:20" ht="15" thickBot="1" x14ac:dyDescent="0.35">
      <c r="A43" s="105"/>
      <c r="B43" s="108"/>
      <c r="C43" s="111"/>
      <c r="D43" s="111"/>
      <c r="E43" s="115"/>
      <c r="F43" s="18" t="s">
        <v>32</v>
      </c>
      <c r="G43" s="19">
        <f>(G41-G42)/G41</f>
        <v>1</v>
      </c>
      <c r="H43" s="19">
        <f t="shared" ref="H43:S43" si="32">(H41-H42)/H41</f>
        <v>1</v>
      </c>
      <c r="I43" s="19">
        <f t="shared" si="32"/>
        <v>1</v>
      </c>
      <c r="J43" s="19" t="e">
        <f t="shared" si="32"/>
        <v>#DIV/0!</v>
      </c>
      <c r="K43" s="19" t="e">
        <f t="shared" si="32"/>
        <v>#DIV/0!</v>
      </c>
      <c r="L43" s="19" t="e">
        <f t="shared" si="32"/>
        <v>#DIV/0!</v>
      </c>
      <c r="M43" s="19" t="e">
        <f t="shared" si="32"/>
        <v>#DIV/0!</v>
      </c>
      <c r="N43" s="19" t="e">
        <f t="shared" si="32"/>
        <v>#DIV/0!</v>
      </c>
      <c r="O43" s="19" t="e">
        <f t="shared" si="32"/>
        <v>#DIV/0!</v>
      </c>
      <c r="P43" s="19" t="e">
        <f t="shared" si="32"/>
        <v>#DIV/0!</v>
      </c>
      <c r="Q43" s="19" t="e">
        <f t="shared" si="32"/>
        <v>#DIV/0!</v>
      </c>
      <c r="R43" s="25" t="e">
        <f t="shared" si="32"/>
        <v>#DIV/0!</v>
      </c>
      <c r="S43" s="21">
        <f t="shared" si="32"/>
        <v>1</v>
      </c>
      <c r="T43" s="22" t="e">
        <f t="shared" ref="T43" si="33">T41/T42</f>
        <v>#DIV/0!</v>
      </c>
    </row>
    <row r="44" spans="1:20" x14ac:dyDescent="0.3">
      <c r="A44" s="105"/>
      <c r="B44" s="108"/>
      <c r="C44" s="111"/>
      <c r="D44" s="111"/>
      <c r="E44" s="115"/>
      <c r="F44" s="31" t="s">
        <v>33</v>
      </c>
      <c r="G44" s="23"/>
      <c r="H44" s="23"/>
      <c r="I44" s="23"/>
      <c r="J44" s="23"/>
      <c r="K44" s="9"/>
      <c r="L44" s="9"/>
      <c r="M44" s="9"/>
      <c r="N44" s="9"/>
      <c r="O44" s="9"/>
      <c r="P44" s="23"/>
      <c r="Q44" s="23"/>
      <c r="R44" s="24"/>
      <c r="S44" s="11">
        <f>SUMIF($G$4:$R$4,"&gt;=0",G44:R44)</f>
        <v>0</v>
      </c>
      <c r="T44" s="10">
        <f>SUM(G44:R44)</f>
        <v>0</v>
      </c>
    </row>
    <row r="45" spans="1:20" x14ac:dyDescent="0.3">
      <c r="A45" s="105"/>
      <c r="B45" s="108"/>
      <c r="C45" s="111"/>
      <c r="D45" s="111"/>
      <c r="E45" s="115"/>
      <c r="F45" s="32" t="s">
        <v>34</v>
      </c>
      <c r="G45" s="14"/>
      <c r="H45" s="14"/>
      <c r="I45" s="14"/>
      <c r="J45" s="14"/>
      <c r="K45" s="13"/>
      <c r="L45" s="13"/>
      <c r="M45" s="13"/>
      <c r="N45" s="13"/>
      <c r="O45" s="13"/>
      <c r="P45" s="14"/>
      <c r="Q45" s="14"/>
      <c r="R45" s="30"/>
      <c r="S45" s="16">
        <f>SUMIF($G$4:$R$4,"&gt;=0",G45:R45)</f>
        <v>0</v>
      </c>
      <c r="T45" s="17">
        <f>SUM(G45:R45)</f>
        <v>0</v>
      </c>
    </row>
    <row r="46" spans="1:20" ht="15" thickBot="1" x14ac:dyDescent="0.35">
      <c r="A46" s="117"/>
      <c r="B46" s="109"/>
      <c r="C46" s="112"/>
      <c r="D46" s="113"/>
      <c r="E46" s="116"/>
      <c r="F46" s="21" t="s">
        <v>35</v>
      </c>
      <c r="G46" s="19" t="e">
        <f>(G45-G44)/G45</f>
        <v>#DIV/0!</v>
      </c>
      <c r="H46" s="19" t="e">
        <f t="shared" ref="H46:S46" si="34">(H45-H44)/H45</f>
        <v>#DIV/0!</v>
      </c>
      <c r="I46" s="19" t="e">
        <f t="shared" si="34"/>
        <v>#DIV/0!</v>
      </c>
      <c r="J46" s="19" t="e">
        <f t="shared" si="34"/>
        <v>#DIV/0!</v>
      </c>
      <c r="K46" s="19" t="e">
        <f t="shared" si="34"/>
        <v>#DIV/0!</v>
      </c>
      <c r="L46" s="19" t="e">
        <f t="shared" si="34"/>
        <v>#DIV/0!</v>
      </c>
      <c r="M46" s="19" t="e">
        <f t="shared" si="34"/>
        <v>#DIV/0!</v>
      </c>
      <c r="N46" s="19" t="e">
        <f t="shared" si="34"/>
        <v>#DIV/0!</v>
      </c>
      <c r="O46" s="19" t="e">
        <f t="shared" si="34"/>
        <v>#DIV/0!</v>
      </c>
      <c r="P46" s="19" t="e">
        <f t="shared" si="34"/>
        <v>#DIV/0!</v>
      </c>
      <c r="Q46" s="19" t="e">
        <f t="shared" si="34"/>
        <v>#DIV/0!</v>
      </c>
      <c r="R46" s="25" t="e">
        <f t="shared" si="34"/>
        <v>#DIV/0!</v>
      </c>
      <c r="S46" s="21" t="e">
        <f t="shared" si="34"/>
        <v>#DIV/0!</v>
      </c>
      <c r="T46" s="22" t="e">
        <f t="shared" ref="T46" si="35">T45/T44</f>
        <v>#DIV/0!</v>
      </c>
    </row>
    <row r="47" spans="1:20" x14ac:dyDescent="0.3">
      <c r="A47" s="104">
        <v>5</v>
      </c>
      <c r="B47" s="107" t="s">
        <v>51</v>
      </c>
      <c r="C47" s="110" t="s">
        <v>52</v>
      </c>
      <c r="D47" s="110" t="s">
        <v>23</v>
      </c>
      <c r="E47" s="114" t="s">
        <v>50</v>
      </c>
      <c r="F47" s="11" t="s">
        <v>25</v>
      </c>
      <c r="G47" s="23">
        <v>1621503.1395</v>
      </c>
      <c r="H47" s="23">
        <v>1413973.1159999999</v>
      </c>
      <c r="I47" s="23">
        <v>1375900.5374999999</v>
      </c>
      <c r="J47" s="23">
        <v>1533881.37</v>
      </c>
      <c r="K47" s="9">
        <v>1498209.2819999999</v>
      </c>
      <c r="L47" s="9">
        <v>1364203.9675000003</v>
      </c>
      <c r="M47" s="9">
        <v>1496308.2225000001</v>
      </c>
      <c r="N47" s="9">
        <v>1793318.176</v>
      </c>
      <c r="O47" s="9">
        <v>1412373.7399999998</v>
      </c>
      <c r="P47" s="23">
        <v>1416348.8459999999</v>
      </c>
      <c r="Q47" s="23">
        <v>1349067.2489999998</v>
      </c>
      <c r="R47" s="24">
        <v>1356600</v>
      </c>
      <c r="S47" s="11">
        <f>SUMIF($G$4:$R$4,"&gt;=0",G47:R47)</f>
        <v>8807671.4124999996</v>
      </c>
      <c r="T47" s="10">
        <f>SUM(G47:R47)</f>
        <v>17631687.645999998</v>
      </c>
    </row>
    <row r="48" spans="1:20" x14ac:dyDescent="0.3">
      <c r="A48" s="105"/>
      <c r="B48" s="108"/>
      <c r="C48" s="111"/>
      <c r="D48" s="111"/>
      <c r="E48" s="115"/>
      <c r="F48" s="12" t="s">
        <v>26</v>
      </c>
      <c r="G48" s="14">
        <v>1338482.24</v>
      </c>
      <c r="H48" s="14">
        <v>1224764.46</v>
      </c>
      <c r="I48" s="14">
        <v>1413047.4700000004</v>
      </c>
      <c r="J48" s="14">
        <v>1413065.08</v>
      </c>
      <c r="K48" s="13">
        <v>1428970.6099999999</v>
      </c>
      <c r="L48" s="13">
        <v>1326888.75</v>
      </c>
      <c r="M48" s="13"/>
      <c r="N48" s="13"/>
      <c r="O48" s="13"/>
      <c r="P48" s="14"/>
      <c r="Q48" s="14"/>
      <c r="R48" s="30"/>
      <c r="S48" s="16">
        <f>SUMIF($G$4:$R$4,"&gt;=0",G48:R48)</f>
        <v>8145218.6100000013</v>
      </c>
      <c r="T48" s="17">
        <f t="shared" ref="T48" si="36">SUM(G48:R48)</f>
        <v>8145218.6100000013</v>
      </c>
    </row>
    <row r="49" spans="1:20" ht="15" thickBot="1" x14ac:dyDescent="0.35">
      <c r="A49" s="105"/>
      <c r="B49" s="108"/>
      <c r="C49" s="111"/>
      <c r="D49" s="111"/>
      <c r="E49" s="115"/>
      <c r="F49" s="18" t="s">
        <v>27</v>
      </c>
      <c r="G49" s="19">
        <f>G48/G47</f>
        <v>0.82545769255354562</v>
      </c>
      <c r="H49" s="19">
        <f t="shared" ref="H49:T49" si="37">H48/H47</f>
        <v>0.86618652514748384</v>
      </c>
      <c r="I49" s="19">
        <f t="shared" si="37"/>
        <v>1.0269982687611245</v>
      </c>
      <c r="J49" s="19">
        <f t="shared" si="37"/>
        <v>0.92123491922977063</v>
      </c>
      <c r="K49" s="19">
        <f t="shared" si="37"/>
        <v>0.95378571416433122</v>
      </c>
      <c r="L49" s="19">
        <f t="shared" si="37"/>
        <v>0.9726468927015488</v>
      </c>
      <c r="M49" s="19">
        <f t="shared" si="37"/>
        <v>0</v>
      </c>
      <c r="N49" s="19">
        <f t="shared" si="37"/>
        <v>0</v>
      </c>
      <c r="O49" s="19">
        <f t="shared" si="37"/>
        <v>0</v>
      </c>
      <c r="P49" s="19">
        <f t="shared" si="37"/>
        <v>0</v>
      </c>
      <c r="Q49" s="19">
        <f t="shared" si="37"/>
        <v>0</v>
      </c>
      <c r="R49" s="25">
        <f t="shared" si="37"/>
        <v>0</v>
      </c>
      <c r="S49" s="21">
        <f t="shared" si="37"/>
        <v>0.92478683962257791</v>
      </c>
      <c r="T49" s="22">
        <f t="shared" si="37"/>
        <v>0.46196477464525987</v>
      </c>
    </row>
    <row r="50" spans="1:20" x14ac:dyDescent="0.3">
      <c r="A50" s="105"/>
      <c r="B50" s="108"/>
      <c r="C50" s="111"/>
      <c r="D50" s="111"/>
      <c r="E50" s="115"/>
      <c r="F50" s="11" t="s">
        <v>28</v>
      </c>
      <c r="G50" s="23">
        <v>1566669.7</v>
      </c>
      <c r="H50" s="23">
        <v>1366157.6</v>
      </c>
      <c r="I50" s="23">
        <v>1329372.5</v>
      </c>
      <c r="J50" s="23">
        <v>1460839.4</v>
      </c>
      <c r="K50" s="9">
        <v>1447545.2</v>
      </c>
      <c r="L50" s="9">
        <v>1330930.7000000002</v>
      </c>
      <c r="M50" s="9">
        <v>1459812.9</v>
      </c>
      <c r="N50" s="9">
        <v>1693605.8700000043</v>
      </c>
      <c r="O50" s="9">
        <v>1367928.6300000011</v>
      </c>
      <c r="P50" s="23">
        <v>1388577.2999999998</v>
      </c>
      <c r="Q50" s="23">
        <v>1322614.95</v>
      </c>
      <c r="R50" s="24">
        <v>1298720.4600000002</v>
      </c>
      <c r="S50" s="11">
        <f>SUMIF($G$4:$R$4,"&gt;=0",G50:R50)</f>
        <v>8501515.0999999996</v>
      </c>
      <c r="T50" s="10">
        <f>SUM(G50:R50)</f>
        <v>17032775.210000005</v>
      </c>
    </row>
    <row r="51" spans="1:20" ht="15" thickBot="1" x14ac:dyDescent="0.35">
      <c r="A51" s="105"/>
      <c r="B51" s="108"/>
      <c r="C51" s="111"/>
      <c r="D51" s="111"/>
      <c r="E51" s="115"/>
      <c r="F51" s="18" t="s">
        <v>29</v>
      </c>
      <c r="G51" s="19">
        <f>(G48-G50)/G48</f>
        <v>-0.17048224711595722</v>
      </c>
      <c r="H51" s="19">
        <f t="shared" ref="H51:S51" si="38">(H48-H50)/H48</f>
        <v>-0.11544516894293302</v>
      </c>
      <c r="I51" s="19">
        <f t="shared" si="38"/>
        <v>5.921596533483791E-2</v>
      </c>
      <c r="J51" s="19">
        <f t="shared" si="38"/>
        <v>-3.3809001918014864E-2</v>
      </c>
      <c r="K51" s="19">
        <f t="shared" si="38"/>
        <v>-1.2998580845550131E-2</v>
      </c>
      <c r="L51" s="19">
        <f t="shared" si="38"/>
        <v>-3.0461860498856336E-3</v>
      </c>
      <c r="M51" s="19" t="e">
        <f t="shared" si="38"/>
        <v>#DIV/0!</v>
      </c>
      <c r="N51" s="19" t="e">
        <f t="shared" si="38"/>
        <v>#DIV/0!</v>
      </c>
      <c r="O51" s="19" t="e">
        <f t="shared" si="38"/>
        <v>#DIV/0!</v>
      </c>
      <c r="P51" s="19" t="e">
        <f t="shared" si="38"/>
        <v>#DIV/0!</v>
      </c>
      <c r="Q51" s="19" t="e">
        <f t="shared" si="38"/>
        <v>#DIV/0!</v>
      </c>
      <c r="R51" s="25" t="e">
        <f t="shared" si="38"/>
        <v>#DIV/0!</v>
      </c>
      <c r="S51" s="21">
        <f t="shared" si="38"/>
        <v>-4.3743023614193494E-2</v>
      </c>
      <c r="T51" s="22">
        <f t="shared" ref="T51" si="39">T48/T50</f>
        <v>0.47820854262304324</v>
      </c>
    </row>
    <row r="52" spans="1:20" x14ac:dyDescent="0.3">
      <c r="A52" s="105"/>
      <c r="B52" s="108"/>
      <c r="C52" s="111"/>
      <c r="D52" s="111"/>
      <c r="E52" s="115"/>
      <c r="F52" s="26" t="s">
        <v>30</v>
      </c>
      <c r="G52" s="23">
        <v>3191589.7373999995</v>
      </c>
      <c r="H52" s="23">
        <v>2918466.5054000006</v>
      </c>
      <c r="I52" s="23">
        <v>3363175.3803000012</v>
      </c>
      <c r="J52" s="23"/>
      <c r="K52" s="9"/>
      <c r="L52" s="9"/>
      <c r="M52" s="9"/>
      <c r="N52" s="9"/>
      <c r="O52" s="9"/>
      <c r="P52" s="23"/>
      <c r="Q52" s="23"/>
      <c r="R52" s="24"/>
      <c r="S52" s="11">
        <f>SUMIF($G$4:$R$4,"&gt;=0",G52:R52)</f>
        <v>9473231.6231000014</v>
      </c>
      <c r="T52" s="10">
        <f>SUM(G52:R52)</f>
        <v>9473231.6231000014</v>
      </c>
    </row>
    <row r="53" spans="1:20" x14ac:dyDescent="0.3">
      <c r="A53" s="105"/>
      <c r="B53" s="108"/>
      <c r="C53" s="111"/>
      <c r="D53" s="111"/>
      <c r="E53" s="115"/>
      <c r="F53" s="29" t="s">
        <v>31</v>
      </c>
      <c r="G53" s="14"/>
      <c r="H53" s="14"/>
      <c r="I53" s="14"/>
      <c r="J53" s="14"/>
      <c r="K53" s="13"/>
      <c r="L53" s="13"/>
      <c r="M53" s="13"/>
      <c r="N53" s="13"/>
      <c r="O53" s="13"/>
      <c r="P53" s="14"/>
      <c r="Q53" s="14"/>
      <c r="R53" s="30"/>
      <c r="S53" s="16">
        <f>SUMIF($G$4:$R$4,"&gt;=0",G53:R53)</f>
        <v>0</v>
      </c>
      <c r="T53" s="17">
        <f t="shared" ref="T53" si="40">SUM(G53:R53)</f>
        <v>0</v>
      </c>
    </row>
    <row r="54" spans="1:20" ht="15" thickBot="1" x14ac:dyDescent="0.35">
      <c r="A54" s="105"/>
      <c r="B54" s="108"/>
      <c r="C54" s="111"/>
      <c r="D54" s="111"/>
      <c r="E54" s="115"/>
      <c r="F54" s="18" t="s">
        <v>32</v>
      </c>
      <c r="G54" s="19">
        <f>(G52-G53)/G52</f>
        <v>1</v>
      </c>
      <c r="H54" s="19">
        <f t="shared" ref="H54:S54" si="41">(H52-H53)/H52</f>
        <v>1</v>
      </c>
      <c r="I54" s="19">
        <f t="shared" si="41"/>
        <v>1</v>
      </c>
      <c r="J54" s="19" t="e">
        <f t="shared" si="41"/>
        <v>#DIV/0!</v>
      </c>
      <c r="K54" s="19" t="e">
        <f t="shared" si="41"/>
        <v>#DIV/0!</v>
      </c>
      <c r="L54" s="19" t="e">
        <f t="shared" si="41"/>
        <v>#DIV/0!</v>
      </c>
      <c r="M54" s="19" t="e">
        <f t="shared" si="41"/>
        <v>#DIV/0!</v>
      </c>
      <c r="N54" s="19" t="e">
        <f t="shared" si="41"/>
        <v>#DIV/0!</v>
      </c>
      <c r="O54" s="19" t="e">
        <f t="shared" si="41"/>
        <v>#DIV/0!</v>
      </c>
      <c r="P54" s="19" t="e">
        <f t="shared" si="41"/>
        <v>#DIV/0!</v>
      </c>
      <c r="Q54" s="19" t="e">
        <f t="shared" si="41"/>
        <v>#DIV/0!</v>
      </c>
      <c r="R54" s="25" t="e">
        <f t="shared" si="41"/>
        <v>#DIV/0!</v>
      </c>
      <c r="S54" s="21">
        <f t="shared" si="41"/>
        <v>1</v>
      </c>
      <c r="T54" s="22" t="e">
        <f t="shared" ref="T54" si="42">T52/T53</f>
        <v>#DIV/0!</v>
      </c>
    </row>
    <row r="55" spans="1:20" x14ac:dyDescent="0.3">
      <c r="A55" s="105"/>
      <c r="B55" s="108"/>
      <c r="C55" s="111"/>
      <c r="D55" s="111"/>
      <c r="E55" s="115"/>
      <c r="F55" s="31" t="s">
        <v>33</v>
      </c>
      <c r="G55" s="23"/>
      <c r="H55" s="23"/>
      <c r="I55" s="23"/>
      <c r="J55" s="23"/>
      <c r="K55" s="9"/>
      <c r="L55" s="9"/>
      <c r="M55" s="9"/>
      <c r="N55" s="9"/>
      <c r="O55" s="9"/>
      <c r="P55" s="23"/>
      <c r="Q55" s="23"/>
      <c r="R55" s="24"/>
      <c r="S55" s="11">
        <f>SUMIF($G$4:$R$4,"&gt;=0",G55:R55)</f>
        <v>0</v>
      </c>
      <c r="T55" s="10">
        <f>SUM(G55:R55)</f>
        <v>0</v>
      </c>
    </row>
    <row r="56" spans="1:20" x14ac:dyDescent="0.3">
      <c r="A56" s="105"/>
      <c r="B56" s="108"/>
      <c r="C56" s="111"/>
      <c r="D56" s="111"/>
      <c r="E56" s="115"/>
      <c r="F56" s="32" t="s">
        <v>34</v>
      </c>
      <c r="G56" s="14"/>
      <c r="H56" s="14"/>
      <c r="I56" s="14"/>
      <c r="J56" s="14"/>
      <c r="K56" s="13"/>
      <c r="L56" s="13"/>
      <c r="M56" s="13"/>
      <c r="N56" s="13"/>
      <c r="O56" s="13"/>
      <c r="P56" s="14"/>
      <c r="Q56" s="14"/>
      <c r="R56" s="30"/>
      <c r="S56" s="16">
        <f>SUMIF($G$4:$R$4,"&gt;=0",G56:R56)</f>
        <v>0</v>
      </c>
      <c r="T56" s="17">
        <f>SUM(G56:R56)</f>
        <v>0</v>
      </c>
    </row>
    <row r="57" spans="1:20" ht="15" thickBot="1" x14ac:dyDescent="0.35">
      <c r="A57" s="117"/>
      <c r="B57" s="109"/>
      <c r="C57" s="112"/>
      <c r="D57" s="113"/>
      <c r="E57" s="116"/>
      <c r="F57" s="21" t="s">
        <v>35</v>
      </c>
      <c r="G57" s="19" t="e">
        <f>(G56-G55)/G56</f>
        <v>#DIV/0!</v>
      </c>
      <c r="H57" s="19" t="e">
        <f t="shared" ref="H57:S57" si="43">(H56-H55)/H56</f>
        <v>#DIV/0!</v>
      </c>
      <c r="I57" s="19" t="e">
        <f t="shared" si="43"/>
        <v>#DIV/0!</v>
      </c>
      <c r="J57" s="19" t="e">
        <f t="shared" si="43"/>
        <v>#DIV/0!</v>
      </c>
      <c r="K57" s="19" t="e">
        <f t="shared" si="43"/>
        <v>#DIV/0!</v>
      </c>
      <c r="L57" s="19" t="e">
        <f t="shared" si="43"/>
        <v>#DIV/0!</v>
      </c>
      <c r="M57" s="19" t="e">
        <f t="shared" si="43"/>
        <v>#DIV/0!</v>
      </c>
      <c r="N57" s="19" t="e">
        <f t="shared" si="43"/>
        <v>#DIV/0!</v>
      </c>
      <c r="O57" s="19" t="e">
        <f t="shared" si="43"/>
        <v>#DIV/0!</v>
      </c>
      <c r="P57" s="19" t="e">
        <f t="shared" si="43"/>
        <v>#DIV/0!</v>
      </c>
      <c r="Q57" s="19" t="e">
        <f t="shared" si="43"/>
        <v>#DIV/0!</v>
      </c>
      <c r="R57" s="25" t="e">
        <f t="shared" si="43"/>
        <v>#DIV/0!</v>
      </c>
      <c r="S57" s="21" t="e">
        <f t="shared" si="43"/>
        <v>#DIV/0!</v>
      </c>
      <c r="T57" s="22" t="e">
        <f t="shared" ref="T57" si="44">T56/T55</f>
        <v>#DIV/0!</v>
      </c>
    </row>
    <row r="58" spans="1:20" x14ac:dyDescent="0.3">
      <c r="A58" s="104">
        <v>6</v>
      </c>
      <c r="B58" s="107" t="s">
        <v>53</v>
      </c>
      <c r="C58" s="110" t="s">
        <v>54</v>
      </c>
      <c r="D58" s="110" t="s">
        <v>23</v>
      </c>
      <c r="E58" s="114" t="s">
        <v>50</v>
      </c>
      <c r="F58" s="11" t="s">
        <v>25</v>
      </c>
      <c r="G58" s="23">
        <v>1312708.6125</v>
      </c>
      <c r="H58" s="23">
        <v>1279670.067</v>
      </c>
      <c r="I58" s="23">
        <v>1455613.8569999998</v>
      </c>
      <c r="J58" s="23">
        <v>1440113.115</v>
      </c>
      <c r="K58" s="9">
        <v>1435751.0685000001</v>
      </c>
      <c r="L58" s="9">
        <v>1432361.0350000001</v>
      </c>
      <c r="M58" s="9">
        <v>1713132.52</v>
      </c>
      <c r="N58" s="9">
        <v>1906331.9839999997</v>
      </c>
      <c r="O58" s="9">
        <v>1235458.5351025001</v>
      </c>
      <c r="P58" s="23">
        <v>1215341.4240000001</v>
      </c>
      <c r="Q58" s="23">
        <v>1067844.65754</v>
      </c>
      <c r="R58" s="24">
        <v>1071000</v>
      </c>
      <c r="S58" s="11">
        <f>SUMIF($G$4:$R$4,"&gt;=0",G58:R58)</f>
        <v>8356217.7549999999</v>
      </c>
      <c r="T58" s="10">
        <f>SUM(G58:R58)</f>
        <v>16565326.875642501</v>
      </c>
    </row>
    <row r="59" spans="1:20" x14ac:dyDescent="0.3">
      <c r="A59" s="105"/>
      <c r="B59" s="108"/>
      <c r="C59" s="111"/>
      <c r="D59" s="111"/>
      <c r="E59" s="115"/>
      <c r="F59" s="12" t="s">
        <v>26</v>
      </c>
      <c r="G59" s="14">
        <v>1044470.6</v>
      </c>
      <c r="H59" s="14">
        <v>980771.47</v>
      </c>
      <c r="I59" s="14">
        <v>1150385.0600000003</v>
      </c>
      <c r="J59" s="14">
        <v>1050712.99</v>
      </c>
      <c r="K59" s="13">
        <v>1166249.6899999997</v>
      </c>
      <c r="L59" s="13">
        <v>1087012.57</v>
      </c>
      <c r="M59" s="13"/>
      <c r="N59" s="13"/>
      <c r="O59" s="13"/>
      <c r="P59" s="14"/>
      <c r="Q59" s="14"/>
      <c r="R59" s="30"/>
      <c r="S59" s="16">
        <f>SUMIF($G$4:$R$4,"&gt;=0",G59:R59)</f>
        <v>6479602.3799999999</v>
      </c>
      <c r="T59" s="17">
        <f t="shared" ref="T59" si="45">SUM(G59:R59)</f>
        <v>6479602.3799999999</v>
      </c>
    </row>
    <row r="60" spans="1:20" ht="15" thickBot="1" x14ac:dyDescent="0.35">
      <c r="A60" s="105"/>
      <c r="B60" s="108"/>
      <c r="C60" s="111"/>
      <c r="D60" s="111"/>
      <c r="E60" s="115"/>
      <c r="F60" s="18" t="s">
        <v>27</v>
      </c>
      <c r="G60" s="19">
        <f>G59/G58</f>
        <v>0.79566065923102947</v>
      </c>
      <c r="H60" s="19">
        <f t="shared" ref="H60:T60" si="46">H59/H58</f>
        <v>0.76642526483351736</v>
      </c>
      <c r="I60" s="19">
        <f t="shared" si="46"/>
        <v>0.79030922553246918</v>
      </c>
      <c r="J60" s="19">
        <f t="shared" si="46"/>
        <v>0.72960448665867472</v>
      </c>
      <c r="K60" s="19">
        <f t="shared" si="46"/>
        <v>0.81229240610521591</v>
      </c>
      <c r="L60" s="19">
        <f t="shared" si="46"/>
        <v>0.75889565789535729</v>
      </c>
      <c r="M60" s="19">
        <f t="shared" si="46"/>
        <v>0</v>
      </c>
      <c r="N60" s="19">
        <f t="shared" si="46"/>
        <v>0</v>
      </c>
      <c r="O60" s="19">
        <f t="shared" si="46"/>
        <v>0</v>
      </c>
      <c r="P60" s="19">
        <f t="shared" si="46"/>
        <v>0</v>
      </c>
      <c r="Q60" s="19">
        <f t="shared" si="46"/>
        <v>0</v>
      </c>
      <c r="R60" s="25">
        <f t="shared" si="46"/>
        <v>0</v>
      </c>
      <c r="S60" s="21">
        <f t="shared" si="46"/>
        <v>0.77542287312018476</v>
      </c>
      <c r="T60" s="22">
        <f t="shared" si="46"/>
        <v>0.39115451380120642</v>
      </c>
    </row>
    <row r="61" spans="1:20" x14ac:dyDescent="0.3">
      <c r="A61" s="105"/>
      <c r="B61" s="108"/>
      <c r="C61" s="111"/>
      <c r="D61" s="111"/>
      <c r="E61" s="115"/>
      <c r="F61" s="11" t="s">
        <v>28</v>
      </c>
      <c r="G61" s="23">
        <v>1268317.5</v>
      </c>
      <c r="H61" s="23">
        <v>1236396.2</v>
      </c>
      <c r="I61" s="23">
        <v>1406390.2</v>
      </c>
      <c r="J61" s="23">
        <v>1371536.3</v>
      </c>
      <c r="K61" s="9">
        <v>1387199.1</v>
      </c>
      <c r="L61" s="9">
        <v>1397425.4</v>
      </c>
      <c r="M61" s="9">
        <v>1671348.7999999998</v>
      </c>
      <c r="N61" s="9">
        <v>1798439.1299999971</v>
      </c>
      <c r="O61" s="9">
        <v>1205325.810000001</v>
      </c>
      <c r="P61" s="23">
        <v>1191511.2</v>
      </c>
      <c r="Q61" s="23">
        <v>1046906.527</v>
      </c>
      <c r="R61" s="24">
        <v>1014725.5999999999</v>
      </c>
      <c r="S61" s="11">
        <f>SUMIF($G$4:$R$4,"&gt;=0",G61:R61)</f>
        <v>8067264.7000000011</v>
      </c>
      <c r="T61" s="10">
        <f>SUM(G61:R61)</f>
        <v>15995521.766999997</v>
      </c>
    </row>
    <row r="62" spans="1:20" ht="15" thickBot="1" x14ac:dyDescent="0.35">
      <c r="A62" s="105"/>
      <c r="B62" s="108"/>
      <c r="C62" s="111"/>
      <c r="D62" s="111"/>
      <c r="E62" s="115"/>
      <c r="F62" s="18" t="s">
        <v>29</v>
      </c>
      <c r="G62" s="19">
        <f>(G59-G61)/G59</f>
        <v>-0.21431613297684016</v>
      </c>
      <c r="H62" s="19">
        <f t="shared" ref="H62:S62" si="47">(H59-H61)/H59</f>
        <v>-0.26063638453920362</v>
      </c>
      <c r="I62" s="19">
        <f t="shared" si="47"/>
        <v>-0.22253865153638175</v>
      </c>
      <c r="J62" s="19">
        <f t="shared" si="47"/>
        <v>-0.30533867293293865</v>
      </c>
      <c r="K62" s="19">
        <f t="shared" si="47"/>
        <v>-0.18945292066915828</v>
      </c>
      <c r="L62" s="19">
        <f t="shared" si="47"/>
        <v>-0.28556507860806046</v>
      </c>
      <c r="M62" s="19" t="e">
        <f t="shared" si="47"/>
        <v>#DIV/0!</v>
      </c>
      <c r="N62" s="19" t="e">
        <f t="shared" si="47"/>
        <v>#DIV/0!</v>
      </c>
      <c r="O62" s="19" t="e">
        <f t="shared" si="47"/>
        <v>#DIV/0!</v>
      </c>
      <c r="P62" s="19" t="e">
        <f t="shared" si="47"/>
        <v>#DIV/0!</v>
      </c>
      <c r="Q62" s="19" t="e">
        <f t="shared" si="47"/>
        <v>#DIV/0!</v>
      </c>
      <c r="R62" s="25" t="e">
        <f t="shared" si="47"/>
        <v>#DIV/0!</v>
      </c>
      <c r="S62" s="21">
        <f t="shared" si="47"/>
        <v>-0.24502465226886364</v>
      </c>
      <c r="T62" s="22">
        <f t="shared" ref="T62" si="48">T59/T61</f>
        <v>0.40508852880109997</v>
      </c>
    </row>
    <row r="63" spans="1:20" x14ac:dyDescent="0.3">
      <c r="A63" s="105"/>
      <c r="B63" s="108"/>
      <c r="C63" s="111"/>
      <c r="D63" s="111"/>
      <c r="E63" s="115"/>
      <c r="F63" s="26" t="s">
        <v>30</v>
      </c>
      <c r="G63" s="23">
        <v>2416605.2721999991</v>
      </c>
      <c r="H63" s="23">
        <v>2265337.7853000001</v>
      </c>
      <c r="I63" s="23">
        <v>2656477.4413000005</v>
      </c>
      <c r="J63" s="23"/>
      <c r="K63" s="9"/>
      <c r="L63" s="9"/>
      <c r="M63" s="9"/>
      <c r="N63" s="9"/>
      <c r="O63" s="9"/>
      <c r="P63" s="23"/>
      <c r="Q63" s="23"/>
      <c r="R63" s="24"/>
      <c r="S63" s="11">
        <f>SUMIF($G$4:$R$4,"&gt;=0",G63:R63)</f>
        <v>7338420.4988000002</v>
      </c>
      <c r="T63" s="10">
        <f>SUM(G63:R63)</f>
        <v>7338420.4988000002</v>
      </c>
    </row>
    <row r="64" spans="1:20" x14ac:dyDescent="0.3">
      <c r="A64" s="105"/>
      <c r="B64" s="108"/>
      <c r="C64" s="111"/>
      <c r="D64" s="111"/>
      <c r="E64" s="115"/>
      <c r="F64" s="29" t="s">
        <v>31</v>
      </c>
      <c r="G64" s="14"/>
      <c r="H64" s="14"/>
      <c r="I64" s="14"/>
      <c r="J64" s="14"/>
      <c r="K64" s="13"/>
      <c r="L64" s="13"/>
      <c r="M64" s="13"/>
      <c r="N64" s="13"/>
      <c r="O64" s="13"/>
      <c r="P64" s="14"/>
      <c r="Q64" s="14"/>
      <c r="R64" s="30"/>
      <c r="S64" s="16">
        <f>SUMIF($G$4:$R$4,"&gt;=0",G64:R64)</f>
        <v>0</v>
      </c>
      <c r="T64" s="17">
        <f t="shared" ref="T64" si="49">SUM(G64:R64)</f>
        <v>0</v>
      </c>
    </row>
    <row r="65" spans="1:20" ht="15" thickBot="1" x14ac:dyDescent="0.35">
      <c r="A65" s="105"/>
      <c r="B65" s="108"/>
      <c r="C65" s="111"/>
      <c r="D65" s="111"/>
      <c r="E65" s="115"/>
      <c r="F65" s="18" t="s">
        <v>32</v>
      </c>
      <c r="G65" s="19">
        <f>(G63-G64)/G63</f>
        <v>1</v>
      </c>
      <c r="H65" s="19">
        <f t="shared" ref="H65:S65" si="50">(H63-H64)/H63</f>
        <v>1</v>
      </c>
      <c r="I65" s="19">
        <f t="shared" si="50"/>
        <v>1</v>
      </c>
      <c r="J65" s="19" t="e">
        <f t="shared" si="50"/>
        <v>#DIV/0!</v>
      </c>
      <c r="K65" s="19" t="e">
        <f t="shared" si="50"/>
        <v>#DIV/0!</v>
      </c>
      <c r="L65" s="19" t="e">
        <f t="shared" si="50"/>
        <v>#DIV/0!</v>
      </c>
      <c r="M65" s="19" t="e">
        <f t="shared" si="50"/>
        <v>#DIV/0!</v>
      </c>
      <c r="N65" s="19" t="e">
        <f t="shared" si="50"/>
        <v>#DIV/0!</v>
      </c>
      <c r="O65" s="19" t="e">
        <f t="shared" si="50"/>
        <v>#DIV/0!</v>
      </c>
      <c r="P65" s="19" t="e">
        <f t="shared" si="50"/>
        <v>#DIV/0!</v>
      </c>
      <c r="Q65" s="19" t="e">
        <f t="shared" si="50"/>
        <v>#DIV/0!</v>
      </c>
      <c r="R65" s="25" t="e">
        <f t="shared" si="50"/>
        <v>#DIV/0!</v>
      </c>
      <c r="S65" s="21">
        <f t="shared" si="50"/>
        <v>1</v>
      </c>
      <c r="T65" s="22" t="e">
        <f t="shared" ref="T65" si="51">T63/T64</f>
        <v>#DIV/0!</v>
      </c>
    </row>
    <row r="66" spans="1:20" x14ac:dyDescent="0.3">
      <c r="A66" s="105"/>
      <c r="B66" s="108"/>
      <c r="C66" s="111"/>
      <c r="D66" s="111"/>
      <c r="E66" s="115"/>
      <c r="F66" s="31" t="s">
        <v>33</v>
      </c>
      <c r="G66" s="23"/>
      <c r="H66" s="23"/>
      <c r="I66" s="23"/>
      <c r="J66" s="23"/>
      <c r="K66" s="9"/>
      <c r="L66" s="9"/>
      <c r="M66" s="9"/>
      <c r="N66" s="9"/>
      <c r="O66" s="9"/>
      <c r="P66" s="23"/>
      <c r="Q66" s="23"/>
      <c r="R66" s="24"/>
      <c r="S66" s="11">
        <f>SUMIF($G$4:$R$4,"&gt;=0",G66:R66)</f>
        <v>0</v>
      </c>
      <c r="T66" s="10">
        <f>SUM(G66:R66)</f>
        <v>0</v>
      </c>
    </row>
    <row r="67" spans="1:20" x14ac:dyDescent="0.3">
      <c r="A67" s="105"/>
      <c r="B67" s="108"/>
      <c r="C67" s="111"/>
      <c r="D67" s="111"/>
      <c r="E67" s="115"/>
      <c r="F67" s="32" t="s">
        <v>34</v>
      </c>
      <c r="G67" s="14"/>
      <c r="H67" s="14"/>
      <c r="I67" s="14"/>
      <c r="J67" s="14"/>
      <c r="K67" s="13"/>
      <c r="L67" s="13"/>
      <c r="M67" s="13"/>
      <c r="N67" s="13"/>
      <c r="O67" s="13"/>
      <c r="P67" s="14"/>
      <c r="Q67" s="14"/>
      <c r="R67" s="30"/>
      <c r="S67" s="16">
        <f>SUMIF($G$4:$R$4,"&gt;=0",G67:R67)</f>
        <v>0</v>
      </c>
      <c r="T67" s="17">
        <f>SUM(G67:R67)</f>
        <v>0</v>
      </c>
    </row>
    <row r="68" spans="1:20" ht="15" thickBot="1" x14ac:dyDescent="0.35">
      <c r="A68" s="106"/>
      <c r="B68" s="109"/>
      <c r="C68" s="112"/>
      <c r="D68" s="113"/>
      <c r="E68" s="116"/>
      <c r="F68" s="21" t="s">
        <v>35</v>
      </c>
      <c r="G68" s="19" t="e">
        <f>(G67-G66)/G67</f>
        <v>#DIV/0!</v>
      </c>
      <c r="H68" s="19" t="e">
        <f t="shared" ref="H68:S68" si="52">(H67-H66)/H67</f>
        <v>#DIV/0!</v>
      </c>
      <c r="I68" s="19" t="e">
        <f t="shared" si="52"/>
        <v>#DIV/0!</v>
      </c>
      <c r="J68" s="19" t="e">
        <f t="shared" si="52"/>
        <v>#DIV/0!</v>
      </c>
      <c r="K68" s="19" t="e">
        <f t="shared" si="52"/>
        <v>#DIV/0!</v>
      </c>
      <c r="L68" s="19" t="e">
        <f t="shared" si="52"/>
        <v>#DIV/0!</v>
      </c>
      <c r="M68" s="19" t="e">
        <f t="shared" si="52"/>
        <v>#DIV/0!</v>
      </c>
      <c r="N68" s="19" t="e">
        <f t="shared" si="52"/>
        <v>#DIV/0!</v>
      </c>
      <c r="O68" s="19" t="e">
        <f t="shared" si="52"/>
        <v>#DIV/0!</v>
      </c>
      <c r="P68" s="19" t="e">
        <f t="shared" si="52"/>
        <v>#DIV/0!</v>
      </c>
      <c r="Q68" s="19" t="e">
        <f t="shared" si="52"/>
        <v>#DIV/0!</v>
      </c>
      <c r="R68" s="25" t="e">
        <f t="shared" si="52"/>
        <v>#DIV/0!</v>
      </c>
      <c r="S68" s="21" t="e">
        <f t="shared" si="52"/>
        <v>#DIV/0!</v>
      </c>
      <c r="T68" s="22" t="e">
        <f t="shared" ref="T68" si="53">T67/T66</f>
        <v>#DIV/0!</v>
      </c>
    </row>
    <row r="69" spans="1:20" x14ac:dyDescent="0.3">
      <c r="A69" s="104">
        <v>7</v>
      </c>
      <c r="B69" s="107" t="s">
        <v>55</v>
      </c>
      <c r="C69" s="110" t="s">
        <v>56</v>
      </c>
      <c r="D69" s="110" t="s">
        <v>23</v>
      </c>
      <c r="E69" s="114" t="s">
        <v>24</v>
      </c>
      <c r="F69" s="11" t="s">
        <v>25</v>
      </c>
      <c r="G69" s="23">
        <v>3720000</v>
      </c>
      <c r="H69" s="23">
        <v>3906000</v>
      </c>
      <c r="I69" s="23">
        <v>4101300</v>
      </c>
      <c r="J69" s="23">
        <v>4224339</v>
      </c>
      <c r="K69" s="9">
        <v>4351069.17</v>
      </c>
      <c r="L69" s="9">
        <v>4351069.17</v>
      </c>
      <c r="M69" s="9">
        <v>4438090.5533999996</v>
      </c>
      <c r="N69" s="9">
        <v>4504661.9117009994</v>
      </c>
      <c r="O69" s="9">
        <v>4572231.8403765149</v>
      </c>
      <c r="P69" s="23">
        <v>4800843.4323953409</v>
      </c>
      <c r="Q69" s="23">
        <v>4944868.7353672013</v>
      </c>
      <c r="R69" s="24">
        <v>5093214.7974282177</v>
      </c>
      <c r="S69" s="11">
        <f>SUMIF($G$4:$R$4,"&gt;=0",G69:R69)</f>
        <v>24653777.340000004</v>
      </c>
      <c r="T69" s="10">
        <f>SUM(G69:R69)</f>
        <v>53007688.610668279</v>
      </c>
    </row>
    <row r="70" spans="1:20" x14ac:dyDescent="0.3">
      <c r="A70" s="105"/>
      <c r="B70" s="108"/>
      <c r="C70" s="111"/>
      <c r="D70" s="111"/>
      <c r="E70" s="115"/>
      <c r="F70" s="12" t="s">
        <v>26</v>
      </c>
      <c r="G70" s="14">
        <v>4250476.08</v>
      </c>
      <c r="H70" s="14">
        <v>4167920.8600000003</v>
      </c>
      <c r="I70" s="14">
        <v>4912352.7699999986</v>
      </c>
      <c r="J70" s="14">
        <v>3602255.7100000004</v>
      </c>
      <c r="K70" s="13">
        <v>3127971.8999999994</v>
      </c>
      <c r="L70" s="13">
        <v>3477838.15</v>
      </c>
      <c r="M70" s="13"/>
      <c r="N70" s="13"/>
      <c r="O70" s="13"/>
      <c r="P70" s="14"/>
      <c r="Q70" s="14"/>
      <c r="R70" s="30"/>
      <c r="S70" s="16">
        <f>SUMIF($G$4:$R$4,"&gt;=0",G70:R70)</f>
        <v>23538815.469999999</v>
      </c>
      <c r="T70" s="17">
        <f t="shared" ref="T70" si="54">SUM(G70:R70)</f>
        <v>23538815.469999999</v>
      </c>
    </row>
    <row r="71" spans="1:20" ht="15" thickBot="1" x14ac:dyDescent="0.35">
      <c r="A71" s="105"/>
      <c r="B71" s="108"/>
      <c r="C71" s="111"/>
      <c r="D71" s="111"/>
      <c r="E71" s="115"/>
      <c r="F71" s="18" t="s">
        <v>27</v>
      </c>
      <c r="G71" s="19">
        <f>G70/G69</f>
        <v>1.1426010967741935</v>
      </c>
      <c r="H71" s="19">
        <f t="shared" ref="H71:T71" si="55">H70/H69</f>
        <v>1.0670560317460318</v>
      </c>
      <c r="I71" s="19">
        <f t="shared" si="55"/>
        <v>1.1977550459610364</v>
      </c>
      <c r="J71" s="19">
        <f t="shared" si="55"/>
        <v>0.85273831243183851</v>
      </c>
      <c r="K71" s="19">
        <f t="shared" si="55"/>
        <v>0.71889730495826609</v>
      </c>
      <c r="L71" s="19">
        <f t="shared" si="55"/>
        <v>0.79930656445987958</v>
      </c>
      <c r="M71" s="19">
        <f t="shared" si="55"/>
        <v>0</v>
      </c>
      <c r="N71" s="19">
        <f t="shared" si="55"/>
        <v>0</v>
      </c>
      <c r="O71" s="19">
        <f t="shared" si="55"/>
        <v>0</v>
      </c>
      <c r="P71" s="19">
        <f t="shared" si="55"/>
        <v>0</v>
      </c>
      <c r="Q71" s="19">
        <f t="shared" si="55"/>
        <v>0</v>
      </c>
      <c r="R71" s="25">
        <f t="shared" si="55"/>
        <v>0</v>
      </c>
      <c r="S71" s="21">
        <f t="shared" si="55"/>
        <v>0.95477521133481591</v>
      </c>
      <c r="T71" s="22">
        <f t="shared" si="55"/>
        <v>0.44406417421608907</v>
      </c>
    </row>
    <row r="72" spans="1:20" x14ac:dyDescent="0.3">
      <c r="A72" s="105"/>
      <c r="B72" s="108"/>
      <c r="C72" s="111"/>
      <c r="D72" s="111"/>
      <c r="E72" s="115"/>
      <c r="F72" s="11" t="s">
        <v>28</v>
      </c>
      <c r="G72" s="23">
        <v>0</v>
      </c>
      <c r="H72" s="23">
        <v>0</v>
      </c>
      <c r="I72" s="23">
        <v>0</v>
      </c>
      <c r="J72" s="23"/>
      <c r="K72" s="9"/>
      <c r="L72" s="9"/>
      <c r="M72" s="9"/>
      <c r="N72" s="9"/>
      <c r="O72" s="9"/>
      <c r="P72" s="23"/>
      <c r="Q72" s="23">
        <v>1379728.92</v>
      </c>
      <c r="R72" s="24">
        <v>3429763.44</v>
      </c>
      <c r="S72" s="11">
        <f>SUMIF($G$4:$R$4,"&gt;=0",G72:R72)</f>
        <v>0</v>
      </c>
      <c r="T72" s="10">
        <f>SUM(G72:R72)</f>
        <v>4809492.3599999994</v>
      </c>
    </row>
    <row r="73" spans="1:20" ht="15" thickBot="1" x14ac:dyDescent="0.35">
      <c r="A73" s="105"/>
      <c r="B73" s="108"/>
      <c r="C73" s="111"/>
      <c r="D73" s="111"/>
      <c r="E73" s="115"/>
      <c r="F73" s="18" t="s">
        <v>29</v>
      </c>
      <c r="G73" s="19">
        <f>(G70-G72)/G70</f>
        <v>1</v>
      </c>
      <c r="H73" s="19">
        <f t="shared" ref="H73:S73" si="56">(H70-H72)/H70</f>
        <v>1</v>
      </c>
      <c r="I73" s="19">
        <f t="shared" si="56"/>
        <v>1</v>
      </c>
      <c r="J73" s="19">
        <f t="shared" si="56"/>
        <v>1</v>
      </c>
      <c r="K73" s="19">
        <f t="shared" si="56"/>
        <v>1</v>
      </c>
      <c r="L73" s="19">
        <f t="shared" si="56"/>
        <v>1</v>
      </c>
      <c r="M73" s="19" t="e">
        <f t="shared" si="56"/>
        <v>#DIV/0!</v>
      </c>
      <c r="N73" s="19" t="e">
        <f t="shared" si="56"/>
        <v>#DIV/0!</v>
      </c>
      <c r="O73" s="19" t="e">
        <f t="shared" si="56"/>
        <v>#DIV/0!</v>
      </c>
      <c r="P73" s="19" t="e">
        <f t="shared" si="56"/>
        <v>#DIV/0!</v>
      </c>
      <c r="Q73" s="19" t="e">
        <f t="shared" si="56"/>
        <v>#DIV/0!</v>
      </c>
      <c r="R73" s="25" t="e">
        <f t="shared" si="56"/>
        <v>#DIV/0!</v>
      </c>
      <c r="S73" s="21">
        <f t="shared" si="56"/>
        <v>1</v>
      </c>
      <c r="T73" s="22">
        <f t="shared" ref="T73" si="57">T70/T72</f>
        <v>4.8942411606201199</v>
      </c>
    </row>
    <row r="74" spans="1:20" x14ac:dyDescent="0.3">
      <c r="A74" s="105"/>
      <c r="B74" s="108"/>
      <c r="C74" s="111"/>
      <c r="D74" s="111"/>
      <c r="E74" s="115"/>
      <c r="F74" s="26" t="s">
        <v>30</v>
      </c>
      <c r="G74" s="23">
        <v>9170844.1823999938</v>
      </c>
      <c r="H74" s="23">
        <v>8941849.0275000073</v>
      </c>
      <c r="I74" s="23">
        <v>10502411.613899998</v>
      </c>
      <c r="J74" s="23"/>
      <c r="K74" s="9"/>
      <c r="L74" s="9"/>
      <c r="M74" s="9"/>
      <c r="N74" s="9"/>
      <c r="O74" s="9"/>
      <c r="P74" s="23"/>
      <c r="Q74" s="23"/>
      <c r="R74" s="24"/>
      <c r="S74" s="11">
        <f>SUMIF($G$4:$R$4,"&gt;=0",G74:R74)</f>
        <v>28615104.823799998</v>
      </c>
      <c r="T74" s="10">
        <f>SUM(G74:R74)</f>
        <v>28615104.823799998</v>
      </c>
    </row>
    <row r="75" spans="1:20" x14ac:dyDescent="0.3">
      <c r="A75" s="105"/>
      <c r="B75" s="108"/>
      <c r="C75" s="111"/>
      <c r="D75" s="111"/>
      <c r="E75" s="115"/>
      <c r="F75" s="29" t="s">
        <v>31</v>
      </c>
      <c r="G75" s="14"/>
      <c r="H75" s="14"/>
      <c r="I75" s="14"/>
      <c r="J75" s="14"/>
      <c r="K75" s="13"/>
      <c r="L75" s="13"/>
      <c r="M75" s="13"/>
      <c r="N75" s="13"/>
      <c r="O75" s="13"/>
      <c r="P75" s="14"/>
      <c r="Q75" s="14"/>
      <c r="R75" s="30"/>
      <c r="S75" s="16">
        <f>SUMIF($G$4:$R$4,"&gt;=0",G75:R75)</f>
        <v>0</v>
      </c>
      <c r="T75" s="17">
        <f t="shared" ref="T75" si="58">SUM(G75:R75)</f>
        <v>0</v>
      </c>
    </row>
    <row r="76" spans="1:20" ht="15" thickBot="1" x14ac:dyDescent="0.35">
      <c r="A76" s="105"/>
      <c r="B76" s="108"/>
      <c r="C76" s="111"/>
      <c r="D76" s="111"/>
      <c r="E76" s="115"/>
      <c r="F76" s="18" t="s">
        <v>32</v>
      </c>
      <c r="G76" s="19">
        <f>(G74-G75)/G74</f>
        <v>1</v>
      </c>
      <c r="H76" s="19">
        <f t="shared" ref="H76:S76" si="59">(H74-H75)/H74</f>
        <v>1</v>
      </c>
      <c r="I76" s="19">
        <f t="shared" si="59"/>
        <v>1</v>
      </c>
      <c r="J76" s="19" t="e">
        <f t="shared" si="59"/>
        <v>#DIV/0!</v>
      </c>
      <c r="K76" s="19" t="e">
        <f t="shared" si="59"/>
        <v>#DIV/0!</v>
      </c>
      <c r="L76" s="19" t="e">
        <f t="shared" si="59"/>
        <v>#DIV/0!</v>
      </c>
      <c r="M76" s="19" t="e">
        <f t="shared" si="59"/>
        <v>#DIV/0!</v>
      </c>
      <c r="N76" s="19" t="e">
        <f t="shared" si="59"/>
        <v>#DIV/0!</v>
      </c>
      <c r="O76" s="19" t="e">
        <f t="shared" si="59"/>
        <v>#DIV/0!</v>
      </c>
      <c r="P76" s="19" t="e">
        <f t="shared" si="59"/>
        <v>#DIV/0!</v>
      </c>
      <c r="Q76" s="19" t="e">
        <f t="shared" si="59"/>
        <v>#DIV/0!</v>
      </c>
      <c r="R76" s="25" t="e">
        <f t="shared" si="59"/>
        <v>#DIV/0!</v>
      </c>
      <c r="S76" s="21">
        <f t="shared" si="59"/>
        <v>1</v>
      </c>
      <c r="T76" s="22" t="e">
        <f t="shared" ref="T76" si="60">T74/T75</f>
        <v>#DIV/0!</v>
      </c>
    </row>
    <row r="77" spans="1:20" x14ac:dyDescent="0.3">
      <c r="A77" s="105"/>
      <c r="B77" s="108"/>
      <c r="C77" s="111"/>
      <c r="D77" s="111"/>
      <c r="E77" s="115"/>
      <c r="F77" s="31" t="s">
        <v>33</v>
      </c>
      <c r="G77" s="23"/>
      <c r="H77" s="23"/>
      <c r="I77" s="23"/>
      <c r="J77" s="23"/>
      <c r="K77" s="9"/>
      <c r="L77" s="9"/>
      <c r="M77" s="9"/>
      <c r="N77" s="9"/>
      <c r="O77" s="9"/>
      <c r="P77" s="23"/>
      <c r="Q77" s="23"/>
      <c r="R77" s="24"/>
      <c r="S77" s="11">
        <f>SUMIF($G$4:$R$4,"&gt;=0",G77:R77)</f>
        <v>0</v>
      </c>
      <c r="T77" s="10">
        <f>SUM(G77:R77)</f>
        <v>0</v>
      </c>
    </row>
    <row r="78" spans="1:20" x14ac:dyDescent="0.3">
      <c r="A78" s="105"/>
      <c r="B78" s="108"/>
      <c r="C78" s="111"/>
      <c r="D78" s="111"/>
      <c r="E78" s="115"/>
      <c r="F78" s="32" t="s">
        <v>34</v>
      </c>
      <c r="G78" s="14"/>
      <c r="H78" s="14"/>
      <c r="I78" s="14"/>
      <c r="J78" s="14"/>
      <c r="K78" s="13"/>
      <c r="L78" s="13"/>
      <c r="M78" s="13"/>
      <c r="N78" s="13"/>
      <c r="O78" s="13"/>
      <c r="P78" s="14"/>
      <c r="Q78" s="14"/>
      <c r="R78" s="30"/>
      <c r="S78" s="16">
        <f>SUMIF($G$4:$R$4,"&gt;=0",G78:R78)</f>
        <v>0</v>
      </c>
      <c r="T78" s="17">
        <f>SUM(G78:R78)</f>
        <v>0</v>
      </c>
    </row>
    <row r="79" spans="1:20" ht="15" thickBot="1" x14ac:dyDescent="0.35">
      <c r="A79" s="117"/>
      <c r="B79" s="109"/>
      <c r="C79" s="112"/>
      <c r="D79" s="113"/>
      <c r="E79" s="116"/>
      <c r="F79" s="21" t="s">
        <v>35</v>
      </c>
      <c r="G79" s="19" t="e">
        <f>(G78-G77)/G78</f>
        <v>#DIV/0!</v>
      </c>
      <c r="H79" s="19" t="e">
        <f t="shared" ref="H79:S79" si="61">(H78-H77)/H78</f>
        <v>#DIV/0!</v>
      </c>
      <c r="I79" s="19" t="e">
        <f t="shared" si="61"/>
        <v>#DIV/0!</v>
      </c>
      <c r="J79" s="19" t="e">
        <f t="shared" si="61"/>
        <v>#DIV/0!</v>
      </c>
      <c r="K79" s="19" t="e">
        <f t="shared" si="61"/>
        <v>#DIV/0!</v>
      </c>
      <c r="L79" s="19" t="e">
        <f t="shared" si="61"/>
        <v>#DIV/0!</v>
      </c>
      <c r="M79" s="19" t="e">
        <f t="shared" si="61"/>
        <v>#DIV/0!</v>
      </c>
      <c r="N79" s="19" t="e">
        <f t="shared" si="61"/>
        <v>#DIV/0!</v>
      </c>
      <c r="O79" s="19" t="e">
        <f t="shared" si="61"/>
        <v>#DIV/0!</v>
      </c>
      <c r="P79" s="19" t="e">
        <f t="shared" si="61"/>
        <v>#DIV/0!</v>
      </c>
      <c r="Q79" s="19" t="e">
        <f t="shared" si="61"/>
        <v>#DIV/0!</v>
      </c>
      <c r="R79" s="25" t="e">
        <f t="shared" si="61"/>
        <v>#DIV/0!</v>
      </c>
      <c r="S79" s="21" t="e">
        <f t="shared" si="61"/>
        <v>#DIV/0!</v>
      </c>
      <c r="T79" s="22" t="e">
        <f t="shared" ref="T79" si="62">T78/T77</f>
        <v>#DIV/0!</v>
      </c>
    </row>
    <row r="80" spans="1:20" x14ac:dyDescent="0.3">
      <c r="A80" s="104">
        <v>8</v>
      </c>
      <c r="B80" s="107" t="s">
        <v>57</v>
      </c>
      <c r="C80" s="110" t="s">
        <v>58</v>
      </c>
      <c r="D80" s="110" t="s">
        <v>23</v>
      </c>
      <c r="E80" s="114" t="s">
        <v>24</v>
      </c>
      <c r="F80" s="11" t="s">
        <v>25</v>
      </c>
      <c r="G80" s="23">
        <v>1723172.49</v>
      </c>
      <c r="H80" s="23">
        <v>1991967.47</v>
      </c>
      <c r="I80" s="23">
        <v>1660707.5219999999</v>
      </c>
      <c r="J80" s="23">
        <v>1945405.3929999999</v>
      </c>
      <c r="K80" s="9">
        <v>1887221.7229999998</v>
      </c>
      <c r="L80" s="9">
        <v>1790487.1099999999</v>
      </c>
      <c r="M80" s="9">
        <v>1820790.280452</v>
      </c>
      <c r="N80" s="9">
        <v>1986151.65</v>
      </c>
      <c r="O80" s="9">
        <v>2125292.5240000002</v>
      </c>
      <c r="P80" s="23">
        <v>1722576.5317499998</v>
      </c>
      <c r="Q80" s="23">
        <v>1676904.5088999998</v>
      </c>
      <c r="R80" s="24">
        <v>1684050</v>
      </c>
      <c r="S80" s="11">
        <f>SUMIF($G$4:$R$4,"&gt;=0",G80:R80)</f>
        <v>10998961.707999999</v>
      </c>
      <c r="T80" s="10">
        <f>SUM(G80:R80)</f>
        <v>22014727.203102</v>
      </c>
    </row>
    <row r="81" spans="1:20" x14ac:dyDescent="0.3">
      <c r="A81" s="105"/>
      <c r="B81" s="108"/>
      <c r="C81" s="111"/>
      <c r="D81" s="111"/>
      <c r="E81" s="115"/>
      <c r="F81" s="12" t="s">
        <v>26</v>
      </c>
      <c r="G81" s="14">
        <v>1612918.75</v>
      </c>
      <c r="H81" s="14">
        <v>1744742.19</v>
      </c>
      <c r="I81" s="14">
        <v>2063139.6099999989</v>
      </c>
      <c r="J81" s="14">
        <v>1906646.0999999999</v>
      </c>
      <c r="K81" s="13">
        <v>2352698.9099999997</v>
      </c>
      <c r="L81" s="13">
        <v>1902251.0200000003</v>
      </c>
      <c r="M81" s="13"/>
      <c r="N81" s="13"/>
      <c r="O81" s="13"/>
      <c r="P81" s="14"/>
      <c r="Q81" s="14"/>
      <c r="R81" s="30"/>
      <c r="S81" s="16">
        <f>SUMIF($G$4:$R$4,"&gt;=0",G81:R81)</f>
        <v>11582396.579999998</v>
      </c>
      <c r="T81" s="17">
        <f t="shared" ref="T81" si="63">SUM(G81:R81)</f>
        <v>11582396.579999998</v>
      </c>
    </row>
    <row r="82" spans="1:20" ht="15" thickBot="1" x14ac:dyDescent="0.35">
      <c r="A82" s="105"/>
      <c r="B82" s="108"/>
      <c r="C82" s="111"/>
      <c r="D82" s="111"/>
      <c r="E82" s="115"/>
      <c r="F82" s="18" t="s">
        <v>27</v>
      </c>
      <c r="G82" s="19">
        <f>G81/G80</f>
        <v>0.9360170031498124</v>
      </c>
      <c r="H82" s="19">
        <f t="shared" ref="H82:T82" si="64">H81/H80</f>
        <v>0.8758888969205908</v>
      </c>
      <c r="I82" s="19">
        <f t="shared" si="64"/>
        <v>1.2423256850883337</v>
      </c>
      <c r="J82" s="19">
        <f t="shared" si="64"/>
        <v>0.98007649555230769</v>
      </c>
      <c r="K82" s="19">
        <f t="shared" si="64"/>
        <v>1.2466467937111594</v>
      </c>
      <c r="L82" s="19">
        <f t="shared" si="64"/>
        <v>1.0624209520279655</v>
      </c>
      <c r="M82" s="19">
        <f t="shared" si="64"/>
        <v>0</v>
      </c>
      <c r="N82" s="19">
        <f t="shared" si="64"/>
        <v>0</v>
      </c>
      <c r="O82" s="19">
        <f t="shared" si="64"/>
        <v>0</v>
      </c>
      <c r="P82" s="19">
        <f t="shared" si="64"/>
        <v>0</v>
      </c>
      <c r="Q82" s="19">
        <f t="shared" si="64"/>
        <v>0</v>
      </c>
      <c r="R82" s="25">
        <f t="shared" si="64"/>
        <v>0</v>
      </c>
      <c r="S82" s="21">
        <f t="shared" si="64"/>
        <v>1.053044540702023</v>
      </c>
      <c r="T82" s="22">
        <f t="shared" si="64"/>
        <v>0.52612037719767757</v>
      </c>
    </row>
    <row r="83" spans="1:20" x14ac:dyDescent="0.3">
      <c r="A83" s="105"/>
      <c r="B83" s="108"/>
      <c r="C83" s="111"/>
      <c r="D83" s="111"/>
      <c r="E83" s="115"/>
      <c r="F83" s="11" t="s">
        <v>28</v>
      </c>
      <c r="G83" s="23">
        <v>1672983</v>
      </c>
      <c r="H83" s="23">
        <v>1933949</v>
      </c>
      <c r="I83" s="23">
        <v>1612337.4</v>
      </c>
      <c r="J83" s="23">
        <v>1888743.1</v>
      </c>
      <c r="K83" s="9">
        <v>1832254.1</v>
      </c>
      <c r="L83" s="9">
        <v>1738337</v>
      </c>
      <c r="M83" s="9">
        <v>1750759.8850500002</v>
      </c>
      <c r="N83" s="9">
        <v>1863900.2900000012</v>
      </c>
      <c r="O83" s="9">
        <v>2063291.450000002</v>
      </c>
      <c r="P83" s="23">
        <v>1680536</v>
      </c>
      <c r="Q83" s="23">
        <v>1628062.63</v>
      </c>
      <c r="R83" s="24">
        <v>1809655.7399999998</v>
      </c>
      <c r="S83" s="11">
        <f>SUMIF($G$4:$R$4,"&gt;=0",G83:R83)</f>
        <v>10678603.6</v>
      </c>
      <c r="T83" s="10">
        <f>SUM(G83:R83)</f>
        <v>21474809.59505</v>
      </c>
    </row>
    <row r="84" spans="1:20" ht="15" thickBot="1" x14ac:dyDescent="0.35">
      <c r="A84" s="105"/>
      <c r="B84" s="108"/>
      <c r="C84" s="111"/>
      <c r="D84" s="111"/>
      <c r="E84" s="115"/>
      <c r="F84" s="18" t="s">
        <v>29</v>
      </c>
      <c r="G84" s="19">
        <f>(G81-G83)/G81</f>
        <v>-3.723947657003801E-2</v>
      </c>
      <c r="H84" s="19">
        <f t="shared" ref="H84:S84" si="65">(H81-H83)/H81</f>
        <v>-0.1084439930921829</v>
      </c>
      <c r="I84" s="19">
        <f t="shared" si="65"/>
        <v>0.2185030076563744</v>
      </c>
      <c r="J84" s="19">
        <f t="shared" si="65"/>
        <v>9.389786599621067E-3</v>
      </c>
      <c r="K84" s="19">
        <f t="shared" si="65"/>
        <v>0.22121182093802205</v>
      </c>
      <c r="L84" s="19">
        <f t="shared" si="65"/>
        <v>8.6168448998913003E-2</v>
      </c>
      <c r="M84" s="19" t="e">
        <f t="shared" si="65"/>
        <v>#DIV/0!</v>
      </c>
      <c r="N84" s="19" t="e">
        <f t="shared" si="65"/>
        <v>#DIV/0!</v>
      </c>
      <c r="O84" s="19" t="e">
        <f t="shared" si="65"/>
        <v>#DIV/0!</v>
      </c>
      <c r="P84" s="19" t="e">
        <f t="shared" si="65"/>
        <v>#DIV/0!</v>
      </c>
      <c r="Q84" s="19" t="e">
        <f t="shared" si="65"/>
        <v>#DIV/0!</v>
      </c>
      <c r="R84" s="25" t="e">
        <f t="shared" si="65"/>
        <v>#DIV/0!</v>
      </c>
      <c r="S84" s="21">
        <f t="shared" si="65"/>
        <v>7.8031603714954018E-2</v>
      </c>
      <c r="T84" s="22">
        <f t="shared" ref="T84" si="66">T81/T83</f>
        <v>0.53934804538009828</v>
      </c>
    </row>
    <row r="85" spans="1:20" x14ac:dyDescent="0.3">
      <c r="A85" s="105"/>
      <c r="B85" s="108"/>
      <c r="C85" s="111"/>
      <c r="D85" s="111"/>
      <c r="E85" s="115"/>
      <c r="F85" s="26" t="s">
        <v>30</v>
      </c>
      <c r="G85" s="23">
        <v>2406765.4093999993</v>
      </c>
      <c r="H85" s="23">
        <v>2203132.002799999</v>
      </c>
      <c r="I85" s="23">
        <v>2686347.2197999987</v>
      </c>
      <c r="J85" s="23"/>
      <c r="K85" s="9"/>
      <c r="L85" s="9"/>
      <c r="M85" s="9"/>
      <c r="N85" s="9"/>
      <c r="O85" s="9"/>
      <c r="P85" s="23"/>
      <c r="Q85" s="23"/>
      <c r="R85" s="24"/>
      <c r="S85" s="11">
        <f>SUMIF($G$4:$R$4,"&gt;=0",G85:R85)</f>
        <v>7296244.6319999974</v>
      </c>
      <c r="T85" s="10">
        <f>SUM(G85:R85)</f>
        <v>7296244.6319999974</v>
      </c>
    </row>
    <row r="86" spans="1:20" x14ac:dyDescent="0.3">
      <c r="A86" s="105"/>
      <c r="B86" s="108"/>
      <c r="C86" s="111"/>
      <c r="D86" s="111"/>
      <c r="E86" s="115"/>
      <c r="F86" s="29" t="s">
        <v>31</v>
      </c>
      <c r="G86" s="14"/>
      <c r="H86" s="14"/>
      <c r="I86" s="14"/>
      <c r="J86" s="14"/>
      <c r="K86" s="13"/>
      <c r="L86" s="13"/>
      <c r="M86" s="13"/>
      <c r="N86" s="13"/>
      <c r="O86" s="13"/>
      <c r="P86" s="14"/>
      <c r="Q86" s="14"/>
      <c r="R86" s="30"/>
      <c r="S86" s="16">
        <f>SUMIF($G$4:$R$4,"&gt;=0",G86:R86)</f>
        <v>0</v>
      </c>
      <c r="T86" s="17">
        <f t="shared" ref="T86" si="67">SUM(G86:R86)</f>
        <v>0</v>
      </c>
    </row>
    <row r="87" spans="1:20" ht="15" thickBot="1" x14ac:dyDescent="0.35">
      <c r="A87" s="105"/>
      <c r="B87" s="108"/>
      <c r="C87" s="111"/>
      <c r="D87" s="111"/>
      <c r="E87" s="115"/>
      <c r="F87" s="18" t="s">
        <v>32</v>
      </c>
      <c r="G87" s="19">
        <f>(G85-G86)/G85</f>
        <v>1</v>
      </c>
      <c r="H87" s="19">
        <f t="shared" ref="H87:S87" si="68">(H85-H86)/H85</f>
        <v>1</v>
      </c>
      <c r="I87" s="19">
        <f t="shared" si="68"/>
        <v>1</v>
      </c>
      <c r="J87" s="19" t="e">
        <f t="shared" si="68"/>
        <v>#DIV/0!</v>
      </c>
      <c r="K87" s="19" t="e">
        <f t="shared" si="68"/>
        <v>#DIV/0!</v>
      </c>
      <c r="L87" s="19" t="e">
        <f t="shared" si="68"/>
        <v>#DIV/0!</v>
      </c>
      <c r="M87" s="19" t="e">
        <f t="shared" si="68"/>
        <v>#DIV/0!</v>
      </c>
      <c r="N87" s="19" t="e">
        <f t="shared" si="68"/>
        <v>#DIV/0!</v>
      </c>
      <c r="O87" s="19" t="e">
        <f t="shared" si="68"/>
        <v>#DIV/0!</v>
      </c>
      <c r="P87" s="19" t="e">
        <f t="shared" si="68"/>
        <v>#DIV/0!</v>
      </c>
      <c r="Q87" s="19" t="e">
        <f t="shared" si="68"/>
        <v>#DIV/0!</v>
      </c>
      <c r="R87" s="25" t="e">
        <f t="shared" si="68"/>
        <v>#DIV/0!</v>
      </c>
      <c r="S87" s="21">
        <f t="shared" si="68"/>
        <v>1</v>
      </c>
      <c r="T87" s="22" t="e">
        <f t="shared" ref="T87" si="69">T85/T86</f>
        <v>#DIV/0!</v>
      </c>
    </row>
    <row r="88" spans="1:20" x14ac:dyDescent="0.3">
      <c r="A88" s="105"/>
      <c r="B88" s="108"/>
      <c r="C88" s="111"/>
      <c r="D88" s="111"/>
      <c r="E88" s="115"/>
      <c r="F88" s="31" t="s">
        <v>33</v>
      </c>
      <c r="G88" s="23"/>
      <c r="H88" s="23"/>
      <c r="I88" s="23"/>
      <c r="J88" s="23"/>
      <c r="K88" s="9"/>
      <c r="L88" s="9"/>
      <c r="M88" s="9"/>
      <c r="N88" s="9"/>
      <c r="O88" s="9"/>
      <c r="P88" s="23"/>
      <c r="Q88" s="23"/>
      <c r="R88" s="24"/>
      <c r="S88" s="11">
        <f>SUMIF($G$4:$R$4,"&gt;=0",G88:R88)</f>
        <v>0</v>
      </c>
      <c r="T88" s="10">
        <f>SUM(G88:R88)</f>
        <v>0</v>
      </c>
    </row>
    <row r="89" spans="1:20" x14ac:dyDescent="0.3">
      <c r="A89" s="105"/>
      <c r="B89" s="108"/>
      <c r="C89" s="111"/>
      <c r="D89" s="111"/>
      <c r="E89" s="115"/>
      <c r="F89" s="32" t="s">
        <v>34</v>
      </c>
      <c r="G89" s="14"/>
      <c r="H89" s="14"/>
      <c r="I89" s="14"/>
      <c r="J89" s="14"/>
      <c r="K89" s="13"/>
      <c r="L89" s="13"/>
      <c r="M89" s="13"/>
      <c r="N89" s="13"/>
      <c r="O89" s="13"/>
      <c r="P89" s="14"/>
      <c r="Q89" s="14"/>
      <c r="R89" s="30"/>
      <c r="S89" s="16">
        <f>SUMIF($G$4:$R$4,"&gt;=0",G89:R89)</f>
        <v>0</v>
      </c>
      <c r="T89" s="17">
        <f>SUM(G89:R89)</f>
        <v>0</v>
      </c>
    </row>
    <row r="90" spans="1:20" ht="15" thickBot="1" x14ac:dyDescent="0.35">
      <c r="A90" s="117"/>
      <c r="B90" s="109"/>
      <c r="C90" s="112"/>
      <c r="D90" s="113"/>
      <c r="E90" s="116"/>
      <c r="F90" s="21" t="s">
        <v>35</v>
      </c>
      <c r="G90" s="19" t="e">
        <f>(G89-G88)/G89</f>
        <v>#DIV/0!</v>
      </c>
      <c r="H90" s="19" t="e">
        <f t="shared" ref="H90:S90" si="70">(H89-H88)/H89</f>
        <v>#DIV/0!</v>
      </c>
      <c r="I90" s="19" t="e">
        <f t="shared" si="70"/>
        <v>#DIV/0!</v>
      </c>
      <c r="J90" s="19" t="e">
        <f t="shared" si="70"/>
        <v>#DIV/0!</v>
      </c>
      <c r="K90" s="19" t="e">
        <f t="shared" si="70"/>
        <v>#DIV/0!</v>
      </c>
      <c r="L90" s="19" t="e">
        <f t="shared" si="70"/>
        <v>#DIV/0!</v>
      </c>
      <c r="M90" s="19" t="e">
        <f t="shared" si="70"/>
        <v>#DIV/0!</v>
      </c>
      <c r="N90" s="19" t="e">
        <f t="shared" si="70"/>
        <v>#DIV/0!</v>
      </c>
      <c r="O90" s="19" t="e">
        <f t="shared" si="70"/>
        <v>#DIV/0!</v>
      </c>
      <c r="P90" s="19" t="e">
        <f t="shared" si="70"/>
        <v>#DIV/0!</v>
      </c>
      <c r="Q90" s="19" t="e">
        <f t="shared" si="70"/>
        <v>#DIV/0!</v>
      </c>
      <c r="R90" s="25" t="e">
        <f t="shared" si="70"/>
        <v>#DIV/0!</v>
      </c>
      <c r="S90" s="21" t="e">
        <f t="shared" si="70"/>
        <v>#DIV/0!</v>
      </c>
      <c r="T90" s="22" t="e">
        <f t="shared" ref="T90" si="71">T89/T88</f>
        <v>#DIV/0!</v>
      </c>
    </row>
    <row r="91" spans="1:20" x14ac:dyDescent="0.3">
      <c r="A91" s="104">
        <v>9</v>
      </c>
      <c r="B91" s="107" t="s">
        <v>59</v>
      </c>
      <c r="C91" s="110" t="s">
        <v>61</v>
      </c>
      <c r="D91" s="110" t="s">
        <v>23</v>
      </c>
      <c r="E91" s="114" t="s">
        <v>60</v>
      </c>
      <c r="F91" s="11" t="s">
        <v>25</v>
      </c>
      <c r="G91" s="23">
        <v>1950300.159</v>
      </c>
      <c r="H91" s="23">
        <v>1811723.5469999998</v>
      </c>
      <c r="I91" s="23">
        <v>1668625.8530000001</v>
      </c>
      <c r="J91" s="23">
        <v>1252412.432</v>
      </c>
      <c r="K91" s="9">
        <v>1354448.8670000001</v>
      </c>
      <c r="L91" s="9">
        <v>1294067.0973809999</v>
      </c>
      <c r="M91" s="9">
        <v>1271927.28</v>
      </c>
      <c r="N91" s="9">
        <v>1416274.125</v>
      </c>
      <c r="O91" s="9">
        <v>1463734.3400300001</v>
      </c>
      <c r="P91" s="23">
        <v>1436063.2324999999</v>
      </c>
      <c r="Q91" s="23">
        <v>1324500.0513999998</v>
      </c>
      <c r="R91" s="24">
        <v>1330760</v>
      </c>
      <c r="S91" s="11">
        <f>SUMIF($G$4:$R$4,"&gt;=0",G91:R91)</f>
        <v>9331577.9553810004</v>
      </c>
      <c r="T91" s="10">
        <f>SUM(G91:R91)</f>
        <v>17574836.984311</v>
      </c>
    </row>
    <row r="92" spans="1:20" x14ac:dyDescent="0.3">
      <c r="A92" s="105"/>
      <c r="B92" s="108"/>
      <c r="C92" s="111"/>
      <c r="D92" s="111"/>
      <c r="E92" s="115"/>
      <c r="F92" s="12" t="s">
        <v>26</v>
      </c>
      <c r="G92" s="14">
        <v>1414235.2200000002</v>
      </c>
      <c r="H92" s="14">
        <v>1303792.53</v>
      </c>
      <c r="I92" s="14">
        <v>1358005.1099999999</v>
      </c>
      <c r="J92" s="14">
        <v>1645318.4100000001</v>
      </c>
      <c r="K92" s="13">
        <v>1401778.9300000002</v>
      </c>
      <c r="L92" s="13">
        <v>1307832.1700000002</v>
      </c>
      <c r="M92" s="13"/>
      <c r="N92" s="13"/>
      <c r="O92" s="13"/>
      <c r="P92" s="14"/>
      <c r="Q92" s="14"/>
      <c r="R92" s="30"/>
      <c r="S92" s="16">
        <f>SUMIF($G$4:$R$4,"&gt;=0",G92:R92)</f>
        <v>8430962.3699999992</v>
      </c>
      <c r="T92" s="17">
        <f t="shared" ref="T92" si="72">SUM(G92:R92)</f>
        <v>8430962.3699999992</v>
      </c>
    </row>
    <row r="93" spans="1:20" ht="15" thickBot="1" x14ac:dyDescent="0.35">
      <c r="A93" s="105"/>
      <c r="B93" s="108"/>
      <c r="C93" s="111"/>
      <c r="D93" s="111"/>
      <c r="E93" s="115"/>
      <c r="F93" s="18" t="s">
        <v>27</v>
      </c>
      <c r="G93" s="19">
        <f>G92/G91</f>
        <v>0.72513721207157023</v>
      </c>
      <c r="H93" s="19">
        <f t="shared" ref="H93:T93" si="73">H92/H91</f>
        <v>0.71964209559395886</v>
      </c>
      <c r="I93" s="19">
        <f t="shared" si="73"/>
        <v>0.81384637997694964</v>
      </c>
      <c r="J93" s="19">
        <f t="shared" si="73"/>
        <v>1.3137193211764606</v>
      </c>
      <c r="K93" s="19">
        <f t="shared" si="73"/>
        <v>1.0349441489842526</v>
      </c>
      <c r="L93" s="19">
        <f t="shared" si="73"/>
        <v>1.0106370625192918</v>
      </c>
      <c r="M93" s="19">
        <f t="shared" si="73"/>
        <v>0</v>
      </c>
      <c r="N93" s="19">
        <f t="shared" si="73"/>
        <v>0</v>
      </c>
      <c r="O93" s="19">
        <f t="shared" si="73"/>
        <v>0</v>
      </c>
      <c r="P93" s="19">
        <f t="shared" si="73"/>
        <v>0</v>
      </c>
      <c r="Q93" s="19">
        <f t="shared" si="73"/>
        <v>0</v>
      </c>
      <c r="R93" s="25">
        <f t="shared" si="73"/>
        <v>0</v>
      </c>
      <c r="S93" s="21">
        <f t="shared" si="73"/>
        <v>0.90348732125613695</v>
      </c>
      <c r="T93" s="22">
        <f t="shared" si="73"/>
        <v>0.47971781345831499</v>
      </c>
    </row>
    <row r="94" spans="1:20" x14ac:dyDescent="0.3">
      <c r="A94" s="105"/>
      <c r="B94" s="108"/>
      <c r="C94" s="111"/>
      <c r="D94" s="111"/>
      <c r="E94" s="115"/>
      <c r="F94" s="11" t="s">
        <v>28</v>
      </c>
      <c r="G94" s="23">
        <v>1893495.3</v>
      </c>
      <c r="H94" s="23">
        <v>1758954.9</v>
      </c>
      <c r="I94" s="23">
        <v>1620025.1</v>
      </c>
      <c r="J94" s="23">
        <v>1215934.3999999999</v>
      </c>
      <c r="K94" s="9">
        <v>1314998.8999999999</v>
      </c>
      <c r="L94" s="9">
        <v>1256375.8226999999</v>
      </c>
      <c r="M94" s="9">
        <v>1223007</v>
      </c>
      <c r="N94" s="9">
        <v>1348831.8699999999</v>
      </c>
      <c r="O94" s="9">
        <v>1421100.92</v>
      </c>
      <c r="P94" s="23">
        <v>1445903.3</v>
      </c>
      <c r="Q94" s="23">
        <v>1285922.3799999999</v>
      </c>
      <c r="R94" s="24">
        <v>1303267.1000000001</v>
      </c>
      <c r="S94" s="11">
        <f>SUMIF($G$4:$R$4,"&gt;=0",G94:R94)</f>
        <v>9059784.4227000009</v>
      </c>
      <c r="T94" s="10">
        <f>SUM(G94:R94)</f>
        <v>17087816.992700003</v>
      </c>
    </row>
    <row r="95" spans="1:20" ht="15" thickBot="1" x14ac:dyDescent="0.35">
      <c r="A95" s="105"/>
      <c r="B95" s="108"/>
      <c r="C95" s="111"/>
      <c r="D95" s="111"/>
      <c r="E95" s="115"/>
      <c r="F95" s="18" t="s">
        <v>29</v>
      </c>
      <c r="G95" s="19">
        <f>(G92-G94)/G92</f>
        <v>-0.33888286278148255</v>
      </c>
      <c r="H95" s="19">
        <f t="shared" ref="H95:S95" si="74">(H92-H94)/H92</f>
        <v>-0.34910644103782362</v>
      </c>
      <c r="I95" s="19">
        <f t="shared" si="74"/>
        <v>-0.19294477470707033</v>
      </c>
      <c r="J95" s="19">
        <f t="shared" si="74"/>
        <v>0.26097319971032246</v>
      </c>
      <c r="K95" s="19">
        <f t="shared" si="74"/>
        <v>6.1907072608089669E-2</v>
      </c>
      <c r="L95" s="19">
        <f t="shared" si="74"/>
        <v>3.934476340339621E-2</v>
      </c>
      <c r="M95" s="19" t="e">
        <f t="shared" si="74"/>
        <v>#DIV/0!</v>
      </c>
      <c r="N95" s="19" t="e">
        <f t="shared" si="74"/>
        <v>#DIV/0!</v>
      </c>
      <c r="O95" s="19" t="e">
        <f t="shared" si="74"/>
        <v>#DIV/0!</v>
      </c>
      <c r="P95" s="19" t="e">
        <f t="shared" si="74"/>
        <v>#DIV/0!</v>
      </c>
      <c r="Q95" s="19" t="e">
        <f t="shared" si="74"/>
        <v>#DIV/0!</v>
      </c>
      <c r="R95" s="25" t="e">
        <f t="shared" si="74"/>
        <v>#DIV/0!</v>
      </c>
      <c r="S95" s="21">
        <f t="shared" si="74"/>
        <v>-7.4584848692664935E-2</v>
      </c>
      <c r="T95" s="22">
        <f t="shared" ref="T95" si="75">T92/T94</f>
        <v>0.49339025421455218</v>
      </c>
    </row>
    <row r="96" spans="1:20" x14ac:dyDescent="0.3">
      <c r="A96" s="105"/>
      <c r="B96" s="108"/>
      <c r="C96" s="111"/>
      <c r="D96" s="111"/>
      <c r="E96" s="115"/>
      <c r="F96" s="26" t="s">
        <v>30</v>
      </c>
      <c r="G96" s="23">
        <v>3297795.2393000005</v>
      </c>
      <c r="H96" s="23">
        <v>3052605.6226999997</v>
      </c>
      <c r="I96" s="23">
        <v>3090157.1900999998</v>
      </c>
      <c r="J96" s="23"/>
      <c r="K96" s="9"/>
      <c r="L96" s="9"/>
      <c r="M96" s="9"/>
      <c r="N96" s="9"/>
      <c r="O96" s="9"/>
      <c r="P96" s="23"/>
      <c r="Q96" s="23"/>
      <c r="R96" s="24"/>
      <c r="S96" s="11">
        <f>SUMIF($G$4:$R$4,"&gt;=0",G96:R96)</f>
        <v>9440558.052099999</v>
      </c>
      <c r="T96" s="10">
        <f>SUM(G96:R96)</f>
        <v>9440558.052099999</v>
      </c>
    </row>
    <row r="97" spans="1:20" x14ac:dyDescent="0.3">
      <c r="A97" s="105"/>
      <c r="B97" s="108"/>
      <c r="C97" s="111"/>
      <c r="D97" s="111"/>
      <c r="E97" s="115"/>
      <c r="F97" s="29" t="s">
        <v>31</v>
      </c>
      <c r="G97" s="14"/>
      <c r="H97" s="14"/>
      <c r="I97" s="14"/>
      <c r="J97" s="14"/>
      <c r="K97" s="13"/>
      <c r="L97" s="13"/>
      <c r="M97" s="13"/>
      <c r="N97" s="13"/>
      <c r="O97" s="13"/>
      <c r="P97" s="14"/>
      <c r="Q97" s="14"/>
      <c r="R97" s="30"/>
      <c r="S97" s="16">
        <f>SUMIF($G$4:$R$4,"&gt;=0",G97:R97)</f>
        <v>0</v>
      </c>
      <c r="T97" s="17">
        <f t="shared" ref="T97" si="76">SUM(G97:R97)</f>
        <v>0</v>
      </c>
    </row>
    <row r="98" spans="1:20" ht="15" thickBot="1" x14ac:dyDescent="0.35">
      <c r="A98" s="105"/>
      <c r="B98" s="108"/>
      <c r="C98" s="111"/>
      <c r="D98" s="111"/>
      <c r="E98" s="115"/>
      <c r="F98" s="18" t="s">
        <v>32</v>
      </c>
      <c r="G98" s="19">
        <f>(G96-G97)/G96</f>
        <v>1</v>
      </c>
      <c r="H98" s="19">
        <f t="shared" ref="H98:S98" si="77">(H96-H97)/H96</f>
        <v>1</v>
      </c>
      <c r="I98" s="19">
        <f t="shared" si="77"/>
        <v>1</v>
      </c>
      <c r="J98" s="19" t="e">
        <f t="shared" si="77"/>
        <v>#DIV/0!</v>
      </c>
      <c r="K98" s="19" t="e">
        <f t="shared" si="77"/>
        <v>#DIV/0!</v>
      </c>
      <c r="L98" s="19" t="e">
        <f t="shared" si="77"/>
        <v>#DIV/0!</v>
      </c>
      <c r="M98" s="19" t="e">
        <f t="shared" si="77"/>
        <v>#DIV/0!</v>
      </c>
      <c r="N98" s="19" t="e">
        <f t="shared" si="77"/>
        <v>#DIV/0!</v>
      </c>
      <c r="O98" s="19" t="e">
        <f t="shared" si="77"/>
        <v>#DIV/0!</v>
      </c>
      <c r="P98" s="19" t="e">
        <f t="shared" si="77"/>
        <v>#DIV/0!</v>
      </c>
      <c r="Q98" s="19" t="e">
        <f t="shared" si="77"/>
        <v>#DIV/0!</v>
      </c>
      <c r="R98" s="25" t="e">
        <f t="shared" si="77"/>
        <v>#DIV/0!</v>
      </c>
      <c r="S98" s="21">
        <f t="shared" si="77"/>
        <v>1</v>
      </c>
      <c r="T98" s="22" t="e">
        <f t="shared" ref="T98" si="78">T96/T97</f>
        <v>#DIV/0!</v>
      </c>
    </row>
    <row r="99" spans="1:20" x14ac:dyDescent="0.3">
      <c r="A99" s="105"/>
      <c r="B99" s="108"/>
      <c r="C99" s="111"/>
      <c r="D99" s="111"/>
      <c r="E99" s="115"/>
      <c r="F99" s="31" t="s">
        <v>33</v>
      </c>
      <c r="G99" s="23"/>
      <c r="H99" s="23"/>
      <c r="I99" s="23"/>
      <c r="J99" s="23"/>
      <c r="K99" s="9"/>
      <c r="L99" s="9"/>
      <c r="M99" s="9"/>
      <c r="N99" s="9"/>
      <c r="O99" s="9"/>
      <c r="P99" s="23"/>
      <c r="Q99" s="23"/>
      <c r="R99" s="24"/>
      <c r="S99" s="11">
        <f>SUMIF($G$4:$R$4,"&gt;=0",G99:R99)</f>
        <v>0</v>
      </c>
      <c r="T99" s="10">
        <f>SUM(G99:R99)</f>
        <v>0</v>
      </c>
    </row>
    <row r="100" spans="1:20" x14ac:dyDescent="0.3">
      <c r="A100" s="105"/>
      <c r="B100" s="108"/>
      <c r="C100" s="111"/>
      <c r="D100" s="111"/>
      <c r="E100" s="115"/>
      <c r="F100" s="32" t="s">
        <v>34</v>
      </c>
      <c r="G100" s="14"/>
      <c r="H100" s="14"/>
      <c r="I100" s="14"/>
      <c r="J100" s="14"/>
      <c r="K100" s="13"/>
      <c r="L100" s="13"/>
      <c r="M100" s="13"/>
      <c r="N100" s="13"/>
      <c r="O100" s="13"/>
      <c r="P100" s="14"/>
      <c r="Q100" s="14"/>
      <c r="R100" s="30"/>
      <c r="S100" s="16">
        <f>SUMIF($G$4:$R$4,"&gt;=0",G100:R100)</f>
        <v>0</v>
      </c>
      <c r="T100" s="17">
        <f>SUM(G100:R100)</f>
        <v>0</v>
      </c>
    </row>
    <row r="101" spans="1:20" ht="15" thickBot="1" x14ac:dyDescent="0.35">
      <c r="A101" s="106"/>
      <c r="B101" s="109"/>
      <c r="C101" s="112"/>
      <c r="D101" s="113"/>
      <c r="E101" s="116"/>
      <c r="F101" s="21" t="s">
        <v>35</v>
      </c>
      <c r="G101" s="19" t="e">
        <f>(G100-G99)/G100</f>
        <v>#DIV/0!</v>
      </c>
      <c r="H101" s="19" t="e">
        <f t="shared" ref="H101:S101" si="79">(H100-H99)/H100</f>
        <v>#DIV/0!</v>
      </c>
      <c r="I101" s="19" t="e">
        <f t="shared" si="79"/>
        <v>#DIV/0!</v>
      </c>
      <c r="J101" s="19" t="e">
        <f t="shared" si="79"/>
        <v>#DIV/0!</v>
      </c>
      <c r="K101" s="19" t="e">
        <f t="shared" si="79"/>
        <v>#DIV/0!</v>
      </c>
      <c r="L101" s="19" t="e">
        <f t="shared" si="79"/>
        <v>#DIV/0!</v>
      </c>
      <c r="M101" s="19" t="e">
        <f t="shared" si="79"/>
        <v>#DIV/0!</v>
      </c>
      <c r="N101" s="19" t="e">
        <f t="shared" si="79"/>
        <v>#DIV/0!</v>
      </c>
      <c r="O101" s="19" t="e">
        <f t="shared" si="79"/>
        <v>#DIV/0!</v>
      </c>
      <c r="P101" s="19" t="e">
        <f t="shared" si="79"/>
        <v>#DIV/0!</v>
      </c>
      <c r="Q101" s="19" t="e">
        <f t="shared" si="79"/>
        <v>#DIV/0!</v>
      </c>
      <c r="R101" s="25" t="e">
        <f t="shared" si="79"/>
        <v>#DIV/0!</v>
      </c>
      <c r="S101" s="21" t="e">
        <f t="shared" si="79"/>
        <v>#DIV/0!</v>
      </c>
      <c r="T101" s="22" t="e">
        <f t="shared" ref="T101" si="80">T100/T99</f>
        <v>#DIV/0!</v>
      </c>
    </row>
    <row r="102" spans="1:20" x14ac:dyDescent="0.3">
      <c r="A102" s="104">
        <v>10</v>
      </c>
      <c r="B102" s="107" t="s">
        <v>63</v>
      </c>
      <c r="C102" s="110" t="s">
        <v>62</v>
      </c>
      <c r="D102" s="110" t="s">
        <v>37</v>
      </c>
      <c r="E102" s="114" t="s">
        <v>24</v>
      </c>
      <c r="F102" s="11" t="s">
        <v>25</v>
      </c>
      <c r="G102" s="23">
        <v>1136078.67</v>
      </c>
      <c r="H102" s="23">
        <v>964670.49899999995</v>
      </c>
      <c r="I102" s="23">
        <v>1162489.9300000002</v>
      </c>
      <c r="J102" s="23">
        <v>1010629.923</v>
      </c>
      <c r="K102" s="9">
        <v>922347.69614419993</v>
      </c>
      <c r="L102" s="9">
        <v>913150.51699999999</v>
      </c>
      <c r="M102" s="9">
        <v>927199.72749999992</v>
      </c>
      <c r="N102" s="9">
        <v>890230.61699999997</v>
      </c>
      <c r="O102" s="9">
        <v>916790.16</v>
      </c>
      <c r="P102" s="23">
        <v>893997.152</v>
      </c>
      <c r="Q102" s="23">
        <v>839486.26630000002</v>
      </c>
      <c r="R102" s="24">
        <v>839486.26630000002</v>
      </c>
      <c r="S102" s="11">
        <f>SUMIF($G$4:$R$4,"&gt;=0",G102:R102)</f>
        <v>6109367.2351441998</v>
      </c>
      <c r="T102" s="10">
        <f>SUM(G102:R102)</f>
        <v>11416557.424244201</v>
      </c>
    </row>
    <row r="103" spans="1:20" x14ac:dyDescent="0.3">
      <c r="A103" s="105"/>
      <c r="B103" s="108"/>
      <c r="C103" s="111"/>
      <c r="D103" s="111"/>
      <c r="E103" s="115"/>
      <c r="F103" s="12" t="s">
        <v>26</v>
      </c>
      <c r="G103" s="14">
        <v>961956.01</v>
      </c>
      <c r="H103" s="14">
        <v>931949.51</v>
      </c>
      <c r="I103" s="14">
        <v>1011041.95</v>
      </c>
      <c r="J103" s="14">
        <v>844976.27</v>
      </c>
      <c r="K103" s="13">
        <v>764400.62999999989</v>
      </c>
      <c r="L103" s="13">
        <v>1008712.84</v>
      </c>
      <c r="M103" s="13"/>
      <c r="N103" s="13"/>
      <c r="O103" s="13"/>
      <c r="P103" s="14"/>
      <c r="Q103" s="14"/>
      <c r="R103" s="30"/>
      <c r="S103" s="16">
        <f>SUMIF($G$4:$R$4,"&gt;=0",G103:R103)</f>
        <v>5523037.209999999</v>
      </c>
      <c r="T103" s="17">
        <f t="shared" ref="T103" si="81">SUM(G103:R103)</f>
        <v>5523037.209999999</v>
      </c>
    </row>
    <row r="104" spans="1:20" ht="15" thickBot="1" x14ac:dyDescent="0.35">
      <c r="A104" s="105"/>
      <c r="B104" s="108"/>
      <c r="C104" s="111"/>
      <c r="D104" s="111"/>
      <c r="E104" s="115"/>
      <c r="F104" s="18" t="s">
        <v>27</v>
      </c>
      <c r="G104" s="19">
        <f>G103/G102</f>
        <v>0.84673362452971679</v>
      </c>
      <c r="H104" s="19">
        <f t="shared" ref="H104:T104" si="82">H103/H102</f>
        <v>0.96608065755724959</v>
      </c>
      <c r="I104" s="19">
        <f t="shared" si="82"/>
        <v>0.86972103921794819</v>
      </c>
      <c r="J104" s="19">
        <f t="shared" si="82"/>
        <v>0.83608871137689444</v>
      </c>
      <c r="K104" s="19">
        <f t="shared" si="82"/>
        <v>0.82875539581820934</v>
      </c>
      <c r="L104" s="19">
        <f t="shared" si="82"/>
        <v>1.1046512280515961</v>
      </c>
      <c r="M104" s="19">
        <f t="shared" si="82"/>
        <v>0</v>
      </c>
      <c r="N104" s="19">
        <f t="shared" si="82"/>
        <v>0</v>
      </c>
      <c r="O104" s="19">
        <f t="shared" si="82"/>
        <v>0</v>
      </c>
      <c r="P104" s="19">
        <f t="shared" si="82"/>
        <v>0</v>
      </c>
      <c r="Q104" s="19">
        <f t="shared" si="82"/>
        <v>0</v>
      </c>
      <c r="R104" s="25">
        <f t="shared" si="82"/>
        <v>0</v>
      </c>
      <c r="S104" s="21">
        <f t="shared" si="82"/>
        <v>0.90402769999299915</v>
      </c>
      <c r="T104" s="22">
        <f t="shared" si="82"/>
        <v>0.48377431170899887</v>
      </c>
    </row>
    <row r="105" spans="1:20" x14ac:dyDescent="0.3">
      <c r="A105" s="105"/>
      <c r="B105" s="108"/>
      <c r="C105" s="111"/>
      <c r="D105" s="111"/>
      <c r="E105" s="115"/>
      <c r="F105" s="11" t="s">
        <v>28</v>
      </c>
      <c r="G105" s="23">
        <v>1102989</v>
      </c>
      <c r="H105" s="23">
        <v>936573.29999999993</v>
      </c>
      <c r="I105" s="23">
        <v>1128631</v>
      </c>
      <c r="J105" s="23">
        <v>981194.1</v>
      </c>
      <c r="K105" s="9">
        <v>895483.20013999997</v>
      </c>
      <c r="L105" s="9">
        <v>886553.9</v>
      </c>
      <c r="M105" s="9">
        <v>904585.1</v>
      </c>
      <c r="N105" s="9">
        <v>860128.50999999931</v>
      </c>
      <c r="O105" s="9">
        <v>881530.74000000034</v>
      </c>
      <c r="P105" s="23">
        <v>867958.4</v>
      </c>
      <c r="Q105" s="23">
        <v>815035.21</v>
      </c>
      <c r="R105" s="24">
        <v>956791.62999999977</v>
      </c>
      <c r="S105" s="11">
        <f>SUMIF($G$4:$R$4,"&gt;=0",G105:R105)</f>
        <v>5931424.5001400001</v>
      </c>
      <c r="T105" s="10">
        <f>SUM(G105:R105)</f>
        <v>11217454.09014</v>
      </c>
    </row>
    <row r="106" spans="1:20" ht="15" thickBot="1" x14ac:dyDescent="0.35">
      <c r="A106" s="105"/>
      <c r="B106" s="108"/>
      <c r="C106" s="111"/>
      <c r="D106" s="111"/>
      <c r="E106" s="115"/>
      <c r="F106" s="18" t="s">
        <v>29</v>
      </c>
      <c r="G106" s="19">
        <f>(G103-G105)/G103</f>
        <v>-0.14661064386925551</v>
      </c>
      <c r="H106" s="19">
        <f t="shared" ref="H106:S106" si="83">(H103-H105)/H103</f>
        <v>-4.9614168475714104E-3</v>
      </c>
      <c r="I106" s="19">
        <f t="shared" si="83"/>
        <v>-0.11630481801472239</v>
      </c>
      <c r="J106" s="19">
        <f t="shared" si="83"/>
        <v>-0.16120905975264838</v>
      </c>
      <c r="K106" s="19">
        <f t="shared" si="83"/>
        <v>-0.17148412101648858</v>
      </c>
      <c r="L106" s="19">
        <f t="shared" si="83"/>
        <v>0.12110378212296767</v>
      </c>
      <c r="M106" s="19" t="e">
        <f t="shared" si="83"/>
        <v>#DIV/0!</v>
      </c>
      <c r="N106" s="19" t="e">
        <f t="shared" si="83"/>
        <v>#DIV/0!</v>
      </c>
      <c r="O106" s="19" t="e">
        <f t="shared" si="83"/>
        <v>#DIV/0!</v>
      </c>
      <c r="P106" s="19" t="e">
        <f t="shared" si="83"/>
        <v>#DIV/0!</v>
      </c>
      <c r="Q106" s="19" t="e">
        <f t="shared" si="83"/>
        <v>#DIV/0!</v>
      </c>
      <c r="R106" s="25" t="e">
        <f t="shared" si="83"/>
        <v>#DIV/0!</v>
      </c>
      <c r="S106" s="21">
        <f t="shared" si="83"/>
        <v>-7.3942520141015156E-2</v>
      </c>
      <c r="T106" s="22">
        <f t="shared" ref="T106" si="84">T103/T105</f>
        <v>0.49236102645204305</v>
      </c>
    </row>
    <row r="107" spans="1:20" x14ac:dyDescent="0.3">
      <c r="A107" s="105"/>
      <c r="B107" s="108"/>
      <c r="C107" s="111"/>
      <c r="D107" s="111"/>
      <c r="E107" s="115"/>
      <c r="F107" s="26" t="s">
        <v>30</v>
      </c>
      <c r="G107" s="23">
        <v>2167894.4425999988</v>
      </c>
      <c r="H107" s="23">
        <v>2098418.6570000001</v>
      </c>
      <c r="I107" s="23">
        <v>2277348.6337999981</v>
      </c>
      <c r="J107" s="23"/>
      <c r="K107" s="9"/>
      <c r="L107" s="9"/>
      <c r="M107" s="9"/>
      <c r="N107" s="9"/>
      <c r="O107" s="9"/>
      <c r="P107" s="23"/>
      <c r="Q107" s="23"/>
      <c r="R107" s="24"/>
      <c r="S107" s="11">
        <f>SUMIF($G$4:$R$4,"&gt;=0",G107:R107)</f>
        <v>6543661.7333999965</v>
      </c>
      <c r="T107" s="10">
        <f>SUM(G107:R107)</f>
        <v>6543661.7333999965</v>
      </c>
    </row>
    <row r="108" spans="1:20" x14ac:dyDescent="0.3">
      <c r="A108" s="105"/>
      <c r="B108" s="108"/>
      <c r="C108" s="111"/>
      <c r="D108" s="111"/>
      <c r="E108" s="115"/>
      <c r="F108" s="29" t="s">
        <v>31</v>
      </c>
      <c r="G108" s="14"/>
      <c r="H108" s="14"/>
      <c r="I108" s="14"/>
      <c r="J108" s="14"/>
      <c r="K108" s="13"/>
      <c r="L108" s="13"/>
      <c r="M108" s="13"/>
      <c r="N108" s="13"/>
      <c r="O108" s="13"/>
      <c r="P108" s="14"/>
      <c r="Q108" s="14"/>
      <c r="R108" s="30"/>
      <c r="S108" s="16">
        <f>SUMIF($G$4:$R$4,"&gt;=0",G108:R108)</f>
        <v>0</v>
      </c>
      <c r="T108" s="17">
        <f t="shared" ref="T108" si="85">SUM(G108:R108)</f>
        <v>0</v>
      </c>
    </row>
    <row r="109" spans="1:20" ht="15" thickBot="1" x14ac:dyDescent="0.35">
      <c r="A109" s="105"/>
      <c r="B109" s="108"/>
      <c r="C109" s="111"/>
      <c r="D109" s="111"/>
      <c r="E109" s="115"/>
      <c r="F109" s="18" t="s">
        <v>32</v>
      </c>
      <c r="G109" s="19">
        <f>(G107-G108)/G107</f>
        <v>1</v>
      </c>
      <c r="H109" s="19">
        <f t="shared" ref="H109:S109" si="86">(H107-H108)/H107</f>
        <v>1</v>
      </c>
      <c r="I109" s="19">
        <f t="shared" si="86"/>
        <v>1</v>
      </c>
      <c r="J109" s="19" t="e">
        <f t="shared" si="86"/>
        <v>#DIV/0!</v>
      </c>
      <c r="K109" s="19" t="e">
        <f t="shared" si="86"/>
        <v>#DIV/0!</v>
      </c>
      <c r="L109" s="19" t="e">
        <f t="shared" si="86"/>
        <v>#DIV/0!</v>
      </c>
      <c r="M109" s="19" t="e">
        <f t="shared" si="86"/>
        <v>#DIV/0!</v>
      </c>
      <c r="N109" s="19" t="e">
        <f t="shared" si="86"/>
        <v>#DIV/0!</v>
      </c>
      <c r="O109" s="19" t="e">
        <f t="shared" si="86"/>
        <v>#DIV/0!</v>
      </c>
      <c r="P109" s="19" t="e">
        <f t="shared" si="86"/>
        <v>#DIV/0!</v>
      </c>
      <c r="Q109" s="19" t="e">
        <f t="shared" si="86"/>
        <v>#DIV/0!</v>
      </c>
      <c r="R109" s="25" t="e">
        <f t="shared" si="86"/>
        <v>#DIV/0!</v>
      </c>
      <c r="S109" s="21">
        <f t="shared" si="86"/>
        <v>1</v>
      </c>
      <c r="T109" s="22" t="e">
        <f t="shared" ref="T109" si="87">T107/T108</f>
        <v>#DIV/0!</v>
      </c>
    </row>
    <row r="110" spans="1:20" x14ac:dyDescent="0.3">
      <c r="A110" s="105"/>
      <c r="B110" s="108"/>
      <c r="C110" s="111"/>
      <c r="D110" s="111"/>
      <c r="E110" s="115"/>
      <c r="F110" s="31" t="s">
        <v>33</v>
      </c>
      <c r="G110" s="23"/>
      <c r="H110" s="23"/>
      <c r="I110" s="23"/>
      <c r="J110" s="23"/>
      <c r="K110" s="9"/>
      <c r="L110" s="9"/>
      <c r="M110" s="9"/>
      <c r="N110" s="9"/>
      <c r="O110" s="9"/>
      <c r="P110" s="23"/>
      <c r="Q110" s="23"/>
      <c r="R110" s="24"/>
      <c r="S110" s="11">
        <f>SUMIF($G$4:$R$4,"&gt;=0",G110:R110)</f>
        <v>0</v>
      </c>
      <c r="T110" s="10">
        <f>SUM(G110:R110)</f>
        <v>0</v>
      </c>
    </row>
    <row r="111" spans="1:20" x14ac:dyDescent="0.3">
      <c r="A111" s="105"/>
      <c r="B111" s="108"/>
      <c r="C111" s="111"/>
      <c r="D111" s="111"/>
      <c r="E111" s="115"/>
      <c r="F111" s="32" t="s">
        <v>34</v>
      </c>
      <c r="G111" s="14"/>
      <c r="H111" s="14"/>
      <c r="I111" s="14"/>
      <c r="J111" s="14"/>
      <c r="K111" s="13"/>
      <c r="L111" s="13"/>
      <c r="M111" s="13"/>
      <c r="N111" s="13"/>
      <c r="O111" s="13"/>
      <c r="P111" s="14"/>
      <c r="Q111" s="14"/>
      <c r="R111" s="30"/>
      <c r="S111" s="16">
        <f>SUMIF($G$4:$R$4,"&gt;=0",G111:R111)</f>
        <v>0</v>
      </c>
      <c r="T111" s="17">
        <f>SUM(G111:R111)</f>
        <v>0</v>
      </c>
    </row>
    <row r="112" spans="1:20" ht="15" thickBot="1" x14ac:dyDescent="0.35">
      <c r="A112" s="117"/>
      <c r="B112" s="109"/>
      <c r="C112" s="112"/>
      <c r="D112" s="113"/>
      <c r="E112" s="116"/>
      <c r="F112" s="21" t="s">
        <v>35</v>
      </c>
      <c r="G112" s="19" t="e">
        <f>(G111-G110)/G111</f>
        <v>#DIV/0!</v>
      </c>
      <c r="H112" s="19" t="e">
        <f t="shared" ref="H112:S112" si="88">(H111-H110)/H111</f>
        <v>#DIV/0!</v>
      </c>
      <c r="I112" s="19" t="e">
        <f t="shared" si="88"/>
        <v>#DIV/0!</v>
      </c>
      <c r="J112" s="19" t="e">
        <f t="shared" si="88"/>
        <v>#DIV/0!</v>
      </c>
      <c r="K112" s="19" t="e">
        <f t="shared" si="88"/>
        <v>#DIV/0!</v>
      </c>
      <c r="L112" s="19" t="e">
        <f t="shared" si="88"/>
        <v>#DIV/0!</v>
      </c>
      <c r="M112" s="19" t="e">
        <f t="shared" si="88"/>
        <v>#DIV/0!</v>
      </c>
      <c r="N112" s="19" t="e">
        <f t="shared" si="88"/>
        <v>#DIV/0!</v>
      </c>
      <c r="O112" s="19" t="e">
        <f t="shared" si="88"/>
        <v>#DIV/0!</v>
      </c>
      <c r="P112" s="19" t="e">
        <f t="shared" si="88"/>
        <v>#DIV/0!</v>
      </c>
      <c r="Q112" s="19" t="e">
        <f t="shared" si="88"/>
        <v>#DIV/0!</v>
      </c>
      <c r="R112" s="25" t="e">
        <f t="shared" si="88"/>
        <v>#DIV/0!</v>
      </c>
      <c r="S112" s="21" t="e">
        <f t="shared" si="88"/>
        <v>#DIV/0!</v>
      </c>
      <c r="T112" s="22" t="e">
        <f t="shared" ref="T112" si="89">T111/T110</f>
        <v>#DIV/0!</v>
      </c>
    </row>
    <row r="113" spans="1:20" x14ac:dyDescent="0.3">
      <c r="A113" s="104">
        <v>11</v>
      </c>
      <c r="B113" s="107" t="s">
        <v>64</v>
      </c>
      <c r="C113" s="110" t="s">
        <v>65</v>
      </c>
      <c r="D113" s="110" t="s">
        <v>23</v>
      </c>
      <c r="E113" s="114" t="s">
        <v>24</v>
      </c>
      <c r="F113" s="11" t="s">
        <v>25</v>
      </c>
      <c r="G113" s="23">
        <v>799526.17</v>
      </c>
      <c r="H113" s="23">
        <v>706880.8629999999</v>
      </c>
      <c r="I113" s="23">
        <v>755095.67799999996</v>
      </c>
      <c r="J113" s="23">
        <v>750369.21399999992</v>
      </c>
      <c r="K113" s="9">
        <v>788837.65399999998</v>
      </c>
      <c r="L113" s="9">
        <v>745090.87599999993</v>
      </c>
      <c r="M113" s="9">
        <v>769483.83199999994</v>
      </c>
      <c r="N113" s="9">
        <v>839524.98</v>
      </c>
      <c r="O113" s="9">
        <v>864075.85903000005</v>
      </c>
      <c r="P113" s="23">
        <v>862664.6</v>
      </c>
      <c r="Q113" s="23">
        <v>795323.32225900015</v>
      </c>
      <c r="R113" s="24">
        <v>798857.7</v>
      </c>
      <c r="S113" s="11">
        <f>SUMIF($G$4:$R$4,"&gt;=0",G113:R113)</f>
        <v>4545800.4550000001</v>
      </c>
      <c r="T113" s="10">
        <f>SUM(G113:R113)</f>
        <v>9475730.7482890002</v>
      </c>
    </row>
    <row r="114" spans="1:20" x14ac:dyDescent="0.3">
      <c r="A114" s="105"/>
      <c r="B114" s="108"/>
      <c r="C114" s="111"/>
      <c r="D114" s="111"/>
      <c r="E114" s="115"/>
      <c r="F114" s="12" t="s">
        <v>26</v>
      </c>
      <c r="G114" s="14">
        <v>766278.12</v>
      </c>
      <c r="H114" s="14">
        <v>713840.49</v>
      </c>
      <c r="I114" s="14">
        <v>804681.17799999996</v>
      </c>
      <c r="J114" s="14">
        <v>796312.73</v>
      </c>
      <c r="K114" s="13">
        <v>782774.72999999986</v>
      </c>
      <c r="L114" s="13">
        <v>830185.05</v>
      </c>
      <c r="M114" s="13"/>
      <c r="N114" s="13"/>
      <c r="O114" s="13"/>
      <c r="P114" s="14"/>
      <c r="Q114" s="14"/>
      <c r="R114" s="30"/>
      <c r="S114" s="16">
        <f>SUMIF($G$4:$R$4,"&gt;=0",G114:R114)</f>
        <v>4694072.2979999995</v>
      </c>
      <c r="T114" s="17">
        <f t="shared" ref="T114" si="90">SUM(G114:R114)</f>
        <v>4694072.2979999995</v>
      </c>
    </row>
    <row r="115" spans="1:20" ht="15" thickBot="1" x14ac:dyDescent="0.35">
      <c r="A115" s="105"/>
      <c r="B115" s="108"/>
      <c r="C115" s="111"/>
      <c r="D115" s="111"/>
      <c r="E115" s="115"/>
      <c r="F115" s="18" t="s">
        <v>27</v>
      </c>
      <c r="G115" s="19">
        <f>G114/G113</f>
        <v>0.95841530740638536</v>
      </c>
      <c r="H115" s="19">
        <f t="shared" ref="H115:T115" si="91">H114/H113</f>
        <v>1.009845544510094</v>
      </c>
      <c r="I115" s="19">
        <f t="shared" si="91"/>
        <v>1.0656678371293764</v>
      </c>
      <c r="J115" s="19">
        <f t="shared" si="91"/>
        <v>1.0612278797461432</v>
      </c>
      <c r="K115" s="19">
        <f t="shared" si="91"/>
        <v>0.9923141042149084</v>
      </c>
      <c r="L115" s="19">
        <f t="shared" si="91"/>
        <v>1.1142064367461133</v>
      </c>
      <c r="M115" s="19">
        <f t="shared" si="91"/>
        <v>0</v>
      </c>
      <c r="N115" s="19">
        <f t="shared" si="91"/>
        <v>0</v>
      </c>
      <c r="O115" s="19">
        <f t="shared" si="91"/>
        <v>0</v>
      </c>
      <c r="P115" s="19">
        <f t="shared" si="91"/>
        <v>0</v>
      </c>
      <c r="Q115" s="19">
        <f t="shared" si="91"/>
        <v>0</v>
      </c>
      <c r="R115" s="25">
        <f t="shared" si="91"/>
        <v>0</v>
      </c>
      <c r="S115" s="21">
        <f t="shared" si="91"/>
        <v>1.0326173232784366</v>
      </c>
      <c r="T115" s="22">
        <f t="shared" si="91"/>
        <v>0.49537839589285415</v>
      </c>
    </row>
    <row r="116" spans="1:20" x14ac:dyDescent="0.3">
      <c r="A116" s="105"/>
      <c r="B116" s="108"/>
      <c r="C116" s="111"/>
      <c r="D116" s="111"/>
      <c r="E116" s="115"/>
      <c r="F116" s="11" t="s">
        <v>28</v>
      </c>
      <c r="G116" s="23">
        <v>776239</v>
      </c>
      <c r="H116" s="23">
        <v>686292.1</v>
      </c>
      <c r="I116" s="23">
        <v>733102.6</v>
      </c>
      <c r="J116" s="23">
        <v>728513.8</v>
      </c>
      <c r="K116" s="9">
        <v>765861.8</v>
      </c>
      <c r="L116" s="9">
        <v>723389.2</v>
      </c>
      <c r="M116" s="9">
        <v>739888.3</v>
      </c>
      <c r="N116" s="9">
        <v>799548.81000000064</v>
      </c>
      <c r="O116" s="9">
        <v>838907.54500000016</v>
      </c>
      <c r="P116" s="23">
        <v>841624</v>
      </c>
      <c r="Q116" s="23">
        <v>749668.51000000013</v>
      </c>
      <c r="R116" s="24">
        <v>755863.08000000007</v>
      </c>
      <c r="S116" s="11">
        <f>SUMIF($G$4:$R$4,"&gt;=0",G116:R116)</f>
        <v>4413398.5</v>
      </c>
      <c r="T116" s="10">
        <f>SUM(G116:R116)</f>
        <v>9138898.745000001</v>
      </c>
    </row>
    <row r="117" spans="1:20" ht="15" thickBot="1" x14ac:dyDescent="0.35">
      <c r="A117" s="105"/>
      <c r="B117" s="108"/>
      <c r="C117" s="111"/>
      <c r="D117" s="111"/>
      <c r="E117" s="115"/>
      <c r="F117" s="18" t="s">
        <v>29</v>
      </c>
      <c r="G117" s="19">
        <f>(G114-G116)/G114</f>
        <v>-1.2999040087429359E-2</v>
      </c>
      <c r="H117" s="19">
        <f t="shared" ref="H117:S117" si="92">(H114-H116)/H114</f>
        <v>3.8591800809729938E-2</v>
      </c>
      <c r="I117" s="19">
        <f t="shared" si="92"/>
        <v>8.8952718116143109E-2</v>
      </c>
      <c r="J117" s="19">
        <f t="shared" si="92"/>
        <v>8.5141085211585074E-2</v>
      </c>
      <c r="K117" s="19">
        <f t="shared" si="92"/>
        <v>2.1606382209093312E-2</v>
      </c>
      <c r="L117" s="19">
        <f t="shared" si="92"/>
        <v>0.12864101804772332</v>
      </c>
      <c r="M117" s="19" t="e">
        <f t="shared" si="92"/>
        <v>#DIV/0!</v>
      </c>
      <c r="N117" s="19" t="e">
        <f t="shared" si="92"/>
        <v>#DIV/0!</v>
      </c>
      <c r="O117" s="19" t="e">
        <f t="shared" si="92"/>
        <v>#DIV/0!</v>
      </c>
      <c r="P117" s="19" t="e">
        <f t="shared" si="92"/>
        <v>#DIV/0!</v>
      </c>
      <c r="Q117" s="19" t="e">
        <f t="shared" si="92"/>
        <v>#DIV/0!</v>
      </c>
      <c r="R117" s="25" t="e">
        <f t="shared" si="92"/>
        <v>#DIV/0!</v>
      </c>
      <c r="S117" s="21">
        <f t="shared" si="92"/>
        <v>5.9793241386500585E-2</v>
      </c>
      <c r="T117" s="22">
        <f t="shared" ref="T117" si="93">T114/T116</f>
        <v>0.51363653641180584</v>
      </c>
    </row>
    <row r="118" spans="1:20" x14ac:dyDescent="0.3">
      <c r="A118" s="105"/>
      <c r="B118" s="108"/>
      <c r="C118" s="111"/>
      <c r="D118" s="111"/>
      <c r="E118" s="115"/>
      <c r="F118" s="26" t="s">
        <v>30</v>
      </c>
      <c r="G118" s="23">
        <v>1733376.9996000002</v>
      </c>
      <c r="H118" s="23">
        <v>1613044.459500001</v>
      </c>
      <c r="I118" s="23">
        <v>1818546.7857000004</v>
      </c>
      <c r="J118" s="23"/>
      <c r="K118" s="9"/>
      <c r="L118" s="9"/>
      <c r="M118" s="9"/>
      <c r="N118" s="9"/>
      <c r="O118" s="9"/>
      <c r="P118" s="23"/>
      <c r="Q118" s="23"/>
      <c r="R118" s="24"/>
      <c r="S118" s="11">
        <f>SUMIF($G$4:$R$4,"&gt;=0",G118:R118)</f>
        <v>5164968.2448000014</v>
      </c>
      <c r="T118" s="10">
        <f>SUM(G118:R118)</f>
        <v>5164968.2448000014</v>
      </c>
    </row>
    <row r="119" spans="1:20" x14ac:dyDescent="0.3">
      <c r="A119" s="105"/>
      <c r="B119" s="108"/>
      <c r="C119" s="111"/>
      <c r="D119" s="111"/>
      <c r="E119" s="115"/>
      <c r="F119" s="29" t="s">
        <v>31</v>
      </c>
      <c r="G119" s="14"/>
      <c r="H119" s="14"/>
      <c r="I119" s="14"/>
      <c r="J119" s="14"/>
      <c r="K119" s="13"/>
      <c r="L119" s="13"/>
      <c r="M119" s="13"/>
      <c r="N119" s="13"/>
      <c r="O119" s="13"/>
      <c r="P119" s="14"/>
      <c r="Q119" s="14"/>
      <c r="R119" s="30"/>
      <c r="S119" s="16">
        <f>SUMIF($G$4:$R$4,"&gt;=0",G119:R119)</f>
        <v>0</v>
      </c>
      <c r="T119" s="17">
        <f t="shared" ref="T119" si="94">SUM(G119:R119)</f>
        <v>0</v>
      </c>
    </row>
    <row r="120" spans="1:20" ht="15" thickBot="1" x14ac:dyDescent="0.35">
      <c r="A120" s="105"/>
      <c r="B120" s="108"/>
      <c r="C120" s="111"/>
      <c r="D120" s="111"/>
      <c r="E120" s="115"/>
      <c r="F120" s="18" t="s">
        <v>32</v>
      </c>
      <c r="G120" s="19">
        <f>(G118-G119)/G118</f>
        <v>1</v>
      </c>
      <c r="H120" s="19">
        <f t="shared" ref="H120:S120" si="95">(H118-H119)/H118</f>
        <v>1</v>
      </c>
      <c r="I120" s="19">
        <f t="shared" si="95"/>
        <v>1</v>
      </c>
      <c r="J120" s="19" t="e">
        <f t="shared" si="95"/>
        <v>#DIV/0!</v>
      </c>
      <c r="K120" s="19" t="e">
        <f t="shared" si="95"/>
        <v>#DIV/0!</v>
      </c>
      <c r="L120" s="19" t="e">
        <f t="shared" si="95"/>
        <v>#DIV/0!</v>
      </c>
      <c r="M120" s="19" t="e">
        <f t="shared" si="95"/>
        <v>#DIV/0!</v>
      </c>
      <c r="N120" s="19" t="e">
        <f t="shared" si="95"/>
        <v>#DIV/0!</v>
      </c>
      <c r="O120" s="19" t="e">
        <f t="shared" si="95"/>
        <v>#DIV/0!</v>
      </c>
      <c r="P120" s="19" t="e">
        <f t="shared" si="95"/>
        <v>#DIV/0!</v>
      </c>
      <c r="Q120" s="19" t="e">
        <f t="shared" si="95"/>
        <v>#DIV/0!</v>
      </c>
      <c r="R120" s="25" t="e">
        <f t="shared" si="95"/>
        <v>#DIV/0!</v>
      </c>
      <c r="S120" s="21">
        <f t="shared" si="95"/>
        <v>1</v>
      </c>
      <c r="T120" s="22" t="e">
        <f t="shared" ref="T120" si="96">T118/T119</f>
        <v>#DIV/0!</v>
      </c>
    </row>
    <row r="121" spans="1:20" x14ac:dyDescent="0.3">
      <c r="A121" s="105"/>
      <c r="B121" s="108"/>
      <c r="C121" s="111"/>
      <c r="D121" s="111"/>
      <c r="E121" s="115"/>
      <c r="F121" s="31" t="s">
        <v>33</v>
      </c>
      <c r="G121" s="23"/>
      <c r="H121" s="23"/>
      <c r="I121" s="23"/>
      <c r="J121" s="23"/>
      <c r="K121" s="9"/>
      <c r="L121" s="9"/>
      <c r="M121" s="9"/>
      <c r="N121" s="9"/>
      <c r="O121" s="9"/>
      <c r="P121" s="23"/>
      <c r="Q121" s="23"/>
      <c r="R121" s="24"/>
      <c r="S121" s="11">
        <f>SUMIF($G$4:$R$4,"&gt;=0",G121:R121)</f>
        <v>0</v>
      </c>
      <c r="T121" s="10">
        <f>SUM(G121:R121)</f>
        <v>0</v>
      </c>
    </row>
    <row r="122" spans="1:20" x14ac:dyDescent="0.3">
      <c r="A122" s="105"/>
      <c r="B122" s="108"/>
      <c r="C122" s="111"/>
      <c r="D122" s="111"/>
      <c r="E122" s="115"/>
      <c r="F122" s="32" t="s">
        <v>34</v>
      </c>
      <c r="G122" s="14"/>
      <c r="H122" s="14"/>
      <c r="I122" s="14"/>
      <c r="J122" s="14"/>
      <c r="K122" s="13"/>
      <c r="L122" s="13"/>
      <c r="M122" s="13"/>
      <c r="N122" s="13"/>
      <c r="O122" s="13"/>
      <c r="P122" s="14"/>
      <c r="Q122" s="14"/>
      <c r="R122" s="30"/>
      <c r="S122" s="16">
        <f>SUMIF($G$4:$R$4,"&gt;=0",G122:R122)</f>
        <v>0</v>
      </c>
      <c r="T122" s="17">
        <f>SUM(G122:R122)</f>
        <v>0</v>
      </c>
    </row>
    <row r="123" spans="1:20" ht="15" thickBot="1" x14ac:dyDescent="0.35">
      <c r="A123" s="117"/>
      <c r="B123" s="109"/>
      <c r="C123" s="112"/>
      <c r="D123" s="113"/>
      <c r="E123" s="116"/>
      <c r="F123" s="21" t="s">
        <v>35</v>
      </c>
      <c r="G123" s="19" t="e">
        <f>(G122-G121)/G122</f>
        <v>#DIV/0!</v>
      </c>
      <c r="H123" s="19" t="e">
        <f t="shared" ref="H123:S123" si="97">(H122-H121)/H122</f>
        <v>#DIV/0!</v>
      </c>
      <c r="I123" s="19" t="e">
        <f t="shared" si="97"/>
        <v>#DIV/0!</v>
      </c>
      <c r="J123" s="19" t="e">
        <f t="shared" si="97"/>
        <v>#DIV/0!</v>
      </c>
      <c r="K123" s="19" t="e">
        <f t="shared" si="97"/>
        <v>#DIV/0!</v>
      </c>
      <c r="L123" s="19" t="e">
        <f t="shared" si="97"/>
        <v>#DIV/0!</v>
      </c>
      <c r="M123" s="19" t="e">
        <f t="shared" si="97"/>
        <v>#DIV/0!</v>
      </c>
      <c r="N123" s="19" t="e">
        <f t="shared" si="97"/>
        <v>#DIV/0!</v>
      </c>
      <c r="O123" s="19" t="e">
        <f t="shared" si="97"/>
        <v>#DIV/0!</v>
      </c>
      <c r="P123" s="19" t="e">
        <f t="shared" si="97"/>
        <v>#DIV/0!</v>
      </c>
      <c r="Q123" s="19" t="e">
        <f t="shared" si="97"/>
        <v>#DIV/0!</v>
      </c>
      <c r="R123" s="25" t="e">
        <f t="shared" si="97"/>
        <v>#DIV/0!</v>
      </c>
      <c r="S123" s="21" t="e">
        <f t="shared" si="97"/>
        <v>#DIV/0!</v>
      </c>
      <c r="T123" s="22" t="e">
        <f t="shared" ref="T123" si="98">T122/T121</f>
        <v>#DIV/0!</v>
      </c>
    </row>
    <row r="124" spans="1:20" x14ac:dyDescent="0.3">
      <c r="A124" s="104">
        <v>12</v>
      </c>
      <c r="B124" s="107" t="s">
        <v>66</v>
      </c>
      <c r="C124" s="110" t="s">
        <v>67</v>
      </c>
      <c r="D124" s="110" t="s">
        <v>23</v>
      </c>
      <c r="E124" s="114" t="s">
        <v>24</v>
      </c>
      <c r="F124" s="11" t="s">
        <v>25</v>
      </c>
      <c r="G124" s="23">
        <v>650000</v>
      </c>
      <c r="H124" s="23">
        <v>650000</v>
      </c>
      <c r="I124" s="23">
        <v>658000</v>
      </c>
      <c r="J124" s="23">
        <v>658000</v>
      </c>
      <c r="K124" s="9">
        <v>666000</v>
      </c>
      <c r="L124" s="9">
        <v>666000</v>
      </c>
      <c r="M124" s="9">
        <v>666500</v>
      </c>
      <c r="N124" s="9">
        <v>667000</v>
      </c>
      <c r="O124" s="9">
        <v>670000</v>
      </c>
      <c r="P124" s="23">
        <v>677000</v>
      </c>
      <c r="Q124" s="23">
        <v>682000</v>
      </c>
      <c r="R124" s="24">
        <v>692500</v>
      </c>
      <c r="S124" s="11">
        <f>SUMIF($G$4:$R$4,"&gt;=0",G124:R124)</f>
        <v>3948000</v>
      </c>
      <c r="T124" s="10">
        <f>SUM(G124:R124)</f>
        <v>8003000</v>
      </c>
    </row>
    <row r="125" spans="1:20" x14ac:dyDescent="0.3">
      <c r="A125" s="105"/>
      <c r="B125" s="108"/>
      <c r="C125" s="111"/>
      <c r="D125" s="111"/>
      <c r="E125" s="115"/>
      <c r="F125" s="12" t="s">
        <v>26</v>
      </c>
      <c r="G125" s="14">
        <v>743535.33000000007</v>
      </c>
      <c r="H125" s="14">
        <v>756533.96</v>
      </c>
      <c r="I125" s="14">
        <v>836500.92</v>
      </c>
      <c r="J125" s="14">
        <v>657265.36999999988</v>
      </c>
      <c r="K125" s="13">
        <v>690081.22</v>
      </c>
      <c r="L125" s="13">
        <v>770251.78</v>
      </c>
      <c r="M125" s="13"/>
      <c r="N125" s="13"/>
      <c r="O125" s="13"/>
      <c r="P125" s="14"/>
      <c r="Q125" s="14"/>
      <c r="R125" s="30"/>
      <c r="S125" s="16">
        <f>SUMIF($G$4:$R$4,"&gt;=0",G125:R125)</f>
        <v>4454168.58</v>
      </c>
      <c r="T125" s="17">
        <f t="shared" ref="T125" si="99">SUM(G125:R125)</f>
        <v>4454168.58</v>
      </c>
    </row>
    <row r="126" spans="1:20" ht="15" thickBot="1" x14ac:dyDescent="0.35">
      <c r="A126" s="105"/>
      <c r="B126" s="108"/>
      <c r="C126" s="111"/>
      <c r="D126" s="111"/>
      <c r="E126" s="115"/>
      <c r="F126" s="18" t="s">
        <v>27</v>
      </c>
      <c r="G126" s="19">
        <f>G125/G124</f>
        <v>1.1439005076923079</v>
      </c>
      <c r="H126" s="19">
        <f t="shared" ref="H126:T126" si="100">H125/H124</f>
        <v>1.1638983999999999</v>
      </c>
      <c r="I126" s="19">
        <f t="shared" si="100"/>
        <v>1.2712779939209726</v>
      </c>
      <c r="J126" s="19">
        <f t="shared" si="100"/>
        <v>0.99888354103343446</v>
      </c>
      <c r="K126" s="19">
        <f t="shared" si="100"/>
        <v>1.0361579879879879</v>
      </c>
      <c r="L126" s="19">
        <f t="shared" si="100"/>
        <v>1.1565342042042042</v>
      </c>
      <c r="M126" s="19">
        <f t="shared" si="100"/>
        <v>0</v>
      </c>
      <c r="N126" s="19">
        <f t="shared" si="100"/>
        <v>0</v>
      </c>
      <c r="O126" s="19">
        <f t="shared" si="100"/>
        <v>0</v>
      </c>
      <c r="P126" s="19">
        <f t="shared" si="100"/>
        <v>0</v>
      </c>
      <c r="Q126" s="19">
        <f t="shared" si="100"/>
        <v>0</v>
      </c>
      <c r="R126" s="25">
        <f t="shared" si="100"/>
        <v>0</v>
      </c>
      <c r="S126" s="21">
        <f t="shared" si="100"/>
        <v>1.1282088601823708</v>
      </c>
      <c r="T126" s="22">
        <f t="shared" si="100"/>
        <v>0.55656236161439465</v>
      </c>
    </row>
    <row r="127" spans="1:20" x14ac:dyDescent="0.3">
      <c r="A127" s="105"/>
      <c r="B127" s="108"/>
      <c r="C127" s="111"/>
      <c r="D127" s="111"/>
      <c r="E127" s="115"/>
      <c r="F127" s="11" t="s">
        <v>28</v>
      </c>
      <c r="G127" s="23">
        <v>0</v>
      </c>
      <c r="H127" s="23">
        <v>0</v>
      </c>
      <c r="I127" s="23">
        <v>0</v>
      </c>
      <c r="J127" s="23"/>
      <c r="K127" s="9"/>
      <c r="L127" s="9"/>
      <c r="M127" s="9">
        <v>93296</v>
      </c>
      <c r="N127" s="9">
        <v>635765.78</v>
      </c>
      <c r="O127" s="9">
        <v>669742.95999999985</v>
      </c>
      <c r="P127" s="23">
        <v>740303</v>
      </c>
      <c r="Q127" s="23">
        <v>696306.74</v>
      </c>
      <c r="R127" s="24">
        <v>743837.3600000001</v>
      </c>
      <c r="S127" s="11">
        <f>SUMIF($G$4:$R$4,"&gt;=0",G127:R127)</f>
        <v>0</v>
      </c>
      <c r="T127" s="10">
        <f>SUM(G127:R127)</f>
        <v>3579251.84</v>
      </c>
    </row>
    <row r="128" spans="1:20" ht="15" thickBot="1" x14ac:dyDescent="0.35">
      <c r="A128" s="105"/>
      <c r="B128" s="108"/>
      <c r="C128" s="111"/>
      <c r="D128" s="111"/>
      <c r="E128" s="115"/>
      <c r="F128" s="18" t="s">
        <v>29</v>
      </c>
      <c r="G128" s="19">
        <f>(G125-G127)/G125</f>
        <v>1</v>
      </c>
      <c r="H128" s="19">
        <f t="shared" ref="H128:S128" si="101">(H125-H127)/H125</f>
        <v>1</v>
      </c>
      <c r="I128" s="19">
        <f t="shared" si="101"/>
        <v>1</v>
      </c>
      <c r="J128" s="19">
        <f t="shared" si="101"/>
        <v>1</v>
      </c>
      <c r="K128" s="19">
        <f t="shared" si="101"/>
        <v>1</v>
      </c>
      <c r="L128" s="19">
        <f t="shared" si="101"/>
        <v>1</v>
      </c>
      <c r="M128" s="19" t="e">
        <f t="shared" si="101"/>
        <v>#DIV/0!</v>
      </c>
      <c r="N128" s="19" t="e">
        <f t="shared" si="101"/>
        <v>#DIV/0!</v>
      </c>
      <c r="O128" s="19" t="e">
        <f t="shared" si="101"/>
        <v>#DIV/0!</v>
      </c>
      <c r="P128" s="19" t="e">
        <f t="shared" si="101"/>
        <v>#DIV/0!</v>
      </c>
      <c r="Q128" s="19" t="e">
        <f t="shared" si="101"/>
        <v>#DIV/0!</v>
      </c>
      <c r="R128" s="25" t="e">
        <f t="shared" si="101"/>
        <v>#DIV/0!</v>
      </c>
      <c r="S128" s="21">
        <f t="shared" si="101"/>
        <v>1</v>
      </c>
      <c r="T128" s="22">
        <f t="shared" ref="T128" si="102">T125/T127</f>
        <v>1.244441234959315</v>
      </c>
    </row>
    <row r="129" spans="1:20" x14ac:dyDescent="0.3">
      <c r="A129" s="105"/>
      <c r="B129" s="108"/>
      <c r="C129" s="111"/>
      <c r="D129" s="111"/>
      <c r="E129" s="115"/>
      <c r="F129" s="26" t="s">
        <v>30</v>
      </c>
      <c r="G129" s="23">
        <v>1595938.4460999989</v>
      </c>
      <c r="H129" s="23">
        <v>1624728.7647999995</v>
      </c>
      <c r="I129" s="23">
        <v>1800283.4718999979</v>
      </c>
      <c r="J129" s="23"/>
      <c r="K129" s="9"/>
      <c r="L129" s="9"/>
      <c r="M129" s="9"/>
      <c r="N129" s="9"/>
      <c r="O129" s="9"/>
      <c r="P129" s="23"/>
      <c r="Q129" s="23"/>
      <c r="R129" s="24"/>
      <c r="S129" s="11">
        <f>SUMIF($G$4:$R$4,"&gt;=0",G129:R129)</f>
        <v>5020950.6827999968</v>
      </c>
      <c r="T129" s="10">
        <f>SUM(G129:R129)</f>
        <v>5020950.6827999968</v>
      </c>
    </row>
    <row r="130" spans="1:20" x14ac:dyDescent="0.3">
      <c r="A130" s="105"/>
      <c r="B130" s="108"/>
      <c r="C130" s="111"/>
      <c r="D130" s="111"/>
      <c r="E130" s="115"/>
      <c r="F130" s="29" t="s">
        <v>31</v>
      </c>
      <c r="G130" s="14"/>
      <c r="H130" s="14"/>
      <c r="I130" s="14"/>
      <c r="J130" s="14"/>
      <c r="K130" s="13"/>
      <c r="L130" s="13"/>
      <c r="M130" s="13"/>
      <c r="N130" s="13"/>
      <c r="O130" s="13"/>
      <c r="P130" s="14"/>
      <c r="Q130" s="14"/>
      <c r="R130" s="30"/>
      <c r="S130" s="16">
        <f>SUMIF($G$4:$R$4,"&gt;=0",G130:R130)</f>
        <v>0</v>
      </c>
      <c r="T130" s="17">
        <f t="shared" ref="T130" si="103">SUM(G130:R130)</f>
        <v>0</v>
      </c>
    </row>
    <row r="131" spans="1:20" ht="15" thickBot="1" x14ac:dyDescent="0.35">
      <c r="A131" s="105"/>
      <c r="B131" s="108"/>
      <c r="C131" s="111"/>
      <c r="D131" s="111"/>
      <c r="E131" s="115"/>
      <c r="F131" s="18" t="s">
        <v>32</v>
      </c>
      <c r="G131" s="19">
        <f>(G129-G130)/G129</f>
        <v>1</v>
      </c>
      <c r="H131" s="19">
        <f t="shared" ref="H131:S131" si="104">(H129-H130)/H129</f>
        <v>1</v>
      </c>
      <c r="I131" s="19">
        <f t="shared" si="104"/>
        <v>1</v>
      </c>
      <c r="J131" s="19" t="e">
        <f t="shared" si="104"/>
        <v>#DIV/0!</v>
      </c>
      <c r="K131" s="19" t="e">
        <f t="shared" si="104"/>
        <v>#DIV/0!</v>
      </c>
      <c r="L131" s="19" t="e">
        <f t="shared" si="104"/>
        <v>#DIV/0!</v>
      </c>
      <c r="M131" s="19" t="e">
        <f t="shared" si="104"/>
        <v>#DIV/0!</v>
      </c>
      <c r="N131" s="19" t="e">
        <f t="shared" si="104"/>
        <v>#DIV/0!</v>
      </c>
      <c r="O131" s="19" t="e">
        <f t="shared" si="104"/>
        <v>#DIV/0!</v>
      </c>
      <c r="P131" s="19" t="e">
        <f t="shared" si="104"/>
        <v>#DIV/0!</v>
      </c>
      <c r="Q131" s="19" t="e">
        <f t="shared" si="104"/>
        <v>#DIV/0!</v>
      </c>
      <c r="R131" s="25" t="e">
        <f t="shared" si="104"/>
        <v>#DIV/0!</v>
      </c>
      <c r="S131" s="21">
        <f t="shared" si="104"/>
        <v>1</v>
      </c>
      <c r="T131" s="22" t="e">
        <f t="shared" ref="T131" si="105">T129/T130</f>
        <v>#DIV/0!</v>
      </c>
    </row>
    <row r="132" spans="1:20" x14ac:dyDescent="0.3">
      <c r="A132" s="105"/>
      <c r="B132" s="108"/>
      <c r="C132" s="111"/>
      <c r="D132" s="111"/>
      <c r="E132" s="115"/>
      <c r="F132" s="31" t="s">
        <v>33</v>
      </c>
      <c r="G132" s="23"/>
      <c r="H132" s="23"/>
      <c r="I132" s="23"/>
      <c r="J132" s="23"/>
      <c r="K132" s="9"/>
      <c r="L132" s="9"/>
      <c r="M132" s="9"/>
      <c r="N132" s="9"/>
      <c r="O132" s="9"/>
      <c r="P132" s="23"/>
      <c r="Q132" s="23"/>
      <c r="R132" s="24"/>
      <c r="S132" s="11">
        <f>SUMIF($G$4:$R$4,"&gt;=0",G132:R132)</f>
        <v>0</v>
      </c>
      <c r="T132" s="10">
        <f>SUM(G132:R132)</f>
        <v>0</v>
      </c>
    </row>
    <row r="133" spans="1:20" x14ac:dyDescent="0.3">
      <c r="A133" s="105"/>
      <c r="B133" s="108"/>
      <c r="C133" s="111"/>
      <c r="D133" s="111"/>
      <c r="E133" s="115"/>
      <c r="F133" s="32" t="s">
        <v>34</v>
      </c>
      <c r="G133" s="14"/>
      <c r="H133" s="14"/>
      <c r="I133" s="14"/>
      <c r="J133" s="14"/>
      <c r="K133" s="13"/>
      <c r="L133" s="13"/>
      <c r="M133" s="13"/>
      <c r="N133" s="13"/>
      <c r="O133" s="13"/>
      <c r="P133" s="14"/>
      <c r="Q133" s="14"/>
      <c r="R133" s="30"/>
      <c r="S133" s="16">
        <f>SUMIF($G$4:$R$4,"&gt;=0",G133:R133)</f>
        <v>0</v>
      </c>
      <c r="T133" s="17">
        <f>SUM(G133:R133)</f>
        <v>0</v>
      </c>
    </row>
    <row r="134" spans="1:20" ht="15" thickBot="1" x14ac:dyDescent="0.35">
      <c r="A134" s="106"/>
      <c r="B134" s="109"/>
      <c r="C134" s="112"/>
      <c r="D134" s="113"/>
      <c r="E134" s="116"/>
      <c r="F134" s="21" t="s">
        <v>35</v>
      </c>
      <c r="G134" s="19" t="e">
        <f>(G133-G132)/G133</f>
        <v>#DIV/0!</v>
      </c>
      <c r="H134" s="19" t="e">
        <f t="shared" ref="H134:S134" si="106">(H133-H132)/H133</f>
        <v>#DIV/0!</v>
      </c>
      <c r="I134" s="19" t="e">
        <f t="shared" si="106"/>
        <v>#DIV/0!</v>
      </c>
      <c r="J134" s="19" t="e">
        <f t="shared" si="106"/>
        <v>#DIV/0!</v>
      </c>
      <c r="K134" s="19" t="e">
        <f t="shared" si="106"/>
        <v>#DIV/0!</v>
      </c>
      <c r="L134" s="19" t="e">
        <f t="shared" si="106"/>
        <v>#DIV/0!</v>
      </c>
      <c r="M134" s="19" t="e">
        <f t="shared" si="106"/>
        <v>#DIV/0!</v>
      </c>
      <c r="N134" s="19" t="e">
        <f t="shared" si="106"/>
        <v>#DIV/0!</v>
      </c>
      <c r="O134" s="19" t="e">
        <f t="shared" si="106"/>
        <v>#DIV/0!</v>
      </c>
      <c r="P134" s="19" t="e">
        <f t="shared" si="106"/>
        <v>#DIV/0!</v>
      </c>
      <c r="Q134" s="19" t="e">
        <f t="shared" si="106"/>
        <v>#DIV/0!</v>
      </c>
      <c r="R134" s="25" t="e">
        <f t="shared" si="106"/>
        <v>#DIV/0!</v>
      </c>
      <c r="S134" s="21" t="e">
        <f t="shared" si="106"/>
        <v>#DIV/0!</v>
      </c>
      <c r="T134" s="22" t="e">
        <f t="shared" ref="T134" si="107">T133/T132</f>
        <v>#DIV/0!</v>
      </c>
    </row>
    <row r="135" spans="1:20" x14ac:dyDescent="0.3">
      <c r="A135" s="104">
        <v>13</v>
      </c>
      <c r="B135" s="107" t="s">
        <v>68</v>
      </c>
      <c r="C135" s="110" t="s">
        <v>69</v>
      </c>
      <c r="D135" s="110" t="s">
        <v>23</v>
      </c>
      <c r="E135" s="114" t="s">
        <v>24</v>
      </c>
      <c r="F135" s="11" t="s">
        <v>25</v>
      </c>
      <c r="G135" s="23">
        <v>1060651.77</v>
      </c>
      <c r="H135" s="23">
        <v>895617.96</v>
      </c>
      <c r="I135" s="23">
        <v>910774.40999999992</v>
      </c>
      <c r="J135" s="23">
        <v>846406.62</v>
      </c>
      <c r="K135" s="9">
        <v>854441.64999999991</v>
      </c>
      <c r="L135" s="9">
        <v>771278.41999999993</v>
      </c>
      <c r="M135" s="9">
        <v>875943.32799999998</v>
      </c>
      <c r="N135" s="9">
        <v>1017757.755</v>
      </c>
      <c r="O135" s="9">
        <v>953364.08599999989</v>
      </c>
      <c r="P135" s="23">
        <v>908852.125</v>
      </c>
      <c r="Q135" s="23">
        <v>816928.4114000001</v>
      </c>
      <c r="R135" s="24">
        <v>820910</v>
      </c>
      <c r="S135" s="11">
        <f>SUMIF($G$4:$R$4,"&gt;=0",G135:R135)</f>
        <v>5339170.83</v>
      </c>
      <c r="T135" s="10">
        <f>SUM(G135:R135)</f>
        <v>10732926.535399999</v>
      </c>
    </row>
    <row r="136" spans="1:20" x14ac:dyDescent="0.3">
      <c r="A136" s="105"/>
      <c r="B136" s="108"/>
      <c r="C136" s="111"/>
      <c r="D136" s="111"/>
      <c r="E136" s="115"/>
      <c r="F136" s="12" t="s">
        <v>26</v>
      </c>
      <c r="G136" s="14">
        <v>567685.14</v>
      </c>
      <c r="H136" s="14">
        <v>253265.85</v>
      </c>
      <c r="I136" s="14">
        <v>268848.57999999996</v>
      </c>
      <c r="J136" s="14">
        <v>286103.91000000003</v>
      </c>
      <c r="K136" s="13">
        <v>268708.79000000004</v>
      </c>
      <c r="L136" s="13">
        <v>268321.20000000007</v>
      </c>
      <c r="M136" s="13"/>
      <c r="N136" s="13"/>
      <c r="O136" s="13"/>
      <c r="P136" s="14"/>
      <c r="Q136" s="14"/>
      <c r="R136" s="30"/>
      <c r="S136" s="16">
        <f>SUMIF($G$4:$R$4,"&gt;=0",G136:R136)</f>
        <v>1912933.4700000002</v>
      </c>
      <c r="T136" s="17">
        <f t="shared" ref="T136" si="108">SUM(G136:R136)</f>
        <v>1912933.4700000002</v>
      </c>
    </row>
    <row r="137" spans="1:20" ht="15" thickBot="1" x14ac:dyDescent="0.35">
      <c r="A137" s="105"/>
      <c r="B137" s="108"/>
      <c r="C137" s="111"/>
      <c r="D137" s="111"/>
      <c r="E137" s="115"/>
      <c r="F137" s="18" t="s">
        <v>27</v>
      </c>
      <c r="G137" s="19">
        <f>G136/G135</f>
        <v>0.53522292241118874</v>
      </c>
      <c r="H137" s="19">
        <f t="shared" ref="H137:T137" si="109">H136/H135</f>
        <v>0.28278335329496967</v>
      </c>
      <c r="I137" s="19">
        <f t="shared" si="109"/>
        <v>0.29518679603657288</v>
      </c>
      <c r="J137" s="19">
        <f t="shared" si="109"/>
        <v>0.33802182454574853</v>
      </c>
      <c r="K137" s="19">
        <f t="shared" si="109"/>
        <v>0.31448465790496061</v>
      </c>
      <c r="L137" s="19">
        <f t="shared" si="109"/>
        <v>0.34789149163540722</v>
      </c>
      <c r="M137" s="19">
        <f t="shared" si="109"/>
        <v>0</v>
      </c>
      <c r="N137" s="19">
        <f t="shared" si="109"/>
        <v>0</v>
      </c>
      <c r="O137" s="19">
        <f t="shared" si="109"/>
        <v>0</v>
      </c>
      <c r="P137" s="19">
        <f t="shared" si="109"/>
        <v>0</v>
      </c>
      <c r="Q137" s="19">
        <f t="shared" si="109"/>
        <v>0</v>
      </c>
      <c r="R137" s="25">
        <f t="shared" si="109"/>
        <v>0</v>
      </c>
      <c r="S137" s="21">
        <f t="shared" si="109"/>
        <v>0.35828287404694265</v>
      </c>
      <c r="T137" s="22">
        <f t="shared" si="109"/>
        <v>0.17823037022480728</v>
      </c>
    </row>
    <row r="138" spans="1:20" x14ac:dyDescent="0.3">
      <c r="A138" s="105"/>
      <c r="B138" s="108"/>
      <c r="C138" s="111"/>
      <c r="D138" s="111"/>
      <c r="E138" s="115"/>
      <c r="F138" s="11" t="s">
        <v>28</v>
      </c>
      <c r="G138" s="23">
        <v>1029759</v>
      </c>
      <c r="H138" s="23">
        <v>869532</v>
      </c>
      <c r="I138" s="23">
        <v>884247</v>
      </c>
      <c r="J138" s="23">
        <v>821754</v>
      </c>
      <c r="K138" s="9">
        <v>829555</v>
      </c>
      <c r="L138" s="9">
        <v>748814</v>
      </c>
      <c r="M138" s="9">
        <v>842253.2</v>
      </c>
      <c r="N138" s="9">
        <v>969292.30999999982</v>
      </c>
      <c r="O138" s="9">
        <v>925598.01900000009</v>
      </c>
      <c r="P138" s="23">
        <v>886685</v>
      </c>
      <c r="Q138" s="23">
        <v>793134.38000000012</v>
      </c>
      <c r="R138" s="24">
        <v>642989.22</v>
      </c>
      <c r="S138" s="11">
        <f>SUMIF($G$4:$R$4,"&gt;=0",G138:R138)</f>
        <v>5183661</v>
      </c>
      <c r="T138" s="10">
        <f>SUM(G138:R138)</f>
        <v>10243613.129000001</v>
      </c>
    </row>
    <row r="139" spans="1:20" ht="15" thickBot="1" x14ac:dyDescent="0.35">
      <c r="A139" s="105"/>
      <c r="B139" s="108"/>
      <c r="C139" s="111"/>
      <c r="D139" s="111"/>
      <c r="E139" s="115"/>
      <c r="F139" s="18" t="s">
        <v>29</v>
      </c>
      <c r="G139" s="19">
        <f>(G136-G138)/G136</f>
        <v>-0.81396152099383823</v>
      </c>
      <c r="H139" s="19">
        <f t="shared" ref="H139:S139" si="110">(H136-H138)/H136</f>
        <v>-2.4332777198347113</v>
      </c>
      <c r="I139" s="19">
        <f t="shared" si="110"/>
        <v>-2.2890149540681977</v>
      </c>
      <c r="J139" s="19">
        <f t="shared" si="110"/>
        <v>-1.8722221936778141</v>
      </c>
      <c r="K139" s="19">
        <f t="shared" si="110"/>
        <v>-2.0871896672974484</v>
      </c>
      <c r="L139" s="19">
        <f t="shared" si="110"/>
        <v>-1.7907373699879092</v>
      </c>
      <c r="M139" s="19" t="e">
        <f t="shared" si="110"/>
        <v>#DIV/0!</v>
      </c>
      <c r="N139" s="19" t="e">
        <f t="shared" si="110"/>
        <v>#DIV/0!</v>
      </c>
      <c r="O139" s="19" t="e">
        <f t="shared" si="110"/>
        <v>#DIV/0!</v>
      </c>
      <c r="P139" s="19" t="e">
        <f t="shared" si="110"/>
        <v>#DIV/0!</v>
      </c>
      <c r="Q139" s="19" t="e">
        <f t="shared" si="110"/>
        <v>#DIV/0!</v>
      </c>
      <c r="R139" s="25" t="e">
        <f t="shared" si="110"/>
        <v>#DIV/0!</v>
      </c>
      <c r="S139" s="21">
        <f t="shared" si="110"/>
        <v>-1.7097968022902539</v>
      </c>
      <c r="T139" s="22">
        <f t="shared" ref="T139" si="111">T136/T138</f>
        <v>0.18674401755611245</v>
      </c>
    </row>
    <row r="140" spans="1:20" x14ac:dyDescent="0.3">
      <c r="A140" s="105"/>
      <c r="B140" s="108"/>
      <c r="C140" s="111"/>
      <c r="D140" s="111"/>
      <c r="E140" s="115"/>
      <c r="F140" s="26" t="s">
        <v>30</v>
      </c>
      <c r="G140" s="23">
        <v>1287059.2345</v>
      </c>
      <c r="H140" s="23">
        <v>574538.48020000011</v>
      </c>
      <c r="I140" s="23">
        <v>601087.62370000023</v>
      </c>
      <c r="J140" s="23"/>
      <c r="K140" s="9"/>
      <c r="L140" s="9"/>
      <c r="M140" s="9"/>
      <c r="N140" s="9"/>
      <c r="O140" s="9"/>
      <c r="P140" s="23"/>
      <c r="Q140" s="23"/>
      <c r="R140" s="24"/>
      <c r="S140" s="11">
        <f>SUMIF($G$4:$R$4,"&gt;=0",G140:R140)</f>
        <v>2462685.3384000002</v>
      </c>
      <c r="T140" s="10">
        <f>SUM(G140:R140)</f>
        <v>2462685.3384000002</v>
      </c>
    </row>
    <row r="141" spans="1:20" x14ac:dyDescent="0.3">
      <c r="A141" s="105"/>
      <c r="B141" s="108"/>
      <c r="C141" s="111"/>
      <c r="D141" s="111"/>
      <c r="E141" s="115"/>
      <c r="F141" s="29" t="s">
        <v>31</v>
      </c>
      <c r="G141" s="14"/>
      <c r="H141" s="14"/>
      <c r="I141" s="14"/>
      <c r="J141" s="14"/>
      <c r="K141" s="13"/>
      <c r="L141" s="13"/>
      <c r="M141" s="13"/>
      <c r="N141" s="13"/>
      <c r="O141" s="13"/>
      <c r="P141" s="14"/>
      <c r="Q141" s="14"/>
      <c r="R141" s="30"/>
      <c r="S141" s="16">
        <f>SUMIF($G$4:$R$4,"&gt;=0",G141:R141)</f>
        <v>0</v>
      </c>
      <c r="T141" s="17">
        <f t="shared" ref="T141" si="112">SUM(G141:R141)</f>
        <v>0</v>
      </c>
    </row>
    <row r="142" spans="1:20" ht="15" thickBot="1" x14ac:dyDescent="0.35">
      <c r="A142" s="105"/>
      <c r="B142" s="108"/>
      <c r="C142" s="111"/>
      <c r="D142" s="111"/>
      <c r="E142" s="115"/>
      <c r="F142" s="18" t="s">
        <v>32</v>
      </c>
      <c r="G142" s="19">
        <f>(G140-G141)/G140</f>
        <v>1</v>
      </c>
      <c r="H142" s="19">
        <f t="shared" ref="H142:S142" si="113">(H140-H141)/H140</f>
        <v>1</v>
      </c>
      <c r="I142" s="19">
        <f t="shared" si="113"/>
        <v>1</v>
      </c>
      <c r="J142" s="19" t="e">
        <f t="shared" si="113"/>
        <v>#DIV/0!</v>
      </c>
      <c r="K142" s="19" t="e">
        <f t="shared" si="113"/>
        <v>#DIV/0!</v>
      </c>
      <c r="L142" s="19" t="e">
        <f t="shared" si="113"/>
        <v>#DIV/0!</v>
      </c>
      <c r="M142" s="19" t="e">
        <f t="shared" si="113"/>
        <v>#DIV/0!</v>
      </c>
      <c r="N142" s="19" t="e">
        <f t="shared" si="113"/>
        <v>#DIV/0!</v>
      </c>
      <c r="O142" s="19" t="e">
        <f t="shared" si="113"/>
        <v>#DIV/0!</v>
      </c>
      <c r="P142" s="19" t="e">
        <f t="shared" si="113"/>
        <v>#DIV/0!</v>
      </c>
      <c r="Q142" s="19" t="e">
        <f t="shared" si="113"/>
        <v>#DIV/0!</v>
      </c>
      <c r="R142" s="25" t="e">
        <f t="shared" si="113"/>
        <v>#DIV/0!</v>
      </c>
      <c r="S142" s="21">
        <f t="shared" si="113"/>
        <v>1</v>
      </c>
      <c r="T142" s="22" t="e">
        <f t="shared" ref="T142" si="114">T140/T141</f>
        <v>#DIV/0!</v>
      </c>
    </row>
    <row r="143" spans="1:20" x14ac:dyDescent="0.3">
      <c r="A143" s="105"/>
      <c r="B143" s="108"/>
      <c r="C143" s="111"/>
      <c r="D143" s="111"/>
      <c r="E143" s="115"/>
      <c r="F143" s="31" t="s">
        <v>33</v>
      </c>
      <c r="G143" s="23"/>
      <c r="H143" s="23"/>
      <c r="I143" s="23"/>
      <c r="J143" s="23"/>
      <c r="K143" s="9"/>
      <c r="L143" s="9"/>
      <c r="M143" s="9"/>
      <c r="N143" s="9"/>
      <c r="O143" s="9"/>
      <c r="P143" s="23"/>
      <c r="Q143" s="23"/>
      <c r="R143" s="24"/>
      <c r="S143" s="11">
        <f>SUMIF($G$4:$R$4,"&gt;=0",G143:R143)</f>
        <v>0</v>
      </c>
      <c r="T143" s="10">
        <f>SUM(G143:R143)</f>
        <v>0</v>
      </c>
    </row>
    <row r="144" spans="1:20" x14ac:dyDescent="0.3">
      <c r="A144" s="105"/>
      <c r="B144" s="108"/>
      <c r="C144" s="111"/>
      <c r="D144" s="111"/>
      <c r="E144" s="115"/>
      <c r="F144" s="32" t="s">
        <v>34</v>
      </c>
      <c r="G144" s="14"/>
      <c r="H144" s="14"/>
      <c r="I144" s="14"/>
      <c r="J144" s="14"/>
      <c r="K144" s="13"/>
      <c r="L144" s="13"/>
      <c r="M144" s="13"/>
      <c r="N144" s="13"/>
      <c r="O144" s="13"/>
      <c r="P144" s="14"/>
      <c r="Q144" s="14"/>
      <c r="R144" s="30"/>
      <c r="S144" s="16">
        <f>SUMIF($G$4:$R$4,"&gt;=0",G144:R144)</f>
        <v>0</v>
      </c>
      <c r="T144" s="17">
        <f>SUM(G144:R144)</f>
        <v>0</v>
      </c>
    </row>
    <row r="145" spans="1:20" ht="15" thickBot="1" x14ac:dyDescent="0.35">
      <c r="A145" s="117"/>
      <c r="B145" s="109"/>
      <c r="C145" s="112"/>
      <c r="D145" s="113"/>
      <c r="E145" s="116"/>
      <c r="F145" s="21" t="s">
        <v>35</v>
      </c>
      <c r="G145" s="19" t="e">
        <f>(G144-G143)/G144</f>
        <v>#DIV/0!</v>
      </c>
      <c r="H145" s="19" t="e">
        <f t="shared" ref="H145:S145" si="115">(H144-H143)/H144</f>
        <v>#DIV/0!</v>
      </c>
      <c r="I145" s="19" t="e">
        <f t="shared" si="115"/>
        <v>#DIV/0!</v>
      </c>
      <c r="J145" s="19" t="e">
        <f t="shared" si="115"/>
        <v>#DIV/0!</v>
      </c>
      <c r="K145" s="19" t="e">
        <f t="shared" si="115"/>
        <v>#DIV/0!</v>
      </c>
      <c r="L145" s="19" t="e">
        <f t="shared" si="115"/>
        <v>#DIV/0!</v>
      </c>
      <c r="M145" s="19" t="e">
        <f t="shared" si="115"/>
        <v>#DIV/0!</v>
      </c>
      <c r="N145" s="19" t="e">
        <f t="shared" si="115"/>
        <v>#DIV/0!</v>
      </c>
      <c r="O145" s="19" t="e">
        <f t="shared" si="115"/>
        <v>#DIV/0!</v>
      </c>
      <c r="P145" s="19" t="e">
        <f t="shared" si="115"/>
        <v>#DIV/0!</v>
      </c>
      <c r="Q145" s="19" t="e">
        <f t="shared" si="115"/>
        <v>#DIV/0!</v>
      </c>
      <c r="R145" s="25" t="e">
        <f t="shared" si="115"/>
        <v>#DIV/0!</v>
      </c>
      <c r="S145" s="21" t="e">
        <f t="shared" si="115"/>
        <v>#DIV/0!</v>
      </c>
      <c r="T145" s="22" t="e">
        <f t="shared" ref="T145" si="116">T144/T143</f>
        <v>#DIV/0!</v>
      </c>
    </row>
    <row r="146" spans="1:20" x14ac:dyDescent="0.3">
      <c r="A146" s="104">
        <v>14</v>
      </c>
      <c r="B146" s="107" t="s">
        <v>70</v>
      </c>
      <c r="C146" s="110" t="s">
        <v>71</v>
      </c>
      <c r="D146" s="110" t="s">
        <v>37</v>
      </c>
      <c r="E146" s="114" t="s">
        <v>24</v>
      </c>
      <c r="F146" s="11" t="s">
        <v>25</v>
      </c>
      <c r="G146" s="23">
        <v>743531.25</v>
      </c>
      <c r="H146" s="23">
        <v>686862.71</v>
      </c>
      <c r="I146" s="23">
        <v>770382.32000000007</v>
      </c>
      <c r="J146" s="23">
        <v>740665.79</v>
      </c>
      <c r="K146" s="9">
        <v>729743.67000000016</v>
      </c>
      <c r="L146" s="9">
        <v>718577.54300000006</v>
      </c>
      <c r="M146" s="9">
        <v>763951.76991800009</v>
      </c>
      <c r="N146" s="9">
        <v>843277.32449999999</v>
      </c>
      <c r="O146" s="9">
        <v>883676.45600000001</v>
      </c>
      <c r="P146" s="23">
        <v>853796.973</v>
      </c>
      <c r="Q146" s="23">
        <v>768418.22330000007</v>
      </c>
      <c r="R146" s="24">
        <v>768418.22330000007</v>
      </c>
      <c r="S146" s="11">
        <f>SUMIF($G$4:$R$4,"&gt;=0",G146:R146)</f>
        <v>4389763.2829999998</v>
      </c>
      <c r="T146" s="10">
        <f>SUM(G146:R146)</f>
        <v>9271302.2530180011</v>
      </c>
    </row>
    <row r="147" spans="1:20" x14ac:dyDescent="0.3">
      <c r="A147" s="105"/>
      <c r="B147" s="108"/>
      <c r="C147" s="111"/>
      <c r="D147" s="111"/>
      <c r="E147" s="115"/>
      <c r="F147" s="12" t="s">
        <v>26</v>
      </c>
      <c r="G147" s="14">
        <v>780809.38</v>
      </c>
      <c r="H147" s="14">
        <v>712723.57000000007</v>
      </c>
      <c r="I147" s="14">
        <v>815803.2699999999</v>
      </c>
      <c r="J147" s="14">
        <v>813083.67999999993</v>
      </c>
      <c r="K147" s="13">
        <v>777493.33</v>
      </c>
      <c r="L147" s="13">
        <v>841221.08000000007</v>
      </c>
      <c r="M147" s="13"/>
      <c r="N147" s="13"/>
      <c r="O147" s="13"/>
      <c r="P147" s="14"/>
      <c r="Q147" s="14"/>
      <c r="R147" s="30"/>
      <c r="S147" s="16">
        <f>SUMIF($G$4:$R$4,"&gt;=0",G147:R147)</f>
        <v>4741134.3100000005</v>
      </c>
      <c r="T147" s="17">
        <f t="shared" ref="T147" si="117">SUM(G147:R147)</f>
        <v>4741134.3100000005</v>
      </c>
    </row>
    <row r="148" spans="1:20" ht="15" thickBot="1" x14ac:dyDescent="0.35">
      <c r="A148" s="105"/>
      <c r="B148" s="108"/>
      <c r="C148" s="111"/>
      <c r="D148" s="111"/>
      <c r="E148" s="115"/>
      <c r="F148" s="18" t="s">
        <v>27</v>
      </c>
      <c r="G148" s="19">
        <f>G147/G146</f>
        <v>1.0501366015214559</v>
      </c>
      <c r="H148" s="19">
        <f t="shared" ref="H148:T148" si="118">H147/H146</f>
        <v>1.0376506973278548</v>
      </c>
      <c r="I148" s="19">
        <f t="shared" si="118"/>
        <v>1.0589589724748614</v>
      </c>
      <c r="J148" s="19">
        <f t="shared" si="118"/>
        <v>1.0977740446200437</v>
      </c>
      <c r="K148" s="19">
        <f t="shared" si="118"/>
        <v>1.0654334692618845</v>
      </c>
      <c r="L148" s="19">
        <f t="shared" si="118"/>
        <v>1.1706754381551832</v>
      </c>
      <c r="M148" s="19">
        <f t="shared" si="118"/>
        <v>0</v>
      </c>
      <c r="N148" s="19">
        <f t="shared" si="118"/>
        <v>0</v>
      </c>
      <c r="O148" s="19">
        <f t="shared" si="118"/>
        <v>0</v>
      </c>
      <c r="P148" s="19">
        <f t="shared" si="118"/>
        <v>0</v>
      </c>
      <c r="Q148" s="19">
        <f t="shared" si="118"/>
        <v>0</v>
      </c>
      <c r="R148" s="25">
        <f t="shared" si="118"/>
        <v>0</v>
      </c>
      <c r="S148" s="21">
        <f t="shared" si="118"/>
        <v>1.0800432743972179</v>
      </c>
      <c r="T148" s="22">
        <f t="shared" si="118"/>
        <v>0.51137738589599568</v>
      </c>
    </row>
    <row r="149" spans="1:20" x14ac:dyDescent="0.3">
      <c r="A149" s="105"/>
      <c r="B149" s="108"/>
      <c r="C149" s="111"/>
      <c r="D149" s="111"/>
      <c r="E149" s="115"/>
      <c r="F149" s="11" t="s">
        <v>28</v>
      </c>
      <c r="G149" s="23">
        <v>721875</v>
      </c>
      <c r="H149" s="23">
        <v>666857</v>
      </c>
      <c r="I149" s="23">
        <v>747944</v>
      </c>
      <c r="J149" s="23">
        <v>719093</v>
      </c>
      <c r="K149" s="9">
        <v>708489</v>
      </c>
      <c r="L149" s="9">
        <v>697648.1</v>
      </c>
      <c r="M149" s="9">
        <v>745318.79992000002</v>
      </c>
      <c r="N149" s="9">
        <v>814759.15000000037</v>
      </c>
      <c r="O149" s="9">
        <v>849687.5</v>
      </c>
      <c r="P149" s="23">
        <v>828929.1</v>
      </c>
      <c r="Q149" s="23">
        <v>746037.1100000001</v>
      </c>
      <c r="R149" s="24">
        <v>778373.17999999993</v>
      </c>
      <c r="S149" s="11">
        <f>SUMIF($G$4:$R$4,"&gt;=0",G149:R149)</f>
        <v>4261906.0999999996</v>
      </c>
      <c r="T149" s="10">
        <f>SUM(G149:R149)</f>
        <v>9025010.9399200007</v>
      </c>
    </row>
    <row r="150" spans="1:20" ht="15" thickBot="1" x14ac:dyDescent="0.35">
      <c r="A150" s="105"/>
      <c r="B150" s="108"/>
      <c r="C150" s="111"/>
      <c r="D150" s="111"/>
      <c r="E150" s="115"/>
      <c r="F150" s="18" t="s">
        <v>29</v>
      </c>
      <c r="G150" s="19">
        <f>(G147-G149)/G147</f>
        <v>7.5478575833707331E-2</v>
      </c>
      <c r="H150" s="19">
        <f t="shared" ref="H150:S150" si="119">(H147-H149)/H147</f>
        <v>6.4353940195916434E-2</v>
      </c>
      <c r="I150" s="19">
        <f t="shared" si="119"/>
        <v>8.3180924244150078E-2</v>
      </c>
      <c r="J150" s="19">
        <f t="shared" si="119"/>
        <v>0.11559779431312647</v>
      </c>
      <c r="K150" s="19">
        <f t="shared" si="119"/>
        <v>8.8752311225615221E-2</v>
      </c>
      <c r="L150" s="19">
        <f t="shared" si="119"/>
        <v>0.17067211392277531</v>
      </c>
      <c r="M150" s="19" t="e">
        <f t="shared" si="119"/>
        <v>#DIV/0!</v>
      </c>
      <c r="N150" s="19" t="e">
        <f t="shared" si="119"/>
        <v>#DIV/0!</v>
      </c>
      <c r="O150" s="19" t="e">
        <f t="shared" si="119"/>
        <v>#DIV/0!</v>
      </c>
      <c r="P150" s="19" t="e">
        <f t="shared" si="119"/>
        <v>#DIV/0!</v>
      </c>
      <c r="Q150" s="19" t="e">
        <f t="shared" si="119"/>
        <v>#DIV/0!</v>
      </c>
      <c r="R150" s="25" t="e">
        <f t="shared" si="119"/>
        <v>#DIV/0!</v>
      </c>
      <c r="S150" s="21">
        <f t="shared" si="119"/>
        <v>0.10107880913417971</v>
      </c>
      <c r="T150" s="22">
        <f t="shared" ref="T150" si="120">T147/T149</f>
        <v>0.52533280475358923</v>
      </c>
    </row>
    <row r="151" spans="1:20" x14ac:dyDescent="0.3">
      <c r="A151" s="105"/>
      <c r="B151" s="108"/>
      <c r="C151" s="111"/>
      <c r="D151" s="111"/>
      <c r="E151" s="115"/>
      <c r="F151" s="26" t="s">
        <v>30</v>
      </c>
      <c r="G151" s="23">
        <v>1764486.7959000017</v>
      </c>
      <c r="H151" s="23">
        <v>1609158.3744000003</v>
      </c>
      <c r="I151" s="23">
        <v>1843585.3230000013</v>
      </c>
      <c r="J151" s="23"/>
      <c r="K151" s="9"/>
      <c r="L151" s="9"/>
      <c r="M151" s="9"/>
      <c r="N151" s="9"/>
      <c r="O151" s="9"/>
      <c r="P151" s="23"/>
      <c r="Q151" s="23"/>
      <c r="R151" s="24"/>
      <c r="S151" s="11">
        <f>SUMIF($G$4:$R$4,"&gt;=0",G151:R151)</f>
        <v>5217230.4933000039</v>
      </c>
      <c r="T151" s="10">
        <f>SUM(G151:R151)</f>
        <v>5217230.4933000039</v>
      </c>
    </row>
    <row r="152" spans="1:20" x14ac:dyDescent="0.3">
      <c r="A152" s="105"/>
      <c r="B152" s="108"/>
      <c r="C152" s="111"/>
      <c r="D152" s="111"/>
      <c r="E152" s="115"/>
      <c r="F152" s="29" t="s">
        <v>31</v>
      </c>
      <c r="G152" s="14"/>
      <c r="H152" s="14"/>
      <c r="I152" s="14"/>
      <c r="J152" s="14"/>
      <c r="K152" s="13"/>
      <c r="L152" s="13"/>
      <c r="M152" s="13"/>
      <c r="N152" s="13"/>
      <c r="O152" s="13"/>
      <c r="P152" s="14"/>
      <c r="Q152" s="14"/>
      <c r="R152" s="30"/>
      <c r="S152" s="16">
        <f>SUMIF($G$4:$R$4,"&gt;=0",G152:R152)</f>
        <v>0</v>
      </c>
      <c r="T152" s="17">
        <f>SUM(G152:R152)</f>
        <v>0</v>
      </c>
    </row>
    <row r="153" spans="1:20" ht="15" thickBot="1" x14ac:dyDescent="0.35">
      <c r="A153" s="105"/>
      <c r="B153" s="108"/>
      <c r="C153" s="111"/>
      <c r="D153" s="111"/>
      <c r="E153" s="115"/>
      <c r="F153" s="18" t="s">
        <v>32</v>
      </c>
      <c r="G153" s="19">
        <f>(G151-G152)/G151</f>
        <v>1</v>
      </c>
      <c r="H153" s="19">
        <f>(H151-H152)/H151</f>
        <v>1</v>
      </c>
      <c r="I153" s="19">
        <f>(I151-I152)/I151</f>
        <v>1</v>
      </c>
      <c r="J153" s="19" t="e">
        <f t="shared" ref="J153:S153" si="121">(J151-J152)/J151</f>
        <v>#DIV/0!</v>
      </c>
      <c r="K153" s="19" t="e">
        <f t="shared" si="121"/>
        <v>#DIV/0!</v>
      </c>
      <c r="L153" s="19" t="e">
        <f t="shared" si="121"/>
        <v>#DIV/0!</v>
      </c>
      <c r="M153" s="19" t="e">
        <f t="shared" si="121"/>
        <v>#DIV/0!</v>
      </c>
      <c r="N153" s="19" t="e">
        <f t="shared" si="121"/>
        <v>#DIV/0!</v>
      </c>
      <c r="O153" s="19" t="e">
        <f t="shared" si="121"/>
        <v>#DIV/0!</v>
      </c>
      <c r="P153" s="19" t="e">
        <f t="shared" si="121"/>
        <v>#DIV/0!</v>
      </c>
      <c r="Q153" s="19" t="e">
        <f t="shared" si="121"/>
        <v>#DIV/0!</v>
      </c>
      <c r="R153" s="25" t="e">
        <f t="shared" si="121"/>
        <v>#DIV/0!</v>
      </c>
      <c r="S153" s="21">
        <f t="shared" si="121"/>
        <v>1</v>
      </c>
      <c r="T153" s="22" t="e">
        <f t="shared" ref="T153" si="122">T151/T152</f>
        <v>#DIV/0!</v>
      </c>
    </row>
    <row r="154" spans="1:20" x14ac:dyDescent="0.3">
      <c r="A154" s="105"/>
      <c r="B154" s="108"/>
      <c r="C154" s="111"/>
      <c r="D154" s="111"/>
      <c r="E154" s="115"/>
      <c r="F154" s="31" t="s">
        <v>33</v>
      </c>
      <c r="G154" s="23"/>
      <c r="H154" s="23"/>
      <c r="I154" s="23"/>
      <c r="J154" s="23"/>
      <c r="K154" s="9"/>
      <c r="L154" s="9"/>
      <c r="M154" s="9"/>
      <c r="N154" s="9"/>
      <c r="O154" s="9"/>
      <c r="P154" s="23"/>
      <c r="Q154" s="23"/>
      <c r="R154" s="24"/>
      <c r="S154" s="11">
        <f>SUMIF($G$4:$R$4,"&gt;=0",G154:R154)</f>
        <v>0</v>
      </c>
      <c r="T154" s="10">
        <f>SUM(G154:R154)</f>
        <v>0</v>
      </c>
    </row>
    <row r="155" spans="1:20" x14ac:dyDescent="0.3">
      <c r="A155" s="105"/>
      <c r="B155" s="108"/>
      <c r="C155" s="111"/>
      <c r="D155" s="111"/>
      <c r="E155" s="115"/>
      <c r="F155" s="32" t="s">
        <v>34</v>
      </c>
      <c r="G155" s="14"/>
      <c r="H155" s="14"/>
      <c r="I155" s="14"/>
      <c r="J155" s="14"/>
      <c r="K155" s="13"/>
      <c r="L155" s="13"/>
      <c r="M155" s="13"/>
      <c r="N155" s="13"/>
      <c r="O155" s="13"/>
      <c r="P155" s="14"/>
      <c r="Q155" s="14"/>
      <c r="R155" s="30"/>
      <c r="S155" s="16">
        <f>SUMIF($G$4:$R$4,"&gt;=0",G155:R155)</f>
        <v>0</v>
      </c>
      <c r="T155" s="17">
        <f>SUM(G155:R155)</f>
        <v>0</v>
      </c>
    </row>
    <row r="156" spans="1:20" ht="15" thickBot="1" x14ac:dyDescent="0.35">
      <c r="A156" s="117"/>
      <c r="B156" s="109"/>
      <c r="C156" s="112"/>
      <c r="D156" s="113"/>
      <c r="E156" s="116"/>
      <c r="F156" s="21" t="s">
        <v>35</v>
      </c>
      <c r="G156" s="19" t="e">
        <f>(G155-G154)/G155</f>
        <v>#DIV/0!</v>
      </c>
      <c r="H156" s="19" t="e">
        <f t="shared" ref="H156:S156" si="123">(H155-H154)/H155</f>
        <v>#DIV/0!</v>
      </c>
      <c r="I156" s="19" t="e">
        <f t="shared" si="123"/>
        <v>#DIV/0!</v>
      </c>
      <c r="J156" s="19" t="e">
        <f t="shared" si="123"/>
        <v>#DIV/0!</v>
      </c>
      <c r="K156" s="19" t="e">
        <f t="shared" si="123"/>
        <v>#DIV/0!</v>
      </c>
      <c r="L156" s="19" t="e">
        <f t="shared" si="123"/>
        <v>#DIV/0!</v>
      </c>
      <c r="M156" s="19" t="e">
        <f t="shared" si="123"/>
        <v>#DIV/0!</v>
      </c>
      <c r="N156" s="19" t="e">
        <f t="shared" si="123"/>
        <v>#DIV/0!</v>
      </c>
      <c r="O156" s="19" t="e">
        <f t="shared" si="123"/>
        <v>#DIV/0!</v>
      </c>
      <c r="P156" s="19" t="e">
        <f t="shared" si="123"/>
        <v>#DIV/0!</v>
      </c>
      <c r="Q156" s="19" t="e">
        <f t="shared" si="123"/>
        <v>#DIV/0!</v>
      </c>
      <c r="R156" s="25" t="e">
        <f t="shared" si="123"/>
        <v>#DIV/0!</v>
      </c>
      <c r="S156" s="21" t="e">
        <f t="shared" si="123"/>
        <v>#DIV/0!</v>
      </c>
      <c r="T156" s="22" t="e">
        <f t="shared" ref="T156" si="124">T155/T154</f>
        <v>#DIV/0!</v>
      </c>
    </row>
    <row r="157" spans="1:20" x14ac:dyDescent="0.3">
      <c r="A157" s="104">
        <v>15</v>
      </c>
      <c r="B157" s="107" t="s">
        <v>72</v>
      </c>
      <c r="C157" s="110" t="s">
        <v>73</v>
      </c>
      <c r="D157" s="110" t="s">
        <v>23</v>
      </c>
      <c r="E157" s="114" t="s">
        <v>24</v>
      </c>
      <c r="F157" s="11" t="s">
        <v>25</v>
      </c>
      <c r="G157" s="23">
        <v>811897.397</v>
      </c>
      <c r="H157" s="23">
        <v>715870.80599999998</v>
      </c>
      <c r="I157" s="23">
        <v>780529.98300000001</v>
      </c>
      <c r="J157" s="23">
        <v>768116.42299999995</v>
      </c>
      <c r="K157" s="9">
        <v>758275.70000000007</v>
      </c>
      <c r="L157" s="9">
        <v>720908.92888320005</v>
      </c>
      <c r="M157" s="9">
        <v>653483.93197725003</v>
      </c>
      <c r="N157" s="9">
        <v>695385.65700000001</v>
      </c>
      <c r="O157" s="9">
        <v>744838.64</v>
      </c>
      <c r="P157" s="23">
        <v>745022.69</v>
      </c>
      <c r="Q157" s="23">
        <v>751307.60580000002</v>
      </c>
      <c r="R157" s="24">
        <v>762200</v>
      </c>
      <c r="S157" s="11">
        <f>SUMIF($G$4:$R$4,"&gt;=0",G157:R157)</f>
        <v>4555599.2378831999</v>
      </c>
      <c r="T157" s="10">
        <f>SUM(G157:R157)</f>
        <v>8907837.7626604475</v>
      </c>
    </row>
    <row r="158" spans="1:20" x14ac:dyDescent="0.3">
      <c r="A158" s="105"/>
      <c r="B158" s="108"/>
      <c r="C158" s="111"/>
      <c r="D158" s="111"/>
      <c r="E158" s="115"/>
      <c r="F158" s="12" t="s">
        <v>26</v>
      </c>
      <c r="G158" s="14">
        <v>700858.25</v>
      </c>
      <c r="H158" s="14">
        <v>757836.01</v>
      </c>
      <c r="I158" s="14">
        <v>866903.20999999985</v>
      </c>
      <c r="J158" s="14">
        <v>699292.01999999979</v>
      </c>
      <c r="K158" s="13">
        <v>810079.52</v>
      </c>
      <c r="L158" s="13">
        <v>703030.56000000029</v>
      </c>
      <c r="M158" s="13"/>
      <c r="N158" s="13"/>
      <c r="O158" s="13"/>
      <c r="P158" s="14"/>
      <c r="Q158" s="14"/>
      <c r="R158" s="30"/>
      <c r="S158" s="16">
        <f>SUMIF($G$4:$R$4,"&gt;=0",G158:R158)</f>
        <v>4537999.5699999994</v>
      </c>
      <c r="T158" s="17">
        <f t="shared" ref="T158" si="125">SUM(G158:R158)</f>
        <v>4537999.5699999994</v>
      </c>
    </row>
    <row r="159" spans="1:20" ht="15" thickBot="1" x14ac:dyDescent="0.35">
      <c r="A159" s="105"/>
      <c r="B159" s="108"/>
      <c r="C159" s="111"/>
      <c r="D159" s="111"/>
      <c r="E159" s="115"/>
      <c r="F159" s="18" t="s">
        <v>27</v>
      </c>
      <c r="G159" s="19">
        <f>G158/G157</f>
        <v>0.86323500061670966</v>
      </c>
      <c r="H159" s="19">
        <f t="shared" ref="H159:T159" si="126">H158/H157</f>
        <v>1.0586211976354851</v>
      </c>
      <c r="I159" s="19">
        <f t="shared" si="126"/>
        <v>1.1106597169631085</v>
      </c>
      <c r="J159" s="19">
        <f t="shared" si="126"/>
        <v>0.91039847484161895</v>
      </c>
      <c r="K159" s="19">
        <f t="shared" si="126"/>
        <v>1.0683179218323888</v>
      </c>
      <c r="L159" s="19">
        <f t="shared" si="126"/>
        <v>0.97520023935492639</v>
      </c>
      <c r="M159" s="19">
        <f t="shared" si="126"/>
        <v>0</v>
      </c>
      <c r="N159" s="19">
        <f t="shared" si="126"/>
        <v>0</v>
      </c>
      <c r="O159" s="19">
        <f t="shared" si="126"/>
        <v>0</v>
      </c>
      <c r="P159" s="19">
        <f t="shared" si="126"/>
        <v>0</v>
      </c>
      <c r="Q159" s="19">
        <f t="shared" si="126"/>
        <v>0</v>
      </c>
      <c r="R159" s="25">
        <f t="shared" si="126"/>
        <v>0</v>
      </c>
      <c r="S159" s="21">
        <f t="shared" si="126"/>
        <v>0.99613669531401128</v>
      </c>
      <c r="T159" s="22">
        <f t="shared" si="126"/>
        <v>0.5094389559969561</v>
      </c>
    </row>
    <row r="160" spans="1:20" x14ac:dyDescent="0.3">
      <c r="A160" s="105"/>
      <c r="B160" s="108"/>
      <c r="C160" s="111"/>
      <c r="D160" s="111"/>
      <c r="E160" s="115"/>
      <c r="F160" s="11" t="s">
        <v>28</v>
      </c>
      <c r="G160" s="23">
        <v>788249.9</v>
      </c>
      <c r="H160" s="23">
        <v>695020.2</v>
      </c>
      <c r="I160" s="23">
        <v>757796.1</v>
      </c>
      <c r="J160" s="23">
        <v>745744.1</v>
      </c>
      <c r="K160" s="9">
        <v>736190</v>
      </c>
      <c r="L160" s="9">
        <v>699911.58143999998</v>
      </c>
      <c r="M160" s="9">
        <v>637545.29949</v>
      </c>
      <c r="N160" s="9">
        <v>671870.61</v>
      </c>
      <c r="O160" s="9">
        <v>716189.46</v>
      </c>
      <c r="P160" s="23">
        <v>723323</v>
      </c>
      <c r="Q160" s="23">
        <v>729424.86</v>
      </c>
      <c r="R160" s="24">
        <v>717911.09000000008</v>
      </c>
      <c r="S160" s="11">
        <f>SUMIF($G$4:$R$4,"&gt;=0",G160:R160)</f>
        <v>4422911.8814400006</v>
      </c>
      <c r="T160" s="10">
        <f>SUM(G160:R160)</f>
        <v>8619176.2009300012</v>
      </c>
    </row>
    <row r="161" spans="1:20" ht="15" thickBot="1" x14ac:dyDescent="0.35">
      <c r="A161" s="105"/>
      <c r="B161" s="108"/>
      <c r="C161" s="111"/>
      <c r="D161" s="111"/>
      <c r="E161" s="115"/>
      <c r="F161" s="18" t="s">
        <v>29</v>
      </c>
      <c r="G161" s="19">
        <f>(G158-G160)/G158</f>
        <v>-0.12469233257937681</v>
      </c>
      <c r="H161" s="19">
        <f t="shared" ref="H161:S161" si="127">(H158-H160)/H158</f>
        <v>8.2888394284668598E-2</v>
      </c>
      <c r="I161" s="19">
        <f t="shared" si="127"/>
        <v>0.12585846809818582</v>
      </c>
      <c r="J161" s="19">
        <f t="shared" si="127"/>
        <v>-6.6427298855777306E-2</v>
      </c>
      <c r="K161" s="19">
        <f t="shared" si="127"/>
        <v>9.1212675022323761E-2</v>
      </c>
      <c r="L161" s="19">
        <f t="shared" si="127"/>
        <v>4.4364765025297157E-3</v>
      </c>
      <c r="M161" s="19" t="e">
        <f t="shared" si="127"/>
        <v>#DIV/0!</v>
      </c>
      <c r="N161" s="19" t="e">
        <f t="shared" si="127"/>
        <v>#DIV/0!</v>
      </c>
      <c r="O161" s="19" t="e">
        <f t="shared" si="127"/>
        <v>#DIV/0!</v>
      </c>
      <c r="P161" s="19" t="e">
        <f t="shared" si="127"/>
        <v>#DIV/0!</v>
      </c>
      <c r="Q161" s="19" t="e">
        <f t="shared" si="127"/>
        <v>#DIV/0!</v>
      </c>
      <c r="R161" s="25" t="e">
        <f t="shared" si="127"/>
        <v>#DIV/0!</v>
      </c>
      <c r="S161" s="21">
        <f t="shared" si="127"/>
        <v>2.536088573494483E-2</v>
      </c>
      <c r="T161" s="22">
        <f t="shared" ref="T161" si="128">T158/T160</f>
        <v>0.52650038289162171</v>
      </c>
    </row>
    <row r="162" spans="1:20" x14ac:dyDescent="0.3">
      <c r="A162" s="105"/>
      <c r="B162" s="108"/>
      <c r="C162" s="111"/>
      <c r="D162" s="111"/>
      <c r="E162" s="115"/>
      <c r="F162" s="26" t="s">
        <v>30</v>
      </c>
      <c r="G162" s="23">
        <v>1458240.4549000009</v>
      </c>
      <c r="H162" s="23">
        <v>1566353.1493000006</v>
      </c>
      <c r="I162" s="23">
        <v>1809794.9197000002</v>
      </c>
      <c r="J162" s="23"/>
      <c r="K162" s="9"/>
      <c r="L162" s="9"/>
      <c r="M162" s="9"/>
      <c r="N162" s="9"/>
      <c r="O162" s="9"/>
      <c r="P162" s="23"/>
      <c r="Q162" s="23"/>
      <c r="R162" s="24"/>
      <c r="S162" s="11">
        <f>SUMIF($G$4:$R$4,"&gt;=0",G162:R162)</f>
        <v>4834388.5239000022</v>
      </c>
      <c r="T162" s="10">
        <f>SUM(G162:R162)</f>
        <v>4834388.5239000022</v>
      </c>
    </row>
    <row r="163" spans="1:20" x14ac:dyDescent="0.3">
      <c r="A163" s="105"/>
      <c r="B163" s="108"/>
      <c r="C163" s="111"/>
      <c r="D163" s="111"/>
      <c r="E163" s="115"/>
      <c r="F163" s="29" t="s">
        <v>31</v>
      </c>
      <c r="G163" s="14"/>
      <c r="H163" s="14"/>
      <c r="I163" s="14"/>
      <c r="J163" s="14"/>
      <c r="K163" s="13"/>
      <c r="L163" s="13"/>
      <c r="M163" s="13"/>
      <c r="N163" s="13"/>
      <c r="O163" s="13"/>
      <c r="P163" s="14"/>
      <c r="Q163" s="14"/>
      <c r="R163" s="30"/>
      <c r="S163" s="16">
        <f>SUMIF($G$4:$R$4,"&gt;=0",G163:R163)</f>
        <v>0</v>
      </c>
      <c r="T163" s="17">
        <f t="shared" ref="T163" si="129">SUM(G163:R163)</f>
        <v>0</v>
      </c>
    </row>
    <row r="164" spans="1:20" ht="15" thickBot="1" x14ac:dyDescent="0.35">
      <c r="A164" s="105"/>
      <c r="B164" s="108"/>
      <c r="C164" s="111"/>
      <c r="D164" s="111"/>
      <c r="E164" s="115"/>
      <c r="F164" s="18" t="s">
        <v>32</v>
      </c>
      <c r="G164" s="19">
        <f>(G162-G163)/G162</f>
        <v>1</v>
      </c>
      <c r="H164" s="19">
        <f t="shared" ref="H164:S164" si="130">(H162-H163)/H162</f>
        <v>1</v>
      </c>
      <c r="I164" s="19">
        <f t="shared" si="130"/>
        <v>1</v>
      </c>
      <c r="J164" s="19" t="e">
        <f t="shared" si="130"/>
        <v>#DIV/0!</v>
      </c>
      <c r="K164" s="19" t="e">
        <f t="shared" si="130"/>
        <v>#DIV/0!</v>
      </c>
      <c r="L164" s="19" t="e">
        <f t="shared" si="130"/>
        <v>#DIV/0!</v>
      </c>
      <c r="M164" s="19" t="e">
        <f t="shared" si="130"/>
        <v>#DIV/0!</v>
      </c>
      <c r="N164" s="19" t="e">
        <f t="shared" si="130"/>
        <v>#DIV/0!</v>
      </c>
      <c r="O164" s="19" t="e">
        <f t="shared" si="130"/>
        <v>#DIV/0!</v>
      </c>
      <c r="P164" s="19" t="e">
        <f t="shared" si="130"/>
        <v>#DIV/0!</v>
      </c>
      <c r="Q164" s="19" t="e">
        <f t="shared" si="130"/>
        <v>#DIV/0!</v>
      </c>
      <c r="R164" s="25" t="e">
        <f t="shared" si="130"/>
        <v>#DIV/0!</v>
      </c>
      <c r="S164" s="21">
        <f t="shared" si="130"/>
        <v>1</v>
      </c>
      <c r="T164" s="22" t="e">
        <f t="shared" ref="T164" si="131">T162/T163</f>
        <v>#DIV/0!</v>
      </c>
    </row>
    <row r="165" spans="1:20" x14ac:dyDescent="0.3">
      <c r="A165" s="105"/>
      <c r="B165" s="108"/>
      <c r="C165" s="111"/>
      <c r="D165" s="111"/>
      <c r="E165" s="115"/>
      <c r="F165" s="31" t="s">
        <v>33</v>
      </c>
      <c r="G165" s="23"/>
      <c r="H165" s="23"/>
      <c r="I165" s="23"/>
      <c r="J165" s="23"/>
      <c r="K165" s="9"/>
      <c r="L165" s="9"/>
      <c r="M165" s="9"/>
      <c r="N165" s="9"/>
      <c r="O165" s="9"/>
      <c r="P165" s="23"/>
      <c r="Q165" s="23"/>
      <c r="R165" s="24"/>
      <c r="S165" s="11">
        <f>SUMIF($G$4:$R$4,"&gt;=0",G165:R165)</f>
        <v>0</v>
      </c>
      <c r="T165" s="10">
        <f>SUM(G165:R165)</f>
        <v>0</v>
      </c>
    </row>
    <row r="166" spans="1:20" x14ac:dyDescent="0.3">
      <c r="A166" s="105"/>
      <c r="B166" s="108"/>
      <c r="C166" s="111"/>
      <c r="D166" s="111"/>
      <c r="E166" s="115"/>
      <c r="F166" s="32" t="s">
        <v>34</v>
      </c>
      <c r="G166" s="14"/>
      <c r="H166" s="14"/>
      <c r="I166" s="14"/>
      <c r="J166" s="14"/>
      <c r="K166" s="13"/>
      <c r="L166" s="13"/>
      <c r="M166" s="13"/>
      <c r="N166" s="13"/>
      <c r="O166" s="13"/>
      <c r="P166" s="14"/>
      <c r="Q166" s="14"/>
      <c r="R166" s="30"/>
      <c r="S166" s="16">
        <f>SUMIF($G$4:$R$4,"&gt;=0",G166:R166)</f>
        <v>0</v>
      </c>
      <c r="T166" s="17">
        <f>SUM(G166:R166)</f>
        <v>0</v>
      </c>
    </row>
    <row r="167" spans="1:20" ht="15" thickBot="1" x14ac:dyDescent="0.35">
      <c r="A167" s="106"/>
      <c r="B167" s="109"/>
      <c r="C167" s="112"/>
      <c r="D167" s="113"/>
      <c r="E167" s="116"/>
      <c r="F167" s="21" t="s">
        <v>35</v>
      </c>
      <c r="G167" s="19" t="e">
        <f>(G166-G165)/G166</f>
        <v>#DIV/0!</v>
      </c>
      <c r="H167" s="19" t="e">
        <f t="shared" ref="H167:S167" si="132">(H166-H165)/H166</f>
        <v>#DIV/0!</v>
      </c>
      <c r="I167" s="19" t="e">
        <f t="shared" si="132"/>
        <v>#DIV/0!</v>
      </c>
      <c r="J167" s="19" t="e">
        <f t="shared" si="132"/>
        <v>#DIV/0!</v>
      </c>
      <c r="K167" s="19" t="e">
        <f t="shared" si="132"/>
        <v>#DIV/0!</v>
      </c>
      <c r="L167" s="19" t="e">
        <f t="shared" si="132"/>
        <v>#DIV/0!</v>
      </c>
      <c r="M167" s="19" t="e">
        <f t="shared" si="132"/>
        <v>#DIV/0!</v>
      </c>
      <c r="N167" s="19" t="e">
        <f t="shared" si="132"/>
        <v>#DIV/0!</v>
      </c>
      <c r="O167" s="19" t="e">
        <f t="shared" si="132"/>
        <v>#DIV/0!</v>
      </c>
      <c r="P167" s="19" t="e">
        <f t="shared" si="132"/>
        <v>#DIV/0!</v>
      </c>
      <c r="Q167" s="19" t="e">
        <f t="shared" si="132"/>
        <v>#DIV/0!</v>
      </c>
      <c r="R167" s="25" t="e">
        <f t="shared" si="132"/>
        <v>#DIV/0!</v>
      </c>
      <c r="S167" s="21" t="e">
        <f t="shared" si="132"/>
        <v>#DIV/0!</v>
      </c>
      <c r="T167" s="22" t="e">
        <f t="shared" ref="T167" si="133">T166/T165</f>
        <v>#DIV/0!</v>
      </c>
    </row>
    <row r="168" spans="1:20" x14ac:dyDescent="0.3">
      <c r="A168" s="104">
        <v>16</v>
      </c>
      <c r="B168" s="107" t="s">
        <v>74</v>
      </c>
      <c r="C168" s="110" t="s">
        <v>75</v>
      </c>
      <c r="D168" s="110" t="s">
        <v>37</v>
      </c>
      <c r="E168" s="114" t="s">
        <v>24</v>
      </c>
      <c r="F168" s="11" t="s">
        <v>25</v>
      </c>
      <c r="G168" s="23">
        <v>517438.01</v>
      </c>
      <c r="H168" s="23">
        <v>471308.01799999998</v>
      </c>
      <c r="I168" s="23">
        <v>526341.32999999996</v>
      </c>
      <c r="J168" s="23">
        <v>498625.16300000006</v>
      </c>
      <c r="K168" s="9">
        <v>526652.39</v>
      </c>
      <c r="L168" s="9">
        <v>461585.33299999998</v>
      </c>
      <c r="M168" s="9">
        <v>502776.7475</v>
      </c>
      <c r="N168" s="9">
        <v>550475.75205000001</v>
      </c>
      <c r="O168" s="9">
        <v>576366.12800000003</v>
      </c>
      <c r="P168" s="23">
        <v>579666.38699999999</v>
      </c>
      <c r="Q168" s="23">
        <v>541025.32929999998</v>
      </c>
      <c r="R168" s="24">
        <v>541025.32929999998</v>
      </c>
      <c r="S168" s="11">
        <f>SUMIF($G$4:$R$4,"&gt;=0",G168:R168)</f>
        <v>3001950.2440000004</v>
      </c>
      <c r="T168" s="10">
        <f>SUM(G168:R168)</f>
        <v>6293285.917150002</v>
      </c>
    </row>
    <row r="169" spans="1:20" x14ac:dyDescent="0.3">
      <c r="A169" s="105"/>
      <c r="B169" s="108"/>
      <c r="C169" s="111"/>
      <c r="D169" s="111"/>
      <c r="E169" s="115"/>
      <c r="F169" s="12" t="s">
        <v>26</v>
      </c>
      <c r="G169" s="14">
        <v>525755.07000000007</v>
      </c>
      <c r="H169" s="14">
        <v>510043.64</v>
      </c>
      <c r="I169" s="14">
        <v>512781.31999999995</v>
      </c>
      <c r="J169" s="14">
        <v>484821.86</v>
      </c>
      <c r="K169" s="13">
        <v>454544.19999999995</v>
      </c>
      <c r="L169" s="13">
        <v>437291.24</v>
      </c>
      <c r="M169" s="13"/>
      <c r="N169" s="13"/>
      <c r="O169" s="13"/>
      <c r="P169" s="14"/>
      <c r="Q169" s="14"/>
      <c r="R169" s="30"/>
      <c r="S169" s="16">
        <f>SUMIF($G$4:$R$4,"&gt;=0",G169:R169)</f>
        <v>2925237.33</v>
      </c>
      <c r="T169" s="17">
        <f t="shared" ref="T169" si="134">SUM(G169:R169)</f>
        <v>2925237.33</v>
      </c>
    </row>
    <row r="170" spans="1:20" ht="15" thickBot="1" x14ac:dyDescent="0.35">
      <c r="A170" s="105"/>
      <c r="B170" s="108"/>
      <c r="C170" s="111"/>
      <c r="D170" s="111"/>
      <c r="E170" s="115"/>
      <c r="F170" s="18" t="s">
        <v>27</v>
      </c>
      <c r="G170" s="19">
        <f>G169/G168</f>
        <v>1.0160735389346447</v>
      </c>
      <c r="H170" s="19">
        <f t="shared" ref="H170:T170" si="135">H169/H168</f>
        <v>1.0821874878436717</v>
      </c>
      <c r="I170" s="19">
        <f t="shared" si="135"/>
        <v>0.97423723118988204</v>
      </c>
      <c r="J170" s="19">
        <f t="shared" si="135"/>
        <v>0.97231727553228176</v>
      </c>
      <c r="K170" s="19">
        <f t="shared" si="135"/>
        <v>0.86308200367228927</v>
      </c>
      <c r="L170" s="19">
        <f t="shared" si="135"/>
        <v>0.9473681435194129</v>
      </c>
      <c r="M170" s="19">
        <f t="shared" si="135"/>
        <v>0</v>
      </c>
      <c r="N170" s="19">
        <f t="shared" si="135"/>
        <v>0</v>
      </c>
      <c r="O170" s="19">
        <f t="shared" si="135"/>
        <v>0</v>
      </c>
      <c r="P170" s="19">
        <f t="shared" si="135"/>
        <v>0</v>
      </c>
      <c r="Q170" s="19">
        <f t="shared" si="135"/>
        <v>0</v>
      </c>
      <c r="R170" s="25">
        <f t="shared" si="135"/>
        <v>0</v>
      </c>
      <c r="S170" s="21">
        <f t="shared" si="135"/>
        <v>0.97444564107838683</v>
      </c>
      <c r="T170" s="22">
        <f t="shared" si="135"/>
        <v>0.46481875581536147</v>
      </c>
    </row>
    <row r="171" spans="1:20" x14ac:dyDescent="0.3">
      <c r="A171" s="105"/>
      <c r="B171" s="108"/>
      <c r="C171" s="111"/>
      <c r="D171" s="111"/>
      <c r="E171" s="115"/>
      <c r="F171" s="11" t="s">
        <v>28</v>
      </c>
      <c r="G171" s="23">
        <v>502367</v>
      </c>
      <c r="H171" s="23">
        <v>457580.6</v>
      </c>
      <c r="I171" s="23">
        <v>511011</v>
      </c>
      <c r="J171" s="23">
        <v>484102.1</v>
      </c>
      <c r="K171" s="9">
        <v>511313</v>
      </c>
      <c r="L171" s="9">
        <v>448141.1</v>
      </c>
      <c r="M171" s="9">
        <v>490513.9</v>
      </c>
      <c r="N171" s="9">
        <v>531861.07999999996</v>
      </c>
      <c r="O171" s="9">
        <v>554195.87</v>
      </c>
      <c r="P171" s="23">
        <v>562782.9</v>
      </c>
      <c r="Q171" s="23">
        <v>525267.31000000006</v>
      </c>
      <c r="R171" s="24">
        <v>503151.34999999986</v>
      </c>
      <c r="S171" s="11">
        <f>SUMIF($G$4:$R$4,"&gt;=0",G171:R171)</f>
        <v>2914514.8000000003</v>
      </c>
      <c r="T171" s="10">
        <f>SUM(G171:R171)</f>
        <v>6082287.2100000009</v>
      </c>
    </row>
    <row r="172" spans="1:20" ht="15" thickBot="1" x14ac:dyDescent="0.35">
      <c r="A172" s="105"/>
      <c r="B172" s="108"/>
      <c r="C172" s="111"/>
      <c r="D172" s="111"/>
      <c r="E172" s="115"/>
      <c r="F172" s="18" t="s">
        <v>29</v>
      </c>
      <c r="G172" s="19">
        <f>(G169-G171)/G169</f>
        <v>4.4484725558614324E-2</v>
      </c>
      <c r="H172" s="19">
        <f t="shared" ref="H172:S172" si="136">(H169-H171)/H169</f>
        <v>0.10285990430152218</v>
      </c>
      <c r="I172" s="19">
        <f t="shared" si="136"/>
        <v>3.4523878521938922E-3</v>
      </c>
      <c r="J172" s="19">
        <f t="shared" si="136"/>
        <v>1.4845865242132633E-3</v>
      </c>
      <c r="K172" s="19">
        <f t="shared" si="136"/>
        <v>-0.1248917047011051</v>
      </c>
      <c r="L172" s="19">
        <f t="shared" si="136"/>
        <v>-2.4811519206284549E-2</v>
      </c>
      <c r="M172" s="19" t="e">
        <f t="shared" si="136"/>
        <v>#DIV/0!</v>
      </c>
      <c r="N172" s="19" t="e">
        <f t="shared" si="136"/>
        <v>#DIV/0!</v>
      </c>
      <c r="O172" s="19" t="e">
        <f t="shared" si="136"/>
        <v>#DIV/0!</v>
      </c>
      <c r="P172" s="19" t="e">
        <f t="shared" si="136"/>
        <v>#DIV/0!</v>
      </c>
      <c r="Q172" s="19" t="e">
        <f t="shared" si="136"/>
        <v>#DIV/0!</v>
      </c>
      <c r="R172" s="25" t="e">
        <f t="shared" si="136"/>
        <v>#DIV/0!</v>
      </c>
      <c r="S172" s="21">
        <f t="shared" si="136"/>
        <v>3.6655248071785665E-3</v>
      </c>
      <c r="T172" s="22">
        <f t="shared" ref="T172" si="137">T169/T171</f>
        <v>0.48094363666197204</v>
      </c>
    </row>
    <row r="173" spans="1:20" x14ac:dyDescent="0.3">
      <c r="A173" s="105"/>
      <c r="B173" s="108"/>
      <c r="C173" s="111"/>
      <c r="D173" s="111"/>
      <c r="E173" s="115"/>
      <c r="F173" s="26" t="s">
        <v>30</v>
      </c>
      <c r="G173" s="23">
        <v>1186304.6762999995</v>
      </c>
      <c r="H173" s="23">
        <v>1150614.7940999996</v>
      </c>
      <c r="I173" s="23">
        <v>1157245.8009000001</v>
      </c>
      <c r="J173" s="23"/>
      <c r="K173" s="9"/>
      <c r="L173" s="9"/>
      <c r="M173" s="9"/>
      <c r="N173" s="9"/>
      <c r="O173" s="9"/>
      <c r="P173" s="23"/>
      <c r="Q173" s="23"/>
      <c r="R173" s="24"/>
      <c r="S173" s="11">
        <f>SUMIF($G$4:$R$4,"&gt;=0",G173:R173)</f>
        <v>3494165.2712999992</v>
      </c>
      <c r="T173" s="10">
        <f>SUM(G173:R173)</f>
        <v>3494165.2712999992</v>
      </c>
    </row>
    <row r="174" spans="1:20" x14ac:dyDescent="0.3">
      <c r="A174" s="105"/>
      <c r="B174" s="108"/>
      <c r="C174" s="111"/>
      <c r="D174" s="111"/>
      <c r="E174" s="115"/>
      <c r="F174" s="29" t="s">
        <v>31</v>
      </c>
      <c r="G174" s="14"/>
      <c r="H174" s="14"/>
      <c r="I174" s="14"/>
      <c r="J174" s="14"/>
      <c r="K174" s="13"/>
      <c r="L174" s="13"/>
      <c r="M174" s="13"/>
      <c r="N174" s="13"/>
      <c r="O174" s="13"/>
      <c r="P174" s="14"/>
      <c r="Q174" s="14"/>
      <c r="R174" s="30"/>
      <c r="S174" s="16">
        <f>SUMIF($G$4:$R$4,"&gt;=0",G174:R174)</f>
        <v>0</v>
      </c>
      <c r="T174" s="17">
        <f t="shared" ref="T174" si="138">SUM(G174:R174)</f>
        <v>0</v>
      </c>
    </row>
    <row r="175" spans="1:20" ht="15" thickBot="1" x14ac:dyDescent="0.35">
      <c r="A175" s="105"/>
      <c r="B175" s="108"/>
      <c r="C175" s="111"/>
      <c r="D175" s="111"/>
      <c r="E175" s="115"/>
      <c r="F175" s="18" t="s">
        <v>32</v>
      </c>
      <c r="G175" s="19">
        <f>(G173-G174)/G173</f>
        <v>1</v>
      </c>
      <c r="H175" s="19">
        <f t="shared" ref="H175:S175" si="139">(H173-H174)/H173</f>
        <v>1</v>
      </c>
      <c r="I175" s="19">
        <f t="shared" si="139"/>
        <v>1</v>
      </c>
      <c r="J175" s="19" t="e">
        <f t="shared" si="139"/>
        <v>#DIV/0!</v>
      </c>
      <c r="K175" s="19" t="e">
        <f t="shared" si="139"/>
        <v>#DIV/0!</v>
      </c>
      <c r="L175" s="19" t="e">
        <f t="shared" si="139"/>
        <v>#DIV/0!</v>
      </c>
      <c r="M175" s="19" t="e">
        <f t="shared" si="139"/>
        <v>#DIV/0!</v>
      </c>
      <c r="N175" s="19" t="e">
        <f t="shared" si="139"/>
        <v>#DIV/0!</v>
      </c>
      <c r="O175" s="19" t="e">
        <f t="shared" si="139"/>
        <v>#DIV/0!</v>
      </c>
      <c r="P175" s="19" t="e">
        <f t="shared" si="139"/>
        <v>#DIV/0!</v>
      </c>
      <c r="Q175" s="19" t="e">
        <f t="shared" si="139"/>
        <v>#DIV/0!</v>
      </c>
      <c r="R175" s="25" t="e">
        <f t="shared" si="139"/>
        <v>#DIV/0!</v>
      </c>
      <c r="S175" s="21">
        <f t="shared" si="139"/>
        <v>1</v>
      </c>
      <c r="T175" s="22" t="e">
        <f t="shared" ref="T175" si="140">T173/T174</f>
        <v>#DIV/0!</v>
      </c>
    </row>
    <row r="176" spans="1:20" x14ac:dyDescent="0.3">
      <c r="A176" s="105"/>
      <c r="B176" s="108"/>
      <c r="C176" s="111"/>
      <c r="D176" s="111"/>
      <c r="E176" s="115"/>
      <c r="F176" s="31" t="s">
        <v>33</v>
      </c>
      <c r="G176" s="23"/>
      <c r="H176" s="23"/>
      <c r="I176" s="23"/>
      <c r="J176" s="23"/>
      <c r="K176" s="9"/>
      <c r="L176" s="9"/>
      <c r="M176" s="9"/>
      <c r="N176" s="9"/>
      <c r="O176" s="9"/>
      <c r="P176" s="23"/>
      <c r="Q176" s="23"/>
      <c r="R176" s="24"/>
      <c r="S176" s="11">
        <f>SUMIF($G$4:$R$4,"&gt;=0",G176:R176)</f>
        <v>0</v>
      </c>
      <c r="T176" s="10">
        <f>SUM(G176:R176)</f>
        <v>0</v>
      </c>
    </row>
    <row r="177" spans="1:20" x14ac:dyDescent="0.3">
      <c r="A177" s="105"/>
      <c r="B177" s="108"/>
      <c r="C177" s="111"/>
      <c r="D177" s="111"/>
      <c r="E177" s="115"/>
      <c r="F177" s="32" t="s">
        <v>34</v>
      </c>
      <c r="G177" s="14"/>
      <c r="H177" s="14"/>
      <c r="I177" s="14"/>
      <c r="J177" s="14"/>
      <c r="K177" s="13"/>
      <c r="L177" s="13"/>
      <c r="M177" s="13"/>
      <c r="N177" s="13"/>
      <c r="O177" s="13"/>
      <c r="P177" s="14"/>
      <c r="Q177" s="14"/>
      <c r="R177" s="30"/>
      <c r="S177" s="16">
        <f>SUMIF($G$4:$R$4,"&gt;=0",G177:R177)</f>
        <v>0</v>
      </c>
      <c r="T177" s="17">
        <f>SUM(G177:R177)</f>
        <v>0</v>
      </c>
    </row>
    <row r="178" spans="1:20" ht="15" thickBot="1" x14ac:dyDescent="0.35">
      <c r="A178" s="117"/>
      <c r="B178" s="109"/>
      <c r="C178" s="112"/>
      <c r="D178" s="113"/>
      <c r="E178" s="116"/>
      <c r="F178" s="21" t="s">
        <v>35</v>
      </c>
      <c r="G178" s="19" t="e">
        <f>(G177-G176)/G177</f>
        <v>#DIV/0!</v>
      </c>
      <c r="H178" s="19" t="e">
        <f t="shared" ref="H178:S178" si="141">(H177-H176)/H177</f>
        <v>#DIV/0!</v>
      </c>
      <c r="I178" s="19" t="e">
        <f t="shared" si="141"/>
        <v>#DIV/0!</v>
      </c>
      <c r="J178" s="19" t="e">
        <f t="shared" si="141"/>
        <v>#DIV/0!</v>
      </c>
      <c r="K178" s="19" t="e">
        <f t="shared" si="141"/>
        <v>#DIV/0!</v>
      </c>
      <c r="L178" s="19" t="e">
        <f t="shared" si="141"/>
        <v>#DIV/0!</v>
      </c>
      <c r="M178" s="19" t="e">
        <f t="shared" si="141"/>
        <v>#DIV/0!</v>
      </c>
      <c r="N178" s="19" t="e">
        <f t="shared" si="141"/>
        <v>#DIV/0!</v>
      </c>
      <c r="O178" s="19" t="e">
        <f t="shared" si="141"/>
        <v>#DIV/0!</v>
      </c>
      <c r="P178" s="19" t="e">
        <f t="shared" si="141"/>
        <v>#DIV/0!</v>
      </c>
      <c r="Q178" s="19" t="e">
        <f t="shared" si="141"/>
        <v>#DIV/0!</v>
      </c>
      <c r="R178" s="25" t="e">
        <f t="shared" si="141"/>
        <v>#DIV/0!</v>
      </c>
      <c r="S178" s="21" t="e">
        <f t="shared" si="141"/>
        <v>#DIV/0!</v>
      </c>
      <c r="T178" s="22" t="e">
        <f t="shared" ref="T178" si="142">T177/T176</f>
        <v>#DIV/0!</v>
      </c>
    </row>
    <row r="179" spans="1:20" x14ac:dyDescent="0.3">
      <c r="A179" s="104">
        <v>17</v>
      </c>
      <c r="B179" s="107" t="s">
        <v>77</v>
      </c>
      <c r="C179" s="110" t="s">
        <v>78</v>
      </c>
      <c r="D179" s="110" t="s">
        <v>23</v>
      </c>
      <c r="E179" s="114" t="s">
        <v>76</v>
      </c>
      <c r="F179" s="11" t="s">
        <v>25</v>
      </c>
      <c r="G179" s="23">
        <v>392989.49600000004</v>
      </c>
      <c r="H179" s="23">
        <v>398443.14</v>
      </c>
      <c r="I179" s="23">
        <v>351244.42</v>
      </c>
      <c r="J179" s="23">
        <v>389379.24300000002</v>
      </c>
      <c r="K179" s="9">
        <v>440732.88</v>
      </c>
      <c r="L179" s="9">
        <v>365045.28710299998</v>
      </c>
      <c r="M179" s="9">
        <v>396140.67999999993</v>
      </c>
      <c r="N179" s="9">
        <v>417783.66000000003</v>
      </c>
      <c r="O179" s="9">
        <v>490981.01799999992</v>
      </c>
      <c r="P179" s="23">
        <v>458476.55499999999</v>
      </c>
      <c r="Q179" s="23">
        <v>428302.07100200007</v>
      </c>
      <c r="R179" s="24">
        <v>442900</v>
      </c>
      <c r="S179" s="11">
        <f>SUMIF($G$4:$R$4,"&gt;=0",G179:R179)</f>
        <v>2337834.4661030001</v>
      </c>
      <c r="T179" s="10">
        <f>SUM(G179:R179)</f>
        <v>4972418.4501050012</v>
      </c>
    </row>
    <row r="180" spans="1:20" x14ac:dyDescent="0.3">
      <c r="A180" s="105"/>
      <c r="B180" s="108"/>
      <c r="C180" s="111"/>
      <c r="D180" s="111"/>
      <c r="E180" s="115"/>
      <c r="F180" s="12" t="s">
        <v>26</v>
      </c>
      <c r="G180" s="14">
        <v>450127.81</v>
      </c>
      <c r="H180" s="14">
        <v>427784.88</v>
      </c>
      <c r="I180" s="14">
        <v>425786.55000000005</v>
      </c>
      <c r="J180" s="14">
        <v>515099.96000000014</v>
      </c>
      <c r="K180" s="13">
        <v>525725.33000000007</v>
      </c>
      <c r="L180" s="13">
        <v>480719.75</v>
      </c>
      <c r="M180" s="13"/>
      <c r="N180" s="13"/>
      <c r="O180" s="13"/>
      <c r="P180" s="14"/>
      <c r="Q180" s="14"/>
      <c r="R180" s="30"/>
      <c r="S180" s="16">
        <f>SUMIF($G$4:$R$4,"&gt;=0",G180:R180)</f>
        <v>2825244.2800000003</v>
      </c>
      <c r="T180" s="17">
        <f t="shared" ref="T180" si="143">SUM(G180:R180)</f>
        <v>2825244.2800000003</v>
      </c>
    </row>
    <row r="181" spans="1:20" ht="15" thickBot="1" x14ac:dyDescent="0.35">
      <c r="A181" s="105"/>
      <c r="B181" s="108"/>
      <c r="C181" s="111"/>
      <c r="D181" s="111"/>
      <c r="E181" s="115"/>
      <c r="F181" s="18" t="s">
        <v>27</v>
      </c>
      <c r="G181" s="19">
        <f>G180/G179</f>
        <v>1.1453939980115906</v>
      </c>
      <c r="H181" s="19">
        <f t="shared" ref="H181:T181" si="144">H180/H179</f>
        <v>1.0736409717080333</v>
      </c>
      <c r="I181" s="19">
        <f t="shared" si="144"/>
        <v>1.2122229585882107</v>
      </c>
      <c r="J181" s="19">
        <f t="shared" si="144"/>
        <v>1.3228747275570623</v>
      </c>
      <c r="K181" s="19">
        <f t="shared" si="144"/>
        <v>1.1928434520247277</v>
      </c>
      <c r="L181" s="19">
        <f t="shared" si="144"/>
        <v>1.3168770204239391</v>
      </c>
      <c r="M181" s="19">
        <f t="shared" si="144"/>
        <v>0</v>
      </c>
      <c r="N181" s="19">
        <f t="shared" si="144"/>
        <v>0</v>
      </c>
      <c r="O181" s="19">
        <f t="shared" si="144"/>
        <v>0</v>
      </c>
      <c r="P181" s="19">
        <f t="shared" si="144"/>
        <v>0</v>
      </c>
      <c r="Q181" s="19">
        <f t="shared" si="144"/>
        <v>0</v>
      </c>
      <c r="R181" s="25">
        <f t="shared" si="144"/>
        <v>0</v>
      </c>
      <c r="S181" s="21">
        <f t="shared" si="144"/>
        <v>1.2084877355365014</v>
      </c>
      <c r="T181" s="22">
        <f t="shared" si="144"/>
        <v>0.56818313027141554</v>
      </c>
    </row>
    <row r="182" spans="1:20" x14ac:dyDescent="0.3">
      <c r="A182" s="105"/>
      <c r="B182" s="108"/>
      <c r="C182" s="111"/>
      <c r="D182" s="111"/>
      <c r="E182" s="115"/>
      <c r="F182" s="11" t="s">
        <v>28</v>
      </c>
      <c r="G182" s="23">
        <v>381543.2</v>
      </c>
      <c r="H182" s="23">
        <v>386838</v>
      </c>
      <c r="I182" s="23">
        <v>341014</v>
      </c>
      <c r="J182" s="23">
        <v>378038.1</v>
      </c>
      <c r="K182" s="9">
        <v>427896</v>
      </c>
      <c r="L182" s="9">
        <v>354412.90009999997</v>
      </c>
      <c r="M182" s="9">
        <v>380904.5</v>
      </c>
      <c r="N182" s="9">
        <v>397890.47</v>
      </c>
      <c r="O182" s="9">
        <v>476694.53999999992</v>
      </c>
      <c r="P182" s="23">
        <v>461862.2</v>
      </c>
      <c r="Q182" s="23">
        <v>403715.78</v>
      </c>
      <c r="R182" s="24">
        <v>444990.34000000008</v>
      </c>
      <c r="S182" s="11">
        <f>SUMIF($G$4:$R$4,"&gt;=0",G182:R182)</f>
        <v>2269742.2001</v>
      </c>
      <c r="T182" s="10">
        <f>SUM(G182:R182)</f>
        <v>4835800.0301000001</v>
      </c>
    </row>
    <row r="183" spans="1:20" ht="15" thickBot="1" x14ac:dyDescent="0.35">
      <c r="A183" s="105"/>
      <c r="B183" s="108"/>
      <c r="C183" s="111"/>
      <c r="D183" s="111"/>
      <c r="E183" s="115"/>
      <c r="F183" s="18" t="s">
        <v>29</v>
      </c>
      <c r="G183" s="19">
        <f>(G180-G182)/G180</f>
        <v>0.15236696883936141</v>
      </c>
      <c r="H183" s="19">
        <f t="shared" ref="H183:S183" si="145">(H180-H182)/H180</f>
        <v>9.571839004688526E-2</v>
      </c>
      <c r="I183" s="19">
        <f t="shared" si="145"/>
        <v>0.19909635473454959</v>
      </c>
      <c r="J183" s="19">
        <f t="shared" si="145"/>
        <v>0.26608788709671055</v>
      </c>
      <c r="K183" s="19">
        <f t="shared" si="145"/>
        <v>0.18608449016523526</v>
      </c>
      <c r="L183" s="19">
        <f t="shared" si="145"/>
        <v>0.26274528953719922</v>
      </c>
      <c r="M183" s="19" t="e">
        <f t="shared" si="145"/>
        <v>#DIV/0!</v>
      </c>
      <c r="N183" s="19" t="e">
        <f t="shared" si="145"/>
        <v>#DIV/0!</v>
      </c>
      <c r="O183" s="19" t="e">
        <f t="shared" si="145"/>
        <v>#DIV/0!</v>
      </c>
      <c r="P183" s="19" t="e">
        <f t="shared" si="145"/>
        <v>#DIV/0!</v>
      </c>
      <c r="Q183" s="19" t="e">
        <f t="shared" si="145"/>
        <v>#DIV/0!</v>
      </c>
      <c r="R183" s="25" t="e">
        <f t="shared" si="145"/>
        <v>#DIV/0!</v>
      </c>
      <c r="S183" s="21">
        <f t="shared" si="145"/>
        <v>0.19662090242334734</v>
      </c>
      <c r="T183" s="22">
        <f t="shared" ref="T183" si="146">T180/T182</f>
        <v>0.5842351342930896</v>
      </c>
    </row>
    <row r="184" spans="1:20" x14ac:dyDescent="0.3">
      <c r="A184" s="105"/>
      <c r="B184" s="108"/>
      <c r="C184" s="111"/>
      <c r="D184" s="111"/>
      <c r="E184" s="115"/>
      <c r="F184" s="26" t="s">
        <v>30</v>
      </c>
      <c r="G184" s="23">
        <v>1015322.0143999998</v>
      </c>
      <c r="H184" s="23">
        <v>961093.62179999996</v>
      </c>
      <c r="I184" s="23">
        <v>956039.34500000009</v>
      </c>
      <c r="J184" s="23"/>
      <c r="K184" s="9"/>
      <c r="L184" s="9"/>
      <c r="M184" s="9"/>
      <c r="N184" s="9"/>
      <c r="O184" s="9"/>
      <c r="P184" s="23"/>
      <c r="Q184" s="23"/>
      <c r="R184" s="24"/>
      <c r="S184" s="11">
        <f>SUMIF($G$4:$R$4,"&gt;=0",G184:R184)</f>
        <v>2932454.9811999998</v>
      </c>
      <c r="T184" s="10">
        <f>SUM(G184:R184)</f>
        <v>2932454.9811999998</v>
      </c>
    </row>
    <row r="185" spans="1:20" x14ac:dyDescent="0.3">
      <c r="A185" s="105"/>
      <c r="B185" s="108"/>
      <c r="C185" s="111"/>
      <c r="D185" s="111"/>
      <c r="E185" s="115"/>
      <c r="F185" s="29" t="s">
        <v>31</v>
      </c>
      <c r="G185" s="14"/>
      <c r="H185" s="14"/>
      <c r="I185" s="14"/>
      <c r="J185" s="14"/>
      <c r="K185" s="13"/>
      <c r="L185" s="13"/>
      <c r="M185" s="13"/>
      <c r="N185" s="13"/>
      <c r="O185" s="13"/>
      <c r="P185" s="14"/>
      <c r="Q185" s="14"/>
      <c r="R185" s="30"/>
      <c r="S185" s="16">
        <f>SUMIF($G$4:$R$4,"&gt;=0",G185:R185)</f>
        <v>0</v>
      </c>
      <c r="T185" s="17">
        <f t="shared" ref="T185" si="147">SUM(G185:R185)</f>
        <v>0</v>
      </c>
    </row>
    <row r="186" spans="1:20" ht="15" thickBot="1" x14ac:dyDescent="0.35">
      <c r="A186" s="105"/>
      <c r="B186" s="108"/>
      <c r="C186" s="111"/>
      <c r="D186" s="111"/>
      <c r="E186" s="115"/>
      <c r="F186" s="18" t="s">
        <v>32</v>
      </c>
      <c r="G186" s="19">
        <f>(G184-G185)/G184</f>
        <v>1</v>
      </c>
      <c r="H186" s="19">
        <f t="shared" ref="H186:S186" si="148">(H184-H185)/H184</f>
        <v>1</v>
      </c>
      <c r="I186" s="19">
        <f t="shared" si="148"/>
        <v>1</v>
      </c>
      <c r="J186" s="19" t="e">
        <f t="shared" si="148"/>
        <v>#DIV/0!</v>
      </c>
      <c r="K186" s="19" t="e">
        <f t="shared" si="148"/>
        <v>#DIV/0!</v>
      </c>
      <c r="L186" s="19" t="e">
        <f t="shared" si="148"/>
        <v>#DIV/0!</v>
      </c>
      <c r="M186" s="19" t="e">
        <f t="shared" si="148"/>
        <v>#DIV/0!</v>
      </c>
      <c r="N186" s="19" t="e">
        <f t="shared" si="148"/>
        <v>#DIV/0!</v>
      </c>
      <c r="O186" s="19" t="e">
        <f t="shared" si="148"/>
        <v>#DIV/0!</v>
      </c>
      <c r="P186" s="19" t="e">
        <f t="shared" si="148"/>
        <v>#DIV/0!</v>
      </c>
      <c r="Q186" s="19" t="e">
        <f t="shared" si="148"/>
        <v>#DIV/0!</v>
      </c>
      <c r="R186" s="25" t="e">
        <f t="shared" si="148"/>
        <v>#DIV/0!</v>
      </c>
      <c r="S186" s="21">
        <f t="shared" si="148"/>
        <v>1</v>
      </c>
      <c r="T186" s="22" t="e">
        <f t="shared" ref="T186" si="149">T184/T185</f>
        <v>#DIV/0!</v>
      </c>
    </row>
    <row r="187" spans="1:20" x14ac:dyDescent="0.3">
      <c r="A187" s="105"/>
      <c r="B187" s="108"/>
      <c r="C187" s="111"/>
      <c r="D187" s="111"/>
      <c r="E187" s="115"/>
      <c r="F187" s="31" t="s">
        <v>33</v>
      </c>
      <c r="G187" s="23"/>
      <c r="H187" s="23"/>
      <c r="I187" s="23"/>
      <c r="J187" s="23"/>
      <c r="K187" s="9"/>
      <c r="L187" s="9"/>
      <c r="M187" s="9"/>
      <c r="N187" s="9"/>
      <c r="O187" s="9"/>
      <c r="P187" s="23"/>
      <c r="Q187" s="23"/>
      <c r="R187" s="24"/>
      <c r="S187" s="11">
        <f>SUMIF($G$4:$R$4,"&gt;=0",G187:R187)</f>
        <v>0</v>
      </c>
      <c r="T187" s="10">
        <f>SUM(G187:R187)</f>
        <v>0</v>
      </c>
    </row>
    <row r="188" spans="1:20" x14ac:dyDescent="0.3">
      <c r="A188" s="105"/>
      <c r="B188" s="108"/>
      <c r="C188" s="111"/>
      <c r="D188" s="111"/>
      <c r="E188" s="115"/>
      <c r="F188" s="32" t="s">
        <v>34</v>
      </c>
      <c r="G188" s="14"/>
      <c r="H188" s="14"/>
      <c r="I188" s="14"/>
      <c r="J188" s="14"/>
      <c r="K188" s="13"/>
      <c r="L188" s="13"/>
      <c r="M188" s="13"/>
      <c r="N188" s="13"/>
      <c r="O188" s="13"/>
      <c r="P188" s="14"/>
      <c r="Q188" s="14"/>
      <c r="R188" s="30"/>
      <c r="S188" s="16">
        <f>SUMIF($G$4:$R$4,"&gt;=0",G188:R188)</f>
        <v>0</v>
      </c>
      <c r="T188" s="17">
        <f>SUM(G188:R188)</f>
        <v>0</v>
      </c>
    </row>
    <row r="189" spans="1:20" ht="15" thickBot="1" x14ac:dyDescent="0.35">
      <c r="A189" s="117"/>
      <c r="B189" s="109"/>
      <c r="C189" s="112"/>
      <c r="D189" s="113"/>
      <c r="E189" s="116"/>
      <c r="F189" s="21" t="s">
        <v>35</v>
      </c>
      <c r="G189" s="19" t="e">
        <f>(G188-G187)/G188</f>
        <v>#DIV/0!</v>
      </c>
      <c r="H189" s="19" t="e">
        <f t="shared" ref="H189:S189" si="150">(H188-H187)/H188</f>
        <v>#DIV/0!</v>
      </c>
      <c r="I189" s="19" t="e">
        <f t="shared" si="150"/>
        <v>#DIV/0!</v>
      </c>
      <c r="J189" s="19" t="e">
        <f t="shared" si="150"/>
        <v>#DIV/0!</v>
      </c>
      <c r="K189" s="19" t="e">
        <f t="shared" si="150"/>
        <v>#DIV/0!</v>
      </c>
      <c r="L189" s="19" t="e">
        <f t="shared" si="150"/>
        <v>#DIV/0!</v>
      </c>
      <c r="M189" s="19" t="e">
        <f t="shared" si="150"/>
        <v>#DIV/0!</v>
      </c>
      <c r="N189" s="19" t="e">
        <f t="shared" si="150"/>
        <v>#DIV/0!</v>
      </c>
      <c r="O189" s="19" t="e">
        <f t="shared" si="150"/>
        <v>#DIV/0!</v>
      </c>
      <c r="P189" s="19" t="e">
        <f t="shared" si="150"/>
        <v>#DIV/0!</v>
      </c>
      <c r="Q189" s="19" t="e">
        <f t="shared" si="150"/>
        <v>#DIV/0!</v>
      </c>
      <c r="R189" s="25" t="e">
        <f t="shared" si="150"/>
        <v>#DIV/0!</v>
      </c>
      <c r="S189" s="21" t="e">
        <f t="shared" si="150"/>
        <v>#DIV/0!</v>
      </c>
      <c r="T189" s="22" t="e">
        <f t="shared" ref="T189" si="151">T188/T187</f>
        <v>#DIV/0!</v>
      </c>
    </row>
    <row r="190" spans="1:20" x14ac:dyDescent="0.3">
      <c r="A190" s="104">
        <v>18</v>
      </c>
      <c r="B190" s="107" t="s">
        <v>80</v>
      </c>
      <c r="C190" s="110" t="s">
        <v>79</v>
      </c>
      <c r="D190" s="110" t="s">
        <v>23</v>
      </c>
      <c r="E190" s="114" t="s">
        <v>76</v>
      </c>
      <c r="F190" s="11" t="s">
        <v>25</v>
      </c>
      <c r="G190" s="23">
        <v>537250.06000000006</v>
      </c>
      <c r="H190" s="23">
        <v>535303.15399999998</v>
      </c>
      <c r="I190" s="23">
        <v>507735.41</v>
      </c>
      <c r="J190" s="23">
        <v>571115.42999999993</v>
      </c>
      <c r="K190" s="9">
        <v>653879.02</v>
      </c>
      <c r="L190" s="9">
        <v>585091.46806999994</v>
      </c>
      <c r="M190" s="9">
        <v>635003.16744800005</v>
      </c>
      <c r="N190" s="9">
        <v>653249.10000000009</v>
      </c>
      <c r="O190" s="9">
        <v>690329.69000000006</v>
      </c>
      <c r="P190" s="23">
        <v>602995.30249999999</v>
      </c>
      <c r="Q190" s="23">
        <v>608894.28500000015</v>
      </c>
      <c r="R190" s="24">
        <v>616970</v>
      </c>
      <c r="S190" s="11">
        <f>SUMIF($G$4:$R$4,"&gt;=0",G190:R190)</f>
        <v>3390374.54207</v>
      </c>
      <c r="T190" s="10">
        <f>SUM(G190:R190)</f>
        <v>7197816.0870180009</v>
      </c>
    </row>
    <row r="191" spans="1:20" x14ac:dyDescent="0.3">
      <c r="A191" s="105"/>
      <c r="B191" s="108"/>
      <c r="C191" s="111"/>
      <c r="D191" s="111"/>
      <c r="E191" s="115"/>
      <c r="F191" s="12" t="s">
        <v>26</v>
      </c>
      <c r="G191" s="14">
        <v>606944.43000000005</v>
      </c>
      <c r="H191" s="14">
        <v>570423.76</v>
      </c>
      <c r="I191" s="14">
        <v>591475.50999999989</v>
      </c>
      <c r="J191" s="14">
        <v>687540.79</v>
      </c>
      <c r="K191" s="13">
        <v>724450.41000000015</v>
      </c>
      <c r="L191" s="13">
        <v>703775.38500000001</v>
      </c>
      <c r="M191" s="13"/>
      <c r="N191" s="13"/>
      <c r="O191" s="13"/>
      <c r="P191" s="14"/>
      <c r="Q191" s="14"/>
      <c r="R191" s="30"/>
      <c r="S191" s="16">
        <f>SUMIF($G$4:$R$4,"&gt;=0",G191:R191)</f>
        <v>3884610.2850000001</v>
      </c>
      <c r="T191" s="17">
        <f t="shared" ref="T191" si="152">SUM(G191:R191)</f>
        <v>3884610.2850000001</v>
      </c>
    </row>
    <row r="192" spans="1:20" ht="15" thickBot="1" x14ac:dyDescent="0.35">
      <c r="A192" s="105"/>
      <c r="B192" s="108"/>
      <c r="C192" s="111"/>
      <c r="D192" s="111"/>
      <c r="E192" s="115"/>
      <c r="F192" s="18" t="s">
        <v>27</v>
      </c>
      <c r="G192" s="19">
        <f>G191/G190</f>
        <v>1.1297242665733718</v>
      </c>
      <c r="H192" s="19">
        <f t="shared" ref="H192:T192" si="153">H191/H190</f>
        <v>1.0656088157477959</v>
      </c>
      <c r="I192" s="19">
        <f t="shared" si="153"/>
        <v>1.1649286190222579</v>
      </c>
      <c r="J192" s="19">
        <f t="shared" si="153"/>
        <v>1.2038560926291206</v>
      </c>
      <c r="K192" s="19">
        <f t="shared" si="153"/>
        <v>1.1079272890572329</v>
      </c>
      <c r="L192" s="19">
        <f t="shared" si="153"/>
        <v>1.2028467742342823</v>
      </c>
      <c r="M192" s="19">
        <f t="shared" si="153"/>
        <v>0</v>
      </c>
      <c r="N192" s="19">
        <f t="shared" si="153"/>
        <v>0</v>
      </c>
      <c r="O192" s="19">
        <f t="shared" si="153"/>
        <v>0</v>
      </c>
      <c r="P192" s="19">
        <f t="shared" si="153"/>
        <v>0</v>
      </c>
      <c r="Q192" s="19">
        <f t="shared" si="153"/>
        <v>0</v>
      </c>
      <c r="R192" s="25">
        <f t="shared" si="153"/>
        <v>0</v>
      </c>
      <c r="S192" s="21">
        <f t="shared" si="153"/>
        <v>1.1457761485632922</v>
      </c>
      <c r="T192" s="22">
        <f t="shared" si="153"/>
        <v>0.53969290657568936</v>
      </c>
    </row>
    <row r="193" spans="1:20" x14ac:dyDescent="0.3">
      <c r="A193" s="105"/>
      <c r="B193" s="108"/>
      <c r="C193" s="111"/>
      <c r="D193" s="111"/>
      <c r="E193" s="115"/>
      <c r="F193" s="11" t="s">
        <v>28</v>
      </c>
      <c r="G193" s="23">
        <v>521602</v>
      </c>
      <c r="H193" s="23">
        <v>519711.8</v>
      </c>
      <c r="I193" s="23">
        <v>492947</v>
      </c>
      <c r="J193" s="23">
        <v>554481</v>
      </c>
      <c r="K193" s="9">
        <v>634834</v>
      </c>
      <c r="L193" s="9">
        <v>568049.96900000004</v>
      </c>
      <c r="M193" s="9">
        <v>610579.96869999997</v>
      </c>
      <c r="N193" s="9">
        <v>622144.55000000016</v>
      </c>
      <c r="O193" s="9">
        <v>670222.48000000045</v>
      </c>
      <c r="P193" s="23">
        <v>608693.1</v>
      </c>
      <c r="Q193" s="23">
        <v>591159.50000000012</v>
      </c>
      <c r="R193" s="24">
        <v>651857.65500000003</v>
      </c>
      <c r="S193" s="11">
        <f>SUMIF($G$4:$R$4,"&gt;=0",G193:R193)</f>
        <v>3291625.7689999999</v>
      </c>
      <c r="T193" s="10">
        <f>SUM(G193:R193)</f>
        <v>7046283.0227000006</v>
      </c>
    </row>
    <row r="194" spans="1:20" ht="15" thickBot="1" x14ac:dyDescent="0.35">
      <c r="A194" s="105"/>
      <c r="B194" s="108"/>
      <c r="C194" s="111"/>
      <c r="D194" s="111"/>
      <c r="E194" s="115"/>
      <c r="F194" s="18" t="s">
        <v>29</v>
      </c>
      <c r="G194" s="19">
        <f>(G191-G193)/G191</f>
        <v>0.14060995666440179</v>
      </c>
      <c r="H194" s="19">
        <f t="shared" ref="H194:S194" si="154">(H191-H193)/H191</f>
        <v>8.8902257507646631E-2</v>
      </c>
      <c r="I194" s="19">
        <f t="shared" si="154"/>
        <v>0.16658087838666374</v>
      </c>
      <c r="J194" s="19">
        <f t="shared" si="154"/>
        <v>0.19353003041463188</v>
      </c>
      <c r="K194" s="19">
        <f t="shared" si="154"/>
        <v>0.12370261478629038</v>
      </c>
      <c r="L194" s="19">
        <f t="shared" si="154"/>
        <v>0.19285331498202365</v>
      </c>
      <c r="M194" s="19" t="e">
        <f t="shared" si="154"/>
        <v>#DIV/0!</v>
      </c>
      <c r="N194" s="19" t="e">
        <f t="shared" si="154"/>
        <v>#DIV/0!</v>
      </c>
      <c r="O194" s="19" t="e">
        <f t="shared" si="154"/>
        <v>#DIV/0!</v>
      </c>
      <c r="P194" s="19" t="e">
        <f t="shared" si="154"/>
        <v>#DIV/0!</v>
      </c>
      <c r="Q194" s="19" t="e">
        <f t="shared" si="154"/>
        <v>#DIV/0!</v>
      </c>
      <c r="R194" s="25" t="e">
        <f t="shared" si="154"/>
        <v>#DIV/0!</v>
      </c>
      <c r="S194" s="21">
        <f t="shared" si="154"/>
        <v>0.15264967976060442</v>
      </c>
      <c r="T194" s="22">
        <f t="shared" ref="T194" si="155">T191/T193</f>
        <v>0.55129921300145168</v>
      </c>
    </row>
    <row r="195" spans="1:20" x14ac:dyDescent="0.3">
      <c r="A195" s="105"/>
      <c r="B195" s="108"/>
      <c r="C195" s="111"/>
      <c r="D195" s="111"/>
      <c r="E195" s="115"/>
      <c r="F195" s="26" t="s">
        <v>30</v>
      </c>
      <c r="G195" s="23">
        <v>1340675.0109000006</v>
      </c>
      <c r="H195" s="23">
        <v>1257477.7570000004</v>
      </c>
      <c r="I195" s="23">
        <v>1311329.7316999999</v>
      </c>
      <c r="J195" s="23"/>
      <c r="K195" s="9"/>
      <c r="L195" s="9"/>
      <c r="M195" s="9"/>
      <c r="N195" s="9"/>
      <c r="O195" s="9"/>
      <c r="P195" s="23"/>
      <c r="Q195" s="23"/>
      <c r="R195" s="24"/>
      <c r="S195" s="11">
        <f>SUMIF($G$4:$R$4,"&gt;=0",G195:R195)</f>
        <v>3909482.4996000011</v>
      </c>
      <c r="T195" s="10">
        <f>SUM(G195:R195)</f>
        <v>3909482.4996000011</v>
      </c>
    </row>
    <row r="196" spans="1:20" x14ac:dyDescent="0.3">
      <c r="A196" s="105"/>
      <c r="B196" s="108"/>
      <c r="C196" s="111"/>
      <c r="D196" s="111"/>
      <c r="E196" s="115"/>
      <c r="F196" s="29" t="s">
        <v>31</v>
      </c>
      <c r="G196" s="14"/>
      <c r="H196" s="14"/>
      <c r="I196" s="14"/>
      <c r="J196" s="14"/>
      <c r="K196" s="13"/>
      <c r="L196" s="13"/>
      <c r="M196" s="13"/>
      <c r="N196" s="13"/>
      <c r="O196" s="13"/>
      <c r="P196" s="14"/>
      <c r="Q196" s="14"/>
      <c r="R196" s="30"/>
      <c r="S196" s="16">
        <f>SUMIF($G$4:$R$4,"&gt;=0",G196:R196)</f>
        <v>0</v>
      </c>
      <c r="T196" s="17">
        <f t="shared" ref="T196" si="156">SUM(G196:R196)</f>
        <v>0</v>
      </c>
    </row>
    <row r="197" spans="1:20" ht="15" thickBot="1" x14ac:dyDescent="0.35">
      <c r="A197" s="105"/>
      <c r="B197" s="108"/>
      <c r="C197" s="111"/>
      <c r="D197" s="111"/>
      <c r="E197" s="115"/>
      <c r="F197" s="18" t="s">
        <v>32</v>
      </c>
      <c r="G197" s="19">
        <f>(G195-G196)/G195</f>
        <v>1</v>
      </c>
      <c r="H197" s="19">
        <f t="shared" ref="H197:S197" si="157">(H195-H196)/H195</f>
        <v>1</v>
      </c>
      <c r="I197" s="19">
        <f t="shared" si="157"/>
        <v>1</v>
      </c>
      <c r="J197" s="19" t="e">
        <f t="shared" si="157"/>
        <v>#DIV/0!</v>
      </c>
      <c r="K197" s="19" t="e">
        <f t="shared" si="157"/>
        <v>#DIV/0!</v>
      </c>
      <c r="L197" s="19" t="e">
        <f t="shared" si="157"/>
        <v>#DIV/0!</v>
      </c>
      <c r="M197" s="19" t="e">
        <f t="shared" si="157"/>
        <v>#DIV/0!</v>
      </c>
      <c r="N197" s="19" t="e">
        <f t="shared" si="157"/>
        <v>#DIV/0!</v>
      </c>
      <c r="O197" s="19" t="e">
        <f t="shared" si="157"/>
        <v>#DIV/0!</v>
      </c>
      <c r="P197" s="19" t="e">
        <f t="shared" si="157"/>
        <v>#DIV/0!</v>
      </c>
      <c r="Q197" s="19" t="e">
        <f t="shared" si="157"/>
        <v>#DIV/0!</v>
      </c>
      <c r="R197" s="25" t="e">
        <f t="shared" si="157"/>
        <v>#DIV/0!</v>
      </c>
      <c r="S197" s="21">
        <f t="shared" si="157"/>
        <v>1</v>
      </c>
      <c r="T197" s="22" t="e">
        <f t="shared" ref="T197" si="158">T195/T196</f>
        <v>#DIV/0!</v>
      </c>
    </row>
    <row r="198" spans="1:20" x14ac:dyDescent="0.3">
      <c r="A198" s="105"/>
      <c r="B198" s="108"/>
      <c r="C198" s="111"/>
      <c r="D198" s="111"/>
      <c r="E198" s="115"/>
      <c r="F198" s="31" t="s">
        <v>33</v>
      </c>
      <c r="G198" s="23"/>
      <c r="H198" s="23"/>
      <c r="I198" s="23"/>
      <c r="J198" s="23"/>
      <c r="K198" s="9"/>
      <c r="L198" s="9"/>
      <c r="M198" s="9"/>
      <c r="N198" s="9"/>
      <c r="O198" s="9"/>
      <c r="P198" s="23"/>
      <c r="Q198" s="23"/>
      <c r="R198" s="24"/>
      <c r="S198" s="11">
        <f>SUMIF($G$4:$R$4,"&gt;=0",G198:R198)</f>
        <v>0</v>
      </c>
      <c r="T198" s="10">
        <f>SUM(G198:R198)</f>
        <v>0</v>
      </c>
    </row>
    <row r="199" spans="1:20" x14ac:dyDescent="0.3">
      <c r="A199" s="105"/>
      <c r="B199" s="108"/>
      <c r="C199" s="111"/>
      <c r="D199" s="111"/>
      <c r="E199" s="115"/>
      <c r="F199" s="32" t="s">
        <v>34</v>
      </c>
      <c r="G199" s="14"/>
      <c r="H199" s="14"/>
      <c r="I199" s="14"/>
      <c r="J199" s="14"/>
      <c r="K199" s="13"/>
      <c r="L199" s="13"/>
      <c r="M199" s="13"/>
      <c r="N199" s="13"/>
      <c r="O199" s="13"/>
      <c r="P199" s="14"/>
      <c r="Q199" s="14"/>
      <c r="R199" s="30"/>
      <c r="S199" s="16">
        <f>SUMIF($G$4:$R$4,"&gt;=0",G199:R199)</f>
        <v>0</v>
      </c>
      <c r="T199" s="17">
        <f>SUM(G199:R199)</f>
        <v>0</v>
      </c>
    </row>
    <row r="200" spans="1:20" ht="15" thickBot="1" x14ac:dyDescent="0.35">
      <c r="A200" s="106"/>
      <c r="B200" s="109"/>
      <c r="C200" s="112"/>
      <c r="D200" s="113"/>
      <c r="E200" s="116"/>
      <c r="F200" s="21" t="s">
        <v>35</v>
      </c>
      <c r="G200" s="19" t="e">
        <f>(G199-G198)/G199</f>
        <v>#DIV/0!</v>
      </c>
      <c r="H200" s="19" t="e">
        <f t="shared" ref="H200:S200" si="159">(H199-H198)/H199</f>
        <v>#DIV/0!</v>
      </c>
      <c r="I200" s="19" t="e">
        <f t="shared" si="159"/>
        <v>#DIV/0!</v>
      </c>
      <c r="J200" s="19" t="e">
        <f t="shared" si="159"/>
        <v>#DIV/0!</v>
      </c>
      <c r="K200" s="19" t="e">
        <f t="shared" si="159"/>
        <v>#DIV/0!</v>
      </c>
      <c r="L200" s="19" t="e">
        <f t="shared" si="159"/>
        <v>#DIV/0!</v>
      </c>
      <c r="M200" s="19" t="e">
        <f t="shared" si="159"/>
        <v>#DIV/0!</v>
      </c>
      <c r="N200" s="19" t="e">
        <f t="shared" si="159"/>
        <v>#DIV/0!</v>
      </c>
      <c r="O200" s="19" t="e">
        <f t="shared" si="159"/>
        <v>#DIV/0!</v>
      </c>
      <c r="P200" s="19" t="e">
        <f t="shared" si="159"/>
        <v>#DIV/0!</v>
      </c>
      <c r="Q200" s="19" t="e">
        <f t="shared" si="159"/>
        <v>#DIV/0!</v>
      </c>
      <c r="R200" s="25" t="e">
        <f t="shared" si="159"/>
        <v>#DIV/0!</v>
      </c>
      <c r="S200" s="21" t="e">
        <f t="shared" si="159"/>
        <v>#DIV/0!</v>
      </c>
      <c r="T200" s="22" t="e">
        <f t="shared" ref="T200" si="160">T199/T198</f>
        <v>#DIV/0!</v>
      </c>
    </row>
    <row r="201" spans="1:20" x14ac:dyDescent="0.3">
      <c r="A201" s="104">
        <v>19</v>
      </c>
      <c r="B201" s="107" t="s">
        <v>39</v>
      </c>
      <c r="C201" s="110" t="s">
        <v>40</v>
      </c>
      <c r="D201" s="110" t="s">
        <v>37</v>
      </c>
      <c r="E201" s="114" t="s">
        <v>50</v>
      </c>
      <c r="F201" s="11" t="s">
        <v>25</v>
      </c>
      <c r="G201" s="23">
        <v>540166.5</v>
      </c>
      <c r="H201" s="23">
        <v>834313.49999999988</v>
      </c>
      <c r="I201" s="23">
        <v>1556645.175</v>
      </c>
      <c r="J201" s="23">
        <v>1519660.905</v>
      </c>
      <c r="K201" s="9">
        <v>1268452.0125</v>
      </c>
      <c r="L201" s="9">
        <v>1292820.9175</v>
      </c>
      <c r="M201" s="9">
        <v>1587760.9775</v>
      </c>
      <c r="N201" s="9">
        <v>1886338.264</v>
      </c>
      <c r="O201" s="9">
        <v>1297180.1400000001</v>
      </c>
      <c r="P201" s="23">
        <v>1326714.3059999999</v>
      </c>
      <c r="Q201" s="23">
        <v>1386309.8255999999</v>
      </c>
      <c r="R201" s="24">
        <v>1386309.8255999999</v>
      </c>
      <c r="S201" s="11">
        <f>SUMIF($G$4:$R$4,"&gt;=0",G201:R201)</f>
        <v>7012059.0099999998</v>
      </c>
      <c r="T201" s="10">
        <f>SUM(G201:R201)</f>
        <v>15882672.348700002</v>
      </c>
    </row>
    <row r="202" spans="1:20" x14ac:dyDescent="0.3">
      <c r="A202" s="105"/>
      <c r="B202" s="108"/>
      <c r="C202" s="111"/>
      <c r="D202" s="111"/>
      <c r="E202" s="115"/>
      <c r="F202" s="12" t="s">
        <v>26</v>
      </c>
      <c r="G202" s="48">
        <v>1505724.34</v>
      </c>
      <c r="H202" s="48">
        <v>1171479.82</v>
      </c>
      <c r="I202" s="14">
        <v>1399228.09</v>
      </c>
      <c r="J202" s="14">
        <v>1253072.8799999999</v>
      </c>
      <c r="K202" s="13">
        <v>1123996.4100000001</v>
      </c>
      <c r="L202" s="13">
        <v>1242629.0500000003</v>
      </c>
      <c r="M202" s="13"/>
      <c r="N202" s="13"/>
      <c r="O202" s="13"/>
      <c r="P202" s="14"/>
      <c r="Q202" s="14"/>
      <c r="R202" s="30"/>
      <c r="S202" s="16">
        <f>SUMIF($G$4:$R$4,"&gt;=0",G202:R202)</f>
        <v>7696130.5899999999</v>
      </c>
      <c r="T202" s="17">
        <f t="shared" ref="T202" si="161">SUM(G202:R202)</f>
        <v>7696130.5899999999</v>
      </c>
    </row>
    <row r="203" spans="1:20" ht="15" thickBot="1" x14ac:dyDescent="0.35">
      <c r="A203" s="105"/>
      <c r="B203" s="108"/>
      <c r="C203" s="111"/>
      <c r="D203" s="111"/>
      <c r="E203" s="115"/>
      <c r="F203" s="18" t="s">
        <v>27</v>
      </c>
      <c r="G203" s="19">
        <f>G202/G201</f>
        <v>2.7875189224063321</v>
      </c>
      <c r="H203" s="19">
        <f t="shared" ref="H203:T203" si="162">H202/H201</f>
        <v>1.4041242530535587</v>
      </c>
      <c r="I203" s="19">
        <f t="shared" si="162"/>
        <v>0.89887413809637129</v>
      </c>
      <c r="J203" s="19">
        <f t="shared" si="162"/>
        <v>0.82457400587007923</v>
      </c>
      <c r="K203" s="19">
        <f t="shared" si="162"/>
        <v>0.88611662004044489</v>
      </c>
      <c r="L203" s="19">
        <f t="shared" si="162"/>
        <v>0.96117647322951849</v>
      </c>
      <c r="M203" s="19">
        <f t="shared" si="162"/>
        <v>0</v>
      </c>
      <c r="N203" s="19">
        <f t="shared" si="162"/>
        <v>0</v>
      </c>
      <c r="O203" s="19">
        <f t="shared" si="162"/>
        <v>0</v>
      </c>
      <c r="P203" s="19">
        <f t="shared" si="162"/>
        <v>0</v>
      </c>
      <c r="Q203" s="19">
        <f t="shared" si="162"/>
        <v>0</v>
      </c>
      <c r="R203" s="25">
        <f t="shared" si="162"/>
        <v>0</v>
      </c>
      <c r="S203" s="21">
        <f t="shared" si="162"/>
        <v>1.09755644940016</v>
      </c>
      <c r="T203" s="22">
        <f t="shared" si="162"/>
        <v>0.48456144035672488</v>
      </c>
    </row>
    <row r="204" spans="1:20" x14ac:dyDescent="0.3">
      <c r="A204" s="105"/>
      <c r="B204" s="108"/>
      <c r="C204" s="111"/>
      <c r="D204" s="111"/>
      <c r="E204" s="115"/>
      <c r="F204" s="11" t="s">
        <v>28</v>
      </c>
      <c r="G204" s="23">
        <v>521900</v>
      </c>
      <c r="H204" s="23">
        <v>806100</v>
      </c>
      <c r="I204" s="23">
        <v>1504005</v>
      </c>
      <c r="J204" s="23">
        <v>1447296.1</v>
      </c>
      <c r="K204" s="9">
        <v>1225557.5</v>
      </c>
      <c r="L204" s="9">
        <v>1261288.7</v>
      </c>
      <c r="M204" s="9">
        <v>1549035.1</v>
      </c>
      <c r="N204" s="9">
        <v>1779576.9</v>
      </c>
      <c r="O204" s="9">
        <v>1262710.5699999984</v>
      </c>
      <c r="P204" s="23">
        <v>1300700.3</v>
      </c>
      <c r="Q204" s="23">
        <v>1359127.28</v>
      </c>
      <c r="R204" s="24">
        <v>1452977.6600000004</v>
      </c>
      <c r="S204" s="11">
        <f>SUMIF($G$4:$R$4,"&gt;=0",G204:R204)</f>
        <v>6766147.2999999998</v>
      </c>
      <c r="T204" s="10">
        <f>SUM(G204:R204)</f>
        <v>15470275.109999999</v>
      </c>
    </row>
    <row r="205" spans="1:20" ht="15" thickBot="1" x14ac:dyDescent="0.35">
      <c r="A205" s="105"/>
      <c r="B205" s="108"/>
      <c r="C205" s="111"/>
      <c r="D205" s="111"/>
      <c r="E205" s="115"/>
      <c r="F205" s="18" t="s">
        <v>29</v>
      </c>
      <c r="G205" s="19">
        <f>(G202-G204)/G202</f>
        <v>0.65338941123844752</v>
      </c>
      <c r="H205" s="19">
        <f t="shared" ref="H205:S205" si="163">(H202-H204)/H202</f>
        <v>0.31189595737125037</v>
      </c>
      <c r="I205" s="19">
        <f t="shared" si="163"/>
        <v>-7.4881937225831363E-2</v>
      </c>
      <c r="J205" s="19">
        <f t="shared" si="163"/>
        <v>-0.15499754491534459</v>
      </c>
      <c r="K205" s="19">
        <f t="shared" si="163"/>
        <v>-9.0357130233182717E-2</v>
      </c>
      <c r="L205" s="19">
        <f t="shared" si="163"/>
        <v>-1.5016267324508203E-2</v>
      </c>
      <c r="M205" s="19" t="e">
        <f t="shared" si="163"/>
        <v>#DIV/0!</v>
      </c>
      <c r="N205" s="19" t="e">
        <f t="shared" si="163"/>
        <v>#DIV/0!</v>
      </c>
      <c r="O205" s="19" t="e">
        <f t="shared" si="163"/>
        <v>#DIV/0!</v>
      </c>
      <c r="P205" s="19" t="e">
        <f t="shared" si="163"/>
        <v>#DIV/0!</v>
      </c>
      <c r="Q205" s="19" t="e">
        <f t="shared" si="163"/>
        <v>#DIV/0!</v>
      </c>
      <c r="R205" s="25" t="e">
        <f t="shared" si="163"/>
        <v>#DIV/0!</v>
      </c>
      <c r="S205" s="21">
        <f t="shared" si="163"/>
        <v>0.12083777414177169</v>
      </c>
      <c r="T205" s="22">
        <f t="shared" ref="T205" si="164">T202/T204</f>
        <v>0.49747858620983504</v>
      </c>
    </row>
    <row r="206" spans="1:20" x14ac:dyDescent="0.3">
      <c r="A206" s="105"/>
      <c r="B206" s="108"/>
      <c r="C206" s="111"/>
      <c r="D206" s="111"/>
      <c r="E206" s="115"/>
      <c r="F206" s="26" t="s">
        <v>30</v>
      </c>
      <c r="G206" s="23">
        <v>3361532.6671999991</v>
      </c>
      <c r="H206" s="23">
        <v>2608528.4920000006</v>
      </c>
      <c r="I206" s="23">
        <v>3184638.4932999997</v>
      </c>
      <c r="J206" s="23"/>
      <c r="K206" s="9"/>
      <c r="L206" s="9"/>
      <c r="M206" s="9"/>
      <c r="N206" s="9"/>
      <c r="O206" s="9"/>
      <c r="P206" s="23"/>
      <c r="Q206" s="23"/>
      <c r="R206" s="24"/>
      <c r="S206" s="11">
        <f>SUMIF($G$4:$R$4,"&gt;=0",G206:R206)</f>
        <v>9154699.6524999999</v>
      </c>
      <c r="T206" s="10">
        <f>SUM(G206:R206)</f>
        <v>9154699.6524999999</v>
      </c>
    </row>
    <row r="207" spans="1:20" x14ac:dyDescent="0.3">
      <c r="A207" s="105"/>
      <c r="B207" s="108"/>
      <c r="C207" s="111"/>
      <c r="D207" s="111"/>
      <c r="E207" s="115"/>
      <c r="F207" s="29" t="s">
        <v>31</v>
      </c>
      <c r="G207" s="14"/>
      <c r="H207" s="14"/>
      <c r="I207" s="14"/>
      <c r="J207" s="14"/>
      <c r="K207" s="13"/>
      <c r="L207" s="13"/>
      <c r="M207" s="13"/>
      <c r="N207" s="13"/>
      <c r="O207" s="13"/>
      <c r="P207" s="14"/>
      <c r="Q207" s="14"/>
      <c r="R207" s="30"/>
      <c r="S207" s="16">
        <f>SUMIF($G$4:$R$4,"&gt;=0",G207:R207)</f>
        <v>0</v>
      </c>
      <c r="T207" s="17">
        <f t="shared" ref="T207" si="165">SUM(G207:R207)</f>
        <v>0</v>
      </c>
    </row>
    <row r="208" spans="1:20" ht="15" thickBot="1" x14ac:dyDescent="0.35">
      <c r="A208" s="105"/>
      <c r="B208" s="108"/>
      <c r="C208" s="111"/>
      <c r="D208" s="111"/>
      <c r="E208" s="115"/>
      <c r="F208" s="18" t="s">
        <v>32</v>
      </c>
      <c r="G208" s="19">
        <f>(G206-G207)/G206</f>
        <v>1</v>
      </c>
      <c r="H208" s="19">
        <f>(H206-H207)/H206</f>
        <v>1</v>
      </c>
      <c r="I208" s="19">
        <f t="shared" ref="I208:S208" si="166">(I206-I207)/I206</f>
        <v>1</v>
      </c>
      <c r="J208" s="19" t="e">
        <f t="shared" si="166"/>
        <v>#DIV/0!</v>
      </c>
      <c r="K208" s="19" t="e">
        <f t="shared" si="166"/>
        <v>#DIV/0!</v>
      </c>
      <c r="L208" s="19" t="e">
        <f t="shared" si="166"/>
        <v>#DIV/0!</v>
      </c>
      <c r="M208" s="19" t="e">
        <f t="shared" si="166"/>
        <v>#DIV/0!</v>
      </c>
      <c r="N208" s="19" t="e">
        <f t="shared" si="166"/>
        <v>#DIV/0!</v>
      </c>
      <c r="O208" s="19" t="e">
        <f t="shared" si="166"/>
        <v>#DIV/0!</v>
      </c>
      <c r="P208" s="19" t="e">
        <f t="shared" si="166"/>
        <v>#DIV/0!</v>
      </c>
      <c r="Q208" s="19" t="e">
        <f t="shared" si="166"/>
        <v>#DIV/0!</v>
      </c>
      <c r="R208" s="25" t="e">
        <f t="shared" si="166"/>
        <v>#DIV/0!</v>
      </c>
      <c r="S208" s="21">
        <f t="shared" si="166"/>
        <v>1</v>
      </c>
      <c r="T208" s="22" t="e">
        <f t="shared" ref="T208" si="167">T206/T207</f>
        <v>#DIV/0!</v>
      </c>
    </row>
    <row r="209" spans="1:20" x14ac:dyDescent="0.3">
      <c r="A209" s="105"/>
      <c r="B209" s="108"/>
      <c r="C209" s="111"/>
      <c r="D209" s="111"/>
      <c r="E209" s="115"/>
      <c r="F209" s="31" t="s">
        <v>33</v>
      </c>
      <c r="G209" s="23"/>
      <c r="H209" s="23"/>
      <c r="I209" s="23"/>
      <c r="J209" s="23"/>
      <c r="K209" s="9"/>
      <c r="L209" s="9"/>
      <c r="M209" s="9"/>
      <c r="N209" s="9"/>
      <c r="O209" s="9"/>
      <c r="P209" s="23"/>
      <c r="Q209" s="23"/>
      <c r="R209" s="24"/>
      <c r="S209" s="11">
        <f>SUMIF($G$4:$R$4,"&gt;=0",G209:R209)</f>
        <v>0</v>
      </c>
      <c r="T209" s="10">
        <f>SUM(G209:R209)</f>
        <v>0</v>
      </c>
    </row>
    <row r="210" spans="1:20" x14ac:dyDescent="0.3">
      <c r="A210" s="105"/>
      <c r="B210" s="108"/>
      <c r="C210" s="111"/>
      <c r="D210" s="111"/>
      <c r="E210" s="115"/>
      <c r="F210" s="32" t="s">
        <v>34</v>
      </c>
      <c r="G210" s="14"/>
      <c r="H210" s="14"/>
      <c r="I210" s="14"/>
      <c r="J210" s="14"/>
      <c r="K210" s="13"/>
      <c r="L210" s="13"/>
      <c r="M210" s="13"/>
      <c r="N210" s="13"/>
      <c r="O210" s="13"/>
      <c r="P210" s="14"/>
      <c r="Q210" s="14"/>
      <c r="R210" s="30"/>
      <c r="S210" s="16">
        <f>SUMIF($G$4:$R$4,"&gt;=0",G210:R210)</f>
        <v>0</v>
      </c>
      <c r="T210" s="17">
        <f>SUM(G210:R210)</f>
        <v>0</v>
      </c>
    </row>
    <row r="211" spans="1:20" ht="15" thickBot="1" x14ac:dyDescent="0.35">
      <c r="A211" s="117"/>
      <c r="B211" s="109"/>
      <c r="C211" s="112"/>
      <c r="D211" s="113"/>
      <c r="E211" s="116"/>
      <c r="F211" s="21" t="s">
        <v>35</v>
      </c>
      <c r="G211" s="19" t="e">
        <f>(G210-G209)/G210</f>
        <v>#DIV/0!</v>
      </c>
      <c r="H211" s="19" t="e">
        <f t="shared" ref="H211:S211" si="168">(H210-H209)/H210</f>
        <v>#DIV/0!</v>
      </c>
      <c r="I211" s="19" t="e">
        <f t="shared" si="168"/>
        <v>#DIV/0!</v>
      </c>
      <c r="J211" s="19" t="e">
        <f t="shared" si="168"/>
        <v>#DIV/0!</v>
      </c>
      <c r="K211" s="19" t="e">
        <f t="shared" si="168"/>
        <v>#DIV/0!</v>
      </c>
      <c r="L211" s="19" t="e">
        <f t="shared" si="168"/>
        <v>#DIV/0!</v>
      </c>
      <c r="M211" s="19" t="e">
        <f t="shared" si="168"/>
        <v>#DIV/0!</v>
      </c>
      <c r="N211" s="19" t="e">
        <f t="shared" si="168"/>
        <v>#DIV/0!</v>
      </c>
      <c r="O211" s="19" t="e">
        <f t="shared" si="168"/>
        <v>#DIV/0!</v>
      </c>
      <c r="P211" s="19" t="e">
        <f t="shared" si="168"/>
        <v>#DIV/0!</v>
      </c>
      <c r="Q211" s="19" t="e">
        <f t="shared" si="168"/>
        <v>#DIV/0!</v>
      </c>
      <c r="R211" s="25" t="e">
        <f t="shared" si="168"/>
        <v>#DIV/0!</v>
      </c>
      <c r="S211" s="21" t="e">
        <f t="shared" si="168"/>
        <v>#DIV/0!</v>
      </c>
      <c r="T211" s="22" t="e">
        <f t="shared" ref="T211" si="169">T210/T209</f>
        <v>#DIV/0!</v>
      </c>
    </row>
    <row r="212" spans="1:20" x14ac:dyDescent="0.3">
      <c r="A212" s="104">
        <v>20</v>
      </c>
      <c r="B212" s="107" t="s">
        <v>81</v>
      </c>
      <c r="C212" s="110" t="s">
        <v>82</v>
      </c>
      <c r="D212" s="110" t="s">
        <v>37</v>
      </c>
      <c r="E212" s="114" t="s">
        <v>24</v>
      </c>
      <c r="F212" s="11" t="s">
        <v>25</v>
      </c>
      <c r="G212" s="23">
        <v>760000</v>
      </c>
      <c r="H212" s="23">
        <v>775200</v>
      </c>
      <c r="I212" s="23">
        <v>790704</v>
      </c>
      <c r="J212" s="23">
        <v>790704</v>
      </c>
      <c r="K212" s="9">
        <v>798611.04</v>
      </c>
      <c r="L212" s="9">
        <v>798611.04</v>
      </c>
      <c r="M212" s="9">
        <v>798611.04</v>
      </c>
      <c r="N212" s="9">
        <v>810590.20559999999</v>
      </c>
      <c r="O212" s="9">
        <v>810590.20559999999</v>
      </c>
      <c r="P212" s="23">
        <v>818696.10765600007</v>
      </c>
      <c r="Q212" s="23">
        <v>818696.10765600007</v>
      </c>
      <c r="R212" s="24">
        <v>826883.06873256015</v>
      </c>
      <c r="S212" s="11">
        <f>SUMIF($G$4:$R$4,"&gt;=0",G212:R212)</f>
        <v>4713830.08</v>
      </c>
      <c r="T212" s="10">
        <f>SUM(G212:R212)</f>
        <v>9597896.8152445592</v>
      </c>
    </row>
    <row r="213" spans="1:20" x14ac:dyDescent="0.3">
      <c r="A213" s="105"/>
      <c r="B213" s="108"/>
      <c r="C213" s="111"/>
      <c r="D213" s="111"/>
      <c r="E213" s="115"/>
      <c r="F213" s="12" t="s">
        <v>26</v>
      </c>
      <c r="G213" s="14">
        <v>1293161.3199999998</v>
      </c>
      <c r="H213" s="14">
        <v>1374984.65</v>
      </c>
      <c r="I213" s="14">
        <v>1373351.6899999997</v>
      </c>
      <c r="J213" s="14">
        <v>1183497.8499999999</v>
      </c>
      <c r="K213" s="13">
        <v>1375887.02</v>
      </c>
      <c r="L213" s="13">
        <v>1300967.6399999999</v>
      </c>
      <c r="M213" s="13"/>
      <c r="N213" s="13"/>
      <c r="O213" s="13"/>
      <c r="P213" s="14"/>
      <c r="Q213" s="14"/>
      <c r="R213" s="30"/>
      <c r="S213" s="16">
        <f>SUMIF($G$4:$R$4,"&gt;=0",G213:R213)</f>
        <v>7901850.169999999</v>
      </c>
      <c r="T213" s="17">
        <f t="shared" ref="T213" si="170">SUM(G213:R213)</f>
        <v>7901850.169999999</v>
      </c>
    </row>
    <row r="214" spans="1:20" ht="15" thickBot="1" x14ac:dyDescent="0.35">
      <c r="A214" s="105"/>
      <c r="B214" s="108"/>
      <c r="C214" s="111"/>
      <c r="D214" s="111"/>
      <c r="E214" s="115"/>
      <c r="F214" s="18" t="s">
        <v>27</v>
      </c>
      <c r="G214" s="19">
        <f>G213/G212</f>
        <v>1.7015280526315788</v>
      </c>
      <c r="H214" s="19">
        <f t="shared" ref="H214:T214" si="171">H213/H212</f>
        <v>1.7737160087719297</v>
      </c>
      <c r="I214" s="19">
        <f t="shared" si="171"/>
        <v>1.7368720659058254</v>
      </c>
      <c r="J214" s="19">
        <f t="shared" si="171"/>
        <v>1.4967647185293105</v>
      </c>
      <c r="K214" s="19">
        <f t="shared" si="171"/>
        <v>1.7228499871476857</v>
      </c>
      <c r="L214" s="19">
        <f t="shared" si="171"/>
        <v>1.6290378855769385</v>
      </c>
      <c r="M214" s="19">
        <f t="shared" si="171"/>
        <v>0</v>
      </c>
      <c r="N214" s="19">
        <f t="shared" si="171"/>
        <v>0</v>
      </c>
      <c r="O214" s="19">
        <f t="shared" si="171"/>
        <v>0</v>
      </c>
      <c r="P214" s="19">
        <f t="shared" si="171"/>
        <v>0</v>
      </c>
      <c r="Q214" s="19">
        <f t="shared" si="171"/>
        <v>0</v>
      </c>
      <c r="R214" s="25">
        <f t="shared" si="171"/>
        <v>0</v>
      </c>
      <c r="S214" s="21">
        <f t="shared" si="171"/>
        <v>1.6763120511123726</v>
      </c>
      <c r="T214" s="22">
        <f t="shared" si="171"/>
        <v>0.82328976046599178</v>
      </c>
    </row>
    <row r="215" spans="1:20" x14ac:dyDescent="0.3">
      <c r="A215" s="105"/>
      <c r="B215" s="108"/>
      <c r="C215" s="111"/>
      <c r="D215" s="111"/>
      <c r="E215" s="115"/>
      <c r="F215" s="11" t="s">
        <v>28</v>
      </c>
      <c r="G215" s="23">
        <v>0</v>
      </c>
      <c r="H215" s="23">
        <v>0</v>
      </c>
      <c r="I215" s="23">
        <v>0</v>
      </c>
      <c r="J215" s="23"/>
      <c r="K215" s="9"/>
      <c r="L215" s="9"/>
      <c r="M215" s="9"/>
      <c r="N215" s="9">
        <v>113926.26999999999</v>
      </c>
      <c r="O215" s="9">
        <v>655955.75400000007</v>
      </c>
      <c r="P215" s="23">
        <v>819560.70000000007</v>
      </c>
      <c r="Q215" s="23">
        <v>923444.71999999986</v>
      </c>
      <c r="R215" s="24">
        <v>1253990.3700000001</v>
      </c>
      <c r="S215" s="11">
        <f>SUMIF($G$4:$R$4,"&gt;=0",G215:R215)</f>
        <v>0</v>
      </c>
      <c r="T215" s="10">
        <f>SUM(G215:R215)</f>
        <v>3766877.8140000002</v>
      </c>
    </row>
    <row r="216" spans="1:20" ht="15" thickBot="1" x14ac:dyDescent="0.35">
      <c r="A216" s="105"/>
      <c r="B216" s="108"/>
      <c r="C216" s="111"/>
      <c r="D216" s="111"/>
      <c r="E216" s="115"/>
      <c r="F216" s="18" t="s">
        <v>29</v>
      </c>
      <c r="G216" s="19">
        <f>(G213-G215)/G213</f>
        <v>1</v>
      </c>
      <c r="H216" s="19">
        <f t="shared" ref="H216:S216" si="172">(H213-H215)/H213</f>
        <v>1</v>
      </c>
      <c r="I216" s="19">
        <f t="shared" si="172"/>
        <v>1</v>
      </c>
      <c r="J216" s="19">
        <f t="shared" si="172"/>
        <v>1</v>
      </c>
      <c r="K216" s="19">
        <f t="shared" si="172"/>
        <v>1</v>
      </c>
      <c r="L216" s="19">
        <f t="shared" si="172"/>
        <v>1</v>
      </c>
      <c r="M216" s="19" t="e">
        <f t="shared" si="172"/>
        <v>#DIV/0!</v>
      </c>
      <c r="N216" s="19" t="e">
        <f t="shared" si="172"/>
        <v>#DIV/0!</v>
      </c>
      <c r="O216" s="19" t="e">
        <f t="shared" si="172"/>
        <v>#DIV/0!</v>
      </c>
      <c r="P216" s="19" t="e">
        <f t="shared" si="172"/>
        <v>#DIV/0!</v>
      </c>
      <c r="Q216" s="19" t="e">
        <f t="shared" si="172"/>
        <v>#DIV/0!</v>
      </c>
      <c r="R216" s="25" t="e">
        <f t="shared" si="172"/>
        <v>#DIV/0!</v>
      </c>
      <c r="S216" s="21">
        <f t="shared" si="172"/>
        <v>1</v>
      </c>
      <c r="T216" s="22">
        <f t="shared" ref="T216" si="173">T213/T215</f>
        <v>2.0977187368891914</v>
      </c>
    </row>
    <row r="217" spans="1:20" x14ac:dyDescent="0.3">
      <c r="A217" s="105"/>
      <c r="B217" s="108"/>
      <c r="C217" s="111"/>
      <c r="D217" s="111"/>
      <c r="E217" s="115"/>
      <c r="F217" s="26" t="s">
        <v>30</v>
      </c>
      <c r="G217" s="23">
        <v>2735462.800199999</v>
      </c>
      <c r="H217" s="23">
        <v>2870630.2592999991</v>
      </c>
      <c r="I217" s="23">
        <v>2919927.4289999977</v>
      </c>
      <c r="J217" s="23"/>
      <c r="K217" s="9"/>
      <c r="L217" s="9"/>
      <c r="M217" s="9"/>
      <c r="N217" s="9"/>
      <c r="O217" s="9"/>
      <c r="P217" s="23"/>
      <c r="Q217" s="23"/>
      <c r="R217" s="24"/>
      <c r="S217" s="11">
        <f>SUMIF($G$4:$R$4,"&gt;=0",G217:R217)</f>
        <v>8526020.4884999953</v>
      </c>
      <c r="T217" s="10">
        <f>SUM(G217:R217)</f>
        <v>8526020.4884999953</v>
      </c>
    </row>
    <row r="218" spans="1:20" x14ac:dyDescent="0.3">
      <c r="A218" s="105"/>
      <c r="B218" s="108"/>
      <c r="C218" s="111"/>
      <c r="D218" s="111"/>
      <c r="E218" s="115"/>
      <c r="F218" s="29" t="s">
        <v>31</v>
      </c>
      <c r="G218" s="14"/>
      <c r="H218" s="14"/>
      <c r="I218" s="14"/>
      <c r="J218" s="14"/>
      <c r="K218" s="13"/>
      <c r="L218" s="13"/>
      <c r="M218" s="13"/>
      <c r="N218" s="13"/>
      <c r="O218" s="13"/>
      <c r="P218" s="14"/>
      <c r="Q218" s="14"/>
      <c r="R218" s="30"/>
      <c r="S218" s="16">
        <f>SUMIF($G$4:$R$4,"&gt;=0",G218:R218)</f>
        <v>0</v>
      </c>
      <c r="T218" s="17">
        <f t="shared" ref="T218" si="174">SUM(G218:R218)</f>
        <v>0</v>
      </c>
    </row>
    <row r="219" spans="1:20" ht="15" thickBot="1" x14ac:dyDescent="0.35">
      <c r="A219" s="105"/>
      <c r="B219" s="108"/>
      <c r="C219" s="111"/>
      <c r="D219" s="111"/>
      <c r="E219" s="115"/>
      <c r="F219" s="18" t="s">
        <v>32</v>
      </c>
      <c r="G219" s="19">
        <f>(G217-G218)/G217</f>
        <v>1</v>
      </c>
      <c r="H219" s="19">
        <f t="shared" ref="H219:S219" si="175">(H217-H218)/H217</f>
        <v>1</v>
      </c>
      <c r="I219" s="19">
        <f t="shared" si="175"/>
        <v>1</v>
      </c>
      <c r="J219" s="19" t="e">
        <f t="shared" si="175"/>
        <v>#DIV/0!</v>
      </c>
      <c r="K219" s="19" t="e">
        <f t="shared" si="175"/>
        <v>#DIV/0!</v>
      </c>
      <c r="L219" s="19" t="e">
        <f t="shared" si="175"/>
        <v>#DIV/0!</v>
      </c>
      <c r="M219" s="19" t="e">
        <f t="shared" si="175"/>
        <v>#DIV/0!</v>
      </c>
      <c r="N219" s="19" t="e">
        <f t="shared" si="175"/>
        <v>#DIV/0!</v>
      </c>
      <c r="O219" s="19" t="e">
        <f t="shared" si="175"/>
        <v>#DIV/0!</v>
      </c>
      <c r="P219" s="19" t="e">
        <f t="shared" si="175"/>
        <v>#DIV/0!</v>
      </c>
      <c r="Q219" s="19" t="e">
        <f t="shared" si="175"/>
        <v>#DIV/0!</v>
      </c>
      <c r="R219" s="25" t="e">
        <f t="shared" si="175"/>
        <v>#DIV/0!</v>
      </c>
      <c r="S219" s="21">
        <f t="shared" si="175"/>
        <v>1</v>
      </c>
      <c r="T219" s="22" t="e">
        <f t="shared" ref="T219" si="176">T217/T218</f>
        <v>#DIV/0!</v>
      </c>
    </row>
    <row r="220" spans="1:20" x14ac:dyDescent="0.3">
      <c r="A220" s="105"/>
      <c r="B220" s="108"/>
      <c r="C220" s="111"/>
      <c r="D220" s="111"/>
      <c r="E220" s="115"/>
      <c r="F220" s="31" t="s">
        <v>33</v>
      </c>
      <c r="G220" s="23"/>
      <c r="H220" s="23"/>
      <c r="I220" s="23"/>
      <c r="J220" s="23"/>
      <c r="K220" s="9"/>
      <c r="L220" s="9"/>
      <c r="M220" s="9"/>
      <c r="N220" s="9"/>
      <c r="O220" s="9"/>
      <c r="P220" s="23"/>
      <c r="Q220" s="23"/>
      <c r="R220" s="24"/>
      <c r="S220" s="11">
        <f>SUMIF($G$4:$R$4,"&gt;=0",G220:R220)</f>
        <v>0</v>
      </c>
      <c r="T220" s="10">
        <f>SUM(G220:R220)</f>
        <v>0</v>
      </c>
    </row>
    <row r="221" spans="1:20" x14ac:dyDescent="0.3">
      <c r="A221" s="105"/>
      <c r="B221" s="108"/>
      <c r="C221" s="111"/>
      <c r="D221" s="111"/>
      <c r="E221" s="115"/>
      <c r="F221" s="32" t="s">
        <v>34</v>
      </c>
      <c r="G221" s="14"/>
      <c r="H221" s="14"/>
      <c r="I221" s="14"/>
      <c r="J221" s="14"/>
      <c r="K221" s="13"/>
      <c r="L221" s="13"/>
      <c r="M221" s="13"/>
      <c r="N221" s="13"/>
      <c r="O221" s="13"/>
      <c r="P221" s="14"/>
      <c r="Q221" s="14"/>
      <c r="R221" s="30"/>
      <c r="S221" s="16">
        <f>SUMIF($G$4:$R$4,"&gt;=0",G221:R221)</f>
        <v>0</v>
      </c>
      <c r="T221" s="17">
        <f>SUM(G221:R221)</f>
        <v>0</v>
      </c>
    </row>
    <row r="222" spans="1:20" ht="15" thickBot="1" x14ac:dyDescent="0.35">
      <c r="A222" s="117"/>
      <c r="B222" s="109"/>
      <c r="C222" s="112"/>
      <c r="D222" s="113"/>
      <c r="E222" s="116"/>
      <c r="F222" s="21" t="s">
        <v>35</v>
      </c>
      <c r="G222" s="19" t="e">
        <f>(G221-G220)/G221</f>
        <v>#DIV/0!</v>
      </c>
      <c r="H222" s="19" t="e">
        <f t="shared" ref="H222:S222" si="177">(H221-H220)/H221</f>
        <v>#DIV/0!</v>
      </c>
      <c r="I222" s="19" t="e">
        <f t="shared" si="177"/>
        <v>#DIV/0!</v>
      </c>
      <c r="J222" s="19" t="e">
        <f t="shared" si="177"/>
        <v>#DIV/0!</v>
      </c>
      <c r="K222" s="19" t="e">
        <f t="shared" si="177"/>
        <v>#DIV/0!</v>
      </c>
      <c r="L222" s="19" t="e">
        <f t="shared" si="177"/>
        <v>#DIV/0!</v>
      </c>
      <c r="M222" s="19" t="e">
        <f t="shared" si="177"/>
        <v>#DIV/0!</v>
      </c>
      <c r="N222" s="19" t="e">
        <f t="shared" si="177"/>
        <v>#DIV/0!</v>
      </c>
      <c r="O222" s="19" t="e">
        <f t="shared" si="177"/>
        <v>#DIV/0!</v>
      </c>
      <c r="P222" s="19" t="e">
        <f t="shared" si="177"/>
        <v>#DIV/0!</v>
      </c>
      <c r="Q222" s="19" t="e">
        <f t="shared" si="177"/>
        <v>#DIV/0!</v>
      </c>
      <c r="R222" s="25" t="e">
        <f t="shared" si="177"/>
        <v>#DIV/0!</v>
      </c>
      <c r="S222" s="21" t="e">
        <f t="shared" si="177"/>
        <v>#DIV/0!</v>
      </c>
      <c r="T222" s="22" t="e">
        <f t="shared" ref="T222" si="178">T221/T220</f>
        <v>#DIV/0!</v>
      </c>
    </row>
    <row r="223" spans="1:20" x14ac:dyDescent="0.3">
      <c r="A223" s="104">
        <v>21</v>
      </c>
      <c r="B223" s="107" t="s">
        <v>83</v>
      </c>
      <c r="C223" s="110" t="s">
        <v>84</v>
      </c>
      <c r="D223" s="110" t="s">
        <v>23</v>
      </c>
      <c r="E223" s="114" t="s">
        <v>24</v>
      </c>
      <c r="F223" s="11" t="s">
        <v>25</v>
      </c>
      <c r="G223" s="23">
        <v>340000</v>
      </c>
      <c r="H223" s="23">
        <v>349000</v>
      </c>
      <c r="I223" s="23">
        <v>349000</v>
      </c>
      <c r="J223" s="23">
        <v>349900</v>
      </c>
      <c r="K223" s="9">
        <v>351500</v>
      </c>
      <c r="L223" s="9">
        <v>354000</v>
      </c>
      <c r="M223" s="9">
        <v>352000</v>
      </c>
      <c r="N223" s="9">
        <v>357000</v>
      </c>
      <c r="O223" s="9">
        <v>369000</v>
      </c>
      <c r="P223" s="23">
        <v>368000</v>
      </c>
      <c r="Q223" s="23">
        <v>368000</v>
      </c>
      <c r="R223" s="24">
        <v>370000</v>
      </c>
      <c r="S223" s="11">
        <f>SUMIF($G$4:$R$4,"&gt;=0",G223:R223)</f>
        <v>2093400</v>
      </c>
      <c r="T223" s="10">
        <f>SUM(G223:R223)</f>
        <v>4277400</v>
      </c>
    </row>
    <row r="224" spans="1:20" x14ac:dyDescent="0.3">
      <c r="A224" s="105"/>
      <c r="B224" s="108"/>
      <c r="C224" s="111"/>
      <c r="D224" s="111"/>
      <c r="E224" s="115"/>
      <c r="F224" s="12" t="s">
        <v>26</v>
      </c>
      <c r="G224" s="14">
        <v>506121.84</v>
      </c>
      <c r="H224" s="14">
        <v>458647.76</v>
      </c>
      <c r="I224" s="14">
        <v>463105.22000000003</v>
      </c>
      <c r="J224" s="14">
        <v>399286.83999999997</v>
      </c>
      <c r="K224" s="13">
        <v>478107.07999999996</v>
      </c>
      <c r="L224" s="13">
        <v>427877.20000000007</v>
      </c>
      <c r="M224" s="13"/>
      <c r="N224" s="13"/>
      <c r="O224" s="13"/>
      <c r="P224" s="14"/>
      <c r="Q224" s="14"/>
      <c r="R224" s="30"/>
      <c r="S224" s="16">
        <f>SUMIF($G$4:$R$4,"&gt;=0",G224:R224)</f>
        <v>2733145.9400000004</v>
      </c>
      <c r="T224" s="17">
        <f t="shared" ref="T224" si="179">SUM(G224:R224)</f>
        <v>2733145.9400000004</v>
      </c>
    </row>
    <row r="225" spans="1:20" ht="15" thickBot="1" x14ac:dyDescent="0.35">
      <c r="A225" s="105"/>
      <c r="B225" s="108"/>
      <c r="C225" s="111"/>
      <c r="D225" s="111"/>
      <c r="E225" s="115"/>
      <c r="F225" s="18" t="s">
        <v>27</v>
      </c>
      <c r="G225" s="19">
        <f>G224/G223</f>
        <v>1.4885936470588237</v>
      </c>
      <c r="H225" s="19">
        <f t="shared" ref="H225:T225" si="180">H224/H223</f>
        <v>1.3141769627507163</v>
      </c>
      <c r="I225" s="19">
        <f t="shared" si="180"/>
        <v>1.3269490544412608</v>
      </c>
      <c r="J225" s="19">
        <f t="shared" si="180"/>
        <v>1.1411455844527008</v>
      </c>
      <c r="K225" s="19">
        <f t="shared" si="180"/>
        <v>1.3601908392603128</v>
      </c>
      <c r="L225" s="19">
        <f t="shared" si="180"/>
        <v>1.2086926553672319</v>
      </c>
      <c r="M225" s="19">
        <f t="shared" si="180"/>
        <v>0</v>
      </c>
      <c r="N225" s="19">
        <f t="shared" si="180"/>
        <v>0</v>
      </c>
      <c r="O225" s="19">
        <f t="shared" si="180"/>
        <v>0</v>
      </c>
      <c r="P225" s="19">
        <f t="shared" si="180"/>
        <v>0</v>
      </c>
      <c r="Q225" s="19">
        <f t="shared" si="180"/>
        <v>0</v>
      </c>
      <c r="R225" s="25">
        <f t="shared" si="180"/>
        <v>0</v>
      </c>
      <c r="S225" s="21">
        <f t="shared" si="180"/>
        <v>1.3056013853062007</v>
      </c>
      <c r="T225" s="22">
        <f t="shared" si="180"/>
        <v>0.63897366157011282</v>
      </c>
    </row>
    <row r="226" spans="1:20" x14ac:dyDescent="0.3">
      <c r="A226" s="105"/>
      <c r="B226" s="108"/>
      <c r="C226" s="111"/>
      <c r="D226" s="111"/>
      <c r="E226" s="115"/>
      <c r="F226" s="11" t="s">
        <v>28</v>
      </c>
      <c r="G226" s="23">
        <v>0</v>
      </c>
      <c r="H226" s="23">
        <v>0</v>
      </c>
      <c r="I226" s="23">
        <v>30044</v>
      </c>
      <c r="J226" s="23">
        <v>273916</v>
      </c>
      <c r="K226" s="9">
        <v>303173</v>
      </c>
      <c r="L226" s="9">
        <v>317089</v>
      </c>
      <c r="M226" s="9">
        <v>311229</v>
      </c>
      <c r="N226" s="9">
        <v>334320.63999999996</v>
      </c>
      <c r="O226" s="9">
        <v>376689.04000000004</v>
      </c>
      <c r="P226" s="23">
        <v>393774</v>
      </c>
      <c r="Q226" s="23">
        <v>420357.78999999992</v>
      </c>
      <c r="R226" s="24">
        <v>484671.17999999993</v>
      </c>
      <c r="S226" s="11">
        <f>SUMIF($G$4:$R$4,"&gt;=0",G226:R226)</f>
        <v>924222</v>
      </c>
      <c r="T226" s="10">
        <f>SUM(G226:R226)</f>
        <v>3245263.6499999994</v>
      </c>
    </row>
    <row r="227" spans="1:20" ht="15" thickBot="1" x14ac:dyDescent="0.35">
      <c r="A227" s="105"/>
      <c r="B227" s="108"/>
      <c r="C227" s="111"/>
      <c r="D227" s="111"/>
      <c r="E227" s="115"/>
      <c r="F227" s="18" t="s">
        <v>29</v>
      </c>
      <c r="G227" s="19">
        <f>(G224-G226)/G224</f>
        <v>1</v>
      </c>
      <c r="H227" s="19">
        <f t="shared" ref="H227:S227" si="181">(H224-H226)/H224</f>
        <v>1</v>
      </c>
      <c r="I227" s="19">
        <f t="shared" si="181"/>
        <v>0.9351248945110141</v>
      </c>
      <c r="J227" s="19">
        <f t="shared" si="181"/>
        <v>0.31398690725694833</v>
      </c>
      <c r="K227" s="19">
        <f t="shared" si="181"/>
        <v>0.36588891342081775</v>
      </c>
      <c r="L227" s="19">
        <f t="shared" si="181"/>
        <v>0.25892522434006776</v>
      </c>
      <c r="M227" s="19" t="e">
        <f t="shared" si="181"/>
        <v>#DIV/0!</v>
      </c>
      <c r="N227" s="19" t="e">
        <f t="shared" si="181"/>
        <v>#DIV/0!</v>
      </c>
      <c r="O227" s="19" t="e">
        <f t="shared" si="181"/>
        <v>#DIV/0!</v>
      </c>
      <c r="P227" s="19" t="e">
        <f t="shared" si="181"/>
        <v>#DIV/0!</v>
      </c>
      <c r="Q227" s="19" t="e">
        <f t="shared" si="181"/>
        <v>#DIV/0!</v>
      </c>
      <c r="R227" s="25" t="e">
        <f t="shared" si="181"/>
        <v>#DIV/0!</v>
      </c>
      <c r="S227" s="21">
        <f t="shared" si="181"/>
        <v>0.66184681671261214</v>
      </c>
      <c r="T227" s="22">
        <f t="shared" ref="T227" si="182">T224/T226</f>
        <v>0.84219534520716088</v>
      </c>
    </row>
    <row r="228" spans="1:20" x14ac:dyDescent="0.3">
      <c r="A228" s="105"/>
      <c r="B228" s="108"/>
      <c r="C228" s="111"/>
      <c r="D228" s="111"/>
      <c r="E228" s="115"/>
      <c r="F228" s="26" t="s">
        <v>30</v>
      </c>
      <c r="G228" s="23"/>
      <c r="H228" s="23"/>
      <c r="I228" s="23">
        <v>30044</v>
      </c>
      <c r="J228" s="23"/>
      <c r="K228" s="9"/>
      <c r="L228" s="9"/>
      <c r="M228" s="9"/>
      <c r="N228" s="9"/>
      <c r="O228" s="9"/>
      <c r="P228" s="23"/>
      <c r="Q228" s="23"/>
      <c r="R228" s="24"/>
      <c r="S228" s="11">
        <f>SUMIF($G$4:$R$4,"&gt;=0",G228:R228)</f>
        <v>30044</v>
      </c>
      <c r="T228" s="10">
        <f>SUM(G228:R228)</f>
        <v>30044</v>
      </c>
    </row>
    <row r="229" spans="1:20" x14ac:dyDescent="0.3">
      <c r="A229" s="105"/>
      <c r="B229" s="108"/>
      <c r="C229" s="111"/>
      <c r="D229" s="111"/>
      <c r="E229" s="115"/>
      <c r="F229" s="29" t="s">
        <v>31</v>
      </c>
      <c r="G229" s="14"/>
      <c r="H229" s="14"/>
      <c r="I229" s="14"/>
      <c r="J229" s="14"/>
      <c r="K229" s="13"/>
      <c r="L229" s="13"/>
      <c r="M229" s="13"/>
      <c r="N229" s="13"/>
      <c r="O229" s="13"/>
      <c r="P229" s="14"/>
      <c r="Q229" s="14"/>
      <c r="R229" s="30"/>
      <c r="S229" s="16">
        <f>SUMIF($G$4:$R$4,"&gt;=0",G229:R229)</f>
        <v>0</v>
      </c>
      <c r="T229" s="17">
        <f t="shared" ref="T229" si="183">SUM(G229:R229)</f>
        <v>0</v>
      </c>
    </row>
    <row r="230" spans="1:20" ht="15" thickBot="1" x14ac:dyDescent="0.35">
      <c r="A230" s="105"/>
      <c r="B230" s="108"/>
      <c r="C230" s="111"/>
      <c r="D230" s="111"/>
      <c r="E230" s="115"/>
      <c r="F230" s="18" t="s">
        <v>32</v>
      </c>
      <c r="G230" s="19" t="e">
        <f>(G228-G229)/G228</f>
        <v>#DIV/0!</v>
      </c>
      <c r="H230" s="19" t="e">
        <f t="shared" ref="H230:S230" si="184">(H228-H229)/H228</f>
        <v>#DIV/0!</v>
      </c>
      <c r="I230" s="19">
        <f t="shared" si="184"/>
        <v>1</v>
      </c>
      <c r="J230" s="19" t="e">
        <f t="shared" si="184"/>
        <v>#DIV/0!</v>
      </c>
      <c r="K230" s="19" t="e">
        <f t="shared" si="184"/>
        <v>#DIV/0!</v>
      </c>
      <c r="L230" s="19" t="e">
        <f t="shared" si="184"/>
        <v>#DIV/0!</v>
      </c>
      <c r="M230" s="19" t="e">
        <f t="shared" si="184"/>
        <v>#DIV/0!</v>
      </c>
      <c r="N230" s="19" t="e">
        <f t="shared" si="184"/>
        <v>#DIV/0!</v>
      </c>
      <c r="O230" s="19" t="e">
        <f t="shared" si="184"/>
        <v>#DIV/0!</v>
      </c>
      <c r="P230" s="19" t="e">
        <f t="shared" si="184"/>
        <v>#DIV/0!</v>
      </c>
      <c r="Q230" s="19" t="e">
        <f t="shared" si="184"/>
        <v>#DIV/0!</v>
      </c>
      <c r="R230" s="25" t="e">
        <f t="shared" si="184"/>
        <v>#DIV/0!</v>
      </c>
      <c r="S230" s="21">
        <f t="shared" si="184"/>
        <v>1</v>
      </c>
      <c r="T230" s="22" t="e">
        <f t="shared" ref="T230" si="185">T228/T229</f>
        <v>#DIV/0!</v>
      </c>
    </row>
    <row r="231" spans="1:20" x14ac:dyDescent="0.3">
      <c r="A231" s="105"/>
      <c r="B231" s="108"/>
      <c r="C231" s="111"/>
      <c r="D231" s="111"/>
      <c r="E231" s="115"/>
      <c r="F231" s="31" t="s">
        <v>33</v>
      </c>
      <c r="G231" s="23"/>
      <c r="H231" s="23"/>
      <c r="I231" s="23"/>
      <c r="J231" s="23"/>
      <c r="K231" s="9"/>
      <c r="L231" s="9"/>
      <c r="M231" s="9"/>
      <c r="N231" s="9"/>
      <c r="O231" s="9"/>
      <c r="P231" s="23"/>
      <c r="Q231" s="23"/>
      <c r="R231" s="24"/>
      <c r="S231" s="11">
        <f>SUMIF($G$4:$R$4,"&gt;=0",G231:R231)</f>
        <v>0</v>
      </c>
      <c r="T231" s="10">
        <f>SUM(G231:R231)</f>
        <v>0</v>
      </c>
    </row>
    <row r="232" spans="1:20" x14ac:dyDescent="0.3">
      <c r="A232" s="105"/>
      <c r="B232" s="108"/>
      <c r="C232" s="111"/>
      <c r="D232" s="111"/>
      <c r="E232" s="115"/>
      <c r="F232" s="32" t="s">
        <v>34</v>
      </c>
      <c r="G232" s="14"/>
      <c r="H232" s="14"/>
      <c r="I232" s="14"/>
      <c r="J232" s="14"/>
      <c r="K232" s="13"/>
      <c r="L232" s="13"/>
      <c r="M232" s="13"/>
      <c r="N232" s="13"/>
      <c r="O232" s="13"/>
      <c r="P232" s="14"/>
      <c r="Q232" s="14"/>
      <c r="R232" s="30"/>
      <c r="S232" s="16">
        <f>SUMIF($G$4:$R$4,"&gt;=0",G232:R232)</f>
        <v>0</v>
      </c>
      <c r="T232" s="17">
        <f>SUM(G232:R232)</f>
        <v>0</v>
      </c>
    </row>
    <row r="233" spans="1:20" ht="15" thickBot="1" x14ac:dyDescent="0.35">
      <c r="A233" s="106"/>
      <c r="B233" s="109"/>
      <c r="C233" s="112"/>
      <c r="D233" s="113"/>
      <c r="E233" s="116"/>
      <c r="F233" s="21" t="s">
        <v>35</v>
      </c>
      <c r="G233" s="19" t="e">
        <f>(G232-G231)/G232</f>
        <v>#DIV/0!</v>
      </c>
      <c r="H233" s="19" t="e">
        <f t="shared" ref="H233:S233" si="186">(H232-H231)/H232</f>
        <v>#DIV/0!</v>
      </c>
      <c r="I233" s="19" t="e">
        <f t="shared" si="186"/>
        <v>#DIV/0!</v>
      </c>
      <c r="J233" s="19" t="e">
        <f t="shared" si="186"/>
        <v>#DIV/0!</v>
      </c>
      <c r="K233" s="19" t="e">
        <f t="shared" si="186"/>
        <v>#DIV/0!</v>
      </c>
      <c r="L233" s="19" t="e">
        <f t="shared" si="186"/>
        <v>#DIV/0!</v>
      </c>
      <c r="M233" s="19" t="e">
        <f t="shared" si="186"/>
        <v>#DIV/0!</v>
      </c>
      <c r="N233" s="19" t="e">
        <f t="shared" si="186"/>
        <v>#DIV/0!</v>
      </c>
      <c r="O233" s="19" t="e">
        <f t="shared" si="186"/>
        <v>#DIV/0!</v>
      </c>
      <c r="P233" s="19" t="e">
        <f t="shared" si="186"/>
        <v>#DIV/0!</v>
      </c>
      <c r="Q233" s="19" t="e">
        <f t="shared" si="186"/>
        <v>#DIV/0!</v>
      </c>
      <c r="R233" s="25" t="e">
        <f t="shared" si="186"/>
        <v>#DIV/0!</v>
      </c>
      <c r="S233" s="21" t="e">
        <f t="shared" si="186"/>
        <v>#DIV/0!</v>
      </c>
      <c r="T233" s="22" t="e">
        <f t="shared" ref="T233" si="187">T232/T231</f>
        <v>#DIV/0!</v>
      </c>
    </row>
    <row r="234" spans="1:20" x14ac:dyDescent="0.3">
      <c r="A234" s="104">
        <v>22</v>
      </c>
      <c r="B234" s="107" t="s">
        <v>85</v>
      </c>
      <c r="C234" s="110" t="s">
        <v>86</v>
      </c>
      <c r="D234" s="110" t="s">
        <v>37</v>
      </c>
      <c r="E234" s="114" t="s">
        <v>24</v>
      </c>
      <c r="F234" s="11" t="s">
        <v>25</v>
      </c>
      <c r="G234" s="23">
        <v>1130000</v>
      </c>
      <c r="H234" s="23">
        <v>1141300</v>
      </c>
      <c r="I234" s="23">
        <v>1152713</v>
      </c>
      <c r="J234" s="23">
        <v>1152713</v>
      </c>
      <c r="K234" s="9">
        <v>1164240.1299999999</v>
      </c>
      <c r="L234" s="9">
        <v>1164240.1299999999</v>
      </c>
      <c r="M234" s="9">
        <v>1164240.1299999999</v>
      </c>
      <c r="N234" s="9">
        <v>1187524.9325999999</v>
      </c>
      <c r="O234" s="9">
        <v>1187524.9325999999</v>
      </c>
      <c r="P234" s="23">
        <v>1205337.8065889999</v>
      </c>
      <c r="Q234" s="23">
        <v>1205337.8065889999</v>
      </c>
      <c r="R234" s="24">
        <v>1217391.1846548901</v>
      </c>
      <c r="S234" s="11">
        <f>SUMIF($G$4:$R$4,"&gt;=0",G234:R234)</f>
        <v>6905206.2599999998</v>
      </c>
      <c r="T234" s="10">
        <f>SUM(G234:R234)</f>
        <v>14072563.053032888</v>
      </c>
    </row>
    <row r="235" spans="1:20" x14ac:dyDescent="0.3">
      <c r="A235" s="105"/>
      <c r="B235" s="108"/>
      <c r="C235" s="111"/>
      <c r="D235" s="111"/>
      <c r="E235" s="115"/>
      <c r="F235" s="12" t="s">
        <v>26</v>
      </c>
      <c r="G235" s="14">
        <v>1371428.46</v>
      </c>
      <c r="H235" s="14">
        <v>1459166.35</v>
      </c>
      <c r="I235" s="14">
        <v>1531760.7500000002</v>
      </c>
      <c r="J235" s="14">
        <v>939278.19000000018</v>
      </c>
      <c r="K235" s="13">
        <v>1249398.74</v>
      </c>
      <c r="L235" s="13">
        <v>1200701.5</v>
      </c>
      <c r="M235" s="13"/>
      <c r="N235" s="13"/>
      <c r="O235" s="13"/>
      <c r="P235" s="14"/>
      <c r="Q235" s="14"/>
      <c r="R235" s="30"/>
      <c r="S235" s="16">
        <f>SUMIF($G$4:$R$4,"&gt;=0",G235:R235)</f>
        <v>7751733.9900000012</v>
      </c>
      <c r="T235" s="17">
        <f t="shared" ref="T235" si="188">SUM(G235:R235)</f>
        <v>7751733.9900000012</v>
      </c>
    </row>
    <row r="236" spans="1:20" ht="15" thickBot="1" x14ac:dyDescent="0.35">
      <c r="A236" s="105"/>
      <c r="B236" s="108"/>
      <c r="C236" s="111"/>
      <c r="D236" s="111"/>
      <c r="E236" s="115"/>
      <c r="F236" s="18" t="s">
        <v>27</v>
      </c>
      <c r="G236" s="19">
        <f>G235/G234</f>
        <v>1.2136535044247787</v>
      </c>
      <c r="H236" s="19">
        <f t="shared" ref="H236:T236" si="189">H235/H234</f>
        <v>1.2785125295715414</v>
      </c>
      <c r="I236" s="19">
        <f t="shared" si="189"/>
        <v>1.328830983948303</v>
      </c>
      <c r="J236" s="19">
        <f t="shared" si="189"/>
        <v>0.81484132650538355</v>
      </c>
      <c r="K236" s="19">
        <f t="shared" si="189"/>
        <v>1.0731452282099228</v>
      </c>
      <c r="L236" s="19">
        <f t="shared" si="189"/>
        <v>1.0313177402672078</v>
      </c>
      <c r="M236" s="19">
        <f t="shared" si="189"/>
        <v>0</v>
      </c>
      <c r="N236" s="19">
        <f t="shared" si="189"/>
        <v>0</v>
      </c>
      <c r="O236" s="19">
        <f t="shared" si="189"/>
        <v>0</v>
      </c>
      <c r="P236" s="19">
        <f t="shared" si="189"/>
        <v>0</v>
      </c>
      <c r="Q236" s="19">
        <f t="shared" si="189"/>
        <v>0</v>
      </c>
      <c r="R236" s="25">
        <f t="shared" si="189"/>
        <v>0</v>
      </c>
      <c r="S236" s="21">
        <f t="shared" si="189"/>
        <v>1.1225926783539701</v>
      </c>
      <c r="T236" s="22">
        <f t="shared" si="189"/>
        <v>0.55084023861093057</v>
      </c>
    </row>
    <row r="237" spans="1:20" x14ac:dyDescent="0.3">
      <c r="A237" s="105"/>
      <c r="B237" s="108"/>
      <c r="C237" s="111"/>
      <c r="D237" s="111"/>
      <c r="E237" s="115"/>
      <c r="F237" s="11" t="s">
        <v>28</v>
      </c>
      <c r="G237" s="23">
        <v>0</v>
      </c>
      <c r="H237" s="23">
        <v>0</v>
      </c>
      <c r="I237" s="23">
        <v>0</v>
      </c>
      <c r="J237" s="23"/>
      <c r="K237" s="9"/>
      <c r="L237" s="9"/>
      <c r="M237" s="9"/>
      <c r="N237" s="9">
        <v>230797.89999999997</v>
      </c>
      <c r="O237" s="9">
        <v>960973.45</v>
      </c>
      <c r="P237" s="23">
        <v>1202231.8999999999</v>
      </c>
      <c r="Q237" s="23">
        <v>1345887.0499999998</v>
      </c>
      <c r="R237" s="24">
        <v>1371463.8</v>
      </c>
      <c r="S237" s="11">
        <f>SUMIF($G$4:$R$4,"&gt;=0",G237:R237)</f>
        <v>0</v>
      </c>
      <c r="T237" s="10">
        <f>SUM(G237:R237)</f>
        <v>5111354.0999999996</v>
      </c>
    </row>
    <row r="238" spans="1:20" ht="15" thickBot="1" x14ac:dyDescent="0.35">
      <c r="A238" s="105"/>
      <c r="B238" s="108"/>
      <c r="C238" s="111"/>
      <c r="D238" s="111"/>
      <c r="E238" s="115"/>
      <c r="F238" s="18" t="s">
        <v>29</v>
      </c>
      <c r="G238" s="19">
        <f>(G235-G237)/G235</f>
        <v>1</v>
      </c>
      <c r="H238" s="19">
        <f t="shared" ref="H238:S238" si="190">(H235-H237)/H235</f>
        <v>1</v>
      </c>
      <c r="I238" s="19">
        <f t="shared" si="190"/>
        <v>1</v>
      </c>
      <c r="J238" s="19">
        <f t="shared" si="190"/>
        <v>1</v>
      </c>
      <c r="K238" s="19">
        <f t="shared" si="190"/>
        <v>1</v>
      </c>
      <c r="L238" s="19">
        <f t="shared" si="190"/>
        <v>1</v>
      </c>
      <c r="M238" s="19" t="e">
        <f t="shared" si="190"/>
        <v>#DIV/0!</v>
      </c>
      <c r="N238" s="19" t="e">
        <f t="shared" si="190"/>
        <v>#DIV/0!</v>
      </c>
      <c r="O238" s="19" t="e">
        <f t="shared" si="190"/>
        <v>#DIV/0!</v>
      </c>
      <c r="P238" s="19" t="e">
        <f t="shared" si="190"/>
        <v>#DIV/0!</v>
      </c>
      <c r="Q238" s="19" t="e">
        <f t="shared" si="190"/>
        <v>#DIV/0!</v>
      </c>
      <c r="R238" s="25" t="e">
        <f t="shared" si="190"/>
        <v>#DIV/0!</v>
      </c>
      <c r="S238" s="21">
        <f t="shared" si="190"/>
        <v>1</v>
      </c>
      <c r="T238" s="22">
        <f t="shared" ref="T238" si="191">T235/T237</f>
        <v>1.5165715069515535</v>
      </c>
    </row>
    <row r="239" spans="1:20" x14ac:dyDescent="0.3">
      <c r="A239" s="105"/>
      <c r="B239" s="108"/>
      <c r="C239" s="111"/>
      <c r="D239" s="111"/>
      <c r="E239" s="115"/>
      <c r="F239" s="26" t="s">
        <v>30</v>
      </c>
      <c r="G239" s="23">
        <v>2785095.5969000007</v>
      </c>
      <c r="H239" s="23">
        <v>2917322.1677000024</v>
      </c>
      <c r="I239" s="23">
        <v>3098650.6063999962</v>
      </c>
      <c r="J239" s="23"/>
      <c r="K239" s="9"/>
      <c r="L239" s="9"/>
      <c r="M239" s="9"/>
      <c r="N239" s="9"/>
      <c r="O239" s="9"/>
      <c r="P239" s="23"/>
      <c r="Q239" s="23"/>
      <c r="R239" s="24"/>
      <c r="S239" s="11">
        <f>SUMIF($G$4:$R$4,"&gt;=0",G239:R239)</f>
        <v>8801068.3709999993</v>
      </c>
      <c r="T239" s="10">
        <f>SUM(G239:R239)</f>
        <v>8801068.3709999993</v>
      </c>
    </row>
    <row r="240" spans="1:20" x14ac:dyDescent="0.3">
      <c r="A240" s="105"/>
      <c r="B240" s="108"/>
      <c r="C240" s="111"/>
      <c r="D240" s="111"/>
      <c r="E240" s="115"/>
      <c r="F240" s="29" t="s">
        <v>31</v>
      </c>
      <c r="G240" s="14"/>
      <c r="H240" s="14"/>
      <c r="I240" s="14"/>
      <c r="J240" s="14"/>
      <c r="K240" s="13"/>
      <c r="L240" s="13"/>
      <c r="M240" s="13"/>
      <c r="N240" s="13"/>
      <c r="O240" s="13"/>
      <c r="P240" s="14"/>
      <c r="Q240" s="14"/>
      <c r="R240" s="30"/>
      <c r="S240" s="16">
        <f>SUMIF($G$4:$R$4,"&gt;=0",G240:R240)</f>
        <v>0</v>
      </c>
      <c r="T240" s="17">
        <f t="shared" ref="T240" si="192">SUM(G240:R240)</f>
        <v>0</v>
      </c>
    </row>
    <row r="241" spans="1:20" ht="15" thickBot="1" x14ac:dyDescent="0.35">
      <c r="A241" s="105"/>
      <c r="B241" s="108"/>
      <c r="C241" s="111"/>
      <c r="D241" s="111"/>
      <c r="E241" s="115"/>
      <c r="F241" s="18" t="s">
        <v>32</v>
      </c>
      <c r="G241" s="19">
        <f>(G239-G240)/G239</f>
        <v>1</v>
      </c>
      <c r="H241" s="19">
        <f t="shared" ref="H241:S241" si="193">(H239-H240)/H239</f>
        <v>1</v>
      </c>
      <c r="I241" s="19">
        <f t="shared" si="193"/>
        <v>1</v>
      </c>
      <c r="J241" s="19" t="e">
        <f t="shared" si="193"/>
        <v>#DIV/0!</v>
      </c>
      <c r="K241" s="19" t="e">
        <f t="shared" si="193"/>
        <v>#DIV/0!</v>
      </c>
      <c r="L241" s="19" t="e">
        <f t="shared" si="193"/>
        <v>#DIV/0!</v>
      </c>
      <c r="M241" s="19" t="e">
        <f t="shared" si="193"/>
        <v>#DIV/0!</v>
      </c>
      <c r="N241" s="19" t="e">
        <f t="shared" si="193"/>
        <v>#DIV/0!</v>
      </c>
      <c r="O241" s="19" t="e">
        <f t="shared" si="193"/>
        <v>#DIV/0!</v>
      </c>
      <c r="P241" s="19" t="e">
        <f t="shared" si="193"/>
        <v>#DIV/0!</v>
      </c>
      <c r="Q241" s="19" t="e">
        <f t="shared" si="193"/>
        <v>#DIV/0!</v>
      </c>
      <c r="R241" s="25" t="e">
        <f t="shared" si="193"/>
        <v>#DIV/0!</v>
      </c>
      <c r="S241" s="21">
        <f t="shared" si="193"/>
        <v>1</v>
      </c>
      <c r="T241" s="22" t="e">
        <f t="shared" ref="T241" si="194">T239/T240</f>
        <v>#DIV/0!</v>
      </c>
    </row>
    <row r="242" spans="1:20" x14ac:dyDescent="0.3">
      <c r="A242" s="105"/>
      <c r="B242" s="108"/>
      <c r="C242" s="111"/>
      <c r="D242" s="111"/>
      <c r="E242" s="115"/>
      <c r="F242" s="31" t="s">
        <v>33</v>
      </c>
      <c r="G242" s="23"/>
      <c r="H242" s="23"/>
      <c r="I242" s="23"/>
      <c r="J242" s="23"/>
      <c r="K242" s="9"/>
      <c r="L242" s="9"/>
      <c r="M242" s="9"/>
      <c r="N242" s="9"/>
      <c r="O242" s="9"/>
      <c r="P242" s="23"/>
      <c r="Q242" s="23"/>
      <c r="R242" s="24"/>
      <c r="S242" s="11">
        <f>SUMIF($G$4:$R$4,"&gt;=0",G242:R242)</f>
        <v>0</v>
      </c>
      <c r="T242" s="10">
        <f>SUM(G242:R242)</f>
        <v>0</v>
      </c>
    </row>
    <row r="243" spans="1:20" x14ac:dyDescent="0.3">
      <c r="A243" s="105"/>
      <c r="B243" s="108"/>
      <c r="C243" s="111"/>
      <c r="D243" s="111"/>
      <c r="E243" s="115"/>
      <c r="F243" s="32" t="s">
        <v>34</v>
      </c>
      <c r="G243" s="14"/>
      <c r="H243" s="14"/>
      <c r="I243" s="14"/>
      <c r="J243" s="14"/>
      <c r="K243" s="13"/>
      <c r="L243" s="13"/>
      <c r="M243" s="13"/>
      <c r="N243" s="13"/>
      <c r="O243" s="13"/>
      <c r="P243" s="14"/>
      <c r="Q243" s="14"/>
      <c r="R243" s="30"/>
      <c r="S243" s="16">
        <f>SUMIF($G$4:$R$4,"&gt;=0",G243:R243)</f>
        <v>0</v>
      </c>
      <c r="T243" s="17">
        <f>SUM(G243:R243)</f>
        <v>0</v>
      </c>
    </row>
    <row r="244" spans="1:20" ht="15" thickBot="1" x14ac:dyDescent="0.35">
      <c r="A244" s="117"/>
      <c r="B244" s="109"/>
      <c r="C244" s="112"/>
      <c r="D244" s="113"/>
      <c r="E244" s="116"/>
      <c r="F244" s="21" t="s">
        <v>35</v>
      </c>
      <c r="G244" s="19" t="e">
        <f>(G243-G242)/G243</f>
        <v>#DIV/0!</v>
      </c>
      <c r="H244" s="19" t="e">
        <f t="shared" ref="H244:S244" si="195">(H243-H242)/H243</f>
        <v>#DIV/0!</v>
      </c>
      <c r="I244" s="19" t="e">
        <f t="shared" si="195"/>
        <v>#DIV/0!</v>
      </c>
      <c r="J244" s="19" t="e">
        <f t="shared" si="195"/>
        <v>#DIV/0!</v>
      </c>
      <c r="K244" s="19" t="e">
        <f t="shared" si="195"/>
        <v>#DIV/0!</v>
      </c>
      <c r="L244" s="19" t="e">
        <f t="shared" si="195"/>
        <v>#DIV/0!</v>
      </c>
      <c r="M244" s="19" t="e">
        <f t="shared" si="195"/>
        <v>#DIV/0!</v>
      </c>
      <c r="N244" s="19" t="e">
        <f t="shared" si="195"/>
        <v>#DIV/0!</v>
      </c>
      <c r="O244" s="19" t="e">
        <f t="shared" si="195"/>
        <v>#DIV/0!</v>
      </c>
      <c r="P244" s="19" t="e">
        <f t="shared" si="195"/>
        <v>#DIV/0!</v>
      </c>
      <c r="Q244" s="19" t="e">
        <f t="shared" si="195"/>
        <v>#DIV/0!</v>
      </c>
      <c r="R244" s="25" t="e">
        <f t="shared" si="195"/>
        <v>#DIV/0!</v>
      </c>
      <c r="S244" s="21" t="e">
        <f t="shared" si="195"/>
        <v>#DIV/0!</v>
      </c>
      <c r="T244" s="22" t="e">
        <f t="shared" ref="T244" si="196">T243/T242</f>
        <v>#DIV/0!</v>
      </c>
    </row>
    <row r="245" spans="1:20" x14ac:dyDescent="0.3">
      <c r="A245" s="104">
        <v>23</v>
      </c>
      <c r="B245" s="107" t="s">
        <v>87</v>
      </c>
      <c r="C245" s="110" t="s">
        <v>88</v>
      </c>
      <c r="D245" s="110" t="s">
        <v>37</v>
      </c>
      <c r="E245" s="114" t="s">
        <v>50</v>
      </c>
      <c r="F245" s="11" t="s">
        <v>25</v>
      </c>
      <c r="G245" s="23">
        <v>775000</v>
      </c>
      <c r="H245" s="23">
        <v>780000</v>
      </c>
      <c r="I245" s="23">
        <v>782000</v>
      </c>
      <c r="J245" s="23">
        <v>785000</v>
      </c>
      <c r="K245" s="9">
        <v>805000</v>
      </c>
      <c r="L245" s="9">
        <v>805000</v>
      </c>
      <c r="M245" s="9">
        <v>835000</v>
      </c>
      <c r="N245" s="9">
        <v>885000</v>
      </c>
      <c r="O245" s="9">
        <v>915000</v>
      </c>
      <c r="P245" s="23">
        <v>920000</v>
      </c>
      <c r="Q245" s="23">
        <v>940000</v>
      </c>
      <c r="R245" s="24">
        <v>940000</v>
      </c>
      <c r="S245" s="11">
        <f>SUMIF($G$4:$R$4,"&gt;=0",G245:R245)</f>
        <v>4732000</v>
      </c>
      <c r="T245" s="10">
        <f>SUM(G245:R245)</f>
        <v>10167000</v>
      </c>
    </row>
    <row r="246" spans="1:20" x14ac:dyDescent="0.3">
      <c r="A246" s="105"/>
      <c r="B246" s="108"/>
      <c r="C246" s="111"/>
      <c r="D246" s="111"/>
      <c r="E246" s="115"/>
      <c r="F246" s="12" t="s">
        <v>26</v>
      </c>
      <c r="G246" s="14">
        <v>694116.34</v>
      </c>
      <c r="H246" s="14">
        <v>672238.5</v>
      </c>
      <c r="I246" s="14">
        <v>736449.43</v>
      </c>
      <c r="J246" s="14">
        <v>813155.19000000006</v>
      </c>
      <c r="K246" s="13">
        <v>819747.11999999988</v>
      </c>
      <c r="L246" s="13">
        <v>835691.37</v>
      </c>
      <c r="M246" s="13"/>
      <c r="N246" s="13"/>
      <c r="O246" s="13"/>
      <c r="P246" s="14"/>
      <c r="Q246" s="14"/>
      <c r="R246" s="30"/>
      <c r="S246" s="16">
        <f>SUMIF($G$4:$R$4,"&gt;=0",G246:R246)</f>
        <v>4571397.95</v>
      </c>
      <c r="T246" s="17">
        <f t="shared" ref="T246" si="197">SUM(G246:R246)</f>
        <v>4571397.95</v>
      </c>
    </row>
    <row r="247" spans="1:20" ht="15" thickBot="1" x14ac:dyDescent="0.35">
      <c r="A247" s="105"/>
      <c r="B247" s="108"/>
      <c r="C247" s="111"/>
      <c r="D247" s="111"/>
      <c r="E247" s="115"/>
      <c r="F247" s="18" t="s">
        <v>27</v>
      </c>
      <c r="G247" s="19">
        <f>G246/G245</f>
        <v>0.89563398709677411</v>
      </c>
      <c r="H247" s="19">
        <f t="shared" ref="H247:T247" si="198">H246/H245</f>
        <v>0.86184423076923078</v>
      </c>
      <c r="I247" s="19">
        <f t="shared" si="198"/>
        <v>0.94175118925831214</v>
      </c>
      <c r="J247" s="19">
        <f t="shared" si="198"/>
        <v>1.0358664840764331</v>
      </c>
      <c r="K247" s="19">
        <f t="shared" si="198"/>
        <v>1.0183194037267078</v>
      </c>
      <c r="L247" s="19">
        <f t="shared" si="198"/>
        <v>1.0381259254658386</v>
      </c>
      <c r="M247" s="19">
        <f t="shared" si="198"/>
        <v>0</v>
      </c>
      <c r="N247" s="19">
        <f t="shared" si="198"/>
        <v>0</v>
      </c>
      <c r="O247" s="19">
        <f t="shared" si="198"/>
        <v>0</v>
      </c>
      <c r="P247" s="19">
        <f t="shared" si="198"/>
        <v>0</v>
      </c>
      <c r="Q247" s="19">
        <f t="shared" si="198"/>
        <v>0</v>
      </c>
      <c r="R247" s="25">
        <f t="shared" si="198"/>
        <v>0</v>
      </c>
      <c r="S247" s="21">
        <f t="shared" si="198"/>
        <v>0.96606042899408284</v>
      </c>
      <c r="T247" s="22">
        <f t="shared" si="198"/>
        <v>0.44963095800137703</v>
      </c>
    </row>
    <row r="248" spans="1:20" x14ac:dyDescent="0.3">
      <c r="A248" s="105"/>
      <c r="B248" s="108"/>
      <c r="C248" s="111"/>
      <c r="D248" s="111"/>
      <c r="E248" s="115"/>
      <c r="F248" s="11" t="s">
        <v>28</v>
      </c>
      <c r="G248" s="23">
        <v>0</v>
      </c>
      <c r="H248" s="23">
        <v>0</v>
      </c>
      <c r="I248" s="23">
        <v>403172.4</v>
      </c>
      <c r="J248" s="23">
        <v>836247.1</v>
      </c>
      <c r="K248" s="9">
        <v>698828</v>
      </c>
      <c r="L248" s="9">
        <v>677861.7</v>
      </c>
      <c r="M248" s="9">
        <v>857937</v>
      </c>
      <c r="N248" s="9">
        <v>1159931.9099999997</v>
      </c>
      <c r="O248" s="9">
        <v>800546.10000000056</v>
      </c>
      <c r="P248" s="23">
        <v>799809.4</v>
      </c>
      <c r="Q248" s="23">
        <v>727615.28500000015</v>
      </c>
      <c r="R248" s="24">
        <v>739225.64</v>
      </c>
      <c r="S248" s="11">
        <f>SUMIF($G$4:$R$4,"&gt;=0",G248:R248)</f>
        <v>2616109.2000000002</v>
      </c>
      <c r="T248" s="10">
        <f>SUM(G248:R248)</f>
        <v>7701174.5350000001</v>
      </c>
    </row>
    <row r="249" spans="1:20" ht="15" thickBot="1" x14ac:dyDescent="0.35">
      <c r="A249" s="105"/>
      <c r="B249" s="108"/>
      <c r="C249" s="111"/>
      <c r="D249" s="111"/>
      <c r="E249" s="115"/>
      <c r="F249" s="18" t="s">
        <v>29</v>
      </c>
      <c r="G249" s="19">
        <f>(G246-G248)/G246</f>
        <v>1</v>
      </c>
      <c r="H249" s="19">
        <f t="shared" ref="H249:S249" si="199">(H246-H248)/H246</f>
        <v>1</v>
      </c>
      <c r="I249" s="19">
        <f t="shared" si="199"/>
        <v>0.45254570975769509</v>
      </c>
      <c r="J249" s="19">
        <f t="shared" si="199"/>
        <v>-2.8397912580500059E-2</v>
      </c>
      <c r="K249" s="19">
        <f t="shared" si="199"/>
        <v>0.14750783143952967</v>
      </c>
      <c r="L249" s="19">
        <f t="shared" si="199"/>
        <v>0.18886119405540833</v>
      </c>
      <c r="M249" s="19" t="e">
        <f t="shared" si="199"/>
        <v>#DIV/0!</v>
      </c>
      <c r="N249" s="19" t="e">
        <f t="shared" si="199"/>
        <v>#DIV/0!</v>
      </c>
      <c r="O249" s="19" t="e">
        <f t="shared" si="199"/>
        <v>#DIV/0!</v>
      </c>
      <c r="P249" s="19" t="e">
        <f t="shared" si="199"/>
        <v>#DIV/0!</v>
      </c>
      <c r="Q249" s="19" t="e">
        <f t="shared" si="199"/>
        <v>#DIV/0!</v>
      </c>
      <c r="R249" s="25" t="e">
        <f t="shared" si="199"/>
        <v>#DIV/0!</v>
      </c>
      <c r="S249" s="21">
        <f t="shared" si="199"/>
        <v>0.42772227913345412</v>
      </c>
      <c r="T249" s="22">
        <f t="shared" ref="T249" si="200">T246/T248</f>
        <v>0.59359749986499954</v>
      </c>
    </row>
    <row r="250" spans="1:20" x14ac:dyDescent="0.3">
      <c r="A250" s="105"/>
      <c r="B250" s="108"/>
      <c r="C250" s="111"/>
      <c r="D250" s="111"/>
      <c r="E250" s="115"/>
      <c r="F250" s="26" t="s">
        <v>30</v>
      </c>
      <c r="G250" s="23">
        <v>1497427.7171999996</v>
      </c>
      <c r="H250" s="23">
        <v>1440344.6248000001</v>
      </c>
      <c r="I250" s="23">
        <v>1585241.6379000002</v>
      </c>
      <c r="J250" s="23"/>
      <c r="K250" s="9"/>
      <c r="L250" s="9"/>
      <c r="M250" s="9"/>
      <c r="N250" s="9"/>
      <c r="O250" s="9"/>
      <c r="P250" s="23"/>
      <c r="Q250" s="23"/>
      <c r="R250" s="24"/>
      <c r="S250" s="11">
        <f>SUMIF($G$4:$R$4,"&gt;=0",G250:R250)</f>
        <v>4523013.9798999997</v>
      </c>
      <c r="T250" s="10">
        <f>SUM(G250:R250)</f>
        <v>4523013.9798999997</v>
      </c>
    </row>
    <row r="251" spans="1:20" x14ac:dyDescent="0.3">
      <c r="A251" s="105"/>
      <c r="B251" s="108"/>
      <c r="C251" s="111"/>
      <c r="D251" s="111"/>
      <c r="E251" s="115"/>
      <c r="F251" s="29" t="s">
        <v>31</v>
      </c>
      <c r="G251" s="14"/>
      <c r="H251" s="14"/>
      <c r="I251" s="14"/>
      <c r="J251" s="14"/>
      <c r="K251" s="13"/>
      <c r="L251" s="13"/>
      <c r="M251" s="13"/>
      <c r="N251" s="13"/>
      <c r="O251" s="13"/>
      <c r="P251" s="14"/>
      <c r="Q251" s="14"/>
      <c r="R251" s="30"/>
      <c r="S251" s="16">
        <f>SUMIF($G$4:$R$4,"&gt;=0",G251:R251)</f>
        <v>0</v>
      </c>
      <c r="T251" s="17">
        <f t="shared" ref="T251" si="201">SUM(G251:R251)</f>
        <v>0</v>
      </c>
    </row>
    <row r="252" spans="1:20" ht="15" thickBot="1" x14ac:dyDescent="0.35">
      <c r="A252" s="105"/>
      <c r="B252" s="108"/>
      <c r="C252" s="111"/>
      <c r="D252" s="111"/>
      <c r="E252" s="115"/>
      <c r="F252" s="18" t="s">
        <v>32</v>
      </c>
      <c r="G252" s="19">
        <f>(G250-G251)/G250</f>
        <v>1</v>
      </c>
      <c r="H252" s="19">
        <f t="shared" ref="H252:S252" si="202">(H250-H251)/H250</f>
        <v>1</v>
      </c>
      <c r="I252" s="19">
        <f t="shared" si="202"/>
        <v>1</v>
      </c>
      <c r="J252" s="19" t="e">
        <f t="shared" si="202"/>
        <v>#DIV/0!</v>
      </c>
      <c r="K252" s="19" t="e">
        <f t="shared" si="202"/>
        <v>#DIV/0!</v>
      </c>
      <c r="L252" s="19" t="e">
        <f t="shared" si="202"/>
        <v>#DIV/0!</v>
      </c>
      <c r="M252" s="19" t="e">
        <f t="shared" si="202"/>
        <v>#DIV/0!</v>
      </c>
      <c r="N252" s="19" t="e">
        <f t="shared" si="202"/>
        <v>#DIV/0!</v>
      </c>
      <c r="O252" s="19" t="e">
        <f t="shared" si="202"/>
        <v>#DIV/0!</v>
      </c>
      <c r="P252" s="19" t="e">
        <f t="shared" si="202"/>
        <v>#DIV/0!</v>
      </c>
      <c r="Q252" s="19" t="e">
        <f t="shared" si="202"/>
        <v>#DIV/0!</v>
      </c>
      <c r="R252" s="25" t="e">
        <f t="shared" si="202"/>
        <v>#DIV/0!</v>
      </c>
      <c r="S252" s="21">
        <f t="shared" si="202"/>
        <v>1</v>
      </c>
      <c r="T252" s="22" t="e">
        <f t="shared" ref="T252" si="203">T250/T251</f>
        <v>#DIV/0!</v>
      </c>
    </row>
    <row r="253" spans="1:20" x14ac:dyDescent="0.3">
      <c r="A253" s="105"/>
      <c r="B253" s="108"/>
      <c r="C253" s="111"/>
      <c r="D253" s="111"/>
      <c r="E253" s="115"/>
      <c r="F253" s="31" t="s">
        <v>33</v>
      </c>
      <c r="G253" s="23"/>
      <c r="H253" s="23"/>
      <c r="I253" s="23"/>
      <c r="J253" s="23"/>
      <c r="K253" s="9"/>
      <c r="L253" s="9"/>
      <c r="M253" s="9"/>
      <c r="N253" s="9"/>
      <c r="O253" s="9"/>
      <c r="P253" s="23"/>
      <c r="Q253" s="23"/>
      <c r="R253" s="24"/>
      <c r="S253" s="11">
        <f>SUMIF($G$4:$R$4,"&gt;=0",G253:R253)</f>
        <v>0</v>
      </c>
      <c r="T253" s="10">
        <f>SUM(G253:R253)</f>
        <v>0</v>
      </c>
    </row>
    <row r="254" spans="1:20" x14ac:dyDescent="0.3">
      <c r="A254" s="105"/>
      <c r="B254" s="108"/>
      <c r="C254" s="111"/>
      <c r="D254" s="111"/>
      <c r="E254" s="115"/>
      <c r="F254" s="32" t="s">
        <v>34</v>
      </c>
      <c r="G254" s="14"/>
      <c r="H254" s="14"/>
      <c r="I254" s="14"/>
      <c r="J254" s="14"/>
      <c r="K254" s="13"/>
      <c r="L254" s="13"/>
      <c r="M254" s="13"/>
      <c r="N254" s="13"/>
      <c r="O254" s="13"/>
      <c r="P254" s="14"/>
      <c r="Q254" s="14"/>
      <c r="R254" s="30"/>
      <c r="S254" s="16">
        <f>SUMIF($G$4:$R$4,"&gt;=0",G254:R254)</f>
        <v>0</v>
      </c>
      <c r="T254" s="17">
        <f>SUM(G254:R254)</f>
        <v>0</v>
      </c>
    </row>
    <row r="255" spans="1:20" ht="15" thickBot="1" x14ac:dyDescent="0.35">
      <c r="A255" s="117"/>
      <c r="B255" s="109"/>
      <c r="C255" s="112"/>
      <c r="D255" s="113"/>
      <c r="E255" s="116"/>
      <c r="F255" s="21" t="s">
        <v>35</v>
      </c>
      <c r="G255" s="19" t="e">
        <f>(G254-G253)/G254</f>
        <v>#DIV/0!</v>
      </c>
      <c r="H255" s="19" t="e">
        <f t="shared" ref="H255:S255" si="204">(H254-H253)/H254</f>
        <v>#DIV/0!</v>
      </c>
      <c r="I255" s="19" t="e">
        <f t="shared" si="204"/>
        <v>#DIV/0!</v>
      </c>
      <c r="J255" s="19" t="e">
        <f t="shared" si="204"/>
        <v>#DIV/0!</v>
      </c>
      <c r="K255" s="19" t="e">
        <f t="shared" si="204"/>
        <v>#DIV/0!</v>
      </c>
      <c r="L255" s="19" t="e">
        <f t="shared" si="204"/>
        <v>#DIV/0!</v>
      </c>
      <c r="M255" s="19" t="e">
        <f t="shared" si="204"/>
        <v>#DIV/0!</v>
      </c>
      <c r="N255" s="19" t="e">
        <f t="shared" si="204"/>
        <v>#DIV/0!</v>
      </c>
      <c r="O255" s="19" t="e">
        <f t="shared" si="204"/>
        <v>#DIV/0!</v>
      </c>
      <c r="P255" s="19" t="e">
        <f t="shared" si="204"/>
        <v>#DIV/0!</v>
      </c>
      <c r="Q255" s="19" t="e">
        <f t="shared" si="204"/>
        <v>#DIV/0!</v>
      </c>
      <c r="R255" s="25" t="e">
        <f t="shared" si="204"/>
        <v>#DIV/0!</v>
      </c>
      <c r="S255" s="21" t="e">
        <f t="shared" si="204"/>
        <v>#DIV/0!</v>
      </c>
      <c r="T255" s="22" t="e">
        <f t="shared" ref="T255" si="205">T254/T253</f>
        <v>#DIV/0!</v>
      </c>
    </row>
    <row r="256" spans="1:20" x14ac:dyDescent="0.3">
      <c r="A256" s="104">
        <v>24</v>
      </c>
      <c r="B256" s="107" t="s">
        <v>89</v>
      </c>
      <c r="C256" s="110" t="s">
        <v>91</v>
      </c>
      <c r="D256" s="110" t="s">
        <v>23</v>
      </c>
      <c r="E256" s="114" t="s">
        <v>90</v>
      </c>
      <c r="F256" s="11" t="s">
        <v>25</v>
      </c>
      <c r="G256" s="23">
        <v>452501</v>
      </c>
      <c r="H256" s="23">
        <v>472442</v>
      </c>
      <c r="I256" s="23">
        <v>492383</v>
      </c>
      <c r="J256" s="126"/>
      <c r="K256" s="127"/>
      <c r="L256" s="127"/>
      <c r="M256" s="127"/>
      <c r="N256" s="127"/>
      <c r="O256" s="127"/>
      <c r="P256" s="126"/>
      <c r="Q256" s="126"/>
      <c r="R256" s="128"/>
      <c r="S256" s="11">
        <f>SUMIF($G$4:$R$4,"&gt;=0",G256:R256)</f>
        <v>1417326</v>
      </c>
      <c r="T256" s="10">
        <f>SUM(G256:R256)</f>
        <v>1417326</v>
      </c>
    </row>
    <row r="257" spans="1:20" x14ac:dyDescent="0.3">
      <c r="A257" s="105"/>
      <c r="B257" s="108"/>
      <c r="C257" s="111"/>
      <c r="D257" s="111"/>
      <c r="E257" s="115"/>
      <c r="F257" s="12" t="s">
        <v>26</v>
      </c>
      <c r="G257" s="14">
        <v>272074</v>
      </c>
      <c r="H257" s="14">
        <v>223308</v>
      </c>
      <c r="I257" s="14">
        <v>231636</v>
      </c>
      <c r="J257" s="14">
        <v>248611.57</v>
      </c>
      <c r="K257" s="13">
        <v>246463.50999999995</v>
      </c>
      <c r="L257" s="13">
        <v>227151.89</v>
      </c>
      <c r="M257" s="13"/>
      <c r="N257" s="13"/>
      <c r="O257" s="13"/>
      <c r="P257" s="14"/>
      <c r="Q257" s="14"/>
      <c r="R257" s="30"/>
      <c r="S257" s="16">
        <f>SUMIF($G$4:$R$4,"&gt;=0",G257:R257)</f>
        <v>1449244.9700000002</v>
      </c>
      <c r="T257" s="17">
        <f t="shared" ref="T257" si="206">SUM(G257:R257)</f>
        <v>1449244.9700000002</v>
      </c>
    </row>
    <row r="258" spans="1:20" ht="15" thickBot="1" x14ac:dyDescent="0.35">
      <c r="A258" s="105"/>
      <c r="B258" s="108"/>
      <c r="C258" s="111"/>
      <c r="D258" s="111"/>
      <c r="E258" s="115"/>
      <c r="F258" s="18" t="s">
        <v>27</v>
      </c>
      <c r="G258" s="19">
        <f>G257/G256</f>
        <v>0.60126717952004527</v>
      </c>
      <c r="H258" s="19">
        <f t="shared" ref="H258:T258" si="207">H257/H256</f>
        <v>0.47266754437581754</v>
      </c>
      <c r="I258" s="19">
        <f t="shared" si="207"/>
        <v>0.47043866258583256</v>
      </c>
      <c r="J258" s="19" t="e">
        <f t="shared" si="207"/>
        <v>#DIV/0!</v>
      </c>
      <c r="K258" s="19" t="e">
        <f t="shared" si="207"/>
        <v>#DIV/0!</v>
      </c>
      <c r="L258" s="19" t="e">
        <f t="shared" si="207"/>
        <v>#DIV/0!</v>
      </c>
      <c r="M258" s="19" t="e">
        <f t="shared" si="207"/>
        <v>#DIV/0!</v>
      </c>
      <c r="N258" s="19" t="e">
        <f t="shared" si="207"/>
        <v>#DIV/0!</v>
      </c>
      <c r="O258" s="19" t="e">
        <f t="shared" si="207"/>
        <v>#DIV/0!</v>
      </c>
      <c r="P258" s="19" t="e">
        <f t="shared" si="207"/>
        <v>#DIV/0!</v>
      </c>
      <c r="Q258" s="19" t="e">
        <f t="shared" si="207"/>
        <v>#DIV/0!</v>
      </c>
      <c r="R258" s="25" t="e">
        <f t="shared" si="207"/>
        <v>#DIV/0!</v>
      </c>
      <c r="S258" s="21">
        <f t="shared" si="207"/>
        <v>1.0225205563152022</v>
      </c>
      <c r="T258" s="22">
        <f t="shared" si="207"/>
        <v>1.0225205563152022</v>
      </c>
    </row>
    <row r="259" spans="1:20" x14ac:dyDescent="0.3">
      <c r="A259" s="105"/>
      <c r="B259" s="108"/>
      <c r="C259" s="111"/>
      <c r="D259" s="111"/>
      <c r="E259" s="115"/>
      <c r="F259" s="11" t="s">
        <v>28</v>
      </c>
      <c r="G259" s="23">
        <v>0</v>
      </c>
      <c r="H259" s="23">
        <v>0</v>
      </c>
      <c r="I259" s="23">
        <v>0</v>
      </c>
      <c r="J259" s="23">
        <v>46710</v>
      </c>
      <c r="K259" s="9">
        <v>273573</v>
      </c>
      <c r="L259" s="9">
        <v>264762.59999999998</v>
      </c>
      <c r="M259" s="9">
        <v>266725</v>
      </c>
      <c r="N259" s="9">
        <v>262408.24000000005</v>
      </c>
      <c r="O259" s="9">
        <v>285481.08999999985</v>
      </c>
      <c r="P259" s="23">
        <v>319466</v>
      </c>
      <c r="Q259" s="23">
        <v>272744.54000000004</v>
      </c>
      <c r="R259" s="24">
        <v>286648.44999999995</v>
      </c>
      <c r="S259" s="11">
        <f>SUMIF($G$4:$R$4,"&gt;=0",G259:R259)</f>
        <v>585045.6</v>
      </c>
      <c r="T259" s="10">
        <f>SUM(G259:R259)</f>
        <v>2278518.92</v>
      </c>
    </row>
    <row r="260" spans="1:20" ht="15" thickBot="1" x14ac:dyDescent="0.35">
      <c r="A260" s="105"/>
      <c r="B260" s="108"/>
      <c r="C260" s="111"/>
      <c r="D260" s="111"/>
      <c r="E260" s="115"/>
      <c r="F260" s="18" t="s">
        <v>29</v>
      </c>
      <c r="G260" s="19">
        <f>(G257-G259)/G257</f>
        <v>1</v>
      </c>
      <c r="H260" s="19">
        <f t="shared" ref="H260:S260" si="208">(H257-H259)/H257</f>
        <v>1</v>
      </c>
      <c r="I260" s="19">
        <f t="shared" si="208"/>
        <v>1</v>
      </c>
      <c r="J260" s="19">
        <f t="shared" si="208"/>
        <v>0.81211654791448362</v>
      </c>
      <c r="K260" s="19">
        <f t="shared" si="208"/>
        <v>-0.10999392973020652</v>
      </c>
      <c r="L260" s="19">
        <f t="shared" si="208"/>
        <v>-0.16557515766212624</v>
      </c>
      <c r="M260" s="19" t="e">
        <f t="shared" si="208"/>
        <v>#DIV/0!</v>
      </c>
      <c r="N260" s="19" t="e">
        <f t="shared" si="208"/>
        <v>#DIV/0!</v>
      </c>
      <c r="O260" s="19" t="e">
        <f t="shared" si="208"/>
        <v>#DIV/0!</v>
      </c>
      <c r="P260" s="19" t="e">
        <f t="shared" si="208"/>
        <v>#DIV/0!</v>
      </c>
      <c r="Q260" s="19" t="e">
        <f t="shared" si="208"/>
        <v>#DIV/0!</v>
      </c>
      <c r="R260" s="25" t="e">
        <f t="shared" si="208"/>
        <v>#DIV/0!</v>
      </c>
      <c r="S260" s="21">
        <f t="shared" si="208"/>
        <v>0.59631007033959216</v>
      </c>
      <c r="T260" s="22">
        <f t="shared" ref="T260" si="209">T257/T259</f>
        <v>0.63604693262762124</v>
      </c>
    </row>
    <row r="261" spans="1:20" x14ac:dyDescent="0.3">
      <c r="A261" s="105"/>
      <c r="B261" s="108"/>
      <c r="C261" s="111"/>
      <c r="D261" s="111"/>
      <c r="E261" s="115"/>
      <c r="F261" s="26" t="s">
        <v>30</v>
      </c>
      <c r="G261" s="23">
        <v>585605.09109999973</v>
      </c>
      <c r="H261" s="23">
        <v>495019.66719999991</v>
      </c>
      <c r="I261" s="23">
        <v>516383.39019999997</v>
      </c>
      <c r="J261" s="23"/>
      <c r="K261" s="9"/>
      <c r="L261" s="9"/>
      <c r="M261" s="9"/>
      <c r="N261" s="9"/>
      <c r="O261" s="9"/>
      <c r="P261" s="23"/>
      <c r="Q261" s="23"/>
      <c r="R261" s="24"/>
      <c r="S261" s="11">
        <f>SUMIF($G$4:$R$4,"&gt;=0",G261:R261)</f>
        <v>1597008.1484999997</v>
      </c>
      <c r="T261" s="10">
        <f>SUM(G261:R261)</f>
        <v>1597008.1484999997</v>
      </c>
    </row>
    <row r="262" spans="1:20" x14ac:dyDescent="0.3">
      <c r="A262" s="105"/>
      <c r="B262" s="108"/>
      <c r="C262" s="111"/>
      <c r="D262" s="111"/>
      <c r="E262" s="115"/>
      <c r="F262" s="29" t="s">
        <v>31</v>
      </c>
      <c r="G262" s="14"/>
      <c r="H262" s="14"/>
      <c r="I262" s="14"/>
      <c r="J262" s="14"/>
      <c r="K262" s="13"/>
      <c r="L262" s="13"/>
      <c r="M262" s="13"/>
      <c r="N262" s="13"/>
      <c r="O262" s="13"/>
      <c r="P262" s="14"/>
      <c r="Q262" s="14"/>
      <c r="R262" s="30"/>
      <c r="S262" s="16">
        <f>SUMIF($G$4:$R$4,"&gt;=0",G262:R262)</f>
        <v>0</v>
      </c>
      <c r="T262" s="17">
        <f t="shared" ref="T262" si="210">SUM(G262:R262)</f>
        <v>0</v>
      </c>
    </row>
    <row r="263" spans="1:20" ht="15" thickBot="1" x14ac:dyDescent="0.35">
      <c r="A263" s="105"/>
      <c r="B263" s="108"/>
      <c r="C263" s="111"/>
      <c r="D263" s="111"/>
      <c r="E263" s="115"/>
      <c r="F263" s="18" t="s">
        <v>32</v>
      </c>
      <c r="G263" s="19">
        <f>(G261-G262)/G261</f>
        <v>1</v>
      </c>
      <c r="H263" s="19">
        <f t="shared" ref="H263:S263" si="211">(H261-H262)/H261</f>
        <v>1</v>
      </c>
      <c r="I263" s="19">
        <f t="shared" si="211"/>
        <v>1</v>
      </c>
      <c r="J263" s="19" t="e">
        <f t="shared" si="211"/>
        <v>#DIV/0!</v>
      </c>
      <c r="K263" s="19" t="e">
        <f t="shared" si="211"/>
        <v>#DIV/0!</v>
      </c>
      <c r="L263" s="19" t="e">
        <f t="shared" si="211"/>
        <v>#DIV/0!</v>
      </c>
      <c r="M263" s="19" t="e">
        <f t="shared" si="211"/>
        <v>#DIV/0!</v>
      </c>
      <c r="N263" s="19" t="e">
        <f t="shared" si="211"/>
        <v>#DIV/0!</v>
      </c>
      <c r="O263" s="19" t="e">
        <f t="shared" si="211"/>
        <v>#DIV/0!</v>
      </c>
      <c r="P263" s="19" t="e">
        <f t="shared" si="211"/>
        <v>#DIV/0!</v>
      </c>
      <c r="Q263" s="19" t="e">
        <f t="shared" si="211"/>
        <v>#DIV/0!</v>
      </c>
      <c r="R263" s="25" t="e">
        <f t="shared" si="211"/>
        <v>#DIV/0!</v>
      </c>
      <c r="S263" s="21">
        <f t="shared" si="211"/>
        <v>1</v>
      </c>
      <c r="T263" s="22" t="e">
        <f t="shared" ref="T263" si="212">T261/T262</f>
        <v>#DIV/0!</v>
      </c>
    </row>
    <row r="264" spans="1:20" x14ac:dyDescent="0.3">
      <c r="A264" s="105"/>
      <c r="B264" s="108"/>
      <c r="C264" s="111"/>
      <c r="D264" s="111"/>
      <c r="E264" s="115"/>
      <c r="F264" s="31" t="s">
        <v>33</v>
      </c>
      <c r="G264" s="23"/>
      <c r="H264" s="23"/>
      <c r="I264" s="23"/>
      <c r="J264" s="23"/>
      <c r="K264" s="9"/>
      <c r="L264" s="9"/>
      <c r="M264" s="9"/>
      <c r="N264" s="9"/>
      <c r="O264" s="9"/>
      <c r="P264" s="23"/>
      <c r="Q264" s="23"/>
      <c r="R264" s="24"/>
      <c r="S264" s="11">
        <f>SUMIF($G$4:$R$4,"&gt;=0",G264:R264)</f>
        <v>0</v>
      </c>
      <c r="T264" s="10">
        <f>SUM(G264:R264)</f>
        <v>0</v>
      </c>
    </row>
    <row r="265" spans="1:20" x14ac:dyDescent="0.3">
      <c r="A265" s="105"/>
      <c r="B265" s="108"/>
      <c r="C265" s="111"/>
      <c r="D265" s="111"/>
      <c r="E265" s="115"/>
      <c r="F265" s="32" t="s">
        <v>34</v>
      </c>
      <c r="G265" s="14"/>
      <c r="H265" s="14"/>
      <c r="I265" s="14"/>
      <c r="J265" s="14"/>
      <c r="K265" s="13"/>
      <c r="L265" s="13"/>
      <c r="M265" s="13"/>
      <c r="N265" s="13"/>
      <c r="O265" s="13"/>
      <c r="P265" s="14"/>
      <c r="Q265" s="14"/>
      <c r="R265" s="30"/>
      <c r="S265" s="16">
        <f>SUMIF($G$4:$R$4,"&gt;=0",G265:R265)</f>
        <v>0</v>
      </c>
      <c r="T265" s="17">
        <f>SUM(G265:R265)</f>
        <v>0</v>
      </c>
    </row>
    <row r="266" spans="1:20" ht="15" thickBot="1" x14ac:dyDescent="0.35">
      <c r="A266" s="106"/>
      <c r="B266" s="109"/>
      <c r="C266" s="112"/>
      <c r="D266" s="113"/>
      <c r="E266" s="116"/>
      <c r="F266" s="21" t="s">
        <v>35</v>
      </c>
      <c r="G266" s="19" t="e">
        <f>(G265-G264)/G265</f>
        <v>#DIV/0!</v>
      </c>
      <c r="H266" s="19" t="e">
        <f t="shared" ref="H266:S266" si="213">(H265-H264)/H265</f>
        <v>#DIV/0!</v>
      </c>
      <c r="I266" s="19" t="e">
        <f t="shared" si="213"/>
        <v>#DIV/0!</v>
      </c>
      <c r="J266" s="19" t="e">
        <f t="shared" si="213"/>
        <v>#DIV/0!</v>
      </c>
      <c r="K266" s="19" t="e">
        <f t="shared" si="213"/>
        <v>#DIV/0!</v>
      </c>
      <c r="L266" s="19" t="e">
        <f t="shared" si="213"/>
        <v>#DIV/0!</v>
      </c>
      <c r="M266" s="19" t="e">
        <f t="shared" si="213"/>
        <v>#DIV/0!</v>
      </c>
      <c r="N266" s="19" t="e">
        <f t="shared" si="213"/>
        <v>#DIV/0!</v>
      </c>
      <c r="O266" s="19" t="e">
        <f t="shared" si="213"/>
        <v>#DIV/0!</v>
      </c>
      <c r="P266" s="19" t="e">
        <f t="shared" si="213"/>
        <v>#DIV/0!</v>
      </c>
      <c r="Q266" s="19" t="e">
        <f t="shared" si="213"/>
        <v>#DIV/0!</v>
      </c>
      <c r="R266" s="25" t="e">
        <f t="shared" si="213"/>
        <v>#DIV/0!</v>
      </c>
      <c r="S266" s="21" t="e">
        <f t="shared" si="213"/>
        <v>#DIV/0!</v>
      </c>
      <c r="T266" s="22" t="e">
        <f t="shared" ref="T266" si="214">T265/T264</f>
        <v>#DIV/0!</v>
      </c>
    </row>
    <row r="267" spans="1:20" x14ac:dyDescent="0.3">
      <c r="A267" s="104">
        <v>25</v>
      </c>
      <c r="B267" s="107" t="s">
        <v>92</v>
      </c>
      <c r="C267" s="110" t="s">
        <v>93</v>
      </c>
      <c r="D267" s="110" t="s">
        <v>37</v>
      </c>
      <c r="E267" s="114" t="s">
        <v>50</v>
      </c>
      <c r="F267" s="11" t="s">
        <v>25</v>
      </c>
      <c r="G267" s="23">
        <v>1269698.6700000002</v>
      </c>
      <c r="H267" s="23">
        <v>1187222.625</v>
      </c>
      <c r="I267" s="23">
        <v>1379151.4724999999</v>
      </c>
      <c r="J267" s="23">
        <v>1288786.9049999998</v>
      </c>
      <c r="K267" s="9">
        <v>1474263.3004064998</v>
      </c>
      <c r="L267" s="9">
        <v>1543350.4950000001</v>
      </c>
      <c r="M267" s="9">
        <v>1974169.4750000001</v>
      </c>
      <c r="N267" s="9">
        <v>2183791.7540000002</v>
      </c>
      <c r="O267" s="9">
        <v>1489149.7250000001</v>
      </c>
      <c r="P267" s="23">
        <v>1488109.62</v>
      </c>
      <c r="Q267" s="23">
        <v>1427124.4931999999</v>
      </c>
      <c r="R267" s="24">
        <v>1427124.4931999999</v>
      </c>
      <c r="S267" s="11">
        <f>SUMIF($G$4:$R$4,"&gt;=0",G267:R267)</f>
        <v>8142473.4679064993</v>
      </c>
      <c r="T267" s="10">
        <f>SUM(G267:R267)</f>
        <v>18131943.028306499</v>
      </c>
    </row>
    <row r="268" spans="1:20" x14ac:dyDescent="0.3">
      <c r="A268" s="105"/>
      <c r="B268" s="108"/>
      <c r="C268" s="111"/>
      <c r="D268" s="111"/>
      <c r="E268" s="115"/>
      <c r="F268" s="12" t="s">
        <v>26</v>
      </c>
      <c r="G268" s="14">
        <v>1426572.67</v>
      </c>
      <c r="H268" s="14">
        <v>1381052.38</v>
      </c>
      <c r="I268" s="14">
        <v>1630130.3700000003</v>
      </c>
      <c r="J268" s="14">
        <v>1514929.76</v>
      </c>
      <c r="K268" s="13">
        <v>1668867.3699999999</v>
      </c>
      <c r="L268" s="13">
        <v>1570690.39</v>
      </c>
      <c r="M268" s="13"/>
      <c r="N268" s="13"/>
      <c r="O268" s="13"/>
      <c r="P268" s="14"/>
      <c r="Q268" s="14"/>
      <c r="R268" s="30"/>
      <c r="S268" s="16">
        <f>SUMIF($G$4:$R$4,"&gt;=0",G268:R268)</f>
        <v>9192242.9399999995</v>
      </c>
      <c r="T268" s="17">
        <f t="shared" ref="T268" si="215">SUM(G268:R268)</f>
        <v>9192242.9399999995</v>
      </c>
    </row>
    <row r="269" spans="1:20" ht="15" thickBot="1" x14ac:dyDescent="0.35">
      <c r="A269" s="105"/>
      <c r="B269" s="108"/>
      <c r="C269" s="111"/>
      <c r="D269" s="111"/>
      <c r="E269" s="115"/>
      <c r="F269" s="18" t="s">
        <v>27</v>
      </c>
      <c r="G269" s="19">
        <f>G268/G267</f>
        <v>1.1235521495820735</v>
      </c>
      <c r="H269" s="19">
        <f t="shared" ref="H269:T269" si="216">H268/H267</f>
        <v>1.1632631916865632</v>
      </c>
      <c r="I269" s="19">
        <f t="shared" si="216"/>
        <v>1.1819806616636885</v>
      </c>
      <c r="J269" s="19">
        <f t="shared" si="216"/>
        <v>1.1754695474656458</v>
      </c>
      <c r="K269" s="19">
        <f t="shared" si="216"/>
        <v>1.1320008912518149</v>
      </c>
      <c r="L269" s="19">
        <f t="shared" si="216"/>
        <v>1.0177146377887414</v>
      </c>
      <c r="M269" s="19">
        <f t="shared" si="216"/>
        <v>0</v>
      </c>
      <c r="N269" s="19">
        <f t="shared" si="216"/>
        <v>0</v>
      </c>
      <c r="O269" s="19">
        <f t="shared" si="216"/>
        <v>0</v>
      </c>
      <c r="P269" s="19">
        <f t="shared" si="216"/>
        <v>0</v>
      </c>
      <c r="Q269" s="19">
        <f t="shared" si="216"/>
        <v>0</v>
      </c>
      <c r="R269" s="25">
        <f t="shared" si="216"/>
        <v>0</v>
      </c>
      <c r="S269" s="21">
        <f t="shared" si="216"/>
        <v>1.1289251326677525</v>
      </c>
      <c r="T269" s="22">
        <f t="shared" si="216"/>
        <v>0.50696403168979864</v>
      </c>
    </row>
    <row r="270" spans="1:20" x14ac:dyDescent="0.3">
      <c r="A270" s="105"/>
      <c r="B270" s="108"/>
      <c r="C270" s="111"/>
      <c r="D270" s="111"/>
      <c r="E270" s="115"/>
      <c r="F270" s="11" t="s">
        <v>28</v>
      </c>
      <c r="G270" s="23">
        <v>1226762</v>
      </c>
      <c r="H270" s="23">
        <v>1147075</v>
      </c>
      <c r="I270" s="23">
        <v>1332513.5</v>
      </c>
      <c r="J270" s="23">
        <v>1227416.1000000001</v>
      </c>
      <c r="K270" s="9">
        <v>1424408.9859</v>
      </c>
      <c r="L270" s="9">
        <v>1505707.8</v>
      </c>
      <c r="M270" s="9">
        <v>1926019</v>
      </c>
      <c r="N270" s="9">
        <v>2060184.4200000002</v>
      </c>
      <c r="O270" s="9">
        <v>1443384.2099999995</v>
      </c>
      <c r="P270" s="23">
        <v>1458931</v>
      </c>
      <c r="Q270" s="23">
        <v>1399141.66</v>
      </c>
      <c r="R270" s="24">
        <v>1401577.1999999997</v>
      </c>
      <c r="S270" s="11">
        <f>SUMIF($G$4:$R$4,"&gt;=0",G270:R270)</f>
        <v>7863883.3858999992</v>
      </c>
      <c r="T270" s="10">
        <f>SUM(G270:R270)</f>
        <v>17553120.875899997</v>
      </c>
    </row>
    <row r="271" spans="1:20" ht="15" thickBot="1" x14ac:dyDescent="0.35">
      <c r="A271" s="105"/>
      <c r="B271" s="108"/>
      <c r="C271" s="111"/>
      <c r="D271" s="111"/>
      <c r="E271" s="115"/>
      <c r="F271" s="18" t="s">
        <v>29</v>
      </c>
      <c r="G271" s="19">
        <f>(G268-G270)/G268</f>
        <v>0.14006343609540756</v>
      </c>
      <c r="H271" s="19">
        <f t="shared" ref="H271:S271" si="217">(H268-H270)/H268</f>
        <v>0.1694196276610449</v>
      </c>
      <c r="I271" s="19">
        <f t="shared" si="217"/>
        <v>0.18257243437529497</v>
      </c>
      <c r="J271" s="19">
        <f t="shared" si="217"/>
        <v>0.1897867924912901</v>
      </c>
      <c r="K271" s="19">
        <f t="shared" si="217"/>
        <v>0.14648161291571057</v>
      </c>
      <c r="L271" s="19">
        <f t="shared" si="217"/>
        <v>4.1371991841116347E-2</v>
      </c>
      <c r="M271" s="19" t="e">
        <f t="shared" si="217"/>
        <v>#DIV/0!</v>
      </c>
      <c r="N271" s="19" t="e">
        <f t="shared" si="217"/>
        <v>#DIV/0!</v>
      </c>
      <c r="O271" s="19" t="e">
        <f t="shared" si="217"/>
        <v>#DIV/0!</v>
      </c>
      <c r="P271" s="19" t="e">
        <f t="shared" si="217"/>
        <v>#DIV/0!</v>
      </c>
      <c r="Q271" s="19" t="e">
        <f t="shared" si="217"/>
        <v>#DIV/0!</v>
      </c>
      <c r="R271" s="25" t="e">
        <f t="shared" si="217"/>
        <v>#DIV/0!</v>
      </c>
      <c r="S271" s="21">
        <f t="shared" si="217"/>
        <v>0.14450875186508075</v>
      </c>
      <c r="T271" s="22">
        <f t="shared" ref="T271" si="218">T268/T270</f>
        <v>0.52368140144358732</v>
      </c>
    </row>
    <row r="272" spans="1:20" x14ac:dyDescent="0.3">
      <c r="A272" s="105"/>
      <c r="B272" s="108"/>
      <c r="C272" s="111"/>
      <c r="D272" s="111"/>
      <c r="E272" s="115"/>
      <c r="F272" s="26" t="s">
        <v>30</v>
      </c>
      <c r="G272" s="23">
        <v>2997493.7737000003</v>
      </c>
      <c r="H272" s="23">
        <v>2885031.790800001</v>
      </c>
      <c r="I272" s="23">
        <v>3466776.2386000003</v>
      </c>
      <c r="J272" s="23"/>
      <c r="K272" s="9"/>
      <c r="L272" s="9"/>
      <c r="M272" s="9"/>
      <c r="N272" s="9"/>
      <c r="O272" s="9"/>
      <c r="P272" s="23"/>
      <c r="Q272" s="23"/>
      <c r="R272" s="24"/>
      <c r="S272" s="11">
        <f>SUMIF($G$4:$R$4,"&gt;=0",G272:R272)</f>
        <v>9349301.8031000011</v>
      </c>
      <c r="T272" s="10">
        <f>SUM(G272:R272)</f>
        <v>9349301.8031000011</v>
      </c>
    </row>
    <row r="273" spans="1:20" x14ac:dyDescent="0.3">
      <c r="A273" s="105"/>
      <c r="B273" s="108"/>
      <c r="C273" s="111"/>
      <c r="D273" s="111"/>
      <c r="E273" s="115"/>
      <c r="F273" s="29" t="s">
        <v>31</v>
      </c>
      <c r="G273" s="14"/>
      <c r="H273" s="14"/>
      <c r="I273" s="14"/>
      <c r="J273" s="14"/>
      <c r="K273" s="13"/>
      <c r="L273" s="13"/>
      <c r="M273" s="13"/>
      <c r="N273" s="13"/>
      <c r="O273" s="13"/>
      <c r="P273" s="14"/>
      <c r="Q273" s="14"/>
      <c r="R273" s="30"/>
      <c r="S273" s="16">
        <f>SUMIF($G$4:$R$4,"&gt;=0",G273:R273)</f>
        <v>0</v>
      </c>
      <c r="T273" s="17">
        <f t="shared" ref="T273" si="219">SUM(G273:R273)</f>
        <v>0</v>
      </c>
    </row>
    <row r="274" spans="1:20" ht="15" thickBot="1" x14ac:dyDescent="0.35">
      <c r="A274" s="105"/>
      <c r="B274" s="108"/>
      <c r="C274" s="111"/>
      <c r="D274" s="111"/>
      <c r="E274" s="115"/>
      <c r="F274" s="18" t="s">
        <v>32</v>
      </c>
      <c r="G274" s="19">
        <f>(G272-G273)/G272</f>
        <v>1</v>
      </c>
      <c r="H274" s="19">
        <f t="shared" ref="H274:S274" si="220">(H272-H273)/H272</f>
        <v>1</v>
      </c>
      <c r="I274" s="19">
        <f t="shared" si="220"/>
        <v>1</v>
      </c>
      <c r="J274" s="19" t="e">
        <f t="shared" si="220"/>
        <v>#DIV/0!</v>
      </c>
      <c r="K274" s="19" t="e">
        <f t="shared" si="220"/>
        <v>#DIV/0!</v>
      </c>
      <c r="L274" s="19" t="e">
        <f t="shared" si="220"/>
        <v>#DIV/0!</v>
      </c>
      <c r="M274" s="19" t="e">
        <f t="shared" si="220"/>
        <v>#DIV/0!</v>
      </c>
      <c r="N274" s="19" t="e">
        <f t="shared" si="220"/>
        <v>#DIV/0!</v>
      </c>
      <c r="O274" s="19" t="e">
        <f t="shared" si="220"/>
        <v>#DIV/0!</v>
      </c>
      <c r="P274" s="19" t="e">
        <f t="shared" si="220"/>
        <v>#DIV/0!</v>
      </c>
      <c r="Q274" s="19" t="e">
        <f t="shared" si="220"/>
        <v>#DIV/0!</v>
      </c>
      <c r="R274" s="25" t="e">
        <f t="shared" si="220"/>
        <v>#DIV/0!</v>
      </c>
      <c r="S274" s="21">
        <f t="shared" si="220"/>
        <v>1</v>
      </c>
      <c r="T274" s="22" t="e">
        <f t="shared" ref="T274" si="221">T272/T273</f>
        <v>#DIV/0!</v>
      </c>
    </row>
    <row r="275" spans="1:20" x14ac:dyDescent="0.3">
      <c r="A275" s="105"/>
      <c r="B275" s="108"/>
      <c r="C275" s="111"/>
      <c r="D275" s="111"/>
      <c r="E275" s="115"/>
      <c r="F275" s="31" t="s">
        <v>33</v>
      </c>
      <c r="G275" s="23"/>
      <c r="H275" s="23"/>
      <c r="I275" s="23"/>
      <c r="J275" s="23"/>
      <c r="K275" s="9"/>
      <c r="L275" s="9"/>
      <c r="M275" s="9"/>
      <c r="N275" s="9"/>
      <c r="O275" s="9"/>
      <c r="P275" s="23"/>
      <c r="Q275" s="23"/>
      <c r="R275" s="24"/>
      <c r="S275" s="11">
        <f>SUMIF($G$4:$R$4,"&gt;=0",G275:R275)</f>
        <v>0</v>
      </c>
      <c r="T275" s="10">
        <f>SUM(G275:R275)</f>
        <v>0</v>
      </c>
    </row>
    <row r="276" spans="1:20" x14ac:dyDescent="0.3">
      <c r="A276" s="105"/>
      <c r="B276" s="108"/>
      <c r="C276" s="111"/>
      <c r="D276" s="111"/>
      <c r="E276" s="115"/>
      <c r="F276" s="32" t="s">
        <v>34</v>
      </c>
      <c r="G276" s="14"/>
      <c r="H276" s="14"/>
      <c r="I276" s="14"/>
      <c r="J276" s="14"/>
      <c r="K276" s="13"/>
      <c r="L276" s="13"/>
      <c r="M276" s="13"/>
      <c r="N276" s="13"/>
      <c r="O276" s="13"/>
      <c r="P276" s="14"/>
      <c r="Q276" s="14"/>
      <c r="R276" s="30"/>
      <c r="S276" s="16">
        <f>SUMIF($G$4:$R$4,"&gt;=0",G276:R276)</f>
        <v>0</v>
      </c>
      <c r="T276" s="17">
        <f>SUM(G276:R276)</f>
        <v>0</v>
      </c>
    </row>
    <row r="277" spans="1:20" ht="15" thickBot="1" x14ac:dyDescent="0.35">
      <c r="A277" s="117"/>
      <c r="B277" s="109"/>
      <c r="C277" s="112"/>
      <c r="D277" s="113"/>
      <c r="E277" s="116"/>
      <c r="F277" s="21" t="s">
        <v>35</v>
      </c>
      <c r="G277" s="19" t="e">
        <f>(G276-G275)/G276</f>
        <v>#DIV/0!</v>
      </c>
      <c r="H277" s="19" t="e">
        <f t="shared" ref="H277:S277" si="222">(H276-H275)/H276</f>
        <v>#DIV/0!</v>
      </c>
      <c r="I277" s="19" t="e">
        <f t="shared" si="222"/>
        <v>#DIV/0!</v>
      </c>
      <c r="J277" s="19" t="e">
        <f t="shared" si="222"/>
        <v>#DIV/0!</v>
      </c>
      <c r="K277" s="19" t="e">
        <f t="shared" si="222"/>
        <v>#DIV/0!</v>
      </c>
      <c r="L277" s="19" t="e">
        <f t="shared" si="222"/>
        <v>#DIV/0!</v>
      </c>
      <c r="M277" s="19" t="e">
        <f t="shared" si="222"/>
        <v>#DIV/0!</v>
      </c>
      <c r="N277" s="19" t="e">
        <f t="shared" si="222"/>
        <v>#DIV/0!</v>
      </c>
      <c r="O277" s="19" t="e">
        <f t="shared" si="222"/>
        <v>#DIV/0!</v>
      </c>
      <c r="P277" s="19" t="e">
        <f t="shared" si="222"/>
        <v>#DIV/0!</v>
      </c>
      <c r="Q277" s="19" t="e">
        <f t="shared" si="222"/>
        <v>#DIV/0!</v>
      </c>
      <c r="R277" s="25" t="e">
        <f t="shared" si="222"/>
        <v>#DIV/0!</v>
      </c>
      <c r="S277" s="21" t="e">
        <f t="shared" si="222"/>
        <v>#DIV/0!</v>
      </c>
      <c r="T277" s="22" t="e">
        <f t="shared" ref="T277" si="223">T276/T275</f>
        <v>#DIV/0!</v>
      </c>
    </row>
    <row r="278" spans="1:20" x14ac:dyDescent="0.3">
      <c r="A278" s="104">
        <v>26</v>
      </c>
      <c r="B278" s="107" t="s">
        <v>94</v>
      </c>
      <c r="C278" s="110" t="s">
        <v>95</v>
      </c>
      <c r="D278" s="110" t="s">
        <v>37</v>
      </c>
      <c r="E278" s="114" t="s">
        <v>24</v>
      </c>
      <c r="F278" s="11" t="s">
        <v>25</v>
      </c>
      <c r="G278" s="23">
        <v>1144586.47</v>
      </c>
      <c r="H278" s="23">
        <v>1119111.48</v>
      </c>
      <c r="I278" s="23">
        <v>1257132.51</v>
      </c>
      <c r="J278" s="23">
        <v>1231782.1499999999</v>
      </c>
      <c r="K278" s="9">
        <v>1359807.03</v>
      </c>
      <c r="L278" s="9">
        <v>1126399.7661696998</v>
      </c>
      <c r="M278" s="9">
        <v>1244787.673155</v>
      </c>
      <c r="N278" s="9">
        <v>1578909.1614299999</v>
      </c>
      <c r="O278" s="9">
        <v>1745131.44</v>
      </c>
      <c r="P278" s="23">
        <v>1622170.6900000002</v>
      </c>
      <c r="Q278" s="23">
        <v>1565915.7465000001</v>
      </c>
      <c r="R278" s="24">
        <v>1565915.7465000001</v>
      </c>
      <c r="S278" s="11">
        <f>SUMIF($G$4:$R$4,"&gt;=0",G278:R278)</f>
        <v>7238819.4061696995</v>
      </c>
      <c r="T278" s="10">
        <f>SUM(G278:R278)</f>
        <v>16561649.863754699</v>
      </c>
    </row>
    <row r="279" spans="1:20" x14ac:dyDescent="0.3">
      <c r="A279" s="105"/>
      <c r="B279" s="108"/>
      <c r="C279" s="111"/>
      <c r="D279" s="111"/>
      <c r="E279" s="115"/>
      <c r="F279" s="12" t="s">
        <v>26</v>
      </c>
      <c r="G279" s="14">
        <v>1554827.81</v>
      </c>
      <c r="H279" s="14">
        <v>1456895.24</v>
      </c>
      <c r="I279" s="14">
        <v>1460833.7699999998</v>
      </c>
      <c r="J279" s="14">
        <v>1414745.3399999999</v>
      </c>
      <c r="K279" s="13">
        <v>1369213.81</v>
      </c>
      <c r="L279" s="13">
        <v>1491707.38</v>
      </c>
      <c r="M279" s="13"/>
      <c r="N279" s="13"/>
      <c r="O279" s="13"/>
      <c r="P279" s="14"/>
      <c r="Q279" s="14"/>
      <c r="R279" s="30"/>
      <c r="S279" s="16">
        <f>SUMIF($G$4:$R$4,"&gt;=0",G279:R279)</f>
        <v>8748223.3499999978</v>
      </c>
      <c r="T279" s="17">
        <f t="shared" ref="T279" si="224">SUM(G279:R279)</f>
        <v>8748223.3499999978</v>
      </c>
    </row>
    <row r="280" spans="1:20" ht="15" thickBot="1" x14ac:dyDescent="0.35">
      <c r="A280" s="105"/>
      <c r="B280" s="108"/>
      <c r="C280" s="111"/>
      <c r="D280" s="111"/>
      <c r="E280" s="115"/>
      <c r="F280" s="18" t="s">
        <v>27</v>
      </c>
      <c r="G280" s="19">
        <f>G279/G278</f>
        <v>1.3584188270196835</v>
      </c>
      <c r="H280" s="19">
        <f t="shared" ref="H280:T280" si="225">H279/H278</f>
        <v>1.3018320927241316</v>
      </c>
      <c r="I280" s="19">
        <f t="shared" si="225"/>
        <v>1.1620364268520904</v>
      </c>
      <c r="J280" s="19">
        <f t="shared" si="225"/>
        <v>1.1485353477479763</v>
      </c>
      <c r="K280" s="19">
        <f t="shared" si="225"/>
        <v>1.0069177315548956</v>
      </c>
      <c r="L280" s="19">
        <f t="shared" si="225"/>
        <v>1.3243143551711853</v>
      </c>
      <c r="M280" s="19">
        <f t="shared" si="225"/>
        <v>0</v>
      </c>
      <c r="N280" s="19">
        <f t="shared" si="225"/>
        <v>0</v>
      </c>
      <c r="O280" s="19">
        <f t="shared" si="225"/>
        <v>0</v>
      </c>
      <c r="P280" s="19">
        <f t="shared" si="225"/>
        <v>0</v>
      </c>
      <c r="Q280" s="19">
        <f t="shared" si="225"/>
        <v>0</v>
      </c>
      <c r="R280" s="25">
        <f t="shared" si="225"/>
        <v>0</v>
      </c>
      <c r="S280" s="21">
        <f t="shared" si="225"/>
        <v>1.2085152093370117</v>
      </c>
      <c r="T280" s="22">
        <f t="shared" si="225"/>
        <v>0.52822173044157594</v>
      </c>
    </row>
    <row r="281" spans="1:20" x14ac:dyDescent="0.3">
      <c r="A281" s="105"/>
      <c r="B281" s="108"/>
      <c r="C281" s="111"/>
      <c r="D281" s="111"/>
      <c r="E281" s="115"/>
      <c r="F281" s="11" t="s">
        <v>28</v>
      </c>
      <c r="G281" s="23">
        <v>1111249</v>
      </c>
      <c r="H281" s="23">
        <v>1086516</v>
      </c>
      <c r="I281" s="23">
        <v>1220517</v>
      </c>
      <c r="J281" s="23">
        <v>1195905</v>
      </c>
      <c r="K281" s="9">
        <v>1320201</v>
      </c>
      <c r="L281" s="9">
        <v>1093592.00599</v>
      </c>
      <c r="M281" s="9">
        <v>1214426.9982</v>
      </c>
      <c r="N281" s="9">
        <v>1525511.8200000003</v>
      </c>
      <c r="O281" s="9">
        <v>1678003.0499999996</v>
      </c>
      <c r="P281" s="23">
        <v>1574923</v>
      </c>
      <c r="Q281" s="23">
        <v>1520306.55</v>
      </c>
      <c r="R281" s="24">
        <v>1594683.5100000002</v>
      </c>
      <c r="S281" s="11">
        <f>SUMIF($G$4:$R$4,"&gt;=0",G281:R281)</f>
        <v>7027980.0059900004</v>
      </c>
      <c r="T281" s="10">
        <f>SUM(G281:R281)</f>
        <v>16135834.934190001</v>
      </c>
    </row>
    <row r="282" spans="1:20" ht="15" thickBot="1" x14ac:dyDescent="0.35">
      <c r="A282" s="105"/>
      <c r="B282" s="108"/>
      <c r="C282" s="111"/>
      <c r="D282" s="111"/>
      <c r="E282" s="115"/>
      <c r="F282" s="18" t="s">
        <v>29</v>
      </c>
      <c r="G282" s="19">
        <f>(G279-G281)/G279</f>
        <v>0.28529127608027544</v>
      </c>
      <c r="H282" s="19">
        <f t="shared" ref="H282:S282" si="226">(H279-H281)/H279</f>
        <v>0.25422503267976904</v>
      </c>
      <c r="I282" s="19">
        <f t="shared" si="226"/>
        <v>0.16450658174475238</v>
      </c>
      <c r="J282" s="19">
        <f t="shared" si="226"/>
        <v>0.15468532308436506</v>
      </c>
      <c r="K282" s="19">
        <f t="shared" si="226"/>
        <v>3.5796315843469366E-2</v>
      </c>
      <c r="L282" s="19">
        <f t="shared" si="226"/>
        <v>0.2668857038234938</v>
      </c>
      <c r="M282" s="19" t="e">
        <f t="shared" si="226"/>
        <v>#DIV/0!</v>
      </c>
      <c r="N282" s="19" t="e">
        <f t="shared" si="226"/>
        <v>#DIV/0!</v>
      </c>
      <c r="O282" s="19" t="e">
        <f t="shared" si="226"/>
        <v>#DIV/0!</v>
      </c>
      <c r="P282" s="19" t="e">
        <f t="shared" si="226"/>
        <v>#DIV/0!</v>
      </c>
      <c r="Q282" s="19" t="e">
        <f t="shared" si="226"/>
        <v>#DIV/0!</v>
      </c>
      <c r="R282" s="25" t="e">
        <f t="shared" si="226"/>
        <v>#DIV/0!</v>
      </c>
      <c r="S282" s="21">
        <f t="shared" si="226"/>
        <v>0.19663916605535658</v>
      </c>
      <c r="T282" s="22">
        <f t="shared" ref="T282" si="227">T279/T281</f>
        <v>0.54216118259015567</v>
      </c>
    </row>
    <row r="283" spans="1:20" x14ac:dyDescent="0.3">
      <c r="A283" s="105"/>
      <c r="B283" s="108"/>
      <c r="C283" s="111"/>
      <c r="D283" s="111"/>
      <c r="E283" s="115"/>
      <c r="F283" s="26" t="s">
        <v>30</v>
      </c>
      <c r="G283" s="23">
        <v>3277342.6712999986</v>
      </c>
      <c r="H283" s="23">
        <v>3069693.7535999995</v>
      </c>
      <c r="I283" s="23">
        <v>3081873.3683999977</v>
      </c>
      <c r="J283" s="23"/>
      <c r="K283" s="9"/>
      <c r="L283" s="9"/>
      <c r="M283" s="9"/>
      <c r="N283" s="9"/>
      <c r="O283" s="9"/>
      <c r="P283" s="23"/>
      <c r="Q283" s="23"/>
      <c r="R283" s="24"/>
      <c r="S283" s="11">
        <f>SUMIF($G$4:$R$4,"&gt;=0",G283:R283)</f>
        <v>9428909.7932999954</v>
      </c>
      <c r="T283" s="10">
        <f>SUM(G283:R283)</f>
        <v>9428909.7932999954</v>
      </c>
    </row>
    <row r="284" spans="1:20" x14ac:dyDescent="0.3">
      <c r="A284" s="105"/>
      <c r="B284" s="108"/>
      <c r="C284" s="111"/>
      <c r="D284" s="111"/>
      <c r="E284" s="115"/>
      <c r="F284" s="29" t="s">
        <v>31</v>
      </c>
      <c r="G284" s="14"/>
      <c r="H284" s="14"/>
      <c r="I284" s="14"/>
      <c r="J284" s="14"/>
      <c r="K284" s="13"/>
      <c r="L284" s="13"/>
      <c r="M284" s="13"/>
      <c r="N284" s="13"/>
      <c r="O284" s="13"/>
      <c r="P284" s="14"/>
      <c r="Q284" s="14"/>
      <c r="R284" s="30"/>
      <c r="S284" s="16">
        <f>SUMIF($G$4:$R$4,"&gt;=0",G284:R284)</f>
        <v>0</v>
      </c>
      <c r="T284" s="17">
        <f>SUM(G284:R284)</f>
        <v>0</v>
      </c>
    </row>
    <row r="285" spans="1:20" ht="15" thickBot="1" x14ac:dyDescent="0.35">
      <c r="A285" s="105"/>
      <c r="B285" s="108"/>
      <c r="C285" s="111"/>
      <c r="D285" s="111"/>
      <c r="E285" s="115"/>
      <c r="F285" s="18" t="s">
        <v>32</v>
      </c>
      <c r="G285" s="19">
        <f>(G283-G284)/G283</f>
        <v>1</v>
      </c>
      <c r="H285" s="19">
        <f t="shared" ref="H285:S285" si="228">(H283-H284)/H283</f>
        <v>1</v>
      </c>
      <c r="I285" s="19">
        <f t="shared" si="228"/>
        <v>1</v>
      </c>
      <c r="J285" s="19" t="e">
        <f t="shared" si="228"/>
        <v>#DIV/0!</v>
      </c>
      <c r="K285" s="19" t="e">
        <f t="shared" si="228"/>
        <v>#DIV/0!</v>
      </c>
      <c r="L285" s="19" t="e">
        <f t="shared" si="228"/>
        <v>#DIV/0!</v>
      </c>
      <c r="M285" s="19" t="e">
        <f t="shared" si="228"/>
        <v>#DIV/0!</v>
      </c>
      <c r="N285" s="19" t="e">
        <f t="shared" si="228"/>
        <v>#DIV/0!</v>
      </c>
      <c r="O285" s="19" t="e">
        <f t="shared" si="228"/>
        <v>#DIV/0!</v>
      </c>
      <c r="P285" s="19" t="e">
        <f t="shared" si="228"/>
        <v>#DIV/0!</v>
      </c>
      <c r="Q285" s="19" t="e">
        <f t="shared" si="228"/>
        <v>#DIV/0!</v>
      </c>
      <c r="R285" s="25" t="e">
        <f t="shared" si="228"/>
        <v>#DIV/0!</v>
      </c>
      <c r="S285" s="21">
        <f t="shared" si="228"/>
        <v>1</v>
      </c>
      <c r="T285" s="22" t="e">
        <f t="shared" ref="T285" si="229">T283/T284</f>
        <v>#DIV/0!</v>
      </c>
    </row>
    <row r="286" spans="1:20" x14ac:dyDescent="0.3">
      <c r="A286" s="105"/>
      <c r="B286" s="108"/>
      <c r="C286" s="111"/>
      <c r="D286" s="111"/>
      <c r="E286" s="115"/>
      <c r="F286" s="31" t="s">
        <v>33</v>
      </c>
      <c r="G286" s="23"/>
      <c r="H286" s="23"/>
      <c r="I286" s="23"/>
      <c r="J286" s="23"/>
      <c r="K286" s="9"/>
      <c r="L286" s="9"/>
      <c r="M286" s="9"/>
      <c r="N286" s="9"/>
      <c r="O286" s="9"/>
      <c r="P286" s="23"/>
      <c r="Q286" s="23"/>
      <c r="R286" s="24"/>
      <c r="S286" s="11">
        <f>SUMIF($G$4:$R$4,"&gt;=0",G286:R286)</f>
        <v>0</v>
      </c>
      <c r="T286" s="10">
        <f>SUM(G286:R286)</f>
        <v>0</v>
      </c>
    </row>
    <row r="287" spans="1:20" x14ac:dyDescent="0.3">
      <c r="A287" s="105"/>
      <c r="B287" s="108"/>
      <c r="C287" s="111"/>
      <c r="D287" s="111"/>
      <c r="E287" s="115"/>
      <c r="F287" s="32" t="s">
        <v>34</v>
      </c>
      <c r="G287" s="14"/>
      <c r="H287" s="14"/>
      <c r="I287" s="14"/>
      <c r="J287" s="14"/>
      <c r="K287" s="13"/>
      <c r="L287" s="13"/>
      <c r="M287" s="13"/>
      <c r="N287" s="13"/>
      <c r="O287" s="13"/>
      <c r="P287" s="14"/>
      <c r="Q287" s="14"/>
      <c r="R287" s="30"/>
      <c r="S287" s="16">
        <f>SUMIF($G$4:$R$4,"&gt;=0",G287:R287)</f>
        <v>0</v>
      </c>
      <c r="T287" s="17">
        <f>SUM(G287:R287)</f>
        <v>0</v>
      </c>
    </row>
    <row r="288" spans="1:20" ht="15" thickBot="1" x14ac:dyDescent="0.35">
      <c r="A288" s="117"/>
      <c r="B288" s="109"/>
      <c r="C288" s="112"/>
      <c r="D288" s="113"/>
      <c r="E288" s="116"/>
      <c r="F288" s="21" t="s">
        <v>35</v>
      </c>
      <c r="G288" s="19" t="e">
        <f>(G287-G286)/G287</f>
        <v>#DIV/0!</v>
      </c>
      <c r="H288" s="19" t="e">
        <f t="shared" ref="H288:S288" si="230">(H287-H286)/H287</f>
        <v>#DIV/0!</v>
      </c>
      <c r="I288" s="19" t="e">
        <f t="shared" si="230"/>
        <v>#DIV/0!</v>
      </c>
      <c r="J288" s="19" t="e">
        <f t="shared" si="230"/>
        <v>#DIV/0!</v>
      </c>
      <c r="K288" s="19" t="e">
        <f t="shared" si="230"/>
        <v>#DIV/0!</v>
      </c>
      <c r="L288" s="19" t="e">
        <f t="shared" si="230"/>
        <v>#DIV/0!</v>
      </c>
      <c r="M288" s="19" t="e">
        <f t="shared" si="230"/>
        <v>#DIV/0!</v>
      </c>
      <c r="N288" s="19" t="e">
        <f t="shared" si="230"/>
        <v>#DIV/0!</v>
      </c>
      <c r="O288" s="19" t="e">
        <f t="shared" si="230"/>
        <v>#DIV/0!</v>
      </c>
      <c r="P288" s="19" t="e">
        <f t="shared" si="230"/>
        <v>#DIV/0!</v>
      </c>
      <c r="Q288" s="19" t="e">
        <f t="shared" si="230"/>
        <v>#DIV/0!</v>
      </c>
      <c r="R288" s="25" t="e">
        <f t="shared" si="230"/>
        <v>#DIV/0!</v>
      </c>
      <c r="S288" s="21" t="e">
        <f t="shared" si="230"/>
        <v>#DIV/0!</v>
      </c>
      <c r="T288" s="22" t="e">
        <f t="shared" ref="T288" si="231">T287/T286</f>
        <v>#DIV/0!</v>
      </c>
    </row>
    <row r="289" spans="1:20" x14ac:dyDescent="0.3">
      <c r="A289" s="104">
        <v>27</v>
      </c>
      <c r="B289" s="107" t="s">
        <v>96</v>
      </c>
      <c r="C289" s="110" t="s">
        <v>99</v>
      </c>
      <c r="D289" s="110" t="s">
        <v>23</v>
      </c>
      <c r="E289" s="114" t="s">
        <v>38</v>
      </c>
      <c r="F289" s="11" t="s">
        <v>25</v>
      </c>
      <c r="G289" s="23">
        <v>201970.64</v>
      </c>
      <c r="H289" s="23">
        <v>206681.86000000002</v>
      </c>
      <c r="I289" s="23">
        <v>210249.78000000003</v>
      </c>
      <c r="J289" s="23">
        <v>195456.92</v>
      </c>
      <c r="K289" s="9">
        <v>208319.56</v>
      </c>
      <c r="L289" s="9">
        <v>184464.85270000002</v>
      </c>
      <c r="M289" s="9">
        <v>205469.67955279999</v>
      </c>
      <c r="N289" s="9">
        <v>223265.7</v>
      </c>
      <c r="O289" s="9">
        <v>218158.12017509999</v>
      </c>
      <c r="P289" s="23">
        <v>205414.1</v>
      </c>
      <c r="Q289" s="23">
        <v>195844.42660000001</v>
      </c>
      <c r="R289" s="24">
        <v>236931.80019497097</v>
      </c>
      <c r="S289" s="11">
        <f>SUMIF($G$4:$R$4,"&gt;=0",G289:R289)</f>
        <v>1207143.6126999999</v>
      </c>
      <c r="T289" s="10">
        <f>SUM(G289:R289)</f>
        <v>2492227.4392228709</v>
      </c>
    </row>
    <row r="290" spans="1:20" x14ac:dyDescent="0.3">
      <c r="A290" s="105"/>
      <c r="B290" s="108"/>
      <c r="C290" s="111"/>
      <c r="D290" s="111"/>
      <c r="E290" s="115"/>
      <c r="F290" s="12" t="s">
        <v>26</v>
      </c>
      <c r="G290" s="14">
        <v>197618.17</v>
      </c>
      <c r="H290" s="14">
        <v>196567.38</v>
      </c>
      <c r="I290" s="14">
        <v>187674.42</v>
      </c>
      <c r="J290" s="14">
        <v>212337.1</v>
      </c>
      <c r="K290" s="13">
        <v>207191.07000000004</v>
      </c>
      <c r="L290" s="13">
        <v>203257.73000000004</v>
      </c>
      <c r="M290" s="13"/>
      <c r="N290" s="13"/>
      <c r="O290" s="13"/>
      <c r="P290" s="14"/>
      <c r="Q290" s="14"/>
      <c r="R290" s="30"/>
      <c r="S290" s="16">
        <f>SUMIF($G$4:$R$4,"&gt;=0",G290:R290)</f>
        <v>1204645.8700000001</v>
      </c>
      <c r="T290" s="17">
        <f t="shared" ref="T290" si="232">SUM(G290:R290)</f>
        <v>1204645.8700000001</v>
      </c>
    </row>
    <row r="291" spans="1:20" ht="15" thickBot="1" x14ac:dyDescent="0.35">
      <c r="A291" s="105"/>
      <c r="B291" s="108"/>
      <c r="C291" s="111"/>
      <c r="D291" s="111"/>
      <c r="E291" s="115"/>
      <c r="F291" s="18" t="s">
        <v>27</v>
      </c>
      <c r="G291" s="19">
        <f>G290/G289</f>
        <v>0.97844998659211058</v>
      </c>
      <c r="H291" s="19">
        <f t="shared" ref="H291:T291" si="233">H290/H289</f>
        <v>0.95106256543268963</v>
      </c>
      <c r="I291" s="19">
        <f t="shared" si="233"/>
        <v>0.89262599941840604</v>
      </c>
      <c r="J291" s="19">
        <f t="shared" si="233"/>
        <v>1.0863626624219802</v>
      </c>
      <c r="K291" s="19">
        <f t="shared" si="233"/>
        <v>0.99458288986401489</v>
      </c>
      <c r="L291" s="19">
        <f t="shared" si="233"/>
        <v>1.101877821302703</v>
      </c>
      <c r="M291" s="19">
        <f t="shared" si="233"/>
        <v>0</v>
      </c>
      <c r="N291" s="19">
        <f t="shared" si="233"/>
        <v>0</v>
      </c>
      <c r="O291" s="19">
        <f t="shared" si="233"/>
        <v>0</v>
      </c>
      <c r="P291" s="19">
        <f t="shared" si="233"/>
        <v>0</v>
      </c>
      <c r="Q291" s="19">
        <f t="shared" si="233"/>
        <v>0</v>
      </c>
      <c r="R291" s="25">
        <f t="shared" si="233"/>
        <v>0</v>
      </c>
      <c r="S291" s="21">
        <f t="shared" si="233"/>
        <v>0.9979308653305855</v>
      </c>
      <c r="T291" s="22">
        <f t="shared" si="233"/>
        <v>0.48336112950254417</v>
      </c>
    </row>
    <row r="292" spans="1:20" x14ac:dyDescent="0.3">
      <c r="A292" s="105"/>
      <c r="B292" s="108"/>
      <c r="C292" s="111"/>
      <c r="D292" s="111"/>
      <c r="E292" s="115"/>
      <c r="F292" s="11" t="s">
        <v>28</v>
      </c>
      <c r="G292" s="23">
        <v>196088</v>
      </c>
      <c r="H292" s="23">
        <v>200662</v>
      </c>
      <c r="I292" s="23">
        <v>204126</v>
      </c>
      <c r="J292" s="23">
        <v>189764</v>
      </c>
      <c r="K292" s="9">
        <v>202252</v>
      </c>
      <c r="L292" s="9">
        <v>179092.09000000003</v>
      </c>
      <c r="M292" s="9">
        <v>197566.99956999999</v>
      </c>
      <c r="N292" s="9">
        <v>212636.59999999998</v>
      </c>
      <c r="O292" s="9">
        <v>211901.74</v>
      </c>
      <c r="P292" s="23">
        <v>205111</v>
      </c>
      <c r="Q292" s="23">
        <v>190140.21999999997</v>
      </c>
      <c r="R292" s="24">
        <v>196950.13999999998</v>
      </c>
      <c r="S292" s="11">
        <f>SUMIF($G$4:$R$4,"&gt;=0",G292:R292)</f>
        <v>1171984.0900000001</v>
      </c>
      <c r="T292" s="10">
        <f>SUM(G292:R292)</f>
        <v>2386290.78957</v>
      </c>
    </row>
    <row r="293" spans="1:20" ht="15" thickBot="1" x14ac:dyDescent="0.35">
      <c r="A293" s="105"/>
      <c r="B293" s="108"/>
      <c r="C293" s="111"/>
      <c r="D293" s="111"/>
      <c r="E293" s="115"/>
      <c r="F293" s="18" t="s">
        <v>29</v>
      </c>
      <c r="G293" s="19">
        <f>(G290-G292)/G290</f>
        <v>7.7430633023269704E-3</v>
      </c>
      <c r="H293" s="19">
        <f t="shared" ref="H293:S293" si="234">(H290-H292)/H290</f>
        <v>-2.0830617979442953E-2</v>
      </c>
      <c r="I293" s="19">
        <f t="shared" si="234"/>
        <v>-8.7660214961634009E-2</v>
      </c>
      <c r="J293" s="19">
        <f t="shared" si="234"/>
        <v>0.10630784728622555</v>
      </c>
      <c r="K293" s="19">
        <f t="shared" si="234"/>
        <v>2.383823781594465E-2</v>
      </c>
      <c r="L293" s="19">
        <f t="shared" si="234"/>
        <v>0.11889161607777481</v>
      </c>
      <c r="M293" s="19" t="e">
        <f t="shared" si="234"/>
        <v>#DIV/0!</v>
      </c>
      <c r="N293" s="19" t="e">
        <f t="shared" si="234"/>
        <v>#DIV/0!</v>
      </c>
      <c r="O293" s="19" t="e">
        <f t="shared" si="234"/>
        <v>#DIV/0!</v>
      </c>
      <c r="P293" s="19" t="e">
        <f t="shared" si="234"/>
        <v>#DIV/0!</v>
      </c>
      <c r="Q293" s="19" t="e">
        <f t="shared" si="234"/>
        <v>#DIV/0!</v>
      </c>
      <c r="R293" s="25" t="e">
        <f t="shared" si="234"/>
        <v>#DIV/0!</v>
      </c>
      <c r="S293" s="21">
        <f t="shared" si="234"/>
        <v>2.7113179743022756E-2</v>
      </c>
      <c r="T293" s="22">
        <f t="shared" ref="T293" si="235">T290/T292</f>
        <v>0.50481939387490682</v>
      </c>
    </row>
    <row r="294" spans="1:20" x14ac:dyDescent="0.3">
      <c r="A294" s="105"/>
      <c r="B294" s="108"/>
      <c r="C294" s="111"/>
      <c r="D294" s="111"/>
      <c r="E294" s="115"/>
      <c r="F294" s="26" t="s">
        <v>30</v>
      </c>
      <c r="G294" s="23">
        <v>422153.32709999994</v>
      </c>
      <c r="H294" s="23">
        <v>419296.27119999996</v>
      </c>
      <c r="I294" s="23">
        <v>403264.94979999994</v>
      </c>
      <c r="J294" s="23"/>
      <c r="K294" s="9"/>
      <c r="L294" s="9"/>
      <c r="M294" s="9"/>
      <c r="N294" s="9"/>
      <c r="O294" s="9"/>
      <c r="P294" s="23"/>
      <c r="Q294" s="23"/>
      <c r="R294" s="24"/>
      <c r="S294" s="11">
        <f>SUMIF($G$4:$R$4,"&gt;=0",G294:R294)</f>
        <v>1244714.5480999998</v>
      </c>
      <c r="T294" s="10">
        <f>SUM(G294:R294)</f>
        <v>1244714.5480999998</v>
      </c>
    </row>
    <row r="295" spans="1:20" x14ac:dyDescent="0.3">
      <c r="A295" s="105"/>
      <c r="B295" s="108"/>
      <c r="C295" s="111"/>
      <c r="D295" s="111"/>
      <c r="E295" s="115"/>
      <c r="F295" s="29" t="s">
        <v>31</v>
      </c>
      <c r="G295" s="14"/>
      <c r="H295" s="14"/>
      <c r="I295" s="14"/>
      <c r="J295" s="14"/>
      <c r="K295" s="13"/>
      <c r="L295" s="13"/>
      <c r="M295" s="13"/>
      <c r="N295" s="13"/>
      <c r="O295" s="13"/>
      <c r="P295" s="14"/>
      <c r="Q295" s="14"/>
      <c r="R295" s="30"/>
      <c r="S295" s="16">
        <f>SUMIF($G$4:$R$4,"&gt;=0",G295:R295)</f>
        <v>0</v>
      </c>
      <c r="T295" s="17">
        <f t="shared" ref="T295" si="236">SUM(G295:R295)</f>
        <v>0</v>
      </c>
    </row>
    <row r="296" spans="1:20" ht="15" thickBot="1" x14ac:dyDescent="0.35">
      <c r="A296" s="105"/>
      <c r="B296" s="108"/>
      <c r="C296" s="111"/>
      <c r="D296" s="111"/>
      <c r="E296" s="115"/>
      <c r="F296" s="18" t="s">
        <v>32</v>
      </c>
      <c r="G296" s="19">
        <f>(G294-G295)/G294</f>
        <v>1</v>
      </c>
      <c r="H296" s="19">
        <f t="shared" ref="H296:S296" si="237">(H294-H295)/H294</f>
        <v>1</v>
      </c>
      <c r="I296" s="19">
        <f t="shared" si="237"/>
        <v>1</v>
      </c>
      <c r="J296" s="19" t="e">
        <f t="shared" si="237"/>
        <v>#DIV/0!</v>
      </c>
      <c r="K296" s="19" t="e">
        <f t="shared" si="237"/>
        <v>#DIV/0!</v>
      </c>
      <c r="L296" s="19" t="e">
        <f t="shared" si="237"/>
        <v>#DIV/0!</v>
      </c>
      <c r="M296" s="19" t="e">
        <f t="shared" si="237"/>
        <v>#DIV/0!</v>
      </c>
      <c r="N296" s="19" t="e">
        <f t="shared" si="237"/>
        <v>#DIV/0!</v>
      </c>
      <c r="O296" s="19" t="e">
        <f t="shared" si="237"/>
        <v>#DIV/0!</v>
      </c>
      <c r="P296" s="19" t="e">
        <f t="shared" si="237"/>
        <v>#DIV/0!</v>
      </c>
      <c r="Q296" s="19" t="e">
        <f t="shared" si="237"/>
        <v>#DIV/0!</v>
      </c>
      <c r="R296" s="25" t="e">
        <f t="shared" si="237"/>
        <v>#DIV/0!</v>
      </c>
      <c r="S296" s="21">
        <f t="shared" si="237"/>
        <v>1</v>
      </c>
      <c r="T296" s="22" t="e">
        <f t="shared" ref="T296" si="238">T294/T295</f>
        <v>#DIV/0!</v>
      </c>
    </row>
    <row r="297" spans="1:20" x14ac:dyDescent="0.3">
      <c r="A297" s="105"/>
      <c r="B297" s="108"/>
      <c r="C297" s="111"/>
      <c r="D297" s="111"/>
      <c r="E297" s="115"/>
      <c r="F297" s="31" t="s">
        <v>33</v>
      </c>
      <c r="G297" s="23"/>
      <c r="H297" s="23"/>
      <c r="I297" s="23"/>
      <c r="J297" s="23"/>
      <c r="K297" s="9"/>
      <c r="L297" s="9"/>
      <c r="M297" s="9"/>
      <c r="N297" s="9"/>
      <c r="O297" s="9"/>
      <c r="P297" s="23"/>
      <c r="Q297" s="23"/>
      <c r="R297" s="24"/>
      <c r="S297" s="11">
        <f>SUMIF($G$4:$R$4,"&gt;=0",G297:R297)</f>
        <v>0</v>
      </c>
      <c r="T297" s="10">
        <f>SUM(G297:R297)</f>
        <v>0</v>
      </c>
    </row>
    <row r="298" spans="1:20" x14ac:dyDescent="0.3">
      <c r="A298" s="105"/>
      <c r="B298" s="108"/>
      <c r="C298" s="111"/>
      <c r="D298" s="111"/>
      <c r="E298" s="115"/>
      <c r="F298" s="32" t="s">
        <v>34</v>
      </c>
      <c r="G298" s="14"/>
      <c r="H298" s="14"/>
      <c r="I298" s="14"/>
      <c r="J298" s="14"/>
      <c r="K298" s="13"/>
      <c r="L298" s="13"/>
      <c r="M298" s="13"/>
      <c r="N298" s="13"/>
      <c r="O298" s="13"/>
      <c r="P298" s="14"/>
      <c r="Q298" s="14"/>
      <c r="R298" s="30"/>
      <c r="S298" s="16">
        <f>SUMIF($G$4:$R$4,"&gt;=0",G298:R298)</f>
        <v>0</v>
      </c>
      <c r="T298" s="17">
        <f>SUM(G298:R298)</f>
        <v>0</v>
      </c>
    </row>
    <row r="299" spans="1:20" ht="15" thickBot="1" x14ac:dyDescent="0.35">
      <c r="A299" s="106"/>
      <c r="B299" s="109"/>
      <c r="C299" s="112"/>
      <c r="D299" s="113"/>
      <c r="E299" s="116"/>
      <c r="F299" s="21" t="s">
        <v>35</v>
      </c>
      <c r="G299" s="19" t="e">
        <f>(G298-G297)/G298</f>
        <v>#DIV/0!</v>
      </c>
      <c r="H299" s="19" t="e">
        <f t="shared" ref="H299:S299" si="239">(H298-H297)/H298</f>
        <v>#DIV/0!</v>
      </c>
      <c r="I299" s="19" t="e">
        <f t="shared" si="239"/>
        <v>#DIV/0!</v>
      </c>
      <c r="J299" s="19" t="e">
        <f t="shared" si="239"/>
        <v>#DIV/0!</v>
      </c>
      <c r="K299" s="19" t="e">
        <f t="shared" si="239"/>
        <v>#DIV/0!</v>
      </c>
      <c r="L299" s="19" t="e">
        <f t="shared" si="239"/>
        <v>#DIV/0!</v>
      </c>
      <c r="M299" s="19" t="e">
        <f t="shared" si="239"/>
        <v>#DIV/0!</v>
      </c>
      <c r="N299" s="19" t="e">
        <f t="shared" si="239"/>
        <v>#DIV/0!</v>
      </c>
      <c r="O299" s="19" t="e">
        <f t="shared" si="239"/>
        <v>#DIV/0!</v>
      </c>
      <c r="P299" s="19" t="e">
        <f t="shared" si="239"/>
        <v>#DIV/0!</v>
      </c>
      <c r="Q299" s="19" t="e">
        <f t="shared" si="239"/>
        <v>#DIV/0!</v>
      </c>
      <c r="R299" s="25" t="e">
        <f t="shared" si="239"/>
        <v>#DIV/0!</v>
      </c>
      <c r="S299" s="21" t="e">
        <f t="shared" si="239"/>
        <v>#DIV/0!</v>
      </c>
      <c r="T299" s="22" t="e">
        <f t="shared" ref="T299" si="240">T298/T297</f>
        <v>#DIV/0!</v>
      </c>
    </row>
    <row r="300" spans="1:20" x14ac:dyDescent="0.3">
      <c r="A300" s="104">
        <v>28</v>
      </c>
      <c r="B300" s="107" t="s">
        <v>97</v>
      </c>
      <c r="C300" s="110" t="s">
        <v>98</v>
      </c>
      <c r="D300" s="110" t="s">
        <v>23</v>
      </c>
      <c r="E300" s="114" t="s">
        <v>38</v>
      </c>
      <c r="F300" s="11" t="s">
        <v>25</v>
      </c>
      <c r="G300" s="23">
        <v>516942.57999999996</v>
      </c>
      <c r="H300" s="23">
        <v>467912.52</v>
      </c>
      <c r="I300" s="23">
        <v>444925.90700000001</v>
      </c>
      <c r="J300" s="23">
        <v>462223.82999999996</v>
      </c>
      <c r="K300" s="9">
        <v>504697.94</v>
      </c>
      <c r="L300" s="9">
        <v>423559.69</v>
      </c>
      <c r="M300" s="9">
        <v>529461.91999999993</v>
      </c>
      <c r="N300" s="9">
        <v>560405.89500000002</v>
      </c>
      <c r="O300" s="9">
        <v>582282.59317999997</v>
      </c>
      <c r="P300" s="23">
        <v>612069.7300000001</v>
      </c>
      <c r="Q300" s="23">
        <v>648503.0895</v>
      </c>
      <c r="R300" s="24">
        <v>581950</v>
      </c>
      <c r="S300" s="11">
        <f>SUMIF($G$4:$R$4,"&gt;=0",G300:R300)</f>
        <v>2820262.4669999997</v>
      </c>
      <c r="T300" s="10">
        <f>SUM(G300:R300)</f>
        <v>6334935.6946799997</v>
      </c>
    </row>
    <row r="301" spans="1:20" x14ac:dyDescent="0.3">
      <c r="A301" s="105"/>
      <c r="B301" s="108"/>
      <c r="C301" s="111"/>
      <c r="D301" s="111"/>
      <c r="E301" s="115"/>
      <c r="F301" s="12" t="s">
        <v>26</v>
      </c>
      <c r="G301" s="14">
        <v>631783.91999999993</v>
      </c>
      <c r="H301" s="14">
        <v>510061.25000000006</v>
      </c>
      <c r="I301" s="14">
        <v>541570.16</v>
      </c>
      <c r="J301" s="14">
        <v>574852.05000000005</v>
      </c>
      <c r="K301" s="13">
        <v>530594.37</v>
      </c>
      <c r="L301" s="13">
        <v>525953.73000000021</v>
      </c>
      <c r="M301" s="13"/>
      <c r="N301" s="13"/>
      <c r="O301" s="13"/>
      <c r="P301" s="14"/>
      <c r="Q301" s="14"/>
      <c r="R301" s="30"/>
      <c r="S301" s="16">
        <f>SUMIF($G$4:$R$4,"&gt;=0",G301:R301)</f>
        <v>3314815.4800000004</v>
      </c>
      <c r="T301" s="17">
        <f t="shared" ref="T301" si="241">SUM(G301:R301)</f>
        <v>3314815.4800000004</v>
      </c>
    </row>
    <row r="302" spans="1:20" ht="15" thickBot="1" x14ac:dyDescent="0.35">
      <c r="A302" s="105"/>
      <c r="B302" s="108"/>
      <c r="C302" s="111"/>
      <c r="D302" s="111"/>
      <c r="E302" s="115"/>
      <c r="F302" s="18" t="s">
        <v>27</v>
      </c>
      <c r="G302" s="19">
        <f>G301/G300</f>
        <v>1.2221549248274344</v>
      </c>
      <c r="H302" s="19">
        <f t="shared" ref="H302:T302" si="242">H301/H300</f>
        <v>1.0900782265881666</v>
      </c>
      <c r="I302" s="19">
        <f t="shared" si="242"/>
        <v>1.217214263048072</v>
      </c>
      <c r="J302" s="19">
        <f t="shared" si="242"/>
        <v>1.2436659745560936</v>
      </c>
      <c r="K302" s="19">
        <f t="shared" si="242"/>
        <v>1.0513107503470294</v>
      </c>
      <c r="L302" s="19">
        <f t="shared" si="242"/>
        <v>1.2417464230366213</v>
      </c>
      <c r="M302" s="19">
        <f t="shared" si="242"/>
        <v>0</v>
      </c>
      <c r="N302" s="19">
        <f t="shared" si="242"/>
        <v>0</v>
      </c>
      <c r="O302" s="19">
        <f t="shared" si="242"/>
        <v>0</v>
      </c>
      <c r="P302" s="19">
        <f t="shared" si="242"/>
        <v>0</v>
      </c>
      <c r="Q302" s="19">
        <f t="shared" si="242"/>
        <v>0</v>
      </c>
      <c r="R302" s="25">
        <f t="shared" si="242"/>
        <v>0</v>
      </c>
      <c r="S302" s="21">
        <f t="shared" si="242"/>
        <v>1.1753570877841282</v>
      </c>
      <c r="T302" s="22">
        <f t="shared" si="242"/>
        <v>0.52325953091895494</v>
      </c>
    </row>
    <row r="303" spans="1:20" x14ac:dyDescent="0.3">
      <c r="A303" s="105"/>
      <c r="B303" s="108"/>
      <c r="C303" s="111"/>
      <c r="D303" s="111"/>
      <c r="E303" s="115"/>
      <c r="F303" s="11" t="s">
        <v>28</v>
      </c>
      <c r="G303" s="23">
        <v>501886</v>
      </c>
      <c r="H303" s="23">
        <v>454284</v>
      </c>
      <c r="I303" s="23">
        <v>431966.9</v>
      </c>
      <c r="J303" s="23">
        <v>448761</v>
      </c>
      <c r="K303" s="9">
        <v>489998</v>
      </c>
      <c r="L303" s="9">
        <v>411223</v>
      </c>
      <c r="M303" s="9">
        <v>509098</v>
      </c>
      <c r="N303" s="9">
        <v>533713.05000000005</v>
      </c>
      <c r="O303" s="9">
        <v>577442.91999999946</v>
      </c>
      <c r="P303" s="23">
        <v>611692.20000000007</v>
      </c>
      <c r="Q303" s="23">
        <v>629614.64999999991</v>
      </c>
      <c r="R303" s="24">
        <v>632804.85</v>
      </c>
      <c r="S303" s="11">
        <f>SUMIF($G$4:$R$4,"&gt;=0",G303:R303)</f>
        <v>2738118.9</v>
      </c>
      <c r="T303" s="10">
        <f>SUM(G303:R303)</f>
        <v>6232484.5699999984</v>
      </c>
    </row>
    <row r="304" spans="1:20" ht="15" thickBot="1" x14ac:dyDescent="0.35">
      <c r="A304" s="105"/>
      <c r="B304" s="108"/>
      <c r="C304" s="111"/>
      <c r="D304" s="111"/>
      <c r="E304" s="115"/>
      <c r="F304" s="18" t="s">
        <v>29</v>
      </c>
      <c r="G304" s="19">
        <f>(G301-G303)/G301</f>
        <v>0.20560497962657856</v>
      </c>
      <c r="H304" s="19">
        <f t="shared" ref="H304:S304" si="243">(H301-H303)/H301</f>
        <v>0.10935402365892341</v>
      </c>
      <c r="I304" s="19">
        <f t="shared" si="243"/>
        <v>0.2023805373619551</v>
      </c>
      <c r="J304" s="19">
        <f t="shared" si="243"/>
        <v>0.21934522108775648</v>
      </c>
      <c r="K304" s="19">
        <f t="shared" si="243"/>
        <v>7.6511120915210604E-2</v>
      </c>
      <c r="L304" s="19">
        <f t="shared" si="243"/>
        <v>0.2181384472736797</v>
      </c>
      <c r="M304" s="19" t="e">
        <f t="shared" si="243"/>
        <v>#DIV/0!</v>
      </c>
      <c r="N304" s="19" t="e">
        <f t="shared" si="243"/>
        <v>#DIV/0!</v>
      </c>
      <c r="O304" s="19" t="e">
        <f t="shared" si="243"/>
        <v>#DIV/0!</v>
      </c>
      <c r="P304" s="19" t="e">
        <f t="shared" si="243"/>
        <v>#DIV/0!</v>
      </c>
      <c r="Q304" s="19" t="e">
        <f t="shared" si="243"/>
        <v>#DIV/0!</v>
      </c>
      <c r="R304" s="25" t="e">
        <f t="shared" si="243"/>
        <v>#DIV/0!</v>
      </c>
      <c r="S304" s="21">
        <f t="shared" si="243"/>
        <v>0.17397546966928018</v>
      </c>
      <c r="T304" s="22">
        <f t="shared" ref="T304" si="244">T301/T303</f>
        <v>0.53186100066028741</v>
      </c>
    </row>
    <row r="305" spans="1:20" x14ac:dyDescent="0.3">
      <c r="A305" s="105"/>
      <c r="B305" s="108"/>
      <c r="C305" s="111"/>
      <c r="D305" s="111"/>
      <c r="E305" s="115"/>
      <c r="F305" s="26" t="s">
        <v>30</v>
      </c>
      <c r="G305" s="23">
        <v>1285480.7678999999</v>
      </c>
      <c r="H305" s="23">
        <v>1042852.6798</v>
      </c>
      <c r="I305" s="23">
        <v>1113938.8046000004</v>
      </c>
      <c r="J305" s="23"/>
      <c r="K305" s="9"/>
      <c r="L305" s="9"/>
      <c r="M305" s="9"/>
      <c r="N305" s="9"/>
      <c r="O305" s="9"/>
      <c r="P305" s="23"/>
      <c r="Q305" s="23"/>
      <c r="R305" s="24"/>
      <c r="S305" s="11">
        <f>SUMIF($G$4:$R$4,"&gt;=0",G305:R305)</f>
        <v>3442272.2523000003</v>
      </c>
      <c r="T305" s="10">
        <f>SUM(G305:R305)</f>
        <v>3442272.2523000003</v>
      </c>
    </row>
    <row r="306" spans="1:20" x14ac:dyDescent="0.3">
      <c r="A306" s="105"/>
      <c r="B306" s="108"/>
      <c r="C306" s="111"/>
      <c r="D306" s="111"/>
      <c r="E306" s="115"/>
      <c r="F306" s="29" t="s">
        <v>31</v>
      </c>
      <c r="G306" s="14"/>
      <c r="H306" s="14"/>
      <c r="I306" s="14"/>
      <c r="J306" s="14"/>
      <c r="K306" s="13"/>
      <c r="L306" s="13"/>
      <c r="M306" s="13"/>
      <c r="N306" s="13"/>
      <c r="O306" s="13"/>
      <c r="P306" s="14"/>
      <c r="Q306" s="14"/>
      <c r="R306" s="30"/>
      <c r="S306" s="16">
        <f>SUMIF($G$4:$R$4,"&gt;=0",G306:R306)</f>
        <v>0</v>
      </c>
      <c r="T306" s="17">
        <f t="shared" ref="T306" si="245">SUM(G306:R306)</f>
        <v>0</v>
      </c>
    </row>
    <row r="307" spans="1:20" ht="15" thickBot="1" x14ac:dyDescent="0.35">
      <c r="A307" s="105"/>
      <c r="B307" s="108"/>
      <c r="C307" s="111"/>
      <c r="D307" s="111"/>
      <c r="E307" s="115"/>
      <c r="F307" s="18" t="s">
        <v>32</v>
      </c>
      <c r="G307" s="19">
        <f>(G305-G306)/G305</f>
        <v>1</v>
      </c>
      <c r="H307" s="19">
        <f t="shared" ref="H307:S307" si="246">(H305-H306)/H305</f>
        <v>1</v>
      </c>
      <c r="I307" s="19">
        <f t="shared" si="246"/>
        <v>1</v>
      </c>
      <c r="J307" s="19" t="e">
        <f t="shared" si="246"/>
        <v>#DIV/0!</v>
      </c>
      <c r="K307" s="19" t="e">
        <f t="shared" si="246"/>
        <v>#DIV/0!</v>
      </c>
      <c r="L307" s="19" t="e">
        <f t="shared" si="246"/>
        <v>#DIV/0!</v>
      </c>
      <c r="M307" s="19" t="e">
        <f t="shared" si="246"/>
        <v>#DIV/0!</v>
      </c>
      <c r="N307" s="19" t="e">
        <f t="shared" si="246"/>
        <v>#DIV/0!</v>
      </c>
      <c r="O307" s="19" t="e">
        <f t="shared" si="246"/>
        <v>#DIV/0!</v>
      </c>
      <c r="P307" s="19" t="e">
        <f t="shared" si="246"/>
        <v>#DIV/0!</v>
      </c>
      <c r="Q307" s="19" t="e">
        <f t="shared" si="246"/>
        <v>#DIV/0!</v>
      </c>
      <c r="R307" s="25" t="e">
        <f t="shared" si="246"/>
        <v>#DIV/0!</v>
      </c>
      <c r="S307" s="21">
        <f t="shared" si="246"/>
        <v>1</v>
      </c>
      <c r="T307" s="22" t="e">
        <f t="shared" ref="T307" si="247">T305/T306</f>
        <v>#DIV/0!</v>
      </c>
    </row>
    <row r="308" spans="1:20" x14ac:dyDescent="0.3">
      <c r="A308" s="105"/>
      <c r="B308" s="108"/>
      <c r="C308" s="111"/>
      <c r="D308" s="111"/>
      <c r="E308" s="115"/>
      <c r="F308" s="31" t="s">
        <v>33</v>
      </c>
      <c r="G308" s="23"/>
      <c r="H308" s="23"/>
      <c r="I308" s="23"/>
      <c r="J308" s="23"/>
      <c r="K308" s="9"/>
      <c r="L308" s="9"/>
      <c r="M308" s="9"/>
      <c r="N308" s="9"/>
      <c r="O308" s="9"/>
      <c r="P308" s="23"/>
      <c r="Q308" s="23"/>
      <c r="R308" s="24"/>
      <c r="S308" s="11">
        <f>SUMIF($G$4:$R$4,"&gt;=0",G308:R308)</f>
        <v>0</v>
      </c>
      <c r="T308" s="10">
        <f>SUM(G308:R308)</f>
        <v>0</v>
      </c>
    </row>
    <row r="309" spans="1:20" x14ac:dyDescent="0.3">
      <c r="A309" s="105"/>
      <c r="B309" s="108"/>
      <c r="C309" s="111"/>
      <c r="D309" s="111"/>
      <c r="E309" s="115"/>
      <c r="F309" s="32" t="s">
        <v>34</v>
      </c>
      <c r="G309" s="14"/>
      <c r="H309" s="14"/>
      <c r="I309" s="14"/>
      <c r="J309" s="14"/>
      <c r="K309" s="13"/>
      <c r="L309" s="13"/>
      <c r="M309" s="13"/>
      <c r="N309" s="13"/>
      <c r="O309" s="13"/>
      <c r="P309" s="14"/>
      <c r="Q309" s="14"/>
      <c r="R309" s="30"/>
      <c r="S309" s="16">
        <f>SUMIF($G$4:$R$4,"&gt;=0",G309:R309)</f>
        <v>0</v>
      </c>
      <c r="T309" s="17">
        <f>SUM(G309:R309)</f>
        <v>0</v>
      </c>
    </row>
    <row r="310" spans="1:20" ht="15" thickBot="1" x14ac:dyDescent="0.35">
      <c r="A310" s="117"/>
      <c r="B310" s="109"/>
      <c r="C310" s="112"/>
      <c r="D310" s="113"/>
      <c r="E310" s="116"/>
      <c r="F310" s="21" t="s">
        <v>35</v>
      </c>
      <c r="G310" s="19" t="e">
        <f>(G309-G308)/G309</f>
        <v>#DIV/0!</v>
      </c>
      <c r="H310" s="19" t="e">
        <f t="shared" ref="H310:S310" si="248">(H309-H308)/H309</f>
        <v>#DIV/0!</v>
      </c>
      <c r="I310" s="19" t="e">
        <f t="shared" si="248"/>
        <v>#DIV/0!</v>
      </c>
      <c r="J310" s="19" t="e">
        <f t="shared" si="248"/>
        <v>#DIV/0!</v>
      </c>
      <c r="K310" s="19" t="e">
        <f t="shared" si="248"/>
        <v>#DIV/0!</v>
      </c>
      <c r="L310" s="19" t="e">
        <f t="shared" si="248"/>
        <v>#DIV/0!</v>
      </c>
      <c r="M310" s="19" t="e">
        <f t="shared" si="248"/>
        <v>#DIV/0!</v>
      </c>
      <c r="N310" s="19" t="e">
        <f t="shared" si="248"/>
        <v>#DIV/0!</v>
      </c>
      <c r="O310" s="19" t="e">
        <f t="shared" si="248"/>
        <v>#DIV/0!</v>
      </c>
      <c r="P310" s="19" t="e">
        <f t="shared" si="248"/>
        <v>#DIV/0!</v>
      </c>
      <c r="Q310" s="19" t="e">
        <f t="shared" si="248"/>
        <v>#DIV/0!</v>
      </c>
      <c r="R310" s="25" t="e">
        <f t="shared" si="248"/>
        <v>#DIV/0!</v>
      </c>
      <c r="S310" s="21" t="e">
        <f t="shared" si="248"/>
        <v>#DIV/0!</v>
      </c>
      <c r="T310" s="22" t="e">
        <f t="shared" ref="T310" si="249">T309/T308</f>
        <v>#DIV/0!</v>
      </c>
    </row>
    <row r="311" spans="1:20" x14ac:dyDescent="0.3">
      <c r="A311" s="104">
        <v>29</v>
      </c>
      <c r="B311" s="107" t="s">
        <v>100</v>
      </c>
      <c r="C311" s="110" t="s">
        <v>101</v>
      </c>
      <c r="D311" s="110" t="s">
        <v>37</v>
      </c>
      <c r="E311" s="114" t="s">
        <v>38</v>
      </c>
      <c r="F311" s="11" t="s">
        <v>25</v>
      </c>
      <c r="G311" s="23">
        <v>321900</v>
      </c>
      <c r="H311" s="23">
        <v>325119</v>
      </c>
      <c r="I311" s="23">
        <v>329995.78500000003</v>
      </c>
      <c r="J311" s="23">
        <v>333295.74285000004</v>
      </c>
      <c r="K311" s="9">
        <v>338295.17899275001</v>
      </c>
      <c r="L311" s="9">
        <v>341678.1307826775</v>
      </c>
      <c r="M311" s="9">
        <v>345094.91209050431</v>
      </c>
      <c r="N311" s="9">
        <v>348545.86121140933</v>
      </c>
      <c r="O311" s="9">
        <v>352031.31982352346</v>
      </c>
      <c r="P311" s="23">
        <v>355551.63302175869</v>
      </c>
      <c r="Q311" s="23">
        <v>359107.14935197623</v>
      </c>
      <c r="R311" s="24">
        <v>362698.22084549605</v>
      </c>
      <c r="S311" s="11">
        <f>SUMIF($G$4:$R$4,"&gt;=0",G311:R311)</f>
        <v>1990283.8376254279</v>
      </c>
      <c r="T311" s="10">
        <f>SUM(G311:R311)</f>
        <v>4113312.9339700965</v>
      </c>
    </row>
    <row r="312" spans="1:20" x14ac:dyDescent="0.3">
      <c r="A312" s="105"/>
      <c r="B312" s="108"/>
      <c r="C312" s="111"/>
      <c r="D312" s="111"/>
      <c r="E312" s="115"/>
      <c r="F312" s="12" t="s">
        <v>26</v>
      </c>
      <c r="G312" s="14">
        <v>527508.16</v>
      </c>
      <c r="H312" s="14">
        <v>389901.79</v>
      </c>
      <c r="I312" s="14">
        <v>407839.51</v>
      </c>
      <c r="J312" s="14">
        <v>407202.85000000009</v>
      </c>
      <c r="K312" s="13">
        <v>453427.67999999988</v>
      </c>
      <c r="L312" s="13">
        <v>460750.92000000004</v>
      </c>
      <c r="M312" s="13"/>
      <c r="N312" s="13"/>
      <c r="O312" s="13"/>
      <c r="P312" s="14"/>
      <c r="Q312" s="14"/>
      <c r="R312" s="30"/>
      <c r="S312" s="16">
        <f>SUMIF($G$4:$R$4,"&gt;=0",G312:R312)</f>
        <v>2646630.9099999997</v>
      </c>
      <c r="T312" s="17">
        <f t="shared" ref="T312" si="250">SUM(G312:R312)</f>
        <v>2646630.9099999997</v>
      </c>
    </row>
    <row r="313" spans="1:20" ht="15" thickBot="1" x14ac:dyDescent="0.35">
      <c r="A313" s="105"/>
      <c r="B313" s="108"/>
      <c r="C313" s="111"/>
      <c r="D313" s="111"/>
      <c r="E313" s="115"/>
      <c r="F313" s="18" t="s">
        <v>27</v>
      </c>
      <c r="G313" s="19">
        <f>G312/G311</f>
        <v>1.6387330226778503</v>
      </c>
      <c r="H313" s="19">
        <f t="shared" ref="H313:T313" si="251">H312/H311</f>
        <v>1.1992587021982719</v>
      </c>
      <c r="I313" s="19">
        <f t="shared" si="251"/>
        <v>1.2358930887556638</v>
      </c>
      <c r="J313" s="19">
        <f t="shared" si="251"/>
        <v>1.2217463281049528</v>
      </c>
      <c r="K313" s="19">
        <f t="shared" si="251"/>
        <v>1.3403314861005373</v>
      </c>
      <c r="L313" s="19">
        <f t="shared" si="251"/>
        <v>1.3484940313404434</v>
      </c>
      <c r="M313" s="19">
        <f t="shared" si="251"/>
        <v>0</v>
      </c>
      <c r="N313" s="19">
        <f t="shared" si="251"/>
        <v>0</v>
      </c>
      <c r="O313" s="19">
        <f t="shared" si="251"/>
        <v>0</v>
      </c>
      <c r="P313" s="19">
        <f t="shared" si="251"/>
        <v>0</v>
      </c>
      <c r="Q313" s="19">
        <f t="shared" si="251"/>
        <v>0</v>
      </c>
      <c r="R313" s="25">
        <f t="shared" si="251"/>
        <v>0</v>
      </c>
      <c r="S313" s="21">
        <f t="shared" si="251"/>
        <v>1.3297756128882843</v>
      </c>
      <c r="T313" s="22">
        <f t="shared" si="251"/>
        <v>0.64343047866419412</v>
      </c>
    </row>
    <row r="314" spans="1:20" x14ac:dyDescent="0.3">
      <c r="A314" s="105"/>
      <c r="B314" s="108"/>
      <c r="C314" s="111"/>
      <c r="D314" s="111"/>
      <c r="E314" s="115"/>
      <c r="F314" s="11" t="s">
        <v>28</v>
      </c>
      <c r="G314" s="23">
        <v>0</v>
      </c>
      <c r="H314" s="23">
        <v>0</v>
      </c>
      <c r="I314" s="23">
        <v>0</v>
      </c>
      <c r="J314" s="23"/>
      <c r="K314" s="9"/>
      <c r="L314" s="9"/>
      <c r="M314" s="9"/>
      <c r="N314" s="9"/>
      <c r="O314" s="9"/>
      <c r="P314" s="23">
        <v>276199.75999999995</v>
      </c>
      <c r="Q314" s="23">
        <v>424320.53</v>
      </c>
      <c r="R314" s="24">
        <v>501869.71999999991</v>
      </c>
      <c r="S314" s="11">
        <f>SUMIF($G$4:$R$4,"&gt;=0",G314:R314)</f>
        <v>0</v>
      </c>
      <c r="T314" s="10">
        <f>SUM(G314:R314)</f>
        <v>1202390.01</v>
      </c>
    </row>
    <row r="315" spans="1:20" ht="15" thickBot="1" x14ac:dyDescent="0.35">
      <c r="A315" s="105"/>
      <c r="B315" s="108"/>
      <c r="C315" s="111"/>
      <c r="D315" s="111"/>
      <c r="E315" s="115"/>
      <c r="F315" s="18" t="s">
        <v>29</v>
      </c>
      <c r="G315" s="19">
        <f>(G312-G314)/G312</f>
        <v>1</v>
      </c>
      <c r="H315" s="19">
        <f t="shared" ref="H315:S315" si="252">(H312-H314)/H312</f>
        <v>1</v>
      </c>
      <c r="I315" s="19">
        <f t="shared" si="252"/>
        <v>1</v>
      </c>
      <c r="J315" s="19">
        <f t="shared" si="252"/>
        <v>1</v>
      </c>
      <c r="K315" s="19">
        <f t="shared" si="252"/>
        <v>1</v>
      </c>
      <c r="L315" s="19">
        <f t="shared" si="252"/>
        <v>1</v>
      </c>
      <c r="M315" s="19" t="e">
        <f t="shared" si="252"/>
        <v>#DIV/0!</v>
      </c>
      <c r="N315" s="19" t="e">
        <f t="shared" si="252"/>
        <v>#DIV/0!</v>
      </c>
      <c r="O315" s="19" t="e">
        <f t="shared" si="252"/>
        <v>#DIV/0!</v>
      </c>
      <c r="P315" s="19" t="e">
        <f t="shared" si="252"/>
        <v>#DIV/0!</v>
      </c>
      <c r="Q315" s="19" t="e">
        <f t="shared" si="252"/>
        <v>#DIV/0!</v>
      </c>
      <c r="R315" s="25" t="e">
        <f t="shared" si="252"/>
        <v>#DIV/0!</v>
      </c>
      <c r="S315" s="21">
        <f t="shared" si="252"/>
        <v>1</v>
      </c>
      <c r="T315" s="22">
        <f t="shared" ref="T315" si="253">T312/T314</f>
        <v>2.201141799240331</v>
      </c>
    </row>
    <row r="316" spans="1:20" x14ac:dyDescent="0.3">
      <c r="A316" s="105"/>
      <c r="B316" s="108"/>
      <c r="C316" s="111"/>
      <c r="D316" s="111"/>
      <c r="E316" s="115"/>
      <c r="F316" s="26" t="s">
        <v>30</v>
      </c>
      <c r="G316" s="23">
        <v>1101180.4792999998</v>
      </c>
      <c r="H316" s="23">
        <v>837195.75239999988</v>
      </c>
      <c r="I316" s="23">
        <v>890806.17330000014</v>
      </c>
      <c r="J316" s="23"/>
      <c r="K316" s="9"/>
      <c r="L316" s="9"/>
      <c r="M316" s="9"/>
      <c r="N316" s="9"/>
      <c r="O316" s="9"/>
      <c r="P316" s="23"/>
      <c r="Q316" s="23"/>
      <c r="R316" s="24"/>
      <c r="S316" s="11">
        <f>SUMIF($G$4:$R$4,"&gt;=0",G316:R316)</f>
        <v>2829182.4049999998</v>
      </c>
      <c r="T316" s="10">
        <f>SUM(G316:R316)</f>
        <v>2829182.4049999998</v>
      </c>
    </row>
    <row r="317" spans="1:20" x14ac:dyDescent="0.3">
      <c r="A317" s="105"/>
      <c r="B317" s="108"/>
      <c r="C317" s="111"/>
      <c r="D317" s="111"/>
      <c r="E317" s="115"/>
      <c r="F317" s="29" t="s">
        <v>31</v>
      </c>
      <c r="G317" s="14"/>
      <c r="H317" s="14"/>
      <c r="I317" s="14"/>
      <c r="J317" s="14"/>
      <c r="K317" s="13"/>
      <c r="L317" s="13"/>
      <c r="M317" s="13"/>
      <c r="N317" s="13"/>
      <c r="O317" s="13"/>
      <c r="P317" s="14"/>
      <c r="Q317" s="14"/>
      <c r="R317" s="30"/>
      <c r="S317" s="16">
        <f>SUMIF($G$4:$R$4,"&gt;=0",G317:R317)</f>
        <v>0</v>
      </c>
      <c r="T317" s="17">
        <f t="shared" ref="T317" si="254">SUM(G317:R317)</f>
        <v>0</v>
      </c>
    </row>
    <row r="318" spans="1:20" ht="15" thickBot="1" x14ac:dyDescent="0.35">
      <c r="A318" s="105"/>
      <c r="B318" s="108"/>
      <c r="C318" s="111"/>
      <c r="D318" s="111"/>
      <c r="E318" s="115"/>
      <c r="F318" s="18" t="s">
        <v>32</v>
      </c>
      <c r="G318" s="19">
        <f>(G316-G317)/G316</f>
        <v>1</v>
      </c>
      <c r="H318" s="19">
        <f t="shared" ref="H318:S318" si="255">(H316-H317)/H316</f>
        <v>1</v>
      </c>
      <c r="I318" s="19">
        <f t="shared" si="255"/>
        <v>1</v>
      </c>
      <c r="J318" s="19" t="e">
        <f t="shared" si="255"/>
        <v>#DIV/0!</v>
      </c>
      <c r="K318" s="19" t="e">
        <f t="shared" si="255"/>
        <v>#DIV/0!</v>
      </c>
      <c r="L318" s="19" t="e">
        <f t="shared" si="255"/>
        <v>#DIV/0!</v>
      </c>
      <c r="M318" s="19" t="e">
        <f t="shared" si="255"/>
        <v>#DIV/0!</v>
      </c>
      <c r="N318" s="19" t="e">
        <f t="shared" si="255"/>
        <v>#DIV/0!</v>
      </c>
      <c r="O318" s="19" t="e">
        <f t="shared" si="255"/>
        <v>#DIV/0!</v>
      </c>
      <c r="P318" s="19" t="e">
        <f t="shared" si="255"/>
        <v>#DIV/0!</v>
      </c>
      <c r="Q318" s="19" t="e">
        <f t="shared" si="255"/>
        <v>#DIV/0!</v>
      </c>
      <c r="R318" s="25" t="e">
        <f t="shared" si="255"/>
        <v>#DIV/0!</v>
      </c>
      <c r="S318" s="21">
        <f t="shared" si="255"/>
        <v>1</v>
      </c>
      <c r="T318" s="22" t="e">
        <f t="shared" ref="T318" si="256">T316/T317</f>
        <v>#DIV/0!</v>
      </c>
    </row>
    <row r="319" spans="1:20" x14ac:dyDescent="0.3">
      <c r="A319" s="105"/>
      <c r="B319" s="108"/>
      <c r="C319" s="111"/>
      <c r="D319" s="111"/>
      <c r="E319" s="115"/>
      <c r="F319" s="31" t="s">
        <v>33</v>
      </c>
      <c r="G319" s="23"/>
      <c r="H319" s="23"/>
      <c r="I319" s="23"/>
      <c r="J319" s="23"/>
      <c r="K319" s="9"/>
      <c r="L319" s="9"/>
      <c r="M319" s="9"/>
      <c r="N319" s="9"/>
      <c r="O319" s="9"/>
      <c r="P319" s="23"/>
      <c r="Q319" s="23"/>
      <c r="R319" s="24"/>
      <c r="S319" s="11">
        <f>SUMIF($G$4:$R$4,"&gt;=0",G319:R319)</f>
        <v>0</v>
      </c>
      <c r="T319" s="10">
        <f>SUM(G319:R319)</f>
        <v>0</v>
      </c>
    </row>
    <row r="320" spans="1:20" x14ac:dyDescent="0.3">
      <c r="A320" s="105"/>
      <c r="B320" s="108"/>
      <c r="C320" s="111"/>
      <c r="D320" s="111"/>
      <c r="E320" s="115"/>
      <c r="F320" s="32" t="s">
        <v>34</v>
      </c>
      <c r="G320" s="14"/>
      <c r="H320" s="14"/>
      <c r="I320" s="14"/>
      <c r="J320" s="14"/>
      <c r="K320" s="13"/>
      <c r="L320" s="13"/>
      <c r="M320" s="13"/>
      <c r="N320" s="13"/>
      <c r="O320" s="13"/>
      <c r="P320" s="14"/>
      <c r="Q320" s="14"/>
      <c r="R320" s="30"/>
      <c r="S320" s="16">
        <f>SUMIF($G$4:$R$4,"&gt;=0",G320:R320)</f>
        <v>0</v>
      </c>
      <c r="T320" s="17">
        <f>SUM(G320:R320)</f>
        <v>0</v>
      </c>
    </row>
    <row r="321" spans="1:20" ht="15" thickBot="1" x14ac:dyDescent="0.35">
      <c r="A321" s="117"/>
      <c r="B321" s="109"/>
      <c r="C321" s="112"/>
      <c r="D321" s="113"/>
      <c r="E321" s="116"/>
      <c r="F321" s="21" t="s">
        <v>35</v>
      </c>
      <c r="G321" s="19" t="e">
        <f>(G320-G319)/G320</f>
        <v>#DIV/0!</v>
      </c>
      <c r="H321" s="19" t="e">
        <f t="shared" ref="H321:S321" si="257">(H320-H319)/H320</f>
        <v>#DIV/0!</v>
      </c>
      <c r="I321" s="19" t="e">
        <f t="shared" si="257"/>
        <v>#DIV/0!</v>
      </c>
      <c r="J321" s="19" t="e">
        <f t="shared" si="257"/>
        <v>#DIV/0!</v>
      </c>
      <c r="K321" s="19" t="e">
        <f t="shared" si="257"/>
        <v>#DIV/0!</v>
      </c>
      <c r="L321" s="19" t="e">
        <f t="shared" si="257"/>
        <v>#DIV/0!</v>
      </c>
      <c r="M321" s="19" t="e">
        <f t="shared" si="257"/>
        <v>#DIV/0!</v>
      </c>
      <c r="N321" s="19" t="e">
        <f t="shared" si="257"/>
        <v>#DIV/0!</v>
      </c>
      <c r="O321" s="19" t="e">
        <f t="shared" si="257"/>
        <v>#DIV/0!</v>
      </c>
      <c r="P321" s="19" t="e">
        <f t="shared" si="257"/>
        <v>#DIV/0!</v>
      </c>
      <c r="Q321" s="19" t="e">
        <f t="shared" si="257"/>
        <v>#DIV/0!</v>
      </c>
      <c r="R321" s="25" t="e">
        <f t="shared" si="257"/>
        <v>#DIV/0!</v>
      </c>
      <c r="S321" s="21" t="e">
        <f t="shared" si="257"/>
        <v>#DIV/0!</v>
      </c>
      <c r="T321" s="22" t="e">
        <f t="shared" ref="T321" si="258">T320/T319</f>
        <v>#DIV/0!</v>
      </c>
    </row>
    <row r="322" spans="1:20" x14ac:dyDescent="0.3">
      <c r="A322" s="104">
        <v>30</v>
      </c>
      <c r="B322" s="107" t="s">
        <v>102</v>
      </c>
      <c r="C322" s="110" t="s">
        <v>36</v>
      </c>
      <c r="D322" s="110" t="s">
        <v>37</v>
      </c>
      <c r="E322" s="114" t="s">
        <v>38</v>
      </c>
      <c r="F322" s="11" t="s">
        <v>25</v>
      </c>
      <c r="G322" s="23">
        <v>570000</v>
      </c>
      <c r="H322" s="23">
        <v>578550</v>
      </c>
      <c r="I322" s="23">
        <v>587228.25</v>
      </c>
      <c r="J322" s="23">
        <v>587228.25</v>
      </c>
      <c r="K322" s="9">
        <v>587228.25</v>
      </c>
      <c r="L322" s="9">
        <v>587228.25</v>
      </c>
      <c r="M322" s="9">
        <v>587228.25</v>
      </c>
      <c r="N322" s="9">
        <v>587228.25</v>
      </c>
      <c r="O322" s="9">
        <v>596036.67374999996</v>
      </c>
      <c r="P322" s="23">
        <v>601997.04048750002</v>
      </c>
      <c r="Q322" s="23">
        <v>608017.01089237502</v>
      </c>
      <c r="R322" s="24">
        <v>617137.26605576067</v>
      </c>
      <c r="S322" s="11">
        <f>SUMIF($G$4:$R$4,"&gt;=0",G322:R322)</f>
        <v>3497463</v>
      </c>
      <c r="T322" s="10">
        <f>SUM(G322:R322)</f>
        <v>7095107.4911856363</v>
      </c>
    </row>
    <row r="323" spans="1:20" x14ac:dyDescent="0.3">
      <c r="A323" s="105"/>
      <c r="B323" s="108"/>
      <c r="C323" s="111"/>
      <c r="D323" s="111"/>
      <c r="E323" s="115"/>
      <c r="F323" s="12" t="s">
        <v>26</v>
      </c>
      <c r="G323" s="14">
        <v>666048.20000000007</v>
      </c>
      <c r="H323" s="14">
        <v>538111.56000000006</v>
      </c>
      <c r="I323" s="14">
        <v>517367.48000000004</v>
      </c>
      <c r="J323" s="14">
        <v>714560.8</v>
      </c>
      <c r="K323" s="13">
        <v>717742.39</v>
      </c>
      <c r="L323" s="13">
        <v>625477.00000000023</v>
      </c>
      <c r="M323" s="13"/>
      <c r="N323" s="13"/>
      <c r="O323" s="13"/>
      <c r="P323" s="14"/>
      <c r="Q323" s="14"/>
      <c r="R323" s="30"/>
      <c r="S323" s="16">
        <f>SUMIF($G$4:$R$4,"&gt;=0",G323:R323)</f>
        <v>3779307.4300000006</v>
      </c>
      <c r="T323" s="17">
        <f t="shared" ref="T323" si="259">SUM(G323:R323)</f>
        <v>3779307.4300000006</v>
      </c>
    </row>
    <row r="324" spans="1:20" ht="15" thickBot="1" x14ac:dyDescent="0.35">
      <c r="A324" s="105"/>
      <c r="B324" s="108"/>
      <c r="C324" s="111"/>
      <c r="D324" s="111"/>
      <c r="E324" s="115"/>
      <c r="F324" s="18" t="s">
        <v>27</v>
      </c>
      <c r="G324" s="19">
        <f>G323/G322</f>
        <v>1.1685056140350878</v>
      </c>
      <c r="H324" s="19">
        <f t="shared" ref="H324:T324" si="260">H323/H322</f>
        <v>0.93010381125226871</v>
      </c>
      <c r="I324" s="19">
        <f t="shared" si="260"/>
        <v>0.88103302250870941</v>
      </c>
      <c r="J324" s="19">
        <f t="shared" si="260"/>
        <v>1.2168365537591219</v>
      </c>
      <c r="K324" s="19">
        <f t="shared" si="260"/>
        <v>1.2222545322027678</v>
      </c>
      <c r="L324" s="19">
        <f t="shared" si="260"/>
        <v>1.0651343834360834</v>
      </c>
      <c r="M324" s="19">
        <f t="shared" si="260"/>
        <v>0</v>
      </c>
      <c r="N324" s="19">
        <f t="shared" si="260"/>
        <v>0</v>
      </c>
      <c r="O324" s="19">
        <f t="shared" si="260"/>
        <v>0</v>
      </c>
      <c r="P324" s="19">
        <f t="shared" si="260"/>
        <v>0</v>
      </c>
      <c r="Q324" s="19">
        <f t="shared" si="260"/>
        <v>0</v>
      </c>
      <c r="R324" s="25">
        <f t="shared" si="260"/>
        <v>0</v>
      </c>
      <c r="S324" s="21">
        <f t="shared" si="260"/>
        <v>1.0805853928976521</v>
      </c>
      <c r="T324" s="22">
        <f t="shared" si="260"/>
        <v>0.53266387220984235</v>
      </c>
    </row>
    <row r="325" spans="1:20" x14ac:dyDescent="0.3">
      <c r="A325" s="105"/>
      <c r="B325" s="108"/>
      <c r="C325" s="111"/>
      <c r="D325" s="111"/>
      <c r="E325" s="115"/>
      <c r="F325" s="11" t="s">
        <v>28</v>
      </c>
      <c r="G325" s="23">
        <v>0</v>
      </c>
      <c r="H325" s="23">
        <v>0</v>
      </c>
      <c r="I325" s="23">
        <v>0</v>
      </c>
      <c r="J325" s="23"/>
      <c r="K325" s="9"/>
      <c r="L325" s="9"/>
      <c r="M325" s="9"/>
      <c r="N325" s="9"/>
      <c r="O325" s="9">
        <v>14993.35</v>
      </c>
      <c r="P325" s="23">
        <v>420764.20000000007</v>
      </c>
      <c r="Q325" s="23">
        <v>540335.50999999989</v>
      </c>
      <c r="R325" s="24">
        <v>661621.97</v>
      </c>
      <c r="S325" s="11">
        <f>SUMIF($G$4:$R$4,"&gt;=0",G325:R325)</f>
        <v>0</v>
      </c>
      <c r="T325" s="10">
        <f>SUM(G325:R325)</f>
        <v>1637715.0299999998</v>
      </c>
    </row>
    <row r="326" spans="1:20" ht="15" thickBot="1" x14ac:dyDescent="0.35">
      <c r="A326" s="105"/>
      <c r="B326" s="108"/>
      <c r="C326" s="111"/>
      <c r="D326" s="111"/>
      <c r="E326" s="115"/>
      <c r="F326" s="18" t="s">
        <v>29</v>
      </c>
      <c r="G326" s="19">
        <f>(G323-G325)/G323</f>
        <v>1</v>
      </c>
      <c r="H326" s="19">
        <f t="shared" ref="H326:S326" si="261">(H323-H325)/H323</f>
        <v>1</v>
      </c>
      <c r="I326" s="19">
        <f t="shared" si="261"/>
        <v>1</v>
      </c>
      <c r="J326" s="19">
        <f t="shared" si="261"/>
        <v>1</v>
      </c>
      <c r="K326" s="19">
        <f t="shared" si="261"/>
        <v>1</v>
      </c>
      <c r="L326" s="19">
        <f t="shared" si="261"/>
        <v>1</v>
      </c>
      <c r="M326" s="19" t="e">
        <f t="shared" si="261"/>
        <v>#DIV/0!</v>
      </c>
      <c r="N326" s="19" t="e">
        <f t="shared" si="261"/>
        <v>#DIV/0!</v>
      </c>
      <c r="O326" s="19" t="e">
        <f t="shared" si="261"/>
        <v>#DIV/0!</v>
      </c>
      <c r="P326" s="19" t="e">
        <f t="shared" si="261"/>
        <v>#DIV/0!</v>
      </c>
      <c r="Q326" s="19" t="e">
        <f t="shared" si="261"/>
        <v>#DIV/0!</v>
      </c>
      <c r="R326" s="25" t="e">
        <f t="shared" si="261"/>
        <v>#DIV/0!</v>
      </c>
      <c r="S326" s="21">
        <f t="shared" si="261"/>
        <v>1</v>
      </c>
      <c r="T326" s="22">
        <f t="shared" ref="T326" si="262">T323/T325</f>
        <v>2.3076709688620256</v>
      </c>
    </row>
    <row r="327" spans="1:20" x14ac:dyDescent="0.3">
      <c r="A327" s="105"/>
      <c r="B327" s="108"/>
      <c r="C327" s="111"/>
      <c r="D327" s="111"/>
      <c r="E327" s="115"/>
      <c r="F327" s="26" t="s">
        <v>30</v>
      </c>
      <c r="G327" s="23">
        <v>1497130.3248999997</v>
      </c>
      <c r="H327" s="23">
        <v>1207095.3156999999</v>
      </c>
      <c r="I327" s="23">
        <v>1163201.2278999998</v>
      </c>
      <c r="J327" s="23"/>
      <c r="K327" s="9"/>
      <c r="L327" s="9"/>
      <c r="M327" s="9"/>
      <c r="N327" s="9"/>
      <c r="O327" s="9"/>
      <c r="P327" s="23"/>
      <c r="Q327" s="23"/>
      <c r="R327" s="24"/>
      <c r="S327" s="11">
        <f>SUMIF($G$4:$R$4,"&gt;=0",G327:R327)</f>
        <v>3867426.8684999994</v>
      </c>
      <c r="T327" s="10">
        <f>SUM(G327:R327)</f>
        <v>3867426.8684999994</v>
      </c>
    </row>
    <row r="328" spans="1:20" x14ac:dyDescent="0.3">
      <c r="A328" s="105"/>
      <c r="B328" s="108"/>
      <c r="C328" s="111"/>
      <c r="D328" s="111"/>
      <c r="E328" s="115"/>
      <c r="F328" s="29" t="s">
        <v>31</v>
      </c>
      <c r="G328" s="14"/>
      <c r="H328" s="14"/>
      <c r="I328" s="14"/>
      <c r="J328" s="14"/>
      <c r="K328" s="13"/>
      <c r="L328" s="13"/>
      <c r="M328" s="13"/>
      <c r="N328" s="13"/>
      <c r="O328" s="13"/>
      <c r="P328" s="14"/>
      <c r="Q328" s="14"/>
      <c r="R328" s="30"/>
      <c r="S328" s="16">
        <f>SUMIF($G$4:$R$4,"&gt;=0",G328:R328)</f>
        <v>0</v>
      </c>
      <c r="T328" s="17">
        <f t="shared" ref="T328" si="263">SUM(G328:R328)</f>
        <v>0</v>
      </c>
    </row>
    <row r="329" spans="1:20" ht="15" thickBot="1" x14ac:dyDescent="0.35">
      <c r="A329" s="105"/>
      <c r="B329" s="108"/>
      <c r="C329" s="111"/>
      <c r="D329" s="111"/>
      <c r="E329" s="115"/>
      <c r="F329" s="18" t="s">
        <v>32</v>
      </c>
      <c r="G329" s="19">
        <f>(G327-G328)/G327</f>
        <v>1</v>
      </c>
      <c r="H329" s="19">
        <f t="shared" ref="H329:S329" si="264">(H327-H328)/H327</f>
        <v>1</v>
      </c>
      <c r="I329" s="19">
        <f t="shared" si="264"/>
        <v>1</v>
      </c>
      <c r="J329" s="19" t="e">
        <f t="shared" si="264"/>
        <v>#DIV/0!</v>
      </c>
      <c r="K329" s="19" t="e">
        <f t="shared" si="264"/>
        <v>#DIV/0!</v>
      </c>
      <c r="L329" s="19" t="e">
        <f t="shared" si="264"/>
        <v>#DIV/0!</v>
      </c>
      <c r="M329" s="19" t="e">
        <f t="shared" si="264"/>
        <v>#DIV/0!</v>
      </c>
      <c r="N329" s="19" t="e">
        <f t="shared" si="264"/>
        <v>#DIV/0!</v>
      </c>
      <c r="O329" s="19" t="e">
        <f t="shared" si="264"/>
        <v>#DIV/0!</v>
      </c>
      <c r="P329" s="19" t="e">
        <f t="shared" si="264"/>
        <v>#DIV/0!</v>
      </c>
      <c r="Q329" s="19" t="e">
        <f t="shared" si="264"/>
        <v>#DIV/0!</v>
      </c>
      <c r="R329" s="25" t="e">
        <f t="shared" si="264"/>
        <v>#DIV/0!</v>
      </c>
      <c r="S329" s="21">
        <f t="shared" si="264"/>
        <v>1</v>
      </c>
      <c r="T329" s="22" t="e">
        <f t="shared" ref="T329" si="265">T327/T328</f>
        <v>#DIV/0!</v>
      </c>
    </row>
    <row r="330" spans="1:20" x14ac:dyDescent="0.3">
      <c r="A330" s="105"/>
      <c r="B330" s="108"/>
      <c r="C330" s="111"/>
      <c r="D330" s="111"/>
      <c r="E330" s="115"/>
      <c r="F330" s="31" t="s">
        <v>33</v>
      </c>
      <c r="G330" s="23"/>
      <c r="H330" s="23"/>
      <c r="I330" s="23"/>
      <c r="J330" s="23"/>
      <c r="K330" s="9"/>
      <c r="L330" s="9"/>
      <c r="M330" s="9"/>
      <c r="N330" s="9"/>
      <c r="O330" s="9"/>
      <c r="P330" s="23"/>
      <c r="Q330" s="23"/>
      <c r="R330" s="24"/>
      <c r="S330" s="11">
        <f>SUMIF($G$4:$R$4,"&gt;=0",G330:R330)</f>
        <v>0</v>
      </c>
      <c r="T330" s="10">
        <f>SUM(G330:R330)</f>
        <v>0</v>
      </c>
    </row>
    <row r="331" spans="1:20" x14ac:dyDescent="0.3">
      <c r="A331" s="105"/>
      <c r="B331" s="108"/>
      <c r="C331" s="111"/>
      <c r="D331" s="111"/>
      <c r="E331" s="115"/>
      <c r="F331" s="32" t="s">
        <v>34</v>
      </c>
      <c r="G331" s="14"/>
      <c r="H331" s="14"/>
      <c r="I331" s="14"/>
      <c r="J331" s="14"/>
      <c r="K331" s="13"/>
      <c r="L331" s="13"/>
      <c r="M331" s="13"/>
      <c r="N331" s="13"/>
      <c r="O331" s="13"/>
      <c r="P331" s="14"/>
      <c r="Q331" s="14"/>
      <c r="R331" s="30"/>
      <c r="S331" s="16">
        <f>SUMIF($G$4:$R$4,"&gt;=0",G331:R331)</f>
        <v>0</v>
      </c>
      <c r="T331" s="17">
        <f>SUM(G331:R331)</f>
        <v>0</v>
      </c>
    </row>
    <row r="332" spans="1:20" ht="15" thickBot="1" x14ac:dyDescent="0.35">
      <c r="A332" s="106"/>
      <c r="B332" s="109"/>
      <c r="C332" s="112"/>
      <c r="D332" s="113"/>
      <c r="E332" s="116"/>
      <c r="F332" s="21" t="s">
        <v>35</v>
      </c>
      <c r="G332" s="19" t="e">
        <f>(G331-G330)/G331</f>
        <v>#DIV/0!</v>
      </c>
      <c r="H332" s="19" t="e">
        <f t="shared" ref="H332:S332" si="266">(H331-H330)/H331</f>
        <v>#DIV/0!</v>
      </c>
      <c r="I332" s="19" t="e">
        <f t="shared" si="266"/>
        <v>#DIV/0!</v>
      </c>
      <c r="J332" s="19" t="e">
        <f t="shared" si="266"/>
        <v>#DIV/0!</v>
      </c>
      <c r="K332" s="19" t="e">
        <f t="shared" si="266"/>
        <v>#DIV/0!</v>
      </c>
      <c r="L332" s="19" t="e">
        <f t="shared" si="266"/>
        <v>#DIV/0!</v>
      </c>
      <c r="M332" s="19" t="e">
        <f t="shared" si="266"/>
        <v>#DIV/0!</v>
      </c>
      <c r="N332" s="19" t="e">
        <f t="shared" si="266"/>
        <v>#DIV/0!</v>
      </c>
      <c r="O332" s="19" t="e">
        <f t="shared" si="266"/>
        <v>#DIV/0!</v>
      </c>
      <c r="P332" s="19" t="e">
        <f t="shared" si="266"/>
        <v>#DIV/0!</v>
      </c>
      <c r="Q332" s="19" t="e">
        <f t="shared" si="266"/>
        <v>#DIV/0!</v>
      </c>
      <c r="R332" s="25" t="e">
        <f t="shared" si="266"/>
        <v>#DIV/0!</v>
      </c>
      <c r="S332" s="21" t="e">
        <f t="shared" si="266"/>
        <v>#DIV/0!</v>
      </c>
      <c r="T332" s="22" t="e">
        <f t="shared" ref="T332" si="267">T331/T330</f>
        <v>#DIV/0!</v>
      </c>
    </row>
    <row r="333" spans="1:20" x14ac:dyDescent="0.3">
      <c r="A333" s="104">
        <v>31</v>
      </c>
      <c r="B333" s="107" t="s">
        <v>103</v>
      </c>
      <c r="C333" s="110" t="s">
        <v>104</v>
      </c>
      <c r="D333" s="110" t="s">
        <v>23</v>
      </c>
      <c r="E333" s="114" t="s">
        <v>50</v>
      </c>
      <c r="F333" s="11" t="s">
        <v>25</v>
      </c>
      <c r="G333" s="23">
        <v>403195.56</v>
      </c>
      <c r="H333" s="23">
        <v>420645.82</v>
      </c>
      <c r="I333" s="23">
        <v>486883.06000000006</v>
      </c>
      <c r="J333" s="23">
        <v>587856.0199999999</v>
      </c>
      <c r="K333" s="9">
        <v>663930.68699999992</v>
      </c>
      <c r="L333" s="9">
        <v>703757.8</v>
      </c>
      <c r="M333" s="9">
        <v>917798.96</v>
      </c>
      <c r="N333" s="9">
        <v>1166034.45</v>
      </c>
      <c r="O333" s="9">
        <v>845679.44000000006</v>
      </c>
      <c r="P333" s="23">
        <v>815220.73249999993</v>
      </c>
      <c r="Q333" s="23">
        <v>781905.97030000004</v>
      </c>
      <c r="R333" s="24">
        <v>898875.03377485205</v>
      </c>
      <c r="S333" s="11">
        <f>SUMIF($G$4:$R$4,"&gt;=0",G333:R333)</f>
        <v>3266268.9469999997</v>
      </c>
      <c r="T333" s="10">
        <f>SUM(G333:R333)</f>
        <v>8691783.5335748531</v>
      </c>
    </row>
    <row r="334" spans="1:20" x14ac:dyDescent="0.3">
      <c r="A334" s="105"/>
      <c r="B334" s="108"/>
      <c r="C334" s="111"/>
      <c r="D334" s="111"/>
      <c r="E334" s="115"/>
      <c r="F334" s="12" t="s">
        <v>26</v>
      </c>
      <c r="G334" s="14">
        <v>789260.78</v>
      </c>
      <c r="H334" s="14">
        <v>682714.33</v>
      </c>
      <c r="I334" s="14">
        <v>707334.99999999988</v>
      </c>
      <c r="J334" s="14">
        <v>786727.96</v>
      </c>
      <c r="K334" s="13">
        <v>918522.08</v>
      </c>
      <c r="L334" s="13">
        <v>885935.89999999991</v>
      </c>
      <c r="M334" s="13"/>
      <c r="N334" s="13"/>
      <c r="O334" s="13"/>
      <c r="P334" s="14"/>
      <c r="Q334" s="14"/>
      <c r="R334" s="30"/>
      <c r="S334" s="16">
        <f>SUMIF($G$4:$R$4,"&gt;=0",G334:R334)</f>
        <v>4770496.05</v>
      </c>
      <c r="T334" s="17">
        <f t="shared" ref="T334" si="268">SUM(G334:R334)</f>
        <v>4770496.05</v>
      </c>
    </row>
    <row r="335" spans="1:20" ht="15" thickBot="1" x14ac:dyDescent="0.35">
      <c r="A335" s="105"/>
      <c r="B335" s="108"/>
      <c r="C335" s="111"/>
      <c r="D335" s="111"/>
      <c r="E335" s="115"/>
      <c r="F335" s="18" t="s">
        <v>27</v>
      </c>
      <c r="G335" s="19">
        <f>G334/G333</f>
        <v>1.9575135698418902</v>
      </c>
      <c r="H335" s="19">
        <f t="shared" ref="H335:T335" si="269">H334/H333</f>
        <v>1.6230146539908561</v>
      </c>
      <c r="I335" s="19">
        <f t="shared" si="269"/>
        <v>1.4527821115813719</v>
      </c>
      <c r="J335" s="19">
        <f t="shared" si="269"/>
        <v>1.3383004226102848</v>
      </c>
      <c r="K335" s="19">
        <f t="shared" si="269"/>
        <v>1.3834608009314684</v>
      </c>
      <c r="L335" s="19">
        <f t="shared" si="269"/>
        <v>1.2588647685325831</v>
      </c>
      <c r="M335" s="19">
        <f t="shared" si="269"/>
        <v>0</v>
      </c>
      <c r="N335" s="19">
        <f t="shared" si="269"/>
        <v>0</v>
      </c>
      <c r="O335" s="19">
        <f t="shared" si="269"/>
        <v>0</v>
      </c>
      <c r="P335" s="19">
        <f t="shared" si="269"/>
        <v>0</v>
      </c>
      <c r="Q335" s="19">
        <f t="shared" si="269"/>
        <v>0</v>
      </c>
      <c r="R335" s="25">
        <f t="shared" si="269"/>
        <v>0</v>
      </c>
      <c r="S335" s="21">
        <f t="shared" si="269"/>
        <v>1.4605337549994473</v>
      </c>
      <c r="T335" s="22">
        <f t="shared" si="269"/>
        <v>0.54885122616922066</v>
      </c>
    </row>
    <row r="336" spans="1:20" x14ac:dyDescent="0.3">
      <c r="A336" s="105"/>
      <c r="B336" s="108"/>
      <c r="C336" s="111"/>
      <c r="D336" s="111"/>
      <c r="E336" s="115"/>
      <c r="F336" s="11" t="s">
        <v>28</v>
      </c>
      <c r="G336" s="23">
        <v>391452</v>
      </c>
      <c r="H336" s="23">
        <v>408394</v>
      </c>
      <c r="I336" s="23">
        <v>472702</v>
      </c>
      <c r="J336" s="23">
        <v>570734</v>
      </c>
      <c r="K336" s="9">
        <v>644592.9</v>
      </c>
      <c r="L336" s="9">
        <v>683260</v>
      </c>
      <c r="M336" s="9">
        <v>882499</v>
      </c>
      <c r="N336" s="9">
        <v>1110509.7899999996</v>
      </c>
      <c r="O336" s="9">
        <v>821045.80999999982</v>
      </c>
      <c r="P336" s="23">
        <v>824009.3</v>
      </c>
      <c r="Q336" s="23">
        <v>759132.01000000013</v>
      </c>
      <c r="R336" s="24">
        <v>779949.59999999986</v>
      </c>
      <c r="S336" s="11">
        <f>SUMIF($G$4:$R$4,"&gt;=0",G336:R336)</f>
        <v>3171134.9</v>
      </c>
      <c r="T336" s="10">
        <f>SUM(G336:R336)</f>
        <v>8348280.4099999983</v>
      </c>
    </row>
    <row r="337" spans="1:20" ht="15" thickBot="1" x14ac:dyDescent="0.35">
      <c r="A337" s="105"/>
      <c r="B337" s="108"/>
      <c r="C337" s="111"/>
      <c r="D337" s="111"/>
      <c r="E337" s="115"/>
      <c r="F337" s="18" t="s">
        <v>29</v>
      </c>
      <c r="G337" s="19">
        <f>(G334-G336)/G334</f>
        <v>0.50402704667524467</v>
      </c>
      <c r="H337" s="19">
        <f t="shared" ref="H337:S337" si="270">(H334-H336)/H334</f>
        <v>0.40180836690508603</v>
      </c>
      <c r="I337" s="19">
        <f t="shared" si="270"/>
        <v>0.33171411000445322</v>
      </c>
      <c r="J337" s="19">
        <f t="shared" si="270"/>
        <v>0.27454720180531017</v>
      </c>
      <c r="K337" s="19">
        <f t="shared" si="270"/>
        <v>0.29822819283778124</v>
      </c>
      <c r="L337" s="19">
        <f t="shared" si="270"/>
        <v>0.22877038846715653</v>
      </c>
      <c r="M337" s="19" t="e">
        <f t="shared" si="270"/>
        <v>#DIV/0!</v>
      </c>
      <c r="N337" s="19" t="e">
        <f t="shared" si="270"/>
        <v>#DIV/0!</v>
      </c>
      <c r="O337" s="19" t="e">
        <f t="shared" si="270"/>
        <v>#DIV/0!</v>
      </c>
      <c r="P337" s="19" t="e">
        <f t="shared" si="270"/>
        <v>#DIV/0!</v>
      </c>
      <c r="Q337" s="19" t="e">
        <f t="shared" si="270"/>
        <v>#DIV/0!</v>
      </c>
      <c r="R337" s="25" t="e">
        <f t="shared" si="270"/>
        <v>#DIV/0!</v>
      </c>
      <c r="S337" s="21">
        <f t="shared" si="270"/>
        <v>0.33526097354173473</v>
      </c>
      <c r="T337" s="22">
        <f t="shared" ref="T337" si="271">T334/T336</f>
        <v>0.57143457283558119</v>
      </c>
    </row>
    <row r="338" spans="1:20" x14ac:dyDescent="0.3">
      <c r="A338" s="105"/>
      <c r="B338" s="108"/>
      <c r="C338" s="111"/>
      <c r="D338" s="111"/>
      <c r="E338" s="115"/>
      <c r="F338" s="26" t="s">
        <v>30</v>
      </c>
      <c r="G338" s="23">
        <v>1764273.5034</v>
      </c>
      <c r="H338" s="23">
        <v>1528961.6481999997</v>
      </c>
      <c r="I338" s="23">
        <v>1591467.4965999997</v>
      </c>
      <c r="J338" s="23"/>
      <c r="K338" s="9"/>
      <c r="L338" s="9"/>
      <c r="M338" s="9"/>
      <c r="N338" s="9"/>
      <c r="O338" s="9"/>
      <c r="P338" s="23"/>
      <c r="Q338" s="23"/>
      <c r="R338" s="24"/>
      <c r="S338" s="11">
        <f>SUMIF($G$4:$R$4,"&gt;=0",G338:R338)</f>
        <v>4884702.6481999997</v>
      </c>
      <c r="T338" s="10">
        <f>SUM(G338:R338)</f>
        <v>4884702.6481999997</v>
      </c>
    </row>
    <row r="339" spans="1:20" x14ac:dyDescent="0.3">
      <c r="A339" s="105"/>
      <c r="B339" s="108"/>
      <c r="C339" s="111"/>
      <c r="D339" s="111"/>
      <c r="E339" s="115"/>
      <c r="F339" s="29" t="s">
        <v>31</v>
      </c>
      <c r="G339" s="14"/>
      <c r="H339" s="14"/>
      <c r="I339" s="14"/>
      <c r="J339" s="14"/>
      <c r="K339" s="13"/>
      <c r="L339" s="13"/>
      <c r="M339" s="13"/>
      <c r="N339" s="13"/>
      <c r="O339" s="13"/>
      <c r="P339" s="14"/>
      <c r="Q339" s="14"/>
      <c r="R339" s="30"/>
      <c r="S339" s="16">
        <f>SUMIF($G$4:$R$4,"&gt;=0",G339:R339)</f>
        <v>0</v>
      </c>
      <c r="T339" s="17">
        <f t="shared" ref="T339" si="272">SUM(G339:R339)</f>
        <v>0</v>
      </c>
    </row>
    <row r="340" spans="1:20" ht="15" thickBot="1" x14ac:dyDescent="0.35">
      <c r="A340" s="105"/>
      <c r="B340" s="108"/>
      <c r="C340" s="111"/>
      <c r="D340" s="111"/>
      <c r="E340" s="115"/>
      <c r="F340" s="18" t="s">
        <v>32</v>
      </c>
      <c r="G340" s="19">
        <f>(G338-G339)/G338</f>
        <v>1</v>
      </c>
      <c r="H340" s="19">
        <f t="shared" ref="H340:S340" si="273">(H338-H339)/H338</f>
        <v>1</v>
      </c>
      <c r="I340" s="19">
        <f t="shared" si="273"/>
        <v>1</v>
      </c>
      <c r="J340" s="19" t="e">
        <f t="shared" si="273"/>
        <v>#DIV/0!</v>
      </c>
      <c r="K340" s="19" t="e">
        <f t="shared" si="273"/>
        <v>#DIV/0!</v>
      </c>
      <c r="L340" s="19" t="e">
        <f t="shared" si="273"/>
        <v>#DIV/0!</v>
      </c>
      <c r="M340" s="19" t="e">
        <f t="shared" si="273"/>
        <v>#DIV/0!</v>
      </c>
      <c r="N340" s="19" t="e">
        <f t="shared" si="273"/>
        <v>#DIV/0!</v>
      </c>
      <c r="O340" s="19" t="e">
        <f t="shared" si="273"/>
        <v>#DIV/0!</v>
      </c>
      <c r="P340" s="19" t="e">
        <f t="shared" si="273"/>
        <v>#DIV/0!</v>
      </c>
      <c r="Q340" s="19" t="e">
        <f t="shared" si="273"/>
        <v>#DIV/0!</v>
      </c>
      <c r="R340" s="25" t="e">
        <f t="shared" si="273"/>
        <v>#DIV/0!</v>
      </c>
      <c r="S340" s="21">
        <f t="shared" si="273"/>
        <v>1</v>
      </c>
      <c r="T340" s="22" t="e">
        <f t="shared" ref="T340" si="274">T338/T339</f>
        <v>#DIV/0!</v>
      </c>
    </row>
    <row r="341" spans="1:20" x14ac:dyDescent="0.3">
      <c r="A341" s="105"/>
      <c r="B341" s="108"/>
      <c r="C341" s="111"/>
      <c r="D341" s="111"/>
      <c r="E341" s="115"/>
      <c r="F341" s="31" t="s">
        <v>33</v>
      </c>
      <c r="G341" s="23"/>
      <c r="H341" s="23"/>
      <c r="I341" s="23"/>
      <c r="J341" s="23"/>
      <c r="K341" s="9"/>
      <c r="L341" s="9"/>
      <c r="M341" s="9"/>
      <c r="N341" s="9"/>
      <c r="O341" s="9"/>
      <c r="P341" s="23"/>
      <c r="Q341" s="23"/>
      <c r="R341" s="24"/>
      <c r="S341" s="11">
        <f>SUMIF($G$4:$R$4,"&gt;=0",G341:R341)</f>
        <v>0</v>
      </c>
      <c r="T341" s="10">
        <f>SUM(G341:R341)</f>
        <v>0</v>
      </c>
    </row>
    <row r="342" spans="1:20" x14ac:dyDescent="0.3">
      <c r="A342" s="105"/>
      <c r="B342" s="108"/>
      <c r="C342" s="111"/>
      <c r="D342" s="111"/>
      <c r="E342" s="115"/>
      <c r="F342" s="32" t="s">
        <v>34</v>
      </c>
      <c r="G342" s="14"/>
      <c r="H342" s="14"/>
      <c r="I342" s="14"/>
      <c r="J342" s="14"/>
      <c r="K342" s="13"/>
      <c r="L342" s="13"/>
      <c r="M342" s="13"/>
      <c r="N342" s="13"/>
      <c r="O342" s="13"/>
      <c r="P342" s="14"/>
      <c r="Q342" s="14"/>
      <c r="R342" s="30"/>
      <c r="S342" s="16">
        <f>SUMIF($G$4:$R$4,"&gt;=0",G342:R342)</f>
        <v>0</v>
      </c>
      <c r="T342" s="17">
        <f>SUM(G342:R342)</f>
        <v>0</v>
      </c>
    </row>
    <row r="343" spans="1:20" ht="15" thickBot="1" x14ac:dyDescent="0.35">
      <c r="A343" s="117"/>
      <c r="B343" s="109"/>
      <c r="C343" s="112"/>
      <c r="D343" s="113"/>
      <c r="E343" s="116"/>
      <c r="F343" s="21" t="s">
        <v>35</v>
      </c>
      <c r="G343" s="19" t="e">
        <f>(G342-G341)/G342</f>
        <v>#DIV/0!</v>
      </c>
      <c r="H343" s="19" t="e">
        <f t="shared" ref="H343:S343" si="275">(H342-H341)/H342</f>
        <v>#DIV/0!</v>
      </c>
      <c r="I343" s="19" t="e">
        <f t="shared" si="275"/>
        <v>#DIV/0!</v>
      </c>
      <c r="J343" s="19" t="e">
        <f t="shared" si="275"/>
        <v>#DIV/0!</v>
      </c>
      <c r="K343" s="19" t="e">
        <f t="shared" si="275"/>
        <v>#DIV/0!</v>
      </c>
      <c r="L343" s="19" t="e">
        <f t="shared" si="275"/>
        <v>#DIV/0!</v>
      </c>
      <c r="M343" s="19" t="e">
        <f t="shared" si="275"/>
        <v>#DIV/0!</v>
      </c>
      <c r="N343" s="19" t="e">
        <f t="shared" si="275"/>
        <v>#DIV/0!</v>
      </c>
      <c r="O343" s="19" t="e">
        <f t="shared" si="275"/>
        <v>#DIV/0!</v>
      </c>
      <c r="P343" s="19" t="e">
        <f t="shared" si="275"/>
        <v>#DIV/0!</v>
      </c>
      <c r="Q343" s="19" t="e">
        <f t="shared" si="275"/>
        <v>#DIV/0!</v>
      </c>
      <c r="R343" s="25" t="e">
        <f t="shared" si="275"/>
        <v>#DIV/0!</v>
      </c>
      <c r="S343" s="21" t="e">
        <f t="shared" si="275"/>
        <v>#DIV/0!</v>
      </c>
      <c r="T343" s="22" t="e">
        <f t="shared" ref="T343" si="276">T342/T341</f>
        <v>#DIV/0!</v>
      </c>
    </row>
    <row r="344" spans="1:20" x14ac:dyDescent="0.3">
      <c r="A344" s="104">
        <v>32</v>
      </c>
      <c r="B344" s="107" t="s">
        <v>106</v>
      </c>
      <c r="C344" s="110" t="s">
        <v>105</v>
      </c>
      <c r="D344" s="110" t="s">
        <v>37</v>
      </c>
      <c r="E344" s="114" t="s">
        <v>24</v>
      </c>
      <c r="F344" s="11" t="s">
        <v>25</v>
      </c>
      <c r="G344" s="23">
        <v>690000</v>
      </c>
      <c r="H344" s="23">
        <v>700350</v>
      </c>
      <c r="I344" s="23">
        <v>707353.5</v>
      </c>
      <c r="J344" s="23">
        <v>707353.5</v>
      </c>
      <c r="K344" s="9">
        <v>714427.03500000003</v>
      </c>
      <c r="L344" s="9">
        <v>714427.03500000003</v>
      </c>
      <c r="M344" s="9">
        <v>714427.03500000003</v>
      </c>
      <c r="N344" s="9">
        <v>721571.30535000004</v>
      </c>
      <c r="O344" s="9">
        <v>721571.30535000004</v>
      </c>
      <c r="P344" s="23">
        <v>728787.01840350009</v>
      </c>
      <c r="Q344" s="23">
        <v>736074.88858753489</v>
      </c>
      <c r="R344" s="24">
        <v>755000</v>
      </c>
      <c r="S344" s="11">
        <f>SUMIF($G$4:$R$4,"&gt;=0",G344:R344)</f>
        <v>4233911.07</v>
      </c>
      <c r="T344" s="10">
        <f>SUM(G344:R344)</f>
        <v>8611342.6226910353</v>
      </c>
    </row>
    <row r="345" spans="1:20" x14ac:dyDescent="0.3">
      <c r="A345" s="105"/>
      <c r="B345" s="108"/>
      <c r="C345" s="111"/>
      <c r="D345" s="111"/>
      <c r="E345" s="115"/>
      <c r="F345" s="12" t="s">
        <v>26</v>
      </c>
      <c r="G345" s="14">
        <v>769047.91999999993</v>
      </c>
      <c r="H345" s="14">
        <v>844040.32000000007</v>
      </c>
      <c r="I345" s="14">
        <v>869527.6399999999</v>
      </c>
      <c r="J345" s="14">
        <v>929427.99999999977</v>
      </c>
      <c r="K345" s="13">
        <v>719773.71999999974</v>
      </c>
      <c r="L345" s="13">
        <v>740823.39000000013</v>
      </c>
      <c r="M345" s="13"/>
      <c r="N345" s="13"/>
      <c r="O345" s="13"/>
      <c r="P345" s="14"/>
      <c r="Q345" s="14"/>
      <c r="R345" s="30"/>
      <c r="S345" s="16">
        <f>SUMIF($G$4:$R$4,"&gt;=0",G345:R345)</f>
        <v>4872640.99</v>
      </c>
      <c r="T345" s="17">
        <f t="shared" ref="T345" si="277">SUM(G345:R345)</f>
        <v>4872640.99</v>
      </c>
    </row>
    <row r="346" spans="1:20" ht="15" thickBot="1" x14ac:dyDescent="0.35">
      <c r="A346" s="105"/>
      <c r="B346" s="108"/>
      <c r="C346" s="111"/>
      <c r="D346" s="111"/>
      <c r="E346" s="115"/>
      <c r="F346" s="18" t="s">
        <v>27</v>
      </c>
      <c r="G346" s="19">
        <f>G345/G344</f>
        <v>1.1145622028985507</v>
      </c>
      <c r="H346" s="19">
        <f t="shared" ref="H346:T346" si="278">H345/H344</f>
        <v>1.2051693010637539</v>
      </c>
      <c r="I346" s="19">
        <f t="shared" si="278"/>
        <v>1.229268873342678</v>
      </c>
      <c r="J346" s="19">
        <f t="shared" si="278"/>
        <v>1.3139512280634786</v>
      </c>
      <c r="K346" s="19">
        <f t="shared" si="278"/>
        <v>1.0074838783221574</v>
      </c>
      <c r="L346" s="19">
        <f t="shared" si="278"/>
        <v>1.0369475869568683</v>
      </c>
      <c r="M346" s="19">
        <f t="shared" si="278"/>
        <v>0</v>
      </c>
      <c r="N346" s="19">
        <f t="shared" si="278"/>
        <v>0</v>
      </c>
      <c r="O346" s="19">
        <f t="shared" si="278"/>
        <v>0</v>
      </c>
      <c r="P346" s="19">
        <f t="shared" si="278"/>
        <v>0</v>
      </c>
      <c r="Q346" s="19">
        <f t="shared" si="278"/>
        <v>0</v>
      </c>
      <c r="R346" s="25">
        <f t="shared" si="278"/>
        <v>0</v>
      </c>
      <c r="S346" s="21">
        <f t="shared" si="278"/>
        <v>1.1508604950457781</v>
      </c>
      <c r="T346" s="22">
        <f t="shared" si="278"/>
        <v>0.56583986998270253</v>
      </c>
    </row>
    <row r="347" spans="1:20" x14ac:dyDescent="0.3">
      <c r="A347" s="105"/>
      <c r="B347" s="108"/>
      <c r="C347" s="111"/>
      <c r="D347" s="111"/>
      <c r="E347" s="115"/>
      <c r="F347" s="11" t="s">
        <v>28</v>
      </c>
      <c r="G347" s="23">
        <v>0</v>
      </c>
      <c r="H347" s="23">
        <v>0</v>
      </c>
      <c r="I347" s="23">
        <v>0</v>
      </c>
      <c r="J347" s="23"/>
      <c r="K347" s="9"/>
      <c r="L347" s="9"/>
      <c r="M347" s="9">
        <v>486508</v>
      </c>
      <c r="N347" s="9">
        <v>760875.64000000013</v>
      </c>
      <c r="O347" s="9">
        <v>801519.75999999989</v>
      </c>
      <c r="P347" s="23">
        <v>802112</v>
      </c>
      <c r="Q347" s="23">
        <v>707818.40999999992</v>
      </c>
      <c r="R347" s="24">
        <v>751603.06</v>
      </c>
      <c r="S347" s="11">
        <f>SUMIF($G$4:$R$4,"&gt;=0",G347:R347)</f>
        <v>0</v>
      </c>
      <c r="T347" s="10">
        <f>SUM(G347:R347)</f>
        <v>4310436.8699999992</v>
      </c>
    </row>
    <row r="348" spans="1:20" ht="15" thickBot="1" x14ac:dyDescent="0.35">
      <c r="A348" s="105"/>
      <c r="B348" s="108"/>
      <c r="C348" s="111"/>
      <c r="D348" s="111"/>
      <c r="E348" s="115"/>
      <c r="F348" s="18" t="s">
        <v>29</v>
      </c>
      <c r="G348" s="19">
        <f>(G345-G347)/G345</f>
        <v>1</v>
      </c>
      <c r="H348" s="19">
        <f t="shared" ref="H348:S348" si="279">(H345-H347)/H345</f>
        <v>1</v>
      </c>
      <c r="I348" s="19">
        <f t="shared" si="279"/>
        <v>1</v>
      </c>
      <c r="J348" s="19">
        <f t="shared" si="279"/>
        <v>1</v>
      </c>
      <c r="K348" s="19">
        <f t="shared" si="279"/>
        <v>1</v>
      </c>
      <c r="L348" s="19">
        <f t="shared" si="279"/>
        <v>1</v>
      </c>
      <c r="M348" s="19" t="e">
        <f t="shared" si="279"/>
        <v>#DIV/0!</v>
      </c>
      <c r="N348" s="19" t="e">
        <f t="shared" si="279"/>
        <v>#DIV/0!</v>
      </c>
      <c r="O348" s="19" t="e">
        <f t="shared" si="279"/>
        <v>#DIV/0!</v>
      </c>
      <c r="P348" s="19" t="e">
        <f t="shared" si="279"/>
        <v>#DIV/0!</v>
      </c>
      <c r="Q348" s="19" t="e">
        <f t="shared" si="279"/>
        <v>#DIV/0!</v>
      </c>
      <c r="R348" s="25" t="e">
        <f t="shared" si="279"/>
        <v>#DIV/0!</v>
      </c>
      <c r="S348" s="21">
        <f t="shared" si="279"/>
        <v>1</v>
      </c>
      <c r="T348" s="22">
        <f t="shared" ref="T348" si="280">T345/T347</f>
        <v>1.1304285706891704</v>
      </c>
    </row>
    <row r="349" spans="1:20" x14ac:dyDescent="0.3">
      <c r="A349" s="105"/>
      <c r="B349" s="108"/>
      <c r="C349" s="111"/>
      <c r="D349" s="111"/>
      <c r="E349" s="115"/>
      <c r="F349" s="26" t="s">
        <v>30</v>
      </c>
      <c r="G349" s="23">
        <v>1625598.3712000009</v>
      </c>
      <c r="H349" s="23">
        <v>1767435.6781000004</v>
      </c>
      <c r="I349" s="23">
        <v>1836620.3977000008</v>
      </c>
      <c r="J349" s="23"/>
      <c r="K349" s="9"/>
      <c r="L349" s="9"/>
      <c r="M349" s="9"/>
      <c r="N349" s="9"/>
      <c r="O349" s="9"/>
      <c r="P349" s="23"/>
      <c r="Q349" s="23"/>
      <c r="R349" s="24"/>
      <c r="S349" s="11">
        <f>SUMIF($G$4:$R$4,"&gt;=0",G349:R349)</f>
        <v>5229654.4470000016</v>
      </c>
      <c r="T349" s="10">
        <f>SUM(G349:R349)</f>
        <v>5229654.4470000016</v>
      </c>
    </row>
    <row r="350" spans="1:20" x14ac:dyDescent="0.3">
      <c r="A350" s="105"/>
      <c r="B350" s="108"/>
      <c r="C350" s="111"/>
      <c r="D350" s="111"/>
      <c r="E350" s="115"/>
      <c r="F350" s="29" t="s">
        <v>31</v>
      </c>
      <c r="G350" s="14"/>
      <c r="H350" s="14"/>
      <c r="I350" s="14"/>
      <c r="J350" s="14"/>
      <c r="K350" s="13"/>
      <c r="L350" s="13"/>
      <c r="M350" s="13"/>
      <c r="N350" s="13"/>
      <c r="O350" s="13"/>
      <c r="P350" s="14"/>
      <c r="Q350" s="14"/>
      <c r="R350" s="30"/>
      <c r="S350" s="16">
        <f>SUMIF($G$4:$R$4,"&gt;=0",G350:R350)</f>
        <v>0</v>
      </c>
      <c r="T350" s="17">
        <f t="shared" ref="T350" si="281">SUM(G350:R350)</f>
        <v>0</v>
      </c>
    </row>
    <row r="351" spans="1:20" ht="15" thickBot="1" x14ac:dyDescent="0.35">
      <c r="A351" s="105"/>
      <c r="B351" s="108"/>
      <c r="C351" s="111"/>
      <c r="D351" s="111"/>
      <c r="E351" s="115"/>
      <c r="F351" s="18" t="s">
        <v>32</v>
      </c>
      <c r="G351" s="19">
        <f>(G349-G350)/G349</f>
        <v>1</v>
      </c>
      <c r="H351" s="19">
        <f t="shared" ref="H351:S351" si="282">(H349-H350)/H349</f>
        <v>1</v>
      </c>
      <c r="I351" s="19">
        <f t="shared" si="282"/>
        <v>1</v>
      </c>
      <c r="J351" s="19" t="e">
        <f t="shared" si="282"/>
        <v>#DIV/0!</v>
      </c>
      <c r="K351" s="19" t="e">
        <f t="shared" si="282"/>
        <v>#DIV/0!</v>
      </c>
      <c r="L351" s="19" t="e">
        <f t="shared" si="282"/>
        <v>#DIV/0!</v>
      </c>
      <c r="M351" s="19" t="e">
        <f t="shared" si="282"/>
        <v>#DIV/0!</v>
      </c>
      <c r="N351" s="19" t="e">
        <f t="shared" si="282"/>
        <v>#DIV/0!</v>
      </c>
      <c r="O351" s="19" t="e">
        <f t="shared" si="282"/>
        <v>#DIV/0!</v>
      </c>
      <c r="P351" s="19" t="e">
        <f t="shared" si="282"/>
        <v>#DIV/0!</v>
      </c>
      <c r="Q351" s="19" t="e">
        <f t="shared" si="282"/>
        <v>#DIV/0!</v>
      </c>
      <c r="R351" s="25" t="e">
        <f t="shared" si="282"/>
        <v>#DIV/0!</v>
      </c>
      <c r="S351" s="21">
        <f t="shared" si="282"/>
        <v>1</v>
      </c>
      <c r="T351" s="22" t="e">
        <f t="shared" ref="T351" si="283">T349/T350</f>
        <v>#DIV/0!</v>
      </c>
    </row>
    <row r="352" spans="1:20" x14ac:dyDescent="0.3">
      <c r="A352" s="105"/>
      <c r="B352" s="108"/>
      <c r="C352" s="111"/>
      <c r="D352" s="111"/>
      <c r="E352" s="115"/>
      <c r="F352" s="31" t="s">
        <v>33</v>
      </c>
      <c r="G352" s="23"/>
      <c r="H352" s="23"/>
      <c r="I352" s="23"/>
      <c r="J352" s="23"/>
      <c r="K352" s="9"/>
      <c r="L352" s="9"/>
      <c r="M352" s="9"/>
      <c r="N352" s="9"/>
      <c r="O352" s="9"/>
      <c r="P352" s="23"/>
      <c r="Q352" s="23"/>
      <c r="R352" s="24"/>
      <c r="S352" s="11">
        <f>SUMIF($G$4:$R$4,"&gt;=0",G352:R352)</f>
        <v>0</v>
      </c>
      <c r="T352" s="10">
        <f>SUM(G352:R352)</f>
        <v>0</v>
      </c>
    </row>
    <row r="353" spans="1:20" x14ac:dyDescent="0.3">
      <c r="A353" s="105"/>
      <c r="B353" s="108"/>
      <c r="C353" s="111"/>
      <c r="D353" s="111"/>
      <c r="E353" s="115"/>
      <c r="F353" s="32" t="s">
        <v>34</v>
      </c>
      <c r="G353" s="14"/>
      <c r="H353" s="14"/>
      <c r="I353" s="14"/>
      <c r="J353" s="14"/>
      <c r="K353" s="13"/>
      <c r="L353" s="13"/>
      <c r="M353" s="13"/>
      <c r="N353" s="13"/>
      <c r="O353" s="13"/>
      <c r="P353" s="14"/>
      <c r="Q353" s="14"/>
      <c r="R353" s="30"/>
      <c r="S353" s="16">
        <f>SUMIF($G$4:$R$4,"&gt;=0",G353:R353)</f>
        <v>0</v>
      </c>
      <c r="T353" s="17">
        <f>SUM(G353:R353)</f>
        <v>0</v>
      </c>
    </row>
    <row r="354" spans="1:20" ht="15" thickBot="1" x14ac:dyDescent="0.35">
      <c r="A354" s="117"/>
      <c r="B354" s="109"/>
      <c r="C354" s="112"/>
      <c r="D354" s="113"/>
      <c r="E354" s="116"/>
      <c r="F354" s="21" t="s">
        <v>35</v>
      </c>
      <c r="G354" s="19" t="e">
        <f>(G353-G352)/G353</f>
        <v>#DIV/0!</v>
      </c>
      <c r="H354" s="19" t="e">
        <f t="shared" ref="H354:S354" si="284">(H353-H352)/H353</f>
        <v>#DIV/0!</v>
      </c>
      <c r="I354" s="19" t="e">
        <f t="shared" si="284"/>
        <v>#DIV/0!</v>
      </c>
      <c r="J354" s="19" t="e">
        <f t="shared" si="284"/>
        <v>#DIV/0!</v>
      </c>
      <c r="K354" s="19" t="e">
        <f t="shared" si="284"/>
        <v>#DIV/0!</v>
      </c>
      <c r="L354" s="19" t="e">
        <f t="shared" si="284"/>
        <v>#DIV/0!</v>
      </c>
      <c r="M354" s="19" t="e">
        <f t="shared" si="284"/>
        <v>#DIV/0!</v>
      </c>
      <c r="N354" s="19" t="e">
        <f t="shared" si="284"/>
        <v>#DIV/0!</v>
      </c>
      <c r="O354" s="19" t="e">
        <f t="shared" si="284"/>
        <v>#DIV/0!</v>
      </c>
      <c r="P354" s="19" t="e">
        <f t="shared" si="284"/>
        <v>#DIV/0!</v>
      </c>
      <c r="Q354" s="19" t="e">
        <f t="shared" si="284"/>
        <v>#DIV/0!</v>
      </c>
      <c r="R354" s="25" t="e">
        <f t="shared" si="284"/>
        <v>#DIV/0!</v>
      </c>
      <c r="S354" s="21" t="e">
        <f t="shared" si="284"/>
        <v>#DIV/0!</v>
      </c>
      <c r="T354" s="22" t="e">
        <f t="shared" ref="T354" si="285">T353/T352</f>
        <v>#DIV/0!</v>
      </c>
    </row>
    <row r="355" spans="1:20" x14ac:dyDescent="0.3">
      <c r="A355" s="104">
        <v>33</v>
      </c>
      <c r="B355" s="107" t="s">
        <v>107</v>
      </c>
      <c r="C355" s="110" t="s">
        <v>108</v>
      </c>
      <c r="D355" s="110" t="s">
        <v>23</v>
      </c>
      <c r="E355" s="114" t="s">
        <v>24</v>
      </c>
      <c r="F355" s="11" t="s">
        <v>25</v>
      </c>
      <c r="G355" s="23">
        <v>1225000</v>
      </c>
      <c r="H355" s="23">
        <v>1249500</v>
      </c>
      <c r="I355" s="23">
        <v>1268242.5</v>
      </c>
      <c r="J355" s="23">
        <v>1268242.5</v>
      </c>
      <c r="K355" s="9">
        <v>1287266.1375000002</v>
      </c>
      <c r="L355" s="9">
        <v>1287266.1375000002</v>
      </c>
      <c r="M355" s="9">
        <v>1287266.1375000002</v>
      </c>
      <c r="N355" s="9">
        <v>1323125.6941875</v>
      </c>
      <c r="O355" s="9">
        <v>1336356.951129375</v>
      </c>
      <c r="P355" s="23">
        <v>1349720.5206406689</v>
      </c>
      <c r="Q355" s="23">
        <v>1384499.9764470316</v>
      </c>
      <c r="R355" s="24">
        <v>1492000</v>
      </c>
      <c r="S355" s="11">
        <f>SUMIF($G$4:$R$4,"&gt;=0",G355:R355)</f>
        <v>7585517.2750000004</v>
      </c>
      <c r="T355" s="10">
        <f>SUM(G355:R355)</f>
        <v>15758486.554904576</v>
      </c>
    </row>
    <row r="356" spans="1:20" x14ac:dyDescent="0.3">
      <c r="A356" s="105"/>
      <c r="B356" s="108"/>
      <c r="C356" s="111"/>
      <c r="D356" s="111"/>
      <c r="E356" s="115"/>
      <c r="F356" s="12" t="s">
        <v>26</v>
      </c>
      <c r="G356" s="14">
        <v>1834191.92</v>
      </c>
      <c r="H356" s="14">
        <v>1675995.43</v>
      </c>
      <c r="I356" s="14">
        <v>1762438.3000000003</v>
      </c>
      <c r="J356" s="14">
        <v>1458497.2400000005</v>
      </c>
      <c r="K356" s="13">
        <v>1450102.6700000002</v>
      </c>
      <c r="L356" s="13">
        <v>1449679.68</v>
      </c>
      <c r="M356" s="13"/>
      <c r="N356" s="13"/>
      <c r="O356" s="13"/>
      <c r="P356" s="14"/>
      <c r="Q356" s="14"/>
      <c r="R356" s="30"/>
      <c r="S356" s="16">
        <f>SUMIF($G$4:$R$4,"&gt;=0",G356:R356)</f>
        <v>9630905.2400000002</v>
      </c>
      <c r="T356" s="17">
        <f t="shared" ref="T356" si="286">SUM(G356:R356)</f>
        <v>9630905.2400000002</v>
      </c>
    </row>
    <row r="357" spans="1:20" ht="15" thickBot="1" x14ac:dyDescent="0.35">
      <c r="A357" s="105"/>
      <c r="B357" s="108"/>
      <c r="C357" s="111"/>
      <c r="D357" s="111"/>
      <c r="E357" s="115"/>
      <c r="F357" s="18" t="s">
        <v>27</v>
      </c>
      <c r="G357" s="19">
        <f>G356/G355</f>
        <v>1.4972995265306122</v>
      </c>
      <c r="H357" s="19">
        <f t="shared" ref="H357:T357" si="287">H356/H355</f>
        <v>1.3413328771508604</v>
      </c>
      <c r="I357" s="19">
        <f t="shared" si="287"/>
        <v>1.3896697989540645</v>
      </c>
      <c r="J357" s="19">
        <f t="shared" si="287"/>
        <v>1.1500144806691153</v>
      </c>
      <c r="K357" s="19">
        <f t="shared" si="287"/>
        <v>1.1264979538856237</v>
      </c>
      <c r="L357" s="19">
        <f t="shared" si="287"/>
        <v>1.1261693582769319</v>
      </c>
      <c r="M357" s="19">
        <f t="shared" si="287"/>
        <v>0</v>
      </c>
      <c r="N357" s="19">
        <f t="shared" si="287"/>
        <v>0</v>
      </c>
      <c r="O357" s="19">
        <f t="shared" si="287"/>
        <v>0</v>
      </c>
      <c r="P357" s="19">
        <f t="shared" si="287"/>
        <v>0</v>
      </c>
      <c r="Q357" s="19">
        <f t="shared" si="287"/>
        <v>0</v>
      </c>
      <c r="R357" s="25">
        <f t="shared" si="287"/>
        <v>0</v>
      </c>
      <c r="S357" s="21">
        <f t="shared" si="287"/>
        <v>1.2696438345399457</v>
      </c>
      <c r="T357" s="22">
        <f t="shared" si="287"/>
        <v>0.61115673808171223</v>
      </c>
    </row>
    <row r="358" spans="1:20" x14ac:dyDescent="0.3">
      <c r="A358" s="105"/>
      <c r="B358" s="108"/>
      <c r="C358" s="111"/>
      <c r="D358" s="111"/>
      <c r="E358" s="115"/>
      <c r="F358" s="11" t="s">
        <v>28</v>
      </c>
      <c r="G358" s="23">
        <v>0</v>
      </c>
      <c r="H358" s="23">
        <v>0</v>
      </c>
      <c r="I358" s="23">
        <v>0</v>
      </c>
      <c r="J358" s="23"/>
      <c r="K358" s="9"/>
      <c r="L358" s="9"/>
      <c r="M358" s="9"/>
      <c r="N358" s="9">
        <v>80124.87</v>
      </c>
      <c r="O358" s="9">
        <v>1255145.3600000001</v>
      </c>
      <c r="P358" s="23">
        <v>1693542.1</v>
      </c>
      <c r="Q358" s="23">
        <v>1705577.6099999999</v>
      </c>
      <c r="R358" s="24">
        <v>1343948.38</v>
      </c>
      <c r="S358" s="11">
        <f>SUMIF($G$4:$R$4,"&gt;=0",G358:R358)</f>
        <v>0</v>
      </c>
      <c r="T358" s="10">
        <f>SUM(G358:R358)</f>
        <v>6078338.3199999994</v>
      </c>
    </row>
    <row r="359" spans="1:20" ht="15" thickBot="1" x14ac:dyDescent="0.35">
      <c r="A359" s="105"/>
      <c r="B359" s="108"/>
      <c r="C359" s="111"/>
      <c r="D359" s="111"/>
      <c r="E359" s="115"/>
      <c r="F359" s="18" t="s">
        <v>29</v>
      </c>
      <c r="G359" s="19">
        <f>(G356-G358)/G356</f>
        <v>1</v>
      </c>
      <c r="H359" s="19">
        <f t="shared" ref="H359:S359" si="288">(H356-H358)/H356</f>
        <v>1</v>
      </c>
      <c r="I359" s="19">
        <f t="shared" si="288"/>
        <v>1</v>
      </c>
      <c r="J359" s="19">
        <f t="shared" si="288"/>
        <v>1</v>
      </c>
      <c r="K359" s="19">
        <f t="shared" si="288"/>
        <v>1</v>
      </c>
      <c r="L359" s="19">
        <f t="shared" si="288"/>
        <v>1</v>
      </c>
      <c r="M359" s="19" t="e">
        <f t="shared" si="288"/>
        <v>#DIV/0!</v>
      </c>
      <c r="N359" s="19" t="e">
        <f t="shared" si="288"/>
        <v>#DIV/0!</v>
      </c>
      <c r="O359" s="19" t="e">
        <f t="shared" si="288"/>
        <v>#DIV/0!</v>
      </c>
      <c r="P359" s="19" t="e">
        <f t="shared" si="288"/>
        <v>#DIV/0!</v>
      </c>
      <c r="Q359" s="19" t="e">
        <f t="shared" si="288"/>
        <v>#DIV/0!</v>
      </c>
      <c r="R359" s="25" t="e">
        <f t="shared" si="288"/>
        <v>#DIV/0!</v>
      </c>
      <c r="S359" s="21">
        <f t="shared" si="288"/>
        <v>1</v>
      </c>
      <c r="T359" s="22">
        <f t="shared" ref="T359" si="289">T356/T358</f>
        <v>1.584463505150862</v>
      </c>
    </row>
    <row r="360" spans="1:20" x14ac:dyDescent="0.3">
      <c r="A360" s="105"/>
      <c r="B360" s="108"/>
      <c r="C360" s="111"/>
      <c r="D360" s="111"/>
      <c r="E360" s="115"/>
      <c r="F360" s="26" t="s">
        <v>30</v>
      </c>
      <c r="G360" s="23">
        <v>3938197.9164999924</v>
      </c>
      <c r="H360" s="23">
        <v>3617319.7280000062</v>
      </c>
      <c r="I360" s="23">
        <v>3825415.4134999914</v>
      </c>
      <c r="J360" s="23"/>
      <c r="K360" s="9"/>
      <c r="L360" s="9"/>
      <c r="M360" s="9"/>
      <c r="N360" s="9"/>
      <c r="O360" s="9"/>
      <c r="P360" s="23"/>
      <c r="Q360" s="23"/>
      <c r="R360" s="24"/>
      <c r="S360" s="11">
        <f>SUMIF($G$4:$R$4,"&gt;=0",G360:R360)</f>
        <v>11380933.057999991</v>
      </c>
      <c r="T360" s="10">
        <f>SUM(G360:R360)</f>
        <v>11380933.057999991</v>
      </c>
    </row>
    <row r="361" spans="1:20" x14ac:dyDescent="0.3">
      <c r="A361" s="105"/>
      <c r="B361" s="108"/>
      <c r="C361" s="111"/>
      <c r="D361" s="111"/>
      <c r="E361" s="115"/>
      <c r="F361" s="29" t="s">
        <v>31</v>
      </c>
      <c r="G361" s="14"/>
      <c r="H361" s="14"/>
      <c r="I361" s="14"/>
      <c r="J361" s="14"/>
      <c r="K361" s="13"/>
      <c r="L361" s="13"/>
      <c r="M361" s="13"/>
      <c r="N361" s="13"/>
      <c r="O361" s="13"/>
      <c r="P361" s="14"/>
      <c r="Q361" s="14"/>
      <c r="R361" s="30"/>
      <c r="S361" s="16">
        <f>SUMIF($G$4:$R$4,"&gt;=0",G361:R361)</f>
        <v>0</v>
      </c>
      <c r="T361" s="17">
        <f t="shared" ref="T361" si="290">SUM(G361:R361)</f>
        <v>0</v>
      </c>
    </row>
    <row r="362" spans="1:20" ht="15" thickBot="1" x14ac:dyDescent="0.35">
      <c r="A362" s="105"/>
      <c r="B362" s="108"/>
      <c r="C362" s="111"/>
      <c r="D362" s="111"/>
      <c r="E362" s="115"/>
      <c r="F362" s="18" t="s">
        <v>32</v>
      </c>
      <c r="G362" s="19">
        <f>(G360-G361)/G360</f>
        <v>1</v>
      </c>
      <c r="H362" s="19">
        <f t="shared" ref="H362:S362" si="291">(H360-H361)/H360</f>
        <v>1</v>
      </c>
      <c r="I362" s="19">
        <f t="shared" si="291"/>
        <v>1</v>
      </c>
      <c r="J362" s="19" t="e">
        <f t="shared" si="291"/>
        <v>#DIV/0!</v>
      </c>
      <c r="K362" s="19" t="e">
        <f t="shared" si="291"/>
        <v>#DIV/0!</v>
      </c>
      <c r="L362" s="19" t="e">
        <f t="shared" si="291"/>
        <v>#DIV/0!</v>
      </c>
      <c r="M362" s="19" t="e">
        <f t="shared" si="291"/>
        <v>#DIV/0!</v>
      </c>
      <c r="N362" s="19" t="e">
        <f t="shared" si="291"/>
        <v>#DIV/0!</v>
      </c>
      <c r="O362" s="19" t="e">
        <f t="shared" si="291"/>
        <v>#DIV/0!</v>
      </c>
      <c r="P362" s="19" t="e">
        <f t="shared" si="291"/>
        <v>#DIV/0!</v>
      </c>
      <c r="Q362" s="19" t="e">
        <f t="shared" si="291"/>
        <v>#DIV/0!</v>
      </c>
      <c r="R362" s="25" t="e">
        <f t="shared" si="291"/>
        <v>#DIV/0!</v>
      </c>
      <c r="S362" s="21">
        <f t="shared" si="291"/>
        <v>1</v>
      </c>
      <c r="T362" s="22" t="e">
        <f t="shared" ref="T362" si="292">T360/T361</f>
        <v>#DIV/0!</v>
      </c>
    </row>
    <row r="363" spans="1:20" x14ac:dyDescent="0.3">
      <c r="A363" s="105"/>
      <c r="B363" s="108"/>
      <c r="C363" s="111"/>
      <c r="D363" s="111"/>
      <c r="E363" s="115"/>
      <c r="F363" s="31" t="s">
        <v>33</v>
      </c>
      <c r="G363" s="23"/>
      <c r="H363" s="23"/>
      <c r="I363" s="23"/>
      <c r="J363" s="23"/>
      <c r="K363" s="9"/>
      <c r="L363" s="9"/>
      <c r="M363" s="9"/>
      <c r="N363" s="9"/>
      <c r="O363" s="9"/>
      <c r="P363" s="23"/>
      <c r="Q363" s="23"/>
      <c r="R363" s="24"/>
      <c r="S363" s="11">
        <f>SUMIF($G$4:$R$4,"&gt;=0",G363:R363)</f>
        <v>0</v>
      </c>
      <c r="T363" s="10">
        <f>SUM(G363:R363)</f>
        <v>0</v>
      </c>
    </row>
    <row r="364" spans="1:20" x14ac:dyDescent="0.3">
      <c r="A364" s="105"/>
      <c r="B364" s="108"/>
      <c r="C364" s="111"/>
      <c r="D364" s="111"/>
      <c r="E364" s="115"/>
      <c r="F364" s="32" t="s">
        <v>34</v>
      </c>
      <c r="G364" s="14"/>
      <c r="H364" s="14"/>
      <c r="I364" s="14"/>
      <c r="J364" s="14"/>
      <c r="K364" s="13"/>
      <c r="L364" s="13"/>
      <c r="M364" s="13"/>
      <c r="N364" s="13"/>
      <c r="O364" s="13"/>
      <c r="P364" s="14"/>
      <c r="Q364" s="14"/>
      <c r="R364" s="30"/>
      <c r="S364" s="16">
        <f>SUMIF($G$4:$R$4,"&gt;=0",G364:R364)</f>
        <v>0</v>
      </c>
      <c r="T364" s="17">
        <f>SUM(G364:R364)</f>
        <v>0</v>
      </c>
    </row>
    <row r="365" spans="1:20" ht="15" thickBot="1" x14ac:dyDescent="0.35">
      <c r="A365" s="106"/>
      <c r="B365" s="109"/>
      <c r="C365" s="112"/>
      <c r="D365" s="113"/>
      <c r="E365" s="116"/>
      <c r="F365" s="21" t="s">
        <v>35</v>
      </c>
      <c r="G365" s="19" t="e">
        <f>(G364-G363)/G364</f>
        <v>#DIV/0!</v>
      </c>
      <c r="H365" s="19" t="e">
        <f t="shared" ref="H365:S365" si="293">(H364-H363)/H364</f>
        <v>#DIV/0!</v>
      </c>
      <c r="I365" s="19" t="e">
        <f t="shared" si="293"/>
        <v>#DIV/0!</v>
      </c>
      <c r="J365" s="19" t="e">
        <f t="shared" si="293"/>
        <v>#DIV/0!</v>
      </c>
      <c r="K365" s="19" t="e">
        <f t="shared" si="293"/>
        <v>#DIV/0!</v>
      </c>
      <c r="L365" s="19" t="e">
        <f t="shared" si="293"/>
        <v>#DIV/0!</v>
      </c>
      <c r="M365" s="19" t="e">
        <f t="shared" si="293"/>
        <v>#DIV/0!</v>
      </c>
      <c r="N365" s="19" t="e">
        <f t="shared" si="293"/>
        <v>#DIV/0!</v>
      </c>
      <c r="O365" s="19" t="e">
        <f t="shared" si="293"/>
        <v>#DIV/0!</v>
      </c>
      <c r="P365" s="19" t="e">
        <f t="shared" si="293"/>
        <v>#DIV/0!</v>
      </c>
      <c r="Q365" s="19" t="e">
        <f t="shared" si="293"/>
        <v>#DIV/0!</v>
      </c>
      <c r="R365" s="25" t="e">
        <f t="shared" si="293"/>
        <v>#DIV/0!</v>
      </c>
      <c r="S365" s="21" t="e">
        <f t="shared" si="293"/>
        <v>#DIV/0!</v>
      </c>
      <c r="T365" s="22" t="e">
        <f t="shared" ref="T365" si="294">T364/T363</f>
        <v>#DIV/0!</v>
      </c>
    </row>
    <row r="366" spans="1:20" x14ac:dyDescent="0.3">
      <c r="A366" s="104">
        <v>34</v>
      </c>
      <c r="B366" s="107" t="s">
        <v>109</v>
      </c>
      <c r="C366" s="110" t="s">
        <v>110</v>
      </c>
      <c r="D366" s="110" t="s">
        <v>37</v>
      </c>
      <c r="E366" s="114" t="s">
        <v>76</v>
      </c>
      <c r="F366" s="11" t="s">
        <v>25</v>
      </c>
      <c r="G366" s="23">
        <v>1120000</v>
      </c>
      <c r="H366" s="23">
        <v>1131200</v>
      </c>
      <c r="I366" s="23">
        <v>1131200</v>
      </c>
      <c r="J366" s="23">
        <v>1131200</v>
      </c>
      <c r="K366" s="9">
        <v>1142512</v>
      </c>
      <c r="L366" s="9">
        <v>1142512</v>
      </c>
      <c r="M366" s="9">
        <v>1163077.216</v>
      </c>
      <c r="N366" s="9">
        <v>1163077.216</v>
      </c>
      <c r="O366" s="9">
        <v>1174707.9881599999</v>
      </c>
      <c r="P366" s="23">
        <v>1186455.0680415998</v>
      </c>
      <c r="Q366" s="23">
        <v>1186455.0680415998</v>
      </c>
      <c r="R366" s="24">
        <v>1195000</v>
      </c>
      <c r="S366" s="11">
        <f>SUMIF($G$4:$R$4,"&gt;=0",G366:R366)</f>
        <v>6798624</v>
      </c>
      <c r="T366" s="10">
        <f>SUM(G366:R366)</f>
        <v>13867396.5562432</v>
      </c>
    </row>
    <row r="367" spans="1:20" x14ac:dyDescent="0.3">
      <c r="A367" s="105"/>
      <c r="B367" s="108"/>
      <c r="C367" s="111"/>
      <c r="D367" s="111"/>
      <c r="E367" s="115"/>
      <c r="F367" s="12" t="s">
        <v>26</v>
      </c>
      <c r="G367" s="14">
        <v>1221027.3099999998</v>
      </c>
      <c r="H367" s="14">
        <v>1105541.74</v>
      </c>
      <c r="I367" s="14">
        <v>964343.56300000008</v>
      </c>
      <c r="J367" s="14">
        <v>1323936.3199999998</v>
      </c>
      <c r="K367" s="13">
        <v>1268900.69</v>
      </c>
      <c r="L367" s="13">
        <v>1238435.48</v>
      </c>
      <c r="M367" s="13"/>
      <c r="N367" s="13"/>
      <c r="O367" s="13"/>
      <c r="P367" s="14"/>
      <c r="Q367" s="14"/>
      <c r="R367" s="30"/>
      <c r="S367" s="16">
        <f>SUMIF($G$4:$R$4,"&gt;=0",G367:R367)</f>
        <v>7122185.1030000001</v>
      </c>
      <c r="T367" s="17">
        <f t="shared" ref="T367" si="295">SUM(G367:R367)</f>
        <v>7122185.1030000001</v>
      </c>
    </row>
    <row r="368" spans="1:20" ht="15" thickBot="1" x14ac:dyDescent="0.35">
      <c r="A368" s="105"/>
      <c r="B368" s="108"/>
      <c r="C368" s="111"/>
      <c r="D368" s="111"/>
      <c r="E368" s="115"/>
      <c r="F368" s="18" t="s">
        <v>27</v>
      </c>
      <c r="G368" s="19">
        <f>G367/G366</f>
        <v>1.0902029553571426</v>
      </c>
      <c r="H368" s="19">
        <f t="shared" ref="H368:T368" si="296">H367/H366</f>
        <v>0.97731766265912301</v>
      </c>
      <c r="I368" s="19">
        <f t="shared" si="296"/>
        <v>0.85249607761669033</v>
      </c>
      <c r="J368" s="19">
        <f t="shared" si="296"/>
        <v>1.1703821782178216</v>
      </c>
      <c r="K368" s="19">
        <f t="shared" si="296"/>
        <v>1.1106235120506391</v>
      </c>
      <c r="L368" s="19">
        <f t="shared" si="296"/>
        <v>1.083958400436932</v>
      </c>
      <c r="M368" s="19">
        <f t="shared" si="296"/>
        <v>0</v>
      </c>
      <c r="N368" s="19">
        <f t="shared" si="296"/>
        <v>0</v>
      </c>
      <c r="O368" s="19">
        <f t="shared" si="296"/>
        <v>0</v>
      </c>
      <c r="P368" s="19">
        <f t="shared" si="296"/>
        <v>0</v>
      </c>
      <c r="Q368" s="19">
        <f t="shared" si="296"/>
        <v>0</v>
      </c>
      <c r="R368" s="25">
        <f t="shared" si="296"/>
        <v>0</v>
      </c>
      <c r="S368" s="21">
        <f t="shared" si="296"/>
        <v>1.0475921455576893</v>
      </c>
      <c r="T368" s="22">
        <f t="shared" si="296"/>
        <v>0.51359208443444582</v>
      </c>
    </row>
    <row r="369" spans="1:20" x14ac:dyDescent="0.3">
      <c r="A369" s="105"/>
      <c r="B369" s="108"/>
      <c r="C369" s="111"/>
      <c r="D369" s="111"/>
      <c r="E369" s="115"/>
      <c r="F369" s="11" t="s">
        <v>28</v>
      </c>
      <c r="G369" s="23">
        <v>0</v>
      </c>
      <c r="H369" s="23">
        <v>0</v>
      </c>
      <c r="I369" s="23">
        <v>0</v>
      </c>
      <c r="J369" s="23"/>
      <c r="K369" s="9"/>
      <c r="L369" s="9"/>
      <c r="M369" s="9"/>
      <c r="N369" s="9">
        <v>80124.87</v>
      </c>
      <c r="O369" s="9">
        <v>1255145.3600000001</v>
      </c>
      <c r="P369" s="23">
        <v>1693542.1</v>
      </c>
      <c r="Q369" s="23">
        <v>1705577.6099999999</v>
      </c>
      <c r="R369" s="24">
        <v>1343948.38</v>
      </c>
      <c r="S369" s="11">
        <f>SUMIF($G$4:$R$4,"&gt;=0",G369:R369)</f>
        <v>0</v>
      </c>
      <c r="T369" s="10">
        <f>SUM(G369:R369)</f>
        <v>6078338.3199999994</v>
      </c>
    </row>
    <row r="370" spans="1:20" ht="15" thickBot="1" x14ac:dyDescent="0.35">
      <c r="A370" s="105"/>
      <c r="B370" s="108"/>
      <c r="C370" s="111"/>
      <c r="D370" s="111"/>
      <c r="E370" s="115"/>
      <c r="F370" s="18" t="s">
        <v>29</v>
      </c>
      <c r="G370" s="19">
        <f>(G367-G369)/G367</f>
        <v>1</v>
      </c>
      <c r="H370" s="19">
        <f t="shared" ref="H370:S370" si="297">(H367-H369)/H367</f>
        <v>1</v>
      </c>
      <c r="I370" s="19">
        <f t="shared" si="297"/>
        <v>1</v>
      </c>
      <c r="J370" s="19">
        <f t="shared" si="297"/>
        <v>1</v>
      </c>
      <c r="K370" s="19">
        <f t="shared" si="297"/>
        <v>1</v>
      </c>
      <c r="L370" s="19">
        <f t="shared" si="297"/>
        <v>1</v>
      </c>
      <c r="M370" s="19" t="e">
        <f t="shared" si="297"/>
        <v>#DIV/0!</v>
      </c>
      <c r="N370" s="19" t="e">
        <f t="shared" si="297"/>
        <v>#DIV/0!</v>
      </c>
      <c r="O370" s="19" t="e">
        <f t="shared" si="297"/>
        <v>#DIV/0!</v>
      </c>
      <c r="P370" s="19" t="e">
        <f t="shared" si="297"/>
        <v>#DIV/0!</v>
      </c>
      <c r="Q370" s="19" t="e">
        <f t="shared" si="297"/>
        <v>#DIV/0!</v>
      </c>
      <c r="R370" s="25" t="e">
        <f t="shared" si="297"/>
        <v>#DIV/0!</v>
      </c>
      <c r="S370" s="21">
        <f t="shared" si="297"/>
        <v>1</v>
      </c>
      <c r="T370" s="22">
        <f t="shared" ref="T370" si="298">T367/T369</f>
        <v>1.1717322610301826</v>
      </c>
    </row>
    <row r="371" spans="1:20" x14ac:dyDescent="0.3">
      <c r="A371" s="105"/>
      <c r="B371" s="108"/>
      <c r="C371" s="111"/>
      <c r="D371" s="111"/>
      <c r="E371" s="115"/>
      <c r="F371" s="26" t="s">
        <v>30</v>
      </c>
      <c r="G371" s="23">
        <v>2693653.0614</v>
      </c>
      <c r="H371" s="23">
        <v>2439039.0114000002</v>
      </c>
      <c r="I371" s="23">
        <v>2129799.8646</v>
      </c>
      <c r="J371" s="23"/>
      <c r="K371" s="9"/>
      <c r="L371" s="9"/>
      <c r="M371" s="9"/>
      <c r="N371" s="9"/>
      <c r="O371" s="9"/>
      <c r="P371" s="23"/>
      <c r="Q371" s="23"/>
      <c r="R371" s="24"/>
      <c r="S371" s="11">
        <f>SUMIF($G$4:$R$4,"&gt;=0",G371:R371)</f>
        <v>7262491.9374000002</v>
      </c>
      <c r="T371" s="10">
        <f>SUM(G371:R371)</f>
        <v>7262491.9374000002</v>
      </c>
    </row>
    <row r="372" spans="1:20" x14ac:dyDescent="0.3">
      <c r="A372" s="105"/>
      <c r="B372" s="108"/>
      <c r="C372" s="111"/>
      <c r="D372" s="111"/>
      <c r="E372" s="115"/>
      <c r="F372" s="29" t="s">
        <v>31</v>
      </c>
      <c r="G372" s="14"/>
      <c r="H372" s="14"/>
      <c r="I372" s="14"/>
      <c r="J372" s="14"/>
      <c r="K372" s="13"/>
      <c r="L372" s="13"/>
      <c r="M372" s="13"/>
      <c r="N372" s="13"/>
      <c r="O372" s="13"/>
      <c r="P372" s="14"/>
      <c r="Q372" s="14"/>
      <c r="R372" s="30"/>
      <c r="S372" s="16">
        <f>SUMIF($G$4:$R$4,"&gt;=0",G372:R372)</f>
        <v>0</v>
      </c>
      <c r="T372" s="17">
        <f t="shared" ref="T372" si="299">SUM(G372:R372)</f>
        <v>0</v>
      </c>
    </row>
    <row r="373" spans="1:20" ht="15" thickBot="1" x14ac:dyDescent="0.35">
      <c r="A373" s="105"/>
      <c r="B373" s="108"/>
      <c r="C373" s="111"/>
      <c r="D373" s="111"/>
      <c r="E373" s="115"/>
      <c r="F373" s="18" t="s">
        <v>32</v>
      </c>
      <c r="G373" s="19">
        <f>(G371-G372)/G371</f>
        <v>1</v>
      </c>
      <c r="H373" s="19">
        <f t="shared" ref="H373:S373" si="300">(H371-H372)/H371</f>
        <v>1</v>
      </c>
      <c r="I373" s="19">
        <f t="shared" si="300"/>
        <v>1</v>
      </c>
      <c r="J373" s="19" t="e">
        <f t="shared" si="300"/>
        <v>#DIV/0!</v>
      </c>
      <c r="K373" s="19" t="e">
        <f t="shared" si="300"/>
        <v>#DIV/0!</v>
      </c>
      <c r="L373" s="19" t="e">
        <f t="shared" si="300"/>
        <v>#DIV/0!</v>
      </c>
      <c r="M373" s="19" t="e">
        <f t="shared" si="300"/>
        <v>#DIV/0!</v>
      </c>
      <c r="N373" s="19" t="e">
        <f t="shared" si="300"/>
        <v>#DIV/0!</v>
      </c>
      <c r="O373" s="19" t="e">
        <f t="shared" si="300"/>
        <v>#DIV/0!</v>
      </c>
      <c r="P373" s="19" t="e">
        <f t="shared" si="300"/>
        <v>#DIV/0!</v>
      </c>
      <c r="Q373" s="19" t="e">
        <f t="shared" si="300"/>
        <v>#DIV/0!</v>
      </c>
      <c r="R373" s="25" t="e">
        <f t="shared" si="300"/>
        <v>#DIV/0!</v>
      </c>
      <c r="S373" s="21">
        <f t="shared" si="300"/>
        <v>1</v>
      </c>
      <c r="T373" s="22" t="e">
        <f t="shared" ref="T373" si="301">T371/T372</f>
        <v>#DIV/0!</v>
      </c>
    </row>
    <row r="374" spans="1:20" x14ac:dyDescent="0.3">
      <c r="A374" s="105"/>
      <c r="B374" s="108"/>
      <c r="C374" s="111"/>
      <c r="D374" s="111"/>
      <c r="E374" s="115"/>
      <c r="F374" s="31" t="s">
        <v>33</v>
      </c>
      <c r="G374" s="23"/>
      <c r="H374" s="23"/>
      <c r="I374" s="23"/>
      <c r="J374" s="23"/>
      <c r="K374" s="9"/>
      <c r="L374" s="9"/>
      <c r="M374" s="9"/>
      <c r="N374" s="9"/>
      <c r="O374" s="9"/>
      <c r="P374" s="23"/>
      <c r="Q374" s="23"/>
      <c r="R374" s="24"/>
      <c r="S374" s="11">
        <f>SUMIF($G$4:$R$4,"&gt;=0",G374:R374)</f>
        <v>0</v>
      </c>
      <c r="T374" s="10">
        <f>SUM(G374:R374)</f>
        <v>0</v>
      </c>
    </row>
    <row r="375" spans="1:20" x14ac:dyDescent="0.3">
      <c r="A375" s="105"/>
      <c r="B375" s="108"/>
      <c r="C375" s="111"/>
      <c r="D375" s="111"/>
      <c r="E375" s="115"/>
      <c r="F375" s="32" t="s">
        <v>34</v>
      </c>
      <c r="G375" s="14"/>
      <c r="H375" s="14"/>
      <c r="I375" s="14"/>
      <c r="J375" s="14"/>
      <c r="K375" s="13"/>
      <c r="L375" s="13"/>
      <c r="M375" s="13"/>
      <c r="N375" s="13"/>
      <c r="O375" s="13"/>
      <c r="P375" s="14"/>
      <c r="Q375" s="14"/>
      <c r="R375" s="30"/>
      <c r="S375" s="16">
        <f>SUMIF($G$4:$R$4,"&gt;=0",G375:R375)</f>
        <v>0</v>
      </c>
      <c r="T375" s="17">
        <f>SUM(G375:R375)</f>
        <v>0</v>
      </c>
    </row>
    <row r="376" spans="1:20" ht="15" thickBot="1" x14ac:dyDescent="0.35">
      <c r="A376" s="117"/>
      <c r="B376" s="109"/>
      <c r="C376" s="112"/>
      <c r="D376" s="113"/>
      <c r="E376" s="116"/>
      <c r="F376" s="21" t="s">
        <v>35</v>
      </c>
      <c r="G376" s="19" t="e">
        <f>(G375-G374)/G375</f>
        <v>#DIV/0!</v>
      </c>
      <c r="H376" s="19" t="e">
        <f t="shared" ref="H376:S376" si="302">(H375-H374)/H375</f>
        <v>#DIV/0!</v>
      </c>
      <c r="I376" s="19" t="e">
        <f t="shared" si="302"/>
        <v>#DIV/0!</v>
      </c>
      <c r="J376" s="19" t="e">
        <f t="shared" si="302"/>
        <v>#DIV/0!</v>
      </c>
      <c r="K376" s="19" t="e">
        <f t="shared" si="302"/>
        <v>#DIV/0!</v>
      </c>
      <c r="L376" s="19" t="e">
        <f t="shared" si="302"/>
        <v>#DIV/0!</v>
      </c>
      <c r="M376" s="19" t="e">
        <f t="shared" si="302"/>
        <v>#DIV/0!</v>
      </c>
      <c r="N376" s="19" t="e">
        <f t="shared" si="302"/>
        <v>#DIV/0!</v>
      </c>
      <c r="O376" s="19" t="e">
        <f t="shared" si="302"/>
        <v>#DIV/0!</v>
      </c>
      <c r="P376" s="19" t="e">
        <f t="shared" si="302"/>
        <v>#DIV/0!</v>
      </c>
      <c r="Q376" s="19" t="e">
        <f t="shared" si="302"/>
        <v>#DIV/0!</v>
      </c>
      <c r="R376" s="25" t="e">
        <f t="shared" si="302"/>
        <v>#DIV/0!</v>
      </c>
      <c r="S376" s="21" t="e">
        <f t="shared" si="302"/>
        <v>#DIV/0!</v>
      </c>
      <c r="T376" s="22" t="e">
        <f t="shared" ref="T376" si="303">T375/T374</f>
        <v>#DIV/0!</v>
      </c>
    </row>
    <row r="377" spans="1:20" x14ac:dyDescent="0.3">
      <c r="A377" s="104">
        <v>35</v>
      </c>
      <c r="B377" s="107" t="s">
        <v>111</v>
      </c>
      <c r="C377" s="110" t="s">
        <v>112</v>
      </c>
      <c r="D377" s="110" t="s">
        <v>37</v>
      </c>
      <c r="E377" s="114" t="s">
        <v>24</v>
      </c>
      <c r="F377" s="11" t="s">
        <v>25</v>
      </c>
      <c r="G377" s="23">
        <v>295000</v>
      </c>
      <c r="H377" s="23">
        <v>299425</v>
      </c>
      <c r="I377" s="23">
        <v>302419.25</v>
      </c>
      <c r="J377" s="23">
        <v>302419.25</v>
      </c>
      <c r="K377" s="9">
        <v>305443.4425</v>
      </c>
      <c r="L377" s="9">
        <v>305443.4425</v>
      </c>
      <c r="M377" s="9">
        <v>305443.4425</v>
      </c>
      <c r="N377" s="9">
        <v>305443.4425</v>
      </c>
      <c r="O377" s="9">
        <v>305443.4425</v>
      </c>
      <c r="P377" s="23">
        <v>311552.31135000003</v>
      </c>
      <c r="Q377" s="23">
        <v>316225.59602025</v>
      </c>
      <c r="R377" s="24">
        <v>320968.9799605537</v>
      </c>
      <c r="S377" s="11">
        <f>SUMIF($G$4:$R$4,"&gt;=0",G377:R377)</f>
        <v>1810150.3849999998</v>
      </c>
      <c r="T377" s="10">
        <f>SUM(G377:R377)</f>
        <v>3675227.5998308035</v>
      </c>
    </row>
    <row r="378" spans="1:20" x14ac:dyDescent="0.3">
      <c r="A378" s="105"/>
      <c r="B378" s="108"/>
      <c r="C378" s="111"/>
      <c r="D378" s="111"/>
      <c r="E378" s="115"/>
      <c r="F378" s="12" t="s">
        <v>26</v>
      </c>
      <c r="G378" s="14">
        <v>570687.95000000007</v>
      </c>
      <c r="H378" s="14">
        <v>465369.41000000003</v>
      </c>
      <c r="I378" s="14">
        <v>598058.17000000004</v>
      </c>
      <c r="J378" s="14">
        <v>493010.72999999992</v>
      </c>
      <c r="K378" s="13">
        <v>430723.07999999996</v>
      </c>
      <c r="L378" s="13">
        <v>524390.60000000009</v>
      </c>
      <c r="M378" s="13"/>
      <c r="N378" s="13"/>
      <c r="O378" s="13"/>
      <c r="P378" s="14"/>
      <c r="Q378" s="14"/>
      <c r="R378" s="30"/>
      <c r="S378" s="16">
        <f>SUMIF($G$4:$R$4,"&gt;=0",G378:R378)</f>
        <v>3082239.9400000004</v>
      </c>
      <c r="T378" s="17">
        <f t="shared" ref="T378" si="304">SUM(G378:R378)</f>
        <v>3082239.9400000004</v>
      </c>
    </row>
    <row r="379" spans="1:20" ht="15" thickBot="1" x14ac:dyDescent="0.35">
      <c r="A379" s="105"/>
      <c r="B379" s="108"/>
      <c r="C379" s="111"/>
      <c r="D379" s="111"/>
      <c r="E379" s="115"/>
      <c r="F379" s="18" t="s">
        <v>27</v>
      </c>
      <c r="G379" s="19">
        <f>G378/G377</f>
        <v>1.9345354237288137</v>
      </c>
      <c r="H379" s="19">
        <f t="shared" ref="H379:T379" si="305">H378/H377</f>
        <v>1.5542102696835602</v>
      </c>
      <c r="I379" s="19">
        <f t="shared" si="305"/>
        <v>1.9775797010276299</v>
      </c>
      <c r="J379" s="19">
        <f t="shared" si="305"/>
        <v>1.6302227123438733</v>
      </c>
      <c r="K379" s="19">
        <f t="shared" si="305"/>
        <v>1.4101565791513102</v>
      </c>
      <c r="L379" s="19">
        <f t="shared" si="305"/>
        <v>1.7168173449983299</v>
      </c>
      <c r="M379" s="19">
        <f t="shared" si="305"/>
        <v>0</v>
      </c>
      <c r="N379" s="19">
        <f t="shared" si="305"/>
        <v>0</v>
      </c>
      <c r="O379" s="19">
        <f t="shared" si="305"/>
        <v>0</v>
      </c>
      <c r="P379" s="19">
        <f t="shared" si="305"/>
        <v>0</v>
      </c>
      <c r="Q379" s="19">
        <f t="shared" si="305"/>
        <v>0</v>
      </c>
      <c r="R379" s="25">
        <f t="shared" si="305"/>
        <v>0</v>
      </c>
      <c r="S379" s="21">
        <f t="shared" si="305"/>
        <v>1.7027535201170596</v>
      </c>
      <c r="T379" s="22">
        <f t="shared" si="305"/>
        <v>0.83865280619407012</v>
      </c>
    </row>
    <row r="380" spans="1:20" x14ac:dyDescent="0.3">
      <c r="A380" s="105"/>
      <c r="B380" s="108"/>
      <c r="C380" s="111"/>
      <c r="D380" s="111"/>
      <c r="E380" s="115"/>
      <c r="F380" s="11" t="s">
        <v>28</v>
      </c>
      <c r="G380" s="23">
        <v>0</v>
      </c>
      <c r="H380" s="23">
        <v>0</v>
      </c>
      <c r="I380" s="23">
        <v>0</v>
      </c>
      <c r="J380" s="23"/>
      <c r="K380" s="9"/>
      <c r="L380" s="9"/>
      <c r="M380" s="9"/>
      <c r="N380" s="9">
        <v>101951.51999999997</v>
      </c>
      <c r="O380" s="9">
        <v>285475.06299999997</v>
      </c>
      <c r="P380" s="23">
        <v>324852.90000000002</v>
      </c>
      <c r="Q380" s="23">
        <v>433843.68000000005</v>
      </c>
      <c r="R380" s="24">
        <v>471539.71000000008</v>
      </c>
      <c r="S380" s="11">
        <f>SUMIF($G$4:$R$4,"&gt;=0",G380:R380)</f>
        <v>0</v>
      </c>
      <c r="T380" s="10">
        <f>SUM(G380:R380)</f>
        <v>1617662.8730000001</v>
      </c>
    </row>
    <row r="381" spans="1:20" ht="15" thickBot="1" x14ac:dyDescent="0.35">
      <c r="A381" s="105"/>
      <c r="B381" s="108"/>
      <c r="C381" s="111"/>
      <c r="D381" s="111"/>
      <c r="E381" s="115"/>
      <c r="F381" s="18" t="s">
        <v>29</v>
      </c>
      <c r="G381" s="19">
        <f>(G378-G380)/G378</f>
        <v>1</v>
      </c>
      <c r="H381" s="19">
        <f t="shared" ref="H381:S381" si="306">(H378-H380)/H378</f>
        <v>1</v>
      </c>
      <c r="I381" s="19">
        <f t="shared" si="306"/>
        <v>1</v>
      </c>
      <c r="J381" s="19">
        <f t="shared" si="306"/>
        <v>1</v>
      </c>
      <c r="K381" s="19">
        <f t="shared" si="306"/>
        <v>1</v>
      </c>
      <c r="L381" s="19">
        <f t="shared" si="306"/>
        <v>1</v>
      </c>
      <c r="M381" s="19" t="e">
        <f t="shared" si="306"/>
        <v>#DIV/0!</v>
      </c>
      <c r="N381" s="19" t="e">
        <f t="shared" si="306"/>
        <v>#DIV/0!</v>
      </c>
      <c r="O381" s="19" t="e">
        <f t="shared" si="306"/>
        <v>#DIV/0!</v>
      </c>
      <c r="P381" s="19" t="e">
        <f t="shared" si="306"/>
        <v>#DIV/0!</v>
      </c>
      <c r="Q381" s="19" t="e">
        <f t="shared" si="306"/>
        <v>#DIV/0!</v>
      </c>
      <c r="R381" s="25" t="e">
        <f t="shared" si="306"/>
        <v>#DIV/0!</v>
      </c>
      <c r="S381" s="21">
        <f t="shared" si="306"/>
        <v>1</v>
      </c>
      <c r="T381" s="22">
        <f t="shared" ref="T381" si="307">T378/T380</f>
        <v>1.9053660632538978</v>
      </c>
    </row>
    <row r="382" spans="1:20" x14ac:dyDescent="0.3">
      <c r="A382" s="105"/>
      <c r="B382" s="108"/>
      <c r="C382" s="111"/>
      <c r="D382" s="111"/>
      <c r="E382" s="115"/>
      <c r="F382" s="26" t="s">
        <v>30</v>
      </c>
      <c r="G382" s="23">
        <v>1260956.1592999995</v>
      </c>
      <c r="H382" s="23">
        <v>1019798.6155999999</v>
      </c>
      <c r="I382" s="23">
        <v>1316969.7454999995</v>
      </c>
      <c r="J382" s="23"/>
      <c r="K382" s="9"/>
      <c r="L382" s="9"/>
      <c r="M382" s="9"/>
      <c r="N382" s="9"/>
      <c r="O382" s="9"/>
      <c r="P382" s="23"/>
      <c r="Q382" s="23"/>
      <c r="R382" s="24"/>
      <c r="S382" s="11">
        <f>SUMIF($G$4:$R$4,"&gt;=0",G382:R382)</f>
        <v>3597724.5203999989</v>
      </c>
      <c r="T382" s="10">
        <f>SUM(G382:R382)</f>
        <v>3597724.5203999989</v>
      </c>
    </row>
    <row r="383" spans="1:20" x14ac:dyDescent="0.3">
      <c r="A383" s="105"/>
      <c r="B383" s="108"/>
      <c r="C383" s="111"/>
      <c r="D383" s="111"/>
      <c r="E383" s="115"/>
      <c r="F383" s="29" t="s">
        <v>31</v>
      </c>
      <c r="G383" s="14"/>
      <c r="H383" s="14"/>
      <c r="I383" s="14"/>
      <c r="J383" s="14"/>
      <c r="K383" s="13"/>
      <c r="L383" s="13"/>
      <c r="M383" s="13"/>
      <c r="N383" s="13"/>
      <c r="O383" s="13"/>
      <c r="P383" s="14"/>
      <c r="Q383" s="14"/>
      <c r="R383" s="30"/>
      <c r="S383" s="16">
        <f>SUMIF($G$4:$R$4,"&gt;=0",G383:R383)</f>
        <v>0</v>
      </c>
      <c r="T383" s="17">
        <f t="shared" ref="T383" si="308">SUM(G383:R383)</f>
        <v>0</v>
      </c>
    </row>
    <row r="384" spans="1:20" ht="15" thickBot="1" x14ac:dyDescent="0.35">
      <c r="A384" s="105"/>
      <c r="B384" s="108"/>
      <c r="C384" s="111"/>
      <c r="D384" s="111"/>
      <c r="E384" s="115"/>
      <c r="F384" s="18" t="s">
        <v>32</v>
      </c>
      <c r="G384" s="19">
        <f>(G382-G383)/G382</f>
        <v>1</v>
      </c>
      <c r="H384" s="19">
        <f t="shared" ref="H384:S384" si="309">(H382-H383)/H382</f>
        <v>1</v>
      </c>
      <c r="I384" s="19">
        <f t="shared" si="309"/>
        <v>1</v>
      </c>
      <c r="J384" s="19" t="e">
        <f t="shared" si="309"/>
        <v>#DIV/0!</v>
      </c>
      <c r="K384" s="19" t="e">
        <f t="shared" si="309"/>
        <v>#DIV/0!</v>
      </c>
      <c r="L384" s="19" t="e">
        <f t="shared" si="309"/>
        <v>#DIV/0!</v>
      </c>
      <c r="M384" s="19" t="e">
        <f t="shared" si="309"/>
        <v>#DIV/0!</v>
      </c>
      <c r="N384" s="19" t="e">
        <f t="shared" si="309"/>
        <v>#DIV/0!</v>
      </c>
      <c r="O384" s="19" t="e">
        <f t="shared" si="309"/>
        <v>#DIV/0!</v>
      </c>
      <c r="P384" s="19" t="e">
        <f t="shared" si="309"/>
        <v>#DIV/0!</v>
      </c>
      <c r="Q384" s="19" t="e">
        <f t="shared" si="309"/>
        <v>#DIV/0!</v>
      </c>
      <c r="R384" s="25" t="e">
        <f t="shared" si="309"/>
        <v>#DIV/0!</v>
      </c>
      <c r="S384" s="21">
        <f t="shared" si="309"/>
        <v>1</v>
      </c>
      <c r="T384" s="22" t="e">
        <f t="shared" ref="T384" si="310">T382/T383</f>
        <v>#DIV/0!</v>
      </c>
    </row>
    <row r="385" spans="1:20" x14ac:dyDescent="0.3">
      <c r="A385" s="105"/>
      <c r="B385" s="108"/>
      <c r="C385" s="111"/>
      <c r="D385" s="111"/>
      <c r="E385" s="115"/>
      <c r="F385" s="31" t="s">
        <v>33</v>
      </c>
      <c r="G385" s="23"/>
      <c r="H385" s="23"/>
      <c r="I385" s="23"/>
      <c r="J385" s="23"/>
      <c r="K385" s="9"/>
      <c r="L385" s="9"/>
      <c r="M385" s="9"/>
      <c r="N385" s="9"/>
      <c r="O385" s="9"/>
      <c r="P385" s="23"/>
      <c r="Q385" s="23"/>
      <c r="R385" s="24"/>
      <c r="S385" s="11">
        <f>SUMIF($G$4:$R$4,"&gt;=0",G385:R385)</f>
        <v>0</v>
      </c>
      <c r="T385" s="10">
        <f>SUM(G385:R385)</f>
        <v>0</v>
      </c>
    </row>
    <row r="386" spans="1:20" x14ac:dyDescent="0.3">
      <c r="A386" s="105"/>
      <c r="B386" s="108"/>
      <c r="C386" s="111"/>
      <c r="D386" s="111"/>
      <c r="E386" s="115"/>
      <c r="F386" s="32" t="s">
        <v>34</v>
      </c>
      <c r="G386" s="14"/>
      <c r="H386" s="14"/>
      <c r="I386" s="14"/>
      <c r="J386" s="14"/>
      <c r="K386" s="13"/>
      <c r="L386" s="13"/>
      <c r="M386" s="13"/>
      <c r="N386" s="13"/>
      <c r="O386" s="13"/>
      <c r="P386" s="14"/>
      <c r="Q386" s="14"/>
      <c r="R386" s="30"/>
      <c r="S386" s="16">
        <f>SUMIF($G$4:$R$4,"&gt;=0",G386:R386)</f>
        <v>0</v>
      </c>
      <c r="T386" s="17">
        <f>SUM(G386:R386)</f>
        <v>0</v>
      </c>
    </row>
    <row r="387" spans="1:20" ht="15" thickBot="1" x14ac:dyDescent="0.35">
      <c r="A387" s="117"/>
      <c r="B387" s="109"/>
      <c r="C387" s="112"/>
      <c r="D387" s="113"/>
      <c r="E387" s="116"/>
      <c r="F387" s="21" t="s">
        <v>35</v>
      </c>
      <c r="G387" s="19" t="e">
        <f>(G386-G385)/G386</f>
        <v>#DIV/0!</v>
      </c>
      <c r="H387" s="19" t="e">
        <f t="shared" ref="H387:S387" si="311">(H386-H385)/H386</f>
        <v>#DIV/0!</v>
      </c>
      <c r="I387" s="19" t="e">
        <f t="shared" si="311"/>
        <v>#DIV/0!</v>
      </c>
      <c r="J387" s="19" t="e">
        <f t="shared" si="311"/>
        <v>#DIV/0!</v>
      </c>
      <c r="K387" s="19" t="e">
        <f t="shared" si="311"/>
        <v>#DIV/0!</v>
      </c>
      <c r="L387" s="19" t="e">
        <f t="shared" si="311"/>
        <v>#DIV/0!</v>
      </c>
      <c r="M387" s="19" t="e">
        <f t="shared" si="311"/>
        <v>#DIV/0!</v>
      </c>
      <c r="N387" s="19" t="e">
        <f t="shared" si="311"/>
        <v>#DIV/0!</v>
      </c>
      <c r="O387" s="19" t="e">
        <f t="shared" si="311"/>
        <v>#DIV/0!</v>
      </c>
      <c r="P387" s="19" t="e">
        <f t="shared" si="311"/>
        <v>#DIV/0!</v>
      </c>
      <c r="Q387" s="19" t="e">
        <f t="shared" si="311"/>
        <v>#DIV/0!</v>
      </c>
      <c r="R387" s="25" t="e">
        <f t="shared" si="311"/>
        <v>#DIV/0!</v>
      </c>
      <c r="S387" s="21" t="e">
        <f t="shared" si="311"/>
        <v>#DIV/0!</v>
      </c>
      <c r="T387" s="22" t="e">
        <f t="shared" ref="T387" si="312">T386/T385</f>
        <v>#DIV/0!</v>
      </c>
    </row>
    <row r="388" spans="1:20" x14ac:dyDescent="0.3">
      <c r="A388" s="104">
        <v>36</v>
      </c>
      <c r="B388" s="107" t="s">
        <v>113</v>
      </c>
      <c r="C388" s="110" t="s">
        <v>114</v>
      </c>
      <c r="D388" s="110" t="s">
        <v>37</v>
      </c>
      <c r="E388" s="114" t="s">
        <v>60</v>
      </c>
      <c r="F388" s="11" t="s">
        <v>25</v>
      </c>
      <c r="G388" s="23">
        <v>273000</v>
      </c>
      <c r="H388" s="23">
        <v>275730</v>
      </c>
      <c r="I388" s="23">
        <v>278487.3</v>
      </c>
      <c r="J388" s="23">
        <v>282664.60949999996</v>
      </c>
      <c r="K388" s="9">
        <v>282664.60949999996</v>
      </c>
      <c r="L388" s="9">
        <v>282664.60949999996</v>
      </c>
      <c r="M388" s="9">
        <v>285491.255595</v>
      </c>
      <c r="N388" s="9">
        <v>285491.255595</v>
      </c>
      <c r="O388" s="9">
        <v>289773.62442892499</v>
      </c>
      <c r="P388" s="23">
        <v>295569.09691750351</v>
      </c>
      <c r="Q388" s="23">
        <v>300002.63337126601</v>
      </c>
      <c r="R388" s="24">
        <v>304502.67287183506</v>
      </c>
      <c r="S388" s="11">
        <f>SUMIF($G$4:$R$4,"&gt;=0",G388:R388)</f>
        <v>1675211.1285000001</v>
      </c>
      <c r="T388" s="10">
        <f>SUM(G388:R388)</f>
        <v>3436041.6672795299</v>
      </c>
    </row>
    <row r="389" spans="1:20" x14ac:dyDescent="0.3">
      <c r="A389" s="105"/>
      <c r="B389" s="108"/>
      <c r="C389" s="111"/>
      <c r="D389" s="111"/>
      <c r="E389" s="115"/>
      <c r="F389" s="12" t="s">
        <v>26</v>
      </c>
      <c r="G389" s="14">
        <v>729669.27</v>
      </c>
      <c r="H389" s="14">
        <v>756859.86</v>
      </c>
      <c r="I389" s="14">
        <v>687340.98</v>
      </c>
      <c r="J389" s="14">
        <v>585302.1</v>
      </c>
      <c r="K389" s="13">
        <v>776924.85999999987</v>
      </c>
      <c r="L389" s="13">
        <v>727845.71</v>
      </c>
      <c r="M389" s="13"/>
      <c r="N389" s="13"/>
      <c r="O389" s="13"/>
      <c r="P389" s="14"/>
      <c r="Q389" s="14"/>
      <c r="R389" s="30"/>
      <c r="S389" s="16">
        <f>SUMIF($G$4:$R$4,"&gt;=0",G389:R389)</f>
        <v>4263942.7799999993</v>
      </c>
      <c r="T389" s="17">
        <f t="shared" ref="T389" si="313">SUM(G389:R389)</f>
        <v>4263942.7799999993</v>
      </c>
    </row>
    <row r="390" spans="1:20" ht="15" thickBot="1" x14ac:dyDescent="0.35">
      <c r="A390" s="105"/>
      <c r="B390" s="108"/>
      <c r="C390" s="111"/>
      <c r="D390" s="111"/>
      <c r="E390" s="115"/>
      <c r="F390" s="18" t="s">
        <v>27</v>
      </c>
      <c r="G390" s="19">
        <f>G389/G388</f>
        <v>2.6727812087912088</v>
      </c>
      <c r="H390" s="19">
        <f t="shared" ref="H390:T390" si="314">H389/H388</f>
        <v>2.7449311282776629</v>
      </c>
      <c r="I390" s="19">
        <f t="shared" si="314"/>
        <v>2.4681232501446204</v>
      </c>
      <c r="J390" s="19">
        <f t="shared" si="314"/>
        <v>2.070659291360633</v>
      </c>
      <c r="K390" s="19">
        <f t="shared" si="314"/>
        <v>2.7485749325827786</v>
      </c>
      <c r="L390" s="19">
        <f t="shared" si="314"/>
        <v>2.5749446005549559</v>
      </c>
      <c r="M390" s="19">
        <f t="shared" si="314"/>
        <v>0</v>
      </c>
      <c r="N390" s="19">
        <f t="shared" si="314"/>
        <v>0</v>
      </c>
      <c r="O390" s="19">
        <f t="shared" si="314"/>
        <v>0</v>
      </c>
      <c r="P390" s="19">
        <f t="shared" si="314"/>
        <v>0</v>
      </c>
      <c r="Q390" s="19">
        <f t="shared" si="314"/>
        <v>0</v>
      </c>
      <c r="R390" s="25">
        <f t="shared" si="314"/>
        <v>0</v>
      </c>
      <c r="S390" s="21">
        <f t="shared" si="314"/>
        <v>2.5453166514109622</v>
      </c>
      <c r="T390" s="22">
        <f t="shared" si="314"/>
        <v>1.2409461796125296</v>
      </c>
    </row>
    <row r="391" spans="1:20" x14ac:dyDescent="0.3">
      <c r="A391" s="105"/>
      <c r="B391" s="108"/>
      <c r="C391" s="111"/>
      <c r="D391" s="111"/>
      <c r="E391" s="115"/>
      <c r="F391" s="11" t="s">
        <v>28</v>
      </c>
      <c r="G391" s="23">
        <v>0</v>
      </c>
      <c r="H391" s="23">
        <v>0</v>
      </c>
      <c r="I391" s="23">
        <v>0</v>
      </c>
      <c r="J391" s="23"/>
      <c r="K391" s="9"/>
      <c r="L391" s="9"/>
      <c r="M391" s="9"/>
      <c r="N391" s="9"/>
      <c r="O391" s="9">
        <v>108779.78</v>
      </c>
      <c r="P391" s="23">
        <v>277975.5</v>
      </c>
      <c r="Q391" s="23">
        <v>385110.45999999996</v>
      </c>
      <c r="R391" s="24">
        <v>563907.72</v>
      </c>
      <c r="S391" s="11">
        <f>SUMIF($G$4:$R$4,"&gt;=0",G391:R391)</f>
        <v>0</v>
      </c>
      <c r="T391" s="10">
        <f>SUM(G391:R391)</f>
        <v>1335773.46</v>
      </c>
    </row>
    <row r="392" spans="1:20" ht="15" thickBot="1" x14ac:dyDescent="0.35">
      <c r="A392" s="105"/>
      <c r="B392" s="108"/>
      <c r="C392" s="111"/>
      <c r="D392" s="111"/>
      <c r="E392" s="115"/>
      <c r="F392" s="18" t="s">
        <v>29</v>
      </c>
      <c r="G392" s="19">
        <f>(G389-G391)/G389</f>
        <v>1</v>
      </c>
      <c r="H392" s="19">
        <f t="shared" ref="H392:S392" si="315">(H389-H391)/H389</f>
        <v>1</v>
      </c>
      <c r="I392" s="19">
        <f t="shared" si="315"/>
        <v>1</v>
      </c>
      <c r="J392" s="19">
        <f t="shared" si="315"/>
        <v>1</v>
      </c>
      <c r="K392" s="19">
        <f t="shared" si="315"/>
        <v>1</v>
      </c>
      <c r="L392" s="19">
        <f t="shared" si="315"/>
        <v>1</v>
      </c>
      <c r="M392" s="19" t="e">
        <f t="shared" si="315"/>
        <v>#DIV/0!</v>
      </c>
      <c r="N392" s="19" t="e">
        <f t="shared" si="315"/>
        <v>#DIV/0!</v>
      </c>
      <c r="O392" s="19" t="e">
        <f t="shared" si="315"/>
        <v>#DIV/0!</v>
      </c>
      <c r="P392" s="19" t="e">
        <f t="shared" si="315"/>
        <v>#DIV/0!</v>
      </c>
      <c r="Q392" s="19" t="e">
        <f t="shared" si="315"/>
        <v>#DIV/0!</v>
      </c>
      <c r="R392" s="25" t="e">
        <f t="shared" si="315"/>
        <v>#DIV/0!</v>
      </c>
      <c r="S392" s="21">
        <f t="shared" si="315"/>
        <v>1</v>
      </c>
      <c r="T392" s="22">
        <f t="shared" ref="T392" si="316">T389/T391</f>
        <v>3.1921152109130837</v>
      </c>
    </row>
    <row r="393" spans="1:20" x14ac:dyDescent="0.3">
      <c r="A393" s="105"/>
      <c r="B393" s="108"/>
      <c r="C393" s="111"/>
      <c r="D393" s="111"/>
      <c r="E393" s="115"/>
      <c r="F393" s="26" t="s">
        <v>30</v>
      </c>
      <c r="G393" s="23">
        <v>1464674.4725000004</v>
      </c>
      <c r="H393" s="23">
        <v>1516463.5925</v>
      </c>
      <c r="I393" s="23">
        <v>1391212.421000001</v>
      </c>
      <c r="J393" s="23"/>
      <c r="K393" s="9"/>
      <c r="L393" s="9"/>
      <c r="M393" s="9"/>
      <c r="N393" s="9"/>
      <c r="O393" s="9"/>
      <c r="P393" s="23"/>
      <c r="Q393" s="23"/>
      <c r="R393" s="24"/>
      <c r="S393" s="11">
        <f>SUMIF($G$4:$R$4,"&gt;=0",G393:R393)</f>
        <v>4372350.4860000014</v>
      </c>
      <c r="T393" s="10">
        <f>SUM(G393:R393)</f>
        <v>4372350.4860000014</v>
      </c>
    </row>
    <row r="394" spans="1:20" x14ac:dyDescent="0.3">
      <c r="A394" s="105"/>
      <c r="B394" s="108"/>
      <c r="C394" s="111"/>
      <c r="D394" s="111"/>
      <c r="E394" s="115"/>
      <c r="F394" s="29" t="s">
        <v>31</v>
      </c>
      <c r="G394" s="14"/>
      <c r="H394" s="14"/>
      <c r="I394" s="14"/>
      <c r="J394" s="14"/>
      <c r="K394" s="13"/>
      <c r="L394" s="13"/>
      <c r="M394" s="13"/>
      <c r="N394" s="13"/>
      <c r="O394" s="13"/>
      <c r="P394" s="14"/>
      <c r="Q394" s="14"/>
      <c r="R394" s="30"/>
      <c r="S394" s="16">
        <f>SUMIF($G$4:$R$4,"&gt;=0",G394:R394)</f>
        <v>0</v>
      </c>
      <c r="T394" s="17">
        <f t="shared" ref="T394" si="317">SUM(G394:R394)</f>
        <v>0</v>
      </c>
    </row>
    <row r="395" spans="1:20" ht="15" thickBot="1" x14ac:dyDescent="0.35">
      <c r="A395" s="105"/>
      <c r="B395" s="108"/>
      <c r="C395" s="111"/>
      <c r="D395" s="111"/>
      <c r="E395" s="115"/>
      <c r="F395" s="18" t="s">
        <v>32</v>
      </c>
      <c r="G395" s="19">
        <f>(G393-G394)/G393</f>
        <v>1</v>
      </c>
      <c r="H395" s="19">
        <f t="shared" ref="H395:S395" si="318">(H393-H394)/H393</f>
        <v>1</v>
      </c>
      <c r="I395" s="19">
        <f t="shared" si="318"/>
        <v>1</v>
      </c>
      <c r="J395" s="19" t="e">
        <f t="shared" si="318"/>
        <v>#DIV/0!</v>
      </c>
      <c r="K395" s="19" t="e">
        <f t="shared" si="318"/>
        <v>#DIV/0!</v>
      </c>
      <c r="L395" s="19" t="e">
        <f t="shared" si="318"/>
        <v>#DIV/0!</v>
      </c>
      <c r="M395" s="19" t="e">
        <f t="shared" si="318"/>
        <v>#DIV/0!</v>
      </c>
      <c r="N395" s="19" t="e">
        <f t="shared" si="318"/>
        <v>#DIV/0!</v>
      </c>
      <c r="O395" s="19" t="e">
        <f t="shared" si="318"/>
        <v>#DIV/0!</v>
      </c>
      <c r="P395" s="19" t="e">
        <f t="shared" si="318"/>
        <v>#DIV/0!</v>
      </c>
      <c r="Q395" s="19" t="e">
        <f t="shared" si="318"/>
        <v>#DIV/0!</v>
      </c>
      <c r="R395" s="25" t="e">
        <f t="shared" si="318"/>
        <v>#DIV/0!</v>
      </c>
      <c r="S395" s="21">
        <f t="shared" si="318"/>
        <v>1</v>
      </c>
      <c r="T395" s="22" t="e">
        <f t="shared" ref="T395" si="319">T393/T394</f>
        <v>#DIV/0!</v>
      </c>
    </row>
    <row r="396" spans="1:20" x14ac:dyDescent="0.3">
      <c r="A396" s="105"/>
      <c r="B396" s="108"/>
      <c r="C396" s="111"/>
      <c r="D396" s="111"/>
      <c r="E396" s="115"/>
      <c r="F396" s="31" t="s">
        <v>33</v>
      </c>
      <c r="G396" s="23"/>
      <c r="H396" s="23"/>
      <c r="I396" s="23"/>
      <c r="J396" s="23"/>
      <c r="K396" s="9"/>
      <c r="L396" s="9"/>
      <c r="M396" s="9"/>
      <c r="N396" s="9"/>
      <c r="O396" s="9"/>
      <c r="P396" s="23"/>
      <c r="Q396" s="23"/>
      <c r="R396" s="24"/>
      <c r="S396" s="11">
        <f>SUMIF($G$4:$R$4,"&gt;=0",G396:R396)</f>
        <v>0</v>
      </c>
      <c r="T396" s="10">
        <f>SUM(G396:R396)</f>
        <v>0</v>
      </c>
    </row>
    <row r="397" spans="1:20" x14ac:dyDescent="0.3">
      <c r="A397" s="105"/>
      <c r="B397" s="108"/>
      <c r="C397" s="111"/>
      <c r="D397" s="111"/>
      <c r="E397" s="115"/>
      <c r="F397" s="32" t="s">
        <v>34</v>
      </c>
      <c r="G397" s="14"/>
      <c r="H397" s="14"/>
      <c r="I397" s="14"/>
      <c r="J397" s="14"/>
      <c r="K397" s="13"/>
      <c r="L397" s="13"/>
      <c r="M397" s="13"/>
      <c r="N397" s="13"/>
      <c r="O397" s="13"/>
      <c r="P397" s="14"/>
      <c r="Q397" s="14"/>
      <c r="R397" s="30"/>
      <c r="S397" s="16">
        <f>SUMIF($G$4:$R$4,"&gt;=0",G397:R397)</f>
        <v>0</v>
      </c>
      <c r="T397" s="17">
        <f>SUM(G397:R397)</f>
        <v>0</v>
      </c>
    </row>
    <row r="398" spans="1:20" ht="15" thickBot="1" x14ac:dyDescent="0.35">
      <c r="A398" s="106"/>
      <c r="B398" s="109"/>
      <c r="C398" s="112"/>
      <c r="D398" s="113"/>
      <c r="E398" s="116"/>
      <c r="F398" s="21" t="s">
        <v>35</v>
      </c>
      <c r="G398" s="19" t="e">
        <f>(G397-G396)/G397</f>
        <v>#DIV/0!</v>
      </c>
      <c r="H398" s="19" t="e">
        <f t="shared" ref="H398:S398" si="320">(H397-H396)/H397</f>
        <v>#DIV/0!</v>
      </c>
      <c r="I398" s="19" t="e">
        <f t="shared" si="320"/>
        <v>#DIV/0!</v>
      </c>
      <c r="J398" s="19" t="e">
        <f t="shared" si="320"/>
        <v>#DIV/0!</v>
      </c>
      <c r="K398" s="19" t="e">
        <f t="shared" si="320"/>
        <v>#DIV/0!</v>
      </c>
      <c r="L398" s="19" t="e">
        <f t="shared" si="320"/>
        <v>#DIV/0!</v>
      </c>
      <c r="M398" s="19" t="e">
        <f t="shared" si="320"/>
        <v>#DIV/0!</v>
      </c>
      <c r="N398" s="19" t="e">
        <f t="shared" si="320"/>
        <v>#DIV/0!</v>
      </c>
      <c r="O398" s="19" t="e">
        <f t="shared" si="320"/>
        <v>#DIV/0!</v>
      </c>
      <c r="P398" s="19" t="e">
        <f t="shared" si="320"/>
        <v>#DIV/0!</v>
      </c>
      <c r="Q398" s="19" t="e">
        <f t="shared" si="320"/>
        <v>#DIV/0!</v>
      </c>
      <c r="R398" s="25" t="e">
        <f t="shared" si="320"/>
        <v>#DIV/0!</v>
      </c>
      <c r="S398" s="21" t="e">
        <f t="shared" si="320"/>
        <v>#DIV/0!</v>
      </c>
      <c r="T398" s="22" t="e">
        <f t="shared" ref="T398" si="321">T397/T396</f>
        <v>#DIV/0!</v>
      </c>
    </row>
    <row r="399" spans="1:20" x14ac:dyDescent="0.3">
      <c r="A399" s="104">
        <v>37</v>
      </c>
      <c r="B399" s="107" t="s">
        <v>115</v>
      </c>
      <c r="C399" s="110" t="s">
        <v>116</v>
      </c>
      <c r="D399" s="110" t="s">
        <v>23</v>
      </c>
      <c r="E399" s="114" t="s">
        <v>76</v>
      </c>
      <c r="F399" s="11" t="s">
        <v>25</v>
      </c>
      <c r="G399" s="23">
        <v>209250</v>
      </c>
      <c r="H399" s="23">
        <v>211342.5</v>
      </c>
      <c r="I399" s="23">
        <v>213455.92499999999</v>
      </c>
      <c r="J399" s="23">
        <v>217725.0435</v>
      </c>
      <c r="K399" s="9">
        <v>217725.0435</v>
      </c>
      <c r="L399" s="9">
        <v>222079.54436999999</v>
      </c>
      <c r="M399" s="9">
        <v>226521.13525739999</v>
      </c>
      <c r="N399" s="9">
        <v>231051.55796254796</v>
      </c>
      <c r="O399" s="9">
        <v>235672.58912179893</v>
      </c>
      <c r="P399" s="23">
        <v>247456.21857788888</v>
      </c>
      <c r="Q399" s="23">
        <v>261066.31059967275</v>
      </c>
      <c r="R399" s="24">
        <v>266287.63681166619</v>
      </c>
      <c r="S399" s="11">
        <f>SUMIF($G$4:$R$4,"&gt;=0",G399:R399)</f>
        <v>1291578.0563700001</v>
      </c>
      <c r="T399" s="10">
        <f>SUM(G399:R399)</f>
        <v>2759633.5047009746</v>
      </c>
    </row>
    <row r="400" spans="1:20" x14ac:dyDescent="0.3">
      <c r="A400" s="105"/>
      <c r="B400" s="108"/>
      <c r="C400" s="111"/>
      <c r="D400" s="111"/>
      <c r="E400" s="115"/>
      <c r="F400" s="12" t="s">
        <v>26</v>
      </c>
      <c r="G400" s="14">
        <v>329837.03999999998</v>
      </c>
      <c r="H400" s="14">
        <v>299244.81</v>
      </c>
      <c r="I400" s="14">
        <v>309788.61</v>
      </c>
      <c r="J400" s="14">
        <v>395097.77999999991</v>
      </c>
      <c r="K400" s="13">
        <v>405802.14</v>
      </c>
      <c r="L400" s="13">
        <v>450283.23</v>
      </c>
      <c r="M400" s="13"/>
      <c r="N400" s="13"/>
      <c r="O400" s="13"/>
      <c r="P400" s="14"/>
      <c r="Q400" s="14"/>
      <c r="R400" s="30"/>
      <c r="S400" s="16">
        <f>SUMIF($G$4:$R$4,"&gt;=0",G400:R400)</f>
        <v>2190053.61</v>
      </c>
      <c r="T400" s="17">
        <f t="shared" ref="T400" si="322">SUM(G400:R400)</f>
        <v>2190053.61</v>
      </c>
    </row>
    <row r="401" spans="1:20" ht="15" thickBot="1" x14ac:dyDescent="0.35">
      <c r="A401" s="105"/>
      <c r="B401" s="108"/>
      <c r="C401" s="111"/>
      <c r="D401" s="111"/>
      <c r="E401" s="115"/>
      <c r="F401" s="18" t="s">
        <v>27</v>
      </c>
      <c r="G401" s="19">
        <f>G400/G399</f>
        <v>1.5762821505376343</v>
      </c>
      <c r="H401" s="19">
        <f t="shared" ref="H401:T401" si="323">H400/H399</f>
        <v>1.4159234891231058</v>
      </c>
      <c r="I401" s="19">
        <f t="shared" si="323"/>
        <v>1.4513001220275332</v>
      </c>
      <c r="J401" s="19">
        <f t="shared" si="323"/>
        <v>1.8146639157750353</v>
      </c>
      <c r="K401" s="19">
        <f t="shared" si="323"/>
        <v>1.8638284943091539</v>
      </c>
      <c r="L401" s="19">
        <f t="shared" si="323"/>
        <v>2.0275763410690213</v>
      </c>
      <c r="M401" s="19">
        <f t="shared" si="323"/>
        <v>0</v>
      </c>
      <c r="N401" s="19">
        <f t="shared" si="323"/>
        <v>0</v>
      </c>
      <c r="O401" s="19">
        <f t="shared" si="323"/>
        <v>0</v>
      </c>
      <c r="P401" s="19">
        <f t="shared" si="323"/>
        <v>0</v>
      </c>
      <c r="Q401" s="19">
        <f t="shared" si="323"/>
        <v>0</v>
      </c>
      <c r="R401" s="25">
        <f t="shared" si="323"/>
        <v>0</v>
      </c>
      <c r="S401" s="21">
        <f t="shared" si="323"/>
        <v>1.6956416990818031</v>
      </c>
      <c r="T401" s="22">
        <f t="shared" si="323"/>
        <v>0.79360306586700446</v>
      </c>
    </row>
    <row r="402" spans="1:20" x14ac:dyDescent="0.3">
      <c r="A402" s="105"/>
      <c r="B402" s="108"/>
      <c r="C402" s="111"/>
      <c r="D402" s="111"/>
      <c r="E402" s="115"/>
      <c r="F402" s="11" t="s">
        <v>28</v>
      </c>
      <c r="G402" s="23">
        <v>0</v>
      </c>
      <c r="H402" s="23">
        <v>0</v>
      </c>
      <c r="I402" s="23">
        <v>0</v>
      </c>
      <c r="J402" s="23"/>
      <c r="K402" s="9"/>
      <c r="L402" s="9"/>
      <c r="M402" s="9"/>
      <c r="N402" s="9"/>
      <c r="O402" s="9"/>
      <c r="P402" s="23">
        <v>130992.29999999997</v>
      </c>
      <c r="Q402" s="23">
        <v>217434.03999999995</v>
      </c>
      <c r="R402" s="24">
        <v>323997.21000000008</v>
      </c>
      <c r="S402" s="11">
        <f>SUMIF($G$4:$R$4,"&gt;=0",G402:R402)</f>
        <v>0</v>
      </c>
      <c r="T402" s="10">
        <f>SUM(G402:R402)</f>
        <v>672423.55</v>
      </c>
    </row>
    <row r="403" spans="1:20" ht="15" thickBot="1" x14ac:dyDescent="0.35">
      <c r="A403" s="105"/>
      <c r="B403" s="108"/>
      <c r="C403" s="111"/>
      <c r="D403" s="111"/>
      <c r="E403" s="115"/>
      <c r="F403" s="18" t="s">
        <v>29</v>
      </c>
      <c r="G403" s="19">
        <f>(G400-G402)/G400</f>
        <v>1</v>
      </c>
      <c r="H403" s="19">
        <f t="shared" ref="H403:S403" si="324">(H400-H402)/H400</f>
        <v>1</v>
      </c>
      <c r="I403" s="19">
        <f t="shared" si="324"/>
        <v>1</v>
      </c>
      <c r="J403" s="19">
        <f t="shared" si="324"/>
        <v>1</v>
      </c>
      <c r="K403" s="19">
        <f t="shared" si="324"/>
        <v>1</v>
      </c>
      <c r="L403" s="19">
        <f t="shared" si="324"/>
        <v>1</v>
      </c>
      <c r="M403" s="19" t="e">
        <f t="shared" si="324"/>
        <v>#DIV/0!</v>
      </c>
      <c r="N403" s="19" t="e">
        <f t="shared" si="324"/>
        <v>#DIV/0!</v>
      </c>
      <c r="O403" s="19" t="e">
        <f t="shared" si="324"/>
        <v>#DIV/0!</v>
      </c>
      <c r="P403" s="19" t="e">
        <f t="shared" si="324"/>
        <v>#DIV/0!</v>
      </c>
      <c r="Q403" s="19" t="e">
        <f t="shared" si="324"/>
        <v>#DIV/0!</v>
      </c>
      <c r="R403" s="25" t="e">
        <f t="shared" si="324"/>
        <v>#DIV/0!</v>
      </c>
      <c r="S403" s="21">
        <f t="shared" si="324"/>
        <v>1</v>
      </c>
      <c r="T403" s="22">
        <f t="shared" ref="T403" si="325">T400/T402</f>
        <v>3.2569555453553041</v>
      </c>
    </row>
    <row r="404" spans="1:20" x14ac:dyDescent="0.3">
      <c r="A404" s="105"/>
      <c r="B404" s="108"/>
      <c r="C404" s="111"/>
      <c r="D404" s="111"/>
      <c r="E404" s="115"/>
      <c r="F404" s="26" t="s">
        <v>30</v>
      </c>
      <c r="G404" s="23">
        <v>706446.40970000019</v>
      </c>
      <c r="H404" s="23">
        <v>640801.86199999996</v>
      </c>
      <c r="I404" s="23">
        <v>666012.31850000005</v>
      </c>
      <c r="J404" s="23"/>
      <c r="K404" s="9"/>
      <c r="L404" s="9"/>
      <c r="M404" s="9"/>
      <c r="N404" s="9"/>
      <c r="O404" s="9"/>
      <c r="P404" s="23"/>
      <c r="Q404" s="23"/>
      <c r="R404" s="24"/>
      <c r="S404" s="11">
        <f>SUMIF($G$4:$R$4,"&gt;=0",G404:R404)</f>
        <v>2013260.5902000002</v>
      </c>
      <c r="T404" s="10">
        <f>SUM(G404:R404)</f>
        <v>2013260.5902000002</v>
      </c>
    </row>
    <row r="405" spans="1:20" x14ac:dyDescent="0.3">
      <c r="A405" s="105"/>
      <c r="B405" s="108"/>
      <c r="C405" s="111"/>
      <c r="D405" s="111"/>
      <c r="E405" s="115"/>
      <c r="F405" s="29" t="s">
        <v>31</v>
      </c>
      <c r="G405" s="14"/>
      <c r="H405" s="14"/>
      <c r="I405" s="14"/>
      <c r="J405" s="14"/>
      <c r="K405" s="13"/>
      <c r="L405" s="13"/>
      <c r="M405" s="13"/>
      <c r="N405" s="13"/>
      <c r="O405" s="13"/>
      <c r="P405" s="14"/>
      <c r="Q405" s="14"/>
      <c r="R405" s="30"/>
      <c r="S405" s="16">
        <f>SUMIF($G$4:$R$4,"&gt;=0",G405:R405)</f>
        <v>0</v>
      </c>
      <c r="T405" s="17">
        <f t="shared" ref="T405" si="326">SUM(G405:R405)</f>
        <v>0</v>
      </c>
    </row>
    <row r="406" spans="1:20" ht="15" thickBot="1" x14ac:dyDescent="0.35">
      <c r="A406" s="105"/>
      <c r="B406" s="108"/>
      <c r="C406" s="111"/>
      <c r="D406" s="111"/>
      <c r="E406" s="115"/>
      <c r="F406" s="18" t="s">
        <v>32</v>
      </c>
      <c r="G406" s="19">
        <f>(G404-G405)/G404</f>
        <v>1</v>
      </c>
      <c r="H406" s="19">
        <f t="shared" ref="H406:S406" si="327">(H404-H405)/H404</f>
        <v>1</v>
      </c>
      <c r="I406" s="19">
        <f t="shared" si="327"/>
        <v>1</v>
      </c>
      <c r="J406" s="19" t="e">
        <f t="shared" si="327"/>
        <v>#DIV/0!</v>
      </c>
      <c r="K406" s="19" t="e">
        <f t="shared" si="327"/>
        <v>#DIV/0!</v>
      </c>
      <c r="L406" s="19" t="e">
        <f t="shared" si="327"/>
        <v>#DIV/0!</v>
      </c>
      <c r="M406" s="19" t="e">
        <f t="shared" si="327"/>
        <v>#DIV/0!</v>
      </c>
      <c r="N406" s="19" t="e">
        <f t="shared" si="327"/>
        <v>#DIV/0!</v>
      </c>
      <c r="O406" s="19" t="e">
        <f t="shared" si="327"/>
        <v>#DIV/0!</v>
      </c>
      <c r="P406" s="19" t="e">
        <f t="shared" si="327"/>
        <v>#DIV/0!</v>
      </c>
      <c r="Q406" s="19" t="e">
        <f t="shared" si="327"/>
        <v>#DIV/0!</v>
      </c>
      <c r="R406" s="25" t="e">
        <f t="shared" si="327"/>
        <v>#DIV/0!</v>
      </c>
      <c r="S406" s="21">
        <f t="shared" si="327"/>
        <v>1</v>
      </c>
      <c r="T406" s="22" t="e">
        <f t="shared" ref="T406" si="328">T404/T405</f>
        <v>#DIV/0!</v>
      </c>
    </row>
    <row r="407" spans="1:20" x14ac:dyDescent="0.3">
      <c r="A407" s="105"/>
      <c r="B407" s="108"/>
      <c r="C407" s="111"/>
      <c r="D407" s="111"/>
      <c r="E407" s="115"/>
      <c r="F407" s="31" t="s">
        <v>33</v>
      </c>
      <c r="G407" s="23"/>
      <c r="H407" s="23"/>
      <c r="I407" s="23"/>
      <c r="J407" s="23"/>
      <c r="K407" s="9"/>
      <c r="L407" s="9"/>
      <c r="M407" s="9"/>
      <c r="N407" s="9"/>
      <c r="O407" s="9"/>
      <c r="P407" s="23"/>
      <c r="Q407" s="23"/>
      <c r="R407" s="24"/>
      <c r="S407" s="11">
        <f>SUMIF($G$4:$R$4,"&gt;=0",G407:R407)</f>
        <v>0</v>
      </c>
      <c r="T407" s="10">
        <f>SUM(G407:R407)</f>
        <v>0</v>
      </c>
    </row>
    <row r="408" spans="1:20" x14ac:dyDescent="0.3">
      <c r="A408" s="105"/>
      <c r="B408" s="108"/>
      <c r="C408" s="111"/>
      <c r="D408" s="111"/>
      <c r="E408" s="115"/>
      <c r="F408" s="32" t="s">
        <v>34</v>
      </c>
      <c r="G408" s="14"/>
      <c r="H408" s="14"/>
      <c r="I408" s="14"/>
      <c r="J408" s="14"/>
      <c r="K408" s="13"/>
      <c r="L408" s="13"/>
      <c r="M408" s="13"/>
      <c r="N408" s="13"/>
      <c r="O408" s="13"/>
      <c r="P408" s="14"/>
      <c r="Q408" s="14"/>
      <c r="R408" s="30"/>
      <c r="S408" s="16">
        <f>SUMIF($G$4:$R$4,"&gt;=0",G408:R408)</f>
        <v>0</v>
      </c>
      <c r="T408" s="17">
        <f>SUM(G408:R408)</f>
        <v>0</v>
      </c>
    </row>
    <row r="409" spans="1:20" ht="15" thickBot="1" x14ac:dyDescent="0.35">
      <c r="A409" s="117"/>
      <c r="B409" s="109"/>
      <c r="C409" s="112"/>
      <c r="D409" s="113"/>
      <c r="E409" s="116"/>
      <c r="F409" s="21" t="s">
        <v>35</v>
      </c>
      <c r="G409" s="19" t="e">
        <f>(G408-G407)/G408</f>
        <v>#DIV/0!</v>
      </c>
      <c r="H409" s="19" t="e">
        <f t="shared" ref="H409:S409" si="329">(H408-H407)/H408</f>
        <v>#DIV/0!</v>
      </c>
      <c r="I409" s="19" t="e">
        <f t="shared" si="329"/>
        <v>#DIV/0!</v>
      </c>
      <c r="J409" s="19" t="e">
        <f t="shared" si="329"/>
        <v>#DIV/0!</v>
      </c>
      <c r="K409" s="19" t="e">
        <f t="shared" si="329"/>
        <v>#DIV/0!</v>
      </c>
      <c r="L409" s="19" t="e">
        <f t="shared" si="329"/>
        <v>#DIV/0!</v>
      </c>
      <c r="M409" s="19" t="e">
        <f t="shared" si="329"/>
        <v>#DIV/0!</v>
      </c>
      <c r="N409" s="19" t="e">
        <f t="shared" si="329"/>
        <v>#DIV/0!</v>
      </c>
      <c r="O409" s="19" t="e">
        <f t="shared" si="329"/>
        <v>#DIV/0!</v>
      </c>
      <c r="P409" s="19" t="e">
        <f t="shared" si="329"/>
        <v>#DIV/0!</v>
      </c>
      <c r="Q409" s="19" t="e">
        <f t="shared" si="329"/>
        <v>#DIV/0!</v>
      </c>
      <c r="R409" s="25" t="e">
        <f t="shared" si="329"/>
        <v>#DIV/0!</v>
      </c>
      <c r="S409" s="21" t="e">
        <f t="shared" si="329"/>
        <v>#DIV/0!</v>
      </c>
      <c r="T409" s="22" t="e">
        <f t="shared" ref="T409" si="330">T408/T407</f>
        <v>#DIV/0!</v>
      </c>
    </row>
    <row r="410" spans="1:20" x14ac:dyDescent="0.3">
      <c r="A410" s="104">
        <v>38</v>
      </c>
      <c r="B410" s="107" t="s">
        <v>117</v>
      </c>
      <c r="C410" s="110" t="s">
        <v>118</v>
      </c>
      <c r="D410" s="110" t="s">
        <v>37</v>
      </c>
      <c r="E410" s="114" t="s">
        <v>50</v>
      </c>
      <c r="F410" s="11" t="s">
        <v>25</v>
      </c>
      <c r="G410" s="23">
        <v>408580</v>
      </c>
      <c r="H410" s="23">
        <v>408580</v>
      </c>
      <c r="I410" s="23">
        <v>414708.7</v>
      </c>
      <c r="J410" s="23">
        <v>414708.7</v>
      </c>
      <c r="K410" s="9">
        <v>420929.33050000004</v>
      </c>
      <c r="L410" s="9">
        <v>429347.91711000004</v>
      </c>
      <c r="M410" s="9">
        <v>437934.87545220007</v>
      </c>
      <c r="N410" s="9">
        <v>451072.92171576608</v>
      </c>
      <c r="O410" s="9">
        <v>425000</v>
      </c>
      <c r="P410" s="23">
        <v>425000</v>
      </c>
      <c r="Q410" s="23">
        <v>425000</v>
      </c>
      <c r="R410" s="24">
        <v>425000</v>
      </c>
      <c r="S410" s="11">
        <f>SUMIF($G$4:$R$4,"&gt;=0",G410:R410)</f>
        <v>2496854.6476100003</v>
      </c>
      <c r="T410" s="10">
        <f>SUM(G410:R410)</f>
        <v>5085862.4447779665</v>
      </c>
    </row>
    <row r="411" spans="1:20" x14ac:dyDescent="0.3">
      <c r="A411" s="105"/>
      <c r="B411" s="108"/>
      <c r="C411" s="111"/>
      <c r="D411" s="111"/>
      <c r="E411" s="115"/>
      <c r="F411" s="12" t="s">
        <v>26</v>
      </c>
      <c r="G411" s="14">
        <v>431936.44</v>
      </c>
      <c r="H411" s="14">
        <v>443563.14</v>
      </c>
      <c r="I411" s="14">
        <v>481235.97000000015</v>
      </c>
      <c r="J411" s="14">
        <v>475939.6</v>
      </c>
      <c r="K411" s="13">
        <v>510660.12</v>
      </c>
      <c r="L411" s="13">
        <v>487509.10999999993</v>
      </c>
      <c r="M411" s="13"/>
      <c r="N411" s="13"/>
      <c r="O411" s="13"/>
      <c r="P411" s="14"/>
      <c r="Q411" s="14"/>
      <c r="R411" s="30"/>
      <c r="S411" s="16">
        <f>SUMIF($G$4:$R$4,"&gt;=0",G411:R411)</f>
        <v>2830844.3800000004</v>
      </c>
      <c r="T411" s="17">
        <f t="shared" ref="T411" si="331">SUM(G411:R411)</f>
        <v>2830844.3800000004</v>
      </c>
    </row>
    <row r="412" spans="1:20" ht="15" thickBot="1" x14ac:dyDescent="0.35">
      <c r="A412" s="105"/>
      <c r="B412" s="108"/>
      <c r="C412" s="111"/>
      <c r="D412" s="111"/>
      <c r="E412" s="115"/>
      <c r="F412" s="18" t="s">
        <v>27</v>
      </c>
      <c r="G412" s="19">
        <f>G411/G410</f>
        <v>1.0571649126242106</v>
      </c>
      <c r="H412" s="19">
        <f t="shared" ref="H412:T412" si="332">H411/H410</f>
        <v>1.0856212736795732</v>
      </c>
      <c r="I412" s="19">
        <f t="shared" si="332"/>
        <v>1.1604192774349806</v>
      </c>
      <c r="J412" s="19">
        <f t="shared" si="332"/>
        <v>1.1476479755548894</v>
      </c>
      <c r="K412" s="19">
        <f t="shared" si="332"/>
        <v>1.213173050671982</v>
      </c>
      <c r="L412" s="19">
        <f t="shared" si="332"/>
        <v>1.1354640154807105</v>
      </c>
      <c r="M412" s="19">
        <f t="shared" si="332"/>
        <v>0</v>
      </c>
      <c r="N412" s="19">
        <f t="shared" si="332"/>
        <v>0</v>
      </c>
      <c r="O412" s="19">
        <f t="shared" si="332"/>
        <v>0</v>
      </c>
      <c r="P412" s="19">
        <f t="shared" si="332"/>
        <v>0</v>
      </c>
      <c r="Q412" s="19">
        <f t="shared" si="332"/>
        <v>0</v>
      </c>
      <c r="R412" s="25">
        <f t="shared" si="332"/>
        <v>0</v>
      </c>
      <c r="S412" s="21">
        <f t="shared" si="332"/>
        <v>1.13376418715831</v>
      </c>
      <c r="T412" s="22">
        <f t="shared" si="332"/>
        <v>0.55661048853309802</v>
      </c>
    </row>
    <row r="413" spans="1:20" x14ac:dyDescent="0.3">
      <c r="A413" s="105"/>
      <c r="B413" s="108"/>
      <c r="C413" s="111"/>
      <c r="D413" s="111"/>
      <c r="E413" s="115"/>
      <c r="F413" s="11" t="s">
        <v>28</v>
      </c>
      <c r="G413" s="23">
        <v>0</v>
      </c>
      <c r="H413" s="23">
        <v>0</v>
      </c>
      <c r="I413" s="23">
        <v>0</v>
      </c>
      <c r="J413" s="23"/>
      <c r="K413" s="9"/>
      <c r="L413" s="9"/>
      <c r="M413" s="9"/>
      <c r="N413" s="9"/>
      <c r="O413" s="9"/>
      <c r="P413" s="23">
        <v>3207.3999999999996</v>
      </c>
      <c r="Q413" s="23">
        <v>377113.12000000005</v>
      </c>
      <c r="R413" s="24">
        <v>408473.16999999993</v>
      </c>
      <c r="S413" s="11">
        <f>SUMIF($G$4:$R$4,"&gt;=0",G413:R413)</f>
        <v>0</v>
      </c>
      <c r="T413" s="10">
        <f>SUM(G413:R413)</f>
        <v>788793.69</v>
      </c>
    </row>
    <row r="414" spans="1:20" ht="15" thickBot="1" x14ac:dyDescent="0.35">
      <c r="A414" s="105"/>
      <c r="B414" s="108"/>
      <c r="C414" s="111"/>
      <c r="D414" s="111"/>
      <c r="E414" s="115"/>
      <c r="F414" s="18" t="s">
        <v>29</v>
      </c>
      <c r="G414" s="19">
        <f>(G411-G413)/G411</f>
        <v>1</v>
      </c>
      <c r="H414" s="19">
        <f t="shared" ref="H414:S414" si="333">(H411-H413)/H411</f>
        <v>1</v>
      </c>
      <c r="I414" s="19">
        <f t="shared" si="333"/>
        <v>1</v>
      </c>
      <c r="J414" s="19">
        <f t="shared" si="333"/>
        <v>1</v>
      </c>
      <c r="K414" s="19">
        <f t="shared" si="333"/>
        <v>1</v>
      </c>
      <c r="L414" s="19">
        <f t="shared" si="333"/>
        <v>1</v>
      </c>
      <c r="M414" s="19" t="e">
        <f t="shared" si="333"/>
        <v>#DIV/0!</v>
      </c>
      <c r="N414" s="19" t="e">
        <f t="shared" si="333"/>
        <v>#DIV/0!</v>
      </c>
      <c r="O414" s="19" t="e">
        <f t="shared" si="333"/>
        <v>#DIV/0!</v>
      </c>
      <c r="P414" s="19" t="e">
        <f t="shared" si="333"/>
        <v>#DIV/0!</v>
      </c>
      <c r="Q414" s="19" t="e">
        <f t="shared" si="333"/>
        <v>#DIV/0!</v>
      </c>
      <c r="R414" s="25" t="e">
        <f t="shared" si="333"/>
        <v>#DIV/0!</v>
      </c>
      <c r="S414" s="21">
        <f t="shared" si="333"/>
        <v>1</v>
      </c>
      <c r="T414" s="22">
        <f t="shared" ref="T414" si="334">T411/T413</f>
        <v>3.588827364985641</v>
      </c>
    </row>
    <row r="415" spans="1:20" x14ac:dyDescent="0.3">
      <c r="A415" s="105"/>
      <c r="B415" s="108"/>
      <c r="C415" s="111"/>
      <c r="D415" s="111"/>
      <c r="E415" s="115"/>
      <c r="F415" s="26" t="s">
        <v>30</v>
      </c>
      <c r="G415" s="23">
        <v>957357.70440000005</v>
      </c>
      <c r="H415" s="23">
        <v>982660.88159999985</v>
      </c>
      <c r="I415" s="23">
        <v>1068829.7759</v>
      </c>
      <c r="J415" s="23"/>
      <c r="K415" s="9"/>
      <c r="L415" s="9"/>
      <c r="M415" s="9"/>
      <c r="N415" s="9"/>
      <c r="O415" s="9"/>
      <c r="P415" s="23"/>
      <c r="Q415" s="23"/>
      <c r="R415" s="24"/>
      <c r="S415" s="11">
        <f>SUMIF($G$4:$R$4,"&gt;=0",G415:R415)</f>
        <v>3008848.3618999999</v>
      </c>
      <c r="T415" s="10">
        <f>SUM(G415:R415)</f>
        <v>3008848.3618999999</v>
      </c>
    </row>
    <row r="416" spans="1:20" x14ac:dyDescent="0.3">
      <c r="A416" s="105"/>
      <c r="B416" s="108"/>
      <c r="C416" s="111"/>
      <c r="D416" s="111"/>
      <c r="E416" s="115"/>
      <c r="F416" s="29" t="s">
        <v>31</v>
      </c>
      <c r="G416" s="14"/>
      <c r="H416" s="14"/>
      <c r="I416" s="14"/>
      <c r="J416" s="14"/>
      <c r="K416" s="13"/>
      <c r="L416" s="13"/>
      <c r="M416" s="13"/>
      <c r="N416" s="13"/>
      <c r="O416" s="13"/>
      <c r="P416" s="14"/>
      <c r="Q416" s="14"/>
      <c r="R416" s="30"/>
      <c r="S416" s="16">
        <f>SUMIF($G$4:$R$4,"&gt;=0",G416:R416)</f>
        <v>0</v>
      </c>
      <c r="T416" s="17">
        <f t="shared" ref="T416" si="335">SUM(G416:R416)</f>
        <v>0</v>
      </c>
    </row>
    <row r="417" spans="1:20" ht="15" thickBot="1" x14ac:dyDescent="0.35">
      <c r="A417" s="105"/>
      <c r="B417" s="108"/>
      <c r="C417" s="111"/>
      <c r="D417" s="111"/>
      <c r="E417" s="115"/>
      <c r="F417" s="18" t="s">
        <v>32</v>
      </c>
      <c r="G417" s="19">
        <f>(G415-G416)/G415</f>
        <v>1</v>
      </c>
      <c r="H417" s="19">
        <f t="shared" ref="H417:S417" si="336">(H415-H416)/H415</f>
        <v>1</v>
      </c>
      <c r="I417" s="19">
        <f t="shared" si="336"/>
        <v>1</v>
      </c>
      <c r="J417" s="19" t="e">
        <f t="shared" si="336"/>
        <v>#DIV/0!</v>
      </c>
      <c r="K417" s="19" t="e">
        <f t="shared" si="336"/>
        <v>#DIV/0!</v>
      </c>
      <c r="L417" s="19" t="e">
        <f t="shared" si="336"/>
        <v>#DIV/0!</v>
      </c>
      <c r="M417" s="19" t="e">
        <f t="shared" si="336"/>
        <v>#DIV/0!</v>
      </c>
      <c r="N417" s="19" t="e">
        <f t="shared" si="336"/>
        <v>#DIV/0!</v>
      </c>
      <c r="O417" s="19" t="e">
        <f t="shared" si="336"/>
        <v>#DIV/0!</v>
      </c>
      <c r="P417" s="19" t="e">
        <f t="shared" si="336"/>
        <v>#DIV/0!</v>
      </c>
      <c r="Q417" s="19" t="e">
        <f t="shared" si="336"/>
        <v>#DIV/0!</v>
      </c>
      <c r="R417" s="25" t="e">
        <f t="shared" si="336"/>
        <v>#DIV/0!</v>
      </c>
      <c r="S417" s="21">
        <f t="shared" si="336"/>
        <v>1</v>
      </c>
      <c r="T417" s="22" t="e">
        <f t="shared" ref="T417" si="337">T415/T416</f>
        <v>#DIV/0!</v>
      </c>
    </row>
    <row r="418" spans="1:20" x14ac:dyDescent="0.3">
      <c r="A418" s="105"/>
      <c r="B418" s="108"/>
      <c r="C418" s="111"/>
      <c r="D418" s="111"/>
      <c r="E418" s="115"/>
      <c r="F418" s="31" t="s">
        <v>33</v>
      </c>
      <c r="G418" s="23"/>
      <c r="H418" s="23"/>
      <c r="I418" s="23"/>
      <c r="J418" s="23"/>
      <c r="K418" s="9"/>
      <c r="L418" s="9"/>
      <c r="M418" s="9"/>
      <c r="N418" s="9"/>
      <c r="O418" s="9"/>
      <c r="P418" s="23"/>
      <c r="Q418" s="23"/>
      <c r="R418" s="24"/>
      <c r="S418" s="11">
        <f>SUMIF($G$4:$R$4,"&gt;=0",G418:R418)</f>
        <v>0</v>
      </c>
      <c r="T418" s="10">
        <f>SUM(G418:R418)</f>
        <v>0</v>
      </c>
    </row>
    <row r="419" spans="1:20" x14ac:dyDescent="0.3">
      <c r="A419" s="105"/>
      <c r="B419" s="108"/>
      <c r="C419" s="111"/>
      <c r="D419" s="111"/>
      <c r="E419" s="115"/>
      <c r="F419" s="32" t="s">
        <v>34</v>
      </c>
      <c r="G419" s="14"/>
      <c r="H419" s="14"/>
      <c r="I419" s="14"/>
      <c r="J419" s="14"/>
      <c r="K419" s="13"/>
      <c r="L419" s="13"/>
      <c r="M419" s="13"/>
      <c r="N419" s="13"/>
      <c r="O419" s="13"/>
      <c r="P419" s="14"/>
      <c r="Q419" s="14"/>
      <c r="R419" s="30"/>
      <c r="S419" s="16">
        <f>SUMIF($G$4:$R$4,"&gt;=0",G419:R419)</f>
        <v>0</v>
      </c>
      <c r="T419" s="17">
        <f>SUM(G419:R419)</f>
        <v>0</v>
      </c>
    </row>
    <row r="420" spans="1:20" ht="15" thickBot="1" x14ac:dyDescent="0.35">
      <c r="A420" s="117"/>
      <c r="B420" s="109"/>
      <c r="C420" s="112"/>
      <c r="D420" s="113"/>
      <c r="E420" s="116"/>
      <c r="F420" s="21" t="s">
        <v>35</v>
      </c>
      <c r="G420" s="19" t="e">
        <f>(G419-G418)/G419</f>
        <v>#DIV/0!</v>
      </c>
      <c r="H420" s="19" t="e">
        <f t="shared" ref="H420:S420" si="338">(H419-H418)/H419</f>
        <v>#DIV/0!</v>
      </c>
      <c r="I420" s="19" t="e">
        <f t="shared" si="338"/>
        <v>#DIV/0!</v>
      </c>
      <c r="J420" s="19" t="e">
        <f t="shared" si="338"/>
        <v>#DIV/0!</v>
      </c>
      <c r="K420" s="19" t="e">
        <f t="shared" si="338"/>
        <v>#DIV/0!</v>
      </c>
      <c r="L420" s="19" t="e">
        <f t="shared" si="338"/>
        <v>#DIV/0!</v>
      </c>
      <c r="M420" s="19" t="e">
        <f t="shared" si="338"/>
        <v>#DIV/0!</v>
      </c>
      <c r="N420" s="19" t="e">
        <f t="shared" si="338"/>
        <v>#DIV/0!</v>
      </c>
      <c r="O420" s="19" t="e">
        <f t="shared" si="338"/>
        <v>#DIV/0!</v>
      </c>
      <c r="P420" s="19" t="e">
        <f t="shared" si="338"/>
        <v>#DIV/0!</v>
      </c>
      <c r="Q420" s="19" t="e">
        <f t="shared" si="338"/>
        <v>#DIV/0!</v>
      </c>
      <c r="R420" s="25" t="e">
        <f t="shared" si="338"/>
        <v>#DIV/0!</v>
      </c>
      <c r="S420" s="21" t="e">
        <f t="shared" si="338"/>
        <v>#DIV/0!</v>
      </c>
      <c r="T420" s="22" t="e">
        <f t="shared" ref="T420" si="339">T419/T418</f>
        <v>#DIV/0!</v>
      </c>
    </row>
    <row r="421" spans="1:20" x14ac:dyDescent="0.3">
      <c r="A421" s="104">
        <v>39</v>
      </c>
      <c r="B421" s="107" t="s">
        <v>119</v>
      </c>
      <c r="C421" s="110" t="s">
        <v>120</v>
      </c>
      <c r="D421" s="110" t="s">
        <v>37</v>
      </c>
      <c r="E421" s="114" t="s">
        <v>60</v>
      </c>
      <c r="F421" s="11" t="s">
        <v>25</v>
      </c>
      <c r="G421" s="23">
        <v>347758</v>
      </c>
      <c r="H421" s="23">
        <v>351235.58</v>
      </c>
      <c r="I421" s="23">
        <v>356504.11369999999</v>
      </c>
      <c r="J421" s="23">
        <v>356504.11369999999</v>
      </c>
      <c r="K421" s="9">
        <v>360069.15483700001</v>
      </c>
      <c r="L421" s="9">
        <v>363669.84638536995</v>
      </c>
      <c r="M421" s="9">
        <v>363669.84638536995</v>
      </c>
      <c r="N421" s="9">
        <v>363669.84638536995</v>
      </c>
      <c r="O421" s="9">
        <v>363669.84638536995</v>
      </c>
      <c r="P421" s="23">
        <v>367306.54484922369</v>
      </c>
      <c r="Q421" s="23">
        <v>367306.54484922369</v>
      </c>
      <c r="R421" s="24">
        <v>367306.54484922369</v>
      </c>
      <c r="S421" s="11">
        <f>SUMIF($G$4:$R$4,"&gt;=0",G421:R421)</f>
        <v>2135740.80862237</v>
      </c>
      <c r="T421" s="10">
        <f>SUM(G421:R421)</f>
        <v>4328669.9823261509</v>
      </c>
    </row>
    <row r="422" spans="1:20" x14ac:dyDescent="0.3">
      <c r="A422" s="105"/>
      <c r="B422" s="108"/>
      <c r="C422" s="111"/>
      <c r="D422" s="111"/>
      <c r="E422" s="115"/>
      <c r="F422" s="12" t="s">
        <v>26</v>
      </c>
      <c r="G422" s="14">
        <v>547156.75</v>
      </c>
      <c r="H422" s="14">
        <v>518738.33</v>
      </c>
      <c r="I422" s="14">
        <v>557429.74</v>
      </c>
      <c r="J422" s="14">
        <v>586961.35</v>
      </c>
      <c r="K422" s="13">
        <v>602457.85000000009</v>
      </c>
      <c r="L422" s="13">
        <v>594818.9</v>
      </c>
      <c r="M422" s="13"/>
      <c r="N422" s="13"/>
      <c r="O422" s="13"/>
      <c r="P422" s="14"/>
      <c r="Q422" s="14"/>
      <c r="R422" s="30"/>
      <c r="S422" s="16">
        <f>SUMIF($G$4:$R$4,"&gt;=0",G422:R422)</f>
        <v>3407562.92</v>
      </c>
      <c r="T422" s="17">
        <f t="shared" ref="T422" si="340">SUM(G422:R422)</f>
        <v>3407562.92</v>
      </c>
    </row>
    <row r="423" spans="1:20" ht="15" thickBot="1" x14ac:dyDescent="0.35">
      <c r="A423" s="105"/>
      <c r="B423" s="108"/>
      <c r="C423" s="111"/>
      <c r="D423" s="111"/>
      <c r="E423" s="115"/>
      <c r="F423" s="18" t="s">
        <v>27</v>
      </c>
      <c r="G423" s="19">
        <f>G422/G421</f>
        <v>1.5733836460987238</v>
      </c>
      <c r="H423" s="19">
        <f t="shared" ref="H423:T423" si="341">H422/H421</f>
        <v>1.4768957347658229</v>
      </c>
      <c r="I423" s="19">
        <f t="shared" si="341"/>
        <v>1.5635997414298561</v>
      </c>
      <c r="J423" s="19">
        <f t="shared" si="341"/>
        <v>1.6464364012751083</v>
      </c>
      <c r="K423" s="19">
        <f t="shared" si="341"/>
        <v>1.6731726167233825</v>
      </c>
      <c r="L423" s="19">
        <f t="shared" si="341"/>
        <v>1.635601372816839</v>
      </c>
      <c r="M423" s="19">
        <f t="shared" si="341"/>
        <v>0</v>
      </c>
      <c r="N423" s="19">
        <f t="shared" si="341"/>
        <v>0</v>
      </c>
      <c r="O423" s="19">
        <f t="shared" si="341"/>
        <v>0</v>
      </c>
      <c r="P423" s="19">
        <f t="shared" si="341"/>
        <v>0</v>
      </c>
      <c r="Q423" s="19">
        <f t="shared" si="341"/>
        <v>0</v>
      </c>
      <c r="R423" s="25">
        <f t="shared" si="341"/>
        <v>0</v>
      </c>
      <c r="S423" s="21">
        <f t="shared" si="341"/>
        <v>1.5954945966491136</v>
      </c>
      <c r="T423" s="22">
        <f t="shared" si="341"/>
        <v>0.78720783379490522</v>
      </c>
    </row>
    <row r="424" spans="1:20" x14ac:dyDescent="0.3">
      <c r="A424" s="105"/>
      <c r="B424" s="108"/>
      <c r="C424" s="111"/>
      <c r="D424" s="111"/>
      <c r="E424" s="115"/>
      <c r="F424" s="11" t="s">
        <v>28</v>
      </c>
      <c r="G424" s="23">
        <v>0</v>
      </c>
      <c r="H424" s="23">
        <v>0</v>
      </c>
      <c r="I424" s="23">
        <v>0</v>
      </c>
      <c r="J424" s="23"/>
      <c r="K424" s="9"/>
      <c r="L424" s="9"/>
      <c r="M424" s="9"/>
      <c r="N424" s="9"/>
      <c r="O424" s="9"/>
      <c r="P424" s="23"/>
      <c r="Q424" s="23">
        <v>332266.63999999996</v>
      </c>
      <c r="R424" s="24">
        <v>521662.40000000008</v>
      </c>
      <c r="S424" s="11">
        <f>SUMIF($G$4:$R$4,"&gt;=0",G424:R424)</f>
        <v>0</v>
      </c>
      <c r="T424" s="10">
        <f>SUM(G424:R424)</f>
        <v>853929.04</v>
      </c>
    </row>
    <row r="425" spans="1:20" ht="15" thickBot="1" x14ac:dyDescent="0.35">
      <c r="A425" s="105"/>
      <c r="B425" s="108"/>
      <c r="C425" s="111"/>
      <c r="D425" s="111"/>
      <c r="E425" s="115"/>
      <c r="F425" s="18" t="s">
        <v>29</v>
      </c>
      <c r="G425" s="19">
        <f>(G422-G424)/G422</f>
        <v>1</v>
      </c>
      <c r="H425" s="19">
        <f t="shared" ref="H425:S425" si="342">(H422-H424)/H422</f>
        <v>1</v>
      </c>
      <c r="I425" s="19">
        <f t="shared" si="342"/>
        <v>1</v>
      </c>
      <c r="J425" s="19">
        <f t="shared" si="342"/>
        <v>1</v>
      </c>
      <c r="K425" s="19">
        <f t="shared" si="342"/>
        <v>1</v>
      </c>
      <c r="L425" s="19">
        <f t="shared" si="342"/>
        <v>1</v>
      </c>
      <c r="M425" s="19" t="e">
        <f t="shared" si="342"/>
        <v>#DIV/0!</v>
      </c>
      <c r="N425" s="19" t="e">
        <f t="shared" si="342"/>
        <v>#DIV/0!</v>
      </c>
      <c r="O425" s="19" t="e">
        <f t="shared" si="342"/>
        <v>#DIV/0!</v>
      </c>
      <c r="P425" s="19" t="e">
        <f t="shared" si="342"/>
        <v>#DIV/0!</v>
      </c>
      <c r="Q425" s="19" t="e">
        <f t="shared" si="342"/>
        <v>#DIV/0!</v>
      </c>
      <c r="R425" s="25" t="e">
        <f t="shared" si="342"/>
        <v>#DIV/0!</v>
      </c>
      <c r="S425" s="21">
        <f t="shared" si="342"/>
        <v>1</v>
      </c>
      <c r="T425" s="22">
        <f t="shared" ref="T425" si="343">T422/T424</f>
        <v>3.9904520872132418</v>
      </c>
    </row>
    <row r="426" spans="1:20" x14ac:dyDescent="0.3">
      <c r="A426" s="105"/>
      <c r="B426" s="108"/>
      <c r="C426" s="111"/>
      <c r="D426" s="111"/>
      <c r="E426" s="115"/>
      <c r="F426" s="26" t="s">
        <v>30</v>
      </c>
      <c r="G426" s="23">
        <v>1175010.5764999997</v>
      </c>
      <c r="H426" s="23">
        <v>1110603.0828999998</v>
      </c>
      <c r="I426" s="23">
        <v>1202729.29</v>
      </c>
      <c r="J426" s="23"/>
      <c r="K426" s="9"/>
      <c r="L426" s="9"/>
      <c r="M426" s="9"/>
      <c r="N426" s="9"/>
      <c r="O426" s="9"/>
      <c r="P426" s="23"/>
      <c r="Q426" s="23"/>
      <c r="R426" s="24"/>
      <c r="S426" s="11">
        <f>SUMIF($G$4:$R$4,"&gt;=0",G426:R426)</f>
        <v>3488342.9493999993</v>
      </c>
      <c r="T426" s="10">
        <f>SUM(G426:R426)</f>
        <v>3488342.9493999993</v>
      </c>
    </row>
    <row r="427" spans="1:20" x14ac:dyDescent="0.3">
      <c r="A427" s="105"/>
      <c r="B427" s="108"/>
      <c r="C427" s="111"/>
      <c r="D427" s="111"/>
      <c r="E427" s="115"/>
      <c r="F427" s="29" t="s">
        <v>31</v>
      </c>
      <c r="G427" s="14"/>
      <c r="H427" s="14"/>
      <c r="I427" s="14"/>
      <c r="J427" s="14"/>
      <c r="K427" s="13"/>
      <c r="L427" s="13"/>
      <c r="M427" s="13"/>
      <c r="N427" s="13"/>
      <c r="O427" s="13"/>
      <c r="P427" s="14"/>
      <c r="Q427" s="14"/>
      <c r="R427" s="30"/>
      <c r="S427" s="16">
        <f>SUMIF($G$4:$R$4,"&gt;=0",G427:R427)</f>
        <v>0</v>
      </c>
      <c r="T427" s="17">
        <f t="shared" ref="T427" si="344">SUM(G427:R427)</f>
        <v>0</v>
      </c>
    </row>
    <row r="428" spans="1:20" ht="15" thickBot="1" x14ac:dyDescent="0.35">
      <c r="A428" s="105"/>
      <c r="B428" s="108"/>
      <c r="C428" s="111"/>
      <c r="D428" s="111"/>
      <c r="E428" s="115"/>
      <c r="F428" s="18" t="s">
        <v>32</v>
      </c>
      <c r="G428" s="19">
        <f>(G426-G427)/G426</f>
        <v>1</v>
      </c>
      <c r="H428" s="19">
        <f t="shared" ref="H428:S428" si="345">(H426-H427)/H426</f>
        <v>1</v>
      </c>
      <c r="I428" s="19">
        <f t="shared" si="345"/>
        <v>1</v>
      </c>
      <c r="J428" s="19" t="e">
        <f t="shared" si="345"/>
        <v>#DIV/0!</v>
      </c>
      <c r="K428" s="19" t="e">
        <f t="shared" si="345"/>
        <v>#DIV/0!</v>
      </c>
      <c r="L428" s="19" t="e">
        <f t="shared" si="345"/>
        <v>#DIV/0!</v>
      </c>
      <c r="M428" s="19" t="e">
        <f t="shared" si="345"/>
        <v>#DIV/0!</v>
      </c>
      <c r="N428" s="19" t="e">
        <f t="shared" si="345"/>
        <v>#DIV/0!</v>
      </c>
      <c r="O428" s="19" t="e">
        <f t="shared" si="345"/>
        <v>#DIV/0!</v>
      </c>
      <c r="P428" s="19" t="e">
        <f t="shared" si="345"/>
        <v>#DIV/0!</v>
      </c>
      <c r="Q428" s="19" t="e">
        <f t="shared" si="345"/>
        <v>#DIV/0!</v>
      </c>
      <c r="R428" s="25" t="e">
        <f t="shared" si="345"/>
        <v>#DIV/0!</v>
      </c>
      <c r="S428" s="21">
        <f t="shared" si="345"/>
        <v>1</v>
      </c>
      <c r="T428" s="22" t="e">
        <f t="shared" ref="T428" si="346">T426/T427</f>
        <v>#DIV/0!</v>
      </c>
    </row>
    <row r="429" spans="1:20" x14ac:dyDescent="0.3">
      <c r="A429" s="105"/>
      <c r="B429" s="108"/>
      <c r="C429" s="111"/>
      <c r="D429" s="111"/>
      <c r="E429" s="115"/>
      <c r="F429" s="31" t="s">
        <v>33</v>
      </c>
      <c r="G429" s="23"/>
      <c r="H429" s="23"/>
      <c r="I429" s="23"/>
      <c r="J429" s="23"/>
      <c r="K429" s="9"/>
      <c r="L429" s="9"/>
      <c r="M429" s="9"/>
      <c r="N429" s="9"/>
      <c r="O429" s="9"/>
      <c r="P429" s="23"/>
      <c r="Q429" s="23"/>
      <c r="R429" s="24"/>
      <c r="S429" s="11">
        <f>SUMIF($G$4:$R$4,"&gt;=0",G429:R429)</f>
        <v>0</v>
      </c>
      <c r="T429" s="10">
        <f>SUM(G429:R429)</f>
        <v>0</v>
      </c>
    </row>
    <row r="430" spans="1:20" x14ac:dyDescent="0.3">
      <c r="A430" s="105"/>
      <c r="B430" s="108"/>
      <c r="C430" s="111"/>
      <c r="D430" s="111"/>
      <c r="E430" s="115"/>
      <c r="F430" s="32" t="s">
        <v>34</v>
      </c>
      <c r="G430" s="14"/>
      <c r="H430" s="14"/>
      <c r="I430" s="14"/>
      <c r="J430" s="14"/>
      <c r="K430" s="13"/>
      <c r="L430" s="13"/>
      <c r="M430" s="13"/>
      <c r="N430" s="13"/>
      <c r="O430" s="13"/>
      <c r="P430" s="14"/>
      <c r="Q430" s="14"/>
      <c r="R430" s="30"/>
      <c r="S430" s="16">
        <f>SUMIF($G$4:$R$4,"&gt;=0",G430:R430)</f>
        <v>0</v>
      </c>
      <c r="T430" s="17">
        <f>SUM(G430:R430)</f>
        <v>0</v>
      </c>
    </row>
    <row r="431" spans="1:20" ht="15" thickBot="1" x14ac:dyDescent="0.35">
      <c r="A431" s="106"/>
      <c r="B431" s="109"/>
      <c r="C431" s="112"/>
      <c r="D431" s="113"/>
      <c r="E431" s="116"/>
      <c r="F431" s="21" t="s">
        <v>35</v>
      </c>
      <c r="G431" s="19" t="e">
        <f>(G430-G429)/G430</f>
        <v>#DIV/0!</v>
      </c>
      <c r="H431" s="19" t="e">
        <f t="shared" ref="H431:S431" si="347">(H430-H429)/H430</f>
        <v>#DIV/0!</v>
      </c>
      <c r="I431" s="19" t="e">
        <f t="shared" si="347"/>
        <v>#DIV/0!</v>
      </c>
      <c r="J431" s="19" t="e">
        <f t="shared" si="347"/>
        <v>#DIV/0!</v>
      </c>
      <c r="K431" s="19" t="e">
        <f t="shared" si="347"/>
        <v>#DIV/0!</v>
      </c>
      <c r="L431" s="19" t="e">
        <f t="shared" si="347"/>
        <v>#DIV/0!</v>
      </c>
      <c r="M431" s="19" t="e">
        <f t="shared" si="347"/>
        <v>#DIV/0!</v>
      </c>
      <c r="N431" s="19" t="e">
        <f t="shared" si="347"/>
        <v>#DIV/0!</v>
      </c>
      <c r="O431" s="19" t="e">
        <f t="shared" si="347"/>
        <v>#DIV/0!</v>
      </c>
      <c r="P431" s="19" t="e">
        <f t="shared" si="347"/>
        <v>#DIV/0!</v>
      </c>
      <c r="Q431" s="19" t="e">
        <f t="shared" si="347"/>
        <v>#DIV/0!</v>
      </c>
      <c r="R431" s="25" t="e">
        <f t="shared" si="347"/>
        <v>#DIV/0!</v>
      </c>
      <c r="S431" s="21" t="e">
        <f t="shared" si="347"/>
        <v>#DIV/0!</v>
      </c>
      <c r="T431" s="22" t="e">
        <f t="shared" ref="T431" si="348">T430/T429</f>
        <v>#DIV/0!</v>
      </c>
    </row>
    <row r="432" spans="1:20" x14ac:dyDescent="0.3">
      <c r="A432" s="104">
        <v>40</v>
      </c>
      <c r="B432" s="107" t="s">
        <v>121</v>
      </c>
      <c r="C432" s="110" t="s">
        <v>122</v>
      </c>
      <c r="D432" s="110" t="s">
        <v>37</v>
      </c>
      <c r="E432" s="114" t="s">
        <v>50</v>
      </c>
      <c r="F432" s="11" t="s">
        <v>25</v>
      </c>
      <c r="G432" s="23">
        <v>370000</v>
      </c>
      <c r="H432" s="23">
        <v>377400</v>
      </c>
      <c r="I432" s="23">
        <v>384948</v>
      </c>
      <c r="J432" s="23">
        <v>392646.95999999996</v>
      </c>
      <c r="K432" s="9">
        <v>400499.89919999999</v>
      </c>
      <c r="L432" s="9">
        <v>408509.897184</v>
      </c>
      <c r="M432" s="9">
        <v>416680.09512767999</v>
      </c>
      <c r="N432" s="9">
        <v>425013.69703023363</v>
      </c>
      <c r="O432" s="9">
        <v>433513.97097083827</v>
      </c>
      <c r="P432" s="23">
        <v>442184.25039025501</v>
      </c>
      <c r="Q432" s="23">
        <v>442184.25039025501</v>
      </c>
      <c r="R432" s="24">
        <v>442184.25039025501</v>
      </c>
      <c r="S432" s="11">
        <f>SUMIF($G$4:$R$4,"&gt;=0",G432:R432)</f>
        <v>2334004.7563839997</v>
      </c>
      <c r="T432" s="10">
        <f>SUM(G432:R432)</f>
        <v>4935765.2706835167</v>
      </c>
    </row>
    <row r="433" spans="1:20" x14ac:dyDescent="0.3">
      <c r="A433" s="105"/>
      <c r="B433" s="108"/>
      <c r="C433" s="111"/>
      <c r="D433" s="111"/>
      <c r="E433" s="115"/>
      <c r="F433" s="12" t="s">
        <v>26</v>
      </c>
      <c r="G433" s="14">
        <v>237849.43</v>
      </c>
      <c r="H433" s="14">
        <v>253887.22</v>
      </c>
      <c r="I433" s="14">
        <v>286516.45999999996</v>
      </c>
      <c r="J433" s="14">
        <v>294663.20999999996</v>
      </c>
      <c r="K433" s="13">
        <v>306609.84000000008</v>
      </c>
      <c r="L433" s="13">
        <v>292990.8</v>
      </c>
      <c r="M433" s="13"/>
      <c r="N433" s="13"/>
      <c r="O433" s="13"/>
      <c r="P433" s="14"/>
      <c r="Q433" s="14"/>
      <c r="R433" s="30"/>
      <c r="S433" s="16">
        <f>SUMIF($G$4:$R$4,"&gt;=0",G433:R433)</f>
        <v>1672516.96</v>
      </c>
      <c r="T433" s="17">
        <f t="shared" ref="T433" si="349">SUM(G433:R433)</f>
        <v>1672516.96</v>
      </c>
    </row>
    <row r="434" spans="1:20" ht="15" thickBot="1" x14ac:dyDescent="0.35">
      <c r="A434" s="105"/>
      <c r="B434" s="108"/>
      <c r="C434" s="111"/>
      <c r="D434" s="111"/>
      <c r="E434" s="115"/>
      <c r="F434" s="18" t="s">
        <v>27</v>
      </c>
      <c r="G434" s="19">
        <f>G433/G432</f>
        <v>0.6428362972972973</v>
      </c>
      <c r="H434" s="19">
        <f t="shared" ref="H434:T434" si="350">H433/H432</f>
        <v>0.67272713301536835</v>
      </c>
      <c r="I434" s="19">
        <f t="shared" si="350"/>
        <v>0.74429912611573501</v>
      </c>
      <c r="J434" s="19">
        <f t="shared" si="350"/>
        <v>0.75045330797925947</v>
      </c>
      <c r="K434" s="19">
        <f t="shared" si="350"/>
        <v>0.76556783313167964</v>
      </c>
      <c r="L434" s="19">
        <f t="shared" si="350"/>
        <v>0.71721836366679703</v>
      </c>
      <c r="M434" s="19">
        <f t="shared" si="350"/>
        <v>0</v>
      </c>
      <c r="N434" s="19">
        <f t="shared" si="350"/>
        <v>0</v>
      </c>
      <c r="O434" s="19">
        <f t="shared" si="350"/>
        <v>0</v>
      </c>
      <c r="P434" s="19">
        <f t="shared" si="350"/>
        <v>0</v>
      </c>
      <c r="Q434" s="19">
        <f t="shared" si="350"/>
        <v>0</v>
      </c>
      <c r="R434" s="25">
        <f t="shared" si="350"/>
        <v>0</v>
      </c>
      <c r="S434" s="21">
        <f t="shared" si="350"/>
        <v>0.71658678304973888</v>
      </c>
      <c r="T434" s="22">
        <f t="shared" si="350"/>
        <v>0.33885666523367425</v>
      </c>
    </row>
    <row r="435" spans="1:20" x14ac:dyDescent="0.3">
      <c r="A435" s="105"/>
      <c r="B435" s="108"/>
      <c r="C435" s="111"/>
      <c r="D435" s="111"/>
      <c r="E435" s="115"/>
      <c r="F435" s="11" t="s">
        <v>28</v>
      </c>
      <c r="G435" s="23">
        <v>0</v>
      </c>
      <c r="H435" s="23">
        <v>0</v>
      </c>
      <c r="I435" s="23">
        <v>0</v>
      </c>
      <c r="J435" s="23"/>
      <c r="K435" s="9"/>
      <c r="L435" s="9"/>
      <c r="M435" s="9"/>
      <c r="N435" s="9"/>
      <c r="O435" s="9"/>
      <c r="P435" s="23"/>
      <c r="Q435" s="23">
        <v>79478.22</v>
      </c>
      <c r="R435" s="24">
        <v>122381.23</v>
      </c>
      <c r="S435" s="11">
        <f>SUMIF($G$4:$R$4,"&gt;=0",G435:R435)</f>
        <v>0</v>
      </c>
      <c r="T435" s="10">
        <f>SUM(G435:R435)</f>
        <v>201859.45</v>
      </c>
    </row>
    <row r="436" spans="1:20" ht="15" thickBot="1" x14ac:dyDescent="0.35">
      <c r="A436" s="105"/>
      <c r="B436" s="108"/>
      <c r="C436" s="111"/>
      <c r="D436" s="111"/>
      <c r="E436" s="115"/>
      <c r="F436" s="18" t="s">
        <v>29</v>
      </c>
      <c r="G436" s="19">
        <f>(G433-G435)/G433</f>
        <v>1</v>
      </c>
      <c r="H436" s="19">
        <f t="shared" ref="H436:S436" si="351">(H433-H435)/H433</f>
        <v>1</v>
      </c>
      <c r="I436" s="19">
        <f t="shared" si="351"/>
        <v>1</v>
      </c>
      <c r="J436" s="19">
        <f t="shared" si="351"/>
        <v>1</v>
      </c>
      <c r="K436" s="19">
        <f t="shared" si="351"/>
        <v>1</v>
      </c>
      <c r="L436" s="19">
        <f t="shared" si="351"/>
        <v>1</v>
      </c>
      <c r="M436" s="19" t="e">
        <f t="shared" si="351"/>
        <v>#DIV/0!</v>
      </c>
      <c r="N436" s="19" t="e">
        <f t="shared" si="351"/>
        <v>#DIV/0!</v>
      </c>
      <c r="O436" s="19" t="e">
        <f t="shared" si="351"/>
        <v>#DIV/0!</v>
      </c>
      <c r="P436" s="19" t="e">
        <f t="shared" si="351"/>
        <v>#DIV/0!</v>
      </c>
      <c r="Q436" s="19" t="e">
        <f t="shared" si="351"/>
        <v>#DIV/0!</v>
      </c>
      <c r="R436" s="25" t="e">
        <f t="shared" si="351"/>
        <v>#DIV/0!</v>
      </c>
      <c r="S436" s="21">
        <f t="shared" si="351"/>
        <v>1</v>
      </c>
      <c r="T436" s="22">
        <f t="shared" ref="T436" si="352">T433/T435</f>
        <v>8.2855519521132148</v>
      </c>
    </row>
    <row r="437" spans="1:20" x14ac:dyDescent="0.3">
      <c r="A437" s="105"/>
      <c r="B437" s="108"/>
      <c r="C437" s="111"/>
      <c r="D437" s="111"/>
      <c r="E437" s="115"/>
      <c r="F437" s="26" t="s">
        <v>30</v>
      </c>
      <c r="G437" s="23">
        <v>538419.7784999999</v>
      </c>
      <c r="H437" s="23">
        <v>573921.52220000012</v>
      </c>
      <c r="I437" s="23">
        <v>648036.26649999979</v>
      </c>
      <c r="J437" s="23"/>
      <c r="K437" s="9"/>
      <c r="L437" s="9"/>
      <c r="M437" s="9"/>
      <c r="N437" s="9"/>
      <c r="O437" s="9"/>
      <c r="P437" s="23"/>
      <c r="Q437" s="23"/>
      <c r="R437" s="24"/>
      <c r="S437" s="11">
        <f>SUMIF($G$4:$R$4,"&gt;=0",G437:R437)</f>
        <v>1760377.5671999999</v>
      </c>
      <c r="T437" s="10">
        <f>SUM(G437:R437)</f>
        <v>1760377.5671999999</v>
      </c>
    </row>
    <row r="438" spans="1:20" x14ac:dyDescent="0.3">
      <c r="A438" s="105"/>
      <c r="B438" s="108"/>
      <c r="C438" s="111"/>
      <c r="D438" s="111"/>
      <c r="E438" s="115"/>
      <c r="F438" s="29" t="s">
        <v>31</v>
      </c>
      <c r="G438" s="14"/>
      <c r="H438" s="14"/>
      <c r="I438" s="14"/>
      <c r="J438" s="14"/>
      <c r="K438" s="13"/>
      <c r="L438" s="13"/>
      <c r="M438" s="13"/>
      <c r="N438" s="13"/>
      <c r="O438" s="13"/>
      <c r="P438" s="14"/>
      <c r="Q438" s="14"/>
      <c r="R438" s="30"/>
      <c r="S438" s="16">
        <f>SUMIF($G$4:$R$4,"&gt;=0",G438:R438)</f>
        <v>0</v>
      </c>
      <c r="T438" s="17">
        <f t="shared" ref="T438" si="353">SUM(G438:R438)</f>
        <v>0</v>
      </c>
    </row>
    <row r="439" spans="1:20" ht="15" thickBot="1" x14ac:dyDescent="0.35">
      <c r="A439" s="105"/>
      <c r="B439" s="108"/>
      <c r="C439" s="111"/>
      <c r="D439" s="111"/>
      <c r="E439" s="115"/>
      <c r="F439" s="18" t="s">
        <v>32</v>
      </c>
      <c r="G439" s="19">
        <f>(G437-G438)/G437</f>
        <v>1</v>
      </c>
      <c r="H439" s="19">
        <f t="shared" ref="H439:S439" si="354">(H437-H438)/H437</f>
        <v>1</v>
      </c>
      <c r="I439" s="19">
        <f t="shared" si="354"/>
        <v>1</v>
      </c>
      <c r="J439" s="19" t="e">
        <f t="shared" si="354"/>
        <v>#DIV/0!</v>
      </c>
      <c r="K439" s="19" t="e">
        <f t="shared" si="354"/>
        <v>#DIV/0!</v>
      </c>
      <c r="L439" s="19" t="e">
        <f t="shared" si="354"/>
        <v>#DIV/0!</v>
      </c>
      <c r="M439" s="19" t="e">
        <f t="shared" si="354"/>
        <v>#DIV/0!</v>
      </c>
      <c r="N439" s="19" t="e">
        <f t="shared" si="354"/>
        <v>#DIV/0!</v>
      </c>
      <c r="O439" s="19" t="e">
        <f t="shared" si="354"/>
        <v>#DIV/0!</v>
      </c>
      <c r="P439" s="19" t="e">
        <f t="shared" si="354"/>
        <v>#DIV/0!</v>
      </c>
      <c r="Q439" s="19" t="e">
        <f t="shared" si="354"/>
        <v>#DIV/0!</v>
      </c>
      <c r="R439" s="25" t="e">
        <f t="shared" si="354"/>
        <v>#DIV/0!</v>
      </c>
      <c r="S439" s="21">
        <f t="shared" si="354"/>
        <v>1</v>
      </c>
      <c r="T439" s="22" t="e">
        <f t="shared" ref="T439" si="355">T437/T438</f>
        <v>#DIV/0!</v>
      </c>
    </row>
    <row r="440" spans="1:20" x14ac:dyDescent="0.3">
      <c r="A440" s="105"/>
      <c r="B440" s="108"/>
      <c r="C440" s="111"/>
      <c r="D440" s="111"/>
      <c r="E440" s="115"/>
      <c r="F440" s="31" t="s">
        <v>33</v>
      </c>
      <c r="G440" s="23"/>
      <c r="H440" s="23"/>
      <c r="I440" s="23"/>
      <c r="J440" s="23"/>
      <c r="K440" s="9"/>
      <c r="L440" s="9"/>
      <c r="M440" s="9"/>
      <c r="N440" s="9"/>
      <c r="O440" s="9"/>
      <c r="P440" s="23"/>
      <c r="Q440" s="23"/>
      <c r="R440" s="24"/>
      <c r="S440" s="11">
        <f>SUMIF($G$4:$R$4,"&gt;=0",G440:R440)</f>
        <v>0</v>
      </c>
      <c r="T440" s="10">
        <f>SUM(G440:R440)</f>
        <v>0</v>
      </c>
    </row>
    <row r="441" spans="1:20" x14ac:dyDescent="0.3">
      <c r="A441" s="105"/>
      <c r="B441" s="108"/>
      <c r="C441" s="111"/>
      <c r="D441" s="111"/>
      <c r="E441" s="115"/>
      <c r="F441" s="32" t="s">
        <v>34</v>
      </c>
      <c r="G441" s="14"/>
      <c r="H441" s="14"/>
      <c r="I441" s="14"/>
      <c r="J441" s="14"/>
      <c r="K441" s="13"/>
      <c r="L441" s="13"/>
      <c r="M441" s="13"/>
      <c r="N441" s="13"/>
      <c r="O441" s="13"/>
      <c r="P441" s="14"/>
      <c r="Q441" s="14"/>
      <c r="R441" s="30"/>
      <c r="S441" s="16">
        <f>SUMIF($G$4:$R$4,"&gt;=0",G441:R441)</f>
        <v>0</v>
      </c>
      <c r="T441" s="17">
        <f>SUM(G441:R441)</f>
        <v>0</v>
      </c>
    </row>
    <row r="442" spans="1:20" ht="15" thickBot="1" x14ac:dyDescent="0.35">
      <c r="A442" s="117"/>
      <c r="B442" s="109"/>
      <c r="C442" s="112"/>
      <c r="D442" s="113"/>
      <c r="E442" s="116"/>
      <c r="F442" s="21" t="s">
        <v>35</v>
      </c>
      <c r="G442" s="19" t="e">
        <f>(G441-G440)/G441</f>
        <v>#DIV/0!</v>
      </c>
      <c r="H442" s="19" t="e">
        <f t="shared" ref="H442:S442" si="356">(H441-H440)/H441</f>
        <v>#DIV/0!</v>
      </c>
      <c r="I442" s="19" t="e">
        <f t="shared" si="356"/>
        <v>#DIV/0!</v>
      </c>
      <c r="J442" s="19" t="e">
        <f t="shared" si="356"/>
        <v>#DIV/0!</v>
      </c>
      <c r="K442" s="19" t="e">
        <f t="shared" si="356"/>
        <v>#DIV/0!</v>
      </c>
      <c r="L442" s="19" t="e">
        <f t="shared" si="356"/>
        <v>#DIV/0!</v>
      </c>
      <c r="M442" s="19" t="e">
        <f t="shared" si="356"/>
        <v>#DIV/0!</v>
      </c>
      <c r="N442" s="19" t="e">
        <f t="shared" si="356"/>
        <v>#DIV/0!</v>
      </c>
      <c r="O442" s="19" t="e">
        <f t="shared" si="356"/>
        <v>#DIV/0!</v>
      </c>
      <c r="P442" s="19" t="e">
        <f t="shared" si="356"/>
        <v>#DIV/0!</v>
      </c>
      <c r="Q442" s="19" t="e">
        <f t="shared" si="356"/>
        <v>#DIV/0!</v>
      </c>
      <c r="R442" s="25" t="e">
        <f t="shared" si="356"/>
        <v>#DIV/0!</v>
      </c>
      <c r="S442" s="21" t="e">
        <f t="shared" si="356"/>
        <v>#DIV/0!</v>
      </c>
      <c r="T442" s="22" t="e">
        <f t="shared" ref="T442" si="357">T441/T440</f>
        <v>#DIV/0!</v>
      </c>
    </row>
    <row r="443" spans="1:20" x14ac:dyDescent="0.3">
      <c r="A443" s="104">
        <v>41</v>
      </c>
      <c r="B443" s="107" t="s">
        <v>123</v>
      </c>
      <c r="C443" s="110" t="s">
        <v>124</v>
      </c>
      <c r="D443" s="110" t="s">
        <v>37</v>
      </c>
      <c r="E443" s="114" t="s">
        <v>24</v>
      </c>
      <c r="F443" s="11" t="s">
        <v>25</v>
      </c>
      <c r="G443" s="23">
        <v>651000</v>
      </c>
      <c r="H443" s="23">
        <v>657510</v>
      </c>
      <c r="I443" s="23">
        <v>664085.1</v>
      </c>
      <c r="J443" s="23">
        <v>664085.1</v>
      </c>
      <c r="K443" s="9">
        <v>674046.37650000001</v>
      </c>
      <c r="L443" s="9">
        <v>680786.84026500012</v>
      </c>
      <c r="M443" s="9">
        <v>687594.70866765</v>
      </c>
      <c r="N443" s="9">
        <v>704784.57638434134</v>
      </c>
      <c r="O443" s="9">
        <v>704784.57638434134</v>
      </c>
      <c r="P443" s="23">
        <v>715356.34503010637</v>
      </c>
      <c r="Q443" s="23">
        <v>726086.69020555809</v>
      </c>
      <c r="R443" s="24">
        <v>745000</v>
      </c>
      <c r="S443" s="11">
        <f>SUMIF($G$4:$R$4,"&gt;=0",G443:R443)</f>
        <v>3991513.4167650007</v>
      </c>
      <c r="T443" s="10">
        <f>SUM(G443:R443)</f>
        <v>8275120.3134369981</v>
      </c>
    </row>
    <row r="444" spans="1:20" x14ac:dyDescent="0.3">
      <c r="A444" s="105"/>
      <c r="B444" s="108"/>
      <c r="C444" s="111"/>
      <c r="D444" s="111"/>
      <c r="E444" s="115"/>
      <c r="F444" s="12" t="s">
        <v>26</v>
      </c>
      <c r="G444" s="14">
        <v>638775.62</v>
      </c>
      <c r="H444" s="14">
        <v>581470.15</v>
      </c>
      <c r="I444" s="14">
        <v>582868.99</v>
      </c>
      <c r="J444" s="14">
        <v>590920.28</v>
      </c>
      <c r="K444" s="13">
        <v>570761.90000000014</v>
      </c>
      <c r="L444" s="13">
        <v>548146.91999999993</v>
      </c>
      <c r="M444" s="13"/>
      <c r="N444" s="13"/>
      <c r="O444" s="13"/>
      <c r="P444" s="14"/>
      <c r="Q444" s="14"/>
      <c r="R444" s="30"/>
      <c r="S444" s="16">
        <f>SUMIF($G$4:$R$4,"&gt;=0",G444:R444)</f>
        <v>3512943.8600000003</v>
      </c>
      <c r="T444" s="17">
        <f t="shared" ref="T444" si="358">SUM(G444:R444)</f>
        <v>3512943.8600000003</v>
      </c>
    </row>
    <row r="445" spans="1:20" ht="15" thickBot="1" x14ac:dyDescent="0.35">
      <c r="A445" s="105"/>
      <c r="B445" s="108"/>
      <c r="C445" s="111"/>
      <c r="D445" s="111"/>
      <c r="E445" s="115"/>
      <c r="F445" s="18" t="s">
        <v>27</v>
      </c>
      <c r="G445" s="19">
        <f>G444/G443</f>
        <v>0.9812221505376344</v>
      </c>
      <c r="H445" s="19">
        <f t="shared" ref="H445:T445" si="359">H444/H443</f>
        <v>0.8843517969308452</v>
      </c>
      <c r="I445" s="19">
        <f t="shared" si="359"/>
        <v>0.87770225532842105</v>
      </c>
      <c r="J445" s="19">
        <f t="shared" si="359"/>
        <v>0.88982613824643864</v>
      </c>
      <c r="K445" s="19">
        <f t="shared" si="359"/>
        <v>0.84676948040829669</v>
      </c>
      <c r="L445" s="19">
        <f t="shared" si="359"/>
        <v>0.8051667388086271</v>
      </c>
      <c r="M445" s="19">
        <f t="shared" si="359"/>
        <v>0</v>
      </c>
      <c r="N445" s="19">
        <f t="shared" si="359"/>
        <v>0</v>
      </c>
      <c r="O445" s="19">
        <f t="shared" si="359"/>
        <v>0</v>
      </c>
      <c r="P445" s="19">
        <f t="shared" si="359"/>
        <v>0</v>
      </c>
      <c r="Q445" s="19">
        <f t="shared" si="359"/>
        <v>0</v>
      </c>
      <c r="R445" s="25">
        <f t="shared" si="359"/>
        <v>0</v>
      </c>
      <c r="S445" s="21">
        <f t="shared" si="359"/>
        <v>0.880103232334149</v>
      </c>
      <c r="T445" s="22">
        <f t="shared" si="359"/>
        <v>0.42451876552123868</v>
      </c>
    </row>
    <row r="446" spans="1:20" x14ac:dyDescent="0.3">
      <c r="A446" s="105"/>
      <c r="B446" s="108"/>
      <c r="C446" s="111"/>
      <c r="D446" s="111"/>
      <c r="E446" s="115"/>
      <c r="F446" s="11" t="s">
        <v>28</v>
      </c>
      <c r="G446" s="23">
        <v>0</v>
      </c>
      <c r="H446" s="23">
        <v>0</v>
      </c>
      <c r="I446" s="23">
        <v>0</v>
      </c>
      <c r="J446" s="23"/>
      <c r="K446" s="9"/>
      <c r="L446" s="9"/>
      <c r="M446" s="9"/>
      <c r="N446" s="9"/>
      <c r="O446" s="9"/>
      <c r="P446" s="23"/>
      <c r="Q446" s="23">
        <v>59685.62</v>
      </c>
      <c r="R446" s="24">
        <v>518613.61999999994</v>
      </c>
      <c r="S446" s="11">
        <f>SUMIF($G$4:$R$4,"&gt;=0",G446:R446)</f>
        <v>0</v>
      </c>
      <c r="T446" s="10">
        <f>SUM(G446:R446)</f>
        <v>578299.24</v>
      </c>
    </row>
    <row r="447" spans="1:20" ht="15" thickBot="1" x14ac:dyDescent="0.35">
      <c r="A447" s="105"/>
      <c r="B447" s="108"/>
      <c r="C447" s="111"/>
      <c r="D447" s="111"/>
      <c r="E447" s="115"/>
      <c r="F447" s="18" t="s">
        <v>29</v>
      </c>
      <c r="G447" s="19">
        <f>(G444-G446)/G444</f>
        <v>1</v>
      </c>
      <c r="H447" s="19">
        <f t="shared" ref="H447:S447" si="360">(H444-H446)/H444</f>
        <v>1</v>
      </c>
      <c r="I447" s="19">
        <f t="shared" si="360"/>
        <v>1</v>
      </c>
      <c r="J447" s="19">
        <f t="shared" si="360"/>
        <v>1</v>
      </c>
      <c r="K447" s="19">
        <f t="shared" si="360"/>
        <v>1</v>
      </c>
      <c r="L447" s="19">
        <f t="shared" si="360"/>
        <v>1</v>
      </c>
      <c r="M447" s="19" t="e">
        <f t="shared" si="360"/>
        <v>#DIV/0!</v>
      </c>
      <c r="N447" s="19" t="e">
        <f t="shared" si="360"/>
        <v>#DIV/0!</v>
      </c>
      <c r="O447" s="19" t="e">
        <f t="shared" si="360"/>
        <v>#DIV/0!</v>
      </c>
      <c r="P447" s="19" t="e">
        <f t="shared" si="360"/>
        <v>#DIV/0!</v>
      </c>
      <c r="Q447" s="19" t="e">
        <f t="shared" si="360"/>
        <v>#DIV/0!</v>
      </c>
      <c r="R447" s="25" t="e">
        <f t="shared" si="360"/>
        <v>#DIV/0!</v>
      </c>
      <c r="S447" s="21">
        <f t="shared" si="360"/>
        <v>1</v>
      </c>
      <c r="T447" s="22">
        <f t="shared" ref="T447" si="361">T444/T446</f>
        <v>6.0746126175092332</v>
      </c>
    </row>
    <row r="448" spans="1:20" x14ac:dyDescent="0.3">
      <c r="A448" s="105"/>
      <c r="B448" s="108"/>
      <c r="C448" s="111"/>
      <c r="D448" s="111"/>
      <c r="E448" s="115"/>
      <c r="F448" s="26" t="s">
        <v>30</v>
      </c>
      <c r="G448" s="23">
        <v>1411675.5015000005</v>
      </c>
      <c r="H448" s="23">
        <v>1284194.9058000001</v>
      </c>
      <c r="I448" s="23">
        <v>1284211.9893000005</v>
      </c>
      <c r="J448" s="23"/>
      <c r="K448" s="9"/>
      <c r="L448" s="9"/>
      <c r="M448" s="9"/>
      <c r="N448" s="9"/>
      <c r="O448" s="9"/>
      <c r="P448" s="23"/>
      <c r="Q448" s="23"/>
      <c r="R448" s="24"/>
      <c r="S448" s="11">
        <f>SUMIF($G$4:$R$4,"&gt;=0",G448:R448)</f>
        <v>3980082.396600001</v>
      </c>
      <c r="T448" s="10">
        <f>SUM(G448:R448)</f>
        <v>3980082.396600001</v>
      </c>
    </row>
    <row r="449" spans="1:20" x14ac:dyDescent="0.3">
      <c r="A449" s="105"/>
      <c r="B449" s="108"/>
      <c r="C449" s="111"/>
      <c r="D449" s="111"/>
      <c r="E449" s="115"/>
      <c r="F449" s="29" t="s">
        <v>31</v>
      </c>
      <c r="G449" s="14"/>
      <c r="H449" s="14"/>
      <c r="I449" s="14"/>
      <c r="J449" s="14"/>
      <c r="K449" s="13"/>
      <c r="L449" s="13"/>
      <c r="M449" s="13"/>
      <c r="N449" s="13"/>
      <c r="O449" s="13"/>
      <c r="P449" s="14"/>
      <c r="Q449" s="14"/>
      <c r="R449" s="30"/>
      <c r="S449" s="16">
        <f>SUMIF($G$4:$R$4,"&gt;=0",G449:R449)</f>
        <v>0</v>
      </c>
      <c r="T449" s="17">
        <f t="shared" ref="T449" si="362">SUM(G449:R449)</f>
        <v>0</v>
      </c>
    </row>
    <row r="450" spans="1:20" ht="15" thickBot="1" x14ac:dyDescent="0.35">
      <c r="A450" s="105"/>
      <c r="B450" s="108"/>
      <c r="C450" s="111"/>
      <c r="D450" s="111"/>
      <c r="E450" s="115"/>
      <c r="F450" s="18" t="s">
        <v>32</v>
      </c>
      <c r="G450" s="19">
        <f>(G448-G449)/G448</f>
        <v>1</v>
      </c>
      <c r="H450" s="19">
        <f t="shared" ref="H450:S450" si="363">(H448-H449)/H448</f>
        <v>1</v>
      </c>
      <c r="I450" s="19">
        <f t="shared" si="363"/>
        <v>1</v>
      </c>
      <c r="J450" s="19" t="e">
        <f t="shared" si="363"/>
        <v>#DIV/0!</v>
      </c>
      <c r="K450" s="19" t="e">
        <f t="shared" si="363"/>
        <v>#DIV/0!</v>
      </c>
      <c r="L450" s="19" t="e">
        <f t="shared" si="363"/>
        <v>#DIV/0!</v>
      </c>
      <c r="M450" s="19" t="e">
        <f t="shared" si="363"/>
        <v>#DIV/0!</v>
      </c>
      <c r="N450" s="19" t="e">
        <f t="shared" si="363"/>
        <v>#DIV/0!</v>
      </c>
      <c r="O450" s="19" t="e">
        <f t="shared" si="363"/>
        <v>#DIV/0!</v>
      </c>
      <c r="P450" s="19" t="e">
        <f t="shared" si="363"/>
        <v>#DIV/0!</v>
      </c>
      <c r="Q450" s="19" t="e">
        <f t="shared" si="363"/>
        <v>#DIV/0!</v>
      </c>
      <c r="R450" s="25" t="e">
        <f t="shared" si="363"/>
        <v>#DIV/0!</v>
      </c>
      <c r="S450" s="21">
        <f t="shared" si="363"/>
        <v>1</v>
      </c>
      <c r="T450" s="22" t="e">
        <f t="shared" ref="T450" si="364">T448/T449</f>
        <v>#DIV/0!</v>
      </c>
    </row>
    <row r="451" spans="1:20" x14ac:dyDescent="0.3">
      <c r="A451" s="105"/>
      <c r="B451" s="108"/>
      <c r="C451" s="111"/>
      <c r="D451" s="111"/>
      <c r="E451" s="115"/>
      <c r="F451" s="31" t="s">
        <v>33</v>
      </c>
      <c r="G451" s="23"/>
      <c r="H451" s="23"/>
      <c r="I451" s="23"/>
      <c r="J451" s="23"/>
      <c r="K451" s="9"/>
      <c r="L451" s="9"/>
      <c r="M451" s="9"/>
      <c r="N451" s="9"/>
      <c r="O451" s="9"/>
      <c r="P451" s="23"/>
      <c r="Q451" s="23"/>
      <c r="R451" s="24"/>
      <c r="S451" s="11">
        <f>SUMIF($G$4:$R$4,"&gt;=0",G451:R451)</f>
        <v>0</v>
      </c>
      <c r="T451" s="10">
        <f>SUM(G451:R451)</f>
        <v>0</v>
      </c>
    </row>
    <row r="452" spans="1:20" x14ac:dyDescent="0.3">
      <c r="A452" s="105"/>
      <c r="B452" s="108"/>
      <c r="C452" s="111"/>
      <c r="D452" s="111"/>
      <c r="E452" s="115"/>
      <c r="F452" s="32" t="s">
        <v>34</v>
      </c>
      <c r="G452" s="14"/>
      <c r="H452" s="14"/>
      <c r="I452" s="14"/>
      <c r="J452" s="14"/>
      <c r="K452" s="13"/>
      <c r="L452" s="13"/>
      <c r="M452" s="13"/>
      <c r="N452" s="13"/>
      <c r="O452" s="13"/>
      <c r="P452" s="14"/>
      <c r="Q452" s="14"/>
      <c r="R452" s="30"/>
      <c r="S452" s="16">
        <f>SUMIF($G$4:$R$4,"&gt;=0",G452:R452)</f>
        <v>0</v>
      </c>
      <c r="T452" s="17">
        <f>SUM(G452:R452)</f>
        <v>0</v>
      </c>
    </row>
    <row r="453" spans="1:20" ht="15" thickBot="1" x14ac:dyDescent="0.35">
      <c r="A453" s="117"/>
      <c r="B453" s="109"/>
      <c r="C453" s="112"/>
      <c r="D453" s="113"/>
      <c r="E453" s="116"/>
      <c r="F453" s="21" t="s">
        <v>35</v>
      </c>
      <c r="G453" s="19" t="e">
        <f>(G452-G451)/G452</f>
        <v>#DIV/0!</v>
      </c>
      <c r="H453" s="19" t="e">
        <f t="shared" ref="H453:S453" si="365">(H452-H451)/H452</f>
        <v>#DIV/0!</v>
      </c>
      <c r="I453" s="19" t="e">
        <f t="shared" si="365"/>
        <v>#DIV/0!</v>
      </c>
      <c r="J453" s="19" t="e">
        <f t="shared" si="365"/>
        <v>#DIV/0!</v>
      </c>
      <c r="K453" s="19" t="e">
        <f t="shared" si="365"/>
        <v>#DIV/0!</v>
      </c>
      <c r="L453" s="19" t="e">
        <f t="shared" si="365"/>
        <v>#DIV/0!</v>
      </c>
      <c r="M453" s="19" t="e">
        <f t="shared" si="365"/>
        <v>#DIV/0!</v>
      </c>
      <c r="N453" s="19" t="e">
        <f t="shared" si="365"/>
        <v>#DIV/0!</v>
      </c>
      <c r="O453" s="19" t="e">
        <f t="shared" si="365"/>
        <v>#DIV/0!</v>
      </c>
      <c r="P453" s="19" t="e">
        <f t="shared" si="365"/>
        <v>#DIV/0!</v>
      </c>
      <c r="Q453" s="19" t="e">
        <f t="shared" si="365"/>
        <v>#DIV/0!</v>
      </c>
      <c r="R453" s="25" t="e">
        <f t="shared" si="365"/>
        <v>#DIV/0!</v>
      </c>
      <c r="S453" s="21" t="e">
        <f t="shared" si="365"/>
        <v>#DIV/0!</v>
      </c>
      <c r="T453" s="22" t="e">
        <f t="shared" ref="T453" si="366">T452/T451</f>
        <v>#DIV/0!</v>
      </c>
    </row>
    <row r="454" spans="1:20" x14ac:dyDescent="0.3">
      <c r="A454" s="104">
        <v>42</v>
      </c>
      <c r="B454" s="107" t="s">
        <v>125</v>
      </c>
      <c r="C454" s="110" t="s">
        <v>126</v>
      </c>
      <c r="D454" s="110" t="s">
        <v>23</v>
      </c>
      <c r="E454" s="114" t="s">
        <v>125</v>
      </c>
      <c r="F454" s="11" t="s">
        <v>25</v>
      </c>
      <c r="G454" s="23">
        <v>361500</v>
      </c>
      <c r="H454" s="23">
        <v>369322.5</v>
      </c>
      <c r="I454" s="23">
        <v>374266.5</v>
      </c>
      <c r="J454" s="23">
        <v>382426.65749999997</v>
      </c>
      <c r="K454" s="9">
        <v>382579.42709999997</v>
      </c>
      <c r="L454" s="9">
        <v>390231.01564200001</v>
      </c>
      <c r="M454" s="9">
        <v>394465.85852699995</v>
      </c>
      <c r="N454" s="9">
        <v>408834.48531158996</v>
      </c>
      <c r="O454" s="9">
        <v>412475.65828798676</v>
      </c>
      <c r="P454" s="23">
        <v>416189.65472391149</v>
      </c>
      <c r="Q454" s="23">
        <v>419977.93108855473</v>
      </c>
      <c r="R454" s="24">
        <v>423841.97298049083</v>
      </c>
      <c r="S454" s="11">
        <f>SUMIF($G$4:$R$4,"&gt;=0",G454:R454)</f>
        <v>2260326.1002420001</v>
      </c>
      <c r="T454" s="10">
        <f>SUM(G454:R454)</f>
        <v>4736111.6611615345</v>
      </c>
    </row>
    <row r="455" spans="1:20" x14ac:dyDescent="0.3">
      <c r="A455" s="105"/>
      <c r="B455" s="108"/>
      <c r="C455" s="111"/>
      <c r="D455" s="111"/>
      <c r="E455" s="115"/>
      <c r="F455" s="12" t="s">
        <v>26</v>
      </c>
      <c r="G455" s="14">
        <v>372111.35999999999</v>
      </c>
      <c r="H455" s="14">
        <v>393894.33000000007</v>
      </c>
      <c r="I455" s="14">
        <v>412712.88999999996</v>
      </c>
      <c r="J455" s="14">
        <v>512370.37</v>
      </c>
      <c r="K455" s="13">
        <v>521744.59999999992</v>
      </c>
      <c r="L455" s="13">
        <v>546243.68999999994</v>
      </c>
      <c r="M455" s="13"/>
      <c r="N455" s="13"/>
      <c r="O455" s="13"/>
      <c r="P455" s="14"/>
      <c r="Q455" s="14"/>
      <c r="R455" s="30"/>
      <c r="S455" s="16">
        <f>SUMIF($G$4:$R$4,"&gt;=0",G455:R455)</f>
        <v>2759077.24</v>
      </c>
      <c r="T455" s="17">
        <f t="shared" ref="T455" si="367">SUM(G455:R455)</f>
        <v>2759077.24</v>
      </c>
    </row>
    <row r="456" spans="1:20" ht="15" thickBot="1" x14ac:dyDescent="0.35">
      <c r="A456" s="105"/>
      <c r="B456" s="108"/>
      <c r="C456" s="111"/>
      <c r="D456" s="111"/>
      <c r="E456" s="115"/>
      <c r="F456" s="18" t="s">
        <v>27</v>
      </c>
      <c r="G456" s="19">
        <f>G455/G454</f>
        <v>1.0293536929460581</v>
      </c>
      <c r="H456" s="19">
        <f t="shared" ref="H456:T456" si="368">H455/H454</f>
        <v>1.0665321771622365</v>
      </c>
      <c r="I456" s="19">
        <f t="shared" si="368"/>
        <v>1.1027246360547898</v>
      </c>
      <c r="J456" s="19">
        <f t="shared" si="368"/>
        <v>1.3397872767276953</v>
      </c>
      <c r="K456" s="19">
        <f t="shared" si="368"/>
        <v>1.363754982736237</v>
      </c>
      <c r="L456" s="19">
        <f t="shared" si="368"/>
        <v>1.3997956802621931</v>
      </c>
      <c r="M456" s="19">
        <f t="shared" si="368"/>
        <v>0</v>
      </c>
      <c r="N456" s="19">
        <f t="shared" si="368"/>
        <v>0</v>
      </c>
      <c r="O456" s="19">
        <f t="shared" si="368"/>
        <v>0</v>
      </c>
      <c r="P456" s="19">
        <f t="shared" si="368"/>
        <v>0</v>
      </c>
      <c r="Q456" s="19">
        <f t="shared" si="368"/>
        <v>0</v>
      </c>
      <c r="R456" s="25">
        <f t="shared" si="368"/>
        <v>0</v>
      </c>
      <c r="S456" s="21">
        <f t="shared" si="368"/>
        <v>1.2206545063142002</v>
      </c>
      <c r="T456" s="22">
        <f t="shared" si="368"/>
        <v>0.5825616956259293</v>
      </c>
    </row>
    <row r="457" spans="1:20" x14ac:dyDescent="0.3">
      <c r="A457" s="105"/>
      <c r="B457" s="108"/>
      <c r="C457" s="111"/>
      <c r="D457" s="111"/>
      <c r="E457" s="115"/>
      <c r="F457" s="11" t="s">
        <v>28</v>
      </c>
      <c r="G457" s="23">
        <v>0</v>
      </c>
      <c r="H457" s="23">
        <v>0</v>
      </c>
      <c r="I457" s="23">
        <v>0</v>
      </c>
      <c r="J457" s="23"/>
      <c r="K457" s="9"/>
      <c r="L457" s="9"/>
      <c r="M457" s="9"/>
      <c r="N457" s="9"/>
      <c r="O457" s="9"/>
      <c r="P457" s="23"/>
      <c r="Q457" s="23">
        <v>5754.32</v>
      </c>
      <c r="R457" s="24">
        <v>265316.52</v>
      </c>
      <c r="S457" s="11">
        <f>SUMIF($G$4:$R$4,"&gt;=0",G457:R457)</f>
        <v>0</v>
      </c>
      <c r="T457" s="10">
        <f>SUM(G457:R457)</f>
        <v>271070.84000000003</v>
      </c>
    </row>
    <row r="458" spans="1:20" ht="15" thickBot="1" x14ac:dyDescent="0.35">
      <c r="A458" s="105"/>
      <c r="B458" s="108"/>
      <c r="C458" s="111"/>
      <c r="D458" s="111"/>
      <c r="E458" s="115"/>
      <c r="F458" s="18" t="s">
        <v>29</v>
      </c>
      <c r="G458" s="19">
        <f>(G455-G457)/G455</f>
        <v>1</v>
      </c>
      <c r="H458" s="19">
        <f t="shared" ref="H458:S458" si="369">(H455-H457)/H455</f>
        <v>1</v>
      </c>
      <c r="I458" s="19">
        <f t="shared" si="369"/>
        <v>1</v>
      </c>
      <c r="J458" s="19">
        <f t="shared" si="369"/>
        <v>1</v>
      </c>
      <c r="K458" s="19">
        <f t="shared" si="369"/>
        <v>1</v>
      </c>
      <c r="L458" s="19">
        <f t="shared" si="369"/>
        <v>1</v>
      </c>
      <c r="M458" s="19" t="e">
        <f t="shared" si="369"/>
        <v>#DIV/0!</v>
      </c>
      <c r="N458" s="19" t="e">
        <f t="shared" si="369"/>
        <v>#DIV/0!</v>
      </c>
      <c r="O458" s="19" t="e">
        <f t="shared" si="369"/>
        <v>#DIV/0!</v>
      </c>
      <c r="P458" s="19" t="e">
        <f t="shared" si="369"/>
        <v>#DIV/0!</v>
      </c>
      <c r="Q458" s="19" t="e">
        <f t="shared" si="369"/>
        <v>#DIV/0!</v>
      </c>
      <c r="R458" s="25" t="e">
        <f t="shared" si="369"/>
        <v>#DIV/0!</v>
      </c>
      <c r="S458" s="21">
        <f t="shared" si="369"/>
        <v>1</v>
      </c>
      <c r="T458" s="22">
        <f t="shared" ref="T458" si="370">T455/T457</f>
        <v>10.178436160820544</v>
      </c>
    </row>
    <row r="459" spans="1:20" x14ac:dyDescent="0.3">
      <c r="A459" s="105"/>
      <c r="B459" s="108"/>
      <c r="C459" s="111"/>
      <c r="D459" s="111"/>
      <c r="E459" s="115"/>
      <c r="F459" s="26" t="s">
        <v>30</v>
      </c>
      <c r="G459" s="23">
        <v>877025.80689999985</v>
      </c>
      <c r="H459" s="23">
        <v>922095.07</v>
      </c>
      <c r="I459" s="23">
        <v>970784.07869999995</v>
      </c>
      <c r="J459" s="23"/>
      <c r="K459" s="9"/>
      <c r="L459" s="9"/>
      <c r="M459" s="9"/>
      <c r="N459" s="9"/>
      <c r="O459" s="9"/>
      <c r="P459" s="23"/>
      <c r="Q459" s="23"/>
      <c r="R459" s="24"/>
      <c r="S459" s="11">
        <f>SUMIF($G$4:$R$4,"&gt;=0",G459:R459)</f>
        <v>2769904.9556</v>
      </c>
      <c r="T459" s="10">
        <f>SUM(G459:R459)</f>
        <v>2769904.9556</v>
      </c>
    </row>
    <row r="460" spans="1:20" x14ac:dyDescent="0.3">
      <c r="A460" s="105"/>
      <c r="B460" s="108"/>
      <c r="C460" s="111"/>
      <c r="D460" s="111"/>
      <c r="E460" s="115"/>
      <c r="F460" s="29" t="s">
        <v>31</v>
      </c>
      <c r="G460" s="14"/>
      <c r="H460" s="14"/>
      <c r="I460" s="14"/>
      <c r="J460" s="14"/>
      <c r="K460" s="13"/>
      <c r="L460" s="13"/>
      <c r="M460" s="13"/>
      <c r="N460" s="13"/>
      <c r="O460" s="13"/>
      <c r="P460" s="14"/>
      <c r="Q460" s="14"/>
      <c r="R460" s="30"/>
      <c r="S460" s="16">
        <f>SUMIF($G$4:$R$4,"&gt;=0",G460:R460)</f>
        <v>0</v>
      </c>
      <c r="T460" s="17">
        <f t="shared" ref="T460" si="371">SUM(G460:R460)</f>
        <v>0</v>
      </c>
    </row>
    <row r="461" spans="1:20" ht="15" thickBot="1" x14ac:dyDescent="0.35">
      <c r="A461" s="105"/>
      <c r="B461" s="108"/>
      <c r="C461" s="111"/>
      <c r="D461" s="111"/>
      <c r="E461" s="115"/>
      <c r="F461" s="18" t="s">
        <v>32</v>
      </c>
      <c r="G461" s="19">
        <f>(G459-G460)/G459</f>
        <v>1</v>
      </c>
      <c r="H461" s="19">
        <f t="shared" ref="H461:S461" si="372">(H459-H460)/H459</f>
        <v>1</v>
      </c>
      <c r="I461" s="19">
        <f t="shared" si="372"/>
        <v>1</v>
      </c>
      <c r="J461" s="19" t="e">
        <f t="shared" si="372"/>
        <v>#DIV/0!</v>
      </c>
      <c r="K461" s="19" t="e">
        <f t="shared" si="372"/>
        <v>#DIV/0!</v>
      </c>
      <c r="L461" s="19" t="e">
        <f t="shared" si="372"/>
        <v>#DIV/0!</v>
      </c>
      <c r="M461" s="19" t="e">
        <f t="shared" si="372"/>
        <v>#DIV/0!</v>
      </c>
      <c r="N461" s="19" t="e">
        <f t="shared" si="372"/>
        <v>#DIV/0!</v>
      </c>
      <c r="O461" s="19" t="e">
        <f t="shared" si="372"/>
        <v>#DIV/0!</v>
      </c>
      <c r="P461" s="19" t="e">
        <f t="shared" si="372"/>
        <v>#DIV/0!</v>
      </c>
      <c r="Q461" s="19" t="e">
        <f t="shared" si="372"/>
        <v>#DIV/0!</v>
      </c>
      <c r="R461" s="25" t="e">
        <f t="shared" si="372"/>
        <v>#DIV/0!</v>
      </c>
      <c r="S461" s="21">
        <f t="shared" si="372"/>
        <v>1</v>
      </c>
      <c r="T461" s="22" t="e">
        <f t="shared" ref="T461" si="373">T459/T460</f>
        <v>#DIV/0!</v>
      </c>
    </row>
    <row r="462" spans="1:20" x14ac:dyDescent="0.3">
      <c r="A462" s="105"/>
      <c r="B462" s="108"/>
      <c r="C462" s="111"/>
      <c r="D462" s="111"/>
      <c r="E462" s="115"/>
      <c r="F462" s="31" t="s">
        <v>33</v>
      </c>
      <c r="G462" s="23"/>
      <c r="H462" s="23"/>
      <c r="I462" s="23"/>
      <c r="J462" s="23"/>
      <c r="K462" s="9"/>
      <c r="L462" s="9"/>
      <c r="M462" s="9"/>
      <c r="N462" s="9"/>
      <c r="O462" s="9"/>
      <c r="P462" s="23"/>
      <c r="Q462" s="23"/>
      <c r="R462" s="24"/>
      <c r="S462" s="11">
        <f>SUMIF($G$4:$R$4,"&gt;=0",G462:R462)</f>
        <v>0</v>
      </c>
      <c r="T462" s="10">
        <f>SUM(G462:R462)</f>
        <v>0</v>
      </c>
    </row>
    <row r="463" spans="1:20" x14ac:dyDescent="0.3">
      <c r="A463" s="105"/>
      <c r="B463" s="108"/>
      <c r="C463" s="111"/>
      <c r="D463" s="111"/>
      <c r="E463" s="115"/>
      <c r="F463" s="32" t="s">
        <v>34</v>
      </c>
      <c r="G463" s="14"/>
      <c r="H463" s="14"/>
      <c r="I463" s="14"/>
      <c r="J463" s="14"/>
      <c r="K463" s="13"/>
      <c r="L463" s="13"/>
      <c r="M463" s="13"/>
      <c r="N463" s="13"/>
      <c r="O463" s="13"/>
      <c r="P463" s="14"/>
      <c r="Q463" s="14"/>
      <c r="R463" s="30"/>
      <c r="S463" s="16">
        <f>SUMIF($G$4:$R$4,"&gt;=0",G463:R463)</f>
        <v>0</v>
      </c>
      <c r="T463" s="17">
        <f>SUM(G463:R463)</f>
        <v>0</v>
      </c>
    </row>
    <row r="464" spans="1:20" ht="15" thickBot="1" x14ac:dyDescent="0.35">
      <c r="A464" s="106"/>
      <c r="B464" s="109"/>
      <c r="C464" s="112"/>
      <c r="D464" s="113"/>
      <c r="E464" s="116"/>
      <c r="F464" s="21" t="s">
        <v>35</v>
      </c>
      <c r="G464" s="19" t="e">
        <f>(G463-G462)/G463</f>
        <v>#DIV/0!</v>
      </c>
      <c r="H464" s="19" t="e">
        <f t="shared" ref="H464:S464" si="374">(H463-H462)/H463</f>
        <v>#DIV/0!</v>
      </c>
      <c r="I464" s="19" t="e">
        <f t="shared" si="374"/>
        <v>#DIV/0!</v>
      </c>
      <c r="J464" s="19" t="e">
        <f t="shared" si="374"/>
        <v>#DIV/0!</v>
      </c>
      <c r="K464" s="19" t="e">
        <f t="shared" si="374"/>
        <v>#DIV/0!</v>
      </c>
      <c r="L464" s="19" t="e">
        <f t="shared" si="374"/>
        <v>#DIV/0!</v>
      </c>
      <c r="M464" s="19" t="e">
        <f t="shared" si="374"/>
        <v>#DIV/0!</v>
      </c>
      <c r="N464" s="19" t="e">
        <f t="shared" si="374"/>
        <v>#DIV/0!</v>
      </c>
      <c r="O464" s="19" t="e">
        <f t="shared" si="374"/>
        <v>#DIV/0!</v>
      </c>
      <c r="P464" s="19" t="e">
        <f t="shared" si="374"/>
        <v>#DIV/0!</v>
      </c>
      <c r="Q464" s="19" t="e">
        <f t="shared" si="374"/>
        <v>#DIV/0!</v>
      </c>
      <c r="R464" s="25" t="e">
        <f t="shared" si="374"/>
        <v>#DIV/0!</v>
      </c>
      <c r="S464" s="21" t="e">
        <f t="shared" si="374"/>
        <v>#DIV/0!</v>
      </c>
      <c r="T464" s="22" t="e">
        <f t="shared" ref="T464" si="375">T463/T462</f>
        <v>#DIV/0!</v>
      </c>
    </row>
    <row r="465" spans="1:20" x14ac:dyDescent="0.3">
      <c r="A465" s="104">
        <v>43</v>
      </c>
      <c r="B465" s="107" t="s">
        <v>127</v>
      </c>
      <c r="C465" s="110" t="s">
        <v>128</v>
      </c>
      <c r="D465" s="110" t="s">
        <v>37</v>
      </c>
      <c r="E465" s="114" t="s">
        <v>60</v>
      </c>
      <c r="F465" s="11" t="s">
        <v>25</v>
      </c>
      <c r="G465" s="23">
        <v>378200</v>
      </c>
      <c r="H465" s="23">
        <v>378200</v>
      </c>
      <c r="I465" s="23">
        <v>381982</v>
      </c>
      <c r="J465" s="23">
        <v>385801.81999999995</v>
      </c>
      <c r="K465" s="9">
        <v>393517.85640000005</v>
      </c>
      <c r="L465" s="9">
        <v>401388.21352799999</v>
      </c>
      <c r="M465" s="9">
        <v>407409.03673091996</v>
      </c>
      <c r="N465" s="9">
        <v>413520.17228188377</v>
      </c>
      <c r="O465" s="9">
        <v>419722.97486611211</v>
      </c>
      <c r="P465" s="23">
        <v>426018.81948910374</v>
      </c>
      <c r="Q465" s="23">
        <v>432409.10178144032</v>
      </c>
      <c r="R465" s="24">
        <v>438895.23830816185</v>
      </c>
      <c r="S465" s="11">
        <f>SUMIF($G$4:$R$4,"&gt;=0",G465:R465)</f>
        <v>2319089.8899279996</v>
      </c>
      <c r="T465" s="10">
        <f>SUM(G465:R465)</f>
        <v>4857065.2333856206</v>
      </c>
    </row>
    <row r="466" spans="1:20" x14ac:dyDescent="0.3">
      <c r="A466" s="105"/>
      <c r="B466" s="108"/>
      <c r="C466" s="111"/>
      <c r="D466" s="111"/>
      <c r="E466" s="115"/>
      <c r="F466" s="12" t="s">
        <v>26</v>
      </c>
      <c r="G466" s="14">
        <v>262152.36</v>
      </c>
      <c r="H466" s="14">
        <v>253673.21000000002</v>
      </c>
      <c r="I466" s="14">
        <v>263339.39999999997</v>
      </c>
      <c r="J466" s="14">
        <v>283152.71000000002</v>
      </c>
      <c r="K466" s="13">
        <v>277145.00000000006</v>
      </c>
      <c r="L466" s="13">
        <v>262667.40999999997</v>
      </c>
      <c r="M466" s="13"/>
      <c r="N466" s="13"/>
      <c r="O466" s="13"/>
      <c r="P466" s="14"/>
      <c r="Q466" s="14"/>
      <c r="R466" s="30"/>
      <c r="S466" s="16">
        <f>SUMIF($G$4:$R$4,"&gt;=0",G466:R466)</f>
        <v>1602130.0899999999</v>
      </c>
      <c r="T466" s="17">
        <f t="shared" ref="T466" si="376">SUM(G466:R466)</f>
        <v>1602130.0899999999</v>
      </c>
    </row>
    <row r="467" spans="1:20" ht="15" thickBot="1" x14ac:dyDescent="0.35">
      <c r="A467" s="105"/>
      <c r="B467" s="108"/>
      <c r="C467" s="111"/>
      <c r="D467" s="111"/>
      <c r="E467" s="115"/>
      <c r="F467" s="18" t="s">
        <v>27</v>
      </c>
      <c r="G467" s="19">
        <f>G466/G465</f>
        <v>0.69315801163405599</v>
      </c>
      <c r="H467" s="19">
        <f t="shared" ref="H467:T467" si="377">H466/H465</f>
        <v>0.6707382601797991</v>
      </c>
      <c r="I467" s="19">
        <f t="shared" si="377"/>
        <v>0.68940264200930923</v>
      </c>
      <c r="J467" s="19">
        <f t="shared" si="377"/>
        <v>0.73393305920640828</v>
      </c>
      <c r="K467" s="19">
        <f t="shared" si="377"/>
        <v>0.70427553792702557</v>
      </c>
      <c r="L467" s="19">
        <f t="shared" si="377"/>
        <v>0.65439741663385154</v>
      </c>
      <c r="M467" s="19">
        <f t="shared" si="377"/>
        <v>0</v>
      </c>
      <c r="N467" s="19">
        <f t="shared" si="377"/>
        <v>0</v>
      </c>
      <c r="O467" s="19">
        <f t="shared" si="377"/>
        <v>0</v>
      </c>
      <c r="P467" s="19">
        <f t="shared" si="377"/>
        <v>0</v>
      </c>
      <c r="Q467" s="19">
        <f t="shared" si="377"/>
        <v>0</v>
      </c>
      <c r="R467" s="25">
        <f t="shared" si="377"/>
        <v>0</v>
      </c>
      <c r="S467" s="21">
        <f t="shared" si="377"/>
        <v>0.69084432516315308</v>
      </c>
      <c r="T467" s="22">
        <f t="shared" si="377"/>
        <v>0.32985558418848615</v>
      </c>
    </row>
    <row r="468" spans="1:20" x14ac:dyDescent="0.3">
      <c r="A468" s="105"/>
      <c r="B468" s="108"/>
      <c r="C468" s="111"/>
      <c r="D468" s="111"/>
      <c r="E468" s="115"/>
      <c r="F468" s="11" t="s">
        <v>28</v>
      </c>
      <c r="G468" s="23">
        <v>0</v>
      </c>
      <c r="H468" s="23">
        <v>0</v>
      </c>
      <c r="I468" s="23">
        <v>0</v>
      </c>
      <c r="J468" s="23"/>
      <c r="K468" s="9"/>
      <c r="L468" s="9"/>
      <c r="M468" s="9"/>
      <c r="N468" s="9"/>
      <c r="O468" s="9"/>
      <c r="P468" s="23"/>
      <c r="Q468" s="23">
        <v>3479.91</v>
      </c>
      <c r="R468" s="24">
        <v>215426.94999999998</v>
      </c>
      <c r="S468" s="11">
        <f>SUMIF($G$4:$R$4,"&gt;=0",G468:R468)</f>
        <v>0</v>
      </c>
      <c r="T468" s="10">
        <f>SUM(G468:R468)</f>
        <v>218906.86</v>
      </c>
    </row>
    <row r="469" spans="1:20" ht="15" thickBot="1" x14ac:dyDescent="0.35">
      <c r="A469" s="105"/>
      <c r="B469" s="108"/>
      <c r="C469" s="111"/>
      <c r="D469" s="111"/>
      <c r="E469" s="115"/>
      <c r="F469" s="18" t="s">
        <v>29</v>
      </c>
      <c r="G469" s="19">
        <f>(G466-G468)/G466</f>
        <v>1</v>
      </c>
      <c r="H469" s="19">
        <f t="shared" ref="H469:S469" si="378">(H466-H468)/H466</f>
        <v>1</v>
      </c>
      <c r="I469" s="19">
        <f t="shared" si="378"/>
        <v>1</v>
      </c>
      <c r="J469" s="19">
        <f t="shared" si="378"/>
        <v>1</v>
      </c>
      <c r="K469" s="19">
        <f t="shared" si="378"/>
        <v>1</v>
      </c>
      <c r="L469" s="19">
        <f t="shared" si="378"/>
        <v>1</v>
      </c>
      <c r="M469" s="19" t="e">
        <f t="shared" si="378"/>
        <v>#DIV/0!</v>
      </c>
      <c r="N469" s="19" t="e">
        <f t="shared" si="378"/>
        <v>#DIV/0!</v>
      </c>
      <c r="O469" s="19" t="e">
        <f t="shared" si="378"/>
        <v>#DIV/0!</v>
      </c>
      <c r="P469" s="19" t="e">
        <f t="shared" si="378"/>
        <v>#DIV/0!</v>
      </c>
      <c r="Q469" s="19" t="e">
        <f t="shared" si="378"/>
        <v>#DIV/0!</v>
      </c>
      <c r="R469" s="25" t="e">
        <f t="shared" si="378"/>
        <v>#DIV/0!</v>
      </c>
      <c r="S469" s="21">
        <f t="shared" si="378"/>
        <v>1</v>
      </c>
      <c r="T469" s="22">
        <f t="shared" ref="T469" si="379">T466/T468</f>
        <v>7.3187751630990459</v>
      </c>
    </row>
    <row r="470" spans="1:20" x14ac:dyDescent="0.3">
      <c r="A470" s="105"/>
      <c r="B470" s="108"/>
      <c r="C470" s="111"/>
      <c r="D470" s="111"/>
      <c r="E470" s="115"/>
      <c r="F470" s="26" t="s">
        <v>30</v>
      </c>
      <c r="G470" s="23">
        <v>546492.05759999983</v>
      </c>
      <c r="H470" s="23">
        <v>523387.72389999998</v>
      </c>
      <c r="I470" s="23">
        <v>551656.0275000002</v>
      </c>
      <c r="J470" s="23"/>
      <c r="K470" s="9"/>
      <c r="L470" s="9"/>
      <c r="M470" s="9"/>
      <c r="N470" s="9"/>
      <c r="O470" s="9"/>
      <c r="P470" s="23"/>
      <c r="Q470" s="23"/>
      <c r="R470" s="24"/>
      <c r="S470" s="11">
        <f>SUMIF($G$4:$R$4,"&gt;=0",G470:R470)</f>
        <v>1621535.8089999999</v>
      </c>
      <c r="T470" s="10">
        <f>SUM(G470:R470)</f>
        <v>1621535.8089999999</v>
      </c>
    </row>
    <row r="471" spans="1:20" x14ac:dyDescent="0.3">
      <c r="A471" s="105"/>
      <c r="B471" s="108"/>
      <c r="C471" s="111"/>
      <c r="D471" s="111"/>
      <c r="E471" s="115"/>
      <c r="F471" s="29" t="s">
        <v>31</v>
      </c>
      <c r="G471" s="14"/>
      <c r="H471" s="14"/>
      <c r="I471" s="14"/>
      <c r="J471" s="14"/>
      <c r="K471" s="13"/>
      <c r="L471" s="13"/>
      <c r="M471" s="13"/>
      <c r="N471" s="13"/>
      <c r="O471" s="13"/>
      <c r="P471" s="14"/>
      <c r="Q471" s="14"/>
      <c r="R471" s="30"/>
      <c r="S471" s="16">
        <f>SUMIF($G$4:$R$4,"&gt;=0",G471:R471)</f>
        <v>0</v>
      </c>
      <c r="T471" s="17">
        <f t="shared" ref="T471" si="380">SUM(G471:R471)</f>
        <v>0</v>
      </c>
    </row>
    <row r="472" spans="1:20" ht="15" thickBot="1" x14ac:dyDescent="0.35">
      <c r="A472" s="105"/>
      <c r="B472" s="108"/>
      <c r="C472" s="111"/>
      <c r="D472" s="111"/>
      <c r="E472" s="115"/>
      <c r="F472" s="18" t="s">
        <v>32</v>
      </c>
      <c r="G472" s="19">
        <f>(G470-G471)/G470</f>
        <v>1</v>
      </c>
      <c r="H472" s="19">
        <f t="shared" ref="H472:S472" si="381">(H470-H471)/H470</f>
        <v>1</v>
      </c>
      <c r="I472" s="19">
        <f t="shared" si="381"/>
        <v>1</v>
      </c>
      <c r="J472" s="19" t="e">
        <f t="shared" si="381"/>
        <v>#DIV/0!</v>
      </c>
      <c r="K472" s="19" t="e">
        <f t="shared" si="381"/>
        <v>#DIV/0!</v>
      </c>
      <c r="L472" s="19" t="e">
        <f t="shared" si="381"/>
        <v>#DIV/0!</v>
      </c>
      <c r="M472" s="19" t="e">
        <f t="shared" si="381"/>
        <v>#DIV/0!</v>
      </c>
      <c r="N472" s="19" t="e">
        <f t="shared" si="381"/>
        <v>#DIV/0!</v>
      </c>
      <c r="O472" s="19" t="e">
        <f t="shared" si="381"/>
        <v>#DIV/0!</v>
      </c>
      <c r="P472" s="19" t="e">
        <f t="shared" si="381"/>
        <v>#DIV/0!</v>
      </c>
      <c r="Q472" s="19" t="e">
        <f t="shared" si="381"/>
        <v>#DIV/0!</v>
      </c>
      <c r="R472" s="25" t="e">
        <f t="shared" si="381"/>
        <v>#DIV/0!</v>
      </c>
      <c r="S472" s="21">
        <f t="shared" si="381"/>
        <v>1</v>
      </c>
      <c r="T472" s="22" t="e">
        <f t="shared" ref="T472" si="382">T470/T471</f>
        <v>#DIV/0!</v>
      </c>
    </row>
    <row r="473" spans="1:20" x14ac:dyDescent="0.3">
      <c r="A473" s="105"/>
      <c r="B473" s="108"/>
      <c r="C473" s="111"/>
      <c r="D473" s="111"/>
      <c r="E473" s="115"/>
      <c r="F473" s="31" t="s">
        <v>33</v>
      </c>
      <c r="G473" s="23"/>
      <c r="H473" s="23"/>
      <c r="I473" s="23"/>
      <c r="J473" s="23"/>
      <c r="K473" s="9"/>
      <c r="L473" s="9"/>
      <c r="M473" s="9"/>
      <c r="N473" s="9"/>
      <c r="O473" s="9"/>
      <c r="P473" s="23"/>
      <c r="Q473" s="23"/>
      <c r="R473" s="24"/>
      <c r="S473" s="11">
        <f>SUMIF($G$4:$R$4,"&gt;=0",G473:R473)</f>
        <v>0</v>
      </c>
      <c r="T473" s="10">
        <f>SUM(G473:R473)</f>
        <v>0</v>
      </c>
    </row>
    <row r="474" spans="1:20" x14ac:dyDescent="0.3">
      <c r="A474" s="105"/>
      <c r="B474" s="108"/>
      <c r="C474" s="111"/>
      <c r="D474" s="111"/>
      <c r="E474" s="115"/>
      <c r="F474" s="32" t="s">
        <v>34</v>
      </c>
      <c r="G474" s="14"/>
      <c r="H474" s="14"/>
      <c r="I474" s="14"/>
      <c r="J474" s="14"/>
      <c r="K474" s="13"/>
      <c r="L474" s="13"/>
      <c r="M474" s="13"/>
      <c r="N474" s="13"/>
      <c r="O474" s="13"/>
      <c r="P474" s="14"/>
      <c r="Q474" s="14"/>
      <c r="R474" s="30"/>
      <c r="S474" s="16">
        <f>SUMIF($G$4:$R$4,"&gt;=0",G474:R474)</f>
        <v>0</v>
      </c>
      <c r="T474" s="17">
        <f>SUM(G474:R474)</f>
        <v>0</v>
      </c>
    </row>
    <row r="475" spans="1:20" ht="15" thickBot="1" x14ac:dyDescent="0.35">
      <c r="A475" s="117"/>
      <c r="B475" s="109"/>
      <c r="C475" s="112"/>
      <c r="D475" s="113"/>
      <c r="E475" s="116"/>
      <c r="F475" s="21" t="s">
        <v>35</v>
      </c>
      <c r="G475" s="19" t="e">
        <f>(G474-G473)/G474</f>
        <v>#DIV/0!</v>
      </c>
      <c r="H475" s="19" t="e">
        <f t="shared" ref="H475:S475" si="383">(H474-H473)/H474</f>
        <v>#DIV/0!</v>
      </c>
      <c r="I475" s="19" t="e">
        <f t="shared" si="383"/>
        <v>#DIV/0!</v>
      </c>
      <c r="J475" s="19" t="e">
        <f t="shared" si="383"/>
        <v>#DIV/0!</v>
      </c>
      <c r="K475" s="19" t="e">
        <f t="shared" si="383"/>
        <v>#DIV/0!</v>
      </c>
      <c r="L475" s="19" t="e">
        <f t="shared" si="383"/>
        <v>#DIV/0!</v>
      </c>
      <c r="M475" s="19" t="e">
        <f t="shared" si="383"/>
        <v>#DIV/0!</v>
      </c>
      <c r="N475" s="19" t="e">
        <f t="shared" si="383"/>
        <v>#DIV/0!</v>
      </c>
      <c r="O475" s="19" t="e">
        <f t="shared" si="383"/>
        <v>#DIV/0!</v>
      </c>
      <c r="P475" s="19" t="e">
        <f t="shared" si="383"/>
        <v>#DIV/0!</v>
      </c>
      <c r="Q475" s="19" t="e">
        <f t="shared" si="383"/>
        <v>#DIV/0!</v>
      </c>
      <c r="R475" s="25" t="e">
        <f t="shared" si="383"/>
        <v>#DIV/0!</v>
      </c>
      <c r="S475" s="21" t="e">
        <f t="shared" si="383"/>
        <v>#DIV/0!</v>
      </c>
      <c r="T475" s="22" t="e">
        <f t="shared" ref="T475" si="384">T474/T473</f>
        <v>#DIV/0!</v>
      </c>
    </row>
    <row r="476" spans="1:20" x14ac:dyDescent="0.3">
      <c r="A476" s="104">
        <v>44</v>
      </c>
      <c r="B476" s="107" t="s">
        <v>129</v>
      </c>
      <c r="C476" s="110" t="s">
        <v>130</v>
      </c>
      <c r="D476" s="110" t="s">
        <v>23</v>
      </c>
      <c r="E476" s="114" t="s">
        <v>129</v>
      </c>
      <c r="F476" s="11" t="s">
        <v>25</v>
      </c>
      <c r="G476" s="23">
        <v>64325</v>
      </c>
      <c r="H476" s="23">
        <v>77961.899999999994</v>
      </c>
      <c r="I476" s="23">
        <v>90955.55</v>
      </c>
      <c r="J476" s="23">
        <v>103949.2</v>
      </c>
      <c r="K476" s="9">
        <v>119281.70700000001</v>
      </c>
      <c r="L476" s="9">
        <v>132535.22999999998</v>
      </c>
      <c r="M476" s="9">
        <v>162223.12151999999</v>
      </c>
      <c r="N476" s="9">
        <v>193045.5146088</v>
      </c>
      <c r="O476" s="9">
        <v>220623.44526720003</v>
      </c>
      <c r="P476" s="23">
        <v>242616.844967274</v>
      </c>
      <c r="Q476" s="23">
        <v>267163.96104631585</v>
      </c>
      <c r="R476" s="24">
        <v>294696.69147636672</v>
      </c>
      <c r="S476" s="11">
        <f>SUMIF($G$4:$R$4,"&gt;=0",G476:R476)</f>
        <v>589008.58700000006</v>
      </c>
      <c r="T476" s="10">
        <f>SUM(G476:R476)</f>
        <v>1969378.1658859567</v>
      </c>
    </row>
    <row r="477" spans="1:20" x14ac:dyDescent="0.3">
      <c r="A477" s="105"/>
      <c r="B477" s="108"/>
      <c r="C477" s="111"/>
      <c r="D477" s="111"/>
      <c r="E477" s="115"/>
      <c r="F477" s="12" t="s">
        <v>26</v>
      </c>
      <c r="G477" s="14">
        <v>518976.22</v>
      </c>
      <c r="H477" s="14">
        <v>416496.62</v>
      </c>
      <c r="I477" s="14">
        <v>464609.33000000007</v>
      </c>
      <c r="J477" s="14">
        <v>510976.75000000006</v>
      </c>
      <c r="K477" s="13">
        <v>482957.72000000009</v>
      </c>
      <c r="L477" s="13">
        <v>447555.65</v>
      </c>
      <c r="M477" s="13"/>
      <c r="N477" s="13"/>
      <c r="O477" s="13"/>
      <c r="P477" s="14"/>
      <c r="Q477" s="14"/>
      <c r="R477" s="30"/>
      <c r="S477" s="16">
        <f>SUMIF($G$4:$R$4,"&gt;=0",G477:R477)</f>
        <v>2841572.29</v>
      </c>
      <c r="T477" s="17">
        <f t="shared" ref="T477" si="385">SUM(G477:R477)</f>
        <v>2841572.29</v>
      </c>
    </row>
    <row r="478" spans="1:20" ht="15" thickBot="1" x14ac:dyDescent="0.35">
      <c r="A478" s="105"/>
      <c r="B478" s="108"/>
      <c r="C478" s="111"/>
      <c r="D478" s="111"/>
      <c r="E478" s="115"/>
      <c r="F478" s="18" t="s">
        <v>27</v>
      </c>
      <c r="G478" s="19">
        <f>G477/G476</f>
        <v>8.0680329576369996</v>
      </c>
      <c r="H478" s="19">
        <f t="shared" ref="H478:T478" si="386">H477/H476</f>
        <v>5.3423097692590868</v>
      </c>
      <c r="I478" s="19">
        <f t="shared" si="386"/>
        <v>5.1080921395121033</v>
      </c>
      <c r="J478" s="19">
        <f t="shared" si="386"/>
        <v>4.9156390813974529</v>
      </c>
      <c r="K478" s="19">
        <f t="shared" si="386"/>
        <v>4.048883371529886</v>
      </c>
      <c r="L478" s="19">
        <f t="shared" si="386"/>
        <v>3.3768806226087968</v>
      </c>
      <c r="M478" s="19">
        <f t="shared" si="386"/>
        <v>0</v>
      </c>
      <c r="N478" s="19">
        <f t="shared" si="386"/>
        <v>0</v>
      </c>
      <c r="O478" s="19">
        <f t="shared" si="386"/>
        <v>0</v>
      </c>
      <c r="P478" s="19">
        <f t="shared" si="386"/>
        <v>0</v>
      </c>
      <c r="Q478" s="19">
        <f t="shared" si="386"/>
        <v>0</v>
      </c>
      <c r="R478" s="25">
        <f t="shared" si="386"/>
        <v>0</v>
      </c>
      <c r="S478" s="21">
        <f t="shared" si="386"/>
        <v>4.8243308378117069</v>
      </c>
      <c r="T478" s="22">
        <f t="shared" si="386"/>
        <v>1.4428779292989027</v>
      </c>
    </row>
    <row r="479" spans="1:20" x14ac:dyDescent="0.3">
      <c r="A479" s="105"/>
      <c r="B479" s="108"/>
      <c r="C479" s="111"/>
      <c r="D479" s="111"/>
      <c r="E479" s="115"/>
      <c r="F479" s="11" t="s">
        <v>28</v>
      </c>
      <c r="G479" s="23">
        <v>0</v>
      </c>
      <c r="H479" s="23">
        <v>0</v>
      </c>
      <c r="I479" s="23">
        <v>0</v>
      </c>
      <c r="J479" s="23"/>
      <c r="K479" s="9"/>
      <c r="L479" s="9"/>
      <c r="M479" s="9"/>
      <c r="N479" s="9"/>
      <c r="O479" s="9"/>
      <c r="P479" s="23"/>
      <c r="Q479" s="23"/>
      <c r="R479" s="24">
        <v>333257.77999999997</v>
      </c>
      <c r="S479" s="11">
        <f>SUMIF($G$4:$R$4,"&gt;=0",G479:R479)</f>
        <v>0</v>
      </c>
      <c r="T479" s="10">
        <f>SUM(G479:R479)</f>
        <v>333257.77999999997</v>
      </c>
    </row>
    <row r="480" spans="1:20" ht="15" thickBot="1" x14ac:dyDescent="0.35">
      <c r="A480" s="105"/>
      <c r="B480" s="108"/>
      <c r="C480" s="111"/>
      <c r="D480" s="111"/>
      <c r="E480" s="115"/>
      <c r="F480" s="18" t="s">
        <v>29</v>
      </c>
      <c r="G480" s="19">
        <f>(G477-G479)/G477</f>
        <v>1</v>
      </c>
      <c r="H480" s="19">
        <f t="shared" ref="H480:S480" si="387">(H477-H479)/H477</f>
        <v>1</v>
      </c>
      <c r="I480" s="19">
        <f t="shared" si="387"/>
        <v>1</v>
      </c>
      <c r="J480" s="19">
        <f t="shared" si="387"/>
        <v>1</v>
      </c>
      <c r="K480" s="19">
        <f t="shared" si="387"/>
        <v>1</v>
      </c>
      <c r="L480" s="19">
        <f t="shared" si="387"/>
        <v>1</v>
      </c>
      <c r="M480" s="19" t="e">
        <f t="shared" si="387"/>
        <v>#DIV/0!</v>
      </c>
      <c r="N480" s="19" t="e">
        <f t="shared" si="387"/>
        <v>#DIV/0!</v>
      </c>
      <c r="O480" s="19" t="e">
        <f t="shared" si="387"/>
        <v>#DIV/0!</v>
      </c>
      <c r="P480" s="19" t="e">
        <f t="shared" si="387"/>
        <v>#DIV/0!</v>
      </c>
      <c r="Q480" s="19" t="e">
        <f t="shared" si="387"/>
        <v>#DIV/0!</v>
      </c>
      <c r="R480" s="25" t="e">
        <f t="shared" si="387"/>
        <v>#DIV/0!</v>
      </c>
      <c r="S480" s="21">
        <f t="shared" si="387"/>
        <v>1</v>
      </c>
      <c r="T480" s="22">
        <f t="shared" ref="T480" si="388">T477/T479</f>
        <v>8.5266495203802908</v>
      </c>
    </row>
    <row r="481" spans="1:20" x14ac:dyDescent="0.3">
      <c r="A481" s="105"/>
      <c r="B481" s="108"/>
      <c r="C481" s="111"/>
      <c r="D481" s="111"/>
      <c r="E481" s="115"/>
      <c r="F481" s="26" t="s">
        <v>30</v>
      </c>
      <c r="G481" s="23">
        <v>1078790.6434999998</v>
      </c>
      <c r="H481" s="23">
        <v>851142.80079999997</v>
      </c>
      <c r="I481" s="23">
        <v>957476.56410000031</v>
      </c>
      <c r="J481" s="23"/>
      <c r="K481" s="9"/>
      <c r="L481" s="9"/>
      <c r="M481" s="9"/>
      <c r="N481" s="9"/>
      <c r="O481" s="9"/>
      <c r="P481" s="23"/>
      <c r="Q481" s="23"/>
      <c r="R481" s="24"/>
      <c r="S481" s="11">
        <f>SUMIF($G$4:$R$4,"&gt;=0",G481:R481)</f>
        <v>2887410.0083999997</v>
      </c>
      <c r="T481" s="10">
        <f>SUM(G481:R481)</f>
        <v>2887410.0083999997</v>
      </c>
    </row>
    <row r="482" spans="1:20" x14ac:dyDescent="0.3">
      <c r="A482" s="105"/>
      <c r="B482" s="108"/>
      <c r="C482" s="111"/>
      <c r="D482" s="111"/>
      <c r="E482" s="115"/>
      <c r="F482" s="29" t="s">
        <v>31</v>
      </c>
      <c r="G482" s="14"/>
      <c r="H482" s="14"/>
      <c r="I482" s="14"/>
      <c r="J482" s="14"/>
      <c r="K482" s="13"/>
      <c r="L482" s="13"/>
      <c r="M482" s="13"/>
      <c r="N482" s="13"/>
      <c r="O482" s="13"/>
      <c r="P482" s="14"/>
      <c r="Q482" s="14"/>
      <c r="R482" s="30"/>
      <c r="S482" s="16">
        <f>SUMIF($G$4:$R$4,"&gt;=0",G482:R482)</f>
        <v>0</v>
      </c>
      <c r="T482" s="17">
        <f t="shared" ref="T482" si="389">SUM(G482:R482)</f>
        <v>0</v>
      </c>
    </row>
    <row r="483" spans="1:20" ht="15" thickBot="1" x14ac:dyDescent="0.35">
      <c r="A483" s="105"/>
      <c r="B483" s="108"/>
      <c r="C483" s="111"/>
      <c r="D483" s="111"/>
      <c r="E483" s="115"/>
      <c r="F483" s="18" t="s">
        <v>32</v>
      </c>
      <c r="G483" s="19">
        <f>(G481-G482)/G481</f>
        <v>1</v>
      </c>
      <c r="H483" s="19">
        <f t="shared" ref="H483:S483" si="390">(H481-H482)/H481</f>
        <v>1</v>
      </c>
      <c r="I483" s="19">
        <f t="shared" si="390"/>
        <v>1</v>
      </c>
      <c r="J483" s="19" t="e">
        <f t="shared" si="390"/>
        <v>#DIV/0!</v>
      </c>
      <c r="K483" s="19" t="e">
        <f t="shared" si="390"/>
        <v>#DIV/0!</v>
      </c>
      <c r="L483" s="19" t="e">
        <f t="shared" si="390"/>
        <v>#DIV/0!</v>
      </c>
      <c r="M483" s="19" t="e">
        <f t="shared" si="390"/>
        <v>#DIV/0!</v>
      </c>
      <c r="N483" s="19" t="e">
        <f t="shared" si="390"/>
        <v>#DIV/0!</v>
      </c>
      <c r="O483" s="19" t="e">
        <f t="shared" si="390"/>
        <v>#DIV/0!</v>
      </c>
      <c r="P483" s="19" t="e">
        <f t="shared" si="390"/>
        <v>#DIV/0!</v>
      </c>
      <c r="Q483" s="19" t="e">
        <f t="shared" si="390"/>
        <v>#DIV/0!</v>
      </c>
      <c r="R483" s="25" t="e">
        <f t="shared" si="390"/>
        <v>#DIV/0!</v>
      </c>
      <c r="S483" s="21">
        <f t="shared" si="390"/>
        <v>1</v>
      </c>
      <c r="T483" s="22" t="e">
        <f t="shared" ref="T483" si="391">T481/T482</f>
        <v>#DIV/0!</v>
      </c>
    </row>
    <row r="484" spans="1:20" x14ac:dyDescent="0.3">
      <c r="A484" s="105"/>
      <c r="B484" s="108"/>
      <c r="C484" s="111"/>
      <c r="D484" s="111"/>
      <c r="E484" s="115"/>
      <c r="F484" s="31" t="s">
        <v>33</v>
      </c>
      <c r="G484" s="23"/>
      <c r="H484" s="23"/>
      <c r="I484" s="23"/>
      <c r="J484" s="23"/>
      <c r="K484" s="9"/>
      <c r="L484" s="9"/>
      <c r="M484" s="9"/>
      <c r="N484" s="9"/>
      <c r="O484" s="9"/>
      <c r="P484" s="23"/>
      <c r="Q484" s="23"/>
      <c r="R484" s="24"/>
      <c r="S484" s="11">
        <f>SUMIF($G$4:$R$4,"&gt;=0",G484:R484)</f>
        <v>0</v>
      </c>
      <c r="T484" s="10">
        <f>SUM(G484:R484)</f>
        <v>0</v>
      </c>
    </row>
    <row r="485" spans="1:20" x14ac:dyDescent="0.3">
      <c r="A485" s="105"/>
      <c r="B485" s="108"/>
      <c r="C485" s="111"/>
      <c r="D485" s="111"/>
      <c r="E485" s="115"/>
      <c r="F485" s="32" t="s">
        <v>34</v>
      </c>
      <c r="G485" s="14"/>
      <c r="H485" s="14"/>
      <c r="I485" s="14"/>
      <c r="J485" s="14"/>
      <c r="K485" s="13"/>
      <c r="L485" s="13"/>
      <c r="M485" s="13"/>
      <c r="N485" s="13"/>
      <c r="O485" s="13"/>
      <c r="P485" s="14"/>
      <c r="Q485" s="14"/>
      <c r="R485" s="30"/>
      <c r="S485" s="16">
        <f>SUMIF($G$4:$R$4,"&gt;=0",G485:R485)</f>
        <v>0</v>
      </c>
      <c r="T485" s="17">
        <f>SUM(G485:R485)</f>
        <v>0</v>
      </c>
    </row>
    <row r="486" spans="1:20" ht="15" thickBot="1" x14ac:dyDescent="0.35">
      <c r="A486" s="117"/>
      <c r="B486" s="109"/>
      <c r="C486" s="112"/>
      <c r="D486" s="113"/>
      <c r="E486" s="116"/>
      <c r="F486" s="21" t="s">
        <v>35</v>
      </c>
      <c r="G486" s="19" t="e">
        <f>(G485-G484)/G485</f>
        <v>#DIV/0!</v>
      </c>
      <c r="H486" s="19" t="e">
        <f t="shared" ref="H486:S486" si="392">(H485-H484)/H485</f>
        <v>#DIV/0!</v>
      </c>
      <c r="I486" s="19" t="e">
        <f t="shared" si="392"/>
        <v>#DIV/0!</v>
      </c>
      <c r="J486" s="19" t="e">
        <f t="shared" si="392"/>
        <v>#DIV/0!</v>
      </c>
      <c r="K486" s="19" t="e">
        <f t="shared" si="392"/>
        <v>#DIV/0!</v>
      </c>
      <c r="L486" s="19" t="e">
        <f t="shared" si="392"/>
        <v>#DIV/0!</v>
      </c>
      <c r="M486" s="19" t="e">
        <f t="shared" si="392"/>
        <v>#DIV/0!</v>
      </c>
      <c r="N486" s="19" t="e">
        <f t="shared" si="392"/>
        <v>#DIV/0!</v>
      </c>
      <c r="O486" s="19" t="e">
        <f t="shared" si="392"/>
        <v>#DIV/0!</v>
      </c>
      <c r="P486" s="19" t="e">
        <f t="shared" si="392"/>
        <v>#DIV/0!</v>
      </c>
      <c r="Q486" s="19" t="e">
        <f t="shared" si="392"/>
        <v>#DIV/0!</v>
      </c>
      <c r="R486" s="25" t="e">
        <f t="shared" si="392"/>
        <v>#DIV/0!</v>
      </c>
      <c r="S486" s="21" t="e">
        <f t="shared" si="392"/>
        <v>#DIV/0!</v>
      </c>
      <c r="T486" s="22" t="e">
        <f t="shared" ref="T486" si="393">T485/T484</f>
        <v>#DIV/0!</v>
      </c>
    </row>
    <row r="487" spans="1:20" x14ac:dyDescent="0.3">
      <c r="A487" s="104">
        <v>45</v>
      </c>
      <c r="B487" s="107" t="s">
        <v>131</v>
      </c>
      <c r="C487" s="110" t="s">
        <v>132</v>
      </c>
      <c r="D487" s="110" t="s">
        <v>37</v>
      </c>
      <c r="E487" s="114" t="s">
        <v>38</v>
      </c>
      <c r="F487" s="11" t="s">
        <v>25</v>
      </c>
      <c r="G487" s="23">
        <v>69750</v>
      </c>
      <c r="H487" s="23">
        <v>84537</v>
      </c>
      <c r="I487" s="23">
        <v>99612.764999999985</v>
      </c>
      <c r="J487" s="23">
        <v>115550.80739999999</v>
      </c>
      <c r="K487" s="9">
        <v>131944.57819987499</v>
      </c>
      <c r="L487" s="9">
        <v>149537.18862652499</v>
      </c>
      <c r="M487" s="9">
        <v>183930.74201062572</v>
      </c>
      <c r="N487" s="9">
        <v>214585.86567906337</v>
      </c>
      <c r="O487" s="9">
        <v>245240.98934750102</v>
      </c>
      <c r="P487" s="23">
        <v>263174.23669353698</v>
      </c>
      <c r="Q487" s="23">
        <v>278655.07414609799</v>
      </c>
      <c r="R487" s="24">
        <v>299250</v>
      </c>
      <c r="S487" s="11">
        <f>SUMIF($G$4:$R$4,"&gt;=0",G487:R487)</f>
        <v>650932.3392263999</v>
      </c>
      <c r="T487" s="10">
        <f>SUM(G487:R487)</f>
        <v>2135769.247103225</v>
      </c>
    </row>
    <row r="488" spans="1:20" x14ac:dyDescent="0.3">
      <c r="A488" s="105"/>
      <c r="B488" s="108"/>
      <c r="C488" s="111"/>
      <c r="D488" s="111"/>
      <c r="E488" s="115"/>
      <c r="F488" s="12" t="s">
        <v>26</v>
      </c>
      <c r="G488" s="14">
        <v>193302.02000000002</v>
      </c>
      <c r="H488" s="14">
        <v>195462.55000000002</v>
      </c>
      <c r="I488" s="14">
        <v>184672.85999999996</v>
      </c>
      <c r="J488" s="14">
        <v>220518.52</v>
      </c>
      <c r="K488" s="13">
        <v>245145.96000000002</v>
      </c>
      <c r="L488" s="13">
        <v>221748.97999999998</v>
      </c>
      <c r="M488" s="13"/>
      <c r="N488" s="13"/>
      <c r="O488" s="13"/>
      <c r="P488" s="14"/>
      <c r="Q488" s="14"/>
      <c r="R488" s="30"/>
      <c r="S488" s="16">
        <f>SUMIF($G$4:$R$4,"&gt;=0",G488:R488)</f>
        <v>1260850.8900000001</v>
      </c>
      <c r="T488" s="17">
        <f t="shared" ref="T488" si="394">SUM(G488:R488)</f>
        <v>1260850.8900000001</v>
      </c>
    </row>
    <row r="489" spans="1:20" ht="15" thickBot="1" x14ac:dyDescent="0.35">
      <c r="A489" s="105"/>
      <c r="B489" s="108"/>
      <c r="C489" s="111"/>
      <c r="D489" s="111"/>
      <c r="E489" s="115"/>
      <c r="F489" s="18" t="s">
        <v>27</v>
      </c>
      <c r="G489" s="19">
        <f>G488/G487</f>
        <v>2.7713551254480291</v>
      </c>
      <c r="H489" s="19">
        <f t="shared" ref="H489:T489" si="395">H488/H487</f>
        <v>2.3121538497935816</v>
      </c>
      <c r="I489" s="19">
        <f t="shared" si="395"/>
        <v>1.853907579013593</v>
      </c>
      <c r="J489" s="19">
        <f t="shared" si="395"/>
        <v>1.9084117624261621</v>
      </c>
      <c r="K489" s="19">
        <f t="shared" si="395"/>
        <v>1.8579464449736085</v>
      </c>
      <c r="L489" s="19">
        <f t="shared" si="395"/>
        <v>1.4829018924103674</v>
      </c>
      <c r="M489" s="19">
        <f t="shared" si="395"/>
        <v>0</v>
      </c>
      <c r="N489" s="19">
        <f t="shared" si="395"/>
        <v>0</v>
      </c>
      <c r="O489" s="19">
        <f t="shared" si="395"/>
        <v>0</v>
      </c>
      <c r="P489" s="19">
        <f t="shared" si="395"/>
        <v>0</v>
      </c>
      <c r="Q489" s="19">
        <f t="shared" si="395"/>
        <v>0</v>
      </c>
      <c r="R489" s="25">
        <f t="shared" si="395"/>
        <v>0</v>
      </c>
      <c r="S489" s="21">
        <f t="shared" si="395"/>
        <v>1.9369922402356865</v>
      </c>
      <c r="T489" s="22">
        <f t="shared" si="395"/>
        <v>0.59034977290271906</v>
      </c>
    </row>
    <row r="490" spans="1:20" x14ac:dyDescent="0.3">
      <c r="A490" s="105"/>
      <c r="B490" s="108"/>
      <c r="C490" s="111"/>
      <c r="D490" s="111"/>
      <c r="E490" s="115"/>
      <c r="F490" s="11" t="s">
        <v>28</v>
      </c>
      <c r="G490" s="23">
        <v>0</v>
      </c>
      <c r="H490" s="23">
        <v>0</v>
      </c>
      <c r="I490" s="23">
        <v>0</v>
      </c>
      <c r="J490" s="23"/>
      <c r="K490" s="9"/>
      <c r="L490" s="9"/>
      <c r="M490" s="9"/>
      <c r="N490" s="9"/>
      <c r="O490" s="9"/>
      <c r="P490" s="23"/>
      <c r="Q490" s="23"/>
      <c r="R490" s="24">
        <v>39088.25</v>
      </c>
      <c r="S490" s="11">
        <f>SUMIF($G$4:$R$4,"&gt;=0",G490:R490)</f>
        <v>0</v>
      </c>
      <c r="T490" s="10">
        <f>SUM(G490:R490)</f>
        <v>39088.25</v>
      </c>
    </row>
    <row r="491" spans="1:20" ht="15" thickBot="1" x14ac:dyDescent="0.35">
      <c r="A491" s="105"/>
      <c r="B491" s="108"/>
      <c r="C491" s="111"/>
      <c r="D491" s="111"/>
      <c r="E491" s="115"/>
      <c r="F491" s="18" t="s">
        <v>29</v>
      </c>
      <c r="G491" s="19">
        <f>(G488-G490)/G488</f>
        <v>1</v>
      </c>
      <c r="H491" s="19">
        <f t="shared" ref="H491:S491" si="396">(H488-H490)/H488</f>
        <v>1</v>
      </c>
      <c r="I491" s="19">
        <f t="shared" si="396"/>
        <v>1</v>
      </c>
      <c r="J491" s="19">
        <f t="shared" si="396"/>
        <v>1</v>
      </c>
      <c r="K491" s="19">
        <f t="shared" si="396"/>
        <v>1</v>
      </c>
      <c r="L491" s="19">
        <f t="shared" si="396"/>
        <v>1</v>
      </c>
      <c r="M491" s="19" t="e">
        <f t="shared" si="396"/>
        <v>#DIV/0!</v>
      </c>
      <c r="N491" s="19" t="e">
        <f t="shared" si="396"/>
        <v>#DIV/0!</v>
      </c>
      <c r="O491" s="19" t="e">
        <f t="shared" si="396"/>
        <v>#DIV/0!</v>
      </c>
      <c r="P491" s="19" t="e">
        <f t="shared" si="396"/>
        <v>#DIV/0!</v>
      </c>
      <c r="Q491" s="19" t="e">
        <f t="shared" si="396"/>
        <v>#DIV/0!</v>
      </c>
      <c r="R491" s="25" t="e">
        <f t="shared" si="396"/>
        <v>#DIV/0!</v>
      </c>
      <c r="S491" s="21">
        <f t="shared" si="396"/>
        <v>1</v>
      </c>
      <c r="T491" s="22">
        <f t="shared" ref="T491" si="397">T488/T490</f>
        <v>32.256519286486352</v>
      </c>
    </row>
    <row r="492" spans="1:20" x14ac:dyDescent="0.3">
      <c r="A492" s="105"/>
      <c r="B492" s="108"/>
      <c r="C492" s="111"/>
      <c r="D492" s="111"/>
      <c r="E492" s="115"/>
      <c r="F492" s="26" t="s">
        <v>30</v>
      </c>
      <c r="G492" s="23">
        <v>413928.99939999991</v>
      </c>
      <c r="H492" s="23">
        <v>418888.42670000001</v>
      </c>
      <c r="I492" s="23">
        <v>400840.26269999985</v>
      </c>
      <c r="J492" s="23"/>
      <c r="K492" s="9"/>
      <c r="L492" s="9"/>
      <c r="M492" s="9"/>
      <c r="N492" s="9"/>
      <c r="O492" s="9"/>
      <c r="P492" s="23"/>
      <c r="Q492" s="23"/>
      <c r="R492" s="24"/>
      <c r="S492" s="11">
        <f>SUMIF($G$4:$R$4,"&gt;=0",G492:R492)</f>
        <v>1233657.6887999997</v>
      </c>
      <c r="T492" s="10">
        <f>SUM(G492:R492)</f>
        <v>1233657.6887999997</v>
      </c>
    </row>
    <row r="493" spans="1:20" x14ac:dyDescent="0.3">
      <c r="A493" s="105"/>
      <c r="B493" s="108"/>
      <c r="C493" s="111"/>
      <c r="D493" s="111"/>
      <c r="E493" s="115"/>
      <c r="F493" s="29" t="s">
        <v>31</v>
      </c>
      <c r="G493" s="14"/>
      <c r="H493" s="14"/>
      <c r="I493" s="14"/>
      <c r="J493" s="14"/>
      <c r="K493" s="13"/>
      <c r="L493" s="13"/>
      <c r="M493" s="13"/>
      <c r="N493" s="13"/>
      <c r="O493" s="13"/>
      <c r="P493" s="14"/>
      <c r="Q493" s="14"/>
      <c r="R493" s="30"/>
      <c r="S493" s="16">
        <f>SUMIF($G$4:$R$4,"&gt;=0",G493:R493)</f>
        <v>0</v>
      </c>
      <c r="T493" s="17">
        <f t="shared" ref="T493" si="398">SUM(G493:R493)</f>
        <v>0</v>
      </c>
    </row>
    <row r="494" spans="1:20" ht="15" thickBot="1" x14ac:dyDescent="0.35">
      <c r="A494" s="105"/>
      <c r="B494" s="108"/>
      <c r="C494" s="111"/>
      <c r="D494" s="111"/>
      <c r="E494" s="115"/>
      <c r="F494" s="18" t="s">
        <v>32</v>
      </c>
      <c r="G494" s="19">
        <f>(G492-G493)/G492</f>
        <v>1</v>
      </c>
      <c r="H494" s="19">
        <f t="shared" ref="H494:S494" si="399">(H492-H493)/H492</f>
        <v>1</v>
      </c>
      <c r="I494" s="19">
        <f t="shared" si="399"/>
        <v>1</v>
      </c>
      <c r="J494" s="19" t="e">
        <f t="shared" si="399"/>
        <v>#DIV/0!</v>
      </c>
      <c r="K494" s="19" t="e">
        <f t="shared" si="399"/>
        <v>#DIV/0!</v>
      </c>
      <c r="L494" s="19" t="e">
        <f t="shared" si="399"/>
        <v>#DIV/0!</v>
      </c>
      <c r="M494" s="19" t="e">
        <f t="shared" si="399"/>
        <v>#DIV/0!</v>
      </c>
      <c r="N494" s="19" t="e">
        <f t="shared" si="399"/>
        <v>#DIV/0!</v>
      </c>
      <c r="O494" s="19" t="e">
        <f t="shared" si="399"/>
        <v>#DIV/0!</v>
      </c>
      <c r="P494" s="19" t="e">
        <f t="shared" si="399"/>
        <v>#DIV/0!</v>
      </c>
      <c r="Q494" s="19" t="e">
        <f t="shared" si="399"/>
        <v>#DIV/0!</v>
      </c>
      <c r="R494" s="25" t="e">
        <f t="shared" si="399"/>
        <v>#DIV/0!</v>
      </c>
      <c r="S494" s="21">
        <f t="shared" si="399"/>
        <v>1</v>
      </c>
      <c r="T494" s="22" t="e">
        <f t="shared" ref="T494" si="400">T492/T493</f>
        <v>#DIV/0!</v>
      </c>
    </row>
    <row r="495" spans="1:20" x14ac:dyDescent="0.3">
      <c r="A495" s="105"/>
      <c r="B495" s="108"/>
      <c r="C495" s="111"/>
      <c r="D495" s="111"/>
      <c r="E495" s="115"/>
      <c r="F495" s="31" t="s">
        <v>33</v>
      </c>
      <c r="G495" s="23"/>
      <c r="H495" s="23"/>
      <c r="I495" s="23"/>
      <c r="J495" s="23"/>
      <c r="K495" s="9"/>
      <c r="L495" s="9"/>
      <c r="M495" s="9"/>
      <c r="N495" s="9"/>
      <c r="O495" s="9"/>
      <c r="P495" s="23"/>
      <c r="Q495" s="23"/>
      <c r="R495" s="24"/>
      <c r="S495" s="11">
        <f>SUMIF($G$4:$R$4,"&gt;=0",G495:R495)</f>
        <v>0</v>
      </c>
      <c r="T495" s="10">
        <f>SUM(G495:R495)</f>
        <v>0</v>
      </c>
    </row>
    <row r="496" spans="1:20" x14ac:dyDescent="0.3">
      <c r="A496" s="105"/>
      <c r="B496" s="108"/>
      <c r="C496" s="111"/>
      <c r="D496" s="111"/>
      <c r="E496" s="115"/>
      <c r="F496" s="32" t="s">
        <v>34</v>
      </c>
      <c r="G496" s="14"/>
      <c r="H496" s="14"/>
      <c r="I496" s="14"/>
      <c r="J496" s="14"/>
      <c r="K496" s="13"/>
      <c r="L496" s="13"/>
      <c r="M496" s="13"/>
      <c r="N496" s="13"/>
      <c r="O496" s="13"/>
      <c r="P496" s="14"/>
      <c r="Q496" s="14"/>
      <c r="R496" s="30"/>
      <c r="S496" s="16">
        <f>SUMIF($G$4:$R$4,"&gt;=0",G496:R496)</f>
        <v>0</v>
      </c>
      <c r="T496" s="17">
        <f>SUM(G496:R496)</f>
        <v>0</v>
      </c>
    </row>
    <row r="497" spans="1:20" ht="15" thickBot="1" x14ac:dyDescent="0.35">
      <c r="A497" s="106"/>
      <c r="B497" s="109"/>
      <c r="C497" s="112"/>
      <c r="D497" s="113"/>
      <c r="E497" s="116"/>
      <c r="F497" s="21" t="s">
        <v>35</v>
      </c>
      <c r="G497" s="19" t="e">
        <f>(G496-G495)/G496</f>
        <v>#DIV/0!</v>
      </c>
      <c r="H497" s="19" t="e">
        <f t="shared" ref="H497:S497" si="401">(H496-H495)/H496</f>
        <v>#DIV/0!</v>
      </c>
      <c r="I497" s="19" t="e">
        <f t="shared" si="401"/>
        <v>#DIV/0!</v>
      </c>
      <c r="J497" s="19" t="e">
        <f t="shared" si="401"/>
        <v>#DIV/0!</v>
      </c>
      <c r="K497" s="19" t="e">
        <f t="shared" si="401"/>
        <v>#DIV/0!</v>
      </c>
      <c r="L497" s="19" t="e">
        <f t="shared" si="401"/>
        <v>#DIV/0!</v>
      </c>
      <c r="M497" s="19" t="e">
        <f t="shared" si="401"/>
        <v>#DIV/0!</v>
      </c>
      <c r="N497" s="19" t="e">
        <f t="shared" si="401"/>
        <v>#DIV/0!</v>
      </c>
      <c r="O497" s="19" t="e">
        <f t="shared" si="401"/>
        <v>#DIV/0!</v>
      </c>
      <c r="P497" s="19" t="e">
        <f t="shared" si="401"/>
        <v>#DIV/0!</v>
      </c>
      <c r="Q497" s="19" t="e">
        <f t="shared" si="401"/>
        <v>#DIV/0!</v>
      </c>
      <c r="R497" s="25" t="e">
        <f t="shared" si="401"/>
        <v>#DIV/0!</v>
      </c>
      <c r="S497" s="21" t="e">
        <f t="shared" si="401"/>
        <v>#DIV/0!</v>
      </c>
      <c r="T497" s="22" t="e">
        <f t="shared" ref="T497" si="402">T496/T495</f>
        <v>#DIV/0!</v>
      </c>
    </row>
    <row r="498" spans="1:20" x14ac:dyDescent="0.3">
      <c r="A498" s="104">
        <v>46</v>
      </c>
      <c r="B498" s="107" t="s">
        <v>133</v>
      </c>
      <c r="C498" s="110" t="s">
        <v>135</v>
      </c>
      <c r="D498" s="110" t="s">
        <v>37</v>
      </c>
      <c r="E498" s="114" t="s">
        <v>134</v>
      </c>
      <c r="F498" s="11" t="s">
        <v>25</v>
      </c>
      <c r="G498" s="23">
        <v>0</v>
      </c>
      <c r="H498" s="23">
        <v>0</v>
      </c>
      <c r="I498" s="23">
        <v>0</v>
      </c>
      <c r="J498" s="23"/>
      <c r="K498" s="9"/>
      <c r="L498" s="9"/>
      <c r="M498" s="9"/>
      <c r="N498" s="9"/>
      <c r="O498" s="9"/>
      <c r="P498" s="23"/>
      <c r="Q498" s="23"/>
      <c r="R498" s="24"/>
      <c r="S498" s="11">
        <f>SUMIF($G$4:$R$4,"&gt;=0",G498:R498)</f>
        <v>0</v>
      </c>
      <c r="T498" s="10">
        <f>SUM(G498:R498)</f>
        <v>0</v>
      </c>
    </row>
    <row r="499" spans="1:20" x14ac:dyDescent="0.3">
      <c r="A499" s="105"/>
      <c r="B499" s="108"/>
      <c r="C499" s="111"/>
      <c r="D499" s="111"/>
      <c r="E499" s="115"/>
      <c r="F499" s="12" t="s">
        <v>26</v>
      </c>
      <c r="G499" s="14">
        <v>0</v>
      </c>
      <c r="H499" s="14">
        <v>0</v>
      </c>
      <c r="I499" s="14">
        <v>135262</v>
      </c>
      <c r="J499" s="14">
        <v>169439.88999999998</v>
      </c>
      <c r="K499" s="13">
        <v>221147.84999999995</v>
      </c>
      <c r="L499" s="13">
        <v>219952.51999999993</v>
      </c>
      <c r="M499" s="13"/>
      <c r="N499" s="13"/>
      <c r="O499" s="13"/>
      <c r="P499" s="14"/>
      <c r="Q499" s="14"/>
      <c r="R499" s="30"/>
      <c r="S499" s="16">
        <f>SUMIF($G$4:$R$4,"&gt;=0",G499:R499)</f>
        <v>745802.25999999989</v>
      </c>
      <c r="T499" s="17">
        <f t="shared" ref="T499" si="403">SUM(G499:R499)</f>
        <v>745802.25999999989</v>
      </c>
    </row>
    <row r="500" spans="1:20" ht="15" thickBot="1" x14ac:dyDescent="0.35">
      <c r="A500" s="105"/>
      <c r="B500" s="108"/>
      <c r="C500" s="111"/>
      <c r="D500" s="111"/>
      <c r="E500" s="115"/>
      <c r="F500" s="18" t="s">
        <v>27</v>
      </c>
      <c r="G500" s="19" t="e">
        <f>G499/G498</f>
        <v>#DIV/0!</v>
      </c>
      <c r="H500" s="19" t="e">
        <f t="shared" ref="H500:T500" si="404">H499/H498</f>
        <v>#DIV/0!</v>
      </c>
      <c r="I500" s="19" t="e">
        <f t="shared" si="404"/>
        <v>#DIV/0!</v>
      </c>
      <c r="J500" s="19" t="e">
        <f t="shared" si="404"/>
        <v>#DIV/0!</v>
      </c>
      <c r="K500" s="19" t="e">
        <f t="shared" si="404"/>
        <v>#DIV/0!</v>
      </c>
      <c r="L500" s="19" t="e">
        <f t="shared" si="404"/>
        <v>#DIV/0!</v>
      </c>
      <c r="M500" s="19" t="e">
        <f t="shared" si="404"/>
        <v>#DIV/0!</v>
      </c>
      <c r="N500" s="19" t="e">
        <f t="shared" si="404"/>
        <v>#DIV/0!</v>
      </c>
      <c r="O500" s="19" t="e">
        <f t="shared" si="404"/>
        <v>#DIV/0!</v>
      </c>
      <c r="P500" s="19" t="e">
        <f t="shared" si="404"/>
        <v>#DIV/0!</v>
      </c>
      <c r="Q500" s="19" t="e">
        <f t="shared" si="404"/>
        <v>#DIV/0!</v>
      </c>
      <c r="R500" s="25" t="e">
        <f t="shared" si="404"/>
        <v>#DIV/0!</v>
      </c>
      <c r="S500" s="21" t="e">
        <f t="shared" si="404"/>
        <v>#DIV/0!</v>
      </c>
      <c r="T500" s="22" t="e">
        <f t="shared" si="404"/>
        <v>#DIV/0!</v>
      </c>
    </row>
    <row r="501" spans="1:20" x14ac:dyDescent="0.3">
      <c r="A501" s="105"/>
      <c r="B501" s="108"/>
      <c r="C501" s="111"/>
      <c r="D501" s="111"/>
      <c r="E501" s="115"/>
      <c r="F501" s="11" t="s">
        <v>28</v>
      </c>
      <c r="G501" s="23">
        <v>0</v>
      </c>
      <c r="H501" s="23">
        <v>0</v>
      </c>
      <c r="I501" s="23">
        <v>0</v>
      </c>
      <c r="J501" s="23"/>
      <c r="K501" s="9"/>
      <c r="L501" s="9"/>
      <c r="M501" s="9"/>
      <c r="N501" s="9"/>
      <c r="O501" s="9"/>
      <c r="P501" s="23"/>
      <c r="Q501" s="23"/>
      <c r="R501" s="24"/>
      <c r="S501" s="11">
        <f>SUMIF($G$4:$R$4,"&gt;=0",G501:R501)</f>
        <v>0</v>
      </c>
      <c r="T501" s="10">
        <f>SUM(G501:R501)</f>
        <v>0</v>
      </c>
    </row>
    <row r="502" spans="1:20" ht="15" thickBot="1" x14ac:dyDescent="0.35">
      <c r="A502" s="105"/>
      <c r="B502" s="108"/>
      <c r="C502" s="111"/>
      <c r="D502" s="111"/>
      <c r="E502" s="115"/>
      <c r="F502" s="18" t="s">
        <v>29</v>
      </c>
      <c r="G502" s="19" t="e">
        <f>(G499-G501)/G499</f>
        <v>#DIV/0!</v>
      </c>
      <c r="H502" s="19" t="e">
        <f t="shared" ref="H502:S502" si="405">(H499-H501)/H499</f>
        <v>#DIV/0!</v>
      </c>
      <c r="I502" s="19">
        <f t="shared" si="405"/>
        <v>1</v>
      </c>
      <c r="J502" s="19">
        <f t="shared" si="405"/>
        <v>1</v>
      </c>
      <c r="K502" s="19">
        <f t="shared" si="405"/>
        <v>1</v>
      </c>
      <c r="L502" s="19">
        <f t="shared" si="405"/>
        <v>1</v>
      </c>
      <c r="M502" s="19" t="e">
        <f t="shared" si="405"/>
        <v>#DIV/0!</v>
      </c>
      <c r="N502" s="19" t="e">
        <f t="shared" si="405"/>
        <v>#DIV/0!</v>
      </c>
      <c r="O502" s="19" t="e">
        <f t="shared" si="405"/>
        <v>#DIV/0!</v>
      </c>
      <c r="P502" s="19" t="e">
        <f t="shared" si="405"/>
        <v>#DIV/0!</v>
      </c>
      <c r="Q502" s="19" t="e">
        <f t="shared" si="405"/>
        <v>#DIV/0!</v>
      </c>
      <c r="R502" s="25" t="e">
        <f t="shared" si="405"/>
        <v>#DIV/0!</v>
      </c>
      <c r="S502" s="21">
        <f t="shared" si="405"/>
        <v>1</v>
      </c>
      <c r="T502" s="22" t="e">
        <f t="shared" ref="T502" si="406">T499/T501</f>
        <v>#DIV/0!</v>
      </c>
    </row>
    <row r="503" spans="1:20" x14ac:dyDescent="0.3">
      <c r="A503" s="105"/>
      <c r="B503" s="108"/>
      <c r="C503" s="111"/>
      <c r="D503" s="111"/>
      <c r="E503" s="115"/>
      <c r="F503" s="26" t="s">
        <v>30</v>
      </c>
      <c r="G503" s="23">
        <v>0</v>
      </c>
      <c r="H503" s="23">
        <v>0</v>
      </c>
      <c r="I503" s="23">
        <v>300415.44569999998</v>
      </c>
      <c r="J503" s="23"/>
      <c r="K503" s="9"/>
      <c r="L503" s="9"/>
      <c r="M503" s="9"/>
      <c r="N503" s="9"/>
      <c r="O503" s="9"/>
      <c r="P503" s="23"/>
      <c r="Q503" s="23"/>
      <c r="R503" s="24"/>
      <c r="S503" s="11">
        <f>SUMIF($G$4:$R$4,"&gt;=0",G503:R503)</f>
        <v>300415.44569999998</v>
      </c>
      <c r="T503" s="10">
        <f>SUM(G503:R503)</f>
        <v>300415.44569999998</v>
      </c>
    </row>
    <row r="504" spans="1:20" x14ac:dyDescent="0.3">
      <c r="A504" s="105"/>
      <c r="B504" s="108"/>
      <c r="C504" s="111"/>
      <c r="D504" s="111"/>
      <c r="E504" s="115"/>
      <c r="F504" s="29" t="s">
        <v>31</v>
      </c>
      <c r="G504" s="14"/>
      <c r="H504" s="14"/>
      <c r="I504" s="14"/>
      <c r="J504" s="14"/>
      <c r="K504" s="13"/>
      <c r="L504" s="13"/>
      <c r="M504" s="13"/>
      <c r="N504" s="13"/>
      <c r="O504" s="13"/>
      <c r="P504" s="14"/>
      <c r="Q504" s="14"/>
      <c r="R504" s="30"/>
      <c r="S504" s="16">
        <f>SUMIF($G$4:$R$4,"&gt;=0",G504:R504)</f>
        <v>0</v>
      </c>
      <c r="T504" s="17">
        <f t="shared" ref="T504" si="407">SUM(G504:R504)</f>
        <v>0</v>
      </c>
    </row>
    <row r="505" spans="1:20" ht="15" thickBot="1" x14ac:dyDescent="0.35">
      <c r="A505" s="105"/>
      <c r="B505" s="108"/>
      <c r="C505" s="111"/>
      <c r="D505" s="111"/>
      <c r="E505" s="115"/>
      <c r="F505" s="18" t="s">
        <v>32</v>
      </c>
      <c r="G505" s="19" t="e">
        <f>(G503-G504)/G503</f>
        <v>#DIV/0!</v>
      </c>
      <c r="H505" s="19" t="e">
        <f t="shared" ref="H505:S505" si="408">(H503-H504)/H503</f>
        <v>#DIV/0!</v>
      </c>
      <c r="I505" s="19">
        <f t="shared" si="408"/>
        <v>1</v>
      </c>
      <c r="J505" s="19" t="e">
        <f t="shared" si="408"/>
        <v>#DIV/0!</v>
      </c>
      <c r="K505" s="19" t="e">
        <f t="shared" si="408"/>
        <v>#DIV/0!</v>
      </c>
      <c r="L505" s="19" t="e">
        <f t="shared" si="408"/>
        <v>#DIV/0!</v>
      </c>
      <c r="M505" s="19" t="e">
        <f t="shared" si="408"/>
        <v>#DIV/0!</v>
      </c>
      <c r="N505" s="19" t="e">
        <f t="shared" si="408"/>
        <v>#DIV/0!</v>
      </c>
      <c r="O505" s="19" t="e">
        <f t="shared" si="408"/>
        <v>#DIV/0!</v>
      </c>
      <c r="P505" s="19" t="e">
        <f t="shared" si="408"/>
        <v>#DIV/0!</v>
      </c>
      <c r="Q505" s="19" t="e">
        <f t="shared" si="408"/>
        <v>#DIV/0!</v>
      </c>
      <c r="R505" s="25" t="e">
        <f t="shared" si="408"/>
        <v>#DIV/0!</v>
      </c>
      <c r="S505" s="21">
        <f t="shared" si="408"/>
        <v>1</v>
      </c>
      <c r="T505" s="22" t="e">
        <f t="shared" ref="T505" si="409">T503/T504</f>
        <v>#DIV/0!</v>
      </c>
    </row>
    <row r="506" spans="1:20" x14ac:dyDescent="0.3">
      <c r="A506" s="105"/>
      <c r="B506" s="108"/>
      <c r="C506" s="111"/>
      <c r="D506" s="111"/>
      <c r="E506" s="115"/>
      <c r="F506" s="31" t="s">
        <v>33</v>
      </c>
      <c r="G506" s="23"/>
      <c r="H506" s="23"/>
      <c r="I506" s="23"/>
      <c r="J506" s="23"/>
      <c r="K506" s="9"/>
      <c r="L506" s="9"/>
      <c r="M506" s="9"/>
      <c r="N506" s="9"/>
      <c r="O506" s="9"/>
      <c r="P506" s="23"/>
      <c r="Q506" s="23"/>
      <c r="R506" s="24"/>
      <c r="S506" s="11">
        <f>SUMIF($G$4:$R$4,"&gt;=0",G506:R506)</f>
        <v>0</v>
      </c>
      <c r="T506" s="10">
        <f>SUM(G506:R506)</f>
        <v>0</v>
      </c>
    </row>
    <row r="507" spans="1:20" x14ac:dyDescent="0.3">
      <c r="A507" s="105"/>
      <c r="B507" s="108"/>
      <c r="C507" s="111"/>
      <c r="D507" s="111"/>
      <c r="E507" s="115"/>
      <c r="F507" s="32" t="s">
        <v>34</v>
      </c>
      <c r="G507" s="14"/>
      <c r="H507" s="14"/>
      <c r="I507" s="14"/>
      <c r="J507" s="14"/>
      <c r="K507" s="13"/>
      <c r="L507" s="13"/>
      <c r="M507" s="13"/>
      <c r="N507" s="13"/>
      <c r="O507" s="13"/>
      <c r="P507" s="14"/>
      <c r="Q507" s="14"/>
      <c r="R507" s="30"/>
      <c r="S507" s="16">
        <f>SUMIF($G$4:$R$4,"&gt;=0",G507:R507)</f>
        <v>0</v>
      </c>
      <c r="T507" s="17">
        <f>SUM(G507:R507)</f>
        <v>0</v>
      </c>
    </row>
    <row r="508" spans="1:20" ht="15" thickBot="1" x14ac:dyDescent="0.35">
      <c r="A508" s="117"/>
      <c r="B508" s="109"/>
      <c r="C508" s="112"/>
      <c r="D508" s="113"/>
      <c r="E508" s="116"/>
      <c r="F508" s="21" t="s">
        <v>35</v>
      </c>
      <c r="G508" s="19" t="e">
        <f>(G507-G506)/G507</f>
        <v>#DIV/0!</v>
      </c>
      <c r="H508" s="19" t="e">
        <f t="shared" ref="H508:S508" si="410">(H507-H506)/H507</f>
        <v>#DIV/0!</v>
      </c>
      <c r="I508" s="19" t="e">
        <f t="shared" si="410"/>
        <v>#DIV/0!</v>
      </c>
      <c r="J508" s="19" t="e">
        <f t="shared" si="410"/>
        <v>#DIV/0!</v>
      </c>
      <c r="K508" s="19" t="e">
        <f t="shared" si="410"/>
        <v>#DIV/0!</v>
      </c>
      <c r="L508" s="19" t="e">
        <f t="shared" si="410"/>
        <v>#DIV/0!</v>
      </c>
      <c r="M508" s="19" t="e">
        <f t="shared" si="410"/>
        <v>#DIV/0!</v>
      </c>
      <c r="N508" s="19" t="e">
        <f t="shared" si="410"/>
        <v>#DIV/0!</v>
      </c>
      <c r="O508" s="19" t="e">
        <f t="shared" si="410"/>
        <v>#DIV/0!</v>
      </c>
      <c r="P508" s="19" t="e">
        <f t="shared" si="410"/>
        <v>#DIV/0!</v>
      </c>
      <c r="Q508" s="19" t="e">
        <f t="shared" si="410"/>
        <v>#DIV/0!</v>
      </c>
      <c r="R508" s="25" t="e">
        <f t="shared" si="410"/>
        <v>#DIV/0!</v>
      </c>
      <c r="S508" s="21" t="e">
        <f t="shared" si="410"/>
        <v>#DIV/0!</v>
      </c>
      <c r="T508" s="22" t="e">
        <f t="shared" ref="T508" si="411">T507/T506</f>
        <v>#DIV/0!</v>
      </c>
    </row>
    <row r="509" spans="1:20" x14ac:dyDescent="0.3">
      <c r="A509" s="104">
        <v>47</v>
      </c>
      <c r="B509" s="107" t="s">
        <v>136</v>
      </c>
      <c r="C509" s="110" t="s">
        <v>137</v>
      </c>
      <c r="D509" s="110" t="s">
        <v>37</v>
      </c>
      <c r="E509" s="114" t="s">
        <v>24</v>
      </c>
      <c r="F509" s="11" t="s">
        <v>25</v>
      </c>
      <c r="G509" s="23">
        <v>933100</v>
      </c>
      <c r="H509" s="23">
        <v>951762</v>
      </c>
      <c r="I509" s="23">
        <v>983327.29739999981</v>
      </c>
      <c r="J509" s="23">
        <v>1018867.1909824798</v>
      </c>
      <c r="K509" s="9">
        <v>1039244.5348021295</v>
      </c>
      <c r="L509" s="9">
        <v>1070629.7197531539</v>
      </c>
      <c r="M509" s="9">
        <v>1096544.3476373567</v>
      </c>
      <c r="N509" s="9">
        <v>1214160.750705289</v>
      </c>
      <c r="O509" s="9">
        <v>1238443.9657193949</v>
      </c>
      <c r="P509" s="23">
        <v>1321772.3808962759</v>
      </c>
      <c r="Q509" s="23">
        <v>1493268.1644935776</v>
      </c>
      <c r="R509" s="24">
        <v>1597796.9360081281</v>
      </c>
      <c r="S509" s="11">
        <f>SUMIF($G$4:$R$4,"&gt;=0",G509:R509)</f>
        <v>5996930.7429377623</v>
      </c>
      <c r="T509" s="10">
        <f>SUM(G509:R509)</f>
        <v>13958917.288397783</v>
      </c>
    </row>
    <row r="510" spans="1:20" x14ac:dyDescent="0.3">
      <c r="A510" s="105"/>
      <c r="B510" s="108"/>
      <c r="C510" s="111"/>
      <c r="D510" s="111"/>
      <c r="E510" s="115"/>
      <c r="F510" s="12" t="s">
        <v>26</v>
      </c>
      <c r="G510" s="14">
        <v>0</v>
      </c>
      <c r="H510" s="14">
        <v>0</v>
      </c>
      <c r="I510" s="14">
        <v>516285.77000000008</v>
      </c>
      <c r="J510" s="14">
        <v>681455.79000000015</v>
      </c>
      <c r="K510" s="13">
        <v>645286.65999999992</v>
      </c>
      <c r="L510" s="13">
        <v>965892.55000000016</v>
      </c>
      <c r="M510" s="13"/>
      <c r="N510" s="13"/>
      <c r="O510" s="13"/>
      <c r="P510" s="14"/>
      <c r="Q510" s="14"/>
      <c r="R510" s="30"/>
      <c r="S510" s="16">
        <f>SUMIF($G$4:$R$4,"&gt;=0",G510:R510)</f>
        <v>2808920.7700000005</v>
      </c>
      <c r="T510" s="17">
        <f t="shared" ref="T510" si="412">SUM(G510:R510)</f>
        <v>2808920.7700000005</v>
      </c>
    </row>
    <row r="511" spans="1:20" ht="15" thickBot="1" x14ac:dyDescent="0.35">
      <c r="A511" s="105"/>
      <c r="B511" s="108"/>
      <c r="C511" s="111"/>
      <c r="D511" s="111"/>
      <c r="E511" s="115"/>
      <c r="F511" s="18" t="s">
        <v>27</v>
      </c>
      <c r="G511" s="19">
        <f>G510/G509</f>
        <v>0</v>
      </c>
      <c r="H511" s="19">
        <f t="shared" ref="H511:T511" si="413">H510/H509</f>
        <v>0</v>
      </c>
      <c r="I511" s="19">
        <f t="shared" si="413"/>
        <v>0.52503959908883147</v>
      </c>
      <c r="J511" s="19">
        <f t="shared" si="413"/>
        <v>0.66883671987011528</v>
      </c>
      <c r="K511" s="19">
        <f t="shared" si="413"/>
        <v>0.62091898334867013</v>
      </c>
      <c r="L511" s="19">
        <f t="shared" si="413"/>
        <v>0.90217236844751325</v>
      </c>
      <c r="M511" s="19">
        <f t="shared" si="413"/>
        <v>0</v>
      </c>
      <c r="N511" s="19">
        <f t="shared" si="413"/>
        <v>0</v>
      </c>
      <c r="O511" s="19">
        <f t="shared" si="413"/>
        <v>0</v>
      </c>
      <c r="P511" s="19">
        <f t="shared" si="413"/>
        <v>0</v>
      </c>
      <c r="Q511" s="19">
        <f t="shared" si="413"/>
        <v>0</v>
      </c>
      <c r="R511" s="25">
        <f t="shared" si="413"/>
        <v>0</v>
      </c>
      <c r="S511" s="21">
        <f t="shared" si="413"/>
        <v>0.46839306478700021</v>
      </c>
      <c r="T511" s="22">
        <f t="shared" si="413"/>
        <v>0.20122769638693166</v>
      </c>
    </row>
    <row r="512" spans="1:20" x14ac:dyDescent="0.3">
      <c r="A512" s="105"/>
      <c r="B512" s="108"/>
      <c r="C512" s="111"/>
      <c r="D512" s="111"/>
      <c r="E512" s="115"/>
      <c r="F512" s="11" t="s">
        <v>28</v>
      </c>
      <c r="G512" s="23">
        <v>0</v>
      </c>
      <c r="H512" s="23">
        <v>0</v>
      </c>
      <c r="I512" s="23">
        <v>0</v>
      </c>
      <c r="J512" s="23"/>
      <c r="K512" s="9"/>
      <c r="L512" s="9"/>
      <c r="M512" s="9"/>
      <c r="N512" s="9"/>
      <c r="O512" s="9"/>
      <c r="P512" s="23"/>
      <c r="Q512" s="23"/>
      <c r="R512" s="24"/>
      <c r="S512" s="11">
        <f>SUMIF($G$4:$R$4,"&gt;=0",G512:R512)</f>
        <v>0</v>
      </c>
      <c r="T512" s="10">
        <f>SUM(G512:R512)</f>
        <v>0</v>
      </c>
    </row>
    <row r="513" spans="1:20" ht="15" thickBot="1" x14ac:dyDescent="0.35">
      <c r="A513" s="105"/>
      <c r="B513" s="108"/>
      <c r="C513" s="111"/>
      <c r="D513" s="111"/>
      <c r="E513" s="115"/>
      <c r="F513" s="18" t="s">
        <v>29</v>
      </c>
      <c r="G513" s="19" t="e">
        <f>(G510-G512)/G510</f>
        <v>#DIV/0!</v>
      </c>
      <c r="H513" s="19" t="e">
        <f t="shared" ref="H513:S513" si="414">(H510-H512)/H510</f>
        <v>#DIV/0!</v>
      </c>
      <c r="I513" s="19">
        <f t="shared" si="414"/>
        <v>1</v>
      </c>
      <c r="J513" s="19">
        <f t="shared" si="414"/>
        <v>1</v>
      </c>
      <c r="K513" s="19">
        <f t="shared" si="414"/>
        <v>1</v>
      </c>
      <c r="L513" s="19">
        <f t="shared" si="414"/>
        <v>1</v>
      </c>
      <c r="M513" s="19" t="e">
        <f t="shared" si="414"/>
        <v>#DIV/0!</v>
      </c>
      <c r="N513" s="19" t="e">
        <f t="shared" si="414"/>
        <v>#DIV/0!</v>
      </c>
      <c r="O513" s="19" t="e">
        <f t="shared" si="414"/>
        <v>#DIV/0!</v>
      </c>
      <c r="P513" s="19" t="e">
        <f t="shared" si="414"/>
        <v>#DIV/0!</v>
      </c>
      <c r="Q513" s="19" t="e">
        <f t="shared" si="414"/>
        <v>#DIV/0!</v>
      </c>
      <c r="R513" s="25" t="e">
        <f t="shared" si="414"/>
        <v>#DIV/0!</v>
      </c>
      <c r="S513" s="21">
        <f t="shared" si="414"/>
        <v>1</v>
      </c>
      <c r="T513" s="22" t="e">
        <f t="shared" ref="T513" si="415">T510/T512</f>
        <v>#DIV/0!</v>
      </c>
    </row>
    <row r="514" spans="1:20" x14ac:dyDescent="0.3">
      <c r="A514" s="105"/>
      <c r="B514" s="108"/>
      <c r="C514" s="111"/>
      <c r="D514" s="111"/>
      <c r="E514" s="115"/>
      <c r="F514" s="26" t="s">
        <v>30</v>
      </c>
      <c r="G514" s="23">
        <v>0</v>
      </c>
      <c r="H514" s="23">
        <v>0</v>
      </c>
      <c r="I514" s="23">
        <v>1088056.5006000006</v>
      </c>
      <c r="J514" s="23"/>
      <c r="K514" s="9"/>
      <c r="L514" s="9"/>
      <c r="M514" s="9"/>
      <c r="N514" s="9"/>
      <c r="O514" s="9"/>
      <c r="P514" s="23"/>
      <c r="Q514" s="23"/>
      <c r="R514" s="24"/>
      <c r="S514" s="11">
        <f>SUMIF($G$4:$R$4,"&gt;=0",G514:R514)</f>
        <v>1088056.5006000006</v>
      </c>
      <c r="T514" s="10">
        <f>SUM(G514:R514)</f>
        <v>1088056.5006000006</v>
      </c>
    </row>
    <row r="515" spans="1:20" x14ac:dyDescent="0.3">
      <c r="A515" s="105"/>
      <c r="B515" s="108"/>
      <c r="C515" s="111"/>
      <c r="D515" s="111"/>
      <c r="E515" s="115"/>
      <c r="F515" s="29" t="s">
        <v>31</v>
      </c>
      <c r="G515" s="14"/>
      <c r="H515" s="14"/>
      <c r="I515" s="14"/>
      <c r="J515" s="14"/>
      <c r="K515" s="13"/>
      <c r="L515" s="13"/>
      <c r="M515" s="13"/>
      <c r="N515" s="13"/>
      <c r="O515" s="13"/>
      <c r="P515" s="14"/>
      <c r="Q515" s="14"/>
      <c r="R515" s="30"/>
      <c r="S515" s="16">
        <f>SUMIF($G$4:$R$4,"&gt;=0",G515:R515)</f>
        <v>0</v>
      </c>
      <c r="T515" s="17">
        <f t="shared" ref="T515" si="416">SUM(G515:R515)</f>
        <v>0</v>
      </c>
    </row>
    <row r="516" spans="1:20" ht="15" thickBot="1" x14ac:dyDescent="0.35">
      <c r="A516" s="105"/>
      <c r="B516" s="108"/>
      <c r="C516" s="111"/>
      <c r="D516" s="111"/>
      <c r="E516" s="115"/>
      <c r="F516" s="18" t="s">
        <v>32</v>
      </c>
      <c r="G516" s="19" t="e">
        <f>(G514-G515)/G514</f>
        <v>#DIV/0!</v>
      </c>
      <c r="H516" s="19" t="e">
        <f t="shared" ref="H516:S516" si="417">(H514-H515)/H514</f>
        <v>#DIV/0!</v>
      </c>
      <c r="I516" s="19">
        <f t="shared" si="417"/>
        <v>1</v>
      </c>
      <c r="J516" s="19" t="e">
        <f t="shared" si="417"/>
        <v>#DIV/0!</v>
      </c>
      <c r="K516" s="19" t="e">
        <f t="shared" si="417"/>
        <v>#DIV/0!</v>
      </c>
      <c r="L516" s="19" t="e">
        <f t="shared" si="417"/>
        <v>#DIV/0!</v>
      </c>
      <c r="M516" s="19" t="e">
        <f t="shared" si="417"/>
        <v>#DIV/0!</v>
      </c>
      <c r="N516" s="19" t="e">
        <f t="shared" si="417"/>
        <v>#DIV/0!</v>
      </c>
      <c r="O516" s="19" t="e">
        <f t="shared" si="417"/>
        <v>#DIV/0!</v>
      </c>
      <c r="P516" s="19" t="e">
        <f t="shared" si="417"/>
        <v>#DIV/0!</v>
      </c>
      <c r="Q516" s="19" t="e">
        <f t="shared" si="417"/>
        <v>#DIV/0!</v>
      </c>
      <c r="R516" s="25" t="e">
        <f t="shared" si="417"/>
        <v>#DIV/0!</v>
      </c>
      <c r="S516" s="21">
        <f t="shared" si="417"/>
        <v>1</v>
      </c>
      <c r="T516" s="22" t="e">
        <f t="shared" ref="T516" si="418">T514/T515</f>
        <v>#DIV/0!</v>
      </c>
    </row>
    <row r="517" spans="1:20" x14ac:dyDescent="0.3">
      <c r="A517" s="105"/>
      <c r="B517" s="108"/>
      <c r="C517" s="111"/>
      <c r="D517" s="111"/>
      <c r="E517" s="115"/>
      <c r="F517" s="31" t="s">
        <v>33</v>
      </c>
      <c r="G517" s="23"/>
      <c r="H517" s="23"/>
      <c r="I517" s="23"/>
      <c r="J517" s="23"/>
      <c r="K517" s="9"/>
      <c r="L517" s="9"/>
      <c r="M517" s="9"/>
      <c r="N517" s="9"/>
      <c r="O517" s="9"/>
      <c r="P517" s="23"/>
      <c r="Q517" s="23"/>
      <c r="R517" s="24"/>
      <c r="S517" s="11">
        <f>SUMIF($G$4:$R$4,"&gt;=0",G517:R517)</f>
        <v>0</v>
      </c>
      <c r="T517" s="10">
        <f>SUM(G517:R517)</f>
        <v>0</v>
      </c>
    </row>
    <row r="518" spans="1:20" x14ac:dyDescent="0.3">
      <c r="A518" s="105"/>
      <c r="B518" s="108"/>
      <c r="C518" s="111"/>
      <c r="D518" s="111"/>
      <c r="E518" s="115"/>
      <c r="F518" s="32" t="s">
        <v>34</v>
      </c>
      <c r="G518" s="14"/>
      <c r="H518" s="14"/>
      <c r="I518" s="14"/>
      <c r="J518" s="14"/>
      <c r="K518" s="13"/>
      <c r="L518" s="13"/>
      <c r="M518" s="13"/>
      <c r="N518" s="13"/>
      <c r="O518" s="13"/>
      <c r="P518" s="14"/>
      <c r="Q518" s="14"/>
      <c r="R518" s="30"/>
      <c r="S518" s="16">
        <f>SUMIF($G$4:$R$4,"&gt;=0",G518:R518)</f>
        <v>0</v>
      </c>
      <c r="T518" s="17">
        <f>SUM(G518:R518)</f>
        <v>0</v>
      </c>
    </row>
    <row r="519" spans="1:20" ht="15" thickBot="1" x14ac:dyDescent="0.35">
      <c r="A519" s="117"/>
      <c r="B519" s="109"/>
      <c r="C519" s="112"/>
      <c r="D519" s="113"/>
      <c r="E519" s="116"/>
      <c r="F519" s="21" t="s">
        <v>35</v>
      </c>
      <c r="G519" s="19" t="e">
        <f>(G518-G517)/G518</f>
        <v>#DIV/0!</v>
      </c>
      <c r="H519" s="19" t="e">
        <f t="shared" ref="H519:S519" si="419">(H518-H517)/H518</f>
        <v>#DIV/0!</v>
      </c>
      <c r="I519" s="19" t="e">
        <f t="shared" si="419"/>
        <v>#DIV/0!</v>
      </c>
      <c r="J519" s="19" t="e">
        <f t="shared" si="419"/>
        <v>#DIV/0!</v>
      </c>
      <c r="K519" s="19" t="e">
        <f t="shared" si="419"/>
        <v>#DIV/0!</v>
      </c>
      <c r="L519" s="19" t="e">
        <f t="shared" si="419"/>
        <v>#DIV/0!</v>
      </c>
      <c r="M519" s="19" t="e">
        <f t="shared" si="419"/>
        <v>#DIV/0!</v>
      </c>
      <c r="N519" s="19" t="e">
        <f t="shared" si="419"/>
        <v>#DIV/0!</v>
      </c>
      <c r="O519" s="19" t="e">
        <f t="shared" si="419"/>
        <v>#DIV/0!</v>
      </c>
      <c r="P519" s="19" t="e">
        <f t="shared" si="419"/>
        <v>#DIV/0!</v>
      </c>
      <c r="Q519" s="19" t="e">
        <f t="shared" si="419"/>
        <v>#DIV/0!</v>
      </c>
      <c r="R519" s="25" t="e">
        <f t="shared" si="419"/>
        <v>#DIV/0!</v>
      </c>
      <c r="S519" s="21" t="e">
        <f t="shared" si="419"/>
        <v>#DIV/0!</v>
      </c>
      <c r="T519" s="22" t="e">
        <f t="shared" ref="T519" si="420">T518/T517</f>
        <v>#DIV/0!</v>
      </c>
    </row>
    <row r="520" spans="1:20" x14ac:dyDescent="0.3">
      <c r="A520" s="104">
        <v>48</v>
      </c>
      <c r="B520" s="107" t="s">
        <v>138</v>
      </c>
      <c r="C520" s="110" t="s">
        <v>139</v>
      </c>
      <c r="D520" s="110" t="s">
        <v>37</v>
      </c>
      <c r="E520" s="114" t="s">
        <v>140</v>
      </c>
      <c r="F520" s="11" t="s">
        <v>25</v>
      </c>
      <c r="G520" s="23">
        <v>0</v>
      </c>
      <c r="H520" s="23">
        <v>0</v>
      </c>
      <c r="I520" s="23">
        <v>264508.38287999993</v>
      </c>
      <c r="J520" s="23">
        <v>269798.55053759995</v>
      </c>
      <c r="K520" s="9">
        <v>279322.43937157729</v>
      </c>
      <c r="L520" s="9">
        <v>284908.88815900881</v>
      </c>
      <c r="M520" s="9">
        <v>294966.17191102181</v>
      </c>
      <c r="N520" s="9">
        <v>300865.49534924224</v>
      </c>
      <c r="O520" s="9">
        <v>311486.0473350705</v>
      </c>
      <c r="P520" s="23">
        <v>317715.76828177192</v>
      </c>
      <c r="Q520" s="23">
        <v>338605.58004629851</v>
      </c>
      <c r="R520" s="24">
        <v>367742.59020928247</v>
      </c>
      <c r="S520" s="11">
        <f>SUMIF($G$4:$R$4,"&gt;=0",G520:R520)</f>
        <v>1098538.2609481858</v>
      </c>
      <c r="T520" s="10">
        <f>SUM(G520:R520)</f>
        <v>3029919.9140808731</v>
      </c>
    </row>
    <row r="521" spans="1:20" x14ac:dyDescent="0.3">
      <c r="A521" s="105"/>
      <c r="B521" s="108"/>
      <c r="C521" s="111"/>
      <c r="D521" s="111"/>
      <c r="E521" s="115"/>
      <c r="F521" s="12" t="s">
        <v>26</v>
      </c>
      <c r="G521" s="14"/>
      <c r="H521" s="14"/>
      <c r="I521" s="14"/>
      <c r="J521" s="14">
        <v>72153.11</v>
      </c>
      <c r="K521" s="14">
        <v>660083.54200000013</v>
      </c>
      <c r="L521" s="13">
        <v>672238.33</v>
      </c>
      <c r="M521" s="13"/>
      <c r="N521" s="13"/>
      <c r="O521" s="13"/>
      <c r="P521" s="14"/>
      <c r="Q521" s="14"/>
      <c r="R521" s="30"/>
      <c r="S521" s="16">
        <f>SUMIF($G$4:$R$4,"&gt;=0",G521:R521)</f>
        <v>1404474.9820000001</v>
      </c>
      <c r="T521" s="17">
        <f t="shared" ref="T521" si="421">SUM(G521:R521)</f>
        <v>1404474.9820000001</v>
      </c>
    </row>
    <row r="522" spans="1:20" ht="15" thickBot="1" x14ac:dyDescent="0.35">
      <c r="A522" s="105"/>
      <c r="B522" s="108"/>
      <c r="C522" s="111"/>
      <c r="D522" s="111"/>
      <c r="E522" s="115"/>
      <c r="F522" s="18" t="s">
        <v>27</v>
      </c>
      <c r="G522" s="19" t="e">
        <f>G521/G520</f>
        <v>#DIV/0!</v>
      </c>
      <c r="H522" s="19" t="e">
        <f t="shared" ref="H522:T522" si="422">H521/H520</f>
        <v>#DIV/0!</v>
      </c>
      <c r="I522" s="19">
        <f t="shared" si="422"/>
        <v>0</v>
      </c>
      <c r="J522" s="19">
        <f t="shared" si="422"/>
        <v>0.26743327514631893</v>
      </c>
      <c r="K522" s="19">
        <f t="shared" si="422"/>
        <v>2.3631597356985115</v>
      </c>
      <c r="L522" s="19">
        <f t="shared" si="422"/>
        <v>2.3594852878890218</v>
      </c>
      <c r="M522" s="19">
        <f t="shared" si="422"/>
        <v>0</v>
      </c>
      <c r="N522" s="19">
        <f t="shared" si="422"/>
        <v>0</v>
      </c>
      <c r="O522" s="19">
        <f t="shared" si="422"/>
        <v>0</v>
      </c>
      <c r="P522" s="19">
        <f t="shared" si="422"/>
        <v>0</v>
      </c>
      <c r="Q522" s="19">
        <f t="shared" si="422"/>
        <v>0</v>
      </c>
      <c r="R522" s="25">
        <f t="shared" si="422"/>
        <v>0</v>
      </c>
      <c r="S522" s="21">
        <f t="shared" si="422"/>
        <v>1.2784943701348643</v>
      </c>
      <c r="T522" s="22">
        <f t="shared" si="422"/>
        <v>0.46353534807075847</v>
      </c>
    </row>
    <row r="523" spans="1:20" x14ac:dyDescent="0.3">
      <c r="A523" s="105"/>
      <c r="B523" s="108"/>
      <c r="C523" s="111"/>
      <c r="D523" s="111"/>
      <c r="E523" s="115"/>
      <c r="F523" s="11" t="s">
        <v>28</v>
      </c>
      <c r="G523" s="23"/>
      <c r="H523" s="23"/>
      <c r="I523" s="23"/>
      <c r="J523" s="23"/>
      <c r="K523" s="9"/>
      <c r="L523" s="9"/>
      <c r="M523" s="9"/>
      <c r="N523" s="9"/>
      <c r="O523" s="9"/>
      <c r="P523" s="23"/>
      <c r="Q523" s="23"/>
      <c r="R523" s="24"/>
      <c r="S523" s="11">
        <f>SUMIF($G$4:$R$4,"&gt;=0",G523:R523)</f>
        <v>0</v>
      </c>
      <c r="T523" s="10">
        <f>SUM(G523:R523)</f>
        <v>0</v>
      </c>
    </row>
    <row r="524" spans="1:20" ht="15" thickBot="1" x14ac:dyDescent="0.35">
      <c r="A524" s="105"/>
      <c r="B524" s="108"/>
      <c r="C524" s="111"/>
      <c r="D524" s="111"/>
      <c r="E524" s="115"/>
      <c r="F524" s="18" t="s">
        <v>29</v>
      </c>
      <c r="G524" s="19" t="e">
        <f>(G521-G523)/G521</f>
        <v>#DIV/0!</v>
      </c>
      <c r="H524" s="19" t="e">
        <f t="shared" ref="H524:S524" si="423">(H521-H523)/H521</f>
        <v>#DIV/0!</v>
      </c>
      <c r="I524" s="19" t="e">
        <f t="shared" si="423"/>
        <v>#DIV/0!</v>
      </c>
      <c r="J524" s="19">
        <f t="shared" si="423"/>
        <v>1</v>
      </c>
      <c r="K524" s="19">
        <f t="shared" si="423"/>
        <v>1</v>
      </c>
      <c r="L524" s="19">
        <f t="shared" si="423"/>
        <v>1</v>
      </c>
      <c r="M524" s="19" t="e">
        <f t="shared" si="423"/>
        <v>#DIV/0!</v>
      </c>
      <c r="N524" s="19" t="e">
        <f t="shared" si="423"/>
        <v>#DIV/0!</v>
      </c>
      <c r="O524" s="19" t="e">
        <f t="shared" si="423"/>
        <v>#DIV/0!</v>
      </c>
      <c r="P524" s="19" t="e">
        <f t="shared" si="423"/>
        <v>#DIV/0!</v>
      </c>
      <c r="Q524" s="19" t="e">
        <f t="shared" si="423"/>
        <v>#DIV/0!</v>
      </c>
      <c r="R524" s="25" t="e">
        <f t="shared" si="423"/>
        <v>#DIV/0!</v>
      </c>
      <c r="S524" s="21">
        <f t="shared" si="423"/>
        <v>1</v>
      </c>
      <c r="T524" s="22" t="e">
        <f t="shared" ref="T524" si="424">T521/T523</f>
        <v>#DIV/0!</v>
      </c>
    </row>
    <row r="525" spans="1:20" x14ac:dyDescent="0.3">
      <c r="A525" s="105"/>
      <c r="B525" s="108"/>
      <c r="C525" s="111"/>
      <c r="D525" s="111"/>
      <c r="E525" s="115"/>
      <c r="F525" s="26" t="s">
        <v>30</v>
      </c>
      <c r="G525" s="23"/>
      <c r="H525" s="23"/>
      <c r="I525" s="23"/>
      <c r="J525" s="23"/>
      <c r="K525" s="9"/>
      <c r="L525" s="9"/>
      <c r="M525" s="9"/>
      <c r="N525" s="9"/>
      <c r="O525" s="9"/>
      <c r="P525" s="23"/>
      <c r="Q525" s="23"/>
      <c r="R525" s="24"/>
      <c r="S525" s="11">
        <f>SUMIF($G$4:$R$4,"&gt;=0",G525:R525)</f>
        <v>0</v>
      </c>
      <c r="T525" s="10">
        <f>SUM(G525:R525)</f>
        <v>0</v>
      </c>
    </row>
    <row r="526" spans="1:20" x14ac:dyDescent="0.3">
      <c r="A526" s="105"/>
      <c r="B526" s="108"/>
      <c r="C526" s="111"/>
      <c r="D526" s="111"/>
      <c r="E526" s="115"/>
      <c r="F526" s="29" t="s">
        <v>31</v>
      </c>
      <c r="G526" s="14"/>
      <c r="H526" s="14"/>
      <c r="I526" s="14"/>
      <c r="J526" s="14"/>
      <c r="K526" s="13"/>
      <c r="L526" s="13"/>
      <c r="M526" s="13"/>
      <c r="N526" s="13"/>
      <c r="O526" s="13"/>
      <c r="P526" s="14"/>
      <c r="Q526" s="14"/>
      <c r="R526" s="30"/>
      <c r="S526" s="16">
        <f>SUMIF($G$4:$R$4,"&gt;=0",G526:R526)</f>
        <v>0</v>
      </c>
      <c r="T526" s="17">
        <f t="shared" ref="T526" si="425">SUM(G526:R526)</f>
        <v>0</v>
      </c>
    </row>
    <row r="527" spans="1:20" ht="15" thickBot="1" x14ac:dyDescent="0.35">
      <c r="A527" s="105"/>
      <c r="B527" s="108"/>
      <c r="C527" s="111"/>
      <c r="D527" s="111"/>
      <c r="E527" s="115"/>
      <c r="F527" s="18" t="s">
        <v>32</v>
      </c>
      <c r="G527" s="19" t="e">
        <f>(G525-G526)/G525</f>
        <v>#DIV/0!</v>
      </c>
      <c r="H527" s="19" t="e">
        <f t="shared" ref="H527:S527" si="426">(H525-H526)/H525</f>
        <v>#DIV/0!</v>
      </c>
      <c r="I527" s="19" t="e">
        <f t="shared" si="426"/>
        <v>#DIV/0!</v>
      </c>
      <c r="J527" s="19" t="e">
        <f t="shared" si="426"/>
        <v>#DIV/0!</v>
      </c>
      <c r="K527" s="19" t="e">
        <f t="shared" si="426"/>
        <v>#DIV/0!</v>
      </c>
      <c r="L527" s="19" t="e">
        <f t="shared" si="426"/>
        <v>#DIV/0!</v>
      </c>
      <c r="M527" s="19" t="e">
        <f t="shared" si="426"/>
        <v>#DIV/0!</v>
      </c>
      <c r="N527" s="19" t="e">
        <f t="shared" si="426"/>
        <v>#DIV/0!</v>
      </c>
      <c r="O527" s="19" t="e">
        <f t="shared" si="426"/>
        <v>#DIV/0!</v>
      </c>
      <c r="P527" s="19" t="e">
        <f t="shared" si="426"/>
        <v>#DIV/0!</v>
      </c>
      <c r="Q527" s="19" t="e">
        <f t="shared" si="426"/>
        <v>#DIV/0!</v>
      </c>
      <c r="R527" s="25" t="e">
        <f t="shared" si="426"/>
        <v>#DIV/0!</v>
      </c>
      <c r="S527" s="21" t="e">
        <f t="shared" si="426"/>
        <v>#DIV/0!</v>
      </c>
      <c r="T527" s="22" t="e">
        <f t="shared" ref="T527" si="427">T525/T526</f>
        <v>#DIV/0!</v>
      </c>
    </row>
    <row r="528" spans="1:20" x14ac:dyDescent="0.3">
      <c r="A528" s="105"/>
      <c r="B528" s="108"/>
      <c r="C528" s="111"/>
      <c r="D528" s="111"/>
      <c r="E528" s="115"/>
      <c r="F528" s="31" t="s">
        <v>33</v>
      </c>
      <c r="G528" s="23"/>
      <c r="H528" s="23"/>
      <c r="I528" s="23"/>
      <c r="J528" s="23"/>
      <c r="K528" s="9"/>
      <c r="L528" s="9"/>
      <c r="M528" s="9"/>
      <c r="N528" s="9"/>
      <c r="O528" s="9"/>
      <c r="P528" s="23"/>
      <c r="Q528" s="23"/>
      <c r="R528" s="24"/>
      <c r="S528" s="11">
        <f>SUMIF($G$4:$R$4,"&gt;=0",G528:R528)</f>
        <v>0</v>
      </c>
      <c r="T528" s="10">
        <f>SUM(G528:R528)</f>
        <v>0</v>
      </c>
    </row>
    <row r="529" spans="1:20" x14ac:dyDescent="0.3">
      <c r="A529" s="105"/>
      <c r="B529" s="108"/>
      <c r="C529" s="111"/>
      <c r="D529" s="111"/>
      <c r="E529" s="115"/>
      <c r="F529" s="32" t="s">
        <v>34</v>
      </c>
      <c r="G529" s="14"/>
      <c r="H529" s="14"/>
      <c r="I529" s="14"/>
      <c r="J529" s="14"/>
      <c r="K529" s="13"/>
      <c r="L529" s="13"/>
      <c r="M529" s="13"/>
      <c r="N529" s="13"/>
      <c r="O529" s="13"/>
      <c r="P529" s="14"/>
      <c r="Q529" s="14"/>
      <c r="R529" s="30"/>
      <c r="S529" s="16">
        <f>SUMIF($G$4:$R$4,"&gt;=0",G529:R529)</f>
        <v>0</v>
      </c>
      <c r="T529" s="17">
        <f>SUM(G529:R529)</f>
        <v>0</v>
      </c>
    </row>
    <row r="530" spans="1:20" ht="15" thickBot="1" x14ac:dyDescent="0.35">
      <c r="A530" s="106"/>
      <c r="B530" s="109"/>
      <c r="C530" s="112"/>
      <c r="D530" s="113"/>
      <c r="E530" s="116"/>
      <c r="F530" s="21" t="s">
        <v>35</v>
      </c>
      <c r="G530" s="19" t="e">
        <f>(G529-G528)/G529</f>
        <v>#DIV/0!</v>
      </c>
      <c r="H530" s="19" t="e">
        <f t="shared" ref="H530:S530" si="428">(H529-H528)/H529</f>
        <v>#DIV/0!</v>
      </c>
      <c r="I530" s="19" t="e">
        <f t="shared" si="428"/>
        <v>#DIV/0!</v>
      </c>
      <c r="J530" s="19" t="e">
        <f t="shared" si="428"/>
        <v>#DIV/0!</v>
      </c>
      <c r="K530" s="19" t="e">
        <f t="shared" si="428"/>
        <v>#DIV/0!</v>
      </c>
      <c r="L530" s="19" t="e">
        <f t="shared" si="428"/>
        <v>#DIV/0!</v>
      </c>
      <c r="M530" s="19" t="e">
        <f t="shared" si="428"/>
        <v>#DIV/0!</v>
      </c>
      <c r="N530" s="19" t="e">
        <f t="shared" si="428"/>
        <v>#DIV/0!</v>
      </c>
      <c r="O530" s="19" t="e">
        <f t="shared" si="428"/>
        <v>#DIV/0!</v>
      </c>
      <c r="P530" s="19" t="e">
        <f t="shared" si="428"/>
        <v>#DIV/0!</v>
      </c>
      <c r="Q530" s="19" t="e">
        <f t="shared" si="428"/>
        <v>#DIV/0!</v>
      </c>
      <c r="R530" s="25" t="e">
        <f t="shared" si="428"/>
        <v>#DIV/0!</v>
      </c>
      <c r="S530" s="21" t="e">
        <f t="shared" si="428"/>
        <v>#DIV/0!</v>
      </c>
      <c r="T530" s="22" t="e">
        <f t="shared" ref="T530" si="429">T529/T528</f>
        <v>#DIV/0!</v>
      </c>
    </row>
    <row r="531" spans="1:20" x14ac:dyDescent="0.3">
      <c r="A531" s="104">
        <v>49</v>
      </c>
      <c r="B531" s="107" t="s">
        <v>141</v>
      </c>
      <c r="C531" s="110" t="s">
        <v>142</v>
      </c>
      <c r="D531" s="110" t="s">
        <v>37</v>
      </c>
      <c r="E531" s="114" t="s">
        <v>38</v>
      </c>
      <c r="F531" s="11" t="s">
        <v>25</v>
      </c>
      <c r="G531" s="23">
        <v>0</v>
      </c>
      <c r="H531" s="23">
        <v>0</v>
      </c>
      <c r="I531" s="23">
        <v>0</v>
      </c>
      <c r="J531" s="23">
        <v>368451.41759999993</v>
      </c>
      <c r="K531" s="9">
        <v>379578.65041151992</v>
      </c>
      <c r="L531" s="9">
        <v>387170.2234197504</v>
      </c>
      <c r="M531" s="9">
        <v>400837.33230646758</v>
      </c>
      <c r="N531" s="9">
        <v>408854.07895259687</v>
      </c>
      <c r="O531" s="9">
        <v>421201.47213696537</v>
      </c>
      <c r="P531" s="23">
        <v>429625.50157970469</v>
      </c>
      <c r="Q531" s="23">
        <v>451106.77665869001</v>
      </c>
      <c r="R531" s="24">
        <v>487798.00575777562</v>
      </c>
      <c r="S531" s="11">
        <f>SUMIF($G$4:$R$4,"&gt;=0",G531:R531)</f>
        <v>1135200.2914312703</v>
      </c>
      <c r="T531" s="10">
        <f>SUM(G531:R531)</f>
        <v>3734623.4588234709</v>
      </c>
    </row>
    <row r="532" spans="1:20" x14ac:dyDescent="0.3">
      <c r="A532" s="105"/>
      <c r="B532" s="108"/>
      <c r="C532" s="111"/>
      <c r="D532" s="111"/>
      <c r="E532" s="115"/>
      <c r="F532" s="12" t="s">
        <v>26</v>
      </c>
      <c r="G532" s="14"/>
      <c r="H532" s="14"/>
      <c r="I532" s="14"/>
      <c r="J532" s="14">
        <v>145524</v>
      </c>
      <c r="K532" s="13">
        <v>526647.74999999988</v>
      </c>
      <c r="L532" s="13">
        <v>506130.25</v>
      </c>
      <c r="M532" s="13"/>
      <c r="N532" s="13"/>
      <c r="O532" s="13"/>
      <c r="P532" s="14"/>
      <c r="Q532" s="14"/>
      <c r="R532" s="30"/>
      <c r="S532" s="16">
        <f>SUMIF($G$4:$R$4,"&gt;=0",G532:R532)</f>
        <v>1178302</v>
      </c>
      <c r="T532" s="17">
        <f t="shared" ref="T532" si="430">SUM(G532:R532)</f>
        <v>1178302</v>
      </c>
    </row>
    <row r="533" spans="1:20" ht="15" thickBot="1" x14ac:dyDescent="0.35">
      <c r="A533" s="105"/>
      <c r="B533" s="108"/>
      <c r="C533" s="111"/>
      <c r="D533" s="111"/>
      <c r="E533" s="115"/>
      <c r="F533" s="18" t="s">
        <v>27</v>
      </c>
      <c r="G533" s="19" t="e">
        <f>G532/G531</f>
        <v>#DIV/0!</v>
      </c>
      <c r="H533" s="19" t="e">
        <f t="shared" ref="H533:T533" si="431">H532/H531</f>
        <v>#DIV/0!</v>
      </c>
      <c r="I533" s="19" t="e">
        <f t="shared" si="431"/>
        <v>#DIV/0!</v>
      </c>
      <c r="J533" s="19">
        <f t="shared" si="431"/>
        <v>0.39496116190271929</v>
      </c>
      <c r="K533" s="19">
        <f t="shared" si="431"/>
        <v>1.3874535604914426</v>
      </c>
      <c r="L533" s="19">
        <f t="shared" si="431"/>
        <v>1.3072551022377543</v>
      </c>
      <c r="M533" s="19">
        <f t="shared" si="431"/>
        <v>0</v>
      </c>
      <c r="N533" s="19">
        <f t="shared" si="431"/>
        <v>0</v>
      </c>
      <c r="O533" s="19">
        <f t="shared" si="431"/>
        <v>0</v>
      </c>
      <c r="P533" s="19">
        <f t="shared" si="431"/>
        <v>0</v>
      </c>
      <c r="Q533" s="19">
        <f t="shared" si="431"/>
        <v>0</v>
      </c>
      <c r="R533" s="25">
        <f t="shared" si="431"/>
        <v>0</v>
      </c>
      <c r="S533" s="21">
        <f t="shared" si="431"/>
        <v>1.0379683734175109</v>
      </c>
      <c r="T533" s="22">
        <f t="shared" si="431"/>
        <v>0.31550757740144542</v>
      </c>
    </row>
    <row r="534" spans="1:20" x14ac:dyDescent="0.3">
      <c r="A534" s="105"/>
      <c r="B534" s="108"/>
      <c r="C534" s="111"/>
      <c r="D534" s="111"/>
      <c r="E534" s="115"/>
      <c r="F534" s="11" t="s">
        <v>28</v>
      </c>
      <c r="G534" s="23"/>
      <c r="H534" s="23"/>
      <c r="I534" s="23"/>
      <c r="J534" s="23"/>
      <c r="K534" s="9"/>
      <c r="L534" s="9"/>
      <c r="M534" s="9"/>
      <c r="N534" s="9"/>
      <c r="O534" s="9"/>
      <c r="P534" s="23"/>
      <c r="Q534" s="23"/>
      <c r="R534" s="24"/>
      <c r="S534" s="11">
        <f>SUMIF($G$4:$R$4,"&gt;=0",G534:R534)</f>
        <v>0</v>
      </c>
      <c r="T534" s="10">
        <f>SUM(G534:R534)</f>
        <v>0</v>
      </c>
    </row>
    <row r="535" spans="1:20" ht="15" thickBot="1" x14ac:dyDescent="0.35">
      <c r="A535" s="105"/>
      <c r="B535" s="108"/>
      <c r="C535" s="111"/>
      <c r="D535" s="111"/>
      <c r="E535" s="115"/>
      <c r="F535" s="18" t="s">
        <v>29</v>
      </c>
      <c r="G535" s="19" t="e">
        <f>(G532-G534)/G532</f>
        <v>#DIV/0!</v>
      </c>
      <c r="H535" s="19" t="e">
        <f t="shared" ref="H535:S535" si="432">(H532-H534)/H532</f>
        <v>#DIV/0!</v>
      </c>
      <c r="I535" s="19" t="e">
        <f t="shared" si="432"/>
        <v>#DIV/0!</v>
      </c>
      <c r="J535" s="19">
        <f t="shared" si="432"/>
        <v>1</v>
      </c>
      <c r="K535" s="19">
        <f t="shared" si="432"/>
        <v>1</v>
      </c>
      <c r="L535" s="19">
        <f t="shared" si="432"/>
        <v>1</v>
      </c>
      <c r="M535" s="19" t="e">
        <f t="shared" si="432"/>
        <v>#DIV/0!</v>
      </c>
      <c r="N535" s="19" t="e">
        <f t="shared" si="432"/>
        <v>#DIV/0!</v>
      </c>
      <c r="O535" s="19" t="e">
        <f t="shared" si="432"/>
        <v>#DIV/0!</v>
      </c>
      <c r="P535" s="19" t="e">
        <f t="shared" si="432"/>
        <v>#DIV/0!</v>
      </c>
      <c r="Q535" s="19" t="e">
        <f t="shared" si="432"/>
        <v>#DIV/0!</v>
      </c>
      <c r="R535" s="25" t="e">
        <f t="shared" si="432"/>
        <v>#DIV/0!</v>
      </c>
      <c r="S535" s="21">
        <f t="shared" si="432"/>
        <v>1</v>
      </c>
      <c r="T535" s="22" t="e">
        <f t="shared" ref="T535" si="433">T532/T534</f>
        <v>#DIV/0!</v>
      </c>
    </row>
    <row r="536" spans="1:20" x14ac:dyDescent="0.3">
      <c r="A536" s="105"/>
      <c r="B536" s="108"/>
      <c r="C536" s="111"/>
      <c r="D536" s="111"/>
      <c r="E536" s="115"/>
      <c r="F536" s="26" t="s">
        <v>30</v>
      </c>
      <c r="G536" s="23"/>
      <c r="H536" s="23"/>
      <c r="I536" s="23"/>
      <c r="J536" s="23"/>
      <c r="K536" s="9"/>
      <c r="L536" s="9"/>
      <c r="M536" s="9"/>
      <c r="N536" s="9"/>
      <c r="O536" s="9"/>
      <c r="P536" s="23"/>
      <c r="Q536" s="23"/>
      <c r="R536" s="24"/>
      <c r="S536" s="11">
        <f>SUMIF($G$4:$R$4,"&gt;=0",G536:R536)</f>
        <v>0</v>
      </c>
      <c r="T536" s="10">
        <f>SUM(G536:R536)</f>
        <v>0</v>
      </c>
    </row>
    <row r="537" spans="1:20" x14ac:dyDescent="0.3">
      <c r="A537" s="105"/>
      <c r="B537" s="108"/>
      <c r="C537" s="111"/>
      <c r="D537" s="111"/>
      <c r="E537" s="115"/>
      <c r="F537" s="29" t="s">
        <v>31</v>
      </c>
      <c r="G537" s="14"/>
      <c r="H537" s="14"/>
      <c r="I537" s="14"/>
      <c r="J537" s="14"/>
      <c r="K537" s="13"/>
      <c r="L537" s="13"/>
      <c r="M537" s="13"/>
      <c r="N537" s="13"/>
      <c r="O537" s="13"/>
      <c r="P537" s="14"/>
      <c r="Q537" s="14"/>
      <c r="R537" s="30"/>
      <c r="S537" s="16">
        <f>SUMIF($G$4:$R$4,"&gt;=0",G537:R537)</f>
        <v>0</v>
      </c>
      <c r="T537" s="17">
        <f t="shared" ref="T537" si="434">SUM(G537:R537)</f>
        <v>0</v>
      </c>
    </row>
    <row r="538" spans="1:20" ht="15" thickBot="1" x14ac:dyDescent="0.35">
      <c r="A538" s="105"/>
      <c r="B538" s="108"/>
      <c r="C538" s="111"/>
      <c r="D538" s="111"/>
      <c r="E538" s="115"/>
      <c r="F538" s="18" t="s">
        <v>32</v>
      </c>
      <c r="G538" s="19" t="e">
        <f>(G536-G537)/G536</f>
        <v>#DIV/0!</v>
      </c>
      <c r="H538" s="19" t="e">
        <f t="shared" ref="H538:S538" si="435">(H536-H537)/H536</f>
        <v>#DIV/0!</v>
      </c>
      <c r="I538" s="19" t="e">
        <f t="shared" si="435"/>
        <v>#DIV/0!</v>
      </c>
      <c r="J538" s="19" t="e">
        <f t="shared" si="435"/>
        <v>#DIV/0!</v>
      </c>
      <c r="K538" s="19" t="e">
        <f t="shared" si="435"/>
        <v>#DIV/0!</v>
      </c>
      <c r="L538" s="19" t="e">
        <f t="shared" si="435"/>
        <v>#DIV/0!</v>
      </c>
      <c r="M538" s="19" t="e">
        <f t="shared" si="435"/>
        <v>#DIV/0!</v>
      </c>
      <c r="N538" s="19" t="e">
        <f t="shared" si="435"/>
        <v>#DIV/0!</v>
      </c>
      <c r="O538" s="19" t="e">
        <f t="shared" si="435"/>
        <v>#DIV/0!</v>
      </c>
      <c r="P538" s="19" t="e">
        <f t="shared" si="435"/>
        <v>#DIV/0!</v>
      </c>
      <c r="Q538" s="19" t="e">
        <f t="shared" si="435"/>
        <v>#DIV/0!</v>
      </c>
      <c r="R538" s="25" t="e">
        <f t="shared" si="435"/>
        <v>#DIV/0!</v>
      </c>
      <c r="S538" s="21" t="e">
        <f t="shared" si="435"/>
        <v>#DIV/0!</v>
      </c>
      <c r="T538" s="22" t="e">
        <f t="shared" ref="T538" si="436">T536/T537</f>
        <v>#DIV/0!</v>
      </c>
    </row>
    <row r="539" spans="1:20" x14ac:dyDescent="0.3">
      <c r="A539" s="105"/>
      <c r="B539" s="108"/>
      <c r="C539" s="111"/>
      <c r="D539" s="111"/>
      <c r="E539" s="115"/>
      <c r="F539" s="31" t="s">
        <v>33</v>
      </c>
      <c r="G539" s="23"/>
      <c r="H539" s="23"/>
      <c r="I539" s="23"/>
      <c r="J539" s="23"/>
      <c r="K539" s="9"/>
      <c r="L539" s="9"/>
      <c r="M539" s="9"/>
      <c r="N539" s="9"/>
      <c r="O539" s="9"/>
      <c r="P539" s="23"/>
      <c r="Q539" s="23"/>
      <c r="R539" s="24"/>
      <c r="S539" s="11">
        <f>SUMIF($G$4:$R$4,"&gt;=0",G539:R539)</f>
        <v>0</v>
      </c>
      <c r="T539" s="10">
        <f>SUM(G539:R539)</f>
        <v>0</v>
      </c>
    </row>
    <row r="540" spans="1:20" x14ac:dyDescent="0.3">
      <c r="A540" s="105"/>
      <c r="B540" s="108"/>
      <c r="C540" s="111"/>
      <c r="D540" s="111"/>
      <c r="E540" s="115"/>
      <c r="F540" s="32" t="s">
        <v>34</v>
      </c>
      <c r="G540" s="14"/>
      <c r="H540" s="14"/>
      <c r="I540" s="14"/>
      <c r="J540" s="14"/>
      <c r="K540" s="13"/>
      <c r="L540" s="13"/>
      <c r="M540" s="13"/>
      <c r="N540" s="13"/>
      <c r="O540" s="13"/>
      <c r="P540" s="14"/>
      <c r="Q540" s="14"/>
      <c r="R540" s="30"/>
      <c r="S540" s="16">
        <f>SUMIF($G$4:$R$4,"&gt;=0",G540:R540)</f>
        <v>0</v>
      </c>
      <c r="T540" s="17">
        <f>SUM(G540:R540)</f>
        <v>0</v>
      </c>
    </row>
    <row r="541" spans="1:20" ht="15" thickBot="1" x14ac:dyDescent="0.35">
      <c r="A541" s="117"/>
      <c r="B541" s="109"/>
      <c r="C541" s="112"/>
      <c r="D541" s="113"/>
      <c r="E541" s="116"/>
      <c r="F541" s="21" t="s">
        <v>35</v>
      </c>
      <c r="G541" s="19" t="e">
        <f>(G540-G539)/G540</f>
        <v>#DIV/0!</v>
      </c>
      <c r="H541" s="19" t="e">
        <f t="shared" ref="H541:S541" si="437">(H540-H539)/H540</f>
        <v>#DIV/0!</v>
      </c>
      <c r="I541" s="19" t="e">
        <f t="shared" si="437"/>
        <v>#DIV/0!</v>
      </c>
      <c r="J541" s="19" t="e">
        <f t="shared" si="437"/>
        <v>#DIV/0!</v>
      </c>
      <c r="K541" s="19" t="e">
        <f t="shared" si="437"/>
        <v>#DIV/0!</v>
      </c>
      <c r="L541" s="19" t="e">
        <f t="shared" si="437"/>
        <v>#DIV/0!</v>
      </c>
      <c r="M541" s="19" t="e">
        <f t="shared" si="437"/>
        <v>#DIV/0!</v>
      </c>
      <c r="N541" s="19" t="e">
        <f t="shared" si="437"/>
        <v>#DIV/0!</v>
      </c>
      <c r="O541" s="19" t="e">
        <f t="shared" si="437"/>
        <v>#DIV/0!</v>
      </c>
      <c r="P541" s="19" t="e">
        <f t="shared" si="437"/>
        <v>#DIV/0!</v>
      </c>
      <c r="Q541" s="19" t="e">
        <f t="shared" si="437"/>
        <v>#DIV/0!</v>
      </c>
      <c r="R541" s="25" t="e">
        <f t="shared" si="437"/>
        <v>#DIV/0!</v>
      </c>
      <c r="S541" s="21" t="e">
        <f t="shared" si="437"/>
        <v>#DIV/0!</v>
      </c>
      <c r="T541" s="22" t="e">
        <f t="shared" ref="T541" si="438">T540/T539</f>
        <v>#DIV/0!</v>
      </c>
    </row>
    <row r="542" spans="1:20" x14ac:dyDescent="0.3">
      <c r="A542" s="104">
        <v>50</v>
      </c>
      <c r="B542" s="107"/>
      <c r="C542" s="110"/>
      <c r="D542" s="110"/>
      <c r="E542" s="114"/>
      <c r="F542" s="11" t="s">
        <v>25</v>
      </c>
      <c r="G542" s="23"/>
      <c r="H542" s="23"/>
      <c r="I542" s="23"/>
      <c r="J542" s="23"/>
      <c r="K542" s="9"/>
      <c r="L542" s="9"/>
      <c r="M542" s="9"/>
      <c r="N542" s="9"/>
      <c r="O542" s="9"/>
      <c r="P542" s="23"/>
      <c r="Q542" s="23"/>
      <c r="R542" s="24"/>
      <c r="S542" s="11">
        <f>SUMIF($G$4:$R$4,"&gt;=0",G542:R542)</f>
        <v>0</v>
      </c>
      <c r="T542" s="10">
        <f>SUM(G542:R542)</f>
        <v>0</v>
      </c>
    </row>
    <row r="543" spans="1:20" x14ac:dyDescent="0.3">
      <c r="A543" s="105"/>
      <c r="B543" s="108"/>
      <c r="C543" s="111"/>
      <c r="D543" s="111"/>
      <c r="E543" s="115"/>
      <c r="F543" s="12" t="s">
        <v>26</v>
      </c>
      <c r="G543" s="14"/>
      <c r="H543" s="14"/>
      <c r="I543" s="14"/>
      <c r="J543" s="14"/>
      <c r="K543" s="13"/>
      <c r="L543" s="13"/>
      <c r="M543" s="13"/>
      <c r="N543" s="13"/>
      <c r="O543" s="13"/>
      <c r="P543" s="14"/>
      <c r="Q543" s="14"/>
      <c r="R543" s="30"/>
      <c r="S543" s="16">
        <f>SUMIF($G$4:$R$4,"&gt;=0",G543:R543)</f>
        <v>0</v>
      </c>
      <c r="T543" s="17">
        <f t="shared" ref="T543" si="439">SUM(G543:R543)</f>
        <v>0</v>
      </c>
    </row>
    <row r="544" spans="1:20" ht="15" thickBot="1" x14ac:dyDescent="0.35">
      <c r="A544" s="105"/>
      <c r="B544" s="108"/>
      <c r="C544" s="111"/>
      <c r="D544" s="111"/>
      <c r="E544" s="115"/>
      <c r="F544" s="18" t="s">
        <v>27</v>
      </c>
      <c r="G544" s="19" t="e">
        <f>G543/G542</f>
        <v>#DIV/0!</v>
      </c>
      <c r="H544" s="19" t="e">
        <f t="shared" ref="H544:T544" si="440">H543/H542</f>
        <v>#DIV/0!</v>
      </c>
      <c r="I544" s="19" t="e">
        <f t="shared" si="440"/>
        <v>#DIV/0!</v>
      </c>
      <c r="J544" s="19" t="e">
        <f t="shared" si="440"/>
        <v>#DIV/0!</v>
      </c>
      <c r="K544" s="19" t="e">
        <f t="shared" si="440"/>
        <v>#DIV/0!</v>
      </c>
      <c r="L544" s="19" t="e">
        <f t="shared" si="440"/>
        <v>#DIV/0!</v>
      </c>
      <c r="M544" s="19" t="e">
        <f t="shared" si="440"/>
        <v>#DIV/0!</v>
      </c>
      <c r="N544" s="19" t="e">
        <f t="shared" si="440"/>
        <v>#DIV/0!</v>
      </c>
      <c r="O544" s="19" t="e">
        <f t="shared" si="440"/>
        <v>#DIV/0!</v>
      </c>
      <c r="P544" s="19" t="e">
        <f t="shared" si="440"/>
        <v>#DIV/0!</v>
      </c>
      <c r="Q544" s="19" t="e">
        <f t="shared" si="440"/>
        <v>#DIV/0!</v>
      </c>
      <c r="R544" s="25" t="e">
        <f t="shared" si="440"/>
        <v>#DIV/0!</v>
      </c>
      <c r="S544" s="21" t="e">
        <f t="shared" si="440"/>
        <v>#DIV/0!</v>
      </c>
      <c r="T544" s="22" t="e">
        <f t="shared" si="440"/>
        <v>#DIV/0!</v>
      </c>
    </row>
    <row r="545" spans="1:20" x14ac:dyDescent="0.3">
      <c r="A545" s="105"/>
      <c r="B545" s="108"/>
      <c r="C545" s="111"/>
      <c r="D545" s="111"/>
      <c r="E545" s="115"/>
      <c r="F545" s="11" t="s">
        <v>28</v>
      </c>
      <c r="G545" s="23"/>
      <c r="H545" s="23"/>
      <c r="I545" s="23"/>
      <c r="J545" s="23"/>
      <c r="K545" s="9"/>
      <c r="L545" s="9"/>
      <c r="M545" s="9"/>
      <c r="N545" s="9"/>
      <c r="O545" s="9"/>
      <c r="P545" s="23"/>
      <c r="Q545" s="23"/>
      <c r="R545" s="24"/>
      <c r="S545" s="11">
        <f>SUMIF($G$4:$R$4,"&gt;=0",G545:R545)</f>
        <v>0</v>
      </c>
      <c r="T545" s="10">
        <f>SUM(G545:R545)</f>
        <v>0</v>
      </c>
    </row>
    <row r="546" spans="1:20" ht="15" thickBot="1" x14ac:dyDescent="0.35">
      <c r="A546" s="105"/>
      <c r="B546" s="108"/>
      <c r="C546" s="111"/>
      <c r="D546" s="111"/>
      <c r="E546" s="115"/>
      <c r="F546" s="18" t="s">
        <v>29</v>
      </c>
      <c r="G546" s="19" t="e">
        <f>(G543-G545)/G543</f>
        <v>#DIV/0!</v>
      </c>
      <c r="H546" s="19" t="e">
        <f t="shared" ref="H546:S546" si="441">(H543-H545)/H543</f>
        <v>#DIV/0!</v>
      </c>
      <c r="I546" s="19" t="e">
        <f t="shared" si="441"/>
        <v>#DIV/0!</v>
      </c>
      <c r="J546" s="19" t="e">
        <f t="shared" si="441"/>
        <v>#DIV/0!</v>
      </c>
      <c r="K546" s="19" t="e">
        <f t="shared" si="441"/>
        <v>#DIV/0!</v>
      </c>
      <c r="L546" s="19" t="e">
        <f t="shared" si="441"/>
        <v>#DIV/0!</v>
      </c>
      <c r="M546" s="19" t="e">
        <f t="shared" si="441"/>
        <v>#DIV/0!</v>
      </c>
      <c r="N546" s="19" t="e">
        <f t="shared" si="441"/>
        <v>#DIV/0!</v>
      </c>
      <c r="O546" s="19" t="e">
        <f t="shared" si="441"/>
        <v>#DIV/0!</v>
      </c>
      <c r="P546" s="19" t="e">
        <f t="shared" si="441"/>
        <v>#DIV/0!</v>
      </c>
      <c r="Q546" s="19" t="e">
        <f t="shared" si="441"/>
        <v>#DIV/0!</v>
      </c>
      <c r="R546" s="25" t="e">
        <f t="shared" si="441"/>
        <v>#DIV/0!</v>
      </c>
      <c r="S546" s="21" t="e">
        <f t="shared" si="441"/>
        <v>#DIV/0!</v>
      </c>
      <c r="T546" s="22" t="e">
        <f t="shared" ref="T546" si="442">T543/T545</f>
        <v>#DIV/0!</v>
      </c>
    </row>
    <row r="547" spans="1:20" x14ac:dyDescent="0.3">
      <c r="A547" s="105"/>
      <c r="B547" s="108"/>
      <c r="C547" s="111"/>
      <c r="D547" s="111"/>
      <c r="E547" s="115"/>
      <c r="F547" s="26" t="s">
        <v>30</v>
      </c>
      <c r="G547" s="23"/>
      <c r="H547" s="23"/>
      <c r="I547" s="23"/>
      <c r="J547" s="23"/>
      <c r="K547" s="9"/>
      <c r="L547" s="9"/>
      <c r="M547" s="9"/>
      <c r="N547" s="9"/>
      <c r="O547" s="9"/>
      <c r="P547" s="23"/>
      <c r="Q547" s="23"/>
      <c r="R547" s="24"/>
      <c r="S547" s="11">
        <f>SUMIF($G$4:$R$4,"&gt;=0",G547:R547)</f>
        <v>0</v>
      </c>
      <c r="T547" s="10">
        <f>SUM(G547:R547)</f>
        <v>0</v>
      </c>
    </row>
    <row r="548" spans="1:20" x14ac:dyDescent="0.3">
      <c r="A548" s="105"/>
      <c r="B548" s="108"/>
      <c r="C548" s="111"/>
      <c r="D548" s="111"/>
      <c r="E548" s="115"/>
      <c r="F548" s="29" t="s">
        <v>31</v>
      </c>
      <c r="G548" s="14"/>
      <c r="H548" s="14"/>
      <c r="I548" s="14"/>
      <c r="J548" s="14"/>
      <c r="K548" s="13"/>
      <c r="L548" s="13"/>
      <c r="M548" s="13"/>
      <c r="N548" s="13"/>
      <c r="O548" s="13"/>
      <c r="P548" s="14"/>
      <c r="Q548" s="14"/>
      <c r="R548" s="30"/>
      <c r="S548" s="16">
        <f>SUMIF($G$4:$R$4,"&gt;=0",G548:R548)</f>
        <v>0</v>
      </c>
      <c r="T548" s="17">
        <f t="shared" ref="T548" si="443">SUM(G548:R548)</f>
        <v>0</v>
      </c>
    </row>
    <row r="549" spans="1:20" ht="15" thickBot="1" x14ac:dyDescent="0.35">
      <c r="A549" s="105"/>
      <c r="B549" s="108"/>
      <c r="C549" s="111"/>
      <c r="D549" s="111"/>
      <c r="E549" s="115"/>
      <c r="F549" s="18" t="s">
        <v>32</v>
      </c>
      <c r="G549" s="19" t="e">
        <f>(G547-G548)/G547</f>
        <v>#DIV/0!</v>
      </c>
      <c r="H549" s="19" t="e">
        <f t="shared" ref="H549:S549" si="444">(H547-H548)/H547</f>
        <v>#DIV/0!</v>
      </c>
      <c r="I549" s="19" t="e">
        <f t="shared" si="444"/>
        <v>#DIV/0!</v>
      </c>
      <c r="J549" s="19" t="e">
        <f t="shared" si="444"/>
        <v>#DIV/0!</v>
      </c>
      <c r="K549" s="19" t="e">
        <f t="shared" si="444"/>
        <v>#DIV/0!</v>
      </c>
      <c r="L549" s="19" t="e">
        <f t="shared" si="444"/>
        <v>#DIV/0!</v>
      </c>
      <c r="M549" s="19" t="e">
        <f t="shared" si="444"/>
        <v>#DIV/0!</v>
      </c>
      <c r="N549" s="19" t="e">
        <f t="shared" si="444"/>
        <v>#DIV/0!</v>
      </c>
      <c r="O549" s="19" t="e">
        <f t="shared" si="444"/>
        <v>#DIV/0!</v>
      </c>
      <c r="P549" s="19" t="e">
        <f t="shared" si="444"/>
        <v>#DIV/0!</v>
      </c>
      <c r="Q549" s="19" t="e">
        <f t="shared" si="444"/>
        <v>#DIV/0!</v>
      </c>
      <c r="R549" s="25" t="e">
        <f t="shared" si="444"/>
        <v>#DIV/0!</v>
      </c>
      <c r="S549" s="21" t="e">
        <f t="shared" si="444"/>
        <v>#DIV/0!</v>
      </c>
      <c r="T549" s="22" t="e">
        <f t="shared" ref="T549" si="445">T547/T548</f>
        <v>#DIV/0!</v>
      </c>
    </row>
    <row r="550" spans="1:20" x14ac:dyDescent="0.3">
      <c r="A550" s="105"/>
      <c r="B550" s="108"/>
      <c r="C550" s="111"/>
      <c r="D550" s="111"/>
      <c r="E550" s="115"/>
      <c r="F550" s="31" t="s">
        <v>33</v>
      </c>
      <c r="G550" s="23"/>
      <c r="H550" s="23"/>
      <c r="I550" s="23"/>
      <c r="J550" s="23"/>
      <c r="K550" s="9"/>
      <c r="L550" s="9"/>
      <c r="M550" s="9"/>
      <c r="N550" s="9"/>
      <c r="O550" s="9"/>
      <c r="P550" s="23"/>
      <c r="Q550" s="23"/>
      <c r="R550" s="24"/>
      <c r="S550" s="11">
        <f>SUMIF($G$4:$R$4,"&gt;=0",G550:R550)</f>
        <v>0</v>
      </c>
      <c r="T550" s="10">
        <f>SUM(G550:R550)</f>
        <v>0</v>
      </c>
    </row>
    <row r="551" spans="1:20" x14ac:dyDescent="0.3">
      <c r="A551" s="105"/>
      <c r="B551" s="108"/>
      <c r="C551" s="111"/>
      <c r="D551" s="111"/>
      <c r="E551" s="115"/>
      <c r="F551" s="32" t="s">
        <v>34</v>
      </c>
      <c r="G551" s="14"/>
      <c r="H551" s="14"/>
      <c r="I551" s="14"/>
      <c r="J551" s="14"/>
      <c r="K551" s="13"/>
      <c r="L551" s="13"/>
      <c r="M551" s="13"/>
      <c r="N551" s="13"/>
      <c r="O551" s="13"/>
      <c r="P551" s="14"/>
      <c r="Q551" s="14"/>
      <c r="R551" s="30"/>
      <c r="S551" s="16">
        <f>SUMIF($G$4:$R$4,"&gt;=0",G551:R551)</f>
        <v>0</v>
      </c>
      <c r="T551" s="17">
        <f>SUM(G551:R551)</f>
        <v>0</v>
      </c>
    </row>
    <row r="552" spans="1:20" ht="15" thickBot="1" x14ac:dyDescent="0.35">
      <c r="A552" s="117"/>
      <c r="B552" s="109"/>
      <c r="C552" s="112"/>
      <c r="D552" s="113"/>
      <c r="E552" s="116"/>
      <c r="F552" s="21" t="s">
        <v>35</v>
      </c>
      <c r="G552" s="19" t="e">
        <f>(G551-G550)/G551</f>
        <v>#DIV/0!</v>
      </c>
      <c r="H552" s="19" t="e">
        <f t="shared" ref="H552:S552" si="446">(H551-H550)/H551</f>
        <v>#DIV/0!</v>
      </c>
      <c r="I552" s="19" t="e">
        <f t="shared" si="446"/>
        <v>#DIV/0!</v>
      </c>
      <c r="J552" s="19" t="e">
        <f t="shared" si="446"/>
        <v>#DIV/0!</v>
      </c>
      <c r="K552" s="19" t="e">
        <f t="shared" si="446"/>
        <v>#DIV/0!</v>
      </c>
      <c r="L552" s="19" t="e">
        <f t="shared" si="446"/>
        <v>#DIV/0!</v>
      </c>
      <c r="M552" s="19" t="e">
        <f t="shared" si="446"/>
        <v>#DIV/0!</v>
      </c>
      <c r="N552" s="19" t="e">
        <f t="shared" si="446"/>
        <v>#DIV/0!</v>
      </c>
      <c r="O552" s="19" t="e">
        <f t="shared" si="446"/>
        <v>#DIV/0!</v>
      </c>
      <c r="P552" s="19" t="e">
        <f t="shared" si="446"/>
        <v>#DIV/0!</v>
      </c>
      <c r="Q552" s="19" t="e">
        <f t="shared" si="446"/>
        <v>#DIV/0!</v>
      </c>
      <c r="R552" s="25" t="e">
        <f t="shared" si="446"/>
        <v>#DIV/0!</v>
      </c>
      <c r="S552" s="21" t="e">
        <f t="shared" si="446"/>
        <v>#DIV/0!</v>
      </c>
      <c r="T552" s="22" t="e">
        <f t="shared" ref="T552" si="447">T551/T550</f>
        <v>#DIV/0!</v>
      </c>
    </row>
    <row r="553" spans="1:20" x14ac:dyDescent="0.3">
      <c r="A553" s="104">
        <v>51</v>
      </c>
      <c r="B553" s="107"/>
      <c r="C553" s="110"/>
      <c r="D553" s="110"/>
      <c r="E553" s="114"/>
      <c r="F553" s="11" t="s">
        <v>25</v>
      </c>
      <c r="G553" s="23"/>
      <c r="H553" s="23"/>
      <c r="I553" s="23"/>
      <c r="J553" s="23"/>
      <c r="K553" s="9"/>
      <c r="L553" s="9"/>
      <c r="M553" s="9"/>
      <c r="N553" s="9"/>
      <c r="O553" s="9"/>
      <c r="P553" s="23"/>
      <c r="Q553" s="23"/>
      <c r="R553" s="24"/>
      <c r="S553" s="11">
        <f>SUMIF($G$4:$R$4,"&gt;=0",G553:R553)</f>
        <v>0</v>
      </c>
      <c r="T553" s="10">
        <f>SUM(G553:R553)</f>
        <v>0</v>
      </c>
    </row>
    <row r="554" spans="1:20" x14ac:dyDescent="0.3">
      <c r="A554" s="105"/>
      <c r="B554" s="108"/>
      <c r="C554" s="111"/>
      <c r="D554" s="111"/>
      <c r="E554" s="115"/>
      <c r="F554" s="12" t="s">
        <v>26</v>
      </c>
      <c r="G554" s="14"/>
      <c r="H554" s="14"/>
      <c r="I554" s="14"/>
      <c r="J554" s="14"/>
      <c r="K554" s="13"/>
      <c r="L554" s="13"/>
      <c r="M554" s="13"/>
      <c r="N554" s="13"/>
      <c r="O554" s="13"/>
      <c r="P554" s="14"/>
      <c r="Q554" s="14"/>
      <c r="R554" s="30"/>
      <c r="S554" s="16">
        <f>SUMIF($G$4:$R$4,"&gt;=0",G554:R554)</f>
        <v>0</v>
      </c>
      <c r="T554" s="17">
        <f t="shared" ref="T554" si="448">SUM(G554:R554)</f>
        <v>0</v>
      </c>
    </row>
    <row r="555" spans="1:20" ht="15" thickBot="1" x14ac:dyDescent="0.35">
      <c r="A555" s="105"/>
      <c r="B555" s="108"/>
      <c r="C555" s="111"/>
      <c r="D555" s="111"/>
      <c r="E555" s="115"/>
      <c r="F555" s="18" t="s">
        <v>27</v>
      </c>
      <c r="G555" s="19" t="e">
        <f>G554/G553</f>
        <v>#DIV/0!</v>
      </c>
      <c r="H555" s="19" t="e">
        <f t="shared" ref="H555:T555" si="449">H554/H553</f>
        <v>#DIV/0!</v>
      </c>
      <c r="I555" s="19" t="e">
        <f t="shared" si="449"/>
        <v>#DIV/0!</v>
      </c>
      <c r="J555" s="19" t="e">
        <f t="shared" si="449"/>
        <v>#DIV/0!</v>
      </c>
      <c r="K555" s="19" t="e">
        <f t="shared" si="449"/>
        <v>#DIV/0!</v>
      </c>
      <c r="L555" s="19" t="e">
        <f t="shared" si="449"/>
        <v>#DIV/0!</v>
      </c>
      <c r="M555" s="19" t="e">
        <f t="shared" si="449"/>
        <v>#DIV/0!</v>
      </c>
      <c r="N555" s="19" t="e">
        <f t="shared" si="449"/>
        <v>#DIV/0!</v>
      </c>
      <c r="O555" s="19" t="e">
        <f t="shared" si="449"/>
        <v>#DIV/0!</v>
      </c>
      <c r="P555" s="19" t="e">
        <f t="shared" si="449"/>
        <v>#DIV/0!</v>
      </c>
      <c r="Q555" s="19" t="e">
        <f t="shared" si="449"/>
        <v>#DIV/0!</v>
      </c>
      <c r="R555" s="25" t="e">
        <f t="shared" si="449"/>
        <v>#DIV/0!</v>
      </c>
      <c r="S555" s="21" t="e">
        <f t="shared" si="449"/>
        <v>#DIV/0!</v>
      </c>
      <c r="T555" s="22" t="e">
        <f t="shared" si="449"/>
        <v>#DIV/0!</v>
      </c>
    </row>
    <row r="556" spans="1:20" x14ac:dyDescent="0.3">
      <c r="A556" s="105"/>
      <c r="B556" s="108"/>
      <c r="C556" s="111"/>
      <c r="D556" s="111"/>
      <c r="E556" s="115"/>
      <c r="F556" s="11" t="s">
        <v>28</v>
      </c>
      <c r="G556" s="23"/>
      <c r="H556" s="23"/>
      <c r="I556" s="23"/>
      <c r="J556" s="23"/>
      <c r="K556" s="9"/>
      <c r="L556" s="9"/>
      <c r="M556" s="9"/>
      <c r="N556" s="9"/>
      <c r="O556" s="9"/>
      <c r="P556" s="23"/>
      <c r="Q556" s="23"/>
      <c r="R556" s="24"/>
      <c r="S556" s="11">
        <f>SUMIF($G$4:$R$4,"&gt;=0",G556:R556)</f>
        <v>0</v>
      </c>
      <c r="T556" s="10">
        <f>SUM(G556:R556)</f>
        <v>0</v>
      </c>
    </row>
    <row r="557" spans="1:20" ht="15" thickBot="1" x14ac:dyDescent="0.35">
      <c r="A557" s="105"/>
      <c r="B557" s="108"/>
      <c r="C557" s="111"/>
      <c r="D557" s="111"/>
      <c r="E557" s="115"/>
      <c r="F557" s="18" t="s">
        <v>29</v>
      </c>
      <c r="G557" s="19" t="e">
        <f>(G554-G556)/G554</f>
        <v>#DIV/0!</v>
      </c>
      <c r="H557" s="19" t="e">
        <f t="shared" ref="H557:S557" si="450">(H554-H556)/H554</f>
        <v>#DIV/0!</v>
      </c>
      <c r="I557" s="19" t="e">
        <f t="shared" si="450"/>
        <v>#DIV/0!</v>
      </c>
      <c r="J557" s="19" t="e">
        <f t="shared" si="450"/>
        <v>#DIV/0!</v>
      </c>
      <c r="K557" s="19" t="e">
        <f t="shared" si="450"/>
        <v>#DIV/0!</v>
      </c>
      <c r="L557" s="19" t="e">
        <f t="shared" si="450"/>
        <v>#DIV/0!</v>
      </c>
      <c r="M557" s="19" t="e">
        <f t="shared" si="450"/>
        <v>#DIV/0!</v>
      </c>
      <c r="N557" s="19" t="e">
        <f t="shared" si="450"/>
        <v>#DIV/0!</v>
      </c>
      <c r="O557" s="19" t="e">
        <f t="shared" si="450"/>
        <v>#DIV/0!</v>
      </c>
      <c r="P557" s="19" t="e">
        <f t="shared" si="450"/>
        <v>#DIV/0!</v>
      </c>
      <c r="Q557" s="19" t="e">
        <f t="shared" si="450"/>
        <v>#DIV/0!</v>
      </c>
      <c r="R557" s="25" t="e">
        <f t="shared" si="450"/>
        <v>#DIV/0!</v>
      </c>
      <c r="S557" s="21" t="e">
        <f t="shared" si="450"/>
        <v>#DIV/0!</v>
      </c>
      <c r="T557" s="22" t="e">
        <f t="shared" ref="T557" si="451">T554/T556</f>
        <v>#DIV/0!</v>
      </c>
    </row>
    <row r="558" spans="1:20" x14ac:dyDescent="0.3">
      <c r="A558" s="105"/>
      <c r="B558" s="108"/>
      <c r="C558" s="111"/>
      <c r="D558" s="111"/>
      <c r="E558" s="115"/>
      <c r="F558" s="26" t="s">
        <v>30</v>
      </c>
      <c r="G558" s="23"/>
      <c r="H558" s="23"/>
      <c r="I558" s="23"/>
      <c r="J558" s="23"/>
      <c r="K558" s="9"/>
      <c r="L558" s="9"/>
      <c r="M558" s="9"/>
      <c r="N558" s="9"/>
      <c r="O558" s="9"/>
      <c r="P558" s="23"/>
      <c r="Q558" s="23"/>
      <c r="R558" s="24"/>
      <c r="S558" s="11">
        <f>SUMIF($G$4:$R$4,"&gt;=0",G558:R558)</f>
        <v>0</v>
      </c>
      <c r="T558" s="10">
        <f>SUM(G558:R558)</f>
        <v>0</v>
      </c>
    </row>
    <row r="559" spans="1:20" x14ac:dyDescent="0.3">
      <c r="A559" s="105"/>
      <c r="B559" s="108"/>
      <c r="C559" s="111"/>
      <c r="D559" s="111"/>
      <c r="E559" s="115"/>
      <c r="F559" s="29" t="s">
        <v>31</v>
      </c>
      <c r="G559" s="14"/>
      <c r="H559" s="14"/>
      <c r="I559" s="14"/>
      <c r="J559" s="14"/>
      <c r="K559" s="13"/>
      <c r="L559" s="13"/>
      <c r="M559" s="13"/>
      <c r="N559" s="13"/>
      <c r="O559" s="13"/>
      <c r="P559" s="14"/>
      <c r="Q559" s="14"/>
      <c r="R559" s="30"/>
      <c r="S559" s="16">
        <f>SUMIF($G$4:$R$4,"&gt;=0",G559:R559)</f>
        <v>0</v>
      </c>
      <c r="T559" s="17">
        <f t="shared" ref="T559" si="452">SUM(G559:R559)</f>
        <v>0</v>
      </c>
    </row>
    <row r="560" spans="1:20" ht="15" thickBot="1" x14ac:dyDescent="0.35">
      <c r="A560" s="105"/>
      <c r="B560" s="108"/>
      <c r="C560" s="111"/>
      <c r="D560" s="111"/>
      <c r="E560" s="115"/>
      <c r="F560" s="18" t="s">
        <v>32</v>
      </c>
      <c r="G560" s="19" t="e">
        <f>(G558-G559)/G558</f>
        <v>#DIV/0!</v>
      </c>
      <c r="H560" s="19" t="e">
        <f t="shared" ref="H560:S560" si="453">(H558-H559)/H558</f>
        <v>#DIV/0!</v>
      </c>
      <c r="I560" s="19" t="e">
        <f t="shared" si="453"/>
        <v>#DIV/0!</v>
      </c>
      <c r="J560" s="19" t="e">
        <f t="shared" si="453"/>
        <v>#DIV/0!</v>
      </c>
      <c r="K560" s="19" t="e">
        <f t="shared" si="453"/>
        <v>#DIV/0!</v>
      </c>
      <c r="L560" s="19" t="e">
        <f t="shared" si="453"/>
        <v>#DIV/0!</v>
      </c>
      <c r="M560" s="19" t="e">
        <f t="shared" si="453"/>
        <v>#DIV/0!</v>
      </c>
      <c r="N560" s="19" t="e">
        <f t="shared" si="453"/>
        <v>#DIV/0!</v>
      </c>
      <c r="O560" s="19" t="e">
        <f t="shared" si="453"/>
        <v>#DIV/0!</v>
      </c>
      <c r="P560" s="19" t="e">
        <f t="shared" si="453"/>
        <v>#DIV/0!</v>
      </c>
      <c r="Q560" s="19" t="e">
        <f t="shared" si="453"/>
        <v>#DIV/0!</v>
      </c>
      <c r="R560" s="25" t="e">
        <f t="shared" si="453"/>
        <v>#DIV/0!</v>
      </c>
      <c r="S560" s="21" t="e">
        <f t="shared" si="453"/>
        <v>#DIV/0!</v>
      </c>
      <c r="T560" s="22" t="e">
        <f t="shared" ref="T560" si="454">T558/T559</f>
        <v>#DIV/0!</v>
      </c>
    </row>
    <row r="561" spans="1:20" x14ac:dyDescent="0.3">
      <c r="A561" s="105"/>
      <c r="B561" s="108"/>
      <c r="C561" s="111"/>
      <c r="D561" s="111"/>
      <c r="E561" s="115"/>
      <c r="F561" s="31" t="s">
        <v>33</v>
      </c>
      <c r="G561" s="23"/>
      <c r="H561" s="23"/>
      <c r="I561" s="23"/>
      <c r="J561" s="23"/>
      <c r="K561" s="9"/>
      <c r="L561" s="9"/>
      <c r="M561" s="9"/>
      <c r="N561" s="9"/>
      <c r="O561" s="9"/>
      <c r="P561" s="23"/>
      <c r="Q561" s="23"/>
      <c r="R561" s="24"/>
      <c r="S561" s="11">
        <f>SUMIF($G$4:$R$4,"&gt;=0",G561:R561)</f>
        <v>0</v>
      </c>
      <c r="T561" s="10">
        <f>SUM(G561:R561)</f>
        <v>0</v>
      </c>
    </row>
    <row r="562" spans="1:20" x14ac:dyDescent="0.3">
      <c r="A562" s="105"/>
      <c r="B562" s="108"/>
      <c r="C562" s="111"/>
      <c r="D562" s="111"/>
      <c r="E562" s="115"/>
      <c r="F562" s="32" t="s">
        <v>34</v>
      </c>
      <c r="G562" s="14"/>
      <c r="H562" s="14"/>
      <c r="I562" s="14"/>
      <c r="J562" s="14"/>
      <c r="K562" s="13"/>
      <c r="L562" s="13"/>
      <c r="M562" s="13"/>
      <c r="N562" s="13"/>
      <c r="O562" s="13"/>
      <c r="P562" s="14"/>
      <c r="Q562" s="14"/>
      <c r="R562" s="30"/>
      <c r="S562" s="16">
        <f>SUMIF($G$4:$R$4,"&gt;=0",G562:R562)</f>
        <v>0</v>
      </c>
      <c r="T562" s="17">
        <f>SUM(G562:R562)</f>
        <v>0</v>
      </c>
    </row>
    <row r="563" spans="1:20" ht="15" thickBot="1" x14ac:dyDescent="0.35">
      <c r="A563" s="106"/>
      <c r="B563" s="109"/>
      <c r="C563" s="112"/>
      <c r="D563" s="113"/>
      <c r="E563" s="116"/>
      <c r="F563" s="21" t="s">
        <v>35</v>
      </c>
      <c r="G563" s="19" t="e">
        <f>(G562-G561)/G562</f>
        <v>#DIV/0!</v>
      </c>
      <c r="H563" s="19" t="e">
        <f t="shared" ref="H563:S563" si="455">(H562-H561)/H562</f>
        <v>#DIV/0!</v>
      </c>
      <c r="I563" s="19" t="e">
        <f t="shared" si="455"/>
        <v>#DIV/0!</v>
      </c>
      <c r="J563" s="19" t="e">
        <f t="shared" si="455"/>
        <v>#DIV/0!</v>
      </c>
      <c r="K563" s="19" t="e">
        <f t="shared" si="455"/>
        <v>#DIV/0!</v>
      </c>
      <c r="L563" s="19" t="e">
        <f t="shared" si="455"/>
        <v>#DIV/0!</v>
      </c>
      <c r="M563" s="19" t="e">
        <f t="shared" si="455"/>
        <v>#DIV/0!</v>
      </c>
      <c r="N563" s="19" t="e">
        <f t="shared" si="455"/>
        <v>#DIV/0!</v>
      </c>
      <c r="O563" s="19" t="e">
        <f t="shared" si="455"/>
        <v>#DIV/0!</v>
      </c>
      <c r="P563" s="19" t="e">
        <f t="shared" si="455"/>
        <v>#DIV/0!</v>
      </c>
      <c r="Q563" s="19" t="e">
        <f t="shared" si="455"/>
        <v>#DIV/0!</v>
      </c>
      <c r="R563" s="25" t="e">
        <f t="shared" si="455"/>
        <v>#DIV/0!</v>
      </c>
      <c r="S563" s="21" t="e">
        <f t="shared" si="455"/>
        <v>#DIV/0!</v>
      </c>
      <c r="T563" s="22" t="e">
        <f t="shared" ref="T563" si="456">T562/T561</f>
        <v>#DIV/0!</v>
      </c>
    </row>
    <row r="564" spans="1:20" x14ac:dyDescent="0.3">
      <c r="A564" s="104">
        <v>52</v>
      </c>
      <c r="B564" s="107"/>
      <c r="C564" s="110"/>
      <c r="D564" s="110"/>
      <c r="E564" s="114"/>
      <c r="F564" s="11" t="s">
        <v>25</v>
      </c>
      <c r="G564" s="23"/>
      <c r="H564" s="23"/>
      <c r="I564" s="23"/>
      <c r="J564" s="23"/>
      <c r="K564" s="9"/>
      <c r="L564" s="9"/>
      <c r="M564" s="9"/>
      <c r="N564" s="9"/>
      <c r="O564" s="9"/>
      <c r="P564" s="23"/>
      <c r="Q564" s="23"/>
      <c r="R564" s="24"/>
      <c r="S564" s="11">
        <f>SUMIF($G$4:$R$4,"&gt;=0",G564:R564)</f>
        <v>0</v>
      </c>
      <c r="T564" s="10">
        <f>SUM(G564:R564)</f>
        <v>0</v>
      </c>
    </row>
    <row r="565" spans="1:20" x14ac:dyDescent="0.3">
      <c r="A565" s="105"/>
      <c r="B565" s="108"/>
      <c r="C565" s="111"/>
      <c r="D565" s="111"/>
      <c r="E565" s="115"/>
      <c r="F565" s="12" t="s">
        <v>26</v>
      </c>
      <c r="G565" s="14"/>
      <c r="H565" s="14"/>
      <c r="I565" s="14"/>
      <c r="J565" s="14"/>
      <c r="K565" s="13"/>
      <c r="L565" s="13"/>
      <c r="M565" s="13"/>
      <c r="N565" s="13"/>
      <c r="O565" s="13"/>
      <c r="P565" s="14"/>
      <c r="Q565" s="14"/>
      <c r="R565" s="30"/>
      <c r="S565" s="16">
        <f>SUMIF($G$4:$R$4,"&gt;=0",G565:R565)</f>
        <v>0</v>
      </c>
      <c r="T565" s="17">
        <f t="shared" ref="T565" si="457">SUM(G565:R565)</f>
        <v>0</v>
      </c>
    </row>
    <row r="566" spans="1:20" ht="15" thickBot="1" x14ac:dyDescent="0.35">
      <c r="A566" s="105"/>
      <c r="B566" s="108"/>
      <c r="C566" s="111"/>
      <c r="D566" s="111"/>
      <c r="E566" s="115"/>
      <c r="F566" s="18" t="s">
        <v>27</v>
      </c>
      <c r="G566" s="19" t="e">
        <f>G565/G564</f>
        <v>#DIV/0!</v>
      </c>
      <c r="H566" s="19" t="e">
        <f t="shared" ref="H566:T566" si="458">H565/H564</f>
        <v>#DIV/0!</v>
      </c>
      <c r="I566" s="19" t="e">
        <f t="shared" si="458"/>
        <v>#DIV/0!</v>
      </c>
      <c r="J566" s="19" t="e">
        <f t="shared" si="458"/>
        <v>#DIV/0!</v>
      </c>
      <c r="K566" s="19" t="e">
        <f t="shared" si="458"/>
        <v>#DIV/0!</v>
      </c>
      <c r="L566" s="19" t="e">
        <f t="shared" si="458"/>
        <v>#DIV/0!</v>
      </c>
      <c r="M566" s="19" t="e">
        <f t="shared" si="458"/>
        <v>#DIV/0!</v>
      </c>
      <c r="N566" s="19" t="e">
        <f t="shared" si="458"/>
        <v>#DIV/0!</v>
      </c>
      <c r="O566" s="19" t="e">
        <f t="shared" si="458"/>
        <v>#DIV/0!</v>
      </c>
      <c r="P566" s="19" t="e">
        <f t="shared" si="458"/>
        <v>#DIV/0!</v>
      </c>
      <c r="Q566" s="19" t="e">
        <f t="shared" si="458"/>
        <v>#DIV/0!</v>
      </c>
      <c r="R566" s="25" t="e">
        <f t="shared" si="458"/>
        <v>#DIV/0!</v>
      </c>
      <c r="S566" s="21" t="e">
        <f t="shared" si="458"/>
        <v>#DIV/0!</v>
      </c>
      <c r="T566" s="22" t="e">
        <f t="shared" si="458"/>
        <v>#DIV/0!</v>
      </c>
    </row>
    <row r="567" spans="1:20" x14ac:dyDescent="0.3">
      <c r="A567" s="105"/>
      <c r="B567" s="108"/>
      <c r="C567" s="111"/>
      <c r="D567" s="111"/>
      <c r="E567" s="115"/>
      <c r="F567" s="11" t="s">
        <v>28</v>
      </c>
      <c r="G567" s="23"/>
      <c r="H567" s="23"/>
      <c r="I567" s="23"/>
      <c r="J567" s="23"/>
      <c r="K567" s="9"/>
      <c r="L567" s="9"/>
      <c r="M567" s="9"/>
      <c r="N567" s="9"/>
      <c r="O567" s="9"/>
      <c r="P567" s="23"/>
      <c r="Q567" s="23"/>
      <c r="R567" s="24"/>
      <c r="S567" s="11">
        <f>SUMIF($G$4:$R$4,"&gt;=0",G567:R567)</f>
        <v>0</v>
      </c>
      <c r="T567" s="10">
        <f>SUM(G567:R567)</f>
        <v>0</v>
      </c>
    </row>
    <row r="568" spans="1:20" ht="15" thickBot="1" x14ac:dyDescent="0.35">
      <c r="A568" s="105"/>
      <c r="B568" s="108"/>
      <c r="C568" s="111"/>
      <c r="D568" s="111"/>
      <c r="E568" s="115"/>
      <c r="F568" s="18" t="s">
        <v>29</v>
      </c>
      <c r="G568" s="19" t="e">
        <f>(G565-G567)/G565</f>
        <v>#DIV/0!</v>
      </c>
      <c r="H568" s="19" t="e">
        <f t="shared" ref="H568:S568" si="459">(H565-H567)/H565</f>
        <v>#DIV/0!</v>
      </c>
      <c r="I568" s="19" t="e">
        <f t="shared" si="459"/>
        <v>#DIV/0!</v>
      </c>
      <c r="J568" s="19" t="e">
        <f t="shared" si="459"/>
        <v>#DIV/0!</v>
      </c>
      <c r="K568" s="19" t="e">
        <f t="shared" si="459"/>
        <v>#DIV/0!</v>
      </c>
      <c r="L568" s="19" t="e">
        <f t="shared" si="459"/>
        <v>#DIV/0!</v>
      </c>
      <c r="M568" s="19" t="e">
        <f t="shared" si="459"/>
        <v>#DIV/0!</v>
      </c>
      <c r="N568" s="19" t="e">
        <f t="shared" si="459"/>
        <v>#DIV/0!</v>
      </c>
      <c r="O568" s="19" t="e">
        <f t="shared" si="459"/>
        <v>#DIV/0!</v>
      </c>
      <c r="P568" s="19" t="e">
        <f t="shared" si="459"/>
        <v>#DIV/0!</v>
      </c>
      <c r="Q568" s="19" t="e">
        <f t="shared" si="459"/>
        <v>#DIV/0!</v>
      </c>
      <c r="R568" s="25" t="e">
        <f t="shared" si="459"/>
        <v>#DIV/0!</v>
      </c>
      <c r="S568" s="21" t="e">
        <f t="shared" si="459"/>
        <v>#DIV/0!</v>
      </c>
      <c r="T568" s="22" t="e">
        <f t="shared" ref="T568" si="460">T565/T567</f>
        <v>#DIV/0!</v>
      </c>
    </row>
    <row r="569" spans="1:20" x14ac:dyDescent="0.3">
      <c r="A569" s="105"/>
      <c r="B569" s="108"/>
      <c r="C569" s="111"/>
      <c r="D569" s="111"/>
      <c r="E569" s="115"/>
      <c r="F569" s="26" t="s">
        <v>30</v>
      </c>
      <c r="G569" s="23"/>
      <c r="H569" s="23"/>
      <c r="I569" s="23"/>
      <c r="J569" s="23"/>
      <c r="K569" s="9"/>
      <c r="L569" s="9"/>
      <c r="M569" s="9"/>
      <c r="N569" s="9"/>
      <c r="O569" s="9"/>
      <c r="P569" s="23"/>
      <c r="Q569" s="23"/>
      <c r="R569" s="24"/>
      <c r="S569" s="11">
        <f>SUMIF($G$4:$R$4,"&gt;=0",G569:R569)</f>
        <v>0</v>
      </c>
      <c r="T569" s="10">
        <f>SUM(G569:R569)</f>
        <v>0</v>
      </c>
    </row>
    <row r="570" spans="1:20" x14ac:dyDescent="0.3">
      <c r="A570" s="105"/>
      <c r="B570" s="108"/>
      <c r="C570" s="111"/>
      <c r="D570" s="111"/>
      <c r="E570" s="115"/>
      <c r="F570" s="29" t="s">
        <v>31</v>
      </c>
      <c r="G570" s="14"/>
      <c r="H570" s="14"/>
      <c r="I570" s="14"/>
      <c r="J570" s="14"/>
      <c r="K570" s="13"/>
      <c r="L570" s="13"/>
      <c r="M570" s="13"/>
      <c r="N570" s="13"/>
      <c r="O570" s="13"/>
      <c r="P570" s="14"/>
      <c r="Q570" s="14"/>
      <c r="R570" s="30"/>
      <c r="S570" s="16">
        <f>SUMIF($G$4:$R$4,"&gt;=0",G570:R570)</f>
        <v>0</v>
      </c>
      <c r="T570" s="17">
        <f t="shared" ref="T570" si="461">SUM(G570:R570)</f>
        <v>0</v>
      </c>
    </row>
    <row r="571" spans="1:20" ht="15" thickBot="1" x14ac:dyDescent="0.35">
      <c r="A571" s="105"/>
      <c r="B571" s="108"/>
      <c r="C571" s="111"/>
      <c r="D571" s="111"/>
      <c r="E571" s="115"/>
      <c r="F571" s="18" t="s">
        <v>32</v>
      </c>
      <c r="G571" s="19" t="e">
        <f>(G569-G570)/G569</f>
        <v>#DIV/0!</v>
      </c>
      <c r="H571" s="19" t="e">
        <f t="shared" ref="H571:S571" si="462">(H569-H570)/H569</f>
        <v>#DIV/0!</v>
      </c>
      <c r="I571" s="19" t="e">
        <f t="shared" si="462"/>
        <v>#DIV/0!</v>
      </c>
      <c r="J571" s="19" t="e">
        <f t="shared" si="462"/>
        <v>#DIV/0!</v>
      </c>
      <c r="K571" s="19" t="e">
        <f t="shared" si="462"/>
        <v>#DIV/0!</v>
      </c>
      <c r="L571" s="19" t="e">
        <f t="shared" si="462"/>
        <v>#DIV/0!</v>
      </c>
      <c r="M571" s="19" t="e">
        <f t="shared" si="462"/>
        <v>#DIV/0!</v>
      </c>
      <c r="N571" s="19" t="e">
        <f t="shared" si="462"/>
        <v>#DIV/0!</v>
      </c>
      <c r="O571" s="19" t="e">
        <f t="shared" si="462"/>
        <v>#DIV/0!</v>
      </c>
      <c r="P571" s="19" t="e">
        <f t="shared" si="462"/>
        <v>#DIV/0!</v>
      </c>
      <c r="Q571" s="19" t="e">
        <f t="shared" si="462"/>
        <v>#DIV/0!</v>
      </c>
      <c r="R571" s="25" t="e">
        <f t="shared" si="462"/>
        <v>#DIV/0!</v>
      </c>
      <c r="S571" s="21" t="e">
        <f t="shared" si="462"/>
        <v>#DIV/0!</v>
      </c>
      <c r="T571" s="22" t="e">
        <f t="shared" ref="T571" si="463">T569/T570</f>
        <v>#DIV/0!</v>
      </c>
    </row>
    <row r="572" spans="1:20" x14ac:dyDescent="0.3">
      <c r="A572" s="105"/>
      <c r="B572" s="108"/>
      <c r="C572" s="111"/>
      <c r="D572" s="111"/>
      <c r="E572" s="115"/>
      <c r="F572" s="31" t="s">
        <v>33</v>
      </c>
      <c r="G572" s="23"/>
      <c r="H572" s="23"/>
      <c r="I572" s="23"/>
      <c r="J572" s="23"/>
      <c r="K572" s="9"/>
      <c r="L572" s="9"/>
      <c r="M572" s="9"/>
      <c r="N572" s="9"/>
      <c r="O572" s="9"/>
      <c r="P572" s="23"/>
      <c r="Q572" s="23"/>
      <c r="R572" s="24"/>
      <c r="S572" s="11">
        <f>SUMIF($G$4:$R$4,"&gt;=0",G572:R572)</f>
        <v>0</v>
      </c>
      <c r="T572" s="10">
        <f>SUM(G572:R572)</f>
        <v>0</v>
      </c>
    </row>
    <row r="573" spans="1:20" x14ac:dyDescent="0.3">
      <c r="A573" s="105"/>
      <c r="B573" s="108"/>
      <c r="C573" s="111"/>
      <c r="D573" s="111"/>
      <c r="E573" s="115"/>
      <c r="F573" s="32" t="s">
        <v>34</v>
      </c>
      <c r="G573" s="14"/>
      <c r="H573" s="14"/>
      <c r="I573" s="14"/>
      <c r="J573" s="14"/>
      <c r="K573" s="13"/>
      <c r="L573" s="13"/>
      <c r="M573" s="13"/>
      <c r="N573" s="13"/>
      <c r="O573" s="13"/>
      <c r="P573" s="14"/>
      <c r="Q573" s="14"/>
      <c r="R573" s="30"/>
      <c r="S573" s="16">
        <f>SUMIF($G$4:$R$4,"&gt;=0",G573:R573)</f>
        <v>0</v>
      </c>
      <c r="T573" s="17">
        <f>SUM(G573:R573)</f>
        <v>0</v>
      </c>
    </row>
    <row r="574" spans="1:20" ht="15" thickBot="1" x14ac:dyDescent="0.35">
      <c r="A574" s="117"/>
      <c r="B574" s="109"/>
      <c r="C574" s="112"/>
      <c r="D574" s="113"/>
      <c r="E574" s="116"/>
      <c r="F574" s="21" t="s">
        <v>35</v>
      </c>
      <c r="G574" s="19" t="e">
        <f>(G573-G572)/G573</f>
        <v>#DIV/0!</v>
      </c>
      <c r="H574" s="19" t="e">
        <f t="shared" ref="H574:S574" si="464">(H573-H572)/H573</f>
        <v>#DIV/0!</v>
      </c>
      <c r="I574" s="19" t="e">
        <f t="shared" si="464"/>
        <v>#DIV/0!</v>
      </c>
      <c r="J574" s="19" t="e">
        <f t="shared" si="464"/>
        <v>#DIV/0!</v>
      </c>
      <c r="K574" s="19" t="e">
        <f t="shared" si="464"/>
        <v>#DIV/0!</v>
      </c>
      <c r="L574" s="19" t="e">
        <f t="shared" si="464"/>
        <v>#DIV/0!</v>
      </c>
      <c r="M574" s="19" t="e">
        <f t="shared" si="464"/>
        <v>#DIV/0!</v>
      </c>
      <c r="N574" s="19" t="e">
        <f t="shared" si="464"/>
        <v>#DIV/0!</v>
      </c>
      <c r="O574" s="19" t="e">
        <f t="shared" si="464"/>
        <v>#DIV/0!</v>
      </c>
      <c r="P574" s="19" t="e">
        <f t="shared" si="464"/>
        <v>#DIV/0!</v>
      </c>
      <c r="Q574" s="19" t="e">
        <f t="shared" si="464"/>
        <v>#DIV/0!</v>
      </c>
      <c r="R574" s="25" t="e">
        <f t="shared" si="464"/>
        <v>#DIV/0!</v>
      </c>
      <c r="S574" s="21" t="e">
        <f t="shared" si="464"/>
        <v>#DIV/0!</v>
      </c>
      <c r="T574" s="22" t="e">
        <f t="shared" ref="T574" si="465">T573/T572</f>
        <v>#DIV/0!</v>
      </c>
    </row>
    <row r="575" spans="1:20" x14ac:dyDescent="0.3">
      <c r="A575" s="104">
        <v>53</v>
      </c>
      <c r="B575" s="107"/>
      <c r="C575" s="110"/>
      <c r="D575" s="110"/>
      <c r="E575" s="114"/>
      <c r="F575" s="11" t="s">
        <v>25</v>
      </c>
      <c r="G575" s="23"/>
      <c r="H575" s="23"/>
      <c r="I575" s="23"/>
      <c r="J575" s="23"/>
      <c r="K575" s="9"/>
      <c r="L575" s="9"/>
      <c r="M575" s="9"/>
      <c r="N575" s="9"/>
      <c r="O575" s="9"/>
      <c r="P575" s="23"/>
      <c r="Q575" s="23"/>
      <c r="R575" s="24"/>
      <c r="S575" s="11">
        <f>SUMIF($G$4:$R$4,"&gt;=0",G575:R575)</f>
        <v>0</v>
      </c>
      <c r="T575" s="10">
        <f>SUM(G575:R575)</f>
        <v>0</v>
      </c>
    </row>
    <row r="576" spans="1:20" x14ac:dyDescent="0.3">
      <c r="A576" s="105"/>
      <c r="B576" s="108"/>
      <c r="C576" s="111"/>
      <c r="D576" s="111"/>
      <c r="E576" s="115"/>
      <c r="F576" s="12" t="s">
        <v>26</v>
      </c>
      <c r="G576" s="14"/>
      <c r="H576" s="14"/>
      <c r="I576" s="14"/>
      <c r="J576" s="14"/>
      <c r="K576" s="13"/>
      <c r="L576" s="13"/>
      <c r="M576" s="13"/>
      <c r="N576" s="13"/>
      <c r="O576" s="13"/>
      <c r="P576" s="14"/>
      <c r="Q576" s="14"/>
      <c r="R576" s="30"/>
      <c r="S576" s="16">
        <f>SUMIF($G$4:$R$4,"&gt;=0",G576:R576)</f>
        <v>0</v>
      </c>
      <c r="T576" s="17">
        <f t="shared" ref="T576" si="466">SUM(G576:R576)</f>
        <v>0</v>
      </c>
    </row>
    <row r="577" spans="1:20" ht="15" thickBot="1" x14ac:dyDescent="0.35">
      <c r="A577" s="105"/>
      <c r="B577" s="108"/>
      <c r="C577" s="111"/>
      <c r="D577" s="111"/>
      <c r="E577" s="115"/>
      <c r="F577" s="18" t="s">
        <v>27</v>
      </c>
      <c r="G577" s="19" t="e">
        <f>G576/G575</f>
        <v>#DIV/0!</v>
      </c>
      <c r="H577" s="19" t="e">
        <f t="shared" ref="H577:T577" si="467">H576/H575</f>
        <v>#DIV/0!</v>
      </c>
      <c r="I577" s="19" t="e">
        <f t="shared" si="467"/>
        <v>#DIV/0!</v>
      </c>
      <c r="J577" s="19" t="e">
        <f t="shared" si="467"/>
        <v>#DIV/0!</v>
      </c>
      <c r="K577" s="19" t="e">
        <f t="shared" si="467"/>
        <v>#DIV/0!</v>
      </c>
      <c r="L577" s="19" t="e">
        <f t="shared" si="467"/>
        <v>#DIV/0!</v>
      </c>
      <c r="M577" s="19" t="e">
        <f t="shared" si="467"/>
        <v>#DIV/0!</v>
      </c>
      <c r="N577" s="19" t="e">
        <f t="shared" si="467"/>
        <v>#DIV/0!</v>
      </c>
      <c r="O577" s="19" t="e">
        <f t="shared" si="467"/>
        <v>#DIV/0!</v>
      </c>
      <c r="P577" s="19" t="e">
        <f t="shared" si="467"/>
        <v>#DIV/0!</v>
      </c>
      <c r="Q577" s="19" t="e">
        <f t="shared" si="467"/>
        <v>#DIV/0!</v>
      </c>
      <c r="R577" s="25" t="e">
        <f t="shared" si="467"/>
        <v>#DIV/0!</v>
      </c>
      <c r="S577" s="21" t="e">
        <f t="shared" si="467"/>
        <v>#DIV/0!</v>
      </c>
      <c r="T577" s="22" t="e">
        <f t="shared" si="467"/>
        <v>#DIV/0!</v>
      </c>
    </row>
    <row r="578" spans="1:20" x14ac:dyDescent="0.3">
      <c r="A578" s="105"/>
      <c r="B578" s="108"/>
      <c r="C578" s="111"/>
      <c r="D578" s="111"/>
      <c r="E578" s="115"/>
      <c r="F578" s="11" t="s">
        <v>28</v>
      </c>
      <c r="G578" s="23"/>
      <c r="H578" s="23"/>
      <c r="I578" s="23"/>
      <c r="J578" s="23"/>
      <c r="K578" s="9"/>
      <c r="L578" s="9"/>
      <c r="M578" s="9"/>
      <c r="N578" s="9"/>
      <c r="O578" s="9"/>
      <c r="P578" s="23"/>
      <c r="Q578" s="23"/>
      <c r="R578" s="24"/>
      <c r="S578" s="11">
        <f>SUMIF($G$4:$R$4,"&gt;=0",G578:R578)</f>
        <v>0</v>
      </c>
      <c r="T578" s="10">
        <f>SUM(G578:R578)</f>
        <v>0</v>
      </c>
    </row>
    <row r="579" spans="1:20" ht="15" thickBot="1" x14ac:dyDescent="0.35">
      <c r="A579" s="105"/>
      <c r="B579" s="108"/>
      <c r="C579" s="111"/>
      <c r="D579" s="111"/>
      <c r="E579" s="115"/>
      <c r="F579" s="18" t="s">
        <v>29</v>
      </c>
      <c r="G579" s="19" t="e">
        <f>(G576-G578)/G576</f>
        <v>#DIV/0!</v>
      </c>
      <c r="H579" s="19" t="e">
        <f t="shared" ref="H579:S579" si="468">(H576-H578)/H576</f>
        <v>#DIV/0!</v>
      </c>
      <c r="I579" s="19" t="e">
        <f t="shared" si="468"/>
        <v>#DIV/0!</v>
      </c>
      <c r="J579" s="19" t="e">
        <f t="shared" si="468"/>
        <v>#DIV/0!</v>
      </c>
      <c r="K579" s="19" t="e">
        <f t="shared" si="468"/>
        <v>#DIV/0!</v>
      </c>
      <c r="L579" s="19" t="e">
        <f t="shared" si="468"/>
        <v>#DIV/0!</v>
      </c>
      <c r="M579" s="19" t="e">
        <f t="shared" si="468"/>
        <v>#DIV/0!</v>
      </c>
      <c r="N579" s="19" t="e">
        <f t="shared" si="468"/>
        <v>#DIV/0!</v>
      </c>
      <c r="O579" s="19" t="e">
        <f t="shared" si="468"/>
        <v>#DIV/0!</v>
      </c>
      <c r="P579" s="19" t="e">
        <f t="shared" si="468"/>
        <v>#DIV/0!</v>
      </c>
      <c r="Q579" s="19" t="e">
        <f t="shared" si="468"/>
        <v>#DIV/0!</v>
      </c>
      <c r="R579" s="25" t="e">
        <f t="shared" si="468"/>
        <v>#DIV/0!</v>
      </c>
      <c r="S579" s="21" t="e">
        <f t="shared" si="468"/>
        <v>#DIV/0!</v>
      </c>
      <c r="T579" s="22" t="e">
        <f t="shared" ref="T579" si="469">T576/T578</f>
        <v>#DIV/0!</v>
      </c>
    </row>
    <row r="580" spans="1:20" x14ac:dyDescent="0.3">
      <c r="A580" s="105"/>
      <c r="B580" s="108"/>
      <c r="C580" s="111"/>
      <c r="D580" s="111"/>
      <c r="E580" s="115"/>
      <c r="F580" s="26" t="s">
        <v>30</v>
      </c>
      <c r="G580" s="23"/>
      <c r="H580" s="23"/>
      <c r="I580" s="23"/>
      <c r="J580" s="23"/>
      <c r="K580" s="9"/>
      <c r="L580" s="9"/>
      <c r="M580" s="9"/>
      <c r="N580" s="9"/>
      <c r="O580" s="9"/>
      <c r="P580" s="23"/>
      <c r="Q580" s="23"/>
      <c r="R580" s="24"/>
      <c r="S580" s="11">
        <f>SUMIF($G$4:$R$4,"&gt;=0",G580:R580)</f>
        <v>0</v>
      </c>
      <c r="T580" s="10">
        <f>SUM(G580:R580)</f>
        <v>0</v>
      </c>
    </row>
    <row r="581" spans="1:20" x14ac:dyDescent="0.3">
      <c r="A581" s="105"/>
      <c r="B581" s="108"/>
      <c r="C581" s="111"/>
      <c r="D581" s="111"/>
      <c r="E581" s="115"/>
      <c r="F581" s="29" t="s">
        <v>31</v>
      </c>
      <c r="G581" s="14"/>
      <c r="H581" s="14"/>
      <c r="I581" s="14"/>
      <c r="J581" s="14"/>
      <c r="K581" s="13"/>
      <c r="L581" s="13"/>
      <c r="M581" s="13"/>
      <c r="N581" s="13"/>
      <c r="O581" s="13"/>
      <c r="P581" s="14"/>
      <c r="Q581" s="14"/>
      <c r="R581" s="30"/>
      <c r="S581" s="16">
        <f>SUMIF($G$4:$R$4,"&gt;=0",G581:R581)</f>
        <v>0</v>
      </c>
      <c r="T581" s="17">
        <f t="shared" ref="T581" si="470">SUM(G581:R581)</f>
        <v>0</v>
      </c>
    </row>
    <row r="582" spans="1:20" ht="15" thickBot="1" x14ac:dyDescent="0.35">
      <c r="A582" s="105"/>
      <c r="B582" s="108"/>
      <c r="C582" s="111"/>
      <c r="D582" s="111"/>
      <c r="E582" s="115"/>
      <c r="F582" s="18" t="s">
        <v>32</v>
      </c>
      <c r="G582" s="19" t="e">
        <f>(G580-G581)/G580</f>
        <v>#DIV/0!</v>
      </c>
      <c r="H582" s="19" t="e">
        <f t="shared" ref="H582:S582" si="471">(H580-H581)/H580</f>
        <v>#DIV/0!</v>
      </c>
      <c r="I582" s="19" t="e">
        <f t="shared" si="471"/>
        <v>#DIV/0!</v>
      </c>
      <c r="J582" s="19" t="e">
        <f t="shared" si="471"/>
        <v>#DIV/0!</v>
      </c>
      <c r="K582" s="19" t="e">
        <f t="shared" si="471"/>
        <v>#DIV/0!</v>
      </c>
      <c r="L582" s="19" t="e">
        <f t="shared" si="471"/>
        <v>#DIV/0!</v>
      </c>
      <c r="M582" s="19" t="e">
        <f t="shared" si="471"/>
        <v>#DIV/0!</v>
      </c>
      <c r="N582" s="19" t="e">
        <f t="shared" si="471"/>
        <v>#DIV/0!</v>
      </c>
      <c r="O582" s="19" t="e">
        <f t="shared" si="471"/>
        <v>#DIV/0!</v>
      </c>
      <c r="P582" s="19" t="e">
        <f t="shared" si="471"/>
        <v>#DIV/0!</v>
      </c>
      <c r="Q582" s="19" t="e">
        <f t="shared" si="471"/>
        <v>#DIV/0!</v>
      </c>
      <c r="R582" s="25" t="e">
        <f t="shared" si="471"/>
        <v>#DIV/0!</v>
      </c>
      <c r="S582" s="21" t="e">
        <f t="shared" si="471"/>
        <v>#DIV/0!</v>
      </c>
      <c r="T582" s="22" t="e">
        <f t="shared" ref="T582" si="472">T580/T581</f>
        <v>#DIV/0!</v>
      </c>
    </row>
    <row r="583" spans="1:20" x14ac:dyDescent="0.3">
      <c r="A583" s="105"/>
      <c r="B583" s="108"/>
      <c r="C583" s="111"/>
      <c r="D583" s="111"/>
      <c r="E583" s="115"/>
      <c r="F583" s="31" t="s">
        <v>33</v>
      </c>
      <c r="G583" s="23"/>
      <c r="H583" s="23"/>
      <c r="I583" s="23"/>
      <c r="J583" s="23"/>
      <c r="K583" s="9"/>
      <c r="L583" s="9"/>
      <c r="M583" s="9"/>
      <c r="N583" s="9"/>
      <c r="O583" s="9"/>
      <c r="P583" s="23"/>
      <c r="Q583" s="23"/>
      <c r="R583" s="24"/>
      <c r="S583" s="11">
        <f>SUMIF($G$4:$R$4,"&gt;=0",G583:R583)</f>
        <v>0</v>
      </c>
      <c r="T583" s="10">
        <f>SUM(G583:R583)</f>
        <v>0</v>
      </c>
    </row>
    <row r="584" spans="1:20" x14ac:dyDescent="0.3">
      <c r="A584" s="105"/>
      <c r="B584" s="108"/>
      <c r="C584" s="111"/>
      <c r="D584" s="111"/>
      <c r="E584" s="115"/>
      <c r="F584" s="32" t="s">
        <v>34</v>
      </c>
      <c r="G584" s="14"/>
      <c r="H584" s="14"/>
      <c r="I584" s="14"/>
      <c r="J584" s="14"/>
      <c r="K584" s="13"/>
      <c r="L584" s="13"/>
      <c r="M584" s="13"/>
      <c r="N584" s="13"/>
      <c r="O584" s="13"/>
      <c r="P584" s="14"/>
      <c r="Q584" s="14"/>
      <c r="R584" s="30"/>
      <c r="S584" s="16">
        <f>SUMIF($G$4:$R$4,"&gt;=0",G584:R584)</f>
        <v>0</v>
      </c>
      <c r="T584" s="17">
        <f>SUM(G584:R584)</f>
        <v>0</v>
      </c>
    </row>
    <row r="585" spans="1:20" ht="15" thickBot="1" x14ac:dyDescent="0.35">
      <c r="A585" s="117"/>
      <c r="B585" s="109"/>
      <c r="C585" s="112"/>
      <c r="D585" s="113"/>
      <c r="E585" s="116"/>
      <c r="F585" s="21" t="s">
        <v>35</v>
      </c>
      <c r="G585" s="19" t="e">
        <f>(G584-G583)/G584</f>
        <v>#DIV/0!</v>
      </c>
      <c r="H585" s="19" t="e">
        <f t="shared" ref="H585:S585" si="473">(H584-H583)/H584</f>
        <v>#DIV/0!</v>
      </c>
      <c r="I585" s="19" t="e">
        <f t="shared" si="473"/>
        <v>#DIV/0!</v>
      </c>
      <c r="J585" s="19" t="e">
        <f t="shared" si="473"/>
        <v>#DIV/0!</v>
      </c>
      <c r="K585" s="19" t="e">
        <f t="shared" si="473"/>
        <v>#DIV/0!</v>
      </c>
      <c r="L585" s="19" t="e">
        <f t="shared" si="473"/>
        <v>#DIV/0!</v>
      </c>
      <c r="M585" s="19" t="e">
        <f t="shared" si="473"/>
        <v>#DIV/0!</v>
      </c>
      <c r="N585" s="19" t="e">
        <f t="shared" si="473"/>
        <v>#DIV/0!</v>
      </c>
      <c r="O585" s="19" t="e">
        <f t="shared" si="473"/>
        <v>#DIV/0!</v>
      </c>
      <c r="P585" s="19" t="e">
        <f t="shared" si="473"/>
        <v>#DIV/0!</v>
      </c>
      <c r="Q585" s="19" t="e">
        <f t="shared" si="473"/>
        <v>#DIV/0!</v>
      </c>
      <c r="R585" s="25" t="e">
        <f t="shared" si="473"/>
        <v>#DIV/0!</v>
      </c>
      <c r="S585" s="21" t="e">
        <f t="shared" si="473"/>
        <v>#DIV/0!</v>
      </c>
      <c r="T585" s="22" t="e">
        <f t="shared" ref="T585" si="474">T584/T583</f>
        <v>#DIV/0!</v>
      </c>
    </row>
    <row r="586" spans="1:20" x14ac:dyDescent="0.3">
      <c r="A586" s="104">
        <v>54</v>
      </c>
      <c r="B586" s="107"/>
      <c r="C586" s="110"/>
      <c r="D586" s="110"/>
      <c r="E586" s="114"/>
      <c r="F586" s="11" t="s">
        <v>25</v>
      </c>
      <c r="G586" s="23"/>
      <c r="H586" s="23"/>
      <c r="I586" s="23"/>
      <c r="J586" s="23"/>
      <c r="K586" s="9"/>
      <c r="L586" s="9"/>
      <c r="M586" s="9"/>
      <c r="N586" s="9"/>
      <c r="O586" s="9"/>
      <c r="P586" s="23"/>
      <c r="Q586" s="23"/>
      <c r="R586" s="24"/>
      <c r="S586" s="11">
        <f>SUMIF($G$4:$R$4,"&gt;=0",G586:R586)</f>
        <v>0</v>
      </c>
      <c r="T586" s="10">
        <f>SUM(G586:R586)</f>
        <v>0</v>
      </c>
    </row>
    <row r="587" spans="1:20" x14ac:dyDescent="0.3">
      <c r="A587" s="105"/>
      <c r="B587" s="108"/>
      <c r="C587" s="111"/>
      <c r="D587" s="111"/>
      <c r="E587" s="115"/>
      <c r="F587" s="12" t="s">
        <v>26</v>
      </c>
      <c r="G587" s="14"/>
      <c r="H587" s="14"/>
      <c r="I587" s="14"/>
      <c r="J587" s="14"/>
      <c r="K587" s="13"/>
      <c r="L587" s="13"/>
      <c r="M587" s="13"/>
      <c r="N587" s="13"/>
      <c r="O587" s="13"/>
      <c r="P587" s="14"/>
      <c r="Q587" s="14"/>
      <c r="R587" s="30"/>
      <c r="S587" s="16">
        <f>SUMIF($G$4:$R$4,"&gt;=0",G587:R587)</f>
        <v>0</v>
      </c>
      <c r="T587" s="17">
        <f t="shared" ref="T587" si="475">SUM(G587:R587)</f>
        <v>0</v>
      </c>
    </row>
    <row r="588" spans="1:20" ht="15" thickBot="1" x14ac:dyDescent="0.35">
      <c r="A588" s="105"/>
      <c r="B588" s="108"/>
      <c r="C588" s="111"/>
      <c r="D588" s="111"/>
      <c r="E588" s="115"/>
      <c r="F588" s="18" t="s">
        <v>27</v>
      </c>
      <c r="G588" s="19" t="e">
        <f>G587/G586</f>
        <v>#DIV/0!</v>
      </c>
      <c r="H588" s="19" t="e">
        <f t="shared" ref="H588:T588" si="476">H587/H586</f>
        <v>#DIV/0!</v>
      </c>
      <c r="I588" s="19" t="e">
        <f t="shared" si="476"/>
        <v>#DIV/0!</v>
      </c>
      <c r="J588" s="19" t="e">
        <f t="shared" si="476"/>
        <v>#DIV/0!</v>
      </c>
      <c r="K588" s="19" t="e">
        <f t="shared" si="476"/>
        <v>#DIV/0!</v>
      </c>
      <c r="L588" s="19" t="e">
        <f t="shared" si="476"/>
        <v>#DIV/0!</v>
      </c>
      <c r="M588" s="19" t="e">
        <f t="shared" si="476"/>
        <v>#DIV/0!</v>
      </c>
      <c r="N588" s="19" t="e">
        <f t="shared" si="476"/>
        <v>#DIV/0!</v>
      </c>
      <c r="O588" s="19" t="e">
        <f t="shared" si="476"/>
        <v>#DIV/0!</v>
      </c>
      <c r="P588" s="19" t="e">
        <f t="shared" si="476"/>
        <v>#DIV/0!</v>
      </c>
      <c r="Q588" s="19" t="e">
        <f t="shared" si="476"/>
        <v>#DIV/0!</v>
      </c>
      <c r="R588" s="25" t="e">
        <f t="shared" si="476"/>
        <v>#DIV/0!</v>
      </c>
      <c r="S588" s="21" t="e">
        <f t="shared" si="476"/>
        <v>#DIV/0!</v>
      </c>
      <c r="T588" s="22" t="e">
        <f t="shared" si="476"/>
        <v>#DIV/0!</v>
      </c>
    </row>
    <row r="589" spans="1:20" x14ac:dyDescent="0.3">
      <c r="A589" s="105"/>
      <c r="B589" s="108"/>
      <c r="C589" s="111"/>
      <c r="D589" s="111"/>
      <c r="E589" s="115"/>
      <c r="F589" s="11" t="s">
        <v>28</v>
      </c>
      <c r="G589" s="23"/>
      <c r="H589" s="23"/>
      <c r="I589" s="23"/>
      <c r="J589" s="23"/>
      <c r="K589" s="9"/>
      <c r="L589" s="9"/>
      <c r="M589" s="9"/>
      <c r="N589" s="9"/>
      <c r="O589" s="9"/>
      <c r="P589" s="23"/>
      <c r="Q589" s="23"/>
      <c r="R589" s="24"/>
      <c r="S589" s="11">
        <f>SUMIF($G$4:$R$4,"&gt;=0",G589:R589)</f>
        <v>0</v>
      </c>
      <c r="T589" s="10">
        <f>SUM(G589:R589)</f>
        <v>0</v>
      </c>
    </row>
    <row r="590" spans="1:20" ht="15" thickBot="1" x14ac:dyDescent="0.35">
      <c r="A590" s="105"/>
      <c r="B590" s="108"/>
      <c r="C590" s="111"/>
      <c r="D590" s="111"/>
      <c r="E590" s="115"/>
      <c r="F590" s="18" t="s">
        <v>29</v>
      </c>
      <c r="G590" s="19" t="e">
        <f>(G587-G589)/G587</f>
        <v>#DIV/0!</v>
      </c>
      <c r="H590" s="19" t="e">
        <f t="shared" ref="H590:S590" si="477">(H587-H589)/H587</f>
        <v>#DIV/0!</v>
      </c>
      <c r="I590" s="19" t="e">
        <f t="shared" si="477"/>
        <v>#DIV/0!</v>
      </c>
      <c r="J590" s="19" t="e">
        <f t="shared" si="477"/>
        <v>#DIV/0!</v>
      </c>
      <c r="K590" s="19" t="e">
        <f t="shared" si="477"/>
        <v>#DIV/0!</v>
      </c>
      <c r="L590" s="19" t="e">
        <f t="shared" si="477"/>
        <v>#DIV/0!</v>
      </c>
      <c r="M590" s="19" t="e">
        <f t="shared" si="477"/>
        <v>#DIV/0!</v>
      </c>
      <c r="N590" s="19" t="e">
        <f t="shared" si="477"/>
        <v>#DIV/0!</v>
      </c>
      <c r="O590" s="19" t="e">
        <f t="shared" si="477"/>
        <v>#DIV/0!</v>
      </c>
      <c r="P590" s="19" t="e">
        <f t="shared" si="477"/>
        <v>#DIV/0!</v>
      </c>
      <c r="Q590" s="19" t="e">
        <f t="shared" si="477"/>
        <v>#DIV/0!</v>
      </c>
      <c r="R590" s="25" t="e">
        <f t="shared" si="477"/>
        <v>#DIV/0!</v>
      </c>
      <c r="S590" s="21" t="e">
        <f t="shared" si="477"/>
        <v>#DIV/0!</v>
      </c>
      <c r="T590" s="22" t="e">
        <f t="shared" ref="T590" si="478">T587/T589</f>
        <v>#DIV/0!</v>
      </c>
    </row>
    <row r="591" spans="1:20" x14ac:dyDescent="0.3">
      <c r="A591" s="105"/>
      <c r="B591" s="108"/>
      <c r="C591" s="111"/>
      <c r="D591" s="111"/>
      <c r="E591" s="115"/>
      <c r="F591" s="26" t="s">
        <v>30</v>
      </c>
      <c r="G591" s="23"/>
      <c r="H591" s="23"/>
      <c r="I591" s="23"/>
      <c r="J591" s="23"/>
      <c r="K591" s="9"/>
      <c r="L591" s="9"/>
      <c r="M591" s="9"/>
      <c r="N591" s="9"/>
      <c r="O591" s="9"/>
      <c r="P591" s="23"/>
      <c r="Q591" s="23"/>
      <c r="R591" s="24"/>
      <c r="S591" s="11">
        <f>SUMIF($G$4:$R$4,"&gt;=0",G591:R591)</f>
        <v>0</v>
      </c>
      <c r="T591" s="10">
        <f>SUM(G591:R591)</f>
        <v>0</v>
      </c>
    </row>
    <row r="592" spans="1:20" x14ac:dyDescent="0.3">
      <c r="A592" s="105"/>
      <c r="B592" s="108"/>
      <c r="C592" s="111"/>
      <c r="D592" s="111"/>
      <c r="E592" s="115"/>
      <c r="F592" s="29" t="s">
        <v>31</v>
      </c>
      <c r="G592" s="14"/>
      <c r="H592" s="14"/>
      <c r="I592" s="14"/>
      <c r="J592" s="14"/>
      <c r="K592" s="13"/>
      <c r="L592" s="13"/>
      <c r="M592" s="13"/>
      <c r="N592" s="13"/>
      <c r="O592" s="13"/>
      <c r="P592" s="14"/>
      <c r="Q592" s="14"/>
      <c r="R592" s="30"/>
      <c r="S592" s="16">
        <f>SUMIF($G$4:$R$4,"&gt;=0",G592:R592)</f>
        <v>0</v>
      </c>
      <c r="T592" s="17">
        <f t="shared" ref="T592" si="479">SUM(G592:R592)</f>
        <v>0</v>
      </c>
    </row>
    <row r="593" spans="1:20" ht="15" thickBot="1" x14ac:dyDescent="0.35">
      <c r="A593" s="105"/>
      <c r="B593" s="108"/>
      <c r="C593" s="111"/>
      <c r="D593" s="111"/>
      <c r="E593" s="115"/>
      <c r="F593" s="18" t="s">
        <v>32</v>
      </c>
      <c r="G593" s="19" t="e">
        <f>(G591-G592)/G591</f>
        <v>#DIV/0!</v>
      </c>
      <c r="H593" s="19" t="e">
        <f t="shared" ref="H593:S593" si="480">(H591-H592)/H591</f>
        <v>#DIV/0!</v>
      </c>
      <c r="I593" s="19" t="e">
        <f t="shared" si="480"/>
        <v>#DIV/0!</v>
      </c>
      <c r="J593" s="19" t="e">
        <f t="shared" si="480"/>
        <v>#DIV/0!</v>
      </c>
      <c r="K593" s="19" t="e">
        <f t="shared" si="480"/>
        <v>#DIV/0!</v>
      </c>
      <c r="L593" s="19" t="e">
        <f t="shared" si="480"/>
        <v>#DIV/0!</v>
      </c>
      <c r="M593" s="19" t="e">
        <f t="shared" si="480"/>
        <v>#DIV/0!</v>
      </c>
      <c r="N593" s="19" t="e">
        <f t="shared" si="480"/>
        <v>#DIV/0!</v>
      </c>
      <c r="O593" s="19" t="e">
        <f t="shared" si="480"/>
        <v>#DIV/0!</v>
      </c>
      <c r="P593" s="19" t="e">
        <f t="shared" si="480"/>
        <v>#DIV/0!</v>
      </c>
      <c r="Q593" s="19" t="e">
        <f t="shared" si="480"/>
        <v>#DIV/0!</v>
      </c>
      <c r="R593" s="25" t="e">
        <f t="shared" si="480"/>
        <v>#DIV/0!</v>
      </c>
      <c r="S593" s="21" t="e">
        <f t="shared" si="480"/>
        <v>#DIV/0!</v>
      </c>
      <c r="T593" s="22" t="e">
        <f t="shared" ref="T593" si="481">T591/T592</f>
        <v>#DIV/0!</v>
      </c>
    </row>
    <row r="594" spans="1:20" x14ac:dyDescent="0.3">
      <c r="A594" s="105"/>
      <c r="B594" s="108"/>
      <c r="C594" s="111"/>
      <c r="D594" s="111"/>
      <c r="E594" s="115"/>
      <c r="F594" s="31" t="s">
        <v>33</v>
      </c>
      <c r="G594" s="23"/>
      <c r="H594" s="23"/>
      <c r="I594" s="23"/>
      <c r="J594" s="23"/>
      <c r="K594" s="9"/>
      <c r="L594" s="9"/>
      <c r="M594" s="9"/>
      <c r="N594" s="9"/>
      <c r="O594" s="9"/>
      <c r="P594" s="23"/>
      <c r="Q594" s="23"/>
      <c r="R594" s="24"/>
      <c r="S594" s="11">
        <f>SUMIF($G$4:$R$4,"&gt;=0",G594:R594)</f>
        <v>0</v>
      </c>
      <c r="T594" s="10">
        <f>SUM(G594:R594)</f>
        <v>0</v>
      </c>
    </row>
    <row r="595" spans="1:20" x14ac:dyDescent="0.3">
      <c r="A595" s="105"/>
      <c r="B595" s="108"/>
      <c r="C595" s="111"/>
      <c r="D595" s="111"/>
      <c r="E595" s="115"/>
      <c r="F595" s="32" t="s">
        <v>34</v>
      </c>
      <c r="G595" s="14"/>
      <c r="H595" s="14"/>
      <c r="I595" s="14"/>
      <c r="J595" s="14"/>
      <c r="K595" s="13"/>
      <c r="L595" s="13"/>
      <c r="M595" s="13"/>
      <c r="N595" s="13"/>
      <c r="O595" s="13"/>
      <c r="P595" s="14"/>
      <c r="Q595" s="14"/>
      <c r="R595" s="30"/>
      <c r="S595" s="16">
        <f>SUMIF($G$4:$R$4,"&gt;=0",G595:R595)</f>
        <v>0</v>
      </c>
      <c r="T595" s="17">
        <f>SUM(G595:R595)</f>
        <v>0</v>
      </c>
    </row>
    <row r="596" spans="1:20" ht="15" thickBot="1" x14ac:dyDescent="0.35">
      <c r="A596" s="106"/>
      <c r="B596" s="109"/>
      <c r="C596" s="112"/>
      <c r="D596" s="113"/>
      <c r="E596" s="116"/>
      <c r="F596" s="21" t="s">
        <v>35</v>
      </c>
      <c r="G596" s="19" t="e">
        <f>(G595-G594)/G595</f>
        <v>#DIV/0!</v>
      </c>
      <c r="H596" s="19" t="e">
        <f t="shared" ref="H596:S596" si="482">(H595-H594)/H595</f>
        <v>#DIV/0!</v>
      </c>
      <c r="I596" s="19" t="e">
        <f t="shared" si="482"/>
        <v>#DIV/0!</v>
      </c>
      <c r="J596" s="19" t="e">
        <f t="shared" si="482"/>
        <v>#DIV/0!</v>
      </c>
      <c r="K596" s="19" t="e">
        <f t="shared" si="482"/>
        <v>#DIV/0!</v>
      </c>
      <c r="L596" s="19" t="e">
        <f t="shared" si="482"/>
        <v>#DIV/0!</v>
      </c>
      <c r="M596" s="19" t="e">
        <f t="shared" si="482"/>
        <v>#DIV/0!</v>
      </c>
      <c r="N596" s="19" t="e">
        <f t="shared" si="482"/>
        <v>#DIV/0!</v>
      </c>
      <c r="O596" s="19" t="e">
        <f t="shared" si="482"/>
        <v>#DIV/0!</v>
      </c>
      <c r="P596" s="19" t="e">
        <f t="shared" si="482"/>
        <v>#DIV/0!</v>
      </c>
      <c r="Q596" s="19" t="e">
        <f t="shared" si="482"/>
        <v>#DIV/0!</v>
      </c>
      <c r="R596" s="25" t="e">
        <f t="shared" si="482"/>
        <v>#DIV/0!</v>
      </c>
      <c r="S596" s="21" t="e">
        <f t="shared" si="482"/>
        <v>#DIV/0!</v>
      </c>
      <c r="T596" s="22" t="e">
        <f t="shared" ref="T596" si="483">T595/T594</f>
        <v>#DIV/0!</v>
      </c>
    </row>
    <row r="597" spans="1:20" x14ac:dyDescent="0.3">
      <c r="A597" s="104">
        <v>55</v>
      </c>
      <c r="B597" s="107"/>
      <c r="C597" s="110"/>
      <c r="D597" s="110"/>
      <c r="E597" s="114"/>
      <c r="F597" s="11" t="s">
        <v>25</v>
      </c>
      <c r="G597" s="23"/>
      <c r="H597" s="23"/>
      <c r="I597" s="23"/>
      <c r="J597" s="23"/>
      <c r="K597" s="9"/>
      <c r="L597" s="9"/>
      <c r="M597" s="9"/>
      <c r="N597" s="9"/>
      <c r="O597" s="9"/>
      <c r="P597" s="23"/>
      <c r="Q597" s="23"/>
      <c r="R597" s="24"/>
      <c r="S597" s="11">
        <f>SUMIF($G$4:$R$4,"&gt;=0",G597:R597)</f>
        <v>0</v>
      </c>
      <c r="T597" s="10">
        <f>SUM(G597:R597)</f>
        <v>0</v>
      </c>
    </row>
    <row r="598" spans="1:20" x14ac:dyDescent="0.3">
      <c r="A598" s="105"/>
      <c r="B598" s="108"/>
      <c r="C598" s="111"/>
      <c r="D598" s="111"/>
      <c r="E598" s="115"/>
      <c r="F598" s="12" t="s">
        <v>26</v>
      </c>
      <c r="G598" s="14"/>
      <c r="H598" s="14"/>
      <c r="I598" s="14"/>
      <c r="J598" s="14"/>
      <c r="K598" s="13"/>
      <c r="L598" s="13"/>
      <c r="M598" s="13"/>
      <c r="N598" s="13"/>
      <c r="O598" s="13"/>
      <c r="P598" s="14"/>
      <c r="Q598" s="14"/>
      <c r="R598" s="30"/>
      <c r="S598" s="16">
        <f>SUMIF($G$4:$R$4,"&gt;=0",G598:R598)</f>
        <v>0</v>
      </c>
      <c r="T598" s="17">
        <f t="shared" ref="T598" si="484">SUM(G598:R598)</f>
        <v>0</v>
      </c>
    </row>
    <row r="599" spans="1:20" ht="15" thickBot="1" x14ac:dyDescent="0.35">
      <c r="A599" s="105"/>
      <c r="B599" s="108"/>
      <c r="C599" s="111"/>
      <c r="D599" s="111"/>
      <c r="E599" s="115"/>
      <c r="F599" s="18" t="s">
        <v>27</v>
      </c>
      <c r="G599" s="19" t="e">
        <f>G598/G597</f>
        <v>#DIV/0!</v>
      </c>
      <c r="H599" s="19" t="e">
        <f t="shared" ref="H599:T599" si="485">H598/H597</f>
        <v>#DIV/0!</v>
      </c>
      <c r="I599" s="19" t="e">
        <f t="shared" si="485"/>
        <v>#DIV/0!</v>
      </c>
      <c r="J599" s="19" t="e">
        <f t="shared" si="485"/>
        <v>#DIV/0!</v>
      </c>
      <c r="K599" s="19" t="e">
        <f t="shared" si="485"/>
        <v>#DIV/0!</v>
      </c>
      <c r="L599" s="19" t="e">
        <f t="shared" si="485"/>
        <v>#DIV/0!</v>
      </c>
      <c r="M599" s="19" t="e">
        <f t="shared" si="485"/>
        <v>#DIV/0!</v>
      </c>
      <c r="N599" s="19" t="e">
        <f t="shared" si="485"/>
        <v>#DIV/0!</v>
      </c>
      <c r="O599" s="19" t="e">
        <f t="shared" si="485"/>
        <v>#DIV/0!</v>
      </c>
      <c r="P599" s="19" t="e">
        <f t="shared" si="485"/>
        <v>#DIV/0!</v>
      </c>
      <c r="Q599" s="19" t="e">
        <f t="shared" si="485"/>
        <v>#DIV/0!</v>
      </c>
      <c r="R599" s="25" t="e">
        <f t="shared" si="485"/>
        <v>#DIV/0!</v>
      </c>
      <c r="S599" s="21" t="e">
        <f t="shared" si="485"/>
        <v>#DIV/0!</v>
      </c>
      <c r="T599" s="22" t="e">
        <f t="shared" si="485"/>
        <v>#DIV/0!</v>
      </c>
    </row>
    <row r="600" spans="1:20" x14ac:dyDescent="0.3">
      <c r="A600" s="105"/>
      <c r="B600" s="108"/>
      <c r="C600" s="111"/>
      <c r="D600" s="111"/>
      <c r="E600" s="115"/>
      <c r="F600" s="11" t="s">
        <v>28</v>
      </c>
      <c r="G600" s="23"/>
      <c r="H600" s="23"/>
      <c r="I600" s="23"/>
      <c r="J600" s="23"/>
      <c r="K600" s="9"/>
      <c r="L600" s="9"/>
      <c r="M600" s="9"/>
      <c r="N600" s="9"/>
      <c r="O600" s="9"/>
      <c r="P600" s="23"/>
      <c r="Q600" s="23"/>
      <c r="R600" s="24"/>
      <c r="S600" s="11">
        <f>SUMIF($G$4:$R$4,"&gt;=0",G600:R600)</f>
        <v>0</v>
      </c>
      <c r="T600" s="10">
        <f>SUM(G600:R600)</f>
        <v>0</v>
      </c>
    </row>
    <row r="601" spans="1:20" ht="15" thickBot="1" x14ac:dyDescent="0.35">
      <c r="A601" s="105"/>
      <c r="B601" s="108"/>
      <c r="C601" s="111"/>
      <c r="D601" s="111"/>
      <c r="E601" s="115"/>
      <c r="F601" s="18" t="s">
        <v>29</v>
      </c>
      <c r="G601" s="19" t="e">
        <f>(G598-G600)/G598</f>
        <v>#DIV/0!</v>
      </c>
      <c r="H601" s="19" t="e">
        <f t="shared" ref="H601:S601" si="486">(H598-H600)/H598</f>
        <v>#DIV/0!</v>
      </c>
      <c r="I601" s="19" t="e">
        <f t="shared" si="486"/>
        <v>#DIV/0!</v>
      </c>
      <c r="J601" s="19" t="e">
        <f t="shared" si="486"/>
        <v>#DIV/0!</v>
      </c>
      <c r="K601" s="19" t="e">
        <f t="shared" si="486"/>
        <v>#DIV/0!</v>
      </c>
      <c r="L601" s="19" t="e">
        <f t="shared" si="486"/>
        <v>#DIV/0!</v>
      </c>
      <c r="M601" s="19" t="e">
        <f t="shared" si="486"/>
        <v>#DIV/0!</v>
      </c>
      <c r="N601" s="19" t="e">
        <f t="shared" si="486"/>
        <v>#DIV/0!</v>
      </c>
      <c r="O601" s="19" t="e">
        <f t="shared" si="486"/>
        <v>#DIV/0!</v>
      </c>
      <c r="P601" s="19" t="e">
        <f t="shared" si="486"/>
        <v>#DIV/0!</v>
      </c>
      <c r="Q601" s="19" t="e">
        <f t="shared" si="486"/>
        <v>#DIV/0!</v>
      </c>
      <c r="R601" s="25" t="e">
        <f t="shared" si="486"/>
        <v>#DIV/0!</v>
      </c>
      <c r="S601" s="21" t="e">
        <f t="shared" si="486"/>
        <v>#DIV/0!</v>
      </c>
      <c r="T601" s="22" t="e">
        <f t="shared" ref="T601" si="487">T598/T600</f>
        <v>#DIV/0!</v>
      </c>
    </row>
    <row r="602" spans="1:20" x14ac:dyDescent="0.3">
      <c r="A602" s="105"/>
      <c r="B602" s="108"/>
      <c r="C602" s="111"/>
      <c r="D602" s="111"/>
      <c r="E602" s="115"/>
      <c r="F602" s="26" t="s">
        <v>30</v>
      </c>
      <c r="G602" s="23"/>
      <c r="H602" s="23"/>
      <c r="I602" s="23"/>
      <c r="J602" s="23"/>
      <c r="K602" s="9"/>
      <c r="L602" s="9"/>
      <c r="M602" s="9"/>
      <c r="N602" s="9"/>
      <c r="O602" s="9"/>
      <c r="P602" s="23"/>
      <c r="Q602" s="23"/>
      <c r="R602" s="24"/>
      <c r="S602" s="11">
        <f>SUMIF($G$4:$R$4,"&gt;=0",G602:R602)</f>
        <v>0</v>
      </c>
      <c r="T602" s="10">
        <f>SUM(G602:R602)</f>
        <v>0</v>
      </c>
    </row>
    <row r="603" spans="1:20" x14ac:dyDescent="0.3">
      <c r="A603" s="105"/>
      <c r="B603" s="108"/>
      <c r="C603" s="111"/>
      <c r="D603" s="111"/>
      <c r="E603" s="115"/>
      <c r="F603" s="29" t="s">
        <v>31</v>
      </c>
      <c r="G603" s="14"/>
      <c r="H603" s="14"/>
      <c r="I603" s="14"/>
      <c r="J603" s="14"/>
      <c r="K603" s="13"/>
      <c r="L603" s="13"/>
      <c r="M603" s="13"/>
      <c r="N603" s="13"/>
      <c r="O603" s="13"/>
      <c r="P603" s="14"/>
      <c r="Q603" s="14"/>
      <c r="R603" s="30"/>
      <c r="S603" s="16">
        <f>SUMIF($G$4:$R$4,"&gt;=0",G603:R603)</f>
        <v>0</v>
      </c>
      <c r="T603" s="17">
        <f t="shared" ref="T603" si="488">SUM(G603:R603)</f>
        <v>0</v>
      </c>
    </row>
    <row r="604" spans="1:20" ht="15" thickBot="1" x14ac:dyDescent="0.35">
      <c r="A604" s="105"/>
      <c r="B604" s="108"/>
      <c r="C604" s="111"/>
      <c r="D604" s="111"/>
      <c r="E604" s="115"/>
      <c r="F604" s="18" t="s">
        <v>32</v>
      </c>
      <c r="G604" s="19" t="e">
        <f>(G602-G603)/G602</f>
        <v>#DIV/0!</v>
      </c>
      <c r="H604" s="19" t="e">
        <f t="shared" ref="H604:S604" si="489">(H602-H603)/H602</f>
        <v>#DIV/0!</v>
      </c>
      <c r="I604" s="19" t="e">
        <f t="shared" si="489"/>
        <v>#DIV/0!</v>
      </c>
      <c r="J604" s="19" t="e">
        <f t="shared" si="489"/>
        <v>#DIV/0!</v>
      </c>
      <c r="K604" s="19" t="e">
        <f t="shared" si="489"/>
        <v>#DIV/0!</v>
      </c>
      <c r="L604" s="19" t="e">
        <f t="shared" si="489"/>
        <v>#DIV/0!</v>
      </c>
      <c r="M604" s="19" t="e">
        <f t="shared" si="489"/>
        <v>#DIV/0!</v>
      </c>
      <c r="N604" s="19" t="e">
        <f t="shared" si="489"/>
        <v>#DIV/0!</v>
      </c>
      <c r="O604" s="19" t="e">
        <f t="shared" si="489"/>
        <v>#DIV/0!</v>
      </c>
      <c r="P604" s="19" t="e">
        <f t="shared" si="489"/>
        <v>#DIV/0!</v>
      </c>
      <c r="Q604" s="19" t="e">
        <f t="shared" si="489"/>
        <v>#DIV/0!</v>
      </c>
      <c r="R604" s="25" t="e">
        <f t="shared" si="489"/>
        <v>#DIV/0!</v>
      </c>
      <c r="S604" s="21" t="e">
        <f t="shared" si="489"/>
        <v>#DIV/0!</v>
      </c>
      <c r="T604" s="22" t="e">
        <f t="shared" ref="T604" si="490">T602/T603</f>
        <v>#DIV/0!</v>
      </c>
    </row>
    <row r="605" spans="1:20" x14ac:dyDescent="0.3">
      <c r="A605" s="105"/>
      <c r="B605" s="108"/>
      <c r="C605" s="111"/>
      <c r="D605" s="111"/>
      <c r="E605" s="115"/>
      <c r="F605" s="31" t="s">
        <v>33</v>
      </c>
      <c r="G605" s="23"/>
      <c r="H605" s="23"/>
      <c r="I605" s="23"/>
      <c r="J605" s="23"/>
      <c r="K605" s="9"/>
      <c r="L605" s="9"/>
      <c r="M605" s="9"/>
      <c r="N605" s="9"/>
      <c r="O605" s="9"/>
      <c r="P605" s="23"/>
      <c r="Q605" s="23"/>
      <c r="R605" s="24"/>
      <c r="S605" s="11">
        <f>SUMIF($G$4:$R$4,"&gt;=0",G605:R605)</f>
        <v>0</v>
      </c>
      <c r="T605" s="10">
        <f>SUM(G605:R605)</f>
        <v>0</v>
      </c>
    </row>
    <row r="606" spans="1:20" x14ac:dyDescent="0.3">
      <c r="A606" s="105"/>
      <c r="B606" s="108"/>
      <c r="C606" s="111"/>
      <c r="D606" s="111"/>
      <c r="E606" s="115"/>
      <c r="F606" s="32" t="s">
        <v>34</v>
      </c>
      <c r="G606" s="14"/>
      <c r="H606" s="14"/>
      <c r="I606" s="14"/>
      <c r="J606" s="14"/>
      <c r="K606" s="13"/>
      <c r="L606" s="13"/>
      <c r="M606" s="13"/>
      <c r="N606" s="13"/>
      <c r="O606" s="13"/>
      <c r="P606" s="14"/>
      <c r="Q606" s="14"/>
      <c r="R606" s="30"/>
      <c r="S606" s="16">
        <f>SUMIF($G$4:$R$4,"&gt;=0",G606:R606)</f>
        <v>0</v>
      </c>
      <c r="T606" s="17">
        <f>SUM(G606:R606)</f>
        <v>0</v>
      </c>
    </row>
    <row r="607" spans="1:20" ht="15" thickBot="1" x14ac:dyDescent="0.35">
      <c r="A607" s="117"/>
      <c r="B607" s="109"/>
      <c r="C607" s="112"/>
      <c r="D607" s="113"/>
      <c r="E607" s="116"/>
      <c r="F607" s="21" t="s">
        <v>35</v>
      </c>
      <c r="G607" s="19" t="e">
        <f>(G606-G605)/G606</f>
        <v>#DIV/0!</v>
      </c>
      <c r="H607" s="19" t="e">
        <f t="shared" ref="H607:S607" si="491">(H606-H605)/H606</f>
        <v>#DIV/0!</v>
      </c>
      <c r="I607" s="19" t="e">
        <f t="shared" si="491"/>
        <v>#DIV/0!</v>
      </c>
      <c r="J607" s="19" t="e">
        <f t="shared" si="491"/>
        <v>#DIV/0!</v>
      </c>
      <c r="K607" s="19" t="e">
        <f t="shared" si="491"/>
        <v>#DIV/0!</v>
      </c>
      <c r="L607" s="19" t="e">
        <f t="shared" si="491"/>
        <v>#DIV/0!</v>
      </c>
      <c r="M607" s="19" t="e">
        <f t="shared" si="491"/>
        <v>#DIV/0!</v>
      </c>
      <c r="N607" s="19" t="e">
        <f t="shared" si="491"/>
        <v>#DIV/0!</v>
      </c>
      <c r="O607" s="19" t="e">
        <f t="shared" si="491"/>
        <v>#DIV/0!</v>
      </c>
      <c r="P607" s="19" t="e">
        <f t="shared" si="491"/>
        <v>#DIV/0!</v>
      </c>
      <c r="Q607" s="19" t="e">
        <f t="shared" si="491"/>
        <v>#DIV/0!</v>
      </c>
      <c r="R607" s="25" t="e">
        <f t="shared" si="491"/>
        <v>#DIV/0!</v>
      </c>
      <c r="S607" s="21" t="e">
        <f t="shared" si="491"/>
        <v>#DIV/0!</v>
      </c>
      <c r="T607" s="22" t="e">
        <f t="shared" ref="T607" si="492">T606/T605</f>
        <v>#DIV/0!</v>
      </c>
    </row>
    <row r="608" spans="1:20" x14ac:dyDescent="0.3">
      <c r="A608" s="104">
        <v>56</v>
      </c>
      <c r="B608" s="107"/>
      <c r="C608" s="110"/>
      <c r="D608" s="110"/>
      <c r="E608" s="114"/>
      <c r="F608" s="11" t="s">
        <v>25</v>
      </c>
      <c r="G608" s="23"/>
      <c r="H608" s="23"/>
      <c r="I608" s="23"/>
      <c r="J608" s="23"/>
      <c r="K608" s="9"/>
      <c r="L608" s="9"/>
      <c r="M608" s="9"/>
      <c r="N608" s="9"/>
      <c r="O608" s="9"/>
      <c r="P608" s="23"/>
      <c r="Q608" s="23"/>
      <c r="R608" s="24"/>
      <c r="S608" s="11">
        <f>SUMIF($G$4:$R$4,"&gt;=0",G608:R608)</f>
        <v>0</v>
      </c>
      <c r="T608" s="10">
        <f>SUM(G608:R608)</f>
        <v>0</v>
      </c>
    </row>
    <row r="609" spans="1:20" x14ac:dyDescent="0.3">
      <c r="A609" s="105"/>
      <c r="B609" s="108"/>
      <c r="C609" s="111"/>
      <c r="D609" s="111"/>
      <c r="E609" s="115"/>
      <c r="F609" s="12" t="s">
        <v>26</v>
      </c>
      <c r="G609" s="14"/>
      <c r="H609" s="14"/>
      <c r="I609" s="14"/>
      <c r="J609" s="14"/>
      <c r="K609" s="13"/>
      <c r="L609" s="13"/>
      <c r="M609" s="13"/>
      <c r="N609" s="13"/>
      <c r="O609" s="13"/>
      <c r="P609" s="14"/>
      <c r="Q609" s="14"/>
      <c r="R609" s="30"/>
      <c r="S609" s="16">
        <f>SUMIF($G$4:$R$4,"&gt;=0",G609:R609)</f>
        <v>0</v>
      </c>
      <c r="T609" s="17">
        <f t="shared" ref="T609" si="493">SUM(G609:R609)</f>
        <v>0</v>
      </c>
    </row>
    <row r="610" spans="1:20" ht="15" thickBot="1" x14ac:dyDescent="0.35">
      <c r="A610" s="105"/>
      <c r="B610" s="108"/>
      <c r="C610" s="111"/>
      <c r="D610" s="111"/>
      <c r="E610" s="115"/>
      <c r="F610" s="18" t="s">
        <v>27</v>
      </c>
      <c r="G610" s="19" t="e">
        <f>G609/G608</f>
        <v>#DIV/0!</v>
      </c>
      <c r="H610" s="19" t="e">
        <f t="shared" ref="H610:T610" si="494">H609/H608</f>
        <v>#DIV/0!</v>
      </c>
      <c r="I610" s="19" t="e">
        <f t="shared" si="494"/>
        <v>#DIV/0!</v>
      </c>
      <c r="J610" s="19" t="e">
        <f t="shared" si="494"/>
        <v>#DIV/0!</v>
      </c>
      <c r="K610" s="19" t="e">
        <f t="shared" si="494"/>
        <v>#DIV/0!</v>
      </c>
      <c r="L610" s="19" t="e">
        <f t="shared" si="494"/>
        <v>#DIV/0!</v>
      </c>
      <c r="M610" s="19" t="e">
        <f t="shared" si="494"/>
        <v>#DIV/0!</v>
      </c>
      <c r="N610" s="19" t="e">
        <f t="shared" si="494"/>
        <v>#DIV/0!</v>
      </c>
      <c r="O610" s="19" t="e">
        <f t="shared" si="494"/>
        <v>#DIV/0!</v>
      </c>
      <c r="P610" s="19" t="e">
        <f t="shared" si="494"/>
        <v>#DIV/0!</v>
      </c>
      <c r="Q610" s="19" t="e">
        <f t="shared" si="494"/>
        <v>#DIV/0!</v>
      </c>
      <c r="R610" s="25" t="e">
        <f t="shared" si="494"/>
        <v>#DIV/0!</v>
      </c>
      <c r="S610" s="21" t="e">
        <f t="shared" si="494"/>
        <v>#DIV/0!</v>
      </c>
      <c r="T610" s="22" t="e">
        <f t="shared" si="494"/>
        <v>#DIV/0!</v>
      </c>
    </row>
    <row r="611" spans="1:20" x14ac:dyDescent="0.3">
      <c r="A611" s="105"/>
      <c r="B611" s="108"/>
      <c r="C611" s="111"/>
      <c r="D611" s="111"/>
      <c r="E611" s="115"/>
      <c r="F611" s="11" t="s">
        <v>28</v>
      </c>
      <c r="G611" s="23"/>
      <c r="H611" s="23"/>
      <c r="I611" s="23"/>
      <c r="J611" s="23"/>
      <c r="K611" s="9"/>
      <c r="L611" s="9"/>
      <c r="M611" s="9"/>
      <c r="N611" s="9"/>
      <c r="O611" s="9"/>
      <c r="P611" s="23"/>
      <c r="Q611" s="23"/>
      <c r="R611" s="24"/>
      <c r="S611" s="11">
        <f>SUMIF($G$4:$R$4,"&gt;=0",G611:R611)</f>
        <v>0</v>
      </c>
      <c r="T611" s="10">
        <f>SUM(G611:R611)</f>
        <v>0</v>
      </c>
    </row>
    <row r="612" spans="1:20" ht="15" thickBot="1" x14ac:dyDescent="0.35">
      <c r="A612" s="105"/>
      <c r="B612" s="108"/>
      <c r="C612" s="111"/>
      <c r="D612" s="111"/>
      <c r="E612" s="115"/>
      <c r="F612" s="18" t="s">
        <v>29</v>
      </c>
      <c r="G612" s="19" t="e">
        <f>(G609-G611)/G609</f>
        <v>#DIV/0!</v>
      </c>
      <c r="H612" s="19" t="e">
        <f t="shared" ref="H612:S612" si="495">(H609-H611)/H609</f>
        <v>#DIV/0!</v>
      </c>
      <c r="I612" s="19" t="e">
        <f t="shared" si="495"/>
        <v>#DIV/0!</v>
      </c>
      <c r="J612" s="19" t="e">
        <f t="shared" si="495"/>
        <v>#DIV/0!</v>
      </c>
      <c r="K612" s="19" t="e">
        <f t="shared" si="495"/>
        <v>#DIV/0!</v>
      </c>
      <c r="L612" s="19" t="e">
        <f t="shared" si="495"/>
        <v>#DIV/0!</v>
      </c>
      <c r="M612" s="19" t="e">
        <f t="shared" si="495"/>
        <v>#DIV/0!</v>
      </c>
      <c r="N612" s="19" t="e">
        <f t="shared" si="495"/>
        <v>#DIV/0!</v>
      </c>
      <c r="O612" s="19" t="e">
        <f t="shared" si="495"/>
        <v>#DIV/0!</v>
      </c>
      <c r="P612" s="19" t="e">
        <f t="shared" si="495"/>
        <v>#DIV/0!</v>
      </c>
      <c r="Q612" s="19" t="e">
        <f t="shared" si="495"/>
        <v>#DIV/0!</v>
      </c>
      <c r="R612" s="25" t="e">
        <f t="shared" si="495"/>
        <v>#DIV/0!</v>
      </c>
      <c r="S612" s="21" t="e">
        <f t="shared" si="495"/>
        <v>#DIV/0!</v>
      </c>
      <c r="T612" s="22" t="e">
        <f t="shared" ref="T612" si="496">T609/T611</f>
        <v>#DIV/0!</v>
      </c>
    </row>
    <row r="613" spans="1:20" x14ac:dyDescent="0.3">
      <c r="A613" s="105"/>
      <c r="B613" s="108"/>
      <c r="C613" s="111"/>
      <c r="D613" s="111"/>
      <c r="E613" s="115"/>
      <c r="F613" s="26" t="s">
        <v>30</v>
      </c>
      <c r="G613" s="23"/>
      <c r="H613" s="23"/>
      <c r="I613" s="23"/>
      <c r="J613" s="23"/>
      <c r="K613" s="9"/>
      <c r="L613" s="9"/>
      <c r="M613" s="9"/>
      <c r="N613" s="9"/>
      <c r="O613" s="9"/>
      <c r="P613" s="23"/>
      <c r="Q613" s="23"/>
      <c r="R613" s="24"/>
      <c r="S613" s="11">
        <f>SUMIF($G$4:$R$4,"&gt;=0",G613:R613)</f>
        <v>0</v>
      </c>
      <c r="T613" s="10">
        <f>SUM(G613:R613)</f>
        <v>0</v>
      </c>
    </row>
    <row r="614" spans="1:20" x14ac:dyDescent="0.3">
      <c r="A614" s="105"/>
      <c r="B614" s="108"/>
      <c r="C614" s="111"/>
      <c r="D614" s="111"/>
      <c r="E614" s="115"/>
      <c r="F614" s="29" t="s">
        <v>31</v>
      </c>
      <c r="G614" s="14"/>
      <c r="H614" s="14"/>
      <c r="I614" s="14"/>
      <c r="J614" s="14"/>
      <c r="K614" s="13"/>
      <c r="L614" s="13"/>
      <c r="M614" s="13"/>
      <c r="N614" s="13"/>
      <c r="O614" s="13"/>
      <c r="P614" s="14"/>
      <c r="Q614" s="14"/>
      <c r="R614" s="30"/>
      <c r="S614" s="16">
        <f>SUMIF($G$4:$R$4,"&gt;=0",G614:R614)</f>
        <v>0</v>
      </c>
      <c r="T614" s="17">
        <f t="shared" ref="T614" si="497">SUM(G614:R614)</f>
        <v>0</v>
      </c>
    </row>
    <row r="615" spans="1:20" ht="15" thickBot="1" x14ac:dyDescent="0.35">
      <c r="A615" s="105"/>
      <c r="B615" s="108"/>
      <c r="C615" s="111"/>
      <c r="D615" s="111"/>
      <c r="E615" s="115"/>
      <c r="F615" s="18" t="s">
        <v>32</v>
      </c>
      <c r="G615" s="19" t="e">
        <f>(G613-G614)/G613</f>
        <v>#DIV/0!</v>
      </c>
      <c r="H615" s="19" t="e">
        <f t="shared" ref="H615:S615" si="498">(H613-H614)/H613</f>
        <v>#DIV/0!</v>
      </c>
      <c r="I615" s="19" t="e">
        <f t="shared" si="498"/>
        <v>#DIV/0!</v>
      </c>
      <c r="J615" s="19" t="e">
        <f t="shared" si="498"/>
        <v>#DIV/0!</v>
      </c>
      <c r="K615" s="19" t="e">
        <f t="shared" si="498"/>
        <v>#DIV/0!</v>
      </c>
      <c r="L615" s="19" t="e">
        <f t="shared" si="498"/>
        <v>#DIV/0!</v>
      </c>
      <c r="M615" s="19" t="e">
        <f t="shared" si="498"/>
        <v>#DIV/0!</v>
      </c>
      <c r="N615" s="19" t="e">
        <f t="shared" si="498"/>
        <v>#DIV/0!</v>
      </c>
      <c r="O615" s="19" t="e">
        <f t="shared" si="498"/>
        <v>#DIV/0!</v>
      </c>
      <c r="P615" s="19" t="e">
        <f t="shared" si="498"/>
        <v>#DIV/0!</v>
      </c>
      <c r="Q615" s="19" t="e">
        <f t="shared" si="498"/>
        <v>#DIV/0!</v>
      </c>
      <c r="R615" s="25" t="e">
        <f t="shared" si="498"/>
        <v>#DIV/0!</v>
      </c>
      <c r="S615" s="21" t="e">
        <f t="shared" si="498"/>
        <v>#DIV/0!</v>
      </c>
      <c r="T615" s="22" t="e">
        <f t="shared" ref="T615" si="499">T613/T614</f>
        <v>#DIV/0!</v>
      </c>
    </row>
    <row r="616" spans="1:20" x14ac:dyDescent="0.3">
      <c r="A616" s="105"/>
      <c r="B616" s="108"/>
      <c r="C616" s="111"/>
      <c r="D616" s="111"/>
      <c r="E616" s="115"/>
      <c r="F616" s="31" t="s">
        <v>33</v>
      </c>
      <c r="G616" s="23"/>
      <c r="H616" s="23"/>
      <c r="I616" s="23"/>
      <c r="J616" s="23"/>
      <c r="K616" s="9"/>
      <c r="L616" s="9"/>
      <c r="M616" s="9"/>
      <c r="N616" s="9"/>
      <c r="O616" s="9"/>
      <c r="P616" s="23"/>
      <c r="Q616" s="23"/>
      <c r="R616" s="24"/>
      <c r="S616" s="11">
        <f>SUMIF($G$4:$R$4,"&gt;=0",G616:R616)</f>
        <v>0</v>
      </c>
      <c r="T616" s="10">
        <f>SUM(G616:R616)</f>
        <v>0</v>
      </c>
    </row>
    <row r="617" spans="1:20" x14ac:dyDescent="0.3">
      <c r="A617" s="105"/>
      <c r="B617" s="108"/>
      <c r="C617" s="111"/>
      <c r="D617" s="111"/>
      <c r="E617" s="115"/>
      <c r="F617" s="32" t="s">
        <v>34</v>
      </c>
      <c r="G617" s="14"/>
      <c r="H617" s="14"/>
      <c r="I617" s="14"/>
      <c r="J617" s="14"/>
      <c r="K617" s="13"/>
      <c r="L617" s="13"/>
      <c r="M617" s="13"/>
      <c r="N617" s="13"/>
      <c r="O617" s="13"/>
      <c r="P617" s="14"/>
      <c r="Q617" s="14"/>
      <c r="R617" s="30"/>
      <c r="S617" s="16">
        <f>SUMIF($G$4:$R$4,"&gt;=0",G617:R617)</f>
        <v>0</v>
      </c>
      <c r="T617" s="17">
        <f>SUM(G617:R617)</f>
        <v>0</v>
      </c>
    </row>
    <row r="618" spans="1:20" ht="15" thickBot="1" x14ac:dyDescent="0.35">
      <c r="A618" s="117"/>
      <c r="B618" s="109"/>
      <c r="C618" s="112"/>
      <c r="D618" s="113"/>
      <c r="E618" s="116"/>
      <c r="F618" s="21" t="s">
        <v>35</v>
      </c>
      <c r="G618" s="19" t="e">
        <f>(G617-G616)/G617</f>
        <v>#DIV/0!</v>
      </c>
      <c r="H618" s="19" t="e">
        <f t="shared" ref="H618:S618" si="500">(H617-H616)/H617</f>
        <v>#DIV/0!</v>
      </c>
      <c r="I618" s="19" t="e">
        <f t="shared" si="500"/>
        <v>#DIV/0!</v>
      </c>
      <c r="J618" s="19" t="e">
        <f t="shared" si="500"/>
        <v>#DIV/0!</v>
      </c>
      <c r="K618" s="19" t="e">
        <f t="shared" si="500"/>
        <v>#DIV/0!</v>
      </c>
      <c r="L618" s="19" t="e">
        <f t="shared" si="500"/>
        <v>#DIV/0!</v>
      </c>
      <c r="M618" s="19" t="e">
        <f t="shared" si="500"/>
        <v>#DIV/0!</v>
      </c>
      <c r="N618" s="19" t="e">
        <f t="shared" si="500"/>
        <v>#DIV/0!</v>
      </c>
      <c r="O618" s="19" t="e">
        <f t="shared" si="500"/>
        <v>#DIV/0!</v>
      </c>
      <c r="P618" s="19" t="e">
        <f t="shared" si="500"/>
        <v>#DIV/0!</v>
      </c>
      <c r="Q618" s="19" t="e">
        <f t="shared" si="500"/>
        <v>#DIV/0!</v>
      </c>
      <c r="R618" s="25" t="e">
        <f t="shared" si="500"/>
        <v>#DIV/0!</v>
      </c>
      <c r="S618" s="21" t="e">
        <f t="shared" si="500"/>
        <v>#DIV/0!</v>
      </c>
      <c r="T618" s="22" t="e">
        <f t="shared" ref="T618" si="501">T617/T616</f>
        <v>#DIV/0!</v>
      </c>
    </row>
    <row r="619" spans="1:20" x14ac:dyDescent="0.3">
      <c r="A619" s="104">
        <v>57</v>
      </c>
      <c r="B619" s="107"/>
      <c r="C619" s="110"/>
      <c r="D619" s="110"/>
      <c r="E619" s="114"/>
      <c r="F619" s="11" t="s">
        <v>25</v>
      </c>
      <c r="G619" s="23"/>
      <c r="H619" s="23"/>
      <c r="I619" s="23"/>
      <c r="J619" s="23"/>
      <c r="K619" s="9"/>
      <c r="L619" s="9"/>
      <c r="M619" s="9"/>
      <c r="N619" s="9"/>
      <c r="O619" s="9"/>
      <c r="P619" s="23"/>
      <c r="Q619" s="23"/>
      <c r="R619" s="24"/>
      <c r="S619" s="11">
        <f>SUMIF($G$4:$R$4,"&gt;=0",G619:R619)</f>
        <v>0</v>
      </c>
      <c r="T619" s="10">
        <f>SUM(G619:R619)</f>
        <v>0</v>
      </c>
    </row>
    <row r="620" spans="1:20" x14ac:dyDescent="0.3">
      <c r="A620" s="105"/>
      <c r="B620" s="108"/>
      <c r="C620" s="111"/>
      <c r="D620" s="111"/>
      <c r="E620" s="115"/>
      <c r="F620" s="12" t="s">
        <v>26</v>
      </c>
      <c r="G620" s="14"/>
      <c r="H620" s="14"/>
      <c r="I620" s="14"/>
      <c r="J620" s="14"/>
      <c r="K620" s="13"/>
      <c r="L620" s="13"/>
      <c r="M620" s="13"/>
      <c r="N620" s="13"/>
      <c r="O620" s="13"/>
      <c r="P620" s="14"/>
      <c r="Q620" s="14"/>
      <c r="R620" s="30"/>
      <c r="S620" s="16">
        <f>SUMIF($G$4:$R$4,"&gt;=0",G620:R620)</f>
        <v>0</v>
      </c>
      <c r="T620" s="17">
        <f t="shared" ref="T620" si="502">SUM(G620:R620)</f>
        <v>0</v>
      </c>
    </row>
    <row r="621" spans="1:20" ht="15" thickBot="1" x14ac:dyDescent="0.35">
      <c r="A621" s="105"/>
      <c r="B621" s="108"/>
      <c r="C621" s="111"/>
      <c r="D621" s="111"/>
      <c r="E621" s="115"/>
      <c r="F621" s="18" t="s">
        <v>27</v>
      </c>
      <c r="G621" s="19" t="e">
        <f>G620/G619</f>
        <v>#DIV/0!</v>
      </c>
      <c r="H621" s="19" t="e">
        <f t="shared" ref="H621:T621" si="503">H620/H619</f>
        <v>#DIV/0!</v>
      </c>
      <c r="I621" s="19" t="e">
        <f t="shared" si="503"/>
        <v>#DIV/0!</v>
      </c>
      <c r="J621" s="19" t="e">
        <f t="shared" si="503"/>
        <v>#DIV/0!</v>
      </c>
      <c r="K621" s="19" t="e">
        <f t="shared" si="503"/>
        <v>#DIV/0!</v>
      </c>
      <c r="L621" s="19" t="e">
        <f t="shared" si="503"/>
        <v>#DIV/0!</v>
      </c>
      <c r="M621" s="19" t="e">
        <f t="shared" si="503"/>
        <v>#DIV/0!</v>
      </c>
      <c r="N621" s="19" t="e">
        <f t="shared" si="503"/>
        <v>#DIV/0!</v>
      </c>
      <c r="O621" s="19" t="e">
        <f t="shared" si="503"/>
        <v>#DIV/0!</v>
      </c>
      <c r="P621" s="19" t="e">
        <f t="shared" si="503"/>
        <v>#DIV/0!</v>
      </c>
      <c r="Q621" s="19" t="e">
        <f t="shared" si="503"/>
        <v>#DIV/0!</v>
      </c>
      <c r="R621" s="25" t="e">
        <f t="shared" si="503"/>
        <v>#DIV/0!</v>
      </c>
      <c r="S621" s="21" t="e">
        <f t="shared" si="503"/>
        <v>#DIV/0!</v>
      </c>
      <c r="T621" s="22" t="e">
        <f t="shared" si="503"/>
        <v>#DIV/0!</v>
      </c>
    </row>
    <row r="622" spans="1:20" x14ac:dyDescent="0.3">
      <c r="A622" s="105"/>
      <c r="B622" s="108"/>
      <c r="C622" s="111"/>
      <c r="D622" s="111"/>
      <c r="E622" s="115"/>
      <c r="F622" s="11" t="s">
        <v>28</v>
      </c>
      <c r="G622" s="23"/>
      <c r="H622" s="23"/>
      <c r="I622" s="23"/>
      <c r="J622" s="23"/>
      <c r="K622" s="9"/>
      <c r="L622" s="9"/>
      <c r="M622" s="9"/>
      <c r="N622" s="9"/>
      <c r="O622" s="9"/>
      <c r="P622" s="23"/>
      <c r="Q622" s="23"/>
      <c r="R622" s="24"/>
      <c r="S622" s="11">
        <f>SUMIF($G$4:$R$4,"&gt;=0",G622:R622)</f>
        <v>0</v>
      </c>
      <c r="T622" s="10">
        <f>SUM(G622:R622)</f>
        <v>0</v>
      </c>
    </row>
    <row r="623" spans="1:20" ht="15" thickBot="1" x14ac:dyDescent="0.35">
      <c r="A623" s="105"/>
      <c r="B623" s="108"/>
      <c r="C623" s="111"/>
      <c r="D623" s="111"/>
      <c r="E623" s="115"/>
      <c r="F623" s="18" t="s">
        <v>29</v>
      </c>
      <c r="G623" s="19" t="e">
        <f>(G620-G622)/G620</f>
        <v>#DIV/0!</v>
      </c>
      <c r="H623" s="19" t="e">
        <f t="shared" ref="H623:S623" si="504">(H620-H622)/H620</f>
        <v>#DIV/0!</v>
      </c>
      <c r="I623" s="19" t="e">
        <f t="shared" si="504"/>
        <v>#DIV/0!</v>
      </c>
      <c r="J623" s="19" t="e">
        <f t="shared" si="504"/>
        <v>#DIV/0!</v>
      </c>
      <c r="K623" s="19" t="e">
        <f t="shared" si="504"/>
        <v>#DIV/0!</v>
      </c>
      <c r="L623" s="19" t="e">
        <f t="shared" si="504"/>
        <v>#DIV/0!</v>
      </c>
      <c r="M623" s="19" t="e">
        <f t="shared" si="504"/>
        <v>#DIV/0!</v>
      </c>
      <c r="N623" s="19" t="e">
        <f t="shared" si="504"/>
        <v>#DIV/0!</v>
      </c>
      <c r="O623" s="19" t="e">
        <f t="shared" si="504"/>
        <v>#DIV/0!</v>
      </c>
      <c r="P623" s="19" t="e">
        <f t="shared" si="504"/>
        <v>#DIV/0!</v>
      </c>
      <c r="Q623" s="19" t="e">
        <f t="shared" si="504"/>
        <v>#DIV/0!</v>
      </c>
      <c r="R623" s="25" t="e">
        <f t="shared" si="504"/>
        <v>#DIV/0!</v>
      </c>
      <c r="S623" s="21" t="e">
        <f t="shared" si="504"/>
        <v>#DIV/0!</v>
      </c>
      <c r="T623" s="22" t="e">
        <f t="shared" ref="T623" si="505">T620/T622</f>
        <v>#DIV/0!</v>
      </c>
    </row>
    <row r="624" spans="1:20" x14ac:dyDescent="0.3">
      <c r="A624" s="105"/>
      <c r="B624" s="108"/>
      <c r="C624" s="111"/>
      <c r="D624" s="111"/>
      <c r="E624" s="115"/>
      <c r="F624" s="26" t="s">
        <v>30</v>
      </c>
      <c r="G624" s="23"/>
      <c r="H624" s="23"/>
      <c r="I624" s="23"/>
      <c r="J624" s="23"/>
      <c r="K624" s="9"/>
      <c r="L624" s="9"/>
      <c r="M624" s="9"/>
      <c r="N624" s="9"/>
      <c r="O624" s="9"/>
      <c r="P624" s="23"/>
      <c r="Q624" s="23"/>
      <c r="R624" s="24"/>
      <c r="S624" s="11">
        <f>SUMIF($G$4:$R$4,"&gt;=0",G624:R624)</f>
        <v>0</v>
      </c>
      <c r="T624" s="10">
        <f>SUM(G624:R624)</f>
        <v>0</v>
      </c>
    </row>
    <row r="625" spans="1:20" x14ac:dyDescent="0.3">
      <c r="A625" s="105"/>
      <c r="B625" s="108"/>
      <c r="C625" s="111"/>
      <c r="D625" s="111"/>
      <c r="E625" s="115"/>
      <c r="F625" s="29" t="s">
        <v>31</v>
      </c>
      <c r="G625" s="14"/>
      <c r="H625" s="14"/>
      <c r="I625" s="14"/>
      <c r="J625" s="14"/>
      <c r="K625" s="13"/>
      <c r="L625" s="13"/>
      <c r="M625" s="13"/>
      <c r="N625" s="13"/>
      <c r="O625" s="13"/>
      <c r="P625" s="14"/>
      <c r="Q625" s="14"/>
      <c r="R625" s="30"/>
      <c r="S625" s="16">
        <f>SUMIF($G$4:$R$4,"&gt;=0",G625:R625)</f>
        <v>0</v>
      </c>
      <c r="T625" s="17">
        <f t="shared" ref="T625" si="506">SUM(G625:R625)</f>
        <v>0</v>
      </c>
    </row>
    <row r="626" spans="1:20" ht="15" thickBot="1" x14ac:dyDescent="0.35">
      <c r="A626" s="105"/>
      <c r="B626" s="108"/>
      <c r="C626" s="111"/>
      <c r="D626" s="111"/>
      <c r="E626" s="115"/>
      <c r="F626" s="18" t="s">
        <v>32</v>
      </c>
      <c r="G626" s="19" t="e">
        <f>(G624-G625)/G624</f>
        <v>#DIV/0!</v>
      </c>
      <c r="H626" s="19" t="e">
        <f t="shared" ref="H626:S626" si="507">(H624-H625)/H624</f>
        <v>#DIV/0!</v>
      </c>
      <c r="I626" s="19" t="e">
        <f t="shared" si="507"/>
        <v>#DIV/0!</v>
      </c>
      <c r="J626" s="19" t="e">
        <f t="shared" si="507"/>
        <v>#DIV/0!</v>
      </c>
      <c r="K626" s="19" t="e">
        <f t="shared" si="507"/>
        <v>#DIV/0!</v>
      </c>
      <c r="L626" s="19" t="e">
        <f t="shared" si="507"/>
        <v>#DIV/0!</v>
      </c>
      <c r="M626" s="19" t="e">
        <f t="shared" si="507"/>
        <v>#DIV/0!</v>
      </c>
      <c r="N626" s="19" t="e">
        <f t="shared" si="507"/>
        <v>#DIV/0!</v>
      </c>
      <c r="O626" s="19" t="e">
        <f t="shared" si="507"/>
        <v>#DIV/0!</v>
      </c>
      <c r="P626" s="19" t="e">
        <f t="shared" si="507"/>
        <v>#DIV/0!</v>
      </c>
      <c r="Q626" s="19" t="e">
        <f t="shared" si="507"/>
        <v>#DIV/0!</v>
      </c>
      <c r="R626" s="25" t="e">
        <f t="shared" si="507"/>
        <v>#DIV/0!</v>
      </c>
      <c r="S626" s="21" t="e">
        <f t="shared" si="507"/>
        <v>#DIV/0!</v>
      </c>
      <c r="T626" s="22" t="e">
        <f t="shared" ref="T626" si="508">T624/T625</f>
        <v>#DIV/0!</v>
      </c>
    </row>
    <row r="627" spans="1:20" x14ac:dyDescent="0.3">
      <c r="A627" s="105"/>
      <c r="B627" s="108"/>
      <c r="C627" s="111"/>
      <c r="D627" s="111"/>
      <c r="E627" s="115"/>
      <c r="F627" s="31" t="s">
        <v>33</v>
      </c>
      <c r="G627" s="23"/>
      <c r="H627" s="23"/>
      <c r="I627" s="23"/>
      <c r="J627" s="23"/>
      <c r="K627" s="9"/>
      <c r="L627" s="9"/>
      <c r="M627" s="9"/>
      <c r="N627" s="9"/>
      <c r="O627" s="9"/>
      <c r="P627" s="23"/>
      <c r="Q627" s="23"/>
      <c r="R627" s="24"/>
      <c r="S627" s="11">
        <f>SUMIF($G$4:$R$4,"&gt;=0",G627:R627)</f>
        <v>0</v>
      </c>
      <c r="T627" s="10">
        <f>SUM(G627:R627)</f>
        <v>0</v>
      </c>
    </row>
    <row r="628" spans="1:20" x14ac:dyDescent="0.3">
      <c r="A628" s="105"/>
      <c r="B628" s="108"/>
      <c r="C628" s="111"/>
      <c r="D628" s="111"/>
      <c r="E628" s="115"/>
      <c r="F628" s="32" t="s">
        <v>34</v>
      </c>
      <c r="G628" s="14"/>
      <c r="H628" s="14"/>
      <c r="I628" s="14"/>
      <c r="J628" s="14"/>
      <c r="K628" s="13"/>
      <c r="L628" s="13"/>
      <c r="M628" s="13"/>
      <c r="N628" s="13"/>
      <c r="O628" s="13"/>
      <c r="P628" s="14"/>
      <c r="Q628" s="14"/>
      <c r="R628" s="30"/>
      <c r="S628" s="16">
        <f>SUMIF($G$4:$R$4,"&gt;=0",G628:R628)</f>
        <v>0</v>
      </c>
      <c r="T628" s="17">
        <f>SUM(G628:R628)</f>
        <v>0</v>
      </c>
    </row>
    <row r="629" spans="1:20" ht="15" thickBot="1" x14ac:dyDescent="0.35">
      <c r="A629" s="106"/>
      <c r="B629" s="109"/>
      <c r="C629" s="112"/>
      <c r="D629" s="113"/>
      <c r="E629" s="116"/>
      <c r="F629" s="21" t="s">
        <v>35</v>
      </c>
      <c r="G629" s="19" t="e">
        <f>(G628-G627)/G628</f>
        <v>#DIV/0!</v>
      </c>
      <c r="H629" s="19" t="e">
        <f t="shared" ref="H629:S629" si="509">(H628-H627)/H628</f>
        <v>#DIV/0!</v>
      </c>
      <c r="I629" s="19" t="e">
        <f t="shared" si="509"/>
        <v>#DIV/0!</v>
      </c>
      <c r="J629" s="19" t="e">
        <f t="shared" si="509"/>
        <v>#DIV/0!</v>
      </c>
      <c r="K629" s="19" t="e">
        <f t="shared" si="509"/>
        <v>#DIV/0!</v>
      </c>
      <c r="L629" s="19" t="e">
        <f t="shared" si="509"/>
        <v>#DIV/0!</v>
      </c>
      <c r="M629" s="19" t="e">
        <f t="shared" si="509"/>
        <v>#DIV/0!</v>
      </c>
      <c r="N629" s="19" t="e">
        <f t="shared" si="509"/>
        <v>#DIV/0!</v>
      </c>
      <c r="O629" s="19" t="e">
        <f t="shared" si="509"/>
        <v>#DIV/0!</v>
      </c>
      <c r="P629" s="19" t="e">
        <f t="shared" si="509"/>
        <v>#DIV/0!</v>
      </c>
      <c r="Q629" s="19" t="e">
        <f t="shared" si="509"/>
        <v>#DIV/0!</v>
      </c>
      <c r="R629" s="25" t="e">
        <f t="shared" si="509"/>
        <v>#DIV/0!</v>
      </c>
      <c r="S629" s="21" t="e">
        <f t="shared" si="509"/>
        <v>#DIV/0!</v>
      </c>
      <c r="T629" s="22" t="e">
        <f t="shared" ref="T629" si="510">T628/T627</f>
        <v>#DIV/0!</v>
      </c>
    </row>
    <row r="630" spans="1:20" x14ac:dyDescent="0.3">
      <c r="A630" s="104">
        <v>58</v>
      </c>
      <c r="B630" s="107"/>
      <c r="C630" s="110"/>
      <c r="D630" s="110"/>
      <c r="E630" s="114"/>
      <c r="F630" s="11" t="s">
        <v>25</v>
      </c>
      <c r="G630" s="23"/>
      <c r="H630" s="23"/>
      <c r="I630" s="23"/>
      <c r="J630" s="23"/>
      <c r="K630" s="9"/>
      <c r="L630" s="9"/>
      <c r="M630" s="9"/>
      <c r="N630" s="9"/>
      <c r="O630" s="9"/>
      <c r="P630" s="23"/>
      <c r="Q630" s="23"/>
      <c r="R630" s="24"/>
      <c r="S630" s="11">
        <f>SUMIF($G$4:$R$4,"&gt;=0",G630:R630)</f>
        <v>0</v>
      </c>
      <c r="T630" s="10">
        <f>SUM(G630:R630)</f>
        <v>0</v>
      </c>
    </row>
    <row r="631" spans="1:20" x14ac:dyDescent="0.3">
      <c r="A631" s="105"/>
      <c r="B631" s="108"/>
      <c r="C631" s="111"/>
      <c r="D631" s="111"/>
      <c r="E631" s="115"/>
      <c r="F631" s="12" t="s">
        <v>26</v>
      </c>
      <c r="G631" s="14"/>
      <c r="H631" s="14"/>
      <c r="I631" s="14"/>
      <c r="J631" s="14"/>
      <c r="K631" s="13"/>
      <c r="L631" s="13"/>
      <c r="M631" s="13"/>
      <c r="N631" s="13"/>
      <c r="O631" s="13"/>
      <c r="P631" s="14"/>
      <c r="Q631" s="14"/>
      <c r="R631" s="30"/>
      <c r="S631" s="16">
        <f>SUMIF($G$4:$R$4,"&gt;=0",G631:R631)</f>
        <v>0</v>
      </c>
      <c r="T631" s="17">
        <f t="shared" ref="T631" si="511">SUM(G631:R631)</f>
        <v>0</v>
      </c>
    </row>
    <row r="632" spans="1:20" ht="15" thickBot="1" x14ac:dyDescent="0.35">
      <c r="A632" s="105"/>
      <c r="B632" s="108"/>
      <c r="C632" s="111"/>
      <c r="D632" s="111"/>
      <c r="E632" s="115"/>
      <c r="F632" s="18" t="s">
        <v>27</v>
      </c>
      <c r="G632" s="19" t="e">
        <f>G631/G630</f>
        <v>#DIV/0!</v>
      </c>
      <c r="H632" s="19" t="e">
        <f t="shared" ref="H632:T632" si="512">H631/H630</f>
        <v>#DIV/0!</v>
      </c>
      <c r="I632" s="19" t="e">
        <f t="shared" si="512"/>
        <v>#DIV/0!</v>
      </c>
      <c r="J632" s="19" t="e">
        <f t="shared" si="512"/>
        <v>#DIV/0!</v>
      </c>
      <c r="K632" s="19" t="e">
        <f t="shared" si="512"/>
        <v>#DIV/0!</v>
      </c>
      <c r="L632" s="19" t="e">
        <f t="shared" si="512"/>
        <v>#DIV/0!</v>
      </c>
      <c r="M632" s="19" t="e">
        <f t="shared" si="512"/>
        <v>#DIV/0!</v>
      </c>
      <c r="N632" s="19" t="e">
        <f t="shared" si="512"/>
        <v>#DIV/0!</v>
      </c>
      <c r="O632" s="19" t="e">
        <f t="shared" si="512"/>
        <v>#DIV/0!</v>
      </c>
      <c r="P632" s="19" t="e">
        <f t="shared" si="512"/>
        <v>#DIV/0!</v>
      </c>
      <c r="Q632" s="19" t="e">
        <f t="shared" si="512"/>
        <v>#DIV/0!</v>
      </c>
      <c r="R632" s="25" t="e">
        <f t="shared" si="512"/>
        <v>#DIV/0!</v>
      </c>
      <c r="S632" s="21" t="e">
        <f t="shared" si="512"/>
        <v>#DIV/0!</v>
      </c>
      <c r="T632" s="22" t="e">
        <f t="shared" si="512"/>
        <v>#DIV/0!</v>
      </c>
    </row>
    <row r="633" spans="1:20" x14ac:dyDescent="0.3">
      <c r="A633" s="105"/>
      <c r="B633" s="108"/>
      <c r="C633" s="111"/>
      <c r="D633" s="111"/>
      <c r="E633" s="115"/>
      <c r="F633" s="11" t="s">
        <v>28</v>
      </c>
      <c r="G633" s="23"/>
      <c r="H633" s="23"/>
      <c r="I633" s="23"/>
      <c r="J633" s="23"/>
      <c r="K633" s="9"/>
      <c r="L633" s="9"/>
      <c r="M633" s="9"/>
      <c r="N633" s="9"/>
      <c r="O633" s="9"/>
      <c r="P633" s="23"/>
      <c r="Q633" s="23"/>
      <c r="R633" s="24"/>
      <c r="S633" s="11">
        <f>SUMIF($G$4:$R$4,"&gt;=0",G633:R633)</f>
        <v>0</v>
      </c>
      <c r="T633" s="10">
        <f>SUM(G633:R633)</f>
        <v>0</v>
      </c>
    </row>
    <row r="634" spans="1:20" ht="15" thickBot="1" x14ac:dyDescent="0.35">
      <c r="A634" s="105"/>
      <c r="B634" s="108"/>
      <c r="C634" s="111"/>
      <c r="D634" s="111"/>
      <c r="E634" s="115"/>
      <c r="F634" s="18" t="s">
        <v>29</v>
      </c>
      <c r="G634" s="19" t="e">
        <f>(G631-G633)/G631</f>
        <v>#DIV/0!</v>
      </c>
      <c r="H634" s="19" t="e">
        <f t="shared" ref="H634:S634" si="513">(H631-H633)/H631</f>
        <v>#DIV/0!</v>
      </c>
      <c r="I634" s="19" t="e">
        <f t="shared" si="513"/>
        <v>#DIV/0!</v>
      </c>
      <c r="J634" s="19" t="e">
        <f t="shared" si="513"/>
        <v>#DIV/0!</v>
      </c>
      <c r="K634" s="19" t="e">
        <f t="shared" si="513"/>
        <v>#DIV/0!</v>
      </c>
      <c r="L634" s="19" t="e">
        <f t="shared" si="513"/>
        <v>#DIV/0!</v>
      </c>
      <c r="M634" s="19" t="e">
        <f t="shared" si="513"/>
        <v>#DIV/0!</v>
      </c>
      <c r="N634" s="19" t="e">
        <f t="shared" si="513"/>
        <v>#DIV/0!</v>
      </c>
      <c r="O634" s="19" t="e">
        <f t="shared" si="513"/>
        <v>#DIV/0!</v>
      </c>
      <c r="P634" s="19" t="e">
        <f t="shared" si="513"/>
        <v>#DIV/0!</v>
      </c>
      <c r="Q634" s="19" t="e">
        <f t="shared" si="513"/>
        <v>#DIV/0!</v>
      </c>
      <c r="R634" s="25" t="e">
        <f t="shared" si="513"/>
        <v>#DIV/0!</v>
      </c>
      <c r="S634" s="21" t="e">
        <f t="shared" si="513"/>
        <v>#DIV/0!</v>
      </c>
      <c r="T634" s="22" t="e">
        <f t="shared" ref="T634" si="514">T631/T633</f>
        <v>#DIV/0!</v>
      </c>
    </row>
    <row r="635" spans="1:20" x14ac:dyDescent="0.3">
      <c r="A635" s="105"/>
      <c r="B635" s="108"/>
      <c r="C635" s="111"/>
      <c r="D635" s="111"/>
      <c r="E635" s="115"/>
      <c r="F635" s="26" t="s">
        <v>30</v>
      </c>
      <c r="G635" s="23"/>
      <c r="H635" s="23"/>
      <c r="I635" s="23"/>
      <c r="J635" s="23"/>
      <c r="K635" s="9"/>
      <c r="L635" s="9"/>
      <c r="M635" s="9"/>
      <c r="N635" s="9"/>
      <c r="O635" s="9"/>
      <c r="P635" s="23"/>
      <c r="Q635" s="23"/>
      <c r="R635" s="24"/>
      <c r="S635" s="11">
        <f>SUMIF($G$4:$R$4,"&gt;=0",G635:R635)</f>
        <v>0</v>
      </c>
      <c r="T635" s="10">
        <f>SUM(G635:R635)</f>
        <v>0</v>
      </c>
    </row>
    <row r="636" spans="1:20" x14ac:dyDescent="0.3">
      <c r="A636" s="105"/>
      <c r="B636" s="108"/>
      <c r="C636" s="111"/>
      <c r="D636" s="111"/>
      <c r="E636" s="115"/>
      <c r="F636" s="29" t="s">
        <v>31</v>
      </c>
      <c r="G636" s="14"/>
      <c r="H636" s="14"/>
      <c r="I636" s="14"/>
      <c r="J636" s="14"/>
      <c r="K636" s="13"/>
      <c r="L636" s="13"/>
      <c r="M636" s="13"/>
      <c r="N636" s="13"/>
      <c r="O636" s="13"/>
      <c r="P636" s="14"/>
      <c r="Q636" s="14"/>
      <c r="R636" s="30"/>
      <c r="S636" s="16">
        <f>SUMIF($G$4:$R$4,"&gt;=0",G636:R636)</f>
        <v>0</v>
      </c>
      <c r="T636" s="17">
        <f t="shared" ref="T636" si="515">SUM(G636:R636)</f>
        <v>0</v>
      </c>
    </row>
    <row r="637" spans="1:20" ht="15" thickBot="1" x14ac:dyDescent="0.35">
      <c r="A637" s="105"/>
      <c r="B637" s="108"/>
      <c r="C637" s="111"/>
      <c r="D637" s="111"/>
      <c r="E637" s="115"/>
      <c r="F637" s="18" t="s">
        <v>32</v>
      </c>
      <c r="G637" s="19" t="e">
        <f>(G635-G636)/G635</f>
        <v>#DIV/0!</v>
      </c>
      <c r="H637" s="19" t="e">
        <f t="shared" ref="H637:S637" si="516">(H635-H636)/H635</f>
        <v>#DIV/0!</v>
      </c>
      <c r="I637" s="19" t="e">
        <f t="shared" si="516"/>
        <v>#DIV/0!</v>
      </c>
      <c r="J637" s="19" t="e">
        <f t="shared" si="516"/>
        <v>#DIV/0!</v>
      </c>
      <c r="K637" s="19" t="e">
        <f t="shared" si="516"/>
        <v>#DIV/0!</v>
      </c>
      <c r="L637" s="19" t="e">
        <f t="shared" si="516"/>
        <v>#DIV/0!</v>
      </c>
      <c r="M637" s="19" t="e">
        <f t="shared" si="516"/>
        <v>#DIV/0!</v>
      </c>
      <c r="N637" s="19" t="e">
        <f t="shared" si="516"/>
        <v>#DIV/0!</v>
      </c>
      <c r="O637" s="19" t="e">
        <f t="shared" si="516"/>
        <v>#DIV/0!</v>
      </c>
      <c r="P637" s="19" t="e">
        <f t="shared" si="516"/>
        <v>#DIV/0!</v>
      </c>
      <c r="Q637" s="19" t="e">
        <f t="shared" si="516"/>
        <v>#DIV/0!</v>
      </c>
      <c r="R637" s="25" t="e">
        <f t="shared" si="516"/>
        <v>#DIV/0!</v>
      </c>
      <c r="S637" s="21" t="e">
        <f t="shared" si="516"/>
        <v>#DIV/0!</v>
      </c>
      <c r="T637" s="22" t="e">
        <f t="shared" ref="T637" si="517">T635/T636</f>
        <v>#DIV/0!</v>
      </c>
    </row>
    <row r="638" spans="1:20" x14ac:dyDescent="0.3">
      <c r="A638" s="105"/>
      <c r="B638" s="108"/>
      <c r="C638" s="111"/>
      <c r="D638" s="111"/>
      <c r="E638" s="115"/>
      <c r="F638" s="31" t="s">
        <v>33</v>
      </c>
      <c r="G638" s="23"/>
      <c r="H638" s="23"/>
      <c r="I638" s="23"/>
      <c r="J638" s="23"/>
      <c r="K638" s="9"/>
      <c r="L638" s="9"/>
      <c r="M638" s="9"/>
      <c r="N638" s="9"/>
      <c r="O638" s="9"/>
      <c r="P638" s="23"/>
      <c r="Q638" s="23"/>
      <c r="R638" s="24"/>
      <c r="S638" s="11">
        <f>SUMIF($G$4:$R$4,"&gt;=0",G638:R638)</f>
        <v>0</v>
      </c>
      <c r="T638" s="10">
        <f>SUM(G638:R638)</f>
        <v>0</v>
      </c>
    </row>
    <row r="639" spans="1:20" x14ac:dyDescent="0.3">
      <c r="A639" s="105"/>
      <c r="B639" s="108"/>
      <c r="C639" s="111"/>
      <c r="D639" s="111"/>
      <c r="E639" s="115"/>
      <c r="F639" s="32" t="s">
        <v>34</v>
      </c>
      <c r="G639" s="14"/>
      <c r="H639" s="14"/>
      <c r="I639" s="14"/>
      <c r="J639" s="14"/>
      <c r="K639" s="13"/>
      <c r="L639" s="13"/>
      <c r="M639" s="13"/>
      <c r="N639" s="13"/>
      <c r="O639" s="13"/>
      <c r="P639" s="14"/>
      <c r="Q639" s="14"/>
      <c r="R639" s="30"/>
      <c r="S639" s="16">
        <f>SUMIF($G$4:$R$4,"&gt;=0",G639:R639)</f>
        <v>0</v>
      </c>
      <c r="T639" s="17">
        <f>SUM(G639:R639)</f>
        <v>0</v>
      </c>
    </row>
    <row r="640" spans="1:20" ht="15" thickBot="1" x14ac:dyDescent="0.35">
      <c r="A640" s="117"/>
      <c r="B640" s="109"/>
      <c r="C640" s="112"/>
      <c r="D640" s="113"/>
      <c r="E640" s="116"/>
      <c r="F640" s="21" t="s">
        <v>35</v>
      </c>
      <c r="G640" s="19" t="e">
        <f>(G639-G638)/G639</f>
        <v>#DIV/0!</v>
      </c>
      <c r="H640" s="19" t="e">
        <f t="shared" ref="H640:S640" si="518">(H639-H638)/H639</f>
        <v>#DIV/0!</v>
      </c>
      <c r="I640" s="19" t="e">
        <f t="shared" si="518"/>
        <v>#DIV/0!</v>
      </c>
      <c r="J640" s="19" t="e">
        <f t="shared" si="518"/>
        <v>#DIV/0!</v>
      </c>
      <c r="K640" s="19" t="e">
        <f t="shared" si="518"/>
        <v>#DIV/0!</v>
      </c>
      <c r="L640" s="19" t="e">
        <f t="shared" si="518"/>
        <v>#DIV/0!</v>
      </c>
      <c r="M640" s="19" t="e">
        <f t="shared" si="518"/>
        <v>#DIV/0!</v>
      </c>
      <c r="N640" s="19" t="e">
        <f t="shared" si="518"/>
        <v>#DIV/0!</v>
      </c>
      <c r="O640" s="19" t="e">
        <f t="shared" si="518"/>
        <v>#DIV/0!</v>
      </c>
      <c r="P640" s="19" t="e">
        <f t="shared" si="518"/>
        <v>#DIV/0!</v>
      </c>
      <c r="Q640" s="19" t="e">
        <f t="shared" si="518"/>
        <v>#DIV/0!</v>
      </c>
      <c r="R640" s="25" t="e">
        <f t="shared" si="518"/>
        <v>#DIV/0!</v>
      </c>
      <c r="S640" s="21" t="e">
        <f t="shared" si="518"/>
        <v>#DIV/0!</v>
      </c>
      <c r="T640" s="22" t="e">
        <f t="shared" ref="T640" si="519">T639/T638</f>
        <v>#DIV/0!</v>
      </c>
    </row>
    <row r="641" spans="1:20" x14ac:dyDescent="0.3">
      <c r="A641" s="104">
        <v>59</v>
      </c>
      <c r="B641" s="107"/>
      <c r="C641" s="110"/>
      <c r="D641" s="110"/>
      <c r="E641" s="114"/>
      <c r="F641" s="11" t="s">
        <v>25</v>
      </c>
      <c r="G641" s="23"/>
      <c r="H641" s="23"/>
      <c r="I641" s="23"/>
      <c r="J641" s="23"/>
      <c r="K641" s="9"/>
      <c r="L641" s="9"/>
      <c r="M641" s="9"/>
      <c r="N641" s="9"/>
      <c r="O641" s="9"/>
      <c r="P641" s="23"/>
      <c r="Q641" s="23"/>
      <c r="R641" s="24"/>
      <c r="S641" s="11">
        <f>SUMIF($G$4:$R$4,"&gt;=0",G641:R641)</f>
        <v>0</v>
      </c>
      <c r="T641" s="10">
        <f>SUM(G641:R641)</f>
        <v>0</v>
      </c>
    </row>
    <row r="642" spans="1:20" x14ac:dyDescent="0.3">
      <c r="A642" s="105"/>
      <c r="B642" s="108"/>
      <c r="C642" s="111"/>
      <c r="D642" s="111"/>
      <c r="E642" s="115"/>
      <c r="F642" s="12" t="s">
        <v>26</v>
      </c>
      <c r="G642" s="14"/>
      <c r="H642" s="14"/>
      <c r="I642" s="14"/>
      <c r="J642" s="14"/>
      <c r="K642" s="13"/>
      <c r="L642" s="13"/>
      <c r="M642" s="13"/>
      <c r="N642" s="13"/>
      <c r="O642" s="13"/>
      <c r="P642" s="14"/>
      <c r="Q642" s="14"/>
      <c r="R642" s="30"/>
      <c r="S642" s="16">
        <f>SUMIF($G$4:$R$4,"&gt;=0",G642:R642)</f>
        <v>0</v>
      </c>
      <c r="T642" s="17">
        <f t="shared" ref="T642" si="520">SUM(G642:R642)</f>
        <v>0</v>
      </c>
    </row>
    <row r="643" spans="1:20" ht="15" thickBot="1" x14ac:dyDescent="0.35">
      <c r="A643" s="105"/>
      <c r="B643" s="108"/>
      <c r="C643" s="111"/>
      <c r="D643" s="111"/>
      <c r="E643" s="115"/>
      <c r="F643" s="18" t="s">
        <v>27</v>
      </c>
      <c r="G643" s="19" t="e">
        <f>G642/G641</f>
        <v>#DIV/0!</v>
      </c>
      <c r="H643" s="19" t="e">
        <f t="shared" ref="H643:T643" si="521">H642/H641</f>
        <v>#DIV/0!</v>
      </c>
      <c r="I643" s="19" t="e">
        <f t="shared" si="521"/>
        <v>#DIV/0!</v>
      </c>
      <c r="J643" s="19" t="e">
        <f t="shared" si="521"/>
        <v>#DIV/0!</v>
      </c>
      <c r="K643" s="19" t="e">
        <f t="shared" si="521"/>
        <v>#DIV/0!</v>
      </c>
      <c r="L643" s="19" t="e">
        <f t="shared" si="521"/>
        <v>#DIV/0!</v>
      </c>
      <c r="M643" s="19" t="e">
        <f t="shared" si="521"/>
        <v>#DIV/0!</v>
      </c>
      <c r="N643" s="19" t="e">
        <f t="shared" si="521"/>
        <v>#DIV/0!</v>
      </c>
      <c r="O643" s="19" t="e">
        <f t="shared" si="521"/>
        <v>#DIV/0!</v>
      </c>
      <c r="P643" s="19" t="e">
        <f t="shared" si="521"/>
        <v>#DIV/0!</v>
      </c>
      <c r="Q643" s="19" t="e">
        <f t="shared" si="521"/>
        <v>#DIV/0!</v>
      </c>
      <c r="R643" s="25" t="e">
        <f t="shared" si="521"/>
        <v>#DIV/0!</v>
      </c>
      <c r="S643" s="21" t="e">
        <f t="shared" si="521"/>
        <v>#DIV/0!</v>
      </c>
      <c r="T643" s="22" t="e">
        <f t="shared" si="521"/>
        <v>#DIV/0!</v>
      </c>
    </row>
    <row r="644" spans="1:20" x14ac:dyDescent="0.3">
      <c r="A644" s="105"/>
      <c r="B644" s="108"/>
      <c r="C644" s="111"/>
      <c r="D644" s="111"/>
      <c r="E644" s="115"/>
      <c r="F644" s="11" t="s">
        <v>28</v>
      </c>
      <c r="G644" s="23"/>
      <c r="H644" s="23"/>
      <c r="I644" s="23"/>
      <c r="J644" s="23"/>
      <c r="K644" s="9"/>
      <c r="L644" s="9"/>
      <c r="M644" s="9"/>
      <c r="N644" s="9"/>
      <c r="O644" s="9"/>
      <c r="P644" s="23"/>
      <c r="Q644" s="23"/>
      <c r="R644" s="24"/>
      <c r="S644" s="11">
        <f>SUMIF($G$4:$R$4,"&gt;=0",G644:R644)</f>
        <v>0</v>
      </c>
      <c r="T644" s="10">
        <f>SUM(G644:R644)</f>
        <v>0</v>
      </c>
    </row>
    <row r="645" spans="1:20" ht="15" thickBot="1" x14ac:dyDescent="0.35">
      <c r="A645" s="105"/>
      <c r="B645" s="108"/>
      <c r="C645" s="111"/>
      <c r="D645" s="111"/>
      <c r="E645" s="115"/>
      <c r="F645" s="18" t="s">
        <v>29</v>
      </c>
      <c r="G645" s="19" t="e">
        <f>(G642-G644)/G642</f>
        <v>#DIV/0!</v>
      </c>
      <c r="H645" s="19" t="e">
        <f t="shared" ref="H645:S645" si="522">(H642-H644)/H642</f>
        <v>#DIV/0!</v>
      </c>
      <c r="I645" s="19" t="e">
        <f t="shared" si="522"/>
        <v>#DIV/0!</v>
      </c>
      <c r="J645" s="19" t="e">
        <f t="shared" si="522"/>
        <v>#DIV/0!</v>
      </c>
      <c r="K645" s="19" t="e">
        <f t="shared" si="522"/>
        <v>#DIV/0!</v>
      </c>
      <c r="L645" s="19" t="e">
        <f t="shared" si="522"/>
        <v>#DIV/0!</v>
      </c>
      <c r="M645" s="19" t="e">
        <f t="shared" si="522"/>
        <v>#DIV/0!</v>
      </c>
      <c r="N645" s="19" t="e">
        <f t="shared" si="522"/>
        <v>#DIV/0!</v>
      </c>
      <c r="O645" s="19" t="e">
        <f t="shared" si="522"/>
        <v>#DIV/0!</v>
      </c>
      <c r="P645" s="19" t="e">
        <f t="shared" si="522"/>
        <v>#DIV/0!</v>
      </c>
      <c r="Q645" s="19" t="e">
        <f t="shared" si="522"/>
        <v>#DIV/0!</v>
      </c>
      <c r="R645" s="25" t="e">
        <f t="shared" si="522"/>
        <v>#DIV/0!</v>
      </c>
      <c r="S645" s="21" t="e">
        <f t="shared" si="522"/>
        <v>#DIV/0!</v>
      </c>
      <c r="T645" s="22" t="e">
        <f t="shared" ref="T645" si="523">T642/T644</f>
        <v>#DIV/0!</v>
      </c>
    </row>
    <row r="646" spans="1:20" x14ac:dyDescent="0.3">
      <c r="A646" s="105"/>
      <c r="B646" s="108"/>
      <c r="C646" s="111"/>
      <c r="D646" s="111"/>
      <c r="E646" s="115"/>
      <c r="F646" s="26" t="s">
        <v>30</v>
      </c>
      <c r="G646" s="23"/>
      <c r="H646" s="23"/>
      <c r="I646" s="23"/>
      <c r="J646" s="23"/>
      <c r="K646" s="9"/>
      <c r="L646" s="9"/>
      <c r="M646" s="9"/>
      <c r="N646" s="9"/>
      <c r="O646" s="9"/>
      <c r="P646" s="23"/>
      <c r="Q646" s="23"/>
      <c r="R646" s="24"/>
      <c r="S646" s="11">
        <f>SUMIF($G$4:$R$4,"&gt;=0",G646:R646)</f>
        <v>0</v>
      </c>
      <c r="T646" s="10">
        <f>SUM(G646:R646)</f>
        <v>0</v>
      </c>
    </row>
    <row r="647" spans="1:20" x14ac:dyDescent="0.3">
      <c r="A647" s="105"/>
      <c r="B647" s="108"/>
      <c r="C647" s="111"/>
      <c r="D647" s="111"/>
      <c r="E647" s="115"/>
      <c r="F647" s="29" t="s">
        <v>31</v>
      </c>
      <c r="G647" s="14"/>
      <c r="H647" s="14"/>
      <c r="I647" s="14"/>
      <c r="J647" s="14"/>
      <c r="K647" s="13"/>
      <c r="L647" s="13"/>
      <c r="M647" s="13"/>
      <c r="N647" s="13"/>
      <c r="O647" s="13"/>
      <c r="P647" s="14"/>
      <c r="Q647" s="14"/>
      <c r="R647" s="30"/>
      <c r="S647" s="16">
        <f>SUMIF($G$4:$R$4,"&gt;=0",G647:R647)</f>
        <v>0</v>
      </c>
      <c r="T647" s="17">
        <f t="shared" ref="T647" si="524">SUM(G647:R647)</f>
        <v>0</v>
      </c>
    </row>
    <row r="648" spans="1:20" ht="15" thickBot="1" x14ac:dyDescent="0.35">
      <c r="A648" s="105"/>
      <c r="B648" s="108"/>
      <c r="C648" s="111"/>
      <c r="D648" s="111"/>
      <c r="E648" s="115"/>
      <c r="F648" s="18" t="s">
        <v>32</v>
      </c>
      <c r="G648" s="19" t="e">
        <f>(G646-G647)/G646</f>
        <v>#DIV/0!</v>
      </c>
      <c r="H648" s="19" t="e">
        <f t="shared" ref="H648:S648" si="525">(H646-H647)/H646</f>
        <v>#DIV/0!</v>
      </c>
      <c r="I648" s="19" t="e">
        <f t="shared" si="525"/>
        <v>#DIV/0!</v>
      </c>
      <c r="J648" s="19" t="e">
        <f t="shared" si="525"/>
        <v>#DIV/0!</v>
      </c>
      <c r="K648" s="19" t="e">
        <f t="shared" si="525"/>
        <v>#DIV/0!</v>
      </c>
      <c r="L648" s="19" t="e">
        <f t="shared" si="525"/>
        <v>#DIV/0!</v>
      </c>
      <c r="M648" s="19" t="e">
        <f t="shared" si="525"/>
        <v>#DIV/0!</v>
      </c>
      <c r="N648" s="19" t="e">
        <f t="shared" si="525"/>
        <v>#DIV/0!</v>
      </c>
      <c r="O648" s="19" t="e">
        <f t="shared" si="525"/>
        <v>#DIV/0!</v>
      </c>
      <c r="P648" s="19" t="e">
        <f t="shared" si="525"/>
        <v>#DIV/0!</v>
      </c>
      <c r="Q648" s="19" t="e">
        <f t="shared" si="525"/>
        <v>#DIV/0!</v>
      </c>
      <c r="R648" s="25" t="e">
        <f t="shared" si="525"/>
        <v>#DIV/0!</v>
      </c>
      <c r="S648" s="21" t="e">
        <f t="shared" si="525"/>
        <v>#DIV/0!</v>
      </c>
      <c r="T648" s="22" t="e">
        <f t="shared" ref="T648" si="526">T646/T647</f>
        <v>#DIV/0!</v>
      </c>
    </row>
    <row r="649" spans="1:20" x14ac:dyDescent="0.3">
      <c r="A649" s="105"/>
      <c r="B649" s="108"/>
      <c r="C649" s="111"/>
      <c r="D649" s="111"/>
      <c r="E649" s="115"/>
      <c r="F649" s="31" t="s">
        <v>33</v>
      </c>
      <c r="G649" s="23"/>
      <c r="H649" s="23"/>
      <c r="I649" s="23"/>
      <c r="J649" s="23"/>
      <c r="K649" s="9"/>
      <c r="L649" s="9"/>
      <c r="M649" s="9"/>
      <c r="N649" s="9"/>
      <c r="O649" s="9"/>
      <c r="P649" s="23"/>
      <c r="Q649" s="23"/>
      <c r="R649" s="24"/>
      <c r="S649" s="11">
        <f>SUMIF($G$4:$R$4,"&gt;=0",G649:R649)</f>
        <v>0</v>
      </c>
      <c r="T649" s="10">
        <f>SUM(G649:R649)</f>
        <v>0</v>
      </c>
    </row>
    <row r="650" spans="1:20" x14ac:dyDescent="0.3">
      <c r="A650" s="105"/>
      <c r="B650" s="108"/>
      <c r="C650" s="111"/>
      <c r="D650" s="111"/>
      <c r="E650" s="115"/>
      <c r="F650" s="32" t="s">
        <v>34</v>
      </c>
      <c r="G650" s="14"/>
      <c r="H650" s="14"/>
      <c r="I650" s="14"/>
      <c r="J650" s="14"/>
      <c r="K650" s="13"/>
      <c r="L650" s="13"/>
      <c r="M650" s="13"/>
      <c r="N650" s="13"/>
      <c r="O650" s="13"/>
      <c r="P650" s="14"/>
      <c r="Q650" s="14"/>
      <c r="R650" s="30"/>
      <c r="S650" s="16">
        <f>SUMIF($G$4:$R$4,"&gt;=0",G650:R650)</f>
        <v>0</v>
      </c>
      <c r="T650" s="17">
        <f>SUM(G650:R650)</f>
        <v>0</v>
      </c>
    </row>
    <row r="651" spans="1:20" ht="15" thickBot="1" x14ac:dyDescent="0.35">
      <c r="A651" s="117"/>
      <c r="B651" s="109"/>
      <c r="C651" s="112"/>
      <c r="D651" s="113"/>
      <c r="E651" s="116"/>
      <c r="F651" s="21" t="s">
        <v>35</v>
      </c>
      <c r="G651" s="19" t="e">
        <f>(G650-G649)/G650</f>
        <v>#DIV/0!</v>
      </c>
      <c r="H651" s="19" t="e">
        <f t="shared" ref="H651:S651" si="527">(H650-H649)/H650</f>
        <v>#DIV/0!</v>
      </c>
      <c r="I651" s="19" t="e">
        <f t="shared" si="527"/>
        <v>#DIV/0!</v>
      </c>
      <c r="J651" s="19" t="e">
        <f t="shared" si="527"/>
        <v>#DIV/0!</v>
      </c>
      <c r="K651" s="19" t="e">
        <f t="shared" si="527"/>
        <v>#DIV/0!</v>
      </c>
      <c r="L651" s="19" t="e">
        <f t="shared" si="527"/>
        <v>#DIV/0!</v>
      </c>
      <c r="M651" s="19" t="e">
        <f t="shared" si="527"/>
        <v>#DIV/0!</v>
      </c>
      <c r="N651" s="19" t="e">
        <f t="shared" si="527"/>
        <v>#DIV/0!</v>
      </c>
      <c r="O651" s="19" t="e">
        <f t="shared" si="527"/>
        <v>#DIV/0!</v>
      </c>
      <c r="P651" s="19" t="e">
        <f t="shared" si="527"/>
        <v>#DIV/0!</v>
      </c>
      <c r="Q651" s="19" t="e">
        <f t="shared" si="527"/>
        <v>#DIV/0!</v>
      </c>
      <c r="R651" s="25" t="e">
        <f t="shared" si="527"/>
        <v>#DIV/0!</v>
      </c>
      <c r="S651" s="21" t="e">
        <f t="shared" si="527"/>
        <v>#DIV/0!</v>
      </c>
      <c r="T651" s="22" t="e">
        <f t="shared" ref="T651" si="528">T650/T649</f>
        <v>#DIV/0!</v>
      </c>
    </row>
    <row r="652" spans="1:20" x14ac:dyDescent="0.3">
      <c r="A652" s="104">
        <v>60</v>
      </c>
      <c r="B652" s="107"/>
      <c r="C652" s="110"/>
      <c r="D652" s="110"/>
      <c r="E652" s="114"/>
      <c r="F652" s="11" t="s">
        <v>25</v>
      </c>
      <c r="G652" s="23"/>
      <c r="H652" s="23"/>
      <c r="I652" s="23"/>
      <c r="J652" s="23"/>
      <c r="K652" s="9"/>
      <c r="L652" s="9"/>
      <c r="M652" s="9"/>
      <c r="N652" s="9"/>
      <c r="O652" s="9"/>
      <c r="P652" s="23"/>
      <c r="Q652" s="23"/>
      <c r="R652" s="24"/>
      <c r="S652" s="11">
        <f>SUMIF($G$4:$R$4,"&gt;=0",G652:R652)</f>
        <v>0</v>
      </c>
      <c r="T652" s="10">
        <f>SUM(G652:R652)</f>
        <v>0</v>
      </c>
    </row>
    <row r="653" spans="1:20" x14ac:dyDescent="0.3">
      <c r="A653" s="105"/>
      <c r="B653" s="108"/>
      <c r="C653" s="111"/>
      <c r="D653" s="111"/>
      <c r="E653" s="115"/>
      <c r="F653" s="12" t="s">
        <v>26</v>
      </c>
      <c r="G653" s="14"/>
      <c r="H653" s="14"/>
      <c r="I653" s="14"/>
      <c r="J653" s="14"/>
      <c r="K653" s="13"/>
      <c r="L653" s="13"/>
      <c r="M653" s="13"/>
      <c r="N653" s="13"/>
      <c r="O653" s="13"/>
      <c r="P653" s="14"/>
      <c r="Q653" s="14"/>
      <c r="R653" s="30"/>
      <c r="S653" s="16">
        <f>SUMIF($G$4:$R$4,"&gt;=0",G653:R653)</f>
        <v>0</v>
      </c>
      <c r="T653" s="17">
        <f t="shared" ref="T653" si="529">SUM(G653:R653)</f>
        <v>0</v>
      </c>
    </row>
    <row r="654" spans="1:20" ht="15" thickBot="1" x14ac:dyDescent="0.35">
      <c r="A654" s="105"/>
      <c r="B654" s="108"/>
      <c r="C654" s="111"/>
      <c r="D654" s="111"/>
      <c r="E654" s="115"/>
      <c r="F654" s="18" t="s">
        <v>27</v>
      </c>
      <c r="G654" s="19" t="e">
        <f>G653/G652</f>
        <v>#DIV/0!</v>
      </c>
      <c r="H654" s="19" t="e">
        <f t="shared" ref="H654:T654" si="530">H653/H652</f>
        <v>#DIV/0!</v>
      </c>
      <c r="I654" s="19" t="e">
        <f t="shared" si="530"/>
        <v>#DIV/0!</v>
      </c>
      <c r="J654" s="19" t="e">
        <f t="shared" si="530"/>
        <v>#DIV/0!</v>
      </c>
      <c r="K654" s="19" t="e">
        <f t="shared" si="530"/>
        <v>#DIV/0!</v>
      </c>
      <c r="L654" s="19" t="e">
        <f t="shared" si="530"/>
        <v>#DIV/0!</v>
      </c>
      <c r="M654" s="19" t="e">
        <f t="shared" si="530"/>
        <v>#DIV/0!</v>
      </c>
      <c r="N654" s="19" t="e">
        <f t="shared" si="530"/>
        <v>#DIV/0!</v>
      </c>
      <c r="O654" s="19" t="e">
        <f t="shared" si="530"/>
        <v>#DIV/0!</v>
      </c>
      <c r="P654" s="19" t="e">
        <f t="shared" si="530"/>
        <v>#DIV/0!</v>
      </c>
      <c r="Q654" s="19" t="e">
        <f t="shared" si="530"/>
        <v>#DIV/0!</v>
      </c>
      <c r="R654" s="25" t="e">
        <f t="shared" si="530"/>
        <v>#DIV/0!</v>
      </c>
      <c r="S654" s="21" t="e">
        <f t="shared" si="530"/>
        <v>#DIV/0!</v>
      </c>
      <c r="T654" s="22" t="e">
        <f t="shared" si="530"/>
        <v>#DIV/0!</v>
      </c>
    </row>
    <row r="655" spans="1:20" x14ac:dyDescent="0.3">
      <c r="A655" s="105"/>
      <c r="B655" s="108"/>
      <c r="C655" s="111"/>
      <c r="D655" s="111"/>
      <c r="E655" s="115"/>
      <c r="F655" s="11" t="s">
        <v>28</v>
      </c>
      <c r="G655" s="23"/>
      <c r="H655" s="23"/>
      <c r="I655" s="23"/>
      <c r="J655" s="23"/>
      <c r="K655" s="9"/>
      <c r="L655" s="9"/>
      <c r="M655" s="9"/>
      <c r="N655" s="9"/>
      <c r="O655" s="9"/>
      <c r="P655" s="23"/>
      <c r="Q655" s="23"/>
      <c r="R655" s="24"/>
      <c r="S655" s="11">
        <f>SUMIF($G$4:$R$4,"&gt;=0",G655:R655)</f>
        <v>0</v>
      </c>
      <c r="T655" s="10">
        <f>SUM(G655:R655)</f>
        <v>0</v>
      </c>
    </row>
    <row r="656" spans="1:20" ht="15" thickBot="1" x14ac:dyDescent="0.35">
      <c r="A656" s="105"/>
      <c r="B656" s="108"/>
      <c r="C656" s="111"/>
      <c r="D656" s="111"/>
      <c r="E656" s="115"/>
      <c r="F656" s="18" t="s">
        <v>29</v>
      </c>
      <c r="G656" s="19" t="e">
        <f>(G653-G655)/G653</f>
        <v>#DIV/0!</v>
      </c>
      <c r="H656" s="19" t="e">
        <f t="shared" ref="H656:S656" si="531">(H653-H655)/H653</f>
        <v>#DIV/0!</v>
      </c>
      <c r="I656" s="19" t="e">
        <f t="shared" si="531"/>
        <v>#DIV/0!</v>
      </c>
      <c r="J656" s="19" t="e">
        <f t="shared" si="531"/>
        <v>#DIV/0!</v>
      </c>
      <c r="K656" s="19" t="e">
        <f t="shared" si="531"/>
        <v>#DIV/0!</v>
      </c>
      <c r="L656" s="19" t="e">
        <f t="shared" si="531"/>
        <v>#DIV/0!</v>
      </c>
      <c r="M656" s="19" t="e">
        <f t="shared" si="531"/>
        <v>#DIV/0!</v>
      </c>
      <c r="N656" s="19" t="e">
        <f t="shared" si="531"/>
        <v>#DIV/0!</v>
      </c>
      <c r="O656" s="19" t="e">
        <f t="shared" si="531"/>
        <v>#DIV/0!</v>
      </c>
      <c r="P656" s="19" t="e">
        <f t="shared" si="531"/>
        <v>#DIV/0!</v>
      </c>
      <c r="Q656" s="19" t="e">
        <f t="shared" si="531"/>
        <v>#DIV/0!</v>
      </c>
      <c r="R656" s="25" t="e">
        <f t="shared" si="531"/>
        <v>#DIV/0!</v>
      </c>
      <c r="S656" s="21" t="e">
        <f t="shared" si="531"/>
        <v>#DIV/0!</v>
      </c>
      <c r="T656" s="22" t="e">
        <f t="shared" ref="T656" si="532">T653/T655</f>
        <v>#DIV/0!</v>
      </c>
    </row>
    <row r="657" spans="1:20" x14ac:dyDescent="0.3">
      <c r="A657" s="105"/>
      <c r="B657" s="108"/>
      <c r="C657" s="111"/>
      <c r="D657" s="111"/>
      <c r="E657" s="115"/>
      <c r="F657" s="26" t="s">
        <v>30</v>
      </c>
      <c r="G657" s="23"/>
      <c r="H657" s="23"/>
      <c r="I657" s="23"/>
      <c r="J657" s="23"/>
      <c r="K657" s="9"/>
      <c r="L657" s="9"/>
      <c r="M657" s="9"/>
      <c r="N657" s="9"/>
      <c r="O657" s="9"/>
      <c r="P657" s="23"/>
      <c r="Q657" s="23"/>
      <c r="R657" s="24"/>
      <c r="S657" s="11">
        <f>SUMIF($G$4:$R$4,"&gt;=0",G657:R657)</f>
        <v>0</v>
      </c>
      <c r="T657" s="10">
        <f>SUM(G657:R657)</f>
        <v>0</v>
      </c>
    </row>
    <row r="658" spans="1:20" x14ac:dyDescent="0.3">
      <c r="A658" s="105"/>
      <c r="B658" s="108"/>
      <c r="C658" s="111"/>
      <c r="D658" s="111"/>
      <c r="E658" s="115"/>
      <c r="F658" s="29" t="s">
        <v>31</v>
      </c>
      <c r="G658" s="14"/>
      <c r="H658" s="14"/>
      <c r="I658" s="14"/>
      <c r="J658" s="14"/>
      <c r="K658" s="13"/>
      <c r="L658" s="13"/>
      <c r="M658" s="13"/>
      <c r="N658" s="13"/>
      <c r="O658" s="13"/>
      <c r="P658" s="14"/>
      <c r="Q658" s="14"/>
      <c r="R658" s="30"/>
      <c r="S658" s="16">
        <f>SUMIF($G$4:$R$4,"&gt;=0",G658:R658)</f>
        <v>0</v>
      </c>
      <c r="T658" s="17">
        <f t="shared" ref="T658" si="533">SUM(G658:R658)</f>
        <v>0</v>
      </c>
    </row>
    <row r="659" spans="1:20" ht="15" thickBot="1" x14ac:dyDescent="0.35">
      <c r="A659" s="105"/>
      <c r="B659" s="108"/>
      <c r="C659" s="111"/>
      <c r="D659" s="111"/>
      <c r="E659" s="115"/>
      <c r="F659" s="18" t="s">
        <v>32</v>
      </c>
      <c r="G659" s="19" t="e">
        <f>(G657-G658)/G657</f>
        <v>#DIV/0!</v>
      </c>
      <c r="H659" s="19" t="e">
        <f t="shared" ref="H659:S659" si="534">(H657-H658)/H657</f>
        <v>#DIV/0!</v>
      </c>
      <c r="I659" s="19" t="e">
        <f t="shared" si="534"/>
        <v>#DIV/0!</v>
      </c>
      <c r="J659" s="19" t="e">
        <f t="shared" si="534"/>
        <v>#DIV/0!</v>
      </c>
      <c r="K659" s="19" t="e">
        <f t="shared" si="534"/>
        <v>#DIV/0!</v>
      </c>
      <c r="L659" s="19" t="e">
        <f t="shared" si="534"/>
        <v>#DIV/0!</v>
      </c>
      <c r="M659" s="19" t="e">
        <f t="shared" si="534"/>
        <v>#DIV/0!</v>
      </c>
      <c r="N659" s="19" t="e">
        <f t="shared" si="534"/>
        <v>#DIV/0!</v>
      </c>
      <c r="O659" s="19" t="e">
        <f t="shared" si="534"/>
        <v>#DIV/0!</v>
      </c>
      <c r="P659" s="19" t="e">
        <f t="shared" si="534"/>
        <v>#DIV/0!</v>
      </c>
      <c r="Q659" s="19" t="e">
        <f t="shared" si="534"/>
        <v>#DIV/0!</v>
      </c>
      <c r="R659" s="25" t="e">
        <f t="shared" si="534"/>
        <v>#DIV/0!</v>
      </c>
      <c r="S659" s="21" t="e">
        <f t="shared" si="534"/>
        <v>#DIV/0!</v>
      </c>
      <c r="T659" s="22" t="e">
        <f t="shared" ref="T659" si="535">T657/T658</f>
        <v>#DIV/0!</v>
      </c>
    </row>
    <row r="660" spans="1:20" x14ac:dyDescent="0.3">
      <c r="A660" s="105"/>
      <c r="B660" s="108"/>
      <c r="C660" s="111"/>
      <c r="D660" s="111"/>
      <c r="E660" s="115"/>
      <c r="F660" s="31" t="s">
        <v>33</v>
      </c>
      <c r="G660" s="23"/>
      <c r="H660" s="23"/>
      <c r="I660" s="23"/>
      <c r="J660" s="23"/>
      <c r="K660" s="9"/>
      <c r="L660" s="9"/>
      <c r="M660" s="9"/>
      <c r="N660" s="9"/>
      <c r="O660" s="9"/>
      <c r="P660" s="23"/>
      <c r="Q660" s="23"/>
      <c r="R660" s="24"/>
      <c r="S660" s="11">
        <f>SUMIF($G$4:$R$4,"&gt;=0",G660:R660)</f>
        <v>0</v>
      </c>
      <c r="T660" s="10">
        <f>SUM(G660:R660)</f>
        <v>0</v>
      </c>
    </row>
    <row r="661" spans="1:20" x14ac:dyDescent="0.3">
      <c r="A661" s="105"/>
      <c r="B661" s="108"/>
      <c r="C661" s="111"/>
      <c r="D661" s="111"/>
      <c r="E661" s="115"/>
      <c r="F661" s="32" t="s">
        <v>34</v>
      </c>
      <c r="G661" s="14"/>
      <c r="H661" s="14"/>
      <c r="I661" s="14"/>
      <c r="J661" s="14"/>
      <c r="K661" s="13"/>
      <c r="L661" s="13"/>
      <c r="M661" s="13"/>
      <c r="N661" s="13"/>
      <c r="O661" s="13"/>
      <c r="P661" s="14"/>
      <c r="Q661" s="14"/>
      <c r="R661" s="30"/>
      <c r="S661" s="16">
        <f>SUMIF($G$4:$R$4,"&gt;=0",G661:R661)</f>
        <v>0</v>
      </c>
      <c r="T661" s="17">
        <f>SUM(G661:R661)</f>
        <v>0</v>
      </c>
    </row>
    <row r="662" spans="1:20" ht="15" thickBot="1" x14ac:dyDescent="0.35">
      <c r="A662" s="106"/>
      <c r="B662" s="109"/>
      <c r="C662" s="112"/>
      <c r="D662" s="113"/>
      <c r="E662" s="116"/>
      <c r="F662" s="21" t="s">
        <v>35</v>
      </c>
      <c r="G662" s="19" t="e">
        <f>(G661-G660)/G661</f>
        <v>#DIV/0!</v>
      </c>
      <c r="H662" s="19" t="e">
        <f t="shared" ref="H662:S662" si="536">(H661-H660)/H661</f>
        <v>#DIV/0!</v>
      </c>
      <c r="I662" s="19" t="e">
        <f t="shared" si="536"/>
        <v>#DIV/0!</v>
      </c>
      <c r="J662" s="19" t="e">
        <f t="shared" si="536"/>
        <v>#DIV/0!</v>
      </c>
      <c r="K662" s="19" t="e">
        <f t="shared" si="536"/>
        <v>#DIV/0!</v>
      </c>
      <c r="L662" s="19" t="e">
        <f t="shared" si="536"/>
        <v>#DIV/0!</v>
      </c>
      <c r="M662" s="19" t="e">
        <f t="shared" si="536"/>
        <v>#DIV/0!</v>
      </c>
      <c r="N662" s="19" t="e">
        <f t="shared" si="536"/>
        <v>#DIV/0!</v>
      </c>
      <c r="O662" s="19" t="e">
        <f t="shared" si="536"/>
        <v>#DIV/0!</v>
      </c>
      <c r="P662" s="19" t="e">
        <f t="shared" si="536"/>
        <v>#DIV/0!</v>
      </c>
      <c r="Q662" s="19" t="e">
        <f t="shared" si="536"/>
        <v>#DIV/0!</v>
      </c>
      <c r="R662" s="25" t="e">
        <f t="shared" si="536"/>
        <v>#DIV/0!</v>
      </c>
      <c r="S662" s="21" t="e">
        <f t="shared" si="536"/>
        <v>#DIV/0!</v>
      </c>
      <c r="T662" s="22" t="e">
        <f t="shared" ref="T662" si="537">T661/T660</f>
        <v>#DIV/0!</v>
      </c>
    </row>
    <row r="663" spans="1:20" x14ac:dyDescent="0.3">
      <c r="A663" s="104">
        <v>61</v>
      </c>
      <c r="B663" s="107"/>
      <c r="C663" s="110"/>
      <c r="D663" s="110"/>
      <c r="E663" s="114"/>
      <c r="F663" s="11" t="s">
        <v>25</v>
      </c>
      <c r="G663" s="23"/>
      <c r="H663" s="23"/>
      <c r="I663" s="23"/>
      <c r="J663" s="23"/>
      <c r="K663" s="9"/>
      <c r="L663" s="9"/>
      <c r="M663" s="9"/>
      <c r="N663" s="9"/>
      <c r="O663" s="9"/>
      <c r="P663" s="23"/>
      <c r="Q663" s="23"/>
      <c r="R663" s="24"/>
      <c r="S663" s="11">
        <f>SUMIF($G$4:$R$4,"&gt;=0",G663:R663)</f>
        <v>0</v>
      </c>
      <c r="T663" s="10">
        <f>SUM(G663:R663)</f>
        <v>0</v>
      </c>
    </row>
    <row r="664" spans="1:20" x14ac:dyDescent="0.3">
      <c r="A664" s="105"/>
      <c r="B664" s="108"/>
      <c r="C664" s="111"/>
      <c r="D664" s="111"/>
      <c r="E664" s="115"/>
      <c r="F664" s="12" t="s">
        <v>26</v>
      </c>
      <c r="G664" s="14"/>
      <c r="H664" s="14"/>
      <c r="I664" s="14"/>
      <c r="J664" s="14"/>
      <c r="K664" s="13"/>
      <c r="L664" s="13"/>
      <c r="M664" s="13"/>
      <c r="N664" s="13"/>
      <c r="O664" s="13"/>
      <c r="P664" s="14"/>
      <c r="Q664" s="14"/>
      <c r="R664" s="30"/>
      <c r="S664" s="16">
        <f>SUMIF($G$4:$R$4,"&gt;=0",G664:R664)</f>
        <v>0</v>
      </c>
      <c r="T664" s="17">
        <f t="shared" ref="T664" si="538">SUM(G664:R664)</f>
        <v>0</v>
      </c>
    </row>
    <row r="665" spans="1:20" ht="15" thickBot="1" x14ac:dyDescent="0.35">
      <c r="A665" s="105"/>
      <c r="B665" s="108"/>
      <c r="C665" s="111"/>
      <c r="D665" s="111"/>
      <c r="E665" s="115"/>
      <c r="F665" s="18" t="s">
        <v>27</v>
      </c>
      <c r="G665" s="19" t="e">
        <f>G664/G663</f>
        <v>#DIV/0!</v>
      </c>
      <c r="H665" s="19" t="e">
        <f t="shared" ref="H665:T665" si="539">H664/H663</f>
        <v>#DIV/0!</v>
      </c>
      <c r="I665" s="19" t="e">
        <f t="shared" si="539"/>
        <v>#DIV/0!</v>
      </c>
      <c r="J665" s="19" t="e">
        <f t="shared" si="539"/>
        <v>#DIV/0!</v>
      </c>
      <c r="K665" s="19" t="e">
        <f t="shared" si="539"/>
        <v>#DIV/0!</v>
      </c>
      <c r="L665" s="19" t="e">
        <f t="shared" si="539"/>
        <v>#DIV/0!</v>
      </c>
      <c r="M665" s="19" t="e">
        <f t="shared" si="539"/>
        <v>#DIV/0!</v>
      </c>
      <c r="N665" s="19" t="e">
        <f t="shared" si="539"/>
        <v>#DIV/0!</v>
      </c>
      <c r="O665" s="19" t="e">
        <f t="shared" si="539"/>
        <v>#DIV/0!</v>
      </c>
      <c r="P665" s="19" t="e">
        <f t="shared" si="539"/>
        <v>#DIV/0!</v>
      </c>
      <c r="Q665" s="19" t="e">
        <f t="shared" si="539"/>
        <v>#DIV/0!</v>
      </c>
      <c r="R665" s="25" t="e">
        <f t="shared" si="539"/>
        <v>#DIV/0!</v>
      </c>
      <c r="S665" s="21" t="e">
        <f t="shared" si="539"/>
        <v>#DIV/0!</v>
      </c>
      <c r="T665" s="22" t="e">
        <f t="shared" si="539"/>
        <v>#DIV/0!</v>
      </c>
    </row>
    <row r="666" spans="1:20" x14ac:dyDescent="0.3">
      <c r="A666" s="105"/>
      <c r="B666" s="108"/>
      <c r="C666" s="111"/>
      <c r="D666" s="111"/>
      <c r="E666" s="115"/>
      <c r="F666" s="11" t="s">
        <v>28</v>
      </c>
      <c r="G666" s="23"/>
      <c r="H666" s="23"/>
      <c r="I666" s="23"/>
      <c r="J666" s="23"/>
      <c r="K666" s="9"/>
      <c r="L666" s="9"/>
      <c r="M666" s="9"/>
      <c r="N666" s="9"/>
      <c r="O666" s="9"/>
      <c r="P666" s="23"/>
      <c r="Q666" s="23"/>
      <c r="R666" s="24"/>
      <c r="S666" s="11">
        <f>SUMIF($G$4:$R$4,"&gt;=0",G666:R666)</f>
        <v>0</v>
      </c>
      <c r="T666" s="10">
        <f>SUM(G666:R666)</f>
        <v>0</v>
      </c>
    </row>
    <row r="667" spans="1:20" ht="15" thickBot="1" x14ac:dyDescent="0.35">
      <c r="A667" s="105"/>
      <c r="B667" s="108"/>
      <c r="C667" s="111"/>
      <c r="D667" s="111"/>
      <c r="E667" s="115"/>
      <c r="F667" s="18" t="s">
        <v>29</v>
      </c>
      <c r="G667" s="19" t="e">
        <f>(G664-G666)/G664</f>
        <v>#DIV/0!</v>
      </c>
      <c r="H667" s="19" t="e">
        <f t="shared" ref="H667:S667" si="540">(H664-H666)/H664</f>
        <v>#DIV/0!</v>
      </c>
      <c r="I667" s="19" t="e">
        <f t="shared" si="540"/>
        <v>#DIV/0!</v>
      </c>
      <c r="J667" s="19" t="e">
        <f t="shared" si="540"/>
        <v>#DIV/0!</v>
      </c>
      <c r="K667" s="19" t="e">
        <f t="shared" si="540"/>
        <v>#DIV/0!</v>
      </c>
      <c r="L667" s="19" t="e">
        <f t="shared" si="540"/>
        <v>#DIV/0!</v>
      </c>
      <c r="M667" s="19" t="e">
        <f t="shared" si="540"/>
        <v>#DIV/0!</v>
      </c>
      <c r="N667" s="19" t="e">
        <f t="shared" si="540"/>
        <v>#DIV/0!</v>
      </c>
      <c r="O667" s="19" t="e">
        <f t="shared" si="540"/>
        <v>#DIV/0!</v>
      </c>
      <c r="P667" s="19" t="e">
        <f t="shared" si="540"/>
        <v>#DIV/0!</v>
      </c>
      <c r="Q667" s="19" t="e">
        <f t="shared" si="540"/>
        <v>#DIV/0!</v>
      </c>
      <c r="R667" s="25" t="e">
        <f t="shared" si="540"/>
        <v>#DIV/0!</v>
      </c>
      <c r="S667" s="21" t="e">
        <f t="shared" si="540"/>
        <v>#DIV/0!</v>
      </c>
      <c r="T667" s="22" t="e">
        <f t="shared" ref="T667" si="541">T664/T666</f>
        <v>#DIV/0!</v>
      </c>
    </row>
    <row r="668" spans="1:20" x14ac:dyDescent="0.3">
      <c r="A668" s="105"/>
      <c r="B668" s="108"/>
      <c r="C668" s="111"/>
      <c r="D668" s="111"/>
      <c r="E668" s="115"/>
      <c r="F668" s="26" t="s">
        <v>30</v>
      </c>
      <c r="G668" s="23"/>
      <c r="H668" s="23"/>
      <c r="I668" s="23"/>
      <c r="J668" s="23"/>
      <c r="K668" s="9"/>
      <c r="L668" s="9"/>
      <c r="M668" s="9"/>
      <c r="N668" s="9"/>
      <c r="O668" s="9"/>
      <c r="P668" s="23"/>
      <c r="Q668" s="23"/>
      <c r="R668" s="24"/>
      <c r="S668" s="11">
        <f>SUMIF($G$4:$R$4,"&gt;=0",G668:R668)</f>
        <v>0</v>
      </c>
      <c r="T668" s="10">
        <f>SUM(G668:R668)</f>
        <v>0</v>
      </c>
    </row>
    <row r="669" spans="1:20" x14ac:dyDescent="0.3">
      <c r="A669" s="105"/>
      <c r="B669" s="108"/>
      <c r="C669" s="111"/>
      <c r="D669" s="111"/>
      <c r="E669" s="115"/>
      <c r="F669" s="29" t="s">
        <v>31</v>
      </c>
      <c r="G669" s="14"/>
      <c r="H669" s="14"/>
      <c r="I669" s="14"/>
      <c r="J669" s="14"/>
      <c r="K669" s="13"/>
      <c r="L669" s="13"/>
      <c r="M669" s="13"/>
      <c r="N669" s="13"/>
      <c r="O669" s="13"/>
      <c r="P669" s="14"/>
      <c r="Q669" s="14"/>
      <c r="R669" s="30"/>
      <c r="S669" s="16">
        <f>SUMIF($G$4:$R$4,"&gt;=0",G669:R669)</f>
        <v>0</v>
      </c>
      <c r="T669" s="17">
        <f t="shared" ref="T669" si="542">SUM(G669:R669)</f>
        <v>0</v>
      </c>
    </row>
    <row r="670" spans="1:20" ht="15" thickBot="1" x14ac:dyDescent="0.35">
      <c r="A670" s="105"/>
      <c r="B670" s="108"/>
      <c r="C670" s="111"/>
      <c r="D670" s="111"/>
      <c r="E670" s="115"/>
      <c r="F670" s="18" t="s">
        <v>32</v>
      </c>
      <c r="G670" s="19" t="e">
        <f>(G668-G669)/G668</f>
        <v>#DIV/0!</v>
      </c>
      <c r="H670" s="19" t="e">
        <f t="shared" ref="H670:S670" si="543">(H668-H669)/H668</f>
        <v>#DIV/0!</v>
      </c>
      <c r="I670" s="19" t="e">
        <f t="shared" si="543"/>
        <v>#DIV/0!</v>
      </c>
      <c r="J670" s="19" t="e">
        <f t="shared" si="543"/>
        <v>#DIV/0!</v>
      </c>
      <c r="K670" s="19" t="e">
        <f t="shared" si="543"/>
        <v>#DIV/0!</v>
      </c>
      <c r="L670" s="19" t="e">
        <f t="shared" si="543"/>
        <v>#DIV/0!</v>
      </c>
      <c r="M670" s="19" t="e">
        <f t="shared" si="543"/>
        <v>#DIV/0!</v>
      </c>
      <c r="N670" s="19" t="e">
        <f t="shared" si="543"/>
        <v>#DIV/0!</v>
      </c>
      <c r="O670" s="19" t="e">
        <f t="shared" si="543"/>
        <v>#DIV/0!</v>
      </c>
      <c r="P670" s="19" t="e">
        <f t="shared" si="543"/>
        <v>#DIV/0!</v>
      </c>
      <c r="Q670" s="19" t="e">
        <f t="shared" si="543"/>
        <v>#DIV/0!</v>
      </c>
      <c r="R670" s="25" t="e">
        <f t="shared" si="543"/>
        <v>#DIV/0!</v>
      </c>
      <c r="S670" s="21" t="e">
        <f t="shared" si="543"/>
        <v>#DIV/0!</v>
      </c>
      <c r="T670" s="22" t="e">
        <f t="shared" ref="T670" si="544">T668/T669</f>
        <v>#DIV/0!</v>
      </c>
    </row>
    <row r="671" spans="1:20" x14ac:dyDescent="0.3">
      <c r="A671" s="105"/>
      <c r="B671" s="108"/>
      <c r="C671" s="111"/>
      <c r="D671" s="111"/>
      <c r="E671" s="115"/>
      <c r="F671" s="31" t="s">
        <v>33</v>
      </c>
      <c r="G671" s="23"/>
      <c r="H671" s="23"/>
      <c r="I671" s="23"/>
      <c r="J671" s="23"/>
      <c r="K671" s="9"/>
      <c r="L671" s="9"/>
      <c r="M671" s="9"/>
      <c r="N671" s="9"/>
      <c r="O671" s="9"/>
      <c r="P671" s="23"/>
      <c r="Q671" s="23"/>
      <c r="R671" s="24"/>
      <c r="S671" s="11">
        <f>SUMIF($G$4:$R$4,"&gt;=0",G671:R671)</f>
        <v>0</v>
      </c>
      <c r="T671" s="10">
        <f>SUM(G671:R671)</f>
        <v>0</v>
      </c>
    </row>
    <row r="672" spans="1:20" x14ac:dyDescent="0.3">
      <c r="A672" s="105"/>
      <c r="B672" s="108"/>
      <c r="C672" s="111"/>
      <c r="D672" s="111"/>
      <c r="E672" s="115"/>
      <c r="F672" s="32" t="s">
        <v>34</v>
      </c>
      <c r="G672" s="14"/>
      <c r="H672" s="14"/>
      <c r="I672" s="14"/>
      <c r="J672" s="14"/>
      <c r="K672" s="13"/>
      <c r="L672" s="13"/>
      <c r="M672" s="13"/>
      <c r="N672" s="13"/>
      <c r="O672" s="13"/>
      <c r="P672" s="14"/>
      <c r="Q672" s="14"/>
      <c r="R672" s="30"/>
      <c r="S672" s="16">
        <f>SUMIF($G$4:$R$4,"&gt;=0",G672:R672)</f>
        <v>0</v>
      </c>
      <c r="T672" s="17">
        <f>SUM(G672:R672)</f>
        <v>0</v>
      </c>
    </row>
    <row r="673" spans="1:20" ht="15" thickBot="1" x14ac:dyDescent="0.35">
      <c r="A673" s="117"/>
      <c r="B673" s="109"/>
      <c r="C673" s="112"/>
      <c r="D673" s="113"/>
      <c r="E673" s="116"/>
      <c r="F673" s="21" t="s">
        <v>35</v>
      </c>
      <c r="G673" s="19" t="e">
        <f>(G672-G671)/G672</f>
        <v>#DIV/0!</v>
      </c>
      <c r="H673" s="19" t="e">
        <f t="shared" ref="H673:S673" si="545">(H672-H671)/H672</f>
        <v>#DIV/0!</v>
      </c>
      <c r="I673" s="19" t="e">
        <f t="shared" si="545"/>
        <v>#DIV/0!</v>
      </c>
      <c r="J673" s="19" t="e">
        <f t="shared" si="545"/>
        <v>#DIV/0!</v>
      </c>
      <c r="K673" s="19" t="e">
        <f t="shared" si="545"/>
        <v>#DIV/0!</v>
      </c>
      <c r="L673" s="19" t="e">
        <f t="shared" si="545"/>
        <v>#DIV/0!</v>
      </c>
      <c r="M673" s="19" t="e">
        <f t="shared" si="545"/>
        <v>#DIV/0!</v>
      </c>
      <c r="N673" s="19" t="e">
        <f t="shared" si="545"/>
        <v>#DIV/0!</v>
      </c>
      <c r="O673" s="19" t="e">
        <f t="shared" si="545"/>
        <v>#DIV/0!</v>
      </c>
      <c r="P673" s="19" t="e">
        <f t="shared" si="545"/>
        <v>#DIV/0!</v>
      </c>
      <c r="Q673" s="19" t="e">
        <f t="shared" si="545"/>
        <v>#DIV/0!</v>
      </c>
      <c r="R673" s="25" t="e">
        <f t="shared" si="545"/>
        <v>#DIV/0!</v>
      </c>
      <c r="S673" s="21" t="e">
        <f t="shared" si="545"/>
        <v>#DIV/0!</v>
      </c>
      <c r="T673" s="22" t="e">
        <f t="shared" ref="T673" si="546">T672/T671</f>
        <v>#DIV/0!</v>
      </c>
    </row>
    <row r="674" spans="1:20" x14ac:dyDescent="0.3">
      <c r="A674" s="104">
        <v>62</v>
      </c>
      <c r="B674" s="107"/>
      <c r="C674" s="110"/>
      <c r="D674" s="110"/>
      <c r="E674" s="114"/>
      <c r="F674" s="11" t="s">
        <v>25</v>
      </c>
      <c r="G674" s="23"/>
      <c r="H674" s="23"/>
      <c r="I674" s="23"/>
      <c r="J674" s="23"/>
      <c r="K674" s="9"/>
      <c r="L674" s="9"/>
      <c r="M674" s="9"/>
      <c r="N674" s="9"/>
      <c r="O674" s="9"/>
      <c r="P674" s="23"/>
      <c r="Q674" s="23"/>
      <c r="R674" s="24"/>
      <c r="S674" s="11">
        <f>SUMIF($G$4:$R$4,"&gt;=0",G674:R674)</f>
        <v>0</v>
      </c>
      <c r="T674" s="10">
        <f>SUM(G674:R674)</f>
        <v>0</v>
      </c>
    </row>
    <row r="675" spans="1:20" x14ac:dyDescent="0.3">
      <c r="A675" s="105"/>
      <c r="B675" s="108"/>
      <c r="C675" s="111"/>
      <c r="D675" s="111"/>
      <c r="E675" s="115"/>
      <c r="F675" s="12" t="s">
        <v>26</v>
      </c>
      <c r="G675" s="14"/>
      <c r="H675" s="14"/>
      <c r="I675" s="14"/>
      <c r="J675" s="14"/>
      <c r="K675" s="13"/>
      <c r="L675" s="13"/>
      <c r="M675" s="13"/>
      <c r="N675" s="13"/>
      <c r="O675" s="13"/>
      <c r="P675" s="14"/>
      <c r="Q675" s="14"/>
      <c r="R675" s="30"/>
      <c r="S675" s="16">
        <f>SUMIF($G$4:$R$4,"&gt;=0",G675:R675)</f>
        <v>0</v>
      </c>
      <c r="T675" s="17">
        <f t="shared" ref="T675" si="547">SUM(G675:R675)</f>
        <v>0</v>
      </c>
    </row>
    <row r="676" spans="1:20" ht="15" thickBot="1" x14ac:dyDescent="0.35">
      <c r="A676" s="105"/>
      <c r="B676" s="108"/>
      <c r="C676" s="111"/>
      <c r="D676" s="111"/>
      <c r="E676" s="115"/>
      <c r="F676" s="18" t="s">
        <v>27</v>
      </c>
      <c r="G676" s="19" t="e">
        <f>G675/G674</f>
        <v>#DIV/0!</v>
      </c>
      <c r="H676" s="19" t="e">
        <f t="shared" ref="H676:T676" si="548">H675/H674</f>
        <v>#DIV/0!</v>
      </c>
      <c r="I676" s="19" t="e">
        <f t="shared" si="548"/>
        <v>#DIV/0!</v>
      </c>
      <c r="J676" s="19" t="e">
        <f t="shared" si="548"/>
        <v>#DIV/0!</v>
      </c>
      <c r="K676" s="19" t="e">
        <f t="shared" si="548"/>
        <v>#DIV/0!</v>
      </c>
      <c r="L676" s="19" t="e">
        <f t="shared" si="548"/>
        <v>#DIV/0!</v>
      </c>
      <c r="M676" s="19" t="e">
        <f t="shared" si="548"/>
        <v>#DIV/0!</v>
      </c>
      <c r="N676" s="19" t="e">
        <f t="shared" si="548"/>
        <v>#DIV/0!</v>
      </c>
      <c r="O676" s="19" t="e">
        <f t="shared" si="548"/>
        <v>#DIV/0!</v>
      </c>
      <c r="P676" s="19" t="e">
        <f t="shared" si="548"/>
        <v>#DIV/0!</v>
      </c>
      <c r="Q676" s="19" t="e">
        <f t="shared" si="548"/>
        <v>#DIV/0!</v>
      </c>
      <c r="R676" s="25" t="e">
        <f t="shared" si="548"/>
        <v>#DIV/0!</v>
      </c>
      <c r="S676" s="21" t="e">
        <f t="shared" si="548"/>
        <v>#DIV/0!</v>
      </c>
      <c r="T676" s="22" t="e">
        <f t="shared" si="548"/>
        <v>#DIV/0!</v>
      </c>
    </row>
    <row r="677" spans="1:20" x14ac:dyDescent="0.3">
      <c r="A677" s="105"/>
      <c r="B677" s="108"/>
      <c r="C677" s="111"/>
      <c r="D677" s="111"/>
      <c r="E677" s="115"/>
      <c r="F677" s="11" t="s">
        <v>28</v>
      </c>
      <c r="G677" s="23"/>
      <c r="H677" s="23"/>
      <c r="I677" s="23"/>
      <c r="J677" s="23"/>
      <c r="K677" s="9"/>
      <c r="L677" s="9"/>
      <c r="M677" s="9"/>
      <c r="N677" s="9"/>
      <c r="O677" s="9"/>
      <c r="P677" s="23"/>
      <c r="Q677" s="23"/>
      <c r="R677" s="24"/>
      <c r="S677" s="11">
        <f>SUMIF($G$4:$R$4,"&gt;=0",G677:R677)</f>
        <v>0</v>
      </c>
      <c r="T677" s="10">
        <f>SUM(G677:R677)</f>
        <v>0</v>
      </c>
    </row>
    <row r="678" spans="1:20" ht="15" thickBot="1" x14ac:dyDescent="0.35">
      <c r="A678" s="105"/>
      <c r="B678" s="108"/>
      <c r="C678" s="111"/>
      <c r="D678" s="111"/>
      <c r="E678" s="115"/>
      <c r="F678" s="18" t="s">
        <v>29</v>
      </c>
      <c r="G678" s="19" t="e">
        <f>(G675-G677)/G675</f>
        <v>#DIV/0!</v>
      </c>
      <c r="H678" s="19" t="e">
        <f t="shared" ref="H678:S678" si="549">(H675-H677)/H675</f>
        <v>#DIV/0!</v>
      </c>
      <c r="I678" s="19" t="e">
        <f t="shared" si="549"/>
        <v>#DIV/0!</v>
      </c>
      <c r="J678" s="19" t="e">
        <f t="shared" si="549"/>
        <v>#DIV/0!</v>
      </c>
      <c r="K678" s="19" t="e">
        <f t="shared" si="549"/>
        <v>#DIV/0!</v>
      </c>
      <c r="L678" s="19" t="e">
        <f t="shared" si="549"/>
        <v>#DIV/0!</v>
      </c>
      <c r="M678" s="19" t="e">
        <f t="shared" si="549"/>
        <v>#DIV/0!</v>
      </c>
      <c r="N678" s="19" t="e">
        <f t="shared" si="549"/>
        <v>#DIV/0!</v>
      </c>
      <c r="O678" s="19" t="e">
        <f t="shared" si="549"/>
        <v>#DIV/0!</v>
      </c>
      <c r="P678" s="19" t="e">
        <f t="shared" si="549"/>
        <v>#DIV/0!</v>
      </c>
      <c r="Q678" s="19" t="e">
        <f t="shared" si="549"/>
        <v>#DIV/0!</v>
      </c>
      <c r="R678" s="25" t="e">
        <f t="shared" si="549"/>
        <v>#DIV/0!</v>
      </c>
      <c r="S678" s="21" t="e">
        <f t="shared" si="549"/>
        <v>#DIV/0!</v>
      </c>
      <c r="T678" s="22" t="e">
        <f t="shared" ref="T678" si="550">T675/T677</f>
        <v>#DIV/0!</v>
      </c>
    </row>
    <row r="679" spans="1:20" x14ac:dyDescent="0.3">
      <c r="A679" s="105"/>
      <c r="B679" s="108"/>
      <c r="C679" s="111"/>
      <c r="D679" s="111"/>
      <c r="E679" s="115"/>
      <c r="F679" s="26" t="s">
        <v>30</v>
      </c>
      <c r="G679" s="23"/>
      <c r="H679" s="23"/>
      <c r="I679" s="23"/>
      <c r="J679" s="23"/>
      <c r="K679" s="9"/>
      <c r="L679" s="9"/>
      <c r="M679" s="9"/>
      <c r="N679" s="9"/>
      <c r="O679" s="9"/>
      <c r="P679" s="23"/>
      <c r="Q679" s="23"/>
      <c r="R679" s="24"/>
      <c r="S679" s="11">
        <f>SUMIF($G$4:$R$4,"&gt;=0",G679:R679)</f>
        <v>0</v>
      </c>
      <c r="T679" s="10">
        <f>SUM(G679:R679)</f>
        <v>0</v>
      </c>
    </row>
    <row r="680" spans="1:20" x14ac:dyDescent="0.3">
      <c r="A680" s="105"/>
      <c r="B680" s="108"/>
      <c r="C680" s="111"/>
      <c r="D680" s="111"/>
      <c r="E680" s="115"/>
      <c r="F680" s="29" t="s">
        <v>31</v>
      </c>
      <c r="G680" s="14"/>
      <c r="H680" s="14"/>
      <c r="I680" s="14"/>
      <c r="J680" s="14"/>
      <c r="K680" s="13"/>
      <c r="L680" s="13"/>
      <c r="M680" s="13"/>
      <c r="N680" s="13"/>
      <c r="O680" s="13"/>
      <c r="P680" s="14"/>
      <c r="Q680" s="14"/>
      <c r="R680" s="30"/>
      <c r="S680" s="16">
        <f>SUMIF($G$4:$R$4,"&gt;=0",G680:R680)</f>
        <v>0</v>
      </c>
      <c r="T680" s="17">
        <f t="shared" ref="T680" si="551">SUM(G680:R680)</f>
        <v>0</v>
      </c>
    </row>
    <row r="681" spans="1:20" ht="15" thickBot="1" x14ac:dyDescent="0.35">
      <c r="A681" s="105"/>
      <c r="B681" s="108"/>
      <c r="C681" s="111"/>
      <c r="D681" s="111"/>
      <c r="E681" s="115"/>
      <c r="F681" s="18" t="s">
        <v>32</v>
      </c>
      <c r="G681" s="19" t="e">
        <f>(G679-G680)/G679</f>
        <v>#DIV/0!</v>
      </c>
      <c r="H681" s="19" t="e">
        <f t="shared" ref="H681:S681" si="552">(H679-H680)/H679</f>
        <v>#DIV/0!</v>
      </c>
      <c r="I681" s="19" t="e">
        <f t="shared" si="552"/>
        <v>#DIV/0!</v>
      </c>
      <c r="J681" s="19" t="e">
        <f t="shared" si="552"/>
        <v>#DIV/0!</v>
      </c>
      <c r="K681" s="19" t="e">
        <f t="shared" si="552"/>
        <v>#DIV/0!</v>
      </c>
      <c r="L681" s="19" t="e">
        <f t="shared" si="552"/>
        <v>#DIV/0!</v>
      </c>
      <c r="M681" s="19" t="e">
        <f t="shared" si="552"/>
        <v>#DIV/0!</v>
      </c>
      <c r="N681" s="19" t="e">
        <f t="shared" si="552"/>
        <v>#DIV/0!</v>
      </c>
      <c r="O681" s="19" t="e">
        <f t="shared" si="552"/>
        <v>#DIV/0!</v>
      </c>
      <c r="P681" s="19" t="e">
        <f t="shared" si="552"/>
        <v>#DIV/0!</v>
      </c>
      <c r="Q681" s="19" t="e">
        <f t="shared" si="552"/>
        <v>#DIV/0!</v>
      </c>
      <c r="R681" s="25" t="e">
        <f t="shared" si="552"/>
        <v>#DIV/0!</v>
      </c>
      <c r="S681" s="21" t="e">
        <f t="shared" si="552"/>
        <v>#DIV/0!</v>
      </c>
      <c r="T681" s="22" t="e">
        <f t="shared" ref="T681" si="553">T679/T680</f>
        <v>#DIV/0!</v>
      </c>
    </row>
    <row r="682" spans="1:20" x14ac:dyDescent="0.3">
      <c r="A682" s="105"/>
      <c r="B682" s="108"/>
      <c r="C682" s="111"/>
      <c r="D682" s="111"/>
      <c r="E682" s="115"/>
      <c r="F682" s="31" t="s">
        <v>33</v>
      </c>
      <c r="G682" s="23"/>
      <c r="H682" s="23"/>
      <c r="I682" s="23"/>
      <c r="J682" s="23"/>
      <c r="K682" s="9"/>
      <c r="L682" s="9"/>
      <c r="M682" s="9"/>
      <c r="N682" s="9"/>
      <c r="O682" s="9"/>
      <c r="P682" s="23"/>
      <c r="Q682" s="23"/>
      <c r="R682" s="24"/>
      <c r="S682" s="11">
        <f>SUMIF($G$4:$R$4,"&gt;=0",G682:R682)</f>
        <v>0</v>
      </c>
      <c r="T682" s="10">
        <f>SUM(G682:R682)</f>
        <v>0</v>
      </c>
    </row>
    <row r="683" spans="1:20" x14ac:dyDescent="0.3">
      <c r="A683" s="105"/>
      <c r="B683" s="108"/>
      <c r="C683" s="111"/>
      <c r="D683" s="111"/>
      <c r="E683" s="115"/>
      <c r="F683" s="32" t="s">
        <v>34</v>
      </c>
      <c r="G683" s="14"/>
      <c r="H683" s="14"/>
      <c r="I683" s="14"/>
      <c r="J683" s="14"/>
      <c r="K683" s="13"/>
      <c r="L683" s="13"/>
      <c r="M683" s="13"/>
      <c r="N683" s="13"/>
      <c r="O683" s="13"/>
      <c r="P683" s="14"/>
      <c r="Q683" s="14"/>
      <c r="R683" s="30"/>
      <c r="S683" s="16">
        <f>SUMIF($G$4:$R$4,"&gt;=0",G683:R683)</f>
        <v>0</v>
      </c>
      <c r="T683" s="17">
        <f>SUM(G683:R683)</f>
        <v>0</v>
      </c>
    </row>
    <row r="684" spans="1:20" ht="15" thickBot="1" x14ac:dyDescent="0.35">
      <c r="A684" s="117"/>
      <c r="B684" s="109"/>
      <c r="C684" s="112"/>
      <c r="D684" s="113"/>
      <c r="E684" s="116"/>
      <c r="F684" s="21" t="s">
        <v>35</v>
      </c>
      <c r="G684" s="19" t="e">
        <f>(G683-G682)/G683</f>
        <v>#DIV/0!</v>
      </c>
      <c r="H684" s="19" t="e">
        <f t="shared" ref="H684:S684" si="554">(H683-H682)/H683</f>
        <v>#DIV/0!</v>
      </c>
      <c r="I684" s="19" t="e">
        <f t="shared" si="554"/>
        <v>#DIV/0!</v>
      </c>
      <c r="J684" s="19" t="e">
        <f t="shared" si="554"/>
        <v>#DIV/0!</v>
      </c>
      <c r="K684" s="19" t="e">
        <f t="shared" si="554"/>
        <v>#DIV/0!</v>
      </c>
      <c r="L684" s="19" t="e">
        <f t="shared" si="554"/>
        <v>#DIV/0!</v>
      </c>
      <c r="M684" s="19" t="e">
        <f t="shared" si="554"/>
        <v>#DIV/0!</v>
      </c>
      <c r="N684" s="19" t="e">
        <f t="shared" si="554"/>
        <v>#DIV/0!</v>
      </c>
      <c r="O684" s="19" t="e">
        <f t="shared" si="554"/>
        <v>#DIV/0!</v>
      </c>
      <c r="P684" s="19" t="e">
        <f t="shared" si="554"/>
        <v>#DIV/0!</v>
      </c>
      <c r="Q684" s="19" t="e">
        <f t="shared" si="554"/>
        <v>#DIV/0!</v>
      </c>
      <c r="R684" s="25" t="e">
        <f t="shared" si="554"/>
        <v>#DIV/0!</v>
      </c>
      <c r="S684" s="21" t="e">
        <f t="shared" si="554"/>
        <v>#DIV/0!</v>
      </c>
      <c r="T684" s="22" t="e">
        <f t="shared" ref="T684" si="555">T683/T682</f>
        <v>#DIV/0!</v>
      </c>
    </row>
    <row r="685" spans="1:20" x14ac:dyDescent="0.3">
      <c r="A685" s="104">
        <v>63</v>
      </c>
      <c r="B685" s="107"/>
      <c r="C685" s="110"/>
      <c r="D685" s="110"/>
      <c r="E685" s="114"/>
      <c r="F685" s="11" t="s">
        <v>25</v>
      </c>
      <c r="G685" s="23"/>
      <c r="H685" s="23"/>
      <c r="I685" s="23"/>
      <c r="J685" s="23"/>
      <c r="K685" s="9"/>
      <c r="L685" s="9"/>
      <c r="M685" s="9"/>
      <c r="N685" s="9"/>
      <c r="O685" s="9"/>
      <c r="P685" s="23"/>
      <c r="Q685" s="23"/>
      <c r="R685" s="24"/>
      <c r="S685" s="11">
        <f>SUMIF($G$4:$R$4,"&gt;=0",G685:R685)</f>
        <v>0</v>
      </c>
      <c r="T685" s="10">
        <f>SUM(G685:R685)</f>
        <v>0</v>
      </c>
    </row>
    <row r="686" spans="1:20" x14ac:dyDescent="0.3">
      <c r="A686" s="105"/>
      <c r="B686" s="108"/>
      <c r="C686" s="111"/>
      <c r="D686" s="111"/>
      <c r="E686" s="115"/>
      <c r="F686" s="12" t="s">
        <v>26</v>
      </c>
      <c r="G686" s="14"/>
      <c r="H686" s="14"/>
      <c r="I686" s="14"/>
      <c r="J686" s="14"/>
      <c r="K686" s="13"/>
      <c r="L686" s="13"/>
      <c r="M686" s="13"/>
      <c r="N686" s="13"/>
      <c r="O686" s="13"/>
      <c r="P686" s="14"/>
      <c r="Q686" s="14"/>
      <c r="R686" s="30"/>
      <c r="S686" s="16">
        <f>SUMIF($G$4:$R$4,"&gt;=0",G686:R686)</f>
        <v>0</v>
      </c>
      <c r="T686" s="17">
        <f t="shared" ref="T686" si="556">SUM(G686:R686)</f>
        <v>0</v>
      </c>
    </row>
    <row r="687" spans="1:20" ht="15" thickBot="1" x14ac:dyDescent="0.35">
      <c r="A687" s="105"/>
      <c r="B687" s="108"/>
      <c r="C687" s="111"/>
      <c r="D687" s="111"/>
      <c r="E687" s="115"/>
      <c r="F687" s="18" t="s">
        <v>27</v>
      </c>
      <c r="G687" s="19" t="e">
        <f>G686/G685</f>
        <v>#DIV/0!</v>
      </c>
      <c r="H687" s="19" t="e">
        <f t="shared" ref="H687:T687" si="557">H686/H685</f>
        <v>#DIV/0!</v>
      </c>
      <c r="I687" s="19" t="e">
        <f t="shared" si="557"/>
        <v>#DIV/0!</v>
      </c>
      <c r="J687" s="19" t="e">
        <f t="shared" si="557"/>
        <v>#DIV/0!</v>
      </c>
      <c r="K687" s="19" t="e">
        <f t="shared" si="557"/>
        <v>#DIV/0!</v>
      </c>
      <c r="L687" s="19" t="e">
        <f t="shared" si="557"/>
        <v>#DIV/0!</v>
      </c>
      <c r="M687" s="19" t="e">
        <f t="shared" si="557"/>
        <v>#DIV/0!</v>
      </c>
      <c r="N687" s="19" t="e">
        <f t="shared" si="557"/>
        <v>#DIV/0!</v>
      </c>
      <c r="O687" s="19" t="e">
        <f t="shared" si="557"/>
        <v>#DIV/0!</v>
      </c>
      <c r="P687" s="19" t="e">
        <f t="shared" si="557"/>
        <v>#DIV/0!</v>
      </c>
      <c r="Q687" s="19" t="e">
        <f t="shared" si="557"/>
        <v>#DIV/0!</v>
      </c>
      <c r="R687" s="25" t="e">
        <f t="shared" si="557"/>
        <v>#DIV/0!</v>
      </c>
      <c r="S687" s="21" t="e">
        <f t="shared" si="557"/>
        <v>#DIV/0!</v>
      </c>
      <c r="T687" s="22" t="e">
        <f t="shared" si="557"/>
        <v>#DIV/0!</v>
      </c>
    </row>
    <row r="688" spans="1:20" x14ac:dyDescent="0.3">
      <c r="A688" s="105"/>
      <c r="B688" s="108"/>
      <c r="C688" s="111"/>
      <c r="D688" s="111"/>
      <c r="E688" s="115"/>
      <c r="F688" s="11" t="s">
        <v>28</v>
      </c>
      <c r="G688" s="23"/>
      <c r="H688" s="23"/>
      <c r="I688" s="23"/>
      <c r="J688" s="23"/>
      <c r="K688" s="9"/>
      <c r="L688" s="9"/>
      <c r="M688" s="9"/>
      <c r="N688" s="9"/>
      <c r="O688" s="9"/>
      <c r="P688" s="23"/>
      <c r="Q688" s="23"/>
      <c r="R688" s="24"/>
      <c r="S688" s="11">
        <f>SUMIF($G$4:$R$4,"&gt;=0",G688:R688)</f>
        <v>0</v>
      </c>
      <c r="T688" s="10">
        <f>SUM(G688:R688)</f>
        <v>0</v>
      </c>
    </row>
    <row r="689" spans="1:20" ht="15" thickBot="1" x14ac:dyDescent="0.35">
      <c r="A689" s="105"/>
      <c r="B689" s="108"/>
      <c r="C689" s="111"/>
      <c r="D689" s="111"/>
      <c r="E689" s="115"/>
      <c r="F689" s="18" t="s">
        <v>29</v>
      </c>
      <c r="G689" s="19" t="e">
        <f>(G686-G688)/G686</f>
        <v>#DIV/0!</v>
      </c>
      <c r="H689" s="19" t="e">
        <f t="shared" ref="H689:S689" si="558">(H686-H688)/H686</f>
        <v>#DIV/0!</v>
      </c>
      <c r="I689" s="19" t="e">
        <f t="shared" si="558"/>
        <v>#DIV/0!</v>
      </c>
      <c r="J689" s="19" t="e">
        <f t="shared" si="558"/>
        <v>#DIV/0!</v>
      </c>
      <c r="K689" s="19" t="e">
        <f t="shared" si="558"/>
        <v>#DIV/0!</v>
      </c>
      <c r="L689" s="19" t="e">
        <f t="shared" si="558"/>
        <v>#DIV/0!</v>
      </c>
      <c r="M689" s="19" t="e">
        <f t="shared" si="558"/>
        <v>#DIV/0!</v>
      </c>
      <c r="N689" s="19" t="e">
        <f t="shared" si="558"/>
        <v>#DIV/0!</v>
      </c>
      <c r="O689" s="19" t="e">
        <f t="shared" si="558"/>
        <v>#DIV/0!</v>
      </c>
      <c r="P689" s="19" t="e">
        <f t="shared" si="558"/>
        <v>#DIV/0!</v>
      </c>
      <c r="Q689" s="19" t="e">
        <f t="shared" si="558"/>
        <v>#DIV/0!</v>
      </c>
      <c r="R689" s="25" t="e">
        <f t="shared" si="558"/>
        <v>#DIV/0!</v>
      </c>
      <c r="S689" s="21" t="e">
        <f t="shared" si="558"/>
        <v>#DIV/0!</v>
      </c>
      <c r="T689" s="22" t="e">
        <f t="shared" ref="T689" si="559">T686/T688</f>
        <v>#DIV/0!</v>
      </c>
    </row>
    <row r="690" spans="1:20" x14ac:dyDescent="0.3">
      <c r="A690" s="105"/>
      <c r="B690" s="108"/>
      <c r="C690" s="111"/>
      <c r="D690" s="111"/>
      <c r="E690" s="115"/>
      <c r="F690" s="26" t="s">
        <v>30</v>
      </c>
      <c r="G690" s="23"/>
      <c r="H690" s="23"/>
      <c r="I690" s="23"/>
      <c r="J690" s="23"/>
      <c r="K690" s="9"/>
      <c r="L690" s="9"/>
      <c r="M690" s="9"/>
      <c r="N690" s="9"/>
      <c r="O690" s="9"/>
      <c r="P690" s="23"/>
      <c r="Q690" s="23"/>
      <c r="R690" s="24"/>
      <c r="S690" s="11">
        <f>SUMIF($G$4:$R$4,"&gt;=0",G690:R690)</f>
        <v>0</v>
      </c>
      <c r="T690" s="10">
        <f>SUM(G690:R690)</f>
        <v>0</v>
      </c>
    </row>
    <row r="691" spans="1:20" x14ac:dyDescent="0.3">
      <c r="A691" s="105"/>
      <c r="B691" s="108"/>
      <c r="C691" s="111"/>
      <c r="D691" s="111"/>
      <c r="E691" s="115"/>
      <c r="F691" s="29" t="s">
        <v>31</v>
      </c>
      <c r="G691" s="14"/>
      <c r="H691" s="14"/>
      <c r="I691" s="14"/>
      <c r="J691" s="14"/>
      <c r="K691" s="13"/>
      <c r="L691" s="13"/>
      <c r="M691" s="13"/>
      <c r="N691" s="13"/>
      <c r="O691" s="13"/>
      <c r="P691" s="14"/>
      <c r="Q691" s="14"/>
      <c r="R691" s="30"/>
      <c r="S691" s="16">
        <f>SUMIF($G$4:$R$4,"&gt;=0",G691:R691)</f>
        <v>0</v>
      </c>
      <c r="T691" s="17">
        <f t="shared" ref="T691" si="560">SUM(G691:R691)</f>
        <v>0</v>
      </c>
    </row>
    <row r="692" spans="1:20" ht="15" thickBot="1" x14ac:dyDescent="0.35">
      <c r="A692" s="105"/>
      <c r="B692" s="108"/>
      <c r="C692" s="111"/>
      <c r="D692" s="111"/>
      <c r="E692" s="115"/>
      <c r="F692" s="18" t="s">
        <v>32</v>
      </c>
      <c r="G692" s="19" t="e">
        <f>(G690-G691)/G690</f>
        <v>#DIV/0!</v>
      </c>
      <c r="H692" s="19" t="e">
        <f t="shared" ref="H692:S692" si="561">(H690-H691)/H690</f>
        <v>#DIV/0!</v>
      </c>
      <c r="I692" s="19" t="e">
        <f t="shared" si="561"/>
        <v>#DIV/0!</v>
      </c>
      <c r="J692" s="19" t="e">
        <f t="shared" si="561"/>
        <v>#DIV/0!</v>
      </c>
      <c r="K692" s="19" t="e">
        <f t="shared" si="561"/>
        <v>#DIV/0!</v>
      </c>
      <c r="L692" s="19" t="e">
        <f t="shared" si="561"/>
        <v>#DIV/0!</v>
      </c>
      <c r="M692" s="19" t="e">
        <f t="shared" si="561"/>
        <v>#DIV/0!</v>
      </c>
      <c r="N692" s="19" t="e">
        <f t="shared" si="561"/>
        <v>#DIV/0!</v>
      </c>
      <c r="O692" s="19" t="e">
        <f t="shared" si="561"/>
        <v>#DIV/0!</v>
      </c>
      <c r="P692" s="19" t="e">
        <f t="shared" si="561"/>
        <v>#DIV/0!</v>
      </c>
      <c r="Q692" s="19" t="e">
        <f t="shared" si="561"/>
        <v>#DIV/0!</v>
      </c>
      <c r="R692" s="25" t="e">
        <f t="shared" si="561"/>
        <v>#DIV/0!</v>
      </c>
      <c r="S692" s="21" t="e">
        <f t="shared" si="561"/>
        <v>#DIV/0!</v>
      </c>
      <c r="T692" s="22" t="e">
        <f t="shared" ref="T692" si="562">T690/T691</f>
        <v>#DIV/0!</v>
      </c>
    </row>
    <row r="693" spans="1:20" x14ac:dyDescent="0.3">
      <c r="A693" s="105"/>
      <c r="B693" s="108"/>
      <c r="C693" s="111"/>
      <c r="D693" s="111"/>
      <c r="E693" s="115"/>
      <c r="F693" s="31" t="s">
        <v>33</v>
      </c>
      <c r="G693" s="23"/>
      <c r="H693" s="23"/>
      <c r="I693" s="23"/>
      <c r="J693" s="23"/>
      <c r="K693" s="9"/>
      <c r="L693" s="9"/>
      <c r="M693" s="9"/>
      <c r="N693" s="9"/>
      <c r="O693" s="9"/>
      <c r="P693" s="23"/>
      <c r="Q693" s="23"/>
      <c r="R693" s="24"/>
      <c r="S693" s="11">
        <f>SUMIF($G$4:$R$4,"&gt;=0",G693:R693)</f>
        <v>0</v>
      </c>
      <c r="T693" s="10">
        <f>SUM(G693:R693)</f>
        <v>0</v>
      </c>
    </row>
    <row r="694" spans="1:20" x14ac:dyDescent="0.3">
      <c r="A694" s="105"/>
      <c r="B694" s="108"/>
      <c r="C694" s="111"/>
      <c r="D694" s="111"/>
      <c r="E694" s="115"/>
      <c r="F694" s="32" t="s">
        <v>34</v>
      </c>
      <c r="G694" s="14"/>
      <c r="H694" s="14"/>
      <c r="I694" s="14"/>
      <c r="J694" s="14"/>
      <c r="K694" s="13"/>
      <c r="L694" s="13"/>
      <c r="M694" s="13"/>
      <c r="N694" s="13"/>
      <c r="O694" s="13"/>
      <c r="P694" s="14"/>
      <c r="Q694" s="14"/>
      <c r="R694" s="30"/>
      <c r="S694" s="16">
        <f>SUMIF($G$4:$R$4,"&gt;=0",G694:R694)</f>
        <v>0</v>
      </c>
      <c r="T694" s="17">
        <f>SUM(G694:R694)</f>
        <v>0</v>
      </c>
    </row>
    <row r="695" spans="1:20" ht="15" thickBot="1" x14ac:dyDescent="0.35">
      <c r="A695" s="106"/>
      <c r="B695" s="109"/>
      <c r="C695" s="112"/>
      <c r="D695" s="113"/>
      <c r="E695" s="116"/>
      <c r="F695" s="21" t="s">
        <v>35</v>
      </c>
      <c r="G695" s="19" t="e">
        <f>(G694-G693)/G694</f>
        <v>#DIV/0!</v>
      </c>
      <c r="H695" s="19" t="e">
        <f t="shared" ref="H695:S695" si="563">(H694-H693)/H694</f>
        <v>#DIV/0!</v>
      </c>
      <c r="I695" s="19" t="e">
        <f t="shared" si="563"/>
        <v>#DIV/0!</v>
      </c>
      <c r="J695" s="19" t="e">
        <f t="shared" si="563"/>
        <v>#DIV/0!</v>
      </c>
      <c r="K695" s="19" t="e">
        <f t="shared" si="563"/>
        <v>#DIV/0!</v>
      </c>
      <c r="L695" s="19" t="e">
        <f t="shared" si="563"/>
        <v>#DIV/0!</v>
      </c>
      <c r="M695" s="19" t="e">
        <f t="shared" si="563"/>
        <v>#DIV/0!</v>
      </c>
      <c r="N695" s="19" t="e">
        <f t="shared" si="563"/>
        <v>#DIV/0!</v>
      </c>
      <c r="O695" s="19" t="e">
        <f t="shared" si="563"/>
        <v>#DIV/0!</v>
      </c>
      <c r="P695" s="19" t="e">
        <f t="shared" si="563"/>
        <v>#DIV/0!</v>
      </c>
      <c r="Q695" s="19" t="e">
        <f t="shared" si="563"/>
        <v>#DIV/0!</v>
      </c>
      <c r="R695" s="25" t="e">
        <f t="shared" si="563"/>
        <v>#DIV/0!</v>
      </c>
      <c r="S695" s="21" t="e">
        <f t="shared" si="563"/>
        <v>#DIV/0!</v>
      </c>
      <c r="T695" s="22" t="e">
        <f t="shared" ref="T695" si="564">T694/T693</f>
        <v>#DIV/0!</v>
      </c>
    </row>
    <row r="696" spans="1:20" x14ac:dyDescent="0.3">
      <c r="A696" s="104">
        <v>64</v>
      </c>
      <c r="B696" s="107"/>
      <c r="C696" s="110"/>
      <c r="D696" s="110"/>
      <c r="E696" s="114"/>
      <c r="F696" s="11" t="s">
        <v>25</v>
      </c>
      <c r="G696" s="23"/>
      <c r="H696" s="23"/>
      <c r="I696" s="23"/>
      <c r="J696" s="23"/>
      <c r="K696" s="9"/>
      <c r="L696" s="9"/>
      <c r="M696" s="9"/>
      <c r="N696" s="9"/>
      <c r="O696" s="9"/>
      <c r="P696" s="23"/>
      <c r="Q696" s="23"/>
      <c r="R696" s="24"/>
      <c r="S696" s="11">
        <f>SUMIF($G$4:$R$4,"&gt;=0",G696:R696)</f>
        <v>0</v>
      </c>
      <c r="T696" s="10">
        <f>SUM(G696:R696)</f>
        <v>0</v>
      </c>
    </row>
    <row r="697" spans="1:20" x14ac:dyDescent="0.3">
      <c r="A697" s="105"/>
      <c r="B697" s="108"/>
      <c r="C697" s="111"/>
      <c r="D697" s="111"/>
      <c r="E697" s="115"/>
      <c r="F697" s="12" t="s">
        <v>26</v>
      </c>
      <c r="G697" s="14"/>
      <c r="H697" s="14"/>
      <c r="I697" s="14"/>
      <c r="J697" s="14"/>
      <c r="K697" s="13"/>
      <c r="L697" s="13"/>
      <c r="M697" s="13"/>
      <c r="N697" s="13"/>
      <c r="O697" s="13"/>
      <c r="P697" s="14"/>
      <c r="Q697" s="14"/>
      <c r="R697" s="30"/>
      <c r="S697" s="16">
        <f>SUMIF($G$4:$R$4,"&gt;=0",G697:R697)</f>
        <v>0</v>
      </c>
      <c r="T697" s="17">
        <f t="shared" ref="T697" si="565">SUM(G697:R697)</f>
        <v>0</v>
      </c>
    </row>
    <row r="698" spans="1:20" ht="15" thickBot="1" x14ac:dyDescent="0.35">
      <c r="A698" s="105"/>
      <c r="B698" s="108"/>
      <c r="C698" s="111"/>
      <c r="D698" s="111"/>
      <c r="E698" s="115"/>
      <c r="F698" s="18" t="s">
        <v>27</v>
      </c>
      <c r="G698" s="19" t="e">
        <f>G697/G696</f>
        <v>#DIV/0!</v>
      </c>
      <c r="H698" s="19" t="e">
        <f t="shared" ref="H698:T698" si="566">H697/H696</f>
        <v>#DIV/0!</v>
      </c>
      <c r="I698" s="19" t="e">
        <f t="shared" si="566"/>
        <v>#DIV/0!</v>
      </c>
      <c r="J698" s="19" t="e">
        <f t="shared" si="566"/>
        <v>#DIV/0!</v>
      </c>
      <c r="K698" s="19" t="e">
        <f t="shared" si="566"/>
        <v>#DIV/0!</v>
      </c>
      <c r="L698" s="19" t="e">
        <f t="shared" si="566"/>
        <v>#DIV/0!</v>
      </c>
      <c r="M698" s="19" t="e">
        <f t="shared" si="566"/>
        <v>#DIV/0!</v>
      </c>
      <c r="N698" s="19" t="e">
        <f t="shared" si="566"/>
        <v>#DIV/0!</v>
      </c>
      <c r="O698" s="19" t="e">
        <f t="shared" si="566"/>
        <v>#DIV/0!</v>
      </c>
      <c r="P698" s="19" t="e">
        <f t="shared" si="566"/>
        <v>#DIV/0!</v>
      </c>
      <c r="Q698" s="19" t="e">
        <f t="shared" si="566"/>
        <v>#DIV/0!</v>
      </c>
      <c r="R698" s="25" t="e">
        <f t="shared" si="566"/>
        <v>#DIV/0!</v>
      </c>
      <c r="S698" s="21" t="e">
        <f t="shared" si="566"/>
        <v>#DIV/0!</v>
      </c>
      <c r="T698" s="22" t="e">
        <f t="shared" si="566"/>
        <v>#DIV/0!</v>
      </c>
    </row>
    <row r="699" spans="1:20" x14ac:dyDescent="0.3">
      <c r="A699" s="105"/>
      <c r="B699" s="108"/>
      <c r="C699" s="111"/>
      <c r="D699" s="111"/>
      <c r="E699" s="115"/>
      <c r="F699" s="11" t="s">
        <v>28</v>
      </c>
      <c r="G699" s="23"/>
      <c r="H699" s="23"/>
      <c r="I699" s="23"/>
      <c r="J699" s="23"/>
      <c r="K699" s="9"/>
      <c r="L699" s="9"/>
      <c r="M699" s="9"/>
      <c r="N699" s="9"/>
      <c r="O699" s="9"/>
      <c r="P699" s="23"/>
      <c r="Q699" s="23"/>
      <c r="R699" s="24"/>
      <c r="S699" s="11">
        <f>SUMIF($G$4:$R$4,"&gt;=0",G699:R699)</f>
        <v>0</v>
      </c>
      <c r="T699" s="10">
        <f>SUM(G699:R699)</f>
        <v>0</v>
      </c>
    </row>
    <row r="700" spans="1:20" ht="15" thickBot="1" x14ac:dyDescent="0.35">
      <c r="A700" s="105"/>
      <c r="B700" s="108"/>
      <c r="C700" s="111"/>
      <c r="D700" s="111"/>
      <c r="E700" s="115"/>
      <c r="F700" s="18" t="s">
        <v>29</v>
      </c>
      <c r="G700" s="19" t="e">
        <f>(G697-G699)/G697</f>
        <v>#DIV/0!</v>
      </c>
      <c r="H700" s="19" t="e">
        <f t="shared" ref="H700:S700" si="567">(H697-H699)/H697</f>
        <v>#DIV/0!</v>
      </c>
      <c r="I700" s="19" t="e">
        <f t="shared" si="567"/>
        <v>#DIV/0!</v>
      </c>
      <c r="J700" s="19" t="e">
        <f t="shared" si="567"/>
        <v>#DIV/0!</v>
      </c>
      <c r="K700" s="19" t="e">
        <f t="shared" si="567"/>
        <v>#DIV/0!</v>
      </c>
      <c r="L700" s="19" t="e">
        <f t="shared" si="567"/>
        <v>#DIV/0!</v>
      </c>
      <c r="M700" s="19" t="e">
        <f t="shared" si="567"/>
        <v>#DIV/0!</v>
      </c>
      <c r="N700" s="19" t="e">
        <f t="shared" si="567"/>
        <v>#DIV/0!</v>
      </c>
      <c r="O700" s="19" t="e">
        <f t="shared" si="567"/>
        <v>#DIV/0!</v>
      </c>
      <c r="P700" s="19" t="e">
        <f t="shared" si="567"/>
        <v>#DIV/0!</v>
      </c>
      <c r="Q700" s="19" t="e">
        <f t="shared" si="567"/>
        <v>#DIV/0!</v>
      </c>
      <c r="R700" s="25" t="e">
        <f t="shared" si="567"/>
        <v>#DIV/0!</v>
      </c>
      <c r="S700" s="21" t="e">
        <f t="shared" si="567"/>
        <v>#DIV/0!</v>
      </c>
      <c r="T700" s="22" t="e">
        <f t="shared" ref="T700" si="568">T697/T699</f>
        <v>#DIV/0!</v>
      </c>
    </row>
    <row r="701" spans="1:20" x14ac:dyDescent="0.3">
      <c r="A701" s="105"/>
      <c r="B701" s="108"/>
      <c r="C701" s="111"/>
      <c r="D701" s="111"/>
      <c r="E701" s="115"/>
      <c r="F701" s="26" t="s">
        <v>30</v>
      </c>
      <c r="G701" s="23"/>
      <c r="H701" s="23"/>
      <c r="I701" s="23"/>
      <c r="J701" s="23"/>
      <c r="K701" s="9"/>
      <c r="L701" s="9"/>
      <c r="M701" s="9"/>
      <c r="N701" s="9"/>
      <c r="O701" s="9"/>
      <c r="P701" s="23"/>
      <c r="Q701" s="23"/>
      <c r="R701" s="24"/>
      <c r="S701" s="11">
        <f>SUMIF($G$4:$R$4,"&gt;=0",G701:R701)</f>
        <v>0</v>
      </c>
      <c r="T701" s="10">
        <f>SUM(G701:R701)</f>
        <v>0</v>
      </c>
    </row>
    <row r="702" spans="1:20" x14ac:dyDescent="0.3">
      <c r="A702" s="105"/>
      <c r="B702" s="108"/>
      <c r="C702" s="111"/>
      <c r="D702" s="111"/>
      <c r="E702" s="115"/>
      <c r="F702" s="29" t="s">
        <v>31</v>
      </c>
      <c r="G702" s="14"/>
      <c r="H702" s="14"/>
      <c r="I702" s="14"/>
      <c r="J702" s="14"/>
      <c r="K702" s="13"/>
      <c r="L702" s="13"/>
      <c r="M702" s="13"/>
      <c r="N702" s="13"/>
      <c r="O702" s="13"/>
      <c r="P702" s="14"/>
      <c r="Q702" s="14"/>
      <c r="R702" s="30"/>
      <c r="S702" s="16">
        <f>SUMIF($G$4:$R$4,"&gt;=0",G702:R702)</f>
        <v>0</v>
      </c>
      <c r="T702" s="17">
        <f t="shared" ref="T702" si="569">SUM(G702:R702)</f>
        <v>0</v>
      </c>
    </row>
    <row r="703" spans="1:20" ht="15" thickBot="1" x14ac:dyDescent="0.35">
      <c r="A703" s="105"/>
      <c r="B703" s="108"/>
      <c r="C703" s="111"/>
      <c r="D703" s="111"/>
      <c r="E703" s="115"/>
      <c r="F703" s="18" t="s">
        <v>32</v>
      </c>
      <c r="G703" s="19" t="e">
        <f>(G701-G702)/G701</f>
        <v>#DIV/0!</v>
      </c>
      <c r="H703" s="19" t="e">
        <f t="shared" ref="H703:S703" si="570">(H701-H702)/H701</f>
        <v>#DIV/0!</v>
      </c>
      <c r="I703" s="19" t="e">
        <f t="shared" si="570"/>
        <v>#DIV/0!</v>
      </c>
      <c r="J703" s="19" t="e">
        <f t="shared" si="570"/>
        <v>#DIV/0!</v>
      </c>
      <c r="K703" s="19" t="e">
        <f t="shared" si="570"/>
        <v>#DIV/0!</v>
      </c>
      <c r="L703" s="19" t="e">
        <f t="shared" si="570"/>
        <v>#DIV/0!</v>
      </c>
      <c r="M703" s="19" t="e">
        <f t="shared" si="570"/>
        <v>#DIV/0!</v>
      </c>
      <c r="N703" s="19" t="e">
        <f t="shared" si="570"/>
        <v>#DIV/0!</v>
      </c>
      <c r="O703" s="19" t="e">
        <f t="shared" si="570"/>
        <v>#DIV/0!</v>
      </c>
      <c r="P703" s="19" t="e">
        <f t="shared" si="570"/>
        <v>#DIV/0!</v>
      </c>
      <c r="Q703" s="19" t="e">
        <f t="shared" si="570"/>
        <v>#DIV/0!</v>
      </c>
      <c r="R703" s="25" t="e">
        <f t="shared" si="570"/>
        <v>#DIV/0!</v>
      </c>
      <c r="S703" s="21" t="e">
        <f t="shared" si="570"/>
        <v>#DIV/0!</v>
      </c>
      <c r="T703" s="22" t="e">
        <f t="shared" ref="T703" si="571">T701/T702</f>
        <v>#DIV/0!</v>
      </c>
    </row>
    <row r="704" spans="1:20" x14ac:dyDescent="0.3">
      <c r="A704" s="105"/>
      <c r="B704" s="108"/>
      <c r="C704" s="111"/>
      <c r="D704" s="111"/>
      <c r="E704" s="115"/>
      <c r="F704" s="31" t="s">
        <v>33</v>
      </c>
      <c r="G704" s="23"/>
      <c r="H704" s="23"/>
      <c r="I704" s="23"/>
      <c r="J704" s="23"/>
      <c r="K704" s="9"/>
      <c r="L704" s="9"/>
      <c r="M704" s="9"/>
      <c r="N704" s="9"/>
      <c r="O704" s="9"/>
      <c r="P704" s="23"/>
      <c r="Q704" s="23"/>
      <c r="R704" s="24"/>
      <c r="S704" s="11">
        <f>SUMIF($G$4:$R$4,"&gt;=0",G704:R704)</f>
        <v>0</v>
      </c>
      <c r="T704" s="10">
        <f>SUM(G704:R704)</f>
        <v>0</v>
      </c>
    </row>
    <row r="705" spans="1:20" x14ac:dyDescent="0.3">
      <c r="A705" s="105"/>
      <c r="B705" s="108"/>
      <c r="C705" s="111"/>
      <c r="D705" s="111"/>
      <c r="E705" s="115"/>
      <c r="F705" s="32" t="s">
        <v>34</v>
      </c>
      <c r="G705" s="14"/>
      <c r="H705" s="14"/>
      <c r="I705" s="14"/>
      <c r="J705" s="14"/>
      <c r="K705" s="13"/>
      <c r="L705" s="13"/>
      <c r="M705" s="13"/>
      <c r="N705" s="13"/>
      <c r="O705" s="13"/>
      <c r="P705" s="14"/>
      <c r="Q705" s="14"/>
      <c r="R705" s="30"/>
      <c r="S705" s="16">
        <f>SUMIF($G$4:$R$4,"&gt;=0",G705:R705)</f>
        <v>0</v>
      </c>
      <c r="T705" s="17">
        <f>SUM(G705:R705)</f>
        <v>0</v>
      </c>
    </row>
    <row r="706" spans="1:20" ht="15" thickBot="1" x14ac:dyDescent="0.35">
      <c r="A706" s="117"/>
      <c r="B706" s="109"/>
      <c r="C706" s="112"/>
      <c r="D706" s="113"/>
      <c r="E706" s="116"/>
      <c r="F706" s="21" t="s">
        <v>35</v>
      </c>
      <c r="G706" s="19" t="e">
        <f>(G705-G704)/G705</f>
        <v>#DIV/0!</v>
      </c>
      <c r="H706" s="19" t="e">
        <f t="shared" ref="H706:S706" si="572">(H705-H704)/H705</f>
        <v>#DIV/0!</v>
      </c>
      <c r="I706" s="19" t="e">
        <f t="shared" si="572"/>
        <v>#DIV/0!</v>
      </c>
      <c r="J706" s="19" t="e">
        <f t="shared" si="572"/>
        <v>#DIV/0!</v>
      </c>
      <c r="K706" s="19" t="e">
        <f t="shared" si="572"/>
        <v>#DIV/0!</v>
      </c>
      <c r="L706" s="19" t="e">
        <f t="shared" si="572"/>
        <v>#DIV/0!</v>
      </c>
      <c r="M706" s="19" t="e">
        <f t="shared" si="572"/>
        <v>#DIV/0!</v>
      </c>
      <c r="N706" s="19" t="e">
        <f t="shared" si="572"/>
        <v>#DIV/0!</v>
      </c>
      <c r="O706" s="19" t="e">
        <f t="shared" si="572"/>
        <v>#DIV/0!</v>
      </c>
      <c r="P706" s="19" t="e">
        <f t="shared" si="572"/>
        <v>#DIV/0!</v>
      </c>
      <c r="Q706" s="19" t="e">
        <f t="shared" si="572"/>
        <v>#DIV/0!</v>
      </c>
      <c r="R706" s="25" t="e">
        <f t="shared" si="572"/>
        <v>#DIV/0!</v>
      </c>
      <c r="S706" s="21" t="e">
        <f t="shared" si="572"/>
        <v>#DIV/0!</v>
      </c>
      <c r="T706" s="22" t="e">
        <f t="shared" ref="T706" si="573">T705/T704</f>
        <v>#DIV/0!</v>
      </c>
    </row>
    <row r="707" spans="1:20" x14ac:dyDescent="0.3">
      <c r="A707" s="104">
        <v>65</v>
      </c>
      <c r="B707" s="107"/>
      <c r="C707" s="110"/>
      <c r="D707" s="110"/>
      <c r="E707" s="114"/>
      <c r="F707" s="11" t="s">
        <v>25</v>
      </c>
      <c r="G707" s="23"/>
      <c r="H707" s="23"/>
      <c r="I707" s="23"/>
      <c r="J707" s="23"/>
      <c r="K707" s="9"/>
      <c r="L707" s="9"/>
      <c r="M707" s="9"/>
      <c r="N707" s="9"/>
      <c r="O707" s="9"/>
      <c r="P707" s="23"/>
      <c r="Q707" s="23"/>
      <c r="R707" s="24"/>
      <c r="S707" s="11">
        <f>SUMIF($G$4:$R$4,"&gt;=0",G707:R707)</f>
        <v>0</v>
      </c>
      <c r="T707" s="10">
        <f>SUM(G707:R707)</f>
        <v>0</v>
      </c>
    </row>
    <row r="708" spans="1:20" x14ac:dyDescent="0.3">
      <c r="A708" s="105"/>
      <c r="B708" s="108"/>
      <c r="C708" s="111"/>
      <c r="D708" s="111"/>
      <c r="E708" s="115"/>
      <c r="F708" s="12" t="s">
        <v>26</v>
      </c>
      <c r="G708" s="14"/>
      <c r="H708" s="14"/>
      <c r="I708" s="14"/>
      <c r="J708" s="14"/>
      <c r="K708" s="13"/>
      <c r="L708" s="13"/>
      <c r="M708" s="13"/>
      <c r="N708" s="13"/>
      <c r="O708" s="13"/>
      <c r="P708" s="14"/>
      <c r="Q708" s="14"/>
      <c r="R708" s="30"/>
      <c r="S708" s="16">
        <f>SUMIF($G$4:$R$4,"&gt;=0",G708:R708)</f>
        <v>0</v>
      </c>
      <c r="T708" s="17">
        <f t="shared" ref="T708" si="574">SUM(G708:R708)</f>
        <v>0</v>
      </c>
    </row>
    <row r="709" spans="1:20" ht="15" thickBot="1" x14ac:dyDescent="0.35">
      <c r="A709" s="105"/>
      <c r="B709" s="108"/>
      <c r="C709" s="111"/>
      <c r="D709" s="111"/>
      <c r="E709" s="115"/>
      <c r="F709" s="18" t="s">
        <v>27</v>
      </c>
      <c r="G709" s="19" t="e">
        <f>G708/G707</f>
        <v>#DIV/0!</v>
      </c>
      <c r="H709" s="19" t="e">
        <f t="shared" ref="H709:T709" si="575">H708/H707</f>
        <v>#DIV/0!</v>
      </c>
      <c r="I709" s="19" t="e">
        <f t="shared" si="575"/>
        <v>#DIV/0!</v>
      </c>
      <c r="J709" s="19" t="e">
        <f t="shared" si="575"/>
        <v>#DIV/0!</v>
      </c>
      <c r="K709" s="19" t="e">
        <f t="shared" si="575"/>
        <v>#DIV/0!</v>
      </c>
      <c r="L709" s="19" t="e">
        <f t="shared" si="575"/>
        <v>#DIV/0!</v>
      </c>
      <c r="M709" s="19" t="e">
        <f t="shared" si="575"/>
        <v>#DIV/0!</v>
      </c>
      <c r="N709" s="19" t="e">
        <f t="shared" si="575"/>
        <v>#DIV/0!</v>
      </c>
      <c r="O709" s="19" t="e">
        <f t="shared" si="575"/>
        <v>#DIV/0!</v>
      </c>
      <c r="P709" s="19" t="e">
        <f t="shared" si="575"/>
        <v>#DIV/0!</v>
      </c>
      <c r="Q709" s="19" t="e">
        <f t="shared" si="575"/>
        <v>#DIV/0!</v>
      </c>
      <c r="R709" s="25" t="e">
        <f t="shared" si="575"/>
        <v>#DIV/0!</v>
      </c>
      <c r="S709" s="21" t="e">
        <f t="shared" si="575"/>
        <v>#DIV/0!</v>
      </c>
      <c r="T709" s="22" t="e">
        <f t="shared" si="575"/>
        <v>#DIV/0!</v>
      </c>
    </row>
    <row r="710" spans="1:20" x14ac:dyDescent="0.3">
      <c r="A710" s="105"/>
      <c r="B710" s="108"/>
      <c r="C710" s="111"/>
      <c r="D710" s="111"/>
      <c r="E710" s="115"/>
      <c r="F710" s="11" t="s">
        <v>28</v>
      </c>
      <c r="G710" s="23"/>
      <c r="H710" s="23"/>
      <c r="I710" s="23"/>
      <c r="J710" s="23"/>
      <c r="K710" s="9"/>
      <c r="L710" s="9"/>
      <c r="M710" s="9"/>
      <c r="N710" s="9"/>
      <c r="O710" s="9"/>
      <c r="P710" s="23"/>
      <c r="Q710" s="23"/>
      <c r="R710" s="24"/>
      <c r="S710" s="11">
        <f>SUMIF($G$4:$R$4,"&gt;=0",G710:R710)</f>
        <v>0</v>
      </c>
      <c r="T710" s="10">
        <f>SUM(G710:R710)</f>
        <v>0</v>
      </c>
    </row>
    <row r="711" spans="1:20" ht="15" thickBot="1" x14ac:dyDescent="0.35">
      <c r="A711" s="105"/>
      <c r="B711" s="108"/>
      <c r="C711" s="111"/>
      <c r="D711" s="111"/>
      <c r="E711" s="115"/>
      <c r="F711" s="18" t="s">
        <v>29</v>
      </c>
      <c r="G711" s="19" t="e">
        <f>(G708-G710)/G708</f>
        <v>#DIV/0!</v>
      </c>
      <c r="H711" s="19" t="e">
        <f t="shared" ref="H711:S711" si="576">(H708-H710)/H708</f>
        <v>#DIV/0!</v>
      </c>
      <c r="I711" s="19" t="e">
        <f t="shared" si="576"/>
        <v>#DIV/0!</v>
      </c>
      <c r="J711" s="19" t="e">
        <f t="shared" si="576"/>
        <v>#DIV/0!</v>
      </c>
      <c r="K711" s="19" t="e">
        <f t="shared" si="576"/>
        <v>#DIV/0!</v>
      </c>
      <c r="L711" s="19" t="e">
        <f t="shared" si="576"/>
        <v>#DIV/0!</v>
      </c>
      <c r="M711" s="19" t="e">
        <f t="shared" si="576"/>
        <v>#DIV/0!</v>
      </c>
      <c r="N711" s="19" t="e">
        <f t="shared" si="576"/>
        <v>#DIV/0!</v>
      </c>
      <c r="O711" s="19" t="e">
        <f t="shared" si="576"/>
        <v>#DIV/0!</v>
      </c>
      <c r="P711" s="19" t="e">
        <f t="shared" si="576"/>
        <v>#DIV/0!</v>
      </c>
      <c r="Q711" s="19" t="e">
        <f t="shared" si="576"/>
        <v>#DIV/0!</v>
      </c>
      <c r="R711" s="25" t="e">
        <f t="shared" si="576"/>
        <v>#DIV/0!</v>
      </c>
      <c r="S711" s="21" t="e">
        <f t="shared" si="576"/>
        <v>#DIV/0!</v>
      </c>
      <c r="T711" s="22" t="e">
        <f t="shared" ref="T711" si="577">T708/T710</f>
        <v>#DIV/0!</v>
      </c>
    </row>
    <row r="712" spans="1:20" x14ac:dyDescent="0.3">
      <c r="A712" s="105"/>
      <c r="B712" s="108"/>
      <c r="C712" s="111"/>
      <c r="D712" s="111"/>
      <c r="E712" s="115"/>
      <c r="F712" s="26" t="s">
        <v>30</v>
      </c>
      <c r="G712" s="23"/>
      <c r="H712" s="23"/>
      <c r="I712" s="23"/>
      <c r="J712" s="23"/>
      <c r="K712" s="9"/>
      <c r="L712" s="9"/>
      <c r="M712" s="9"/>
      <c r="N712" s="9"/>
      <c r="O712" s="9"/>
      <c r="P712" s="23"/>
      <c r="Q712" s="23"/>
      <c r="R712" s="24"/>
      <c r="S712" s="11">
        <f>SUMIF($G$4:$R$4,"&gt;=0",G712:R712)</f>
        <v>0</v>
      </c>
      <c r="T712" s="10">
        <f>SUM(G712:R712)</f>
        <v>0</v>
      </c>
    </row>
    <row r="713" spans="1:20" x14ac:dyDescent="0.3">
      <c r="A713" s="105"/>
      <c r="B713" s="108"/>
      <c r="C713" s="111"/>
      <c r="D713" s="111"/>
      <c r="E713" s="115"/>
      <c r="F713" s="29" t="s">
        <v>31</v>
      </c>
      <c r="G713" s="14"/>
      <c r="H713" s="14"/>
      <c r="I713" s="14"/>
      <c r="J713" s="14"/>
      <c r="K713" s="13"/>
      <c r="L713" s="13"/>
      <c r="M713" s="13"/>
      <c r="N713" s="13"/>
      <c r="O713" s="13"/>
      <c r="P713" s="14"/>
      <c r="Q713" s="14"/>
      <c r="R713" s="30"/>
      <c r="S713" s="16">
        <f>SUMIF($G$4:$R$4,"&gt;=0",G713:R713)</f>
        <v>0</v>
      </c>
      <c r="T713" s="17">
        <f t="shared" ref="T713" si="578">SUM(G713:R713)</f>
        <v>0</v>
      </c>
    </row>
    <row r="714" spans="1:20" ht="15" thickBot="1" x14ac:dyDescent="0.35">
      <c r="A714" s="105"/>
      <c r="B714" s="108"/>
      <c r="C714" s="111"/>
      <c r="D714" s="111"/>
      <c r="E714" s="115"/>
      <c r="F714" s="18" t="s">
        <v>32</v>
      </c>
      <c r="G714" s="19" t="e">
        <f>(G712-G713)/G712</f>
        <v>#DIV/0!</v>
      </c>
      <c r="H714" s="19" t="e">
        <f t="shared" ref="H714:S714" si="579">(H712-H713)/H712</f>
        <v>#DIV/0!</v>
      </c>
      <c r="I714" s="19" t="e">
        <f t="shared" si="579"/>
        <v>#DIV/0!</v>
      </c>
      <c r="J714" s="19" t="e">
        <f t="shared" si="579"/>
        <v>#DIV/0!</v>
      </c>
      <c r="K714" s="19" t="e">
        <f t="shared" si="579"/>
        <v>#DIV/0!</v>
      </c>
      <c r="L714" s="19" t="e">
        <f t="shared" si="579"/>
        <v>#DIV/0!</v>
      </c>
      <c r="M714" s="19" t="e">
        <f t="shared" si="579"/>
        <v>#DIV/0!</v>
      </c>
      <c r="N714" s="19" t="e">
        <f t="shared" si="579"/>
        <v>#DIV/0!</v>
      </c>
      <c r="O714" s="19" t="e">
        <f t="shared" si="579"/>
        <v>#DIV/0!</v>
      </c>
      <c r="P714" s="19" t="e">
        <f t="shared" si="579"/>
        <v>#DIV/0!</v>
      </c>
      <c r="Q714" s="19" t="e">
        <f t="shared" si="579"/>
        <v>#DIV/0!</v>
      </c>
      <c r="R714" s="25" t="e">
        <f t="shared" si="579"/>
        <v>#DIV/0!</v>
      </c>
      <c r="S714" s="21" t="e">
        <f t="shared" si="579"/>
        <v>#DIV/0!</v>
      </c>
      <c r="T714" s="22" t="e">
        <f t="shared" ref="T714" si="580">T712/T713</f>
        <v>#DIV/0!</v>
      </c>
    </row>
    <row r="715" spans="1:20" x14ac:dyDescent="0.3">
      <c r="A715" s="105"/>
      <c r="B715" s="108"/>
      <c r="C715" s="111"/>
      <c r="D715" s="111"/>
      <c r="E715" s="115"/>
      <c r="F715" s="31" t="s">
        <v>33</v>
      </c>
      <c r="G715" s="23"/>
      <c r="H715" s="23"/>
      <c r="I715" s="23"/>
      <c r="J715" s="23"/>
      <c r="K715" s="9"/>
      <c r="L715" s="9"/>
      <c r="M715" s="9"/>
      <c r="N715" s="9"/>
      <c r="O715" s="9"/>
      <c r="P715" s="23"/>
      <c r="Q715" s="23"/>
      <c r="R715" s="24"/>
      <c r="S715" s="11">
        <f>SUMIF($G$4:$R$4,"&gt;=0",G715:R715)</f>
        <v>0</v>
      </c>
      <c r="T715" s="10">
        <f>SUM(G715:R715)</f>
        <v>0</v>
      </c>
    </row>
    <row r="716" spans="1:20" x14ac:dyDescent="0.3">
      <c r="A716" s="105"/>
      <c r="B716" s="108"/>
      <c r="C716" s="111"/>
      <c r="D716" s="111"/>
      <c r="E716" s="115"/>
      <c r="F716" s="32" t="s">
        <v>34</v>
      </c>
      <c r="G716" s="14"/>
      <c r="H716" s="14"/>
      <c r="I716" s="14"/>
      <c r="J716" s="14"/>
      <c r="K716" s="13"/>
      <c r="L716" s="13"/>
      <c r="M716" s="13"/>
      <c r="N716" s="13"/>
      <c r="O716" s="13"/>
      <c r="P716" s="14"/>
      <c r="Q716" s="14"/>
      <c r="R716" s="30"/>
      <c r="S716" s="16">
        <f>SUMIF($G$4:$R$4,"&gt;=0",G716:R716)</f>
        <v>0</v>
      </c>
      <c r="T716" s="17">
        <f>SUM(G716:R716)</f>
        <v>0</v>
      </c>
    </row>
    <row r="717" spans="1:20" ht="15" thickBot="1" x14ac:dyDescent="0.35">
      <c r="A717" s="117"/>
      <c r="B717" s="109"/>
      <c r="C717" s="112"/>
      <c r="D717" s="113"/>
      <c r="E717" s="116"/>
      <c r="F717" s="21" t="s">
        <v>35</v>
      </c>
      <c r="G717" s="19" t="e">
        <f>(G716-G715)/G716</f>
        <v>#DIV/0!</v>
      </c>
      <c r="H717" s="19" t="e">
        <f t="shared" ref="H717:S717" si="581">(H716-H715)/H716</f>
        <v>#DIV/0!</v>
      </c>
      <c r="I717" s="19" t="e">
        <f t="shared" si="581"/>
        <v>#DIV/0!</v>
      </c>
      <c r="J717" s="19" t="e">
        <f t="shared" si="581"/>
        <v>#DIV/0!</v>
      </c>
      <c r="K717" s="19" t="e">
        <f t="shared" si="581"/>
        <v>#DIV/0!</v>
      </c>
      <c r="L717" s="19" t="e">
        <f t="shared" si="581"/>
        <v>#DIV/0!</v>
      </c>
      <c r="M717" s="19" t="e">
        <f t="shared" si="581"/>
        <v>#DIV/0!</v>
      </c>
      <c r="N717" s="19" t="e">
        <f t="shared" si="581"/>
        <v>#DIV/0!</v>
      </c>
      <c r="O717" s="19" t="e">
        <f t="shared" si="581"/>
        <v>#DIV/0!</v>
      </c>
      <c r="P717" s="19" t="e">
        <f t="shared" si="581"/>
        <v>#DIV/0!</v>
      </c>
      <c r="Q717" s="19" t="e">
        <f t="shared" si="581"/>
        <v>#DIV/0!</v>
      </c>
      <c r="R717" s="25" t="e">
        <f t="shared" si="581"/>
        <v>#DIV/0!</v>
      </c>
      <c r="S717" s="21" t="e">
        <f t="shared" si="581"/>
        <v>#DIV/0!</v>
      </c>
      <c r="T717" s="22" t="e">
        <f t="shared" ref="T717" si="582">T716/T715</f>
        <v>#DIV/0!</v>
      </c>
    </row>
    <row r="718" spans="1:20" x14ac:dyDescent="0.3">
      <c r="A718" s="104">
        <v>66</v>
      </c>
      <c r="B718" s="107"/>
      <c r="C718" s="110"/>
      <c r="D718" s="110"/>
      <c r="E718" s="114"/>
      <c r="F718" s="11" t="s">
        <v>25</v>
      </c>
      <c r="G718" s="23"/>
      <c r="H718" s="23"/>
      <c r="I718" s="23"/>
      <c r="J718" s="23"/>
      <c r="K718" s="9"/>
      <c r="L718" s="9"/>
      <c r="M718" s="9"/>
      <c r="N718" s="9"/>
      <c r="O718" s="9"/>
      <c r="P718" s="23"/>
      <c r="Q718" s="23"/>
      <c r="R718" s="24"/>
      <c r="S718" s="11">
        <f>SUMIF($G$4:$R$4,"&gt;=0",G718:R718)</f>
        <v>0</v>
      </c>
      <c r="T718" s="10">
        <f>SUM(G718:R718)</f>
        <v>0</v>
      </c>
    </row>
    <row r="719" spans="1:20" x14ac:dyDescent="0.3">
      <c r="A719" s="105"/>
      <c r="B719" s="108"/>
      <c r="C719" s="111"/>
      <c r="D719" s="111"/>
      <c r="E719" s="115"/>
      <c r="F719" s="12" t="s">
        <v>26</v>
      </c>
      <c r="G719" s="14"/>
      <c r="H719" s="14"/>
      <c r="I719" s="14"/>
      <c r="J719" s="14"/>
      <c r="K719" s="13"/>
      <c r="L719" s="13"/>
      <c r="M719" s="13"/>
      <c r="N719" s="13"/>
      <c r="O719" s="13"/>
      <c r="P719" s="14"/>
      <c r="Q719" s="14"/>
      <c r="R719" s="30"/>
      <c r="S719" s="16">
        <f>SUMIF($G$4:$R$4,"&gt;=0",G719:R719)</f>
        <v>0</v>
      </c>
      <c r="T719" s="17">
        <f t="shared" ref="T719" si="583">SUM(G719:R719)</f>
        <v>0</v>
      </c>
    </row>
    <row r="720" spans="1:20" ht="15" thickBot="1" x14ac:dyDescent="0.35">
      <c r="A720" s="105"/>
      <c r="B720" s="108"/>
      <c r="C720" s="111"/>
      <c r="D720" s="111"/>
      <c r="E720" s="115"/>
      <c r="F720" s="18" t="s">
        <v>27</v>
      </c>
      <c r="G720" s="19" t="e">
        <f>G719/G718</f>
        <v>#DIV/0!</v>
      </c>
      <c r="H720" s="19" t="e">
        <f t="shared" ref="H720:T720" si="584">H719/H718</f>
        <v>#DIV/0!</v>
      </c>
      <c r="I720" s="19" t="e">
        <f t="shared" si="584"/>
        <v>#DIV/0!</v>
      </c>
      <c r="J720" s="19" t="e">
        <f t="shared" si="584"/>
        <v>#DIV/0!</v>
      </c>
      <c r="K720" s="19" t="e">
        <f t="shared" si="584"/>
        <v>#DIV/0!</v>
      </c>
      <c r="L720" s="19" t="e">
        <f t="shared" si="584"/>
        <v>#DIV/0!</v>
      </c>
      <c r="M720" s="19" t="e">
        <f t="shared" si="584"/>
        <v>#DIV/0!</v>
      </c>
      <c r="N720" s="19" t="e">
        <f t="shared" si="584"/>
        <v>#DIV/0!</v>
      </c>
      <c r="O720" s="19" t="e">
        <f t="shared" si="584"/>
        <v>#DIV/0!</v>
      </c>
      <c r="P720" s="19" t="e">
        <f t="shared" si="584"/>
        <v>#DIV/0!</v>
      </c>
      <c r="Q720" s="19" t="e">
        <f t="shared" si="584"/>
        <v>#DIV/0!</v>
      </c>
      <c r="R720" s="25" t="e">
        <f t="shared" si="584"/>
        <v>#DIV/0!</v>
      </c>
      <c r="S720" s="21" t="e">
        <f t="shared" si="584"/>
        <v>#DIV/0!</v>
      </c>
      <c r="T720" s="22" t="e">
        <f t="shared" si="584"/>
        <v>#DIV/0!</v>
      </c>
    </row>
    <row r="721" spans="1:20" x14ac:dyDescent="0.3">
      <c r="A721" s="105"/>
      <c r="B721" s="108"/>
      <c r="C721" s="111"/>
      <c r="D721" s="111"/>
      <c r="E721" s="115"/>
      <c r="F721" s="11" t="s">
        <v>28</v>
      </c>
      <c r="G721" s="23"/>
      <c r="H721" s="23"/>
      <c r="I721" s="23"/>
      <c r="J721" s="23"/>
      <c r="K721" s="9"/>
      <c r="L721" s="9"/>
      <c r="M721" s="9"/>
      <c r="N721" s="9"/>
      <c r="O721" s="9"/>
      <c r="P721" s="23"/>
      <c r="Q721" s="23"/>
      <c r="R721" s="24"/>
      <c r="S721" s="11">
        <f>SUMIF($G$4:$R$4,"&gt;=0",G721:R721)</f>
        <v>0</v>
      </c>
      <c r="T721" s="10">
        <f>SUM(G721:R721)</f>
        <v>0</v>
      </c>
    </row>
    <row r="722" spans="1:20" ht="15" thickBot="1" x14ac:dyDescent="0.35">
      <c r="A722" s="105"/>
      <c r="B722" s="108"/>
      <c r="C722" s="111"/>
      <c r="D722" s="111"/>
      <c r="E722" s="115"/>
      <c r="F722" s="18" t="s">
        <v>29</v>
      </c>
      <c r="G722" s="19" t="e">
        <f>(G719-G721)/G719</f>
        <v>#DIV/0!</v>
      </c>
      <c r="H722" s="19" t="e">
        <f t="shared" ref="H722:S722" si="585">(H719-H721)/H719</f>
        <v>#DIV/0!</v>
      </c>
      <c r="I722" s="19" t="e">
        <f t="shared" si="585"/>
        <v>#DIV/0!</v>
      </c>
      <c r="J722" s="19" t="e">
        <f t="shared" si="585"/>
        <v>#DIV/0!</v>
      </c>
      <c r="K722" s="19" t="e">
        <f t="shared" si="585"/>
        <v>#DIV/0!</v>
      </c>
      <c r="L722" s="19" t="e">
        <f t="shared" si="585"/>
        <v>#DIV/0!</v>
      </c>
      <c r="M722" s="19" t="e">
        <f t="shared" si="585"/>
        <v>#DIV/0!</v>
      </c>
      <c r="N722" s="19" t="e">
        <f t="shared" si="585"/>
        <v>#DIV/0!</v>
      </c>
      <c r="O722" s="19" t="e">
        <f t="shared" si="585"/>
        <v>#DIV/0!</v>
      </c>
      <c r="P722" s="19" t="e">
        <f t="shared" si="585"/>
        <v>#DIV/0!</v>
      </c>
      <c r="Q722" s="19" t="e">
        <f t="shared" si="585"/>
        <v>#DIV/0!</v>
      </c>
      <c r="R722" s="25" t="e">
        <f t="shared" si="585"/>
        <v>#DIV/0!</v>
      </c>
      <c r="S722" s="21" t="e">
        <f t="shared" si="585"/>
        <v>#DIV/0!</v>
      </c>
      <c r="T722" s="22" t="e">
        <f t="shared" ref="T722" si="586">T719/T721</f>
        <v>#DIV/0!</v>
      </c>
    </row>
    <row r="723" spans="1:20" x14ac:dyDescent="0.3">
      <c r="A723" s="105"/>
      <c r="B723" s="108"/>
      <c r="C723" s="111"/>
      <c r="D723" s="111"/>
      <c r="E723" s="115"/>
      <c r="F723" s="26" t="s">
        <v>30</v>
      </c>
      <c r="G723" s="23"/>
      <c r="H723" s="23"/>
      <c r="I723" s="23"/>
      <c r="J723" s="23"/>
      <c r="K723" s="9"/>
      <c r="L723" s="9"/>
      <c r="M723" s="9"/>
      <c r="N723" s="9"/>
      <c r="O723" s="9"/>
      <c r="P723" s="23"/>
      <c r="Q723" s="23"/>
      <c r="R723" s="24"/>
      <c r="S723" s="11">
        <f>SUMIF($G$4:$R$4,"&gt;=0",G723:R723)</f>
        <v>0</v>
      </c>
      <c r="T723" s="10">
        <f>SUM(G723:R723)</f>
        <v>0</v>
      </c>
    </row>
    <row r="724" spans="1:20" x14ac:dyDescent="0.3">
      <c r="A724" s="105"/>
      <c r="B724" s="108"/>
      <c r="C724" s="111"/>
      <c r="D724" s="111"/>
      <c r="E724" s="115"/>
      <c r="F724" s="29" t="s">
        <v>31</v>
      </c>
      <c r="G724" s="14"/>
      <c r="H724" s="14"/>
      <c r="I724" s="14"/>
      <c r="J724" s="14"/>
      <c r="K724" s="13"/>
      <c r="L724" s="13"/>
      <c r="M724" s="13"/>
      <c r="N724" s="13"/>
      <c r="O724" s="13"/>
      <c r="P724" s="14"/>
      <c r="Q724" s="14"/>
      <c r="R724" s="30"/>
      <c r="S724" s="16">
        <f>SUMIF($G$4:$R$4,"&gt;=0",G724:R724)</f>
        <v>0</v>
      </c>
      <c r="T724" s="17">
        <f t="shared" ref="T724" si="587">SUM(G724:R724)</f>
        <v>0</v>
      </c>
    </row>
    <row r="725" spans="1:20" ht="15" thickBot="1" x14ac:dyDescent="0.35">
      <c r="A725" s="105"/>
      <c r="B725" s="108"/>
      <c r="C725" s="111"/>
      <c r="D725" s="111"/>
      <c r="E725" s="115"/>
      <c r="F725" s="18" t="s">
        <v>32</v>
      </c>
      <c r="G725" s="19" t="e">
        <f>(G723-G724)/G723</f>
        <v>#DIV/0!</v>
      </c>
      <c r="H725" s="19" t="e">
        <f t="shared" ref="H725:S725" si="588">(H723-H724)/H723</f>
        <v>#DIV/0!</v>
      </c>
      <c r="I725" s="19" t="e">
        <f t="shared" si="588"/>
        <v>#DIV/0!</v>
      </c>
      <c r="J725" s="19" t="e">
        <f t="shared" si="588"/>
        <v>#DIV/0!</v>
      </c>
      <c r="K725" s="19" t="e">
        <f t="shared" si="588"/>
        <v>#DIV/0!</v>
      </c>
      <c r="L725" s="19" t="e">
        <f t="shared" si="588"/>
        <v>#DIV/0!</v>
      </c>
      <c r="M725" s="19" t="e">
        <f t="shared" si="588"/>
        <v>#DIV/0!</v>
      </c>
      <c r="N725" s="19" t="e">
        <f t="shared" si="588"/>
        <v>#DIV/0!</v>
      </c>
      <c r="O725" s="19" t="e">
        <f t="shared" si="588"/>
        <v>#DIV/0!</v>
      </c>
      <c r="P725" s="19" t="e">
        <f t="shared" si="588"/>
        <v>#DIV/0!</v>
      </c>
      <c r="Q725" s="19" t="e">
        <f t="shared" si="588"/>
        <v>#DIV/0!</v>
      </c>
      <c r="R725" s="25" t="e">
        <f t="shared" si="588"/>
        <v>#DIV/0!</v>
      </c>
      <c r="S725" s="21" t="e">
        <f t="shared" si="588"/>
        <v>#DIV/0!</v>
      </c>
      <c r="T725" s="22" t="e">
        <f t="shared" ref="T725" si="589">T723/T724</f>
        <v>#DIV/0!</v>
      </c>
    </row>
    <row r="726" spans="1:20" x14ac:dyDescent="0.3">
      <c r="A726" s="105"/>
      <c r="B726" s="108"/>
      <c r="C726" s="111"/>
      <c r="D726" s="111"/>
      <c r="E726" s="115"/>
      <c r="F726" s="31" t="s">
        <v>33</v>
      </c>
      <c r="G726" s="23"/>
      <c r="H726" s="23"/>
      <c r="I726" s="23"/>
      <c r="J726" s="23"/>
      <c r="K726" s="9"/>
      <c r="L726" s="9"/>
      <c r="M726" s="9"/>
      <c r="N726" s="9"/>
      <c r="O726" s="9"/>
      <c r="P726" s="23"/>
      <c r="Q726" s="23"/>
      <c r="R726" s="24"/>
      <c r="S726" s="11">
        <f>SUMIF($G$4:$R$4,"&gt;=0",G726:R726)</f>
        <v>0</v>
      </c>
      <c r="T726" s="10">
        <f>SUM(G726:R726)</f>
        <v>0</v>
      </c>
    </row>
    <row r="727" spans="1:20" x14ac:dyDescent="0.3">
      <c r="A727" s="105"/>
      <c r="B727" s="108"/>
      <c r="C727" s="111"/>
      <c r="D727" s="111"/>
      <c r="E727" s="115"/>
      <c r="F727" s="32" t="s">
        <v>34</v>
      </c>
      <c r="G727" s="14"/>
      <c r="H727" s="14"/>
      <c r="I727" s="14"/>
      <c r="J727" s="14"/>
      <c r="K727" s="13"/>
      <c r="L727" s="13"/>
      <c r="M727" s="13"/>
      <c r="N727" s="13"/>
      <c r="O727" s="13"/>
      <c r="P727" s="14"/>
      <c r="Q727" s="14"/>
      <c r="R727" s="30"/>
      <c r="S727" s="16">
        <f>SUMIF($G$4:$R$4,"&gt;=0",G727:R727)</f>
        <v>0</v>
      </c>
      <c r="T727" s="17">
        <f>SUM(G727:R727)</f>
        <v>0</v>
      </c>
    </row>
    <row r="728" spans="1:20" ht="15" thickBot="1" x14ac:dyDescent="0.35">
      <c r="A728" s="106"/>
      <c r="B728" s="109"/>
      <c r="C728" s="112"/>
      <c r="D728" s="113"/>
      <c r="E728" s="116"/>
      <c r="F728" s="21" t="s">
        <v>35</v>
      </c>
      <c r="G728" s="19" t="e">
        <f>(G727-G726)/G727</f>
        <v>#DIV/0!</v>
      </c>
      <c r="H728" s="19" t="e">
        <f t="shared" ref="H728:S728" si="590">(H727-H726)/H727</f>
        <v>#DIV/0!</v>
      </c>
      <c r="I728" s="19" t="e">
        <f t="shared" si="590"/>
        <v>#DIV/0!</v>
      </c>
      <c r="J728" s="19" t="e">
        <f t="shared" si="590"/>
        <v>#DIV/0!</v>
      </c>
      <c r="K728" s="19" t="e">
        <f t="shared" si="590"/>
        <v>#DIV/0!</v>
      </c>
      <c r="L728" s="19" t="e">
        <f t="shared" si="590"/>
        <v>#DIV/0!</v>
      </c>
      <c r="M728" s="19" t="e">
        <f t="shared" si="590"/>
        <v>#DIV/0!</v>
      </c>
      <c r="N728" s="19" t="e">
        <f t="shared" si="590"/>
        <v>#DIV/0!</v>
      </c>
      <c r="O728" s="19" t="e">
        <f t="shared" si="590"/>
        <v>#DIV/0!</v>
      </c>
      <c r="P728" s="19" t="e">
        <f t="shared" si="590"/>
        <v>#DIV/0!</v>
      </c>
      <c r="Q728" s="19" t="e">
        <f t="shared" si="590"/>
        <v>#DIV/0!</v>
      </c>
      <c r="R728" s="25" t="e">
        <f t="shared" si="590"/>
        <v>#DIV/0!</v>
      </c>
      <c r="S728" s="21" t="e">
        <f t="shared" si="590"/>
        <v>#DIV/0!</v>
      </c>
      <c r="T728" s="22" t="e">
        <f t="shared" ref="T728" si="591">T727/T726</f>
        <v>#DIV/0!</v>
      </c>
    </row>
    <row r="729" spans="1:20" x14ac:dyDescent="0.3">
      <c r="A729" s="104">
        <v>67</v>
      </c>
      <c r="B729" s="107"/>
      <c r="C729" s="110"/>
      <c r="D729" s="110"/>
      <c r="E729" s="114"/>
      <c r="F729" s="11" t="s">
        <v>25</v>
      </c>
      <c r="G729" s="23"/>
      <c r="H729" s="23"/>
      <c r="I729" s="23"/>
      <c r="J729" s="23"/>
      <c r="K729" s="9"/>
      <c r="L729" s="9"/>
      <c r="M729" s="9"/>
      <c r="N729" s="9"/>
      <c r="O729" s="9"/>
      <c r="P729" s="23"/>
      <c r="Q729" s="23"/>
      <c r="R729" s="24"/>
      <c r="S729" s="11">
        <f>SUMIF($G$4:$R$4,"&gt;=0",G729:R729)</f>
        <v>0</v>
      </c>
      <c r="T729" s="10">
        <f>SUM(G729:R729)</f>
        <v>0</v>
      </c>
    </row>
    <row r="730" spans="1:20" x14ac:dyDescent="0.3">
      <c r="A730" s="105"/>
      <c r="B730" s="108"/>
      <c r="C730" s="111"/>
      <c r="D730" s="111"/>
      <c r="E730" s="115"/>
      <c r="F730" s="12" t="s">
        <v>26</v>
      </c>
      <c r="G730" s="14"/>
      <c r="H730" s="14"/>
      <c r="I730" s="14"/>
      <c r="J730" s="14"/>
      <c r="K730" s="13"/>
      <c r="L730" s="13"/>
      <c r="M730" s="13"/>
      <c r="N730" s="13"/>
      <c r="O730" s="13"/>
      <c r="P730" s="14"/>
      <c r="Q730" s="14"/>
      <c r="R730" s="30"/>
      <c r="S730" s="16">
        <f>SUMIF($G$4:$R$4,"&gt;=0",G730:R730)</f>
        <v>0</v>
      </c>
      <c r="T730" s="17">
        <f t="shared" ref="T730" si="592">SUM(G730:R730)</f>
        <v>0</v>
      </c>
    </row>
    <row r="731" spans="1:20" ht="15" thickBot="1" x14ac:dyDescent="0.35">
      <c r="A731" s="105"/>
      <c r="B731" s="108"/>
      <c r="C731" s="111"/>
      <c r="D731" s="111"/>
      <c r="E731" s="115"/>
      <c r="F731" s="18" t="s">
        <v>27</v>
      </c>
      <c r="G731" s="19" t="e">
        <f>G730/G729</f>
        <v>#DIV/0!</v>
      </c>
      <c r="H731" s="19" t="e">
        <f t="shared" ref="H731:T731" si="593">H730/H729</f>
        <v>#DIV/0!</v>
      </c>
      <c r="I731" s="19" t="e">
        <f t="shared" si="593"/>
        <v>#DIV/0!</v>
      </c>
      <c r="J731" s="19" t="e">
        <f t="shared" si="593"/>
        <v>#DIV/0!</v>
      </c>
      <c r="K731" s="19" t="e">
        <f t="shared" si="593"/>
        <v>#DIV/0!</v>
      </c>
      <c r="L731" s="19" t="e">
        <f t="shared" si="593"/>
        <v>#DIV/0!</v>
      </c>
      <c r="M731" s="19" t="e">
        <f t="shared" si="593"/>
        <v>#DIV/0!</v>
      </c>
      <c r="N731" s="19" t="e">
        <f t="shared" si="593"/>
        <v>#DIV/0!</v>
      </c>
      <c r="O731" s="19" t="e">
        <f t="shared" si="593"/>
        <v>#DIV/0!</v>
      </c>
      <c r="P731" s="19" t="e">
        <f t="shared" si="593"/>
        <v>#DIV/0!</v>
      </c>
      <c r="Q731" s="19" t="e">
        <f t="shared" si="593"/>
        <v>#DIV/0!</v>
      </c>
      <c r="R731" s="25" t="e">
        <f t="shared" si="593"/>
        <v>#DIV/0!</v>
      </c>
      <c r="S731" s="21" t="e">
        <f t="shared" si="593"/>
        <v>#DIV/0!</v>
      </c>
      <c r="T731" s="22" t="e">
        <f t="shared" si="593"/>
        <v>#DIV/0!</v>
      </c>
    </row>
    <row r="732" spans="1:20" x14ac:dyDescent="0.3">
      <c r="A732" s="105"/>
      <c r="B732" s="108"/>
      <c r="C732" s="111"/>
      <c r="D732" s="111"/>
      <c r="E732" s="115"/>
      <c r="F732" s="11" t="s">
        <v>28</v>
      </c>
      <c r="G732" s="23"/>
      <c r="H732" s="23"/>
      <c r="I732" s="23"/>
      <c r="J732" s="23"/>
      <c r="K732" s="9"/>
      <c r="L732" s="9"/>
      <c r="M732" s="9"/>
      <c r="N732" s="9"/>
      <c r="O732" s="9"/>
      <c r="P732" s="23"/>
      <c r="Q732" s="23"/>
      <c r="R732" s="24"/>
      <c r="S732" s="11">
        <f>SUMIF($G$4:$R$4,"&gt;=0",G732:R732)</f>
        <v>0</v>
      </c>
      <c r="T732" s="10">
        <f>SUM(G732:R732)</f>
        <v>0</v>
      </c>
    </row>
    <row r="733" spans="1:20" ht="15" thickBot="1" x14ac:dyDescent="0.35">
      <c r="A733" s="105"/>
      <c r="B733" s="108"/>
      <c r="C733" s="111"/>
      <c r="D733" s="111"/>
      <c r="E733" s="115"/>
      <c r="F733" s="18" t="s">
        <v>29</v>
      </c>
      <c r="G733" s="19" t="e">
        <f>(G730-G732)/G730</f>
        <v>#DIV/0!</v>
      </c>
      <c r="H733" s="19" t="e">
        <f t="shared" ref="H733:S733" si="594">(H730-H732)/H730</f>
        <v>#DIV/0!</v>
      </c>
      <c r="I733" s="19" t="e">
        <f t="shared" si="594"/>
        <v>#DIV/0!</v>
      </c>
      <c r="J733" s="19" t="e">
        <f t="shared" si="594"/>
        <v>#DIV/0!</v>
      </c>
      <c r="K733" s="19" t="e">
        <f t="shared" si="594"/>
        <v>#DIV/0!</v>
      </c>
      <c r="L733" s="19" t="e">
        <f t="shared" si="594"/>
        <v>#DIV/0!</v>
      </c>
      <c r="M733" s="19" t="e">
        <f t="shared" si="594"/>
        <v>#DIV/0!</v>
      </c>
      <c r="N733" s="19" t="e">
        <f t="shared" si="594"/>
        <v>#DIV/0!</v>
      </c>
      <c r="O733" s="19" t="e">
        <f t="shared" si="594"/>
        <v>#DIV/0!</v>
      </c>
      <c r="P733" s="19" t="e">
        <f t="shared" si="594"/>
        <v>#DIV/0!</v>
      </c>
      <c r="Q733" s="19" t="e">
        <f t="shared" si="594"/>
        <v>#DIV/0!</v>
      </c>
      <c r="R733" s="25" t="e">
        <f t="shared" si="594"/>
        <v>#DIV/0!</v>
      </c>
      <c r="S733" s="21" t="e">
        <f t="shared" si="594"/>
        <v>#DIV/0!</v>
      </c>
      <c r="T733" s="22" t="e">
        <f t="shared" ref="T733" si="595">T730/T732</f>
        <v>#DIV/0!</v>
      </c>
    </row>
    <row r="734" spans="1:20" x14ac:dyDescent="0.3">
      <c r="A734" s="105"/>
      <c r="B734" s="108"/>
      <c r="C734" s="111"/>
      <c r="D734" s="111"/>
      <c r="E734" s="115"/>
      <c r="F734" s="26" t="s">
        <v>30</v>
      </c>
      <c r="G734" s="23"/>
      <c r="H734" s="23"/>
      <c r="I734" s="23"/>
      <c r="J734" s="23"/>
      <c r="K734" s="9"/>
      <c r="L734" s="9"/>
      <c r="M734" s="9"/>
      <c r="N734" s="9"/>
      <c r="O734" s="9"/>
      <c r="P734" s="23"/>
      <c r="Q734" s="23"/>
      <c r="R734" s="24"/>
      <c r="S734" s="11">
        <f>SUMIF($G$4:$R$4,"&gt;=0",G734:R734)</f>
        <v>0</v>
      </c>
      <c r="T734" s="10">
        <f>SUM(G734:R734)</f>
        <v>0</v>
      </c>
    </row>
    <row r="735" spans="1:20" x14ac:dyDescent="0.3">
      <c r="A735" s="105"/>
      <c r="B735" s="108"/>
      <c r="C735" s="111"/>
      <c r="D735" s="111"/>
      <c r="E735" s="115"/>
      <c r="F735" s="29" t="s">
        <v>31</v>
      </c>
      <c r="G735" s="14"/>
      <c r="H735" s="14"/>
      <c r="I735" s="14"/>
      <c r="J735" s="14"/>
      <c r="K735" s="13"/>
      <c r="L735" s="13"/>
      <c r="M735" s="13"/>
      <c r="N735" s="13"/>
      <c r="O735" s="13"/>
      <c r="P735" s="14"/>
      <c r="Q735" s="14"/>
      <c r="R735" s="30"/>
      <c r="S735" s="16">
        <f>SUMIF($G$4:$R$4,"&gt;=0",G735:R735)</f>
        <v>0</v>
      </c>
      <c r="T735" s="17">
        <f t="shared" ref="T735" si="596">SUM(G735:R735)</f>
        <v>0</v>
      </c>
    </row>
    <row r="736" spans="1:20" ht="15" thickBot="1" x14ac:dyDescent="0.35">
      <c r="A736" s="105"/>
      <c r="B736" s="108"/>
      <c r="C736" s="111"/>
      <c r="D736" s="111"/>
      <c r="E736" s="115"/>
      <c r="F736" s="18" t="s">
        <v>32</v>
      </c>
      <c r="G736" s="19" t="e">
        <f>(G734-G735)/G734</f>
        <v>#DIV/0!</v>
      </c>
      <c r="H736" s="19" t="e">
        <f t="shared" ref="H736:S736" si="597">(H734-H735)/H734</f>
        <v>#DIV/0!</v>
      </c>
      <c r="I736" s="19" t="e">
        <f t="shared" si="597"/>
        <v>#DIV/0!</v>
      </c>
      <c r="J736" s="19" t="e">
        <f t="shared" si="597"/>
        <v>#DIV/0!</v>
      </c>
      <c r="K736" s="19" t="e">
        <f t="shared" si="597"/>
        <v>#DIV/0!</v>
      </c>
      <c r="L736" s="19" t="e">
        <f t="shared" si="597"/>
        <v>#DIV/0!</v>
      </c>
      <c r="M736" s="19" t="e">
        <f t="shared" si="597"/>
        <v>#DIV/0!</v>
      </c>
      <c r="N736" s="19" t="e">
        <f t="shared" si="597"/>
        <v>#DIV/0!</v>
      </c>
      <c r="O736" s="19" t="e">
        <f t="shared" si="597"/>
        <v>#DIV/0!</v>
      </c>
      <c r="P736" s="19" t="e">
        <f t="shared" si="597"/>
        <v>#DIV/0!</v>
      </c>
      <c r="Q736" s="19" t="e">
        <f t="shared" si="597"/>
        <v>#DIV/0!</v>
      </c>
      <c r="R736" s="25" t="e">
        <f t="shared" si="597"/>
        <v>#DIV/0!</v>
      </c>
      <c r="S736" s="21" t="e">
        <f t="shared" si="597"/>
        <v>#DIV/0!</v>
      </c>
      <c r="T736" s="22" t="e">
        <f t="shared" ref="T736" si="598">T734/T735</f>
        <v>#DIV/0!</v>
      </c>
    </row>
    <row r="737" spans="1:20" x14ac:dyDescent="0.3">
      <c r="A737" s="105"/>
      <c r="B737" s="108"/>
      <c r="C737" s="111"/>
      <c r="D737" s="111"/>
      <c r="E737" s="115"/>
      <c r="F737" s="31" t="s">
        <v>33</v>
      </c>
      <c r="G737" s="23"/>
      <c r="H737" s="23"/>
      <c r="I737" s="23"/>
      <c r="J737" s="23"/>
      <c r="K737" s="9"/>
      <c r="L737" s="9"/>
      <c r="M737" s="9"/>
      <c r="N737" s="9"/>
      <c r="O737" s="9"/>
      <c r="P737" s="23"/>
      <c r="Q737" s="23"/>
      <c r="R737" s="24"/>
      <c r="S737" s="11">
        <f>SUMIF($G$4:$R$4,"&gt;=0",G737:R737)</f>
        <v>0</v>
      </c>
      <c r="T737" s="10">
        <f>SUM(G737:R737)</f>
        <v>0</v>
      </c>
    </row>
    <row r="738" spans="1:20" x14ac:dyDescent="0.3">
      <c r="A738" s="105"/>
      <c r="B738" s="108"/>
      <c r="C738" s="111"/>
      <c r="D738" s="111"/>
      <c r="E738" s="115"/>
      <c r="F738" s="32" t="s">
        <v>34</v>
      </c>
      <c r="G738" s="14"/>
      <c r="H738" s="14"/>
      <c r="I738" s="14"/>
      <c r="J738" s="14"/>
      <c r="K738" s="13"/>
      <c r="L738" s="13"/>
      <c r="M738" s="13"/>
      <c r="N738" s="13"/>
      <c r="O738" s="13"/>
      <c r="P738" s="14"/>
      <c r="Q738" s="14"/>
      <c r="R738" s="30"/>
      <c r="S738" s="16">
        <f>SUMIF($G$4:$R$4,"&gt;=0",G738:R738)</f>
        <v>0</v>
      </c>
      <c r="T738" s="17">
        <f>SUM(G738:R738)</f>
        <v>0</v>
      </c>
    </row>
    <row r="739" spans="1:20" ht="15" thickBot="1" x14ac:dyDescent="0.35">
      <c r="A739" s="117"/>
      <c r="B739" s="109"/>
      <c r="C739" s="112"/>
      <c r="D739" s="113"/>
      <c r="E739" s="116"/>
      <c r="F739" s="21" t="s">
        <v>35</v>
      </c>
      <c r="G739" s="19" t="e">
        <f>(G738-G737)/G738</f>
        <v>#DIV/0!</v>
      </c>
      <c r="H739" s="19" t="e">
        <f t="shared" ref="H739:S739" si="599">(H738-H737)/H738</f>
        <v>#DIV/0!</v>
      </c>
      <c r="I739" s="19" t="e">
        <f t="shared" si="599"/>
        <v>#DIV/0!</v>
      </c>
      <c r="J739" s="19" t="e">
        <f t="shared" si="599"/>
        <v>#DIV/0!</v>
      </c>
      <c r="K739" s="19" t="e">
        <f t="shared" si="599"/>
        <v>#DIV/0!</v>
      </c>
      <c r="L739" s="19" t="e">
        <f t="shared" si="599"/>
        <v>#DIV/0!</v>
      </c>
      <c r="M739" s="19" t="e">
        <f t="shared" si="599"/>
        <v>#DIV/0!</v>
      </c>
      <c r="N739" s="19" t="e">
        <f t="shared" si="599"/>
        <v>#DIV/0!</v>
      </c>
      <c r="O739" s="19" t="e">
        <f t="shared" si="599"/>
        <v>#DIV/0!</v>
      </c>
      <c r="P739" s="19" t="e">
        <f t="shared" si="599"/>
        <v>#DIV/0!</v>
      </c>
      <c r="Q739" s="19" t="e">
        <f t="shared" si="599"/>
        <v>#DIV/0!</v>
      </c>
      <c r="R739" s="25" t="e">
        <f t="shared" si="599"/>
        <v>#DIV/0!</v>
      </c>
      <c r="S739" s="21" t="e">
        <f t="shared" si="599"/>
        <v>#DIV/0!</v>
      </c>
      <c r="T739" s="22" t="e">
        <f t="shared" ref="T739" si="600">T738/T737</f>
        <v>#DIV/0!</v>
      </c>
    </row>
    <row r="740" spans="1:20" x14ac:dyDescent="0.3">
      <c r="A740" s="104">
        <v>68</v>
      </c>
      <c r="B740" s="107"/>
      <c r="C740" s="110"/>
      <c r="D740" s="110"/>
      <c r="E740" s="114"/>
      <c r="F740" s="11" t="s">
        <v>25</v>
      </c>
      <c r="G740" s="23"/>
      <c r="H740" s="23"/>
      <c r="I740" s="23"/>
      <c r="J740" s="23"/>
      <c r="K740" s="9"/>
      <c r="L740" s="9"/>
      <c r="M740" s="9"/>
      <c r="N740" s="9"/>
      <c r="O740" s="9"/>
      <c r="P740" s="23"/>
      <c r="Q740" s="23"/>
      <c r="R740" s="24"/>
      <c r="S740" s="11">
        <f>SUMIF($G$4:$R$4,"&gt;=0",G740:R740)</f>
        <v>0</v>
      </c>
      <c r="T740" s="10">
        <f>SUM(G740:R740)</f>
        <v>0</v>
      </c>
    </row>
    <row r="741" spans="1:20" x14ac:dyDescent="0.3">
      <c r="A741" s="105"/>
      <c r="B741" s="108"/>
      <c r="C741" s="111"/>
      <c r="D741" s="111"/>
      <c r="E741" s="115"/>
      <c r="F741" s="12" t="s">
        <v>26</v>
      </c>
      <c r="G741" s="14"/>
      <c r="H741" s="14"/>
      <c r="I741" s="14"/>
      <c r="J741" s="14"/>
      <c r="K741" s="13"/>
      <c r="L741" s="13"/>
      <c r="M741" s="13"/>
      <c r="N741" s="13"/>
      <c r="O741" s="13"/>
      <c r="P741" s="14"/>
      <c r="Q741" s="14"/>
      <c r="R741" s="30"/>
      <c r="S741" s="16">
        <f>SUMIF($G$4:$R$4,"&gt;=0",G741:R741)</f>
        <v>0</v>
      </c>
      <c r="T741" s="17">
        <f t="shared" ref="T741" si="601">SUM(G741:R741)</f>
        <v>0</v>
      </c>
    </row>
    <row r="742" spans="1:20" ht="15" thickBot="1" x14ac:dyDescent="0.35">
      <c r="A742" s="105"/>
      <c r="B742" s="108"/>
      <c r="C742" s="111"/>
      <c r="D742" s="111"/>
      <c r="E742" s="115"/>
      <c r="F742" s="18" t="s">
        <v>27</v>
      </c>
      <c r="G742" s="19" t="e">
        <f>G741/G740</f>
        <v>#DIV/0!</v>
      </c>
      <c r="H742" s="19" t="e">
        <f t="shared" ref="H742:T742" si="602">H741/H740</f>
        <v>#DIV/0!</v>
      </c>
      <c r="I742" s="19" t="e">
        <f t="shared" si="602"/>
        <v>#DIV/0!</v>
      </c>
      <c r="J742" s="19" t="e">
        <f t="shared" si="602"/>
        <v>#DIV/0!</v>
      </c>
      <c r="K742" s="19" t="e">
        <f t="shared" si="602"/>
        <v>#DIV/0!</v>
      </c>
      <c r="L742" s="19" t="e">
        <f t="shared" si="602"/>
        <v>#DIV/0!</v>
      </c>
      <c r="M742" s="19" t="e">
        <f t="shared" si="602"/>
        <v>#DIV/0!</v>
      </c>
      <c r="N742" s="19" t="e">
        <f t="shared" si="602"/>
        <v>#DIV/0!</v>
      </c>
      <c r="O742" s="19" t="e">
        <f t="shared" si="602"/>
        <v>#DIV/0!</v>
      </c>
      <c r="P742" s="19" t="e">
        <f t="shared" si="602"/>
        <v>#DIV/0!</v>
      </c>
      <c r="Q742" s="19" t="e">
        <f t="shared" si="602"/>
        <v>#DIV/0!</v>
      </c>
      <c r="R742" s="25" t="e">
        <f t="shared" si="602"/>
        <v>#DIV/0!</v>
      </c>
      <c r="S742" s="21" t="e">
        <f t="shared" si="602"/>
        <v>#DIV/0!</v>
      </c>
      <c r="T742" s="22" t="e">
        <f t="shared" si="602"/>
        <v>#DIV/0!</v>
      </c>
    </row>
    <row r="743" spans="1:20" x14ac:dyDescent="0.3">
      <c r="A743" s="105"/>
      <c r="B743" s="108"/>
      <c r="C743" s="111"/>
      <c r="D743" s="111"/>
      <c r="E743" s="115"/>
      <c r="F743" s="11" t="s">
        <v>28</v>
      </c>
      <c r="G743" s="23"/>
      <c r="H743" s="23"/>
      <c r="I743" s="23"/>
      <c r="J743" s="23"/>
      <c r="K743" s="9"/>
      <c r="L743" s="9"/>
      <c r="M743" s="9"/>
      <c r="N743" s="9"/>
      <c r="O743" s="9"/>
      <c r="P743" s="23"/>
      <c r="Q743" s="23"/>
      <c r="R743" s="24"/>
      <c r="S743" s="11">
        <f>SUMIF($G$4:$R$4,"&gt;=0",G743:R743)</f>
        <v>0</v>
      </c>
      <c r="T743" s="10">
        <f>SUM(G743:R743)</f>
        <v>0</v>
      </c>
    </row>
    <row r="744" spans="1:20" ht="15" thickBot="1" x14ac:dyDescent="0.35">
      <c r="A744" s="105"/>
      <c r="B744" s="108"/>
      <c r="C744" s="111"/>
      <c r="D744" s="111"/>
      <c r="E744" s="115"/>
      <c r="F744" s="18" t="s">
        <v>29</v>
      </c>
      <c r="G744" s="19" t="e">
        <f>(G741-G743)/G741</f>
        <v>#DIV/0!</v>
      </c>
      <c r="H744" s="19" t="e">
        <f t="shared" ref="H744:S744" si="603">(H741-H743)/H741</f>
        <v>#DIV/0!</v>
      </c>
      <c r="I744" s="19" t="e">
        <f t="shared" si="603"/>
        <v>#DIV/0!</v>
      </c>
      <c r="J744" s="19" t="e">
        <f t="shared" si="603"/>
        <v>#DIV/0!</v>
      </c>
      <c r="K744" s="19" t="e">
        <f t="shared" si="603"/>
        <v>#DIV/0!</v>
      </c>
      <c r="L744" s="19" t="e">
        <f t="shared" si="603"/>
        <v>#DIV/0!</v>
      </c>
      <c r="M744" s="19" t="e">
        <f t="shared" si="603"/>
        <v>#DIV/0!</v>
      </c>
      <c r="N744" s="19" t="e">
        <f t="shared" si="603"/>
        <v>#DIV/0!</v>
      </c>
      <c r="O744" s="19" t="e">
        <f t="shared" si="603"/>
        <v>#DIV/0!</v>
      </c>
      <c r="P744" s="19" t="e">
        <f t="shared" si="603"/>
        <v>#DIV/0!</v>
      </c>
      <c r="Q744" s="19" t="e">
        <f t="shared" si="603"/>
        <v>#DIV/0!</v>
      </c>
      <c r="R744" s="25" t="e">
        <f t="shared" si="603"/>
        <v>#DIV/0!</v>
      </c>
      <c r="S744" s="21" t="e">
        <f t="shared" si="603"/>
        <v>#DIV/0!</v>
      </c>
      <c r="T744" s="22" t="e">
        <f t="shared" ref="T744" si="604">T741/T743</f>
        <v>#DIV/0!</v>
      </c>
    </row>
    <row r="745" spans="1:20" x14ac:dyDescent="0.3">
      <c r="A745" s="105"/>
      <c r="B745" s="108"/>
      <c r="C745" s="111"/>
      <c r="D745" s="111"/>
      <c r="E745" s="115"/>
      <c r="F745" s="26" t="s">
        <v>30</v>
      </c>
      <c r="G745" s="23"/>
      <c r="H745" s="23"/>
      <c r="I745" s="23"/>
      <c r="J745" s="23"/>
      <c r="K745" s="9"/>
      <c r="L745" s="9"/>
      <c r="M745" s="9"/>
      <c r="N745" s="9"/>
      <c r="O745" s="9"/>
      <c r="P745" s="23"/>
      <c r="Q745" s="23"/>
      <c r="R745" s="24"/>
      <c r="S745" s="11">
        <f>SUMIF($G$4:$R$4,"&gt;=0",G745:R745)</f>
        <v>0</v>
      </c>
      <c r="T745" s="10">
        <f>SUM(G745:R745)</f>
        <v>0</v>
      </c>
    </row>
    <row r="746" spans="1:20" x14ac:dyDescent="0.3">
      <c r="A746" s="105"/>
      <c r="B746" s="108"/>
      <c r="C746" s="111"/>
      <c r="D746" s="111"/>
      <c r="E746" s="115"/>
      <c r="F746" s="29" t="s">
        <v>31</v>
      </c>
      <c r="G746" s="14"/>
      <c r="H746" s="14"/>
      <c r="I746" s="14"/>
      <c r="J746" s="14"/>
      <c r="K746" s="13"/>
      <c r="L746" s="13"/>
      <c r="M746" s="13"/>
      <c r="N746" s="13"/>
      <c r="O746" s="13"/>
      <c r="P746" s="14"/>
      <c r="Q746" s="14"/>
      <c r="R746" s="30"/>
      <c r="S746" s="16">
        <f>SUMIF($G$4:$R$4,"&gt;=0",G746:R746)</f>
        <v>0</v>
      </c>
      <c r="T746" s="17">
        <f t="shared" ref="T746" si="605">SUM(G746:R746)</f>
        <v>0</v>
      </c>
    </row>
    <row r="747" spans="1:20" ht="15" thickBot="1" x14ac:dyDescent="0.35">
      <c r="A747" s="105"/>
      <c r="B747" s="108"/>
      <c r="C747" s="111"/>
      <c r="D747" s="111"/>
      <c r="E747" s="115"/>
      <c r="F747" s="18" t="s">
        <v>32</v>
      </c>
      <c r="G747" s="19" t="e">
        <f>(G745-G746)/G745</f>
        <v>#DIV/0!</v>
      </c>
      <c r="H747" s="19" t="e">
        <f t="shared" ref="H747:S747" si="606">(H745-H746)/H745</f>
        <v>#DIV/0!</v>
      </c>
      <c r="I747" s="19" t="e">
        <f t="shared" si="606"/>
        <v>#DIV/0!</v>
      </c>
      <c r="J747" s="19" t="e">
        <f t="shared" si="606"/>
        <v>#DIV/0!</v>
      </c>
      <c r="K747" s="19" t="e">
        <f t="shared" si="606"/>
        <v>#DIV/0!</v>
      </c>
      <c r="L747" s="19" t="e">
        <f t="shared" si="606"/>
        <v>#DIV/0!</v>
      </c>
      <c r="M747" s="19" t="e">
        <f t="shared" si="606"/>
        <v>#DIV/0!</v>
      </c>
      <c r="N747" s="19" t="e">
        <f t="shared" si="606"/>
        <v>#DIV/0!</v>
      </c>
      <c r="O747" s="19" t="e">
        <f t="shared" si="606"/>
        <v>#DIV/0!</v>
      </c>
      <c r="P747" s="19" t="e">
        <f t="shared" si="606"/>
        <v>#DIV/0!</v>
      </c>
      <c r="Q747" s="19" t="e">
        <f t="shared" si="606"/>
        <v>#DIV/0!</v>
      </c>
      <c r="R747" s="25" t="e">
        <f t="shared" si="606"/>
        <v>#DIV/0!</v>
      </c>
      <c r="S747" s="21" t="e">
        <f t="shared" si="606"/>
        <v>#DIV/0!</v>
      </c>
      <c r="T747" s="22" t="e">
        <f t="shared" ref="T747" si="607">T745/T746</f>
        <v>#DIV/0!</v>
      </c>
    </row>
    <row r="748" spans="1:20" x14ac:dyDescent="0.3">
      <c r="A748" s="105"/>
      <c r="B748" s="108"/>
      <c r="C748" s="111"/>
      <c r="D748" s="111"/>
      <c r="E748" s="115"/>
      <c r="F748" s="31" t="s">
        <v>33</v>
      </c>
      <c r="G748" s="23"/>
      <c r="H748" s="23"/>
      <c r="I748" s="23"/>
      <c r="J748" s="23"/>
      <c r="K748" s="9"/>
      <c r="L748" s="9"/>
      <c r="M748" s="9"/>
      <c r="N748" s="9"/>
      <c r="O748" s="9"/>
      <c r="P748" s="23"/>
      <c r="Q748" s="23"/>
      <c r="R748" s="24"/>
      <c r="S748" s="11">
        <f>SUMIF($G$4:$R$4,"&gt;=0",G748:R748)</f>
        <v>0</v>
      </c>
      <c r="T748" s="10">
        <f>SUM(G748:R748)</f>
        <v>0</v>
      </c>
    </row>
    <row r="749" spans="1:20" x14ac:dyDescent="0.3">
      <c r="A749" s="105"/>
      <c r="B749" s="108"/>
      <c r="C749" s="111"/>
      <c r="D749" s="111"/>
      <c r="E749" s="115"/>
      <c r="F749" s="32" t="s">
        <v>34</v>
      </c>
      <c r="G749" s="14"/>
      <c r="H749" s="14"/>
      <c r="I749" s="14"/>
      <c r="J749" s="14"/>
      <c r="K749" s="13"/>
      <c r="L749" s="13"/>
      <c r="M749" s="13"/>
      <c r="N749" s="13"/>
      <c r="O749" s="13"/>
      <c r="P749" s="14"/>
      <c r="Q749" s="14"/>
      <c r="R749" s="30"/>
      <c r="S749" s="16">
        <f>SUMIF($G$4:$R$4,"&gt;=0",G749:R749)</f>
        <v>0</v>
      </c>
      <c r="T749" s="17">
        <f>SUM(G749:R749)</f>
        <v>0</v>
      </c>
    </row>
    <row r="750" spans="1:20" ht="15" thickBot="1" x14ac:dyDescent="0.35">
      <c r="A750" s="117"/>
      <c r="B750" s="109"/>
      <c r="C750" s="112"/>
      <c r="D750" s="113"/>
      <c r="E750" s="116"/>
      <c r="F750" s="21" t="s">
        <v>35</v>
      </c>
      <c r="G750" s="19" t="e">
        <f>(G749-G748)/G749</f>
        <v>#DIV/0!</v>
      </c>
      <c r="H750" s="19" t="e">
        <f t="shared" ref="H750:S750" si="608">(H749-H748)/H749</f>
        <v>#DIV/0!</v>
      </c>
      <c r="I750" s="19" t="e">
        <f t="shared" si="608"/>
        <v>#DIV/0!</v>
      </c>
      <c r="J750" s="19" t="e">
        <f t="shared" si="608"/>
        <v>#DIV/0!</v>
      </c>
      <c r="K750" s="19" t="e">
        <f t="shared" si="608"/>
        <v>#DIV/0!</v>
      </c>
      <c r="L750" s="19" t="e">
        <f t="shared" si="608"/>
        <v>#DIV/0!</v>
      </c>
      <c r="M750" s="19" t="e">
        <f t="shared" si="608"/>
        <v>#DIV/0!</v>
      </c>
      <c r="N750" s="19" t="e">
        <f t="shared" si="608"/>
        <v>#DIV/0!</v>
      </c>
      <c r="O750" s="19" t="e">
        <f t="shared" si="608"/>
        <v>#DIV/0!</v>
      </c>
      <c r="P750" s="19" t="e">
        <f t="shared" si="608"/>
        <v>#DIV/0!</v>
      </c>
      <c r="Q750" s="19" t="e">
        <f t="shared" si="608"/>
        <v>#DIV/0!</v>
      </c>
      <c r="R750" s="25" t="e">
        <f t="shared" si="608"/>
        <v>#DIV/0!</v>
      </c>
      <c r="S750" s="21" t="e">
        <f t="shared" si="608"/>
        <v>#DIV/0!</v>
      </c>
      <c r="T750" s="22" t="e">
        <f t="shared" ref="T750" si="609">T749/T748</f>
        <v>#DIV/0!</v>
      </c>
    </row>
    <row r="751" spans="1:20" x14ac:dyDescent="0.3">
      <c r="A751" s="104">
        <v>69</v>
      </c>
      <c r="B751" s="107"/>
      <c r="C751" s="110"/>
      <c r="D751" s="110"/>
      <c r="E751" s="114"/>
      <c r="F751" s="11" t="s">
        <v>25</v>
      </c>
      <c r="G751" s="23"/>
      <c r="H751" s="23"/>
      <c r="I751" s="23"/>
      <c r="J751" s="23"/>
      <c r="K751" s="9"/>
      <c r="L751" s="9"/>
      <c r="M751" s="9"/>
      <c r="N751" s="9"/>
      <c r="O751" s="9"/>
      <c r="P751" s="23"/>
      <c r="Q751" s="23"/>
      <c r="R751" s="24"/>
      <c r="S751" s="11">
        <f>SUMIF($G$4:$R$4,"&gt;=0",G751:R751)</f>
        <v>0</v>
      </c>
      <c r="T751" s="10">
        <f>SUM(G751:R751)</f>
        <v>0</v>
      </c>
    </row>
    <row r="752" spans="1:20" x14ac:dyDescent="0.3">
      <c r="A752" s="105"/>
      <c r="B752" s="108"/>
      <c r="C752" s="111"/>
      <c r="D752" s="111"/>
      <c r="E752" s="115"/>
      <c r="F752" s="12" t="s">
        <v>26</v>
      </c>
      <c r="G752" s="14"/>
      <c r="H752" s="14"/>
      <c r="I752" s="14"/>
      <c r="J752" s="14"/>
      <c r="K752" s="13"/>
      <c r="L752" s="13"/>
      <c r="M752" s="13"/>
      <c r="N752" s="13"/>
      <c r="O752" s="13"/>
      <c r="P752" s="14"/>
      <c r="Q752" s="14"/>
      <c r="R752" s="30"/>
      <c r="S752" s="16">
        <f>SUMIF($G$4:$R$4,"&gt;=0",G752:R752)</f>
        <v>0</v>
      </c>
      <c r="T752" s="17">
        <f t="shared" ref="T752" si="610">SUM(G752:R752)</f>
        <v>0</v>
      </c>
    </row>
    <row r="753" spans="1:20" ht="15" thickBot="1" x14ac:dyDescent="0.35">
      <c r="A753" s="105"/>
      <c r="B753" s="108"/>
      <c r="C753" s="111"/>
      <c r="D753" s="111"/>
      <c r="E753" s="115"/>
      <c r="F753" s="18" t="s">
        <v>27</v>
      </c>
      <c r="G753" s="19" t="e">
        <f>G752/G751</f>
        <v>#DIV/0!</v>
      </c>
      <c r="H753" s="19" t="e">
        <f t="shared" ref="H753:T753" si="611">H752/H751</f>
        <v>#DIV/0!</v>
      </c>
      <c r="I753" s="19" t="e">
        <f t="shared" si="611"/>
        <v>#DIV/0!</v>
      </c>
      <c r="J753" s="19" t="e">
        <f t="shared" si="611"/>
        <v>#DIV/0!</v>
      </c>
      <c r="K753" s="19" t="e">
        <f t="shared" si="611"/>
        <v>#DIV/0!</v>
      </c>
      <c r="L753" s="19" t="e">
        <f t="shared" si="611"/>
        <v>#DIV/0!</v>
      </c>
      <c r="M753" s="19" t="e">
        <f t="shared" si="611"/>
        <v>#DIV/0!</v>
      </c>
      <c r="N753" s="19" t="e">
        <f t="shared" si="611"/>
        <v>#DIV/0!</v>
      </c>
      <c r="O753" s="19" t="e">
        <f t="shared" si="611"/>
        <v>#DIV/0!</v>
      </c>
      <c r="P753" s="19" t="e">
        <f t="shared" si="611"/>
        <v>#DIV/0!</v>
      </c>
      <c r="Q753" s="19" t="e">
        <f t="shared" si="611"/>
        <v>#DIV/0!</v>
      </c>
      <c r="R753" s="25" t="e">
        <f t="shared" si="611"/>
        <v>#DIV/0!</v>
      </c>
      <c r="S753" s="21" t="e">
        <f t="shared" si="611"/>
        <v>#DIV/0!</v>
      </c>
      <c r="T753" s="22" t="e">
        <f t="shared" si="611"/>
        <v>#DIV/0!</v>
      </c>
    </row>
    <row r="754" spans="1:20" x14ac:dyDescent="0.3">
      <c r="A754" s="105"/>
      <c r="B754" s="108"/>
      <c r="C754" s="111"/>
      <c r="D754" s="111"/>
      <c r="E754" s="115"/>
      <c r="F754" s="11" t="s">
        <v>28</v>
      </c>
      <c r="G754" s="23"/>
      <c r="H754" s="23"/>
      <c r="I754" s="23"/>
      <c r="J754" s="23"/>
      <c r="K754" s="9"/>
      <c r="L754" s="9"/>
      <c r="M754" s="9"/>
      <c r="N754" s="9"/>
      <c r="O754" s="9"/>
      <c r="P754" s="23"/>
      <c r="Q754" s="23"/>
      <c r="R754" s="24"/>
      <c r="S754" s="11">
        <f>SUMIF($G$4:$R$4,"&gt;=0",G754:R754)</f>
        <v>0</v>
      </c>
      <c r="T754" s="10">
        <f>SUM(G754:R754)</f>
        <v>0</v>
      </c>
    </row>
    <row r="755" spans="1:20" ht="15" thickBot="1" x14ac:dyDescent="0.35">
      <c r="A755" s="105"/>
      <c r="B755" s="108"/>
      <c r="C755" s="111"/>
      <c r="D755" s="111"/>
      <c r="E755" s="115"/>
      <c r="F755" s="18" t="s">
        <v>29</v>
      </c>
      <c r="G755" s="19" t="e">
        <f>(G752-G754)/G752</f>
        <v>#DIV/0!</v>
      </c>
      <c r="H755" s="19" t="e">
        <f t="shared" ref="H755:S755" si="612">(H752-H754)/H752</f>
        <v>#DIV/0!</v>
      </c>
      <c r="I755" s="19" t="e">
        <f t="shared" si="612"/>
        <v>#DIV/0!</v>
      </c>
      <c r="J755" s="19" t="e">
        <f t="shared" si="612"/>
        <v>#DIV/0!</v>
      </c>
      <c r="K755" s="19" t="e">
        <f t="shared" si="612"/>
        <v>#DIV/0!</v>
      </c>
      <c r="L755" s="19" t="e">
        <f t="shared" si="612"/>
        <v>#DIV/0!</v>
      </c>
      <c r="M755" s="19" t="e">
        <f t="shared" si="612"/>
        <v>#DIV/0!</v>
      </c>
      <c r="N755" s="19" t="e">
        <f t="shared" si="612"/>
        <v>#DIV/0!</v>
      </c>
      <c r="O755" s="19" t="e">
        <f t="shared" si="612"/>
        <v>#DIV/0!</v>
      </c>
      <c r="P755" s="19" t="e">
        <f t="shared" si="612"/>
        <v>#DIV/0!</v>
      </c>
      <c r="Q755" s="19" t="e">
        <f t="shared" si="612"/>
        <v>#DIV/0!</v>
      </c>
      <c r="R755" s="25" t="e">
        <f t="shared" si="612"/>
        <v>#DIV/0!</v>
      </c>
      <c r="S755" s="21" t="e">
        <f t="shared" si="612"/>
        <v>#DIV/0!</v>
      </c>
      <c r="T755" s="22" t="e">
        <f t="shared" ref="T755" si="613">T752/T754</f>
        <v>#DIV/0!</v>
      </c>
    </row>
    <row r="756" spans="1:20" x14ac:dyDescent="0.3">
      <c r="A756" s="105"/>
      <c r="B756" s="108"/>
      <c r="C756" s="111"/>
      <c r="D756" s="111"/>
      <c r="E756" s="115"/>
      <c r="F756" s="26" t="s">
        <v>30</v>
      </c>
      <c r="G756" s="23"/>
      <c r="H756" s="23"/>
      <c r="I756" s="23"/>
      <c r="J756" s="23"/>
      <c r="K756" s="9"/>
      <c r="L756" s="9"/>
      <c r="M756" s="9"/>
      <c r="N756" s="9"/>
      <c r="O756" s="9"/>
      <c r="P756" s="23"/>
      <c r="Q756" s="23"/>
      <c r="R756" s="24"/>
      <c r="S756" s="11">
        <f>SUMIF($G$4:$R$4,"&gt;=0",G756:R756)</f>
        <v>0</v>
      </c>
      <c r="T756" s="10">
        <f>SUM(G756:R756)</f>
        <v>0</v>
      </c>
    </row>
    <row r="757" spans="1:20" x14ac:dyDescent="0.3">
      <c r="A757" s="105"/>
      <c r="B757" s="108"/>
      <c r="C757" s="111"/>
      <c r="D757" s="111"/>
      <c r="E757" s="115"/>
      <c r="F757" s="29" t="s">
        <v>31</v>
      </c>
      <c r="G757" s="14"/>
      <c r="H757" s="14"/>
      <c r="I757" s="14"/>
      <c r="J757" s="14"/>
      <c r="K757" s="13"/>
      <c r="L757" s="13"/>
      <c r="M757" s="13"/>
      <c r="N757" s="13"/>
      <c r="O757" s="13"/>
      <c r="P757" s="14"/>
      <c r="Q757" s="14"/>
      <c r="R757" s="30"/>
      <c r="S757" s="16">
        <f>SUMIF($G$4:$R$4,"&gt;=0",G757:R757)</f>
        <v>0</v>
      </c>
      <c r="T757" s="17">
        <f t="shared" ref="T757" si="614">SUM(G757:R757)</f>
        <v>0</v>
      </c>
    </row>
    <row r="758" spans="1:20" ht="15" thickBot="1" x14ac:dyDescent="0.35">
      <c r="A758" s="105"/>
      <c r="B758" s="108"/>
      <c r="C758" s="111"/>
      <c r="D758" s="111"/>
      <c r="E758" s="115"/>
      <c r="F758" s="18" t="s">
        <v>32</v>
      </c>
      <c r="G758" s="19" t="e">
        <f>(G756-G757)/G756</f>
        <v>#DIV/0!</v>
      </c>
      <c r="H758" s="19" t="e">
        <f t="shared" ref="H758:S758" si="615">(H756-H757)/H756</f>
        <v>#DIV/0!</v>
      </c>
      <c r="I758" s="19" t="e">
        <f t="shared" si="615"/>
        <v>#DIV/0!</v>
      </c>
      <c r="J758" s="19" t="e">
        <f t="shared" si="615"/>
        <v>#DIV/0!</v>
      </c>
      <c r="K758" s="19" t="e">
        <f t="shared" si="615"/>
        <v>#DIV/0!</v>
      </c>
      <c r="L758" s="19" t="e">
        <f t="shared" si="615"/>
        <v>#DIV/0!</v>
      </c>
      <c r="M758" s="19" t="e">
        <f t="shared" si="615"/>
        <v>#DIV/0!</v>
      </c>
      <c r="N758" s="19" t="e">
        <f t="shared" si="615"/>
        <v>#DIV/0!</v>
      </c>
      <c r="O758" s="19" t="e">
        <f t="shared" si="615"/>
        <v>#DIV/0!</v>
      </c>
      <c r="P758" s="19" t="e">
        <f t="shared" si="615"/>
        <v>#DIV/0!</v>
      </c>
      <c r="Q758" s="19" t="e">
        <f t="shared" si="615"/>
        <v>#DIV/0!</v>
      </c>
      <c r="R758" s="25" t="e">
        <f t="shared" si="615"/>
        <v>#DIV/0!</v>
      </c>
      <c r="S758" s="21" t="e">
        <f t="shared" si="615"/>
        <v>#DIV/0!</v>
      </c>
      <c r="T758" s="22" t="e">
        <f t="shared" ref="T758" si="616">T756/T757</f>
        <v>#DIV/0!</v>
      </c>
    </row>
    <row r="759" spans="1:20" x14ac:dyDescent="0.3">
      <c r="A759" s="105"/>
      <c r="B759" s="108"/>
      <c r="C759" s="111"/>
      <c r="D759" s="111"/>
      <c r="E759" s="115"/>
      <c r="F759" s="31" t="s">
        <v>33</v>
      </c>
      <c r="G759" s="23"/>
      <c r="H759" s="23"/>
      <c r="I759" s="23"/>
      <c r="J759" s="23"/>
      <c r="K759" s="9"/>
      <c r="L759" s="9"/>
      <c r="M759" s="9"/>
      <c r="N759" s="9"/>
      <c r="O759" s="9"/>
      <c r="P759" s="23"/>
      <c r="Q759" s="23"/>
      <c r="R759" s="24"/>
      <c r="S759" s="11">
        <f>SUMIF($G$4:$R$4,"&gt;=0",G759:R759)</f>
        <v>0</v>
      </c>
      <c r="T759" s="10">
        <f>SUM(G759:R759)</f>
        <v>0</v>
      </c>
    </row>
    <row r="760" spans="1:20" x14ac:dyDescent="0.3">
      <c r="A760" s="105"/>
      <c r="B760" s="108"/>
      <c r="C760" s="111"/>
      <c r="D760" s="111"/>
      <c r="E760" s="115"/>
      <c r="F760" s="32" t="s">
        <v>34</v>
      </c>
      <c r="G760" s="14"/>
      <c r="H760" s="14"/>
      <c r="I760" s="14"/>
      <c r="J760" s="14"/>
      <c r="K760" s="13"/>
      <c r="L760" s="13"/>
      <c r="M760" s="13"/>
      <c r="N760" s="13"/>
      <c r="O760" s="13"/>
      <c r="P760" s="14"/>
      <c r="Q760" s="14"/>
      <c r="R760" s="30"/>
      <c r="S760" s="16">
        <f>SUMIF($G$4:$R$4,"&gt;=0",G760:R760)</f>
        <v>0</v>
      </c>
      <c r="T760" s="17">
        <f>SUM(G760:R760)</f>
        <v>0</v>
      </c>
    </row>
    <row r="761" spans="1:20" ht="15" thickBot="1" x14ac:dyDescent="0.35">
      <c r="A761" s="106"/>
      <c r="B761" s="109"/>
      <c r="C761" s="112"/>
      <c r="D761" s="113"/>
      <c r="E761" s="116"/>
      <c r="F761" s="21" t="s">
        <v>35</v>
      </c>
      <c r="G761" s="19" t="e">
        <f>(G760-G759)/G760</f>
        <v>#DIV/0!</v>
      </c>
      <c r="H761" s="19" t="e">
        <f t="shared" ref="H761:S761" si="617">(H760-H759)/H760</f>
        <v>#DIV/0!</v>
      </c>
      <c r="I761" s="19" t="e">
        <f t="shared" si="617"/>
        <v>#DIV/0!</v>
      </c>
      <c r="J761" s="19" t="e">
        <f t="shared" si="617"/>
        <v>#DIV/0!</v>
      </c>
      <c r="K761" s="19" t="e">
        <f t="shared" si="617"/>
        <v>#DIV/0!</v>
      </c>
      <c r="L761" s="19" t="e">
        <f t="shared" si="617"/>
        <v>#DIV/0!</v>
      </c>
      <c r="M761" s="19" t="e">
        <f t="shared" si="617"/>
        <v>#DIV/0!</v>
      </c>
      <c r="N761" s="19" t="e">
        <f t="shared" si="617"/>
        <v>#DIV/0!</v>
      </c>
      <c r="O761" s="19" t="e">
        <f t="shared" si="617"/>
        <v>#DIV/0!</v>
      </c>
      <c r="P761" s="19" t="e">
        <f t="shared" si="617"/>
        <v>#DIV/0!</v>
      </c>
      <c r="Q761" s="19" t="e">
        <f t="shared" si="617"/>
        <v>#DIV/0!</v>
      </c>
      <c r="R761" s="25" t="e">
        <f t="shared" si="617"/>
        <v>#DIV/0!</v>
      </c>
      <c r="S761" s="21" t="e">
        <f t="shared" si="617"/>
        <v>#DIV/0!</v>
      </c>
      <c r="T761" s="22" t="e">
        <f t="shared" ref="T761" si="618">T760/T759</f>
        <v>#DIV/0!</v>
      </c>
    </row>
    <row r="762" spans="1:20" x14ac:dyDescent="0.3">
      <c r="A762" s="104">
        <v>70</v>
      </c>
      <c r="B762" s="107"/>
      <c r="C762" s="110"/>
      <c r="D762" s="110"/>
      <c r="E762" s="114"/>
      <c r="F762" s="11" t="s">
        <v>25</v>
      </c>
      <c r="G762" s="23"/>
      <c r="H762" s="23"/>
      <c r="I762" s="23"/>
      <c r="J762" s="23"/>
      <c r="K762" s="9"/>
      <c r="L762" s="9"/>
      <c r="M762" s="9"/>
      <c r="N762" s="9"/>
      <c r="O762" s="9"/>
      <c r="P762" s="23"/>
      <c r="Q762" s="23"/>
      <c r="R762" s="24"/>
      <c r="S762" s="11">
        <f>SUMIF($G$4:$R$4,"&gt;=0",G762:R762)</f>
        <v>0</v>
      </c>
      <c r="T762" s="10">
        <f>SUM(G762:R762)</f>
        <v>0</v>
      </c>
    </row>
    <row r="763" spans="1:20" x14ac:dyDescent="0.3">
      <c r="A763" s="105"/>
      <c r="B763" s="108"/>
      <c r="C763" s="111"/>
      <c r="D763" s="111"/>
      <c r="E763" s="115"/>
      <c r="F763" s="12" t="s">
        <v>26</v>
      </c>
      <c r="G763" s="14"/>
      <c r="H763" s="14"/>
      <c r="I763" s="14"/>
      <c r="J763" s="14"/>
      <c r="K763" s="13"/>
      <c r="L763" s="13"/>
      <c r="M763" s="13"/>
      <c r="N763" s="13"/>
      <c r="O763" s="13"/>
      <c r="P763" s="14"/>
      <c r="Q763" s="14"/>
      <c r="R763" s="30"/>
      <c r="S763" s="16">
        <f>SUMIF($G$4:$R$4,"&gt;=0",G763:R763)</f>
        <v>0</v>
      </c>
      <c r="T763" s="17">
        <f t="shared" ref="T763" si="619">SUM(G763:R763)</f>
        <v>0</v>
      </c>
    </row>
    <row r="764" spans="1:20" ht="15" thickBot="1" x14ac:dyDescent="0.35">
      <c r="A764" s="105"/>
      <c r="B764" s="108"/>
      <c r="C764" s="111"/>
      <c r="D764" s="111"/>
      <c r="E764" s="115"/>
      <c r="F764" s="18" t="s">
        <v>27</v>
      </c>
      <c r="G764" s="19" t="e">
        <f>G763/G762</f>
        <v>#DIV/0!</v>
      </c>
      <c r="H764" s="19" t="e">
        <f t="shared" ref="H764:T764" si="620">H763/H762</f>
        <v>#DIV/0!</v>
      </c>
      <c r="I764" s="19" t="e">
        <f t="shared" si="620"/>
        <v>#DIV/0!</v>
      </c>
      <c r="J764" s="19" t="e">
        <f t="shared" si="620"/>
        <v>#DIV/0!</v>
      </c>
      <c r="K764" s="19" t="e">
        <f t="shared" si="620"/>
        <v>#DIV/0!</v>
      </c>
      <c r="L764" s="19" t="e">
        <f t="shared" si="620"/>
        <v>#DIV/0!</v>
      </c>
      <c r="M764" s="19" t="e">
        <f t="shared" si="620"/>
        <v>#DIV/0!</v>
      </c>
      <c r="N764" s="19" t="e">
        <f t="shared" si="620"/>
        <v>#DIV/0!</v>
      </c>
      <c r="O764" s="19" t="e">
        <f t="shared" si="620"/>
        <v>#DIV/0!</v>
      </c>
      <c r="P764" s="19" t="e">
        <f t="shared" si="620"/>
        <v>#DIV/0!</v>
      </c>
      <c r="Q764" s="19" t="e">
        <f t="shared" si="620"/>
        <v>#DIV/0!</v>
      </c>
      <c r="R764" s="25" t="e">
        <f t="shared" si="620"/>
        <v>#DIV/0!</v>
      </c>
      <c r="S764" s="21" t="e">
        <f t="shared" si="620"/>
        <v>#DIV/0!</v>
      </c>
      <c r="T764" s="22" t="e">
        <f t="shared" si="620"/>
        <v>#DIV/0!</v>
      </c>
    </row>
    <row r="765" spans="1:20" x14ac:dyDescent="0.3">
      <c r="A765" s="105"/>
      <c r="B765" s="108"/>
      <c r="C765" s="111"/>
      <c r="D765" s="111"/>
      <c r="E765" s="115"/>
      <c r="F765" s="11" t="s">
        <v>28</v>
      </c>
      <c r="G765" s="23"/>
      <c r="H765" s="23"/>
      <c r="I765" s="23"/>
      <c r="J765" s="23"/>
      <c r="K765" s="9"/>
      <c r="L765" s="9"/>
      <c r="M765" s="9"/>
      <c r="N765" s="9"/>
      <c r="O765" s="9"/>
      <c r="P765" s="23"/>
      <c r="Q765" s="23"/>
      <c r="R765" s="24"/>
      <c r="S765" s="11">
        <f>SUMIF($G$4:$R$4,"&gt;=0",G765:R765)</f>
        <v>0</v>
      </c>
      <c r="T765" s="10">
        <f>SUM(G765:R765)</f>
        <v>0</v>
      </c>
    </row>
    <row r="766" spans="1:20" ht="15" thickBot="1" x14ac:dyDescent="0.35">
      <c r="A766" s="105"/>
      <c r="B766" s="108"/>
      <c r="C766" s="111"/>
      <c r="D766" s="111"/>
      <c r="E766" s="115"/>
      <c r="F766" s="18" t="s">
        <v>29</v>
      </c>
      <c r="G766" s="19" t="e">
        <f>(G763-G765)/G763</f>
        <v>#DIV/0!</v>
      </c>
      <c r="H766" s="19" t="e">
        <f t="shared" ref="H766:S766" si="621">(H763-H765)/H763</f>
        <v>#DIV/0!</v>
      </c>
      <c r="I766" s="19" t="e">
        <f t="shared" si="621"/>
        <v>#DIV/0!</v>
      </c>
      <c r="J766" s="19" t="e">
        <f t="shared" si="621"/>
        <v>#DIV/0!</v>
      </c>
      <c r="K766" s="19" t="e">
        <f t="shared" si="621"/>
        <v>#DIV/0!</v>
      </c>
      <c r="L766" s="19" t="e">
        <f t="shared" si="621"/>
        <v>#DIV/0!</v>
      </c>
      <c r="M766" s="19" t="e">
        <f t="shared" si="621"/>
        <v>#DIV/0!</v>
      </c>
      <c r="N766" s="19" t="e">
        <f t="shared" si="621"/>
        <v>#DIV/0!</v>
      </c>
      <c r="O766" s="19" t="e">
        <f t="shared" si="621"/>
        <v>#DIV/0!</v>
      </c>
      <c r="P766" s="19" t="e">
        <f t="shared" si="621"/>
        <v>#DIV/0!</v>
      </c>
      <c r="Q766" s="19" t="e">
        <f t="shared" si="621"/>
        <v>#DIV/0!</v>
      </c>
      <c r="R766" s="25" t="e">
        <f t="shared" si="621"/>
        <v>#DIV/0!</v>
      </c>
      <c r="S766" s="21" t="e">
        <f t="shared" si="621"/>
        <v>#DIV/0!</v>
      </c>
      <c r="T766" s="22" t="e">
        <f t="shared" ref="T766" si="622">T763/T765</f>
        <v>#DIV/0!</v>
      </c>
    </row>
    <row r="767" spans="1:20" x14ac:dyDescent="0.3">
      <c r="A767" s="105"/>
      <c r="B767" s="108"/>
      <c r="C767" s="111"/>
      <c r="D767" s="111"/>
      <c r="E767" s="115"/>
      <c r="F767" s="26" t="s">
        <v>30</v>
      </c>
      <c r="G767" s="23"/>
      <c r="H767" s="23"/>
      <c r="I767" s="23"/>
      <c r="J767" s="23"/>
      <c r="K767" s="9"/>
      <c r="L767" s="9"/>
      <c r="M767" s="9"/>
      <c r="N767" s="9"/>
      <c r="O767" s="9"/>
      <c r="P767" s="23"/>
      <c r="Q767" s="23"/>
      <c r="R767" s="24"/>
      <c r="S767" s="11">
        <f>SUMIF($G$4:$R$4,"&gt;=0",G767:R767)</f>
        <v>0</v>
      </c>
      <c r="T767" s="10">
        <f>SUM(G767:R767)</f>
        <v>0</v>
      </c>
    </row>
    <row r="768" spans="1:20" x14ac:dyDescent="0.3">
      <c r="A768" s="105"/>
      <c r="B768" s="108"/>
      <c r="C768" s="111"/>
      <c r="D768" s="111"/>
      <c r="E768" s="115"/>
      <c r="F768" s="29" t="s">
        <v>31</v>
      </c>
      <c r="G768" s="14"/>
      <c r="H768" s="14"/>
      <c r="I768" s="14"/>
      <c r="J768" s="14"/>
      <c r="K768" s="13"/>
      <c r="L768" s="13"/>
      <c r="M768" s="13"/>
      <c r="N768" s="13"/>
      <c r="O768" s="13"/>
      <c r="P768" s="14"/>
      <c r="Q768" s="14"/>
      <c r="R768" s="30"/>
      <c r="S768" s="16">
        <f>SUMIF($G$4:$R$4,"&gt;=0",G768:R768)</f>
        <v>0</v>
      </c>
      <c r="T768" s="17">
        <f t="shared" ref="T768" si="623">SUM(G768:R768)</f>
        <v>0</v>
      </c>
    </row>
    <row r="769" spans="1:20" ht="15" thickBot="1" x14ac:dyDescent="0.35">
      <c r="A769" s="105"/>
      <c r="B769" s="108"/>
      <c r="C769" s="111"/>
      <c r="D769" s="111"/>
      <c r="E769" s="115"/>
      <c r="F769" s="18" t="s">
        <v>32</v>
      </c>
      <c r="G769" s="19" t="e">
        <f>(G767-G768)/G767</f>
        <v>#DIV/0!</v>
      </c>
      <c r="H769" s="19" t="e">
        <f t="shared" ref="H769:S769" si="624">(H767-H768)/H767</f>
        <v>#DIV/0!</v>
      </c>
      <c r="I769" s="19" t="e">
        <f t="shared" si="624"/>
        <v>#DIV/0!</v>
      </c>
      <c r="J769" s="19" t="e">
        <f t="shared" si="624"/>
        <v>#DIV/0!</v>
      </c>
      <c r="K769" s="19" t="e">
        <f t="shared" si="624"/>
        <v>#DIV/0!</v>
      </c>
      <c r="L769" s="19" t="e">
        <f t="shared" si="624"/>
        <v>#DIV/0!</v>
      </c>
      <c r="M769" s="19" t="e">
        <f t="shared" si="624"/>
        <v>#DIV/0!</v>
      </c>
      <c r="N769" s="19" t="e">
        <f t="shared" si="624"/>
        <v>#DIV/0!</v>
      </c>
      <c r="O769" s="19" t="e">
        <f t="shared" si="624"/>
        <v>#DIV/0!</v>
      </c>
      <c r="P769" s="19" t="e">
        <f t="shared" si="624"/>
        <v>#DIV/0!</v>
      </c>
      <c r="Q769" s="19" t="e">
        <f t="shared" si="624"/>
        <v>#DIV/0!</v>
      </c>
      <c r="R769" s="25" t="e">
        <f t="shared" si="624"/>
        <v>#DIV/0!</v>
      </c>
      <c r="S769" s="21" t="e">
        <f t="shared" si="624"/>
        <v>#DIV/0!</v>
      </c>
      <c r="T769" s="22" t="e">
        <f t="shared" ref="T769" si="625">T767/T768</f>
        <v>#DIV/0!</v>
      </c>
    </row>
    <row r="770" spans="1:20" x14ac:dyDescent="0.3">
      <c r="A770" s="105"/>
      <c r="B770" s="108"/>
      <c r="C770" s="111"/>
      <c r="D770" s="111"/>
      <c r="E770" s="115"/>
      <c r="F770" s="31" t="s">
        <v>33</v>
      </c>
      <c r="G770" s="23"/>
      <c r="H770" s="23"/>
      <c r="I770" s="23"/>
      <c r="J770" s="23"/>
      <c r="K770" s="9"/>
      <c r="L770" s="9"/>
      <c r="M770" s="9"/>
      <c r="N770" s="9"/>
      <c r="O770" s="9"/>
      <c r="P770" s="23"/>
      <c r="Q770" s="23"/>
      <c r="R770" s="24"/>
      <c r="S770" s="11">
        <f>SUMIF($G$4:$R$4,"&gt;=0",G770:R770)</f>
        <v>0</v>
      </c>
      <c r="T770" s="10">
        <f>SUM(G770:R770)</f>
        <v>0</v>
      </c>
    </row>
    <row r="771" spans="1:20" x14ac:dyDescent="0.3">
      <c r="A771" s="105"/>
      <c r="B771" s="108"/>
      <c r="C771" s="111"/>
      <c r="D771" s="111"/>
      <c r="E771" s="115"/>
      <c r="F771" s="32" t="s">
        <v>34</v>
      </c>
      <c r="G771" s="14"/>
      <c r="H771" s="14"/>
      <c r="I771" s="14"/>
      <c r="J771" s="14"/>
      <c r="K771" s="13"/>
      <c r="L771" s="13"/>
      <c r="M771" s="13"/>
      <c r="N771" s="13"/>
      <c r="O771" s="13"/>
      <c r="P771" s="14"/>
      <c r="Q771" s="14"/>
      <c r="R771" s="30"/>
      <c r="S771" s="16">
        <f>SUMIF($G$4:$R$4,"&gt;=0",G771:R771)</f>
        <v>0</v>
      </c>
      <c r="T771" s="17">
        <f>SUM(G771:R771)</f>
        <v>0</v>
      </c>
    </row>
    <row r="772" spans="1:20" ht="15" thickBot="1" x14ac:dyDescent="0.35">
      <c r="A772" s="117"/>
      <c r="B772" s="109"/>
      <c r="C772" s="112"/>
      <c r="D772" s="113"/>
      <c r="E772" s="116"/>
      <c r="F772" s="21" t="s">
        <v>35</v>
      </c>
      <c r="G772" s="19" t="e">
        <f>(G771-G770)/G771</f>
        <v>#DIV/0!</v>
      </c>
      <c r="H772" s="19" t="e">
        <f t="shared" ref="H772:S772" si="626">(H771-H770)/H771</f>
        <v>#DIV/0!</v>
      </c>
      <c r="I772" s="19" t="e">
        <f t="shared" si="626"/>
        <v>#DIV/0!</v>
      </c>
      <c r="J772" s="19" t="e">
        <f t="shared" si="626"/>
        <v>#DIV/0!</v>
      </c>
      <c r="K772" s="19" t="e">
        <f t="shared" si="626"/>
        <v>#DIV/0!</v>
      </c>
      <c r="L772" s="19" t="e">
        <f t="shared" si="626"/>
        <v>#DIV/0!</v>
      </c>
      <c r="M772" s="19" t="e">
        <f t="shared" si="626"/>
        <v>#DIV/0!</v>
      </c>
      <c r="N772" s="19" t="e">
        <f t="shared" si="626"/>
        <v>#DIV/0!</v>
      </c>
      <c r="O772" s="19" t="e">
        <f t="shared" si="626"/>
        <v>#DIV/0!</v>
      </c>
      <c r="P772" s="19" t="e">
        <f t="shared" si="626"/>
        <v>#DIV/0!</v>
      </c>
      <c r="Q772" s="19" t="e">
        <f t="shared" si="626"/>
        <v>#DIV/0!</v>
      </c>
      <c r="R772" s="25" t="e">
        <f t="shared" si="626"/>
        <v>#DIV/0!</v>
      </c>
      <c r="S772" s="21" t="e">
        <f t="shared" si="626"/>
        <v>#DIV/0!</v>
      </c>
      <c r="T772" s="22" t="e">
        <f t="shared" ref="T772" si="627">T771/T770</f>
        <v>#DIV/0!</v>
      </c>
    </row>
    <row r="773" spans="1:20" x14ac:dyDescent="0.3">
      <c r="A773" s="104">
        <v>71</v>
      </c>
      <c r="B773" s="107"/>
      <c r="C773" s="110"/>
      <c r="D773" s="110"/>
      <c r="E773" s="114"/>
      <c r="F773" s="11" t="s">
        <v>25</v>
      </c>
      <c r="G773" s="23"/>
      <c r="H773" s="23"/>
      <c r="I773" s="23"/>
      <c r="J773" s="23"/>
      <c r="K773" s="9"/>
      <c r="L773" s="9"/>
      <c r="M773" s="9"/>
      <c r="N773" s="9"/>
      <c r="O773" s="9"/>
      <c r="P773" s="23"/>
      <c r="Q773" s="23"/>
      <c r="R773" s="24"/>
      <c r="S773" s="11">
        <f>SUMIF($G$4:$R$4,"&gt;=0",G773:R773)</f>
        <v>0</v>
      </c>
      <c r="T773" s="10">
        <f>SUM(G773:R773)</f>
        <v>0</v>
      </c>
    </row>
    <row r="774" spans="1:20" x14ac:dyDescent="0.3">
      <c r="A774" s="105"/>
      <c r="B774" s="108"/>
      <c r="C774" s="111"/>
      <c r="D774" s="111"/>
      <c r="E774" s="115"/>
      <c r="F774" s="12" t="s">
        <v>26</v>
      </c>
      <c r="G774" s="14"/>
      <c r="H774" s="14"/>
      <c r="I774" s="14"/>
      <c r="J774" s="14"/>
      <c r="K774" s="13"/>
      <c r="L774" s="13"/>
      <c r="M774" s="13"/>
      <c r="N774" s="13"/>
      <c r="O774" s="13"/>
      <c r="P774" s="14"/>
      <c r="Q774" s="14"/>
      <c r="R774" s="30"/>
      <c r="S774" s="16">
        <f>SUMIF($G$4:$R$4,"&gt;=0",G774:R774)</f>
        <v>0</v>
      </c>
      <c r="T774" s="17">
        <f t="shared" ref="T774" si="628">SUM(G774:R774)</f>
        <v>0</v>
      </c>
    </row>
    <row r="775" spans="1:20" ht="15" thickBot="1" x14ac:dyDescent="0.35">
      <c r="A775" s="105"/>
      <c r="B775" s="108"/>
      <c r="C775" s="111"/>
      <c r="D775" s="111"/>
      <c r="E775" s="115"/>
      <c r="F775" s="18" t="s">
        <v>27</v>
      </c>
      <c r="G775" s="19" t="e">
        <f>G774/G773</f>
        <v>#DIV/0!</v>
      </c>
      <c r="H775" s="19" t="e">
        <f t="shared" ref="H775:T775" si="629">H774/H773</f>
        <v>#DIV/0!</v>
      </c>
      <c r="I775" s="19" t="e">
        <f t="shared" si="629"/>
        <v>#DIV/0!</v>
      </c>
      <c r="J775" s="19" t="e">
        <f t="shared" si="629"/>
        <v>#DIV/0!</v>
      </c>
      <c r="K775" s="19" t="e">
        <f t="shared" si="629"/>
        <v>#DIV/0!</v>
      </c>
      <c r="L775" s="19" t="e">
        <f t="shared" si="629"/>
        <v>#DIV/0!</v>
      </c>
      <c r="M775" s="19" t="e">
        <f t="shared" si="629"/>
        <v>#DIV/0!</v>
      </c>
      <c r="N775" s="19" t="e">
        <f t="shared" si="629"/>
        <v>#DIV/0!</v>
      </c>
      <c r="O775" s="19" t="e">
        <f t="shared" si="629"/>
        <v>#DIV/0!</v>
      </c>
      <c r="P775" s="19" t="e">
        <f t="shared" si="629"/>
        <v>#DIV/0!</v>
      </c>
      <c r="Q775" s="19" t="e">
        <f t="shared" si="629"/>
        <v>#DIV/0!</v>
      </c>
      <c r="R775" s="25" t="e">
        <f t="shared" si="629"/>
        <v>#DIV/0!</v>
      </c>
      <c r="S775" s="21" t="e">
        <f t="shared" si="629"/>
        <v>#DIV/0!</v>
      </c>
      <c r="T775" s="22" t="e">
        <f t="shared" si="629"/>
        <v>#DIV/0!</v>
      </c>
    </row>
    <row r="776" spans="1:20" x14ac:dyDescent="0.3">
      <c r="A776" s="105"/>
      <c r="B776" s="108"/>
      <c r="C776" s="111"/>
      <c r="D776" s="111"/>
      <c r="E776" s="115"/>
      <c r="F776" s="11" t="s">
        <v>28</v>
      </c>
      <c r="G776" s="23"/>
      <c r="H776" s="23"/>
      <c r="I776" s="23"/>
      <c r="J776" s="23"/>
      <c r="K776" s="9"/>
      <c r="L776" s="9"/>
      <c r="M776" s="9"/>
      <c r="N776" s="9"/>
      <c r="O776" s="9"/>
      <c r="P776" s="23"/>
      <c r="Q776" s="23"/>
      <c r="R776" s="24"/>
      <c r="S776" s="11">
        <f>SUMIF($G$4:$R$4,"&gt;=0",G776:R776)</f>
        <v>0</v>
      </c>
      <c r="T776" s="10">
        <f>SUM(G776:R776)</f>
        <v>0</v>
      </c>
    </row>
    <row r="777" spans="1:20" ht="15" thickBot="1" x14ac:dyDescent="0.35">
      <c r="A777" s="105"/>
      <c r="B777" s="108"/>
      <c r="C777" s="111"/>
      <c r="D777" s="111"/>
      <c r="E777" s="115"/>
      <c r="F777" s="18" t="s">
        <v>29</v>
      </c>
      <c r="G777" s="19" t="e">
        <f>(G774-G776)/G774</f>
        <v>#DIV/0!</v>
      </c>
      <c r="H777" s="19" t="e">
        <f t="shared" ref="H777:S777" si="630">(H774-H776)/H774</f>
        <v>#DIV/0!</v>
      </c>
      <c r="I777" s="19" t="e">
        <f t="shared" si="630"/>
        <v>#DIV/0!</v>
      </c>
      <c r="J777" s="19" t="e">
        <f t="shared" si="630"/>
        <v>#DIV/0!</v>
      </c>
      <c r="K777" s="19" t="e">
        <f t="shared" si="630"/>
        <v>#DIV/0!</v>
      </c>
      <c r="L777" s="19" t="e">
        <f t="shared" si="630"/>
        <v>#DIV/0!</v>
      </c>
      <c r="M777" s="19" t="e">
        <f t="shared" si="630"/>
        <v>#DIV/0!</v>
      </c>
      <c r="N777" s="19" t="e">
        <f t="shared" si="630"/>
        <v>#DIV/0!</v>
      </c>
      <c r="O777" s="19" t="e">
        <f t="shared" si="630"/>
        <v>#DIV/0!</v>
      </c>
      <c r="P777" s="19" t="e">
        <f t="shared" si="630"/>
        <v>#DIV/0!</v>
      </c>
      <c r="Q777" s="19" t="e">
        <f t="shared" si="630"/>
        <v>#DIV/0!</v>
      </c>
      <c r="R777" s="25" t="e">
        <f t="shared" si="630"/>
        <v>#DIV/0!</v>
      </c>
      <c r="S777" s="21" t="e">
        <f t="shared" si="630"/>
        <v>#DIV/0!</v>
      </c>
      <c r="T777" s="22" t="e">
        <f t="shared" ref="T777" si="631">T774/T776</f>
        <v>#DIV/0!</v>
      </c>
    </row>
    <row r="778" spans="1:20" x14ac:dyDescent="0.3">
      <c r="A778" s="105"/>
      <c r="B778" s="108"/>
      <c r="C778" s="111"/>
      <c r="D778" s="111"/>
      <c r="E778" s="115"/>
      <c r="F778" s="26" t="s">
        <v>30</v>
      </c>
      <c r="G778" s="23"/>
      <c r="H778" s="23"/>
      <c r="I778" s="23"/>
      <c r="J778" s="23"/>
      <c r="K778" s="9"/>
      <c r="L778" s="9"/>
      <c r="M778" s="9"/>
      <c r="N778" s="9"/>
      <c r="O778" s="9"/>
      <c r="P778" s="23"/>
      <c r="Q778" s="23"/>
      <c r="R778" s="24"/>
      <c r="S778" s="11">
        <f>SUMIF($G$4:$R$4,"&gt;=0",G778:R778)</f>
        <v>0</v>
      </c>
      <c r="T778" s="10">
        <f>SUM(G778:R778)</f>
        <v>0</v>
      </c>
    </row>
    <row r="779" spans="1:20" x14ac:dyDescent="0.3">
      <c r="A779" s="105"/>
      <c r="B779" s="108"/>
      <c r="C779" s="111"/>
      <c r="D779" s="111"/>
      <c r="E779" s="115"/>
      <c r="F779" s="29" t="s">
        <v>31</v>
      </c>
      <c r="G779" s="14"/>
      <c r="H779" s="14"/>
      <c r="I779" s="14"/>
      <c r="J779" s="14"/>
      <c r="K779" s="13"/>
      <c r="L779" s="13"/>
      <c r="M779" s="13"/>
      <c r="N779" s="13"/>
      <c r="O779" s="13"/>
      <c r="P779" s="14"/>
      <c r="Q779" s="14"/>
      <c r="R779" s="30"/>
      <c r="S779" s="16">
        <f>SUMIF($G$4:$R$4,"&gt;=0",G779:R779)</f>
        <v>0</v>
      </c>
      <c r="T779" s="17">
        <f t="shared" ref="T779" si="632">SUM(G779:R779)</f>
        <v>0</v>
      </c>
    </row>
    <row r="780" spans="1:20" ht="15" thickBot="1" x14ac:dyDescent="0.35">
      <c r="A780" s="105"/>
      <c r="B780" s="108"/>
      <c r="C780" s="111"/>
      <c r="D780" s="111"/>
      <c r="E780" s="115"/>
      <c r="F780" s="18" t="s">
        <v>32</v>
      </c>
      <c r="G780" s="19" t="e">
        <f>(G778-G779)/G778</f>
        <v>#DIV/0!</v>
      </c>
      <c r="H780" s="19" t="e">
        <f t="shared" ref="H780:S780" si="633">(H778-H779)/H778</f>
        <v>#DIV/0!</v>
      </c>
      <c r="I780" s="19" t="e">
        <f t="shared" si="633"/>
        <v>#DIV/0!</v>
      </c>
      <c r="J780" s="19" t="e">
        <f t="shared" si="633"/>
        <v>#DIV/0!</v>
      </c>
      <c r="K780" s="19" t="e">
        <f t="shared" si="633"/>
        <v>#DIV/0!</v>
      </c>
      <c r="L780" s="19" t="e">
        <f t="shared" si="633"/>
        <v>#DIV/0!</v>
      </c>
      <c r="M780" s="19" t="e">
        <f t="shared" si="633"/>
        <v>#DIV/0!</v>
      </c>
      <c r="N780" s="19" t="e">
        <f t="shared" si="633"/>
        <v>#DIV/0!</v>
      </c>
      <c r="O780" s="19" t="e">
        <f t="shared" si="633"/>
        <v>#DIV/0!</v>
      </c>
      <c r="P780" s="19" t="e">
        <f t="shared" si="633"/>
        <v>#DIV/0!</v>
      </c>
      <c r="Q780" s="19" t="e">
        <f t="shared" si="633"/>
        <v>#DIV/0!</v>
      </c>
      <c r="R780" s="25" t="e">
        <f t="shared" si="633"/>
        <v>#DIV/0!</v>
      </c>
      <c r="S780" s="21" t="e">
        <f t="shared" si="633"/>
        <v>#DIV/0!</v>
      </c>
      <c r="T780" s="22" t="e">
        <f t="shared" ref="T780" si="634">T778/T779</f>
        <v>#DIV/0!</v>
      </c>
    </row>
    <row r="781" spans="1:20" x14ac:dyDescent="0.3">
      <c r="A781" s="105"/>
      <c r="B781" s="108"/>
      <c r="C781" s="111"/>
      <c r="D781" s="111"/>
      <c r="E781" s="115"/>
      <c r="F781" s="31" t="s">
        <v>33</v>
      </c>
      <c r="G781" s="23"/>
      <c r="H781" s="23"/>
      <c r="I781" s="23"/>
      <c r="J781" s="23"/>
      <c r="K781" s="9"/>
      <c r="L781" s="9"/>
      <c r="M781" s="9"/>
      <c r="N781" s="9"/>
      <c r="O781" s="9"/>
      <c r="P781" s="23"/>
      <c r="Q781" s="23"/>
      <c r="R781" s="24"/>
      <c r="S781" s="11">
        <f>SUMIF($G$4:$R$4,"&gt;=0",G781:R781)</f>
        <v>0</v>
      </c>
      <c r="T781" s="10">
        <f>SUM(G781:R781)</f>
        <v>0</v>
      </c>
    </row>
    <row r="782" spans="1:20" x14ac:dyDescent="0.3">
      <c r="A782" s="105"/>
      <c r="B782" s="108"/>
      <c r="C782" s="111"/>
      <c r="D782" s="111"/>
      <c r="E782" s="115"/>
      <c r="F782" s="32" t="s">
        <v>34</v>
      </c>
      <c r="G782" s="14"/>
      <c r="H782" s="14"/>
      <c r="I782" s="14"/>
      <c r="J782" s="14"/>
      <c r="K782" s="13"/>
      <c r="L782" s="13"/>
      <c r="M782" s="13"/>
      <c r="N782" s="13"/>
      <c r="O782" s="13"/>
      <c r="P782" s="14"/>
      <c r="Q782" s="14"/>
      <c r="R782" s="30"/>
      <c r="S782" s="16">
        <f>SUMIF($G$4:$R$4,"&gt;=0",G782:R782)</f>
        <v>0</v>
      </c>
      <c r="T782" s="17">
        <f>SUM(G782:R782)</f>
        <v>0</v>
      </c>
    </row>
    <row r="783" spans="1:20" ht="15" thickBot="1" x14ac:dyDescent="0.35">
      <c r="A783" s="117"/>
      <c r="B783" s="109"/>
      <c r="C783" s="112"/>
      <c r="D783" s="113"/>
      <c r="E783" s="116"/>
      <c r="F783" s="21" t="s">
        <v>35</v>
      </c>
      <c r="G783" s="19" t="e">
        <f>(G782-G781)/G782</f>
        <v>#DIV/0!</v>
      </c>
      <c r="H783" s="19" t="e">
        <f t="shared" ref="H783:S783" si="635">(H782-H781)/H782</f>
        <v>#DIV/0!</v>
      </c>
      <c r="I783" s="19" t="e">
        <f t="shared" si="635"/>
        <v>#DIV/0!</v>
      </c>
      <c r="J783" s="19" t="e">
        <f t="shared" si="635"/>
        <v>#DIV/0!</v>
      </c>
      <c r="K783" s="19" t="e">
        <f t="shared" si="635"/>
        <v>#DIV/0!</v>
      </c>
      <c r="L783" s="19" t="e">
        <f t="shared" si="635"/>
        <v>#DIV/0!</v>
      </c>
      <c r="M783" s="19" t="e">
        <f t="shared" si="635"/>
        <v>#DIV/0!</v>
      </c>
      <c r="N783" s="19" t="e">
        <f t="shared" si="635"/>
        <v>#DIV/0!</v>
      </c>
      <c r="O783" s="19" t="e">
        <f t="shared" si="635"/>
        <v>#DIV/0!</v>
      </c>
      <c r="P783" s="19" t="e">
        <f t="shared" si="635"/>
        <v>#DIV/0!</v>
      </c>
      <c r="Q783" s="19" t="e">
        <f t="shared" si="635"/>
        <v>#DIV/0!</v>
      </c>
      <c r="R783" s="25" t="e">
        <f t="shared" si="635"/>
        <v>#DIV/0!</v>
      </c>
      <c r="S783" s="21" t="e">
        <f t="shared" si="635"/>
        <v>#DIV/0!</v>
      </c>
      <c r="T783" s="22" t="e">
        <f t="shared" ref="T783" si="636">T782/T781</f>
        <v>#DIV/0!</v>
      </c>
    </row>
    <row r="784" spans="1:20" x14ac:dyDescent="0.3">
      <c r="A784" s="104">
        <v>72</v>
      </c>
      <c r="B784" s="107"/>
      <c r="C784" s="110"/>
      <c r="D784" s="110"/>
      <c r="E784" s="114"/>
      <c r="F784" s="11" t="s">
        <v>25</v>
      </c>
      <c r="G784" s="23"/>
      <c r="H784" s="23"/>
      <c r="I784" s="23"/>
      <c r="J784" s="23"/>
      <c r="K784" s="9"/>
      <c r="L784" s="9"/>
      <c r="M784" s="9"/>
      <c r="N784" s="9"/>
      <c r="O784" s="9"/>
      <c r="P784" s="23"/>
      <c r="Q784" s="23"/>
      <c r="R784" s="24"/>
      <c r="S784" s="11">
        <f>SUMIF($G$4:$R$4,"&gt;=0",G784:R784)</f>
        <v>0</v>
      </c>
      <c r="T784" s="10">
        <f>SUM(G784:R784)</f>
        <v>0</v>
      </c>
    </row>
    <row r="785" spans="1:20" x14ac:dyDescent="0.3">
      <c r="A785" s="105"/>
      <c r="B785" s="108"/>
      <c r="C785" s="111"/>
      <c r="D785" s="111"/>
      <c r="E785" s="115"/>
      <c r="F785" s="12" t="s">
        <v>26</v>
      </c>
      <c r="G785" s="14"/>
      <c r="H785" s="14"/>
      <c r="I785" s="14"/>
      <c r="J785" s="14"/>
      <c r="K785" s="13"/>
      <c r="L785" s="13"/>
      <c r="M785" s="13"/>
      <c r="N785" s="13"/>
      <c r="O785" s="13"/>
      <c r="P785" s="14"/>
      <c r="Q785" s="14"/>
      <c r="R785" s="30"/>
      <c r="S785" s="16">
        <f>SUMIF($G$4:$R$4,"&gt;=0",G785:R785)</f>
        <v>0</v>
      </c>
      <c r="T785" s="17">
        <f t="shared" ref="T785" si="637">SUM(G785:R785)</f>
        <v>0</v>
      </c>
    </row>
    <row r="786" spans="1:20" ht="15" thickBot="1" x14ac:dyDescent="0.35">
      <c r="A786" s="105"/>
      <c r="B786" s="108"/>
      <c r="C786" s="111"/>
      <c r="D786" s="111"/>
      <c r="E786" s="115"/>
      <c r="F786" s="18" t="s">
        <v>27</v>
      </c>
      <c r="G786" s="19" t="e">
        <f>G785/G784</f>
        <v>#DIV/0!</v>
      </c>
      <c r="H786" s="19" t="e">
        <f t="shared" ref="H786:T786" si="638">H785/H784</f>
        <v>#DIV/0!</v>
      </c>
      <c r="I786" s="19" t="e">
        <f t="shared" si="638"/>
        <v>#DIV/0!</v>
      </c>
      <c r="J786" s="19" t="e">
        <f t="shared" si="638"/>
        <v>#DIV/0!</v>
      </c>
      <c r="K786" s="19" t="e">
        <f t="shared" si="638"/>
        <v>#DIV/0!</v>
      </c>
      <c r="L786" s="19" t="e">
        <f t="shared" si="638"/>
        <v>#DIV/0!</v>
      </c>
      <c r="M786" s="19" t="e">
        <f t="shared" si="638"/>
        <v>#DIV/0!</v>
      </c>
      <c r="N786" s="19" t="e">
        <f t="shared" si="638"/>
        <v>#DIV/0!</v>
      </c>
      <c r="O786" s="19" t="e">
        <f t="shared" si="638"/>
        <v>#DIV/0!</v>
      </c>
      <c r="P786" s="19" t="e">
        <f t="shared" si="638"/>
        <v>#DIV/0!</v>
      </c>
      <c r="Q786" s="19" t="e">
        <f t="shared" si="638"/>
        <v>#DIV/0!</v>
      </c>
      <c r="R786" s="25" t="e">
        <f t="shared" si="638"/>
        <v>#DIV/0!</v>
      </c>
      <c r="S786" s="21" t="e">
        <f t="shared" si="638"/>
        <v>#DIV/0!</v>
      </c>
      <c r="T786" s="22" t="e">
        <f t="shared" si="638"/>
        <v>#DIV/0!</v>
      </c>
    </row>
    <row r="787" spans="1:20" x14ac:dyDescent="0.3">
      <c r="A787" s="105"/>
      <c r="B787" s="108"/>
      <c r="C787" s="111"/>
      <c r="D787" s="111"/>
      <c r="E787" s="115"/>
      <c r="F787" s="11" t="s">
        <v>28</v>
      </c>
      <c r="G787" s="23"/>
      <c r="H787" s="23"/>
      <c r="I787" s="23"/>
      <c r="J787" s="23"/>
      <c r="K787" s="9"/>
      <c r="L787" s="9"/>
      <c r="M787" s="9"/>
      <c r="N787" s="9"/>
      <c r="O787" s="9"/>
      <c r="P787" s="23"/>
      <c r="Q787" s="23"/>
      <c r="R787" s="24"/>
      <c r="S787" s="11">
        <f>SUMIF($G$4:$R$4,"&gt;=0",G787:R787)</f>
        <v>0</v>
      </c>
      <c r="T787" s="10">
        <f>SUM(G787:R787)</f>
        <v>0</v>
      </c>
    </row>
    <row r="788" spans="1:20" ht="15" thickBot="1" x14ac:dyDescent="0.35">
      <c r="A788" s="105"/>
      <c r="B788" s="108"/>
      <c r="C788" s="111"/>
      <c r="D788" s="111"/>
      <c r="E788" s="115"/>
      <c r="F788" s="18" t="s">
        <v>29</v>
      </c>
      <c r="G788" s="19" t="e">
        <f>(G785-G787)/G785</f>
        <v>#DIV/0!</v>
      </c>
      <c r="H788" s="19" t="e">
        <f t="shared" ref="H788:S788" si="639">(H785-H787)/H785</f>
        <v>#DIV/0!</v>
      </c>
      <c r="I788" s="19" t="e">
        <f t="shared" si="639"/>
        <v>#DIV/0!</v>
      </c>
      <c r="J788" s="19" t="e">
        <f t="shared" si="639"/>
        <v>#DIV/0!</v>
      </c>
      <c r="K788" s="19" t="e">
        <f t="shared" si="639"/>
        <v>#DIV/0!</v>
      </c>
      <c r="L788" s="19" t="e">
        <f t="shared" si="639"/>
        <v>#DIV/0!</v>
      </c>
      <c r="M788" s="19" t="e">
        <f t="shared" si="639"/>
        <v>#DIV/0!</v>
      </c>
      <c r="N788" s="19" t="e">
        <f t="shared" si="639"/>
        <v>#DIV/0!</v>
      </c>
      <c r="O788" s="19" t="e">
        <f t="shared" si="639"/>
        <v>#DIV/0!</v>
      </c>
      <c r="P788" s="19" t="e">
        <f t="shared" si="639"/>
        <v>#DIV/0!</v>
      </c>
      <c r="Q788" s="19" t="e">
        <f t="shared" si="639"/>
        <v>#DIV/0!</v>
      </c>
      <c r="R788" s="25" t="e">
        <f t="shared" si="639"/>
        <v>#DIV/0!</v>
      </c>
      <c r="S788" s="21" t="e">
        <f t="shared" si="639"/>
        <v>#DIV/0!</v>
      </c>
      <c r="T788" s="22" t="e">
        <f t="shared" ref="T788" si="640">T785/T787</f>
        <v>#DIV/0!</v>
      </c>
    </row>
    <row r="789" spans="1:20" x14ac:dyDescent="0.3">
      <c r="A789" s="105"/>
      <c r="B789" s="108"/>
      <c r="C789" s="111"/>
      <c r="D789" s="111"/>
      <c r="E789" s="115"/>
      <c r="F789" s="26" t="s">
        <v>30</v>
      </c>
      <c r="G789" s="23"/>
      <c r="H789" s="23"/>
      <c r="I789" s="23"/>
      <c r="J789" s="23"/>
      <c r="K789" s="9"/>
      <c r="L789" s="9"/>
      <c r="M789" s="9"/>
      <c r="N789" s="9"/>
      <c r="O789" s="9"/>
      <c r="P789" s="23"/>
      <c r="Q789" s="23"/>
      <c r="R789" s="24"/>
      <c r="S789" s="11">
        <f>SUMIF($G$4:$R$4,"&gt;=0",G789:R789)</f>
        <v>0</v>
      </c>
      <c r="T789" s="10">
        <f>SUM(G789:R789)</f>
        <v>0</v>
      </c>
    </row>
    <row r="790" spans="1:20" x14ac:dyDescent="0.3">
      <c r="A790" s="105"/>
      <c r="B790" s="108"/>
      <c r="C790" s="111"/>
      <c r="D790" s="111"/>
      <c r="E790" s="115"/>
      <c r="F790" s="29" t="s">
        <v>31</v>
      </c>
      <c r="G790" s="14"/>
      <c r="H790" s="14"/>
      <c r="I790" s="14"/>
      <c r="J790" s="14"/>
      <c r="K790" s="13"/>
      <c r="L790" s="13"/>
      <c r="M790" s="13"/>
      <c r="N790" s="13"/>
      <c r="O790" s="13"/>
      <c r="P790" s="14"/>
      <c r="Q790" s="14"/>
      <c r="R790" s="30"/>
      <c r="S790" s="16">
        <f>SUMIF($G$4:$R$4,"&gt;=0",G790:R790)</f>
        <v>0</v>
      </c>
      <c r="T790" s="17">
        <f t="shared" ref="T790" si="641">SUM(G790:R790)</f>
        <v>0</v>
      </c>
    </row>
    <row r="791" spans="1:20" ht="15" thickBot="1" x14ac:dyDescent="0.35">
      <c r="A791" s="105"/>
      <c r="B791" s="108"/>
      <c r="C791" s="111"/>
      <c r="D791" s="111"/>
      <c r="E791" s="115"/>
      <c r="F791" s="18" t="s">
        <v>32</v>
      </c>
      <c r="G791" s="19" t="e">
        <f>(G789-G790)/G789</f>
        <v>#DIV/0!</v>
      </c>
      <c r="H791" s="19" t="e">
        <f t="shared" ref="H791:S791" si="642">(H789-H790)/H789</f>
        <v>#DIV/0!</v>
      </c>
      <c r="I791" s="19" t="e">
        <f t="shared" si="642"/>
        <v>#DIV/0!</v>
      </c>
      <c r="J791" s="19" t="e">
        <f t="shared" si="642"/>
        <v>#DIV/0!</v>
      </c>
      <c r="K791" s="19" t="e">
        <f t="shared" si="642"/>
        <v>#DIV/0!</v>
      </c>
      <c r="L791" s="19" t="e">
        <f t="shared" si="642"/>
        <v>#DIV/0!</v>
      </c>
      <c r="M791" s="19" t="e">
        <f t="shared" si="642"/>
        <v>#DIV/0!</v>
      </c>
      <c r="N791" s="19" t="e">
        <f t="shared" si="642"/>
        <v>#DIV/0!</v>
      </c>
      <c r="O791" s="19" t="e">
        <f t="shared" si="642"/>
        <v>#DIV/0!</v>
      </c>
      <c r="P791" s="19" t="e">
        <f t="shared" si="642"/>
        <v>#DIV/0!</v>
      </c>
      <c r="Q791" s="19" t="e">
        <f t="shared" si="642"/>
        <v>#DIV/0!</v>
      </c>
      <c r="R791" s="25" t="e">
        <f t="shared" si="642"/>
        <v>#DIV/0!</v>
      </c>
      <c r="S791" s="21" t="e">
        <f t="shared" si="642"/>
        <v>#DIV/0!</v>
      </c>
      <c r="T791" s="22" t="e">
        <f t="shared" ref="T791" si="643">T789/T790</f>
        <v>#DIV/0!</v>
      </c>
    </row>
    <row r="792" spans="1:20" x14ac:dyDescent="0.3">
      <c r="A792" s="105"/>
      <c r="B792" s="108"/>
      <c r="C792" s="111"/>
      <c r="D792" s="111"/>
      <c r="E792" s="115"/>
      <c r="F792" s="31" t="s">
        <v>33</v>
      </c>
      <c r="G792" s="23"/>
      <c r="H792" s="23"/>
      <c r="I792" s="23"/>
      <c r="J792" s="23"/>
      <c r="K792" s="9"/>
      <c r="L792" s="9"/>
      <c r="M792" s="9"/>
      <c r="N792" s="9"/>
      <c r="O792" s="9"/>
      <c r="P792" s="23"/>
      <c r="Q792" s="23"/>
      <c r="R792" s="24"/>
      <c r="S792" s="11">
        <f>SUMIF($G$4:$R$4,"&gt;=0",G792:R792)</f>
        <v>0</v>
      </c>
      <c r="T792" s="10">
        <f>SUM(G792:R792)</f>
        <v>0</v>
      </c>
    </row>
    <row r="793" spans="1:20" x14ac:dyDescent="0.3">
      <c r="A793" s="105"/>
      <c r="B793" s="108"/>
      <c r="C793" s="111"/>
      <c r="D793" s="111"/>
      <c r="E793" s="115"/>
      <c r="F793" s="32" t="s">
        <v>34</v>
      </c>
      <c r="G793" s="14"/>
      <c r="H793" s="14"/>
      <c r="I793" s="14"/>
      <c r="J793" s="14"/>
      <c r="K793" s="13"/>
      <c r="L793" s="13"/>
      <c r="M793" s="13"/>
      <c r="N793" s="13"/>
      <c r="O793" s="13"/>
      <c r="P793" s="14"/>
      <c r="Q793" s="14"/>
      <c r="R793" s="30"/>
      <c r="S793" s="16">
        <f>SUMIF($G$4:$R$4,"&gt;=0",G793:R793)</f>
        <v>0</v>
      </c>
      <c r="T793" s="17">
        <f>SUM(G793:R793)</f>
        <v>0</v>
      </c>
    </row>
    <row r="794" spans="1:20" ht="15" thickBot="1" x14ac:dyDescent="0.35">
      <c r="A794" s="106"/>
      <c r="B794" s="109"/>
      <c r="C794" s="112"/>
      <c r="D794" s="113"/>
      <c r="E794" s="116"/>
      <c r="F794" s="21" t="s">
        <v>35</v>
      </c>
      <c r="G794" s="19" t="e">
        <f>(G793-G792)/G793</f>
        <v>#DIV/0!</v>
      </c>
      <c r="H794" s="19" t="e">
        <f t="shared" ref="H794:S794" si="644">(H793-H792)/H793</f>
        <v>#DIV/0!</v>
      </c>
      <c r="I794" s="19" t="e">
        <f t="shared" si="644"/>
        <v>#DIV/0!</v>
      </c>
      <c r="J794" s="19" t="e">
        <f t="shared" si="644"/>
        <v>#DIV/0!</v>
      </c>
      <c r="K794" s="19" t="e">
        <f t="shared" si="644"/>
        <v>#DIV/0!</v>
      </c>
      <c r="L794" s="19" t="e">
        <f t="shared" si="644"/>
        <v>#DIV/0!</v>
      </c>
      <c r="M794" s="19" t="e">
        <f t="shared" si="644"/>
        <v>#DIV/0!</v>
      </c>
      <c r="N794" s="19" t="e">
        <f t="shared" si="644"/>
        <v>#DIV/0!</v>
      </c>
      <c r="O794" s="19" t="e">
        <f t="shared" si="644"/>
        <v>#DIV/0!</v>
      </c>
      <c r="P794" s="19" t="e">
        <f t="shared" si="644"/>
        <v>#DIV/0!</v>
      </c>
      <c r="Q794" s="19" t="e">
        <f t="shared" si="644"/>
        <v>#DIV/0!</v>
      </c>
      <c r="R794" s="25" t="e">
        <f t="shared" si="644"/>
        <v>#DIV/0!</v>
      </c>
      <c r="S794" s="21" t="e">
        <f t="shared" si="644"/>
        <v>#DIV/0!</v>
      </c>
      <c r="T794" s="22" t="e">
        <f t="shared" ref="T794" si="645">T793/T792</f>
        <v>#DIV/0!</v>
      </c>
    </row>
    <row r="795" spans="1:20" x14ac:dyDescent="0.3">
      <c r="A795" s="104">
        <v>73</v>
      </c>
      <c r="B795" s="107"/>
      <c r="C795" s="110"/>
      <c r="D795" s="110"/>
      <c r="E795" s="114"/>
      <c r="F795" s="11" t="s">
        <v>25</v>
      </c>
      <c r="G795" s="23"/>
      <c r="H795" s="23"/>
      <c r="I795" s="23"/>
      <c r="J795" s="23"/>
      <c r="K795" s="9"/>
      <c r="L795" s="9"/>
      <c r="M795" s="9"/>
      <c r="N795" s="9"/>
      <c r="O795" s="9"/>
      <c r="P795" s="23"/>
      <c r="Q795" s="23"/>
      <c r="R795" s="24"/>
      <c r="S795" s="11">
        <f>SUMIF($G$4:$R$4,"&gt;=0",G795:R795)</f>
        <v>0</v>
      </c>
      <c r="T795" s="10">
        <f>SUM(G795:R795)</f>
        <v>0</v>
      </c>
    </row>
    <row r="796" spans="1:20" x14ac:dyDescent="0.3">
      <c r="A796" s="105"/>
      <c r="B796" s="108"/>
      <c r="C796" s="111"/>
      <c r="D796" s="111"/>
      <c r="E796" s="115"/>
      <c r="F796" s="12" t="s">
        <v>26</v>
      </c>
      <c r="G796" s="14"/>
      <c r="H796" s="14"/>
      <c r="I796" s="14"/>
      <c r="J796" s="14"/>
      <c r="K796" s="13"/>
      <c r="L796" s="13"/>
      <c r="M796" s="13"/>
      <c r="N796" s="13"/>
      <c r="O796" s="13"/>
      <c r="P796" s="14"/>
      <c r="Q796" s="14"/>
      <c r="R796" s="30"/>
      <c r="S796" s="16">
        <f>SUMIF($G$4:$R$4,"&gt;=0",G796:R796)</f>
        <v>0</v>
      </c>
      <c r="T796" s="17">
        <f t="shared" ref="T796" si="646">SUM(G796:R796)</f>
        <v>0</v>
      </c>
    </row>
    <row r="797" spans="1:20" ht="15" thickBot="1" x14ac:dyDescent="0.35">
      <c r="A797" s="105"/>
      <c r="B797" s="108"/>
      <c r="C797" s="111"/>
      <c r="D797" s="111"/>
      <c r="E797" s="115"/>
      <c r="F797" s="18" t="s">
        <v>27</v>
      </c>
      <c r="G797" s="19" t="e">
        <f>G796/G795</f>
        <v>#DIV/0!</v>
      </c>
      <c r="H797" s="19" t="e">
        <f t="shared" ref="H797:T797" si="647">H796/H795</f>
        <v>#DIV/0!</v>
      </c>
      <c r="I797" s="19" t="e">
        <f t="shared" si="647"/>
        <v>#DIV/0!</v>
      </c>
      <c r="J797" s="19" t="e">
        <f t="shared" si="647"/>
        <v>#DIV/0!</v>
      </c>
      <c r="K797" s="19" t="e">
        <f t="shared" si="647"/>
        <v>#DIV/0!</v>
      </c>
      <c r="L797" s="19" t="e">
        <f t="shared" si="647"/>
        <v>#DIV/0!</v>
      </c>
      <c r="M797" s="19" t="e">
        <f t="shared" si="647"/>
        <v>#DIV/0!</v>
      </c>
      <c r="N797" s="19" t="e">
        <f t="shared" si="647"/>
        <v>#DIV/0!</v>
      </c>
      <c r="O797" s="19" t="e">
        <f t="shared" si="647"/>
        <v>#DIV/0!</v>
      </c>
      <c r="P797" s="19" t="e">
        <f t="shared" si="647"/>
        <v>#DIV/0!</v>
      </c>
      <c r="Q797" s="19" t="e">
        <f t="shared" si="647"/>
        <v>#DIV/0!</v>
      </c>
      <c r="R797" s="25" t="e">
        <f t="shared" si="647"/>
        <v>#DIV/0!</v>
      </c>
      <c r="S797" s="21" t="e">
        <f t="shared" si="647"/>
        <v>#DIV/0!</v>
      </c>
      <c r="T797" s="22" t="e">
        <f t="shared" si="647"/>
        <v>#DIV/0!</v>
      </c>
    </row>
    <row r="798" spans="1:20" x14ac:dyDescent="0.3">
      <c r="A798" s="105"/>
      <c r="B798" s="108"/>
      <c r="C798" s="111"/>
      <c r="D798" s="111"/>
      <c r="E798" s="115"/>
      <c r="F798" s="11" t="s">
        <v>28</v>
      </c>
      <c r="G798" s="23"/>
      <c r="H798" s="23"/>
      <c r="I798" s="23"/>
      <c r="J798" s="23"/>
      <c r="K798" s="9"/>
      <c r="L798" s="9"/>
      <c r="M798" s="9"/>
      <c r="N798" s="9"/>
      <c r="O798" s="9"/>
      <c r="P798" s="23"/>
      <c r="Q798" s="23"/>
      <c r="R798" s="24"/>
      <c r="S798" s="11">
        <f>SUMIF($G$4:$R$4,"&gt;=0",G798:R798)</f>
        <v>0</v>
      </c>
      <c r="T798" s="10">
        <f>SUM(G798:R798)</f>
        <v>0</v>
      </c>
    </row>
    <row r="799" spans="1:20" ht="15" thickBot="1" x14ac:dyDescent="0.35">
      <c r="A799" s="105"/>
      <c r="B799" s="108"/>
      <c r="C799" s="111"/>
      <c r="D799" s="111"/>
      <c r="E799" s="115"/>
      <c r="F799" s="18" t="s">
        <v>29</v>
      </c>
      <c r="G799" s="19" t="e">
        <f>(G796-G798)/G796</f>
        <v>#DIV/0!</v>
      </c>
      <c r="H799" s="19" t="e">
        <f t="shared" ref="H799:S799" si="648">(H796-H798)/H796</f>
        <v>#DIV/0!</v>
      </c>
      <c r="I799" s="19" t="e">
        <f t="shared" si="648"/>
        <v>#DIV/0!</v>
      </c>
      <c r="J799" s="19" t="e">
        <f t="shared" si="648"/>
        <v>#DIV/0!</v>
      </c>
      <c r="K799" s="19" t="e">
        <f t="shared" si="648"/>
        <v>#DIV/0!</v>
      </c>
      <c r="L799" s="19" t="e">
        <f t="shared" si="648"/>
        <v>#DIV/0!</v>
      </c>
      <c r="M799" s="19" t="e">
        <f t="shared" si="648"/>
        <v>#DIV/0!</v>
      </c>
      <c r="N799" s="19" t="e">
        <f t="shared" si="648"/>
        <v>#DIV/0!</v>
      </c>
      <c r="O799" s="19" t="e">
        <f t="shared" si="648"/>
        <v>#DIV/0!</v>
      </c>
      <c r="P799" s="19" t="e">
        <f t="shared" si="648"/>
        <v>#DIV/0!</v>
      </c>
      <c r="Q799" s="19" t="e">
        <f t="shared" si="648"/>
        <v>#DIV/0!</v>
      </c>
      <c r="R799" s="25" t="e">
        <f t="shared" si="648"/>
        <v>#DIV/0!</v>
      </c>
      <c r="S799" s="21" t="e">
        <f t="shared" si="648"/>
        <v>#DIV/0!</v>
      </c>
      <c r="T799" s="22" t="e">
        <f t="shared" ref="T799" si="649">T796/T798</f>
        <v>#DIV/0!</v>
      </c>
    </row>
    <row r="800" spans="1:20" x14ac:dyDescent="0.3">
      <c r="A800" s="105"/>
      <c r="B800" s="108"/>
      <c r="C800" s="111"/>
      <c r="D800" s="111"/>
      <c r="E800" s="115"/>
      <c r="F800" s="26" t="s">
        <v>30</v>
      </c>
      <c r="G800" s="23"/>
      <c r="H800" s="23"/>
      <c r="I800" s="23"/>
      <c r="J800" s="23"/>
      <c r="K800" s="9"/>
      <c r="L800" s="9"/>
      <c r="M800" s="9"/>
      <c r="N800" s="9"/>
      <c r="O800" s="9"/>
      <c r="P800" s="23"/>
      <c r="Q800" s="23"/>
      <c r="R800" s="24"/>
      <c r="S800" s="11">
        <f>SUMIF($G$4:$R$4,"&gt;=0",G800:R800)</f>
        <v>0</v>
      </c>
      <c r="T800" s="10">
        <f>SUM(G800:R800)</f>
        <v>0</v>
      </c>
    </row>
    <row r="801" spans="1:20" x14ac:dyDescent="0.3">
      <c r="A801" s="105"/>
      <c r="B801" s="108"/>
      <c r="C801" s="111"/>
      <c r="D801" s="111"/>
      <c r="E801" s="115"/>
      <c r="F801" s="29" t="s">
        <v>31</v>
      </c>
      <c r="G801" s="14"/>
      <c r="H801" s="14"/>
      <c r="I801" s="14"/>
      <c r="J801" s="14"/>
      <c r="K801" s="13"/>
      <c r="L801" s="13"/>
      <c r="M801" s="13"/>
      <c r="N801" s="13"/>
      <c r="O801" s="13"/>
      <c r="P801" s="14"/>
      <c r="Q801" s="14"/>
      <c r="R801" s="30"/>
      <c r="S801" s="16">
        <f>SUMIF($G$4:$R$4,"&gt;=0",G801:R801)</f>
        <v>0</v>
      </c>
      <c r="T801" s="17">
        <f t="shared" ref="T801" si="650">SUM(G801:R801)</f>
        <v>0</v>
      </c>
    </row>
    <row r="802" spans="1:20" ht="15" thickBot="1" x14ac:dyDescent="0.35">
      <c r="A802" s="105"/>
      <c r="B802" s="108"/>
      <c r="C802" s="111"/>
      <c r="D802" s="111"/>
      <c r="E802" s="115"/>
      <c r="F802" s="18" t="s">
        <v>32</v>
      </c>
      <c r="G802" s="19" t="e">
        <f>(G800-G801)/G800</f>
        <v>#DIV/0!</v>
      </c>
      <c r="H802" s="19" t="e">
        <f t="shared" ref="H802:S802" si="651">(H800-H801)/H800</f>
        <v>#DIV/0!</v>
      </c>
      <c r="I802" s="19" t="e">
        <f t="shared" si="651"/>
        <v>#DIV/0!</v>
      </c>
      <c r="J802" s="19" t="e">
        <f t="shared" si="651"/>
        <v>#DIV/0!</v>
      </c>
      <c r="K802" s="19" t="e">
        <f t="shared" si="651"/>
        <v>#DIV/0!</v>
      </c>
      <c r="L802" s="19" t="e">
        <f t="shared" si="651"/>
        <v>#DIV/0!</v>
      </c>
      <c r="M802" s="19" t="e">
        <f t="shared" si="651"/>
        <v>#DIV/0!</v>
      </c>
      <c r="N802" s="19" t="e">
        <f t="shared" si="651"/>
        <v>#DIV/0!</v>
      </c>
      <c r="O802" s="19" t="e">
        <f t="shared" si="651"/>
        <v>#DIV/0!</v>
      </c>
      <c r="P802" s="19" t="e">
        <f t="shared" si="651"/>
        <v>#DIV/0!</v>
      </c>
      <c r="Q802" s="19" t="e">
        <f t="shared" si="651"/>
        <v>#DIV/0!</v>
      </c>
      <c r="R802" s="25" t="e">
        <f t="shared" si="651"/>
        <v>#DIV/0!</v>
      </c>
      <c r="S802" s="21" t="e">
        <f t="shared" si="651"/>
        <v>#DIV/0!</v>
      </c>
      <c r="T802" s="22" t="e">
        <f t="shared" ref="T802" si="652">T800/T801</f>
        <v>#DIV/0!</v>
      </c>
    </row>
    <row r="803" spans="1:20" x14ac:dyDescent="0.3">
      <c r="A803" s="105"/>
      <c r="B803" s="108"/>
      <c r="C803" s="111"/>
      <c r="D803" s="111"/>
      <c r="E803" s="115"/>
      <c r="F803" s="31" t="s">
        <v>33</v>
      </c>
      <c r="G803" s="23"/>
      <c r="H803" s="23"/>
      <c r="I803" s="23"/>
      <c r="J803" s="23"/>
      <c r="K803" s="9"/>
      <c r="L803" s="9"/>
      <c r="M803" s="9"/>
      <c r="N803" s="9"/>
      <c r="O803" s="9"/>
      <c r="P803" s="23"/>
      <c r="Q803" s="23"/>
      <c r="R803" s="24"/>
      <c r="S803" s="11">
        <f>SUMIF($G$4:$R$4,"&gt;=0",G803:R803)</f>
        <v>0</v>
      </c>
      <c r="T803" s="10">
        <f>SUM(G803:R803)</f>
        <v>0</v>
      </c>
    </row>
    <row r="804" spans="1:20" x14ac:dyDescent="0.3">
      <c r="A804" s="105"/>
      <c r="B804" s="108"/>
      <c r="C804" s="111"/>
      <c r="D804" s="111"/>
      <c r="E804" s="115"/>
      <c r="F804" s="32" t="s">
        <v>34</v>
      </c>
      <c r="G804" s="14"/>
      <c r="H804" s="14"/>
      <c r="I804" s="14"/>
      <c r="J804" s="14"/>
      <c r="K804" s="13"/>
      <c r="L804" s="13"/>
      <c r="M804" s="13"/>
      <c r="N804" s="13"/>
      <c r="O804" s="13"/>
      <c r="P804" s="14"/>
      <c r="Q804" s="14"/>
      <c r="R804" s="30"/>
      <c r="S804" s="16">
        <f>SUMIF($G$4:$R$4,"&gt;=0",G804:R804)</f>
        <v>0</v>
      </c>
      <c r="T804" s="17">
        <f>SUM(G804:R804)</f>
        <v>0</v>
      </c>
    </row>
    <row r="805" spans="1:20" ht="15" thickBot="1" x14ac:dyDescent="0.35">
      <c r="A805" s="117"/>
      <c r="B805" s="109"/>
      <c r="C805" s="112"/>
      <c r="D805" s="113"/>
      <c r="E805" s="116"/>
      <c r="F805" s="21" t="s">
        <v>35</v>
      </c>
      <c r="G805" s="19" t="e">
        <f>(G804-G803)/G804</f>
        <v>#DIV/0!</v>
      </c>
      <c r="H805" s="19" t="e">
        <f t="shared" ref="H805:S805" si="653">(H804-H803)/H804</f>
        <v>#DIV/0!</v>
      </c>
      <c r="I805" s="19" t="e">
        <f t="shared" si="653"/>
        <v>#DIV/0!</v>
      </c>
      <c r="J805" s="19" t="e">
        <f t="shared" si="653"/>
        <v>#DIV/0!</v>
      </c>
      <c r="K805" s="19" t="e">
        <f t="shared" si="653"/>
        <v>#DIV/0!</v>
      </c>
      <c r="L805" s="19" t="e">
        <f t="shared" si="653"/>
        <v>#DIV/0!</v>
      </c>
      <c r="M805" s="19" t="e">
        <f t="shared" si="653"/>
        <v>#DIV/0!</v>
      </c>
      <c r="N805" s="19" t="e">
        <f t="shared" si="653"/>
        <v>#DIV/0!</v>
      </c>
      <c r="O805" s="19" t="e">
        <f t="shared" si="653"/>
        <v>#DIV/0!</v>
      </c>
      <c r="P805" s="19" t="e">
        <f t="shared" si="653"/>
        <v>#DIV/0!</v>
      </c>
      <c r="Q805" s="19" t="e">
        <f t="shared" si="653"/>
        <v>#DIV/0!</v>
      </c>
      <c r="R805" s="25" t="e">
        <f t="shared" si="653"/>
        <v>#DIV/0!</v>
      </c>
      <c r="S805" s="21" t="e">
        <f t="shared" si="653"/>
        <v>#DIV/0!</v>
      </c>
      <c r="T805" s="22" t="e">
        <f t="shared" ref="T805" si="654">T804/T803</f>
        <v>#DIV/0!</v>
      </c>
    </row>
    <row r="806" spans="1:20" x14ac:dyDescent="0.3">
      <c r="A806" s="104">
        <v>74</v>
      </c>
      <c r="B806" s="107"/>
      <c r="C806" s="110"/>
      <c r="D806" s="110"/>
      <c r="E806" s="114"/>
      <c r="F806" s="11" t="s">
        <v>25</v>
      </c>
      <c r="G806" s="23"/>
      <c r="H806" s="23"/>
      <c r="I806" s="23"/>
      <c r="J806" s="23"/>
      <c r="K806" s="9"/>
      <c r="L806" s="9"/>
      <c r="M806" s="9"/>
      <c r="N806" s="9"/>
      <c r="O806" s="9"/>
      <c r="P806" s="23"/>
      <c r="Q806" s="23"/>
      <c r="R806" s="24"/>
      <c r="S806" s="11">
        <f>SUMIF($G$4:$R$4,"&gt;=0",G806:R806)</f>
        <v>0</v>
      </c>
      <c r="T806" s="10">
        <f>SUM(G806:R806)</f>
        <v>0</v>
      </c>
    </row>
    <row r="807" spans="1:20" x14ac:dyDescent="0.3">
      <c r="A807" s="105"/>
      <c r="B807" s="108"/>
      <c r="C807" s="111"/>
      <c r="D807" s="111"/>
      <c r="E807" s="115"/>
      <c r="F807" s="12" t="s">
        <v>26</v>
      </c>
      <c r="G807" s="14"/>
      <c r="H807" s="14"/>
      <c r="I807" s="14"/>
      <c r="J807" s="14"/>
      <c r="K807" s="13"/>
      <c r="L807" s="13"/>
      <c r="M807" s="13"/>
      <c r="N807" s="13"/>
      <c r="O807" s="13"/>
      <c r="P807" s="14"/>
      <c r="Q807" s="14"/>
      <c r="R807" s="30"/>
      <c r="S807" s="16">
        <f>SUMIF($G$4:$R$4,"&gt;=0",G807:R807)</f>
        <v>0</v>
      </c>
      <c r="T807" s="17">
        <f t="shared" ref="T807" si="655">SUM(G807:R807)</f>
        <v>0</v>
      </c>
    </row>
    <row r="808" spans="1:20" ht="15" thickBot="1" x14ac:dyDescent="0.35">
      <c r="A808" s="105"/>
      <c r="B808" s="108"/>
      <c r="C808" s="111"/>
      <c r="D808" s="111"/>
      <c r="E808" s="115"/>
      <c r="F808" s="18" t="s">
        <v>27</v>
      </c>
      <c r="G808" s="19" t="e">
        <f>G807/G806</f>
        <v>#DIV/0!</v>
      </c>
      <c r="H808" s="19" t="e">
        <f t="shared" ref="H808:T808" si="656">H807/H806</f>
        <v>#DIV/0!</v>
      </c>
      <c r="I808" s="19" t="e">
        <f t="shared" si="656"/>
        <v>#DIV/0!</v>
      </c>
      <c r="J808" s="19" t="e">
        <f t="shared" si="656"/>
        <v>#DIV/0!</v>
      </c>
      <c r="K808" s="19" t="e">
        <f t="shared" si="656"/>
        <v>#DIV/0!</v>
      </c>
      <c r="L808" s="19" t="e">
        <f t="shared" si="656"/>
        <v>#DIV/0!</v>
      </c>
      <c r="M808" s="19" t="e">
        <f t="shared" si="656"/>
        <v>#DIV/0!</v>
      </c>
      <c r="N808" s="19" t="e">
        <f t="shared" si="656"/>
        <v>#DIV/0!</v>
      </c>
      <c r="O808" s="19" t="e">
        <f t="shared" si="656"/>
        <v>#DIV/0!</v>
      </c>
      <c r="P808" s="19" t="e">
        <f t="shared" si="656"/>
        <v>#DIV/0!</v>
      </c>
      <c r="Q808" s="19" t="e">
        <f t="shared" si="656"/>
        <v>#DIV/0!</v>
      </c>
      <c r="R808" s="25" t="e">
        <f t="shared" si="656"/>
        <v>#DIV/0!</v>
      </c>
      <c r="S808" s="21" t="e">
        <f t="shared" si="656"/>
        <v>#DIV/0!</v>
      </c>
      <c r="T808" s="22" t="e">
        <f t="shared" si="656"/>
        <v>#DIV/0!</v>
      </c>
    </row>
    <row r="809" spans="1:20" x14ac:dyDescent="0.3">
      <c r="A809" s="105"/>
      <c r="B809" s="108"/>
      <c r="C809" s="111"/>
      <c r="D809" s="111"/>
      <c r="E809" s="115"/>
      <c r="F809" s="11" t="s">
        <v>28</v>
      </c>
      <c r="G809" s="23"/>
      <c r="H809" s="23"/>
      <c r="I809" s="23"/>
      <c r="J809" s="23"/>
      <c r="K809" s="9"/>
      <c r="L809" s="9"/>
      <c r="M809" s="9"/>
      <c r="N809" s="9"/>
      <c r="O809" s="9"/>
      <c r="P809" s="23"/>
      <c r="Q809" s="23"/>
      <c r="R809" s="24"/>
      <c r="S809" s="11">
        <f>SUMIF($G$4:$R$4,"&gt;=0",G809:R809)</f>
        <v>0</v>
      </c>
      <c r="T809" s="10">
        <f>SUM(G809:R809)</f>
        <v>0</v>
      </c>
    </row>
    <row r="810" spans="1:20" ht="15" thickBot="1" x14ac:dyDescent="0.35">
      <c r="A810" s="105"/>
      <c r="B810" s="108"/>
      <c r="C810" s="111"/>
      <c r="D810" s="111"/>
      <c r="E810" s="115"/>
      <c r="F810" s="18" t="s">
        <v>29</v>
      </c>
      <c r="G810" s="19" t="e">
        <f>(G807-G809)/G807</f>
        <v>#DIV/0!</v>
      </c>
      <c r="H810" s="19" t="e">
        <f t="shared" ref="H810:S810" si="657">(H807-H809)/H807</f>
        <v>#DIV/0!</v>
      </c>
      <c r="I810" s="19" t="e">
        <f t="shared" si="657"/>
        <v>#DIV/0!</v>
      </c>
      <c r="J810" s="19" t="e">
        <f t="shared" si="657"/>
        <v>#DIV/0!</v>
      </c>
      <c r="K810" s="19" t="e">
        <f t="shared" si="657"/>
        <v>#DIV/0!</v>
      </c>
      <c r="L810" s="19" t="e">
        <f t="shared" si="657"/>
        <v>#DIV/0!</v>
      </c>
      <c r="M810" s="19" t="e">
        <f t="shared" si="657"/>
        <v>#DIV/0!</v>
      </c>
      <c r="N810" s="19" t="e">
        <f t="shared" si="657"/>
        <v>#DIV/0!</v>
      </c>
      <c r="O810" s="19" t="e">
        <f t="shared" si="657"/>
        <v>#DIV/0!</v>
      </c>
      <c r="P810" s="19" t="e">
        <f t="shared" si="657"/>
        <v>#DIV/0!</v>
      </c>
      <c r="Q810" s="19" t="e">
        <f t="shared" si="657"/>
        <v>#DIV/0!</v>
      </c>
      <c r="R810" s="25" t="e">
        <f t="shared" si="657"/>
        <v>#DIV/0!</v>
      </c>
      <c r="S810" s="21" t="e">
        <f t="shared" si="657"/>
        <v>#DIV/0!</v>
      </c>
      <c r="T810" s="22" t="e">
        <f t="shared" ref="T810" si="658">T807/T809</f>
        <v>#DIV/0!</v>
      </c>
    </row>
    <row r="811" spans="1:20" x14ac:dyDescent="0.3">
      <c r="A811" s="105"/>
      <c r="B811" s="108"/>
      <c r="C811" s="111"/>
      <c r="D811" s="111"/>
      <c r="E811" s="115"/>
      <c r="F811" s="26" t="s">
        <v>30</v>
      </c>
      <c r="G811" s="23"/>
      <c r="H811" s="23"/>
      <c r="I811" s="23"/>
      <c r="J811" s="23"/>
      <c r="K811" s="9"/>
      <c r="L811" s="9"/>
      <c r="M811" s="9"/>
      <c r="N811" s="9"/>
      <c r="O811" s="9"/>
      <c r="P811" s="23"/>
      <c r="Q811" s="23"/>
      <c r="R811" s="24"/>
      <c r="S811" s="11">
        <f>SUMIF($G$4:$R$4,"&gt;=0",G811:R811)</f>
        <v>0</v>
      </c>
      <c r="T811" s="10">
        <f>SUM(G811:R811)</f>
        <v>0</v>
      </c>
    </row>
    <row r="812" spans="1:20" x14ac:dyDescent="0.3">
      <c r="A812" s="105"/>
      <c r="B812" s="108"/>
      <c r="C812" s="111"/>
      <c r="D812" s="111"/>
      <c r="E812" s="115"/>
      <c r="F812" s="29" t="s">
        <v>31</v>
      </c>
      <c r="G812" s="14"/>
      <c r="H812" s="14"/>
      <c r="I812" s="14"/>
      <c r="J812" s="14"/>
      <c r="K812" s="13"/>
      <c r="L812" s="13"/>
      <c r="M812" s="13"/>
      <c r="N812" s="13"/>
      <c r="O812" s="13"/>
      <c r="P812" s="14"/>
      <c r="Q812" s="14"/>
      <c r="R812" s="30"/>
      <c r="S812" s="16">
        <f>SUMIF($G$4:$R$4,"&gt;=0",G812:R812)</f>
        <v>0</v>
      </c>
      <c r="T812" s="17">
        <f t="shared" ref="T812" si="659">SUM(G812:R812)</f>
        <v>0</v>
      </c>
    </row>
    <row r="813" spans="1:20" ht="15" thickBot="1" x14ac:dyDescent="0.35">
      <c r="A813" s="105"/>
      <c r="B813" s="108"/>
      <c r="C813" s="111"/>
      <c r="D813" s="111"/>
      <c r="E813" s="115"/>
      <c r="F813" s="18" t="s">
        <v>32</v>
      </c>
      <c r="G813" s="19" t="e">
        <f>(G811-G812)/G811</f>
        <v>#DIV/0!</v>
      </c>
      <c r="H813" s="19" t="e">
        <f t="shared" ref="H813:S813" si="660">(H811-H812)/H811</f>
        <v>#DIV/0!</v>
      </c>
      <c r="I813" s="19" t="e">
        <f t="shared" si="660"/>
        <v>#DIV/0!</v>
      </c>
      <c r="J813" s="19" t="e">
        <f t="shared" si="660"/>
        <v>#DIV/0!</v>
      </c>
      <c r="K813" s="19" t="e">
        <f t="shared" si="660"/>
        <v>#DIV/0!</v>
      </c>
      <c r="L813" s="19" t="e">
        <f t="shared" si="660"/>
        <v>#DIV/0!</v>
      </c>
      <c r="M813" s="19" t="e">
        <f t="shared" si="660"/>
        <v>#DIV/0!</v>
      </c>
      <c r="N813" s="19" t="e">
        <f t="shared" si="660"/>
        <v>#DIV/0!</v>
      </c>
      <c r="O813" s="19" t="e">
        <f t="shared" si="660"/>
        <v>#DIV/0!</v>
      </c>
      <c r="P813" s="19" t="e">
        <f t="shared" si="660"/>
        <v>#DIV/0!</v>
      </c>
      <c r="Q813" s="19" t="e">
        <f t="shared" si="660"/>
        <v>#DIV/0!</v>
      </c>
      <c r="R813" s="25" t="e">
        <f t="shared" si="660"/>
        <v>#DIV/0!</v>
      </c>
      <c r="S813" s="21" t="e">
        <f t="shared" si="660"/>
        <v>#DIV/0!</v>
      </c>
      <c r="T813" s="22" t="e">
        <f t="shared" ref="T813" si="661">T811/T812</f>
        <v>#DIV/0!</v>
      </c>
    </row>
    <row r="814" spans="1:20" x14ac:dyDescent="0.3">
      <c r="A814" s="105"/>
      <c r="B814" s="108"/>
      <c r="C814" s="111"/>
      <c r="D814" s="111"/>
      <c r="E814" s="115"/>
      <c r="F814" s="31" t="s">
        <v>33</v>
      </c>
      <c r="G814" s="23"/>
      <c r="H814" s="23"/>
      <c r="I814" s="23"/>
      <c r="J814" s="23"/>
      <c r="K814" s="9"/>
      <c r="L814" s="9"/>
      <c r="M814" s="9"/>
      <c r="N814" s="9"/>
      <c r="O814" s="9"/>
      <c r="P814" s="23"/>
      <c r="Q814" s="23"/>
      <c r="R814" s="24"/>
      <c r="S814" s="11">
        <f>SUMIF($G$4:$R$4,"&gt;=0",G814:R814)</f>
        <v>0</v>
      </c>
      <c r="T814" s="10">
        <f>SUM(G814:R814)</f>
        <v>0</v>
      </c>
    </row>
    <row r="815" spans="1:20" x14ac:dyDescent="0.3">
      <c r="A815" s="105"/>
      <c r="B815" s="108"/>
      <c r="C815" s="111"/>
      <c r="D815" s="111"/>
      <c r="E815" s="115"/>
      <c r="F815" s="32" t="s">
        <v>34</v>
      </c>
      <c r="G815" s="14"/>
      <c r="H815" s="14"/>
      <c r="I815" s="14"/>
      <c r="J815" s="14"/>
      <c r="K815" s="13"/>
      <c r="L815" s="13"/>
      <c r="M815" s="13"/>
      <c r="N815" s="13"/>
      <c r="O815" s="13"/>
      <c r="P815" s="14"/>
      <c r="Q815" s="14"/>
      <c r="R815" s="30"/>
      <c r="S815" s="16">
        <f>SUMIF($G$4:$R$4,"&gt;=0",G815:R815)</f>
        <v>0</v>
      </c>
      <c r="T815" s="17">
        <f>SUM(G815:R815)</f>
        <v>0</v>
      </c>
    </row>
    <row r="816" spans="1:20" ht="15" thickBot="1" x14ac:dyDescent="0.35">
      <c r="A816" s="117"/>
      <c r="B816" s="109"/>
      <c r="C816" s="112"/>
      <c r="D816" s="113"/>
      <c r="E816" s="116"/>
      <c r="F816" s="21" t="s">
        <v>35</v>
      </c>
      <c r="G816" s="19" t="e">
        <f>(G815-G814)/G815</f>
        <v>#DIV/0!</v>
      </c>
      <c r="H816" s="19" t="e">
        <f t="shared" ref="H816:S816" si="662">(H815-H814)/H815</f>
        <v>#DIV/0!</v>
      </c>
      <c r="I816" s="19" t="e">
        <f t="shared" si="662"/>
        <v>#DIV/0!</v>
      </c>
      <c r="J816" s="19" t="e">
        <f t="shared" si="662"/>
        <v>#DIV/0!</v>
      </c>
      <c r="K816" s="19" t="e">
        <f t="shared" si="662"/>
        <v>#DIV/0!</v>
      </c>
      <c r="L816" s="19" t="e">
        <f t="shared" si="662"/>
        <v>#DIV/0!</v>
      </c>
      <c r="M816" s="19" t="e">
        <f t="shared" si="662"/>
        <v>#DIV/0!</v>
      </c>
      <c r="N816" s="19" t="e">
        <f t="shared" si="662"/>
        <v>#DIV/0!</v>
      </c>
      <c r="O816" s="19" t="e">
        <f t="shared" si="662"/>
        <v>#DIV/0!</v>
      </c>
      <c r="P816" s="19" t="e">
        <f t="shared" si="662"/>
        <v>#DIV/0!</v>
      </c>
      <c r="Q816" s="19" t="e">
        <f t="shared" si="662"/>
        <v>#DIV/0!</v>
      </c>
      <c r="R816" s="25" t="e">
        <f t="shared" si="662"/>
        <v>#DIV/0!</v>
      </c>
      <c r="S816" s="21" t="e">
        <f t="shared" si="662"/>
        <v>#DIV/0!</v>
      </c>
      <c r="T816" s="22" t="e">
        <f t="shared" ref="T816" si="663">T815/T814</f>
        <v>#DIV/0!</v>
      </c>
    </row>
    <row r="817" spans="1:20" x14ac:dyDescent="0.3">
      <c r="A817" s="104">
        <v>75</v>
      </c>
      <c r="B817" s="107"/>
      <c r="C817" s="110"/>
      <c r="D817" s="110"/>
      <c r="E817" s="114"/>
      <c r="F817" s="11" t="s">
        <v>25</v>
      </c>
      <c r="G817" s="23"/>
      <c r="H817" s="23"/>
      <c r="I817" s="23"/>
      <c r="J817" s="23"/>
      <c r="K817" s="9"/>
      <c r="L817" s="9"/>
      <c r="M817" s="9"/>
      <c r="N817" s="9"/>
      <c r="O817" s="9"/>
      <c r="P817" s="23"/>
      <c r="Q817" s="23"/>
      <c r="R817" s="24"/>
      <c r="S817" s="11">
        <f>SUMIF($G$4:$R$4,"&gt;=0",G817:R817)</f>
        <v>0</v>
      </c>
      <c r="T817" s="10">
        <f>SUM(G817:R817)</f>
        <v>0</v>
      </c>
    </row>
    <row r="818" spans="1:20" x14ac:dyDescent="0.3">
      <c r="A818" s="105"/>
      <c r="B818" s="108"/>
      <c r="C818" s="111"/>
      <c r="D818" s="111"/>
      <c r="E818" s="115"/>
      <c r="F818" s="12" t="s">
        <v>26</v>
      </c>
      <c r="G818" s="14"/>
      <c r="H818" s="14"/>
      <c r="I818" s="14"/>
      <c r="J818" s="14"/>
      <c r="K818" s="13"/>
      <c r="L818" s="13"/>
      <c r="M818" s="13"/>
      <c r="N818" s="13"/>
      <c r="O818" s="13"/>
      <c r="P818" s="14"/>
      <c r="Q818" s="14"/>
      <c r="R818" s="30"/>
      <c r="S818" s="16">
        <f>SUMIF($G$4:$R$4,"&gt;=0",G818:R818)</f>
        <v>0</v>
      </c>
      <c r="T818" s="17">
        <f t="shared" ref="T818" si="664">SUM(G818:R818)</f>
        <v>0</v>
      </c>
    </row>
    <row r="819" spans="1:20" ht="15" thickBot="1" x14ac:dyDescent="0.35">
      <c r="A819" s="105"/>
      <c r="B819" s="108"/>
      <c r="C819" s="111"/>
      <c r="D819" s="111"/>
      <c r="E819" s="115"/>
      <c r="F819" s="18" t="s">
        <v>27</v>
      </c>
      <c r="G819" s="19" t="e">
        <f>G818/G817</f>
        <v>#DIV/0!</v>
      </c>
      <c r="H819" s="19" t="e">
        <f t="shared" ref="H819:T819" si="665">H818/H817</f>
        <v>#DIV/0!</v>
      </c>
      <c r="I819" s="19" t="e">
        <f t="shared" si="665"/>
        <v>#DIV/0!</v>
      </c>
      <c r="J819" s="19" t="e">
        <f t="shared" si="665"/>
        <v>#DIV/0!</v>
      </c>
      <c r="K819" s="19" t="e">
        <f t="shared" si="665"/>
        <v>#DIV/0!</v>
      </c>
      <c r="L819" s="19" t="e">
        <f t="shared" si="665"/>
        <v>#DIV/0!</v>
      </c>
      <c r="M819" s="19" t="e">
        <f t="shared" si="665"/>
        <v>#DIV/0!</v>
      </c>
      <c r="N819" s="19" t="e">
        <f t="shared" si="665"/>
        <v>#DIV/0!</v>
      </c>
      <c r="O819" s="19" t="e">
        <f t="shared" si="665"/>
        <v>#DIV/0!</v>
      </c>
      <c r="P819" s="19" t="e">
        <f t="shared" si="665"/>
        <v>#DIV/0!</v>
      </c>
      <c r="Q819" s="19" t="e">
        <f t="shared" si="665"/>
        <v>#DIV/0!</v>
      </c>
      <c r="R819" s="25" t="e">
        <f t="shared" si="665"/>
        <v>#DIV/0!</v>
      </c>
      <c r="S819" s="21" t="e">
        <f t="shared" si="665"/>
        <v>#DIV/0!</v>
      </c>
      <c r="T819" s="22" t="e">
        <f t="shared" si="665"/>
        <v>#DIV/0!</v>
      </c>
    </row>
    <row r="820" spans="1:20" x14ac:dyDescent="0.3">
      <c r="A820" s="105"/>
      <c r="B820" s="108"/>
      <c r="C820" s="111"/>
      <c r="D820" s="111"/>
      <c r="E820" s="115"/>
      <c r="F820" s="11" t="s">
        <v>28</v>
      </c>
      <c r="G820" s="23"/>
      <c r="H820" s="23"/>
      <c r="I820" s="23"/>
      <c r="J820" s="23"/>
      <c r="K820" s="9"/>
      <c r="L820" s="9"/>
      <c r="M820" s="9"/>
      <c r="N820" s="9"/>
      <c r="O820" s="9"/>
      <c r="P820" s="23"/>
      <c r="Q820" s="23"/>
      <c r="R820" s="24"/>
      <c r="S820" s="11">
        <f>SUMIF($G$4:$R$4,"&gt;=0",G820:R820)</f>
        <v>0</v>
      </c>
      <c r="T820" s="10">
        <f>SUM(G820:R820)</f>
        <v>0</v>
      </c>
    </row>
    <row r="821" spans="1:20" ht="15" thickBot="1" x14ac:dyDescent="0.35">
      <c r="A821" s="105"/>
      <c r="B821" s="108"/>
      <c r="C821" s="111"/>
      <c r="D821" s="111"/>
      <c r="E821" s="115"/>
      <c r="F821" s="18" t="s">
        <v>29</v>
      </c>
      <c r="G821" s="19" t="e">
        <f>(G818-G820)/G818</f>
        <v>#DIV/0!</v>
      </c>
      <c r="H821" s="19" t="e">
        <f t="shared" ref="H821:S821" si="666">(H818-H820)/H818</f>
        <v>#DIV/0!</v>
      </c>
      <c r="I821" s="19" t="e">
        <f t="shared" si="666"/>
        <v>#DIV/0!</v>
      </c>
      <c r="J821" s="19" t="e">
        <f t="shared" si="666"/>
        <v>#DIV/0!</v>
      </c>
      <c r="K821" s="19" t="e">
        <f t="shared" si="666"/>
        <v>#DIV/0!</v>
      </c>
      <c r="L821" s="19" t="e">
        <f t="shared" si="666"/>
        <v>#DIV/0!</v>
      </c>
      <c r="M821" s="19" t="e">
        <f t="shared" si="666"/>
        <v>#DIV/0!</v>
      </c>
      <c r="N821" s="19" t="e">
        <f t="shared" si="666"/>
        <v>#DIV/0!</v>
      </c>
      <c r="O821" s="19" t="e">
        <f t="shared" si="666"/>
        <v>#DIV/0!</v>
      </c>
      <c r="P821" s="19" t="e">
        <f t="shared" si="666"/>
        <v>#DIV/0!</v>
      </c>
      <c r="Q821" s="19" t="e">
        <f t="shared" si="666"/>
        <v>#DIV/0!</v>
      </c>
      <c r="R821" s="25" t="e">
        <f t="shared" si="666"/>
        <v>#DIV/0!</v>
      </c>
      <c r="S821" s="21" t="e">
        <f t="shared" si="666"/>
        <v>#DIV/0!</v>
      </c>
      <c r="T821" s="22" t="e">
        <f t="shared" ref="T821" si="667">T818/T820</f>
        <v>#DIV/0!</v>
      </c>
    </row>
    <row r="822" spans="1:20" x14ac:dyDescent="0.3">
      <c r="A822" s="105"/>
      <c r="B822" s="108"/>
      <c r="C822" s="111"/>
      <c r="D822" s="111"/>
      <c r="E822" s="115"/>
      <c r="F822" s="26" t="s">
        <v>30</v>
      </c>
      <c r="G822" s="23"/>
      <c r="H822" s="23"/>
      <c r="I822" s="23"/>
      <c r="J822" s="23"/>
      <c r="K822" s="9"/>
      <c r="L822" s="9"/>
      <c r="M822" s="9"/>
      <c r="N822" s="9"/>
      <c r="O822" s="9"/>
      <c r="P822" s="23"/>
      <c r="Q822" s="23"/>
      <c r="R822" s="24"/>
      <c r="S822" s="11">
        <f>SUMIF($G$4:$R$4,"&gt;=0",G822:R822)</f>
        <v>0</v>
      </c>
      <c r="T822" s="10">
        <f>SUM(G822:R822)</f>
        <v>0</v>
      </c>
    </row>
    <row r="823" spans="1:20" x14ac:dyDescent="0.3">
      <c r="A823" s="105"/>
      <c r="B823" s="108"/>
      <c r="C823" s="111"/>
      <c r="D823" s="111"/>
      <c r="E823" s="115"/>
      <c r="F823" s="29" t="s">
        <v>31</v>
      </c>
      <c r="G823" s="14"/>
      <c r="H823" s="14"/>
      <c r="I823" s="14"/>
      <c r="J823" s="14"/>
      <c r="K823" s="13"/>
      <c r="L823" s="13"/>
      <c r="M823" s="13"/>
      <c r="N823" s="13"/>
      <c r="O823" s="13"/>
      <c r="P823" s="14"/>
      <c r="Q823" s="14"/>
      <c r="R823" s="30"/>
      <c r="S823" s="16">
        <f>SUMIF($G$4:$R$4,"&gt;=0",G823:R823)</f>
        <v>0</v>
      </c>
      <c r="T823" s="17">
        <f t="shared" ref="T823" si="668">SUM(G823:R823)</f>
        <v>0</v>
      </c>
    </row>
    <row r="824" spans="1:20" ht="15" thickBot="1" x14ac:dyDescent="0.35">
      <c r="A824" s="105"/>
      <c r="B824" s="108"/>
      <c r="C824" s="111"/>
      <c r="D824" s="111"/>
      <c r="E824" s="115"/>
      <c r="F824" s="18" t="s">
        <v>32</v>
      </c>
      <c r="G824" s="19" t="e">
        <f>(G822-G823)/G822</f>
        <v>#DIV/0!</v>
      </c>
      <c r="H824" s="19" t="e">
        <f t="shared" ref="H824:S824" si="669">(H822-H823)/H822</f>
        <v>#DIV/0!</v>
      </c>
      <c r="I824" s="19" t="e">
        <f t="shared" si="669"/>
        <v>#DIV/0!</v>
      </c>
      <c r="J824" s="19" t="e">
        <f t="shared" si="669"/>
        <v>#DIV/0!</v>
      </c>
      <c r="K824" s="19" t="e">
        <f t="shared" si="669"/>
        <v>#DIV/0!</v>
      </c>
      <c r="L824" s="19" t="e">
        <f t="shared" si="669"/>
        <v>#DIV/0!</v>
      </c>
      <c r="M824" s="19" t="e">
        <f t="shared" si="669"/>
        <v>#DIV/0!</v>
      </c>
      <c r="N824" s="19" t="e">
        <f t="shared" si="669"/>
        <v>#DIV/0!</v>
      </c>
      <c r="O824" s="19" t="e">
        <f t="shared" si="669"/>
        <v>#DIV/0!</v>
      </c>
      <c r="P824" s="19" t="e">
        <f t="shared" si="669"/>
        <v>#DIV/0!</v>
      </c>
      <c r="Q824" s="19" t="e">
        <f t="shared" si="669"/>
        <v>#DIV/0!</v>
      </c>
      <c r="R824" s="25" t="e">
        <f t="shared" si="669"/>
        <v>#DIV/0!</v>
      </c>
      <c r="S824" s="21" t="e">
        <f t="shared" si="669"/>
        <v>#DIV/0!</v>
      </c>
      <c r="T824" s="22" t="e">
        <f t="shared" ref="T824" si="670">T822/T823</f>
        <v>#DIV/0!</v>
      </c>
    </row>
    <row r="825" spans="1:20" x14ac:dyDescent="0.3">
      <c r="A825" s="105"/>
      <c r="B825" s="108"/>
      <c r="C825" s="111"/>
      <c r="D825" s="111"/>
      <c r="E825" s="115"/>
      <c r="F825" s="31" t="s">
        <v>33</v>
      </c>
      <c r="G825" s="23"/>
      <c r="H825" s="23"/>
      <c r="I825" s="23"/>
      <c r="J825" s="23"/>
      <c r="K825" s="9"/>
      <c r="L825" s="9"/>
      <c r="M825" s="9"/>
      <c r="N825" s="9"/>
      <c r="O825" s="9"/>
      <c r="P825" s="23"/>
      <c r="Q825" s="23"/>
      <c r="R825" s="24"/>
      <c r="S825" s="11">
        <f>SUMIF($G$4:$R$4,"&gt;=0",G825:R825)</f>
        <v>0</v>
      </c>
      <c r="T825" s="10">
        <f>SUM(G825:R825)</f>
        <v>0</v>
      </c>
    </row>
    <row r="826" spans="1:20" x14ac:dyDescent="0.3">
      <c r="A826" s="105"/>
      <c r="B826" s="108"/>
      <c r="C826" s="111"/>
      <c r="D826" s="111"/>
      <c r="E826" s="115"/>
      <c r="F826" s="32" t="s">
        <v>34</v>
      </c>
      <c r="G826" s="14"/>
      <c r="H826" s="14"/>
      <c r="I826" s="14"/>
      <c r="J826" s="14"/>
      <c r="K826" s="13"/>
      <c r="L826" s="13"/>
      <c r="M826" s="13"/>
      <c r="N826" s="13"/>
      <c r="O826" s="13"/>
      <c r="P826" s="14"/>
      <c r="Q826" s="14"/>
      <c r="R826" s="30"/>
      <c r="S826" s="16">
        <f>SUMIF($G$4:$R$4,"&gt;=0",G826:R826)</f>
        <v>0</v>
      </c>
      <c r="T826" s="17">
        <f>SUM(G826:R826)</f>
        <v>0</v>
      </c>
    </row>
    <row r="827" spans="1:20" ht="15" thickBot="1" x14ac:dyDescent="0.35">
      <c r="A827" s="106"/>
      <c r="B827" s="109"/>
      <c r="C827" s="112"/>
      <c r="D827" s="113"/>
      <c r="E827" s="116"/>
      <c r="F827" s="21" t="s">
        <v>35</v>
      </c>
      <c r="G827" s="19" t="e">
        <f>(G826-G825)/G826</f>
        <v>#DIV/0!</v>
      </c>
      <c r="H827" s="19" t="e">
        <f t="shared" ref="H827:S827" si="671">(H826-H825)/H826</f>
        <v>#DIV/0!</v>
      </c>
      <c r="I827" s="19" t="e">
        <f t="shared" si="671"/>
        <v>#DIV/0!</v>
      </c>
      <c r="J827" s="19" t="e">
        <f t="shared" si="671"/>
        <v>#DIV/0!</v>
      </c>
      <c r="K827" s="19" t="e">
        <f t="shared" si="671"/>
        <v>#DIV/0!</v>
      </c>
      <c r="L827" s="19" t="e">
        <f t="shared" si="671"/>
        <v>#DIV/0!</v>
      </c>
      <c r="M827" s="19" t="e">
        <f t="shared" si="671"/>
        <v>#DIV/0!</v>
      </c>
      <c r="N827" s="19" t="e">
        <f t="shared" si="671"/>
        <v>#DIV/0!</v>
      </c>
      <c r="O827" s="19" t="e">
        <f t="shared" si="671"/>
        <v>#DIV/0!</v>
      </c>
      <c r="P827" s="19" t="e">
        <f t="shared" si="671"/>
        <v>#DIV/0!</v>
      </c>
      <c r="Q827" s="19" t="e">
        <f t="shared" si="671"/>
        <v>#DIV/0!</v>
      </c>
      <c r="R827" s="25" t="e">
        <f t="shared" si="671"/>
        <v>#DIV/0!</v>
      </c>
      <c r="S827" s="21" t="e">
        <f t="shared" si="671"/>
        <v>#DIV/0!</v>
      </c>
      <c r="T827" s="22" t="e">
        <f t="shared" ref="T827" si="672">T826/T825</f>
        <v>#DIV/0!</v>
      </c>
    </row>
    <row r="828" spans="1:20" x14ac:dyDescent="0.3">
      <c r="A828" s="104">
        <v>76</v>
      </c>
      <c r="B828" s="107"/>
      <c r="C828" s="110"/>
      <c r="D828" s="110"/>
      <c r="E828" s="114"/>
      <c r="F828" s="11" t="s">
        <v>25</v>
      </c>
      <c r="G828" s="23"/>
      <c r="H828" s="23"/>
      <c r="I828" s="23"/>
      <c r="J828" s="23"/>
      <c r="K828" s="9"/>
      <c r="L828" s="9"/>
      <c r="M828" s="9"/>
      <c r="N828" s="9"/>
      <c r="O828" s="9"/>
      <c r="P828" s="23"/>
      <c r="Q828" s="23"/>
      <c r="R828" s="24"/>
      <c r="S828" s="11">
        <f>SUMIF($G$4:$R$4,"&gt;=0",G828:R828)</f>
        <v>0</v>
      </c>
      <c r="T828" s="10">
        <f>SUM(G828:R828)</f>
        <v>0</v>
      </c>
    </row>
    <row r="829" spans="1:20" x14ac:dyDescent="0.3">
      <c r="A829" s="105"/>
      <c r="B829" s="108"/>
      <c r="C829" s="111"/>
      <c r="D829" s="111"/>
      <c r="E829" s="115"/>
      <c r="F829" s="12" t="s">
        <v>26</v>
      </c>
      <c r="G829" s="14"/>
      <c r="H829" s="14"/>
      <c r="I829" s="14"/>
      <c r="J829" s="14"/>
      <c r="K829" s="13"/>
      <c r="L829" s="13"/>
      <c r="M829" s="13"/>
      <c r="N829" s="13"/>
      <c r="O829" s="13"/>
      <c r="P829" s="14"/>
      <c r="Q829" s="14"/>
      <c r="R829" s="30"/>
      <c r="S829" s="16">
        <f>SUMIF($G$4:$R$4,"&gt;=0",G829:R829)</f>
        <v>0</v>
      </c>
      <c r="T829" s="17">
        <f t="shared" ref="T829" si="673">SUM(G829:R829)</f>
        <v>0</v>
      </c>
    </row>
    <row r="830" spans="1:20" ht="15" thickBot="1" x14ac:dyDescent="0.35">
      <c r="A830" s="105"/>
      <c r="B830" s="108"/>
      <c r="C830" s="111"/>
      <c r="D830" s="111"/>
      <c r="E830" s="115"/>
      <c r="F830" s="18" t="s">
        <v>27</v>
      </c>
      <c r="G830" s="19" t="e">
        <f>G829/G828</f>
        <v>#DIV/0!</v>
      </c>
      <c r="H830" s="19" t="e">
        <f t="shared" ref="H830:T830" si="674">H829/H828</f>
        <v>#DIV/0!</v>
      </c>
      <c r="I830" s="19" t="e">
        <f t="shared" si="674"/>
        <v>#DIV/0!</v>
      </c>
      <c r="J830" s="19" t="e">
        <f t="shared" si="674"/>
        <v>#DIV/0!</v>
      </c>
      <c r="K830" s="19" t="e">
        <f t="shared" si="674"/>
        <v>#DIV/0!</v>
      </c>
      <c r="L830" s="19" t="e">
        <f t="shared" si="674"/>
        <v>#DIV/0!</v>
      </c>
      <c r="M830" s="19" t="e">
        <f t="shared" si="674"/>
        <v>#DIV/0!</v>
      </c>
      <c r="N830" s="19" t="e">
        <f t="shared" si="674"/>
        <v>#DIV/0!</v>
      </c>
      <c r="O830" s="19" t="e">
        <f t="shared" si="674"/>
        <v>#DIV/0!</v>
      </c>
      <c r="P830" s="19" t="e">
        <f t="shared" si="674"/>
        <v>#DIV/0!</v>
      </c>
      <c r="Q830" s="19" t="e">
        <f t="shared" si="674"/>
        <v>#DIV/0!</v>
      </c>
      <c r="R830" s="25" t="e">
        <f t="shared" si="674"/>
        <v>#DIV/0!</v>
      </c>
      <c r="S830" s="21" t="e">
        <f t="shared" si="674"/>
        <v>#DIV/0!</v>
      </c>
      <c r="T830" s="22" t="e">
        <f t="shared" si="674"/>
        <v>#DIV/0!</v>
      </c>
    </row>
    <row r="831" spans="1:20" x14ac:dyDescent="0.3">
      <c r="A831" s="105"/>
      <c r="B831" s="108"/>
      <c r="C831" s="111"/>
      <c r="D831" s="111"/>
      <c r="E831" s="115"/>
      <c r="F831" s="11" t="s">
        <v>28</v>
      </c>
      <c r="G831" s="23"/>
      <c r="H831" s="23"/>
      <c r="I831" s="23"/>
      <c r="J831" s="23"/>
      <c r="K831" s="9"/>
      <c r="L831" s="9"/>
      <c r="M831" s="9"/>
      <c r="N831" s="9"/>
      <c r="O831" s="9"/>
      <c r="P831" s="23"/>
      <c r="Q831" s="23"/>
      <c r="R831" s="24"/>
      <c r="S831" s="11">
        <f>SUMIF($G$4:$R$4,"&gt;=0",G831:R831)</f>
        <v>0</v>
      </c>
      <c r="T831" s="10">
        <f>SUM(G831:R831)</f>
        <v>0</v>
      </c>
    </row>
    <row r="832" spans="1:20" ht="15" thickBot="1" x14ac:dyDescent="0.35">
      <c r="A832" s="105"/>
      <c r="B832" s="108"/>
      <c r="C832" s="111"/>
      <c r="D832" s="111"/>
      <c r="E832" s="115"/>
      <c r="F832" s="18" t="s">
        <v>29</v>
      </c>
      <c r="G832" s="19" t="e">
        <f>(G829-G831)/G829</f>
        <v>#DIV/0!</v>
      </c>
      <c r="H832" s="19" t="e">
        <f t="shared" ref="H832:S832" si="675">(H829-H831)/H829</f>
        <v>#DIV/0!</v>
      </c>
      <c r="I832" s="19" t="e">
        <f t="shared" si="675"/>
        <v>#DIV/0!</v>
      </c>
      <c r="J832" s="19" t="e">
        <f t="shared" si="675"/>
        <v>#DIV/0!</v>
      </c>
      <c r="K832" s="19" t="e">
        <f t="shared" si="675"/>
        <v>#DIV/0!</v>
      </c>
      <c r="L832" s="19" t="e">
        <f t="shared" si="675"/>
        <v>#DIV/0!</v>
      </c>
      <c r="M832" s="19" t="e">
        <f t="shared" si="675"/>
        <v>#DIV/0!</v>
      </c>
      <c r="N832" s="19" t="e">
        <f t="shared" si="675"/>
        <v>#DIV/0!</v>
      </c>
      <c r="O832" s="19" t="e">
        <f t="shared" si="675"/>
        <v>#DIV/0!</v>
      </c>
      <c r="P832" s="19" t="e">
        <f t="shared" si="675"/>
        <v>#DIV/0!</v>
      </c>
      <c r="Q832" s="19" t="e">
        <f t="shared" si="675"/>
        <v>#DIV/0!</v>
      </c>
      <c r="R832" s="25" t="e">
        <f t="shared" si="675"/>
        <v>#DIV/0!</v>
      </c>
      <c r="S832" s="21" t="e">
        <f t="shared" si="675"/>
        <v>#DIV/0!</v>
      </c>
      <c r="T832" s="22" t="e">
        <f t="shared" ref="T832" si="676">T829/T831</f>
        <v>#DIV/0!</v>
      </c>
    </row>
    <row r="833" spans="1:20" x14ac:dyDescent="0.3">
      <c r="A833" s="105"/>
      <c r="B833" s="108"/>
      <c r="C833" s="111"/>
      <c r="D833" s="111"/>
      <c r="E833" s="115"/>
      <c r="F833" s="26" t="s">
        <v>30</v>
      </c>
      <c r="G833" s="23"/>
      <c r="H833" s="23"/>
      <c r="I833" s="23"/>
      <c r="J833" s="23"/>
      <c r="K833" s="9"/>
      <c r="L833" s="9"/>
      <c r="M833" s="9"/>
      <c r="N833" s="9"/>
      <c r="O833" s="9"/>
      <c r="P833" s="23"/>
      <c r="Q833" s="23"/>
      <c r="R833" s="24"/>
      <c r="S833" s="11">
        <f>SUMIF($G$4:$R$4,"&gt;=0",G833:R833)</f>
        <v>0</v>
      </c>
      <c r="T833" s="10">
        <f>SUM(G833:R833)</f>
        <v>0</v>
      </c>
    </row>
    <row r="834" spans="1:20" x14ac:dyDescent="0.3">
      <c r="A834" s="105"/>
      <c r="B834" s="108"/>
      <c r="C834" s="111"/>
      <c r="D834" s="111"/>
      <c r="E834" s="115"/>
      <c r="F834" s="29" t="s">
        <v>31</v>
      </c>
      <c r="G834" s="14"/>
      <c r="H834" s="14"/>
      <c r="I834" s="14"/>
      <c r="J834" s="14"/>
      <c r="K834" s="13"/>
      <c r="L834" s="13"/>
      <c r="M834" s="13"/>
      <c r="N834" s="13"/>
      <c r="O834" s="13"/>
      <c r="P834" s="14"/>
      <c r="Q834" s="14"/>
      <c r="R834" s="30"/>
      <c r="S834" s="16">
        <f>SUMIF($G$4:$R$4,"&gt;=0",G834:R834)</f>
        <v>0</v>
      </c>
      <c r="T834" s="17">
        <f t="shared" ref="T834" si="677">SUM(G834:R834)</f>
        <v>0</v>
      </c>
    </row>
    <row r="835" spans="1:20" ht="15" thickBot="1" x14ac:dyDescent="0.35">
      <c r="A835" s="105"/>
      <c r="B835" s="108"/>
      <c r="C835" s="111"/>
      <c r="D835" s="111"/>
      <c r="E835" s="115"/>
      <c r="F835" s="18" t="s">
        <v>32</v>
      </c>
      <c r="G835" s="19" t="e">
        <f>(G833-G834)/G833</f>
        <v>#DIV/0!</v>
      </c>
      <c r="H835" s="19" t="e">
        <f t="shared" ref="H835:S835" si="678">(H833-H834)/H833</f>
        <v>#DIV/0!</v>
      </c>
      <c r="I835" s="19" t="e">
        <f t="shared" si="678"/>
        <v>#DIV/0!</v>
      </c>
      <c r="J835" s="19" t="e">
        <f t="shared" si="678"/>
        <v>#DIV/0!</v>
      </c>
      <c r="K835" s="19" t="e">
        <f t="shared" si="678"/>
        <v>#DIV/0!</v>
      </c>
      <c r="L835" s="19" t="e">
        <f t="shared" si="678"/>
        <v>#DIV/0!</v>
      </c>
      <c r="M835" s="19" t="e">
        <f t="shared" si="678"/>
        <v>#DIV/0!</v>
      </c>
      <c r="N835" s="19" t="e">
        <f t="shared" si="678"/>
        <v>#DIV/0!</v>
      </c>
      <c r="O835" s="19" t="e">
        <f t="shared" si="678"/>
        <v>#DIV/0!</v>
      </c>
      <c r="P835" s="19" t="e">
        <f t="shared" si="678"/>
        <v>#DIV/0!</v>
      </c>
      <c r="Q835" s="19" t="e">
        <f t="shared" si="678"/>
        <v>#DIV/0!</v>
      </c>
      <c r="R835" s="25" t="e">
        <f t="shared" si="678"/>
        <v>#DIV/0!</v>
      </c>
      <c r="S835" s="21" t="e">
        <f t="shared" si="678"/>
        <v>#DIV/0!</v>
      </c>
      <c r="T835" s="22" t="e">
        <f t="shared" ref="T835" si="679">T833/T834</f>
        <v>#DIV/0!</v>
      </c>
    </row>
    <row r="836" spans="1:20" x14ac:dyDescent="0.3">
      <c r="A836" s="105"/>
      <c r="B836" s="108"/>
      <c r="C836" s="111"/>
      <c r="D836" s="111"/>
      <c r="E836" s="115"/>
      <c r="F836" s="31" t="s">
        <v>33</v>
      </c>
      <c r="G836" s="23"/>
      <c r="H836" s="23"/>
      <c r="I836" s="23"/>
      <c r="J836" s="23"/>
      <c r="K836" s="9"/>
      <c r="L836" s="9"/>
      <c r="M836" s="9"/>
      <c r="N836" s="9"/>
      <c r="O836" s="9"/>
      <c r="P836" s="23"/>
      <c r="Q836" s="23"/>
      <c r="R836" s="24"/>
      <c r="S836" s="11">
        <f>SUMIF($G$4:$R$4,"&gt;=0",G836:R836)</f>
        <v>0</v>
      </c>
      <c r="T836" s="10">
        <f>SUM(G836:R836)</f>
        <v>0</v>
      </c>
    </row>
    <row r="837" spans="1:20" x14ac:dyDescent="0.3">
      <c r="A837" s="105"/>
      <c r="B837" s="108"/>
      <c r="C837" s="111"/>
      <c r="D837" s="111"/>
      <c r="E837" s="115"/>
      <c r="F837" s="32" t="s">
        <v>34</v>
      </c>
      <c r="G837" s="14"/>
      <c r="H837" s="14"/>
      <c r="I837" s="14"/>
      <c r="J837" s="14"/>
      <c r="K837" s="13"/>
      <c r="L837" s="13"/>
      <c r="M837" s="13"/>
      <c r="N837" s="13"/>
      <c r="O837" s="13"/>
      <c r="P837" s="14"/>
      <c r="Q837" s="14"/>
      <c r="R837" s="30"/>
      <c r="S837" s="16">
        <f>SUMIF($G$4:$R$4,"&gt;=0",G837:R837)</f>
        <v>0</v>
      </c>
      <c r="T837" s="17">
        <f>SUM(G837:R837)</f>
        <v>0</v>
      </c>
    </row>
    <row r="838" spans="1:20" ht="15" thickBot="1" x14ac:dyDescent="0.35">
      <c r="A838" s="117"/>
      <c r="B838" s="109"/>
      <c r="C838" s="112"/>
      <c r="D838" s="113"/>
      <c r="E838" s="116"/>
      <c r="F838" s="21" t="s">
        <v>35</v>
      </c>
      <c r="G838" s="19" t="e">
        <f>(G837-G836)/G837</f>
        <v>#DIV/0!</v>
      </c>
      <c r="H838" s="19" t="e">
        <f t="shared" ref="H838:S838" si="680">(H837-H836)/H837</f>
        <v>#DIV/0!</v>
      </c>
      <c r="I838" s="19" t="e">
        <f t="shared" si="680"/>
        <v>#DIV/0!</v>
      </c>
      <c r="J838" s="19" t="e">
        <f t="shared" si="680"/>
        <v>#DIV/0!</v>
      </c>
      <c r="K838" s="19" t="e">
        <f t="shared" si="680"/>
        <v>#DIV/0!</v>
      </c>
      <c r="L838" s="19" t="e">
        <f t="shared" si="680"/>
        <v>#DIV/0!</v>
      </c>
      <c r="M838" s="19" t="e">
        <f t="shared" si="680"/>
        <v>#DIV/0!</v>
      </c>
      <c r="N838" s="19" t="e">
        <f t="shared" si="680"/>
        <v>#DIV/0!</v>
      </c>
      <c r="O838" s="19" t="e">
        <f t="shared" si="680"/>
        <v>#DIV/0!</v>
      </c>
      <c r="P838" s="19" t="e">
        <f t="shared" si="680"/>
        <v>#DIV/0!</v>
      </c>
      <c r="Q838" s="19" t="e">
        <f t="shared" si="680"/>
        <v>#DIV/0!</v>
      </c>
      <c r="R838" s="25" t="e">
        <f t="shared" si="680"/>
        <v>#DIV/0!</v>
      </c>
      <c r="S838" s="21" t="e">
        <f t="shared" si="680"/>
        <v>#DIV/0!</v>
      </c>
      <c r="T838" s="22" t="e">
        <f t="shared" ref="T838" si="681">T837/T836</f>
        <v>#DIV/0!</v>
      </c>
    </row>
    <row r="839" spans="1:20" x14ac:dyDescent="0.3">
      <c r="A839" s="104">
        <v>77</v>
      </c>
      <c r="B839" s="107"/>
      <c r="C839" s="110"/>
      <c r="D839" s="110"/>
      <c r="E839" s="114"/>
      <c r="F839" s="11" t="s">
        <v>25</v>
      </c>
      <c r="G839" s="23"/>
      <c r="H839" s="23"/>
      <c r="I839" s="23"/>
      <c r="J839" s="23"/>
      <c r="K839" s="9"/>
      <c r="L839" s="9"/>
      <c r="M839" s="9"/>
      <c r="N839" s="9"/>
      <c r="O839" s="9"/>
      <c r="P839" s="23"/>
      <c r="Q839" s="23"/>
      <c r="R839" s="24"/>
      <c r="S839" s="11">
        <f>SUMIF($G$4:$R$4,"&gt;=0",G839:R839)</f>
        <v>0</v>
      </c>
      <c r="T839" s="10">
        <f>SUM(G839:R839)</f>
        <v>0</v>
      </c>
    </row>
    <row r="840" spans="1:20" x14ac:dyDescent="0.3">
      <c r="A840" s="105"/>
      <c r="B840" s="108"/>
      <c r="C840" s="111"/>
      <c r="D840" s="111"/>
      <c r="E840" s="115"/>
      <c r="F840" s="12" t="s">
        <v>26</v>
      </c>
      <c r="G840" s="14"/>
      <c r="H840" s="14"/>
      <c r="I840" s="14"/>
      <c r="J840" s="14"/>
      <c r="K840" s="13"/>
      <c r="L840" s="13"/>
      <c r="M840" s="13"/>
      <c r="N840" s="13"/>
      <c r="O840" s="13"/>
      <c r="P840" s="14"/>
      <c r="Q840" s="14"/>
      <c r="R840" s="30"/>
      <c r="S840" s="16">
        <f>SUMIF($G$4:$R$4,"&gt;=0",G840:R840)</f>
        <v>0</v>
      </c>
      <c r="T840" s="17">
        <f t="shared" ref="T840" si="682">SUM(G840:R840)</f>
        <v>0</v>
      </c>
    </row>
    <row r="841" spans="1:20" ht="15" thickBot="1" x14ac:dyDescent="0.35">
      <c r="A841" s="105"/>
      <c r="B841" s="108"/>
      <c r="C841" s="111"/>
      <c r="D841" s="111"/>
      <c r="E841" s="115"/>
      <c r="F841" s="18" t="s">
        <v>27</v>
      </c>
      <c r="G841" s="19" t="e">
        <f>G840/G839</f>
        <v>#DIV/0!</v>
      </c>
      <c r="H841" s="19" t="e">
        <f t="shared" ref="H841:T841" si="683">H840/H839</f>
        <v>#DIV/0!</v>
      </c>
      <c r="I841" s="19" t="e">
        <f t="shared" si="683"/>
        <v>#DIV/0!</v>
      </c>
      <c r="J841" s="19" t="e">
        <f t="shared" si="683"/>
        <v>#DIV/0!</v>
      </c>
      <c r="K841" s="19" t="e">
        <f t="shared" si="683"/>
        <v>#DIV/0!</v>
      </c>
      <c r="L841" s="19" t="e">
        <f t="shared" si="683"/>
        <v>#DIV/0!</v>
      </c>
      <c r="M841" s="19" t="e">
        <f t="shared" si="683"/>
        <v>#DIV/0!</v>
      </c>
      <c r="N841" s="19" t="e">
        <f t="shared" si="683"/>
        <v>#DIV/0!</v>
      </c>
      <c r="O841" s="19" t="e">
        <f t="shared" si="683"/>
        <v>#DIV/0!</v>
      </c>
      <c r="P841" s="19" t="e">
        <f t="shared" si="683"/>
        <v>#DIV/0!</v>
      </c>
      <c r="Q841" s="19" t="e">
        <f t="shared" si="683"/>
        <v>#DIV/0!</v>
      </c>
      <c r="R841" s="25" t="e">
        <f t="shared" si="683"/>
        <v>#DIV/0!</v>
      </c>
      <c r="S841" s="21" t="e">
        <f t="shared" si="683"/>
        <v>#DIV/0!</v>
      </c>
      <c r="T841" s="22" t="e">
        <f t="shared" si="683"/>
        <v>#DIV/0!</v>
      </c>
    </row>
    <row r="842" spans="1:20" x14ac:dyDescent="0.3">
      <c r="A842" s="105"/>
      <c r="B842" s="108"/>
      <c r="C842" s="111"/>
      <c r="D842" s="111"/>
      <c r="E842" s="115"/>
      <c r="F842" s="11" t="s">
        <v>28</v>
      </c>
      <c r="G842" s="23"/>
      <c r="H842" s="23"/>
      <c r="I842" s="23"/>
      <c r="J842" s="23"/>
      <c r="K842" s="9"/>
      <c r="L842" s="9"/>
      <c r="M842" s="9"/>
      <c r="N842" s="9"/>
      <c r="O842" s="9"/>
      <c r="P842" s="23"/>
      <c r="Q842" s="23"/>
      <c r="R842" s="24"/>
      <c r="S842" s="11">
        <f>SUMIF($G$4:$R$4,"&gt;=0",G842:R842)</f>
        <v>0</v>
      </c>
      <c r="T842" s="10">
        <f>SUM(G842:R842)</f>
        <v>0</v>
      </c>
    </row>
    <row r="843" spans="1:20" ht="15" thickBot="1" x14ac:dyDescent="0.35">
      <c r="A843" s="105"/>
      <c r="B843" s="108"/>
      <c r="C843" s="111"/>
      <c r="D843" s="111"/>
      <c r="E843" s="115"/>
      <c r="F843" s="18" t="s">
        <v>29</v>
      </c>
      <c r="G843" s="19" t="e">
        <f>(G840-G842)/G840</f>
        <v>#DIV/0!</v>
      </c>
      <c r="H843" s="19" t="e">
        <f t="shared" ref="H843:S843" si="684">(H840-H842)/H840</f>
        <v>#DIV/0!</v>
      </c>
      <c r="I843" s="19" t="e">
        <f t="shared" si="684"/>
        <v>#DIV/0!</v>
      </c>
      <c r="J843" s="19" t="e">
        <f t="shared" si="684"/>
        <v>#DIV/0!</v>
      </c>
      <c r="K843" s="19" t="e">
        <f t="shared" si="684"/>
        <v>#DIV/0!</v>
      </c>
      <c r="L843" s="19" t="e">
        <f t="shared" si="684"/>
        <v>#DIV/0!</v>
      </c>
      <c r="M843" s="19" t="e">
        <f t="shared" si="684"/>
        <v>#DIV/0!</v>
      </c>
      <c r="N843" s="19" t="e">
        <f t="shared" si="684"/>
        <v>#DIV/0!</v>
      </c>
      <c r="O843" s="19" t="e">
        <f t="shared" si="684"/>
        <v>#DIV/0!</v>
      </c>
      <c r="P843" s="19" t="e">
        <f t="shared" si="684"/>
        <v>#DIV/0!</v>
      </c>
      <c r="Q843" s="19" t="e">
        <f t="shared" si="684"/>
        <v>#DIV/0!</v>
      </c>
      <c r="R843" s="25" t="e">
        <f t="shared" si="684"/>
        <v>#DIV/0!</v>
      </c>
      <c r="S843" s="21" t="e">
        <f t="shared" si="684"/>
        <v>#DIV/0!</v>
      </c>
      <c r="T843" s="22" t="e">
        <f t="shared" ref="T843" si="685">T840/T842</f>
        <v>#DIV/0!</v>
      </c>
    </row>
    <row r="844" spans="1:20" x14ac:dyDescent="0.3">
      <c r="A844" s="105"/>
      <c r="B844" s="108"/>
      <c r="C844" s="111"/>
      <c r="D844" s="111"/>
      <c r="E844" s="115"/>
      <c r="F844" s="26" t="s">
        <v>30</v>
      </c>
      <c r="G844" s="23"/>
      <c r="H844" s="23"/>
      <c r="I844" s="23"/>
      <c r="J844" s="23"/>
      <c r="K844" s="9"/>
      <c r="L844" s="9"/>
      <c r="M844" s="9"/>
      <c r="N844" s="9"/>
      <c r="O844" s="9"/>
      <c r="P844" s="23"/>
      <c r="Q844" s="23"/>
      <c r="R844" s="24"/>
      <c r="S844" s="11">
        <f>SUMIF($G$4:$R$4,"&gt;=0",G844:R844)</f>
        <v>0</v>
      </c>
      <c r="T844" s="10">
        <f>SUM(G844:R844)</f>
        <v>0</v>
      </c>
    </row>
    <row r="845" spans="1:20" x14ac:dyDescent="0.3">
      <c r="A845" s="105"/>
      <c r="B845" s="108"/>
      <c r="C845" s="111"/>
      <c r="D845" s="111"/>
      <c r="E845" s="115"/>
      <c r="F845" s="29" t="s">
        <v>31</v>
      </c>
      <c r="G845" s="14"/>
      <c r="H845" s="14"/>
      <c r="I845" s="14"/>
      <c r="J845" s="14"/>
      <c r="K845" s="13"/>
      <c r="L845" s="13"/>
      <c r="M845" s="13"/>
      <c r="N845" s="13"/>
      <c r="O845" s="13"/>
      <c r="P845" s="14"/>
      <c r="Q845" s="14"/>
      <c r="R845" s="30"/>
      <c r="S845" s="16">
        <f>SUMIF($G$4:$R$4,"&gt;=0",G845:R845)</f>
        <v>0</v>
      </c>
      <c r="T845" s="17">
        <f t="shared" ref="T845" si="686">SUM(G845:R845)</f>
        <v>0</v>
      </c>
    </row>
    <row r="846" spans="1:20" ht="15" thickBot="1" x14ac:dyDescent="0.35">
      <c r="A846" s="105"/>
      <c r="B846" s="108"/>
      <c r="C846" s="111"/>
      <c r="D846" s="111"/>
      <c r="E846" s="115"/>
      <c r="F846" s="18" t="s">
        <v>32</v>
      </c>
      <c r="G846" s="19" t="e">
        <f>(G844-G845)/G844</f>
        <v>#DIV/0!</v>
      </c>
      <c r="H846" s="19" t="e">
        <f t="shared" ref="H846:S846" si="687">(H844-H845)/H844</f>
        <v>#DIV/0!</v>
      </c>
      <c r="I846" s="19" t="e">
        <f t="shared" si="687"/>
        <v>#DIV/0!</v>
      </c>
      <c r="J846" s="19" t="e">
        <f t="shared" si="687"/>
        <v>#DIV/0!</v>
      </c>
      <c r="K846" s="19" t="e">
        <f t="shared" si="687"/>
        <v>#DIV/0!</v>
      </c>
      <c r="L846" s="19" t="e">
        <f t="shared" si="687"/>
        <v>#DIV/0!</v>
      </c>
      <c r="M846" s="19" t="e">
        <f t="shared" si="687"/>
        <v>#DIV/0!</v>
      </c>
      <c r="N846" s="19" t="e">
        <f t="shared" si="687"/>
        <v>#DIV/0!</v>
      </c>
      <c r="O846" s="19" t="e">
        <f t="shared" si="687"/>
        <v>#DIV/0!</v>
      </c>
      <c r="P846" s="19" t="e">
        <f t="shared" si="687"/>
        <v>#DIV/0!</v>
      </c>
      <c r="Q846" s="19" t="e">
        <f t="shared" si="687"/>
        <v>#DIV/0!</v>
      </c>
      <c r="R846" s="25" t="e">
        <f t="shared" si="687"/>
        <v>#DIV/0!</v>
      </c>
      <c r="S846" s="21" t="e">
        <f t="shared" si="687"/>
        <v>#DIV/0!</v>
      </c>
      <c r="T846" s="22" t="e">
        <f t="shared" ref="T846" si="688">T844/T845</f>
        <v>#DIV/0!</v>
      </c>
    </row>
    <row r="847" spans="1:20" x14ac:dyDescent="0.3">
      <c r="A847" s="105"/>
      <c r="B847" s="108"/>
      <c r="C847" s="111"/>
      <c r="D847" s="111"/>
      <c r="E847" s="115"/>
      <c r="F847" s="31" t="s">
        <v>33</v>
      </c>
      <c r="G847" s="23"/>
      <c r="H847" s="23"/>
      <c r="I847" s="23"/>
      <c r="J847" s="23"/>
      <c r="K847" s="9"/>
      <c r="L847" s="9"/>
      <c r="M847" s="9"/>
      <c r="N847" s="9"/>
      <c r="O847" s="9"/>
      <c r="P847" s="23"/>
      <c r="Q847" s="23"/>
      <c r="R847" s="24"/>
      <c r="S847" s="11">
        <f>SUMIF($G$4:$R$4,"&gt;=0",G847:R847)</f>
        <v>0</v>
      </c>
      <c r="T847" s="10">
        <f>SUM(G847:R847)</f>
        <v>0</v>
      </c>
    </row>
    <row r="848" spans="1:20" x14ac:dyDescent="0.3">
      <c r="A848" s="105"/>
      <c r="B848" s="108"/>
      <c r="C848" s="111"/>
      <c r="D848" s="111"/>
      <c r="E848" s="115"/>
      <c r="F848" s="32" t="s">
        <v>34</v>
      </c>
      <c r="G848" s="14"/>
      <c r="H848" s="14"/>
      <c r="I848" s="14"/>
      <c r="J848" s="14"/>
      <c r="K848" s="13"/>
      <c r="L848" s="13"/>
      <c r="M848" s="13"/>
      <c r="N848" s="13"/>
      <c r="O848" s="13"/>
      <c r="P848" s="14"/>
      <c r="Q848" s="14"/>
      <c r="R848" s="30"/>
      <c r="S848" s="16">
        <f>SUMIF($G$4:$R$4,"&gt;=0",G848:R848)</f>
        <v>0</v>
      </c>
      <c r="T848" s="17">
        <f>SUM(G848:R848)</f>
        <v>0</v>
      </c>
    </row>
    <row r="849" spans="1:20" ht="15" thickBot="1" x14ac:dyDescent="0.35">
      <c r="A849" s="117"/>
      <c r="B849" s="109"/>
      <c r="C849" s="112"/>
      <c r="D849" s="113"/>
      <c r="E849" s="116"/>
      <c r="F849" s="21" t="s">
        <v>35</v>
      </c>
      <c r="G849" s="19" t="e">
        <f>(G848-G847)/G848</f>
        <v>#DIV/0!</v>
      </c>
      <c r="H849" s="19" t="e">
        <f t="shared" ref="H849:S849" si="689">(H848-H847)/H848</f>
        <v>#DIV/0!</v>
      </c>
      <c r="I849" s="19" t="e">
        <f t="shared" si="689"/>
        <v>#DIV/0!</v>
      </c>
      <c r="J849" s="19" t="e">
        <f t="shared" si="689"/>
        <v>#DIV/0!</v>
      </c>
      <c r="K849" s="19" t="e">
        <f t="shared" si="689"/>
        <v>#DIV/0!</v>
      </c>
      <c r="L849" s="19" t="e">
        <f t="shared" si="689"/>
        <v>#DIV/0!</v>
      </c>
      <c r="M849" s="19" t="e">
        <f t="shared" si="689"/>
        <v>#DIV/0!</v>
      </c>
      <c r="N849" s="19" t="e">
        <f t="shared" si="689"/>
        <v>#DIV/0!</v>
      </c>
      <c r="O849" s="19" t="e">
        <f t="shared" si="689"/>
        <v>#DIV/0!</v>
      </c>
      <c r="P849" s="19" t="e">
        <f t="shared" si="689"/>
        <v>#DIV/0!</v>
      </c>
      <c r="Q849" s="19" t="e">
        <f t="shared" si="689"/>
        <v>#DIV/0!</v>
      </c>
      <c r="R849" s="25" t="e">
        <f t="shared" si="689"/>
        <v>#DIV/0!</v>
      </c>
      <c r="S849" s="21" t="e">
        <f t="shared" si="689"/>
        <v>#DIV/0!</v>
      </c>
      <c r="T849" s="22" t="e">
        <f t="shared" ref="T849" si="690">T848/T847</f>
        <v>#DIV/0!</v>
      </c>
    </row>
    <row r="850" spans="1:20" x14ac:dyDescent="0.3">
      <c r="A850" s="104">
        <v>78</v>
      </c>
      <c r="B850" s="107"/>
      <c r="C850" s="110"/>
      <c r="D850" s="110"/>
      <c r="E850" s="114"/>
      <c r="F850" s="11" t="s">
        <v>25</v>
      </c>
      <c r="G850" s="23"/>
      <c r="H850" s="23"/>
      <c r="I850" s="23"/>
      <c r="J850" s="23"/>
      <c r="K850" s="9"/>
      <c r="L850" s="9"/>
      <c r="M850" s="9"/>
      <c r="N850" s="9"/>
      <c r="O850" s="9"/>
      <c r="P850" s="23"/>
      <c r="Q850" s="23"/>
      <c r="R850" s="24"/>
      <c r="S850" s="11">
        <f>SUMIF($G$4:$R$4,"&gt;=0",G850:R850)</f>
        <v>0</v>
      </c>
      <c r="T850" s="10">
        <f>SUM(G850:R850)</f>
        <v>0</v>
      </c>
    </row>
    <row r="851" spans="1:20" x14ac:dyDescent="0.3">
      <c r="A851" s="105"/>
      <c r="B851" s="108"/>
      <c r="C851" s="111"/>
      <c r="D851" s="111"/>
      <c r="E851" s="115"/>
      <c r="F851" s="12" t="s">
        <v>26</v>
      </c>
      <c r="G851" s="14"/>
      <c r="H851" s="14"/>
      <c r="I851" s="14"/>
      <c r="J851" s="14"/>
      <c r="K851" s="13"/>
      <c r="L851" s="13"/>
      <c r="M851" s="13"/>
      <c r="N851" s="13"/>
      <c r="O851" s="13"/>
      <c r="P851" s="14"/>
      <c r="Q851" s="14"/>
      <c r="R851" s="30"/>
      <c r="S851" s="16">
        <f>SUMIF($G$4:$R$4,"&gt;=0",G851:R851)</f>
        <v>0</v>
      </c>
      <c r="T851" s="17">
        <f t="shared" ref="T851" si="691">SUM(G851:R851)</f>
        <v>0</v>
      </c>
    </row>
    <row r="852" spans="1:20" ht="15" thickBot="1" x14ac:dyDescent="0.35">
      <c r="A852" s="105"/>
      <c r="B852" s="108"/>
      <c r="C852" s="111"/>
      <c r="D852" s="111"/>
      <c r="E852" s="115"/>
      <c r="F852" s="18" t="s">
        <v>27</v>
      </c>
      <c r="G852" s="19" t="e">
        <f>G851/G850</f>
        <v>#DIV/0!</v>
      </c>
      <c r="H852" s="19" t="e">
        <f t="shared" ref="H852:T852" si="692">H851/H850</f>
        <v>#DIV/0!</v>
      </c>
      <c r="I852" s="19" t="e">
        <f t="shared" si="692"/>
        <v>#DIV/0!</v>
      </c>
      <c r="J852" s="19" t="e">
        <f t="shared" si="692"/>
        <v>#DIV/0!</v>
      </c>
      <c r="K852" s="19" t="e">
        <f t="shared" si="692"/>
        <v>#DIV/0!</v>
      </c>
      <c r="L852" s="19" t="e">
        <f t="shared" si="692"/>
        <v>#DIV/0!</v>
      </c>
      <c r="M852" s="19" t="e">
        <f t="shared" si="692"/>
        <v>#DIV/0!</v>
      </c>
      <c r="N852" s="19" t="e">
        <f t="shared" si="692"/>
        <v>#DIV/0!</v>
      </c>
      <c r="O852" s="19" t="e">
        <f t="shared" si="692"/>
        <v>#DIV/0!</v>
      </c>
      <c r="P852" s="19" t="e">
        <f t="shared" si="692"/>
        <v>#DIV/0!</v>
      </c>
      <c r="Q852" s="19" t="e">
        <f t="shared" si="692"/>
        <v>#DIV/0!</v>
      </c>
      <c r="R852" s="25" t="e">
        <f t="shared" si="692"/>
        <v>#DIV/0!</v>
      </c>
      <c r="S852" s="21" t="e">
        <f t="shared" si="692"/>
        <v>#DIV/0!</v>
      </c>
      <c r="T852" s="22" t="e">
        <f t="shared" si="692"/>
        <v>#DIV/0!</v>
      </c>
    </row>
    <row r="853" spans="1:20" x14ac:dyDescent="0.3">
      <c r="A853" s="105"/>
      <c r="B853" s="108"/>
      <c r="C853" s="111"/>
      <c r="D853" s="111"/>
      <c r="E853" s="115"/>
      <c r="F853" s="11" t="s">
        <v>28</v>
      </c>
      <c r="G853" s="23"/>
      <c r="H853" s="23"/>
      <c r="I853" s="23"/>
      <c r="J853" s="23"/>
      <c r="K853" s="9"/>
      <c r="L853" s="9"/>
      <c r="M853" s="9"/>
      <c r="N853" s="9"/>
      <c r="O853" s="9"/>
      <c r="P853" s="23"/>
      <c r="Q853" s="23"/>
      <c r="R853" s="24"/>
      <c r="S853" s="11">
        <f>SUMIF($G$4:$R$4,"&gt;=0",G853:R853)</f>
        <v>0</v>
      </c>
      <c r="T853" s="10">
        <f>SUM(G853:R853)</f>
        <v>0</v>
      </c>
    </row>
    <row r="854" spans="1:20" ht="15" thickBot="1" x14ac:dyDescent="0.35">
      <c r="A854" s="105"/>
      <c r="B854" s="108"/>
      <c r="C854" s="111"/>
      <c r="D854" s="111"/>
      <c r="E854" s="115"/>
      <c r="F854" s="18" t="s">
        <v>29</v>
      </c>
      <c r="G854" s="19" t="e">
        <f>(G851-G853)/G851</f>
        <v>#DIV/0!</v>
      </c>
      <c r="H854" s="19" t="e">
        <f t="shared" ref="H854:S854" si="693">(H851-H853)/H851</f>
        <v>#DIV/0!</v>
      </c>
      <c r="I854" s="19" t="e">
        <f t="shared" si="693"/>
        <v>#DIV/0!</v>
      </c>
      <c r="J854" s="19" t="e">
        <f t="shared" si="693"/>
        <v>#DIV/0!</v>
      </c>
      <c r="K854" s="19" t="e">
        <f t="shared" si="693"/>
        <v>#DIV/0!</v>
      </c>
      <c r="L854" s="19" t="e">
        <f t="shared" si="693"/>
        <v>#DIV/0!</v>
      </c>
      <c r="M854" s="19" t="e">
        <f t="shared" si="693"/>
        <v>#DIV/0!</v>
      </c>
      <c r="N854" s="19" t="e">
        <f t="shared" si="693"/>
        <v>#DIV/0!</v>
      </c>
      <c r="O854" s="19" t="e">
        <f t="shared" si="693"/>
        <v>#DIV/0!</v>
      </c>
      <c r="P854" s="19" t="e">
        <f t="shared" si="693"/>
        <v>#DIV/0!</v>
      </c>
      <c r="Q854" s="19" t="e">
        <f t="shared" si="693"/>
        <v>#DIV/0!</v>
      </c>
      <c r="R854" s="25" t="e">
        <f t="shared" si="693"/>
        <v>#DIV/0!</v>
      </c>
      <c r="S854" s="21" t="e">
        <f t="shared" si="693"/>
        <v>#DIV/0!</v>
      </c>
      <c r="T854" s="22" t="e">
        <f t="shared" ref="T854" si="694">T851/T853</f>
        <v>#DIV/0!</v>
      </c>
    </row>
    <row r="855" spans="1:20" x14ac:dyDescent="0.3">
      <c r="A855" s="105"/>
      <c r="B855" s="108"/>
      <c r="C855" s="111"/>
      <c r="D855" s="111"/>
      <c r="E855" s="115"/>
      <c r="F855" s="26" t="s">
        <v>30</v>
      </c>
      <c r="G855" s="23"/>
      <c r="H855" s="23"/>
      <c r="I855" s="23"/>
      <c r="J855" s="23"/>
      <c r="K855" s="9"/>
      <c r="L855" s="9"/>
      <c r="M855" s="9"/>
      <c r="N855" s="9"/>
      <c r="O855" s="9"/>
      <c r="P855" s="23"/>
      <c r="Q855" s="23"/>
      <c r="R855" s="24"/>
      <c r="S855" s="11">
        <f>SUMIF($G$4:$R$4,"&gt;=0",G855:R855)</f>
        <v>0</v>
      </c>
      <c r="T855" s="10">
        <f>SUM(G855:R855)</f>
        <v>0</v>
      </c>
    </row>
    <row r="856" spans="1:20" x14ac:dyDescent="0.3">
      <c r="A856" s="105"/>
      <c r="B856" s="108"/>
      <c r="C856" s="111"/>
      <c r="D856" s="111"/>
      <c r="E856" s="115"/>
      <c r="F856" s="29" t="s">
        <v>31</v>
      </c>
      <c r="G856" s="14"/>
      <c r="H856" s="14"/>
      <c r="I856" s="14"/>
      <c r="J856" s="14"/>
      <c r="K856" s="13"/>
      <c r="L856" s="13"/>
      <c r="M856" s="13"/>
      <c r="N856" s="13"/>
      <c r="O856" s="13"/>
      <c r="P856" s="14"/>
      <c r="Q856" s="14"/>
      <c r="R856" s="30"/>
      <c r="S856" s="16">
        <f>SUMIF($G$4:$R$4,"&gt;=0",G856:R856)</f>
        <v>0</v>
      </c>
      <c r="T856" s="17">
        <f t="shared" ref="T856" si="695">SUM(G856:R856)</f>
        <v>0</v>
      </c>
    </row>
    <row r="857" spans="1:20" ht="15" thickBot="1" x14ac:dyDescent="0.35">
      <c r="A857" s="105"/>
      <c r="B857" s="108"/>
      <c r="C857" s="111"/>
      <c r="D857" s="111"/>
      <c r="E857" s="115"/>
      <c r="F857" s="18" t="s">
        <v>32</v>
      </c>
      <c r="G857" s="19" t="e">
        <f>(G855-G856)/G855</f>
        <v>#DIV/0!</v>
      </c>
      <c r="H857" s="19" t="e">
        <f t="shared" ref="H857:S857" si="696">(H855-H856)/H855</f>
        <v>#DIV/0!</v>
      </c>
      <c r="I857" s="19" t="e">
        <f t="shared" si="696"/>
        <v>#DIV/0!</v>
      </c>
      <c r="J857" s="19" t="e">
        <f t="shared" si="696"/>
        <v>#DIV/0!</v>
      </c>
      <c r="K857" s="19" t="e">
        <f t="shared" si="696"/>
        <v>#DIV/0!</v>
      </c>
      <c r="L857" s="19" t="e">
        <f t="shared" si="696"/>
        <v>#DIV/0!</v>
      </c>
      <c r="M857" s="19" t="e">
        <f t="shared" si="696"/>
        <v>#DIV/0!</v>
      </c>
      <c r="N857" s="19" t="e">
        <f t="shared" si="696"/>
        <v>#DIV/0!</v>
      </c>
      <c r="O857" s="19" t="e">
        <f t="shared" si="696"/>
        <v>#DIV/0!</v>
      </c>
      <c r="P857" s="19" t="e">
        <f t="shared" si="696"/>
        <v>#DIV/0!</v>
      </c>
      <c r="Q857" s="19" t="e">
        <f t="shared" si="696"/>
        <v>#DIV/0!</v>
      </c>
      <c r="R857" s="25" t="e">
        <f t="shared" si="696"/>
        <v>#DIV/0!</v>
      </c>
      <c r="S857" s="21" t="e">
        <f t="shared" si="696"/>
        <v>#DIV/0!</v>
      </c>
      <c r="T857" s="22" t="e">
        <f t="shared" ref="T857" si="697">T855/T856</f>
        <v>#DIV/0!</v>
      </c>
    </row>
    <row r="858" spans="1:20" x14ac:dyDescent="0.3">
      <c r="A858" s="105"/>
      <c r="B858" s="108"/>
      <c r="C858" s="111"/>
      <c r="D858" s="111"/>
      <c r="E858" s="115"/>
      <c r="F858" s="31" t="s">
        <v>33</v>
      </c>
      <c r="G858" s="23"/>
      <c r="H858" s="23"/>
      <c r="I858" s="23"/>
      <c r="J858" s="23"/>
      <c r="K858" s="9"/>
      <c r="L858" s="9"/>
      <c r="M858" s="9"/>
      <c r="N858" s="9"/>
      <c r="O858" s="9"/>
      <c r="P858" s="23"/>
      <c r="Q858" s="23"/>
      <c r="R858" s="24"/>
      <c r="S858" s="11">
        <f>SUMIF($G$4:$R$4,"&gt;=0",G858:R858)</f>
        <v>0</v>
      </c>
      <c r="T858" s="10">
        <f>SUM(G858:R858)</f>
        <v>0</v>
      </c>
    </row>
    <row r="859" spans="1:20" x14ac:dyDescent="0.3">
      <c r="A859" s="105"/>
      <c r="B859" s="108"/>
      <c r="C859" s="111"/>
      <c r="D859" s="111"/>
      <c r="E859" s="115"/>
      <c r="F859" s="32" t="s">
        <v>34</v>
      </c>
      <c r="G859" s="14"/>
      <c r="H859" s="14"/>
      <c r="I859" s="14"/>
      <c r="J859" s="14"/>
      <c r="K859" s="13"/>
      <c r="L859" s="13"/>
      <c r="M859" s="13"/>
      <c r="N859" s="13"/>
      <c r="O859" s="13"/>
      <c r="P859" s="14"/>
      <c r="Q859" s="14"/>
      <c r="R859" s="30"/>
      <c r="S859" s="16">
        <f>SUMIF($G$4:$R$4,"&gt;=0",G859:R859)</f>
        <v>0</v>
      </c>
      <c r="T859" s="17">
        <f>SUM(G859:R859)</f>
        <v>0</v>
      </c>
    </row>
    <row r="860" spans="1:20" ht="15" thickBot="1" x14ac:dyDescent="0.35">
      <c r="A860" s="106"/>
      <c r="B860" s="109"/>
      <c r="C860" s="112"/>
      <c r="D860" s="113"/>
      <c r="E860" s="116"/>
      <c r="F860" s="21" t="s">
        <v>35</v>
      </c>
      <c r="G860" s="19" t="e">
        <f>(G859-G858)/G859</f>
        <v>#DIV/0!</v>
      </c>
      <c r="H860" s="19" t="e">
        <f t="shared" ref="H860:S860" si="698">(H859-H858)/H859</f>
        <v>#DIV/0!</v>
      </c>
      <c r="I860" s="19" t="e">
        <f t="shared" si="698"/>
        <v>#DIV/0!</v>
      </c>
      <c r="J860" s="19" t="e">
        <f t="shared" si="698"/>
        <v>#DIV/0!</v>
      </c>
      <c r="K860" s="19" t="e">
        <f t="shared" si="698"/>
        <v>#DIV/0!</v>
      </c>
      <c r="L860" s="19" t="e">
        <f t="shared" si="698"/>
        <v>#DIV/0!</v>
      </c>
      <c r="M860" s="19" t="e">
        <f t="shared" si="698"/>
        <v>#DIV/0!</v>
      </c>
      <c r="N860" s="19" t="e">
        <f t="shared" si="698"/>
        <v>#DIV/0!</v>
      </c>
      <c r="O860" s="19" t="e">
        <f t="shared" si="698"/>
        <v>#DIV/0!</v>
      </c>
      <c r="P860" s="19" t="e">
        <f t="shared" si="698"/>
        <v>#DIV/0!</v>
      </c>
      <c r="Q860" s="19" t="e">
        <f t="shared" si="698"/>
        <v>#DIV/0!</v>
      </c>
      <c r="R860" s="25" t="e">
        <f t="shared" si="698"/>
        <v>#DIV/0!</v>
      </c>
      <c r="S860" s="21" t="e">
        <f t="shared" si="698"/>
        <v>#DIV/0!</v>
      </c>
      <c r="T860" s="22" t="e">
        <f t="shared" ref="T860" si="699">T859/T858</f>
        <v>#DIV/0!</v>
      </c>
    </row>
    <row r="861" spans="1:20" x14ac:dyDescent="0.3">
      <c r="A861" s="104">
        <v>79</v>
      </c>
      <c r="B861" s="107"/>
      <c r="C861" s="110"/>
      <c r="D861" s="110"/>
      <c r="E861" s="114"/>
      <c r="F861" s="11" t="s">
        <v>25</v>
      </c>
      <c r="G861" s="23"/>
      <c r="H861" s="23"/>
      <c r="I861" s="23"/>
      <c r="J861" s="23"/>
      <c r="K861" s="9"/>
      <c r="L861" s="9"/>
      <c r="M861" s="9"/>
      <c r="N861" s="9"/>
      <c r="O861" s="9"/>
      <c r="P861" s="23"/>
      <c r="Q861" s="23"/>
      <c r="R861" s="24"/>
      <c r="S861" s="11">
        <f>SUMIF($G$4:$R$4,"&gt;=0",G861:R861)</f>
        <v>0</v>
      </c>
      <c r="T861" s="10">
        <f>SUM(G861:R861)</f>
        <v>0</v>
      </c>
    </row>
    <row r="862" spans="1:20" x14ac:dyDescent="0.3">
      <c r="A862" s="105"/>
      <c r="B862" s="108"/>
      <c r="C862" s="111"/>
      <c r="D862" s="111"/>
      <c r="E862" s="115"/>
      <c r="F862" s="12" t="s">
        <v>26</v>
      </c>
      <c r="G862" s="14"/>
      <c r="H862" s="14"/>
      <c r="I862" s="14"/>
      <c r="J862" s="14"/>
      <c r="K862" s="13"/>
      <c r="L862" s="13"/>
      <c r="M862" s="13"/>
      <c r="N862" s="13"/>
      <c r="O862" s="13"/>
      <c r="P862" s="14"/>
      <c r="Q862" s="14"/>
      <c r="R862" s="30"/>
      <c r="S862" s="16">
        <f>SUMIF($G$4:$R$4,"&gt;=0",G862:R862)</f>
        <v>0</v>
      </c>
      <c r="T862" s="17">
        <f t="shared" ref="T862" si="700">SUM(G862:R862)</f>
        <v>0</v>
      </c>
    </row>
    <row r="863" spans="1:20" ht="15" thickBot="1" x14ac:dyDescent="0.35">
      <c r="A863" s="105"/>
      <c r="B863" s="108"/>
      <c r="C863" s="111"/>
      <c r="D863" s="111"/>
      <c r="E863" s="115"/>
      <c r="F863" s="18" t="s">
        <v>27</v>
      </c>
      <c r="G863" s="19" t="e">
        <f>G862/G861</f>
        <v>#DIV/0!</v>
      </c>
      <c r="H863" s="19" t="e">
        <f t="shared" ref="H863:T863" si="701">H862/H861</f>
        <v>#DIV/0!</v>
      </c>
      <c r="I863" s="19" t="e">
        <f t="shared" si="701"/>
        <v>#DIV/0!</v>
      </c>
      <c r="J863" s="19" t="e">
        <f t="shared" si="701"/>
        <v>#DIV/0!</v>
      </c>
      <c r="K863" s="19" t="e">
        <f t="shared" si="701"/>
        <v>#DIV/0!</v>
      </c>
      <c r="L863" s="19" t="e">
        <f t="shared" si="701"/>
        <v>#DIV/0!</v>
      </c>
      <c r="M863" s="19" t="e">
        <f t="shared" si="701"/>
        <v>#DIV/0!</v>
      </c>
      <c r="N863" s="19" t="e">
        <f t="shared" si="701"/>
        <v>#DIV/0!</v>
      </c>
      <c r="O863" s="19" t="e">
        <f t="shared" si="701"/>
        <v>#DIV/0!</v>
      </c>
      <c r="P863" s="19" t="e">
        <f t="shared" si="701"/>
        <v>#DIV/0!</v>
      </c>
      <c r="Q863" s="19" t="e">
        <f t="shared" si="701"/>
        <v>#DIV/0!</v>
      </c>
      <c r="R863" s="25" t="e">
        <f t="shared" si="701"/>
        <v>#DIV/0!</v>
      </c>
      <c r="S863" s="21" t="e">
        <f t="shared" si="701"/>
        <v>#DIV/0!</v>
      </c>
      <c r="T863" s="22" t="e">
        <f t="shared" si="701"/>
        <v>#DIV/0!</v>
      </c>
    </row>
    <row r="864" spans="1:20" x14ac:dyDescent="0.3">
      <c r="A864" s="105"/>
      <c r="B864" s="108"/>
      <c r="C864" s="111"/>
      <c r="D864" s="111"/>
      <c r="E864" s="115"/>
      <c r="F864" s="11" t="s">
        <v>28</v>
      </c>
      <c r="G864" s="23"/>
      <c r="H864" s="23"/>
      <c r="I864" s="23"/>
      <c r="J864" s="23"/>
      <c r="K864" s="9"/>
      <c r="L864" s="9"/>
      <c r="M864" s="9"/>
      <c r="N864" s="9"/>
      <c r="O864" s="9"/>
      <c r="P864" s="23"/>
      <c r="Q864" s="23"/>
      <c r="R864" s="24"/>
      <c r="S864" s="11">
        <f>SUMIF($G$4:$R$4,"&gt;=0",G864:R864)</f>
        <v>0</v>
      </c>
      <c r="T864" s="10">
        <f>SUM(G864:R864)</f>
        <v>0</v>
      </c>
    </row>
    <row r="865" spans="1:20" ht="15" thickBot="1" x14ac:dyDescent="0.35">
      <c r="A865" s="105"/>
      <c r="B865" s="108"/>
      <c r="C865" s="111"/>
      <c r="D865" s="111"/>
      <c r="E865" s="115"/>
      <c r="F865" s="18" t="s">
        <v>29</v>
      </c>
      <c r="G865" s="19" t="e">
        <f>(G862-G864)/G862</f>
        <v>#DIV/0!</v>
      </c>
      <c r="H865" s="19" t="e">
        <f t="shared" ref="H865:S865" si="702">(H862-H864)/H862</f>
        <v>#DIV/0!</v>
      </c>
      <c r="I865" s="19" t="e">
        <f t="shared" si="702"/>
        <v>#DIV/0!</v>
      </c>
      <c r="J865" s="19" t="e">
        <f t="shared" si="702"/>
        <v>#DIV/0!</v>
      </c>
      <c r="K865" s="19" t="e">
        <f t="shared" si="702"/>
        <v>#DIV/0!</v>
      </c>
      <c r="L865" s="19" t="e">
        <f t="shared" si="702"/>
        <v>#DIV/0!</v>
      </c>
      <c r="M865" s="19" t="e">
        <f t="shared" si="702"/>
        <v>#DIV/0!</v>
      </c>
      <c r="N865" s="19" t="e">
        <f t="shared" si="702"/>
        <v>#DIV/0!</v>
      </c>
      <c r="O865" s="19" t="e">
        <f t="shared" si="702"/>
        <v>#DIV/0!</v>
      </c>
      <c r="P865" s="19" t="e">
        <f t="shared" si="702"/>
        <v>#DIV/0!</v>
      </c>
      <c r="Q865" s="19" t="e">
        <f t="shared" si="702"/>
        <v>#DIV/0!</v>
      </c>
      <c r="R865" s="25" t="e">
        <f t="shared" si="702"/>
        <v>#DIV/0!</v>
      </c>
      <c r="S865" s="21" t="e">
        <f t="shared" si="702"/>
        <v>#DIV/0!</v>
      </c>
      <c r="T865" s="22" t="e">
        <f t="shared" ref="T865" si="703">T862/T864</f>
        <v>#DIV/0!</v>
      </c>
    </row>
    <row r="866" spans="1:20" x14ac:dyDescent="0.3">
      <c r="A866" s="105"/>
      <c r="B866" s="108"/>
      <c r="C866" s="111"/>
      <c r="D866" s="111"/>
      <c r="E866" s="115"/>
      <c r="F866" s="26" t="s">
        <v>30</v>
      </c>
      <c r="G866" s="23"/>
      <c r="H866" s="23"/>
      <c r="I866" s="23"/>
      <c r="J866" s="23"/>
      <c r="K866" s="9"/>
      <c r="L866" s="9"/>
      <c r="M866" s="9"/>
      <c r="N866" s="9"/>
      <c r="O866" s="9"/>
      <c r="P866" s="23"/>
      <c r="Q866" s="23"/>
      <c r="R866" s="24"/>
      <c r="S866" s="11">
        <f>SUMIF($G$4:$R$4,"&gt;=0",G866:R866)</f>
        <v>0</v>
      </c>
      <c r="T866" s="10">
        <f>SUM(G866:R866)</f>
        <v>0</v>
      </c>
    </row>
    <row r="867" spans="1:20" x14ac:dyDescent="0.3">
      <c r="A867" s="105"/>
      <c r="B867" s="108"/>
      <c r="C867" s="111"/>
      <c r="D867" s="111"/>
      <c r="E867" s="115"/>
      <c r="F867" s="29" t="s">
        <v>31</v>
      </c>
      <c r="G867" s="14"/>
      <c r="H867" s="14"/>
      <c r="I867" s="14"/>
      <c r="J867" s="14"/>
      <c r="K867" s="13"/>
      <c r="L867" s="13"/>
      <c r="M867" s="13"/>
      <c r="N867" s="13"/>
      <c r="O867" s="13"/>
      <c r="P867" s="14"/>
      <c r="Q867" s="14"/>
      <c r="R867" s="30"/>
      <c r="S867" s="16">
        <f>SUMIF($G$4:$R$4,"&gt;=0",G867:R867)</f>
        <v>0</v>
      </c>
      <c r="T867" s="17">
        <f t="shared" ref="T867" si="704">SUM(G867:R867)</f>
        <v>0</v>
      </c>
    </row>
    <row r="868" spans="1:20" ht="15" thickBot="1" x14ac:dyDescent="0.35">
      <c r="A868" s="105"/>
      <c r="B868" s="108"/>
      <c r="C868" s="111"/>
      <c r="D868" s="111"/>
      <c r="E868" s="115"/>
      <c r="F868" s="18" t="s">
        <v>32</v>
      </c>
      <c r="G868" s="19" t="e">
        <f>(G866-G867)/G866</f>
        <v>#DIV/0!</v>
      </c>
      <c r="H868" s="19" t="e">
        <f t="shared" ref="H868:S868" si="705">(H866-H867)/H866</f>
        <v>#DIV/0!</v>
      </c>
      <c r="I868" s="19" t="e">
        <f t="shared" si="705"/>
        <v>#DIV/0!</v>
      </c>
      <c r="J868" s="19" t="e">
        <f t="shared" si="705"/>
        <v>#DIV/0!</v>
      </c>
      <c r="K868" s="19" t="e">
        <f t="shared" si="705"/>
        <v>#DIV/0!</v>
      </c>
      <c r="L868" s="19" t="e">
        <f t="shared" si="705"/>
        <v>#DIV/0!</v>
      </c>
      <c r="M868" s="19" t="e">
        <f t="shared" si="705"/>
        <v>#DIV/0!</v>
      </c>
      <c r="N868" s="19" t="e">
        <f t="shared" si="705"/>
        <v>#DIV/0!</v>
      </c>
      <c r="O868" s="19" t="e">
        <f t="shared" si="705"/>
        <v>#DIV/0!</v>
      </c>
      <c r="P868" s="19" t="e">
        <f t="shared" si="705"/>
        <v>#DIV/0!</v>
      </c>
      <c r="Q868" s="19" t="e">
        <f t="shared" si="705"/>
        <v>#DIV/0!</v>
      </c>
      <c r="R868" s="25" t="e">
        <f t="shared" si="705"/>
        <v>#DIV/0!</v>
      </c>
      <c r="S868" s="21" t="e">
        <f t="shared" si="705"/>
        <v>#DIV/0!</v>
      </c>
      <c r="T868" s="22" t="e">
        <f t="shared" ref="T868" si="706">T866/T867</f>
        <v>#DIV/0!</v>
      </c>
    </row>
    <row r="869" spans="1:20" x14ac:dyDescent="0.3">
      <c r="A869" s="105"/>
      <c r="B869" s="108"/>
      <c r="C869" s="111"/>
      <c r="D869" s="111"/>
      <c r="E869" s="115"/>
      <c r="F869" s="31" t="s">
        <v>33</v>
      </c>
      <c r="G869" s="23"/>
      <c r="H869" s="23"/>
      <c r="I869" s="23"/>
      <c r="J869" s="23"/>
      <c r="K869" s="9"/>
      <c r="L869" s="9"/>
      <c r="M869" s="9"/>
      <c r="N869" s="9"/>
      <c r="O869" s="9"/>
      <c r="P869" s="23"/>
      <c r="Q869" s="23"/>
      <c r="R869" s="24"/>
      <c r="S869" s="11">
        <f>SUMIF($G$4:$R$4,"&gt;=0",G869:R869)</f>
        <v>0</v>
      </c>
      <c r="T869" s="10">
        <f>SUM(G869:R869)</f>
        <v>0</v>
      </c>
    </row>
    <row r="870" spans="1:20" x14ac:dyDescent="0.3">
      <c r="A870" s="105"/>
      <c r="B870" s="108"/>
      <c r="C870" s="111"/>
      <c r="D870" s="111"/>
      <c r="E870" s="115"/>
      <c r="F870" s="32" t="s">
        <v>34</v>
      </c>
      <c r="G870" s="14"/>
      <c r="H870" s="14"/>
      <c r="I870" s="14"/>
      <c r="J870" s="14"/>
      <c r="K870" s="13"/>
      <c r="L870" s="13"/>
      <c r="M870" s="13"/>
      <c r="N870" s="13"/>
      <c r="O870" s="13"/>
      <c r="P870" s="14"/>
      <c r="Q870" s="14"/>
      <c r="R870" s="30"/>
      <c r="S870" s="16">
        <f>SUMIF($G$4:$R$4,"&gt;=0",G870:R870)</f>
        <v>0</v>
      </c>
      <c r="T870" s="17">
        <f>SUM(G870:R870)</f>
        <v>0</v>
      </c>
    </row>
    <row r="871" spans="1:20" ht="15" thickBot="1" x14ac:dyDescent="0.35">
      <c r="A871" s="117"/>
      <c r="B871" s="109"/>
      <c r="C871" s="112"/>
      <c r="D871" s="113"/>
      <c r="E871" s="116"/>
      <c r="F871" s="21" t="s">
        <v>35</v>
      </c>
      <c r="G871" s="19" t="e">
        <f>(G870-G869)/G870</f>
        <v>#DIV/0!</v>
      </c>
      <c r="H871" s="19" t="e">
        <f t="shared" ref="H871:S871" si="707">(H870-H869)/H870</f>
        <v>#DIV/0!</v>
      </c>
      <c r="I871" s="19" t="e">
        <f t="shared" si="707"/>
        <v>#DIV/0!</v>
      </c>
      <c r="J871" s="19" t="e">
        <f t="shared" si="707"/>
        <v>#DIV/0!</v>
      </c>
      <c r="K871" s="19" t="e">
        <f t="shared" si="707"/>
        <v>#DIV/0!</v>
      </c>
      <c r="L871" s="19" t="e">
        <f t="shared" si="707"/>
        <v>#DIV/0!</v>
      </c>
      <c r="M871" s="19" t="e">
        <f t="shared" si="707"/>
        <v>#DIV/0!</v>
      </c>
      <c r="N871" s="19" t="e">
        <f t="shared" si="707"/>
        <v>#DIV/0!</v>
      </c>
      <c r="O871" s="19" t="e">
        <f t="shared" si="707"/>
        <v>#DIV/0!</v>
      </c>
      <c r="P871" s="19" t="e">
        <f t="shared" si="707"/>
        <v>#DIV/0!</v>
      </c>
      <c r="Q871" s="19" t="e">
        <f t="shared" si="707"/>
        <v>#DIV/0!</v>
      </c>
      <c r="R871" s="25" t="e">
        <f t="shared" si="707"/>
        <v>#DIV/0!</v>
      </c>
      <c r="S871" s="21" t="e">
        <f t="shared" si="707"/>
        <v>#DIV/0!</v>
      </c>
      <c r="T871" s="22" t="e">
        <f t="shared" ref="T871" si="708">T870/T869</f>
        <v>#DIV/0!</v>
      </c>
    </row>
    <row r="872" spans="1:20" x14ac:dyDescent="0.3">
      <c r="A872" s="104">
        <v>80</v>
      </c>
      <c r="B872" s="107"/>
      <c r="C872" s="110"/>
      <c r="D872" s="110"/>
      <c r="E872" s="114"/>
      <c r="F872" s="11" t="s">
        <v>25</v>
      </c>
      <c r="G872" s="23"/>
      <c r="H872" s="23"/>
      <c r="I872" s="23"/>
      <c r="J872" s="23"/>
      <c r="K872" s="9"/>
      <c r="L872" s="9"/>
      <c r="M872" s="9"/>
      <c r="N872" s="9"/>
      <c r="O872" s="9"/>
      <c r="P872" s="23"/>
      <c r="Q872" s="23"/>
      <c r="R872" s="24"/>
      <c r="S872" s="11">
        <f>SUMIF($G$4:$R$4,"&gt;=0",G872:R872)</f>
        <v>0</v>
      </c>
      <c r="T872" s="10">
        <f>SUM(G872:R872)</f>
        <v>0</v>
      </c>
    </row>
    <row r="873" spans="1:20" x14ac:dyDescent="0.3">
      <c r="A873" s="105"/>
      <c r="B873" s="108"/>
      <c r="C873" s="111"/>
      <c r="D873" s="111"/>
      <c r="E873" s="115"/>
      <c r="F873" s="12" t="s">
        <v>26</v>
      </c>
      <c r="G873" s="14"/>
      <c r="H873" s="14"/>
      <c r="I873" s="14"/>
      <c r="J873" s="14"/>
      <c r="K873" s="13"/>
      <c r="L873" s="13"/>
      <c r="M873" s="13"/>
      <c r="N873" s="13"/>
      <c r="O873" s="13"/>
      <c r="P873" s="14"/>
      <c r="Q873" s="14"/>
      <c r="R873" s="30"/>
      <c r="S873" s="16">
        <f>SUMIF($G$4:$R$4,"&gt;=0",G873:R873)</f>
        <v>0</v>
      </c>
      <c r="T873" s="17">
        <f t="shared" ref="T873" si="709">SUM(G873:R873)</f>
        <v>0</v>
      </c>
    </row>
    <row r="874" spans="1:20" ht="15" thickBot="1" x14ac:dyDescent="0.35">
      <c r="A874" s="105"/>
      <c r="B874" s="108"/>
      <c r="C874" s="111"/>
      <c r="D874" s="111"/>
      <c r="E874" s="115"/>
      <c r="F874" s="18" t="s">
        <v>27</v>
      </c>
      <c r="G874" s="19" t="e">
        <f>G873/G872</f>
        <v>#DIV/0!</v>
      </c>
      <c r="H874" s="19" t="e">
        <f t="shared" ref="H874:T874" si="710">H873/H872</f>
        <v>#DIV/0!</v>
      </c>
      <c r="I874" s="19" t="e">
        <f t="shared" si="710"/>
        <v>#DIV/0!</v>
      </c>
      <c r="J874" s="19" t="e">
        <f t="shared" si="710"/>
        <v>#DIV/0!</v>
      </c>
      <c r="K874" s="19" t="e">
        <f t="shared" si="710"/>
        <v>#DIV/0!</v>
      </c>
      <c r="L874" s="19" t="e">
        <f t="shared" si="710"/>
        <v>#DIV/0!</v>
      </c>
      <c r="M874" s="19" t="e">
        <f t="shared" si="710"/>
        <v>#DIV/0!</v>
      </c>
      <c r="N874" s="19" t="e">
        <f t="shared" si="710"/>
        <v>#DIV/0!</v>
      </c>
      <c r="O874" s="19" t="e">
        <f t="shared" si="710"/>
        <v>#DIV/0!</v>
      </c>
      <c r="P874" s="19" t="e">
        <f t="shared" si="710"/>
        <v>#DIV/0!</v>
      </c>
      <c r="Q874" s="19" t="e">
        <f t="shared" si="710"/>
        <v>#DIV/0!</v>
      </c>
      <c r="R874" s="25" t="e">
        <f t="shared" si="710"/>
        <v>#DIV/0!</v>
      </c>
      <c r="S874" s="21" t="e">
        <f t="shared" si="710"/>
        <v>#DIV/0!</v>
      </c>
      <c r="T874" s="22" t="e">
        <f t="shared" si="710"/>
        <v>#DIV/0!</v>
      </c>
    </row>
    <row r="875" spans="1:20" x14ac:dyDescent="0.3">
      <c r="A875" s="105"/>
      <c r="B875" s="108"/>
      <c r="C875" s="111"/>
      <c r="D875" s="111"/>
      <c r="E875" s="115"/>
      <c r="F875" s="11" t="s">
        <v>28</v>
      </c>
      <c r="G875" s="23"/>
      <c r="H875" s="23"/>
      <c r="I875" s="23"/>
      <c r="J875" s="23"/>
      <c r="K875" s="9"/>
      <c r="L875" s="9"/>
      <c r="M875" s="9"/>
      <c r="N875" s="9"/>
      <c r="O875" s="9"/>
      <c r="P875" s="23"/>
      <c r="Q875" s="23"/>
      <c r="R875" s="24"/>
      <c r="S875" s="11">
        <f>SUMIF($G$4:$R$4,"&gt;=0",G875:R875)</f>
        <v>0</v>
      </c>
      <c r="T875" s="10">
        <f>SUM(G875:R875)</f>
        <v>0</v>
      </c>
    </row>
    <row r="876" spans="1:20" ht="15" thickBot="1" x14ac:dyDescent="0.35">
      <c r="A876" s="105"/>
      <c r="B876" s="108"/>
      <c r="C876" s="111"/>
      <c r="D876" s="111"/>
      <c r="E876" s="115"/>
      <c r="F876" s="18" t="s">
        <v>29</v>
      </c>
      <c r="G876" s="19" t="e">
        <f>(G873-G875)/G873</f>
        <v>#DIV/0!</v>
      </c>
      <c r="H876" s="19" t="e">
        <f t="shared" ref="H876:S876" si="711">(H873-H875)/H873</f>
        <v>#DIV/0!</v>
      </c>
      <c r="I876" s="19" t="e">
        <f t="shared" si="711"/>
        <v>#DIV/0!</v>
      </c>
      <c r="J876" s="19" t="e">
        <f t="shared" si="711"/>
        <v>#DIV/0!</v>
      </c>
      <c r="K876" s="19" t="e">
        <f t="shared" si="711"/>
        <v>#DIV/0!</v>
      </c>
      <c r="L876" s="19" t="e">
        <f t="shared" si="711"/>
        <v>#DIV/0!</v>
      </c>
      <c r="M876" s="19" t="e">
        <f t="shared" si="711"/>
        <v>#DIV/0!</v>
      </c>
      <c r="N876" s="19" t="e">
        <f t="shared" si="711"/>
        <v>#DIV/0!</v>
      </c>
      <c r="O876" s="19" t="e">
        <f t="shared" si="711"/>
        <v>#DIV/0!</v>
      </c>
      <c r="P876" s="19" t="e">
        <f t="shared" si="711"/>
        <v>#DIV/0!</v>
      </c>
      <c r="Q876" s="19" t="e">
        <f t="shared" si="711"/>
        <v>#DIV/0!</v>
      </c>
      <c r="R876" s="25" t="e">
        <f t="shared" si="711"/>
        <v>#DIV/0!</v>
      </c>
      <c r="S876" s="21" t="e">
        <f t="shared" si="711"/>
        <v>#DIV/0!</v>
      </c>
      <c r="T876" s="22" t="e">
        <f t="shared" ref="T876" si="712">T873/T875</f>
        <v>#DIV/0!</v>
      </c>
    </row>
    <row r="877" spans="1:20" x14ac:dyDescent="0.3">
      <c r="A877" s="105"/>
      <c r="B877" s="108"/>
      <c r="C877" s="111"/>
      <c r="D877" s="111"/>
      <c r="E877" s="115"/>
      <c r="F877" s="26" t="s">
        <v>30</v>
      </c>
      <c r="G877" s="23"/>
      <c r="H877" s="23"/>
      <c r="I877" s="23"/>
      <c r="J877" s="23"/>
      <c r="K877" s="9"/>
      <c r="L877" s="9"/>
      <c r="M877" s="9"/>
      <c r="N877" s="9"/>
      <c r="O877" s="9"/>
      <c r="P877" s="23"/>
      <c r="Q877" s="23"/>
      <c r="R877" s="24"/>
      <c r="S877" s="11">
        <f>SUMIF($G$4:$R$4,"&gt;=0",G877:R877)</f>
        <v>0</v>
      </c>
      <c r="T877" s="10">
        <f>SUM(G877:R877)</f>
        <v>0</v>
      </c>
    </row>
    <row r="878" spans="1:20" x14ac:dyDescent="0.3">
      <c r="A878" s="105"/>
      <c r="B878" s="108"/>
      <c r="C878" s="111"/>
      <c r="D878" s="111"/>
      <c r="E878" s="115"/>
      <c r="F878" s="29" t="s">
        <v>31</v>
      </c>
      <c r="G878" s="14"/>
      <c r="H878" s="14"/>
      <c r="I878" s="14"/>
      <c r="J878" s="14"/>
      <c r="K878" s="13"/>
      <c r="L878" s="13"/>
      <c r="M878" s="13"/>
      <c r="N878" s="13"/>
      <c r="O878" s="13"/>
      <c r="P878" s="14"/>
      <c r="Q878" s="14"/>
      <c r="R878" s="30"/>
      <c r="S878" s="16">
        <f>SUMIF($G$4:$R$4,"&gt;=0",G878:R878)</f>
        <v>0</v>
      </c>
      <c r="T878" s="17">
        <f t="shared" ref="T878" si="713">SUM(G878:R878)</f>
        <v>0</v>
      </c>
    </row>
    <row r="879" spans="1:20" ht="15" thickBot="1" x14ac:dyDescent="0.35">
      <c r="A879" s="105"/>
      <c r="B879" s="108"/>
      <c r="C879" s="111"/>
      <c r="D879" s="111"/>
      <c r="E879" s="115"/>
      <c r="F879" s="18" t="s">
        <v>32</v>
      </c>
      <c r="G879" s="19" t="e">
        <f>(G877-G878)/G877</f>
        <v>#DIV/0!</v>
      </c>
      <c r="H879" s="19" t="e">
        <f t="shared" ref="H879:S879" si="714">(H877-H878)/H877</f>
        <v>#DIV/0!</v>
      </c>
      <c r="I879" s="19" t="e">
        <f t="shared" si="714"/>
        <v>#DIV/0!</v>
      </c>
      <c r="J879" s="19" t="e">
        <f t="shared" si="714"/>
        <v>#DIV/0!</v>
      </c>
      <c r="K879" s="19" t="e">
        <f t="shared" si="714"/>
        <v>#DIV/0!</v>
      </c>
      <c r="L879" s="19" t="e">
        <f t="shared" si="714"/>
        <v>#DIV/0!</v>
      </c>
      <c r="M879" s="19" t="e">
        <f t="shared" si="714"/>
        <v>#DIV/0!</v>
      </c>
      <c r="N879" s="19" t="e">
        <f t="shared" si="714"/>
        <v>#DIV/0!</v>
      </c>
      <c r="O879" s="19" t="e">
        <f t="shared" si="714"/>
        <v>#DIV/0!</v>
      </c>
      <c r="P879" s="19" t="e">
        <f t="shared" si="714"/>
        <v>#DIV/0!</v>
      </c>
      <c r="Q879" s="19" t="e">
        <f t="shared" si="714"/>
        <v>#DIV/0!</v>
      </c>
      <c r="R879" s="25" t="e">
        <f t="shared" si="714"/>
        <v>#DIV/0!</v>
      </c>
      <c r="S879" s="21" t="e">
        <f t="shared" si="714"/>
        <v>#DIV/0!</v>
      </c>
      <c r="T879" s="22" t="e">
        <f t="shared" ref="T879" si="715">T877/T878</f>
        <v>#DIV/0!</v>
      </c>
    </row>
    <row r="880" spans="1:20" x14ac:dyDescent="0.3">
      <c r="A880" s="105"/>
      <c r="B880" s="108"/>
      <c r="C880" s="111"/>
      <c r="D880" s="111"/>
      <c r="E880" s="115"/>
      <c r="F880" s="31" t="s">
        <v>33</v>
      </c>
      <c r="G880" s="23"/>
      <c r="H880" s="23"/>
      <c r="I880" s="23"/>
      <c r="J880" s="23"/>
      <c r="K880" s="9"/>
      <c r="L880" s="9"/>
      <c r="M880" s="9"/>
      <c r="N880" s="9"/>
      <c r="O880" s="9"/>
      <c r="P880" s="23"/>
      <c r="Q880" s="23"/>
      <c r="R880" s="24"/>
      <c r="S880" s="11">
        <f>SUMIF($G$4:$R$4,"&gt;=0",G880:R880)</f>
        <v>0</v>
      </c>
      <c r="T880" s="10">
        <f>SUM(G880:R880)</f>
        <v>0</v>
      </c>
    </row>
    <row r="881" spans="1:20" x14ac:dyDescent="0.3">
      <c r="A881" s="105"/>
      <c r="B881" s="108"/>
      <c r="C881" s="111"/>
      <c r="D881" s="111"/>
      <c r="E881" s="115"/>
      <c r="F881" s="32" t="s">
        <v>34</v>
      </c>
      <c r="G881" s="14"/>
      <c r="H881" s="14"/>
      <c r="I881" s="14"/>
      <c r="J881" s="14"/>
      <c r="K881" s="13"/>
      <c r="L881" s="13"/>
      <c r="M881" s="13"/>
      <c r="N881" s="13"/>
      <c r="O881" s="13"/>
      <c r="P881" s="14"/>
      <c r="Q881" s="14"/>
      <c r="R881" s="30"/>
      <c r="S881" s="16">
        <f>SUMIF($G$4:$R$4,"&gt;=0",G881:R881)</f>
        <v>0</v>
      </c>
      <c r="T881" s="17">
        <f>SUM(G881:R881)</f>
        <v>0</v>
      </c>
    </row>
    <row r="882" spans="1:20" ht="15" thickBot="1" x14ac:dyDescent="0.35">
      <c r="A882" s="117"/>
      <c r="B882" s="109"/>
      <c r="C882" s="112"/>
      <c r="D882" s="113"/>
      <c r="E882" s="116"/>
      <c r="F882" s="21" t="s">
        <v>35</v>
      </c>
      <c r="G882" s="19" t="e">
        <f>(G881-G880)/G881</f>
        <v>#DIV/0!</v>
      </c>
      <c r="H882" s="19" t="e">
        <f t="shared" ref="H882:S882" si="716">(H881-H880)/H881</f>
        <v>#DIV/0!</v>
      </c>
      <c r="I882" s="19" t="e">
        <f t="shared" si="716"/>
        <v>#DIV/0!</v>
      </c>
      <c r="J882" s="19" t="e">
        <f t="shared" si="716"/>
        <v>#DIV/0!</v>
      </c>
      <c r="K882" s="19" t="e">
        <f t="shared" si="716"/>
        <v>#DIV/0!</v>
      </c>
      <c r="L882" s="19" t="e">
        <f t="shared" si="716"/>
        <v>#DIV/0!</v>
      </c>
      <c r="M882" s="19" t="e">
        <f t="shared" si="716"/>
        <v>#DIV/0!</v>
      </c>
      <c r="N882" s="19" t="e">
        <f t="shared" si="716"/>
        <v>#DIV/0!</v>
      </c>
      <c r="O882" s="19" t="e">
        <f t="shared" si="716"/>
        <v>#DIV/0!</v>
      </c>
      <c r="P882" s="19" t="e">
        <f t="shared" si="716"/>
        <v>#DIV/0!</v>
      </c>
      <c r="Q882" s="19" t="e">
        <f t="shared" si="716"/>
        <v>#DIV/0!</v>
      </c>
      <c r="R882" s="25" t="e">
        <f t="shared" si="716"/>
        <v>#DIV/0!</v>
      </c>
      <c r="S882" s="21" t="e">
        <f t="shared" si="716"/>
        <v>#DIV/0!</v>
      </c>
      <c r="T882" s="22" t="e">
        <f t="shared" ref="T882" si="717">T881/T880</f>
        <v>#DIV/0!</v>
      </c>
    </row>
    <row r="883" spans="1:20" x14ac:dyDescent="0.3">
      <c r="A883" s="104">
        <v>81</v>
      </c>
      <c r="B883" s="107"/>
      <c r="C883" s="110"/>
      <c r="D883" s="110"/>
      <c r="E883" s="114"/>
      <c r="F883" s="11" t="s">
        <v>25</v>
      </c>
      <c r="G883" s="23"/>
      <c r="H883" s="23"/>
      <c r="I883" s="23"/>
      <c r="J883" s="23"/>
      <c r="K883" s="9"/>
      <c r="L883" s="9"/>
      <c r="M883" s="9"/>
      <c r="N883" s="9"/>
      <c r="O883" s="9"/>
      <c r="P883" s="23"/>
      <c r="Q883" s="23"/>
      <c r="R883" s="24"/>
      <c r="S883" s="11">
        <f>SUMIF($G$4:$R$4,"&gt;=0",G883:R883)</f>
        <v>0</v>
      </c>
      <c r="T883" s="10">
        <f>SUM(G883:R883)</f>
        <v>0</v>
      </c>
    </row>
    <row r="884" spans="1:20" x14ac:dyDescent="0.3">
      <c r="A884" s="105"/>
      <c r="B884" s="108"/>
      <c r="C884" s="111"/>
      <c r="D884" s="111"/>
      <c r="E884" s="115"/>
      <c r="F884" s="12" t="s">
        <v>26</v>
      </c>
      <c r="G884" s="14"/>
      <c r="H884" s="14"/>
      <c r="I884" s="14"/>
      <c r="J884" s="14"/>
      <c r="K884" s="13"/>
      <c r="L884" s="13"/>
      <c r="M884" s="13"/>
      <c r="N884" s="13"/>
      <c r="O884" s="13"/>
      <c r="P884" s="14"/>
      <c r="Q884" s="14"/>
      <c r="R884" s="30"/>
      <c r="S884" s="16">
        <f>SUMIF($G$4:$R$4,"&gt;=0",G884:R884)</f>
        <v>0</v>
      </c>
      <c r="T884" s="17">
        <f t="shared" ref="T884" si="718">SUM(G884:R884)</f>
        <v>0</v>
      </c>
    </row>
    <row r="885" spans="1:20" ht="15" thickBot="1" x14ac:dyDescent="0.35">
      <c r="A885" s="105"/>
      <c r="B885" s="108"/>
      <c r="C885" s="111"/>
      <c r="D885" s="111"/>
      <c r="E885" s="115"/>
      <c r="F885" s="18" t="s">
        <v>27</v>
      </c>
      <c r="G885" s="19" t="e">
        <f>G884/G883</f>
        <v>#DIV/0!</v>
      </c>
      <c r="H885" s="19" t="e">
        <f t="shared" ref="H885:T885" si="719">H884/H883</f>
        <v>#DIV/0!</v>
      </c>
      <c r="I885" s="19" t="e">
        <f t="shared" si="719"/>
        <v>#DIV/0!</v>
      </c>
      <c r="J885" s="19" t="e">
        <f t="shared" si="719"/>
        <v>#DIV/0!</v>
      </c>
      <c r="K885" s="19" t="e">
        <f t="shared" si="719"/>
        <v>#DIV/0!</v>
      </c>
      <c r="L885" s="19" t="e">
        <f t="shared" si="719"/>
        <v>#DIV/0!</v>
      </c>
      <c r="M885" s="19" t="e">
        <f t="shared" si="719"/>
        <v>#DIV/0!</v>
      </c>
      <c r="N885" s="19" t="e">
        <f t="shared" si="719"/>
        <v>#DIV/0!</v>
      </c>
      <c r="O885" s="19" t="e">
        <f t="shared" si="719"/>
        <v>#DIV/0!</v>
      </c>
      <c r="P885" s="19" t="e">
        <f t="shared" si="719"/>
        <v>#DIV/0!</v>
      </c>
      <c r="Q885" s="19" t="e">
        <f t="shared" si="719"/>
        <v>#DIV/0!</v>
      </c>
      <c r="R885" s="25" t="e">
        <f t="shared" si="719"/>
        <v>#DIV/0!</v>
      </c>
      <c r="S885" s="21" t="e">
        <f t="shared" si="719"/>
        <v>#DIV/0!</v>
      </c>
      <c r="T885" s="22" t="e">
        <f t="shared" si="719"/>
        <v>#DIV/0!</v>
      </c>
    </row>
    <row r="886" spans="1:20" x14ac:dyDescent="0.3">
      <c r="A886" s="105"/>
      <c r="B886" s="108"/>
      <c r="C886" s="111"/>
      <c r="D886" s="111"/>
      <c r="E886" s="115"/>
      <c r="F886" s="11" t="s">
        <v>28</v>
      </c>
      <c r="G886" s="23"/>
      <c r="H886" s="23"/>
      <c r="I886" s="23"/>
      <c r="J886" s="23"/>
      <c r="K886" s="9"/>
      <c r="L886" s="9"/>
      <c r="M886" s="9"/>
      <c r="N886" s="9"/>
      <c r="O886" s="9"/>
      <c r="P886" s="23"/>
      <c r="Q886" s="23"/>
      <c r="R886" s="24"/>
      <c r="S886" s="11">
        <f>SUMIF($G$4:$R$4,"&gt;=0",G886:R886)</f>
        <v>0</v>
      </c>
      <c r="T886" s="10">
        <f>SUM(G886:R886)</f>
        <v>0</v>
      </c>
    </row>
    <row r="887" spans="1:20" ht="15" thickBot="1" x14ac:dyDescent="0.35">
      <c r="A887" s="105"/>
      <c r="B887" s="108"/>
      <c r="C887" s="111"/>
      <c r="D887" s="111"/>
      <c r="E887" s="115"/>
      <c r="F887" s="18" t="s">
        <v>29</v>
      </c>
      <c r="G887" s="19" t="e">
        <f>(G884-G886)/G884</f>
        <v>#DIV/0!</v>
      </c>
      <c r="H887" s="19" t="e">
        <f t="shared" ref="H887:S887" si="720">(H884-H886)/H884</f>
        <v>#DIV/0!</v>
      </c>
      <c r="I887" s="19" t="e">
        <f t="shared" si="720"/>
        <v>#DIV/0!</v>
      </c>
      <c r="J887" s="19" t="e">
        <f t="shared" si="720"/>
        <v>#DIV/0!</v>
      </c>
      <c r="K887" s="19" t="e">
        <f t="shared" si="720"/>
        <v>#DIV/0!</v>
      </c>
      <c r="L887" s="19" t="e">
        <f t="shared" si="720"/>
        <v>#DIV/0!</v>
      </c>
      <c r="M887" s="19" t="e">
        <f t="shared" si="720"/>
        <v>#DIV/0!</v>
      </c>
      <c r="N887" s="19" t="e">
        <f t="shared" si="720"/>
        <v>#DIV/0!</v>
      </c>
      <c r="O887" s="19" t="e">
        <f t="shared" si="720"/>
        <v>#DIV/0!</v>
      </c>
      <c r="P887" s="19" t="e">
        <f t="shared" si="720"/>
        <v>#DIV/0!</v>
      </c>
      <c r="Q887" s="19" t="e">
        <f t="shared" si="720"/>
        <v>#DIV/0!</v>
      </c>
      <c r="R887" s="25" t="e">
        <f t="shared" si="720"/>
        <v>#DIV/0!</v>
      </c>
      <c r="S887" s="21" t="e">
        <f t="shared" si="720"/>
        <v>#DIV/0!</v>
      </c>
      <c r="T887" s="22" t="e">
        <f t="shared" ref="T887" si="721">T884/T886</f>
        <v>#DIV/0!</v>
      </c>
    </row>
    <row r="888" spans="1:20" x14ac:dyDescent="0.3">
      <c r="A888" s="105"/>
      <c r="B888" s="108"/>
      <c r="C888" s="111"/>
      <c r="D888" s="111"/>
      <c r="E888" s="115"/>
      <c r="F888" s="26" t="s">
        <v>30</v>
      </c>
      <c r="G888" s="23"/>
      <c r="H888" s="23"/>
      <c r="I888" s="23"/>
      <c r="J888" s="23"/>
      <c r="K888" s="9"/>
      <c r="L888" s="9"/>
      <c r="M888" s="9"/>
      <c r="N888" s="9"/>
      <c r="O888" s="9"/>
      <c r="P888" s="23"/>
      <c r="Q888" s="23"/>
      <c r="R888" s="24"/>
      <c r="S888" s="11">
        <f>SUMIF($G$4:$R$4,"&gt;=0",G888:R888)</f>
        <v>0</v>
      </c>
      <c r="T888" s="10">
        <f>SUM(G888:R888)</f>
        <v>0</v>
      </c>
    </row>
    <row r="889" spans="1:20" x14ac:dyDescent="0.3">
      <c r="A889" s="105"/>
      <c r="B889" s="108"/>
      <c r="C889" s="111"/>
      <c r="D889" s="111"/>
      <c r="E889" s="115"/>
      <c r="F889" s="29" t="s">
        <v>31</v>
      </c>
      <c r="G889" s="14"/>
      <c r="H889" s="14"/>
      <c r="I889" s="14"/>
      <c r="J889" s="14"/>
      <c r="K889" s="13"/>
      <c r="L889" s="13"/>
      <c r="M889" s="13"/>
      <c r="N889" s="13"/>
      <c r="O889" s="13"/>
      <c r="P889" s="14"/>
      <c r="Q889" s="14"/>
      <c r="R889" s="30"/>
      <c r="S889" s="16">
        <f>SUMIF($G$4:$R$4,"&gt;=0",G889:R889)</f>
        <v>0</v>
      </c>
      <c r="T889" s="17">
        <f t="shared" ref="T889" si="722">SUM(G889:R889)</f>
        <v>0</v>
      </c>
    </row>
    <row r="890" spans="1:20" ht="15" thickBot="1" x14ac:dyDescent="0.35">
      <c r="A890" s="105"/>
      <c r="B890" s="108"/>
      <c r="C890" s="111"/>
      <c r="D890" s="111"/>
      <c r="E890" s="115"/>
      <c r="F890" s="18" t="s">
        <v>32</v>
      </c>
      <c r="G890" s="19" t="e">
        <f>(G888-G889)/G888</f>
        <v>#DIV/0!</v>
      </c>
      <c r="H890" s="19" t="e">
        <f t="shared" ref="H890:S890" si="723">(H888-H889)/H888</f>
        <v>#DIV/0!</v>
      </c>
      <c r="I890" s="19" t="e">
        <f t="shared" si="723"/>
        <v>#DIV/0!</v>
      </c>
      <c r="J890" s="19" t="e">
        <f t="shared" si="723"/>
        <v>#DIV/0!</v>
      </c>
      <c r="K890" s="19" t="e">
        <f t="shared" si="723"/>
        <v>#DIV/0!</v>
      </c>
      <c r="L890" s="19" t="e">
        <f t="shared" si="723"/>
        <v>#DIV/0!</v>
      </c>
      <c r="M890" s="19" t="e">
        <f t="shared" si="723"/>
        <v>#DIV/0!</v>
      </c>
      <c r="N890" s="19" t="e">
        <f t="shared" si="723"/>
        <v>#DIV/0!</v>
      </c>
      <c r="O890" s="19" t="e">
        <f t="shared" si="723"/>
        <v>#DIV/0!</v>
      </c>
      <c r="P890" s="19" t="e">
        <f t="shared" si="723"/>
        <v>#DIV/0!</v>
      </c>
      <c r="Q890" s="19" t="e">
        <f t="shared" si="723"/>
        <v>#DIV/0!</v>
      </c>
      <c r="R890" s="25" t="e">
        <f t="shared" si="723"/>
        <v>#DIV/0!</v>
      </c>
      <c r="S890" s="21" t="e">
        <f t="shared" si="723"/>
        <v>#DIV/0!</v>
      </c>
      <c r="T890" s="22" t="e">
        <f t="shared" ref="T890" si="724">T888/T889</f>
        <v>#DIV/0!</v>
      </c>
    </row>
    <row r="891" spans="1:20" x14ac:dyDescent="0.3">
      <c r="A891" s="105"/>
      <c r="B891" s="108"/>
      <c r="C891" s="111"/>
      <c r="D891" s="111"/>
      <c r="E891" s="115"/>
      <c r="F891" s="31" t="s">
        <v>33</v>
      </c>
      <c r="G891" s="23"/>
      <c r="H891" s="23"/>
      <c r="I891" s="23"/>
      <c r="J891" s="23"/>
      <c r="K891" s="9"/>
      <c r="L891" s="9"/>
      <c r="M891" s="9"/>
      <c r="N891" s="9"/>
      <c r="O891" s="9"/>
      <c r="P891" s="23"/>
      <c r="Q891" s="23"/>
      <c r="R891" s="24"/>
      <c r="S891" s="11">
        <f>SUMIF($G$4:$R$4,"&gt;=0",G891:R891)</f>
        <v>0</v>
      </c>
      <c r="T891" s="10">
        <f>SUM(G891:R891)</f>
        <v>0</v>
      </c>
    </row>
    <row r="892" spans="1:20" x14ac:dyDescent="0.3">
      <c r="A892" s="105"/>
      <c r="B892" s="108"/>
      <c r="C892" s="111"/>
      <c r="D892" s="111"/>
      <c r="E892" s="115"/>
      <c r="F892" s="32" t="s">
        <v>34</v>
      </c>
      <c r="G892" s="14"/>
      <c r="H892" s="14"/>
      <c r="I892" s="14"/>
      <c r="J892" s="14"/>
      <c r="K892" s="13"/>
      <c r="L892" s="13"/>
      <c r="M892" s="13"/>
      <c r="N892" s="13"/>
      <c r="O892" s="13"/>
      <c r="P892" s="14"/>
      <c r="Q892" s="14"/>
      <c r="R892" s="30"/>
      <c r="S892" s="16">
        <f>SUMIF($G$4:$R$4,"&gt;=0",G892:R892)</f>
        <v>0</v>
      </c>
      <c r="T892" s="17">
        <f>SUM(G892:R892)</f>
        <v>0</v>
      </c>
    </row>
    <row r="893" spans="1:20" ht="15" thickBot="1" x14ac:dyDescent="0.35">
      <c r="A893" s="106"/>
      <c r="B893" s="109"/>
      <c r="C893" s="112"/>
      <c r="D893" s="113"/>
      <c r="E893" s="116"/>
      <c r="F893" s="21" t="s">
        <v>35</v>
      </c>
      <c r="G893" s="19" t="e">
        <f>(G892-G891)/G892</f>
        <v>#DIV/0!</v>
      </c>
      <c r="H893" s="19" t="e">
        <f t="shared" ref="H893:S893" si="725">(H892-H891)/H892</f>
        <v>#DIV/0!</v>
      </c>
      <c r="I893" s="19" t="e">
        <f t="shared" si="725"/>
        <v>#DIV/0!</v>
      </c>
      <c r="J893" s="19" t="e">
        <f t="shared" si="725"/>
        <v>#DIV/0!</v>
      </c>
      <c r="K893" s="19" t="e">
        <f t="shared" si="725"/>
        <v>#DIV/0!</v>
      </c>
      <c r="L893" s="19" t="e">
        <f t="shared" si="725"/>
        <v>#DIV/0!</v>
      </c>
      <c r="M893" s="19" t="e">
        <f t="shared" si="725"/>
        <v>#DIV/0!</v>
      </c>
      <c r="N893" s="19" t="e">
        <f t="shared" si="725"/>
        <v>#DIV/0!</v>
      </c>
      <c r="O893" s="19" t="e">
        <f t="shared" si="725"/>
        <v>#DIV/0!</v>
      </c>
      <c r="P893" s="19" t="e">
        <f t="shared" si="725"/>
        <v>#DIV/0!</v>
      </c>
      <c r="Q893" s="19" t="e">
        <f t="shared" si="725"/>
        <v>#DIV/0!</v>
      </c>
      <c r="R893" s="25" t="e">
        <f t="shared" si="725"/>
        <v>#DIV/0!</v>
      </c>
      <c r="S893" s="21" t="e">
        <f t="shared" si="725"/>
        <v>#DIV/0!</v>
      </c>
      <c r="T893" s="22" t="e">
        <f t="shared" ref="T893" si="726">T892/T891</f>
        <v>#DIV/0!</v>
      </c>
    </row>
    <row r="894" spans="1:20" x14ac:dyDescent="0.3">
      <c r="A894" s="104">
        <v>82</v>
      </c>
      <c r="B894" s="107"/>
      <c r="C894" s="110"/>
      <c r="D894" s="110"/>
      <c r="E894" s="114"/>
      <c r="F894" s="11" t="s">
        <v>25</v>
      </c>
      <c r="G894" s="23"/>
      <c r="H894" s="23"/>
      <c r="I894" s="23"/>
      <c r="J894" s="23"/>
      <c r="K894" s="9"/>
      <c r="L894" s="9"/>
      <c r="M894" s="9"/>
      <c r="N894" s="9"/>
      <c r="O894" s="9"/>
      <c r="P894" s="23"/>
      <c r="Q894" s="23"/>
      <c r="R894" s="24"/>
      <c r="S894" s="11">
        <f>SUMIF($G$4:$R$4,"&gt;=0",G894:R894)</f>
        <v>0</v>
      </c>
      <c r="T894" s="10">
        <f>SUM(G894:R894)</f>
        <v>0</v>
      </c>
    </row>
    <row r="895" spans="1:20" x14ac:dyDescent="0.3">
      <c r="A895" s="105"/>
      <c r="B895" s="108"/>
      <c r="C895" s="111"/>
      <c r="D895" s="111"/>
      <c r="E895" s="115"/>
      <c r="F895" s="12" t="s">
        <v>26</v>
      </c>
      <c r="G895" s="14"/>
      <c r="H895" s="14"/>
      <c r="I895" s="14"/>
      <c r="J895" s="14"/>
      <c r="K895" s="13"/>
      <c r="L895" s="13"/>
      <c r="M895" s="13"/>
      <c r="N895" s="13"/>
      <c r="O895" s="13"/>
      <c r="P895" s="14"/>
      <c r="Q895" s="14"/>
      <c r="R895" s="30"/>
      <c r="S895" s="16">
        <f>SUMIF($G$4:$R$4,"&gt;=0",G895:R895)</f>
        <v>0</v>
      </c>
      <c r="T895" s="17">
        <f t="shared" ref="T895" si="727">SUM(G895:R895)</f>
        <v>0</v>
      </c>
    </row>
    <row r="896" spans="1:20" ht="15" thickBot="1" x14ac:dyDescent="0.35">
      <c r="A896" s="105"/>
      <c r="B896" s="108"/>
      <c r="C896" s="111"/>
      <c r="D896" s="111"/>
      <c r="E896" s="115"/>
      <c r="F896" s="18" t="s">
        <v>27</v>
      </c>
      <c r="G896" s="19" t="e">
        <f>G895/G894</f>
        <v>#DIV/0!</v>
      </c>
      <c r="H896" s="19" t="e">
        <f t="shared" ref="H896:T896" si="728">H895/H894</f>
        <v>#DIV/0!</v>
      </c>
      <c r="I896" s="19" t="e">
        <f t="shared" si="728"/>
        <v>#DIV/0!</v>
      </c>
      <c r="J896" s="19" t="e">
        <f t="shared" si="728"/>
        <v>#DIV/0!</v>
      </c>
      <c r="K896" s="19" t="e">
        <f t="shared" si="728"/>
        <v>#DIV/0!</v>
      </c>
      <c r="L896" s="19" t="e">
        <f t="shared" si="728"/>
        <v>#DIV/0!</v>
      </c>
      <c r="M896" s="19" t="e">
        <f t="shared" si="728"/>
        <v>#DIV/0!</v>
      </c>
      <c r="N896" s="19" t="e">
        <f t="shared" si="728"/>
        <v>#DIV/0!</v>
      </c>
      <c r="O896" s="19" t="e">
        <f t="shared" si="728"/>
        <v>#DIV/0!</v>
      </c>
      <c r="P896" s="19" t="e">
        <f t="shared" si="728"/>
        <v>#DIV/0!</v>
      </c>
      <c r="Q896" s="19" t="e">
        <f t="shared" si="728"/>
        <v>#DIV/0!</v>
      </c>
      <c r="R896" s="25" t="e">
        <f t="shared" si="728"/>
        <v>#DIV/0!</v>
      </c>
      <c r="S896" s="21" t="e">
        <f t="shared" si="728"/>
        <v>#DIV/0!</v>
      </c>
      <c r="T896" s="22" t="e">
        <f t="shared" si="728"/>
        <v>#DIV/0!</v>
      </c>
    </row>
    <row r="897" spans="1:20" x14ac:dyDescent="0.3">
      <c r="A897" s="105"/>
      <c r="B897" s="108"/>
      <c r="C897" s="111"/>
      <c r="D897" s="111"/>
      <c r="E897" s="115"/>
      <c r="F897" s="11" t="s">
        <v>28</v>
      </c>
      <c r="G897" s="23"/>
      <c r="H897" s="23"/>
      <c r="I897" s="23"/>
      <c r="J897" s="23"/>
      <c r="K897" s="9"/>
      <c r="L897" s="9"/>
      <c r="M897" s="9"/>
      <c r="N897" s="9"/>
      <c r="O897" s="9"/>
      <c r="P897" s="23"/>
      <c r="Q897" s="23"/>
      <c r="R897" s="24"/>
      <c r="S897" s="11">
        <f>SUMIF($G$4:$R$4,"&gt;=0",G897:R897)</f>
        <v>0</v>
      </c>
      <c r="T897" s="10">
        <f>SUM(G897:R897)</f>
        <v>0</v>
      </c>
    </row>
    <row r="898" spans="1:20" ht="15" thickBot="1" x14ac:dyDescent="0.35">
      <c r="A898" s="105"/>
      <c r="B898" s="108"/>
      <c r="C898" s="111"/>
      <c r="D898" s="111"/>
      <c r="E898" s="115"/>
      <c r="F898" s="18" t="s">
        <v>29</v>
      </c>
      <c r="G898" s="19" t="e">
        <f>(G895-G897)/G895</f>
        <v>#DIV/0!</v>
      </c>
      <c r="H898" s="19" t="e">
        <f t="shared" ref="H898:S898" si="729">(H895-H897)/H895</f>
        <v>#DIV/0!</v>
      </c>
      <c r="I898" s="19" t="e">
        <f t="shared" si="729"/>
        <v>#DIV/0!</v>
      </c>
      <c r="J898" s="19" t="e">
        <f t="shared" si="729"/>
        <v>#DIV/0!</v>
      </c>
      <c r="K898" s="19" t="e">
        <f t="shared" si="729"/>
        <v>#DIV/0!</v>
      </c>
      <c r="L898" s="19" t="e">
        <f t="shared" si="729"/>
        <v>#DIV/0!</v>
      </c>
      <c r="M898" s="19" t="e">
        <f t="shared" si="729"/>
        <v>#DIV/0!</v>
      </c>
      <c r="N898" s="19" t="e">
        <f t="shared" si="729"/>
        <v>#DIV/0!</v>
      </c>
      <c r="O898" s="19" t="e">
        <f t="shared" si="729"/>
        <v>#DIV/0!</v>
      </c>
      <c r="P898" s="19" t="e">
        <f t="shared" si="729"/>
        <v>#DIV/0!</v>
      </c>
      <c r="Q898" s="19" t="e">
        <f t="shared" si="729"/>
        <v>#DIV/0!</v>
      </c>
      <c r="R898" s="25" t="e">
        <f t="shared" si="729"/>
        <v>#DIV/0!</v>
      </c>
      <c r="S898" s="21" t="e">
        <f t="shared" si="729"/>
        <v>#DIV/0!</v>
      </c>
      <c r="T898" s="22" t="e">
        <f t="shared" ref="T898" si="730">T895/T897</f>
        <v>#DIV/0!</v>
      </c>
    </row>
    <row r="899" spans="1:20" x14ac:dyDescent="0.3">
      <c r="A899" s="105"/>
      <c r="B899" s="108"/>
      <c r="C899" s="111"/>
      <c r="D899" s="111"/>
      <c r="E899" s="115"/>
      <c r="F899" s="26" t="s">
        <v>30</v>
      </c>
      <c r="G899" s="23"/>
      <c r="H899" s="23"/>
      <c r="I899" s="23"/>
      <c r="J899" s="23"/>
      <c r="K899" s="9"/>
      <c r="L899" s="9"/>
      <c r="M899" s="9"/>
      <c r="N899" s="9"/>
      <c r="O899" s="9"/>
      <c r="P899" s="23"/>
      <c r="Q899" s="23"/>
      <c r="R899" s="24"/>
      <c r="S899" s="11">
        <f>SUMIF($G$4:$R$4,"&gt;=0",G899:R899)</f>
        <v>0</v>
      </c>
      <c r="T899" s="10">
        <f>SUM(G899:R899)</f>
        <v>0</v>
      </c>
    </row>
    <row r="900" spans="1:20" x14ac:dyDescent="0.3">
      <c r="A900" s="105"/>
      <c r="B900" s="108"/>
      <c r="C900" s="111"/>
      <c r="D900" s="111"/>
      <c r="E900" s="115"/>
      <c r="F900" s="29" t="s">
        <v>31</v>
      </c>
      <c r="G900" s="14"/>
      <c r="H900" s="14"/>
      <c r="I900" s="14"/>
      <c r="J900" s="14"/>
      <c r="K900" s="13"/>
      <c r="L900" s="13"/>
      <c r="M900" s="13"/>
      <c r="N900" s="13"/>
      <c r="O900" s="13"/>
      <c r="P900" s="14"/>
      <c r="Q900" s="14"/>
      <c r="R900" s="30"/>
      <c r="S900" s="16">
        <f>SUMIF($G$4:$R$4,"&gt;=0",G900:R900)</f>
        <v>0</v>
      </c>
      <c r="T900" s="17">
        <f t="shared" ref="T900" si="731">SUM(G900:R900)</f>
        <v>0</v>
      </c>
    </row>
    <row r="901" spans="1:20" ht="15" thickBot="1" x14ac:dyDescent="0.35">
      <c r="A901" s="105"/>
      <c r="B901" s="108"/>
      <c r="C901" s="111"/>
      <c r="D901" s="111"/>
      <c r="E901" s="115"/>
      <c r="F901" s="18" t="s">
        <v>32</v>
      </c>
      <c r="G901" s="19" t="e">
        <f>(G899-G900)/G899</f>
        <v>#DIV/0!</v>
      </c>
      <c r="H901" s="19" t="e">
        <f t="shared" ref="H901:S901" si="732">(H899-H900)/H899</f>
        <v>#DIV/0!</v>
      </c>
      <c r="I901" s="19" t="e">
        <f t="shared" si="732"/>
        <v>#DIV/0!</v>
      </c>
      <c r="J901" s="19" t="e">
        <f t="shared" si="732"/>
        <v>#DIV/0!</v>
      </c>
      <c r="K901" s="19" t="e">
        <f t="shared" si="732"/>
        <v>#DIV/0!</v>
      </c>
      <c r="L901" s="19" t="e">
        <f t="shared" si="732"/>
        <v>#DIV/0!</v>
      </c>
      <c r="M901" s="19" t="e">
        <f t="shared" si="732"/>
        <v>#DIV/0!</v>
      </c>
      <c r="N901" s="19" t="e">
        <f t="shared" si="732"/>
        <v>#DIV/0!</v>
      </c>
      <c r="O901" s="19" t="e">
        <f t="shared" si="732"/>
        <v>#DIV/0!</v>
      </c>
      <c r="P901" s="19" t="e">
        <f t="shared" si="732"/>
        <v>#DIV/0!</v>
      </c>
      <c r="Q901" s="19" t="e">
        <f t="shared" si="732"/>
        <v>#DIV/0!</v>
      </c>
      <c r="R901" s="25" t="e">
        <f t="shared" si="732"/>
        <v>#DIV/0!</v>
      </c>
      <c r="S901" s="21" t="e">
        <f t="shared" si="732"/>
        <v>#DIV/0!</v>
      </c>
      <c r="T901" s="22" t="e">
        <f t="shared" ref="T901" si="733">T899/T900</f>
        <v>#DIV/0!</v>
      </c>
    </row>
    <row r="902" spans="1:20" x14ac:dyDescent="0.3">
      <c r="A902" s="105"/>
      <c r="B902" s="108"/>
      <c r="C902" s="111"/>
      <c r="D902" s="111"/>
      <c r="E902" s="115"/>
      <c r="F902" s="31" t="s">
        <v>33</v>
      </c>
      <c r="G902" s="23"/>
      <c r="H902" s="23"/>
      <c r="I902" s="23"/>
      <c r="J902" s="23"/>
      <c r="K902" s="9"/>
      <c r="L902" s="9"/>
      <c r="M902" s="9"/>
      <c r="N902" s="9"/>
      <c r="O902" s="9"/>
      <c r="P902" s="23"/>
      <c r="Q902" s="23"/>
      <c r="R902" s="24"/>
      <c r="S902" s="11">
        <f>SUMIF($G$4:$R$4,"&gt;=0",G902:R902)</f>
        <v>0</v>
      </c>
      <c r="T902" s="10">
        <f>SUM(G902:R902)</f>
        <v>0</v>
      </c>
    </row>
    <row r="903" spans="1:20" x14ac:dyDescent="0.3">
      <c r="A903" s="105"/>
      <c r="B903" s="108"/>
      <c r="C903" s="111"/>
      <c r="D903" s="111"/>
      <c r="E903" s="115"/>
      <c r="F903" s="32" t="s">
        <v>34</v>
      </c>
      <c r="G903" s="14"/>
      <c r="H903" s="14"/>
      <c r="I903" s="14"/>
      <c r="J903" s="14"/>
      <c r="K903" s="13"/>
      <c r="L903" s="13"/>
      <c r="M903" s="13"/>
      <c r="N903" s="13"/>
      <c r="O903" s="13"/>
      <c r="P903" s="14"/>
      <c r="Q903" s="14"/>
      <c r="R903" s="30"/>
      <c r="S903" s="16">
        <f>SUMIF($G$4:$R$4,"&gt;=0",G903:R903)</f>
        <v>0</v>
      </c>
      <c r="T903" s="17">
        <f>SUM(G903:R903)</f>
        <v>0</v>
      </c>
    </row>
    <row r="904" spans="1:20" ht="15" thickBot="1" x14ac:dyDescent="0.35">
      <c r="A904" s="117"/>
      <c r="B904" s="109"/>
      <c r="C904" s="112"/>
      <c r="D904" s="113"/>
      <c r="E904" s="116"/>
      <c r="F904" s="21" t="s">
        <v>35</v>
      </c>
      <c r="G904" s="19" t="e">
        <f>(G903-G902)/G903</f>
        <v>#DIV/0!</v>
      </c>
      <c r="H904" s="19" t="e">
        <f t="shared" ref="H904:S904" si="734">(H903-H902)/H903</f>
        <v>#DIV/0!</v>
      </c>
      <c r="I904" s="19" t="e">
        <f t="shared" si="734"/>
        <v>#DIV/0!</v>
      </c>
      <c r="J904" s="19" t="e">
        <f t="shared" si="734"/>
        <v>#DIV/0!</v>
      </c>
      <c r="K904" s="19" t="e">
        <f t="shared" si="734"/>
        <v>#DIV/0!</v>
      </c>
      <c r="L904" s="19" t="e">
        <f t="shared" si="734"/>
        <v>#DIV/0!</v>
      </c>
      <c r="M904" s="19" t="e">
        <f t="shared" si="734"/>
        <v>#DIV/0!</v>
      </c>
      <c r="N904" s="19" t="e">
        <f t="shared" si="734"/>
        <v>#DIV/0!</v>
      </c>
      <c r="O904" s="19" t="e">
        <f t="shared" si="734"/>
        <v>#DIV/0!</v>
      </c>
      <c r="P904" s="19" t="e">
        <f t="shared" si="734"/>
        <v>#DIV/0!</v>
      </c>
      <c r="Q904" s="19" t="e">
        <f t="shared" si="734"/>
        <v>#DIV/0!</v>
      </c>
      <c r="R904" s="25" t="e">
        <f t="shared" si="734"/>
        <v>#DIV/0!</v>
      </c>
      <c r="S904" s="21" t="e">
        <f t="shared" si="734"/>
        <v>#DIV/0!</v>
      </c>
      <c r="T904" s="22" t="e">
        <f t="shared" ref="T904" si="735">T903/T902</f>
        <v>#DIV/0!</v>
      </c>
    </row>
    <row r="905" spans="1:20" x14ac:dyDescent="0.3">
      <c r="A905" s="104">
        <v>83</v>
      </c>
      <c r="B905" s="107"/>
      <c r="C905" s="110"/>
      <c r="D905" s="110"/>
      <c r="E905" s="114"/>
      <c r="F905" s="11" t="s">
        <v>25</v>
      </c>
      <c r="G905" s="23"/>
      <c r="H905" s="23"/>
      <c r="I905" s="23"/>
      <c r="J905" s="23"/>
      <c r="K905" s="9"/>
      <c r="L905" s="9"/>
      <c r="M905" s="9"/>
      <c r="N905" s="9"/>
      <c r="O905" s="9"/>
      <c r="P905" s="23"/>
      <c r="Q905" s="23"/>
      <c r="R905" s="24"/>
      <c r="S905" s="11">
        <f>SUMIF($G$4:$R$4,"&gt;=0",G905:R905)</f>
        <v>0</v>
      </c>
      <c r="T905" s="10">
        <f>SUM(G905:R905)</f>
        <v>0</v>
      </c>
    </row>
    <row r="906" spans="1:20" x14ac:dyDescent="0.3">
      <c r="A906" s="105"/>
      <c r="B906" s="108"/>
      <c r="C906" s="111"/>
      <c r="D906" s="111"/>
      <c r="E906" s="115"/>
      <c r="F906" s="12" t="s">
        <v>26</v>
      </c>
      <c r="G906" s="14"/>
      <c r="H906" s="14"/>
      <c r="I906" s="14"/>
      <c r="J906" s="14"/>
      <c r="K906" s="13"/>
      <c r="L906" s="13"/>
      <c r="M906" s="13"/>
      <c r="N906" s="13"/>
      <c r="O906" s="13"/>
      <c r="P906" s="14"/>
      <c r="Q906" s="14"/>
      <c r="R906" s="30"/>
      <c r="S906" s="16">
        <f>SUMIF($G$4:$R$4,"&gt;=0",G906:R906)</f>
        <v>0</v>
      </c>
      <c r="T906" s="17">
        <f t="shared" ref="T906" si="736">SUM(G906:R906)</f>
        <v>0</v>
      </c>
    </row>
    <row r="907" spans="1:20" ht="15" thickBot="1" x14ac:dyDescent="0.35">
      <c r="A907" s="105"/>
      <c r="B907" s="108"/>
      <c r="C907" s="111"/>
      <c r="D907" s="111"/>
      <c r="E907" s="115"/>
      <c r="F907" s="18" t="s">
        <v>27</v>
      </c>
      <c r="G907" s="19" t="e">
        <f>G906/G905</f>
        <v>#DIV/0!</v>
      </c>
      <c r="H907" s="19" t="e">
        <f t="shared" ref="H907:T907" si="737">H906/H905</f>
        <v>#DIV/0!</v>
      </c>
      <c r="I907" s="19" t="e">
        <f t="shared" si="737"/>
        <v>#DIV/0!</v>
      </c>
      <c r="J907" s="19" t="e">
        <f t="shared" si="737"/>
        <v>#DIV/0!</v>
      </c>
      <c r="K907" s="19" t="e">
        <f t="shared" si="737"/>
        <v>#DIV/0!</v>
      </c>
      <c r="L907" s="19" t="e">
        <f t="shared" si="737"/>
        <v>#DIV/0!</v>
      </c>
      <c r="M907" s="19" t="e">
        <f t="shared" si="737"/>
        <v>#DIV/0!</v>
      </c>
      <c r="N907" s="19" t="e">
        <f t="shared" si="737"/>
        <v>#DIV/0!</v>
      </c>
      <c r="O907" s="19" t="e">
        <f t="shared" si="737"/>
        <v>#DIV/0!</v>
      </c>
      <c r="P907" s="19" t="e">
        <f t="shared" si="737"/>
        <v>#DIV/0!</v>
      </c>
      <c r="Q907" s="19" t="e">
        <f t="shared" si="737"/>
        <v>#DIV/0!</v>
      </c>
      <c r="R907" s="25" t="e">
        <f t="shared" si="737"/>
        <v>#DIV/0!</v>
      </c>
      <c r="S907" s="21" t="e">
        <f t="shared" si="737"/>
        <v>#DIV/0!</v>
      </c>
      <c r="T907" s="22" t="e">
        <f t="shared" si="737"/>
        <v>#DIV/0!</v>
      </c>
    </row>
    <row r="908" spans="1:20" x14ac:dyDescent="0.3">
      <c r="A908" s="105"/>
      <c r="B908" s="108"/>
      <c r="C908" s="111"/>
      <c r="D908" s="111"/>
      <c r="E908" s="115"/>
      <c r="F908" s="11" t="s">
        <v>28</v>
      </c>
      <c r="G908" s="23"/>
      <c r="H908" s="23"/>
      <c r="I908" s="23"/>
      <c r="J908" s="23"/>
      <c r="K908" s="9"/>
      <c r="L908" s="9"/>
      <c r="M908" s="9"/>
      <c r="N908" s="9"/>
      <c r="O908" s="9"/>
      <c r="P908" s="23"/>
      <c r="Q908" s="23"/>
      <c r="R908" s="24"/>
      <c r="S908" s="11">
        <f>SUMIF($G$4:$R$4,"&gt;=0",G908:R908)</f>
        <v>0</v>
      </c>
      <c r="T908" s="10">
        <f>SUM(G908:R908)</f>
        <v>0</v>
      </c>
    </row>
    <row r="909" spans="1:20" ht="15" thickBot="1" x14ac:dyDescent="0.35">
      <c r="A909" s="105"/>
      <c r="B909" s="108"/>
      <c r="C909" s="111"/>
      <c r="D909" s="111"/>
      <c r="E909" s="115"/>
      <c r="F909" s="18" t="s">
        <v>29</v>
      </c>
      <c r="G909" s="19" t="e">
        <f>(G906-G908)/G906</f>
        <v>#DIV/0!</v>
      </c>
      <c r="H909" s="19" t="e">
        <f t="shared" ref="H909:S909" si="738">(H906-H908)/H906</f>
        <v>#DIV/0!</v>
      </c>
      <c r="I909" s="19" t="e">
        <f t="shared" si="738"/>
        <v>#DIV/0!</v>
      </c>
      <c r="J909" s="19" t="e">
        <f t="shared" si="738"/>
        <v>#DIV/0!</v>
      </c>
      <c r="K909" s="19" t="e">
        <f t="shared" si="738"/>
        <v>#DIV/0!</v>
      </c>
      <c r="L909" s="19" t="e">
        <f t="shared" si="738"/>
        <v>#DIV/0!</v>
      </c>
      <c r="M909" s="19" t="e">
        <f t="shared" si="738"/>
        <v>#DIV/0!</v>
      </c>
      <c r="N909" s="19" t="e">
        <f t="shared" si="738"/>
        <v>#DIV/0!</v>
      </c>
      <c r="O909" s="19" t="e">
        <f t="shared" si="738"/>
        <v>#DIV/0!</v>
      </c>
      <c r="P909" s="19" t="e">
        <f t="shared" si="738"/>
        <v>#DIV/0!</v>
      </c>
      <c r="Q909" s="19" t="e">
        <f t="shared" si="738"/>
        <v>#DIV/0!</v>
      </c>
      <c r="R909" s="25" t="e">
        <f t="shared" si="738"/>
        <v>#DIV/0!</v>
      </c>
      <c r="S909" s="21" t="e">
        <f t="shared" si="738"/>
        <v>#DIV/0!</v>
      </c>
      <c r="T909" s="22" t="e">
        <f t="shared" ref="T909" si="739">T906/T908</f>
        <v>#DIV/0!</v>
      </c>
    </row>
    <row r="910" spans="1:20" x14ac:dyDescent="0.3">
      <c r="A910" s="105"/>
      <c r="B910" s="108"/>
      <c r="C910" s="111"/>
      <c r="D910" s="111"/>
      <c r="E910" s="115"/>
      <c r="F910" s="26" t="s">
        <v>30</v>
      </c>
      <c r="G910" s="23"/>
      <c r="H910" s="23"/>
      <c r="I910" s="23"/>
      <c r="J910" s="23"/>
      <c r="K910" s="9"/>
      <c r="L910" s="9"/>
      <c r="M910" s="9"/>
      <c r="N910" s="9"/>
      <c r="O910" s="9"/>
      <c r="P910" s="23"/>
      <c r="Q910" s="23"/>
      <c r="R910" s="24"/>
      <c r="S910" s="11">
        <f>SUMIF($G$4:$R$4,"&gt;=0",G910:R910)</f>
        <v>0</v>
      </c>
      <c r="T910" s="10">
        <f>SUM(G910:R910)</f>
        <v>0</v>
      </c>
    </row>
    <row r="911" spans="1:20" x14ac:dyDescent="0.3">
      <c r="A911" s="105"/>
      <c r="B911" s="108"/>
      <c r="C911" s="111"/>
      <c r="D911" s="111"/>
      <c r="E911" s="115"/>
      <c r="F911" s="29" t="s">
        <v>31</v>
      </c>
      <c r="G911" s="14"/>
      <c r="H911" s="14"/>
      <c r="I911" s="14"/>
      <c r="J911" s="14"/>
      <c r="K911" s="13"/>
      <c r="L911" s="13"/>
      <c r="M911" s="13"/>
      <c r="N911" s="13"/>
      <c r="O911" s="13"/>
      <c r="P911" s="14"/>
      <c r="Q911" s="14"/>
      <c r="R911" s="30"/>
      <c r="S911" s="16">
        <f>SUMIF($G$4:$R$4,"&gt;=0",G911:R911)</f>
        <v>0</v>
      </c>
      <c r="T911" s="17">
        <f t="shared" ref="T911" si="740">SUM(G911:R911)</f>
        <v>0</v>
      </c>
    </row>
    <row r="912" spans="1:20" ht="15" thickBot="1" x14ac:dyDescent="0.35">
      <c r="A912" s="105"/>
      <c r="B912" s="108"/>
      <c r="C912" s="111"/>
      <c r="D912" s="111"/>
      <c r="E912" s="115"/>
      <c r="F912" s="18" t="s">
        <v>32</v>
      </c>
      <c r="G912" s="19" t="e">
        <f>(G910-G911)/G910</f>
        <v>#DIV/0!</v>
      </c>
      <c r="H912" s="19" t="e">
        <f t="shared" ref="H912:S912" si="741">(H910-H911)/H910</f>
        <v>#DIV/0!</v>
      </c>
      <c r="I912" s="19" t="e">
        <f t="shared" si="741"/>
        <v>#DIV/0!</v>
      </c>
      <c r="J912" s="19" t="e">
        <f t="shared" si="741"/>
        <v>#DIV/0!</v>
      </c>
      <c r="K912" s="19" t="e">
        <f t="shared" si="741"/>
        <v>#DIV/0!</v>
      </c>
      <c r="L912" s="19" t="e">
        <f t="shared" si="741"/>
        <v>#DIV/0!</v>
      </c>
      <c r="M912" s="19" t="e">
        <f t="shared" si="741"/>
        <v>#DIV/0!</v>
      </c>
      <c r="N912" s="19" t="e">
        <f t="shared" si="741"/>
        <v>#DIV/0!</v>
      </c>
      <c r="O912" s="19" t="e">
        <f t="shared" si="741"/>
        <v>#DIV/0!</v>
      </c>
      <c r="P912" s="19" t="e">
        <f t="shared" si="741"/>
        <v>#DIV/0!</v>
      </c>
      <c r="Q912" s="19" t="e">
        <f t="shared" si="741"/>
        <v>#DIV/0!</v>
      </c>
      <c r="R912" s="25" t="e">
        <f t="shared" si="741"/>
        <v>#DIV/0!</v>
      </c>
      <c r="S912" s="21" t="e">
        <f t="shared" si="741"/>
        <v>#DIV/0!</v>
      </c>
      <c r="T912" s="22" t="e">
        <f t="shared" ref="T912" si="742">T910/T911</f>
        <v>#DIV/0!</v>
      </c>
    </row>
    <row r="913" spans="1:20" x14ac:dyDescent="0.3">
      <c r="A913" s="105"/>
      <c r="B913" s="108"/>
      <c r="C913" s="111"/>
      <c r="D913" s="111"/>
      <c r="E913" s="115"/>
      <c r="F913" s="31" t="s">
        <v>33</v>
      </c>
      <c r="G913" s="23"/>
      <c r="H913" s="23"/>
      <c r="I913" s="23"/>
      <c r="J913" s="23"/>
      <c r="K913" s="9"/>
      <c r="L913" s="9"/>
      <c r="M913" s="9"/>
      <c r="N913" s="9"/>
      <c r="O913" s="9"/>
      <c r="P913" s="23"/>
      <c r="Q913" s="23"/>
      <c r="R913" s="24"/>
      <c r="S913" s="11">
        <f>SUMIF($G$4:$R$4,"&gt;=0",G913:R913)</f>
        <v>0</v>
      </c>
      <c r="T913" s="10">
        <f>SUM(G913:R913)</f>
        <v>0</v>
      </c>
    </row>
    <row r="914" spans="1:20" x14ac:dyDescent="0.3">
      <c r="A914" s="105"/>
      <c r="B914" s="108"/>
      <c r="C914" s="111"/>
      <c r="D914" s="111"/>
      <c r="E914" s="115"/>
      <c r="F914" s="32" t="s">
        <v>34</v>
      </c>
      <c r="G914" s="14"/>
      <c r="H914" s="14"/>
      <c r="I914" s="14"/>
      <c r="J914" s="14"/>
      <c r="K914" s="13"/>
      <c r="L914" s="13"/>
      <c r="M914" s="13"/>
      <c r="N914" s="13"/>
      <c r="O914" s="13"/>
      <c r="P914" s="14"/>
      <c r="Q914" s="14"/>
      <c r="R914" s="30"/>
      <c r="S914" s="16">
        <f>SUMIF($G$4:$R$4,"&gt;=0",G914:R914)</f>
        <v>0</v>
      </c>
      <c r="T914" s="17">
        <f>SUM(G914:R914)</f>
        <v>0</v>
      </c>
    </row>
    <row r="915" spans="1:20" ht="15" thickBot="1" x14ac:dyDescent="0.35">
      <c r="A915" s="117"/>
      <c r="B915" s="109"/>
      <c r="C915" s="112"/>
      <c r="D915" s="113"/>
      <c r="E915" s="116"/>
      <c r="F915" s="21" t="s">
        <v>35</v>
      </c>
      <c r="G915" s="19" t="e">
        <f>(G914-G913)/G914</f>
        <v>#DIV/0!</v>
      </c>
      <c r="H915" s="19" t="e">
        <f t="shared" ref="H915:S915" si="743">(H914-H913)/H914</f>
        <v>#DIV/0!</v>
      </c>
      <c r="I915" s="19" t="e">
        <f t="shared" si="743"/>
        <v>#DIV/0!</v>
      </c>
      <c r="J915" s="19" t="e">
        <f t="shared" si="743"/>
        <v>#DIV/0!</v>
      </c>
      <c r="K915" s="19" t="e">
        <f t="shared" si="743"/>
        <v>#DIV/0!</v>
      </c>
      <c r="L915" s="19" t="e">
        <f t="shared" si="743"/>
        <v>#DIV/0!</v>
      </c>
      <c r="M915" s="19" t="e">
        <f t="shared" si="743"/>
        <v>#DIV/0!</v>
      </c>
      <c r="N915" s="19" t="e">
        <f t="shared" si="743"/>
        <v>#DIV/0!</v>
      </c>
      <c r="O915" s="19" t="e">
        <f t="shared" si="743"/>
        <v>#DIV/0!</v>
      </c>
      <c r="P915" s="19" t="e">
        <f t="shared" si="743"/>
        <v>#DIV/0!</v>
      </c>
      <c r="Q915" s="19" t="e">
        <f t="shared" si="743"/>
        <v>#DIV/0!</v>
      </c>
      <c r="R915" s="25" t="e">
        <f t="shared" si="743"/>
        <v>#DIV/0!</v>
      </c>
      <c r="S915" s="21" t="e">
        <f t="shared" si="743"/>
        <v>#DIV/0!</v>
      </c>
      <c r="T915" s="22" t="e">
        <f t="shared" ref="T915" si="744">T914/T913</f>
        <v>#DIV/0!</v>
      </c>
    </row>
    <row r="916" spans="1:20" x14ac:dyDescent="0.3">
      <c r="A916" s="104">
        <v>84</v>
      </c>
      <c r="B916" s="107"/>
      <c r="C916" s="110"/>
      <c r="D916" s="110"/>
      <c r="E916" s="114"/>
      <c r="F916" s="11" t="s">
        <v>25</v>
      </c>
      <c r="G916" s="23"/>
      <c r="H916" s="23"/>
      <c r="I916" s="23"/>
      <c r="J916" s="23"/>
      <c r="K916" s="9"/>
      <c r="L916" s="9"/>
      <c r="M916" s="9"/>
      <c r="N916" s="9"/>
      <c r="O916" s="9"/>
      <c r="P916" s="23"/>
      <c r="Q916" s="23"/>
      <c r="R916" s="24"/>
      <c r="S916" s="11">
        <f>SUMIF($G$4:$R$4,"&gt;=0",G916:R916)</f>
        <v>0</v>
      </c>
      <c r="T916" s="10">
        <f>SUM(G916:R916)</f>
        <v>0</v>
      </c>
    </row>
    <row r="917" spans="1:20" x14ac:dyDescent="0.3">
      <c r="A917" s="105"/>
      <c r="B917" s="108"/>
      <c r="C917" s="111"/>
      <c r="D917" s="111"/>
      <c r="E917" s="115"/>
      <c r="F917" s="12" t="s">
        <v>26</v>
      </c>
      <c r="G917" s="14"/>
      <c r="H917" s="14"/>
      <c r="I917" s="14"/>
      <c r="J917" s="14"/>
      <c r="K917" s="13"/>
      <c r="L917" s="13"/>
      <c r="M917" s="13"/>
      <c r="N917" s="13"/>
      <c r="O917" s="13"/>
      <c r="P917" s="14"/>
      <c r="Q917" s="14"/>
      <c r="R917" s="30"/>
      <c r="S917" s="16">
        <f>SUMIF($G$4:$R$4,"&gt;=0",G917:R917)</f>
        <v>0</v>
      </c>
      <c r="T917" s="17">
        <f t="shared" ref="T917" si="745">SUM(G917:R917)</f>
        <v>0</v>
      </c>
    </row>
    <row r="918" spans="1:20" ht="15" thickBot="1" x14ac:dyDescent="0.35">
      <c r="A918" s="105"/>
      <c r="B918" s="108"/>
      <c r="C918" s="111"/>
      <c r="D918" s="111"/>
      <c r="E918" s="115"/>
      <c r="F918" s="18" t="s">
        <v>27</v>
      </c>
      <c r="G918" s="19" t="e">
        <f>G917/G916</f>
        <v>#DIV/0!</v>
      </c>
      <c r="H918" s="19" t="e">
        <f t="shared" ref="H918:T918" si="746">H917/H916</f>
        <v>#DIV/0!</v>
      </c>
      <c r="I918" s="19" t="e">
        <f t="shared" si="746"/>
        <v>#DIV/0!</v>
      </c>
      <c r="J918" s="19" t="e">
        <f t="shared" si="746"/>
        <v>#DIV/0!</v>
      </c>
      <c r="K918" s="19" t="e">
        <f t="shared" si="746"/>
        <v>#DIV/0!</v>
      </c>
      <c r="L918" s="19" t="e">
        <f t="shared" si="746"/>
        <v>#DIV/0!</v>
      </c>
      <c r="M918" s="19" t="e">
        <f t="shared" si="746"/>
        <v>#DIV/0!</v>
      </c>
      <c r="N918" s="19" t="e">
        <f t="shared" si="746"/>
        <v>#DIV/0!</v>
      </c>
      <c r="O918" s="19" t="e">
        <f t="shared" si="746"/>
        <v>#DIV/0!</v>
      </c>
      <c r="P918" s="19" t="e">
        <f t="shared" si="746"/>
        <v>#DIV/0!</v>
      </c>
      <c r="Q918" s="19" t="e">
        <f t="shared" si="746"/>
        <v>#DIV/0!</v>
      </c>
      <c r="R918" s="25" t="e">
        <f t="shared" si="746"/>
        <v>#DIV/0!</v>
      </c>
      <c r="S918" s="21" t="e">
        <f t="shared" si="746"/>
        <v>#DIV/0!</v>
      </c>
      <c r="T918" s="22" t="e">
        <f t="shared" si="746"/>
        <v>#DIV/0!</v>
      </c>
    </row>
    <row r="919" spans="1:20" x14ac:dyDescent="0.3">
      <c r="A919" s="105"/>
      <c r="B919" s="108"/>
      <c r="C919" s="111"/>
      <c r="D919" s="111"/>
      <c r="E919" s="115"/>
      <c r="F919" s="11" t="s">
        <v>28</v>
      </c>
      <c r="G919" s="23"/>
      <c r="H919" s="23"/>
      <c r="I919" s="23"/>
      <c r="J919" s="23"/>
      <c r="K919" s="9"/>
      <c r="L919" s="9"/>
      <c r="M919" s="9"/>
      <c r="N919" s="9"/>
      <c r="O919" s="9"/>
      <c r="P919" s="23"/>
      <c r="Q919" s="23"/>
      <c r="R919" s="24"/>
      <c r="S919" s="11">
        <f>SUMIF($G$4:$R$4,"&gt;=0",G919:R919)</f>
        <v>0</v>
      </c>
      <c r="T919" s="10">
        <f>SUM(G919:R919)</f>
        <v>0</v>
      </c>
    </row>
    <row r="920" spans="1:20" ht="15" thickBot="1" x14ac:dyDescent="0.35">
      <c r="A920" s="105"/>
      <c r="B920" s="108"/>
      <c r="C920" s="111"/>
      <c r="D920" s="111"/>
      <c r="E920" s="115"/>
      <c r="F920" s="18" t="s">
        <v>29</v>
      </c>
      <c r="G920" s="19" t="e">
        <f>(G917-G919)/G917</f>
        <v>#DIV/0!</v>
      </c>
      <c r="H920" s="19" t="e">
        <f t="shared" ref="H920:S920" si="747">(H917-H919)/H917</f>
        <v>#DIV/0!</v>
      </c>
      <c r="I920" s="19" t="e">
        <f t="shared" si="747"/>
        <v>#DIV/0!</v>
      </c>
      <c r="J920" s="19" t="e">
        <f t="shared" si="747"/>
        <v>#DIV/0!</v>
      </c>
      <c r="K920" s="19" t="e">
        <f t="shared" si="747"/>
        <v>#DIV/0!</v>
      </c>
      <c r="L920" s="19" t="e">
        <f t="shared" si="747"/>
        <v>#DIV/0!</v>
      </c>
      <c r="M920" s="19" t="e">
        <f t="shared" si="747"/>
        <v>#DIV/0!</v>
      </c>
      <c r="N920" s="19" t="e">
        <f t="shared" si="747"/>
        <v>#DIV/0!</v>
      </c>
      <c r="O920" s="19" t="e">
        <f t="shared" si="747"/>
        <v>#DIV/0!</v>
      </c>
      <c r="P920" s="19" t="e">
        <f t="shared" si="747"/>
        <v>#DIV/0!</v>
      </c>
      <c r="Q920" s="19" t="e">
        <f t="shared" si="747"/>
        <v>#DIV/0!</v>
      </c>
      <c r="R920" s="25" t="e">
        <f t="shared" si="747"/>
        <v>#DIV/0!</v>
      </c>
      <c r="S920" s="21" t="e">
        <f t="shared" si="747"/>
        <v>#DIV/0!</v>
      </c>
      <c r="T920" s="22" t="e">
        <f t="shared" ref="T920" si="748">T917/T919</f>
        <v>#DIV/0!</v>
      </c>
    </row>
    <row r="921" spans="1:20" x14ac:dyDescent="0.3">
      <c r="A921" s="105"/>
      <c r="B921" s="108"/>
      <c r="C921" s="111"/>
      <c r="D921" s="111"/>
      <c r="E921" s="115"/>
      <c r="F921" s="26" t="s">
        <v>30</v>
      </c>
      <c r="G921" s="23"/>
      <c r="H921" s="23"/>
      <c r="I921" s="23"/>
      <c r="J921" s="23"/>
      <c r="K921" s="9"/>
      <c r="L921" s="9"/>
      <c r="M921" s="9"/>
      <c r="N921" s="9"/>
      <c r="O921" s="9"/>
      <c r="P921" s="23"/>
      <c r="Q921" s="23"/>
      <c r="R921" s="24"/>
      <c r="S921" s="11">
        <f>SUMIF($G$4:$R$4,"&gt;=0",G921:R921)</f>
        <v>0</v>
      </c>
      <c r="T921" s="10">
        <f>SUM(G921:R921)</f>
        <v>0</v>
      </c>
    </row>
    <row r="922" spans="1:20" x14ac:dyDescent="0.3">
      <c r="A922" s="105"/>
      <c r="B922" s="108"/>
      <c r="C922" s="111"/>
      <c r="D922" s="111"/>
      <c r="E922" s="115"/>
      <c r="F922" s="29" t="s">
        <v>31</v>
      </c>
      <c r="G922" s="14"/>
      <c r="H922" s="14"/>
      <c r="I922" s="14"/>
      <c r="J922" s="14"/>
      <c r="K922" s="13"/>
      <c r="L922" s="13"/>
      <c r="M922" s="13"/>
      <c r="N922" s="13"/>
      <c r="O922" s="13"/>
      <c r="P922" s="14"/>
      <c r="Q922" s="14"/>
      <c r="R922" s="30"/>
      <c r="S922" s="16">
        <f>SUMIF($G$4:$R$4,"&gt;=0",G922:R922)</f>
        <v>0</v>
      </c>
      <c r="T922" s="17">
        <f t="shared" ref="T922" si="749">SUM(G922:R922)</f>
        <v>0</v>
      </c>
    </row>
    <row r="923" spans="1:20" ht="15" thickBot="1" x14ac:dyDescent="0.35">
      <c r="A923" s="105"/>
      <c r="B923" s="108"/>
      <c r="C923" s="111"/>
      <c r="D923" s="111"/>
      <c r="E923" s="115"/>
      <c r="F923" s="18" t="s">
        <v>32</v>
      </c>
      <c r="G923" s="19" t="e">
        <f>(G921-G922)/G921</f>
        <v>#DIV/0!</v>
      </c>
      <c r="H923" s="19" t="e">
        <f t="shared" ref="H923:S923" si="750">(H921-H922)/H921</f>
        <v>#DIV/0!</v>
      </c>
      <c r="I923" s="19" t="e">
        <f t="shared" si="750"/>
        <v>#DIV/0!</v>
      </c>
      <c r="J923" s="19" t="e">
        <f t="shared" si="750"/>
        <v>#DIV/0!</v>
      </c>
      <c r="K923" s="19" t="e">
        <f t="shared" si="750"/>
        <v>#DIV/0!</v>
      </c>
      <c r="L923" s="19" t="e">
        <f t="shared" si="750"/>
        <v>#DIV/0!</v>
      </c>
      <c r="M923" s="19" t="e">
        <f t="shared" si="750"/>
        <v>#DIV/0!</v>
      </c>
      <c r="N923" s="19" t="e">
        <f t="shared" si="750"/>
        <v>#DIV/0!</v>
      </c>
      <c r="O923" s="19" t="e">
        <f t="shared" si="750"/>
        <v>#DIV/0!</v>
      </c>
      <c r="P923" s="19" t="e">
        <f t="shared" si="750"/>
        <v>#DIV/0!</v>
      </c>
      <c r="Q923" s="19" t="e">
        <f t="shared" si="750"/>
        <v>#DIV/0!</v>
      </c>
      <c r="R923" s="25" t="e">
        <f t="shared" si="750"/>
        <v>#DIV/0!</v>
      </c>
      <c r="S923" s="21" t="e">
        <f t="shared" si="750"/>
        <v>#DIV/0!</v>
      </c>
      <c r="T923" s="22" t="e">
        <f t="shared" ref="T923" si="751">T921/T922</f>
        <v>#DIV/0!</v>
      </c>
    </row>
    <row r="924" spans="1:20" x14ac:dyDescent="0.3">
      <c r="A924" s="105"/>
      <c r="B924" s="108"/>
      <c r="C924" s="111"/>
      <c r="D924" s="111"/>
      <c r="E924" s="115"/>
      <c r="F924" s="31" t="s">
        <v>33</v>
      </c>
      <c r="G924" s="23"/>
      <c r="H924" s="23"/>
      <c r="I924" s="23"/>
      <c r="J924" s="23"/>
      <c r="K924" s="9"/>
      <c r="L924" s="9"/>
      <c r="M924" s="9"/>
      <c r="N924" s="9"/>
      <c r="O924" s="9"/>
      <c r="P924" s="23"/>
      <c r="Q924" s="23"/>
      <c r="R924" s="24"/>
      <c r="S924" s="11">
        <f>SUMIF($G$4:$R$4,"&gt;=0",G924:R924)</f>
        <v>0</v>
      </c>
      <c r="T924" s="10">
        <f>SUM(G924:R924)</f>
        <v>0</v>
      </c>
    </row>
    <row r="925" spans="1:20" x14ac:dyDescent="0.3">
      <c r="A925" s="105"/>
      <c r="B925" s="108"/>
      <c r="C925" s="111"/>
      <c r="D925" s="111"/>
      <c r="E925" s="115"/>
      <c r="F925" s="32" t="s">
        <v>34</v>
      </c>
      <c r="G925" s="14"/>
      <c r="H925" s="14"/>
      <c r="I925" s="14"/>
      <c r="J925" s="14"/>
      <c r="K925" s="13"/>
      <c r="L925" s="13"/>
      <c r="M925" s="13"/>
      <c r="N925" s="13"/>
      <c r="O925" s="13"/>
      <c r="P925" s="14"/>
      <c r="Q925" s="14"/>
      <c r="R925" s="30"/>
      <c r="S925" s="16">
        <f>SUMIF($G$4:$R$4,"&gt;=0",G925:R925)</f>
        <v>0</v>
      </c>
      <c r="T925" s="17">
        <f>SUM(G925:R925)</f>
        <v>0</v>
      </c>
    </row>
    <row r="926" spans="1:20" ht="15" thickBot="1" x14ac:dyDescent="0.35">
      <c r="A926" s="106"/>
      <c r="B926" s="109"/>
      <c r="C926" s="112"/>
      <c r="D926" s="113"/>
      <c r="E926" s="116"/>
      <c r="F926" s="21" t="s">
        <v>35</v>
      </c>
      <c r="G926" s="19" t="e">
        <f>(G925-G924)/G925</f>
        <v>#DIV/0!</v>
      </c>
      <c r="H926" s="19" t="e">
        <f t="shared" ref="H926:S926" si="752">(H925-H924)/H925</f>
        <v>#DIV/0!</v>
      </c>
      <c r="I926" s="19" t="e">
        <f t="shared" si="752"/>
        <v>#DIV/0!</v>
      </c>
      <c r="J926" s="19" t="e">
        <f t="shared" si="752"/>
        <v>#DIV/0!</v>
      </c>
      <c r="K926" s="19" t="e">
        <f t="shared" si="752"/>
        <v>#DIV/0!</v>
      </c>
      <c r="L926" s="19" t="e">
        <f t="shared" si="752"/>
        <v>#DIV/0!</v>
      </c>
      <c r="M926" s="19" t="e">
        <f t="shared" si="752"/>
        <v>#DIV/0!</v>
      </c>
      <c r="N926" s="19" t="e">
        <f t="shared" si="752"/>
        <v>#DIV/0!</v>
      </c>
      <c r="O926" s="19" t="e">
        <f t="shared" si="752"/>
        <v>#DIV/0!</v>
      </c>
      <c r="P926" s="19" t="e">
        <f t="shared" si="752"/>
        <v>#DIV/0!</v>
      </c>
      <c r="Q926" s="19" t="e">
        <f t="shared" si="752"/>
        <v>#DIV/0!</v>
      </c>
      <c r="R926" s="25" t="e">
        <f t="shared" si="752"/>
        <v>#DIV/0!</v>
      </c>
      <c r="S926" s="21" t="e">
        <f t="shared" si="752"/>
        <v>#DIV/0!</v>
      </c>
      <c r="T926" s="22" t="e">
        <f t="shared" ref="T926" si="753">T925/T924</f>
        <v>#DIV/0!</v>
      </c>
    </row>
    <row r="927" spans="1:20" x14ac:dyDescent="0.3">
      <c r="A927" s="104">
        <v>85</v>
      </c>
      <c r="B927" s="107"/>
      <c r="C927" s="110"/>
      <c r="D927" s="110"/>
      <c r="E927" s="114"/>
      <c r="F927" s="11" t="s">
        <v>25</v>
      </c>
      <c r="G927" s="23"/>
      <c r="H927" s="23"/>
      <c r="I927" s="23"/>
      <c r="J927" s="23"/>
      <c r="K927" s="9"/>
      <c r="L927" s="9"/>
      <c r="M927" s="9"/>
      <c r="N927" s="9"/>
      <c r="O927" s="9"/>
      <c r="P927" s="23"/>
      <c r="Q927" s="23"/>
      <c r="R927" s="24"/>
      <c r="S927" s="11">
        <f>SUMIF($G$4:$R$4,"&gt;=0",G927:R927)</f>
        <v>0</v>
      </c>
      <c r="T927" s="10">
        <f>SUM(G927:R927)</f>
        <v>0</v>
      </c>
    </row>
    <row r="928" spans="1:20" x14ac:dyDescent="0.3">
      <c r="A928" s="105"/>
      <c r="B928" s="108"/>
      <c r="C928" s="111"/>
      <c r="D928" s="111"/>
      <c r="E928" s="115"/>
      <c r="F928" s="12" t="s">
        <v>26</v>
      </c>
      <c r="G928" s="14"/>
      <c r="H928" s="14"/>
      <c r="I928" s="14"/>
      <c r="J928" s="14"/>
      <c r="K928" s="13"/>
      <c r="L928" s="13"/>
      <c r="M928" s="13"/>
      <c r="N928" s="13"/>
      <c r="O928" s="13"/>
      <c r="P928" s="14"/>
      <c r="Q928" s="14"/>
      <c r="R928" s="30"/>
      <c r="S928" s="16">
        <f>SUMIF($G$4:$R$4,"&gt;=0",G928:R928)</f>
        <v>0</v>
      </c>
      <c r="T928" s="17">
        <f t="shared" ref="T928" si="754">SUM(G928:R928)</f>
        <v>0</v>
      </c>
    </row>
    <row r="929" spans="1:20" ht="15" thickBot="1" x14ac:dyDescent="0.35">
      <c r="A929" s="105"/>
      <c r="B929" s="108"/>
      <c r="C929" s="111"/>
      <c r="D929" s="111"/>
      <c r="E929" s="115"/>
      <c r="F929" s="18" t="s">
        <v>27</v>
      </c>
      <c r="G929" s="19" t="e">
        <f>G928/G927</f>
        <v>#DIV/0!</v>
      </c>
      <c r="H929" s="19" t="e">
        <f t="shared" ref="H929:T929" si="755">H928/H927</f>
        <v>#DIV/0!</v>
      </c>
      <c r="I929" s="19" t="e">
        <f t="shared" si="755"/>
        <v>#DIV/0!</v>
      </c>
      <c r="J929" s="19" t="e">
        <f t="shared" si="755"/>
        <v>#DIV/0!</v>
      </c>
      <c r="K929" s="19" t="e">
        <f t="shared" si="755"/>
        <v>#DIV/0!</v>
      </c>
      <c r="L929" s="19" t="e">
        <f t="shared" si="755"/>
        <v>#DIV/0!</v>
      </c>
      <c r="M929" s="19" t="e">
        <f t="shared" si="755"/>
        <v>#DIV/0!</v>
      </c>
      <c r="N929" s="19" t="e">
        <f t="shared" si="755"/>
        <v>#DIV/0!</v>
      </c>
      <c r="O929" s="19" t="e">
        <f t="shared" si="755"/>
        <v>#DIV/0!</v>
      </c>
      <c r="P929" s="19" t="e">
        <f t="shared" si="755"/>
        <v>#DIV/0!</v>
      </c>
      <c r="Q929" s="19" t="e">
        <f t="shared" si="755"/>
        <v>#DIV/0!</v>
      </c>
      <c r="R929" s="25" t="e">
        <f t="shared" si="755"/>
        <v>#DIV/0!</v>
      </c>
      <c r="S929" s="21" t="e">
        <f t="shared" si="755"/>
        <v>#DIV/0!</v>
      </c>
      <c r="T929" s="22" t="e">
        <f t="shared" si="755"/>
        <v>#DIV/0!</v>
      </c>
    </row>
    <row r="930" spans="1:20" x14ac:dyDescent="0.3">
      <c r="A930" s="105"/>
      <c r="B930" s="108"/>
      <c r="C930" s="111"/>
      <c r="D930" s="111"/>
      <c r="E930" s="115"/>
      <c r="F930" s="11" t="s">
        <v>28</v>
      </c>
      <c r="G930" s="23"/>
      <c r="H930" s="23"/>
      <c r="I930" s="23"/>
      <c r="J930" s="23"/>
      <c r="K930" s="9"/>
      <c r="L930" s="9"/>
      <c r="M930" s="9"/>
      <c r="N930" s="9"/>
      <c r="O930" s="9"/>
      <c r="P930" s="23"/>
      <c r="Q930" s="23"/>
      <c r="R930" s="24"/>
      <c r="S930" s="11">
        <f>SUMIF($G$4:$R$4,"&gt;=0",G930:R930)</f>
        <v>0</v>
      </c>
      <c r="T930" s="10">
        <f>SUM(G930:R930)</f>
        <v>0</v>
      </c>
    </row>
    <row r="931" spans="1:20" ht="15" thickBot="1" x14ac:dyDescent="0.35">
      <c r="A931" s="105"/>
      <c r="B931" s="108"/>
      <c r="C931" s="111"/>
      <c r="D931" s="111"/>
      <c r="E931" s="115"/>
      <c r="F931" s="18" t="s">
        <v>29</v>
      </c>
      <c r="G931" s="19" t="e">
        <f>(G928-G930)/G928</f>
        <v>#DIV/0!</v>
      </c>
      <c r="H931" s="19" t="e">
        <f t="shared" ref="H931:S931" si="756">(H928-H930)/H928</f>
        <v>#DIV/0!</v>
      </c>
      <c r="I931" s="19" t="e">
        <f t="shared" si="756"/>
        <v>#DIV/0!</v>
      </c>
      <c r="J931" s="19" t="e">
        <f t="shared" si="756"/>
        <v>#DIV/0!</v>
      </c>
      <c r="K931" s="19" t="e">
        <f t="shared" si="756"/>
        <v>#DIV/0!</v>
      </c>
      <c r="L931" s="19" t="e">
        <f t="shared" si="756"/>
        <v>#DIV/0!</v>
      </c>
      <c r="M931" s="19" t="e">
        <f t="shared" si="756"/>
        <v>#DIV/0!</v>
      </c>
      <c r="N931" s="19" t="e">
        <f t="shared" si="756"/>
        <v>#DIV/0!</v>
      </c>
      <c r="O931" s="19" t="e">
        <f t="shared" si="756"/>
        <v>#DIV/0!</v>
      </c>
      <c r="P931" s="19" t="e">
        <f t="shared" si="756"/>
        <v>#DIV/0!</v>
      </c>
      <c r="Q931" s="19" t="e">
        <f t="shared" si="756"/>
        <v>#DIV/0!</v>
      </c>
      <c r="R931" s="25" t="e">
        <f t="shared" si="756"/>
        <v>#DIV/0!</v>
      </c>
      <c r="S931" s="21" t="e">
        <f t="shared" si="756"/>
        <v>#DIV/0!</v>
      </c>
      <c r="T931" s="22" t="e">
        <f t="shared" ref="T931" si="757">T928/T930</f>
        <v>#DIV/0!</v>
      </c>
    </row>
    <row r="932" spans="1:20" x14ac:dyDescent="0.3">
      <c r="A932" s="105"/>
      <c r="B932" s="108"/>
      <c r="C932" s="111"/>
      <c r="D932" s="111"/>
      <c r="E932" s="115"/>
      <c r="F932" s="26" t="s">
        <v>30</v>
      </c>
      <c r="G932" s="23"/>
      <c r="H932" s="23"/>
      <c r="I932" s="23"/>
      <c r="J932" s="23"/>
      <c r="K932" s="9"/>
      <c r="L932" s="9"/>
      <c r="M932" s="9"/>
      <c r="N932" s="9"/>
      <c r="O932" s="9"/>
      <c r="P932" s="23"/>
      <c r="Q932" s="23"/>
      <c r="R932" s="24"/>
      <c r="S932" s="11">
        <f>SUMIF($G$4:$R$4,"&gt;=0",G932:R932)</f>
        <v>0</v>
      </c>
      <c r="T932" s="10">
        <f>SUM(G932:R932)</f>
        <v>0</v>
      </c>
    </row>
    <row r="933" spans="1:20" x14ac:dyDescent="0.3">
      <c r="A933" s="105"/>
      <c r="B933" s="108"/>
      <c r="C933" s="111"/>
      <c r="D933" s="111"/>
      <c r="E933" s="115"/>
      <c r="F933" s="29" t="s">
        <v>31</v>
      </c>
      <c r="G933" s="14"/>
      <c r="H933" s="14"/>
      <c r="I933" s="14"/>
      <c r="J933" s="14"/>
      <c r="K933" s="13"/>
      <c r="L933" s="13"/>
      <c r="M933" s="13"/>
      <c r="N933" s="13"/>
      <c r="O933" s="13"/>
      <c r="P933" s="14"/>
      <c r="Q933" s="14"/>
      <c r="R933" s="30"/>
      <c r="S933" s="16">
        <f>SUMIF($G$4:$R$4,"&gt;=0",G933:R933)</f>
        <v>0</v>
      </c>
      <c r="T933" s="17">
        <f t="shared" ref="T933" si="758">SUM(G933:R933)</f>
        <v>0</v>
      </c>
    </row>
    <row r="934" spans="1:20" ht="15" thickBot="1" x14ac:dyDescent="0.35">
      <c r="A934" s="105"/>
      <c r="B934" s="108"/>
      <c r="C934" s="111"/>
      <c r="D934" s="111"/>
      <c r="E934" s="115"/>
      <c r="F934" s="18" t="s">
        <v>32</v>
      </c>
      <c r="G934" s="19" t="e">
        <f>(G932-G933)/G932</f>
        <v>#DIV/0!</v>
      </c>
      <c r="H934" s="19" t="e">
        <f t="shared" ref="H934:S934" si="759">(H932-H933)/H932</f>
        <v>#DIV/0!</v>
      </c>
      <c r="I934" s="19" t="e">
        <f t="shared" si="759"/>
        <v>#DIV/0!</v>
      </c>
      <c r="J934" s="19" t="e">
        <f t="shared" si="759"/>
        <v>#DIV/0!</v>
      </c>
      <c r="K934" s="19" t="e">
        <f t="shared" si="759"/>
        <v>#DIV/0!</v>
      </c>
      <c r="L934" s="19" t="e">
        <f t="shared" si="759"/>
        <v>#DIV/0!</v>
      </c>
      <c r="M934" s="19" t="e">
        <f t="shared" si="759"/>
        <v>#DIV/0!</v>
      </c>
      <c r="N934" s="19" t="e">
        <f t="shared" si="759"/>
        <v>#DIV/0!</v>
      </c>
      <c r="O934" s="19" t="e">
        <f t="shared" si="759"/>
        <v>#DIV/0!</v>
      </c>
      <c r="P934" s="19" t="e">
        <f t="shared" si="759"/>
        <v>#DIV/0!</v>
      </c>
      <c r="Q934" s="19" t="e">
        <f t="shared" si="759"/>
        <v>#DIV/0!</v>
      </c>
      <c r="R934" s="25" t="e">
        <f t="shared" si="759"/>
        <v>#DIV/0!</v>
      </c>
      <c r="S934" s="21" t="e">
        <f t="shared" si="759"/>
        <v>#DIV/0!</v>
      </c>
      <c r="T934" s="22" t="e">
        <f t="shared" ref="T934" si="760">T932/T933</f>
        <v>#DIV/0!</v>
      </c>
    </row>
    <row r="935" spans="1:20" x14ac:dyDescent="0.3">
      <c r="A935" s="105"/>
      <c r="B935" s="108"/>
      <c r="C935" s="111"/>
      <c r="D935" s="111"/>
      <c r="E935" s="115"/>
      <c r="F935" s="31" t="s">
        <v>33</v>
      </c>
      <c r="G935" s="23"/>
      <c r="H935" s="23"/>
      <c r="I935" s="23"/>
      <c r="J935" s="23"/>
      <c r="K935" s="9"/>
      <c r="L935" s="9"/>
      <c r="M935" s="9"/>
      <c r="N935" s="9"/>
      <c r="O935" s="9"/>
      <c r="P935" s="23"/>
      <c r="Q935" s="23"/>
      <c r="R935" s="24"/>
      <c r="S935" s="11">
        <f>SUMIF($G$4:$R$4,"&gt;=0",G935:R935)</f>
        <v>0</v>
      </c>
      <c r="T935" s="10">
        <f>SUM(G935:R935)</f>
        <v>0</v>
      </c>
    </row>
    <row r="936" spans="1:20" x14ac:dyDescent="0.3">
      <c r="A936" s="105"/>
      <c r="B936" s="108"/>
      <c r="C936" s="111"/>
      <c r="D936" s="111"/>
      <c r="E936" s="115"/>
      <c r="F936" s="32" t="s">
        <v>34</v>
      </c>
      <c r="G936" s="14"/>
      <c r="H936" s="14"/>
      <c r="I936" s="14"/>
      <c r="J936" s="14"/>
      <c r="K936" s="13"/>
      <c r="L936" s="13"/>
      <c r="M936" s="13"/>
      <c r="N936" s="13"/>
      <c r="O936" s="13"/>
      <c r="P936" s="14"/>
      <c r="Q936" s="14"/>
      <c r="R936" s="30"/>
      <c r="S936" s="16">
        <f>SUMIF($G$4:$R$4,"&gt;=0",G936:R936)</f>
        <v>0</v>
      </c>
      <c r="T936" s="17">
        <f>SUM(G936:R936)</f>
        <v>0</v>
      </c>
    </row>
    <row r="937" spans="1:20" ht="15" thickBot="1" x14ac:dyDescent="0.35">
      <c r="A937" s="117"/>
      <c r="B937" s="109"/>
      <c r="C937" s="112"/>
      <c r="D937" s="113"/>
      <c r="E937" s="116"/>
      <c r="F937" s="21" t="s">
        <v>35</v>
      </c>
      <c r="G937" s="19" t="e">
        <f>(G936-G935)/G936</f>
        <v>#DIV/0!</v>
      </c>
      <c r="H937" s="19" t="e">
        <f t="shared" ref="H937:S937" si="761">(H936-H935)/H936</f>
        <v>#DIV/0!</v>
      </c>
      <c r="I937" s="19" t="e">
        <f t="shared" si="761"/>
        <v>#DIV/0!</v>
      </c>
      <c r="J937" s="19" t="e">
        <f t="shared" si="761"/>
        <v>#DIV/0!</v>
      </c>
      <c r="K937" s="19" t="e">
        <f t="shared" si="761"/>
        <v>#DIV/0!</v>
      </c>
      <c r="L937" s="19" t="e">
        <f t="shared" si="761"/>
        <v>#DIV/0!</v>
      </c>
      <c r="M937" s="19" t="e">
        <f t="shared" si="761"/>
        <v>#DIV/0!</v>
      </c>
      <c r="N937" s="19" t="e">
        <f t="shared" si="761"/>
        <v>#DIV/0!</v>
      </c>
      <c r="O937" s="19" t="e">
        <f t="shared" si="761"/>
        <v>#DIV/0!</v>
      </c>
      <c r="P937" s="19" t="e">
        <f t="shared" si="761"/>
        <v>#DIV/0!</v>
      </c>
      <c r="Q937" s="19" t="e">
        <f t="shared" si="761"/>
        <v>#DIV/0!</v>
      </c>
      <c r="R937" s="25" t="e">
        <f t="shared" si="761"/>
        <v>#DIV/0!</v>
      </c>
      <c r="S937" s="21" t="e">
        <f t="shared" si="761"/>
        <v>#DIV/0!</v>
      </c>
      <c r="T937" s="22" t="e">
        <f t="shared" ref="T937" si="762">T936/T935</f>
        <v>#DIV/0!</v>
      </c>
    </row>
    <row r="938" spans="1:20" x14ac:dyDescent="0.3">
      <c r="A938" s="104">
        <v>86</v>
      </c>
      <c r="B938" s="107"/>
      <c r="C938" s="110"/>
      <c r="D938" s="110"/>
      <c r="E938" s="114"/>
      <c r="F938" s="11" t="s">
        <v>25</v>
      </c>
      <c r="G938" s="23"/>
      <c r="H938" s="23"/>
      <c r="I938" s="23"/>
      <c r="J938" s="23"/>
      <c r="K938" s="9"/>
      <c r="L938" s="9"/>
      <c r="M938" s="9"/>
      <c r="N938" s="9"/>
      <c r="O938" s="9"/>
      <c r="P938" s="23"/>
      <c r="Q938" s="23"/>
      <c r="R938" s="24"/>
      <c r="S938" s="11">
        <f>SUMIF($G$4:$R$4,"&gt;=0",G938:R938)</f>
        <v>0</v>
      </c>
      <c r="T938" s="10">
        <f>SUM(G938:R938)</f>
        <v>0</v>
      </c>
    </row>
    <row r="939" spans="1:20" x14ac:dyDescent="0.3">
      <c r="A939" s="105"/>
      <c r="B939" s="108"/>
      <c r="C939" s="111"/>
      <c r="D939" s="111"/>
      <c r="E939" s="115"/>
      <c r="F939" s="12" t="s">
        <v>26</v>
      </c>
      <c r="G939" s="14"/>
      <c r="H939" s="14"/>
      <c r="I939" s="14"/>
      <c r="J939" s="14"/>
      <c r="K939" s="13"/>
      <c r="L939" s="13"/>
      <c r="M939" s="13"/>
      <c r="N939" s="13"/>
      <c r="O939" s="13"/>
      <c r="P939" s="14"/>
      <c r="Q939" s="14"/>
      <c r="R939" s="30"/>
      <c r="S939" s="16">
        <f>SUMIF($G$4:$R$4,"&gt;=0",G939:R939)</f>
        <v>0</v>
      </c>
      <c r="T939" s="17">
        <f t="shared" ref="T939" si="763">SUM(G939:R939)</f>
        <v>0</v>
      </c>
    </row>
    <row r="940" spans="1:20" ht="15" thickBot="1" x14ac:dyDescent="0.35">
      <c r="A940" s="105"/>
      <c r="B940" s="108"/>
      <c r="C940" s="111"/>
      <c r="D940" s="111"/>
      <c r="E940" s="115"/>
      <c r="F940" s="18" t="s">
        <v>27</v>
      </c>
      <c r="G940" s="19" t="e">
        <f>G939/G938</f>
        <v>#DIV/0!</v>
      </c>
      <c r="H940" s="19" t="e">
        <f t="shared" ref="H940:T940" si="764">H939/H938</f>
        <v>#DIV/0!</v>
      </c>
      <c r="I940" s="19" t="e">
        <f t="shared" si="764"/>
        <v>#DIV/0!</v>
      </c>
      <c r="J940" s="19" t="e">
        <f t="shared" si="764"/>
        <v>#DIV/0!</v>
      </c>
      <c r="K940" s="19" t="e">
        <f t="shared" si="764"/>
        <v>#DIV/0!</v>
      </c>
      <c r="L940" s="19" t="e">
        <f t="shared" si="764"/>
        <v>#DIV/0!</v>
      </c>
      <c r="M940" s="19" t="e">
        <f t="shared" si="764"/>
        <v>#DIV/0!</v>
      </c>
      <c r="N940" s="19" t="e">
        <f t="shared" si="764"/>
        <v>#DIV/0!</v>
      </c>
      <c r="O940" s="19" t="e">
        <f t="shared" si="764"/>
        <v>#DIV/0!</v>
      </c>
      <c r="P940" s="19" t="e">
        <f t="shared" si="764"/>
        <v>#DIV/0!</v>
      </c>
      <c r="Q940" s="19" t="e">
        <f t="shared" si="764"/>
        <v>#DIV/0!</v>
      </c>
      <c r="R940" s="25" t="e">
        <f t="shared" si="764"/>
        <v>#DIV/0!</v>
      </c>
      <c r="S940" s="21" t="e">
        <f t="shared" si="764"/>
        <v>#DIV/0!</v>
      </c>
      <c r="T940" s="22" t="e">
        <f t="shared" si="764"/>
        <v>#DIV/0!</v>
      </c>
    </row>
    <row r="941" spans="1:20" x14ac:dyDescent="0.3">
      <c r="A941" s="105"/>
      <c r="B941" s="108"/>
      <c r="C941" s="111"/>
      <c r="D941" s="111"/>
      <c r="E941" s="115"/>
      <c r="F941" s="11" t="s">
        <v>28</v>
      </c>
      <c r="G941" s="23"/>
      <c r="H941" s="23"/>
      <c r="I941" s="23"/>
      <c r="J941" s="23"/>
      <c r="K941" s="9"/>
      <c r="L941" s="9"/>
      <c r="M941" s="9"/>
      <c r="N941" s="9"/>
      <c r="O941" s="9"/>
      <c r="P941" s="23"/>
      <c r="Q941" s="23"/>
      <c r="R941" s="24"/>
      <c r="S941" s="11">
        <f>SUMIF($G$4:$R$4,"&gt;=0",G941:R941)</f>
        <v>0</v>
      </c>
      <c r="T941" s="10">
        <f>SUM(G941:R941)</f>
        <v>0</v>
      </c>
    </row>
    <row r="942" spans="1:20" ht="15" thickBot="1" x14ac:dyDescent="0.35">
      <c r="A942" s="105"/>
      <c r="B942" s="108"/>
      <c r="C942" s="111"/>
      <c r="D942" s="111"/>
      <c r="E942" s="115"/>
      <c r="F942" s="18" t="s">
        <v>29</v>
      </c>
      <c r="G942" s="19" t="e">
        <f>(G939-G941)/G939</f>
        <v>#DIV/0!</v>
      </c>
      <c r="H942" s="19" t="e">
        <f t="shared" ref="H942:S942" si="765">(H939-H941)/H939</f>
        <v>#DIV/0!</v>
      </c>
      <c r="I942" s="19" t="e">
        <f t="shared" si="765"/>
        <v>#DIV/0!</v>
      </c>
      <c r="J942" s="19" t="e">
        <f t="shared" si="765"/>
        <v>#DIV/0!</v>
      </c>
      <c r="K942" s="19" t="e">
        <f t="shared" si="765"/>
        <v>#DIV/0!</v>
      </c>
      <c r="L942" s="19" t="e">
        <f t="shared" si="765"/>
        <v>#DIV/0!</v>
      </c>
      <c r="M942" s="19" t="e">
        <f t="shared" si="765"/>
        <v>#DIV/0!</v>
      </c>
      <c r="N942" s="19" t="e">
        <f t="shared" si="765"/>
        <v>#DIV/0!</v>
      </c>
      <c r="O942" s="19" t="e">
        <f t="shared" si="765"/>
        <v>#DIV/0!</v>
      </c>
      <c r="P942" s="19" t="e">
        <f t="shared" si="765"/>
        <v>#DIV/0!</v>
      </c>
      <c r="Q942" s="19" t="e">
        <f t="shared" si="765"/>
        <v>#DIV/0!</v>
      </c>
      <c r="R942" s="25" t="e">
        <f t="shared" si="765"/>
        <v>#DIV/0!</v>
      </c>
      <c r="S942" s="21" t="e">
        <f t="shared" si="765"/>
        <v>#DIV/0!</v>
      </c>
      <c r="T942" s="22" t="e">
        <f t="shared" ref="T942" si="766">T939/T941</f>
        <v>#DIV/0!</v>
      </c>
    </row>
    <row r="943" spans="1:20" x14ac:dyDescent="0.3">
      <c r="A943" s="105"/>
      <c r="B943" s="108"/>
      <c r="C943" s="111"/>
      <c r="D943" s="111"/>
      <c r="E943" s="115"/>
      <c r="F943" s="26" t="s">
        <v>30</v>
      </c>
      <c r="G943" s="23"/>
      <c r="H943" s="23"/>
      <c r="I943" s="23"/>
      <c r="J943" s="23"/>
      <c r="K943" s="9"/>
      <c r="L943" s="9"/>
      <c r="M943" s="9"/>
      <c r="N943" s="9"/>
      <c r="O943" s="9"/>
      <c r="P943" s="23"/>
      <c r="Q943" s="23"/>
      <c r="R943" s="24"/>
      <c r="S943" s="11">
        <f>SUMIF($G$4:$R$4,"&gt;=0",G943:R943)</f>
        <v>0</v>
      </c>
      <c r="T943" s="10">
        <f>SUM(G943:R943)</f>
        <v>0</v>
      </c>
    </row>
    <row r="944" spans="1:20" x14ac:dyDescent="0.3">
      <c r="A944" s="105"/>
      <c r="B944" s="108"/>
      <c r="C944" s="111"/>
      <c r="D944" s="111"/>
      <c r="E944" s="115"/>
      <c r="F944" s="29" t="s">
        <v>31</v>
      </c>
      <c r="G944" s="14"/>
      <c r="H944" s="14"/>
      <c r="I944" s="14"/>
      <c r="J944" s="14"/>
      <c r="K944" s="13"/>
      <c r="L944" s="13"/>
      <c r="M944" s="13"/>
      <c r="N944" s="13"/>
      <c r="O944" s="13"/>
      <c r="P944" s="14"/>
      <c r="Q944" s="14"/>
      <c r="R944" s="30"/>
      <c r="S944" s="16">
        <f>SUMIF($G$4:$R$4,"&gt;=0",G944:R944)</f>
        <v>0</v>
      </c>
      <c r="T944" s="17">
        <f t="shared" ref="T944" si="767">SUM(G944:R944)</f>
        <v>0</v>
      </c>
    </row>
    <row r="945" spans="1:20" ht="15" thickBot="1" x14ac:dyDescent="0.35">
      <c r="A945" s="105"/>
      <c r="B945" s="108"/>
      <c r="C945" s="111"/>
      <c r="D945" s="111"/>
      <c r="E945" s="115"/>
      <c r="F945" s="18" t="s">
        <v>32</v>
      </c>
      <c r="G945" s="19" t="e">
        <f>(G943-G944)/G943</f>
        <v>#DIV/0!</v>
      </c>
      <c r="H945" s="19" t="e">
        <f t="shared" ref="H945:S945" si="768">(H943-H944)/H943</f>
        <v>#DIV/0!</v>
      </c>
      <c r="I945" s="19" t="e">
        <f t="shared" si="768"/>
        <v>#DIV/0!</v>
      </c>
      <c r="J945" s="19" t="e">
        <f t="shared" si="768"/>
        <v>#DIV/0!</v>
      </c>
      <c r="K945" s="19" t="e">
        <f t="shared" si="768"/>
        <v>#DIV/0!</v>
      </c>
      <c r="L945" s="19" t="e">
        <f t="shared" si="768"/>
        <v>#DIV/0!</v>
      </c>
      <c r="M945" s="19" t="e">
        <f t="shared" si="768"/>
        <v>#DIV/0!</v>
      </c>
      <c r="N945" s="19" t="e">
        <f t="shared" si="768"/>
        <v>#DIV/0!</v>
      </c>
      <c r="O945" s="19" t="e">
        <f t="shared" si="768"/>
        <v>#DIV/0!</v>
      </c>
      <c r="P945" s="19" t="e">
        <f t="shared" si="768"/>
        <v>#DIV/0!</v>
      </c>
      <c r="Q945" s="19" t="e">
        <f t="shared" si="768"/>
        <v>#DIV/0!</v>
      </c>
      <c r="R945" s="25" t="e">
        <f t="shared" si="768"/>
        <v>#DIV/0!</v>
      </c>
      <c r="S945" s="21" t="e">
        <f t="shared" si="768"/>
        <v>#DIV/0!</v>
      </c>
      <c r="T945" s="22" t="e">
        <f t="shared" ref="T945" si="769">T943/T944</f>
        <v>#DIV/0!</v>
      </c>
    </row>
    <row r="946" spans="1:20" x14ac:dyDescent="0.3">
      <c r="A946" s="105"/>
      <c r="B946" s="108"/>
      <c r="C946" s="111"/>
      <c r="D946" s="111"/>
      <c r="E946" s="115"/>
      <c r="F946" s="31" t="s">
        <v>33</v>
      </c>
      <c r="G946" s="23"/>
      <c r="H946" s="23"/>
      <c r="I946" s="23"/>
      <c r="J946" s="23"/>
      <c r="K946" s="9"/>
      <c r="L946" s="9"/>
      <c r="M946" s="9"/>
      <c r="N946" s="9"/>
      <c r="O946" s="9"/>
      <c r="P946" s="23"/>
      <c r="Q946" s="23"/>
      <c r="R946" s="24"/>
      <c r="S946" s="11">
        <f>SUMIF($G$4:$R$4,"&gt;=0",G946:R946)</f>
        <v>0</v>
      </c>
      <c r="T946" s="10">
        <f>SUM(G946:R946)</f>
        <v>0</v>
      </c>
    </row>
    <row r="947" spans="1:20" x14ac:dyDescent="0.3">
      <c r="A947" s="105"/>
      <c r="B947" s="108"/>
      <c r="C947" s="111"/>
      <c r="D947" s="111"/>
      <c r="E947" s="115"/>
      <c r="F947" s="32" t="s">
        <v>34</v>
      </c>
      <c r="G947" s="14"/>
      <c r="H947" s="14"/>
      <c r="I947" s="14"/>
      <c r="J947" s="14"/>
      <c r="K947" s="13"/>
      <c r="L947" s="13"/>
      <c r="M947" s="13"/>
      <c r="N947" s="13"/>
      <c r="O947" s="13"/>
      <c r="P947" s="14"/>
      <c r="Q947" s="14"/>
      <c r="R947" s="30"/>
      <c r="S947" s="16">
        <f>SUMIF($G$4:$R$4,"&gt;=0",G947:R947)</f>
        <v>0</v>
      </c>
      <c r="T947" s="17">
        <f>SUM(G947:R947)</f>
        <v>0</v>
      </c>
    </row>
    <row r="948" spans="1:20" ht="15" thickBot="1" x14ac:dyDescent="0.35">
      <c r="A948" s="117"/>
      <c r="B948" s="109"/>
      <c r="C948" s="112"/>
      <c r="D948" s="113"/>
      <c r="E948" s="116"/>
      <c r="F948" s="21" t="s">
        <v>35</v>
      </c>
      <c r="G948" s="19" t="e">
        <f>(G947-G946)/G947</f>
        <v>#DIV/0!</v>
      </c>
      <c r="H948" s="19" t="e">
        <f t="shared" ref="H948:S948" si="770">(H947-H946)/H947</f>
        <v>#DIV/0!</v>
      </c>
      <c r="I948" s="19" t="e">
        <f t="shared" si="770"/>
        <v>#DIV/0!</v>
      </c>
      <c r="J948" s="19" t="e">
        <f t="shared" si="770"/>
        <v>#DIV/0!</v>
      </c>
      <c r="K948" s="19" t="e">
        <f t="shared" si="770"/>
        <v>#DIV/0!</v>
      </c>
      <c r="L948" s="19" t="e">
        <f t="shared" si="770"/>
        <v>#DIV/0!</v>
      </c>
      <c r="M948" s="19" t="e">
        <f t="shared" si="770"/>
        <v>#DIV/0!</v>
      </c>
      <c r="N948" s="19" t="e">
        <f t="shared" si="770"/>
        <v>#DIV/0!</v>
      </c>
      <c r="O948" s="19" t="e">
        <f t="shared" si="770"/>
        <v>#DIV/0!</v>
      </c>
      <c r="P948" s="19" t="e">
        <f t="shared" si="770"/>
        <v>#DIV/0!</v>
      </c>
      <c r="Q948" s="19" t="e">
        <f t="shared" si="770"/>
        <v>#DIV/0!</v>
      </c>
      <c r="R948" s="25" t="e">
        <f t="shared" si="770"/>
        <v>#DIV/0!</v>
      </c>
      <c r="S948" s="21" t="e">
        <f t="shared" si="770"/>
        <v>#DIV/0!</v>
      </c>
      <c r="T948" s="22" t="e">
        <f t="shared" ref="T948" si="771">T947/T946</f>
        <v>#DIV/0!</v>
      </c>
    </row>
    <row r="949" spans="1:20" x14ac:dyDescent="0.3">
      <c r="A949" s="104">
        <v>87</v>
      </c>
      <c r="B949" s="107"/>
      <c r="C949" s="110"/>
      <c r="D949" s="110"/>
      <c r="E949" s="114"/>
      <c r="F949" s="11" t="s">
        <v>25</v>
      </c>
      <c r="G949" s="23"/>
      <c r="H949" s="23"/>
      <c r="I949" s="23"/>
      <c r="J949" s="23"/>
      <c r="K949" s="9"/>
      <c r="L949" s="9"/>
      <c r="M949" s="9"/>
      <c r="N949" s="9"/>
      <c r="O949" s="9"/>
      <c r="P949" s="23"/>
      <c r="Q949" s="23"/>
      <c r="R949" s="24"/>
      <c r="S949" s="11">
        <f>SUMIF($G$4:$R$4,"&gt;=0",G949:R949)</f>
        <v>0</v>
      </c>
      <c r="T949" s="10">
        <f>SUM(G949:R949)</f>
        <v>0</v>
      </c>
    </row>
    <row r="950" spans="1:20" x14ac:dyDescent="0.3">
      <c r="A950" s="105"/>
      <c r="B950" s="108"/>
      <c r="C950" s="111"/>
      <c r="D950" s="111"/>
      <c r="E950" s="115"/>
      <c r="F950" s="12" t="s">
        <v>26</v>
      </c>
      <c r="G950" s="14"/>
      <c r="H950" s="14"/>
      <c r="I950" s="14"/>
      <c r="J950" s="14"/>
      <c r="K950" s="13"/>
      <c r="L950" s="13"/>
      <c r="M950" s="13"/>
      <c r="N950" s="13"/>
      <c r="O950" s="13"/>
      <c r="P950" s="14"/>
      <c r="Q950" s="14"/>
      <c r="R950" s="30"/>
      <c r="S950" s="16">
        <f>SUMIF($G$4:$R$4,"&gt;=0",G950:R950)</f>
        <v>0</v>
      </c>
      <c r="T950" s="17">
        <f t="shared" ref="T950" si="772">SUM(G950:R950)</f>
        <v>0</v>
      </c>
    </row>
    <row r="951" spans="1:20" ht="15" thickBot="1" x14ac:dyDescent="0.35">
      <c r="A951" s="105"/>
      <c r="B951" s="108"/>
      <c r="C951" s="111"/>
      <c r="D951" s="111"/>
      <c r="E951" s="115"/>
      <c r="F951" s="18" t="s">
        <v>27</v>
      </c>
      <c r="G951" s="19" t="e">
        <f>G950/G949</f>
        <v>#DIV/0!</v>
      </c>
      <c r="H951" s="19" t="e">
        <f t="shared" ref="H951:T951" si="773">H950/H949</f>
        <v>#DIV/0!</v>
      </c>
      <c r="I951" s="19" t="e">
        <f t="shared" si="773"/>
        <v>#DIV/0!</v>
      </c>
      <c r="J951" s="19" t="e">
        <f t="shared" si="773"/>
        <v>#DIV/0!</v>
      </c>
      <c r="K951" s="19" t="e">
        <f t="shared" si="773"/>
        <v>#DIV/0!</v>
      </c>
      <c r="L951" s="19" t="e">
        <f t="shared" si="773"/>
        <v>#DIV/0!</v>
      </c>
      <c r="M951" s="19" t="e">
        <f t="shared" si="773"/>
        <v>#DIV/0!</v>
      </c>
      <c r="N951" s="19" t="e">
        <f t="shared" si="773"/>
        <v>#DIV/0!</v>
      </c>
      <c r="O951" s="19" t="e">
        <f t="shared" si="773"/>
        <v>#DIV/0!</v>
      </c>
      <c r="P951" s="19" t="e">
        <f t="shared" si="773"/>
        <v>#DIV/0!</v>
      </c>
      <c r="Q951" s="19" t="e">
        <f t="shared" si="773"/>
        <v>#DIV/0!</v>
      </c>
      <c r="R951" s="25" t="e">
        <f t="shared" si="773"/>
        <v>#DIV/0!</v>
      </c>
      <c r="S951" s="21" t="e">
        <f t="shared" si="773"/>
        <v>#DIV/0!</v>
      </c>
      <c r="T951" s="22" t="e">
        <f t="shared" si="773"/>
        <v>#DIV/0!</v>
      </c>
    </row>
    <row r="952" spans="1:20" x14ac:dyDescent="0.3">
      <c r="A952" s="105"/>
      <c r="B952" s="108"/>
      <c r="C952" s="111"/>
      <c r="D952" s="111"/>
      <c r="E952" s="115"/>
      <c r="F952" s="11" t="s">
        <v>28</v>
      </c>
      <c r="G952" s="23"/>
      <c r="H952" s="23"/>
      <c r="I952" s="23"/>
      <c r="J952" s="23"/>
      <c r="K952" s="9"/>
      <c r="L952" s="9"/>
      <c r="M952" s="9"/>
      <c r="N952" s="9"/>
      <c r="O952" s="9"/>
      <c r="P952" s="23"/>
      <c r="Q952" s="23"/>
      <c r="R952" s="24"/>
      <c r="S952" s="11">
        <f>SUMIF($G$4:$R$4,"&gt;=0",G952:R952)</f>
        <v>0</v>
      </c>
      <c r="T952" s="10">
        <f>SUM(G952:R952)</f>
        <v>0</v>
      </c>
    </row>
    <row r="953" spans="1:20" ht="15" thickBot="1" x14ac:dyDescent="0.35">
      <c r="A953" s="105"/>
      <c r="B953" s="108"/>
      <c r="C953" s="111"/>
      <c r="D953" s="111"/>
      <c r="E953" s="115"/>
      <c r="F953" s="18" t="s">
        <v>29</v>
      </c>
      <c r="G953" s="19" t="e">
        <f>(G950-G952)/G950</f>
        <v>#DIV/0!</v>
      </c>
      <c r="H953" s="19" t="e">
        <f t="shared" ref="H953:S953" si="774">(H950-H952)/H950</f>
        <v>#DIV/0!</v>
      </c>
      <c r="I953" s="19" t="e">
        <f t="shared" si="774"/>
        <v>#DIV/0!</v>
      </c>
      <c r="J953" s="19" t="e">
        <f t="shared" si="774"/>
        <v>#DIV/0!</v>
      </c>
      <c r="K953" s="19" t="e">
        <f t="shared" si="774"/>
        <v>#DIV/0!</v>
      </c>
      <c r="L953" s="19" t="e">
        <f t="shared" si="774"/>
        <v>#DIV/0!</v>
      </c>
      <c r="M953" s="19" t="e">
        <f t="shared" si="774"/>
        <v>#DIV/0!</v>
      </c>
      <c r="N953" s="19" t="e">
        <f t="shared" si="774"/>
        <v>#DIV/0!</v>
      </c>
      <c r="O953" s="19" t="e">
        <f t="shared" si="774"/>
        <v>#DIV/0!</v>
      </c>
      <c r="P953" s="19" t="e">
        <f t="shared" si="774"/>
        <v>#DIV/0!</v>
      </c>
      <c r="Q953" s="19" t="e">
        <f t="shared" si="774"/>
        <v>#DIV/0!</v>
      </c>
      <c r="R953" s="25" t="e">
        <f t="shared" si="774"/>
        <v>#DIV/0!</v>
      </c>
      <c r="S953" s="21" t="e">
        <f t="shared" si="774"/>
        <v>#DIV/0!</v>
      </c>
      <c r="T953" s="22" t="e">
        <f t="shared" ref="T953" si="775">T950/T952</f>
        <v>#DIV/0!</v>
      </c>
    </row>
    <row r="954" spans="1:20" x14ac:dyDescent="0.3">
      <c r="A954" s="105"/>
      <c r="B954" s="108"/>
      <c r="C954" s="111"/>
      <c r="D954" s="111"/>
      <c r="E954" s="115"/>
      <c r="F954" s="26" t="s">
        <v>30</v>
      </c>
      <c r="G954" s="23"/>
      <c r="H954" s="23"/>
      <c r="I954" s="23"/>
      <c r="J954" s="23"/>
      <c r="K954" s="9"/>
      <c r="L954" s="9"/>
      <c r="M954" s="9"/>
      <c r="N954" s="9"/>
      <c r="O954" s="9"/>
      <c r="P954" s="23"/>
      <c r="Q954" s="23"/>
      <c r="R954" s="24"/>
      <c r="S954" s="11">
        <f>SUMIF($G$4:$R$4,"&gt;=0",G954:R954)</f>
        <v>0</v>
      </c>
      <c r="T954" s="10">
        <f>SUM(G954:R954)</f>
        <v>0</v>
      </c>
    </row>
    <row r="955" spans="1:20" x14ac:dyDescent="0.3">
      <c r="A955" s="105"/>
      <c r="B955" s="108"/>
      <c r="C955" s="111"/>
      <c r="D955" s="111"/>
      <c r="E955" s="115"/>
      <c r="F955" s="29" t="s">
        <v>31</v>
      </c>
      <c r="G955" s="14"/>
      <c r="H955" s="14"/>
      <c r="I955" s="14"/>
      <c r="J955" s="14"/>
      <c r="K955" s="13"/>
      <c r="L955" s="13"/>
      <c r="M955" s="13"/>
      <c r="N955" s="13"/>
      <c r="O955" s="13"/>
      <c r="P955" s="14"/>
      <c r="Q955" s="14"/>
      <c r="R955" s="30"/>
      <c r="S955" s="16">
        <f>SUMIF($G$4:$R$4,"&gt;=0",G955:R955)</f>
        <v>0</v>
      </c>
      <c r="T955" s="17">
        <f t="shared" ref="T955" si="776">SUM(G955:R955)</f>
        <v>0</v>
      </c>
    </row>
    <row r="956" spans="1:20" ht="15" thickBot="1" x14ac:dyDescent="0.35">
      <c r="A956" s="105"/>
      <c r="B956" s="108"/>
      <c r="C956" s="111"/>
      <c r="D956" s="111"/>
      <c r="E956" s="115"/>
      <c r="F956" s="18" t="s">
        <v>32</v>
      </c>
      <c r="G956" s="19" t="e">
        <f>(G954-G955)/G954</f>
        <v>#DIV/0!</v>
      </c>
      <c r="H956" s="19" t="e">
        <f t="shared" ref="H956:S956" si="777">(H954-H955)/H954</f>
        <v>#DIV/0!</v>
      </c>
      <c r="I956" s="19" t="e">
        <f t="shared" si="777"/>
        <v>#DIV/0!</v>
      </c>
      <c r="J956" s="19" t="e">
        <f t="shared" si="777"/>
        <v>#DIV/0!</v>
      </c>
      <c r="K956" s="19" t="e">
        <f t="shared" si="777"/>
        <v>#DIV/0!</v>
      </c>
      <c r="L956" s="19" t="e">
        <f t="shared" si="777"/>
        <v>#DIV/0!</v>
      </c>
      <c r="M956" s="19" t="e">
        <f t="shared" si="777"/>
        <v>#DIV/0!</v>
      </c>
      <c r="N956" s="19" t="e">
        <f t="shared" si="777"/>
        <v>#DIV/0!</v>
      </c>
      <c r="O956" s="19" t="e">
        <f t="shared" si="777"/>
        <v>#DIV/0!</v>
      </c>
      <c r="P956" s="19" t="e">
        <f t="shared" si="777"/>
        <v>#DIV/0!</v>
      </c>
      <c r="Q956" s="19" t="e">
        <f t="shared" si="777"/>
        <v>#DIV/0!</v>
      </c>
      <c r="R956" s="25" t="e">
        <f t="shared" si="777"/>
        <v>#DIV/0!</v>
      </c>
      <c r="S956" s="21" t="e">
        <f t="shared" si="777"/>
        <v>#DIV/0!</v>
      </c>
      <c r="T956" s="22" t="e">
        <f t="shared" ref="T956" si="778">T954/T955</f>
        <v>#DIV/0!</v>
      </c>
    </row>
    <row r="957" spans="1:20" x14ac:dyDescent="0.3">
      <c r="A957" s="105"/>
      <c r="B957" s="108"/>
      <c r="C957" s="111"/>
      <c r="D957" s="111"/>
      <c r="E957" s="115"/>
      <c r="F957" s="31" t="s">
        <v>33</v>
      </c>
      <c r="G957" s="23"/>
      <c r="H957" s="23"/>
      <c r="I957" s="23"/>
      <c r="J957" s="23"/>
      <c r="K957" s="9"/>
      <c r="L957" s="9"/>
      <c r="M957" s="9"/>
      <c r="N957" s="9"/>
      <c r="O957" s="9"/>
      <c r="P957" s="23"/>
      <c r="Q957" s="23"/>
      <c r="R957" s="24"/>
      <c r="S957" s="11">
        <f>SUMIF($G$4:$R$4,"&gt;=0",G957:R957)</f>
        <v>0</v>
      </c>
      <c r="T957" s="10">
        <f>SUM(G957:R957)</f>
        <v>0</v>
      </c>
    </row>
    <row r="958" spans="1:20" x14ac:dyDescent="0.3">
      <c r="A958" s="105"/>
      <c r="B958" s="108"/>
      <c r="C958" s="111"/>
      <c r="D958" s="111"/>
      <c r="E958" s="115"/>
      <c r="F958" s="32" t="s">
        <v>34</v>
      </c>
      <c r="G958" s="14"/>
      <c r="H958" s="14"/>
      <c r="I958" s="14"/>
      <c r="J958" s="14"/>
      <c r="K958" s="13"/>
      <c r="L958" s="13"/>
      <c r="M958" s="13"/>
      <c r="N958" s="13"/>
      <c r="O958" s="13"/>
      <c r="P958" s="14"/>
      <c r="Q958" s="14"/>
      <c r="R958" s="30"/>
      <c r="S958" s="16">
        <f>SUMIF($G$4:$R$4,"&gt;=0",G958:R958)</f>
        <v>0</v>
      </c>
      <c r="T958" s="17">
        <f>SUM(G958:R958)</f>
        <v>0</v>
      </c>
    </row>
    <row r="959" spans="1:20" ht="15" thickBot="1" x14ac:dyDescent="0.35">
      <c r="A959" s="106"/>
      <c r="B959" s="109"/>
      <c r="C959" s="112"/>
      <c r="D959" s="113"/>
      <c r="E959" s="116"/>
      <c r="F959" s="21" t="s">
        <v>35</v>
      </c>
      <c r="G959" s="19" t="e">
        <f>(G958-G957)/G958</f>
        <v>#DIV/0!</v>
      </c>
      <c r="H959" s="19" t="e">
        <f t="shared" ref="H959:S959" si="779">(H958-H957)/H958</f>
        <v>#DIV/0!</v>
      </c>
      <c r="I959" s="19" t="e">
        <f t="shared" si="779"/>
        <v>#DIV/0!</v>
      </c>
      <c r="J959" s="19" t="e">
        <f t="shared" si="779"/>
        <v>#DIV/0!</v>
      </c>
      <c r="K959" s="19" t="e">
        <f t="shared" si="779"/>
        <v>#DIV/0!</v>
      </c>
      <c r="L959" s="19" t="e">
        <f t="shared" si="779"/>
        <v>#DIV/0!</v>
      </c>
      <c r="M959" s="19" t="e">
        <f t="shared" si="779"/>
        <v>#DIV/0!</v>
      </c>
      <c r="N959" s="19" t="e">
        <f t="shared" si="779"/>
        <v>#DIV/0!</v>
      </c>
      <c r="O959" s="19" t="e">
        <f t="shared" si="779"/>
        <v>#DIV/0!</v>
      </c>
      <c r="P959" s="19" t="e">
        <f t="shared" si="779"/>
        <v>#DIV/0!</v>
      </c>
      <c r="Q959" s="19" t="e">
        <f t="shared" si="779"/>
        <v>#DIV/0!</v>
      </c>
      <c r="R959" s="25" t="e">
        <f t="shared" si="779"/>
        <v>#DIV/0!</v>
      </c>
      <c r="S959" s="21" t="e">
        <f t="shared" si="779"/>
        <v>#DIV/0!</v>
      </c>
      <c r="T959" s="22" t="e">
        <f t="shared" ref="T959" si="780">T958/T957</f>
        <v>#DIV/0!</v>
      </c>
    </row>
    <row r="960" spans="1:20" x14ac:dyDescent="0.3">
      <c r="A960" s="104">
        <v>88</v>
      </c>
      <c r="B960" s="107"/>
      <c r="C960" s="110"/>
      <c r="D960" s="110"/>
      <c r="E960" s="114"/>
      <c r="F960" s="11" t="s">
        <v>25</v>
      </c>
      <c r="G960" s="23"/>
      <c r="H960" s="23"/>
      <c r="I960" s="23"/>
      <c r="J960" s="23"/>
      <c r="K960" s="9"/>
      <c r="L960" s="9"/>
      <c r="M960" s="9"/>
      <c r="N960" s="9"/>
      <c r="O960" s="9"/>
      <c r="P960" s="23"/>
      <c r="Q960" s="23"/>
      <c r="R960" s="24"/>
      <c r="S960" s="11">
        <f>SUMIF($G$4:$R$4,"&gt;=0",G960:R960)</f>
        <v>0</v>
      </c>
      <c r="T960" s="10">
        <f>SUM(G960:R960)</f>
        <v>0</v>
      </c>
    </row>
    <row r="961" spans="1:20" x14ac:dyDescent="0.3">
      <c r="A961" s="105"/>
      <c r="B961" s="108"/>
      <c r="C961" s="111"/>
      <c r="D961" s="111"/>
      <c r="E961" s="115"/>
      <c r="F961" s="12" t="s">
        <v>26</v>
      </c>
      <c r="G961" s="14"/>
      <c r="H961" s="14"/>
      <c r="I961" s="14"/>
      <c r="J961" s="14"/>
      <c r="K961" s="13"/>
      <c r="L961" s="13"/>
      <c r="M961" s="13"/>
      <c r="N961" s="13"/>
      <c r="O961" s="13"/>
      <c r="P961" s="14"/>
      <c r="Q961" s="14"/>
      <c r="R961" s="30"/>
      <c r="S961" s="16">
        <f>SUMIF($G$4:$R$4,"&gt;=0",G961:R961)</f>
        <v>0</v>
      </c>
      <c r="T961" s="17">
        <f t="shared" ref="T961" si="781">SUM(G961:R961)</f>
        <v>0</v>
      </c>
    </row>
    <row r="962" spans="1:20" ht="15" thickBot="1" x14ac:dyDescent="0.35">
      <c r="A962" s="105"/>
      <c r="B962" s="108"/>
      <c r="C962" s="111"/>
      <c r="D962" s="111"/>
      <c r="E962" s="115"/>
      <c r="F962" s="18" t="s">
        <v>27</v>
      </c>
      <c r="G962" s="19" t="e">
        <f>G961/G960</f>
        <v>#DIV/0!</v>
      </c>
      <c r="H962" s="19" t="e">
        <f t="shared" ref="H962:T962" si="782">H961/H960</f>
        <v>#DIV/0!</v>
      </c>
      <c r="I962" s="19" t="e">
        <f t="shared" si="782"/>
        <v>#DIV/0!</v>
      </c>
      <c r="J962" s="19" t="e">
        <f t="shared" si="782"/>
        <v>#DIV/0!</v>
      </c>
      <c r="K962" s="19" t="e">
        <f t="shared" si="782"/>
        <v>#DIV/0!</v>
      </c>
      <c r="L962" s="19" t="e">
        <f t="shared" si="782"/>
        <v>#DIV/0!</v>
      </c>
      <c r="M962" s="19" t="e">
        <f t="shared" si="782"/>
        <v>#DIV/0!</v>
      </c>
      <c r="N962" s="19" t="e">
        <f t="shared" si="782"/>
        <v>#DIV/0!</v>
      </c>
      <c r="O962" s="19" t="e">
        <f t="shared" si="782"/>
        <v>#DIV/0!</v>
      </c>
      <c r="P962" s="19" t="e">
        <f t="shared" si="782"/>
        <v>#DIV/0!</v>
      </c>
      <c r="Q962" s="19" t="e">
        <f t="shared" si="782"/>
        <v>#DIV/0!</v>
      </c>
      <c r="R962" s="25" t="e">
        <f t="shared" si="782"/>
        <v>#DIV/0!</v>
      </c>
      <c r="S962" s="21" t="e">
        <f t="shared" si="782"/>
        <v>#DIV/0!</v>
      </c>
      <c r="T962" s="22" t="e">
        <f t="shared" si="782"/>
        <v>#DIV/0!</v>
      </c>
    </row>
    <row r="963" spans="1:20" x14ac:dyDescent="0.3">
      <c r="A963" s="105"/>
      <c r="B963" s="108"/>
      <c r="C963" s="111"/>
      <c r="D963" s="111"/>
      <c r="E963" s="115"/>
      <c r="F963" s="11" t="s">
        <v>28</v>
      </c>
      <c r="G963" s="23"/>
      <c r="H963" s="23"/>
      <c r="I963" s="23"/>
      <c r="J963" s="23"/>
      <c r="K963" s="9"/>
      <c r="L963" s="9"/>
      <c r="M963" s="9"/>
      <c r="N963" s="9"/>
      <c r="O963" s="9"/>
      <c r="P963" s="23"/>
      <c r="Q963" s="23"/>
      <c r="R963" s="24"/>
      <c r="S963" s="11">
        <f>SUMIF($G$4:$R$4,"&gt;=0",G963:R963)</f>
        <v>0</v>
      </c>
      <c r="T963" s="10">
        <f>SUM(G963:R963)</f>
        <v>0</v>
      </c>
    </row>
    <row r="964" spans="1:20" ht="15" thickBot="1" x14ac:dyDescent="0.35">
      <c r="A964" s="105"/>
      <c r="B964" s="108"/>
      <c r="C964" s="111"/>
      <c r="D964" s="111"/>
      <c r="E964" s="115"/>
      <c r="F964" s="18" t="s">
        <v>29</v>
      </c>
      <c r="G964" s="19" t="e">
        <f>(G961-G963)/G961</f>
        <v>#DIV/0!</v>
      </c>
      <c r="H964" s="19" t="e">
        <f t="shared" ref="H964:S964" si="783">(H961-H963)/H961</f>
        <v>#DIV/0!</v>
      </c>
      <c r="I964" s="19" t="e">
        <f t="shared" si="783"/>
        <v>#DIV/0!</v>
      </c>
      <c r="J964" s="19" t="e">
        <f t="shared" si="783"/>
        <v>#DIV/0!</v>
      </c>
      <c r="K964" s="19" t="e">
        <f t="shared" si="783"/>
        <v>#DIV/0!</v>
      </c>
      <c r="L964" s="19" t="e">
        <f t="shared" si="783"/>
        <v>#DIV/0!</v>
      </c>
      <c r="M964" s="19" t="e">
        <f t="shared" si="783"/>
        <v>#DIV/0!</v>
      </c>
      <c r="N964" s="19" t="e">
        <f t="shared" si="783"/>
        <v>#DIV/0!</v>
      </c>
      <c r="O964" s="19" t="e">
        <f t="shared" si="783"/>
        <v>#DIV/0!</v>
      </c>
      <c r="P964" s="19" t="e">
        <f t="shared" si="783"/>
        <v>#DIV/0!</v>
      </c>
      <c r="Q964" s="19" t="e">
        <f t="shared" si="783"/>
        <v>#DIV/0!</v>
      </c>
      <c r="R964" s="25" t="e">
        <f t="shared" si="783"/>
        <v>#DIV/0!</v>
      </c>
      <c r="S964" s="21" t="e">
        <f t="shared" si="783"/>
        <v>#DIV/0!</v>
      </c>
      <c r="T964" s="22" t="e">
        <f t="shared" ref="T964" si="784">T961/T963</f>
        <v>#DIV/0!</v>
      </c>
    </row>
    <row r="965" spans="1:20" x14ac:dyDescent="0.3">
      <c r="A965" s="105"/>
      <c r="B965" s="108"/>
      <c r="C965" s="111"/>
      <c r="D965" s="111"/>
      <c r="E965" s="115"/>
      <c r="F965" s="26" t="s">
        <v>30</v>
      </c>
      <c r="G965" s="23"/>
      <c r="H965" s="23"/>
      <c r="I965" s="23"/>
      <c r="J965" s="23"/>
      <c r="K965" s="9"/>
      <c r="L965" s="9"/>
      <c r="M965" s="9"/>
      <c r="N965" s="9"/>
      <c r="O965" s="9"/>
      <c r="P965" s="23"/>
      <c r="Q965" s="23"/>
      <c r="R965" s="24"/>
      <c r="S965" s="11">
        <f>SUMIF($G$4:$R$4,"&gt;=0",G965:R965)</f>
        <v>0</v>
      </c>
      <c r="T965" s="10">
        <f>SUM(G965:R965)</f>
        <v>0</v>
      </c>
    </row>
    <row r="966" spans="1:20" x14ac:dyDescent="0.3">
      <c r="A966" s="105"/>
      <c r="B966" s="108"/>
      <c r="C966" s="111"/>
      <c r="D966" s="111"/>
      <c r="E966" s="115"/>
      <c r="F966" s="29" t="s">
        <v>31</v>
      </c>
      <c r="G966" s="14"/>
      <c r="H966" s="14"/>
      <c r="I966" s="14"/>
      <c r="J966" s="14"/>
      <c r="K966" s="13"/>
      <c r="L966" s="13"/>
      <c r="M966" s="13"/>
      <c r="N966" s="13"/>
      <c r="O966" s="13"/>
      <c r="P966" s="14"/>
      <c r="Q966" s="14"/>
      <c r="R966" s="30"/>
      <c r="S966" s="16">
        <f>SUMIF($G$4:$R$4,"&gt;=0",G966:R966)</f>
        <v>0</v>
      </c>
      <c r="T966" s="17">
        <f t="shared" ref="T966" si="785">SUM(G966:R966)</f>
        <v>0</v>
      </c>
    </row>
    <row r="967" spans="1:20" ht="15" thickBot="1" x14ac:dyDescent="0.35">
      <c r="A967" s="105"/>
      <c r="B967" s="108"/>
      <c r="C967" s="111"/>
      <c r="D967" s="111"/>
      <c r="E967" s="115"/>
      <c r="F967" s="18" t="s">
        <v>32</v>
      </c>
      <c r="G967" s="19" t="e">
        <f>(G965-G966)/G965</f>
        <v>#DIV/0!</v>
      </c>
      <c r="H967" s="19" t="e">
        <f t="shared" ref="H967:S967" si="786">(H965-H966)/H965</f>
        <v>#DIV/0!</v>
      </c>
      <c r="I967" s="19" t="e">
        <f t="shared" si="786"/>
        <v>#DIV/0!</v>
      </c>
      <c r="J967" s="19" t="e">
        <f t="shared" si="786"/>
        <v>#DIV/0!</v>
      </c>
      <c r="K967" s="19" t="e">
        <f t="shared" si="786"/>
        <v>#DIV/0!</v>
      </c>
      <c r="L967" s="19" t="e">
        <f t="shared" si="786"/>
        <v>#DIV/0!</v>
      </c>
      <c r="M967" s="19" t="e">
        <f t="shared" si="786"/>
        <v>#DIV/0!</v>
      </c>
      <c r="N967" s="19" t="e">
        <f t="shared" si="786"/>
        <v>#DIV/0!</v>
      </c>
      <c r="O967" s="19" t="e">
        <f t="shared" si="786"/>
        <v>#DIV/0!</v>
      </c>
      <c r="P967" s="19" t="e">
        <f t="shared" si="786"/>
        <v>#DIV/0!</v>
      </c>
      <c r="Q967" s="19" t="e">
        <f t="shared" si="786"/>
        <v>#DIV/0!</v>
      </c>
      <c r="R967" s="25" t="e">
        <f t="shared" si="786"/>
        <v>#DIV/0!</v>
      </c>
      <c r="S967" s="21" t="e">
        <f t="shared" si="786"/>
        <v>#DIV/0!</v>
      </c>
      <c r="T967" s="22" t="e">
        <f t="shared" ref="T967" si="787">T965/T966</f>
        <v>#DIV/0!</v>
      </c>
    </row>
    <row r="968" spans="1:20" x14ac:dyDescent="0.3">
      <c r="A968" s="105"/>
      <c r="B968" s="108"/>
      <c r="C968" s="111"/>
      <c r="D968" s="111"/>
      <c r="E968" s="115"/>
      <c r="F968" s="31" t="s">
        <v>33</v>
      </c>
      <c r="G968" s="23"/>
      <c r="H968" s="23"/>
      <c r="I968" s="23"/>
      <c r="J968" s="23"/>
      <c r="K968" s="9"/>
      <c r="L968" s="9"/>
      <c r="M968" s="9"/>
      <c r="N968" s="9"/>
      <c r="O968" s="9"/>
      <c r="P968" s="23"/>
      <c r="Q968" s="23"/>
      <c r="R968" s="24"/>
      <c r="S968" s="11">
        <f>SUMIF($G$4:$R$4,"&gt;=0",G968:R968)</f>
        <v>0</v>
      </c>
      <c r="T968" s="10">
        <f>SUM(G968:R968)</f>
        <v>0</v>
      </c>
    </row>
    <row r="969" spans="1:20" x14ac:dyDescent="0.3">
      <c r="A969" s="105"/>
      <c r="B969" s="108"/>
      <c r="C969" s="111"/>
      <c r="D969" s="111"/>
      <c r="E969" s="115"/>
      <c r="F969" s="32" t="s">
        <v>34</v>
      </c>
      <c r="G969" s="14"/>
      <c r="H969" s="14"/>
      <c r="I969" s="14"/>
      <c r="J969" s="14"/>
      <c r="K969" s="13"/>
      <c r="L969" s="13"/>
      <c r="M969" s="13"/>
      <c r="N969" s="13"/>
      <c r="O969" s="13"/>
      <c r="P969" s="14"/>
      <c r="Q969" s="14"/>
      <c r="R969" s="30"/>
      <c r="S969" s="16">
        <f>SUMIF($G$4:$R$4,"&gt;=0",G969:R969)</f>
        <v>0</v>
      </c>
      <c r="T969" s="17">
        <f>SUM(G969:R969)</f>
        <v>0</v>
      </c>
    </row>
    <row r="970" spans="1:20" ht="15" thickBot="1" x14ac:dyDescent="0.35">
      <c r="A970" s="117"/>
      <c r="B970" s="109"/>
      <c r="C970" s="112"/>
      <c r="D970" s="113"/>
      <c r="E970" s="116"/>
      <c r="F970" s="21" t="s">
        <v>35</v>
      </c>
      <c r="G970" s="19" t="e">
        <f>(G969-G968)/G969</f>
        <v>#DIV/0!</v>
      </c>
      <c r="H970" s="19" t="e">
        <f t="shared" ref="H970:S970" si="788">(H969-H968)/H969</f>
        <v>#DIV/0!</v>
      </c>
      <c r="I970" s="19" t="e">
        <f t="shared" si="788"/>
        <v>#DIV/0!</v>
      </c>
      <c r="J970" s="19" t="e">
        <f t="shared" si="788"/>
        <v>#DIV/0!</v>
      </c>
      <c r="K970" s="19" t="e">
        <f t="shared" si="788"/>
        <v>#DIV/0!</v>
      </c>
      <c r="L970" s="19" t="e">
        <f t="shared" si="788"/>
        <v>#DIV/0!</v>
      </c>
      <c r="M970" s="19" t="e">
        <f t="shared" si="788"/>
        <v>#DIV/0!</v>
      </c>
      <c r="N970" s="19" t="e">
        <f t="shared" si="788"/>
        <v>#DIV/0!</v>
      </c>
      <c r="O970" s="19" t="e">
        <f t="shared" si="788"/>
        <v>#DIV/0!</v>
      </c>
      <c r="P970" s="19" t="e">
        <f t="shared" si="788"/>
        <v>#DIV/0!</v>
      </c>
      <c r="Q970" s="19" t="e">
        <f t="shared" si="788"/>
        <v>#DIV/0!</v>
      </c>
      <c r="R970" s="25" t="e">
        <f t="shared" si="788"/>
        <v>#DIV/0!</v>
      </c>
      <c r="S970" s="21" t="e">
        <f t="shared" si="788"/>
        <v>#DIV/0!</v>
      </c>
      <c r="T970" s="22" t="e">
        <f t="shared" ref="T970" si="789">T969/T968</f>
        <v>#DIV/0!</v>
      </c>
    </row>
    <row r="971" spans="1:20" ht="18" customHeight="1" x14ac:dyDescent="0.3">
      <c r="A971" s="98" t="s">
        <v>41</v>
      </c>
      <c r="B971" s="99"/>
      <c r="C971" s="99"/>
      <c r="D971" s="99"/>
      <c r="E971" s="99"/>
      <c r="F971" s="100"/>
      <c r="G971" s="11">
        <f t="shared" ref="G971:R971" si="790">SUM(G4,G15,G26)</f>
        <v>5268263.5999999996</v>
      </c>
      <c r="H971" s="9">
        <f t="shared" si="790"/>
        <v>4232687.43</v>
      </c>
      <c r="I971" s="9">
        <f t="shared" si="790"/>
        <v>4831594.3599999994</v>
      </c>
      <c r="J971" s="9">
        <f t="shared" si="790"/>
        <v>4716231.9799999995</v>
      </c>
      <c r="K971" s="9">
        <f t="shared" si="790"/>
        <v>4302047.1400000006</v>
      </c>
      <c r="L971" s="9">
        <f t="shared" si="790"/>
        <v>4276436.8099999996</v>
      </c>
      <c r="M971" s="9">
        <f t="shared" si="790"/>
        <v>0</v>
      </c>
      <c r="N971" s="9">
        <f t="shared" si="790"/>
        <v>0</v>
      </c>
      <c r="O971" s="9">
        <f t="shared" si="790"/>
        <v>0</v>
      </c>
      <c r="P971" s="9">
        <f t="shared" si="790"/>
        <v>0</v>
      </c>
      <c r="Q971" s="9">
        <f t="shared" si="790"/>
        <v>0</v>
      </c>
      <c r="R971" s="34">
        <f t="shared" si="790"/>
        <v>0</v>
      </c>
      <c r="S971" s="35">
        <f>SUM(G971:H971)</f>
        <v>9500951.0299999993</v>
      </c>
      <c r="T971" s="36">
        <f>SUM(H971:S971)</f>
        <v>31859948.75</v>
      </c>
    </row>
    <row r="972" spans="1:20" ht="18" customHeight="1" x14ac:dyDescent="0.3">
      <c r="A972" s="101" t="s">
        <v>42</v>
      </c>
      <c r="B972" s="102"/>
      <c r="C972" s="102"/>
      <c r="D972" s="102"/>
      <c r="E972" s="102"/>
      <c r="F972" s="103"/>
      <c r="G972" s="16">
        <f t="shared" ref="G972:R972" si="791">SUM(G8,G19,G30)</f>
        <v>13331583.552799989</v>
      </c>
      <c r="H972" s="37">
        <f t="shared" si="791"/>
        <v>9662495.3902999964</v>
      </c>
      <c r="I972" s="37">
        <f t="shared" si="791"/>
        <v>11030376.693299972</v>
      </c>
      <c r="J972" s="37">
        <f t="shared" si="791"/>
        <v>0</v>
      </c>
      <c r="K972" s="37">
        <f t="shared" si="791"/>
        <v>0</v>
      </c>
      <c r="L972" s="37">
        <f t="shared" si="791"/>
        <v>0</v>
      </c>
      <c r="M972" s="37">
        <f t="shared" si="791"/>
        <v>0</v>
      </c>
      <c r="N972" s="37">
        <f t="shared" si="791"/>
        <v>0</v>
      </c>
      <c r="O972" s="37">
        <f t="shared" si="791"/>
        <v>0</v>
      </c>
      <c r="P972" s="37">
        <f t="shared" si="791"/>
        <v>0</v>
      </c>
      <c r="Q972" s="37">
        <f t="shared" si="791"/>
        <v>0</v>
      </c>
      <c r="R972" s="38">
        <f t="shared" si="791"/>
        <v>0</v>
      </c>
      <c r="S972" s="39">
        <f>SUM(G972:H972)</f>
        <v>22994078.943099983</v>
      </c>
      <c r="T972" s="40">
        <f t="shared" ref="T972:T973" si="792">SUM(H972:S972)</f>
        <v>43686951.026699953</v>
      </c>
    </row>
    <row r="973" spans="1:20" ht="18" customHeight="1" thickBot="1" x14ac:dyDescent="0.35">
      <c r="A973" s="95" t="s">
        <v>43</v>
      </c>
      <c r="B973" s="96"/>
      <c r="C973" s="96"/>
      <c r="D973" s="96"/>
      <c r="E973" s="96"/>
      <c r="F973" s="97"/>
      <c r="G973" s="18">
        <f t="shared" ref="G973:R973" si="793">SUM(G6,G17,G28)</f>
        <v>5178534.0999999996</v>
      </c>
      <c r="H973" s="41">
        <f t="shared" si="793"/>
        <v>4620890.2</v>
      </c>
      <c r="I973" s="41">
        <f t="shared" si="793"/>
        <v>5787510.0999999996</v>
      </c>
      <c r="J973" s="41">
        <f t="shared" si="793"/>
        <v>5631782.7999999998</v>
      </c>
      <c r="K973" s="41">
        <f t="shared" si="793"/>
        <v>5256307.4000000004</v>
      </c>
      <c r="L973" s="41">
        <f t="shared" si="793"/>
        <v>4843419.0384999998</v>
      </c>
      <c r="M973" s="41">
        <f t="shared" si="793"/>
        <v>5648038.9094000002</v>
      </c>
      <c r="N973" s="41">
        <f t="shared" si="793"/>
        <v>6071808.3199999463</v>
      </c>
      <c r="O973" s="41">
        <f t="shared" si="793"/>
        <v>5703636.2150000539</v>
      </c>
      <c r="P973" s="41">
        <f t="shared" si="793"/>
        <v>5502399.7999999998</v>
      </c>
      <c r="Q973" s="41">
        <f t="shared" si="793"/>
        <v>5151030.29</v>
      </c>
      <c r="R973" s="42">
        <f t="shared" si="793"/>
        <v>5151849.25</v>
      </c>
      <c r="S973" s="43">
        <f>SUM(G973:H973)</f>
        <v>9799424.3000000007</v>
      </c>
      <c r="T973" s="44">
        <f t="shared" si="792"/>
        <v>69168096.622899994</v>
      </c>
    </row>
  </sheetData>
  <mergeCells count="444">
    <mergeCell ref="A960:A970"/>
    <mergeCell ref="B960:B970"/>
    <mergeCell ref="C960:C970"/>
    <mergeCell ref="D960:D970"/>
    <mergeCell ref="E960:E970"/>
    <mergeCell ref="A949:A959"/>
    <mergeCell ref="B949:B959"/>
    <mergeCell ref="C949:C959"/>
    <mergeCell ref="D949:D959"/>
    <mergeCell ref="E949:E959"/>
    <mergeCell ref="A938:A948"/>
    <mergeCell ref="B938:B948"/>
    <mergeCell ref="C938:C948"/>
    <mergeCell ref="D938:D948"/>
    <mergeCell ref="E938:E948"/>
    <mergeCell ref="A927:A937"/>
    <mergeCell ref="B927:B937"/>
    <mergeCell ref="C927:C937"/>
    <mergeCell ref="D927:D937"/>
    <mergeCell ref="E927:E937"/>
    <mergeCell ref="A916:A926"/>
    <mergeCell ref="B916:B926"/>
    <mergeCell ref="C916:C926"/>
    <mergeCell ref="D916:D926"/>
    <mergeCell ref="E916:E926"/>
    <mergeCell ref="A905:A915"/>
    <mergeCell ref="B905:B915"/>
    <mergeCell ref="C905:C915"/>
    <mergeCell ref="D905:D915"/>
    <mergeCell ref="E905:E915"/>
    <mergeCell ref="A894:A904"/>
    <mergeCell ref="B894:B904"/>
    <mergeCell ref="C894:C904"/>
    <mergeCell ref="D894:D904"/>
    <mergeCell ref="E894:E904"/>
    <mergeCell ref="A883:A893"/>
    <mergeCell ref="B883:B893"/>
    <mergeCell ref="C883:C893"/>
    <mergeCell ref="D883:D893"/>
    <mergeCell ref="E883:E893"/>
    <mergeCell ref="A872:A882"/>
    <mergeCell ref="B872:B882"/>
    <mergeCell ref="C872:C882"/>
    <mergeCell ref="D872:D882"/>
    <mergeCell ref="E872:E882"/>
    <mergeCell ref="A861:A871"/>
    <mergeCell ref="B861:B871"/>
    <mergeCell ref="C861:C871"/>
    <mergeCell ref="D861:D871"/>
    <mergeCell ref="E861:E871"/>
    <mergeCell ref="A850:A860"/>
    <mergeCell ref="B850:B860"/>
    <mergeCell ref="C850:C860"/>
    <mergeCell ref="D850:D860"/>
    <mergeCell ref="E850:E860"/>
    <mergeCell ref="A839:A849"/>
    <mergeCell ref="B839:B849"/>
    <mergeCell ref="C839:C849"/>
    <mergeCell ref="D839:D849"/>
    <mergeCell ref="E839:E849"/>
    <mergeCell ref="A828:A838"/>
    <mergeCell ref="B828:B838"/>
    <mergeCell ref="C828:C838"/>
    <mergeCell ref="D828:D838"/>
    <mergeCell ref="E828:E838"/>
    <mergeCell ref="A817:A827"/>
    <mergeCell ref="B817:B827"/>
    <mergeCell ref="C817:C827"/>
    <mergeCell ref="D817:D827"/>
    <mergeCell ref="E817:E827"/>
    <mergeCell ref="A806:A816"/>
    <mergeCell ref="B806:B816"/>
    <mergeCell ref="C806:C816"/>
    <mergeCell ref="D806:D816"/>
    <mergeCell ref="E806:E816"/>
    <mergeCell ref="A795:A805"/>
    <mergeCell ref="B795:B805"/>
    <mergeCell ref="C795:C805"/>
    <mergeCell ref="D795:D805"/>
    <mergeCell ref="E795:E805"/>
    <mergeCell ref="A784:A794"/>
    <mergeCell ref="B784:B794"/>
    <mergeCell ref="C784:C794"/>
    <mergeCell ref="D784:D794"/>
    <mergeCell ref="E784:E794"/>
    <mergeCell ref="A773:A783"/>
    <mergeCell ref="B773:B783"/>
    <mergeCell ref="C773:C783"/>
    <mergeCell ref="D773:D783"/>
    <mergeCell ref="E773:E783"/>
    <mergeCell ref="A762:A772"/>
    <mergeCell ref="B762:B772"/>
    <mergeCell ref="C762:C772"/>
    <mergeCell ref="D762:D772"/>
    <mergeCell ref="E762:E772"/>
    <mergeCell ref="A751:A761"/>
    <mergeCell ref="B751:B761"/>
    <mergeCell ref="C751:C761"/>
    <mergeCell ref="D751:D761"/>
    <mergeCell ref="E751:E761"/>
    <mergeCell ref="A740:A750"/>
    <mergeCell ref="B740:B750"/>
    <mergeCell ref="C740:C750"/>
    <mergeCell ref="D740:D750"/>
    <mergeCell ref="E740:E750"/>
    <mergeCell ref="A729:A739"/>
    <mergeCell ref="B729:B739"/>
    <mergeCell ref="C729:C739"/>
    <mergeCell ref="D729:D739"/>
    <mergeCell ref="E729:E739"/>
    <mergeCell ref="A718:A728"/>
    <mergeCell ref="B718:B728"/>
    <mergeCell ref="C718:C728"/>
    <mergeCell ref="D718:D728"/>
    <mergeCell ref="E718:E728"/>
    <mergeCell ref="A707:A717"/>
    <mergeCell ref="B707:B717"/>
    <mergeCell ref="C707:C717"/>
    <mergeCell ref="D707:D717"/>
    <mergeCell ref="E707:E717"/>
    <mergeCell ref="A696:A706"/>
    <mergeCell ref="B696:B706"/>
    <mergeCell ref="C696:C706"/>
    <mergeCell ref="D696:D706"/>
    <mergeCell ref="E696:E706"/>
    <mergeCell ref="A674:A684"/>
    <mergeCell ref="B674:B684"/>
    <mergeCell ref="C674:C684"/>
    <mergeCell ref="D674:D684"/>
    <mergeCell ref="E674:E684"/>
    <mergeCell ref="A685:A695"/>
    <mergeCell ref="B685:B695"/>
    <mergeCell ref="C685:C695"/>
    <mergeCell ref="D685:D695"/>
    <mergeCell ref="E685:E695"/>
    <mergeCell ref="A663:A673"/>
    <mergeCell ref="B663:B673"/>
    <mergeCell ref="C663:C673"/>
    <mergeCell ref="D663:D673"/>
    <mergeCell ref="E663:E673"/>
    <mergeCell ref="A652:A662"/>
    <mergeCell ref="B652:B662"/>
    <mergeCell ref="C652:C662"/>
    <mergeCell ref="D652:D662"/>
    <mergeCell ref="E652:E662"/>
    <mergeCell ref="A641:A651"/>
    <mergeCell ref="B641:B651"/>
    <mergeCell ref="C641:C651"/>
    <mergeCell ref="D641:D651"/>
    <mergeCell ref="E641:E651"/>
    <mergeCell ref="A630:A640"/>
    <mergeCell ref="B630:B640"/>
    <mergeCell ref="C630:C640"/>
    <mergeCell ref="D630:D640"/>
    <mergeCell ref="E630:E640"/>
    <mergeCell ref="A619:A629"/>
    <mergeCell ref="B619:B629"/>
    <mergeCell ref="C619:C629"/>
    <mergeCell ref="D619:D629"/>
    <mergeCell ref="E619:E629"/>
    <mergeCell ref="A608:A618"/>
    <mergeCell ref="B608:B618"/>
    <mergeCell ref="C608:C618"/>
    <mergeCell ref="D608:D618"/>
    <mergeCell ref="E608:E618"/>
    <mergeCell ref="A597:A607"/>
    <mergeCell ref="B597:B607"/>
    <mergeCell ref="C597:C607"/>
    <mergeCell ref="D597:D607"/>
    <mergeCell ref="E597:E607"/>
    <mergeCell ref="A586:A596"/>
    <mergeCell ref="B586:B596"/>
    <mergeCell ref="C586:C596"/>
    <mergeCell ref="D586:D596"/>
    <mergeCell ref="E586:E596"/>
    <mergeCell ref="A575:A585"/>
    <mergeCell ref="B575:B585"/>
    <mergeCell ref="C575:C585"/>
    <mergeCell ref="D575:D585"/>
    <mergeCell ref="E575:E585"/>
    <mergeCell ref="A564:A574"/>
    <mergeCell ref="B564:B574"/>
    <mergeCell ref="C564:C574"/>
    <mergeCell ref="D564:D574"/>
    <mergeCell ref="E564:E574"/>
    <mergeCell ref="A553:A563"/>
    <mergeCell ref="B553:B563"/>
    <mergeCell ref="C553:C563"/>
    <mergeCell ref="D553:D563"/>
    <mergeCell ref="E553:E563"/>
    <mergeCell ref="A542:A552"/>
    <mergeCell ref="B542:B552"/>
    <mergeCell ref="C542:C552"/>
    <mergeCell ref="D542:D552"/>
    <mergeCell ref="E542:E552"/>
    <mergeCell ref="A531:A541"/>
    <mergeCell ref="B531:B541"/>
    <mergeCell ref="C531:C541"/>
    <mergeCell ref="D531:D541"/>
    <mergeCell ref="E531:E541"/>
    <mergeCell ref="A520:A530"/>
    <mergeCell ref="B520:B530"/>
    <mergeCell ref="C520:C530"/>
    <mergeCell ref="D520:D530"/>
    <mergeCell ref="E520:E530"/>
    <mergeCell ref="A509:A519"/>
    <mergeCell ref="B509:B519"/>
    <mergeCell ref="C509:C519"/>
    <mergeCell ref="D509:D519"/>
    <mergeCell ref="E509:E519"/>
    <mergeCell ref="A498:A508"/>
    <mergeCell ref="B498:B508"/>
    <mergeCell ref="C498:C508"/>
    <mergeCell ref="D498:D508"/>
    <mergeCell ref="E498:E508"/>
    <mergeCell ref="A487:A497"/>
    <mergeCell ref="B487:B497"/>
    <mergeCell ref="C487:C497"/>
    <mergeCell ref="D487:D497"/>
    <mergeCell ref="E487:E497"/>
    <mergeCell ref="A476:A486"/>
    <mergeCell ref="B476:B486"/>
    <mergeCell ref="C476:C486"/>
    <mergeCell ref="D476:D486"/>
    <mergeCell ref="E476:E486"/>
    <mergeCell ref="A465:A475"/>
    <mergeCell ref="B465:B475"/>
    <mergeCell ref="C465:C475"/>
    <mergeCell ref="D465:D475"/>
    <mergeCell ref="E465:E475"/>
    <mergeCell ref="A454:A464"/>
    <mergeCell ref="B454:B464"/>
    <mergeCell ref="C454:C464"/>
    <mergeCell ref="D454:D464"/>
    <mergeCell ref="E454:E464"/>
    <mergeCell ref="A443:A453"/>
    <mergeCell ref="B443:B453"/>
    <mergeCell ref="C443:C453"/>
    <mergeCell ref="D443:D453"/>
    <mergeCell ref="E443:E453"/>
    <mergeCell ref="A432:A442"/>
    <mergeCell ref="B432:B442"/>
    <mergeCell ref="C432:C442"/>
    <mergeCell ref="D432:D442"/>
    <mergeCell ref="E432:E442"/>
    <mergeCell ref="A421:A431"/>
    <mergeCell ref="B421:B431"/>
    <mergeCell ref="C421:C431"/>
    <mergeCell ref="D421:D431"/>
    <mergeCell ref="E421:E431"/>
    <mergeCell ref="A410:A420"/>
    <mergeCell ref="B410:B420"/>
    <mergeCell ref="C410:C420"/>
    <mergeCell ref="D410:D420"/>
    <mergeCell ref="E410:E420"/>
    <mergeCell ref="A399:A409"/>
    <mergeCell ref="B399:B409"/>
    <mergeCell ref="C399:C409"/>
    <mergeCell ref="D399:D409"/>
    <mergeCell ref="E399:E409"/>
    <mergeCell ref="A388:A398"/>
    <mergeCell ref="B388:B398"/>
    <mergeCell ref="C388:C398"/>
    <mergeCell ref="D388:D398"/>
    <mergeCell ref="E388:E398"/>
    <mergeCell ref="A377:A387"/>
    <mergeCell ref="B377:B387"/>
    <mergeCell ref="C377:C387"/>
    <mergeCell ref="D377:D387"/>
    <mergeCell ref="E377:E387"/>
    <mergeCell ref="A366:A376"/>
    <mergeCell ref="B366:B376"/>
    <mergeCell ref="C366:C376"/>
    <mergeCell ref="D366:D376"/>
    <mergeCell ref="E366:E376"/>
    <mergeCell ref="A355:A365"/>
    <mergeCell ref="B355:B365"/>
    <mergeCell ref="C355:C365"/>
    <mergeCell ref="D355:D365"/>
    <mergeCell ref="E355:E365"/>
    <mergeCell ref="A344:A354"/>
    <mergeCell ref="B344:B354"/>
    <mergeCell ref="C344:C354"/>
    <mergeCell ref="D344:D354"/>
    <mergeCell ref="E344:E354"/>
    <mergeCell ref="A333:A343"/>
    <mergeCell ref="B333:B343"/>
    <mergeCell ref="C333:C343"/>
    <mergeCell ref="D333:D343"/>
    <mergeCell ref="E333:E343"/>
    <mergeCell ref="A322:A332"/>
    <mergeCell ref="B322:B332"/>
    <mergeCell ref="C322:C332"/>
    <mergeCell ref="D322:D332"/>
    <mergeCell ref="E322:E332"/>
    <mergeCell ref="A311:A321"/>
    <mergeCell ref="B311:B321"/>
    <mergeCell ref="C311:C321"/>
    <mergeCell ref="D311:D321"/>
    <mergeCell ref="E311:E321"/>
    <mergeCell ref="A300:A310"/>
    <mergeCell ref="B300:B310"/>
    <mergeCell ref="C300:C310"/>
    <mergeCell ref="D300:D310"/>
    <mergeCell ref="E300:E310"/>
    <mergeCell ref="A289:A299"/>
    <mergeCell ref="B289:B299"/>
    <mergeCell ref="C289:C299"/>
    <mergeCell ref="D289:D299"/>
    <mergeCell ref="E289:E299"/>
    <mergeCell ref="A278:A288"/>
    <mergeCell ref="B278:B288"/>
    <mergeCell ref="C278:C288"/>
    <mergeCell ref="D278:D288"/>
    <mergeCell ref="E278:E288"/>
    <mergeCell ref="A267:A277"/>
    <mergeCell ref="B267:B277"/>
    <mergeCell ref="C267:C277"/>
    <mergeCell ref="D267:D277"/>
    <mergeCell ref="E267:E277"/>
    <mergeCell ref="A256:A266"/>
    <mergeCell ref="B256:B266"/>
    <mergeCell ref="C256:C266"/>
    <mergeCell ref="D256:D266"/>
    <mergeCell ref="E256:E266"/>
    <mergeCell ref="A245:A255"/>
    <mergeCell ref="B245:B255"/>
    <mergeCell ref="C245:C255"/>
    <mergeCell ref="D245:D255"/>
    <mergeCell ref="E245:E255"/>
    <mergeCell ref="A234:A244"/>
    <mergeCell ref="B234:B244"/>
    <mergeCell ref="C234:C244"/>
    <mergeCell ref="D234:D244"/>
    <mergeCell ref="E234:E244"/>
    <mergeCell ref="A223:A233"/>
    <mergeCell ref="B223:B233"/>
    <mergeCell ref="C223:C233"/>
    <mergeCell ref="D223:D233"/>
    <mergeCell ref="E223:E233"/>
    <mergeCell ref="A212:A222"/>
    <mergeCell ref="B212:B222"/>
    <mergeCell ref="C212:C222"/>
    <mergeCell ref="D212:D222"/>
    <mergeCell ref="E212:E222"/>
    <mergeCell ref="A201:A211"/>
    <mergeCell ref="B201:B211"/>
    <mergeCell ref="C201:C211"/>
    <mergeCell ref="D201:D211"/>
    <mergeCell ref="E201:E211"/>
    <mergeCell ref="A190:A200"/>
    <mergeCell ref="B190:B200"/>
    <mergeCell ref="C190:C200"/>
    <mergeCell ref="D190:D200"/>
    <mergeCell ref="E190:E200"/>
    <mergeCell ref="A179:A189"/>
    <mergeCell ref="B179:B189"/>
    <mergeCell ref="C179:C189"/>
    <mergeCell ref="D179:D189"/>
    <mergeCell ref="E179:E189"/>
    <mergeCell ref="A168:A178"/>
    <mergeCell ref="B168:B178"/>
    <mergeCell ref="C168:C178"/>
    <mergeCell ref="D168:D178"/>
    <mergeCell ref="E168:E178"/>
    <mergeCell ref="A157:A167"/>
    <mergeCell ref="B157:B167"/>
    <mergeCell ref="C157:C167"/>
    <mergeCell ref="D157:D167"/>
    <mergeCell ref="E157:E167"/>
    <mergeCell ref="A146:A156"/>
    <mergeCell ref="B146:B156"/>
    <mergeCell ref="C146:C156"/>
    <mergeCell ref="D146:D156"/>
    <mergeCell ref="E146:E156"/>
    <mergeCell ref="A135:A145"/>
    <mergeCell ref="B135:B145"/>
    <mergeCell ref="C135:C145"/>
    <mergeCell ref="D135:D145"/>
    <mergeCell ref="E135:E145"/>
    <mergeCell ref="A124:A134"/>
    <mergeCell ref="B124:B134"/>
    <mergeCell ref="C124:C134"/>
    <mergeCell ref="D124:D134"/>
    <mergeCell ref="E124:E134"/>
    <mergeCell ref="A113:A123"/>
    <mergeCell ref="B113:B123"/>
    <mergeCell ref="C113:C123"/>
    <mergeCell ref="D113:D123"/>
    <mergeCell ref="E113:E123"/>
    <mergeCell ref="A102:A112"/>
    <mergeCell ref="B102:B112"/>
    <mergeCell ref="C102:C112"/>
    <mergeCell ref="D102:D112"/>
    <mergeCell ref="E102:E112"/>
    <mergeCell ref="B58:B68"/>
    <mergeCell ref="C58:C68"/>
    <mergeCell ref="D58:D68"/>
    <mergeCell ref="E58:E68"/>
    <mergeCell ref="A91:A101"/>
    <mergeCell ref="B91:B101"/>
    <mergeCell ref="C91:C101"/>
    <mergeCell ref="D91:D101"/>
    <mergeCell ref="E91:E101"/>
    <mergeCell ref="A80:A90"/>
    <mergeCell ref="B80:B90"/>
    <mergeCell ref="C80:C90"/>
    <mergeCell ref="D80:D90"/>
    <mergeCell ref="E80:E90"/>
    <mergeCell ref="A1:T1"/>
    <mergeCell ref="A3:A13"/>
    <mergeCell ref="B3:B13"/>
    <mergeCell ref="C3:C13"/>
    <mergeCell ref="D3:D13"/>
    <mergeCell ref="E3:E13"/>
    <mergeCell ref="A14:A24"/>
    <mergeCell ref="B14:B24"/>
    <mergeCell ref="C14:C24"/>
    <mergeCell ref="D14:D24"/>
    <mergeCell ref="E14:E24"/>
    <mergeCell ref="A973:F973"/>
    <mergeCell ref="A971:F971"/>
    <mergeCell ref="A972:F972"/>
    <mergeCell ref="A25:A35"/>
    <mergeCell ref="B25:B35"/>
    <mergeCell ref="C25:C35"/>
    <mergeCell ref="D25:D35"/>
    <mergeCell ref="E25:E35"/>
    <mergeCell ref="A36:A46"/>
    <mergeCell ref="B36:B46"/>
    <mergeCell ref="C36:C46"/>
    <mergeCell ref="D36:D46"/>
    <mergeCell ref="E36:E46"/>
    <mergeCell ref="A47:A57"/>
    <mergeCell ref="B47:B57"/>
    <mergeCell ref="C47:C57"/>
    <mergeCell ref="A69:A79"/>
    <mergeCell ref="B69:B79"/>
    <mergeCell ref="C69:C79"/>
    <mergeCell ref="D69:D79"/>
    <mergeCell ref="E69:E79"/>
    <mergeCell ref="D47:D57"/>
    <mergeCell ref="E47:E57"/>
    <mergeCell ref="A58:A6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Summary</vt:lpstr>
      <vt:lpstr>Sales Analysis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Darb stations</cp:lastModifiedBy>
  <dcterms:created xsi:type="dcterms:W3CDTF">2026-04-16T07:15:12Z</dcterms:created>
  <dcterms:modified xsi:type="dcterms:W3CDTF">2026-07-08T11:32:41Z</dcterms:modified>
</cp:coreProperties>
</file>