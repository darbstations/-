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n" sheetId="1" r:id="rId5"/>
    <sheet state="visible" name="Feb" sheetId="2" r:id="rId6"/>
    <sheet state="visible" name="Mar" sheetId="3" r:id="rId7"/>
    <sheet state="visible" name="Apr" sheetId="4" r:id="rId8"/>
    <sheet state="visible" name="May" sheetId="5" r:id="rId9"/>
    <sheet state="visible" name="June" sheetId="6" r:id="rId10"/>
    <sheet state="visible" name="July" sheetId="7" r:id="rId11"/>
    <sheet state="visible" name="Aug" sheetId="8" r:id="rId12"/>
    <sheet state="hidden" name="June - Samia" sheetId="9" r:id="rId13"/>
  </sheets>
  <definedNames>
    <definedName hidden="1" localSheetId="0" name="_xlnm._FilterDatabase">Jan!$A$1:$V$481</definedName>
    <definedName hidden="1" localSheetId="1" name="_xlnm._FilterDatabase">Feb!$A$1:$V$316</definedName>
    <definedName hidden="1" localSheetId="2" name="_xlnm._FilterDatabase">Mar!$A$1:$V$400</definedName>
    <definedName hidden="1" localSheetId="3" name="_xlnm._FilterDatabase">Apr!$A$1:$V$509</definedName>
    <definedName hidden="1" localSheetId="4" name="_xlnm._FilterDatabase">May!$A$1:$V$503</definedName>
    <definedName hidden="1" localSheetId="5" name="_xlnm._FilterDatabase">June!$A$1:$V$1037</definedName>
    <definedName hidden="1" localSheetId="6" name="_xlnm._FilterDatabase">July!$A$1:$T$875</definedName>
    <definedName hidden="1" localSheetId="7" name="_xlnm._FilterDatabase">Aug!$A$1:$V$109</definedName>
    <definedName hidden="1" localSheetId="8" name="_xlnm._FilterDatabase">'June - Samia'!$A$1:$X$1037</definedName>
    <definedName hidden="1" localSheetId="7" name="Z_C03F513D_B891_4E8F_A0E0_D36AAB42F873_.wvu.FilterData">Aug!$A$1:$V$109</definedName>
    <definedName hidden="1" localSheetId="7" name="Z_FD26B4D1_1E1D_4C54_82E4_334C70FE1D07_.wvu.FilterData">Aug!$A$1:$V$1</definedName>
    <definedName hidden="1" localSheetId="7" name="Z_FEF80687_EFF3_44D2_94FA_4094444153F3_.wvu.FilterData">Aug!$A$1:$V$1</definedName>
  </definedNames>
  <calcPr/>
  <customWorkbookViews>
    <customWorkbookView activeSheetId="0" maximized="1" windowHeight="0" windowWidth="0" guid="{C03F513D-B891-4E8F-A0E0-D36AAB42F873}" name="شروق"/>
    <customWorkbookView activeSheetId="0" maximized="1" windowHeight="0" windowWidth="0" guid="{FD26B4D1-1E1D-4C54-82E4-334C70FE1D07}" name="111"/>
    <customWorkbookView activeSheetId="0" maximized="1" windowHeight="0" windowWidth="0" guid="{FEF80687-EFF3-44D2-94FA-4094444153F3}" name="سس"/>
  </customWorkbookViews>
</workbook>
</file>

<file path=xl/sharedStrings.xml><?xml version="1.0" encoding="utf-8"?>
<sst xmlns="http://schemas.openxmlformats.org/spreadsheetml/2006/main" count="67335" uniqueCount="7832">
  <si>
    <t>Date</t>
  </si>
  <si>
    <t>Reporting Entity</t>
  </si>
  <si>
    <t>Department</t>
  </si>
  <si>
    <t>Responsible Dep</t>
  </si>
  <si>
    <t>CS Name</t>
  </si>
  <si>
    <t>CS Number</t>
  </si>
  <si>
    <t>City</t>
  </si>
  <si>
    <t>station</t>
  </si>
  <si>
    <t>Description</t>
  </si>
  <si>
    <t>Action taken</t>
  </si>
  <si>
    <t>Contact Method</t>
  </si>
  <si>
    <t>Start</t>
  </si>
  <si>
    <t>Subcategory</t>
  </si>
  <si>
    <t>Status</t>
  </si>
  <si>
    <t>Priority</t>
  </si>
  <si>
    <t>Resolution Time</t>
  </si>
  <si>
    <t>Receiver</t>
  </si>
  <si>
    <t>System Status</t>
  </si>
  <si>
    <t>End</t>
  </si>
  <si>
    <t>Closed by</t>
  </si>
  <si>
    <t>satisfication score</t>
  </si>
  <si>
    <t>Requests</t>
  </si>
  <si>
    <t>Investment</t>
  </si>
  <si>
    <t>عبدالله الشهري</t>
  </si>
  <si>
    <t>Real Estate</t>
  </si>
  <si>
    <t>محمد غالب</t>
  </si>
  <si>
    <t xml:space="preserve"> سعد الشهراني</t>
  </si>
  <si>
    <t>-</t>
  </si>
  <si>
    <t>جازان</t>
  </si>
  <si>
    <t xml:space="preserve">جدة </t>
  </si>
  <si>
    <t>7 محطات  واراضي يبي يتواصل مع المسؤول</t>
  </si>
  <si>
    <t>حي المحمديه - أرض</t>
  </si>
  <si>
    <t>تم تزويده برقم أ.سلمان</t>
  </si>
  <si>
    <t xml:space="preserve"> استفسار محطة درب في خميس مشيط حي النسيم هل مغسلة السيارات متاحه للأجار ؟"
مغسلة سيارات خميس مشيط طريق الرياض مقابل ستاربكس-مالك
</t>
  </si>
  <si>
    <t>HR</t>
  </si>
  <si>
    <t>تمت الافادة</t>
  </si>
  <si>
    <t>Call</t>
  </si>
  <si>
    <t xml:space="preserve">يحيى الغامدي </t>
  </si>
  <si>
    <t>طلب غير مكتمل</t>
  </si>
  <si>
    <t>Website</t>
  </si>
  <si>
    <t>In process</t>
  </si>
  <si>
    <t>مكة</t>
  </si>
  <si>
    <t>Low</t>
  </si>
  <si>
    <t xml:space="preserve"> السلام عليكم ورحمة الله وبركاته تحية طيبة أتقدم لكم بطلب التوظيف على أي شاغر مناسب، حيث إنني خريج علاقات عامة ولدي خبرة في خدمة العملاء والعمل في الكول سنتر، وأمتلك مهارات التواصل الفعال وبناء العلاقات والقدرة على التعامل مع مختلف العملاء باحترافية. أتطلع لفرصة الانضمام إلى فريق عملكم والمساهمة في تحقيق أهداف الشركة، ويسعدني تزويدكم بالسيرة الذاتية أو حضور مقابلة شخصية في الوقت المناسب لكم. شاكر ومقدر لكم وقتكم واهتمامكم يحيى الغامدي </t>
  </si>
  <si>
    <t>Samia</t>
  </si>
  <si>
    <t>توجيه الايميل الى HR</t>
  </si>
  <si>
    <t>Uploaded</t>
  </si>
  <si>
    <t>Complaint</t>
  </si>
  <si>
    <t xml:space="preserve">Operations </t>
  </si>
  <si>
    <t>Amani</t>
  </si>
  <si>
    <t>محمد الاحمدي</t>
  </si>
  <si>
    <t>طلب تقديم</t>
  </si>
  <si>
    <t>MK072</t>
  </si>
  <si>
    <t xml:space="preserve">الطرمبات فاضيه والسيارات مزحومه والسيارات واقفه واقلهم رتبو يقولو مالك دخل - ثاني - 4:10 - 3133 - أ و ع -- ماكسيما رصاصي  50 اخضر - المسار الاول - الطرمبه الاولى فاضيه وما ينظموا السيرا </t>
  </si>
  <si>
    <t xml:space="preserve">تم التواصل مع العميل والاعتذار له عن سلوك العامل وتقبل الاعتذار +تم ابلاغ مدير المحطة ومدير المنطقه لتعيين عامل من العمال لتنظيم السير في المحطة وقت الذروه والازدحام </t>
  </si>
  <si>
    <t>أخرى</t>
  </si>
  <si>
    <t>Closed</t>
  </si>
  <si>
    <t xml:space="preserve">Marketing </t>
  </si>
  <si>
    <t>inquiries</t>
  </si>
  <si>
    <t xml:space="preserve">يوسف الناجي
</t>
  </si>
  <si>
    <t>Customer S</t>
  </si>
  <si>
    <t>نادي الخلود السعودي</t>
  </si>
  <si>
    <t>WhatsApp</t>
  </si>
  <si>
    <t>2026-02-25 02:49:01 PM UTC+03:00 - تمت محاولة التواصل عدة مرات والرقم مغلق</t>
  </si>
  <si>
    <t xml:space="preserve"> تم ارسال رسالة تذكرة عبر الواتس اب </t>
  </si>
  <si>
    <t>Voicemaill</t>
  </si>
  <si>
    <t>Procurement</t>
  </si>
  <si>
    <t>صابر محمد</t>
  </si>
  <si>
    <t>Non</t>
  </si>
  <si>
    <t xml:space="preserve">يرغب في تسجيل الشركة لاستخراج فواتير ضريبية - شركة افوتيا MM - الرقم الضريبي: 313114356900003 - السجل التجاري: 7050671846 </t>
  </si>
  <si>
    <t>Kom</t>
  </si>
  <si>
    <t>جدة</t>
  </si>
  <si>
    <t>MK015</t>
  </si>
  <si>
    <t>منير شارع عويد الشهراني</t>
  </si>
  <si>
    <t>أخلاق العمال سيئة جداً
الثلاثاء، 31 مارس 2026 في 02:57 ص</t>
  </si>
  <si>
    <t xml:space="preserve">تم ابلاغ مدير المحطة لزيادة تكثيف جهده في لتدريب والتحسين اثناء العمليه التشغيليه ومباشرة العميل </t>
  </si>
  <si>
    <t>عسير</t>
  </si>
  <si>
    <t xml:space="preserve">تركي منصور </t>
  </si>
  <si>
    <t>Google maps</t>
  </si>
  <si>
    <t>الطائف</t>
  </si>
  <si>
    <t>MK046</t>
  </si>
  <si>
    <t xml:space="preserve">محطة قائمة خيبر  - مالك </t>
  </si>
  <si>
    <t>2026-01-29 07:50:43 PM UTC+03:00 - عبى اخضر بدال احمر - وادي ليه - العامل اسلوبه مو تمام جاني واحد يماني وعطاني رقم شخص اتوقع عتيبي ان اذا صار شي اجيهم بس مافي شي للان - مايبي يزودنا ببيانات العامل لان ما صار شي</t>
  </si>
  <si>
    <t xml:space="preserve">تم التواصل معه والسيارة بخير وشكرنا على الاهتمامتم ابلاغ مدير المحطة وقد افاد انه قام بإرضاء العميل واخبره ان اي خلل في السياره لاقدر الله سيتم معالجته وايضاً اعطاه رقم مشرف المحطة للتفاهم معه  </t>
  </si>
  <si>
    <t>Customer Service</t>
  </si>
  <si>
    <t>نواف</t>
  </si>
  <si>
    <t>عندكم محطة قيد الانشاء ابي رقم المالك لانها عارض للبيع</t>
  </si>
  <si>
    <t>تزويد العميل برقم ا.سلمان</t>
  </si>
  <si>
    <t>استفسار</t>
  </si>
  <si>
    <t>2026-01-30 12:40:18 PM UTC+03:00</t>
  </si>
  <si>
    <t>مغلق</t>
  </si>
  <si>
    <t>عبدالرحمن باجنيد</t>
  </si>
  <si>
    <t xml:space="preserve">Franchise </t>
  </si>
  <si>
    <t xml:space="preserve">مغسلة - اول فرع </t>
  </si>
  <si>
    <t>MK300</t>
  </si>
  <si>
    <t xml:space="preserve">اعبي الفل بالعادة من المحطات الثانية ب128 ريال جيت عبيت من عندهم طلع العداد 140 ريال السسسسسسسسسسسسسبب؟
</t>
  </si>
  <si>
    <t>وسيم الهلالي</t>
  </si>
  <si>
    <t>MK022</t>
  </si>
  <si>
    <t>صيانة المضخات</t>
  </si>
  <si>
    <t>سيء جداا جداا جدااا جداا ارجو تغير العماله الخميس، 1 يناير 2026 في 04:09 ص</t>
  </si>
  <si>
    <t xml:space="preserve">تم التواصل مع مدير المنطقة ومدير المحطة لتوجيه انذار لعمال المحطه والاستمراريه فى تدريبهم  على تحسين تعاملهم مع العملاء </t>
  </si>
  <si>
    <t>سلوك العمال</t>
  </si>
  <si>
    <t>2026-01-30 01:18:51 PM UTC+03:00</t>
  </si>
  <si>
    <t>ياسر الحارثي</t>
  </si>
  <si>
    <t xml:space="preserve">ايجار المحلات ورحت للادارة وفادوني </t>
  </si>
  <si>
    <t xml:space="preserve">28الف - محطة قائمة </t>
  </si>
  <si>
    <t>عبدالله مشهور</t>
  </si>
  <si>
    <t>يوجد ارض للاستثمار إنشاء محطة و نأمل نشوفكم عنذنا ، مدير الاستثمار في بلدية محافظة الطوال</t>
  </si>
  <si>
    <t>احمد</t>
  </si>
  <si>
    <t xml:space="preserve">سواء ما يكون دخلت اعبي بنزين وكان في مكينه فاضيه ما عندها سيارات وقفت عندها وانتظر يجي العامل يعبي وبعد وقت نزلت اشوف العامل ليه ما اجا يعبي اتكلم بصوت عالي وقال هذا خربان قولتله ليه ما خبرتني انا منتظر من فتره قالي انت ما في مخ ما تشوف حاجه قلة ادب وتعامل زفت الخميس، 1 يناير 2026 في 12:27 ص
</t>
  </si>
  <si>
    <t xml:space="preserve">تم ابلاغ مدير المحطة ومدير المنطقه بالحرص على تدريب العماله وحثهم على التعامل المهني مع العملاء وابتغاء رضاهم </t>
  </si>
  <si>
    <t>عبدالله العنزي</t>
  </si>
  <si>
    <t>حائل</t>
  </si>
  <si>
    <t>HA043</t>
  </si>
  <si>
    <t>المحطة جنب بيتي وجيت الجمعه واقوله عبي يقول احمر ولا اخذر قلت له عبي اي شي اهم شي مو ديزال قال انا مدير هنا ويسولف وكثير كلام قلت له لا تعبي وجا واحد ثاني دايما اعبي عنده وعبى ومشيت بس انا هذا اول مره اشوفيه ويقول كلم ادارة انا مدير اسمي عبدالعزيز المطوع بس انا ما ابي اذيه او شي خليه بس لا يفتح باب للجدال  -  2026-01-30 01:36:18 PM UTC+03:00 +تم التواصل مع العميل وهو فقط تنبية مو شكوى وشكرنا على الاهتمام</t>
  </si>
  <si>
    <t xml:space="preserve">تم انذار مدير المحطة ليقوم بعمله بالتعبئة فقط دون الجدل مع العميل او اثاره استياءه </t>
  </si>
  <si>
    <t>العميل اغلق الخط</t>
  </si>
  <si>
    <t>فواز حمدي</t>
  </si>
  <si>
    <t>عبدالله</t>
  </si>
  <si>
    <t>ارسل طلب استثمار وتم رفعه برقم تواصل برقم المسؤول</t>
  </si>
  <si>
    <t xml:space="preserve">الرياض </t>
  </si>
  <si>
    <t xml:space="preserve">عندي ارض بمساحة 4300م ابي اعرضها عليكم ولكن فكرتها مختلفة الموقع حيكون نقطة تجمع الدراجات النارية بالمملكة وراح تكون 5 مواقع بالمملكة والمحلات التاجيرية ابيها تكون محتلفة عن المعتاد ابيها كوفي شوب ومطاعم برقر لان هذا جو سائقين الدراجات النارية </t>
  </si>
  <si>
    <t>2026-01-31 09:25:59 AM UTC+03:00</t>
  </si>
  <si>
    <t xml:space="preserve">تمت الافاده </t>
  </si>
  <si>
    <t>لم يتم الرد</t>
  </si>
  <si>
    <t>عرض أرض</t>
  </si>
  <si>
    <t>حسين السالمي</t>
  </si>
  <si>
    <r>
      <rPr>
        <rFont val="Calibri"/>
        <b/>
        <color rgb="FF434343"/>
        <sz val="10.0"/>
      </rPr>
      <t xml:space="preserve">ليه العمال ما يمشو بترتيب السيارات ويتركو الي ورا - 2:47 - المسار الايسر - فلنس 2015 كحلي ( 3339 - أ ل ع ) </t>
    </r>
    <r>
      <rPr>
        <rFont val="Calibri"/>
        <b/>
        <color rgb="FF434343"/>
        <sz val="10.0"/>
      </rPr>
      <t>تم التواصل والاعتذار وشكرنا على الخدمة</t>
    </r>
    <r>
      <rPr>
        <rFont val="Calibri"/>
        <b/>
        <color rgb="FF434343"/>
        <sz val="10.0"/>
      </rPr>
      <t xml:space="preserve"> </t>
    </r>
  </si>
  <si>
    <t xml:space="preserve">تم ابلاغ مدير المحطة لتكثيف جهوده في تنظيم حركة السير في المحطة حسب الاولويه </t>
  </si>
  <si>
    <t>2026-01-31 10:37:35 PM UTC+03:00</t>
  </si>
  <si>
    <t>رياض فهد الزهراني</t>
  </si>
  <si>
    <t xml:space="preserve">حسين حسن </t>
  </si>
  <si>
    <t>الباحة</t>
  </si>
  <si>
    <t>MK049</t>
  </si>
  <si>
    <t>صك شرعي عليه مجمع تجاري - ماعليها رخة عادي يطلعها  70*30</t>
  </si>
  <si>
    <t>من اسوأ المحطات الي شفتها في مكة .. عمال معاملتهم سيئة .. وكل عام من مراجعة الديزل مايعبي للناس ينتظر السعر الجديد .. وفوق هذا كله معاملة سئة .. انصح بعدم التعبئة منها
الأربعاء، 31 ديسمبر 2025 في 02:29 م</t>
  </si>
  <si>
    <t>حمود العتيبي</t>
  </si>
  <si>
    <t xml:space="preserve">أرض عليها رخصة بناء محطة 2000م </t>
  </si>
  <si>
    <t>Environment</t>
  </si>
  <si>
    <t xml:space="preserve">ام ميسر
</t>
  </si>
  <si>
    <t>عبدالحميد الزهراني</t>
  </si>
  <si>
    <t>ملاك</t>
  </si>
  <si>
    <t>MK006</t>
  </si>
  <si>
    <t>كشك - فرنشايز كمس كافيه - درب الامير فواز</t>
  </si>
  <si>
    <t xml:space="preserve">دورة المياه غير نظيفة - 13:17:05 Thursday, January 29, 2026 </t>
  </si>
  <si>
    <t>تم اخطار مدير المحطة وتم التنويه على ضرورة متابعة اعمال النظافة في جميع مرافق المحطة</t>
  </si>
  <si>
    <t>MK003</t>
  </si>
  <si>
    <t>اتمنى تنظيف المكان و توفير المناديل و الصابون ( تم التواصل مع العميلة وشكرتنا على الاهتمام )</t>
  </si>
  <si>
    <t>SurveyApp</t>
  </si>
  <si>
    <t>تم توفير الصابون المناديل متوقفه من الشركة في دورات المياه</t>
  </si>
  <si>
    <t>صابون</t>
  </si>
  <si>
    <t>فائزة الزهراني</t>
  </si>
  <si>
    <t>الرياض</t>
  </si>
  <si>
    <t>IT</t>
  </si>
  <si>
    <t>عثمان</t>
  </si>
  <si>
    <t xml:space="preserve">2026-02-26 10:08:49 PM UTC+03:00 - حي احد كليات - احتياط محطة كليه التقنية في ديراب نحتاج محطة </t>
  </si>
  <si>
    <t>Ahmed</t>
  </si>
  <si>
    <t>من شركة بوينت تك يرغب بالتواصل مع م.خالد منظور</t>
  </si>
  <si>
    <t>تم تحويله</t>
  </si>
  <si>
    <t>جاسم</t>
  </si>
  <si>
    <t xml:space="preserve">يرغب بفواتير ضريبة او بطاقة مدار اذا عندكم </t>
  </si>
  <si>
    <t>تمت افادته بطلب الفواتير بيومها وبخصوص مدار يوجد لدينا اشتراك مع سسيارة اب</t>
  </si>
  <si>
    <t>احمد المطرفي</t>
  </si>
  <si>
    <t>MK071</t>
  </si>
  <si>
    <t xml:space="preserve">2026-02-27 00:38:23 AM UTC+03:00 </t>
  </si>
  <si>
    <t>محل درايف ثرو مزاج مغربي براند خاص فيه مو فرنشايز - لايوجد فروع</t>
  </si>
  <si>
    <t>النظافه سيئه - 01:04:07 Friday, January 30, 2026</t>
  </si>
  <si>
    <t xml:space="preserve">م اخطار مدير المحطة وتم التنويه على ضرورة متابعة فريق النظافة </t>
  </si>
  <si>
    <t xml:space="preserve">شذى </t>
  </si>
  <si>
    <t xml:space="preserve">شركة فلو للخدمات توفير العمالة - تم ارسال البروفايل </t>
  </si>
  <si>
    <t>افادة العميل بمشاركة البروفايل على الايميل</t>
  </si>
  <si>
    <t>عبدالله حسن العسيري</t>
  </si>
  <si>
    <t>خميس مشيط</t>
  </si>
  <si>
    <t xml:space="preserve">يرغب في استثمار في المحطة كامله </t>
  </si>
  <si>
    <t xml:space="preserve">معاذ حسن </t>
  </si>
  <si>
    <t>2026-02-27 05:39:24 PM UTC+03:00 - شكوى الخرج</t>
  </si>
  <si>
    <t>محمد القحطاني</t>
  </si>
  <si>
    <t>JA061</t>
  </si>
  <si>
    <t>MK005</t>
  </si>
  <si>
    <t>‏الحمامات وسخة وانت بكرامة ولم يتوفر عدد كافي - 18:04:38 Saturday, January 31, 2026</t>
  </si>
  <si>
    <t>ضيعت بطاقتي حقت العمل بيضا عليها اسمي وخاصه بالمطار ضيعتها قبل 4 ايام لو وصلت الامانات كلموني ( تم محاولة الاتصال لا يوجد رد )</t>
  </si>
  <si>
    <t xml:space="preserve"> التنويه وابلاغ مدير المحطة بضرورة متابعة فريق النظافة </t>
  </si>
  <si>
    <t>لم يصل شي للامانات</t>
  </si>
  <si>
    <t>نظافة دورات المياه</t>
  </si>
  <si>
    <t>ناصر</t>
  </si>
  <si>
    <t>MK100</t>
  </si>
  <si>
    <t xml:space="preserve">لديه محطتين قائمة ويرغب في معرفة تفاصيل الامتياز </t>
  </si>
  <si>
    <t>فيصل محمد</t>
  </si>
  <si>
    <t>MK016</t>
  </si>
  <si>
    <r>
      <rPr>
        <rFont val="Calibri"/>
        <b/>
        <color rgb="FF434343"/>
        <sz val="10.0"/>
      </rPr>
      <t xml:space="preserve">دخلت عبيت بنزين وجا الحساب 81 قلت لها 50 كاش و30 شبكة - اعطيه ال50 مو راضي يقول مكتوب عليها وبعدها نادى عبدالقيوم مشرف اتوقع جا وصرخ عليا ويرفع صوتو وغلط عليا يقول حمار ؟؟ انا اعرف 4 لغات وهو بنقالي يحسبنني ما افهم لغته سيبته يسب وحطيته في راسي مارح يمر - كامري رمادي (2025 - ح ي و ) المسار الي على يمين داخل المحطة عبيت ب81 - بنزين 95 - 2026-02-28 04:12:38 AM UTC+03:00 - </t>
    </r>
    <r>
      <rPr>
        <rFont val="Calibri"/>
        <b/>
        <color rgb="FF434343"/>
        <sz val="10.0"/>
      </rPr>
      <t>لم يتم الرد</t>
    </r>
  </si>
  <si>
    <t>فاطمة</t>
  </si>
  <si>
    <t>تم ابلاغ مدير المحطة للبلاغ عن الجهاز العطلان للصيانه وقد افاد ان الجهاز غير عطلان وان العميل لايعرف كيف يستخدم الجهاز</t>
  </si>
  <si>
    <t xml:space="preserve">رويده </t>
  </si>
  <si>
    <t>MK020</t>
  </si>
  <si>
    <t xml:space="preserve">كشك كوفي - اول فرع </t>
  </si>
  <si>
    <t>يوم الاحد الموافق 2026/1/25 قبل صلاة الفجر من 4:00 الى 5.30 عبيت بمبلغ 15 ريال والعداد ماتغير وبعد مامشيت 3 دقايق طفت السيارة ورجعت الظهر من الساعه 1:30 الى 2 تقريبًا عبيت بمبلغ 20 ولا تغير نوع السيارة: شيري جيب رمادي ( ر ن ع - 9364 ) العميلة مستاءه وترغب بالتاكد من التعبئة - درب20( تم تعويض العميلة بكوبون بنزين وغيرت التقييم وراضيه تماما)</t>
  </si>
  <si>
    <t>مرفق فديو تمت التعبئة ( العميلة مقيمه بقوقل وافدتها تمت التعبئة حسب النظام واعتذرت منها 
تحسبت علينا ودعت علينا بالهلاك وغير مقتنعه )
 2026-02-06 00:12:44 AM UTC+03:00تم المراجعه وتبين ان التعبئئه تمت وان العميله تتوهم عدم التعبئه  ولإرضاء العميل واغلاق الشكوى تم تعويضها بكوبون 50 ريال</t>
  </si>
  <si>
    <t>محمد عبدالله فايز</t>
  </si>
  <si>
    <t>ابها</t>
  </si>
  <si>
    <t>عرض ارض</t>
  </si>
  <si>
    <t>احمد غالي</t>
  </si>
  <si>
    <t xml:space="preserve">ابي توريد ديزل لمشروع مقاولات كمية 20 الف لتر </t>
  </si>
  <si>
    <t>هنادي</t>
  </si>
  <si>
    <t xml:space="preserve">لديه شركة وحول 15 مركبه يرغب في ادارتها - سيارة اب </t>
  </si>
  <si>
    <t>تم ارسال ايميل للمعتصم</t>
  </si>
  <si>
    <t>تم تزويده برقم م.رغد</t>
  </si>
  <si>
    <t>تدريب تعاوني - محاسبة</t>
  </si>
  <si>
    <t>حسن على الشمراني</t>
  </si>
  <si>
    <t>عرض خدمات</t>
  </si>
  <si>
    <t>بريدة</t>
  </si>
  <si>
    <t xml:space="preserve">أرض مساحتها 40*78 - المالك - ماعليها رخصة بناء محطة </t>
  </si>
  <si>
    <t xml:space="preserve">مكة </t>
  </si>
  <si>
    <t xml:space="preserve">العمال مايعبون يستنون التسعيرة الجديدة وغاضب جدا </t>
  </si>
  <si>
    <t>ثامر الزهراني</t>
  </si>
  <si>
    <t>تركي حسن</t>
  </si>
  <si>
    <t>محل - اول فرع</t>
  </si>
  <si>
    <t>amir helal</t>
  </si>
  <si>
    <t>حاتم</t>
  </si>
  <si>
    <r>
      <rPr>
        <rFont val="Calibri"/>
        <b/>
        <color rgb="FF434343"/>
        <sz val="10.0"/>
      </rPr>
      <t>2026-02-28 12:38:06 PM UTC+03:00 - جدة البغدادية - عبيت ديزال لكن العامل الي عبى لي موب كويس  ثاني شي عبى فل والتانكي ما اتملى ويجي يقولي كم تبا الفاتورة يعني ايش التلاعب هذا وثالث شي جا عند باب سيارتي وطلع فلوس وحطها في جيبو ياليت تشوفو لهم حل واعطوني خبر - 11:31 صباح - 28-2 - شبكة 112 - 3426 - أ ص ط ) - دينه بيضه لوحة صفرا - مسار الديزال  -</t>
    </r>
    <r>
      <rPr>
        <rFont val="Calibri"/>
        <b/>
        <color rgb="FF434343"/>
        <sz val="10.0"/>
      </rPr>
      <t xml:space="preserve"> تم التواصل والاعتذار وشكرنا على الخدمة </t>
    </r>
  </si>
  <si>
    <t xml:space="preserve">السلام عليكم ورحمة الله وبركاته ارجو التواصل مع المسئول عن التصاريح البيئية للمحطات وملف البيئة بشكل عام لعرض خدماتنا من مكتب الدكتور على الدهيمان للاستشارات البيئية 
</t>
  </si>
  <si>
    <t>4000م - يوجد رخصة-المالك</t>
  </si>
  <si>
    <t>اجهزة الشبكة</t>
  </si>
  <si>
    <t>MK007</t>
  </si>
  <si>
    <t xml:space="preserve">هندي عنده شكوى ولا يتحدث الانقليزي ولا العربي </t>
  </si>
  <si>
    <t>تمت افادته بالتواصل مع مكتب خدمة العملاء في المحطة</t>
  </si>
  <si>
    <t>بدر الهذلي</t>
  </si>
  <si>
    <t>محمد الاحمري</t>
  </si>
  <si>
    <t>MK064</t>
  </si>
  <si>
    <t>2026-02-28 07:57:37 PM UTC+03:00 -  تمت محاولة التواصل ولم يتم الرد</t>
  </si>
  <si>
    <t xml:space="preserve">خدمة سيئة لي ٥ دقايق واقف ولا جاني ولا واحد الأحد، 1 فبراير 2026 في 02:37 ص
</t>
  </si>
  <si>
    <t xml:space="preserve"> ابلاغ مدير المحطة بالشكوى لمراجعة الكاملرات والتحقق من الشكوى وتوجية انذار للعامل المشتكى ضده وحث بقيه العمال على سرعة الانجاز في التعبئة </t>
  </si>
  <si>
    <t>كشك محل بروست عنده فرعين - محل مغسلة سيارات يبيلها مقر رئسيس لان عنده 4 متنقلة-المالك</t>
  </si>
  <si>
    <t>لم يتم الرد للمره الثانيه8/1/2025</t>
  </si>
  <si>
    <t>درب المترو</t>
  </si>
  <si>
    <t xml:space="preserve">محمد
</t>
  </si>
  <si>
    <t>محمد ناجي الهمامي</t>
  </si>
  <si>
    <t>لسلام عليكم لدي اهتمام بايجار محل مغسله سيارات لديكم بالمحطه يرجى التواصل معي</t>
  </si>
  <si>
    <t>نجران</t>
  </si>
  <si>
    <t>رامي سامي عبدالقادر</t>
  </si>
  <si>
    <t>MK099</t>
  </si>
  <si>
    <t>800م محطة - المالك</t>
  </si>
  <si>
    <t>العامل سحب اكثر من المبلغ الله اعلم ان كانت عن قصد الحذر واجب</t>
  </si>
  <si>
    <t>MK216</t>
  </si>
  <si>
    <t>المبلغ والوقت ؟ لا يوجد تفاصيل شكوى قوقل ماب</t>
  </si>
  <si>
    <t>محطة درب حي الواحة التاريخ: ٢٧/٢/٢٠٢٦
الوقت: من ١٠:٠٠ مساء إلى ١٠:٣٠ مساء
شكوى/اقتراح: تم فقد غطاء فتحة خزان البنزين.
السيارة : جيب شفروليه ترافيرز اسود
رقم اللوحة ح م ك 9497 - اذا لم يتم ملاحظة شي في هذا التوقيت، ممكن تعبئتي مم اليوم اللي قبلها بيوم ٢٦/٢/٢٠٢٦ كمان من الساعة ٩:٥٠ دقيقة إلى ١٠:١٥ مساء</t>
  </si>
  <si>
    <t xml:space="preserve">تم التواصل مع المحطة والعميل 
وتسليم الغطاء للعميل </t>
  </si>
  <si>
    <t xml:space="preserve"> شركة اطياف السليمانية للمقاولات</t>
  </si>
  <si>
    <t>السلام عليكم هل لديكم خدمه تزويد مواقع الشركات بالديزل وبالكميات المطلوبة</t>
  </si>
  <si>
    <t>Naeem Bokhari</t>
  </si>
  <si>
    <t>غيداء</t>
  </si>
  <si>
    <t>MD194</t>
  </si>
  <si>
    <t>Project M</t>
  </si>
  <si>
    <r>
      <rPr>
        <rFont val="Calibri"/>
        <b/>
        <color rgb="FF434343"/>
        <sz val="10.0"/>
      </rPr>
      <t xml:space="preserve">السلام عليكم ورحمة الله وبركاته اليوم ٧/٣/٢٠٢٦ الساعه ٢ ظهرا خلال تعبئة بنزين ٩٥ من محطة درب في ينبع الصناعية. تفاجأت بأن سائل البنزين يخرج بكمية كبيرة جدا من خزان سيارتي و لم تتوقف المضخة عن العمل . بالرغم انه لو توجد غير سيارتي في ذلك الوقت ، كان العامل بعيد عن خرطوم البنزين . و بعد ان اكتشف بفترة بسيطة توجه الي الخرطوم و اخرجه. طبعا كان البنزين مسكوب على السيارة و على الارض بكمية كبيرة . اصبت بخوف وقلق شديد من ان تحصل كارثة او حريق لا سمح الله و كانت عائلتي معي و اصابهم خوف شديد. الرجاء منكم الحضور و فحص المعدات لسلامة الجميع من عاملين و من مستخدمين المحطة . 
-لا يوجد رد من العميل وتم الرد عليه ايميل لارفاق المحطة بشكل صحيح وفي انتظاره </t>
    </r>
    <r>
      <rPr>
        <rFont val="Calibri"/>
        <b/>
        <color rgb="FF1155CC"/>
        <sz val="10.0"/>
        <u/>
      </rPr>
      <t>https://maps.app.goo.gl/cBihyduv1g2B31Yj6?g_st=iw</t>
    </r>
  </si>
  <si>
    <t>MK084</t>
  </si>
  <si>
    <t>ااااخس محطه ولله لو م سويتي ابرك لكم ؟ كان يوم سويتي حطيتو رقابه! ايش هاذي الحمامات و المسجد وصخ وصخ ع الاقل حطو وحده تنظف ! ع الاقل كل جمعه تنظيف ! إلى اين الوصاخه الحمام جدا جدا جدا جدا وصخ ولله ولا ف حياتنا شفنا حمام ب ذا الوصاخه ؟؟؟!
الجمعة، 30 يناير 2026 في 06:54 م</t>
  </si>
  <si>
    <t>تم اخطار مدير المحطة وتم التنويه وشرح الملاحظه من العميل</t>
  </si>
  <si>
    <t>اضافة دورة مياة بتصميم عربي ، الكرسي غير مريح وغير عملي واقل امان - 08:42:37 Wednesday, February 18, 2026</t>
  </si>
  <si>
    <t xml:space="preserve">هاجر 
</t>
  </si>
  <si>
    <t xml:space="preserve"> أتمنى أن تكون بخير. اسمي [هاجر ]، وأتواصل معكم من شركة ACM Marketing Solutions، وهي وكالة متخصصة في الإنتاج والتسويق المباشر، تقدم تجارب علامات تجارية عالية الجودة في المعارض، والأفكار الإبداعية، والتسويق التقليدي. أرفق لكم نبذة عن شركتنا، والتي تُبرز ما يلي: • خدماتنا الأساسية • أعمالنا الحديثة في تصميم وتصنيع منصات العرض • إمكانيات إنتاجية متكاملة • مشاريع العلامات التجارية والإبداعية • التسويق التقليدي والفعاليات الترويجية في ACM، نجمع بين التصميم الإبداعي والخبرة الإنتاجية الحقيقية، لضمان تنفيذ كل فكرة بدقة وجودة عالية وفي الوقت المحدد.</t>
  </si>
  <si>
    <t>السلام عليكم ورحمة الله وبركاته
أ. نعيم              المحترم
نشكرلك تواصلك معنا وإبلاغنا بما حدث، ونود في البداية أن نعبر عن خالص اعتذارنا لك ولعائلتك الكريمة عما تعرضتم له من موقف مقلق أثناء تعبئة الوقود.
 كما نحمد الله على سلامتكم، ونتفهم تماماً حجم القلق الذي قد يسببه مثل هذا الموقف.
نفيدك بأنه قد تمت محاولة التواصل معكم عبر رقم الهاتف المرفق خلال أوقات العمل، إلا أنه لم يتم الرد. ونظراً لحرصنا على متابعة الشكوى بشكل دقيق واتخاذ الإجراءات اللازمة، نأمل منك التكرم بإرسال موقع المحطة عبر خرائط قوقل
 (Google Maps) ، وذلك للتأكد من تحديد المحطة بشكل صحيح.
فور استلام الموقع، سيتم توجيه الشكوى مباشرة إلى مدير المحطة لاتخاذ الإجراءات اللازمة، محاسبة العاملين في حال ثبوت أي تقصير، إضافةً إلى قيام فريق العمل والتدريب لدينا بمتابعة الموضوع لضمان عدم تكرار مثل هذه الحوادث مستقبلاً.
نؤكد لكم أن سلامتكم وسلامة جميع عملائنا والعاملين في المحطات تأتي على رأس أولوياتنا.
مرة أخرى نعتذر لك عن هذه التجربة، ونتطلع أن تكون زيارتكم القادمة لمحطات درب على قدر تطلعاتكم بإذن الله . 🧡</t>
  </si>
  <si>
    <t xml:space="preserve">تم ارساله لمسوول العلاقات العامة أ.امل </t>
  </si>
  <si>
    <t>Reem</t>
  </si>
  <si>
    <t>ابو يزن الحبابي</t>
  </si>
  <si>
    <t>MK018</t>
  </si>
  <si>
    <t>فواز عطية الله حمدان الحربي</t>
  </si>
  <si>
    <t>لازم يجبر الهلل عشان يكملها ريال يقول مافي هلل حتى لو تدفع شبكة كيف ما ادري 🤣 الجمعة، 30 يناير 2026 في 10:33 ص</t>
  </si>
  <si>
    <t>مستوى النظافة متدني. - 04:11:53 Thursday, February 19, 2026</t>
  </si>
  <si>
    <t>خليص</t>
  </si>
  <si>
    <t xml:space="preserve">ابلاغ مدير المحطة لتذكير وتدريب العمال دوريا على عدم اخذ هلل زياده من اي عميل واخذ حقه ومستحقه بالضبط بدون زيادة او نقصان </t>
  </si>
  <si>
    <t xml:space="preserve">تم التنويه والتفهم لصعوبة الوصول للدورة مياه النساء في جميع الاوقات 
ونقترح توفير عاملة </t>
  </si>
  <si>
    <t>سارة خالد</t>
  </si>
  <si>
    <t>نعرض عليكم موقع استثماري لمدة لا تقل عن 15 سنة عبارة عن مجمع تجاري يشمل محطة محروقات ومحلات تجارية بمساحة تفوق 10 آلاف متر مربع في قلب محافظة خليص والتي تبعد عن مكة المكرمة 100 كلم و عن جدة 75 كلم و عن مدينة الملك عبدالله الاقتصادية 35 كلم وبالإمكان تزويدكم بجميع المستندات اللازمة للموقع في حال كانت لديكم الرغبة الجادة لاستثمار هذا الموقع والمعروض بين يديكم . شكرا لكم</t>
  </si>
  <si>
    <t>RY075</t>
  </si>
  <si>
    <t xml:space="preserve">انا قلت للعامل عبي طقه وحده ما ادري وش هبب فيه والتانكي صار كله هوا بالبدايه بعد ما عبالي مشيت من المحطة الاقي علامه من المكينة قلت بروح الورشة رحت وقال يا انه فيه هوا يا من البنزين قال نسوي فحص افضل وسوينا وقال التانكي فيه هواء عبي التانكي فل عشان يطلع رحت محطة الدريس العامل موقادر بعبي من كثر الهوا عبى وطلعت وبعدها نفصت شرطه من العداد رجعت محطتكم وطلبت المدير وجا يقول مافيها شي سيارتك يعني انا الحين عشان لا اظلمكم واظلم العامل المسكين رحت فحصت عشان اتاكد تجي وتقولي مافي مشكلة بسيارتي وانت معبيها هوا؟ انا معتمده محطتكم وما ابي اذي العامل بس ابي حل لسيارتي - 31-3 الساعة 11:22ص - الاثنين - رمادي (6705-ر ق ك ) - كاش 37 - الشبكة 17 -  بنزين 91 - تم تحويلها لمدير المحطة أ.يوسف حيث تواصل مع العميله ولا يوجد مشكلة في التعبئة ولا البنزين </t>
  </si>
  <si>
    <t xml:space="preserve">تم ابلاغ مدير المنطقة وافاد ان الهواء ناتج عن ارتفاع درجة الحراره بالمنطقة مما يؤدي الى تمدد البنزين في الخزان وانتاج هواء وضغط وهي مشكله لاتؤثر على اداء السياره  كما تم طلب التواصل مع العميل ومحاوله ارضائه </t>
  </si>
  <si>
    <t>محمد الزهراني</t>
  </si>
  <si>
    <t>عبدالرحمن</t>
  </si>
  <si>
    <t>احمد المالكي</t>
  </si>
  <si>
    <t>يرفع ضغطك العامل يسحب عليك ويروح لسيارات لاين الثاني
الجمعة، 30 يناير 2026 في 03:00 ص</t>
  </si>
  <si>
    <t>السلام عليكم تحيه طيبه وبعد يسرنا أن أتقدم إليكم بهذا العرض الحصري لاستثمار موقعنا العقاري المتميز، والذي نرى أنه يتناسب تماماً مع تطلعاتكم التوسعية ونشاطكم التجاري المرموق . عنوان الموقع محافظة الداير بني مالك بمنطقة جازان . ملاحظه في حال لم يتم</t>
  </si>
  <si>
    <t>الحمام حرفيا زي الزفت الارض مليانه مويه وسخه الريحه حدا سيئه الحمام غير صالح للاستخدام الادمي بتاتا البته - 05:22:35 Thursday, February 19, 2026</t>
  </si>
  <si>
    <t xml:space="preserve">  م ابلاغ مدير المحطة لتعيين عامل لتنظيم الحركة بالمحطة وتوجيه  وتحديد مسار عمل كل عامل في المحطة وزيادة تكثيف الجهود لتدربيب العاملين على سرعه الانجا</t>
  </si>
  <si>
    <t>اليه التقديم على  الوظائف</t>
  </si>
  <si>
    <t xml:space="preserve">م اخطار مدير المحطة ومساعد مدير المحطة بضرورة المتابعة وتم التفهم ان المنطقة مركزية وتشهد كثافة وتم التنظيف الساعه </t>
  </si>
  <si>
    <t xml:space="preserve">احمد </t>
  </si>
  <si>
    <t>حفر الباطن</t>
  </si>
  <si>
    <t>1800م - قائمة عظم فيها جميع الخدمات صرافة مسجد -المالك</t>
  </si>
  <si>
    <t>سليمان</t>
  </si>
  <si>
    <t>Molham Battrjee</t>
  </si>
  <si>
    <t>MK273</t>
  </si>
  <si>
    <r>
      <rPr>
        <rFont val="Calibri"/>
        <b/>
        <color rgb="FF434343"/>
        <sz val="10.0"/>
      </rPr>
      <t xml:space="preserve">سحب مبلغ زيادة - والعداد 42ريال جاب 8 ريال كاش  وسحب 50 زيادة - التاريخ:1/4/26
الوقت: 1:29 - ياليت الحل قبل العصر
إذا مافي حل برفع لوزارة التجارة </t>
    </r>
    <r>
      <rPr>
        <rFont val="Calibri"/>
        <b/>
        <color rgb="FF1155CC"/>
        <sz val="10.0"/>
        <u/>
      </rPr>
      <t>link</t>
    </r>
    <r>
      <rPr>
        <rFont val="Calibri"/>
        <b/>
        <color rgb="FF434343"/>
        <sz val="10.0"/>
      </rPr>
      <t xml:space="preserve"> - 2026-04-01 01:27:42 AM UTC+03:00</t>
    </r>
  </si>
  <si>
    <t>MK154</t>
  </si>
  <si>
    <t>محطة  لها عيوب كثيره ١ مطعم  كنتاكي  مواقفها قليله ٢ محل زينه السيارات  كل قطعه  لو خرب يقول مو عندي او شغال قبل ترك عمل  يغصب انك تشتري سعر اغلي من سوق او شي اخر</t>
  </si>
  <si>
    <t xml:space="preserve"> Mohammad Obaid</t>
  </si>
  <si>
    <t>MK017</t>
  </si>
  <si>
    <t>لا توجد نظافه - 00:42:17 Saturday, February 21, 2026</t>
  </si>
  <si>
    <t xml:space="preserve">تم اخطار مدير المحطة وتم التنويه على ضرورة متابعة النظافة </t>
  </si>
  <si>
    <t>خلود</t>
  </si>
  <si>
    <t>الية التقديم على الوظائف</t>
  </si>
  <si>
    <t>توجيه العميل التقديم على ايميل التوظيف</t>
  </si>
  <si>
    <t>سحب مبلغ زائد</t>
  </si>
  <si>
    <t>High</t>
  </si>
  <si>
    <t>تركي</t>
  </si>
  <si>
    <t xml:space="preserve">تامين دايموند </t>
  </si>
  <si>
    <t>تمت افادتها بارسال البروفايل على الايميل</t>
  </si>
  <si>
    <t xml:space="preserve">احمد العامودي </t>
  </si>
  <si>
    <t xml:space="preserve">احمد الانصار </t>
  </si>
  <si>
    <t>مستور المطرفي</t>
  </si>
  <si>
    <t xml:space="preserve">دورات المياه اتجاهها على القبله </t>
  </si>
  <si>
    <t xml:space="preserve"> عندي ارض في محافظة بارق ارغب في تجيرها الشركة درب </t>
  </si>
  <si>
    <t>رباب</t>
  </si>
  <si>
    <t xml:space="preserve">رنا </t>
  </si>
  <si>
    <t xml:space="preserve">منشركة الحلول الاضافية لتقنية المعلومات ترغب بالتواصل </t>
  </si>
  <si>
    <t xml:space="preserve">تم توجيه الايميل </t>
  </si>
  <si>
    <t xml:space="preserve">سوت حادث وتبي تراجع الكاميرات جيب احمر صيني والحادث كان تخت المظلة </t>
  </si>
  <si>
    <t xml:space="preserve">تم افادة العميلة باحضار اذن من الشرطه </t>
  </si>
  <si>
    <t>احمد الزهراني</t>
  </si>
  <si>
    <t>عادل</t>
  </si>
  <si>
    <t>حفرالباطن</t>
  </si>
  <si>
    <t>المدينة</t>
  </si>
  <si>
    <t xml:space="preserve">نود إفادتكم برغبتنا في استئجار مغسلة سيارات داخل محطة درب، الكائنة على طريق الملك فيصل - حفرالباطن  -  حي الواحة، وذلك بغرض تشغيلها وإدارتها بشكل احترافي وفق أعلى معايير الجودة والسلامة، وبما يحقق قيمة مضافة للمحطة ويخدم عملاءها.
نفيدكم بوجود شراكة تشغيلية وتكامل خدمي مع نادي تمرين الرياضي المقابل للمحطة، مما يتيح فرصة مميزة لزيادة الإقبال والحركة اليومية، حيث يمكن لمرتادي النادي الاستفادة من خدمة غسيل السيارات أثناء تواجدهم في الموقع، بما يعزز الاستفادة المشتركة لجميع الأطراف.
نمتلك الخبرة والقدرة التشغيلية اللازمة لإدارة المغسلة، مع الالتزام التام بجميع اشتراطات الجهات الرسمية والبيئية، والمحافظة على المظهر العام للموقع بما يتناسب مع هوية المحطة.
يسرّنا مناقشة تفاصيل الاستئجار وآلية التعاون المقترحة بما يحقق المنفعة المشتركة للطرفين، ويسعدنا تحديد موعد مناسب للقاء أو التواصل معكم لاستكمال الإجراءات.
شاكرين ومقدّرين حسن تعاونكم وتفضلوا بقبول فائق الاحترام والتقدير.
</t>
  </si>
  <si>
    <t>Email</t>
  </si>
  <si>
    <t xml:space="preserve">1200م - المالك - على شارع 40 و 30 و18 </t>
  </si>
  <si>
    <t>النظافة بشكل عام</t>
  </si>
  <si>
    <t>سعد الشهراني</t>
  </si>
  <si>
    <t xml:space="preserve">فهد الشهراني </t>
  </si>
  <si>
    <t xml:space="preserve">لديه محطة ويرغب في الفرنشايز او تاجيرها </t>
  </si>
  <si>
    <t>محلات مغسلة سيارات - 4 فروع - مجموعة الاول التجارية - المالك ( يبي الامير )</t>
  </si>
  <si>
    <t>رجاء</t>
  </si>
  <si>
    <t>MK014</t>
  </si>
  <si>
    <t>سعود العتيبي</t>
  </si>
  <si>
    <t>نظافه متدنيه. محطة خليص دورات ميته المسحد - 19:47:28 Sunday, February 22, 2026</t>
  </si>
  <si>
    <t xml:space="preserve">تم اخطار مدير المحطة وشرح الملاحظة و التنويه على ضرورة متابعة النظافة </t>
  </si>
  <si>
    <t>الخرج</t>
  </si>
  <si>
    <t xml:space="preserve">جامع العثمان - درايف ثرو </t>
  </si>
  <si>
    <t xml:space="preserve">همام </t>
  </si>
  <si>
    <t>لم يتم الرد - 2-2</t>
  </si>
  <si>
    <t>MK210</t>
  </si>
  <si>
    <r>
      <rPr>
        <rFont val="Calibri"/>
        <b/>
        <color theme="1"/>
        <sz val="9.0"/>
      </rPr>
      <t>يوم الجمعة الساعه 9:30 طلبت من العامل يعبي ب40 احمر عبى اخضر ( اكسنت ابيض واسود 2025 - الوحة  رو ا )</t>
    </r>
    <r>
      <rPr>
        <rFont val="Calibri"/>
        <b/>
        <color rgb="FFFF9900"/>
        <sz val="9.0"/>
      </rPr>
      <t>-تم الاعتذار للعميل في حال تضررت السيارة سيتم تحمل التكلفة</t>
    </r>
  </si>
  <si>
    <t>تم الاغلاق</t>
  </si>
  <si>
    <t>Farah</t>
  </si>
  <si>
    <t>سلطان الذيابي</t>
  </si>
  <si>
    <t>تعبئة منتج خطا</t>
  </si>
  <si>
    <t>عدم صيانة دورات المياه وسوء نظافتها - 23:35:23 Sunday, February 22, 2026</t>
  </si>
  <si>
    <t xml:space="preserve">تم رفع جميع اعمال الصيانة لدورة المياه من تجديد
ونقترح توفير عاملة نظافة </t>
  </si>
  <si>
    <t>كشك - بارزان</t>
  </si>
  <si>
    <t>صيانة دورات المياه</t>
  </si>
  <si>
    <t>نوف عبدالجبار</t>
  </si>
  <si>
    <t>زكريا الحارثي</t>
  </si>
  <si>
    <t>خالد الزهراني</t>
  </si>
  <si>
    <t>مطعم "نكهة الفطيرة" المالكة</t>
  </si>
  <si>
    <t>Omar</t>
  </si>
  <si>
    <t xml:space="preserve">انتظر 10 د انتظار والعمال ما يعبون - دوس حمرا - (ب ع أ - 4158) المسار الداخلي </t>
  </si>
  <si>
    <t xml:space="preserve">تم الاعتذار وابلاغ العميل انه وقت تبديل ورديات او تفريغ </t>
  </si>
  <si>
    <t xml:space="preserve">محل - اول فرع - خدمة سيارات </t>
  </si>
  <si>
    <t>الحمامات متسخه وقليله جدا - 23:46:29 Sunday, February 22, 2026</t>
  </si>
  <si>
    <t xml:space="preserve">تم اخطار مدير المحطة وتم التنويه على ضرورة متابعة النظافة وشرح الملاحظة </t>
  </si>
  <si>
    <t>علا</t>
  </si>
  <si>
    <t>شركة الجفالي تبي قسم امشتريات</t>
  </si>
  <si>
    <t>استفسار الشركاء</t>
  </si>
  <si>
    <t xml:space="preserve"> وتم تحويلها على الايميل </t>
  </si>
  <si>
    <t>باسم الحربي</t>
  </si>
  <si>
    <t>القصيم</t>
  </si>
  <si>
    <t>نواب</t>
  </si>
  <si>
    <t xml:space="preserve">محطة - قائمة - يرغب في عرضها  </t>
  </si>
  <si>
    <t>الحمامات وسخه وريحتها سيئة مناديل مافي النظافة سيئة افضل شي ان موجود حمام عربي ولكن النظافة صفر - 23:57:18 Tuesday, February 24, 2026</t>
  </si>
  <si>
    <t xml:space="preserve">تم توفير المعطرات مروحة تهوئية المناديل تم توقيفها من الشركة نقترح توفير عاملة نظافة </t>
  </si>
  <si>
    <t>Maintenance</t>
  </si>
  <si>
    <t xml:space="preserve">سلطان </t>
  </si>
  <si>
    <t xml:space="preserve">حائل </t>
  </si>
  <si>
    <t>هاني العتيبي</t>
  </si>
  <si>
    <t>انا جاركم لي شهرين امر على المحطة وجهاز الهواء والماء عطلان واكلم مدير المحطة يقولي مالي دخل انا ماسوق دق على الشركة وانا رفعت شكوى ماهو موضوع انكم تصلحونه ولكن مديركم الواضح ماعنده المام باللي يصير بالمحطة ( تم التواصل وافادته)</t>
  </si>
  <si>
    <t>لديه محطتين في مكة - وسيط</t>
  </si>
  <si>
    <t xml:space="preserve">تمت  الصيانة بتاريخ 26/01/2026 
</t>
  </si>
  <si>
    <t>عبدالرحمن الزهراني</t>
  </si>
  <si>
    <t xml:space="preserve">2026-02-01 06:06:22 PM UTC+03:00 - مغلق </t>
  </si>
  <si>
    <t>تصريف مغسلة اليد مسدود ، وتحتاج الى صابون ايدي,شكراً لهتمامكم - 13:18:04 Thursday, February 26, 2026</t>
  </si>
  <si>
    <t xml:space="preserve">تمت الصيانة </t>
  </si>
  <si>
    <t>Mani Saleh</t>
  </si>
  <si>
    <t>جيده لكن لم يكن يوجد بنزين
تم التحرير في الأربعاء، 25 مارس 2026 في 01:22 ص</t>
  </si>
  <si>
    <t xml:space="preserve">محل مغسلة سيارات - المالك </t>
  </si>
  <si>
    <t xml:space="preserve">انقطع البنزين بسبب خطأ في التوريد بدل البنزين جات ترلا ديزل مما ادي الى الانقطاع </t>
  </si>
  <si>
    <t xml:space="preserve">عائشة محمد </t>
  </si>
  <si>
    <t>وفرو حمام نساء 18:55:48 Friday, February 27, 2026</t>
  </si>
  <si>
    <t>سمية</t>
  </si>
  <si>
    <t>البنزين كان ينكب ورحت مضخه ثانية وعبيت بس اتوقع ان ما عبى لي كويس او دخل هوا لان مو نفس المعتاد - كيا حمرا - 3630 - ر ب ص - المسار الداخلي - 40 ريال كاش 2026-02-01 10:38:28 PM UTC+03:00  - تم التواصل تقول هوا الي دخل مو بنزين ما فهمت ايش تقصد بس قلت لها تاكدنا من الاوتوميشن وتمت التعبئة بس مو مقتنعه</t>
  </si>
  <si>
    <t>تم مراجعة الكامرا والتأكد من التعبئة  وكان السبب خلل مفاجئ في المسدس اوقف التعبئه وتم اكمال التعبئة في المضخة التى تليها</t>
  </si>
  <si>
    <t>Qwertyu Qwertyu</t>
  </si>
  <si>
    <t>داريف ثرو كوفي -3 فروع - توتي لاج كافية -المالك</t>
  </si>
  <si>
    <t>ما تستاهل والله حتى نجمه مافي عندهم شبكه يبغون كأش ومافي احترام في الموضفين والموضف ابو النضاره تعامله زفت
السبت، 7 مارس 2026 في 01:20 ص</t>
  </si>
  <si>
    <t>تم التواصل مع مشرف المحطة وتنبيهه على ان تكون الاله دايما متوفرة للعميل</t>
  </si>
  <si>
    <t>ملاذ</t>
  </si>
  <si>
    <t xml:space="preserve">محمد ظافر القرني </t>
  </si>
  <si>
    <t xml:space="preserve">عبدالرحمن </t>
  </si>
  <si>
    <t>ينبع</t>
  </si>
  <si>
    <t>الحمامات ريحتها مقرفه و وصخه مرا - 04:32:11 Saturday, February 28, 2026</t>
  </si>
  <si>
    <t>السلام عليكم ورحمة الله وبركاته 
اليوم الصباح الساعة ٨ ص 
شاهدت العامل يقوم بتعبئة البنزين في جالون و إعطائها لسائق حافلة . الشي هذا مخالف و غير امن .
سبق انا ارسلت شكوى بخصوص انا المضخة لم تتوقف بعد انا امتلاء الخزان فل. مما تسبب في انسكاب البنزين على السيارة و تحت السياراة و على ارضية المحطة</t>
  </si>
  <si>
    <t xml:space="preserve">كشك - المالك - شاي دمعة </t>
  </si>
  <si>
    <t xml:space="preserve">كباب بن علي لهم 25 سنة اقترح توفرونه عندكم </t>
  </si>
  <si>
    <t>تم ارسال الشكوى ايميل/المحطه لم تفتتح</t>
  </si>
  <si>
    <t xml:space="preserve">تم توفير معطرات وادوات تهويه ونقترح توفير عاملة نظافة </t>
  </si>
  <si>
    <t>2026-04-01 12:38:58 PM UTC+03:00</t>
  </si>
  <si>
    <t>عنده شكوى بيرسلها واتس ولم يتم الارسال ولا الرد</t>
  </si>
  <si>
    <t>Mohammed</t>
  </si>
  <si>
    <t>عماد المتوكل</t>
  </si>
  <si>
    <t xml:space="preserve">محمد </t>
  </si>
  <si>
    <t>BH065</t>
  </si>
  <si>
    <r>
      <rPr>
        <rFont val="Calibri"/>
        <b/>
        <color rgb="FF434343"/>
        <sz val="10.0"/>
      </rPr>
      <t>عدم تجاوب العمال - جيت المحطة وابي بنزين في جالون وما وضحو لي ممنوع شي سافهيني قلت ما عندكم كشف؟ قالو لا كلمت الدوريه يجو ولا جو اتصلت ثاني على الدوريه وقال هات العامل اكلمه الرقم ثلاث 999 والعامل ما يبي ولا يرد ولا يعبرني مكتب خدمة العملاء فاضي  يعني انا غضبت وراح علي حجز العمره  وهم استفزاز ومسكته من صدره وصورني انا اخطيت لكن والله تمالكني الغضب من تجاهلهم وعدم التوضيح - 21:12:36 Saturday, February 28, 2026 -</t>
    </r>
    <r>
      <rPr>
        <rFont val="Calibri"/>
        <b/>
        <color rgb="FF434343"/>
        <sz val="10.0"/>
      </rPr>
      <t xml:space="preserve"> تم التوصل وشكرنا على الخدمة</t>
    </r>
  </si>
  <si>
    <t>باص من الكويت ضيعنا ريموت باص يوتنج ريموت كبير ومعاه مفتاحين</t>
  </si>
  <si>
    <t>‏مياه دورات المياه ‏مالحة ‏رغم أن المياه الحلوة سهلة الحصول - 17:37:07 Sunday, February 1, 2026</t>
  </si>
  <si>
    <t xml:space="preserve">لم يصل شي للامانات وتم محاولة الاتصال على العميل مرتين لا يوجد رد </t>
  </si>
  <si>
    <t xml:space="preserve">حسب تعبئة الخزانات مياه ابار </t>
  </si>
  <si>
    <t>تم التواصل مع العميل وتوضيح ان تعبئة المنتج في الجالون ممنوع من الوزاره</t>
  </si>
  <si>
    <t>بارع</t>
  </si>
  <si>
    <t>MK008</t>
  </si>
  <si>
    <t>محل مغسلة سيارات-لايوجد فرع</t>
  </si>
  <si>
    <t>Ali</t>
  </si>
  <si>
    <t>علاء احمد</t>
  </si>
  <si>
    <t>المكان غير نظيف - 04:40:12 Saturday, February 21, 2026</t>
  </si>
  <si>
    <t xml:space="preserve">مؤسسة زخم البناء للمقاولات والدعايه والاعلام - ما عنده بروفايل </t>
  </si>
  <si>
    <t xml:space="preserve">تم اخطار مدير المحطة و التنويه على ضرورة متابعة كافات المواقع </t>
  </si>
  <si>
    <t>العامل مسؤول عن مضخته</t>
  </si>
  <si>
    <t>مضلو الجهني</t>
  </si>
  <si>
    <t>ينبع املج</t>
  </si>
  <si>
    <t>بندر</t>
  </si>
  <si>
    <t xml:space="preserve">محطة - طريق دولي قبل مطار البحر الاحمر 164الف </t>
  </si>
  <si>
    <t xml:space="preserve">جازان </t>
  </si>
  <si>
    <t>يوم الاحد 4/1 عبيت بـ 30ريال احمر والعامل ماخصمها من عندي ابي تتاكدون ماتنخصم من العامل وبحولها لكم سيارتي يارس اول مضخه ( تم التواصل وافادة العميل)</t>
  </si>
  <si>
    <t>ايه يقول مدير المنطقه مافي عجز في نفس اليوم 
بس لو متأكد العميل ان ماوصلت وبغا يبري ذمته يرجع المحطه ويدفع</t>
  </si>
  <si>
    <t>Matuq</t>
  </si>
  <si>
    <t xml:space="preserve">محمد الصاعد </t>
  </si>
  <si>
    <t>MK028</t>
  </si>
  <si>
    <t>دورات المياه للمسجد سييييييئه - 15:44:08 Monday, February 16, 2026</t>
  </si>
  <si>
    <t xml:space="preserve">تم اخطار مدير المحطة كما توجد لدينا صور متابعة يوميه وتم التوضيح بزحمة المحطة </t>
  </si>
  <si>
    <t xml:space="preserve">كشك - كرنوفي  -  اكثر من فرع </t>
  </si>
  <si>
    <t>مشعل العتيبي</t>
  </si>
  <si>
    <t>الغسلة الانيفة</t>
  </si>
  <si>
    <t>عبدالمجيد</t>
  </si>
  <si>
    <t xml:space="preserve">10000م- لايوجد رخصة مستثمر </t>
  </si>
  <si>
    <t>amal</t>
  </si>
  <si>
    <t>جابر القحطاني</t>
  </si>
  <si>
    <t>الحمامات جدا سيئة النظافه - 20:55:49 Monday, February 16, 2026</t>
  </si>
  <si>
    <t xml:space="preserve">تم التنويه واخطار مدير المحطة بضرورة متابعة مرافق النساء </t>
  </si>
  <si>
    <t xml:space="preserve"> عمار الحقباني</t>
  </si>
  <si>
    <t xml:space="preserve">المدينة المنورة </t>
  </si>
  <si>
    <t xml:space="preserve">فرصة عقارية واعدة بمنطقة المدينة المنورة على الدائري الثاني تبعد عن الحرم النبوي ٦ دقائق </t>
  </si>
  <si>
    <t>اسماعيل</t>
  </si>
  <si>
    <t>الشرقية</t>
  </si>
  <si>
    <t>2300م - تحتاج اعادة تاهيل وكل الرخص جاهزة - مسؤول الشركة</t>
  </si>
  <si>
    <t>حسين</t>
  </si>
  <si>
    <t>بلال عبدالله</t>
  </si>
  <si>
    <t>MK063</t>
  </si>
  <si>
    <t>استشارات هندسيه - شركة مربع الالفيه للاستشارات</t>
  </si>
  <si>
    <t>دايما دورات المياه نظيفة لكن للاسف المرة ذي سيئه وحتى الرائحه كريهه - 00:55:05 Thursday, February 19, 2026</t>
  </si>
  <si>
    <t xml:space="preserve">تم احطار مدير المحطة وشرح الملاحظات المتعلقة على المحطة </t>
  </si>
  <si>
    <t xml:space="preserve">مرزوق الطلحي 
</t>
  </si>
  <si>
    <t>مغسلة سيارات 
الطائف طريق الدائري 
لم يحدد بعد 
اول فرع 
مالك</t>
  </si>
  <si>
    <t>X</t>
  </si>
  <si>
    <t>غدير</t>
  </si>
  <si>
    <t>فواز الممداني</t>
  </si>
  <si>
    <t>كيف اعرف الوظائف الشاغرة</t>
  </si>
  <si>
    <t>العامل اسلوبه سيء يبيني اقدم واللي يوصل تهاوشت معاه بعدها جا مدير يمني وهدى الاوضاع بس هذا العامل سيء صراحه  - الوقت  13:01م - المبلغ 120 شبكة - اخضر - المسار الاول - كامري ابيض (ر ط ح - 3029)+تم التواصل والاعتذار من العميل وشكرنا على الاهتمام</t>
  </si>
  <si>
    <t>تم ابلاغ مدير المحطة لتوجية انذار للعامل والحرص على توجيه بقيه العمال بتحسين معاملتهم مع العملاء والزوار</t>
  </si>
  <si>
    <t>محمد</t>
  </si>
  <si>
    <t>الشطاف ضعييييف جدا + مافيه مناديل - 16:37:58 Sunday, February 22, 2026</t>
  </si>
  <si>
    <t>التحقق من حالة طلب التوظيف</t>
  </si>
  <si>
    <t xml:space="preserve">عاصف </t>
  </si>
  <si>
    <t xml:space="preserve">سمعت عندكم عروض كيف اعرفها </t>
  </si>
  <si>
    <t>توجيه العميل على منصات التواصل</t>
  </si>
  <si>
    <t xml:space="preserve">شركة صوفيا لحلول الموارد البشريه </t>
  </si>
  <si>
    <t xml:space="preserve">تم ابلاغه بارسال البروفايل على الايميل </t>
  </si>
  <si>
    <t>عباس حسين</t>
  </si>
  <si>
    <t>Alwaleed Khaled</t>
  </si>
  <si>
    <t>مغسلة سيارات - اول فرع</t>
  </si>
  <si>
    <t>مافي احد ينظف والحمام صار مهمل - 01:12:34 Monday, February 23, 2026</t>
  </si>
  <si>
    <t xml:space="preserve">تم اخطار مدير المحطة </t>
  </si>
  <si>
    <t>ريم</t>
  </si>
  <si>
    <t xml:space="preserve">عناد العبيدي </t>
  </si>
  <si>
    <t xml:space="preserve">دورة المياه اكرمكم الله غير نظيفه و توجد رائحة سيئه حتى في ادوات التنظيف خارج دورة المياه كما ان بعض رشاشات الماء تحتوي على بقايا فضلات اكرمكم الله Sunday, January 4, 2026 </t>
  </si>
  <si>
    <t xml:space="preserve">محلات - درب النورية </t>
  </si>
  <si>
    <t>تم اخطار مدير المحطة وتم شرح الملاحظة من العميله وتم التنويه على تدريب العامل</t>
  </si>
  <si>
    <t>استفسار خدمة الشركاء</t>
  </si>
  <si>
    <t>مهند</t>
  </si>
  <si>
    <t>كثروا حمامات - 21:54:03 Wednesday, February 25, 2026</t>
  </si>
  <si>
    <t xml:space="preserve">درب الوطن </t>
  </si>
  <si>
    <t>ولاء</t>
  </si>
  <si>
    <t>عثمان عبدالكريم جمعان</t>
  </si>
  <si>
    <t>MK035</t>
  </si>
  <si>
    <t xml:space="preserve">المكان وصخ والحمام قذر جداً والمسجد وصخ بيت الله كيف يكون بالشكل هذا Saturday, January 3, 2026 </t>
  </si>
  <si>
    <t>عبدالعزيز الهادي</t>
  </si>
  <si>
    <t xml:space="preserve">تم اخطار مدير المحطة وتم التنويه على ضرورة متابعة المرافق </t>
  </si>
  <si>
    <t xml:space="preserve">محل مغسلة سيارات - اول فرع </t>
  </si>
  <si>
    <t xml:space="preserve">محطة قائمة -المالك </t>
  </si>
  <si>
    <t>المضخة</t>
  </si>
  <si>
    <t>فارس</t>
  </si>
  <si>
    <t>بريده</t>
  </si>
  <si>
    <t xml:space="preserve">2400م - المالك </t>
  </si>
  <si>
    <t xml:space="preserve">عطاني 50 ريال مشقوقه Saturday, January 3, 2026 </t>
  </si>
  <si>
    <t>( تم محاولة التواصل مرتين مغلق)</t>
  </si>
  <si>
    <t xml:space="preserve">استفسار عن الية التقديم </t>
  </si>
  <si>
    <t>تمت افادته</t>
  </si>
  <si>
    <t>سعود</t>
  </si>
  <si>
    <t>مدير قطاع الاعمال في تطبيق سيارتك يرغب بالرد على البروبوزل المرسل أ.خديجة</t>
  </si>
  <si>
    <t>روئ</t>
  </si>
  <si>
    <t xml:space="preserve">دورة المياه النساء جداا وصخخه وعالمغسله دخان Saturday, January 3, 2026 </t>
  </si>
  <si>
    <t xml:space="preserve">افاد خلاص ما يحتاج شكرا </t>
  </si>
  <si>
    <t xml:space="preserve">تم التنويه على ذالك ويصعب على عامل النظافة الدخول الى دورات النساء في جميع الاوقات حيث تشهد المحطة كثافة مستخدمين نقترح توفير عاملة </t>
  </si>
  <si>
    <t>صالح محمد علي</t>
  </si>
  <si>
    <t>كريم احمد</t>
  </si>
  <si>
    <t xml:space="preserve">أرض عليها رخصة - مستثمرة </t>
  </si>
  <si>
    <t xml:space="preserve">روائع الانصار 20 باص عرض سعر  - سيارة اب </t>
  </si>
  <si>
    <t xml:space="preserve">تم تزويده برقم م. رغد </t>
  </si>
  <si>
    <t xml:space="preserve">مصعب </t>
  </si>
  <si>
    <t>MK047</t>
  </si>
  <si>
    <t>صراحة درب من افضل المحطات في نظافة الحمامات لاكن هذي المحطة للاسف النظافة فيها سيئة أتمنى تكون فيه رقابة على النظافة اكثر</t>
  </si>
  <si>
    <t>تم تدريب العامل وتم اخطار مدير المحطة</t>
  </si>
  <si>
    <t>RY024</t>
  </si>
  <si>
    <t xml:space="preserve">كنت ابي جركل ورفض العامل يعبي ويقول الي بتامين ملغيه 2/4/2026 - تم التواصل مع العميل والاعتذار منه وافاد انها ملاحظة فقط لانه ضروريه - تم التواصل وشكرنا على الخدمة </t>
  </si>
  <si>
    <t>Medium</t>
  </si>
  <si>
    <t>ابراهيم حرازي</t>
  </si>
  <si>
    <t>عيد المتعاني</t>
  </si>
  <si>
    <t>لايوجد نظافه لدوره المياه</t>
  </si>
  <si>
    <t xml:space="preserve">ايمن محمد انور </t>
  </si>
  <si>
    <t xml:space="preserve">تم تدريب العامل وتم اخطار وتم اخطار مدير المحطة </t>
  </si>
  <si>
    <t xml:space="preserve">خط المدينة بعد مسجد الاميرة عائشة - عبيت ب30 والعامل حطاها ب50  انا الان في المحطة وابي حل  - تم افادة العميل بالتوجه لمكتب خدمة العملاء لحل المشكلة  - تمت محاولة الاتصال ورد شخص يتحدث اللغه الهنديه </t>
  </si>
  <si>
    <t>عبدالعزيز غلام</t>
  </si>
  <si>
    <t>Ali Torky</t>
  </si>
  <si>
    <t xml:space="preserve"> محطه سيئة مكاين جديده بس خربانه سوء معامله وتضيع وقت والصف الواحد في عاملين الأحد، 1 فبراير 2026 في 08:28 م </t>
  </si>
  <si>
    <t>تمت الصيانة 
الفني المنفذ:
Awad Haytham
تاريخ الإنجاز:12 أبريل 2026 - 17:03</t>
  </si>
  <si>
    <t>دورة مياه النساء متهالكة وغير نظيفة بتاتا</t>
  </si>
  <si>
    <t xml:space="preserve">مستاجر منهم ولي شهر ماشغلو الكهرب المحطه جاهزه بس اخرونا في الكهرب الله المستعان وكلما تسال متى تشتغل قالو يومين وكل مره على الحال ذا
تكملالرجاء منكم تشغيل الكهرب انا عندي عماله ادفع رواتبهم وعندي عقد بيبدا بعد ٥ ايام من الي يتحمل المسوليات هاذي نبغا تشغيل الكهرب فقطتم التحرير في الثلاثاء، 24 فبراير 2026 في 06:51 م
</t>
  </si>
  <si>
    <t xml:space="preserve">تم رفع طلبات صيانه للمواد المتهالكة وتم اصلاحها من قبل فنيي الصيانه </t>
  </si>
  <si>
    <t xml:space="preserve">
وعليكم السلام
متوقع تشغيل الموقع خلال شهر 4 القادم
التعطل بسبب عدم دخول الكهرباء من شركه الكهرباء
يرجى مراجعه اداره العقار للتواصل مع العميل حيث ان التاجير تم عن طريق المالك وليس اداره العقار وشركه درب
</t>
  </si>
  <si>
    <t>صالحه</t>
  </si>
  <si>
    <t>عبدالله أحمد الزهراني</t>
  </si>
  <si>
    <t xml:space="preserve">لماذا المسجد في قسم النساء مقفل وقت صلاه الظهر اضطرينا نصلي في الشمس ارجوا منكم ان تاخذوا هذا الكلام لعين الاعتبار لان بجد الشمس حرقتنا وبيت الله مغلق -Friday, January 2, 2026  - 11:09:00 </t>
  </si>
  <si>
    <t>جبريل سند</t>
  </si>
  <si>
    <t>خارج اوقات الصلاة</t>
  </si>
  <si>
    <t>يوجد سوق بالحمطه فرش واي اسعاره مرتفعه جدا جدا في كل شي</t>
  </si>
  <si>
    <t xml:space="preserve">انا متعامل معهم من كم سنه ما اعبي إلى عندهم بس محطه العزيزيه في اهمال جدا من اليد العامله سياره تعبي فل وتجلس منتضر ورها عشان يجي يتحاسب ووتتاخراج ارجو تحسين الخدمه فقط
الأحد، 1 مارس 2026 في 03:12 ص
</t>
  </si>
  <si>
    <t>حمود السليماني</t>
  </si>
  <si>
    <t xml:space="preserve">
م ابلاغ مدير المحطة لتحسين الخدمه ووضع عامل مسؤول عن  الحركة لتيسير الحركة وتحسين الخدمه والحرص على السرعه ايضاً</t>
  </si>
  <si>
    <t xml:space="preserve">مخبز - يحتاج ديزال توصيل كمية 2000 لتر </t>
  </si>
  <si>
    <t xml:space="preserve">تم الاعتذار منه وان بياناته موجود مستقبلا </t>
  </si>
  <si>
    <t>سعيد الحارثي</t>
  </si>
  <si>
    <t>عن سير عمل شكوى سابقة بشهر 12</t>
  </si>
  <si>
    <t>تم التواصل واغلاقها</t>
  </si>
  <si>
    <t>Appala Reddy</t>
  </si>
  <si>
    <t>JA056</t>
  </si>
  <si>
    <t>هناك شيء مريب في المضخة بشكل عام، تكلفة تعبئة خزان سيارتي بالكامل لا تتجاوز 80 ريال سعودي حتى مع أن مدى الوقود أقل من 50 كم.   ولكن عندما استخدمت درب، على مدى 75 كم أخذوا 87 ريال سعودي لتعبئة الخزان بالكامل. سألتهم ولم أجد ردًا مناسبًا.</t>
  </si>
  <si>
    <t>الحكيم بن عبدالله</t>
  </si>
  <si>
    <t>تم ابلاغ الصيانه لمعايره المضخات بالمحطة ومراجعة تاريخ التقييس</t>
  </si>
  <si>
    <t xml:space="preserve">العمال يتاخرو تخذلك١٠ دقيق لين تعبي بنزين
</t>
  </si>
  <si>
    <t>ما شاء الله المحطة عليها اقبال شديد من الزوار وقد بالغ العميل بقوله 10 دقائق والاغلب انه دخل المحطة بوقت ذروه وقد قمنا بابلاغ مدير المحطة بتنظيم عمليات التعبئه والحفاظ على انسيابيه السيارات</t>
  </si>
  <si>
    <t>درب الوطن</t>
  </si>
  <si>
    <t>بطء الخدمة</t>
  </si>
  <si>
    <t>رعد</t>
  </si>
  <si>
    <t xml:space="preserve">محل مغسلة سيارات -لا يوجد فروع </t>
  </si>
  <si>
    <t>ايمن حسين</t>
  </si>
  <si>
    <t xml:space="preserve"> ختام المالكي</t>
  </si>
  <si>
    <t xml:space="preserve">لنا فاتورة نبي تتسدد  - رؤية الرسالة للطباعه - يبي يتواصل مع مدير نشطان </t>
  </si>
  <si>
    <t xml:space="preserve">تقييم سلبي لم يتم معرةف السبب - لم يتم الرد </t>
  </si>
  <si>
    <t>فايف</t>
  </si>
  <si>
    <t>طلبت تعبئة بنزين ب20 عبى لي ديزل سيارتي شيول يوم الاثنين 5/1/2026 انا حاليا بالمحطة</t>
  </si>
  <si>
    <t xml:space="preserve">تم التواصل مع مشرف المحطة وتم حل المشكله الحمدلله
بتفريغ الخزان وإعادة التعبئة 
شاكرين لكم
</t>
  </si>
  <si>
    <t>SJJAD DIN</t>
  </si>
  <si>
    <t xml:space="preserve">محمد علي </t>
  </si>
  <si>
    <t>MK068</t>
  </si>
  <si>
    <t xml:space="preserve">انتم افضل يا درب والله عشن ٣ نجوم بسبب مافي دورات مياه النساء ايش السبب غريبه
الجمعة، 23 يناير 2026 في 02:58 ص
</t>
  </si>
  <si>
    <t>حعفر</t>
  </si>
  <si>
    <t xml:space="preserve">تقييم سلبي لم يتم معرةف السبب - رد وافاد ما رفعت شي انا وتم شكره واغلاق الاتصال </t>
  </si>
  <si>
    <t>فاتن</t>
  </si>
  <si>
    <t>mesho 1815</t>
  </si>
  <si>
    <t>شركة انظمة مراقبة</t>
  </si>
  <si>
    <t xml:space="preserve"> ماريا السلمي</t>
  </si>
  <si>
    <t>تم افادتها بارسال البروفايل على الايميل</t>
  </si>
  <si>
    <t>وليدامين</t>
  </si>
  <si>
    <t xml:space="preserve"> MK003</t>
  </si>
  <si>
    <t>جداً الحمامات وصخه ومهي نظيفه ارجوا المتابعه والنظافه ويوجود عامله نظافه اين البلديه - 02:24:08 Sunday, March 1, 2026</t>
  </si>
  <si>
    <t xml:space="preserve">محطه كبيره وفيها كل شي وعلى طريق سفر للجنوب كامل ومافيها اهم شي المسجد حاجه غريبه جداً !!!!؟
</t>
  </si>
  <si>
    <t xml:space="preserve">تم اخطار مدير المحطة ونقترح توفير عاملة نظافة </t>
  </si>
  <si>
    <t>‏و الله الحمامات مرة وسخة لا يوجد تعامل لتنظيف الحمامات عز الله الأوساخ على الأرض - 14:47:29 Tuesday, March 31, 2026</t>
  </si>
  <si>
    <t>ناصر عبدالله</t>
  </si>
  <si>
    <t>M</t>
  </si>
  <si>
    <t>يحيى</t>
  </si>
  <si>
    <t>بنشر 6 فروع - مدير</t>
  </si>
  <si>
    <t>Lala</t>
  </si>
  <si>
    <t>JA053</t>
  </si>
  <si>
    <t xml:space="preserve">4  عمال واثنين بس يشتغلون وتأخير مو طبيعي
ويجلس يعبي للناس الي تدخل غلط ويقولك انا مافيه معلوم
سوء تدريب وتعامل
الاثنين، 5 يناير 2026 في 10:23 ص
</t>
  </si>
  <si>
    <t>كله ممتاز ترتيب ونظام ما عادا في ريحه بالحمامات فقط - 21:28:56 Sunday, March 1, 2026</t>
  </si>
  <si>
    <t>تم ابلاغ مدير المحطة لمراجعه الكامرات في التوقيت المحدد وارسال الفديو وتوجيه انذارات للعاملين المذكورين ان كان هناك تقصير في تأديتهما لواجبهما المهني</t>
  </si>
  <si>
    <t xml:space="preserve">تم اخطار مدير المحطة باستخدام الفواحات و المعطرات وتهوية المكان </t>
  </si>
  <si>
    <t>حمامات غير نظيف وبشكل عام الحمام والمغاسل وسخه
والابواب عطلانه - 22:59:01 Tuesday, March 31, 2026</t>
  </si>
  <si>
    <t>تمت الصيانة الفني المنفذ:Mahmoud Ibrahim
تاريخ الإنجاز:13 أبريل 2026 - 16:40</t>
  </si>
  <si>
    <t xml:space="preserve">لدينا  أرض تجارية و سكنية للبيع  موقع استراتيجي لمحطة وقود على مدخل مدينة بريدة الشمالي الخط السريع بريدة حائل القديم و الجديد و كذلك هي تخدم العائدين لبريدة من مطار الامير نايف بن عبدالعزيز الدولي و كذلك مرتادين الطريق من منسوي جامعة القصيم موظفين و طلاب و قريبه من معارض سيارات بريدة.
</t>
  </si>
  <si>
    <t>عتب</t>
  </si>
  <si>
    <t xml:space="preserve">ريهام </t>
  </si>
  <si>
    <t>الحمام وصخ وباب الدخول بينكسر المرايه وصخه دورت المايه وصخ اتمنى ان تهدمون بالنظافه - 23:00:09 Tuesday, March 31, 2026</t>
  </si>
  <si>
    <t>كيس فيه اغراض مبخرة اسلاك شاحن - 5:30م - كيس اخضر - يا انه وقت التعبئة - غسلت غسيل داخلي وخارجي</t>
  </si>
  <si>
    <t xml:space="preserve"> تم اخطار مدير المحطة وشرح الملاحظة وطلب العناية بالمرافق ورفع تذاكر الصيانة 
تمت الصيانة 
الفني المنفذ:
Mahmoud Ibrahim
تاريخ الإنجاز:
13 أبريل 2026 - 16:38  </t>
  </si>
  <si>
    <t>تم تزويدها برقم واش واي</t>
  </si>
  <si>
    <t>با يوجد شطاف، و الحمام غرقان بالمويه و لا يوجد مناديل و هاذا لا يعكس شي جيد لاسم مثل اسمكم اتمنى التطوير - 13:25:14 Sunday, March 1, 2026</t>
  </si>
  <si>
    <t>شطاف</t>
  </si>
  <si>
    <t>تسوي بحث عن محططات درب العوالي وتبي معلومات كالمساحة والخدمات المقدمة</t>
  </si>
  <si>
    <t>تمت افادتها</t>
  </si>
  <si>
    <t>عبدالله العتيبي</t>
  </si>
  <si>
    <t>كامل حسين الثمالي</t>
  </si>
  <si>
    <t xml:space="preserve"> اثير الشهري</t>
  </si>
  <si>
    <r>
      <rPr>
        <rFont val="Calibri"/>
        <b/>
        <color rgb="FF434343"/>
        <sz val="10.0"/>
      </rPr>
      <t xml:space="preserve">يوم الخميس الساعه 4:43 عصرا وقفت عند المضخه والعامل رفض يقول قد المضخه عطلانه وشوي يجي وراي واحد يعبي؟ ليه الكذب والاسلوب هذا انا عبيت ولكن العامل ابي تتخذون اجراء معاه مايكذب على العملاء افالون ا ح د 4671 </t>
    </r>
    <r>
      <rPr>
        <rFont val="Calibri"/>
        <b/>
        <color rgb="FFFF9900"/>
        <sz val="10.0"/>
      </rPr>
      <t xml:space="preserve">- تم التواصل مع العميل والاعتذار وشكرنا على الخدمة </t>
    </r>
  </si>
  <si>
    <t xml:space="preserve">حمعية البر الخيرية - يرغب في معرفة تفاصيل سيارة اب </t>
  </si>
  <si>
    <t xml:space="preserve">تم ابلاغ مدير المحطة لمراجعة الكامرات وانذار العامل بعد تبيين اسبابه اذا كان التقديم لمصلحة التشغيل وعدم عرقله السير فلابأس </t>
  </si>
  <si>
    <t>رفض التعبئة</t>
  </si>
  <si>
    <t>حطوا مساجد ومناديل للنساء - 19:29:59 Sunday, March 1, 2026</t>
  </si>
  <si>
    <t>منير</t>
  </si>
  <si>
    <t>sophie</t>
  </si>
  <si>
    <t>العمالة سيئين مافي اهتمام بالعميل كانهم مغصوبين ويتهاوشون مع العملاء ونصيحه مني محطتكم بمكان حيوي ولا في مناافس تشتغلون على عمالتكم ( درب عرفات الحمراء الاقنصلية الايرانية بجنبها 9</t>
  </si>
  <si>
    <t xml:space="preserve">
Email: sophie@sendproud.com
Message: Hi, I’m Sophie! I tried to find you on LinkedIn but couldn’t, so I’m reaching out here. I help businesses book meetings, drive traffic, and generate user sign ups through targeted outreach using my extensive private network, built over 12+ years, with access to over 100 million contacts. We’ll have a quick call to set a clear goal for your business, and I’ll personally work to make sure we reach it. You choose the result you want, whether that’s booked meetings, website traffic, user sign ups, or another measurable outcome, and if I fall short by even one, I’ll refund your money in full. Schedule a time with me here: https://calendly.com/sendproud/30min
</t>
  </si>
  <si>
    <t>المحطه غير مشغله بعد</t>
  </si>
  <si>
    <t>بالغلط</t>
  </si>
  <si>
    <t>محمد العتيبي</t>
  </si>
  <si>
    <t>MeRo</t>
  </si>
  <si>
    <r>
      <rPr>
        <rFont val="Calibri"/>
        <b/>
        <color rgb="FF434343"/>
        <sz val="10.0"/>
      </rPr>
      <t xml:space="preserve"> ٢/٢٧ - ١١:١٦م - شكوى لااحد عمال محطه درب - قلت للعامل يعبيلي ٢٥ ريال - عبى لي ٥٠ ويشهد علي الله اني قلت ٢٥ بس العامل اجبرني ادفع مبلغ ٥٠ ريال وانا انسان ليس لدي المبلغ هذا بذاك الوقت واضطريت اتسلف من احد اهلي والله انقهرت يجبرني بشي انا ماطلبته بس اتمنى تتاخذون الاجراء الازم معه وعندي صورة العامل -  سيارتي اكسنت بيضا (ح ك ي ٧٩٧٥) - مرفق صورة  -</t>
    </r>
    <r>
      <rPr>
        <rFont val="Calibri"/>
        <b/>
        <color rgb="FF434343"/>
        <sz val="10.0"/>
      </rPr>
      <t xml:space="preserve"> تم التواصل والاعتذار وشكرنا على الاهتمام</t>
    </r>
  </si>
  <si>
    <t xml:space="preserve">تم التواصل مع العميل من قبل خدمة العملاء شاكرين لهم تاونهم وقد تم مخاطبه مدير المحطة على تنبيه العمال على سؤال العميل قبل التعبئه وتكرار سؤاله عن مبلغ التعبئه </t>
  </si>
  <si>
    <t xml:space="preserve"> السلام عليكم اريد استثمر معكم ،، ولو اريد اجر عليكم ارض هل في قوانين معينه</t>
  </si>
  <si>
    <t>ايمن العمري</t>
  </si>
  <si>
    <t xml:space="preserve">ارض 10000م - لايوجد رخصة - مسوق </t>
  </si>
  <si>
    <t>بندر المالكي</t>
  </si>
  <si>
    <t xml:space="preserve">MK023 </t>
  </si>
  <si>
    <t>عمال مغسلة درب الصيانة سيئين ومغسلتهم جدا سيئة انا علقت في قوقل لان قالو لي ان نفس الشركة هم تابعين لكم وكنت بقدم شكواي عندكم ياليت مالكها يتواصل معي ويحسن من خدمة المغسله لانها زينه لكن من غير العمال وهي بدت تسوء</t>
  </si>
  <si>
    <t>Mona Alsulami</t>
  </si>
  <si>
    <t>مغسلة</t>
  </si>
  <si>
    <t xml:space="preserve">السلام عليكم الى محطة درب حي النسيم ارجو من المسؤول التركيز على العامل صبر كان اسلوبه جداً سيء طلبت منه يعبي السياره فل وتعبت ووقف العداد عالفل وهو جالس يسولف وادق له بوري ولا يرد ولما رد رفع صوتو عليا وتكلم معاي ب اسلوب جداً سيء ولا جاء يأخذ الحساب ارسل عامل غيرو العامل الثاني قال اسمو صبر والله اعلم ارجو التواصل معاي
الخميس، 2 أبريل 2026 في 11:38 م
</t>
  </si>
  <si>
    <t xml:space="preserve">تم ابلاغ مدير المحطة ومدير المنطقة للشد على العامل المذكور وتوجيه انذار شفوى له بعد التأكد من الكامرات   وقد تم التأكد من الكامرا كانت المحطة شديده الازدحام والعامل المذكور مشغول بسياره اخرى </t>
  </si>
  <si>
    <t>شعيب</t>
  </si>
  <si>
    <t>سوبر ماركت - اول فرع</t>
  </si>
  <si>
    <t xml:space="preserve">درب الشحنات </t>
  </si>
  <si>
    <t>البترول الذهبي فرنشايز</t>
  </si>
  <si>
    <t>Osama -Alshddadi</t>
  </si>
  <si>
    <t>MK004</t>
  </si>
  <si>
    <r>
      <rPr>
        <rFont val="Calibri"/>
        <b/>
        <color rgb="FF434343"/>
        <sz val="10.0"/>
      </rPr>
      <t xml:space="preserve">المحطه حلوه و فيها مطاعم و كوفيهات اجيها بس الي منزل التقييم هو ان المسجد اكثر من مره نجي و نفس </t>
    </r>
    <r>
      <rPr>
        <rFont val="Calibri"/>
        <b/>
        <color rgb="FFFF0000"/>
        <sz val="10.0"/>
      </rPr>
      <t xml:space="preserve">للفرش </t>
    </r>
    <r>
      <rPr>
        <rFont val="Calibri"/>
        <b/>
        <color rgb="FF434343"/>
        <sz val="10.0"/>
      </rPr>
      <t xml:space="preserve">الي ريحته جداً سيئه اتمنى تغييره في اقرب وقت
السبت، 4 أبريل 2026 في 06:51 م
</t>
    </r>
  </si>
  <si>
    <t xml:space="preserve">Order number
001797
001806
تحت الاجراء </t>
  </si>
  <si>
    <t>تم معاودة الاتصال لا يوجد رد</t>
  </si>
  <si>
    <t xml:space="preserve">الية التوظيف </t>
  </si>
  <si>
    <t>اليه التقديم على الوظائف</t>
  </si>
  <si>
    <t>عمر الاسمري</t>
  </si>
  <si>
    <t>عبدالمجيد محمد الحمد</t>
  </si>
  <si>
    <t>ابي اتوظف في الحليس والمحلات اللي بالمحطة</t>
  </si>
  <si>
    <t xml:space="preserve">عبيت في المحطة من الطرمبه ولكن ما اتعبى شي - سيارة سوناتا اللون رصاصي - رقم اللوحة ( ر ي ن - 1149 )  مرفق صورة للفاتورة </t>
  </si>
  <si>
    <t>تم التواصل مع العميل وابلاغه بان تم التحقق من الاوتوميشن وتمت التعبئة وحفاظا على رضاه تم تزويده بكوبون خصم بقيمة 100 ريال+العميل غير راضي سيتم التواصل معاه من قبل أ.محمد الوصابي</t>
  </si>
  <si>
    <t>محمد صالح</t>
  </si>
  <si>
    <t>RY025</t>
  </si>
  <si>
    <t>المحطة مافيها جركل بتامين وهو معه جالون يبي بنزين وبيلحق دوامه هو الان في المحطة وضروري يبي بنزين - وقت الاتصال 1:54م الاثنين 3-2  - تم تحويلها لمدير المحطة - تم التواصل مع العميل والاعتذار</t>
  </si>
  <si>
    <t xml:space="preserve">تم ابلااغ مسسؤول الطلبات لطلب خمسة جراكل لمحطة الحمراء ومتابعه ايصالها من المشتريات </t>
  </si>
  <si>
    <t>سحب زيادة مبلغ</t>
  </si>
  <si>
    <t>2026-03-23 02:08:16 PM UTC+03:00 - لم يتم الرد</t>
  </si>
  <si>
    <t>فوزيه احمد</t>
  </si>
  <si>
    <t>سفانة حكيم</t>
  </si>
  <si>
    <t xml:space="preserve">اكلم العامل لا يزود لمن يقفل التانكي يزيد اكلمه يقول انا ماسمعتك يعبي اكثر من الفل يكمل الهللات - مخطط 4 - 121 - 2:33م - اخضر - فورد اسود - تم التواصل لاكمال التفاصيل رفضت رفع الشكوى خوفا من تسبب اشكاليه للعامل </t>
  </si>
  <si>
    <t xml:space="preserve"> RY075</t>
  </si>
  <si>
    <t>يوم الثلاثاء الساعه 9:15 الى 9:30 طلبت يعبي فل والفل حقي ب124 العامل ماعبى شي فجاه يقولي ادفعي 10 ولسا التانكي حقي فاضي ماتحرك شي وقلتله وقف وبلغت الشرطه يبي ينصب علي انا مني عاجزه اددفع 10 طلبت فل ب124 بس انه ينصب علي وابي اتاكد هل العامل عبى ب10 ولا؟ نيسان احمر اول مسار المضخه الثانية ( تم محاولة التواصل ولا يوجد رد )</t>
  </si>
  <si>
    <t>تم التعبئه للعميله مبلغ 10 ريال وتم رفض سداد المبلغ من قبل العميله 🙏🏻</t>
  </si>
  <si>
    <t>2026-03-01 03:28:04 PM UTC+03:00</t>
  </si>
  <si>
    <t>التحقق من التعبئة</t>
  </si>
  <si>
    <t xml:space="preserve"> اتواصلت معاه قبل شوية وقلت له شركة درب الوقود بس قال اهااا اتوقعت مارح ترجعو تردو وقلت ان تحتاج شي قام يصرف وقلت له بعطيك رقمنا واتس اب وسجله عنده بس اسلوبه مثير للشك</t>
  </si>
  <si>
    <t>2026-04-04 01:30:37 AM UTC+03:00 -لم يتم الرد</t>
  </si>
  <si>
    <t>عبدالكريم</t>
  </si>
  <si>
    <t>اليه التقديم على الوظايف</t>
  </si>
  <si>
    <t xml:space="preserve">مسوقه عقارية </t>
  </si>
  <si>
    <t xml:space="preserve">2026-03-01 03:55:49 PM UTC+03:00 </t>
  </si>
  <si>
    <t>كان عنده استفسار لكن خلاص فاده مدير المحطة</t>
  </si>
  <si>
    <t>خالد حمود العصيمي</t>
  </si>
  <si>
    <t>شركة ميتكو - 700 لتر شهريا</t>
  </si>
  <si>
    <t>انا قيمت نجمه وحده لسبب واحد فقط يعني محطه لها سمعتها الطيبه وماشاءلله داخله بقوة واخر شي المصلى مُهمل !!! السجاد قطط تمشي عليه ومغبر وصاقعته شمس اجي ارفع من السجود انفض وجهي وملابسي من النمش وبقايا الفرش واللي ادهى من كذا عند اخطر منطقه عدادات الكهرباء والله تفاجات من خدمتكم كل شي ممتاز الا المصلى من اسواء مايكون في المحطه وشي مايغتفر لانه مكان عباده ناس تصلي فيه وبكره لاروح المصلى واصور السجاد كيف حتى صلاة الظهر الشمس شاقه راسي مظله على قد المصلى مابتخسركم شي دورو الاجر لكن الباقي ١٠/١٠
الثلاثاء، 6 يناير 2026 في 05:15 ص</t>
  </si>
  <si>
    <t>تم زيارة المحطة والتفقد من حالة السجاد وتبين لدينا الى ان السجاد بحالة جيده</t>
  </si>
  <si>
    <t>تغيير السجاد</t>
  </si>
  <si>
    <t>2026-03-01 04:15:29 PM UTC+03:00</t>
  </si>
  <si>
    <t>استفسار عن عرض البغدادية</t>
  </si>
  <si>
    <t>2026-04-04 11:41:02 AM UTC+03:00 - رد وما يتكلم</t>
  </si>
  <si>
    <t>درب 24 العميل يرغب في تعبئة البنزين في جركله الخاص</t>
  </si>
  <si>
    <t>لكن تقييمي على عمال المحطة ذي اكثر من مرة يحصل لي معهم موقف سلبي
 الاثنين، 5 يناير 2026 في 02:19 م</t>
  </si>
  <si>
    <t xml:space="preserve">تمت افادته  بانها تعليمات من الدفاع المدني لكنه مصر وتمت افادته بارسال الصورة للجركل على الواتس اب للتأكد من صلاحيته ورفض وتم الاعتذار منه </t>
  </si>
  <si>
    <t>م ابلاغ مدير  المحطة ومدير المنطقة ومسؤول التدريب  لزياده الحرص على متابعه انضباط العمالة</t>
  </si>
  <si>
    <t>2026-03-01 05:14:07 PM UTC+03:00</t>
  </si>
  <si>
    <t>تركي معبدي</t>
  </si>
  <si>
    <t xml:space="preserve">موظفين لا اسلوب ولاشيئ طلبته يعبي بمبلغ قليل و يقول اول مره اشوف احد يعبي بهذا المبلغ قليل ماله دخل انا اعبي بكم - المسار الداخلي - كوريلا بيضا - (ب ى ى - 2107) - شبكة - 11:23ص بتاريخ 4-4 - تم التواصل والاعتذار وشكرنا </t>
  </si>
  <si>
    <t xml:space="preserve">السرا يوصل اخر الشارع واحنا جالسين ننتظر في النهايه يطلع الانتظار هذا عشان تقييم ؟
الخميس، 1 يناير 2026 في 06:57 م
</t>
  </si>
  <si>
    <t xml:space="preserve">اعطي العامل العميل اسم مدير المحطة كونه المتصدر امام شكاوي العملاء وقد تم تنبيه العمال على الانتباه وعدم التعبئه الا بعد التأكد والاستيضاح من العميل عن نوع المنتج </t>
  </si>
  <si>
    <t>سلطان نايف القحطاني</t>
  </si>
  <si>
    <t xml:space="preserve">محل - وجبات سريعه - ثاني فرع - فراي اند قو </t>
  </si>
  <si>
    <t>2026-03-01 05:24:46 PM UTC+03:00</t>
  </si>
  <si>
    <t>ريان</t>
  </si>
  <si>
    <t xml:space="preserve">اقسم بلله احس محطة بنزين شفته في حياتي تاخير 20 دقيقه انتظر اعبي بنزين ومافي زحمة والموظفين غير منظمين مره  الثلاثاء، 3 فبراير 2026 في 01:39 م
</t>
  </si>
  <si>
    <t>JA227</t>
  </si>
  <si>
    <t>م التأكيد على مدير المحطة لزياده تكثيف جهوده بتوجيه العملاء وتوزيعهم على جميع المسارات بالمحطة والشد على العمال ومراقبتهم ومعاقبه كل من يؤخر او يعرقل انسيابيه السير بالمحطة</t>
  </si>
  <si>
    <t>العمال يحتاجون تدريب ما يعرف يفك غطا التانكي ولا يعرف يعلق الغطا الداخلي في في غطا التانكي وفوقها اسلوب سيء السبت، 3 يناير 2026 في 03:41 م</t>
  </si>
  <si>
    <t xml:space="preserve">تم اغلاقها من قبل </t>
  </si>
  <si>
    <t>اتصال بالغلط</t>
  </si>
  <si>
    <t>عبدالعزيز القحطاني</t>
  </si>
  <si>
    <t>محمد هنداوى</t>
  </si>
  <si>
    <t>أرض عليها رخصة 1126م - المالك</t>
  </si>
  <si>
    <t>Darb93</t>
  </si>
  <si>
    <t xml:space="preserve">كنت احط بنزين سياره اب دلوقتى اروح احط بنزين يقول ما فيه اقوله ليش يقول مدير يقول لا ايش السبب ما يعطى سبب اذا ما تريد الشركه تشتغل سياره يلغي سياره مش يبقى شركه شغاله سيارات ونروح عامل بنغالي يقول ما في ليش ما في شغل بمزاجه الاثنين، 5 يناير 2026 في 02:35 م
</t>
  </si>
  <si>
    <t>مشكلة تقنية في سيارة اب</t>
  </si>
  <si>
    <t>2026-04-04 09:55:22 PM UTC+03:00 لم يتم الرد</t>
  </si>
  <si>
    <t>Ana Conda</t>
  </si>
  <si>
    <t>MK031</t>
  </si>
  <si>
    <t>اتمنى من صاحب المغسله النظر في العماله بالاخص حقين الليل كل واحد ماسك جواله ومب داري عن الزبون ومطنش في كل مره اجي خويي ينزل وينتبه لما اقدم السياره لجل لاتطيح في حفرة المغسله وهم حاطين رجل على رجل لين بطلت وحلفت وعشقت موتري وحلفت قسم معد اغسل عندهم نصيحه انتبه على سمعت المغسله لان مهم يم العميل ولا الغسيل الثلاثاء، 6 يناير 2026 في 03:17 ص</t>
  </si>
  <si>
    <t>جلال</t>
  </si>
  <si>
    <t xml:space="preserve">عبيد عبدالله </t>
  </si>
  <si>
    <t xml:space="preserve"> انا عندي اكثر من موقع محطات بنزين بمواقع جميله تليق باسم شركة درب وحابب اتواصل مع اداره الاستثمار اعرضها عليكم والله يكتب الخير للجميع
</t>
  </si>
  <si>
    <t>انا مادفعت وجيت الخميس الماضي بدفع قالو رفعنا اوراقك للشرطة وكلمني مسؤول من عندكم ولا رد علي انا بدفع لكم بس ردو علي 
رقم المسؤول 598673292</t>
  </si>
  <si>
    <t>كافيهات : ديرة كافية- عدد الفروع: - ١٠ فروع- استأجار كوشك في محطة درب طريق الملك</t>
  </si>
  <si>
    <t>صعدنا لمشكلة للادارة وتواصل مع أ.سلمان وفهمه الاشكالية ونفيدك ان الشخص اللي اخذ منك المبلغ هو متعهد تابع لمكتب تحصيل وهذي اتعابه - العميل غير راضي عن الاجراء</t>
  </si>
  <si>
    <t>نظافة السجاد</t>
  </si>
  <si>
    <t xml:space="preserve"> الرجاء تنظيف دوره المياه قسم النساء الرجاء تغيير سجاده الصلاه في قسم النساء او تنظيفها Monday, January 5, 2026 </t>
  </si>
  <si>
    <t xml:space="preserve">تم اخطار مدير المحطة و التاكيد على نظافة المرافق و العناية بالسجاد وضخ المعطرات </t>
  </si>
  <si>
    <t>عبدالهادي</t>
  </si>
  <si>
    <t xml:space="preserve"> تم حلها من قبل مدير المحطة</t>
  </si>
  <si>
    <t xml:space="preserve">درب المترو </t>
  </si>
  <si>
    <t xml:space="preserve">استفسار عن اقرب محطة لها </t>
  </si>
  <si>
    <t>رغد الشاطري</t>
  </si>
  <si>
    <t xml:space="preserve">تمت افادتها </t>
  </si>
  <si>
    <t xml:space="preserve">شركة تراي لحلول الاعمال ترغب بعرض البروفايل وتحديد اجتماع مع الاتش ار </t>
  </si>
  <si>
    <t>ارسال البروفايل على الايميل</t>
  </si>
  <si>
    <t>محل فول وتمره - فرعين - المالك ( الامير فواز)</t>
  </si>
  <si>
    <t>احمد حسين</t>
  </si>
  <si>
    <t>استفسار عن بطاقة مدار للافراد</t>
  </si>
  <si>
    <t xml:space="preserve">تمت افادته حاليا غير متوفره </t>
  </si>
  <si>
    <t xml:space="preserve">محل مغسلة </t>
  </si>
  <si>
    <t>ابوعبدالرحمن</t>
  </si>
  <si>
    <t>زميلي حاب يستأجر مغسلة السيارات بموقع الأمير فوازمقابل مستشفى ظافر بجدةولدية عدة مغاسل بمواقع مختلفةالي اعرفه مغسلة في حي النسيمطريق الملك عبداللهاذا في مجال تعرفني على قيمة الايجار ومدة العقد</t>
  </si>
  <si>
    <t>صالح الشهراني</t>
  </si>
  <si>
    <t>عبدالرحمن البارقي</t>
  </si>
  <si>
    <t xml:space="preserve">خيبر الجنوب </t>
  </si>
  <si>
    <t>احمد عبدالله</t>
  </si>
  <si>
    <t>AS085</t>
  </si>
  <si>
    <t>جيت المحطة  الساعه 6 الصباح 4\5 مافي بنزين والحين الساعه 11 مافي والمصري يقول مافي بنزين العيب من الشركة قلت له العيب فيك اذا الخزان قريب يفضى ليه ما تطلب هذي شركة درب وطريق عام مستحيل ما توفرون بنزين على مدار الساعه ياليت تشوفون حل لهذي المحطة</t>
  </si>
  <si>
    <t>واكسنت 2011 ( ب ص ى - 7706) - 2026-03-02 11:05:22 PM UTC+03:00 - عبى بريال ونص وقفل و فتحه عبى ب18 وكان بيحاسبني 20 وهو ما عبى النص  - اخضر المسار النص - تم التواصل والاعتذار من العميل</t>
  </si>
  <si>
    <t>جاري حل المشكلة مع سلاسل الامداد</t>
  </si>
  <si>
    <t xml:space="preserve">تم ابلاغ مدير المحطة والشد عليه في مسأله تنبيه العمال على عدم سحب اي هلله زائدة وان هذه مسأله خطيره قد تعرض العامل لفقد وظيفته </t>
  </si>
  <si>
    <t xml:space="preserve">يبي يستثمر ويشتري محطة لدرب في طريق مكة </t>
  </si>
  <si>
    <t xml:space="preserve">ابي فاتورة من البنشر </t>
  </si>
  <si>
    <t>تم افادته انه مستاجر عندنا فقط</t>
  </si>
  <si>
    <t xml:space="preserve">يحيى حسن </t>
  </si>
  <si>
    <t xml:space="preserve">اقتراح في محطة حي شارع الحج طريق الدائري الثالث - محطة العربية سابقا - مقابل اسواق  الدواس - نبيها تصير درب - ماله علاقه مباشرة او معرفة بمالكها </t>
  </si>
  <si>
    <t>فؤاد</t>
  </si>
  <si>
    <t xml:space="preserve">1429م - صك تجاري صبيا ظبا </t>
  </si>
  <si>
    <t>ياسين محيي الدين</t>
  </si>
  <si>
    <t>سياسة الجركل عادي</t>
  </si>
  <si>
    <t>انا معايا سيارة جمس العامل يشرد يقول للثاني عبي كم ما يعرف يعبي؟ ويطول والثاني في الجهة الثانيه ! اذكر كان في مسؤول سعودي لكن الان مو في انا من سكان الحي جنب المحطة اجيهم 3 مرات في اليوم ونفس الشي مابا اذي العامل بس دربوهم  -  2026-03-03 00:27:56 AM UTC+03:00</t>
  </si>
  <si>
    <t>احمد حمدي</t>
  </si>
  <si>
    <t>ماجد</t>
  </si>
  <si>
    <t>المجمعة</t>
  </si>
  <si>
    <t xml:space="preserve">مزاد كنوز المجمعة منصة "وصلت" للمزادت 7000م  المزاد بينتهي اليوم </t>
  </si>
  <si>
    <t xml:space="preserve">حصلت له مشكلة تقنية في محطة درب الشوقية </t>
  </si>
  <si>
    <t xml:space="preserve">تم الاعتذار منه وابلاغه في حال وجود مشكلة اخرى لتفادي تعطيله يتواصل معنا ونرسلها له عبر الواتس اب </t>
  </si>
  <si>
    <t xml:space="preserve">استفسار عن مغسلة العزيزية كم رقمهم </t>
  </si>
  <si>
    <t>ريم سمير</t>
  </si>
  <si>
    <t xml:space="preserve">تمت افادته من قوقل ماب </t>
  </si>
  <si>
    <t xml:space="preserve">بدر الشمري
</t>
  </si>
  <si>
    <t xml:space="preserve">مؤسسة قرينر للتسويق الالكتروني - تمصمم </t>
  </si>
  <si>
    <t>تمت افادتها بارسال البروفايل عبر البريد الالكتروني</t>
  </si>
  <si>
    <t>مساحة المجمع  ١٥١٨ م٢ الانشطة : بانزين احمر بانزين اخضر  ديزل  حيث يوجد ثلاث خزانات وقود واستيعاب كل واحد منهم ٤٥٠٠٠ خمس واربعون الف لتر  ٤ / مغسلة سيارات ٥ / بنشر وغيار زيت  ٦ / سوبر ماركت كبير مع مستودع ٧ / محل زينة سيارات ٨ويوجد بالرخصة بوفية   وجبات سريعه</t>
  </si>
  <si>
    <t>فيصل</t>
  </si>
  <si>
    <r>
      <rPr>
        <rFont val="Calibri"/>
        <b/>
        <color rgb="FF434343"/>
        <sz val="10.0"/>
      </rPr>
      <t>يوم الاحد الساعة 6:08 ص عبيت بخمسين ولا طفت المبة وخذت لفه ورجعت ولا تغير شي قلت للعمال ماعبيت وقال مشكلة من سياراتك وقلت عبيلي بخمسين الحين ولمن عبى تغير العداد كالعاده؟ لمن راجعو الكاميرات تاكدو واعتذر ولكن هذي صارت برضو لعميل قبلي اتمنى الرقابه -جيب فورشيل  ب و د ابيض</t>
    </r>
    <r>
      <rPr>
        <rFont val="Calibri"/>
        <b/>
        <color rgb="FFFF9900"/>
        <sz val="10.0"/>
      </rPr>
      <t xml:space="preserve">  - لم يتم الرد</t>
    </r>
  </si>
  <si>
    <t xml:space="preserve">تم حل المشكله في حينها وكانت حاله سهو من العامل وقد تم ارضاء العميل حينها والتفاهم معاه وتوجيه انذار كتابي للعامل لزياده الانتباه 
</t>
  </si>
  <si>
    <t>rola Alhrby</t>
  </si>
  <si>
    <t>المصلى جداً صغير وبالذات دورات المياه على الاقل لو حطو ثلاثه اما واحد ابداً م يخدم المسجد - Monday, March 2, 2026 at 06:00 AM</t>
  </si>
  <si>
    <t>عبدالكريم البيشي</t>
  </si>
  <si>
    <t>اسامة الزهراني</t>
  </si>
  <si>
    <t xml:space="preserve">ثواب محمد </t>
  </si>
  <si>
    <t>أراضي - استراتيجية مالها رخص على خط الملك في جدة ومطابقة للاشتراطات</t>
  </si>
  <si>
    <t>تدريب تعاوني - تخصص محاسبة</t>
  </si>
  <si>
    <t xml:space="preserve">يوم الاحد الساعة 1:00 م مالفيت بنزين ولا هي المره الاولى هذي الخامسة شركة كبيره ولها سمعتها ماعندها بنزين؟ الشركات مقبلة في التنافس لو مو عميل لكم بخميس مشيط ماهتميت ودقيت </t>
  </si>
  <si>
    <t>تم التواصل مع العميل 
وجاري حل المشكله مع سلاسل الامداد</t>
  </si>
  <si>
    <t>احمد محمد</t>
  </si>
  <si>
    <t>علياء</t>
  </si>
  <si>
    <t>JA092</t>
  </si>
  <si>
    <t>محمد شربتلي</t>
  </si>
  <si>
    <t xml:space="preserve">5\4 الاحد الساعه 1:46م رابع مره اجي المحطة ويقول العامل انا ما اشتغل هنا واحصل عامل واحد ماسك الشفت وثاني الشفت الي بعده عامل واحد في المحطة مو معقوله صعبه عليه هو ما يقصر لكن وفروا عمال يعني في محطة ثانية بتفتحوها قريب سمعتكم بتصير سيئة </t>
  </si>
  <si>
    <t>Moner</t>
  </si>
  <si>
    <t>الحمامات جداً متسخه والمصلى لايصلح للصلاة من قذارته - 15:18:29 Monday, February 2, 2026 :</t>
  </si>
  <si>
    <t>تشهد المحطة كثافة مستخدمين ويصعب الوصول لمرافق النساءونقترح توفير عاملة للمسجد مختصه للقسم النسائي</t>
  </si>
  <si>
    <t>MK001</t>
  </si>
  <si>
    <t>الحمامات يبغلها صيانة الكرسي العربي يطلع موية وسخة</t>
  </si>
  <si>
    <t>‏محطة درب اسمها يشن ورن ولكن ليس لديهم بترول 98 وقال الموظفين يا عمي ليس لدينا هذا البترول إن شاء الله بعد العيد افعل الله ما لا تعلمون - Monday, March 2, 2026 at 06:18 AM</t>
  </si>
  <si>
    <t>حياك الله في محطة درب 
نأسف لمساع تجربتك, بنزين 98 متوفر حاليا في محطة جدة النسيم, سيتم توفيره قريبا في باقي المحطات 
يومك سعيد🧡</t>
  </si>
  <si>
    <t>تمت الصيانة</t>
  </si>
  <si>
    <t>Ahmed Al-Naqeb</t>
  </si>
  <si>
    <t xml:space="preserve">بندر المالكي
</t>
  </si>
  <si>
    <t>أتمنى لو تُغيّروا رائحة الحمامات</t>
  </si>
  <si>
    <t>MK023</t>
  </si>
  <si>
    <t>م تركيب معطرات جواء في دورات المياه</t>
  </si>
  <si>
    <t xml:space="preserve">
السلام عليكم ورحمة الله وبركاته بكل احترامي ل راعي المغسله والمحطه العمال يحتاجون ل مراقبه ل أسلوب ولا غيسل وتكلم الى ماسك الحساب يقول والله مو بيدنا طيب بيد مين اتمنا احد يفيدنا عشان نقدر لان دافع مبلغ وقدره وبالاخير الغسيل كذا مو كويس للمعلوميه نغسل بستم أنا ولو تراجع الكاميرات مو مره ولا مرتين اغسل اكثر من مره بس المره ذي كانت الغسله مره مب حلوه ولا كويسه صراحه العمال الى قبل كانوا فاهمين الشغله - </t>
  </si>
  <si>
    <t>محمد مستنزل</t>
  </si>
  <si>
    <t>التهوئة</t>
  </si>
  <si>
    <t xml:space="preserve">السلام عليكم  في عامل وانا طالع من الحمامات يمكن اسمه حسين النحيف اخلاقه دنياء وابتعدت عنه لاني انا الي بدات بالسلامة ورد عليي برد عدواني لكن عشني المبتدي تركته من ٦ شهور تقريباً شافني ما اكلمه ولا اسلم عليه قام ياذيني يقولي عادم الحمام وكل الناس داخله وخارج يعني انا الوسخ لاني ما احب المشاكل تركته لكن مع غيري كان حيسبب لكم مشكلة فا شوفو له لحل ويبطل يأذي الناس - تم التواصل مع العميل وافاد ياليت تحذرو العامل هذا لايستفز الناس  - تم التواصل مع العميل والاعتذار منه وفي حال واجهته مشكلة يتواصل معنا ومع المدير في المحطة ويزودنا بالوقت بالضبط لحل المشكلة بشكل اعمق </t>
  </si>
  <si>
    <t xml:space="preserve">تم ابلاغ مدير المحطة لانذار العامل شفوياً والعمل على تحسين كفاءه التعامل مع الزوار </t>
  </si>
  <si>
    <t>الوقت غير مناسب</t>
  </si>
  <si>
    <t>شركة درب الحافلات</t>
  </si>
  <si>
    <t>super hero</t>
  </si>
  <si>
    <t>عوده بن ظافر</t>
  </si>
  <si>
    <t>ليش تطلبون نقييم ؟ - Edited on Monday, March 2, 2026 at 05:03 PM</t>
  </si>
  <si>
    <t xml:space="preserve">تم ابلاغ مدير ا لمحطة لتدريب العمال على انتقاء اوقات التقييم وعدم تكرار الطلب على العميل الممتنع عن التقييم </t>
  </si>
  <si>
    <t>تم زيارة دورة المياه كذا مرة ولوحظ عدم نظافتها - 10:43:10 Wednesday, February 4, 2026</t>
  </si>
  <si>
    <t>حسام الزهراني</t>
  </si>
  <si>
    <t xml:space="preserve">م اخطار مدير المحطة وتم التنبيه على ضرورة متابعة فريق النظافة </t>
  </si>
  <si>
    <t>الجبيل</t>
  </si>
  <si>
    <t xml:space="preserve">الشركة السعودية للنقل الجماعي في الجبيل وجدة نرغب بالتعاقد مع درب في توريد ديزل للمحطاتنا مع صيانة المضخات تقريبا سنويا نحتاج 4 مليون لتر </t>
  </si>
  <si>
    <t xml:space="preserve">رساله على الخاص انه لي كوبون بـ50 قالو راح نتواصل معك ومحد تواصل -اسم حسابي ابويا </t>
  </si>
  <si>
    <t>كوبونات</t>
  </si>
  <si>
    <t>H ّ</t>
  </si>
  <si>
    <t xml:space="preserve">محمد العنزي </t>
  </si>
  <si>
    <t>عشان العامل قلي قيم،،وقيمت نجمه تستاهلون - Monday, March 2, 2026 at 07:19 AM</t>
  </si>
  <si>
    <t xml:space="preserve">تم ابلاغ مدير المحطة بتكثيف التدريب على العمال بشأن حسن طلب التقييمات من العميل </t>
  </si>
  <si>
    <t xml:space="preserve">العلا </t>
  </si>
  <si>
    <t>الفايز بالايفون 17</t>
  </si>
  <si>
    <t xml:space="preserve">تم التواصل وسيتم الترتيب خلال اسبوع </t>
  </si>
  <si>
    <t>عادل كعكي</t>
  </si>
  <si>
    <t xml:space="preserve">فرنشايز </t>
  </si>
  <si>
    <t xml:space="preserve">سعد ابن سعد </t>
  </si>
  <si>
    <t>ارض - العمرة على الدائري الرابع - مالها رخصة - 48 الف م - المالك</t>
  </si>
  <si>
    <t>محمود محمد</t>
  </si>
  <si>
    <t xml:space="preserve">شركة نقل - يرغب بالتواصل مع المشتريات </t>
  </si>
  <si>
    <t xml:space="preserve">تمت افادته بارساله على الايميل </t>
  </si>
  <si>
    <t>سليمان أحمد المري</t>
  </si>
  <si>
    <t xml:space="preserve">التاريخ:2026/2/4
الوقت: 2:08 الظهر -  شراء عبر نقاط بيع
مبلغ 116.02 SAR
بطاقة9744* مدى-أثير
من Darb Al Waqood
في 14:08 26-02-04 - نوع السيارة جايكو
رقم اللوحة س د س 4089 - انا كنت اشار ونا قافل الطاقه واقوله فل قام ياشر وفكيت الطاقه يقول لازم تقول قلك فل وهوا مرا عبيط انا حاط ستكير اخضر يسال احمر ولا اخضر انتا لازم كلام ووقت الحساب قلت بشتكيك قال اشتكي انا مافي خوف مرا ماعنده اخلاق - مرفق صوت وصوره  - تم التواصل مع العميل والاعتذار منه وافاد انا من سكان الحي يارب التنبيه ينفع معاه </t>
  </si>
  <si>
    <t xml:space="preserve">م  توجيه مدير المحطة لانذار العامل المصور والحرص على تكثيف جهوه في المحطة لتحسين تعامبل العمال مع العملاء والزوار </t>
  </si>
  <si>
    <t>سلوى سعيد شراحيلي</t>
  </si>
  <si>
    <t>عبدالله احمد الغامدي</t>
  </si>
  <si>
    <t>JA069</t>
  </si>
  <si>
    <r>
      <rPr>
        <rFont val="Calibri"/>
        <b/>
        <color rgb="FF434343"/>
        <sz val="10.0"/>
      </rPr>
      <t>قلت للعامل عبى احمر بدال اخضر - (1549 - ر ه ر )  وحط احمر انا قلت له اخضر يقول لا ويقاوح اسلوبه سيء - وقت الاتصال 3:26م</t>
    </r>
    <r>
      <rPr>
        <rFont val="Calibri"/>
        <b/>
        <color rgb="FFFF9900"/>
        <sz val="10.0"/>
      </rPr>
      <t xml:space="preserve">  -تم التواصل وافاد السياره مافيها شي فقط قدمنا البلاغ عشان لو صار شي وشكرنا على الاهتمام</t>
    </r>
  </si>
  <si>
    <t>مغسلة وفود ترك - اول فرع</t>
  </si>
  <si>
    <t xml:space="preserve">تم ابلاغ مدير المنطق لللمتابعة وتدريب العماله ةتحسين سلوكهم </t>
  </si>
  <si>
    <t>وليد المطيري</t>
  </si>
  <si>
    <t>تركي عبدالرحمن الخريّف</t>
  </si>
  <si>
    <t>ماضي البقمي</t>
  </si>
  <si>
    <t xml:space="preserve">نطرح على شركتكم فرصة استثمارية لتأجير أرض تجارية بمساحة 3,000 م² في حي اليرموك، مصرح لها محطة وقود (فئة ب)، مع رخصة صادرة وجاهزة للبناء الفوري.
يقع الموقع في نطاق حيوي عالي الكثافة والحركة، بما يدعم كفاءة التشغيل ويعزز فرص النجاح.
يسعدنا تزويدكم بالتفاصيل وترتيب زيارة ميدانية في الوقت المناسب.
موقع الارض
https://maps.app.goo.gl/DMyPuXr7fREkLGvn6?g_st=ic
</t>
  </si>
  <si>
    <t xml:space="preserve">حاسب ببطاقه وجاته مرفوضه وحاسب ببطاقة ثانيه وبعدها المبلغ انسحب البنك طلبه ايصال الرفض من المحطة وتواصل مع المحطة لكن ما رد عليه المدير عمليه مرفوضة 50 ريال - 13-2 الساعه 1:8ص  - عبيت من فرعكم بالرياض الي بالدائري الشمالي يوم ١٣ فبراير الساعة ١ و ١٨ دقيقة صباحا، وقال الموظف العملية مرفوضة مع العلم انه تم الخصم من حسابي ولحد الان لم يرجع المبلغ - مرفق صور في قروب الشكاوى  - تم التواصل معه من قبل مدير المحطة </t>
  </si>
  <si>
    <t xml:space="preserve">تم التواصل مع العميل من قبل مدير المنطقة  وتعويضه بمبلغ 50 ريال بمحطة الدائري الشمالي الرياض </t>
  </si>
  <si>
    <t>خالد اللحياني</t>
  </si>
  <si>
    <t>بديع المنصور</t>
  </si>
  <si>
    <t>نايف حسين الحارثي</t>
  </si>
  <si>
    <t>محل صيانة  سيارات اكثر من فرع</t>
  </si>
  <si>
    <t>محل اول فرع</t>
  </si>
  <si>
    <t xml:space="preserve">صالح </t>
  </si>
  <si>
    <t xml:space="preserve">استشارات بيئية </t>
  </si>
  <si>
    <t xml:space="preserve">تمت افادته بارسال البروفايل على الايميل </t>
  </si>
  <si>
    <t>عبدالله قيص</t>
  </si>
  <si>
    <t xml:space="preserve">4328م على شارع تجاري 30 - مالها رخصة - المالك </t>
  </si>
  <si>
    <t>بسام</t>
  </si>
  <si>
    <t>شركة رفاهية  - يرغب في معرفة تفاصيل سيارة اب</t>
  </si>
  <si>
    <t xml:space="preserve"> تم تزويده برقم م.رغد</t>
  </si>
  <si>
    <t>عبدالمجيد الزهراني</t>
  </si>
  <si>
    <t xml:space="preserve">الباحة </t>
  </si>
  <si>
    <t xml:space="preserve">عرض أرض الصناعية مساحة متاحة استثماري </t>
  </si>
  <si>
    <t>نود إعلامكم بأن لدينا أسطول من السيارات ونرغب بالتعرف على نظامكم وإجراءاتكم الخاصة بتعبئة الوقود، وذلك تمهيدًا لإمكانية التعاقد معكم لتزويد أسطولنا بالديزل بشكل منتظم.
نرجو منكم تزويدنا بتفاصيل النظام المتبع لديكم، ومتطلبات التعاقد، وأي معلومات إضافية تساعدنا في اتخاذ القرار المناسب
وتفضلوا بقبول فائق الاحترام، 
Technique City
E: info@ct.com.sa</t>
  </si>
  <si>
    <t xml:space="preserve">تم التواصل وافادتها بتطبيق سيارة اب الا ان العميلة ترغب بالتعاقد مباشرة مع درب وتم الاعتذار لها </t>
  </si>
  <si>
    <t>ماجد عبدالله</t>
  </si>
  <si>
    <t>الاستفسار عن خدمات الشريك</t>
  </si>
  <si>
    <t>احنا برند كوفي اسمه ريكسا كافية عباراة عن أكشاك داخل المحطات بتستفسار عن المواقع وأسعار الإيجارات كم ؟</t>
  </si>
  <si>
    <t xml:space="preserve"> محمود خاطر</t>
  </si>
  <si>
    <t xml:space="preserve"> ممثل مبيعات شركة التسويق الجديد للتوريدات ارغب في التواصل مع مدير المشتريات </t>
  </si>
  <si>
    <t>Dania</t>
  </si>
  <si>
    <t>رابع مره اجي والعامل ياخذ زيادة نص رايح على الحساب مايحط نفس المبلغ بالهللة المحطة جدة عرفات الحمراء</t>
  </si>
  <si>
    <t>عبدالله الناصر</t>
  </si>
  <si>
    <t xml:space="preserve">لا يوجد محطة لدرب في حي الحمراء عرفات بجانب القنصلية الايرانية وتم طلب العميل ارسال موقع المحطة للتاكد الا انه لم يرسل على الواتس اب </t>
  </si>
  <si>
    <t>محمد عساف</t>
  </si>
  <si>
    <t>7000م - شهر ويتم اكمال البناء ورخصة - وسيط</t>
  </si>
  <si>
    <t>البلاغ من وزراة الطاقة " تواصل الشريك و يفيد سيارات مزدحمه في المحطة و يفيد بأن موظفين المحطة قامو بإغلاق المحطة دون أي سبب 2026-03-03 11:17:54 "                                                                                                                      بلاغ العميل لخدمة العملاء "يوم الثلاثاء الساعه 8:00 الى 10:30 م المحطه مغلقه واسال العمال ايش المشكلة واحد يقولي بعد التراويح والثاني يقول ننتظر مدير المحطة وقعدت انتظر الوقت ذا واخر شي مشيت"- تم تصعيد الشكوى الى م.كريم وأ.مشاري</t>
  </si>
  <si>
    <t xml:space="preserve">
 تم التواصل مع العميل والطلب منه نوع السياره ورقم اللوحه قال تمام ولم يتم الارسال
</t>
  </si>
  <si>
    <t>رايد احمد الزهراني</t>
  </si>
  <si>
    <t>أحمد عبدالله</t>
  </si>
  <si>
    <t>محمود</t>
  </si>
  <si>
    <t>الخبر</t>
  </si>
  <si>
    <t>يوم الاثنين الساعه 9:00 ص العامل حقي كسر عامود الاضاءة وبسيط والعمال سوو ضجه ودق علينا مصري واخذ منا 200 ريال وهي ماتكلف 20 اتمنى حل الموضوع - تم اقفال الشكوى بطلب من العميل بعد تواصل المسؤول وشكرنا على الاهتمام</t>
  </si>
  <si>
    <t>EP051</t>
  </si>
  <si>
    <t xml:space="preserve"> - تم اقفال الشكوى بطلب من العميل بعد تواصل المسؤول وشكرنا على الاهتمام
وتم دفع المبلغ واغلاق الشكوى </t>
  </si>
  <si>
    <t xml:space="preserve">يرغب بالتواصل مع المشتريات </t>
  </si>
  <si>
    <t>الطقة الاولى عندهم زي الطقة الثالثه في في المحطات الاخرى
-تم التوضيح للعميل: نود التوضيح أن عيار المسدسات موحّد ويتم معايرته وفحصه من جهة حكومية معتمدة وهي (تقييس) التابعة لهيئة المواصفات والمقاييس السعودية (SASO).</t>
  </si>
  <si>
    <t xml:space="preserve">تمت افادته بارسال الملف عبر الايميل </t>
  </si>
  <si>
    <t xml:space="preserve">الطقة موحدة من تقييس </t>
  </si>
  <si>
    <t>سعيد محمد</t>
  </si>
  <si>
    <t>عبدالناصر</t>
  </si>
  <si>
    <t>دخلت المحطة ماعندي ديزال والعامل ما يبي يعبي يعبي يقولي روح ورا الباصات - دينه سطحة برتقالي (1167- أ ر أ )  الساعه 2:37م  - 4/3/2026 - تم التوضيح بانه يوجد مسار للشاحنات والاعتذار عن اسلوب العامل</t>
  </si>
  <si>
    <t xml:space="preserve">الباصات الكبيره والدينات لها مسار خاص في بدايه المحطة تجنباُ لتكدسها بدايه المحطة وتسبيبها للزحام </t>
  </si>
  <si>
    <t>العمال يستهبلو مافيها خدمة اقله تعال عبي يقول لا استنى ترا يمديك تعبي عبال يخلص الي قدامي التعبئة وجيت طلبت فاتورة وما اعطوني يقول مافي -  (1650- أ ه ب) - ابيض  - 2026-04-05 05:10:20 PM UTC+03:00 - تم التواصل والتوضيح للعميل توفر فواتير وشكرنا على الخدمة</t>
  </si>
  <si>
    <t xml:space="preserve">محمد سليمان </t>
  </si>
  <si>
    <t xml:space="preserve">تم مراجعة الكامرات وقد تم التعبئه للعميل بكل سلاسه مرفق فديو بقروب الوتس  وبالنسه للفاتوره سيتم تزويد العميل بها في حال رغبته حاليا لانه كان يوجد مشكله بالنت حينها </t>
  </si>
  <si>
    <t xml:space="preserve"> اقتراح عنوان القهوة بارنيز - تيم - البيك </t>
  </si>
  <si>
    <t>Shaden Alheluah</t>
  </si>
  <si>
    <t>صراحة الحمامات والمصلى كانت  نظيفه جدا جدا لكن صدمت هذه المرة بتدني المستوى في الصيانة والنظافة والعناية ، لماذا ،؟؟
في المقابل الرجال يمتدحون حمامات الرجال ففرق بين الاثنين لماذا ؟؟
تفأجات وبحثت عن مدير الفرع او المسؤول في المحطه ولم أدل عليه
ارجوا ان يعتنى بها من ناحية الصيانة والنظافة يتابع العامل</t>
  </si>
  <si>
    <t xml:space="preserve"> اخطار مدير المحطة عن الملاحظة وتم الايضاح ان جميع اعمال الصيانة مرفوعه والحمامات و المصليات بحالة جيده ولا يوجد الا باب واحد بحاجة الى صيانة </t>
  </si>
  <si>
    <t>نادر الغامدي</t>
  </si>
  <si>
    <t xml:space="preserve">كشك كوفي-لايوجد فروع </t>
  </si>
  <si>
    <t>الهاتف مغلق</t>
  </si>
  <si>
    <t>التقديم على الوظائف</t>
  </si>
  <si>
    <t xml:space="preserve">تمت افادته بالالية </t>
  </si>
  <si>
    <t>عبدالله الدوسري</t>
  </si>
  <si>
    <t>لديه محطة في الطائف وأرض في الرياض - مسوق</t>
  </si>
  <si>
    <t>خدمات صيانة</t>
  </si>
  <si>
    <t>مجمد عبد الرحمن فطاني</t>
  </si>
  <si>
    <t xml:space="preserve">السلام عليكم ورحمة الله وبركاته .. معك محمد من جمعية عطاء المكية للأشخاص ذوي الاعاقة وعندنا برنامج يسر لنقل الأشخاص ذوي الاعاقة وحابين نتعامل معاكم بخصوص الوقود للسيارات </t>
  </si>
  <si>
    <t>تم الارسال الى الاستاذ امل الشمراني</t>
  </si>
  <si>
    <t>محمد درويش</t>
  </si>
  <si>
    <t>17\3  -01:24AM
تم تعبية السيارة ديزل وفي اليوم التالي تعطلت السياره وعند الفحص تم اكتشاف وجود ماء في تانكي السياره مرفق لكم تقرير الفحص - مرفق التقرير والفاتورة - تم تحويل العميل الى أ.رغد</t>
  </si>
  <si>
    <t>يوسف</t>
  </si>
  <si>
    <t xml:space="preserve">تم التواصل مع العميل ومع الشركة وسيتم اتخاذ الاجراء المناسب </t>
  </si>
  <si>
    <t>الطايف</t>
  </si>
  <si>
    <t xml:space="preserve"> MK028</t>
  </si>
  <si>
    <t xml:space="preserve">انا قبل 9 شهور عبيت بنزين وماتذكر بكم وماكان عندي كاش والصرافه مانقبلت وكلمت العامل بخلي هويتي عنده ونسيتها عنده من 9 شهور تقريبا ولا مريت عليها ابي اتاكد هي موجوده عندهم وامر وادفع ولا اتذكر مبلغ التعبئة الاسم: يوسف احمد الزهراني </t>
  </si>
  <si>
    <t>تمت افادته لايوجد اي هويه في الامانات</t>
  </si>
  <si>
    <t>بكالوريس رياضيات  ودبلوم محاسبة يستفسر عن الية التقديم على الوظايف</t>
  </si>
  <si>
    <t>حمزة</t>
  </si>
  <si>
    <t>MK033</t>
  </si>
  <si>
    <t>كنت اغسل سيارتي ونسيت محفظتي في المغسلة وفيها هويتي باسم حمزة ابي اتواصل معهم لان عندي شغل وما اقدر ارجع الان - كامري ازرق -( ب ص ة - 1625) - 7:40ص  - 8/1</t>
  </si>
  <si>
    <t>سعود فلاته</t>
  </si>
  <si>
    <t>عبدالله الحارثي</t>
  </si>
  <si>
    <t xml:space="preserve"> معرفة تفاصيل الاستثمار</t>
  </si>
  <si>
    <t>محل كوفي -قمرة- فرع في الشاريع - المالك</t>
  </si>
  <si>
    <t xml:space="preserve">ماتغير العداد </t>
  </si>
  <si>
    <t>كان في سوؤ ففهم والمشكلة من عندي وانحلت بنفس الوقت اعتذر عن الازعاج</t>
  </si>
  <si>
    <t>صالح</t>
  </si>
  <si>
    <t>عبدالله ذيب العتيبي</t>
  </si>
  <si>
    <t xml:space="preserve">مبارة النصر والقادسية  في عرض </t>
  </si>
  <si>
    <t xml:space="preserve">تمت افادته لا يوجد </t>
  </si>
  <si>
    <t>تركي الاحمري</t>
  </si>
  <si>
    <t>طلبت من العامل يعبي ب10 العامل عبى ب100 وسحبها ولا طلبت منه ايش الحل؟</t>
  </si>
  <si>
    <t>تم التواصل مع ادارة المحطة على ان تكون التعبئة كما يريد العميل</t>
  </si>
  <si>
    <t xml:space="preserve">يوم الخميس 5/3 الساعة 3:30 الى 4:00 قبل الفجر جيت اعبي تطبيق سيارة اب واخذ البيانات وكل شي ودفعت اخر شي الطرمبة عطلانه وجلست انتظار 20 دقيقة وغير كذا سامحين لنا فقط بطرمبة وحدة وبنزين نوع فقط 91؟ وقلنا مو مشكلة صرنا نعبي عشان قريبة مم البيت بس ان موضوع طرمبه فقط يوجهني عليها واذا تعطلت نوقف انتظار - فورد ذهبي - تم التواصل مع العميل وافهامه الاشكالية من الاوتوميشن وتفهم ذلك ويرغب بالمرور وتعبئة باللباركود اللي تم مسحه امس - تم التواصل مع العميل والاعتذار وافاد انه العامل يعبي له على كيفه 91 بدال 95 والعمال جدا عبيطين مع العملاء </t>
  </si>
  <si>
    <t xml:space="preserve">تم  المراجعه واتضح ان وقت الشكوى هنالك عطل في الاتوميشن وكنا على اتصال بتقنيه المعلومات للصيانه  كما ان تطبيق سياره اب في المحطات يختص به عامل يحمل الجهاز ويكون مسؤول عن مضخات معينه فيتم توجيه العميل للمضخه الاماميه تجنباُ للازدحام </t>
  </si>
  <si>
    <t>عليا المشعل</t>
  </si>
  <si>
    <t>نيسان</t>
  </si>
  <si>
    <t xml:space="preserve">عرض ارض - المساحه ماعنده المعلومه حاليا يرغب بالتواصل </t>
  </si>
  <si>
    <t>عبدالمجيد الحارثي</t>
  </si>
  <si>
    <t xml:space="preserve"> مرحباً مستثمر يريد استفسار عن أسعار التاجير في محطة درب طريق المدينة المنوره بالنواريه المحل خدمات سيارات بنشر وشكراً لكم
</t>
  </si>
  <si>
    <t>تم معاودة الاتصال مرتين لا يوجد رد</t>
  </si>
  <si>
    <t>مصطفى</t>
  </si>
  <si>
    <t>شركة دعاية واعلان</t>
  </si>
  <si>
    <t>Finance</t>
  </si>
  <si>
    <t>سناء</t>
  </si>
  <si>
    <t xml:space="preserve">تمويل الشركاء من بنك الانماء </t>
  </si>
  <si>
    <t>--</t>
  </si>
  <si>
    <t>تمت افادتها بارسال التفاصيل على الايميل ليتم توجيهه للمالية</t>
  </si>
  <si>
    <t>استفسار عن الشركاء</t>
  </si>
  <si>
    <t xml:space="preserve">جيت امس و عبيت كانت الفاتورة 1000 قلت للعامل زيد لين 1150 وعبى ونا دفعت 1000 قبل  وراح العامل يجيب الصرافه ونا نسيت ومشيت بعدها في نفس اليوم الساعه 11:30م عبيت ومشيت اليوم الصباح جيت عبيت ولقيت العامل قال انت هربت ومدري ايش  قلت فهمني قال المدير بيجي والى الان ما جا ويكلمني ويقول رفعت عليك بلاغ يعني انا لو بهرب برجع اعبي من عندكم ثاني ليه ؟ ابي اتواصل مع المدير ما ابي اتواصل مع حامد العمري </t>
  </si>
  <si>
    <t>تم التواصل مع العميل وقام بالسداد ولم يتم رفع البلاغ</t>
  </si>
  <si>
    <t>عبدالعزيز الحارثي</t>
  </si>
  <si>
    <t xml:space="preserve">مبارك </t>
  </si>
  <si>
    <t xml:space="preserve"> فزت معكم في حساب تويتر وقال بيتواصل معك فريق المختص وماحد تواصل معي قبل 5 ايام </t>
  </si>
  <si>
    <t>تم التواصل من قبل عبدالعزيز وافادته بالتوجه للمحطة</t>
  </si>
  <si>
    <t xml:space="preserve">Abdullah Abdullah
</t>
  </si>
  <si>
    <t xml:space="preserve"> MK018</t>
  </si>
  <si>
    <t>فيزا</t>
  </si>
  <si>
    <t>يوم الخميس الساعه 12:20 ص جيت اعبي ديزل وخلاني انتظر 40 دقيقه بعدها يقول لا ماعبي باص كبير علما انا كل 3 ايام اعبي فجاه صار ممنوع حتى اسلوبه كان استفزاز والباص حقي صغير 30 نفر ابي اعرف هل لو جيت مره ثانيه راح يعبون ولا؟ لاني مريت محطه بعدكم وعبولي ( تم التواصل وايضاح السياسة وتفهم ذلك)</t>
  </si>
  <si>
    <t>المحطقه ضيقه ومساحتها صغيره 
لذلك تم منع تعبئه الباصات من قبل مدير المنطقه وتمت افادة العميل ب اخبريه انه يوجد محطة لدرب بعدها مباشره الذكرى الخالده ومساحتها كبيره تسمح للباصات بالدخول والخروج بكل اريحيه+ ويتم توجيه الباصات للمحطة التي تليها درب 29 تجنباُ لاغلاق المحطة بباص واحد</t>
  </si>
  <si>
    <t>MK029</t>
  </si>
  <si>
    <t xml:space="preserve">خدمه سيئه من الموظفين الي واقفين ع البنزين وما يبغو يتحركو ويقولو المضخات الي ورا خربانه لازم المضخة الي واقفين عليها
الأحد، 5 أبريل 2026 في 07:02 م
</t>
  </si>
  <si>
    <t xml:space="preserve">تم ابلاغ مدير المحطة لمتابعه عدم تكاسل العميل والتعبئة للعملاء حسب الأولوية وفي مضخات مقدمه المحطة للحد من الازدحام ومحاوله اخبار العميل بأسلوب جيد </t>
  </si>
  <si>
    <t>محمد السفياني</t>
  </si>
  <si>
    <t xml:space="preserve"> السلام عليكم بعد التحيه والاحترام يوجد لدينا موقع بمكه المكرمة حي العسيله في حاجه لمحطه وقود نموذجيه مساحته ٨٠٠م٢ واجهتين على شارع ٤٠ وشارع ٢٥ اذا لكم رغبه </t>
  </si>
  <si>
    <t>B AlGhamdi</t>
  </si>
  <si>
    <t xml:space="preserve">البنقالي الي يعبي بنزين م يرجع الباقي كامل تاكدوا لو م عديت فلوسي م كان رجع لي ٥٠ وسالته وينها؟ عطاني هي وكان مخبيها🙂🙂!!  ثاني مره تصير لي حسبي الله عليه
الخميس، 5 مارس 2026 في 03:03 ص
</t>
  </si>
  <si>
    <t xml:space="preserve">تم ابلاغ مدير المحطه للتأكيد على العماله بعد النقود اكثر من مره قبل تسليمها للعميل لكي لايحدث خطأ او سوء فهم </t>
  </si>
  <si>
    <t>سلطان الدوسري</t>
  </si>
  <si>
    <t>بدر يحى</t>
  </si>
  <si>
    <t>عبيت  بـ100 ما ولعت اللمبه وما اتحرك العداد  انا الان في المحطة والسيارة مافيها شي ونا الان في المحطة وين المدير - تم ارشاده الى مكتب خدمة العملاء وابلاغه بانه سيتم التحقق من السستم وقت الاتصال 12:27م 6/4 الاثنين - رقم المضخة  03B - (أ د ل - 4550) لونها ابيض هايلوكس - تمت محاولة التواصل اكثر من مره ولم يتم الرد</t>
  </si>
  <si>
    <t>محل مغسلة سيارات - اول فرع - المالك</t>
  </si>
  <si>
    <t>تم ابلاغ مدير  المنطقة لمتابعة الشكوى والتحقق منها وتوجيه انذار كتابي للعامل المتسبب في حال عدم التعبئة  وافاداول عبى ب ١٠٠ وبعدها ب ٢٠ بطرمبه ثانيه وبعدها عبى فُل ب ١٩ ريال</t>
  </si>
  <si>
    <t>تمت افادته بانها شركة مختلفة</t>
  </si>
  <si>
    <t>—AOMSN—</t>
  </si>
  <si>
    <t xml:space="preserve">اقل من العادي والمحطة شحاتين تقييمات ما يخلوك تدفع إلا لو قيمت لهم في قوقل ماب والتعامل أصلا مستفز ولكيعين
الخميس، 5 مارس 2026 في 01:44 ص
</t>
  </si>
  <si>
    <t>نعتذر إذا سببنا لك أي إزعاج، هدفنا فقط نسمع رأيك عن محطة درب لنحسّن خدمتنا ونقدّم لك تجربة أفضل دائمًا. نقدّر وقتك وملاحظاتك 🧡.</t>
  </si>
  <si>
    <t>مصطفى محمد</t>
  </si>
  <si>
    <t>سعيد</t>
  </si>
  <si>
    <t>كيلون</t>
  </si>
  <si>
    <t>عبد</t>
  </si>
  <si>
    <t>الانشاءات بلس لمقاولات</t>
  </si>
  <si>
    <t xml:space="preserve">لديه 4 اراضي في الشاريع - وفي الباحة منطقة عقيق </t>
  </si>
  <si>
    <t>أرض على طريق الحرمين في ذهبان - مالها رخصة - 91الف م - الوكيل</t>
  </si>
  <si>
    <t>Kingvip909</t>
  </si>
  <si>
    <t>مقفلة يعملون لها صيانة
الثلاثاء، 3 مارس 2026 في 03:00 م</t>
  </si>
  <si>
    <t>لا يوجد اي مشكلة وتعمل المحطة
لكن العميل جاء وقت تعبئة خزان الوقود فقط.</t>
  </si>
  <si>
    <t>عبدالله اللحياني</t>
  </si>
  <si>
    <t>حسين صالح</t>
  </si>
  <si>
    <t xml:space="preserve">العمال سفهاء انا انتظر وفي سياره قدامي 2 واقفين عند السياره ولا واحد فيهم يتحرك وينافخ يقول اصبر ويوم ادفع يرمي عليا الباقي هذي مو اول مره انا ابا مسؤول سعودي جايبين مسؤول من نفس جنسيتهم اكيد مارح يتعدل شي مو اول مره انا دي المره مارح اسكت خلال ساعتين ابغا تواصل منكم ولا بنروح نصعدها في مكان ثاني -  اخر طرمبه 6 - 1:40 م - كوريلا بيضا - 69 ريال - تم التواصل وشكرنا على المتابعه </t>
  </si>
  <si>
    <t>مارمى  عليه الباقي وبالنسبة اللي قال له اصبر كان مشغول مع زبون ثاني و هذي المقاطع واضح فيها كل شيء ( مرفق فديو)</t>
  </si>
  <si>
    <t>أراضي - عليها رخص - 5000م - الوكيل</t>
  </si>
  <si>
    <t>سامي عيد</t>
  </si>
  <si>
    <t xml:space="preserve">
لدي محطة للاجار طريق ينبع العلا 
</t>
  </si>
  <si>
    <t>مريم</t>
  </si>
  <si>
    <t>تلي سيرفرز</t>
  </si>
  <si>
    <t>تم ابلاغها بارسال البروفايل عبر الايميل</t>
  </si>
  <si>
    <t>2026-02-07 03:31:47 PM UTC+03:00</t>
  </si>
  <si>
    <t>بداح عبدالله</t>
  </si>
  <si>
    <t>عاصف فهد</t>
  </si>
  <si>
    <t xml:space="preserve">لدي مشكلة مع مدير منطقة السوداني اسمه مير غني رقم جواله 0563475918 سلفته ولا رجعها ومشكلتي معاه شخصيه ابي تنبهوننه اني وصلتها للشركه عشان يرد علي </t>
  </si>
  <si>
    <t xml:space="preserve"> سلمان الحربي</t>
  </si>
  <si>
    <t>تم تحويله لرغد</t>
  </si>
  <si>
    <t>المدينة المنورة</t>
  </si>
  <si>
    <t xml:space="preserve">جيت المحطة قلت للعامل عبي احمر 20 قام عبى اخضر قلت له ايش اسمك عشان اذا صار شي برجع له قال اسمي راجو طلبته بطاقته طلع اسم العامل في البطاقه غير وصورته غير جالس يكذب علي- لوحة المركبة ( س ح د - 5315) رصاصي 2026 هونداي النترا- المسار الداخلي  المبلغ 20 ريال كاش الوقت  1:40م  8/1 م </t>
  </si>
  <si>
    <t xml:space="preserve">تم ابلاغ العميل بان نوع البنزين لا يؤثر بشكل كبير في حال ملاحظة خلل الرجوع للمحطة والتواصل مع المدير وتم الاعتذر منه على سلوك العامل  - تم التواصل وافاد السيارة بخير وابلغناه انه سيتم اتخاذ اجراء مع العامل وشكرنا على الخدمة </t>
  </si>
  <si>
    <t>مقهى الديرة العربية
عدد الفروع: ١
عرض سعر ايجار كشكات في المحطة الجديدة عالطريق السريع المدينة القصيم</t>
  </si>
  <si>
    <t>2026-02-07 04:47:00 PM UTC+03:00</t>
  </si>
  <si>
    <t>ربيعه عبدالعزيز</t>
  </si>
  <si>
    <t>الاستفسار عن خدمات الشركاء</t>
  </si>
  <si>
    <t xml:space="preserve">اول فرع - محل </t>
  </si>
  <si>
    <t>شركة مجموعة العطير للتجارة  - يرغب بشرايح سيارة اب</t>
  </si>
  <si>
    <t>عدد العمالة</t>
  </si>
  <si>
    <t xml:space="preserve">تم تزويده برقم م.رغد </t>
  </si>
  <si>
    <t>عبدالمحسن الجابري</t>
  </si>
  <si>
    <t xml:space="preserve"> MK064</t>
  </si>
  <si>
    <t xml:space="preserve">عبدالرحمن فيصل الحارثي </t>
  </si>
  <si>
    <t xml:space="preserve">2026-02-07 11:54:23 PM UTC+03:00 - جيت المحطة سيارتي طااافيه يقولي انتظر يجي الموظف حق الشفت الثاني يعبي لك خلاني انتظر ونا مستعجل يعني لي - سوزوكي - فضي - (1557 - ر ف د ) 2023 ى- - تم التواصل والاعتذار من العميل وشكرنا على الخدمة </t>
  </si>
  <si>
    <t xml:space="preserve">صادف وجود العميل في المحطة اثناء تغيير الورديات </t>
  </si>
  <si>
    <t>محل معسلات - لديه عدة فروع يرغب بالاستفسار عن الاسعار</t>
  </si>
  <si>
    <t xml:space="preserve">حنان </t>
  </si>
  <si>
    <t>وسيم عبدالرزاق</t>
  </si>
  <si>
    <t xml:space="preserve">تكنلوجي تي ترغب بعرض بروفايل الشركة على الاتش ار وتقنية المعلومات </t>
  </si>
  <si>
    <t xml:space="preserve"> Thamer Alotaibe</t>
  </si>
  <si>
    <t>وقت تواصل العميل مع خدمة العملاء وقت الاشكاليه ( 2026-03-05 04:42:32 PM UTC+03:00 )  "البريد الإلكتروني: wasimperyani@gmail.com
الرسالة: سيدي الكريم، قمت اليوم بتعبئة سيارتي بالوقود في محطتكم الجديدة على شارع أندولار بجدة. عند وصولي، اضطررت للانتظار حوالي 45 دقيقة لعدم وجود عامل. خلال ذلك الوقت، أديت صلاتي في المحطة. انتهت الصلاة حوالي الساعة 4:15 مساءً، لكن العامل لم يصل إلا حوالي الساعة 4:45 مساءً. عندما وصل، طلبت منه تعبئة الخزان. في البداية، ملأ خزان الوقود بقيمة 50 ريالًا سعوديًا، أي ما يعادل 22.9 لترًا تقريبًا. بعد ذلك، طلبت منه ملء الخزان بالكامل، فاستمر في التعبئة وأضاف 134 ريالًا سعوديًا أخرى، أي ما يعادل 61.47 لترًا تقريبًا. هذا يعني أن إجمالي كمية الوقود المعبأة كان حوالي 84.37 لترًا (22.9 + 61.47). هذا غير ممكن لأن سيارتي من نوع تويوتا. سيارة هايلاندر 2024، سعة خزان الوقود فيها حوالي 65 لترًا. أطلعتُ الموظف على معلومات سعة الخزان من الإنترنت، لكنه رفض الاعتراف بالمشكلة. كما أخذتُ رقم هاتف الموظف: 0573269727. يمكنك التواصل معي على رقم جوالي بين الساعة 2:00 ظهرًا و6:00 صباحًا إذا احتجتَ إلى أي معلومات إضافية. شكرًا. - Dear Sir,
Today I refueled my car at your new petrol station on Andular Street in Jeddah. When I arrived, I had to wait for about 45 minutes as there was no attendant present. During that time I performed my prayer at the station. The prayer finished around 4:15 PM, but the staff member arrived only around 4:45 PM.
When he came, I asked him to fill the tank. Initially he filled fuel worth 50 SAR, which equals approximately 22.9 liters. After that I told him that I wanted the tank to be filled completely, so he continued fueling and added another 134 SAR, which equals about 61.47 liters.
This means the total fuel filled was approximately 84.37 liters (22.9 + 61.47). This is not possible because my car, a Toyota Highlander 2024, has a fuel tank capacity of about 65 liters. I showed the staff member the tank capacity information from the internet, but they refused to acknowledge the issue.
I also took the number of your staff member: 0573269727.
You may contact me on my mobile number between 2:00 PM and 6:00 AM if you need any further information.
Thank you.</t>
  </si>
  <si>
    <r>
      <rPr>
        <rFont val="Calibri"/>
        <b/>
        <color rgb="FF000000"/>
        <sz val="9.0"/>
      </rPr>
      <t xml:space="preserve">السلام عليكم ورحمة الله وبركاته
لدينا أرض تجارية و سكنية للبيع موقع استراتيجي لمحطة وقود على مدخل مدينة بريدة الشمالي الخط السريع بريدة حائل القديم و الجديد و كذلك هي تخدم العائدين لبريدة من مطار الامير نايف بن عبدالعزيز الدولي و كذلك مرتادين الطريق من منسوي جامعة القصيم موظفين و طلاب و قريبه من الورش الصناعية معارض سيارات بريدة.
المساحه : 2106 متر مربع
لايوجد بها رخصه بناء محطة رابط مزاد الارض أرض سكنية وتجاري رقم الصك -260670004122 </t>
    </r>
    <r>
      <rPr>
        <rFont val="Calibri"/>
        <b/>
        <color rgb="FF1155CC"/>
        <sz val="9.0"/>
        <u/>
      </rPr>
      <t>https://re.mobasher.sa/auctions/t-details/43244</t>
    </r>
  </si>
  <si>
    <t>2026-03-06 04:08:47 PM UTC+03:00 - تمت محاولة التواصل ولم يتم الرد</t>
  </si>
  <si>
    <t>فارس المالكي</t>
  </si>
  <si>
    <t xml:space="preserve">2000م - مالها رخصة باقي جنوب الطائف - المالك </t>
  </si>
  <si>
    <t>2026-03-06 10:11:51 PM UTC+03:00 - تمت محاولة التواصل ولم يتم الرد</t>
  </si>
  <si>
    <t>Ashraf A. Tawab</t>
  </si>
  <si>
    <t>حمام الرجال يحتاج الي عامل نظافة مع الزحام اثناء صلاة المغرب للتنظيف المستمر . ... لكن اجمالاً كل شئ اكثر من رائع . - 17:49:21 Thursday, February 5, 2026</t>
  </si>
  <si>
    <t xml:space="preserve">تم اخطار مدير المحطة ولكن لايوجد عامل مخصص لدورات المياه قد يكون مشغول في تغطية بعض الزملاء لاداء الصلاه </t>
  </si>
  <si>
    <t>QS055</t>
  </si>
  <si>
    <t xml:space="preserve">في رمضان انا حطيت كراسي وقف للمسجد والعامل هذا ماخذه و حاطينهم برا ابي اجراء ضده وابي يرجعه  -اسم العامل  فيصل  هندي - تم التواصل مع العميل وقال تمام هو العمال تعذرو بس هذا العامل كان مستهتر وشكرنا على الاهتمام </t>
  </si>
  <si>
    <t>تم التواصل مع مدير المحطه وحضر العميل للمحطه واخذ كرسيين وترك كرسيين في المسجد
جاء فاعل خير اخر  وترك كرسيين شبيهين للعمال في المحطه وتم استبدالهم في المسجد مما اثار استياء العميل المشتكي</t>
  </si>
  <si>
    <t>خالد عبدالحكيم شاكر</t>
  </si>
  <si>
    <t>عهد</t>
  </si>
  <si>
    <t>محطة قائمة ملك والباقي استثمار</t>
  </si>
  <si>
    <t>الحمامات غير نظيفه ولها ريحه خايسه وعدم توفر مناديل في الحمام-19:43:46 Thursday, February 5, 2026</t>
  </si>
  <si>
    <t xml:space="preserve"> التنويه على ضرورة متابعة النظافة ونقترح توفير عاملة 
المناديل متوقف لدى الشركة في دوراة المياه
تم صيانة الشفاطات </t>
  </si>
  <si>
    <t>2026-03-07 04:11:18 PM UTC+03:00 - تمت محاولة التواصل ولم يتم الرد</t>
  </si>
  <si>
    <t>سعدي عبدالله العتيبي</t>
  </si>
  <si>
    <t xml:space="preserve">1700م - المالك - التراخيص جاهزة </t>
  </si>
  <si>
    <t>2026-03-08 00:58:59 AM UTC+03:00 - تمت محاولة التواصل ولم يتم الرد</t>
  </si>
  <si>
    <t>بلال</t>
  </si>
  <si>
    <t>اسعار غسيل السيارات</t>
  </si>
  <si>
    <t>تم تزويدها بالرقم واش واي وافادتها بان الاسعار موجوده في قوقل ماب</t>
  </si>
  <si>
    <t>دورات المياه تحتاج مزيدا من النظافة..-09:46:47 Friday, February 6, 2026</t>
  </si>
  <si>
    <t xml:space="preserve">تمت زيارة المحطة وتم التاكيد على ضرورة متابعة النظافة </t>
  </si>
  <si>
    <t>Deema</t>
  </si>
  <si>
    <t>حطو علامه اتجاه قبله داخل المصلى</t>
  </si>
  <si>
    <t xml:space="preserve">تم وضع ملصق اتجاه القبلة </t>
  </si>
  <si>
    <t>العمال ما يفتحون المسجد والحمامات - الساعة 3:55م الخميس  - 8/1/2026</t>
  </si>
  <si>
    <t xml:space="preserve">تم التوضيح الية فتح المساجد  - والاعتذار+تم التأكد من الكامرات ووجد ان المسجد مفتوح بنفس توقيت الشكوى مرفق فديو بالوتس اب </t>
  </si>
  <si>
    <t>اغلاق المرافق</t>
  </si>
  <si>
    <t>بحاجة تهوية وعاملة نظافة -  19:34:01 Friday, February 6, 2026</t>
  </si>
  <si>
    <t xml:space="preserve"> ام نواف</t>
  </si>
  <si>
    <t xml:space="preserve">تمت زيارة المحطة بتاريخ اليوم والتاكد من جميع المرافق والتهوية للمكان كما تم تدريب العامل </t>
  </si>
  <si>
    <t>عبدالرحيم</t>
  </si>
  <si>
    <t>اتمنى تحطون عتبه قدام المصلى عشان المويه ماتجي ع المصليات وتدمرهم لان واضح مره نظيف لكن المويه داخله ع السجاد المصلى ودمرته وتغير لونه</t>
  </si>
  <si>
    <t xml:space="preserve">البلاغ معلق وتم اخطار الصيانة على البلاغات المعلقة منذ فتره </t>
  </si>
  <si>
    <t>في مشكله في جهاز الفاتورة - 23:39:59 Saturday, April 4, 2026 - لم يتم الرد</t>
  </si>
  <si>
    <t>ناصر المطيري</t>
  </si>
  <si>
    <t>المغسله الوضى لا تعمل متعطله - 19:55:47 Thursday, March 5, 2026</t>
  </si>
  <si>
    <t>ابوفيصل</t>
  </si>
  <si>
    <t>قسم النساء يفتقد للخصوصيه ، لا يوجد حاجز - 20:11:57 Friday, February 6, 2026</t>
  </si>
  <si>
    <t xml:space="preserve">الطلب لدى فريق الصيانة </t>
  </si>
  <si>
    <t>محطة درب اللي اول طريق الهدا
قسم الرجال نظيف بس يحتاج الى اصلاح مكرفون المسجد
قسم النساء يحتاج الى نظافه
الله يجزاكم خير ويجعل ذلك في موازين حسناتكم - 18:32:56 Thursday, April 2, 2026</t>
  </si>
  <si>
    <t>تمت الصيانة 
تاريخ الإنجاز:11 أبريل 2026 - 17:49</t>
  </si>
  <si>
    <t xml:space="preserve">استفسار عن اسعار المساحات المتاحة في درب النورية - بنشر - اول فرع </t>
  </si>
  <si>
    <t xml:space="preserve"> Rana Alansari</t>
  </si>
  <si>
    <t>رواء</t>
  </si>
  <si>
    <t>دورات المياه مهمله وغير نظيفه ارجوا القاء نظره لها - 03:12:55 Saturday, March 7, 2026</t>
  </si>
  <si>
    <t>دورة المياة في محطة العوالي سيئة للغاية الذباب يحوم في كل مكان بكميات كبيره و الابواب بدون اقفال ولا يوجد مكان لتعليق المتعلقات الشخصية بالداخل بالاضافة الى ان تكييف المصلى متعطل  - 13:31:44 Saturday, February 7, 2026</t>
  </si>
  <si>
    <t>تمت الصيانة وتم اصلاح وحدة التكيف 
تم صيانة اقفال الابواب 
تم تركيب علاقات 
تاريخ الإنجاز:22 أبريل 2026 - 18:27</t>
  </si>
  <si>
    <t xml:space="preserve"> لم يتم الرد</t>
  </si>
  <si>
    <t>التكييف</t>
  </si>
  <si>
    <t>درب الشحنات</t>
  </si>
  <si>
    <t>مرام</t>
  </si>
  <si>
    <t xml:space="preserve"> ام الياس</t>
  </si>
  <si>
    <t xml:space="preserve">قدام مصلى النساء لا يوجد نور - 19:09:48 Thursday, February 5, 2026 : </t>
  </si>
  <si>
    <t>تمت اضافة المصباح</t>
  </si>
  <si>
    <t>2026-04-06 11:16:38 PM UTC+03:00 - لم يتم الرد</t>
  </si>
  <si>
    <t xml:space="preserve">        السلام عليكم وجزاكم الله خير ع المسجد واكت قسم النساء المغسله خربانه والناس تتوضأ والباب يضرب فيهم والنساء لازم يقفلو الباب وانتظار الحمام لازم برا واذا فتح الباب يكشف عليهم ‏رأيك كلكم بس علقوا على هذا الباب مرة أذية للي يتوضى يكشف بره يبغى له باب على بره وفيه سترة لازم</t>
  </si>
  <si>
    <t>الفني المنفذ:Mahmoud Ibrahim
تاريخ الإنجاز:10 يناير 2026 - 09:08
ملاحظات التسليم:</t>
  </si>
  <si>
    <t>خالد السفياني</t>
  </si>
  <si>
    <t xml:space="preserve">حصل تأخير في المحطة من العامل انتظرت حول 10د بعدها جا وقال كاانت في مشكله قلت له طيب لو في  مشكلة ما تخليني انتظر عبي بعدين حلها - كامري 2017 ابيض - (ح م ق - 8877) المسار النص ثالث واحد على اليسار </t>
  </si>
  <si>
    <t>تم الاعتذار من العميل وابلغناه بانه سيتم التحقق من العمال وتنويههم  وشكرنا على الاهتمام +تم ابلاغ مدير المحطة لرفع سرعه الاداء في المحطة وزيادة التدريب</t>
  </si>
  <si>
    <t>ام مهند</t>
  </si>
  <si>
    <t>الضاحيه - كشك - اول فرع الرقم الاحتياطي  0562299672</t>
  </si>
  <si>
    <t xml:space="preserve"> JA056</t>
  </si>
  <si>
    <t xml:space="preserve">        البناء جيد لكن النظافه معدومه ولا يوجد مناديل وشفطات الحمامات ع الارض اتمنى يوجد عمال نظافه ع مدار الساعه - 20:26:16 Friday, February 6, 2026</t>
  </si>
  <si>
    <t xml:space="preserve"> نادر</t>
  </si>
  <si>
    <t xml:space="preserve">تم اخطار مدير المنطقة وتم التنويه على ضرورة متابعة مدراء المحطات بمايخص متابعة فريق النظافة </t>
  </si>
  <si>
    <t>اشكركم جريل الشكر على شغلكم الرهيب واهتمامكم بالمكان ولاكن دورات المياه تحتاج اهتمام اكثر بسبب الزوار الغير لائقين بالمكان ويكمن جمال المكان بنظافة دورة المياه</t>
  </si>
  <si>
    <t xml:space="preserve">تم اخطار مدير المنطقة وتم التنويه على وعلى وجود ملاحظات على النظافة </t>
  </si>
  <si>
    <t xml:space="preserve">شفيق عسيري </t>
  </si>
  <si>
    <t xml:space="preserve">الحريضه - مواقع على الواجهة البحريه - الوكيل - مالها رخص </t>
  </si>
  <si>
    <t>اسرقت منه بطاقه في محطة لتر</t>
  </si>
  <si>
    <t>تمت افادته باننا محطات درب</t>
  </si>
  <si>
    <t>امنه</t>
  </si>
  <si>
    <t>ريحة المصلى سيئ جدا جدا ريحة بيارات الا التكييف والنظافة جيدة بس رييييحة تصرع حرام ننزل نصلي ومكان طاهر وريحة خايسه - 18:14:01 Saturday, February 7, 2026</t>
  </si>
  <si>
    <t xml:space="preserve">م اخطار مدير المنطقة وتم التنويه على ضرورة متابعة مدراء المحطات بمايخص متابعة فريق النظافة وتعطير المرافق </t>
  </si>
  <si>
    <t>ام تركي</t>
  </si>
  <si>
    <t>الحمامات غير نظيفه ولايتوفر صابون 22:41:28 Saturday, March 7, 2026</t>
  </si>
  <si>
    <t xml:space="preserve">عدم ايصال المنظفات الى منطقة الطائف خلل في النظام بين المشتريات و المستودع وتم حلها </t>
  </si>
  <si>
    <t xml:space="preserve">عبدالله </t>
  </si>
  <si>
    <t xml:space="preserve">نايف فايز </t>
  </si>
  <si>
    <t>قلت للعامل يعبي 50 اخضر خلص التعبئة و العداد طالع 40 والعامل يقول ادفع 50 انا دفعت ومشيت بس ابيكم تحققوا منها لان في الجهاز طالع 40 -الوقت  3:40م يوم السبت بتاريخ 1-10 السيارة (4734 - ب ل ك ) رصاصي يارس - المسار النص المبلغ 50 ريال كاش</t>
  </si>
  <si>
    <t>افاد مدير المحطه انه تم مراجعه الكامرا للوقت المحد بالشكوى ولم يجد السياره المذكوره يارس رصاصي+تم اعلام مدير المحطة وقام بالتأكد عن طريق كاش ان بنفس الوقت  ان العمليه تمت بمبلغ 50 ريال</t>
  </si>
  <si>
    <t>القنفذة</t>
  </si>
  <si>
    <t xml:space="preserve">مغسلة </t>
  </si>
  <si>
    <t xml:space="preserve"> زهور الشهراني</t>
  </si>
  <si>
    <t>دورة المياه اليوم ليست كعادتها متسخة ولا يوجد شطاف في المحطة الجديدة فرع الردف بالطائف كانت دايماً نظيفة ومهيأة - 00:51:34 Saturday, February 7, 2026</t>
  </si>
  <si>
    <t xml:space="preserve">تم اخطار مدير المحطة وتم التنويه على ضرورة رفع اعمال الصيانة على السستم لضمان المتابعة 
وتم التنويه على ضرورة متابعة اعمال النظافه </t>
  </si>
  <si>
    <t>محمد حسن</t>
  </si>
  <si>
    <t>عبدالعزيز الغامدي</t>
  </si>
  <si>
    <t>RY042</t>
  </si>
  <si>
    <t>الهواء و الماء متعطله - Thursday, January 8, 2026 at 03:10 PM</t>
  </si>
  <si>
    <t xml:space="preserve">تم التاكد من مدير المحطة عن حالة عطل جهاز الهواء و الماء واكد انه يعمل </t>
  </si>
  <si>
    <t>درايف ثور براند ( صباحك) - 10 فروع  -المالك</t>
  </si>
  <si>
    <t>سيف الحربي</t>
  </si>
  <si>
    <t xml:space="preserve">كشك او درايف ثرو </t>
  </si>
  <si>
    <t>الصراحه المحطة كويسه بس ينقصها اشياء خفيفه لا تذكر - 19:03:15 Thursday, February 5, 2026</t>
  </si>
  <si>
    <t xml:space="preserve">تم التواصل مع العميل وعند الرد لم يجب وقفل الاتصال ولم يتم معرفة تفاصيل الملاحظة </t>
  </si>
  <si>
    <t xml:space="preserve">محمد علوي
</t>
  </si>
  <si>
    <t xml:space="preserve">98 موجود في الطائف؟ </t>
  </si>
  <si>
    <t xml:space="preserve">‏رغم أن المحطة جديدة إلى أنه دورات المياه يبغالها شغل انبست في الحمام حق دورة المياه
‏ بعد ما انفتح الباب بالغصب لأن المفتاح والكيل مصدي
</t>
  </si>
  <si>
    <t>عبدالعزيز الزهراني</t>
  </si>
  <si>
    <t xml:space="preserve">استفسار عن اكمال التواصل مع استاذ سلمان </t>
  </si>
  <si>
    <t>غرمان العمري</t>
  </si>
  <si>
    <t>سوسن اسواس</t>
  </si>
  <si>
    <t>مالك الصالحي</t>
  </si>
  <si>
    <t>في عامل يسحب زياده هللات عن المبلغ- Friday, January 9, 2026 at 06:11 PM</t>
  </si>
  <si>
    <t xml:space="preserve">م ابلاغ مدير المنطقة بالتشديد على العمالة بعدم سحب اي هلل زائده عن حساب العميل ومراجعه الكاميرا وتوجيه انذار للعامل المتسبب في الشكوى </t>
  </si>
  <si>
    <t xml:space="preserve">تعامل الموظفين سيئ جداً
الثلاثاء، 7 أبريل 2026 في 07:34 ص
</t>
  </si>
  <si>
    <t xml:space="preserve">الواحة -  المحطة مافي فيزا  - البقاله 6*4 مافيها فيزا ازمتى توفرون لفيزا </t>
  </si>
  <si>
    <t>سحب هللات</t>
  </si>
  <si>
    <t xml:space="preserve">تم انذار مدير المحطه شفويا بالتشديد على العمال الذين هم تحت ادارته في جانب التعامل الحسن مع العملاء والزوار للمحطة </t>
  </si>
  <si>
    <t xml:space="preserve">تم الاعتذار للعميل وتوضيح بان تم افتتاح المحطة قبل شهرين ونعمل على توفير الفيزا قريبا وشكرنا على الخدمة </t>
  </si>
  <si>
    <t>محمد عبدالعزيز</t>
  </si>
  <si>
    <t xml:space="preserve">تشغيل محطة مؤسسة بيوتات العصرية - مدير المشاريع </t>
  </si>
  <si>
    <t xml:space="preserve">فيصل الحارثي </t>
  </si>
  <si>
    <t>Dh Fg</t>
  </si>
  <si>
    <t>ارغب في تشغيل محطة من محلاتهم فرنشايز اذا بالامكان</t>
  </si>
  <si>
    <t xml:space="preserve">تعامل سيئ جدا اجبار على دفع مبلغ مالي اكبر من قيمة البنزيل الي تم تعبئة
الثلاثاء، 7 أبريل 2026 في 05:55 ص
</t>
  </si>
  <si>
    <t>تم ابلاغ مدير المحطة للتعميم على العمال بعدم اخذ اي مبلغ زائد ولو هلله واحده وان يكون الدفع بعد التعبئه الا في حاله عدم وجود لوحه او الشك في العميل انه سيهرب فيكون الدفع مقدما</t>
  </si>
  <si>
    <t>مهند الحربي</t>
  </si>
  <si>
    <t>عبدالعزيز الشهراني</t>
  </si>
  <si>
    <t xml:space="preserve">توريد ديزال 3000 الف لتر  واكثر - مجموعة الفارسي المطورة </t>
  </si>
  <si>
    <t xml:space="preserve">تم ارسال ايميل م.معتصم </t>
  </si>
  <si>
    <t>جركل بمبلغ تامين</t>
  </si>
  <si>
    <t>هاني الاسمري</t>
  </si>
  <si>
    <t>AS081</t>
  </si>
  <si>
    <t xml:space="preserve">تعامل زفت ويطلب فلوس مقدماً يعني اخمن كم فل سيارتي
الثلاثاء، 7 أبريل 2026 في 12:42 ص
</t>
  </si>
  <si>
    <t>Abdualrahman Tantawy</t>
  </si>
  <si>
    <t>تفليلة السياره معروفة والتعبئة الدفع قبل التعبئة بتصير 
لكن لتمنتبيه العمال على التعامل الجيد واللبق مع العمي</t>
  </si>
  <si>
    <t>استشارات بيئية</t>
  </si>
  <si>
    <t>عبدالرجمن أشرف</t>
  </si>
  <si>
    <t xml:space="preserve"> محمد فوزي محمد السليماني</t>
  </si>
  <si>
    <t>ابحث عن مواقع اكشاك درايف ثرو للايجار فى منطقة جده لبراند قهوة</t>
  </si>
  <si>
    <t>في شخص كان يغلط عليا من عمال المحطه والسبب قلت له درجه وحده وهو حطها فل كلمت المدير للمحطه حفيظ الرحمن قالي جديد وهو غير صحيح يعرف عربي اسم الشخص زاهد خان الرجاء التواصل معايا وشكرا - افاد العميل انه قال له عبي على اقل درجه و عند 6 ريال لغى وحط اعلى شيء قلت لو ليه قال انتا ما في شوف يقول انتا ممجنون وسلوبه سيء ليه يغير اصلا الدرجة ويوم رحت للمدير مرا طيب وواضح مو بيدو شي قام يتعذر ويقول جديد قلت له مو جديد انا ساكن قريب وهو يطلع من بعيد يتبسم يعني مافهمت هو بيقطع رزقه بنفسو ولا ايش ما ابغا ينفصل او ينقطع رزقه بس ياليت تنبهوه  - السبت - الساعة 3:30م - كاش  دفعت 20 20 ورجع لي 10 الاجمالي 30  - النترا بني - ( ح ل ر - 9072) - تم التواصل مع العميل والاعتذار وشكرنا على الاهتمام والخدمة</t>
  </si>
  <si>
    <t>Salem Alqethme</t>
  </si>
  <si>
    <t xml:space="preserve"> ابلاغ مدير المحطة لتوجيه انذار شفوي للعامل المعنى والحرص على زياده الجهد في ارضاء العميل وعدم اثارة استياءه </t>
  </si>
  <si>
    <t xml:space="preserve">
العامل الملتحي قليل ادب
عبيت بنزين وقلت له عطني فاتورة
رحت للدوام وعطيتها المحاسب يقولي هذا ايصال شبكة العملية مقبولة مو فاتورة
رجعت لهم بعد يوم وقلت له انا قايل عطني فاتورة وانت معطيني ايصال الشبكة قالي ليش ماقلت لي عطني فاتورة باركود قلت له تستهبل انا قايل لك عطني فاتورة والفاتورة معروفة في كل مكان. قالي انت عبيت امس كيف تبغاني اعطيك فاتورة قلت له دبر نفسك وبعدين جاب فاتورة بس اسلوبه مستفز وقليل ادبالاثنين، 6 أبريل 2026 في 05:05 م
</t>
  </si>
  <si>
    <t>اخوه اتصل وخلاص</t>
  </si>
  <si>
    <t xml:space="preserve">تم ابلاغ مدير المنطقة للشد على العمال ومدراء المحطات في منطقته والتنبيه عليهم اكثر </t>
  </si>
  <si>
    <t>علي الغامدي</t>
  </si>
  <si>
    <t>عبدالله القرني</t>
  </si>
  <si>
    <t>فيصل الزهراني</t>
  </si>
  <si>
    <t xml:space="preserve">اماكن تواجد بنزين 98 </t>
  </si>
  <si>
    <t xml:space="preserve">تمت افادته بانها في درب النسيم فقط  وشكرنا على الاهتمام </t>
  </si>
  <si>
    <t>MK067</t>
  </si>
  <si>
    <t xml:space="preserve">لا يوجد خدمات دورة المياه مغلقة دائما ولا يوجد مسجد
</t>
  </si>
  <si>
    <t xml:space="preserve">لدي أرض على الطريق السريع - صك شرعي  تصلح واجهتين محطة </t>
  </si>
  <si>
    <t>محل الكورنيش - مغسلة اوتوماتيك ثاني فرع</t>
  </si>
  <si>
    <t>عمر الانصاري</t>
  </si>
  <si>
    <t>نايف</t>
  </si>
  <si>
    <t xml:space="preserve">لو في اقل من النجمة سويتها لكم اسواء تعامل مرا علي   آخر تعامل مع درب ❌❌
الأحد، 11 يناير 2026 في 07:36 ص
</t>
  </si>
  <si>
    <t xml:space="preserve">تم ابلاغ مدير المنطقة ومدير 
 المحطة للعمل على تحسين الخدمة في المحطة وحسن التعامل </t>
  </si>
  <si>
    <r>
      <rPr>
        <rFont val="Calibri"/>
        <b/>
        <color rgb="FF434343"/>
        <sz val="10.0"/>
      </rPr>
      <t xml:space="preserve">يوم الاربعاء 1/4/2026 الساعه 7:00 م جيت اعبي بنزين احمر قال مافيه قلت ليه قال انا اذا قلت مافيه مافيه والعميل مستاء من تصرف العامل - كامري 2025 رمادي اللوحة ( 2256 ر ي ل ) </t>
    </r>
    <r>
      <rPr>
        <rFont val="Calibri"/>
        <b/>
        <color rgb="FFFF9900"/>
        <sz val="10.0"/>
      </rPr>
      <t xml:space="preserve">- تم التواصل مع العميل وشكرنا على الخدمة </t>
    </r>
  </si>
  <si>
    <t>فيصل ،،</t>
  </si>
  <si>
    <t>صالح علي الغامدي</t>
  </si>
  <si>
    <t xml:space="preserve">سيئ والعمال يسولفون عندي واقولهم عبي ويقول دقيقه المدير يكتب قعدت ربع ساعه عشان اعبي ثلاثين ريال ؟؟؟! كان قد وصلت المكان اللي ابيه وعبيت وخلصت
الاثنين، 9 مارس 2026 في 12:07 ص
</t>
  </si>
  <si>
    <t xml:space="preserve">قلت للعامل عبي ب20 عبالي ب100 وانا الان في المحطة -  ابيض - يارس 2019 - 7633- د ق ن - المسار الي داخل المحطة 
العميل في المحطة والظاهر ما يبي يدفع ويقول اشتكي هنا ولا اشتكي مين  تم رفع التذكرة لمدير المحطة في القروب - تم ارسال الشكوى لمدير المحطة واتخاذ الاجراء </t>
  </si>
  <si>
    <t xml:space="preserve">م التواصل مع مدير المحطة حينها وافاد انه يباشر المشكله وان العميل اخبر العامل ان يعبي ب100 ريال وعند الوصول لمبلغ 90 غير رأيه واراد التعبئه ب20 ريال </t>
  </si>
  <si>
    <t>فيصل التميمي</t>
  </si>
  <si>
    <t>بنو تميمى 2400م - مالها رخصة - الوكيل</t>
  </si>
  <si>
    <t>نواف نواف</t>
  </si>
  <si>
    <t>لا يوجد مسجد في المحطة</t>
  </si>
  <si>
    <t xml:space="preserve">تم افادته بوجود مصلى متنقل </t>
  </si>
  <si>
    <t>أنس الدهلوي</t>
  </si>
  <si>
    <t xml:space="preserve">عامر محمد </t>
  </si>
  <si>
    <t>محمد بن عبدالعزيز</t>
  </si>
  <si>
    <t xml:space="preserve">ارجوا منكم التكرم بإعادة النظر في انشاء حمامات أو دورات مياه أكثر من ٨ او٩ حمامات ع الاقل والله زحام شديييد وللأسف النظافه صفر اتمنى وضع حمامات أكثر من ٨ أو ٩ حمامات ع الاقل لكثافة الزوار و الزباين..
الأحد، 8 مارس 2026 في 06:41 ص
</t>
  </si>
  <si>
    <t>تم اخطار مدير المحطة والتنويه على ضرورة متابعة نظافة المرافق الى ان بعض الاوقات يكون العامل في تنظيف منطقه اخرى</t>
  </si>
  <si>
    <t xml:space="preserve">شركة منتجات الوطن </t>
  </si>
  <si>
    <t>محطة جديدة المساحة:٥٥٠٠ متر طريق الملك سعود شمال جدة  التواصل بخصوص الاستثمار والتشغيل</t>
  </si>
  <si>
    <t>تمت افادته بارسال البروفايل على الايميل</t>
  </si>
  <si>
    <t>Es</t>
  </si>
  <si>
    <t>علي</t>
  </si>
  <si>
    <t xml:space="preserve">تأخير من وظفين تعبأه البنزين بشكل مو طبيعي 15د واقف انتظر العامل يجي ومافي زحمه ولا قدامي اي سياره ومو اول مرا المحطه جمب بيتي وكل يوم اعبي فيها على ذا الحال الموظف يلطعني ويأخرني
السبت، 7 مارس 2026 في 10:39 م
</t>
  </si>
  <si>
    <t>نايف الشهري</t>
  </si>
  <si>
    <t xml:space="preserve">تم ابلاغ مدير المحطة لمراجعة الكامرا واتخاذ الاجراء اللازم ضد العامل في حال التأخير المتعمد وتنبيه بقية العاملين </t>
  </si>
  <si>
    <t>عبيت اليوم الموافق 9 يناير الساعة 7:00
والبنزين مخلوط لان مشيت فقط 10 كيلو السيارة بدت ترج
+ البنزين قاعد ينحرق بسرعة وعبيت ب 40 ريال
ورايح للعوالي وراجع المحطة نفسها والا اشوف ربع التانكي نقص
المهم ابعدو عن المحطة ذي بنزينهم مخلوط ومغشوش
قد اعذر من انذر
وقد تم رفع البلاغ لوزارة التجارة وهم يتعاملو معاهم
عندكم الدريس وساسكو ونفط وبترومين اعتمدو المحطات هذي
و اتواصلت معاهم ولا فيه اي تجاوب ولا اي شي</t>
  </si>
  <si>
    <t xml:space="preserve">تم ابلاغ نورهان من اداره الجوده  للنزول الميداني للمحطه وفحص عينات البنزين وموافاتنا بالتقرير عن صحه الشكوى من كيديتها - تم التحقق والبنزين ليس به اي شوائب+الرجاء التواصل مع العميل وافهامه ان بنزين درب عالي الجودة وان الخلل من سيارته وان هذه الشكوي لم تأتي من اي عميل اخر فلو كاان البنزين مغشوش لكانت الشكوى من اكثر من عميل لان الخزان واحد </t>
  </si>
  <si>
    <t>MK301</t>
  </si>
  <si>
    <t>متابعة سير شكوى</t>
  </si>
  <si>
    <t>جودة البنزين</t>
  </si>
  <si>
    <t xml:space="preserve">يرغب في تزويدهم ب 2000لتر - شركة غاركو - اقرب محطة درب 5 للخزانات تبع الشركة  </t>
  </si>
  <si>
    <t xml:space="preserve">تمت افادته </t>
  </si>
  <si>
    <t>هشام اشرف</t>
  </si>
  <si>
    <t xml:space="preserve">سيىء جدا بي شكل كبير المشرف الي ساعه ١٢ اليل اقسم بالله اسلوبه زق وكل ما اجي اقوله عبي بنزين يقول خمسة دقايق محطه درب سيىء جدااااااااا توبه اعبي منه  السبت، 10 يناير 2026 في 12:02 ص
</t>
  </si>
  <si>
    <t xml:space="preserve">صادف وقت مجيئ العميل وقت تغيير الورديه واغلاق الحسابات وتسليم المضخات من عامل لاخر وهذه العمليه تحتاج من 3 الى 5 دقائق لانجازها </t>
  </si>
  <si>
    <t>بَ .</t>
  </si>
  <si>
    <t xml:space="preserve">ليس كل ما يقال يصدق من عروض !!!!! السبت، 7 مارس 2026 في 06:37 م
</t>
  </si>
  <si>
    <t>صالح الدوسري</t>
  </si>
  <si>
    <t xml:space="preserve">لا يوجد عرض في هذي المحطة خلال هالفترة وت مالتوضيح له </t>
  </si>
  <si>
    <t xml:space="preserve">انا عندي سيارة كبيره والعامل رفض يعبي لي يعني اخذ 5 دبات من عندكم ولا كيف ترا صغيره مره والموظف الي هو مدير المحطة البنقالي اسلوبه سيء وما فهمني انها تعليمات من الدفاع المدني جالس يتعامل باسلوب سيء هذا تحذير لكم لو ما اتخذتو اجراء معه راح اتفاهم معه بشكل اخر اسلوبه سيء ولا وضح لي انه ممنوع ولاشي - وقت الاتصال 12:18م - 2-8 الاحد </t>
  </si>
  <si>
    <t>بالفيديو اليمين عُمال معهم جوالين غير مخصصة للتعبئة والشخص اللي رفع البلاغ صاحب الكامري هو من رفع البلاغ وتبيّن انهم عُماله- مرفق فيديو</t>
  </si>
  <si>
    <t>بندر الشريف</t>
  </si>
  <si>
    <t>سلوم محمد العتيبي</t>
  </si>
  <si>
    <t xml:space="preserve">جيت وحصلت اللوحه عند تغير الزيت مع السيفون تحصل على غسيل مجاناً وغيرت زيت مع السيفون واخذت كرت الغسيل ووقفت اغسل ولكن تفاجأت ان صاحب المغسله قال لي ان الغسيل خارجي فقط وليس غسيل كامل وشرحت له ان في اللوحه مكتوب غسيل والمعروف ان الغسيل هو غسيل كامل السياره داخلي وخارجي وتفهم الوضع وكان محترم جداً واسلوبه كويس ولكن قال انا مالي دخل تكلم مع صاحب البنشر تكلمت معه وكان اسلوبه جداً سيئ ووضحت لصاحب البنشر انه لو المسموح فيه غسيل خارجي انه يوضح ب اللوحه  غسيل خارجي فقط مهو غسيل واتفاجاء انه بس خارجي تعامل جداً سيئ من صاحب البنشر واخر مرا اغير عندهم الرجاء الانتباه منهم واتمنى من الشركه التعامل مع الموضوع وتغير اللوحه وكتابة غسيل خارجي فقط توضيح للعميل
</t>
  </si>
  <si>
    <t>MK054</t>
  </si>
  <si>
    <t xml:space="preserve">Fatima Alsolami
</t>
  </si>
  <si>
    <t xml:space="preserve">من فتحت المحطة في رمضان ونا من روادها اليوم جيت وقفت في المسار الي جوا والعامل واقف هناك قلت له تعال عبي يقول انت تعال انا ما اجي انت تجي واسلوبه سيء وهذا العامل اصلا مو اول مره انا تنرفزت منه اليوم وبغيت اضارب معه اسلوبه سيء اسحبو الكاميرات شوفو اسلوبه وتصرفه يشوه سمعة درب انا ما عبيت مشيت عشان ما ابي اتهاوش معه - وقفت المسار الداخلي (ح ي ه - 2700) النترا بيضه - تم التواصل مع العميل وافاد انه من رواد المحطة وفي حال جا ولقى العامل على نفس وبنفس الاسلوب بيسوي معاه مشكلة </t>
  </si>
  <si>
    <t>طلب الموظف مني تقييم وماشاء الله جلس يراقبني وانا اقيم وما تركني لين خلاص تم التقييم.
ماحبيت التصرف ، واصلا محطة اقيمها على ايش؟ ومافيها شيء مميز تم التحرير في السبت، 7 مارس 2026 في 03:35 ص</t>
  </si>
  <si>
    <t>خالد عباس</t>
  </si>
  <si>
    <t>Nader Alsymy</t>
  </si>
  <si>
    <t>يرغب في مساحات في جدة - فرنشايز Simplicity cafe &amp; roastery ملزم بفتح في 4 مواقع</t>
  </si>
  <si>
    <t>ازبل محطة طلبت اعبي منهم وسيارتي موقفة قدامهم عشان اقدر امشيها ومنحد مره ولا عبو لي حسبي الله عليهم حتى لو السياسات مخليتهم كذا المفروض يدفو شوي عشان اجيب سيارتي عندهم !!!!!!
الخميس، 8 يناير 2026 في 04:12 ص</t>
  </si>
  <si>
    <t>م ابلاغ مدير المحطة لحث العمال على مساعدة العميل والتعاون معاه  حال كانت السياره داخل حدود المحطة  لايصالها لقرب المضخة للتعبئة</t>
  </si>
  <si>
    <t>يزيد الزايدي</t>
  </si>
  <si>
    <t>مغسلة - شركة سعود الزايدي للاستثمارات</t>
  </si>
  <si>
    <t>طارق حطمان العبدلي</t>
  </si>
  <si>
    <t>حسين محمد</t>
  </si>
  <si>
    <t>محمد محسن</t>
  </si>
  <si>
    <t>محمد الحسنية</t>
  </si>
  <si>
    <t>محطة المساحة 5000الف الموقع محافظة العارضة</t>
  </si>
  <si>
    <t xml:space="preserve">لا يوجد صابون غسيل يدين- 00:36:26 Sunday, January 11, 2026  </t>
  </si>
  <si>
    <t xml:space="preserve"> ابي امتياز تجاري </t>
  </si>
  <si>
    <t xml:space="preserve">محطة المالك - يرغب بالامتياز التجاري </t>
  </si>
  <si>
    <t xml:space="preserve">تم توفير وصيانة اجهزة الصابون </t>
  </si>
  <si>
    <t>محسن جبريل محمد معشي</t>
  </si>
  <si>
    <t>زينة سيارات- البحار لزينة السيارات عدد الفروع:2  ابو عريش ارغب بإستأجار موقع لزينة سيارات</t>
  </si>
  <si>
    <t>Bayan</t>
  </si>
  <si>
    <t xml:space="preserve">عدم وجود مناديل في دورة مياه النساء ولا صابون - 08:30:41 Saturday, January 10, 2026 </t>
  </si>
  <si>
    <r>
      <rPr>
        <rFont val="Calibri"/>
        <b/>
        <color rgb="FF434343"/>
        <sz val="10.0"/>
      </rPr>
      <t>اقتراح:</t>
    </r>
    <r>
      <rPr>
        <rFont val="Calibri"/>
        <b/>
        <color rgb="FF434343"/>
        <sz val="10.0"/>
      </rPr>
      <t xml:space="preserve"> السلام عليكم ورحمة الله وبركاته مساء الخير وشهر مبارك عليكم
عندي فكره لكم نحتاج تفتحوا لنا محطة في حي ولي العهد - العكيشيه
هذا اللوكيشن 📍
https://maps.app.goo.gl/z4Yp9ps1cm6HUSAV8?g_st=ic
</t>
    </r>
  </si>
  <si>
    <t>تم توقيف المناديل من دورات المياه من قبل الشركة 
تم توفير الصابون في جميع المحطات</t>
  </si>
  <si>
    <t>امواج</t>
  </si>
  <si>
    <t>ابي اتاكد من قيمة التعبئة لان البنزين خلص مو عادته - ر و ص 6964 كيا 2025 رمادي غامق - المسار الثاني - المبلغ 50 ريال شبكة -  بنزين 95 - وقت العملية 17:7 م التاريخ 1-2</t>
  </si>
  <si>
    <t>حمدي</t>
  </si>
  <si>
    <t xml:space="preserve">محل - خدمات سيارات - ثالث فرع </t>
  </si>
  <si>
    <t>عبدالله العلي</t>
  </si>
  <si>
    <t xml:space="preserve"> HAMMAD ALLAHYANI</t>
  </si>
  <si>
    <t xml:space="preserve">محل سوبرماركت "نوفا" - 3 فروع - المالك </t>
  </si>
  <si>
    <t xml:space="preserve">        لايوجد عامل نظافة في دورات المياه ينظف بشكل مستمر
 - 05:58:00 Saturday, January 10, 2026 </t>
  </si>
  <si>
    <t xml:space="preserve">حسب سياسة الشركة عامل واحد على جميع المحطة </t>
  </si>
  <si>
    <t>ابراهيم علي العسيري</t>
  </si>
  <si>
    <t>عبدالله الكثيري</t>
  </si>
  <si>
    <t>⛽ فرصة استثمارية نادرة - محطة وقود جاهزة للتنفيذ بخليص ⛽ للبيع أو الاستثمار الطويل، أرض بموقع استراتيجي (زاوية) في قلب المنطقة الحيوية بمحافظة خليص، مجهزة بكافة التراخيص للبدء الفوري.
📍 الموقع والمميزات الجغرافية:
* الموقع: محافظة خليص - منطقة الخدمات المركزية
* ⁠.القرب من طريق الهجرة: تقع الأرض بالقرب من طريق الهجرة السريع (مكة - المدينة)،
* الجيران: ملاصقة لـ مركز شرطة خليص.
* الإطلالة: تقع مباشرة أمام مستشفى خليص العام.
* الواجهة: تقع على شارعين حيوية بعرض 32 متر.
📏 بيانات العقار:
* المساحة الإجمالية: 2507 متر مربع.
* طول الواجهة: حوالي 60 متر على الشارع التجاري (مع ممر المشاة).
* التراخيص: رخصة محطة وقود جاهزة وكاملة.
* ميزة إضافية: يوجد قطعتين أرض إضافية بجانب المحطة تابعة لنفس المالك (مما يتيح خيارات توسع أو مشاريع تكاملية).
* متاح للبيع أو للاستثمار (إيجار).</t>
  </si>
  <si>
    <t xml:space="preserve">سيئة جدا الموظف خلص عبى للاثنين الي جنبي وانا جاي قبلهم واخرني 10 دقايق
الأحد، 8 فبراير 2026 في 09:12 ص
</t>
  </si>
  <si>
    <t xml:space="preserve">ابلاغ مديرالمحطة لمراجعة الكامرات والنظر ان كان هناك تقصير في اداء الخدمة من احد العاملين بالمحطة واعطائه انذار لتقصيره في عمله </t>
  </si>
  <si>
    <t>خالد</t>
  </si>
  <si>
    <t>ارض بمساحة 3125 - المالك - الرخصة قيد الاجراء</t>
  </si>
  <si>
    <t>Maram Al Otaibi</t>
  </si>
  <si>
    <t>دورات المياه وسخه مافي نظافه والريحه سيئه جداً - 17:53:23 Thursday, January 8, 2026</t>
  </si>
  <si>
    <t>2026-04-07 11:58:59 PM UTC+03:00 - لم يتم الرد</t>
  </si>
  <si>
    <t>Iphone 1</t>
  </si>
  <si>
    <t>D7EEM</t>
  </si>
  <si>
    <t xml:space="preserve">المسجد جداً صغير، قسم النساء صغير . دورات المياه تحتاج اهتمام 🟥
السبت، 7 فبراير 2026 في 06:39 م
</t>
  </si>
  <si>
    <t xml:space="preserve"> اخطار مدير المحطة والتنويه على ضرورة متابعة النظافة 
بخصوص سعة المسجد حسب المشاريع </t>
  </si>
  <si>
    <t>مافيه الا عامل واحد تقعد نص ساعه عشان تعبي بنزين
الجمعة، 6 مارس 2026 في 12:57 ص</t>
  </si>
  <si>
    <t>مدخل المحطة يحتاج توسعة وربط بشكل أفضل بخط الاسفلت</t>
  </si>
  <si>
    <t xml:space="preserve">حسب القسم المختص المشاريع </t>
  </si>
  <si>
    <t>محل سوبرماركت شركة "هايبر ماركت" 21 فرع - قريب المالك</t>
  </si>
  <si>
    <t>مدخل/ مخرج  المحطة</t>
  </si>
  <si>
    <t>Ibrahim Ali. Al-Huraizi.</t>
  </si>
  <si>
    <t>الحين الشخص اذا جاء يعبي بنزين اولا يدفع فلوي وبعدين يعبي السيارة  اول مره اشوف ذا الاسلوب عبيت من عندكم كذا مره ماطلبتوا الدفع الا بعد التعبئة وبعدين المحطة مزوده بكاميرات ولا في محطة تطلب كذا
تم التحرير في الجمعة، 6 فبراير 2026 في 08:08 م</t>
  </si>
  <si>
    <t xml:space="preserve">سي جدا وعادهم اخذو عليا غطاء البنزيم وخلاني امشي بدون غوطا أخذ الاصلي الي معي وبعدا اعطاني غطاء صيني
الجمعة، 6 مارس 2026 في 12:04 ص
</t>
  </si>
  <si>
    <t xml:space="preserve">النظام يسمح بالحساب أولا </t>
  </si>
  <si>
    <t>تم ابلاغ مدير المحطة لزيادة متابعة العماله وحثهم على التعامل الجيد مع العملاء وكسب رضاهم واستحسانهم</t>
  </si>
  <si>
    <t>صالح عوض القاضي</t>
  </si>
  <si>
    <t>شركة سقى قبى - اكثر من فرع - تم تزويده برقم أ.تهاني</t>
  </si>
  <si>
    <t>أرض بمساحه ٤٠٥٦١ وجاري استخراج الرخصة كم يمكن انا اقوم ببناه. أبها طريق الملك عبدالله</t>
  </si>
  <si>
    <t>Manar</t>
  </si>
  <si>
    <t xml:space="preserve">ابو معتز البرناوي
</t>
  </si>
  <si>
    <t xml:space="preserve">
اول مره اشوف محطة تجمع بين الاثنين موظفين سيئين وإدارة سيئة اجي بالليل اعبي ولمن خلصت جيت احاسب شبكة وترفض اقوم احاسب ببطاقة ثانية وترفض اقول للعامل وش المشكلة يقول انت مافي فلوس في البطاقة يعني بكل قلة ادب رامين بلاهم علي !! اقوله انا ادرى ببطاقتي فيها وحاولت بثنتين ومصر الغلط من عندي راح يعبي للباقين وتركني ويجي غيره ونفس الوضع قعدت حول ربع ساعة واقفه ما تعدلوا وقاموا يتحركون الا لمن رفعت صوتي وخاصمت يعني انتم ما تجون الا بهذا الاسلوب!
وطلع المشكلة من اجهزة الشبكة عندهم يورطون الناس يعبون وبعدها يجبرونهم يدفعون كاش هل هذا معقول ؟! ولمن طلبت رقم المسؤول ما عطاني الا بطلوع الروح ادق على المسؤول القى تعامله وحله للمشكلة اسوء الخلاصة تعامل غير احترافي ومستغلين سكوت الناس ما صلحوها الا لمن سويت لهم مشكلة اول وآخر مرهالجمعة، 6 فبراير 2026 في 03:24 ص
</t>
  </si>
  <si>
    <t xml:space="preserve">امان </t>
  </si>
  <si>
    <t xml:space="preserve">تم مراجعة الكامرا في حينها والخلل كان في صرافة العميل وليس في اجهزة الشبكة </t>
  </si>
  <si>
    <t xml:space="preserve">العمال ما يشتغلوا واقف قدامهم بالسيارة وهما يتونسون ولا كاني موجود
الخميس، 5 مارس 2026 في 10:35 م
</t>
  </si>
  <si>
    <t xml:space="preserve">محل بقاله او مطاعم ثاني فرع </t>
  </si>
  <si>
    <t xml:space="preserve">تم ابلاغ مدير المحطة لزيادة الرقابة </t>
  </si>
  <si>
    <t xml:space="preserve">كان لديه استفسار وخلاص </t>
  </si>
  <si>
    <t>شكرنا على معاودة الاتصال</t>
  </si>
  <si>
    <t>فيصل فهد المطيري</t>
  </si>
  <si>
    <t>مغسلة سيارات استفسار</t>
  </si>
  <si>
    <t>ابو مالك</t>
  </si>
  <si>
    <t>عرض ارض بمساحة 1980 م - يوجد رخصة - المالك</t>
  </si>
  <si>
    <t xml:space="preserve">اعتقد في ملاحظه على البنزين تقريبا الطرمبه فيها مشكله
الخميس، 5 مارس 2026 في 01:39 م
</t>
  </si>
  <si>
    <t>عبدالعزيز</t>
  </si>
  <si>
    <t>افاد مدير المحطة ان المضخات لايوجد بها اي مشكلة</t>
  </si>
  <si>
    <t xml:space="preserve">لديه ارضين عليها رخص وادي الدواسر  - الوكيل </t>
  </si>
  <si>
    <t>معتز محمد علي</t>
  </si>
  <si>
    <t>بداح</t>
  </si>
  <si>
    <t xml:space="preserve"> كشك - اكثر من فرع - فوكي ns</t>
  </si>
  <si>
    <t xml:space="preserve">الاستفسار عن سير عمل شكوى </t>
  </si>
  <si>
    <t xml:space="preserve">طاهة محمد </t>
  </si>
  <si>
    <r>
      <rPr>
        <rFont val="Calibri"/>
        <b/>
        <color rgb="FF000000"/>
        <sz val="9.0"/>
      </rPr>
      <t>جيت المحطة وقلت للعامل يحط اللي من فوق السيارة لان انا جاي والمضخة عكس اتجاه التانكي لكن رفض ويقول ممنوع وما نعبي سيارات كبيرة وروح محطة ثانية وينافس - تم التوضيح للعمل والاعتذار وقال انه ما وجهوه من البدايه او وضحوا ما يعبوا للسيارات الكبيرة واسلوبهم سيء الساعه 4م - ما عبى - التاريخ 2-8 الاحد  -</t>
    </r>
    <r>
      <rPr>
        <rFont val="Calibri"/>
        <b/>
        <color rgb="FFFF6D01"/>
        <sz val="9.0"/>
      </rPr>
      <t xml:space="preserve"> تم التواصل مع العميل والتوضيح ان السياسة غير فعاله ونامل التوجه الى مسار الحافلات الخاص للحفاظ على التنظيم وشكرنا على التجاوب </t>
    </r>
  </si>
  <si>
    <t>استفسار عن العرض</t>
  </si>
  <si>
    <t xml:space="preserve">لم يتم الرد </t>
  </si>
  <si>
    <t xml:space="preserve"> ابلاغ مدير المحطة لتكثيف جهوده في تدريب العمال على احترام العميل وحسن اداء الخدمه </t>
  </si>
  <si>
    <t>غيث جمال</t>
  </si>
  <si>
    <t>ياسر</t>
  </si>
  <si>
    <t xml:space="preserve">لولو كافي  - اكثر من علامة </t>
  </si>
  <si>
    <t>محل مغسلة سيارات - حي الاجاويد لا يوجد فروع</t>
  </si>
  <si>
    <t>رغد</t>
  </si>
  <si>
    <t>لديها باقات وترغب في التعاون وقت التواصل 10 ص الى 12 مساء  - نشارككم تفاصيل باقات تراي التشغيلية، وهي باقات متكاملة تهدف إلى تمكين الشركات من التركيز على أعمالها الأساسية، عبر إدارة الجوانب الموارد البشرية، المالية، القانونية، الإدارية ، مع تخصيص مدير حساب ونموذج عمل واضح وفق اتفاقيات مستوى الخدمة (SLA) .
يسعدنا تنسيق اجتماع تعريفي لشرح الباقة الأنسب لاحتياجكم.</t>
  </si>
  <si>
    <t xml:space="preserve">تمت افادتها بارسالها على الايميل </t>
  </si>
  <si>
    <t>عبدالباري</t>
  </si>
  <si>
    <t>محمد الدوسري</t>
  </si>
  <si>
    <t xml:space="preserve">المدينة </t>
  </si>
  <si>
    <t>مؤسسة تصاميم طيبه</t>
  </si>
  <si>
    <t>سامي عادل</t>
  </si>
  <si>
    <t>عندي فكرة تطويرية في المحطات وابي اشاركها مع شخص مختص ويسمع مني اذا يبي نتعاون اي اذا لا خلاص ( مايبي يشاركنا بتفاصيل)</t>
  </si>
  <si>
    <t xml:space="preserve">درايف شركة سكشن بي براند - موظف في الشركة </t>
  </si>
  <si>
    <t>سعيد الغامدي</t>
  </si>
  <si>
    <t>ياسين</t>
  </si>
  <si>
    <t xml:space="preserve">مغلسة </t>
  </si>
  <si>
    <t>هذي المحطة العمال فيها لكعين ثالث مره تصير اجي يكونو مثلا جرد اثنين مشغولين البقيه جالسين يطالعو ما يمشوا الشغل - المركبة (   ق ح ن - 2053)  رصاصي - هونداي سوناتا - اول مسار على اليمين  ثالث مضخة الساعة 12:2 - باريخ 11/1 الاحد -</t>
  </si>
  <si>
    <t xml:space="preserve"> تم التواصل مع العميل والاعتذار يصادف وقت مجيئ العميل وقت تغيير الوردية والاستلام والتسليم بالمحطة </t>
  </si>
  <si>
    <t xml:space="preserve">شذا ابراهيم </t>
  </si>
  <si>
    <t xml:space="preserve">يوم الثلاثاء الساعه 12:47 م جيت اعبي واقفه عند الطرمبة والعامل يسولف مع راعي التاكسي؟ وادق بوري ثلاث مرات ويقولي روحي روحي؟ 
ورحت مضخه ثانيه وعبالي على طول بس التصرف غير مقبول من محطه كذا والمحطه فادتنا كثير بالنورية
النترا 2024 رمادي-تم الاعتذار للعميلة </t>
  </si>
  <si>
    <t>فهد</t>
  </si>
  <si>
    <t xml:space="preserve">تم ابلاغ مدير المحطة للعمل على مراقبة العمال وحثهم على حسن التعامل مع العملاء </t>
  </si>
  <si>
    <t xml:space="preserve">الطايف </t>
  </si>
  <si>
    <t xml:space="preserve"> يوجد محطه عظم جاهزه في محافظه الخرمة تبعد عن تربه ١٠٠ ك وعن الطايف ٢٢٠ ك عند رغبتكم بالاستجار والتوسع لدي جميع البيانات اللازمة وبتوفيق الله </t>
  </si>
  <si>
    <t>عبدالرحمن شولق</t>
  </si>
  <si>
    <t xml:space="preserve">كار ويشا  - مغسلة </t>
  </si>
  <si>
    <t>يحي عبدالرحمن</t>
  </si>
  <si>
    <t xml:space="preserve">
يوم الثلاثاء الساعه 9:45 ص عبيت يقول مافي فيزا واعرف درب فيها فيزا وماعندي الا فيزا وجلست ادقدق ع الناس ادور احد يحول ولمن مالقيت راح طلع لي جهاز الفيزا؟ ويقول مديري يقول ماتقبل فيزا 
</t>
  </si>
  <si>
    <t>طلال هزاع</t>
  </si>
  <si>
    <t>وليد</t>
  </si>
  <si>
    <t xml:space="preserve">مؤهل ثانوي 5 سنوات خبرة جي اويل مدير ناقل بري </t>
  </si>
  <si>
    <t xml:space="preserve">الدلم </t>
  </si>
  <si>
    <t>استفسار عن بنزين 98</t>
  </si>
  <si>
    <t xml:space="preserve">تمت افادته بتوفرها في درب العليا وسيتم اعلان عن اماكن توفرها في مواقع التواصل </t>
  </si>
  <si>
    <t>Casa De Doha</t>
  </si>
  <si>
    <t>MK002</t>
  </si>
  <si>
    <t xml:space="preserve">هم لا يقبلون بطاقة فيزا الأربعاء، 11 مارس 2026 في 05:33 ص
</t>
  </si>
  <si>
    <t xml:space="preserve">يوجد فيزا بالمحطة الخلل من بطاقة العميل </t>
  </si>
  <si>
    <t>فتحي محمد مهدلي</t>
  </si>
  <si>
    <t xml:space="preserve"> شركة مقاولات مصنفة ذو خبرة طويلة في المقاولات والادارة المشاريع يسعدنا ان نعرض خدماتنا لكم </t>
  </si>
  <si>
    <t>وفاء</t>
  </si>
  <si>
    <t>محمد حمد الشهراني</t>
  </si>
  <si>
    <t>Mohammed Alshameery</t>
  </si>
  <si>
    <t xml:space="preserve">هاتريك للزي الموحد </t>
  </si>
  <si>
    <t xml:space="preserve">مالها رخصة باقي - 600م - افخم احياط المنطقة حي الموسى شارع 30 تجاري -المالك </t>
  </si>
  <si>
    <t xml:space="preserve">العمال غير أخلاقيين وماعندهم احترام خالص وهذي ازفت محطه بسبب عمالهاالأربعاء، 11 مارس 2026 في 12:46 ص
 </t>
  </si>
  <si>
    <t>تم ابلاغ مدير المحطة للشد على عماله وان رضا العميل اولى اولوياتنا</t>
  </si>
  <si>
    <t>علي احمد</t>
  </si>
  <si>
    <t xml:space="preserve">3000م - مالها رخصة - صك الكتروني قطعتين </t>
  </si>
  <si>
    <t>حمزه اسماعيل</t>
  </si>
  <si>
    <t>مصطى جابر</t>
  </si>
  <si>
    <t>Mk007</t>
  </si>
  <si>
    <t xml:space="preserve">انا لاحظت كل مره المحطة يعني جديده ليه الاجهزه ما تشتغل اروم هنا يقول ارجع جرب دي ولا دي لين لفيت شوفني من الكاميرات اللفلف عشان اعبي يعني عمر المحطة الافتراضي ما دخل الحياه كيف المضخات من دحين خربانه  -  بيك اب وينت غمارتين ( ب س ط- 3005) ديزال - 3:29م 8/4 الاربعاء - تم التواصل مع العميل وافاد اجهزتكم من فتره ما تشتغل انتم ما تراجعو الكاميرات وتشوفو العميل يلفلف في المحطة كامله تتسالو ليه ؟ يعني مو طبيعي عشان نعبي نروح من جهاز لجهاز  عذركم غير مقبوله انه تقني والسستم وهذي اعذار المشكلة اذا صار لها فتره هذا يدل على ان في استهتار محطة بهذا الحجم والسمه وصاحبها تارك لكم الامانه فيها اخطا كذا والمشرف انا اجلس اتفاهم مع واحد عجمي يصرفني ولا ادري ايش اسوي كل مره </t>
  </si>
  <si>
    <t xml:space="preserve">السعوديه للتطريز والملابس الجاهزة </t>
  </si>
  <si>
    <t xml:space="preserve">محمد اكرم من الافضل بس مشكلة اذا المحطة تجرب عمالها الزباين انهم يقيمون-الثلاثاء، 10 مارس 2026 في 08:56 م
</t>
  </si>
  <si>
    <t xml:space="preserve">مرجانة </t>
  </si>
  <si>
    <t>اقتارح نبي محل ملابس زي سنتر بوينت +مغسلة تكون نظيفة</t>
  </si>
  <si>
    <t>حسن القرني</t>
  </si>
  <si>
    <t>استفسار عام عن الشواغر</t>
  </si>
  <si>
    <t xml:space="preserve">ماشاءالله تبارك الله والمحطه من تنظيم ونظافه ومحلات بس باقي المغسله تكون من اعلا الجوده تكتمل وان شاء الله مع الايام  برضه الملاحظه الوحيده نبهو العامل الي يمدّ بطاقة التقيم ما يكون نشبه بالمره خلاص مدلي البطاقه مو ضروري التقييم كلاً ع مزاجع
</t>
  </si>
  <si>
    <r>
      <rPr>
        <rFont val="Calibri"/>
        <b/>
        <color rgb="FF434343"/>
        <sz val="10.0"/>
      </rPr>
      <t>يوم الثلاثاء الساعة 11:00 م جيت المحطة وجهاز الهواء والماء عطلان كلمت العمال وقالو كلم المدير والمدير يصحونه نايم ويعصب ويقفل الباب وكان اسلوبه سيئ اتمنى محاسبته -</t>
    </r>
    <r>
      <rPr>
        <rFont val="Calibri"/>
        <b/>
        <color rgb="FF434343"/>
        <sz val="10.0"/>
      </rPr>
      <t xml:space="preserve">تم التواصل </t>
    </r>
  </si>
  <si>
    <t xml:space="preserve"> التواصل مع مدير المحطة وتم الايضاح بان جهاز الهواء والماء يعمل ولكن العميل لايعرف طريقة  استخدام الجهاز </t>
  </si>
  <si>
    <t>يرغب بالتواصل مع المشتريات</t>
  </si>
  <si>
    <t xml:space="preserve">تمت افادته بارسال البروفايل على الايميل وسيتم تحويله للمسؤول </t>
  </si>
  <si>
    <t>معن</t>
  </si>
  <si>
    <t xml:space="preserve">بترو اب معي الqr على الجوال عصب وطلع صوته علي انا بعبي بنزين وبمشي كليوم نفس المشكلة  اواجهها  هي اقرب محطة لبيتي والعمال مو مدربين واضح طيب لا تشتركو بتطبيقات وما تدربوا عمالكم  - نيسان صني ( ر ر ص - 1261)  ابيض -  المسار الداخي - 4:50م </t>
  </si>
  <si>
    <t xml:space="preserve">استفسار عن رقم مطعم في المحطة </t>
  </si>
  <si>
    <t>تمت افادته باخذه من قوقل ماب</t>
  </si>
  <si>
    <t>مشعل</t>
  </si>
  <si>
    <t>يوم الاربعاء 11/3/226 الساعه 12:29 عبيت بنزين ب30 وجات مرفوضة وسحب ثاني وقبلت واعامل رفض يرجعلي ال30 واسلوبه ماكان كويس -تمت افادته باخذ ايصال والتواصل مع البنك</t>
  </si>
  <si>
    <t>تمت افادته باخذ ايصال والتواصل مع البنك وافاد سيتم المرور ولم يعاود الاتصال مرة اخرة</t>
  </si>
  <si>
    <t>عندكم خدمة الطريق</t>
  </si>
  <si>
    <t xml:space="preserve">تمت افادته لا حاليا </t>
  </si>
  <si>
    <t>حسن سعيد الغاامدي</t>
  </si>
  <si>
    <t xml:space="preserve">شبيب تركي السبيعي
</t>
  </si>
  <si>
    <t xml:space="preserve">البراق </t>
  </si>
  <si>
    <t>يسعدني عرض محطة وقود مملوكة لي للتأجير والتشغيل من قبلكم. مواصفات المحطة:
• المساحة: 9,613 م² • 20 فتحة محل • بنزين وديزل • 3 خزانات وقود، سعة كل خزان 80,000 لتر
• 7 غرف متعددة الاستخدام  • مسجد رجال ومسجد نساء
• المبنى على العظم وجاهز للتشطيب حسب متطلباتكم
الموقع مناسب لتشغيل محطة متكاملة وقابل للتطوير وفق معايير شركتكم.
يسعدني تزويدكم بالموقع وكافة التفاصيل، وترتيب زيارة ميدانية في الوقت المناسب لكم.</t>
  </si>
  <si>
    <t>8000م ارض يوجد رخصة-المالك</t>
  </si>
  <si>
    <t>ابو صالح</t>
  </si>
  <si>
    <t>عرض محطة</t>
  </si>
  <si>
    <t>محطة قائمة حاليا لساسكو عقدها متبقي عليها 3 شهور مساحتها 5000 م ابغى ااجرها على درب - المالك</t>
  </si>
  <si>
    <t>فواز العوفي</t>
  </si>
  <si>
    <t xml:space="preserve">10.000 م -قائمة - وكيل </t>
  </si>
  <si>
    <t xml:space="preserve">لجين </t>
  </si>
  <si>
    <t>‏السلام عليكم ورحمة الله وبركاته،
‏أتقدم إليكم بهذا الخطاب بصفتي خريجة دبلوم في تخصص إدارة سلاسل الإمداد والعمليات اللوجستية، وأرغب في الاستفسار عن مدى توفر فرص تدريب ضمن برنامج تمهير في المجال اللوجستي لدى شركة درب.‏شاكرة ومقدّرة لكم وقتكم واهتمامكم، وآمل التكرم بإفادتي بما يتوفر لديكم من فرص مناسبة</t>
  </si>
  <si>
    <t>تمت افادتها بالتقديم على الموقع الالكتروني</t>
  </si>
  <si>
    <t>2026-04-08 07:47:42 PM UTC+03:00 - طلب التواصل في وقت اخر - لم يتم الرد</t>
  </si>
  <si>
    <t>تمت محاولة التواصل ولم يتم الرد</t>
  </si>
  <si>
    <t>عبدالله مبارك الغامدي</t>
  </si>
  <si>
    <t>استفسار عن العروض</t>
  </si>
  <si>
    <t xml:space="preserve">نبي محطة في ولي العهد رقم 5 - 6  - 8  - العكيشة  بجانب السعودي الالماني مافي الا محطة وحدة وصغيره </t>
  </si>
  <si>
    <t>مؤيد</t>
  </si>
  <si>
    <t xml:space="preserve">استفسار عن رقم التموينات </t>
  </si>
  <si>
    <t>يوم الجمعة 9/1/2026 الساعة 10:00 مساء طلبت تعبئة بنزين بمبلغ 40 وحسابي كان في الطرمبة 40.10 وبدفع كاش ويقولي العامل حسابك 41 واخذ مني ريال لمن واجهته اعطاني نص وبعدها اخذت اسمه عالمين وفهمته مو من حقه ياخذ اي زياده ورجعلي ربع ولمن ابتلش قام اعطاني الريال ونافخ الموضوع مو موضوع فلوس بس نص وربع نهاية اليوم يطلع مبلغ وكمان ملاحظة فيهم بطئى شديد اذا وقفت يقعد ع التيك توك ولا ع جواله ويالله يقوم باردينن جدا انا جاركم وابديت هذي الملاحظات ( تم التواصل والاعتذار للعميل وشكرنا على الخدمة)</t>
  </si>
  <si>
    <t>تم التواصل والاعتذار للعميل واقترح تخصيص لاين للباصات لانها تضيق على السيارات الصغيره +تم إبلاغ مدير المحطة ومدير المنطقة بضرورة التشديد على العمالة فيما يخص أي زيادات غير مستحقة، والتأكيد على إعطاء كل ذي حق حقه، مع منع استخدام الجوال داخل المحطة منعًا باتًا.</t>
  </si>
  <si>
    <t>سامي الشريف</t>
  </si>
  <si>
    <t xml:space="preserve">امتنع العمال عن بيع البزنين في يوم الثلاثاء ٨ أبريل ٢٠٢٦ الساعة ٢.٥٠ ظهراً بسبب أنه وقت غداء لهم و قاموا بتعبئة لسيارة أخرى بحجة أنها شركة
تم التحرير في الأربعاء، 8 أبريل 2026 في 02:44 م
</t>
  </si>
  <si>
    <t>تم مراجعة الكامرا ولم يكن هنالك اي تقاعس عن التعبئه  (مرفق فديوبقروب الشكاوى )</t>
  </si>
  <si>
    <t>فارس الشريدة</t>
  </si>
  <si>
    <t>تبي بنشري يجيها تم ابلاغها بالتواصل مع الشريك</t>
  </si>
  <si>
    <t>مجمع تجاري موقع صراف - بنك الراجحي 0500556566</t>
  </si>
  <si>
    <t>abu azam</t>
  </si>
  <si>
    <t xml:space="preserve">مكالمة صوتية لم يتم الرد </t>
  </si>
  <si>
    <t xml:space="preserve">لايتم قبول بطاقات الدفع فيزا ....فقط مدى
الثلاثاء، 7 أبريل 2026 في 11:36 م
</t>
  </si>
  <si>
    <t xml:space="preserve">موجود فيزا وكاش ان </t>
  </si>
  <si>
    <t xml:space="preserve">ناجد </t>
  </si>
  <si>
    <r>
      <rPr>
        <rFont val="Calibri"/>
        <b/>
        <color rgb="FF000000"/>
        <sz val="9.0"/>
      </rPr>
      <t>عبيت بنزين وكالعادة حاسبت ومشيت مسافة لين طريق العثمان لاحظت ناس تاشر لي وقفت حصلت التانكي مفتوح رجعت للمحطة رحت للعامل قلت له ليه ما تقفل التانكي طلع لا يسولف عربي ولا انقليزي جديد جايبينه يتدرب علينا ولا كيف؟ اقوله ليه ما قفلت التانكي مو فاهمني وريته الصوره انه مو مقفل التانكي مو فاهمني وترني شفت العمال الثانين مشغولين قلت ما اشغلهم واخذت رقمكم واتصلت انا مابي اوصلها للغرفة التجارية لاتجيبون ناس تتعلم علينا  - المبلغ شبكة 147.67         
   الساعه 13:41م  2-9 الاثنين 
                اخضر 91-  المسار اخر قريب من الخدمات         
      هافال - اسود (د ن ك - 7501)  - تم التواصل مع العميل وافاد انه رفع للمحامي وبيجيب خطاب من الشرطه ويراجعو الكاميرات
لكن تجاوبنا ناسبه ويبي تعويض او خصم على التعبئة الي راحت -</t>
    </r>
    <r>
      <rPr>
        <rFont val="Calibri"/>
        <b/>
        <color rgb="FFFF6D01"/>
        <sz val="9.0"/>
      </rPr>
      <t xml:space="preserve"> تم التواصل مع مدير المحطة وبلغه بالتوجه للمحطة في اي وقت </t>
    </r>
  </si>
  <si>
    <t xml:space="preserve">م التواصل حينها مع العميل من قبل مدير المنطقه وارضائه بكوبون مما نال استحسانه </t>
  </si>
  <si>
    <t>بدر الدين</t>
  </si>
  <si>
    <t>محل - اول فرع - ابو الجدايل للتمويل  يرغب باستاجار مساحة في درب العوالي - تم تزويده برقم أ.تهاني</t>
  </si>
  <si>
    <t xml:space="preserve">علمو عمالكم يفرقون بين الاحمر والأخضر مو طبيعي كل مره نفس الموال اكلمه يعبي احمر ويحط اخضر  ٤ مره تصير  بفروع مختلفه
الأربعاء، 1 أبريل 2026 في 07:34 ص
</t>
  </si>
  <si>
    <t xml:space="preserve">تم ابلاغ مدير المحطة لمتابعة العمال وتكثيف الجهد على تدريبهم عل ان لا تتم التعبئه الا بعد التأكد من العميل من حيث نوع المنتج </t>
  </si>
  <si>
    <t>وليد السهلي</t>
  </si>
  <si>
    <t>محل - اول  فرع</t>
  </si>
  <si>
    <t>وليد احمد</t>
  </si>
  <si>
    <t>استفسار عن رقم البنشر</t>
  </si>
  <si>
    <t xml:space="preserve">اول فرع - مغسلة - الوزيرية في جنوب جدة </t>
  </si>
  <si>
    <t>سعد الحارثي</t>
  </si>
  <si>
    <t xml:space="preserve">محطه سيئه جدا و يا ليت تلتفتون على اخلاق العمال كل ما جيت اعبي بنزين هرجوني كأني ذابحً احد من اهله
الأربعاء، 1 أبريل 2026 في 12:43 م
</t>
  </si>
  <si>
    <t xml:space="preserve">تم ابلاغ مدير المحطة ومدير المنطقة لزباده تكثيف جهود التدريب في حسن استقبال العميل وتقديم خدمه راقيه </t>
  </si>
  <si>
    <t>ابوخالد</t>
  </si>
  <si>
    <t xml:space="preserve">عادل </t>
  </si>
  <si>
    <t>Noor</t>
  </si>
  <si>
    <r>
      <rPr>
        <rFont val="Calibri"/>
        <b/>
        <color rgb="FF000000"/>
        <sz val="9.0"/>
      </rPr>
      <t xml:space="preserve">اقتراح نحتاج الى اقامة محطة بترول
بنزين طريق غير المسلمين ما بين ملكان والحسبنيه بمكة
في حي محطة شاكر سابقاً
لان لا يوجد خدمات بتروليه في هذه المنطقه  </t>
    </r>
    <r>
      <rPr>
        <rFont val="Calibri"/>
        <b/>
        <color rgb="FF1155CC"/>
        <sz val="9.0"/>
        <u/>
      </rPr>
      <t>https://maps.app.goo.gl/YGSHCe8ofHTux1Sr6?g_st=iw</t>
    </r>
    <r>
      <rPr>
        <rFont val="Calibri"/>
        <b/>
        <color rgb="FF000000"/>
        <sz val="9.0"/>
      </rPr>
      <t xml:space="preserve">  - هذه المحطه مكسره ومقفلة
ممكن تختارون اي مكان على الطريق</t>
    </r>
  </si>
  <si>
    <t xml:space="preserve">        الحمام مرررررره مقرف والنظافة صفر .. والشطافات مرميه والقمايم بالارض وع المغسلة .. وواضح ماتنظف من ايام ... بصراحة شي مخجل ومقرف لبلد مسلم وناس مسلمه - 21:53:45 Sunday, January 11, 2026 </t>
  </si>
  <si>
    <t>عمال المحطة كانوا يعبون للناس وقت التفريغ مااشتكيت الدفاع المدني قلت اعلمكم اول   - الخرج الهدا -  وفت الاتصال : 2026-03-11 04:20:36 PM UTC+03:00 - تم الاعتذار وشكرنا على التنبيه</t>
  </si>
  <si>
    <t xml:space="preserve">تم ابلاغ مدير المنطقة </t>
  </si>
  <si>
    <t>عبدالرحمن زهير</t>
  </si>
  <si>
    <t xml:space="preserve">عماله ترفع الضغط اكثر من مره اجيهم ويعبي بمبلغ اكثر من اللي اقوله عليه
الخميس، 2 أبريل 2026 في 08:54 ص
</t>
  </si>
  <si>
    <t xml:space="preserve">تم ابلاغ مدير المحطة للمتابعة وتديب العمال على سؤال العميل قبل التعبئه </t>
  </si>
  <si>
    <t>سمير</t>
  </si>
  <si>
    <t>الحمامات معفنننهه ومافيها صابون 💔💔- 01:15:49 Monday, January 12, 2026</t>
  </si>
  <si>
    <t>خالد فقيهي</t>
  </si>
  <si>
    <t xml:space="preserve">تم صيانة جهاز الصابون </t>
  </si>
  <si>
    <t xml:space="preserve">العماله سيئه التنظيم سيئ
الجمعة، 3 أبريل 2026 في 01:18 م
</t>
  </si>
  <si>
    <t>2026-03-11 11:40:23 PM UTC+03:00 - تمت محاولة التواصل ولم يتم الرد</t>
  </si>
  <si>
    <t>عايش رديد الفضلي</t>
  </si>
  <si>
    <t xml:space="preserve">
نود إفادتكم بتوفر مجموعة محطات وقود معروضة للبيع في مواقع مميزة داخل مدينتي جدة ومكة المكرمة، ونود عرضها على شركتكم الموقرة في حال وجود رغبة بالاطلاع أو الدخول في مفاوضات.
</t>
  </si>
  <si>
    <t>سيف المقبل الخلف</t>
  </si>
  <si>
    <t>عزام</t>
  </si>
  <si>
    <t xml:space="preserve">مطار الباحة ديزال 6000 لتر شهري </t>
  </si>
  <si>
    <t xml:space="preserve">حنان القرني </t>
  </si>
  <si>
    <t>الدمام</t>
  </si>
  <si>
    <t>مافي مويه و قاعد في الحمام ٢٠ دقيقه و مافي مويه و ايضا منديل-  01:55:11 Monday, January 12, 2026</t>
  </si>
  <si>
    <t xml:space="preserve"> شركة مستقبل الأصول للعقارات.
نود بعرض فرصة استثمارية لافتتاح محطة وقود على أرض تقع في حي سكني واعد بمدينة الدمام (حي العروبة)، حيث إن الأرض تبلغ مساحتها 2862.58 م² وحاصلة على رخصة محطة وقود وجاهزة للاستثمار.
يتميز الموقع بكثافة سكانية جيدة حيث يضم أكثر من 3000 وحدة سكنية مع توسع على مساحات هائلة وقربه من الطرق الرئيسية، مما يجعله موقعًا مناسبًا لتشغيل محطة وقود وخدماتها المساندة.
يسعدنا تزويدكم بكافة التفاصيل المتعلقة بالموقع والمساحة في حال اهتمامكم بدراسة الفرصة.
</t>
  </si>
  <si>
    <t xml:space="preserve">تم التنويه على متابعة الخزان والطلب </t>
  </si>
  <si>
    <t>استفسار  عن خدمات الشركاء</t>
  </si>
  <si>
    <t>F Al ENIZI</t>
  </si>
  <si>
    <t>الحمامات غير نظيفه مع انها جديده والعمال في كل مكان اتمنى يتم الحرص على هذي النقطه - 22:01:14 Monday, March 9, 2026</t>
  </si>
  <si>
    <t xml:space="preserve">تم التنويه واخطار مدير المحطة بضرورة المتابعه </t>
  </si>
  <si>
    <t>نفيسه الجبران</t>
  </si>
  <si>
    <t xml:space="preserve">الحمام يحتاج تنظيف ومواد تنظيف كويسه وغسيل يدين - 02:49:06 Monday, January 12, 2026 </t>
  </si>
  <si>
    <t xml:space="preserve">تم توفير الصابون على جميع المحطات ونقترح توفير عاملة نظافة </t>
  </si>
  <si>
    <t xml:space="preserve">بسام </t>
  </si>
  <si>
    <t>حسام شباب الزهراني</t>
  </si>
  <si>
    <t>محل - اول فرع - 0530243007</t>
  </si>
  <si>
    <t xml:space="preserve">الى الان ما استلمت المحل وخالد الوائلي ما يرد ويماطل ابي حل ودي وابي اتواصل مع صاحب قرار لان مو منطق شكره بالهكبر يسوون غلط ساذج زي كذا ونا ابي يتصعد وتتم متابعتها وتوصل للمشرفين والمسؤولين عليهم </t>
  </si>
  <si>
    <t xml:space="preserve">تم التواصل معاه من قبل فواز وسيتم حل الموضوع في مرحلة التفاوض </t>
  </si>
  <si>
    <t>Amir</t>
  </si>
  <si>
    <t>دورة المياه في المسجد غير نظيفة والرائحة غير جيدة ولا يوجد مناديل والارضيات مبللة - 23:07:29 Monday, March 9, 2026</t>
  </si>
  <si>
    <t xml:space="preserve">تم تديرب العامل وتم اخطار مدير المحطة وتم التحريص على متابعة المعطرات </t>
  </si>
  <si>
    <t>Arwa</t>
  </si>
  <si>
    <t>الحمامات مو نظيفه ومافيها مويه تجربه سيئه لشخص جاي من سفر - 17:47:31 Sunday, January 11, 2026</t>
  </si>
  <si>
    <t>صيانة المضخة</t>
  </si>
  <si>
    <t xml:space="preserve">بترو اب- النوريه - التيسير  فلسطين - الفلاح ليه عنده </t>
  </si>
  <si>
    <t>As.j.d Dera</t>
  </si>
  <si>
    <t>تمت افادته بعد توفره</t>
  </si>
  <si>
    <t>الثلاثاء، 10 فبراير 2026 في 06:50 ص تجمع سرابيت ومضايقات للعوايل ومزاحمة بالسيارات حتى بدون سبب
لابد وضع دورية للتنظيم ومنع هذا التشوه البصري</t>
  </si>
  <si>
    <t xml:space="preserve">م ابلاغ مدير المنطقة ومدير المحطة لابلاغ الدوريات فورا عند مجيئ المفحطين للمحطة ومتابعة الشكوى بقسم الشرطة مع معقب المنطقة </t>
  </si>
  <si>
    <t>Mohamed</t>
  </si>
  <si>
    <t>اياد عبدالواسع سلمان محمد عبدالله</t>
  </si>
  <si>
    <t>الشطاف خربان وسلة المهملات مصدي وضح الماء ضعيف وشكرا</t>
  </si>
  <si>
    <t>طلال عبدالله الزهراني</t>
  </si>
  <si>
    <t>رابغ</t>
  </si>
  <si>
    <t>سلام عليكم ورحمة الله وبركاته
انا معجب في محطات شركة الدرب من تصميمها و الخدمات بس اكرمكم الله حمامات غير نظيفة
كمان حنفيه المويه تبع الوضوء لا يوجد خربانه لها فترة طويلة المحطة في حي بطحاء قريش امام شرحة نينجا - 23:02:43 Tuesday, March 10, 2026</t>
  </si>
  <si>
    <t xml:space="preserve">تمت الصيانة وتم اخطار مدير المحطة ولا يوجد عامل نظافة في المحطة </t>
  </si>
  <si>
    <t xml:space="preserve">السلام عليكم ورحمة الله وبركاته،
أنا طلال عبدالله الزهراني، مدير مشروع في شركة IronX.
يسرنا أن نطرح على شركتكم الكريمة فرصة استثمارية واعدة ضمن مشروع نوعي يجري تطويره في المنطقة الغربية، وتحديدًا في محافظة رابغ. يتمثل المشروع في إنشاء مدينة صناعية متكاملة بمساحة تقارب 10 ملايين متر مربع (ما يعادل نحو 35 كم²)، مما يجعله من المشاريع الرائدة على مستوى المنطقة.
ونظرًا لعدم توفر أي شبكة خدمات أو محطات وقود حاليًا في نطاق المشروع والمناطق المحيطة، فإن هذه الفرصة تتيح لشركتكم الدخول المبكر والاستفادة من الطلب المتوقع والمتزايد على خدمات الوقود والخدمات المساندة، خصوصًا مع قرب المشروع من طريق عام وحيوي.
نسعى إلى استقطاب شركاء استراتيجيين من شركات محطات الوقود والخدمات ذات العلاقة، للمساهمة في تطوير وتشغيل مرافق خدمية داخل المشروع، بما يحقق عوائد استثمارية مجزية للطرفين.
للمزيد من المعلومات أو لمناقشة تفاصيل الفرصة، يسعدنا تواصلكم معنا .
شاكرين ومقدّرين اهتمامكم، ونتطلع إلى فرصة التعاون معكم.
 </t>
  </si>
  <si>
    <t>عبدالوهاب</t>
  </si>
  <si>
    <t>k,vm</t>
  </si>
  <si>
    <r>
      <rPr>
        <rFont val="Calibri"/>
        <b/>
        <color rgb="FF000000"/>
        <sz val="9.0"/>
      </rPr>
      <t>قلت للعامل يعبي 95 عبى بـ  15 ريال 91 ونا قبل امس مغير المكينة مارح امشي لين تشوفون حل معاه يقولي المدير نايم ولبسه مو نفس باقي العمال مايدل على انه من درب وش شكله هذا  - هوندا - فيراني (ب ب ق - 1577)  وقت الاتصال 10:20ص  2-10 الثلاثاء</t>
    </r>
    <r>
      <rPr>
        <rFont val="Calibri"/>
        <b/>
        <color rgb="FFFF6D01"/>
        <sz val="9.0"/>
      </rPr>
      <t xml:space="preserve">  - تم التواصل مع العميل +تواصلت معه وبياخذ فاتورة ، واضح الرجال يبي تعويض بـ أي طريقة</t>
    </r>
  </si>
  <si>
    <t xml:space="preserve">تم ابلاغ مدير المنطقة لمتابعة اللتزام باللزي الرسمي للعمال في المحطات وبالنسبة للبنزين في اغلب الحالات لا يحدث ضرر للسياره عند تغيير نوعية المنتج </t>
  </si>
  <si>
    <t>اسواء شي في النضافه في الحمامات والمسجد لدرجه الواحد ما يقدر يدخل
الأحد، 11 يناير 2026 في 09:34 م</t>
  </si>
  <si>
    <t>م ابلاغ مسؤول البيئة  ومدير المحطة وجارى العمل على المعالجه</t>
  </si>
  <si>
    <t>عصام المالكي</t>
  </si>
  <si>
    <t xml:space="preserve">العميل غير جاد يرعب بالتواصل مع جميع الاقسام </t>
  </si>
  <si>
    <t>المويه مالحه مره اللي في دورة المياه - 01:35:34 Wednesday, March 11, 2026</t>
  </si>
  <si>
    <t>مياه دورة المياه غير صالحة للشرب وهي تعبئة وايت ويكتب عليه غير صالحة للشرب 
غالبا تستخدم لدورات المياه
تم رفع طلب صيانة للتاكد من سلامة الخزان   تبين لدينا من تقرير الصيانه اأن المحطة تعود ملكيتها إلى المالك</t>
  </si>
  <si>
    <t>رجاء الزهراني</t>
  </si>
  <si>
    <t xml:space="preserve">انا طبعا من رواد هذي المحطه اينما ذهبت فاجأتني قبل قليل المحطه الي قبل المحطه الي امام الكوبري مستوى نظافه دورات النساء متدني وبامكانكم الان الاطلاع عليها وليست كباقي فروع محطتكم ارجو حل هذا الاشكال وايضا مصلى النساء غير موجود فقط سجادات جانب المدخل
الأحد، 11 يناير 2026 في 07:28 م
</t>
  </si>
  <si>
    <t xml:space="preserve">تم اخطار مدير المحطة على متابعة اعمال النظافة 
بخصوص المصلى حسب تصميم المحطة </t>
  </si>
  <si>
    <t>زياد حميد</t>
  </si>
  <si>
    <t>الحمامات جميله ونظيفه جدا لكن مشكله واحده انها جدا قليله على عدد الناس زحمه جدااا</t>
  </si>
  <si>
    <t>Karim Shahin</t>
  </si>
  <si>
    <t xml:space="preserve"> الاستثمار في محطة درب</t>
  </si>
  <si>
    <t>تعيئة في جالون عادي</t>
  </si>
  <si>
    <t>تم افادته بالجالون والتحديث مع مدير المحطة</t>
  </si>
  <si>
    <t xml:space="preserve">احمد هاشم </t>
  </si>
  <si>
    <t>Maha Althomaly</t>
  </si>
  <si>
    <r>
      <rPr>
        <rFont val="Calibri"/>
        <b/>
        <color rgb="FF000000"/>
        <sz val="9.0"/>
      </rPr>
      <t xml:space="preserve">اليوم جيت اعبي والنت تعبان وقبل يومين زملائي في الشركة راحو لام السباع ونفس الشي قالنا المدير ندفع كاش ونمشي والعامل رفض الميه عشان فيها شخط صلحو النت طيب  - وقت الاتصال الساعه 1:00م تاريخ 2-10 </t>
    </r>
    <r>
      <rPr>
        <rFont val="Calibri"/>
        <b/>
        <color rgb="FFFF6D01"/>
        <sz val="9.0"/>
      </rPr>
      <t xml:space="preserve"> - تمت محاولة التواصل لم يتم الرد 2-16</t>
    </r>
  </si>
  <si>
    <t xml:space="preserve">كان يوجد تعليق في اجهزة الشبكة بعدم قبول العمليات حينها </t>
  </si>
  <si>
    <t>دورات المياه للنساء فيها تهريب مويه والمناديل طايحه في كل مكان ومافيه مناديل نظيفة - 03:42:19 Thursday, March 12, 2026</t>
  </si>
  <si>
    <t xml:space="preserve">بدر الجهني </t>
  </si>
  <si>
    <t xml:space="preserve">م 16000 م - قائمة - المالك </t>
  </si>
  <si>
    <t>إسماعيل احمد زائري</t>
  </si>
  <si>
    <t>GHAIDA A</t>
  </si>
  <si>
    <t xml:space="preserve"> توجد لدي قطعة أرض موقع تجاري في جازان مساحتها 9 الف متر مربع ، ارغب في استثمارها او تأجيرها </t>
  </si>
  <si>
    <t>مصلى النساء يحتاج مرايا مهمه جدا جدا ججججدددداااا - 20:21:09 Sunday, March 8, 2026</t>
  </si>
  <si>
    <t xml:space="preserve">09/04/2026 09:25
الحاله مكلف </t>
  </si>
  <si>
    <t xml:space="preserve">شركة ركاز النمو للخدمات العقاريه - محطات قائمة واراضي باقي لها شهري وتطلع الرخصه </t>
  </si>
  <si>
    <t>اسامة</t>
  </si>
  <si>
    <t xml:space="preserve">مقترح شراكة بطاقة تعبئة بنزين مع بكجات صيانة مرسيدس </t>
  </si>
  <si>
    <t>Motaz Ghalib</t>
  </si>
  <si>
    <t>حمامات النساء ما عليها ساتر 🤔 - 23:41:51 Tuesday, March 10, 2026</t>
  </si>
  <si>
    <t>هادي القحطاني</t>
  </si>
  <si>
    <t>2026-04-09 05:39:22 PM UTC+03:00 - لم يتم الرد</t>
  </si>
  <si>
    <t>لديه محطة قائمة ويرغب اما في تاجيرها او تشغيلها - المالك - تم تزويده برقم أ.سلمان</t>
  </si>
  <si>
    <t xml:space="preserve">تخصص رياضيات ابي تدريب تعاوني </t>
  </si>
  <si>
    <t>احمد الثبيتي</t>
  </si>
  <si>
    <t>Samar</t>
  </si>
  <si>
    <t xml:space="preserve">8000م - مالها رخص - وكيل </t>
  </si>
  <si>
    <t xml:space="preserve">استفسار عن بنزين 98 </t>
  </si>
  <si>
    <t>الله يعطيكن العافية الحمامات نظيفة جدا
سجاد مسجد النساء يحتاج للتنظيف - 23:34:07 Monday, March 9, 2026</t>
  </si>
  <si>
    <t>عبدالقادر مصعدي</t>
  </si>
  <si>
    <t xml:space="preserve">تم اخطار مدير المحطة وتم توضيح الملاحظة وتم الشكر على اداء النظافة </t>
  </si>
  <si>
    <t xml:space="preserve">بقاله - اول فرع في جبرة </t>
  </si>
  <si>
    <t>Nouf</t>
  </si>
  <si>
    <r>
      <rPr>
        <rFont val="Calibri"/>
        <b/>
        <color rgb="FF434343"/>
        <sz val="10.0"/>
      </rPr>
      <t xml:space="preserve">الحمامات وصخانننننه جدًا ومليان ذباب وريحة سيئة مافيه </t>
    </r>
    <r>
      <rPr>
        <rFont val="Calibri"/>
        <b/>
        <color rgb="FFFF0000"/>
        <sz val="10.0"/>
      </rPr>
      <t xml:space="preserve">صابون </t>
    </r>
    <r>
      <rPr>
        <rFont val="Calibri"/>
        <b/>
        <color rgb="FF434343"/>
        <sz val="10.0"/>
      </rPr>
      <t>ولا مناديل - 13:16:36 Thursday, April 9, 2026</t>
    </r>
  </si>
  <si>
    <t xml:space="preserve">تم التاكد من مخزون الصابون وتوفره في المحطة ويصعب على العامل اعادة التعبئة الفوريه في نفس الوقت لتواجد النساء داخل دورات المياه
ونقترح توفير عاملة نظافة 
المناديل متوقفه من الشركة 
تم التاكد من الستائر الهوائية و مراوح الشفط داخل دورة المياه و المعطرات </t>
  </si>
  <si>
    <t>موسى</t>
  </si>
  <si>
    <t>فايز المطيري</t>
  </si>
  <si>
    <t>بارق</t>
  </si>
  <si>
    <t>3000الى 4000م-يوجد رخصة - المالك</t>
  </si>
  <si>
    <t>محل - فرنشايز الزيت النقي</t>
  </si>
  <si>
    <t xml:space="preserve"> ابو محمد</t>
  </si>
  <si>
    <t>ارجو الاهتمام بنظافه الحمامات ووضع مناديل والاهتمام برائحته - 22:03:43 Friday, April 10, 2026</t>
  </si>
  <si>
    <t xml:space="preserve">
تم تنويه مدير المحطة بذلك وتم التاكد من المراوح و وسائل الشفط و التهويه و المعطرات 
المناديل متوقفه من الشرك</t>
  </si>
  <si>
    <t>عبدالله احمد</t>
  </si>
  <si>
    <t>ابو بكر قاسم</t>
  </si>
  <si>
    <t xml:space="preserve">محاولة سرقتى والحمد لله كنت منتبه لهم - 06:16:12 Wednesday, April 8, 2026- العامل حط اللي في التانكي وكان ظاهر في العداد 5 ريال من اول وراح لسيارة ثانية وتاخر ونا وراي مدارس ودقيت بوري وجا وقال خلاص قلت له انت ما عبيت العداد من اول 5 قال الا لمن عصبت وشافني كذا قام قال لا ما عبيت وغير التأخير -   ( ر ل ب - 3846) ابيض بايك دي 50  - وتم التواصل مع العميل من قبل مدير المحطة  والاعتذار وكسب رضاه وتفهم ذالك 
</t>
  </si>
  <si>
    <t>تمت المعاينة والتحقق وتبين ان العامل أخطأ في عدم ادخال قيمة التعبئة الصحيحة ومن ثم تمت التعبئة للعميل بقيمة ٥٠ ريال 
وتم التواصل مع العميل والاعتذار وكسب رضاه وتفهم ذالك 
وتم التأكيد على عدم تكرار ذالك مع العملاء في المحطة 👍</t>
  </si>
  <si>
    <t xml:space="preserve">طلبت من العامل يعبي 30 قال خلاص عبيت وهو ما عبى قلت له كم ؟ قال عبيت 20 قلت انا قلت 30 صفر العداد وعبى 10 قلت له انت ما عبيت ال 20 قال بنتاكد من السستم تعال الليل, رحت لهم وقالو ما نقدر روح مكتب الادارة في مكة قلت بعيد بتصل عليكم وتاكدو لي هل صدق عبى ولا ؟ ٢٠٢٦/٣/١٣
قبل المغرب - كامري ٢٠٠٨ بيضاء( ح ا ع- ٨٦٤٣) - تم التواصل مع العميل والتوضيح بانه تمت التعبئة وشكرنا على التجاوب لكنه علق في قوقل ماب ومو مقتنع انه تمت التعبئة رغم افادته بانه بامكانه التوجه للمحطة ومراجعة الكاميرات للتاكد </t>
  </si>
  <si>
    <t>تم التأكد من التعبئه وظهر ان التعبئة تمت</t>
  </si>
  <si>
    <t>كل ما جيت اعبي يقول مافي الا نصف القيمة ولا يوجد عامل الا واحد
كيف يقطي واحد عامل في المحطه - ed 12:00:40 Thursday, April 9, 2026</t>
  </si>
  <si>
    <t xml:space="preserve">المحطة مبيعاتها ضعيفة وعامل واحد يكفى للفترة المسائيه </t>
  </si>
  <si>
    <t>محمد يوسف</t>
  </si>
  <si>
    <t xml:space="preserve">مؤسسة الوسائط المتعددة </t>
  </si>
  <si>
    <t xml:space="preserve">عبدالله  </t>
  </si>
  <si>
    <t>الماء المستخدم ابار مالحه تعدم البلاط والسباكه وتشوه المنظر لا يوجد مرايات ولا فاين - 00:37:08 Thursday, April 9, 2026</t>
  </si>
  <si>
    <t>تم تركيب المرايه الفني المنفذ
:Yasser Sultan
تاريخ الإنجاز:01 مارس 2026 - 22:15
المناديل متوقفه من الشركه في دورات المياه
هي مياه غير صالحة للشرب ومستخرجه من الارض  لغرض الغسيل و الوضوء وسقاية المسطحات الخضراء 
 موقع المحطة امام البحر و توجد رطوبه عاليه تتاكل بعض المعادن من الخارج  ويتم تغيرها</t>
  </si>
  <si>
    <t>turky Abdallah</t>
  </si>
  <si>
    <t xml:space="preserve">واقفين سرا فوق ٥ سيارات وجا واحد عدا من الكل وجا من ورى وعبى بنزين ولا اعطانا اي اعتبار وبكل بساطة العامل عباله بدل مايرجعه مع انه شافه - 
Tuesday, February 10, 2026 at 03:37 PM
</t>
  </si>
  <si>
    <t xml:space="preserve">تم ابلاغ مدير المحطةة لترتيب حركة السير في المحطة </t>
  </si>
  <si>
    <t>علي شيبان</t>
  </si>
  <si>
    <t>شراكة واقي  الحديثه للمقاولات</t>
  </si>
  <si>
    <t>سيارة اب</t>
  </si>
  <si>
    <t>اليه التوظيف</t>
  </si>
  <si>
    <t>محمد اللغبي</t>
  </si>
  <si>
    <t>ماجد احمد</t>
  </si>
  <si>
    <t>رائد عبدالله</t>
  </si>
  <si>
    <t>عندي ملاحظة على السوبر ماركت اغلب المنتجات من جبل علي والاجبان بانواعها على وشك الانتهاء والله اعلم انها كانت مخزنة بشكل سيئ حتى وتاريخ الانتهاء بقي عليه كم يوم الا ان العفن طالع ياناس خافوا الله في المواد الغذائية زيوت الطبخ منتجات جبل علي زيت دوار الشمس لونه اصفررر بشدة والكود برضو جبل علي الله العالم باقي المعلبات ايش فيها - Edited on Wednesday, February 11, 2026 at 05:32 AM</t>
  </si>
  <si>
    <t>السلام عليكم ورحمه الله وبركاته
الى من يهمه الامر
ارجو من يهمه الامر بتركيب سواتر او حواجز عند مسجد النساء ودورات مياة النساء لان المكان مكشوف لرايح والجاي ودمتم - 19:49:51 Friday, April 10, 2026</t>
  </si>
  <si>
    <t>اضواء المبدعين - شرائح سيارة اب والفواتير الضريبية</t>
  </si>
  <si>
    <t>صفوان</t>
  </si>
  <si>
    <t>رائد العمري</t>
  </si>
  <si>
    <t>يجب تركيب حواجز او ساتر عند مصلى النساء ضروري جدا وشكرا لكم - 19:48:08 Friday, April 10, 2026</t>
  </si>
  <si>
    <t xml:space="preserve">صراف الي في محطة درب طريق اللمدينه </t>
  </si>
  <si>
    <t xml:space="preserve">يرغب في استاجار محل - اول فرع </t>
  </si>
  <si>
    <t>هل عندكم بنشر في محطة الحمدانية</t>
  </si>
  <si>
    <t>مصطفى مكوام</t>
  </si>
  <si>
    <t>المحطة بعد التحديث اصبحت مرتبة وافضل بكثير
ملاحطتي في حمامات الرجال السيفون خربان بكل الحمامات - 11:55:53 Wednesday, April 8, 2026</t>
  </si>
  <si>
    <t>تم اصلاح جميع اعطال الحماممات -وتنظيفها بعد التنبيه عليهم</t>
  </si>
  <si>
    <t xml:space="preserve"> بتوفر مجموعة محطات وقود معروضة للبيع في مواقع مميزة داخل مدينتي جدة ومكة المكرمة، ونود عرضها على شركتكم الموقرة في حال وجود رغبة بالاطلاع أو الدخول في مفاوضات.
تفاصيل المواقع والمساحات:
أولاً: مدينة جدة
•        شارع الأمير سلطان – مساحة: 2450 م²
•        طريق المدينة – مساحة: 2300 م²
•        طريق الكورنيش – مساحة: 2800 م²
•        طريق المدينة – مساحة: 2500 م²
•        شارع فلسطين – مساحة: 2025 م²
•        المطار القديم (الفيحاء) – مساحة: 1802 م²
•        شارع حائل – مساحة: 1600 م²
•        شارع الأندلس – مساحة: 6486 م²
ثانياً: مدينة مكة المكرمة
•        شارع التونسي – مساحة: 2832 م²
جميع المواقع تقع على شوارع حيوية وتتمتع بميزات تشغيلية واستثمارية عالية.
في حال اهتمامكم، يسعدنا تزويدكم بمزيد من التفاصيل، أو ترتيب اجتماع لبحث العرض بشكل موسّع.</t>
  </si>
  <si>
    <t xml:space="preserve"> </t>
  </si>
  <si>
    <r>
      <rPr>
        <rFont val="Calibri"/>
        <b/>
        <color theme="1"/>
        <sz val="9.0"/>
      </rPr>
      <t>يوم الاثنين الساعه 1:55 تقريبا طلبت بنزين احمر بمبلغ50 وشفت العداد وقف ع 50 والعامل سحب مني 79 واعطاني فاتورة بمبلغ 79 ونوع المنتج اخضر وابغى اتاكد العامل سرقني 29 ولا عبى فيها بنزين والفاتورة انا حاليا بالمحطه اتفاهم مع المدير البنقال</t>
    </r>
    <r>
      <rPr>
        <rFont val="Calibri"/>
        <b/>
        <color rgb="FFFF9900"/>
        <sz val="9.0"/>
      </rPr>
      <t>ي ( تم التواصل مع العميل ورضي عن الاجراء وبيمر المحطة ياخخذ المبلغ29</t>
    </r>
  </si>
  <si>
    <t>ابو محمد</t>
  </si>
  <si>
    <t xml:space="preserve">استلم الشكوى الاستاذ عبد الرحمن المقاطي 
وتم التفاهم مع العميل ومراضاته 
وارجاع فارق المبلغ له
واعلامه ان الخطأ حدث من العامل 
وتم توجيه انذار للعامل+تم ابلاغ مدير المحطه وافاد ان مشرف المحطة تفاهم مع العميل واعاد له المبلغ وكان السحب بالخطأ  وقد وتم توجيه انذار للعامل </t>
  </si>
  <si>
    <t>الحمامات مافيها سيفون ولازفبها نظافه والخرطوش حق الغسيل في الارض - 09:06:20 Tuesday, April 7, 2026</t>
  </si>
  <si>
    <t xml:space="preserve"> سعد الطيار</t>
  </si>
  <si>
    <t xml:space="preserve"> السلام عليكم ورحمة الله وبركاته أود عرض أرض للتأجير طويل الأمد صادر عليها تصريح محطة وقود، الموقع في مدينة جدة - حي الرياض. تفاصيل الموقع: • المساحة: ١١٠٠ م² • تقع على شارعين: ٣٢م تجاري و٢٥م يشمل التصريح: • ثلاث مضخات وقود • مغسلة سيارات • بنشر • محل خدمة سيارات • سوبرماركت • دورات مياه (رجال - نساء - ذوي الاحتياجات الخاصة) أرحب بالتواصل لأي استفسار أو لترتيب زيارة للموقع. وتقبلوا تحياتي </t>
  </si>
  <si>
    <t xml:space="preserve">افاد انه بالغلط </t>
  </si>
  <si>
    <t>يوسف محمد</t>
  </si>
  <si>
    <t>Mk046</t>
  </si>
  <si>
    <t xml:space="preserve">رقم فرش واي </t>
  </si>
  <si>
    <t>تمت افادتها بانه غير متوفر</t>
  </si>
  <si>
    <t xml:space="preserve">ارض عليها خصة بناء محطة  - حي الياقوت </t>
  </si>
  <si>
    <t>امير فايز</t>
  </si>
  <si>
    <t xml:space="preserve">ارغب استأجارفي الخدمات المساندة لمحطات درب  - اول فرع </t>
  </si>
  <si>
    <t xml:space="preserve"> الاء</t>
  </si>
  <si>
    <t>علي العبدالله</t>
  </si>
  <si>
    <t>مره وووووصخه وليه كل ماجيتها مافيها مناديل؟ مره مستحيل اشوف مناديل عندكم - 14:12:50 Thursday, April 9, 2026</t>
  </si>
  <si>
    <t xml:space="preserve">لمناديل متوقفه من الشركة في دورات المياه 
تم اخطار مدير المحطة بالمتابعه </t>
  </si>
  <si>
    <t>المعادن الحديثه للصناعة</t>
  </si>
  <si>
    <t>تواصل بخصوص متابعة شكوى في MK273</t>
  </si>
  <si>
    <t>تم ارسالها لرغد واماني</t>
  </si>
  <si>
    <t>صالح بن عتيق</t>
  </si>
  <si>
    <t xml:space="preserve">تدريب تعاوني -  رياضيات </t>
  </si>
  <si>
    <t xml:space="preserve">محافظة الدلم - أرض عليها رخصة بنام محطة - 3500م - مسوق على تواصل مباشر مع المالك </t>
  </si>
  <si>
    <t xml:space="preserve">هل يوجد توصيل وقود </t>
  </si>
  <si>
    <t xml:space="preserve">فارس </t>
  </si>
  <si>
    <t>500556566 - بنك الراجحي استفسار على عدم التواصل</t>
  </si>
  <si>
    <t>تم التواصل اكثر</t>
  </si>
  <si>
    <t xml:space="preserve">وين موجود 98 في مكة </t>
  </si>
  <si>
    <t>تمت افادته بانها فقط في النسيم جدة</t>
  </si>
  <si>
    <t xml:space="preserve">10260م - عليها رخصة البلديه - للتواصل مع مسؤول البلدية عبدالله مشهور 
500939873 - شهر 11 - 11 بينتهي </t>
  </si>
  <si>
    <t>وين موجود 98 في  الطائف</t>
  </si>
  <si>
    <t xml:space="preserve">افاد بانه تم التواصل معه عبر الاستقرام </t>
  </si>
  <si>
    <t>احمد علي الشريف</t>
  </si>
  <si>
    <t xml:space="preserve">محل خدمات سيارات 
اول فرع </t>
  </si>
  <si>
    <t>محل مغسلة سيارات ماعنده فروع ولكن بدخل مع شريك عنده فرع</t>
  </si>
  <si>
    <t>حمدي الزهراني</t>
  </si>
  <si>
    <t>استفسار عن خدمات البنشر</t>
  </si>
  <si>
    <t>محطتكم هذي ما عليها رقابه العمال جالسين محد يخدمنا بسرعه هذاك اليوم كنت مستعجل بروح المستشفى مع الاهل وهم خدمتهم سيئة راجعو الكاميرات شراء
عبر:8967;مدى-ابل باي بـSAR 100- لـDarb Al W
- 8/2/26 01:31 - افالون 2016- اللون ابيض- ب ب ح 7538</t>
  </si>
  <si>
    <t xml:space="preserve">تم ابلاغ مدير المحطة ومدير المنطقة لمتابعة سير العمليه التشغيليه في المحطة ومتابعة سرعه الاداء عند العمال </t>
  </si>
  <si>
    <t xml:space="preserve">Ali Abdullah </t>
  </si>
  <si>
    <t>اخلاقه سيئة يجمع فلوس ما يخلي احد يعبي الا لمن الناس تدفع, يصيح ويقول ايوا انا مجنون   دفعت 60 ريال  12:01 م 12/4 هو الي مسك الجهاز العمال متجمعين عند مضخة وحده  عمالكم اول كانو زينين يقولو كلمات طيبه مو نفس هذول همج
تورس بني فورد (د ل أ) - لم يتم الرد</t>
  </si>
  <si>
    <t xml:space="preserve">معكم علي العبدالله شركة المعادن الحديثة للصناعة نتشرف بخدمتكم بتصنيع الهياكل المعدنية بكافة أشكالها </t>
  </si>
  <si>
    <t xml:space="preserve">الرياض  </t>
  </si>
  <si>
    <t>RY073</t>
  </si>
  <si>
    <t xml:space="preserve">استفسار عن رقم خدمات السيارات </t>
  </si>
  <si>
    <t>تمت افادته من قوقل ماب</t>
  </si>
  <si>
    <t xml:space="preserve">عبيت بنزين لمن جيت اسدد رفع اوراقي للشرطة طلب مبلغ اضافي غير عن البنزين 
1500 عشان يتنازل 
اسم الموظف محمد التميمي - تم التواصل عدة مرات مع العميل وتتم تصعيدها  في انتظار اجراء التشغيل </t>
  </si>
  <si>
    <t xml:space="preserve">صعدنا لمشكلة للادارة وتواصل مع أ.سلمان وفهمه الاشكالية ونفيدك ان الشخص اللي اخذ منك المبلغ هو متعهد تابع لمكتب تحصيل وهذي اتعابه. </t>
  </si>
  <si>
    <t>سيار الخليفة</t>
  </si>
  <si>
    <t>درايف ثرو ومحل - اول فرع - يبي التواصل واتس اب</t>
  </si>
  <si>
    <t xml:space="preserve">الية التاجير </t>
  </si>
  <si>
    <t>تمت افادته وراح يتواصل اخوه في وقت اخر لرفع الطلب</t>
  </si>
  <si>
    <t>عبدالملك عبدالرحمن الجلال</t>
  </si>
  <si>
    <t>شقراء</t>
  </si>
  <si>
    <t xml:space="preserve">يوجد لدي أرض في محافظة شقراء مناسبة لتكون محطة بنزين في حال الرغبة والإهتمام امل التواصل ومرفق ادناه موقع تقريبي لمكان الارض 
</t>
  </si>
  <si>
    <t xml:space="preserve">الخرج طريق الرياض - درايف قروا - اول فرع له </t>
  </si>
  <si>
    <t>لا يوجد بنزين</t>
  </si>
  <si>
    <t>محمد راشد ال منجم</t>
  </si>
  <si>
    <t>فيصل البرقي</t>
  </si>
  <si>
    <t xml:space="preserve">Messagلسلام عليكم يوجد لدي ارض على طريق الملك بنجران وارغب بإنشاء عليها محطة بنزين وعليها صك وشكرا
</t>
  </si>
  <si>
    <t>2026-04-12 08:54:32 PM UTC+03:00 - لم يتم الرد</t>
  </si>
  <si>
    <t>أرض مالها رخصه المالك 21 الف</t>
  </si>
  <si>
    <t>خلف جابر الشهراني</t>
  </si>
  <si>
    <t>حسن محمد</t>
  </si>
  <si>
    <t>بيشه</t>
  </si>
  <si>
    <t>AS225</t>
  </si>
  <si>
    <r>
      <rPr>
        <rFont val="Calibri"/>
        <b/>
        <color rgb="FF000000"/>
        <sz val="9.0"/>
      </rPr>
      <t xml:space="preserve">قلت للعامل يعبي 20 هو عبى ومشي والمضخه  ووقفت و اللتر ما اكتمل ناديته ان في مشكله قام يصارخ ويعصب وحط الجهاز ثاني ويروح ويوقف دقيت بوري قلت له الجهاز يوقف ما يعبي قام هو وخويه عصبوا علي ويخاصموني طيب اسلوبكم انا ابي انبهكم ان العداد يوقف راجعو محطتكم واسلوب العمال  - مبلغ 20 ريال و 8:33ص - جمس قديمه اسود 2011 - المسار اليمين عشان التانكي - </t>
    </r>
    <r>
      <rPr>
        <rFont val="Calibri"/>
        <b/>
        <color rgb="FFFF6D01"/>
        <sz val="9.0"/>
      </rPr>
      <t>لم يتم الرد 2 -16</t>
    </r>
  </si>
  <si>
    <t>بيشة عسير  20 يوم مافي ديزال ولا بنزين اخضر  محطتكم قوية ولكم اكثر من محطة بتفتح واحنى مبسوطين بيها لكن ان ما توفرون اهم اخدمات هذا استهتار  - تم التواصل مع العميل لارسال الموقع من قوقل ولم يتم الرد</t>
  </si>
  <si>
    <t xml:space="preserve">مشكلة السيارات الامريكية ان خزاناتها تفرغ الهواء مما يؤدي الى اغلاق المسدس عند التعبئة وقد تم تنبيه مدير المحطةلتنبيه العمال لتحسين اسلوبهم وتعاملهم مع العميل وتحسين الخدمة </t>
  </si>
  <si>
    <t xml:space="preserve">افاد التشغيل بان المحطة ليست تحت ادارتهم وهي مرفقة في ملف المشاريع ولاتوجد محطة تشغيل في بيشه بعد / تم تصعيد الشكوى ايميل </t>
  </si>
  <si>
    <t xml:space="preserve"> إبراهيم شميس</t>
  </si>
  <si>
    <t>محتاج تفاصيل عن انظمه الاشتراكات للشركات</t>
  </si>
  <si>
    <t xml:space="preserve">حبيب </t>
  </si>
  <si>
    <t>ناصر الشريف</t>
  </si>
  <si>
    <t xml:space="preserve">محل بقاله - 5 محلات </t>
  </si>
  <si>
    <t xml:space="preserve">استفسار عن البقاله هل لها رقم تواصل </t>
  </si>
  <si>
    <t xml:space="preserve">تمت افادتها بانه غير متوفر في قوقل ماب </t>
  </si>
  <si>
    <t>لديه أرض مطابقة للاشتراطات</t>
  </si>
  <si>
    <t xml:space="preserve">منصور محمد المنتشري </t>
  </si>
  <si>
    <t>شهد</t>
  </si>
  <si>
    <t>محمد الغامدي</t>
  </si>
  <si>
    <t>المسجد واضح متعوب عليه ومشتغلين عليه لكن الحمامات ينقصها اهتمام بالنظافة والصابون على الجدران والارضيات مناديل ، والمسجد مكتوم حرارة يفضل يشتغل تكييف وجزاكم الله خير ع فكرة البرادة - 21:51:08 Monday, January 12, 2026</t>
  </si>
  <si>
    <t xml:space="preserve">أرض استثمارية ذات موقع استراتيجي، مكونة من 4 قطع (قطعتان أماميتان وقطعتان خلفيتان) بإجمالي مساحة 1584.55 م²، ما يوفر خيارات متعددة للتطوير والاستثمار طويل المدى.
مميزات الموقع:
• تقع الأرض على ثلاثة شوارع مما يمنحها سهولة وصول وقيمة مستقبلية مرتفعة
• الحدود:
• جنوباً: شارع رئيسي بعرض 40 م
• شمالاً: شارع بعرض 15 م
• شرقاً: شارع بعرض 15 م
• غرباً: قطعتا أرض فضاء
الواجهات:
• واجهة على الشارع الرئيسي بطول 42.11 م
• واجهة خلفية على الشارع الفرعي بطول 42.44 م
موقع مميز و مخطط مستحدث مزدهر سكنياً يجعلانه خياراً مثالياً للمستثمرين الباحثين عن فرص عقارية ذات نمو مستقبلي وقيمة متزايدة.
</t>
  </si>
  <si>
    <t>Rakan</t>
  </si>
  <si>
    <t xml:space="preserve">شركة درة للعناية بسيارة </t>
  </si>
  <si>
    <t>ضعف في نظافة أرضية دوة المياة وعدم وجود المواد الخاصة بالنظافة من صابون ومناديل - 07:40:50 Tuesday, February 10, 2026</t>
  </si>
  <si>
    <t xml:space="preserve">مشكله داخليه على النظام الجديد في الطلبات 
تم توفير جميع الادوات 
المناديل تم ايقافها من الشركة  </t>
  </si>
  <si>
    <t>نوال</t>
  </si>
  <si>
    <t xml:space="preserve">جزاع عناد منور العنزي </t>
  </si>
  <si>
    <t>العلا</t>
  </si>
  <si>
    <t>سيء جدا ريحه سيئه وزباله في كل مكان والحمام وسخ ولايوجد صابون شي مقرف -  11:48:24 Monday, January 12, 2026</t>
  </si>
  <si>
    <t xml:space="preserve">تم التنويه وتمت زيارة دورة المياه ونقترح توفير عاملة </t>
  </si>
  <si>
    <t>Musab</t>
  </si>
  <si>
    <r>
      <rPr>
        <rFont val="Calibri"/>
        <b/>
        <color rgb="FF434343"/>
        <sz val="10.0"/>
      </rPr>
      <t xml:space="preserve">محطة محروقات قديمة قائمة 
المساحة 4000م  الموقع / طريق حائل-العلا- العام 
رخصة البناء قديمه وغير موجودة ،، ولاكن اسم الصك محطة محروقات </t>
    </r>
    <r>
      <rPr>
        <rFont val="Calibri"/>
        <b/>
        <color rgb="FF1155CC"/>
        <sz val="10.0"/>
        <u/>
      </rPr>
      <t>https://maps.app.goo.gl/BbfUxYisXY4rnjRg9?g_st=iw</t>
    </r>
  </si>
  <si>
    <t xml:space="preserve">Second Man power
Message: I saw you need some workers . Ihave some workers here in Jizan .. they ned job..
</t>
  </si>
  <si>
    <t>الحمامات تحويلها لكراسي عربي حيث ان الافرنجي سيئ جداً ولايوجد اي حمام عربي - 01:48:27 Wednesday, February 11, 2026</t>
  </si>
  <si>
    <t>اقذر دورات مياه لا صابون ولا مناديل - 11:48:24 Monday, January 12, 2026</t>
  </si>
  <si>
    <t>تم صيانة جهاز الصابون 
المناديل متوقفه من الشركة في دورات المياه</t>
  </si>
  <si>
    <t>دانه الغامدي</t>
  </si>
  <si>
    <t>ليست نظيفة ولا تليق بمكان مثل مكة المكرمة ومتهالكة جدا الرجاء الاهتمام - 7:52:57 Wednesday, February 11, 2026</t>
  </si>
  <si>
    <t>تم اخطار مدير المحطة على متابعة النظافة وتم التشيك ورفع اعمال التجديد</t>
  </si>
  <si>
    <t>عمر أحمد أباالخيل</t>
  </si>
  <si>
    <t xml:space="preserve">الساعة ٦ والنصف ١٣ مارس أنا عبيت باجرو اسود ربع بنزين والعامل اخلاق قذرة رفض يعبي بنزين بجحة انه بيفطر ولو فيه قل من نجمة
</t>
  </si>
  <si>
    <t>عرض فرصة استثمارية مم ي — محطة محروقات لإليجار بصك رش • ىع محدث
 فسح بناء نظاىم 
 واجهة المحطة مم ي تزيد عن 100 ز يبعد حواىل 1500 فقط عن مثلث الدرب ر
 مساحة إضافية كب ية خلف المحطة قابلة لالستثمار توافر عدادات كهرباء   موقع واعد وقابل للتطوير  مزايا أخرى متعددة 
به من موقع حيوي</t>
  </si>
  <si>
    <t xml:space="preserve">تم ابلاغ مشرف المحطة للترتيب الافطار بين العمال اثناء اذا المغرب </t>
  </si>
  <si>
    <t xml:space="preserve"> Salem Ismail</t>
  </si>
  <si>
    <t>مضخات المياة قويه جدا لا تساعد في حفظ الماء با العكس تعين على هدر الماء - 13:12:50 Wednesday, February 11, 2026</t>
  </si>
  <si>
    <t xml:space="preserve">يوجد اداوت ترشيد المياه في دوراة المياه و المواضي 
ويوجد عدد كبير من الدورات و المواضى وحمامات الترويش كما يتم سقاية المسطحات الخضراء 
</t>
  </si>
  <si>
    <t xml:space="preserve">مغسلة - اول فرع  0509440999 واتس </t>
  </si>
  <si>
    <t>Abdalaziz Aljuaid</t>
  </si>
  <si>
    <t xml:space="preserve"> اسواء مافي المحطه أسواق الحليس
سواء العماله كن معطيك بلاش من يوم درب عطها الحليس
والسوبر ماركت صارت سيئه جدا الاثنين، 13 أبريل 2026 في 06:00 ص</t>
  </si>
  <si>
    <t>خالد الذيابي</t>
  </si>
  <si>
    <t xml:space="preserve">المحطة جميل ونظيفه وتعامل) الموظفين جميل ولكن في مشكلة الي رائحة الجاري الي عند ماك وغسلة أرجو من الاداره حل المشكلة 
13.3.2026 يوم الجمعة  
</t>
  </si>
  <si>
    <t>اهتمام في تنظيف دورات المياه بعنايه اكثر او عاملين النظافه يهتمو في تنظيف اعمق - 20:45:35 Wednesday, February 11, 2026</t>
  </si>
  <si>
    <t xml:space="preserve">تم تدريب العامل على النظافة  واخطار مدير المحطة </t>
  </si>
  <si>
    <t xml:space="preserve">تم اخذ جولة مع فريق الصيانة وتم التفقد من المواقع المذكوره ولا يوجد رائحة ربما قد كانت مؤقته لطفح مجاري او اسباب اخرى مؤقته </t>
  </si>
  <si>
    <t>B.M BM</t>
  </si>
  <si>
    <t>عبدالله الفيفي</t>
  </si>
  <si>
    <t xml:space="preserve">المحطة جديدة ولكنها اسوء محطة
العمالة بطيئة والخدمة رديئهالاثنين، 12 يناير 2026 في 04:30 م
</t>
  </si>
  <si>
    <t>انتبهو خزاناتها مويه مع الامطار خصوصا الديزل
الأحد، 12 أبريل 2026 في 12:29 م</t>
  </si>
  <si>
    <t xml:space="preserve">تم ابلاغ مدير المحطة لتنبيه العاملين فيها على سرعه الاداء ورفع الكفائه بالعمل </t>
  </si>
  <si>
    <t>منصور</t>
  </si>
  <si>
    <t>الموقع ممناز ، يحتاج عدد اكثر من دورة المياه عربي . - 15:13:04 Sunday, February 8, 2026</t>
  </si>
  <si>
    <t xml:space="preserve">اسماعيل دغريري
</t>
  </si>
  <si>
    <t>JA060</t>
  </si>
  <si>
    <t>اسوء محطه لشركة درب العاملين غير محترمين
السبت، 11 أبريل 2026 في 08:12 ص</t>
  </si>
  <si>
    <t xml:space="preserve">تم ابلاغ مدير المنطقه للمرور الميداني على المحطة وتنبيه العاملين </t>
  </si>
  <si>
    <t xml:space="preserve">عبدالمجيد السليس </t>
  </si>
  <si>
    <t xml:space="preserve">عفيف </t>
  </si>
  <si>
    <t>يوجد عندي  محطة للايجار في محافظة عفيف  ويوجد عندي للبيع ارض مرخصه محطه بنزين  شرق الرياض حي القادسيه عندي المعارض ‬</t>
  </si>
  <si>
    <t>الموقع ممناز ، يحتاج وجود مطعم . - 15:13:04 Sunday, February 8, 2027</t>
  </si>
  <si>
    <t>استفسار عن طريقة الاستفسادة من الكوبون</t>
  </si>
  <si>
    <t>اسلوب عمالة المحطة تخليك تكره توقف و تعبي منها لازم يشوفون حل معهم لاحظت كلهم نفس الاسلوب مو بس واحد او اثنين ما يشوفون احد شي 👎
الجمعة، 10 أبريل 2026 في 06:28 ص</t>
  </si>
  <si>
    <t xml:space="preserve">تم ابلاغ مدير المحطة للعمل على تنبيه العاملين والشد عليهم من حيث حسن التعامل مع العملاء </t>
  </si>
  <si>
    <t>سعود سالم المطيري</t>
  </si>
  <si>
    <t xml:space="preserve">أرض - عليها رخصة - مساحتها 1000م </t>
  </si>
  <si>
    <t>Mohammed Tharwat</t>
  </si>
  <si>
    <t>‏عمر الجهني من الهيئة الملكية ينبع</t>
  </si>
  <si>
    <t>بعد التعني بانزين ٩٨ مخلص
الخميس، 9 أبريل 2026 في 09:56 م</t>
  </si>
  <si>
    <t>المحطة لايوجد بها منتج 98</t>
  </si>
  <si>
    <t>الرقم مغلق</t>
  </si>
  <si>
    <t>‏المكان نظيف بس محتاج إلى نظافة مستمر بالرغم من قلة الحمامات - 21:12:16 Tuesday, March 10, 2026</t>
  </si>
  <si>
    <t>مكالمة صوتية لم يتم الرد</t>
  </si>
  <si>
    <t>فيصل الزايدي</t>
  </si>
  <si>
    <t xml:space="preserve">يقوم عامل النظافة بجولات على جميع المحطة </t>
  </si>
  <si>
    <r>
      <rPr>
        <rFont val="Calibri"/>
        <b/>
        <color rgb="FF000000"/>
        <sz val="9.0"/>
      </rPr>
      <t>جيت بعبي السياره وقفت وطفيتها قالي قدم قلت له انا طفيت السياره  قال انت حمار؟ - رقم المضخة 01A -ص  - 2-12 الخميس 9:31 ص- كحلي فورد - أ م م  - تم التواصل وافادنا برقم زميله 593206192</t>
    </r>
    <r>
      <rPr>
        <rFont val="Calibri"/>
        <b/>
        <color rgb="FFFF6D01"/>
        <sz val="9.0"/>
      </rPr>
      <t xml:space="preserve"> تم التواصل والاعتذار وشكرنا على الخدمة </t>
    </r>
  </si>
  <si>
    <t xml:space="preserve"> ابلاغ مدير المحطة لتدرب عمال المحطة على ان رضا العميل من اولويات العمل كما تم مراجعة الكاميرات حينها والعامل نفى انه تفوه بمثل هذه الكلم</t>
  </si>
  <si>
    <t>طلال محمد</t>
  </si>
  <si>
    <t>محمد المالكي</t>
  </si>
  <si>
    <t>مغسلة - اول فرع</t>
  </si>
  <si>
    <t>الحمامات مهمله من فتره وما شغاله ووسخانه - 05:13:32 Wednesday, March 11, 2026</t>
  </si>
  <si>
    <t>تم اخطار مدير المحطة والتنبيه على ضرورة المتابعه الى انه لا يوجد عامل نظافه في المحطة</t>
  </si>
  <si>
    <t>اشتراك للافراد في شرائح التعبئة</t>
  </si>
  <si>
    <t>محمد الدرب</t>
  </si>
  <si>
    <t xml:space="preserve">تمت افادته بعدم توفرها </t>
  </si>
  <si>
    <t xml:space="preserve">جازان         </t>
  </si>
  <si>
    <t xml:space="preserve">        20 الف متر م - المالك قريبه نأمل التواصل على 
                      0591398200       </t>
  </si>
  <si>
    <t>ابراهيم العتيبي</t>
  </si>
  <si>
    <t xml:space="preserve">700م حائل - مالها رخصة </t>
  </si>
  <si>
    <t>ماروح الشفط الريحه غير مناسبه ريحت الحمام
معفنه مره  - 20:20:17 Thursday, March 12, 2026</t>
  </si>
  <si>
    <t xml:space="preserve">تم صيانة الشفاط وتوفير معطرات للريحه </t>
  </si>
  <si>
    <t>عبدالمحسن</t>
  </si>
  <si>
    <t>شركة شحن استفسار عن طلبية</t>
  </si>
  <si>
    <t>اقترح محطة في حي الخماشية ماعندنا اي محطة بالحي</t>
  </si>
  <si>
    <t>محسن ابراهيم</t>
  </si>
  <si>
    <t>محطة ويرغب في الفرنشايز</t>
  </si>
  <si>
    <t>سلمى</t>
  </si>
  <si>
    <t>MK019</t>
  </si>
  <si>
    <t xml:space="preserve">جيت وقفت عند المحطه  الموجوده بخط جعرانه وكل العمال واقفين عند سياره قبلي ثلاثه عمال دقيت بوري للانتباءه ناظرني واحد من العمال ورجع  على نفس السياره  انتظرت اكثر من 4دقايق وانا احد عملاء محطة درب   عمال بلا فائده للمعلوميه ماهو اول مره </t>
  </si>
  <si>
    <t xml:space="preserve">تم تنبيه مدير المحطة للشد على العمال ومتابعتهم اصناء التعبئه والزام كل عامل بمكانه ومضخته </t>
  </si>
  <si>
    <t>Belal AlSaeedi</t>
  </si>
  <si>
    <t>يحتاج مزيد اهتمام خصوصا مع كثرة مرتاديه جزاكم الله خيرا - 05:16:52 Friday, March 13, 2026</t>
  </si>
  <si>
    <t xml:space="preserve">تم اخطار مدير المحطة وتتم زيارة مدانيه للمواقع </t>
  </si>
  <si>
    <t xml:space="preserve">محطة ممتازه ولكن تفتقر الى المحلات وجهاز نفخ الكفرات لا يعمل الأربعاء، 4 فبراير 2026 في 12:47 م
</t>
  </si>
  <si>
    <t>صيانة الافرنجي</t>
  </si>
  <si>
    <t>فيصل علي</t>
  </si>
  <si>
    <t xml:space="preserve">يوم الثلاثاء الساعة 12:50 ظهرا طلبت يعبي فل والعامل رفض يعبلي وينافخ علي امسكو عاملكم وعبيت اخر شي بنفسي انا يوميا امر ع المحطه وهو يعرفني - فورد ماركيز -رصاصي -درب81 </t>
  </si>
  <si>
    <t>نامل اغلاقها</t>
  </si>
  <si>
    <t>Sarah</t>
  </si>
  <si>
    <t>مستثمر يرغب بزيارة م.سطان بمكتبه</t>
  </si>
  <si>
    <t xml:space="preserve">تم تحويلة الى أ.سلمان وتم التواصل والتنسيق معاه وافاد انه اجتمع معاه الاسبوع السابق </t>
  </si>
  <si>
    <t>captin hath</t>
  </si>
  <si>
    <t>دوراة المياة غير نظيفة - 17:40:06 Friday, March 13, 2026</t>
  </si>
  <si>
    <t xml:space="preserve">في طرمبة عطلانه و زحمة دائما الأربعاء، 4 فبراير 2026 في 07:34 ص
</t>
  </si>
  <si>
    <t xml:space="preserve">تم اخطار مدير المحطة و التنويه على ذالك </t>
  </si>
  <si>
    <t>تمت الصيانة الفني المنفذ
:nabil.saleh4040
تاريخ الإنجاز:11 أبريل 2026 - 08:52</t>
  </si>
  <si>
    <t>عبدالله راجح الشراني</t>
  </si>
  <si>
    <t xml:space="preserve">شركة كيان مؤجرين المحطة لشركة درب و فواتير الكهرب تجي على حساب الرئيس  - حسب وصف العميل </t>
  </si>
  <si>
    <t xml:space="preserve"> فاعل خير</t>
  </si>
  <si>
    <t>عبدالسلام الودعاني</t>
  </si>
  <si>
    <t>تم ارسال ايميل /ومتابعه</t>
  </si>
  <si>
    <t xml:space="preserve">الديرة السعوديه - يرغب في استاجار مساحات </t>
  </si>
  <si>
    <t>ملاحظة : عدم استقبال او استدبار القبلة اثناء قضاء الحاجة .. لاحظت وجود هذه الملاحظة في الحمامات الله يعزكم ..
محطة درب في النوارية مكة المكرمة</t>
  </si>
  <si>
    <t xml:space="preserve"> احمد مهنا </t>
  </si>
  <si>
    <t xml:space="preserve">: السلام عليكم معكم أحمد مهنا من شركة الاستقدام الدولية التابعة لمجموعة أبو سرهد. يسعدنا نقدم لكم خدماتنا في مجال توفير العمالة الماهرة وغير الماهرة لمختلف القطاعات، ومن مختلف الجنسيات (فلبيني، هندي، بنغلاديشي، باكستاني وغيرها) عبر منصة أجير . كما يسعدنا التعاون معكم في شركة درب في جميع المناطق. وفي حال وجود أي استفسار بخصوص العمالة أو العروض أو نظام التعاقد، نحن في خدمتكم في أي وقت. مع خالص التحية والتقدير، أحمد مهنا مبيعات المنطقة الجنوبية 0531182488 a.mahana@irc.sa
</t>
  </si>
  <si>
    <t>محمد علي محمد علي</t>
  </si>
  <si>
    <t xml:space="preserve">ارض خلا بمساحة 6000م - ابن المالك يوجد رخصة </t>
  </si>
  <si>
    <t>ياسر العتيبي</t>
  </si>
  <si>
    <t>هل البقاله توصل</t>
  </si>
  <si>
    <t>فاطمه</t>
  </si>
  <si>
    <t>عمر نريع الشهراني</t>
  </si>
  <si>
    <t>م فيه مناديل ولا صابون المناديل مرميه في كل مكان</t>
  </si>
  <si>
    <t xml:space="preserve">عرض المحطة 2500م - لا يوجد رخصة - المالك </t>
  </si>
  <si>
    <t>تم صيانة اجهزة الصابون 
المناديل متوقفه من الشركة</t>
  </si>
  <si>
    <t>محمد مبارك</t>
  </si>
  <si>
    <t>الاستفسار عن التعبئة في جالون ويرغب بشراء جالون متخصص</t>
  </si>
  <si>
    <t>شكوى ضد عامل بمحطة وقود بسبب سوء المعاملة
أتقدم لسيادتكم بهذه الشكوى بخصوص ما تعرضت له من إساءة وسوء معاملة من أحد عمال محطة الوقود.
حيث إنني حضرت إلى المحطة بغرض تعبئة الوقود بمبلغ رمزي، وفور إبلاغي للعامل بالمبلغ بدأ في إظهار العصبية والتعامل معي بأسلوب غير لائق، وقام بفتح باب الوقود الخاص بالسيارة بعنف وبطريقة مستفزة، مع التقليل من الاحترام في الحديث والتصرف.
هذا التصرف غير مقبول ولا يليق بخدمة العملاء، ويتنافى مع الأنظمة والتعليمات المعمول بها في محطات الوقود، كما أنه سبب لي إزعاجًا وإحراجًا دون أي مبرر - سيارة كوريلا سيلفر موديل 2009 رقم اللوحة 2327 أ ص  ( تم التواصل والعميل راضي)</t>
  </si>
  <si>
    <t xml:space="preserve">شكوى كيديه لم يقم العامل بشيئ مماذكر 
سوى انه قال له افتح الزجاج والعميل رافض ( مرفق فديو )+شكوى كيديه لم تم مراجعه الكاميرا ولم يقم العامل بشيء مما ذكر في الشكوى مرفق فديو </t>
  </si>
  <si>
    <t xml:space="preserve">2026-04-13 06:46:30 PM UTC+03:00- كنت احتاج شي لكن خلاص فادوني </t>
  </si>
  <si>
    <t xml:space="preserve">بندر الفالح
</t>
  </si>
  <si>
    <t>الحمامات وصخه - 21:19:19 Sunday, March 15, 2026</t>
  </si>
  <si>
    <t xml:space="preserve">تم اخطار مدير المحطة والتحريص على متابعة فريق النظافة لضمان </t>
  </si>
  <si>
    <t xml:space="preserve"> أرض- 500 الف الموقع: الرمال قبل امتداد دورات العويضه لها رخصة بناء محطة: صحيح تفاصيل استفسارك: يرجى التواصل اتصال</t>
  </si>
  <si>
    <t>علي كريري</t>
  </si>
  <si>
    <t xml:space="preserve">بلدية جيزان لديه مواقع امانة جازان بلدية المضايع اكثر من موقع </t>
  </si>
  <si>
    <t>استفسار عن رقم المستاجر</t>
  </si>
  <si>
    <t>R</t>
  </si>
  <si>
    <t>MK103</t>
  </si>
  <si>
    <t>اصيل القرني</t>
  </si>
  <si>
    <t>الحمامات جداً متسخه ومقرفه ولا يوجد في عامل وباب الحمام خربان مايقفل والسيفون لايعمل - 21:42:38 Saturday, March 14, 2026</t>
  </si>
  <si>
    <t>شوق محمد الحارثي</t>
  </si>
  <si>
    <t xml:space="preserve">مؤسسة رعاية دائمة للماولات </t>
  </si>
  <si>
    <t xml:space="preserve">تمت افادته بارسال البروفايل عبر الايميل </t>
  </si>
  <si>
    <t xml:space="preserve">يرغبب التعبئة في جالون </t>
  </si>
  <si>
    <t>الحمامات تحتاج اكثر نظافة ومناديل - 22:01:03 Friday, March 13, 2026</t>
  </si>
  <si>
    <t>فيصل الحربي</t>
  </si>
  <si>
    <t xml:space="preserve">م تنويه مدير المحطةبمتابعة المرافق و التاكد من نظافتها 
المناديل موقفه من الشركة </t>
  </si>
  <si>
    <t>السلام عليكم ورحمة الله وبركاتة مساء الخير اتمنى التعاون معاي عندكم عامل كل ما جاء اخوي يعبي بنزين يتجاهلة ويطنشة ايش السبب ما اعرف لازم تنظرون في امرة وصار بينة وبين اخوي مشادة بالكلام وبلغ الشرطة الشرطة قالت ما نقدر نقولة لا يعبي لك لكن بنكلمة يوم شاف الشرطة جاء عبا لة بخصوص مكان المحطة الطايف(السيل الصغير )وعندي مقاطع تثبت ذلك بصراحة مقهورة من اسلوبة ‏يعني جالسين ‫ربع‬ ساعة ننتظر يعبي وقتها كان رافض يعبي وهددنا يقول أنا بدق على الشرطة قال أخوي أنا ادق على الشرطة يتفاهمون معك لكن لما جاءت الشرطة قالت ما نقدر ما نقدر نغصبة يعبي لكم لكن نوقف ونشوف لما جات الشرطة عبا لنا و مو اول مرا يسويها حوالي ثالث مرا  - تاريخ 13/4 الساعه 7م  - تم مراجعة الكاميرات والعميل دخل المحطة يسوي ازعاج ويستفز العامل ولم يفعل شيء</t>
  </si>
  <si>
    <t>مؤسسة مقاولات السعاد الوطني للمقاولات</t>
  </si>
  <si>
    <t xml:space="preserve">الرئيس التنفيذي لمجموعات الفيصل للوحات والاعلانات - يبي يقدم مبادرة مع شركة درب في تقديم خصم لجميع المستأجرين في محطات درب ويرغب في تنسيق الشراكة </t>
  </si>
  <si>
    <t>تم الارسال لاستاذة امل</t>
  </si>
  <si>
    <t>‏فهد فقيهي</t>
  </si>
  <si>
    <t>‏جيت وعبيت في محطتكم بمنطقة جازان فرع احد المسارحة بجانب ماكدونالدز  ‏وقل للعامل عبي فل وإذا وقف لا تعمل زيادة عشان الصيف ونترك مجال للتانكي  ‏وقف المقبض وأنا اقله وقف خلاص وكمل يعبي حق يكمل الهللات وقلتله ليش يقول عشان شركة وتتكلم عليه مطنشك ولا يرد عليك ‏احنا نثق بكم كشركة ‏إذا التعامل كذا من قبل عمالكم ولم يكن لكم تصرف فالمحطات كثير  ‏وشكرا ‏شراء عبر نقاط البيع Apple Pay  
‏بطاقة مدى:9909
‏حساب:0002
‏مبلغ:SAR 91.00 
‏من:DARB AL JANAUB ELLE   
‏في:2026-04-09 05:41  - تم التواصل والاعتذار وشكرنا على الاهتمام</t>
  </si>
  <si>
    <t xml:space="preserve">استفسار عن البنزين المتنقل </t>
  </si>
  <si>
    <t>تمت اقادته لايوجد حاليا وشكرنا على الاهتمام</t>
  </si>
  <si>
    <t>النظافة معدمة الحمامات وسخه والمغاسل كذلك - 04:38:54 Sunday, March 15, 2026</t>
  </si>
  <si>
    <t>بندر الحسين</t>
  </si>
  <si>
    <t xml:space="preserve">تم اخطار مدير المحطة والتنويه على ضرورة متابعة جميع المرافق </t>
  </si>
  <si>
    <t>3000م - محطة - ابن المالك</t>
  </si>
  <si>
    <t>نواف عبدالرحيم</t>
  </si>
  <si>
    <t xml:space="preserve">دورات المياه مكسرة واللي خربان </t>
  </si>
  <si>
    <t>تم التواصل مع مدير المحطة و التحقق  من ذلك وتم تركيب الليات امس في الليل</t>
  </si>
  <si>
    <t>العمال يقولو المضخات ما تعمل ايش السبب وكيف محطة جديدة اتمنى مراجعة العمال  - 2026-02-12 05:50:34 PM UTC+03:00  - تمت مراجعة الكاميرات المضخات كان فيها صيانة- تمت افادته بانه كان يوجد صيانه دورية لضمان خدمتكم بشكل افضل وشكرنا على الاهتمام</t>
  </si>
  <si>
    <t>تمت مراجعة الكاميرات المضخات كان فيها صيانه</t>
  </si>
  <si>
    <t>محمد علي</t>
  </si>
  <si>
    <t xml:space="preserve">مغسلة درب طريق الهجرة اول فرع </t>
  </si>
  <si>
    <t>بالغلط تبحث عن شركة حراسات امنية</t>
  </si>
  <si>
    <t>محمد بال الغزواني</t>
  </si>
  <si>
    <t xml:space="preserve">محل - اول فرع </t>
  </si>
  <si>
    <t>ابو احمد</t>
  </si>
  <si>
    <t>الاثنين 3\16 الساعه 12 ونص تقريبا  رحت مكتب خدمو العملاء والعامل صيح علي واسلوبه سيء انا بس كنت استفسر هو خدمة عملاء للمحطة كامله ولا بس لدرب لان صارت لي مشكلة مع المغسله ايش دراني انه خدمة عملاء المحطة بس, راجعوا موظفينكم</t>
  </si>
  <si>
    <t>متى افتتاح محطة ابو عريش</t>
  </si>
  <si>
    <t>2026-02-13 09:58:46 PM UTC+03:00</t>
  </si>
  <si>
    <t>طارق</t>
  </si>
  <si>
    <t>عبدالعزيز حسين</t>
  </si>
  <si>
    <t>صالح سعد القحطاني</t>
  </si>
  <si>
    <t>سيرا للتشغيل والصيانة</t>
  </si>
  <si>
    <t xml:space="preserve">محل بنشر -  عنده كذا محل للبترول الذهبي ويبي يفتح ذي له </t>
  </si>
  <si>
    <t>محل خدمات سيارة ومغسلة</t>
  </si>
  <si>
    <t>2026-02-14 11:58:02 PM UTC+03:00</t>
  </si>
  <si>
    <t xml:space="preserve">يوم الاربعاء 11/3/226 الساعه 12:29 عبيت بنزين ب30 وجات مرفوضة وسحب ثاني وقبلت واعامل رفض يرجعلي ال30 واسلوبه ماكان كويس -تمت افادته باخذ ايصال والتواصل مع البنك-العميل اتصل وافاد ان المشكلة تم حلها من قبل مشرف المحطة </t>
  </si>
  <si>
    <t>احمد شفيق شعبان</t>
  </si>
  <si>
    <t>زياد الحربي</t>
  </si>
  <si>
    <t>مشرع الدوسري</t>
  </si>
  <si>
    <t>يوم ٨ مارس الساعه ١٢:٠٠ص عبى لي العامل ديزال بدال بنزين ومعي الاثباتات من الصيانه وبجي المحطه نراجع الكاميرات والسستم  - تم تحويله الى التشغيل</t>
  </si>
  <si>
    <t>وادي الدواسر</t>
  </si>
  <si>
    <t xml:space="preserve">تم مراجعة الكامرات وكانت التعبئه بنزين </t>
  </si>
  <si>
    <r>
      <rPr>
        <rFont val="Calibri"/>
        <b/>
        <color rgb="FF434343"/>
        <sz val="10.0"/>
      </rPr>
      <t xml:space="preserve">يوم الثلاثاء الساعة 12:51 ظهرًا عبيت بتطبيق بترو اب انا متاكد ان هالمحطه شغال فيها والعامل يتلكع ويماطل ما يعبي وفجاه تجمعو علي كل الموظفين ضدي والموقف هذا مايرضي احد اتمنى اخذ افادة العامل والعمال وفي حال ماكان في تجاوب بمر الشركه ارفع شكوى " اكسنت 2021 د و  ه 3200 رصاصية المضخه اخر اليمين" </t>
    </r>
    <r>
      <rPr>
        <rFont val="Calibri"/>
        <b/>
        <color rgb="FFFF9900"/>
        <sz val="10.0"/>
      </rPr>
      <t>- تم التواصل وشكرنا على الاهتمام وافاد انه حريص يمر مره ثانيه المحطه ويتاكد ان المشكلة ماتواجهه مره ثانية</t>
    </r>
  </si>
  <si>
    <t xml:space="preserve">محطة قائمة تحتاج تعديلات فقط المالك - 15متر مربع </t>
  </si>
  <si>
    <t>مازن الفضلي</t>
  </si>
  <si>
    <t xml:space="preserve">2026-01-13 11:46:06 PM UTC+03:00 - كانت السيارة متعطله واحتجت مساعده وقتها </t>
  </si>
  <si>
    <t xml:space="preserve">تمت افادته بالتواصل مع امن الطرق في هذه الحاله وشكرنا على الخدمة </t>
  </si>
  <si>
    <t xml:space="preserve">العامل يطفي المكيف حق النساء والجماعه يشكون من الحر وهو يشتغل من عند الرجال اكلمه اكلمه ما يسمعني 1:30م  الثلاثاء 14/4 </t>
  </si>
  <si>
    <t xml:space="preserve">تم اخطار الموظف وتم شرح الملاحظة وافاد سبب الاقفال خوفا على المكيف من التلف وقد تم التنويه ان يقفل المكيف الساعة 2 </t>
  </si>
  <si>
    <t xml:space="preserve">شركة الزامل يستفسر عن مقر الشركة لحضور اجتماع </t>
  </si>
  <si>
    <t>ماجد محمد العتيبي</t>
  </si>
  <si>
    <t xml:space="preserve">مغسلة سيارات - اكثر من فرع  - درب طريق الطائف </t>
  </si>
  <si>
    <t xml:space="preserve"> عالية سعود مريخان </t>
  </si>
  <si>
    <t xml:space="preserve">هل فيه مكتب في الرياض </t>
  </si>
  <si>
    <t xml:space="preserve">1344م محطة </t>
  </si>
  <si>
    <t xml:space="preserve">تمت افادته لا وشكرنا وقفل الاتصال </t>
  </si>
  <si>
    <t xml:space="preserve">بطاقة مدار وتمت افادته بتطبيق سياره اب </t>
  </si>
  <si>
    <t>سلطان محمد الزهراني</t>
  </si>
  <si>
    <t>فهد العتيبي</t>
  </si>
  <si>
    <t>مغسلة - اول فرع - الامير فواز</t>
  </si>
  <si>
    <t>طلب رعاية لحملة توعوية عن الإسعافات الأولية- سلطان من كلية ابن سينا -جدة 535648912</t>
  </si>
  <si>
    <t>تحويله الى امل الشمراني</t>
  </si>
  <si>
    <t>شموخ الربيعي</t>
  </si>
  <si>
    <t xml:space="preserve">محل في درب ولي العهد 1 - خدمات سيارات </t>
  </si>
  <si>
    <t>انس احمد</t>
  </si>
  <si>
    <t>محمد الزايدي</t>
  </si>
  <si>
    <r>
      <rPr>
        <rFont val="Calibri"/>
        <b/>
        <color rgb="FF000000"/>
        <sz val="9.0"/>
      </rPr>
      <t>قلت للعامل عبي ب8 عبى لي ب80 - انا الان في المحطة عند المضخة 201A  المركبه 5066- ح ث ح - لونها فضي جيلي وقت البلاغ الساعة 12:29م 15/2 الاحد</t>
    </r>
    <r>
      <rPr>
        <rFont val="Calibri"/>
        <b/>
        <color rgb="FFFF9900"/>
        <sz val="9.0"/>
      </rPr>
      <t xml:space="preserve"> </t>
    </r>
    <r>
      <rPr>
        <rFont val="Calibri"/>
        <b/>
        <color rgb="FFFF6D01"/>
        <sz val="9.0"/>
      </rPr>
      <t xml:space="preserve">-العميل تواصل لاغلاق الشكوى وبيدفع المبلغ بالتواصل مع المسؤؤول </t>
    </r>
  </si>
  <si>
    <t xml:space="preserve">تم التواصل مع قبل مدير المحطة ودفع العميل المبلع وهو راضي عن الاجراء وشكرنا على الخدمة </t>
  </si>
  <si>
    <t>العامل غير متعاون ويرفع صوته رحت اخر مضخه هو مو حاط حاجز او شي يبين انه الجهاز خربان يصيح ويقول انت ما تشوف الا جوالك طيب انت مو  حاط شي يعني الاسلوب سيء - 17:31:21 Monday, April 13, 2026  - تم التواصل والاعتذار</t>
  </si>
  <si>
    <t>استفسار عن تركيب الشرايح</t>
  </si>
  <si>
    <t>عطيه الفهمي</t>
  </si>
  <si>
    <t xml:space="preserve">        المصلى ليس نظيفاً وكذاك دورات المياة المفروض يكون هناك عاملة متواجدة على الاقل وقت الذروة من بعد صلاة الظهر الي الساعه ١٢ باليل ويتوفر صابون ومنظفات وبخور في المصلى مع التنظيف هذة المصليات للصلاة وتعتبر بيوت لله يجب الاهتمام بها ولو انفق عليها صاحب المحطة وكان كريماً ومهتما بها سيبارك الله له في رزقه - 15:18:02 Tuesday, January 13, 2026</t>
  </si>
  <si>
    <t>تم اخطار مدير المحطة وتم التنويه على ضرورة متابعة نظافة المرافق</t>
  </si>
  <si>
    <t>07:34:17 Monday, April 13, 2026</t>
  </si>
  <si>
    <t>بطئ الخدمة</t>
  </si>
  <si>
    <t xml:space="preserve"> علاء الزبيدي</t>
  </si>
  <si>
    <t>جار الله المالكي</t>
  </si>
  <si>
    <t>ريهام</t>
  </si>
  <si>
    <t>دوراة المياه غير نظيفة - 22:14:11 Saturday, April 11, 2026</t>
  </si>
  <si>
    <t xml:space="preserve">تم اخطار مدير المحطة وشرح الملاحظة و التنويه على ضرورة متابعة العامل في النظافة الدوريه </t>
  </si>
  <si>
    <t xml:space="preserve">الحمامات غير نظيف وصغيره جداً ومافي مكان للوضوء فيها ومغسله وحدة فقط لا تكفي كل العابرين في خط السفر بارك الله فيكم - 13:00:17 Monday, January 12, 2026 </t>
  </si>
  <si>
    <r>
      <rPr>
        <rFont val="Calibri"/>
        <b/>
        <color rgb="FF000000"/>
        <sz val="9.0"/>
      </rPr>
      <t xml:space="preserve">يوم السبت 2026-02-14 08:30 PM طلبت من العامل يعبيلي بنزين بقيمة 30 ريال العامل سألني كاش ولا شبكة؟ قلتله كاش والعامل حط اللي وكانه عبى وهو ماعبى شي واعطيته 30 الا اشوف لمبة البنزين لسا مولعه وكلمته ليه ماعبى وهو ساكت يقرب مني يحاول يستفزني وصورته برسلكم صورته ع الواتس وانا دقيت عليكم قبل اشهر فيكم في برامج التواصل لان كذا ماحليت المشكلة ومو الكل راح يعرف وفي كبار بالسن وصغار يمكن تمشي عليهم ولكن انا رفعت المشكلة عندكم الا بأمكاني اروح جهه اعلى وانا ساكن بالحي ولا اخفيك ان الثقه بالعمالة والمحطه ماصارت زي اول - كوريلا زرقاء ح ن ح - 7822   - </t>
    </r>
    <r>
      <rPr>
        <rFont val="Calibri"/>
        <b/>
        <color rgb="FFFF6D01"/>
        <sz val="9.0"/>
      </rPr>
      <t xml:space="preserve">تم التواصل لا يوجد رد </t>
    </r>
  </si>
  <si>
    <t xml:space="preserve">تم اخطار مدير المحطة وتم التنويه على ضرورة متابعة جميع المرافق و التاكد من نظفتها </t>
  </si>
  <si>
    <t xml:space="preserve"> مراجعة الكاميرات  ووجدنا ان العميل لم يخبر العامل بمبلغ التعبئة وذهب العامل لتعبئه سياره اخري وعند عودته اخذ المسدس من السياره بدون تعبئه وذهب الى العميل فاعطاه 30 ريال فاخبره انه لم تتم التعبئة بعد  فأثار استياء العميل وظن ان العامل تقصد عدم التعبئة واخذ النقود الا ان الحقيقة ان العميل لم ينطق بمبلغ التعبئة الا متأخرا ً( مرفق فديوا بقروب الوتس )</t>
  </si>
  <si>
    <t>عمر جبريل العبدلي</t>
  </si>
  <si>
    <t>الإضاءة</t>
  </si>
  <si>
    <t>طفت السيارة بعد ما عبيت من المحطه الان السيارة في الوكالة  -وقت التعبئة 4:59ص يوم الثلاثاء 17/3 المنتج احمر 95</t>
  </si>
  <si>
    <t xml:space="preserve">
السلام عليكم
تم لتواصل مع العميل وأد انه لم يتم تعبئئة المنتج الغلط 
طاب يومكم
</t>
  </si>
  <si>
    <t>أمل ال سلطان</t>
  </si>
  <si>
    <t>رافي</t>
  </si>
  <si>
    <t>عبدالرحم الشهري</t>
  </si>
  <si>
    <t xml:space="preserve"> السيد/السيدة المحترم/ة، تحية طيبة من شركة ساكو. نقدم حلولاً ذكية في مجال تكنولوجيا المعلومات والأمن في جميع أنحاء المملكة العربية السعودية، بما في ذلك المناطق النائية والريفية. تشمل خدماتنا أنظمة كاميرات المراقبة، وأجهزة الإنذار ضد السرقة، وأنظمة التحكم في الدخول البيومترية، والشبكات، وإعداد البنية التحتية لتكنولوجيا المعلومات، ودعم عقود الصيانة السنوية. يسعدنا تقديم الدعم لمحطة وقود درب من خلال تركيب أنظمة جديدة، أو ترقية الأنظمة، أو خدمات الصيانة الدورية. يرجى التواصل معنا مع الشخص المسؤول عن تكنولوجيا المعلومات أو إدارة المرافق </t>
  </si>
  <si>
    <t>الحمامات بقسم الساء وصخه وريحتها لاتطاق وانا احزن لانو مايمثل نظافة اهل البلد والسعودية عموما</t>
  </si>
  <si>
    <t xml:space="preserve">
تم اخطار مدير المحطة وتم التنويه على النظافة ومحاولة استغلال الفرص التي تسمح بالدخول لدورة المياه 
ونقترح توفير عاملة </t>
  </si>
  <si>
    <t xml:space="preserve">محطة عظم يرغب في عرضها </t>
  </si>
  <si>
    <t>ام عبدالله</t>
  </si>
  <si>
    <t xml:space="preserve">احمد شوقي </t>
  </si>
  <si>
    <t>MK289</t>
  </si>
  <si>
    <t xml:space="preserve">ركن العربي للعصيرات - 4 فروع - مدير التشغيل </t>
  </si>
  <si>
    <t>رائحة دورةالمياه الله يكرمكم مرررررره والا المسجد مايستاهل ماشاءالله جديد وشرح لكن ياليت تنبهون ع العمالة صراحه مره مؤذيه - 18:59:51 Monday, April 13, 2026</t>
  </si>
  <si>
    <t>تم التحقق من البلاغ وتمت مراجعته من بلاغ اخر 
لفني المنفذ:Yasser Sultan
تاريخ الإنجاز:16 أبريل 2026 - 16:37
ملاحظات التسليم:
لا يوجد اي ريحه في الحمامات</t>
  </si>
  <si>
    <t xml:space="preserve">ريان </t>
  </si>
  <si>
    <t>ابراهيم</t>
  </si>
  <si>
    <t>Laila</t>
  </si>
  <si>
    <t>لديه مساحة استراتيجية في الرياض ويرغب في التعاون لاصدار الرخصة</t>
  </si>
  <si>
    <t>الاهتمام واضح جزاكم الله خير ولكن يبدو ان عندكم مشكله في السباكة ريحة من الحمام وانتو بكرامه شديدة جدا واصله المصلى -  14:40:22 Monday, April 13, 2026</t>
  </si>
  <si>
    <r>
      <rPr>
        <rFont val="Calibri"/>
        <b/>
        <color rgb="FF000000"/>
        <sz val="9.0"/>
      </rPr>
      <t>يوم الاحد الساعه 1:25 م الحمامات اكرمكم الله معدومه والمسجد مقفل والناس تصلي في الرصيف لو سياستكم الاغلاق بعد الصلاات اقل شي مابين صلاة الظهر والعصر مفتوح او توطلون الوقت شوي ساعه بعد الصلاه شمس وحر والناس تصلي برا لا مسجد ولا دورات مياه انا قيمتكم بقوقل ماب - العميل رفع شكوى على قوقل ماب ( والمصلى مقفل على ايش مسوينه اناس تصلي على المسار تحت الشمس
) + مرفق صور-</t>
    </r>
    <r>
      <rPr>
        <rFont val="Calibri"/>
        <b/>
        <color rgb="FFFF6D01"/>
        <sz val="9.0"/>
      </rPr>
      <t xml:space="preserve"> (تم التواصل واثنى على التجاوب وبيغير التقييم على قوقل )</t>
    </r>
  </si>
  <si>
    <t xml:space="preserve">
تفاصيل العمل المنجز
الفني المنفذ:
Yasser Sultan
تاريخ الإنجاز:
16 أبريل 2026 - 16:37
</t>
  </si>
  <si>
    <t>تم ابلاغ مدير المحطة وافاد انه تم غسل فرش المسجد حينها وتم اغلاقه للتنشيف ( مرفق صور)</t>
  </si>
  <si>
    <t>مسجد مغلق</t>
  </si>
  <si>
    <t>وسيم راجحي</t>
  </si>
  <si>
    <t>اسلام سلامه</t>
  </si>
  <si>
    <t>نظافه دوره المياه سيئه جداً -  12:48:05 Monday, April 13, 2026</t>
  </si>
  <si>
    <t xml:space="preserve">محطة قائمة تحتاج تعديلات فقط 20الف م تقع في مدينة عمق </t>
  </si>
  <si>
    <t>حسين الفيفي</t>
  </si>
  <si>
    <t xml:space="preserve"> أرض محطة وقود (فئة أ) للبيع أو الاستثمار 🔹  📍 بعد الجموم باتجاه الطائف – على شارع 100 م  📐 المساحة: 54,600 م² 📏 طول الضلع على الشارع: 261 م  ⛽ تصريح محطة: • 12 طرمبة ديزل • 20 طرمبة بنزين • رخصة بناء جاهزة  💰 البيع: 50,000,000 ريال  💰 الاستثمار: 2,000,000 ريال سنوياً  📄 العقد: 15 سنة – مهلة البناء سنة  📍 الموقع: https://maps.app.goo.gl/HmZxFdpa3c6ZThJF8?g_st=iw ────────────── 📞 0553508561 الوسيط العقاري: حسين الفيفي شركة دارة الصفوة العقارية
</t>
  </si>
  <si>
    <t>renad</t>
  </si>
  <si>
    <t>معتز اليافعي</t>
  </si>
  <si>
    <t>يحيى الدوسي</t>
  </si>
  <si>
    <t>توسيع الحمامات ويكون المسجد مفتوح بعد اوقات الصلاه - 22:03:41 Saturday, February 14, 2026</t>
  </si>
  <si>
    <t xml:space="preserve">محطات للبيع في الرياض واراضي تواصل مباشر </t>
  </si>
  <si>
    <t>كل شي ممتاز جدا الا بعض الملاحظات
الازفلت في بعض الاماكن غير مستوي بسبب التريلات
نوعية الكرسي الارضي في دورات المياة سيئه الماء يرجع على الملابس</t>
  </si>
  <si>
    <t>تمت المعالجة 
الفني المنفذ:Mahmoud Ibrahim
تاريخ الإنجاز:16 أبريل 2026 - 11:46
الفني المنفذ:Mahmoud Ibrahim
تاريخ الإنجاز:16 أبريل 2026 - 11:29</t>
  </si>
  <si>
    <t>Retaj</t>
  </si>
  <si>
    <t xml:space="preserve">	اقفال ابواب الحمام مو موجوده الفرنجيهات مكسوره الاغطه حقتها
مصلى النساء م فيه باب خارجي يكشف على الشارع - 18:38:18 Thursday, February 12, 2026</t>
  </si>
  <si>
    <t>تم انجاز العمل</t>
  </si>
  <si>
    <t xml:space="preserve">بنزين 98 </t>
  </si>
  <si>
    <t>الهنوف</t>
  </si>
  <si>
    <t>كل شي وصخخ وين النظافه - 18:58:47 Saturday, February 14, 2026</t>
  </si>
  <si>
    <t>جاري المتابعه والتحقيق</t>
  </si>
  <si>
    <t>متى تفتحون محطة درب في احد المسارحه</t>
  </si>
  <si>
    <t xml:space="preserve">تمت افادته بمتابعة منصات التواصل سيتم نشر خبر الافتتاح </t>
  </si>
  <si>
    <t xml:space="preserve"> هيفاء الغنيم</t>
  </si>
  <si>
    <t>RY076</t>
  </si>
  <si>
    <t xml:space="preserve">مافي منديل ابدا و انا رايحه للحمام مستعجله و تاخرت عن دوامي كله من منديل فا فضلا حطو منديل زياده او حطو درج مخصص للمنديل حنا ناخذ و نرجع منديل بكل سهوله و شكرا - 06:22:57 Sunday, February 15, 2026 </t>
  </si>
  <si>
    <t xml:space="preserve">تم التواصل مع العميله وابلاغها بالسياسة وتفهمت وشكرتنا على الخدمة </t>
  </si>
  <si>
    <t>استفسار عن خدمات الشركاء</t>
  </si>
  <si>
    <t>عبدالله السبيعي</t>
  </si>
  <si>
    <t>2455م - لها رخصة بناء محطة</t>
  </si>
  <si>
    <t>ايمن</t>
  </si>
  <si>
    <t xml:space="preserve">العامل سحب مرتين جات مرفوضه  - سيتم ارسالها واتس </t>
  </si>
  <si>
    <t xml:space="preserve">مسعود النجراني </t>
  </si>
  <si>
    <t>حياك الله في درب🧡
أستاذ ايمن نعتذر منك على الاطالة, تم التحقق من الادارة المختصة وتم الابلاغ بان المبلغ لم يصل الينا
نأمل منك التواصل مع البنك الخاص بك او البنك المركزي لضمان ارجاع المبلغ
يومك سعيد</t>
  </si>
  <si>
    <t xml:space="preserve">سيارتي متعطله وابي بنزين في جركل وما معي فلوس مخباي مافيه الا ١٠ والعامل معييي يساعدني ابي بس بنزين هي سيارتي قدام المحطه  
02A ٩:٤٥ </t>
  </si>
  <si>
    <t xml:space="preserve">تم حل الشكوى في حينها - الموظف محمد ملك راح يروح معاه ويعبي له ويرجع الجركل 
عبى ب٢٠ + دقه واحد </t>
  </si>
  <si>
    <t xml:space="preserve"> خالد محمد الزهراني</t>
  </si>
  <si>
    <t>ارض فاضيه المساحه : 10000 متر مربع الموقع : شمال مدينة الباحه على طريق الملك عبدالعزيز باتجاه الطايف في محافظة القرى قرية قريش الحسن بحوار مستشفى القرى العام
رخصة البناء : لا يوجد رخصه</t>
  </si>
  <si>
    <t>عصام الحكمي</t>
  </si>
  <si>
    <t xml:space="preserve">أرض تجارية على شارع 53 مساحتها 8الاف - الوكيل </t>
  </si>
  <si>
    <t>A</t>
  </si>
  <si>
    <t xml:space="preserve">ابو سعود </t>
  </si>
  <si>
    <t xml:space="preserve">افضل محطة عندي الصدق والاسوء من ناحية الموظفين العامل اكلمه عبي اخضر ويعبي احمر ويرفع صوته ياليت من الإدارة تتكلم مع الموظف اسمه ميزان ياليت تفهمه ان الأسلوب نعمه ولا يرفع صوته على الزباين 👍
 الأربعاء، 14 يناير 2026 في 06:15 م
</t>
  </si>
  <si>
    <t>تم ابلاغ مدير المحطة ومدير المنطقه لتوجيه انذار للعامل ميزان بعد التأكد من الشكوى ومراجعة الكامرات</t>
  </si>
  <si>
    <t xml:space="preserve">استفسار عن اوقات عمل الشركة </t>
  </si>
  <si>
    <t>محل او كشك - فرنشايز 6 فروع بارنيز ومذاق المغربي</t>
  </si>
  <si>
    <t>محسن</t>
  </si>
  <si>
    <t>صالح الحربي</t>
  </si>
  <si>
    <t xml:space="preserve">صار لي حادث في الشارع المقابل للمحطة انا عارف انه لازم خطاب لكن بعرف اول هل كاميرات المحطة تغطي الجهة هاذي؟ 
9:50 م الثلاثاء 14/4 </t>
  </si>
  <si>
    <t>هل متوفر فيزا في محطة الحوية</t>
  </si>
  <si>
    <t>محل زينة او بنشر عندي 5 اسم البراند: 1 كلاسيك 1 الطاره السابعه - وكيل</t>
  </si>
  <si>
    <t xml:space="preserve">تمت افادته نعم </t>
  </si>
  <si>
    <t>اخذت بطاطس من المحطة وابي اتواصل معهم البطاطس جوته حول 20 حبه وفاضي وبشتكي البلديه ابي رقمهم بس طالع لي رقمكم  - تم ابلاغ العميل بانهم مستأجرين في المحطة وافاد بس انا ابحث يطلع لي لاقمكم</t>
  </si>
  <si>
    <t xml:space="preserve">تم التحقق والسوبرماركت فرست مارت غير موجود في قوقل ماب ولا يوجد رقم تواصل </t>
  </si>
  <si>
    <t>ريان الحربي</t>
  </si>
  <si>
    <t>Abdullah</t>
  </si>
  <si>
    <t>محمد الشهراني</t>
  </si>
  <si>
    <t xml:space="preserve">محل زينة سيارات لا يوجد فروع </t>
  </si>
  <si>
    <t>2026-01-14 06:42:46 PM UTC+03:00</t>
  </si>
  <si>
    <t xml:space="preserve">مغسلة  - اول فرع </t>
  </si>
  <si>
    <t>لم يتم الرد تم محاولة الاتصال باوقات مختلفة</t>
  </si>
  <si>
    <t>لللاسف عير المتوقع من درب ان تكون دورة المياه بهذا السوء - 01:44:18 Tuesday, March 17, 2026</t>
  </si>
  <si>
    <t>تم اخطار مدير المحطة وتم تدريب العامل</t>
  </si>
  <si>
    <t xml:space="preserve">فهد </t>
  </si>
  <si>
    <t>حسن رضي</t>
  </si>
  <si>
    <t>اكسبلور اسود  (1116 - ررك)  بنزين اخضر 
العمال جالين كلهم بجهة وحده ورفض احد يجيني ورحت عبيت عندهم سياستكم سيئة يعني العمال متجمعين بمكان واحد ليه  - تم التواصل وشكرنا على الخدمة</t>
  </si>
  <si>
    <t>مغسلة سيارات - لايوجد فروع</t>
  </si>
  <si>
    <t xml:space="preserve">قائمة بمساحة 5000م - المالك </t>
  </si>
  <si>
    <t>صالحة</t>
  </si>
  <si>
    <t>الحمامات مره وسخة مو نظيفة ومصلى النساء داخل جوه مو واضحة اللوحة حتى - 04:50:31 Tuesday, March 17, 2026</t>
  </si>
  <si>
    <t>عبدالرحمن الشمري</t>
  </si>
  <si>
    <t xml:space="preserve">سفرا التعليمة - لاعانة الايتام  والارامل نبي نسوي شراكة مجتمعية </t>
  </si>
  <si>
    <t xml:space="preserve"> فيصل محنشي</t>
  </si>
  <si>
    <t>تم الارسال لاستاذة امل الشمراني</t>
  </si>
  <si>
    <t xml:space="preserve"> الكورنيش الشمالي- نوع السيارة : هافال 6H - لوحة السيارة : ١٢٩٠ د ن د</t>
  </si>
  <si>
    <t xml:space="preserve">تمت افادته بالتوجه لصامطة </t>
  </si>
  <si>
    <t xml:space="preserve">	2026-01-15 00:21:58 AM UTC+03:00</t>
  </si>
  <si>
    <t>ايوب المحيمدي</t>
  </si>
  <si>
    <t>منور انوار</t>
  </si>
  <si>
    <t xml:space="preserve"> ناصر فالح</t>
  </si>
  <si>
    <t>الله يكرمكم دورات المياه والمواضئ سيئة جدا وليست نظيفة اول محطة لكم اشوفها بهذا المنظر السيء - 10:46:45 Tuesday, March 17, 2026</t>
  </si>
  <si>
    <t>محطة امتياز</t>
  </si>
  <si>
    <t xml:space="preserve">لا يوجد عامل نظافة في المحطة </t>
  </si>
  <si>
    <t>MH</t>
  </si>
  <si>
    <t>نوع السيارة : نيسان باثفاندر لوحة السيارة : ب د ل 27</t>
  </si>
  <si>
    <t>تمت الافاده</t>
  </si>
  <si>
    <t>(Translated by Google) The day you put the coffee in, you caused us a nuisance. (Original) يوم حطيتوا الكوفي سببتوا لنا ازعاج</t>
  </si>
  <si>
    <t xml:space="preserve"> فايز ناصر الحربي</t>
  </si>
  <si>
    <t xml:space="preserve">نوع السيارة : هوندا اكورد- لوحة السيارة : د ب ص 6938  - المبلغ : 50 </t>
  </si>
  <si>
    <t xml:space="preserve"> زياد الزهراني</t>
  </si>
  <si>
    <t xml:space="preserve">دورات المياة كلها افرنجي لا يوجد كرسي عربي - 15:11:49 Wednesday, January 14, 2026 </t>
  </si>
  <si>
    <t>‏الحمامات يحتاج لها صيانة وتنظيف - 23:59:12 Tuesday, March 17, 2026</t>
  </si>
  <si>
    <t>سالم سعيد</t>
  </si>
  <si>
    <t>كشك  - بارنز</t>
  </si>
  <si>
    <t>اروى القرني</t>
  </si>
  <si>
    <t>سيه جداااا لدرجة الريحة طالعه برا الحمامات
والقرف على الارض وصاخه وقرف - 01:36:24 Thursday, January 15, 2026</t>
  </si>
  <si>
    <t xml:space="preserve">تم اخطار مدير المحطة ونقترح توفير عاملة </t>
  </si>
  <si>
    <t>بدر عبدالرحمن الدوسري</t>
  </si>
  <si>
    <t>Eman</t>
  </si>
  <si>
    <t xml:space="preserve"> جيب فورتشنر 2015 - لوحة السيارة : ح ط ك ٨٢٩٣</t>
  </si>
  <si>
    <t>الرجاء الاهتمام بنظافة دورات المياه لدى النساء - 04:56:39 Wednesday, March 18, 2026</t>
  </si>
  <si>
    <t>جَلْنار</t>
  </si>
  <si>
    <t>الرائحه سيئه وغير نضيف -  12:36:32 Wednesday, January 14, 2026</t>
  </si>
  <si>
    <t xml:space="preserve">م اخطار مدير المحطة وتم التنويه على ذلك واستخدام المعطرات </t>
  </si>
  <si>
    <t xml:space="preserve"> احمد فضل قادر</t>
  </si>
  <si>
    <t xml:space="preserve"> نوع السيارة : نسيان صني لوحة السيارة : 2403 GVA</t>
  </si>
  <si>
    <t>اروى</t>
  </si>
  <si>
    <t>الحمامات ( وانتم بكرامه) مو نظيفه 🥺🥺 المسجد يحتاج كنيس - 06:10:02 Wednesday, March 18, 2026</t>
  </si>
  <si>
    <t>تم التنويه على ذالك</t>
  </si>
  <si>
    <t>الخمرة حي الفضيلة مالك كشك فطيرة وكرك يقول البلدية مقفله المحطة وللحين ماتعاقدنا معاكم وكلمت مسؤول المشاريع عندكم صاحب الرقم 0536303850 ولا يوجد رد عندي اشياء بتخرب في الكشك</t>
  </si>
  <si>
    <t xml:space="preserve">فواز </t>
  </si>
  <si>
    <t xml:space="preserve">تم التواصل مع العميل والافادة انه تم التنازل والان مشكلته مع الموظف محمد اخذ مني مبلغ اتعاب الشركه كان 1500 لاخوي وجيت انا دفعتها 500 كاش يوم الاثنين بتاريخ 18-10-1447 الساعة 11 مساءً في مكتب الادارة  ومعاي 2 شهود والعميل يبي حقه . </t>
  </si>
  <si>
    <t xml:space="preserve">فاز في منصة اكس بكوبون بنزين ويرغب بالاستفسار عن الاستلام </t>
  </si>
  <si>
    <t xml:space="preserve"> خلاص يتوجه لمحطه العوالي ويعبي كل معلومات الفائزين عند مدراء المحطات</t>
  </si>
  <si>
    <t>عبدالرحمن عبدالله</t>
  </si>
  <si>
    <t>للاسف مافيه صابون يدين 😔 - 00:18:31 Wednesday, March 18, 2026</t>
  </si>
  <si>
    <t>حمال المالكي</t>
  </si>
  <si>
    <t xml:space="preserve">تم توفير الصابون </t>
  </si>
  <si>
    <t>كشك - Mest cafe</t>
  </si>
  <si>
    <t>انا عبيت ب50 والعداد ما اتحرك مشيت على اساس انه معلق ونا في خط مكة اكتشف انه خلص والعداد  اقل من الربع- المبلغ  50 ريال - شبكة الساعه 2:27:00 م نيسان صني فيراني - 
(روق - 4899) 15/4  - تم التواصل والاعتذار</t>
  </si>
  <si>
    <t xml:space="preserve">
تم التواصل مع العميل وقال انه  انا تقدمت لكم للاحاطه فقط
بكل الاحوال تم تنبيه ادارة المحطه 
لاتخاذ الاجراء المناسب </t>
  </si>
  <si>
    <t>يوسف الزهراني</t>
  </si>
  <si>
    <t>طلب استئجار موقع (مركز صيانة تقني) - مركز اليوسف لصيانة السيارات</t>
  </si>
  <si>
    <t>JA302</t>
  </si>
  <si>
    <t>عمر المثلاثي</t>
  </si>
  <si>
    <t>الاهل راحو المحطة وقالو للعامل فل هو الفل 80 بالعاده ما كمل دقيقه قالهم خلاص الحساب 116 والجهاز فيه الحساب 87 هو يستغفل النساء ولا ايش وضعه دفعنا 87 بس ابيكم تتاكدون من النظام في حال انه كان صدق 116 تواصلوا معي لكن الصدق انا دايم اعبي 80 ذي السيارة من الدريس  - الساعه 2 شبكة المبلغ 87 التاريخ 3\18 الاربعاء - نيسان رصاصي (س ب ي - 7472)</t>
  </si>
  <si>
    <t xml:space="preserve">تمت التعبئة عن طريق سيارة أب الساعة 2:51 ص ولم يتحرك العداد الرجاء التحقق من المضخة إذ تمت التعبئة او لا - مبلغ 50 ريال  -  المركبة هوندا ي (أ ق س - 2861) ابيض -المسار الداخي </t>
  </si>
  <si>
    <t xml:space="preserve">كايد الرشيدي </t>
  </si>
  <si>
    <t xml:space="preserve">تم مراجعه الكامرا في درب الرصيفه بنفس التوقيت ولم نجد السياره ايضا مراجعه سستم سياره اب ولا يوجد تعبئه لنفس لوحه السياره+تم مراجعة الكامرات وسستم سياره اب ولا يوجد تعبئة لهذه السياره ولا تواجد في نفس الوقت </t>
  </si>
  <si>
    <t>تموينات  اكثر من  فرع</t>
  </si>
  <si>
    <t>سلطان السعدي</t>
  </si>
  <si>
    <t>عبدالرحمن السعوي</t>
  </si>
  <si>
    <t>جمعية نعم الخيرية - سيارة اب</t>
  </si>
  <si>
    <r>
      <rPr>
        <rFont val="Calibri"/>
        <b/>
        <color rgb="FF434343"/>
        <sz val="10.0"/>
      </rPr>
      <t xml:space="preserve">عبيت قبل أربع ايام من عندكم ديزال والسيارة الان في الورشة طلع الديزال فيه مويا ابي مسؤول اتواصل معاه ( رفض يعطيني بيانات يقول وش بتفيديني يبي المسؤول)  </t>
    </r>
    <r>
      <rPr>
        <rFont val="Calibri"/>
        <b/>
        <color rgb="FFFF9900"/>
        <sz val="10.0"/>
      </rPr>
      <t xml:space="preserve">- تم التواصل مع العميل لاغلاق الشكوى لعدم وجود مرفقات من قبل العميل والعميل افاد انه سيتم التواصل معانا وقت اخر وتم اغلاقها لعدم تجاوب العميل </t>
    </r>
  </si>
  <si>
    <t>تم التواصل ويقول منتظر للصيانه يجيبو له التقرير+تابعت مايرد 
اغلقيها واذا تواصل من جديد وجاب مايثبت بنعالج الشكوى له 
امثال هذه الشكوى يكون العطل ناتج عن تعبئه من محطات اخرى</t>
  </si>
  <si>
    <t>محمد عبداللطيف</t>
  </si>
  <si>
    <t>اثلاج</t>
  </si>
  <si>
    <t>جده</t>
  </si>
  <si>
    <t>استفسار هل عندكم محطة في الاثلاج</t>
  </si>
  <si>
    <t>تأجير - سوبر ماركت</t>
  </si>
  <si>
    <t>ذيب الشهراني</t>
  </si>
  <si>
    <t xml:space="preserve">مغسلة - اكثر من نشاط </t>
  </si>
  <si>
    <t xml:space="preserve"> شاهي ومخبوزات
 شاهي الحطبة
عدد الفروع: لايوجد
المدينة: خميس مشيط الموقع خيبر الجنوب .
تفاصيل استفسارك: ارغب في الاستئجار في الموقع </t>
  </si>
  <si>
    <t>عبدالعزيز محمد</t>
  </si>
  <si>
    <t>محمد الطيار</t>
  </si>
  <si>
    <t xml:space="preserve">بنشر - فروع في جازان </t>
  </si>
  <si>
    <t>الانتظار طويل العامل مشغول مع راعي تريله عبيت الساعه 2:13 المسار الخارجي - تمت محاولة التواصل عدة مرات مع العميل ولم يتم الرد 1/20 - تم الرد والاعتذار للعميل وشكرنا على الاهتمام</t>
  </si>
  <si>
    <t xml:space="preserve">تم ابلاغ مدير المحطة للحرص على تدريب العمال وسرعه الانجاز في المحطة +تم ابلاغ مدير المحطة للحرص على تدريب العمال وسرعه الانجاز في المحطة </t>
  </si>
  <si>
    <r>
      <rPr>
        <rFont val="Calibri"/>
        <b/>
        <color rgb="FF434343"/>
        <sz val="10.0"/>
      </rPr>
      <t xml:space="preserve">أبي استأجر بقاله أو مطعم - </t>
    </r>
    <r>
      <rPr>
        <rFont val="Calibri"/>
        <b/>
        <color rgb="FF434343"/>
        <sz val="10.0"/>
        <u/>
      </rPr>
      <t>https://maps.app.goo.gl/vT7Moe8Mi8QHtZKo9?g_st=aw</t>
    </r>
  </si>
  <si>
    <t xml:space="preserve">مازن </t>
  </si>
  <si>
    <t xml:space="preserve">عامل جبس بورد هندي يرغبب بالعمل بالمحطه </t>
  </si>
  <si>
    <t>موسى الشمراني</t>
  </si>
  <si>
    <r>
      <rPr>
        <rFont val="Calibri"/>
        <b/>
        <color rgb="FF000000"/>
        <sz val="9.0"/>
      </rPr>
      <t xml:space="preserve">امس عبيت ومشيت واكتشفت انه ما عبى وسحبها من رصيدي ياليت تتاكدو - الساعه 1:50ص 2-16 - 30 ريال - احمر - المسار الاخير - فورد اسود (4197 - ح ر س ) - </t>
    </r>
    <r>
      <rPr>
        <rFont val="Calibri"/>
        <b/>
        <color theme="8"/>
        <sz val="9.0"/>
      </rPr>
      <t>تم التواصل وشكرنا وراح يروح المحطه ويعبي</t>
    </r>
  </si>
  <si>
    <t xml:space="preserve">تم مراجعة العمليات واكتشاف فائض 30 ريال وعاد العميل للمحطة للتعبئه مره اخرى كما تم توجيه انذار للعامل </t>
  </si>
  <si>
    <t xml:space="preserve"> درب الوطن</t>
  </si>
  <si>
    <t>نايف صلاح الجلال</t>
  </si>
  <si>
    <t>التوظيف</t>
  </si>
  <si>
    <t xml:space="preserve">اليه التقديم </t>
  </si>
  <si>
    <t xml:space="preserve"> استفسار عن تفاصيل وايجار مغسلة سيارات </t>
  </si>
  <si>
    <t>Mohammad Sharif</t>
  </si>
  <si>
    <t>رداد الثبيتي</t>
  </si>
  <si>
    <t xml:space="preserve">عدد عمالة قليل وخدمة بطيئة
الأحد، 15 فبراير 2026 في 07:15 م
مرفق صور </t>
  </si>
  <si>
    <t xml:space="preserve">تم ابلاغ مدير المحطة لتنظيم السير بالمحطة لتسريع عمليات التعبئه وتم مراجعه عدد العمال بالنسبه للمبيعات وجدنا انه مناسب </t>
  </si>
  <si>
    <t>7 الاف - أرض- مالها رخصة</t>
  </si>
  <si>
    <t xml:space="preserve">بدر الشهري </t>
  </si>
  <si>
    <t xml:space="preserve">الدمام </t>
  </si>
  <si>
    <t xml:space="preserve">حي العدامة 
· الوضع الحالي: الموقع عبارة عن محطة وقود تحتاج إلى التجديد الكامل (أو إعادة التأهيل)، وهو ما يتيح لكم فرصة تطويره وفق هوية شركتكم ومعاييركم الخاصة.
· المميزات: يتميز الموقع بموقعه الاستراتيجي الممتاز على شارع حيوي، مع كثافة سكانية ومرورية عالية، مما يضمن إن شاء الله تحقيق إقبال وعوائد مجزية.
الموقع جاهز للتأجير فوراً، وأنا على استعداد تام لتقديم كافة التفاصيل والمستندات اللازمة، والبدء في المفاوضات التجارية في الوقت الذي يناسبكم.
يسعدني التواصل معكم لمناقشة هذه الفرصة، وتزويدكم بصور الموقع وموقعه الجغرافي، وترتيب موعد للمعاينة على الطبيعة.
</t>
  </si>
  <si>
    <t xml:space="preserve">شريك يبي يراجع الكاميرات لان في عميل مادفع له وهرب </t>
  </si>
  <si>
    <t xml:space="preserve">تم افادته اخذ اذن من الشرطه </t>
  </si>
  <si>
    <t>احمد حسين  الزهراني</t>
  </si>
  <si>
    <t xml:space="preserve">1200م - عليها رخصة - الوكيل </t>
  </si>
  <si>
    <t>شوق العتيبي</t>
  </si>
  <si>
    <t xml:space="preserve">يوم الثلاثاء بعد المغرب ضيعت ساعة ابل واتش في الحمامات او دورات المياه لونها وردي </t>
  </si>
  <si>
    <t>تم التحقق وافاد مدير المحطه انه لم يجد شيئا</t>
  </si>
  <si>
    <t>يوم الخميس الساعه 2:15 ظهرا طلبت تعبئة بنزين واعطيته كاش رفض لان فيها شق بسيط ماياثر ولا في مدير او مسؤول اتفاهم معاه ولي نص ساعه واقف بخط سفر انا ولا عندي الا هالطريقه ادفعها ابي مسرول يتواصل معاي انا حاليا بالمحطه</t>
  </si>
  <si>
    <t xml:space="preserve">بالغلط </t>
  </si>
  <si>
    <t xml:space="preserve">تم التواصل مع قبل كمال واخذو المبلغ من العميل </t>
  </si>
  <si>
    <t>م.سعد</t>
  </si>
  <si>
    <t>من شركة سحاب الجزيرة للاستشارات البيئية</t>
  </si>
  <si>
    <t>ابو ريان</t>
  </si>
  <si>
    <t>انا مدير اعمال المعلن حسن صارت له مشكله مع التسويق وابي اتواصل مع المالكي</t>
  </si>
  <si>
    <t>تم الارسال الى ندى وامل</t>
  </si>
  <si>
    <t>Sara Mustafa</t>
  </si>
  <si>
    <t xml:space="preserve">فيها دورتين مياه بس للنساء و كلها افرنجي و الناس ما تراعي موضوع الطهارة و النظافة
المفروض يكون في حمام عربي و يكون تنظيف مستمر
فيها ذباب كثير  بالمسجد
النظافة اقل من الوسط الاثنين، 23 مارس 2026 في 08:11 م
</t>
  </si>
  <si>
    <t xml:space="preserve">
تم رفع بلاغ بتركيب ستائر هوائية بتاريخ04/01/2026 08:34
بخصوص الكراسي لدى قسم المشاريع
لا يوجد عامل نظافة ثابت في دورة الميا</t>
  </si>
  <si>
    <t xml:space="preserve">شركة الوثيقة الشاملة </t>
  </si>
  <si>
    <t xml:space="preserve">تأخير من العماله غير مبرر واقف لي 5 دقايق انتظر  - 12:02:12 Tuesday, April 14, 2026 - تم التواصل والاعتذار من العميل </t>
  </si>
  <si>
    <t>سالم</t>
  </si>
  <si>
    <t>Waleed Aibaki</t>
  </si>
  <si>
    <t xml:space="preserve">يوم الخميس الساعه 10:55 العامل قاعد يعبي فل للي قدامي وينتظر وخلال هالوقت بامكانه يعبيلي الا انه رفض - العميل اغلق الخط يقول بتفاهم معاه بنفسي 
- سيارة  جمس ابيض  </t>
  </si>
  <si>
    <t>تم توجيه تعليمات لكل عمال المحطه للإسراع  في خدمه العميل 
ويتطلب لمعرفه العامل سؤال العميل عن المسار+تم توجيه تعليمات لكل عمال المحطه للإسراع  في خدمه العميل 
ويتطلب لمعرفه العامل المتأخر سؤال العميل عن المسار لتسهيل مراجعه الكامرات واتخاذ اجراء مع العامل المتسبب بالشكوى</t>
  </si>
  <si>
    <t>MK093</t>
  </si>
  <si>
    <t>ss</t>
  </si>
  <si>
    <t xml:space="preserve">اعزكم الله دخلت الحمام اغسل وجهي لقيت العامل ينظف ارضية الحمام ومغسلة الايادي بنفس الممسحة وهذا غلط 
الاثنين، 23 مارس 2026 في 03:25 م
</t>
  </si>
  <si>
    <t>تم اخطار مدير المحطة وتم شرح الملاحظة وطلب تدريب العامل وتثقيفه</t>
  </si>
  <si>
    <t>المصلى غير نظيف جدا ودورات المياه ايضا غير نظيفة وفيها حشرات - 05:46:02 Wednesday, April 15, 2026</t>
  </si>
  <si>
    <t xml:space="preserve">مغسلة -  اول فرع </t>
  </si>
  <si>
    <t xml:space="preserve">تم التواصل مع مدير المحطة وتم شرح الملاحظة وتم التنويه على ضرورة متابعة النظافة </t>
  </si>
  <si>
    <t>Khuzama Abdulrahman</t>
  </si>
  <si>
    <t>ايمن عبدالعزيز</t>
  </si>
  <si>
    <t>اخس محطه مافيها فيزا وبخيل مايبغا يشغل الفيزا ماعاد اعبي فيها لو يقول بلاش - 19:25:14 Wednesday, April 15, 2026</t>
  </si>
  <si>
    <t xml:space="preserve">التكييف ماندو </t>
  </si>
  <si>
    <t xml:space="preserve">لو فيه اقل من نجمة عطيتها، قمة في السوء عمال تعاملهم سيء والي عبى السيارة ديزل خلاه يطلع على البدي!!!!
الأحد، 22 مارس 2026 في 04:22 م
</t>
  </si>
  <si>
    <t xml:space="preserve">تم ابلاغ مدير المحطة لزيادة وتكثيف الجهد و الرقابه على العمال وتدريبهم كون المحطة جديدة وعمالها لازالو قيد التدريب </t>
  </si>
  <si>
    <t>رهف الحربي</t>
  </si>
  <si>
    <t>التواصل مع فائزين منصة اكس</t>
  </si>
  <si>
    <t>محمد العنزي</t>
  </si>
  <si>
    <t>BH605</t>
  </si>
  <si>
    <t>للاسف حمامات وسخه ياليت تهتمو في نظافه دورات المياه لايوجد مناديل 💔- 20:57:34 Tuesday, April 14, 2026</t>
  </si>
  <si>
    <t>في مسار متعطل و موقفينه جيت المسار الثاني واحد معاك رنج واقف مقفل المسار قلت له حرك نبي نعبي قال ابي الظل بشيك على المحطه الظااهر انه احد المسؤولين  - 2026-02-16 01:12:21 PM UTC+03:00 - مرفق صور وفيديو</t>
  </si>
  <si>
    <t xml:space="preserve">تم اخطار مدير المحطة وتم التنويه على ضرورة متابعة نظافة المرافق وتحريص العامل على المتابعة 
المناديل موقفه من الشركة </t>
  </si>
  <si>
    <t>ابو جسار العتيبي</t>
  </si>
  <si>
    <t xml:space="preserve">اسواء عماله في درب والدريس
السبت، 21 مارس 2026 في 04:15 م
</t>
  </si>
  <si>
    <t>سامي محمد قماش</t>
  </si>
  <si>
    <t>محمد الامير</t>
  </si>
  <si>
    <t>عبدالله البفمي</t>
  </si>
  <si>
    <t>شركة نماء وتطوير</t>
  </si>
  <si>
    <t>تم افادته بارسال البروفايل على الايميل</t>
  </si>
  <si>
    <t xml:space="preserve">جيب بعبي وقفت شفت العامل واقف قدمت السيارة وقال ارجع قلت خلصنا يخوي وعبي قام قال تبي ترجع ورا ولا امشي قمت مشيت خلاص روح اعبي من الدريس وش هالاسلوب  - برادو 2008 - المسار المضخة الاولى 10:00ص  16/4 </t>
  </si>
  <si>
    <t xml:space="preserve">تم التواصل مع العميل وارضائه -وتم التواصل مع مشرف المحطة للتنبيه على العمال ان يكونوا اكثر لباقه ولطف بالتعامل </t>
  </si>
  <si>
    <t>Hamood Faqihi</t>
  </si>
  <si>
    <t>سلوى جمعان الزهراني</t>
  </si>
  <si>
    <t xml:space="preserve">المحطة جديدة و جميلة ، و لكن العمال مشغولين في أمور تأخر العملاء و هم مجتهدين بس يحتاجون تنظيم ، و لكن العيب و المشكلة كذلك ان السيارات تعكس الاتجاه و هذا مخالف للأنظمة الصادرة مؤخرا بخصوص منع عكس اتجاه المركبة لتعبئة الوقود اتمنى منع السيارات مستقبلا من عكس الاتجاه
الخميس، 19 مارس 2026 في 05:12 م
</t>
  </si>
  <si>
    <t>رعد تاهذلي</t>
  </si>
  <si>
    <t>الجموم</t>
  </si>
  <si>
    <t>تنظيم</t>
  </si>
  <si>
    <t xml:space="preserve">نبي كرز البن </t>
  </si>
  <si>
    <t>براند كيميس - كشك</t>
  </si>
  <si>
    <t>mahir alshahri</t>
  </si>
  <si>
    <t>بدر حامد المحمادي</t>
  </si>
  <si>
    <t xml:space="preserve">العامل ما قبل يعبي لباص بحجه ان المدير امرهم
الأربعاء، 18 مارس 2026 في 12:18 ص
</t>
  </si>
  <si>
    <t xml:space="preserve">المحطة صغيره ويمنع تعبئة الباصات الكبيره فيها لمصلحة العمل </t>
  </si>
  <si>
    <t>هنادي المطيري</t>
  </si>
  <si>
    <r>
      <rPr>
        <rFont val="Calibri"/>
        <b/>
        <color rgb="FF434343"/>
        <sz val="10.0"/>
      </rPr>
      <t>شكوى وزارة الطاقة دورة المياة الباب مايفتح عدل مكسوور مايتحرك بسهولة والمكيف اللي عند الباب مايشتغل ودورة المياة اللي داخل مافي تهوية يكون مكتوم بالداخل 
ولي اكثر من ٤ اشهر اتكلم معاهم لكن يقولون سوينا بلاغ وما جو 
ومافي مكنسه للمصلى لان ما يتم كنسه</t>
    </r>
    <r>
      <rPr>
        <rFont val="Calibri"/>
        <b/>
        <color rgb="FFFF9900"/>
        <sz val="10.0"/>
      </rPr>
      <t xml:space="preserve">- مرفق تقرير وتم اغلاقها مع العميلة </t>
    </r>
  </si>
  <si>
    <t>عبدالرحمن العتيبي</t>
  </si>
  <si>
    <t xml:space="preserve">مت الصيانة وتم ارسال ايميل في مدير المحطة بسبب التاخير في رفع طلبات الصيانة 
والتقصير في المهام </t>
  </si>
  <si>
    <t xml:space="preserve"> عبيت بنزين ولم يتم ارجاع غطا التانكي في التانكي ارجوا حل مشكلتي بالسرعه العاجله - التاريخ 2026/2/16 - الوقت: 14:58 - المبلغ 100 ريال  بنزين 91 - جمس  ( ك ب ى 4 ) ابيض</t>
  </si>
  <si>
    <t xml:space="preserve">تم مراجعة الكامرات وحل المشكله مع العميل وتعويضه بمبلغ كوبون 50 ريال وارجاع غطاء التانكي 
</t>
  </si>
  <si>
    <t>ماجد كمال عبد المجيد</t>
  </si>
  <si>
    <t>Abu muteb</t>
  </si>
  <si>
    <t>عيدان الحربي</t>
  </si>
  <si>
    <t xml:space="preserve">ما يعبون للباصات و البنقالي قليل حياالأربعاء، 18 مارس 2026 في 12:18 ص
</t>
  </si>
  <si>
    <t>أرض - مالها رخصة - 17 الف - الوكيل</t>
  </si>
  <si>
    <t>متابعة شكوى عبدالله ذيب العتيبي        551871417</t>
  </si>
  <si>
    <t xml:space="preserve">تم ارسال تذكير لاماني عل الواتس لمتابعتها </t>
  </si>
  <si>
    <t>يحي احمد راجحي</t>
  </si>
  <si>
    <t>Cozy Tunes</t>
  </si>
  <si>
    <t>وحيد العتيبي</t>
  </si>
  <si>
    <t xml:space="preserve"> - عبيت مرتين البنزين والخزان مايرتفع - 20 - سوزوكي ابيض (ر ح ح - 5622) - المسار الداخلي - اخضر 2026-02-17 04:04:33 AM UTC+03:00</t>
  </si>
  <si>
    <t xml:space="preserve">كنت جالس انتظر العامل يخلص من السياره اللي قدامي ولما خلص سحب علي وراح للي جا بعدي واناديه يقول دقيقه! الثلاثاء، 17 مارس 2026 في 08:04 م
</t>
  </si>
  <si>
    <t xml:space="preserve">تم ابلاغ مدير المحطة والتأكد من  الكامرا ومحاسبة العامل ان صح ذلك وكان تصرفه خارج مصلحة العمل </t>
  </si>
  <si>
    <t>2026-04-16 01:42:01 PM UTC+03:00 - لم يتم الرد</t>
  </si>
  <si>
    <t>عاطف</t>
  </si>
  <si>
    <t>يوم الخميس الساعه 4:56 عصرا عبيت 100 وحاسبت 500 كاش رفض العامل يصرفها وانا مقيمكم بقوقل ويقولي طز العامل  مطوع المسار الثاني - كامري 2007</t>
  </si>
  <si>
    <t xml:space="preserve">العميل عبى ب100 ودفع 500 وتم صرفها ولكن طلب صرف 500 اخرى والعامل افاده بعدم وجود صرف </t>
  </si>
  <si>
    <t>علي عبدالله</t>
  </si>
  <si>
    <t xml:space="preserve">خميس مشيط </t>
  </si>
  <si>
    <t>اشتغلنا في اللوحة حق تسعيرة البنزين في خميس مشيط وما حاسبنا وله 12 يوم متاخر ونا بالعاده اشتغل ويحاسبوني الان رمضان جاي ولازم تحاسبوني  - عاصف العزي - 0504312708</t>
  </si>
  <si>
    <t>تم ارسال ايميل للفرنشايز+ارسال تذكير</t>
  </si>
  <si>
    <t>محمد الحربي</t>
  </si>
  <si>
    <t>ABDULSATTAR MUGHAL</t>
  </si>
  <si>
    <t xml:space="preserve">محطة 500 الف </t>
  </si>
  <si>
    <t>لؤي خياط</t>
  </si>
  <si>
    <t>2026-01-15 08:33:48 PM UTC+03:00</t>
  </si>
  <si>
    <t xml:space="preserve">استخدمت بطاقة الفيزا في محطتكم طريق الليث والكاش باك حقي جاني 9 هللات استغربت وكلمت البنك رجعو اتصلوا عليا وقالو ان المكينه مو مسجله في النقط حق البيع انها مو محطة بنزين  مسجلة بشي ثاني قلت اتصل عليكم واتاكد لان قالوا لي ارفع بلاغ - 131 ريال 9:17ص </t>
  </si>
  <si>
    <t>الاثنين، 16 مارس 2026 في 12:07 ص
مرحباً سيدي، كيف حالك؟ سيدي، في كل مرة أزور فيها محطة الوقود الخاصة بكم، يقول لي موظفوكم إن تطبيق الشركة لا يعمل. سيدي، في كل مرة أزوركم، يقول لي موظفوكم نفس الشيء.سيدي، أعتذر إن لم يعمل هذا التطبيق، أرجو إغلاقه. لا ينبغي أن نتعرض للإذلال بسبب هذه المسافة.
سیارہ تطبیق مشکلہ کلہ یوم۔</t>
  </si>
  <si>
    <t xml:space="preserve">تم التواصل مع العميل  ثم التواصل مع المشرف والمحاسب للتاكد  اذا كان الجهاز تحت كود المحطات ام لا </t>
  </si>
  <si>
    <t xml:space="preserve">
نادرًا ما يحدث خلل في تطبيق "سيارة أب" نتيجة تعليق في النظام، وقد تم تلافي هذه المشكلة من خلال الاستمرار في عملية التعبئة مع توثيقها بشكل كامل، وذلك بتصوير السيارة ولوحتها، والمضخة، ومقدار التعبئة.
بعد ذلك يتم إرسال هذه البيانات إلى قروب مشترك، ليتم إضافتها في النظام لاحقًا عند عودة التطبيق للعمل بشكل طبيعي.</t>
  </si>
  <si>
    <t xml:space="preserve">مسوق عقاري لو تبون صراف لمحطاتكم خاصه درب جدة الكوثر ماعندكم صرافه فيها </t>
  </si>
  <si>
    <t>2026-01-15 09:48:39 PM UTC+03:00</t>
  </si>
  <si>
    <t>Mohamed Mobark</t>
  </si>
  <si>
    <t>السلام عليكم ورحمة الله وبركاته
العمال نصبوني في البنزين قالو انهم قالو عبو لي بنزين وهم ما عبو وطلع لي فاتوره مهي فاتورتي وقال كله موجود في السستم انت روح بعدين تعال عشان كنت مستعجل وبلحق على الفطور ورجعت لهم اليوم الثاني يقول لي انت عندك فاتوره راجع الاداره في العوالي وانا في بئر الغنم العامل اللي اسمه بلال مو مزبوط نصاب وحاولت اتواصل عن طريق خدمه العملاء للاسف الخط يرن ومحد يرد انتبهو من العمال .الأحد، 15 مارس 2026 في 09:37 ص</t>
  </si>
  <si>
    <t xml:space="preserve">تم مراجعة الكامرا في حينها وقد تم التعبئه فعلا </t>
  </si>
  <si>
    <t>2026-01-16 01:21:51 AM UTC+03:00</t>
  </si>
  <si>
    <t>سلمان امين</t>
  </si>
  <si>
    <t>محل - ديوانية</t>
  </si>
  <si>
    <t>استفسار على عدم التواصل من قبل التأجير</t>
  </si>
  <si>
    <t>ايود الشيخ</t>
  </si>
  <si>
    <t>حسبي الله ونعم الوكيل عليه
كمان اداره مافي في المحطه نشتكي - مرفق صورة العامل</t>
  </si>
  <si>
    <t>علي حرير</t>
  </si>
  <si>
    <t>تم التوجيه والتشديد على مدير المحطة بضرورة متابعة أداء العمال بشكل أفضل لضمان جودة الخدمة.
كما نود الإحاطة بأن الشكوى الواردة لا تتضمن تفاصيل كافية، ولا يمكن التواصل مع العميل نظرًا لكونها واردة عبر منصة قوقل ماب.</t>
  </si>
  <si>
    <t xml:space="preserve">الوكيل  - محطة قائمة لكن قديمة </t>
  </si>
  <si>
    <t>حاسن سعيد</t>
  </si>
  <si>
    <t>2026-04-16 06:37:41 PM UTC+03:00</t>
  </si>
  <si>
    <t xml:space="preserve">بيرسل الشكوى واتس اب </t>
  </si>
  <si>
    <t xml:space="preserve">جعرانة - كشك قهوة - اول فرع </t>
  </si>
  <si>
    <t>منصور زياد</t>
  </si>
  <si>
    <t xml:space="preserve">مغسلة - اول فرع - الامير فواز </t>
  </si>
  <si>
    <t>بطاقة مدار</t>
  </si>
  <si>
    <t>عبدالرحمن طنطاوي</t>
  </si>
  <si>
    <t>2026-01-17 02:37:49 PM UTC+03:00</t>
  </si>
  <si>
    <t xml:space="preserve">شركة خدمات بيئية </t>
  </si>
  <si>
    <t>عبدالرحمن على</t>
  </si>
  <si>
    <t>ابو زياد</t>
  </si>
  <si>
    <t xml:space="preserve">مغسلة حسب الاشتراطات الجديده مستعد  </t>
  </si>
  <si>
    <t>بمساحة 3000 م قائمة ولكن البنزين متوقف لعدم الامكانية-المالك</t>
  </si>
  <si>
    <t>عبدالرحمن علي القحطاني</t>
  </si>
  <si>
    <t>٦٧٠٠ م - لها رخصة بناء محطة:نعم - الارض علي اجيب اجارها ٢٠ سنه</t>
  </si>
  <si>
    <t>حاتم ناصر العتيبي</t>
  </si>
  <si>
    <t xml:space="preserve">مغسلة - العمرة - اول فرع </t>
  </si>
  <si>
    <t>العامل حاسبني مرتين مبلغ 50 ريال وما شفت الا يوم وصلت شمال جدة</t>
  </si>
  <si>
    <t xml:space="preserve"> تم حلها من قب مدير المحطة والعميل راضي عن الخدمة جدا</t>
  </si>
  <si>
    <t>مصعب ممدوح</t>
  </si>
  <si>
    <t xml:space="preserve">جواز سوداني - المسجد او في المقهى </t>
  </si>
  <si>
    <t>راح يجي ويوريكم الجواز من الجوال عشان يستلمه</t>
  </si>
  <si>
    <t>نبي  كوفي هيام في درب MK007</t>
  </si>
  <si>
    <t>عوض الحربي</t>
  </si>
  <si>
    <t xml:space="preserve"> 2:30 م 04-17  الجمعة  -كنت في المحطة وجيت وقفت قلت للعامل عبي قام اشر شوية و واقف ينتظر لين تخلص السياره الي هو مع حول 5 دقايق بطلع فيني وياشر استنى استنى شوية يروح للمسار الثاني ويعبي للتوه جاي اقوله تعال عبي يطالع قمت عصبت ورحت مسار ثاني وعبيت في النهايه  - سكويا ابيض -  (1898- ب ق م ) - المسار  الثالث  - تمت محاولة التواصل عدة مرات ولم يتم الرد ولم يتم ايجاد السيارة في الكاميرات</t>
  </si>
  <si>
    <t>عبدالمجيد الشيخي</t>
  </si>
  <si>
    <t>الرئيس التنفيذي للولو ماركت - يرغب بمساحات في درب في الغربيه</t>
  </si>
  <si>
    <t xml:space="preserve">سهل فاضل عقيل </t>
  </si>
  <si>
    <t xml:space="preserve">عبيت ب50 ريال وانسحبت 50 ثانية بعدها بدقيقه وكلمت البنك وقالو اكلمكم - 1-8 - 1:44م  </t>
  </si>
  <si>
    <t>فرنشايز بارنيز</t>
  </si>
  <si>
    <t>محمد كلالي</t>
  </si>
  <si>
    <t xml:space="preserve">تم التوضيح للعميل بان يخاطب البنك المركزي وشكرنا على الخدمة </t>
  </si>
  <si>
    <t xml:space="preserve">الاربعاء او الثلاثاء - 4ونص عبيت بعد اذان الفجر- ثاني مره اعبي ويتركلي الغطا مفتوح والبنزين راح نفس العامل - انا اشتغل في الهدايا سنتر ونفس الشي صار ورحت للمدير  يقول اعطيك 20 انا ما جيتك اطلب فلوس انا جيك تنبه العامل الان صارت لي ثاني مره - كرون فكتوريا - ازرق سماي ( أ ص ر - 1680)  - المسار الوسط - احمر  47 تقريبا كاش  - كانو اثنين واحد بلحيه والثاني بدون لحيه هو الي نسيه مرتين - تم التواصل وافدنه بانه لم يتم ايجاد السيارة في الكاميرات وتم الاعتذار وقال لان دفعت كاش ومن كم يوم مو متاكد متى بضبط  وتم اقفال التذكرة </t>
  </si>
  <si>
    <t>عبدالكريم الثبيتي</t>
  </si>
  <si>
    <t>استفسار عن الية التقديم على الوظائف</t>
  </si>
  <si>
    <t>استفسار عن الية الاستثمار</t>
  </si>
  <si>
    <t>خلاص</t>
  </si>
  <si>
    <t>سعد</t>
  </si>
  <si>
    <t>درايف ثرو - 3 فروع بانا كافية - المالك</t>
  </si>
  <si>
    <t xml:space="preserve">هل في تامين للموظفين </t>
  </si>
  <si>
    <t>علي الوتاري</t>
  </si>
  <si>
    <t>هادي</t>
  </si>
  <si>
    <t>2026-04-17 07:14:37 PM UTC+03:00 - لم يتم الرد</t>
  </si>
  <si>
    <t xml:space="preserve">محل حلاق - 2 فرعين </t>
  </si>
  <si>
    <t>Fuad Saed</t>
  </si>
  <si>
    <t xml:space="preserve">عامل واحد في المحطة غلط كبير عشان تعبي وقود تنتظر اكثر من ١٠ دقايق
 السبت، 17 يناير 2026 في 08:56 م
</t>
  </si>
  <si>
    <t>نقص عمالة</t>
  </si>
  <si>
    <t xml:space="preserve">كوبون من اكس </t>
  </si>
  <si>
    <t xml:space="preserve">تم حلها من قبل المحطة </t>
  </si>
  <si>
    <t>استفسار عن نتيجة المقابلة</t>
  </si>
  <si>
    <t>عبدالعزيز بن حامد المعبدي</t>
  </si>
  <si>
    <t xml:space="preserve">تأخير من الموظفين عشان تبعي بنزين
اجلس 10 دقايق عشان اعبي بس
المرة الجاية هجلس كم؟
انا ما اتكلم عن الزحمة انا متفهم التردد الكبير ولكن اتمنى هذه الملاحظة يتم تعديلها ويتم اعلام الموظفين بسرعة التعبئة ومضاعفة الاداء في حال الازدحام
وشكراالجمعة، 16 يناير 2026 في 05:49 م
</t>
  </si>
  <si>
    <t xml:space="preserve">تم توجيه مدير المحطة لمتابعة حركة العمال والتواجد في الموقع في وقت الازدحام لتسريع خدمة العميل </t>
  </si>
  <si>
    <t>كان عندي مشكلة وحلها مشرف المحطة وشكرا على اهتمامكم</t>
  </si>
  <si>
    <t xml:space="preserve">ممدوح الحويطي </t>
  </si>
  <si>
    <t>Turki</t>
  </si>
  <si>
    <t>Ibrahim Al-Bakri</t>
  </si>
  <si>
    <t xml:space="preserve">محطة درب بعد المشروع الجديد اصبح الدخول لها والخروج منها صعب
الأربعاء، 18 فبراير 2026 في 04:14 ص
</t>
  </si>
  <si>
    <t xml:space="preserve">المؤسسة سهم هرماس 3 سيارات بجدة تبوك كل يومين 500 ريال </t>
  </si>
  <si>
    <t xml:space="preserve">توجد مشاريع خاصه على كامل الطريق من قبل البلدية </t>
  </si>
  <si>
    <t xml:space="preserve">وربي ي في عامل سيء محمد عكاش اتوقع اسمه حاسبته شبكه يقول لا م قبلت
الجمعة، 16 يناير 2026 في 01:45 م
</t>
  </si>
  <si>
    <t xml:space="preserve">تم التواصل وافادته برقم مسؤول المبيعات بسيارة اب </t>
  </si>
  <si>
    <t xml:space="preserve">تم ابلاغ مدير المحطة ومدير المنطقة بالشكوى لتوجيه انذار للعامل المذكور والشد على بقيه العمال في المحطة </t>
  </si>
  <si>
    <t>2026-04-18 01:02:04 PM UTC+03:00 - لم يتم الرد</t>
  </si>
  <si>
    <t>السفاح LFD</t>
  </si>
  <si>
    <t xml:space="preserve">وليد راجح </t>
  </si>
  <si>
    <t xml:space="preserve">محطة سيئة حتى مالها مخرج للطريق السريع
الاثنين، 16 فبراير 2026 في 08:19 م
</t>
  </si>
  <si>
    <t xml:space="preserve">حسب التصاريح المستخرجه من البلديه و الدفاع المدني </t>
  </si>
  <si>
    <t>ممكن التواصل مع المستثمر لصاحب محطة درب السيل الكبير</t>
  </si>
  <si>
    <t>5700م - ترخيص جاهز مسوق عقاري</t>
  </si>
  <si>
    <t>تم محاولة الاتصال لا يوجد رد</t>
  </si>
  <si>
    <t xml:space="preserve">2026-04-18 02:54:11 PM UTC+03:00 - افاد انه ما اتصل </t>
  </si>
  <si>
    <t xml:space="preserve">Mohit Bhagchandani </t>
  </si>
  <si>
    <t xml:space="preserve">تركي محمد الشهري </t>
  </si>
  <si>
    <t xml:space="preserve">بركات سندي </t>
  </si>
  <si>
    <t xml:space="preserve"> فريقنا العزيز، معكم موهيت من شركة باواكو للمعارض والفعاليات! نحن شركة متخصصة في بناء منصات العرض لمعرض WPC ENERGY الرياض 2026. هل يمكننا مساعدتكم في بناء منصتكم؟ تواصلوا معي على الرقم +971 522970237 أو عبر البريد الإلكتروني mohit@bawaco.me </t>
  </si>
  <si>
    <t xml:space="preserve">حاب افتح مشروع قهوه درايف ثرو (كشك ) لمحطتكم الجديده طريق الملك قبل محبوك وبصراحه انا مواطن سعودي ونفسي افتح مشروح وانجح لاتنسوني . </t>
  </si>
  <si>
    <t>تم التحويل لامل الشمراني</t>
  </si>
  <si>
    <t xml:space="preserve">شركة القافلة والينابيع المشتريات اللوحات الاعلانية </t>
  </si>
  <si>
    <t xml:space="preserve">استفسار عن المحطة طريق السيل بروحها بس جايتني اثنين وحده مغلقه ووحده لا </t>
  </si>
  <si>
    <t xml:space="preserve">تمت افادته وارسال المغلق لاماني لاقفالها </t>
  </si>
  <si>
    <t xml:space="preserve">بطاقة مدار وافادته بسيارة اب لديه 23 سيارة لشركة حدائق الخضراء </t>
  </si>
  <si>
    <t>مروان المطرفي</t>
  </si>
  <si>
    <t xml:space="preserve">تزويده بررقم م. رغد </t>
  </si>
  <si>
    <t>Mohammed Alharbi</t>
  </si>
  <si>
    <t xml:space="preserve">2000م على ثلاث شوارع - وكيل </t>
  </si>
  <si>
    <t xml:space="preserve">السلام عليكم ورحمة الله وبركاته، حابين نستفسر بخصوص مواقع اكشاك الدرايف ثرو في المحطة الجديده بجده على طريق الملك
</t>
  </si>
  <si>
    <t>اشرف المقبلي</t>
  </si>
  <si>
    <t xml:space="preserve">ابي استأجر المظلة </t>
  </si>
  <si>
    <t xml:space="preserve">الاستفسار عن مغسلة في الرصيفه </t>
  </si>
  <si>
    <t>سعيد الشهراني</t>
  </si>
  <si>
    <t>عبيت بـ 1444 لتر - 2600 ريال  - شركة انشاء وبناء للمقاولات 
والعامل يقول مافي فاتورة قلت اتصل عليكم لان المبلغ كبير وراح ادفعه من عندي ولازم فاتورة للشركة  - 18/1/2026 - تم ارسال الفاتورة</t>
  </si>
  <si>
    <t>عسبر</t>
  </si>
  <si>
    <t xml:space="preserve">تم ارسال الفاتوره للعميل </t>
  </si>
  <si>
    <t>هل المحطة لدرب ولا فرنشايز  لان رابع مره امر عليها ولا فيه بنزين مريت يوم 29 و30 رمضان واليوم 6 شوال لو تبون اثبات بمر على المحطه الان واذا ماتبون توفرون البنزين ياكثر المحطات نروحلها واتمنى تحافظون على سمعتكم وتوفرون البنزين</t>
  </si>
  <si>
    <t>محمد فطاني</t>
  </si>
  <si>
    <t xml:space="preserve">جمعية عطاء المكية  سيارة اب </t>
  </si>
  <si>
    <t>فيصل الحارثي</t>
  </si>
  <si>
    <t>مطعم - اكثر من فرع</t>
  </si>
  <si>
    <t>بالخطا</t>
  </si>
  <si>
    <t>Mohammed Alrougi</t>
  </si>
  <si>
    <t xml:space="preserve">لي 5د ومو راضي يجي عندي ، وجاء العامل الي بالمسار الاخر وخدمني اما هذا مكانه ما تحرك ويشتم بلغته ايضاً ويحسبني ما افهم
الأحد، 15 فبراير 2026 في 01:08 م
</t>
  </si>
  <si>
    <t>تم ابلاغ مدير المحطة لمراجعة الكاميرات وتحديد العامل والعمل على انذاره ان كانت المضخة في حدوده ورفض التعبئة تكاسلا ً</t>
  </si>
  <si>
    <t xml:space="preserve">محمد ابو الحسن </t>
  </si>
  <si>
    <t xml:space="preserve">سواعد عرربية محدودة - سيارة اب </t>
  </si>
  <si>
    <t>بيان</t>
  </si>
  <si>
    <t xml:space="preserve">حسام </t>
  </si>
  <si>
    <t xml:space="preserve">محل غسيل سيارات - اول فرع </t>
  </si>
  <si>
    <t>استفسار عن الوظائف</t>
  </si>
  <si>
    <t xml:space="preserve">ممدوح المالكي </t>
  </si>
  <si>
    <t xml:space="preserve">الطائف خط البيعة - أول فرع </t>
  </si>
  <si>
    <t xml:space="preserve">استثمار بمبلغ مالي </t>
  </si>
  <si>
    <t xml:space="preserve">مسؤول لميناء جدة - مزايده لطرح موقع </t>
  </si>
  <si>
    <t xml:space="preserve">العميل يستفسر عن عودة الدوام الرسمي بعد العيد لان رفع شكوى وراح توصلنا خلال 48 ساعة عمل ولا يرغب بالافادة بالتفاصيل </t>
  </si>
  <si>
    <t>احمد ابوعسر</t>
  </si>
  <si>
    <t>عمر</t>
  </si>
  <si>
    <t xml:space="preserve">للأسف الشديد لايوجد رقابه على العمال وقفت عند طرمبة البنزين وطلبت يعبي ب٥٠ بنزين ٩١ راح العامل سحب مسدس التعبئه من الطرمبه اللي خلف السياره وشغل دون ان يحط ٥٠ على الطرمبه وضل يراقب العداد لما وصل ٥٠ ومشيت وعدد الكيلوات قليل على كل مره اي انه لم يصفر الطرمبه وكان في رقم ماشفته لانه عبى من الطرمبه البعيد من السياره انتبهو والله هذا اللي صار وتوبه اعبي منهم
الجمعة، 17 أبريل 2026 في 07:49 م
</t>
  </si>
  <si>
    <t xml:space="preserve">لانه لايوجد وقت محدد لمراجعة الكاملرات والتأكد من الشكوى تم ابلاغ مدير المحطة لزيادة المراقبه والمتابعة للعمال بشكل يومي </t>
  </si>
  <si>
    <t>استفسار مغسلة - 1 فرع - المالك براند قود كلين</t>
  </si>
  <si>
    <t xml:space="preserve">عبدالعزيز الشريف </t>
  </si>
  <si>
    <t xml:space="preserve">الليث - المالك - مجمع محطة </t>
  </si>
  <si>
    <t>2026-02-18 06:06:54 PM UTC+03:00</t>
  </si>
  <si>
    <t>Fahad Albazai</t>
  </si>
  <si>
    <t>Darb75</t>
  </si>
  <si>
    <t xml:space="preserve">مغسلة السيارات غير معقول العطله فيها إذا دخلت مالك مخرج تقعد لك حول ٣٠ إلى ٤٥ دقيقه و انت محبوس بالسيب لا انت قادر تبط ولا شي راح يومي و أنا في المغسله
الجمعة، 17 أبريل 2026 في 05:51 م
</t>
  </si>
  <si>
    <t xml:space="preserve">سعيد احمد الزهراني </t>
  </si>
  <si>
    <t xml:space="preserve">اول فرع - المالك - درايف ثرو </t>
  </si>
  <si>
    <t xml:space="preserve">جاي من خط سفر وابغا انفخ الكفر ومن اول ماهو راضي يشغل ماطور الهوا و مكتوب على المحل انه مفتوح 24 ساعه ومقفلين المحل بس العامل قاعد برا ماهو راضي يسوي ولا شي
</t>
  </si>
  <si>
    <t>ماجد سعود الحسين</t>
  </si>
  <si>
    <t>aiman msam</t>
  </si>
  <si>
    <t xml:space="preserve">لو طلبت بنزين لحال يقولي لازم اخذ جركل ب50 والبنزين فيه ب15 فقط!!
الخميس، 19 فبراير 2026 في 03:18 ص
</t>
  </si>
  <si>
    <t xml:space="preserve">العامل سحب مبلغ 90.97 الساعه 9:21 ص وهو في الشاشه ويوم قالي كان المبلغ 42 - بنزين 91  - (س ب و - 8654)كحلي 2026 جيلي  - المسار الداخلي - رقم التواصل 503890822 </t>
  </si>
  <si>
    <t xml:space="preserve">تم التحقق وكان المبلغ 41 هو اللترات تم التوضيح بانه بعض المرات يتم تعبئة الخزان الاحتياطي وتفهم وشكرنا على الخدمة </t>
  </si>
  <si>
    <t>تم توضيح السياسة:حياك الله في محطة درب 
نعتذر لعدم توضيح سياسة التعبئة في الجالون مسبقًا.
وحسب توجيهات الدفاع المدني، يُسمح بالتعبئة فقط في جالون مخصص وآمن مطابق للاشتراطات.
لذلك توفر محطة درب جالون مخصص مقابل مبلغ تأمين مسترد، بحيث يتم استلام الجالون واستخدام الوقود، ثم إعادته للمحطة لاسترجاع مبلغ التأمين.
نقدّر تفهمك ونسعد بخدمتك دائمًا 🧡🙏🏻.</t>
  </si>
  <si>
    <t>البراء</t>
  </si>
  <si>
    <t xml:space="preserve">محل "مركز 2000 الفني لتنظيف بخاخات السيارات
" تواجهه مشكلة مع صاحب "تموينات جنى للمواد الغذائية
" يفيد ان توزيع المواقف بينه وبين صاحب البقالة 2 له و5 للتموينات وفي موقف امام مستودع البقاله مايستفيد منه صاحب البقالة ولا عمره فتح المستودع واحتجت اصلح فيه سياره خربانه ورافض اوقف فيه السياره يرغب بحل الاشكالية </t>
  </si>
  <si>
    <t xml:space="preserve">تم توجيه الشكوى لإدارة التشغيل للمفاهمه من مدير المنطقه </t>
  </si>
  <si>
    <t>مسفر</t>
  </si>
  <si>
    <t xml:space="preserve">شفت عامل المحطة يدخن ف دورات المياه خله ريحه كريهه
الأربعاء، 21 يناير 2026 في 09:51 م
</t>
  </si>
  <si>
    <t xml:space="preserve">م ابلاغ مدير المحطة لمراجعة كامرات مدخل دورات المياه بنفس التوقيت ويحدد العامل واعطاءه لفت نظر لكي لاتتكرر مره اخرى </t>
  </si>
  <si>
    <t>هل يوجد سكن بالمحطه ابي استاجر</t>
  </si>
  <si>
    <t>سليمان عسيري</t>
  </si>
  <si>
    <t>5000م - لا يوجد رخصة</t>
  </si>
  <si>
    <t xml:space="preserve">مترو </t>
  </si>
  <si>
    <t>استفسار عن تطبيق نور</t>
  </si>
  <si>
    <t xml:space="preserve">محطة عظم بمساحة 7606 م - موظف </t>
  </si>
  <si>
    <t>الخميس مشيط</t>
  </si>
  <si>
    <t>اشواق احمد</t>
  </si>
  <si>
    <t>هذا ثالث يوم ومافي بنزين اخضر 91 الرجاء توفيره تاريخ الاتصال 2-19</t>
  </si>
  <si>
    <t xml:space="preserve">تم التواصل مع العميل وإرضاءه وتأكيد وجود المنتج </t>
  </si>
  <si>
    <t>كان في اشكالية وحلها لي المشرف بالمحطة</t>
  </si>
  <si>
    <t>ارجوا الاهتمام بالنظافه النظافه النظافه ورائحة الحمام و شكراً لكم - 17:22:26 Thursday, January 15, 2026</t>
  </si>
  <si>
    <t xml:space="preserve">نقترح توفير عاملة نظافة </t>
  </si>
  <si>
    <t xml:space="preserve">للاسف دورات مياه المسجد قذره والشطافات مكسوره وعامل النظافه دخل لمده دقيقه يمسح اي كلام ترك القذاره كما هي في الارضيات .. يا مالك المحطه جزاك الله خير المسجد انيق فكمل جميلك واعتني بالحمامات اكثر وصيانتها وخلك حازم مع عامل النظافة
</t>
  </si>
  <si>
    <t xml:space="preserve">
 تم التواصل مع مدير المنطقة وشرح الملاحظة وافاد ان المحطة بحاله جيده و يوجد لديهم عاملين نظافة متكفل المالك بزيادة عامل 
وان جميع الشطافات و الخلاطات المغاسل جيده وتم تغيرها قريب وافاد مدير المحطة انه لا يوجد اعطال </t>
  </si>
  <si>
    <t>حسين الوادعي</t>
  </si>
  <si>
    <t xml:space="preserve">استثمار محطة كاملة </t>
  </si>
  <si>
    <t>احمد الشريف</t>
  </si>
  <si>
    <t xml:space="preserve"> Ameera Asiri</t>
  </si>
  <si>
    <t>اسم العلامة التجارية: الشاهي الممتاز
عدد الفروع: ٤</t>
  </si>
  <si>
    <t>لايوجد صابون - دورات المياه تحتاج صيانه - لاتوجد علاقات للعبي - المسجد جدا متسخ ورائحته كريهة ومهمل لايليق بان يكون مكان لاداء الصلاه فيه - 17:15:53 Friday, January 16, 2026</t>
  </si>
  <si>
    <t xml:space="preserve">تم اخطار مدير المحطة وتم التنويه على ضرورة متابعة فريق النظافة 
الصيانة تم رفع تذكرة لجهاز الصابون 28/12/2025 12:15متعلقه من تاريخ 
</t>
  </si>
  <si>
    <t>زهير عبدالقادر</t>
  </si>
  <si>
    <t>عبيت عن طريق سياره اب فل ومشيت الا خبطت السيارة وديتها الشركة واعطوني خطاب واتضح ان العامل عبى لي ديزل بدل البنزين اتمنى النظر في المشكلة</t>
  </si>
  <si>
    <t>سلطان الحربي</t>
  </si>
  <si>
    <t xml:space="preserve">
نفيدكم بأن العميل صاحب المركبة رقم (س د ع 2471) تقدم بشكوى تفيد بأنه بتاريخ 3/2/2026 قام بالتعبئة عبر تطبيق سيارة أب 
  وكانت رغبته تعبئة بنزين إلا أنه بعد مغادرته المحطة تعرضت المركبة لخلل مفاجئ وتوقفت
وعند مراجعة الشركة المختصة وإصدار خطاب فني، تبين أن سبب العطل يعود إلى تعبئة وقود ديزل بدل البنزين
مما يؤكد وقوع خطأ من عامل محطة درب بطحاء قريش (2) MK031 في اختيار المنتج أثناء عملية التعبئة.
وعليه، وبناءً على الخطاب الفني المرفق والفواتير الصادرة عن الجهة المختصة بإصلاح المركبة
نأمل من سعادتكم التوجيه بما يلزم حيال ثبوت خطأ العامل بالمحطة  حيث ان العميل توجه بالمطالبة بتعويض 
(مرفق خطاب )
(مرفق فديو )
( مرفق فاتوره)
(لفت نظر )
( تقدير ) 
تحمل العامل جزء من المبلغ 
</t>
  </si>
  <si>
    <t xml:space="preserve"> عبدالرحمن مشعل</t>
  </si>
  <si>
    <t>محل - سوبر ماركت - اول فرع</t>
  </si>
  <si>
    <t>الحمام وسسسخ يحتاج تنظيف  - 20:43:52 Friday, January 16, 2026</t>
  </si>
  <si>
    <t>تم اخطار مدير المحطة وتم التنويه على ضرورة متابعة اعمال النظافة لما تشهد المحطة من كثافة مستخدمين</t>
  </si>
  <si>
    <t>استفسار وظيفة</t>
  </si>
  <si>
    <t>عبدالعزيز العماري</t>
  </si>
  <si>
    <t>معاذ</t>
  </si>
  <si>
    <t xml:space="preserve">JA092 </t>
  </si>
  <si>
    <t xml:space="preserve"> MK072</t>
  </si>
  <si>
    <t>وقفت اعبي قلت له 91 ععبى لي ب95 احمر ب 3 ريال بعدين عبى اخضر مايعرف عربي ابدا وقام يعتذر ويترجم بالجوال المشكله باللغه ما يعرف ولا شي- الساعه2:50م المسار الي وجه السيارة بترومين جوا - ح و ك - لونها ابيض كامري 2017   - تم الاعتذار وشكرنا على الخدمة</t>
  </si>
  <si>
    <t>بالله عليكم دورات المياه كلها افرنجي احنى عرب حطو واحد حمام ذوي احتياجات والباقي عربي تخلوني اتعنقل واطلع بالشبشب ع الكرسي لانو وصخ ماينفع ومحد يحط البتاع ورا البتاع ماينفع يرحم والديكم غيرو الكراسي عربي وشوكرن - 00:58:52 Saturday, January 17, 2026</t>
  </si>
  <si>
    <t>ماجد السلمي</t>
  </si>
  <si>
    <t>شاركت في مسابقة وفزت بكوبون 100 ريال وماحد تواصل معي للان</t>
  </si>
  <si>
    <t xml:space="preserve">تم الارسال أ.عبدالعزيز </t>
  </si>
  <si>
    <t>استفسار عن اسواق درب</t>
  </si>
  <si>
    <t>أحمد الحمرواي</t>
  </si>
  <si>
    <t>عمر احمد</t>
  </si>
  <si>
    <t xml:space="preserve"> تبع الصبون اللي موجودة علي ال ٢ حوض في الحمامات تحتاج تغير - 11:49:46 Saturday, January 17, 2026</t>
  </si>
  <si>
    <t xml:space="preserve">تم رفع تذكرة صيانة وتم اصلاحها </t>
  </si>
  <si>
    <t>جيت ابي اعبي بنزين والعمال ما رضيو يخبطوا على السيارة وكل واحد يقول المضخه هذيك هذيك ويصرفوني على بعضهم عصبوني واحنى صيام يعني مو اول مره ليه يقبلو سيارة اب كل مره كذا ؟ - هونداي 2010 ابيض - (2861 - أ ق س )  2026-02-22 03:37:15 PM UTC+03:00</t>
  </si>
  <si>
    <t xml:space="preserve">يوجد عاملين مختصين بتطبيق سياره اب  والجهاز بعهدتهم بالمحطات ولم يتم تدريب كل العماله على كيفيه التعبئه فمن الطبيعي عند طلب العميل التعبئه عبر تطبيق سياره اب ان يتم توجيهه للعامل المختص المسؤول عن جهاز سياره اب </t>
  </si>
  <si>
    <t>شفيق صقر</t>
  </si>
  <si>
    <t xml:space="preserve">لا يوجد رد </t>
  </si>
  <si>
    <r>
      <rPr>
        <rFont val="Calibri"/>
        <b/>
        <color rgb="FF434343"/>
        <sz val="10.0"/>
      </rPr>
      <t xml:space="preserve">يوم الاحد الساعه 4:57 الفجر عبيت بنزين91بمبلغ 50 ريال واللي خربان والعامل اكيد ماعبى ابي اتاكد هل تمت التعبئة وثاني شي العامل يدري ان اللي خربان ومكمل يعبي؟ ( كامري 2018 ذهبي الووحة د س ط 9658 ) </t>
    </r>
    <r>
      <rPr>
        <rFont val="Calibri"/>
        <b/>
        <color rgb="FFFF9900"/>
        <sz val="10.0"/>
      </rPr>
      <t xml:space="preserve"> - تم التواصل مع العميل وشكرنا على الخدمة </t>
    </r>
  </si>
  <si>
    <t>Maria Alghmadi</t>
  </si>
  <si>
    <t>2026-02-23 02:36:06 AM UTC+03:00</t>
  </si>
  <si>
    <t>تم اقفال الاتصال</t>
  </si>
  <si>
    <t xml:space="preserve">        الريحه سيئه جدا و حفتيض الاطفال مفتوحه و مرمبه في كل مكان و الابواب لا تغلق ابدا - 18:25:37 Saturday, January 17, 2026</t>
  </si>
  <si>
    <t xml:space="preserve">تمت صيانة الابواب </t>
  </si>
  <si>
    <t>حمدان عبدالله</t>
  </si>
  <si>
    <t>دنّح /Dn7</t>
  </si>
  <si>
    <t xml:space="preserve">ثقال وبالغصب ياجيك
السبت، 21 فبراير 2026 في 10:21 م
</t>
  </si>
  <si>
    <t xml:space="preserve">استياء من وقت  تبديل الوردية ياخذون اكثر من 10 دقايق </t>
  </si>
  <si>
    <t>المحطة لازالت مفتوحه وماافيها بنزين  - مرفق فيديو</t>
  </si>
  <si>
    <t xml:space="preserve">تم ابلاغ مدير المنطقة ومدير المحطة لزيادة المتابعه وتدريب العمال على سرعه الانجاز </t>
  </si>
  <si>
    <t xml:space="preserve"> تم تصعيد الشكوى ايميل </t>
  </si>
  <si>
    <t>امنة</t>
  </si>
  <si>
    <t>اتمنى توفير موظفه لتنظيف الحمامات لانها سيئه جدا - 21:37:47 Saturday, January 17, 2026</t>
  </si>
  <si>
    <t>بدر الهذلي .</t>
  </si>
  <si>
    <t xml:space="preserve">ارغب في التواصل معكم بخصوص فرعكم في مدينة جدة حي الامير عبدالمجيد ، حاولت الاتصال على الرقم ولم يتم الرد ، وشكراً .
</t>
  </si>
  <si>
    <t>تم معاودة الاتصال مرتين ومغلق</t>
  </si>
  <si>
    <t>Sama</t>
  </si>
  <si>
    <t>نظافه صفر مقرف جدا - 18:15:04 Friday, January 16, 2026</t>
  </si>
  <si>
    <t xml:space="preserve">تم اخطار مدير المحطة و التنويه على جميع مرافق المحطة </t>
  </si>
  <si>
    <t>shaikh maidul Islam</t>
  </si>
  <si>
    <t xml:space="preserve">عمر </t>
  </si>
  <si>
    <t>القنفذه</t>
  </si>
  <si>
    <t xml:space="preserve"> اود الاستفسار عن محطة الدرب فالقنفذة اود استأجر منطقة لفتح مغسلة سيارات ان لم يكون موجود مستأجر لديه مغسلة </t>
  </si>
  <si>
    <t>الموظف فاروخ سلوكه سيء جداً، يرجى النظر في الأمر، لا يعرف كيف يتحدث مع العملاء. مشغول بمكالمة فيديو شخصية ولا يهتم بالعملاء.
الاثنين، 20 أبريل 2026 في 03:48 ص</t>
  </si>
  <si>
    <t xml:space="preserve">تم ابلاغ  مدير المنطقة للشد على العامل المذكور وتوجيه انذار شفوي شديد اللهجة له </t>
  </si>
  <si>
    <t>مو انا اتصلت يمكن واحد من العيال</t>
  </si>
  <si>
    <t>كك</t>
  </si>
  <si>
    <t xml:space="preserve">عبدالله خلاف
</t>
  </si>
  <si>
    <t>طلب عاجل لتزويد بلقطات كاميرات المراقبة للتحقق من حادث مروري 
أتقدم إليكم بطلب عاجل لتزويدي بلقطات كاميرات المراقبة الخاصة بموقع محطة درب – شارع عمرو ابن مرة، أبحر الجنوبية، بمدينة جدة، وذلك ليوم الأربعاء الموافق ٢ فبراير ٢٠٢٦م في تمام الساعة ٠٤:٥٦ مساءً تقريبًا.
ويأتي هذا الطلب بغرض التحقق من ملابسات حادث مروري، حيث إن اللقطات مطلوبة لتقديمها إلى نجم لدعم إجراءات المطالبة والتحقيق.
ونظرًا لأن بعض أنظمة المراقبة تقوم بحذف التسجيلات تلقائيًا بعد فترة زمنية محدودة، آمل منكم التكرم بسرعة حفظ المقطع الخاص بالتوقيت المذكور وعدم حذفه إلى حين استكمال الإجراءات النظامية، مع تزويدي بنسخة منه في أقرب وقت ممكن.وأؤكد استعدادي التام لتغطية أي رسوم نظامية مترتبة على استخراج التسجيل.</t>
  </si>
  <si>
    <t xml:space="preserve">        حماماتكم وصخه مره ورائحتها خايسه جدا و غير لائقة و لا يوجد مناديل و خايس مره يبيله تنظيف - 09:29:24 Saturday, January 17, 2026</t>
  </si>
  <si>
    <t xml:space="preserve">تم محاولة الاتصال لا يوجد رد وتم الرد عليه على الايميل باحضار خطاب رسمي من الشرططه + تم التواصل وافاد جاب محضر بيتوجه للمحطه اذا واجهته اي مشكلة راح يتواصل معانا </t>
  </si>
  <si>
    <t>تم التنويه على ضرورة متابعة المرافق وتم اخطار مدير المحطة</t>
  </si>
  <si>
    <t>استفسار عن الجركل</t>
  </si>
  <si>
    <t xml:space="preserve">ددرب 7 رفض التعبئة 11:55 انتظر الشفت واقفين تبديل الودرية مكينة 24 شانجات </t>
  </si>
  <si>
    <t xml:space="preserve">الوقت كان وقت تبديل ورديه ووقوف مؤقت لتبديل العمال </t>
  </si>
  <si>
    <t>محمد الحارثي</t>
  </si>
  <si>
    <t>محل مغسلة سيارات براند "بوم" - عدد الفروع 2 - المالك</t>
  </si>
  <si>
    <t xml:space="preserve">سرحان صالح </t>
  </si>
  <si>
    <t>استفسار عن التاجير</t>
  </si>
  <si>
    <t xml:space="preserve">تمت افادته وافاد اول ما اكون جاهز بتواصل معكم </t>
  </si>
  <si>
    <t xml:space="preserve">استاجار في جدة الروضة </t>
  </si>
  <si>
    <t>مايتذكر ليه اتصل علينا في اجازة لعيد</t>
  </si>
  <si>
    <t xml:space="preserve">أبغى استفسر عن الامتياز التجاري وعن المواقع المتاحه والامتياز التجاري الدولي والمحلي </t>
  </si>
  <si>
    <t>محطة - 5000م - الوكيل</t>
  </si>
  <si>
    <t xml:space="preserve">عبدالعزيز الشعبي </t>
  </si>
  <si>
    <t>مركز صيانة كهربه - 2 فرع ( مركز تاج الابداع)- المالك</t>
  </si>
  <si>
    <t>بالخطاء</t>
  </si>
  <si>
    <t>Caola Mr</t>
  </si>
  <si>
    <t>الحمام جدا وسخه الأحد، 22 فبراير 2026 في 03:45 م</t>
  </si>
  <si>
    <t xml:space="preserve"> اخطار مدير المحطة و تم التنويه على ضرورة متابعة اعمال النظافة</t>
  </si>
  <si>
    <t>متعب مبارك العنزي</t>
  </si>
  <si>
    <t xml:space="preserve">        2026-01-18 06:17:58 PM UTC+03:00</t>
  </si>
  <si>
    <t>لم يتم الرد 20/1</t>
  </si>
  <si>
    <t>اوقات عمل المغاسل في العيد</t>
  </si>
  <si>
    <t xml:space="preserve">مستاجر منهم ولي شهر ماشغلو الكهرب المحطه جاهزه بس اخرونا في الكهرب الله المستعان وكلما تسال متى تشتغل قالو يومين وكل مره على الحال ذا
 تم التحرير في الأحد، 22 فبراير 2026 في 03:34 م
</t>
  </si>
  <si>
    <t>تم ارسال ايميل لادارة العقار+متابعة بالتذكير</t>
  </si>
  <si>
    <t>شاكر الحكم</t>
  </si>
  <si>
    <t>استاجار في جدة الروضة - محل او مغسله</t>
  </si>
  <si>
    <t>الاستفسار هل يوجد قاز  في محطات درب</t>
  </si>
  <si>
    <t>علي القحطاني</t>
  </si>
  <si>
    <t>احد المسارحه صارت لي مشكلة ولكن عفى الله عما سلف مابي ارفع شكوى</t>
  </si>
  <si>
    <r>
      <rPr>
        <rFont val="Calibri"/>
        <b/>
        <sz val="9.0"/>
      </rPr>
      <t xml:space="preserve">انا مستاجر منكم في محطه درب والان بيبدا عقدي والكهرب ماشتغل ومحلي جاهز كاملا للتشغيل
وعندي عمال لهم شهرين ادفع لهم رواتب وجالسين ننتظر الكهرب يشتغل عشان يشتغلون المحل اسمه الرغوة الخاصة مغسلة سيارات
وكل يوم يقولون بكره وبعده على هاذا الموال لنا ثلاثه اسابيع
</t>
    </r>
    <r>
      <rPr>
        <rFont val="Calibri"/>
        <b/>
        <color rgb="FF1155CC"/>
        <sz val="9.0"/>
        <u/>
      </rPr>
      <t>https://maps.app.goo.gl/Y7BVCV2iU6oLpYMs9?g_st=ic</t>
    </r>
  </si>
  <si>
    <t>ثامر المالكي</t>
  </si>
  <si>
    <t xml:space="preserve">محطة - وسيط عقاري </t>
  </si>
  <si>
    <t>محمد حسن يحيى</t>
  </si>
  <si>
    <t xml:space="preserve">مغلق </t>
  </si>
  <si>
    <t xml:space="preserve">مغسلة - حي الوزيرية  - ابي تواصل وتوضيح ورد </t>
  </si>
  <si>
    <t>محمد ربح عواض البقمي</t>
  </si>
  <si>
    <t xml:space="preserve">درايف ثرو ديرة كافية 16 </t>
  </si>
  <si>
    <t>980م - مالها رخصة</t>
  </si>
  <si>
    <t>ابو سعد</t>
  </si>
  <si>
    <t xml:space="preserve">محطة درب العزيزة، جميع من هم فالمنطقة مرحب بوجودكم وسعيد لذلك ولكن قد تأذينا وتضررنا من وجود الباصات التي عل مدار الساعه تأتي للمحطة وقد واجهنا انا وغيري الكثير من المضايقة والتأخير في التزود بالوقود والدخول والخروج للمحطة ارجوا ان تضعوا لهم حل او محطة اخرى لان هذه المحطة ليست مناسبة لهم تماما
تم التحرير في الاثنين، 23 فبراير 2026 في 11:39 م
</t>
  </si>
  <si>
    <t xml:space="preserve">تم النزول الميداني للمحطة وتوجيه مشرفي المحطة لتخصيص مسار اخير للباصات بحيث لايؤثر على تعبئه بقية السيارات الصغيره والمتوسطة </t>
  </si>
  <si>
    <t>سعد الغامدي</t>
  </si>
  <si>
    <t xml:space="preserve">نائل الغالب الشريف </t>
  </si>
  <si>
    <t>800م - مستثمر - عليها رخصة بناء محطة</t>
  </si>
  <si>
    <t>رزيق</t>
  </si>
  <si>
    <t xml:space="preserve">البنك الاهلي السعودي 
يرغب في عرض خدمات بنكية وتمويلية وحساب  لشركة درب 
وقت التواصل: اي وقت </t>
  </si>
  <si>
    <t>تم ارسال ايميل أ.غريب</t>
  </si>
  <si>
    <t>بتاريخ 17/3/2026 الساعة 9:18 م  طلبت تعبئة بنزين احمر بمبلغ 50 ورحت ونسيت اطلب فاتورة ورجعت الساعه 1 ورفض العامل يعطيني فاتورة يقول مايطلعها اذا قبل 12  ارغب بفاتورة -تم محاولة الاتصال لا يوجد رد وتم ارسالها واتس من قبل أ.كمال</t>
  </si>
  <si>
    <t>تم اصدار فاتوره وارسالها</t>
  </si>
  <si>
    <t xml:space="preserve">صوت العميل غير واضح ولكن يقول تمت خدمته في الميدان </t>
  </si>
  <si>
    <t>علي العمري</t>
  </si>
  <si>
    <t>محل شاهي
- شاهي مخمخه
عدد الفروع: ١٦ فرع
 ارغب بستأجر محل في فرع القنفذة</t>
  </si>
  <si>
    <t xml:space="preserve">تركي النهدي </t>
  </si>
  <si>
    <t xml:space="preserve">تم ابلاغه بارسال البروفايل على الموقع الالكتروني </t>
  </si>
  <si>
    <t>يمكن اخوي اللي دق رقمنا مشترك</t>
  </si>
  <si>
    <t>اياد عياشي</t>
  </si>
  <si>
    <t xml:space="preserve">العمال مايتكلمو عربي مايعرف لا فلوس ولا شبكة  قلت عبي فل ومعي 140 شبكة وكاش 10 جلست ربع ساعه اعلمه  الفرق ومايفهمون و وقت الذروة زحمه بسبب البطئ كل الناس تعبي بمبالغ قليله ما يحتاج الوقت هذا كله ترا المحطة خادمتنا ترا مافي غيرها جيبو ناس تفهم عربي عشان يمشو الشغل  - تم محاولة التواصل وقفل الاتصال </t>
  </si>
  <si>
    <t xml:space="preserve">تم معاودة الاتصال لا يوجد رد </t>
  </si>
  <si>
    <t>انور سالم صالح</t>
  </si>
  <si>
    <t>بالخطأ</t>
  </si>
  <si>
    <t xml:space="preserve">استفسار عن محطة هل هي تابعة لدرب </t>
  </si>
  <si>
    <t>يبي استرجاع المبلغ</t>
  </si>
  <si>
    <t>تمت افادته بارسال الموقع عبر الواتس ولم يتم الارسال ولا الرد 20/1</t>
  </si>
  <si>
    <t xml:space="preserve">كان عندي ملاحظه لكن نسيتها </t>
  </si>
  <si>
    <t>شرف الغامدي</t>
  </si>
  <si>
    <t>2:30:00 م دخلت قسم النساء حق المحطة  ولقيت رجال جوا المصلى وفيه حرمتين جوا كيف يدخل في مصلى النساء وين الناس  - تم الاعتذار وشكرتنا على التجاوب</t>
  </si>
  <si>
    <t xml:space="preserve">1800م  يوجد تصريح </t>
  </si>
  <si>
    <t>محمد رمضان</t>
  </si>
  <si>
    <t xml:space="preserve">طريق بير الغنم - الدرايف ثرو - فرنشايز - ثري سكستي </t>
  </si>
  <si>
    <t>فهد الحارثي</t>
  </si>
  <si>
    <t>محطة بمساحة 3000 م -المالك ابن</t>
  </si>
  <si>
    <t xml:space="preserve">مغسلة او بقالة اول </t>
  </si>
  <si>
    <t xml:space="preserve">تم معاودة الاتصال بايام مختلفة لا يوجد رد </t>
  </si>
  <si>
    <t xml:space="preserve">لكم محطة بس اللوحة من برا الا من جوه محطه ثانية وابي اتاكد هل هي لكم الطائف امام مستوصف التركي </t>
  </si>
  <si>
    <t>نايف احمد</t>
  </si>
  <si>
    <t xml:space="preserve">تم افادته بارسال الموقع ع الواتس للتاكد وافادته </t>
  </si>
  <si>
    <t>90 - 1000 لتر - مؤسسة نايف احمد</t>
  </si>
  <si>
    <t>غلطان درب الوطن</t>
  </si>
  <si>
    <t>محمد الامين</t>
  </si>
  <si>
    <t xml:space="preserve"> شركة Sparks لتقنية المعلومات</t>
  </si>
  <si>
    <t xml:space="preserve">استفسار عن الية التوظيف </t>
  </si>
  <si>
    <t>تمت افادته بالايميل</t>
  </si>
  <si>
    <t>تمت افادته بالتقديم عبر الموقع الالكتروني</t>
  </si>
  <si>
    <t xml:space="preserve">استفسار عن الشركاء بالمحطة </t>
  </si>
  <si>
    <t xml:space="preserve">عصب الله عبدالوهاب </t>
  </si>
  <si>
    <t>محطه تبيع ٢٠ الف لتر في اليوم بنزين
و ٧ الف لتر ديزل
ويبغا يتعاقد معكم فرنشايز
تسون كلادنج ع حسابكم
بيعطيكم ٢ هلله بنزين
١ هلله في الديزل موقع المحطه في جيزان</t>
  </si>
  <si>
    <t xml:space="preserve"> تمت محاولة التواصل اتصال ولم يتم الرد</t>
  </si>
  <si>
    <t>لي واقف حول 10 دقايق من 12 الا ربع العامل يقول انتهى دوامي ما يبا يعبي ويمشي الشغل - المسار الاول الداخلي - ياري 2026 ابيض - ( 5356 - س ب ب )  العمال قفلو العداد واتجمعوا حولي ولقيت معامله سيئة  - العمال بعد الاتصال اتجمعوا عليا وقالو دوامنا انتهى عشان كلمتكم واتجمعوا قدامي واسلوبهم سيء جدا  19/1/2026 - تم التواصل والاعتذار وشكرنا على الخدمة</t>
  </si>
  <si>
    <t xml:space="preserve">صادف وقت مجيئ العميل للمحطة وقت تغيير الوردية </t>
  </si>
  <si>
    <t>Haitham</t>
  </si>
  <si>
    <t>مالقيت العمال وماطولو ورجعو</t>
  </si>
  <si>
    <t>عدد العمال كافي ولبسهم موحد وجميل لاكن لاتوجد سرعه في الخدمه - 13:55:32 Friday, April 17, 2026 - تم التواصل وشكرنا على الاهتمام</t>
  </si>
  <si>
    <t xml:space="preserve">نقليات  </t>
  </si>
  <si>
    <t xml:space="preserve">تمت فادته بارسال البروفايل عبر الايميل </t>
  </si>
  <si>
    <t>صالح الغامدي</t>
  </si>
  <si>
    <t>العماله عندكم جدا بطيئة ياليت يتم تكثيف التدريب</t>
  </si>
  <si>
    <t xml:space="preserve">تم ابلاغ مدير المحطة لزياده التأكيد على عمال المحطة لسرعه تقديم الخدمه قدر لمستطاع </t>
  </si>
  <si>
    <t>العمال جلوس ولا يستجيبون لمرتادي المحطة - لم يتم الرد</t>
  </si>
  <si>
    <t xml:space="preserve">تمت خدمته بالمحطة </t>
  </si>
  <si>
    <t>سارة</t>
  </si>
  <si>
    <t>كان عنده مشكلة وتم حلها في الميدان</t>
  </si>
  <si>
    <t>درايف ثرو -لايوجد فروع ( تبغى النورية)</t>
  </si>
  <si>
    <t>لا يوجد مناديل و رائحة دوراة المياه كريهه</t>
  </si>
  <si>
    <t xml:space="preserve">تم التحقق من الشفاطات كلها تعمل 
تم التحقق من رائحة الحمام 
تم التنويه على طلب معطرات  </t>
  </si>
  <si>
    <t xml:space="preserve">تتكلم انقليزي وتم توجيهها على الواتس اب في انتظارها </t>
  </si>
  <si>
    <t>رنا الاحمري</t>
  </si>
  <si>
    <t>‏توجد رائحة كريهه - 23:16:39 Thursday, April 16, 2026</t>
  </si>
  <si>
    <t xml:space="preserve">تم التواصل مع مدير المحطة وشرح الملاحظة وتبين حسب الوصف ان الملاحظة كانت في دورة مياه النساء وتمت معالجتها </t>
  </si>
  <si>
    <t xml:space="preserve">من المعهد السعودي ترغب بتقديم خدمة تدريب لبرنامج الزامي من وزارة النقل " برنامج تدريب للسائقين الشاحنات الخطره) ترغب بالتواصل مع المسؤول </t>
  </si>
  <si>
    <t>تم توجه الايميل على أ.عمر</t>
  </si>
  <si>
    <t>اوس الحسين</t>
  </si>
  <si>
    <t xml:space="preserve">كشك  كوفي براند جديد </t>
  </si>
  <si>
    <t>خالد عياش</t>
  </si>
  <si>
    <t>الاحساء</t>
  </si>
  <si>
    <t>اولا احب اشكر محطات درب على اهتمامها اولا براحة العميل قبل تقديم الوقود. حقيقة من اصغر محطة لاكبرها. جميعها على حد سواء توفر جميع احتياجات العملاء. ينقصها فقط تقديم محطة الشحن الكهربائي للسيارات الكهربائية.
ولكم كل الشكر</t>
  </si>
  <si>
    <t xml:space="preserve">يستفر عن شكوى بشهر 1 وتمت افادته وارسال فاتورة الشحن لاستلام اغراضه الشخصيه </t>
  </si>
  <si>
    <t xml:space="preserve">عبيت بنزين فل وسيارتي حدها 140 -145 -  ريال اليوم جيتهم والتانكي فاضي حي النسيم - 150 - فورد تورس - اللون اسود - (8962 - ر ط ي )   - المسار الداخلي - 95 - المبلغ 150 - شبكة - 1:20م  19/1/2026 </t>
  </si>
  <si>
    <t>تم ابلاغ فريق الصيانه لمعايرة المسدس المعني والتحقق من صحة قياسه</t>
  </si>
  <si>
    <t>Alaa Abudumam</t>
  </si>
  <si>
    <t>جزاكم الله خير المكان مرتب ولكن صوت المروحة في دورات مياه النساء مزعج جدًا وأيضًا تحتاج إلى نظافة دورية</t>
  </si>
  <si>
    <t>حولني بريد صوتي- تم معاودة الاتصال ومغلق</t>
  </si>
  <si>
    <t xml:space="preserve">الحاله مكلف </t>
  </si>
  <si>
    <t xml:space="preserve">محل مطعم شاورما  - النورية </t>
  </si>
  <si>
    <t xml:space="preserve">شاهر سعيد المجنوني </t>
  </si>
  <si>
    <t xml:space="preserve">استأجار - النورية - مغسلة - اول فرع </t>
  </si>
  <si>
    <t>بدر</t>
  </si>
  <si>
    <t>ماشاءلله كل شيء جميل والاهم النظافه اجمل ولكن من حرصي البسيط حبيت اعطيك خبر ان المواضى الماء دفعه قوي جداً يعني ماتقدر تتوضى وفيه اسراف كبير ولكم الشكر مره اخرى على الاهتمام بالمكان - 13:40:27 Saturday, April 18, 2026</t>
  </si>
  <si>
    <t>راشد الدوسري</t>
  </si>
  <si>
    <t xml:space="preserve">
يوجد 21دورة مياه + دورة مياه خاصه بي الاستحمام 
يوجد عدد كبير من صنابير الوضواء 
وتحتاج دفع قوي لخدمة جميع المرافق  وهي مزوده بي اداوت الترشيد و الاستهلاك 
</t>
  </si>
  <si>
    <t>درايف ثرو محل شاي اول فرع</t>
  </si>
  <si>
    <t xml:space="preserve">
عنده ارض بمساحة 6000 م في الخرج يبي يعرضها للايجار</t>
  </si>
  <si>
    <t>وفاء الحربي</t>
  </si>
  <si>
    <t xml:space="preserve">	
المحطه مره جميله بس ينقصها ديوانيه للقهوة السعوديه
واماكن استراحه وللأكل</t>
  </si>
  <si>
    <t>تركي مهدداوي</t>
  </si>
  <si>
    <t>هل يوجد غاز</t>
  </si>
  <si>
    <t>يرغب في التعاون- تمت افادته بمشاركة البروفايل عبر الايميل</t>
  </si>
  <si>
    <t xml:space="preserve">محل مغاسل 1 دريم واش </t>
  </si>
  <si>
    <t>Mood</t>
  </si>
  <si>
    <t>الرجاء توفير عامل نظافة لنظافة دورات المياه بستمرار
بذات في الويكند - 03:59:28 Friday, April 17, 2026</t>
  </si>
  <si>
    <t xml:space="preserve">د  هشام إبراهيم </t>
  </si>
  <si>
    <t xml:space="preserve">تم التواصل مع مدير المنطة وتم شرح الملاحظة افاد مدير المنطقة ان المحطة تشهد ازدحام كثير في عطلة نهاية الاسبوع ويستدعي الامر الى جلب دوريتين للتنظيم وافاد ان وقت العامل يكون متنقل في المحطة </t>
  </si>
  <si>
    <t xml:space="preserve">  يوجد قطعه أرض 4000 متر قى موقع استراتيجى بالاحساء و مرخصة محطة بنزين - التواصل مع المالك مباشره . برجاء التواصل او ارسال رقم مندوب - مدير المنطقه
</t>
  </si>
  <si>
    <t xml:space="preserve">تم معاودة الاتصال مرتين لا يوجد رد </t>
  </si>
  <si>
    <t>مساعد</t>
  </si>
  <si>
    <t>هل متوفر نقاط ولاء</t>
  </si>
  <si>
    <t>الحمامات معدومه وغير مهتمين فيها اطلاقًا والرائحة مقرفة وذلك بسبب ارتفاع مستوى مراوح الشفط عن حيز الحمام الواحد، -  06:10:27 Friday, April 17, 2026</t>
  </si>
  <si>
    <t xml:space="preserve">تم شرح الملاحظة لمدير المنطقة وتم التنويه على دعم الشفاطات بي المعطرات الهوائية </t>
  </si>
  <si>
    <t>كثرو عمال  - 13:00:05 Friday, April 17, 2026</t>
  </si>
  <si>
    <t xml:space="preserve">تم ابلاغ المسؤول لمقارنه المبيعات مع عدد العمال وفي حال الاحتياج زياده عامل </t>
  </si>
  <si>
    <t>جود الزهراني</t>
  </si>
  <si>
    <t>شركة استشارات بيئية الاندلس المسؤولة عن تصاريح شركة ساسكو في منطقة الغربية</t>
  </si>
  <si>
    <t>اسوء محطه اللي خلف العماد العمال باردين عادي تقعد من ٧-١٠ دقايق بالمحطه - 12:06:27 Monday, April 20, 2026</t>
  </si>
  <si>
    <t xml:space="preserve">تم ابلاغ مدير المحطة ومدير المنطقة لترتيب عمليه السير في المحطة وارجعو سبب الازدحام الى ضيق مساحة المحطة وصغر مدخلها وازدواجه مع المغسله في المدخل </t>
  </si>
  <si>
    <t>رياد</t>
  </si>
  <si>
    <t>نوار</t>
  </si>
  <si>
    <t>العمال رفضو يعبون ديزل انا من شركة البحر الاحمر ودايم اعبي هنا</t>
  </si>
  <si>
    <t xml:space="preserve">الخرج </t>
  </si>
  <si>
    <t xml:space="preserve">زكيه القرشي </t>
  </si>
  <si>
    <t xml:space="preserve">يوم الاربعاء الساعة 9:17 ص عبيت بنزين بمبلغ 61 واعطيته 55 كاش والباقي 6 ريال شبكه العمال سحب 56 شبكة ياليت تحققون من الموضوع وانا برجع المحطه اخذها لاني راجع الرياض بالليل بس ردولي خبر سيارة النترا بيضا 2024 </t>
  </si>
  <si>
    <t xml:space="preserve">تم التحقق والتواصل مع العميل للعوده واخذ باقي المبلغ او التعبئه به وتم توجيه انذار شفوى للعامل لسحبه مبلغ اكبر من المستحق </t>
  </si>
  <si>
    <t>عبى لي البنزين واحد هندي ويصيح ويرفع صوته 
قالي قدمي السياره قدمت تكه وقال لا ويصيح واسلوبه سيء  وفشلني قدام الناس لازم تدربوهم على الاسلوب يعني انا كل مره بجي محطة درب لانها على طريقي الموقف دا 
مبلغ - 2024 مازدا - رمادي  - - (ر ك ع - 1702) - 16-1 - 16:55م المبلغ 41.31ريال  - 91 - لم يتم الرد 25-1</t>
  </si>
  <si>
    <t xml:space="preserve">تم  ابلاغ مدير المحطة ومسؤول التدريب لتكثيف التدريب على التعامل مع العملاء في هذه المحطة وكل المحطات </t>
  </si>
  <si>
    <t>طلال</t>
  </si>
  <si>
    <r>
      <rPr>
        <rFont val="Calibri"/>
        <b/>
        <color rgb="FF434343"/>
        <sz val="10.0"/>
      </rPr>
      <t xml:space="preserve">الحمامات وصخه ومافيه </t>
    </r>
    <r>
      <rPr>
        <rFont val="Calibri"/>
        <b/>
        <color rgb="FFFF0000"/>
        <sz val="10.0"/>
      </rPr>
      <t xml:space="preserve">صابون </t>
    </r>
    <r>
      <rPr>
        <rFont val="Calibri"/>
        <b/>
        <color rgb="FF434343"/>
        <sz val="10.0"/>
      </rPr>
      <t xml:space="preserve">وعامل </t>
    </r>
  </si>
  <si>
    <t xml:space="preserve">تم توفير الصابون للمحطة و الادوات اللازمة </t>
  </si>
  <si>
    <t>عبدالرحمن فيصل الحارثي</t>
  </si>
  <si>
    <t>0503547896</t>
  </si>
  <si>
    <t xml:space="preserve">
تعامل بعض العمال سيئين  بدون اخلاق
اتمنى من صاحب المحطة  يعطيهم دروس عن الأخلاق  لان المحطة واجها لمكة   ولا تستحق اي نجمةالاثنين، 23 فبراير 2026 في 04:02 م
</t>
  </si>
  <si>
    <t xml:space="preserve"> ابلاغ مسؤول التدريب ومدير المحطة لتكثيف ومراجعة تدرب كافه عمال المحطة والتشديد عليهم في اسلوب التعامل مع العملاء وسرعه انجاز الخدمة </t>
  </si>
  <si>
    <t xml:space="preserve">لايوجد رد </t>
  </si>
  <si>
    <t>عادل حكمي</t>
  </si>
  <si>
    <t>جيزان</t>
  </si>
  <si>
    <t xml:space="preserve">مغسلة سيارات - car wash </t>
  </si>
  <si>
    <t>الحمامات غير نظيفه - 18:08:37 Saturday, April 18, 2026</t>
  </si>
  <si>
    <t xml:space="preserve">تم اخطار مدير المحطة وتم التنويه على ضرورة المتابعه </t>
  </si>
  <si>
    <t>ابو الرواد</t>
  </si>
  <si>
    <t xml:space="preserve">اقيم المحطة خمس نجوم وكل شيء في تمام ومافي ازدحام جميل جدا
بس بعض اسلوب الموظفين  اللي في المحطة اسلوبهم سيء جدا اسمة كوكن زي ما يقول
ياريت يكون في كورس للموظفين كيف  يتعاملو مع العملاء  الأحد، 22 فبراير 2026 في 07:09 ص
</t>
  </si>
  <si>
    <t xml:space="preserve">تم ابلاغ مسؤول التدريب ومدير المحطة لزيادة تكثيف التدريب للعمال على تعاملهم مع العملاء وسره انجاز الخدمة </t>
  </si>
  <si>
    <t xml:space="preserve">عازم النفيعي </t>
  </si>
  <si>
    <t>0505555203</t>
  </si>
  <si>
    <t xml:space="preserve">خدمات سيارات-مؤسسة عبير - لا يوجد فروع </t>
  </si>
  <si>
    <t xml:space="preserve">درب المتر </t>
  </si>
  <si>
    <t>نايل العتيبي</t>
  </si>
  <si>
    <t>عبدالله الشهراني</t>
  </si>
  <si>
    <t xml:space="preserve"> ارغب بمعرفة تفاصيل الفرنشايز لشركة درب</t>
  </si>
  <si>
    <t xml:space="preserve">زايد هليل الذبياني </t>
  </si>
  <si>
    <r>
      <rPr>
        <rFont val="Calibri"/>
        <b/>
        <color rgb="FF434343"/>
        <sz val="10.0"/>
      </rPr>
      <t>بنزين اخضر مقطوع له 5 ايام فرحنا فيكم واخر شي مافيه بنزين</t>
    </r>
    <r>
      <rPr>
        <rFont val="Calibri"/>
        <b/>
        <color rgb="FFFF9900"/>
        <sz val="10.0"/>
      </rPr>
      <t xml:space="preserve"> - تم تصعييدها أ.مشاري</t>
    </r>
  </si>
  <si>
    <t xml:space="preserve">كوفي لا يوجد فروع </t>
  </si>
  <si>
    <t xml:space="preserve">صابرين شهاني </t>
  </si>
  <si>
    <t xml:space="preserve"> Mohammed shahid</t>
  </si>
  <si>
    <t xml:space="preserve">محطه ماهي نظيفه فيها دورات مياة النساء جدا وسخه و العامل كمان وقت ما ينظفها يستخدمها و غير كذا عامل النظافه بس يبغا يترك النظافه و يروح يعبي بنزين ولا يتفرج على السيارات و هو ماسك مكنسة و مكشر بوجههالاثنين، 20 أبريل 2026 في 07:23 م
</t>
  </si>
  <si>
    <t xml:space="preserve">
تمت زيارة المحطة وتم التفقد من المرافق 
ولا يبدو ان البلاغ واضح او صريح 
وهوا متعلق بشكل واضح على عامل النظافة 
ينظف ويستخدم الحمام 
يترك النظافة و يعبي بنزين
يتفرج على السيارات ماسك مكنسة 
مكشر</t>
  </si>
  <si>
    <t>People working on drab are afraid of giving oil through Syara app.
الموظفين في درب يخافون يزودوني بالوقود عن طريق سيارة اب 
Date:19/1/26
Time: 1:29pm
Ice cream company dyana
سيارة ايسكريم شركة ديانا  6630uxa
ثاني مره للعميل قدم شكوى الشهر الماضي في نفس المحطة December 22, 2025 11:42 AM (a month ago)</t>
  </si>
  <si>
    <t xml:space="preserve">تم توجيه العماله في جميع المحطات بأن يقوموا بالتعبئه عبر التطبيقوصوير لوحة  السياره والمضخة  في حال تحديث النظام </t>
  </si>
  <si>
    <t>تطبيقات تعبئة وقود</t>
  </si>
  <si>
    <t>0546958584</t>
  </si>
  <si>
    <t>همام العسيري</t>
  </si>
  <si>
    <t>غازي الحليسي</t>
  </si>
  <si>
    <t xml:space="preserve">شارع العياشي تلميع سيارات - 3- المالك </t>
  </si>
  <si>
    <t>اصدار فاتورة ضريبية</t>
  </si>
  <si>
    <t xml:space="preserve">تم الاعتذار من العميل وافادته انه لايمكن اصدارها للمبالغ أقل من 1000 ريال </t>
  </si>
  <si>
    <t>ابوبكر غانم شداد</t>
  </si>
  <si>
    <t>قلت للعامل يعبي 50 شفته عبى 30 بس وقلت له زيد 20 ووالظاهر ما زاد لاني يوم مشيت التانكي ما وصل - كوريلا - ابيض (7687 - ر ن ل ) - المسار الاول -  المبلغ 50 شبكة  -الساعه  15:19 19/1- بنزين 91</t>
  </si>
  <si>
    <t xml:space="preserve">تم التواصل مع العميل وشكرنا على الخدمة +تم التأكد من التعبئه وارسال الفاتوره عبر قروب الوتس اب </t>
  </si>
  <si>
    <t>حسن</t>
  </si>
  <si>
    <t xml:space="preserve">افاد العميل بانه يرغب بالتواصل مع الادارة العليا لحل مشكلته مع ادارة التسويق وعدم رضاه بما ذكر في العقد وبنوده بالاضافة الى عدم تسليمه المبلغ بشكل مباشر بعد نشره للاعلان وافاد انه مستاء من التعامل وعدم المصداقية </t>
  </si>
  <si>
    <t>تواصل العميل بشكل متكرر مع خدمة العملاء وتم تصعيدها لاستاذ عبدالعزيز وافاد انه يوجد تأخير من قبل المالية وتم اتخاذ الحل النهائي بالتواصل مع العميل من قبل خدمة العملاء وابلاغه انه بامكانه استلام المبلغ من المحطة (كاش)</t>
  </si>
  <si>
    <t xml:space="preserve">عادل بخيت العتيبي </t>
  </si>
  <si>
    <t xml:space="preserve">خلال 12 ساعة عمل </t>
  </si>
  <si>
    <t>0557966121</t>
  </si>
  <si>
    <t>مديني عبدالله</t>
  </si>
  <si>
    <t>خالد الحربي</t>
  </si>
  <si>
    <t>عبد الصمد السيد</t>
  </si>
  <si>
    <t xml:space="preserve">محطة قائمة يرغب في تأجيرها </t>
  </si>
  <si>
    <t>المدبنة</t>
  </si>
  <si>
    <t>ثواني - المالك</t>
  </si>
  <si>
    <t>اول فرع - كشك</t>
  </si>
  <si>
    <t xml:space="preserve">عبدالعزيز طلق الحليفي </t>
  </si>
  <si>
    <t>0558398203</t>
  </si>
  <si>
    <t>وسيم يحيى مشيخي</t>
  </si>
  <si>
    <t>ابراهيم محمد الشريف</t>
  </si>
  <si>
    <t xml:space="preserve">Manna alghwas
</t>
  </si>
  <si>
    <t>محطات - جازان قديمه</t>
  </si>
  <si>
    <t>تصنيف الشبكه ليس بمحطه ومع ذالك اخسر كثيرا اذا حاسبت بها في محطة فرسان وش السبب - تم التواصل والاعتذار وسيتم حل المشكلة قريبا</t>
  </si>
  <si>
    <r>
      <rPr>
        <rFont val="Calibri"/>
        <b/>
        <sz val="9.0"/>
      </rPr>
      <t xml:space="preserve">مجمع الغواص التحاري والسكني
طريق صبياء بيش
مساحة المجمع١٣ الف متر مربع
يوجد به رخصة محطة وقود وهي تعمل
ثلاث مسارات
ومسار ديزل منفصل
شقق مفروشه
مجمع صناعي قطع غيار سيارات وصيانتها
سوبر ماركت
بوفية الطريق
مطعم
مساحات </t>
    </r>
    <r>
      <rPr>
        <rFont val="Calibri"/>
        <b/>
        <color rgb="FF1155CC"/>
        <sz val="9.0"/>
        <u/>
      </rPr>
      <t>https://maps.app.goo.gl/39KNMnRTs5MEGsBk7?g_st=iwb</t>
    </r>
  </si>
  <si>
    <t xml:space="preserve">مراد سالم عامر الوصابي </t>
  </si>
  <si>
    <t>0570887700</t>
  </si>
  <si>
    <t>محمد العباس</t>
  </si>
  <si>
    <t xml:space="preserve"> محمد الهمامي</t>
  </si>
  <si>
    <t xml:space="preserve">نجران </t>
  </si>
  <si>
    <t>محطة قائمة -  حي الجامعه - المساحه : 8600</t>
  </si>
  <si>
    <r>
      <rPr>
        <rFont val="Calibri"/>
        <b/>
        <color rgb="FF434343"/>
        <sz val="10.0"/>
      </rPr>
      <t>٢٠٢٦/٠٤/٢٨
١٠.٤٠ مساءً - مكة الدائري الثالث
فورد(  أ أ ع ٣٣٠٠ ) للأسف توقفت للتعبئة ولكن فوجئت بعامل المحطة الظاهر في الفيديو بتجاهلي والتوجه لسيارة أخزى متوقفه في الجهة الأخرى ظناً مني بإكمال الحساب مع قائدها ولكنني فوجئت بأن المذكور أخذ قطعة قماش وبدأ في مسح المضخة التي بجوار السيارة متجاهلا وقوفي وتم عدة مرات دق البوري له ولكن استمر في طناشه الو ان وصل عامل آخر وفته غطاء البنزين وإنتظار العامل المسؤول عن هذا الخط من المضخات والهدف إسكاتي إلى أن ينتهي زميله ويتكرم عليّ بالتعبئة فرفضت هذا الموقف وسألت عما إذا كان هناك مديراً أو مشرفاً للمحطة فكان الإجابة الصادمة بعدم وجود أي شخص يحمل الصفة هذه في مكة وأن السؤولين في جده</t>
    </r>
    <r>
      <rPr>
        <rFont val="Calibri"/>
        <b/>
        <color rgb="FFFF9900"/>
        <sz val="10.0"/>
      </rPr>
      <t xml:space="preserve"> - تم التواصل وشكرنا على الاهتمام</t>
    </r>
  </si>
  <si>
    <t>تم توجيه إدارة المنطقة بمراجعة الحالة والتأكيد على رفع مستوى الخدمة والتعامل السريع مع العملاء وعدم تكرار ذلك مستقبلاً.</t>
  </si>
  <si>
    <t xml:space="preserve">صالح محمد المديني </t>
  </si>
  <si>
    <t xml:space="preserve">موقع مساحة ٨٥٠٠ متر مربع في اجراءات الرخصة 
احد الملاك </t>
  </si>
  <si>
    <t>بداح السبيعي</t>
  </si>
  <si>
    <r>
      <rPr>
        <rFont val="Calibri"/>
        <b/>
        <color rgb="FF434343"/>
        <sz val="10.0"/>
      </rPr>
      <t xml:space="preserve">للتقبيل 
عقد ارض عليها ترخيص محطة محروقات مستاجره من قبل الامانه بعقد 25 عام 
المساحه 60000متر
الموقع ؛ طريق السريع القصيم حائل قبل حائل 100 ك
الاجار السنوي 163300ريال من دون الضريبه  </t>
    </r>
    <r>
      <rPr>
        <rFont val="Calibri"/>
        <b/>
        <color rgb="FF1155CC"/>
        <sz val="10.0"/>
        <u/>
      </rPr>
      <t>https://maps.app.goo.gl/NPhErfLJXteE81sb7?g_st=iw</t>
    </r>
  </si>
  <si>
    <t>عبدالرحمن البشر</t>
  </si>
  <si>
    <t xml:space="preserve">حنين الحربي </t>
  </si>
  <si>
    <t>0544124420</t>
  </si>
  <si>
    <r>
      <rPr>
        <rFont val="Calibri"/>
        <b/>
        <color rgb="FF434343"/>
        <sz val="10.0"/>
      </rPr>
      <t>فقط تنبيه محطة جنب بيتي وجيت اعبي بنزين انتظرت فترة طويله انتظر مافي احد يعطي وجه للعميل انتظرت وكثير من العمال مشو فيه ناس تعبي لكن قليل جدا هل هم مشغوليين بالغداء ولا وش ياليت تشوفون ليه الكثير مشي بسبب عدم المبالاة الساعه 3:10م -  جيب ابيض رقم اللوحة ( 9  JED )  - 29/4</t>
    </r>
    <r>
      <rPr>
        <rFont val="Calibri"/>
        <b/>
        <color rgb="FFFF9900"/>
        <sz val="10.0"/>
      </rPr>
      <t xml:space="preserve"> - تم التواصل وشكرنا على الخدمات</t>
    </r>
  </si>
  <si>
    <t>تم إبلاغ مدير المحطة لمراجعةالكامرات  والتأكيد على سرعة خدمة العملاء وعدم تكرار ذلك مستقبلاً.</t>
  </si>
  <si>
    <t>المترو</t>
  </si>
  <si>
    <t>مشعل حمد</t>
  </si>
  <si>
    <t>الارض 62000م - بعكم جزء منها ماعليها رخصة - ماخذ الارضية استثمار 20 سنة</t>
  </si>
  <si>
    <t>محل - زينة سيارات - فرع محايل في درب</t>
  </si>
  <si>
    <t>سلطان</t>
  </si>
  <si>
    <t>بدر غرمان العمري</t>
  </si>
  <si>
    <t>0551110394</t>
  </si>
  <si>
    <t>رائد الحربي</t>
  </si>
  <si>
    <t>محل خدمات سيارات - اكثر من فرع - مؤسسة القارة السابعة</t>
  </si>
  <si>
    <t>امانة العاصمة المقدسة - يبي يتواصل مع مسؤول الشراكة المجتمعية</t>
  </si>
  <si>
    <t xml:space="preserve">ماجد علي عسيري </t>
  </si>
  <si>
    <t>0558320229</t>
  </si>
  <si>
    <t xml:space="preserve">استفسار عن حالة طيب التوظيف </t>
  </si>
  <si>
    <t xml:space="preserve">ماعندي رغبه بالاستئجار غلطانين </t>
  </si>
  <si>
    <t>وسيم يحيى</t>
  </si>
  <si>
    <t>رائد العتيبي</t>
  </si>
  <si>
    <t>2026-04-29 09:42:40 PM UTC+03:00  - لم يتم الرد</t>
  </si>
  <si>
    <t>يرغب في الاستثمار</t>
  </si>
  <si>
    <t xml:space="preserve">يوجد لدي ارض فضاء مساحة 17ألف ممتاحة للإستثمار طويل المدى (١٥سنة)المطلوب: ٤٠٠الف سنوي والانشاءات عليكم  رخصة بناء موجودةالموقع: الباحة المخواة الأحسبة الطريق العام 
</t>
  </si>
  <si>
    <t>عبيد بن علي كربان</t>
  </si>
  <si>
    <t>عبدالله يحي الفيفي</t>
  </si>
  <si>
    <t>0551903036</t>
  </si>
  <si>
    <t xml:space="preserve">نوع السيارة : نيسان باثفاندر رقم اللوحة : ر ص و 5871 المبلغ : 50 </t>
  </si>
  <si>
    <t>2026-04-30 01:24:03 AM UTC+03:00 - لم يتم الرد</t>
  </si>
  <si>
    <t xml:space="preserve">تمت افادته بحصوله على كوبون </t>
  </si>
  <si>
    <t>زياد السفري</t>
  </si>
  <si>
    <t>فاطمة عبدهللا عمر</t>
  </si>
  <si>
    <t xml:space="preserve">شيري لوحة السيارة : ر ع ع / 9063 المبلغ : 50 </t>
  </si>
  <si>
    <t>تمت افادته بحصوله على كوبون  - لم يتم الرد</t>
  </si>
  <si>
    <t>محمد حافظ</t>
  </si>
  <si>
    <t xml:space="preserve">طلبت من العامل يعبي السيارة ديزال عبى بنزين تركت السيارة عشان محد رد دحين راجع المحطة </t>
  </si>
  <si>
    <t>تم التواصل وابلاغنا بانه يقصد محطة أخرى واعتذر على الازعاج</t>
  </si>
  <si>
    <t xml:space="preserve">مؤسسة شموخ الحضارة </t>
  </si>
  <si>
    <t>لنا اكثر من ساعه والكهربه طافيه في عنوان القهوه وطعمية السلطان واب اكسبريس واكلم عمال المحطه مايقولون انتم ماسددتو ابغى حل للاشكالية باسرع وقت-تم تصعيدها للادارة العقار</t>
  </si>
  <si>
    <t xml:space="preserve">تم حل الاشكالية </t>
  </si>
  <si>
    <t>0500266888</t>
  </si>
  <si>
    <t xml:space="preserve"> فهد لطفي الشيخ</t>
  </si>
  <si>
    <t>محمد العليان</t>
  </si>
  <si>
    <t>اكسنت - رقم اللوحة: س أ ن ٣٨٦٠ - NAS 3860</t>
  </si>
  <si>
    <t xml:space="preserve">تم معاودة الاتصال والرد ولا يوجد صوت </t>
  </si>
  <si>
    <t>جانبي مبلغ مرفوض الساعه 17:29  29/4 وما رجع لي المبلغ 20 - اخضر والموظف في المحطة يقول اراجع الشركة  - تمت افادته بايصال الرفض بخاطب البنك في حال عدم الافادة يتوجه للبنك المركزي - تم التواصل والعميل غير مقتنع</t>
  </si>
  <si>
    <t xml:space="preserve"> خلال سبع ايام عمل سيتم التاكد من ايصالها لللعميل </t>
  </si>
  <si>
    <t xml:space="preserve">عدنان عبدالله الثبيتي </t>
  </si>
  <si>
    <t>غصون علي الحارثي</t>
  </si>
  <si>
    <t xml:space="preserve">اكثر من 24 ساعة عمل </t>
  </si>
  <si>
    <t>ارض بمساحة 481 م ( حي حيوي دوائر حكومية )- المالك - لايوجد رخصة تاجرها لاربعين سننه</t>
  </si>
  <si>
    <t xml:space="preserve"> زياد محمد</t>
  </si>
  <si>
    <t xml:space="preserve"> - نوع السيارة : شانجان - لوحة السيارة : ر ل م 3216</t>
  </si>
  <si>
    <t>yousef yaseen</t>
  </si>
  <si>
    <t>محايل عسير</t>
  </si>
  <si>
    <t>AS153</t>
  </si>
  <si>
    <r>
      <rPr>
        <rFont val="Calibri"/>
        <b/>
        <color rgb="FF434343"/>
        <sz val="10.0"/>
      </rPr>
      <t xml:space="preserve">يصفك بجانب السيارات المزدحمة عشان مشغولين بالجوالات
غياب الادارة لأي نشاط تجعل العميل الذي جاك مره ما يعيدها - Wednesday, April 29, 2026 at 04:59 PM  -تواصل العميل وافاد راجع الكاميرات بوقت التعليق الجوالات بايدي العمال مافي سرعه في تجاهل كل السيارات صافينها بجهة واحدة غير مقبول يعني انتم الان جدد بالسوق مافي لارقابه ولا شي - اكسنت بيضاء (ب ي ن - 8643) </t>
    </r>
    <r>
      <rPr>
        <rFont val="Calibri"/>
        <b/>
        <color rgb="FFFF9900"/>
        <sz val="10.0"/>
      </rPr>
      <t xml:space="preserve"> - تم التواصل والاعتذار وشكرنا </t>
    </r>
  </si>
  <si>
    <t>ابو يوسف</t>
  </si>
  <si>
    <t xml:space="preserve">تم ابلاغ مدير المنطقه لمنع استخدام الجوال في كل المحطات المؤول عنها </t>
  </si>
  <si>
    <t xml:space="preserve">مصنع شركة اودكو الانارة </t>
  </si>
  <si>
    <t>ضيف الله</t>
  </si>
  <si>
    <t xml:space="preserve">⚠️ يوم الاربعاء 25/3/2026 بعد صلاة العشاء مباشرة صليت بالمسجد وعبيت واعطيته خمس ميه واعطاني الصرف وفيه ميتين تالفه ورحت ورجعت وكلمته وقلت يبدلها لو اعطيتاه اياه ماقبلها من كثر ماهي تالفه وفجاه تجمعو العمال 3 على راسهم العامل فريد بنقالي طويل هو اللي حرشه يقول مافي صرف الا عشرات كذا يبي يعابطني وانا شايف فيه خمسينات وميات ودقو على واحد سعودي ولا تفهم موقفي يقول العشرات تمشي انا مايهمني لو تمشي ولا تطير يهمني الاسلوب لو تعاملو معاي باسلوب بدون مايتجمعون ويطفشوني بصرف العشرات انا مشيتها ولكن يمكن يتكرر مع عملاء ثانين-تم التواصل وشكرنا على الاهتمام </t>
  </si>
  <si>
    <t xml:space="preserve">تم ابلاغ مدير المحطة فريد وافاد ان اسلوب العميل لم يكن مناسب وان العامل اعطاه الصرف وكان في احتياج للصرف في المحطة لمواصلة العمليه التشغيليه </t>
  </si>
  <si>
    <t>فيصل البقمي</t>
  </si>
  <si>
    <t xml:space="preserve">	2026-01-19 09:52:12 PM UTC+03:00</t>
  </si>
  <si>
    <t xml:space="preserve">استفسار الشركاء </t>
  </si>
  <si>
    <t>لم يتم الرد 25\1</t>
  </si>
  <si>
    <t xml:space="preserve">ارض للبيع بمساحة 1600م </t>
  </si>
  <si>
    <t>تركي العنزي</t>
  </si>
  <si>
    <t>اسامة المالكي</t>
  </si>
  <si>
    <t>عبدالرحمن صالح</t>
  </si>
  <si>
    <t>عبدالله الجابر</t>
  </si>
  <si>
    <t xml:space="preserve">صكوك المالية  - حلول تمويلية تمويل شركات </t>
  </si>
  <si>
    <t xml:space="preserve">محل - زينة سيارات اول فرع  - واتس </t>
  </si>
  <si>
    <t xml:space="preserve">محل مغسلة سيارات - لايوجد فروع </t>
  </si>
  <si>
    <t>درايف ثرو اول فرع</t>
  </si>
  <si>
    <t xml:space="preserve">احمد عبداللطيف </t>
  </si>
  <si>
    <t xml:space="preserve">التحقق من هذا الموظف تابع لدرب مجاهد 0539475003 - شركة درعة - محطة </t>
  </si>
  <si>
    <t xml:space="preserve">تم التحقق وافادت العميل انه تابع للشركة بالفعل </t>
  </si>
  <si>
    <t xml:space="preserve">ابها </t>
  </si>
  <si>
    <t>استفسار عن 98</t>
  </si>
  <si>
    <t>توريد وقود الديزل بكمية تتراوح ما بين (96,000 إلى 150,000) لتر، وذلك بشكل دوري، لتغطية احتياج محطات الكهرباء.</t>
  </si>
  <si>
    <t>عبدالله محمد صليعي</t>
  </si>
  <si>
    <t xml:space="preserve">يوم الخميس 26/3/2026 الساعه 10.25 ص عبيت بنزين91 بمبلغ 60 ريال والعامل ماطبع لي فاتورة طول واحتاجاها واضطريت امشي ابيها ضروري للشركه  </t>
  </si>
  <si>
    <t xml:space="preserve">تم ابلاغ مدير المنطقة لارسال الفاتورة للعميل </t>
  </si>
  <si>
    <t>امل الحربي</t>
  </si>
  <si>
    <t xml:space="preserve">محطة في ابحر جاهزة ترغب في التشغيل </t>
  </si>
  <si>
    <t xml:space="preserve">يوم الاربعاء الساعة 12:39 ظهرا جيت اعبي بنزين واقفه عند المضخه والعامل اللي عند مضختي مشغول في عميل غيري كلمت واحد قدامي يعبي رفض يقول لا مسؤول عن مضخته وروحي كلمي مدير رحت كلمت المدير وطلع بنقالي يقول مايقدر العامل يعبي الا بمضخته انا موظفة موارد بشرية وافهم ان يقدر يحط البطاقة باي مضخه وتشتغل باسمه ليه رفض يخدمني وجلس يضحك علي مدير المحطه والعمال بلغتهم - دريم قراند رصاصي - اللوحة 5800 </t>
  </si>
  <si>
    <t>rayah</t>
  </si>
  <si>
    <t xml:space="preserve">حسب التوزيع الاداري للعمال كل عامل مختص بمسار معين في المحطه ومسؤول عن مضخات معينه </t>
  </si>
  <si>
    <t xml:space="preserve">المصلى مره وسخ مو مكنس واضح اليوم نهائي محد دخله ينظف فيه مناديل بالارض وتراب واشياء وصاخه مافي اهتمام محد يقدر يصلي فيه لازم سجاد نظيف ثاني - 17:04:48 Sunday, January 18, 2026 </t>
  </si>
  <si>
    <t xml:space="preserve"> اخطار مدير المحطة وطلب ارفاق مقطع فديو لتوضيح حالة السجاد 
تم التاكد من سلامة الموقع و السجاد ودورات المياه وتم التنويه على ضرورة متابعة المرافق العامه</t>
  </si>
  <si>
    <t xml:space="preserve">مشاعل </t>
  </si>
  <si>
    <t>صالح محسن</t>
  </si>
  <si>
    <t>عبيت بمبلغ 78 رفض يقبل 500 بتوجيه من مدير المحطة والعمميلة توها سحبتها من البنك ماعندها غيرها وتبي حل حاليا بالمحطة</t>
  </si>
  <si>
    <t>بيشة</t>
  </si>
  <si>
    <t>تم استلام المبلغ حينها وكان عدم استلامه لوجود قطع في ال500</t>
  </si>
  <si>
    <r>
      <rPr>
        <rFont val="Calibri"/>
        <b/>
        <color rgb="FF434343"/>
        <sz val="10.0"/>
      </rPr>
      <t xml:space="preserve">صامطه اعبي كل ما جيت اعبي مافي صرف مافي صرف - هايلوكس -( رب ق - 700 ) - بنيزين احمر </t>
    </r>
    <r>
      <rPr>
        <rFont val="Calibri"/>
        <b/>
        <color rgb="FFFF9900"/>
        <sz val="10.0"/>
      </rPr>
      <t xml:space="preserve"> - تم التواصل وشكرنا على الاهتمام</t>
    </r>
  </si>
  <si>
    <t>محطة قائمة 10000 م - المظلة اللي مي شغاله  المحلات  شغاله- ابن المالك</t>
  </si>
  <si>
    <t xml:space="preserve">تم ابللاغ مدير المنطقة لمتابعة توفير صرف لجميع المحطات </t>
  </si>
  <si>
    <t>الغامدي</t>
  </si>
  <si>
    <t>رائحة الحمامات وفرش المسجد غير نطيف - 17:43:47 Sunday, January 18, 2026</t>
  </si>
  <si>
    <t xml:space="preserve">تم رفع طلب تغير سجاد المسجد وتم التاكيد على ضرورة متابعة التهوئيه </t>
  </si>
  <si>
    <t>بشاير</t>
  </si>
  <si>
    <t xml:space="preserve">عندي شكوى على محطة العوالي دورات المياه النساء اكرمك الله سيئة كل مره اجيها نظافتها من اسوء مايكون وصراصير وذبان والستاره اللي حاطينها بس شكل لو بدونها افضل نصها مكشوف والهواء يهب فيها ولا تسترنا </t>
  </si>
  <si>
    <t xml:space="preserve">تمت زيارة المحطة والتفقد مع موظف النظافة وتم التشيك على الساتر الهوائي
تمارسال ايميل بخصوص التجديد لقسم المشاريع </t>
  </si>
  <si>
    <t>استفسار عن عرض الافتتاح احد المسارحة</t>
  </si>
  <si>
    <t>عبدالله الدواسري</t>
  </si>
  <si>
    <t>امتياز تجاري بمبلغ مالي</t>
  </si>
  <si>
    <t>Waleed</t>
  </si>
  <si>
    <t>Abu Ahmed Filimban</t>
  </si>
  <si>
    <t>حاتم حجازي</t>
  </si>
  <si>
    <t xml:space="preserve">قايل للعامل يعبي بـ ١٠٠ وعبالي بـ ١٣٩ !!!! لا و يجحد ! مو معقوله اعيد له الرقم اكثر من مره ويعبي ١٠٠ هو متقصد ولا المحطه قايلين لهم ولا ايش وضعكم مادري لكن غلط عن غلطين واتمنى معد يتكرر وشيء غريب صراحه من محطه كبيره زي درب اغلاط تافهه زي كذا !
</t>
  </si>
  <si>
    <t xml:space="preserve">عمال محطة البنزين لا يؤدون عملهم بسرعة الانجاز بخدمة تعبية السيارات في الصف الواحد من الجهتين ل ٣ مكاين .. فقط يعبي سياره واحده من كل جهة حتى ينتهوا .. ثم ينتقل إلى السيارات الاخري .. وللأسف ننتظرنا فوق ١٠ دقايق في الصف وأمام المكينة الثانية حتى ينتهى من مهمة السيارة التى أمامي ..علما ٣ سيارات في كل صف في وجهة واحده تنتظر نفس المده حتى بعض السيارات تركة المحطة وتوجهة الى المحطة التى بعدها ... ارجو من الادارة متابعة العمال .
الثلاثاء، 21 أبريل 2026 في 10:15 م
</t>
  </si>
  <si>
    <t xml:space="preserve">تم ابلاغ مدير المنطقه بتنبيه مدير المحطه على تدريب العمال على سؤال العميل قبل التعبئه والتأكد من المبلغ  </t>
  </si>
  <si>
    <t>العدد كافي بالنسبه للمبيعات كما تم ابلاغ مدير المحطة بنظيم الحركة وتحفيز العمال على سرعة الانجاز</t>
  </si>
  <si>
    <r>
      <rPr>
        <rFont val="Calibri"/>
        <b/>
        <color rgb="FF434343"/>
        <sz val="10.0"/>
      </rPr>
      <t>في محطة الدائري الثالث زاقفين العمال محد راضي يعبي واحد يقول بعد دقيقتين وواحد يقول بعد 10 واحد قالي تبديل شفت طيب عبولنا معطليننا ليه الساعه 11:54ص</t>
    </r>
    <r>
      <rPr>
        <rFont val="Calibri"/>
        <b/>
        <color rgb="FFFF9900"/>
        <sz val="10.0"/>
      </rPr>
      <t xml:space="preserve"> - تم التواصل والاعتذار وشكرنا على الخدمة</t>
    </r>
  </si>
  <si>
    <t>تم إبلاغ مدير المحطة ومراجعة الشكوى معه، مع التأكيد على معالجة أسباب تكرار الملاحظات ورفع مستوى الخدمة وعدم تكرار ذلك مستقبلاً.</t>
  </si>
  <si>
    <t>عبدالله سعدون</t>
  </si>
  <si>
    <t>وصف الاستثمار (أرض أم محطة): مضلة طرمبات فقط 
المساحة: 500 
الموقع: الرياض 
لها رخصة بناء محطة:نعم</t>
  </si>
  <si>
    <t>محل مغسلة سيارات لا يوجد فروع التواصل على الواتس ياليت 0536277466</t>
  </si>
  <si>
    <t>حيدر</t>
  </si>
  <si>
    <r>
      <rPr>
        <rFont val="Calibri"/>
        <b/>
        <color rgb="FF434343"/>
        <sz val="10.0"/>
      </rPr>
      <t>وصلنا قالو دقيقتين عشان نبدل العمال انتظرنا لنا عشر دقايق ماعندهم حسن ادارة  - وقت الاتصال 12:10م 30/4</t>
    </r>
    <r>
      <rPr>
        <rFont val="Calibri"/>
        <b/>
        <color rgb="FFFF9900"/>
        <sz val="10.0"/>
      </rPr>
      <t xml:space="preserve"> - العميل اقفل الاتصال ولا يرغب في تزيدنا بتفاصيل اضافية وقد تم الاعتذار له</t>
    </r>
  </si>
  <si>
    <t xml:space="preserve">شركة استدامة خدمات التصاريح البيئية </t>
  </si>
  <si>
    <t>تم تنبيه مشرف المحطة وتوضيح الاجراء الصح عند تغيير الشفتات</t>
  </si>
  <si>
    <t>محمد السلمي</t>
  </si>
  <si>
    <t>في عامل اسمه رشيد جيت اعبي من عنده قال توكل على الله وجلست لين جاني عبدارحمن مشرف المحطة بس انا ابي اوصل هذا الشي انا ما اجي اعبي اصلا دايم وهذي التجربه كانت سيئة - 2026-04-22 08:49:29 PM UTC+03:00 - تم الاعتذار من العميل وشكرنا لى الاهتمام والخدمة</t>
  </si>
  <si>
    <t xml:space="preserve">استفسار عندكم شقق للايجار في المحطات ؟ </t>
  </si>
  <si>
    <t xml:space="preserve">تمت افادته بانواع الوحدات وشكرنا </t>
  </si>
  <si>
    <t xml:space="preserve">لازيوجد تعبئه هواء كفرات ولا مويه
الأربعاء، 25 مارس 2026 في 05:17 م
</t>
  </si>
  <si>
    <t xml:space="preserve">الحاله متوقف موقتا </t>
  </si>
  <si>
    <r>
      <rPr>
        <rFont val="Calibri"/>
        <b/>
        <color rgb="FF434343"/>
        <sz val="10.0"/>
      </rPr>
      <t xml:space="preserve">2026-04-22 09:23:50 PM UTC+03:00 - المحطة يوم فيها بنزين ويومين لا كلشوية يقطع وامس ماكان في الا عامل واحد واسلوبه سيء  </t>
    </r>
    <r>
      <rPr>
        <rFont val="Calibri"/>
        <b/>
        <color rgb="FFFF9900"/>
        <sz val="10.0"/>
      </rPr>
      <t>- تم تصعيدها للمرة الثانية أ.مشاري</t>
    </r>
  </si>
  <si>
    <t xml:space="preserve">استفسار عن حالة الفاتورة </t>
  </si>
  <si>
    <t>تم الاعتذار وافادته خلال اليوم - تم ارسال تذكير في قروب الشكاوى</t>
  </si>
  <si>
    <t xml:space="preserve">2026-04-22 11:04:55 PM UTC+03:00  - لم يتم الرد </t>
  </si>
  <si>
    <t>تدخين العمالة</t>
  </si>
  <si>
    <t>محمد بخش</t>
  </si>
  <si>
    <t>عادل كريم عادل</t>
  </si>
  <si>
    <t>يبي يسجل في الفواتير الضريبية</t>
  </si>
  <si>
    <t xml:space="preserve">أرض 1200م  على ثلاثه شوارع - شارع 40 - 30 -18 - المدينة </t>
  </si>
  <si>
    <t xml:space="preserve">درايف - اول فرع </t>
  </si>
  <si>
    <t>محمد حمزه</t>
  </si>
  <si>
    <t>كشك كوفي  لا يوجد فروع</t>
  </si>
  <si>
    <t xml:space="preserve">هشام </t>
  </si>
  <si>
    <t>1600م - لا يوجد - مباشر مع المالك</t>
  </si>
  <si>
    <t xml:space="preserve">تمت الافادة </t>
  </si>
  <si>
    <t xml:space="preserve">محمد احمد </t>
  </si>
  <si>
    <t>1630م - يوجد رخصه قديمة - ابن المالكة</t>
  </si>
  <si>
    <t>نحن شركة كارافان والينابي لتصنيع مواد الإعلان (CYA)، إحدى الشركات الرائدة في مجال توريد مواد الإعلان في المملكة العربية السعودية.
لدينا أكثر من 12 فرعًا ومصنعًا في جميع أنحاء المملكة لتلبية جميع احتياجاتكم، بدءًا من اللافتات وحتى تصميم العلامات التجارية الكاملة لمحطات الوقود.
تجدون مرفقًا بعضًا من أعمالنا السابقة (CYA) للاطلاع عليها.</t>
  </si>
  <si>
    <t>محسن عبدالرحمن</t>
  </si>
  <si>
    <t xml:space="preserve">بنشر اكثر من فرع </t>
  </si>
  <si>
    <t>عبدالرحيم العتيبي</t>
  </si>
  <si>
    <t xml:space="preserve">احمد المنتشري </t>
  </si>
  <si>
    <t xml:space="preserve">العمال رافضين يعبون لي في المخضه اللي انا قدامها الا اجيه وانا مابي اعبي ببالمخضه اللي فيها ديزل -تم التواصل مع العميل ويفيد بانه تمت التعبئه له </t>
  </si>
  <si>
    <t xml:space="preserve">مغسلة - اول فرع - درب النورية </t>
  </si>
  <si>
    <t xml:space="preserve">تم ابلاغ مدير المحطة في حينها وتمت التعبئه للعميل ومراضاته </t>
  </si>
  <si>
    <t>وليد الحربي</t>
  </si>
  <si>
    <t>محطه عظم
مساحتها تفريبا
١٦٠٠ متر
ابحر الشماليه</t>
  </si>
  <si>
    <t>محل كافتيريا - فرع " القريات "</t>
  </si>
  <si>
    <t>حسن عسيري</t>
  </si>
  <si>
    <t>محطة  قائمة - المالك</t>
  </si>
  <si>
    <t>التوفيق</t>
  </si>
  <si>
    <t>يرغب بالتقديم على الوظائف</t>
  </si>
  <si>
    <t>ismail Zaeri</t>
  </si>
  <si>
    <t>نورة</t>
  </si>
  <si>
    <t>السلام عليكم ورحمة الله وبركاته
عندي ارض مساحتها 9000 م
على طريق صبيا - القوز
اجار على المدى الطويل</t>
  </si>
  <si>
    <t>بالعبيد</t>
  </si>
  <si>
    <t xml:space="preserve">ضيعت جوال وكان اخر مره فقدته بالمحطه امام البقالة فرش واي الجوال جلكسي اسود ان في اكس </t>
  </si>
  <si>
    <t>تم التواصل مع مدير المحطة ولا يوجد اي مفقودات</t>
  </si>
  <si>
    <t xml:space="preserve"> محطة عظم 
</t>
  </si>
  <si>
    <t xml:space="preserve">ابوحزام </t>
  </si>
  <si>
    <t>ابو اكرم</t>
  </si>
  <si>
    <t>بنزين 98</t>
  </si>
  <si>
    <t>مكة شركة طهاة اسيا يرغب ببطاقة مدار</t>
  </si>
  <si>
    <t xml:space="preserve">تزويده برقم م.رغد </t>
  </si>
  <si>
    <t>المدينه المنوره</t>
  </si>
  <si>
    <t xml:space="preserve">شركة رؤية الاداء المتطور خدمات سيارات" ميزان"
ثلاثه فروع وفرع رابع تحت الانشاء
</t>
  </si>
  <si>
    <t>احمد حسني كعكي</t>
  </si>
  <si>
    <t>فيصل الحازمي</t>
  </si>
  <si>
    <t>مخب-مخابز حسني كعكي عدد الفروع: 1
المدينة: مكه المكرمه سلام عليكم يشرفني شركاتكم في نجاحكمحاب افتح فرع في محطة درب الي في طريق المدينه قبل اشارة النوريه</t>
  </si>
  <si>
    <t>حسين باد كو</t>
  </si>
  <si>
    <t xml:space="preserve">يوم الخميس الساعة 2:04 م العامل بطيئ في الخدمة واقف يعبي لسيارة ب150 واثناء هذا الوقت ينتظر مايعبي للسيارات الثانية واضطريت اغير المسار راجعو الكاميرات وراح تشوفون اني حولت المسار هذا العامل ماينفع بشي ويضر سمعتكم المضخه اللي امام ماك ( ونيت غمارتين ابيض ) - تم التواصل والعميل راضي </t>
  </si>
  <si>
    <t xml:space="preserve">تم ابلاغ مدير المحطة للعمل على شد العمال واتخاذ انذارات في حال تقصد البطء في الخدمة </t>
  </si>
  <si>
    <t xml:space="preserve">كشك - فرنشايز </t>
  </si>
  <si>
    <t>عبدالكجيد شنكار</t>
  </si>
  <si>
    <t>محل مغسلة سيارات اتوماتيك  - اول فرع - المالك</t>
  </si>
  <si>
    <t>a.509</t>
  </si>
  <si>
    <t xml:space="preserve">درب غنية عن التعريف هذا افرع العماله يحتاجون مشرف صاحي بطيئن جدا واذا ناديته يطول زياده غريبين صراح علما لايوجد زحمه اخر مره امرهم
الخميس، 23 أبريل 2026 في 08:03 ص
</t>
  </si>
  <si>
    <t xml:space="preserve">تم توجيه مدير المحطة للعمل على النزول الميداني الدوري للمحطة وان يكون على اهبه الاستعداد طيله اليوم في الورديتين ولا يكتفي بدوام محدد بورديه واحده  </t>
  </si>
  <si>
    <t>يحيى الراجحي</t>
  </si>
  <si>
    <t>ثامر محمد</t>
  </si>
  <si>
    <t>محل مغسلة او مطعم عنده ( محلات في مجال ماينفع لمحطه زي بخاري اكلات هنديه والح..)</t>
  </si>
  <si>
    <t xml:space="preserve">فزت  في كوبون بنزين على تويتر ولا احد كلمني </t>
  </si>
  <si>
    <t>مؤهل ثانوية شركة ساسكو مسؤول علاقات حكومية</t>
  </si>
  <si>
    <t>مستعين</t>
  </si>
  <si>
    <t>محل بطاريات ولا زينة - عنده فروع - العزم والفولت - المالك</t>
  </si>
  <si>
    <t xml:space="preserve">حسن </t>
  </si>
  <si>
    <t xml:space="preserve">عبور الشاهين للتجارة - صيانة - تمديدات </t>
  </si>
  <si>
    <t>حسام الغامدي</t>
  </si>
  <si>
    <t xml:space="preserve">متابعة شكوى التسويق </t>
  </si>
  <si>
    <t xml:space="preserve"> تعامل العمال سيء
الأربعاء، 25 مارس 2026 في 11:45 ص
</t>
  </si>
  <si>
    <t xml:space="preserve">تم تنبيه مشرف المحطة لاتخاذ الاجراء المناسب وتدريب العمال </t>
  </si>
  <si>
    <t xml:space="preserve">1400م - أرض عليها رخصة بناء محطة </t>
  </si>
  <si>
    <t xml:space="preserve">محمد الخلاف </t>
  </si>
  <si>
    <t xml:space="preserve">محايل عسير
</t>
  </si>
  <si>
    <t>حسن باسودان</t>
  </si>
  <si>
    <t xml:space="preserve">درب فرع محايل عسير  - ٣٠ ابريل ٢٠٢٦ - ١١:٥٧ ص - ١٢:٠١ م
سحب الحساب مرتين - قيمة الحساب ٤٥.٧٦ ريال -  تم التواصل وشكرنا على الاهتمام </t>
  </si>
  <si>
    <t xml:space="preserve">تم التواصل معه من قبل مديرالمحطو وسيتم استلامه من العميل غدا </t>
  </si>
  <si>
    <t xml:space="preserve">شركة ياباس للمقاولات - يبي مساحات تاجيريه </t>
  </si>
  <si>
    <t>نواف السويهري</t>
  </si>
  <si>
    <t>كشك قلعة البن فرع واحد</t>
  </si>
  <si>
    <t>2026-05-01 12:11:25 PM UTC+03:00 - لم يتم الرد</t>
  </si>
  <si>
    <t xml:space="preserve">محل زينة سيارات - اول فرع </t>
  </si>
  <si>
    <t>نادر عسيري</t>
  </si>
  <si>
    <t>جازن</t>
  </si>
  <si>
    <t xml:space="preserve">عنده فواتير مبسطه يبغى فقط رقم السجل التجاري </t>
  </si>
  <si>
    <t xml:space="preserve">تم تزويده </t>
  </si>
  <si>
    <r>
      <rPr>
        <rFont val="Calibri"/>
        <b/>
        <color rgb="FF434343"/>
        <sz val="10.0"/>
      </rPr>
      <t>العامل اسلوبة سيء جيت للمضخه يقولي عطلانه وداني مكان ثاني فيه سرا وتجي دينه ويعبي لها قلت له الحين مو هذي خربانه واسلوبه سيء جا واحد ثاني يعتذر مازدا 2017 بيضا (9264-)   2026-05-01 01:14:51 PM UTC+03:00</t>
    </r>
    <r>
      <rPr>
        <rFont val="Calibri"/>
        <b/>
        <color rgb="FFFF9900"/>
        <sz val="10.0"/>
      </rPr>
      <t xml:space="preserve"> - تم الاعتذار من العميل وابلاغه ان المسار هذا مخصص للديزال </t>
    </r>
  </si>
  <si>
    <t>تم إبلاغ مدير المحطة ومراجعة الحالة معه، مع التأكيد على معالجة أسباب تكرار الملاحظات ورفع مستوى الخدمة وعدم تكرار ذلك مستقبلاً.</t>
  </si>
  <si>
    <t>معاذ البلخي</t>
  </si>
  <si>
    <t>زياد بدر</t>
  </si>
  <si>
    <t xml:space="preserve">مدخل المحطة جدا سيئ لاتوجد انارة وغير واظح ابدا في اليلل وخطر جدا
</t>
  </si>
  <si>
    <t>يوم الخميس الساعة 4:29 عصرا جيت اعبي العامل على جواله ماله خلق يشتغل دقيت بوري خفيف الا جاني ينافخ ايش فيه قلت بعبي بنزين  حاليا عبى لي لكن الاسلوب غير مقبول ابدا ( لكزس فضيه اللوحة د ا ص 6859 فضي )</t>
  </si>
  <si>
    <t xml:space="preserve">تم ابلاغ مدير المحطة لمتابعة الكامرات وانذار العامل المتسبب في الشكوىوالتنبيه على بقيه العاملين بعدم استخدام الجوال والتركيز على العمل </t>
  </si>
  <si>
    <t xml:space="preserve">2026-05-01 03:23:05 PM UTC+03:00 - نسي يدفع وراح المحطة يدفع امس </t>
  </si>
  <si>
    <t>احمد الفهمي</t>
  </si>
  <si>
    <t xml:space="preserve">يوسف حمود </t>
  </si>
  <si>
    <t xml:space="preserve">الدوادمي محطة قائمة  2000م </t>
  </si>
  <si>
    <t>⚠️ يوم الخميس الساعة 1:00 م عبيت بمبلغ 50 والعامل وقف على مبلغ 14 وسحب مني 50 
نوع السيارة شيفروليه إمبالا اسود-تم التواصل وشكرنا على التجاوب</t>
  </si>
  <si>
    <t>تمت مراجعة العملية والتواصل مع العميل، حيث تم تخييره  إما للعودة لاستكمال التعبئة ببقية المبلغ، أو استلام مبلغ قدره 36 ريال</t>
  </si>
  <si>
    <t>الشهراني</t>
  </si>
  <si>
    <t>2026-05-01 11:36:28 PM UTC+03:00 - لم يتم الرد</t>
  </si>
  <si>
    <t xml:space="preserve">بيوتي كافية -3 - المالك </t>
  </si>
  <si>
    <t>سلمان الشيباني</t>
  </si>
  <si>
    <t xml:space="preserve">طلب العامل يعبي حط المسدس وهو ما يشتغل وطش لبنزين على سيارتي وهي جديده اسلوب العمال سيء مشيت ما عبيت كامري 2025 - رور - 8708 - رمادي - المسار اليمين داخل المحطة - 2026-04-23 04:58:05 PM UTC+03:00 - تم التواصل وشكرنا على الخدمة </t>
  </si>
  <si>
    <t xml:space="preserve">تم ابلاغ مدير المحطة لمراجعة الكامرات والبحث عن العامل المتسبب والتحقق من صحة الشكوى وتوجيه انذار شفوي للعامل المتسبب في تضرر سياره العميل </t>
  </si>
  <si>
    <t>عايش حميد</t>
  </si>
  <si>
    <r>
      <rPr>
        <rFont val="Calibri"/>
        <b/>
        <color rgb="FF434343"/>
        <sz val="10.0"/>
      </rPr>
      <t xml:space="preserve">المفروض ما يقفلون المحطة لين يجي حق الشفت الثاني انا بطريق سفر وعطلوني ما يبي يعبي لان خلص شفته وانتم ما اردون المفروض عندكم عمليات 24 ساعه - 2026-05-02 11:51:53 AM UTC+03:00 </t>
    </r>
    <r>
      <rPr>
        <rFont val="Calibri"/>
        <b/>
        <color rgb="FFFF9900"/>
        <sz val="10.0"/>
      </rPr>
      <t xml:space="preserve">- تم التواصل والاعتذار للعميل وافاد لا تخسرون زباينكم وتقفلون المحطة </t>
    </r>
  </si>
  <si>
    <t xml:space="preserve">التفريغ يستغرق 50-55 دقيقه ولا بد من اغلاق المحطة عند التفريغ تجنباً للغرامه  وقد تم ابلاغ مدير المحطه بحسن التعامل مع العميل وايصال الفكره بشكل مناسب </t>
  </si>
  <si>
    <t xml:space="preserve">اماني الهازلي </t>
  </si>
  <si>
    <t xml:space="preserve">جمعية خيرية - بيع الديزال - رعاية علاج مرضى الدم </t>
  </si>
  <si>
    <t>تم الارسال الى أ.امل الشمراني</t>
  </si>
  <si>
    <t>2026-04-24 12:29:08 PM UTC+03:00 - لم يتم الرد</t>
  </si>
  <si>
    <t>علي عبدالعزيز</t>
  </si>
  <si>
    <t>يوسف الجاسر</t>
  </si>
  <si>
    <r>
      <rPr>
        <rFont val="Calibri"/>
        <b/>
        <color rgb="FF434343"/>
        <sz val="10.0"/>
      </rPr>
      <t xml:space="preserve">2026-05-02  - حط اللي في التانكي وراح يسولف مع صديقه فجاه جا وقال الجهاز خربان واسلوبه - تورس اسود (س د ل - 6216) - عبيت فوق 100 ريال ما اذكر - 1:57ص بعد ما خلص جوا المحطة اول مضخة </t>
    </r>
    <r>
      <rPr>
        <rFont val="Calibri"/>
        <b/>
        <color rgb="FFFF9900"/>
        <sz val="10.0"/>
      </rPr>
      <t xml:space="preserve"> - تم التواصل والاعتذار وشكرنا على المتابعة </t>
    </r>
  </si>
  <si>
    <t>مؤسسة عاصم يوسف  - سيارة اب</t>
  </si>
  <si>
    <t>تم إبلاغ مدير المحطة ومراجعة الشكوى معه مع التأكيد على معالجة أسباب تكرار الملاحظات في درب 7وطلب رفع مستوى الخدمة وعدم تكرار ذلك مستقبلاً.</t>
  </si>
  <si>
    <t>الرقم غلط</t>
  </si>
  <si>
    <t>2026-04-24 07:45:03 PM UTC+03:00 - لم يتم الرد</t>
  </si>
  <si>
    <t>عبدالرحمن الخالدي</t>
  </si>
  <si>
    <r>
      <rPr>
        <rFont val="Calibri"/>
        <b/>
        <color rgb="FF434343"/>
        <sz val="10.0"/>
      </rPr>
      <t xml:space="preserve">2026-05-02 07:17:58 PM UTC+03:00  - العامل رفض يعبي لي باجزاء من الريال يقول المدير حقه يخصم عليه لو ما كلها ريال  -  113.52 هلله احمر - (د و ن) - سودا جيلي - يقصد العميل ان العامل ملزم بجبر الههلات وعند عدم جبرها يتم الخصم منه من قبل مشرفه العميل افاد انها مو اول مره له ويبي نتحقق من مشرفه اكيد فاهم غلط </t>
    </r>
    <r>
      <rPr>
        <rFont val="Calibri"/>
        <b/>
        <color rgb="FFFF9900"/>
        <sz val="10.0"/>
      </rPr>
      <t xml:space="preserve"> - تم التواصل مع العميل وشكرنا على الاهتمام </t>
    </r>
  </si>
  <si>
    <t>حسن الغامدي</t>
  </si>
  <si>
    <t>2026-04-24 10:31:05 PM UTC+03:00 - لم يتم الرد</t>
  </si>
  <si>
    <t>للديه شكوى  على محطة جعرانة العامل يسحب البنزين وجي على بودي السيارة نكلمهم يقولو روح اشتكي لابس ابيض - 2026-03-26 07:47:09 PM UTC+03:00 - (س ا ب - 2329) ابيض كوريلا 26 - تم التواصل والاعتذار</t>
  </si>
  <si>
    <t>تم إبلاغ مدير المحطة بضرورة مراجعة تسجيلات الكاميرات، واتخاذ اللازم لمحاسبة العامل لعدم التزامه بارتداء الزي الرسمي، إضافة إلى توجيهه وتدريبه على الطريقة الصحيحة لإخراج مسدس التعبئة من المركبة دون التسبب في رش البنزين عليها.</t>
  </si>
  <si>
    <t xml:space="preserve">متابعة طلب الفاتورة </t>
  </si>
  <si>
    <t>تم الارسال</t>
  </si>
  <si>
    <t xml:space="preserve">وصلها طلب كنتاكي ناقص </t>
  </si>
  <si>
    <t xml:space="preserve">تمت افادتها بالتواصل مع المطعم </t>
  </si>
  <si>
    <t>ابو مازن الشمراني</t>
  </si>
  <si>
    <t xml:space="preserve">لا يوجد مسجد في  المجمع
الأحد، 8 مارس 2026 في 04:41 م
</t>
  </si>
  <si>
    <t>2026-03-27 01:02:31 AM UTC+03:00 - تقول ما اتصلت وشكرتنا على الاهتمام</t>
  </si>
  <si>
    <t>سالم ابو بكر</t>
  </si>
  <si>
    <t>العامل قال له الجهاز خربان وهو يرغب في الفاتورة المبسطه لمبلغ 100 ريال - شبكة -  2026-04-25 09:34:01 AM UTC+03:00-</t>
  </si>
  <si>
    <t>تم ارسال الفاتورة</t>
  </si>
  <si>
    <t>AM AL</t>
  </si>
  <si>
    <t>‏يوجد مشكلة عند الخروج من المحطة ‏غلط مكان مزاج
‏يعيق الحركة يقفل الطريق عند وقوف أحد السيارات عندهم.الأربعاء، 8 أبريل 2026 في 08:19 م</t>
  </si>
  <si>
    <t>رحاب</t>
  </si>
  <si>
    <t>محمد الغيثي</t>
  </si>
  <si>
    <t>اقترح فاير جير-المشوى العنابي</t>
  </si>
  <si>
    <t xml:space="preserve">عبق الخليج - 14 فرع  - درايف </t>
  </si>
  <si>
    <t>2026-03-27 08:50:48 AM UTC+03:00</t>
  </si>
  <si>
    <t>م ثامر القرشي</t>
  </si>
  <si>
    <t>فهد سعيد الغامدي</t>
  </si>
  <si>
    <t>معكم م ثامر القرشي، صانع محتوى على سناب شات، أقدّم محتوى تأملي بأسلوب هادئ وذكي يجذب تفاعل عالي من الجمهور.
حسابي يضم أكثر من 300 ألف متابع، وتصل المشاهدات فيه إلى أرقام مليونية، مع قاعدة جمهور نشطة ومتفاعلة خصوصًا في منطقة الطائف.
يسعدني التعاون مع درب  بالطائف في تقديم محتوى إعلاني مبتكر يعكس هوية العلامة بشكل جذاب وطبيعي يناسب جمهوري، ويحقق أثر تسويقي واضح.
إذا كان فيه اهتمام بالتعاون، أكون سعيد بمناقشة التفاصيل وتقديم أفكار تناسبكم.
شاكر ومقدّر لكم 🌟
:thamer2030v :  Snap
https://snapchat.com/t/HilV1dOP
thamerstc@hotmail.com</t>
  </si>
  <si>
    <r>
      <rPr>
        <rFont val="Calibri"/>
        <b/>
        <color theme="1"/>
        <sz val="9.0"/>
      </rPr>
      <t>العامل يقول ادفع قبل ما تعبي او روح محطة ثانية اسلوبو مو كويس لو طلبني بس ادفع باسلوب حسن بدفع بس الاسلوب مستفز واقوله فين الادارة يقول مافي ادارة ياخي كيف محطة كذا مافيها ادارة ؟؟  - ب ق أ - 9094 - ازرق - كوريلا 2012-  المسار الايمن - 8:43ص  - 1-21 الاربعاء -</t>
    </r>
    <r>
      <rPr>
        <rFont val="Calibri"/>
        <b/>
        <color rgb="FFFF9900"/>
        <sz val="9.0"/>
      </rPr>
      <t xml:space="preserve">تم التواصل والاعتذار وشكرنا على الخدمة </t>
    </r>
  </si>
  <si>
    <t>تم التواصل مع المشرف وتنبيه العمال على ان يكون الاسلوب اكثر لباقه مع العميل</t>
  </si>
  <si>
    <t>الدفع المسبق</t>
  </si>
  <si>
    <t xml:space="preserve">خالد </t>
  </si>
  <si>
    <t>بدر احمد</t>
  </si>
  <si>
    <t>احنى موظفين في شركة الجزيرة الموظفين قولو مافي فواتير ليه احنى دايم نعبي عندكم ونحتاجها ياليت توفروها - 2026-03-27 12:47:32 PM UTC+03:00 - تم التواصل ووضح العميل انه يحتاج فاتورة عاديه لكن العامل رفض</t>
  </si>
  <si>
    <t>ماجد محمد</t>
  </si>
  <si>
    <t xml:space="preserve">جد في المحطة فواتير ضريبية مبسطة متاحة لجميع العملاء، أما الفواتير الضريبية الخاصة بالمنشآت (برقم السجل التجاري) فلا يتم إصدارها إلا في حال تجاوزت قيمة عملية التعبئة مبلغ 1000 ريال، وذلك حسب كلام الادراة الماليه </t>
  </si>
  <si>
    <t xml:space="preserve">على 3 شوارع 1500م </t>
  </si>
  <si>
    <t xml:space="preserve">مغسلة سعود العجمي - مغسلة - بنشر </t>
  </si>
  <si>
    <t>2026-04-25 03:24:46 PM UTC+03:00 - لم يتم الرد</t>
  </si>
  <si>
    <t>طاهر سيد</t>
  </si>
  <si>
    <t>استفسار عن ارجاع الجالون</t>
  </si>
  <si>
    <t xml:space="preserve">محمد بن عايض
</t>
  </si>
  <si>
    <t>تمت افادته من قبل مدير المحطة - وشكرنا على الخدمة</t>
  </si>
  <si>
    <t xml:space="preserve">عبى ب100 ريال وافاد بانه تم سرقة هللات وسيتم رفع بلاغ لوزارة التجارة - هذا في الردف
اكيد تبون وزارة التجارة وبين وبينكم - مرفق فيديو 2026-04-25 04:04:59 PM UTC+03:00 - تم التواصل معه من قبل مدير المنطقه وسيتم التوضيح للعميل  - تمت افادة العميل والاعتذار عبر الواتس اب </t>
  </si>
  <si>
    <t>يمكن عبى فل وقف المسدس وكمل الهلالات اذ وصلت 90هلل يضغط رقم اثنين ويكمل لين يقفل 100ريال - تواصلت مع العميل وتفاهمت معه وش الاشكاليه وتأكد بانه غلطان في تقديم الشكوى واكد لي بالغاهاء</t>
  </si>
  <si>
    <t xml:space="preserve">يوم الاربعاء الساعة 11:00 ص طلبت بنزين احمر بمبلغ 50 كلمته باللغتين وعبى اخضر سيارتي جديده ومعودها على الاحمر ( كيا كارنفال احمر - د س ه 671 ) </t>
  </si>
  <si>
    <t xml:space="preserve">تم ابلاغ مدير المنطقه ومدير المحطة للتنبيه على العمال على سؤال العميل قبل التعبئه وفهم رغبته في نوع البنزين قبل التعبئه </t>
  </si>
  <si>
    <t>اقتراح ،،،،
عندي مقترح "رهيب" يخلي مشوار المحطة أسرع وأذكى! وش رايكم تفعلون ميزة (محفظة درب الرقمية)
نشحن الرصيد مرة واحدة، وندفع بلمحة جوال عند المضخة. منها نختصر الوقت، ومنها نضمن إننا دايم "دربنا" معكم.
أتمنى تدرسون الفكرة، ولو اعتمدتوها لا تنسون صاحب الاقتراح بكرت بنزين "فل" نكشخ به! 😉🚀</t>
  </si>
  <si>
    <t>Alamgir Kobir</t>
  </si>
  <si>
    <t>سلوك هذا الرجل سيء جدًا، فهو لا يعطي الكمية الصحيحة من الزيت، وأحيانًا يطلب بقشيشًا ويقول شيئًا ثم يرد بطريقة غير لائقة، أناشد السلطات باتخاذ الإجراءات المناسبة.
( مرفق صورة العامل في قروب شكاوى قوقل ماب تم مناقشة الشكوى في الاجتماع بخصوص العامل مجتهد وتقييماته ايجابيه في قوقل ماب في حال تكررت سيتم التصرف معاه حسب الاوائح )</t>
  </si>
  <si>
    <t xml:space="preserve">من الرجل ؟ نحن لانبيع الزيت ؟يبدو ان الشكوى على محل البنشر </t>
  </si>
  <si>
    <t>حمزة عبدالله</t>
  </si>
  <si>
    <t>تموينات المحطة</t>
  </si>
  <si>
    <t xml:space="preserve">كشك - اول فرع </t>
  </si>
  <si>
    <t>تمت افادتها بانهم شركاء</t>
  </si>
  <si>
    <t>C/ &amp;</t>
  </si>
  <si>
    <t xml:space="preserve">انتبهو من اصحاب البنشر او خدمات السيارات استغلال مو طبيعي خاصه موظفين الميزان او الترصيص
30 أبريل 2026
</t>
  </si>
  <si>
    <t>استفسار عن التواصل مع التاجير</t>
  </si>
  <si>
    <t>تمت افادته برقم أ.تهاني</t>
  </si>
  <si>
    <t>2026-03-28 10:13:20 AM UTC+03:00</t>
  </si>
  <si>
    <t>Abdu Llmjeed Altharei</t>
  </si>
  <si>
    <t xml:space="preserve">فلاح الشراري </t>
  </si>
  <si>
    <t xml:space="preserve">عمال المحطه نفسيات ولن وصلت كان عند الطرمبه شافني وراح لخويه وقاعد يسولف معاه نص ساعه وانا منتظر وادق له بوري يقول ايش في قاعد يستهبل كيف ايش في قاعد اشحت منك أو كيف انا عميل تخدمني مقابل ما تقعد تلعب وتسوي حركات اتمنى النظر في الموضوع وتغيير العمال
30 أبريل 2026
</t>
  </si>
  <si>
    <t>عبدالعزيز الوحامي</t>
  </si>
  <si>
    <t xml:space="preserve">تم ابلاغ مدير المحطه  لتدريب وتأهيل العمال والعمل على تحسين سلوكهم مع العملاء </t>
  </si>
  <si>
    <t>القريات</t>
  </si>
  <si>
    <t xml:space="preserve"> مجمع محروقات 
المساحة: المرخص 7000 متر. اجمالي الارض18 الف
لها رخصة بناء محطة: نعم 
🔺 جاري عملية التاهيل</t>
  </si>
  <si>
    <t xml:space="preserve">يرغب بالاستثمار بمبلغ مالي </t>
  </si>
  <si>
    <t>2026-03-28 02:02:28 PM UTC+03:00</t>
  </si>
  <si>
    <t>محمد الهمامي</t>
  </si>
  <si>
    <t>يوسف الحربي</t>
  </si>
  <si>
    <t>Anas khan</t>
  </si>
  <si>
    <t>محطة قائمة
الموقع : نجران - حي الجامعه
المساحه : 8600</t>
  </si>
  <si>
    <t xml:space="preserve">اخلاق عمال المحطه زفت وعصابه تحسهم
29 أبريل 2026
</t>
  </si>
  <si>
    <t xml:space="preserve">تم ابلاغ مدير المحطة لزيادة التدريب والتأهيل والشد على سلوك العمال مع العملاء </t>
  </si>
  <si>
    <t>أنس خان، وأنا أمثل مجموعة إميننت، وهي شركة متخصصة في توظيف القوى العاملة وحلول القوى العاملة.</t>
  </si>
  <si>
    <t>محمد المهيمزي</t>
  </si>
  <si>
    <t>المساحة / ٦٠٠٠ م٢ محطة 
الموقع / الطريق السريع حايل-المدينة المنورة
نعم لها رخصة بناء ، والمبنى مكتمل</t>
  </si>
  <si>
    <t>راشد العليان</t>
  </si>
  <si>
    <t xml:space="preserve">منير عبدالكريم </t>
  </si>
  <si>
    <t xml:space="preserve">لديه محطة للبيع </t>
  </si>
  <si>
    <t>العمال ما يهتموا بالنظافه من امس الساعه 4م ولا احد جا صلح اللي مقطوع ومافي اهتمام 3 حمامات واحد خربان واثنين وسخه  - الموظف يجي يرش مويا ويمشي مافي تنظيف تعقيم انا كليوم اجي اتوضى واصلي المصلى ممتاز بس الحمام ياليت تراجعو الموظفين  - لم يتم الرد</t>
  </si>
  <si>
    <t xml:space="preserve">تم تدريب العامل وتم التنويه على ضرورة متابعة النظافة من قبل مدير المحطة </t>
  </si>
  <si>
    <t>وسيم</t>
  </si>
  <si>
    <t xml:space="preserve">خالد القحطاني </t>
  </si>
  <si>
    <t xml:space="preserve">خساره النجمه كمان خدمه سيئه
تم التحرير في 29 أبريل 2026
</t>
  </si>
  <si>
    <t xml:space="preserve">تم ابلاغ مدير المحطة لزيادة التدريب والتأهيل للعمال وانخاذ اجراءات تجاه العمال الغير ملتزمين بالسلوك الحسن مع العميل </t>
  </si>
  <si>
    <t xml:space="preserve">المساحة: ارض 3600
الموقع: الدمام طريق الملك فهد ماقبل النخيل مول 
لها رخصة بناء محطة: نطلع له رخصه محطه - المالك </t>
  </si>
  <si>
    <t>بندر سعيد القحطاني</t>
  </si>
  <si>
    <t>عندي محطة مساحتها 10600م² مخططاتها ورخصة البناء جاهزه للتطوير موقعها على الطريق السريع الرياض الطايف تبعد ٢٤٠كيلو من الرياض بإتجاه الطايف موقعها طيب</t>
  </si>
  <si>
    <t>محمد عيد العمراني</t>
  </si>
  <si>
    <t>تبوك</t>
  </si>
  <si>
    <t>غازي العتيبي</t>
  </si>
  <si>
    <t>2026-03-28 09:08:27 PM UTC+03:00</t>
  </si>
  <si>
    <t>استفسار عن رقم الشركاء</t>
  </si>
  <si>
    <t>وصف الاستثمار/محطة وقود قائمة
 المساحة/12000m
الموقع/محافظة حقل منطقة تبوك
موجود رخصة بناء</t>
  </si>
  <si>
    <t xml:space="preserve">عمال مستفزين واسلوب معفن انصح بعدم التعامل معهم
1 مايو 2026
</t>
  </si>
  <si>
    <t xml:space="preserve">تم ابلاغ مدير المحطة لزيادة تأهيل وتدريب العمال والاهتمام بسلوكهم تجاه العملاء </t>
  </si>
  <si>
    <t>علي العوفي</t>
  </si>
  <si>
    <t>محطة بمساحة 3000متر تقريبا طريق تربة الخرمة لها رخصة بناء وبرسلكم كل الاوراق المطلوبة مساحة الارض ٣٠٠٠ متر بصك اكتروني
المساحه المبنيه للمحطه ١٢٠٠ متر</t>
  </si>
  <si>
    <t>سامي عوض الحربي</t>
  </si>
  <si>
    <t>عندي ارض خام في الخبر العزيزيه
المساحه مليون و٧٠٠ الف مترةمصرح 
تجاري استثماري سكني 
مقابله البحر
بجانب جامعة الأمير محمد بن فهد
حواليها المخططات
 السعر 380ريال للمتر - وسيط</t>
  </si>
  <si>
    <t>عبدالرحمن النهاري</t>
  </si>
  <si>
    <t>عمال  فاشلين
1 مايو 2026</t>
  </si>
  <si>
    <t>يبي فاتورة وتم افادته من قبل مدير المحطة</t>
  </si>
  <si>
    <t xml:space="preserve">تم ابلاغ مدير المحطة لزياده بذل جهد في التدريب والتأهيل للعمال واتخاذ اجراءات ضد العمال الغير ملتزمين بالتعليمات </t>
  </si>
  <si>
    <t xml:space="preserve">درايف ثرو - سلافه </t>
  </si>
  <si>
    <t>طلال علي حسن هوداني</t>
  </si>
  <si>
    <t xml:space="preserve"> وصف الاستثمار (ارض بموقع ممتاز): المساحة: 50 معاد
الموقع: جازان محافظة ضمد
لها رخصة بناء محطة:لايوجد</t>
  </si>
  <si>
    <t>حسين عتين</t>
  </si>
  <si>
    <t>محد بشير</t>
  </si>
  <si>
    <t>عامر</t>
  </si>
  <si>
    <t>عامل البقاله لازم يعدل اسلوبو معى الزباين
اسلوبو زق معى الزباين1 مايو 2026</t>
  </si>
  <si>
    <t xml:space="preserve"> السلام عليكم ورحمة الله وبركاته ارغب بمعرفه المزيد عن الاستثمار في محطات درب، وامد التواصل معي في اقرب وقت ممكن 
</t>
  </si>
  <si>
    <t xml:space="preserve">اول فرع - مغسلة </t>
  </si>
  <si>
    <t xml:space="preserve">سفر خلف القثامي </t>
  </si>
  <si>
    <t>أرض 
شمال الطائف 
 ليست لدينا رخصه محطه</t>
  </si>
  <si>
    <t>asmaa othman</t>
  </si>
  <si>
    <t>عامر متعب العنزي</t>
  </si>
  <si>
    <t xml:space="preserve">محايل </t>
  </si>
  <si>
    <t>حطو فيزا بلاش قحرطه Saturday, May 2, 2026  22:43:26  - تمت محاولة التواصل عدة مرات والرقم غير صحيح ومغلق</t>
  </si>
  <si>
    <t xml:space="preserve"> السلام عليكم ورحمه الله وبركاته عندي مشروع باذن لله مغسله سيارات و شفتكم فاتحين فرع لكم ب طريق محايل عسير بحر ابو سكينه بجوار صناعية محايل كيف اقدر اتواصل معكم و احجز لي مكان و شاكره لكم 
</t>
  </si>
  <si>
    <t>زاكي سفر البشري</t>
  </si>
  <si>
    <t>وسيط - ارض
المساحة: 9400
الموقع: محافظة رابغ المدخل الرئيسي الرابط مع الطريق السريع 
لها رخصة بناء محطة: نعم فئة ب</t>
  </si>
  <si>
    <t xml:space="preserve">سهيل </t>
  </si>
  <si>
    <t xml:space="preserve">شركة نون يرغب بالتعاون مع شركة درب فيما يخص استلام الطلبيات من المحطات </t>
  </si>
  <si>
    <t xml:space="preserve">خمس شهور يادرب اعبي منكم باستمرار فجاه تضرب عندي طرمبة وبخاخات وترسبات مالها نهائي مشكلة ترسبات ثقيله كانها طينيه انا ملتزم اعبي تانكي فوق ربع استخدم منظفات من سنين وغير ذالك لما اعبي منكم سيارتي يضعف عزمها اذا عبيت من محطة اخرى يرجع العزم كويس اهتمو بفلاتر خزنات ومضخات ياخي
تم التحرير في الجمعة، 24 أبريل 2026 في 11:05 م
</t>
  </si>
  <si>
    <t xml:space="preserve"> ماش الحمامات ماش ريحه 00:07:01  Sunday, May 3, 2026 </t>
  </si>
  <si>
    <t xml:space="preserve">تم ابلاغ الصيانه ومدير المحطة في حال تكرار الشكوى من شخص اخر يتم فحص عينه من البنزين </t>
  </si>
  <si>
    <t xml:space="preserve">تم اخطار المدير المحطة و تم التنويه على متابعة النظافة </t>
  </si>
  <si>
    <t xml:space="preserve"> هاجر راضي</t>
  </si>
  <si>
    <t xml:space="preserve">معيار تعبئة الهواء يحتاج الى معايرة ووزنه لانه طلع خربان
السبت، 25 أبريل 2026 في 05:41 م
</t>
  </si>
  <si>
    <t xml:space="preserve">
تم التحقق ولا يوجد بلاغ عطل ربما يكون عدم معرفة استخدام كما افاد انه تم وزنه </t>
  </si>
  <si>
    <t>لا يوجد مناديل ولا صابون ، المغاسل مسدوده الاثنين ، ارجو العناية بها لحاجتنا البشرية ، ايضا وض بورد للاطفال الرضع لنتمكن من تغير الحفايظ وشكرا</t>
  </si>
  <si>
    <t xml:space="preserve">تم شرح الملاحظة لمدير المحطة وبانتظار التحقق كما تم التشيك على بلاغات الصيانة ولا يوجد طلب بانتظار الرد+تم التحقق من مدير المحطة وقد افاد ان جميع دوراة المياه مصانه ولا يوجد عطل ويوجد صابون ولكن المحطة تشهد قرابة 100حاج 
المناديل متوقفه من الشركة  </t>
  </si>
  <si>
    <t>الغسلة الانيقة  - ثاني فرع</t>
  </si>
  <si>
    <t>Muhammad waqas Azam</t>
  </si>
  <si>
    <t>أ. مسفر ابن براك .</t>
  </si>
  <si>
    <t xml:space="preserve">فريق التأجير المحترم، أتمنى أن تكونوا بخير. تجدون طيه عرضنا لموقع مغسلة سيارات، نرجو منكم التكرم بمراجعته. نسعى لاستئجار مساحة مناسبة لمغسلة سيارات داخل محطة الوقود التابعة لكم في الرياض، ويسعدنا مناقشة هذه الفرصة بالتفصيل. شكرًا لكم على وقتكم واهتمامكم. نتطلع إلى ردكم. مع خالص التحيات، محمد وقاص
</t>
  </si>
  <si>
    <t xml:space="preserve">جيت اعبي بنزين قالي مافيه و هو توه معبي لواحد و ثاني شيء مو حاطين لوحات انها مقفله او مافيه بنزين
الجمعة، 24 أبريل 2026 في 08:59 م
</t>
  </si>
  <si>
    <t xml:space="preserve">تم ابلاغ مدير المحطة للتحقق من الامر ومراجعة الكامرات وارسال فديو وتبيين اسباب عدم التعبئه </t>
  </si>
  <si>
    <t>لا يوجد نظافه في دورات المياه ولا صابون
15:28:06 Saturday, May 2, 2026</t>
  </si>
  <si>
    <t>سعيد القحطاني</t>
  </si>
  <si>
    <t>م التحقق من المحطة و المستودع تبين لدينا ان المحطة لم يصلها الصابون بعد خطاء في طلب المنظفات و اغلاق صلاحية التعديل من المشتريات 
مشكلة في التوزيع داخل المستودع 
مشكلة توصيل كانت متعلقه م توفير الصابون وتمت المعالجه  16-5-2026</t>
  </si>
  <si>
    <t xml:space="preserve">ضيف الله سعد الغامدي </t>
  </si>
  <si>
    <t>مشاري الحارثي</t>
  </si>
  <si>
    <t>شركة صحاي العربية للمقاولات العامة</t>
  </si>
  <si>
    <r>
      <rPr>
        <rFont val="Calibri"/>
        <b/>
        <color theme="1"/>
        <sz val="9.0"/>
      </rPr>
      <t xml:space="preserve">طريق الملك فهد الباحه قلت له عبي 91 ب30 ريال وعبى 95 ب4 ريال قلت له ليه تعبي احمر قال عادي بنزين كلو واحد يعني ليه زعلان قلتلو يعني غلطان واسلوبك سيء وحققت معاه وش سمعني وقال اي قلت 91 يعني ياليت تنبهوا العمال على سلوكهم لان راح ينفروا العملاء وسالته فين المدير قال المدير ما يجي - الساعه 8:15 - كاش 30 ريال  المسار الي برا - سبارك رمادي (د ك د - 2370) </t>
    </r>
    <r>
      <rPr>
        <rFont val="Calibri"/>
        <b/>
        <color rgb="FFFF9900"/>
        <sz val="9.0"/>
      </rPr>
      <t xml:space="preserve">-تم التواصل مع العميل والاعتذار وشكرنا على الخدمة </t>
    </r>
  </si>
  <si>
    <t xml:space="preserve">يقول مايقبل الا شبكة و كل ما اجيها مقفلة الجمعة، 24 أبريل 2026 في 01:34 م
</t>
  </si>
  <si>
    <t xml:space="preserve">يوجد خيار الدفع كاش وشبكة  ويبدو ان الاقفال الذي يقصده العميل اقفال المحطة بسبب صلاه الجمعه </t>
  </si>
  <si>
    <t>البتول</t>
  </si>
  <si>
    <t>لكن الرائحة مزعجة ، دورات المياة مليانة ذباب حتى عند المدخل
09:58:52 Friday, May 1, 2026</t>
  </si>
  <si>
    <t>عبدالله يسري</t>
  </si>
  <si>
    <t>R XZ</t>
  </si>
  <si>
    <t xml:space="preserve">تم رفع بلاغ تجديد كامل لدورة المياه بانتظار المشاريع 
</t>
  </si>
  <si>
    <t xml:space="preserve"> منير آل شيهاني</t>
  </si>
  <si>
    <t xml:space="preserve">يشحذ التقييم
الجمعة، 24 أبريل 2026 في 12:06 ص
</t>
  </si>
  <si>
    <t xml:space="preserve">تم التعميم على مدراء المحطات بأخبار العميل فقط شاركنا تقييمك بدون الحاح زائد او محاوله استعطافه </t>
  </si>
  <si>
    <t>عدم نظافة الحمامات بشكل دوري المشرف العام عبد الرحمن محمد
وتم التخاطب مع المشرف العام بسبب سوء النظافة والجودة ويوجد مشكلة في احد الحمامات توجد تسرب مياه
والعامل المختص في النظافه لا يهتم في النظافه بشكل دوري - 13:00:20 Wednesday, January 21, 2026 :</t>
  </si>
  <si>
    <t>طلب تعاون استراتيجي لتشغيل وصيانة محطات "درب"
مدير التسويق والعلاقات العامة
شركة ميثاق الرائدة للتشغيل والصيانة</t>
  </si>
  <si>
    <t xml:space="preserve">تم ابلاغ مدير المحطة بضرورة متابعة اعمال النظافة بخصوص التسريب معلق لدى فريق الصيانة 
تم رفع  البلاغ 20/1/2026
</t>
  </si>
  <si>
    <t>Tiktok</t>
  </si>
  <si>
    <t>أتحرى الصواب فيما أكتب</t>
  </si>
  <si>
    <t>استفسار عن حالة الشكوى</t>
  </si>
  <si>
    <t>للأسف بطيئين في الخدمة الخميس، 23 أبريل 2026 في 04:37 م</t>
  </si>
  <si>
    <t xml:space="preserve"> غيام</t>
  </si>
  <si>
    <t>ريناد</t>
  </si>
  <si>
    <t xml:space="preserve">الماء حق المواضي يهرب مويه -  17:30:44 Wednesday, January 21, 2026 </t>
  </si>
  <si>
    <t xml:space="preserve">تم الاصلاح وكانت المشكلة ليات المواضي </t>
  </si>
  <si>
    <t>الصراحه الحمامات مره مو نظيفه فا يليت يكون في احد ينظف  04:13:32 Thursday, March 19, 2026</t>
  </si>
  <si>
    <t xml:space="preserve">تمت الزيارة وكان الحمام نظيف لسهولة وصول العامل الى دورات مياه النساء اوقات الصلاة تكون حركة نساء متواتره ويصعب وصول العامل لتنظيف اول بي اول 
نقترح توفير عاملة </t>
  </si>
  <si>
    <t>تسرب مياه</t>
  </si>
  <si>
    <t>سعو اللتر غير واضح</t>
  </si>
  <si>
    <t>تمت محاولة التواصل لتوضيح الاستفسار ولم يتم الرد</t>
  </si>
  <si>
    <t>مشاعل</t>
  </si>
  <si>
    <t xml:space="preserve">محمد السليماني </t>
  </si>
  <si>
    <t>يحتاج نظافة ومناديل ومعطرات وصابون - 02:04:49 Monday, March 23, 2026</t>
  </si>
  <si>
    <t>سعد القرشي</t>
  </si>
  <si>
    <t xml:space="preserve">تم تهوية المكان و التاكد ورفع بلاغات الصيانه والتشيك على الصابون و الشفاطات </t>
  </si>
  <si>
    <t>نبي ويستر - ديب فرايز</t>
  </si>
  <si>
    <t xml:space="preserve">محل - ثاني فرع </t>
  </si>
  <si>
    <r>
      <rPr>
        <rFont val="Calibri"/>
        <b/>
        <color rgb="FF434343"/>
        <sz val="10.0"/>
      </rPr>
      <t>العامل صوته يرتفع ويصارخ وفوق ذا اقله احمر عبا لي اخضر بعدين رجع احمر - 00:04:26 Wednesday, April 22, 2026</t>
    </r>
    <r>
      <rPr>
        <rFont val="Calibri"/>
        <b/>
        <color rgb="FFFF9900"/>
        <sz val="10.0"/>
      </rPr>
      <t xml:space="preserve">  - تم التواصل والاعتذار من العميل مايبي يصعدها على العامل</t>
    </r>
  </si>
  <si>
    <t xml:space="preserve"> اسامة الثقفي</t>
  </si>
  <si>
    <t>دورات المياه الا في محطة اسفل الكرا الهدا الطائف تحتاج اهتمام
وشكرا لكم - 12:04:36 Tuesday, March 24, 2026</t>
  </si>
  <si>
    <t xml:space="preserve">تم اخطار مدير المحطة وتم التحريص على ضرورة متابعة النظافة </t>
  </si>
  <si>
    <t xml:space="preserve">سارة </t>
  </si>
  <si>
    <t>استفسار عن وجود تطبيق</t>
  </si>
  <si>
    <t>تمت افادته قريبا وسيتم الابلاغ عنه في مواقع التواصل</t>
  </si>
  <si>
    <t>Nada</t>
  </si>
  <si>
    <t>حدا سي والنظافة صفر في المسجد والحمام واشكركم على الصابون</t>
  </si>
  <si>
    <t xml:space="preserve">تم التشيك على الموقع و التفقد ولكن يوجد اوقات معينه لدخول الموظف للتنظيف </t>
  </si>
  <si>
    <t>سيئه النظافه جدا مقرفه فقط مظهر - 19:04:52 Tuesday, March 24, 2026</t>
  </si>
  <si>
    <t xml:space="preserve">ليلى العنزي </t>
  </si>
  <si>
    <t>سعيد المنبهي</t>
  </si>
  <si>
    <t>وصف الاستثمار بيت جنب ارض عليها رخصة بناء محطة  
المساحة: ٥٤٠ 
الموقع: حفر الباطن / حي المحمدية 
لها رخصة بناء محطة: لا ارض جاري عليه ترخيص بناء محطة الموقع جداً ممتاز وحيوي  شارع حي رئيسي + مدخل الحي + في الشارع المقابل مجمع مدارس بنات + مجمع مدارس او لاد + مركز صحي + ارض دوائر حكومي</t>
  </si>
  <si>
    <t>تحتاج صيانه دوريه لدورات المياه - 22:58:59 Tuesday, April 21, 2026</t>
  </si>
  <si>
    <t>استفسار عن الية استعارة الجركل</t>
  </si>
  <si>
    <t>الحاله مكلف 
21/04/2026 09:39</t>
  </si>
  <si>
    <t xml:space="preserve">تمت افادته بدفع تامين وبعد الانتهاء يتم ارجاع المبلغ </t>
  </si>
  <si>
    <t>مافي عامل و المكان وصخ مرا - 22:59:18 Thursday, March 26, 2026</t>
  </si>
  <si>
    <t xml:space="preserve">ويختلف موقع  العامل في وقت زيارة العميل </t>
  </si>
  <si>
    <t>روان</t>
  </si>
  <si>
    <t>نرجو وضع مناديل في حمام النساء - 22:15:51 Wednesday, April 22, 2026</t>
  </si>
  <si>
    <t xml:space="preserve">المناديل متوقفه من الشركة 
وعند التخلص منها في المراحيض تسبب انسداد في المواصير </t>
  </si>
  <si>
    <t xml:space="preserve"> ‏عندي موقعين للايجار 
‏مجمعين مكتملة كليا 
‏واحد منها شغال الان فيه البنشر ومغسلة السيارات </t>
  </si>
  <si>
    <t>جابر</t>
  </si>
  <si>
    <t>الشفاط ضعيف الريحة سيئة - 01:46:22 Saturday, March 21, 2026</t>
  </si>
  <si>
    <t>تم اخطار مدير المحطة بتنظيف الشفاط او طلب صيانة</t>
  </si>
  <si>
    <t>يرغب بتشغيل المظلة فقط مساحة المحطة 10.000م - المالك محطة قائمة</t>
  </si>
  <si>
    <t xml:space="preserve"> مصعب النجار</t>
  </si>
  <si>
    <t>عهود عبدالرحيم السفياني</t>
  </si>
  <si>
    <t>الحمام متسخ جداً والمغسلة ايضا ومجفف الهواء لا يعمل - 08:47:17 Thursday, April 23, 2026</t>
  </si>
  <si>
    <t xml:space="preserve">27/04/2026 11:40 البلاغ معلق منذ 
21 يوم  تم ابلاغ الصيانة منذ يوم </t>
  </si>
  <si>
    <t>نظافه الحمامات سيئه وكذلك الاقفال لاتعمل -  15:20:26 Sunday, March 22, 2026</t>
  </si>
  <si>
    <t>ارض 
المساحة 900م
على شارع تجاري 32
الموقع مخطط جوهرة العروس جده
ليس لها رخصة بناء محطه
واجهه شرقيه</t>
  </si>
  <si>
    <t>صيانة مضخات</t>
  </si>
  <si>
    <t>رعد عثمان القرشي</t>
  </si>
  <si>
    <t>مستثمر لديه مواقع يرغب في معرفة تفاصيل اصدار الرخص</t>
  </si>
  <si>
    <t>يوسف الحرازي</t>
  </si>
  <si>
    <r>
      <rPr>
        <rFont val="Calibri"/>
        <b/>
        <color rgb="FF434343"/>
        <sz val="10.0"/>
      </rPr>
      <t>الحمام بحاجة الى نظافة وجود كراتين ومناديل ورائحة فضلات غير محببة والمناديل غير موجودة وشكرا لكم حبيت فكرة الباركود دليل على نجاحكم الزيارة كانت بتاريخ ٢٣ ابريل الساعة ٣:٤٤د العصر
كمان ان</t>
    </r>
    <r>
      <rPr>
        <rFont val="Calibri"/>
        <b/>
        <color rgb="FFFF0000"/>
        <sz val="10.0"/>
      </rPr>
      <t xml:space="preserve"> السجاد ب</t>
    </r>
    <r>
      <rPr>
        <rFont val="Calibri"/>
        <b/>
        <color rgb="FF434343"/>
        <sz val="10.0"/>
      </rPr>
      <t>حاجة الى غسيل او تجديد
والمراة بحاجة الى تمسيح - 15:45:37 Thursday, April 23, 2026</t>
    </r>
  </si>
  <si>
    <t xml:space="preserve">تمت الزياره وتم الوقوف على جميع المرافق وتبين ان الحاله جيده 
المناديل متوقفه من الشركه </t>
  </si>
  <si>
    <t>Ali Salm</t>
  </si>
  <si>
    <t xml:space="preserve">اسوى محطه في جيزان توقف ربع ساعه عند الطرمبه
الاثنين، 20 أبريل 2026 في 09:29 </t>
  </si>
  <si>
    <t>مشعل المالكي</t>
  </si>
  <si>
    <t>Andullah</t>
  </si>
  <si>
    <t xml:space="preserve">العسيل - على الدائري الرابع  في محطة ياريت تفتحون فيها لان الدريس عندنا مزدحم وخدمته ماش واحنى الصراحه نحتاج محطة زي محطاتكم رائدة </t>
  </si>
  <si>
    <t>ماشاءالله النظافه ومكان كامل لكن سيفون الحمام الارضي لايعمل - 00:05:15 Friday, April 24, 2026</t>
  </si>
  <si>
    <t>المسجد نظيف جزاكم الله خير
لكن دورات المياه متسخه جدا - 20:31:40 Monday, March 23, 2026</t>
  </si>
  <si>
    <t>سيتم ارسال الموقع واتس اب</t>
  </si>
  <si>
    <t xml:space="preserve"> ارسال الملاحظة لمدير منطقة القصيم وتم التنويه على ضرورة المتابعه </t>
  </si>
  <si>
    <t>تمت الصيانة 
الفني المنفذ:Juman Miah
تاريخ الإنجاز:29 أبريل 2026 - 17:28</t>
  </si>
  <si>
    <t>شعبان</t>
  </si>
  <si>
    <t>رحلات المهند - سيارة اب</t>
  </si>
  <si>
    <t>تم تزويده برقم المسؤول</t>
  </si>
  <si>
    <t>حنان</t>
  </si>
  <si>
    <t>السقف بحمام النساء يهرب ماء - 09:21:57 Thursday, March 26, 2026</t>
  </si>
  <si>
    <t xml:space="preserve">منا الجبرتي </t>
  </si>
  <si>
    <t xml:space="preserve">تم التواصل مع مدير منطقة القصيم وتبين ان السقف هواء سقف مستعار (هنقر)وتم الصيانة من قبل فريق المحطة المتواجد وتم تجربته وهوا بحالة جيده الان </t>
  </si>
  <si>
    <t>Aljawharah</t>
  </si>
  <si>
    <t xml:space="preserve">يوسف احمد </t>
  </si>
  <si>
    <t xml:space="preserve">من سبيستون وشافت مبادرة يوم الطفل وحابه تتعاون </t>
  </si>
  <si>
    <t xml:space="preserve"> دورات المياه سئة الشطاف داخل في الارض ووساخه شي مقرف 01:19:57 Friday, April 24, 2026</t>
  </si>
  <si>
    <t xml:space="preserve">سواء استخدام من شخص بي عدم وضع الشطاف في المكان المناسب 
ولا يوجد عاملة في دورة المياه </t>
  </si>
  <si>
    <t>تموينات  - اكثر من فرع</t>
  </si>
  <si>
    <t>Abdullah Alkwaihi</t>
  </si>
  <si>
    <t>اغلب الاوقات المويه مقطوعه
ودورات مياه النساء لايوجد بها حاجز او باب واغلب الرجال يدخلون دورات مياه النساء لانها قريبه على المواقف
محطه طريق الاندلس -  12:22:08 Sunday, March 22, 2026</t>
  </si>
  <si>
    <t>تم التواصل مع ادارة المحطة وادارة الشركة لحل المشكله</t>
  </si>
  <si>
    <t>نادر ضيف الله</t>
  </si>
  <si>
    <t>بشرى</t>
  </si>
  <si>
    <t>عبدالعزيز عسيري</t>
  </si>
  <si>
    <t xml:space="preserve">حمامات الله يكرمكم سسسسسيئة جدًا
ومنظر وروائح لا ترضي الله ولا خلقه - 01:19:57 Friday, April 24, 2026 </t>
  </si>
  <si>
    <t xml:space="preserve">تم رفع طلب تجديد لدورة المياه وتم صيانة الشفاطات وتم التحريص على طلب المعطرات </t>
  </si>
  <si>
    <t>3096م - مالها رخصة - المالك</t>
  </si>
  <si>
    <t>Saleh</t>
  </si>
  <si>
    <t>دورات مياه سيئة سيئة جدا جدا ونظافة زبالة - 17:17:36 Sunday, March 22, 2026</t>
  </si>
  <si>
    <t>تم حل الموضوع والتواصل مع الادارة ارسال مفتش والامور تمام</t>
  </si>
  <si>
    <t>Marwah</t>
  </si>
  <si>
    <t>المفروض في عامله دائما تنظف الحمامات متسخه وراىحهًلايوجد منديل - 05:11:05 Friday, April 24, 2026</t>
  </si>
  <si>
    <t xml:space="preserve">تم الوقوف على الموقع ولا يوجد عاملة نظافة بسبب موسم الحج والتشديد على التصاريح
المناديل متوقفه من الشركه  
حالة الحمام خلال الزياره جيده ونظيفه </t>
  </si>
  <si>
    <t xml:space="preserve">يوم الخميس الساعة 1:43 ظهرا العامل يخدم سيارات ومخليني وانادي وارفع صوتي عليه بطيئة جدًا - برادو ابيض </t>
  </si>
  <si>
    <t xml:space="preserve">تم ابلاغ مدير المحطة للتأكيد على العمال بالسرعه في الاداء وتخليص كل عميل وفق الاولويه </t>
  </si>
  <si>
    <t>باسل</t>
  </si>
  <si>
    <t xml:space="preserve">شركة دار تاج للاعاشة - سيارة اب </t>
  </si>
  <si>
    <t>نظافه سيئه جداااا - 17:27:06 Tuesday, March 24, 2026</t>
  </si>
  <si>
    <t>زفت اوسخ حاجه في الحياه -  08:09:24 Friday, April 24, 2026</t>
  </si>
  <si>
    <t xml:space="preserve">
نؤكد حرصنا الدائم على الصيانة والتجديد قدر المستطاع ووفق الإمكانيات  حيث تعد المحطة من أعلى المحطات تكلفة في طلبات الصيانة
وتجديد في دورة المياه الخاصه بالنساء 
ونقترح توفير عاملة نظافة</t>
  </si>
  <si>
    <t>غرفة جوف</t>
  </si>
  <si>
    <t>الجوف</t>
  </si>
  <si>
    <t xml:space="preserve">نود إحاطة شركتكم الموقرة بتوفر قطعة أرض بمساحة (5000) متر مربع في محافظة دومة الجندل بمنطقة الجوف، مناسبة لإقامة محطة وقود.
كما نفيدكم بقدرة غرفة الجوف على أعمال البناء والتنفيذ على حسب الاتفاقية معكم.
</t>
  </si>
  <si>
    <t>مريم عبدالعزيز</t>
  </si>
  <si>
    <t>عبدالله احمد الخالدي</t>
  </si>
  <si>
    <t>جدددًا سيئة الحمامات ما تنخش يوجد حمام واحد فقط اهون السيئين. - 06:23:31 Wednesday, March 18, 2026</t>
  </si>
  <si>
    <t xml:space="preserve">تم اخطار مدير المحطة وتم شرح الملاحظة وتم التنويه </t>
  </si>
  <si>
    <t>Shatha</t>
  </si>
  <si>
    <t>مغسلة الخالدي</t>
  </si>
  <si>
    <t>اااسوء حمام لا اهتمام ولا نظافه وكلها ذباب يعني عدوه وبكتيريا اسوووووااا حمامات - 08:14:07 Friday, April 24, 2026</t>
  </si>
  <si>
    <t xml:space="preserve">يتم التحريص و التركيز على الدوره قدر المستطاع من موظف النظافه 
ونقترح تخصيص عاملة نظافة </t>
  </si>
  <si>
    <t>Jojo</t>
  </si>
  <si>
    <t>الارضيات مبلله مع شعر ومناديل ولايوجد مناديل وانسداد بالبلوعات
البناء والتصميم ممتاز
نحتاج توعيه ملصق وموظف نظافه - 21:03:43 Wednesday, March 18, 2026</t>
  </si>
  <si>
    <t xml:space="preserve">تمت المعالجة وتم شراء الاسيد للمحطة لحل مثل تلك الحالات 
المناديل متوقفه من الشركة في دورات المياه 
وتم شرح الملاحظة لمدير المحطة  </t>
  </si>
  <si>
    <t>Maymunah</t>
  </si>
  <si>
    <t>JA041</t>
  </si>
  <si>
    <t>Dalya</t>
  </si>
  <si>
    <t>كل شيء تمام دورات المياه بين الحمامات والبلاط فيه مسافه فاضية كملوا الالواح الى البلاط -  21:13:11 Thursday, April 30, 2026</t>
  </si>
  <si>
    <t>حمامات النساء غير نظيفة نرجو الاعتناء بها وشكرًا - 10:36:50 Saturday, April 25, 2026</t>
  </si>
  <si>
    <t>الطلب مكلف لدى الصيانة منذ 12 يوم 06/05/20</t>
  </si>
  <si>
    <t xml:space="preserve">تم اخطار مدير المحطة وشرح الملاحظة و التحريص على مرافق النساء </t>
  </si>
  <si>
    <t>تجربة سئيه جدا من اوصخ الحمامات العامه للاسف هناك حفايظ اطفال مسدده البالوعات ومناديل وقاذورات ملطخه في كل مكان بالغايط والقرف اتمنى انه يكون تقديم الخدمه بشكل افضل وتوظيف عامله نظافه تشرف على ذلك - 02:01:54 Thursday, March 19, 2026</t>
  </si>
  <si>
    <t xml:space="preserve">تم اخطار مدير المحطة وتمشرح الملاحظة وتم التنويه </t>
  </si>
  <si>
    <t>امل</t>
  </si>
  <si>
    <t>Rawan</t>
  </si>
  <si>
    <r>
      <rPr>
        <rFont val="Calibri"/>
        <b/>
        <color rgb="FF434343"/>
        <sz val="10.0"/>
      </rPr>
      <t xml:space="preserve">الحمام له ريحه و لايوجد </t>
    </r>
    <r>
      <rPr>
        <rFont val="Calibri"/>
        <b/>
        <color rgb="FFFF0000"/>
        <sz val="10.0"/>
      </rPr>
      <t xml:space="preserve">صابون </t>
    </r>
    <r>
      <rPr>
        <rFont val="Calibri"/>
        <b/>
        <color rgb="FF434343"/>
        <sz val="10.0"/>
      </rPr>
      <t>- 14:10:02 Saturday, April 25, 2026</t>
    </r>
  </si>
  <si>
    <t xml:space="preserve">تم اخطار مدير المحطة وشرح الملاحظة و الحريص على ضرورة المتابعه </t>
  </si>
  <si>
    <t>شوق</t>
  </si>
  <si>
    <t>الحمامات معفنه وصخه وقرفففف - 22:15:00 Saturday, March 21, 2026</t>
  </si>
  <si>
    <t xml:space="preserve">تم اخطار مدير المحطة وتم التنويه على ضرورة متابعة مرافق النساء و العنايه بها </t>
  </si>
  <si>
    <t>لايوجد صابووون ومرش الماء خربان لايدفع الماء بشكل طبيعي . محطه درب في الحويه طريق مكه النازل. - 19:14:35 Thursday, April 30, 2026</t>
  </si>
  <si>
    <t xml:space="preserve">حسب التحقق و الافادة معلق لدى قسم المشاريع </t>
  </si>
  <si>
    <t>Mohamad</t>
  </si>
  <si>
    <t>السلام عليكم ما اعرف اذا الباركود ذا للمحطه ذي بس او لكل درب ولكن هاذي المحطه الي على بحر الجامعه بجيزان كويسه وما عليها كلام ولكن في مشكله وحده اقول له بدفع قبل وبعدين عبي عشان اذا ما كان بالبطاقه فلوس لكن يقول اعبي بعدين احاسبك ثاني شي في محطه من محطاتكم عندنا بجيزان فيها مشكله اتوقع البنزين عندنا ما فيه ايثانول المحطه هاذي عبيت فيها مرتين يقرا عندي 12٪ ايثانول عبيت بمحطه ثانيه يطلع 3 حولها اتوقع اذا ما كنت غلطان التانكي حق المحطه فيه رطوبه لان مو طبيعي يقرا 12 -  13:05:42 Wednesday, April 22, 2026 - تم محاولة الاتصال لمعرفة تفاصيل المركبة ولم يتم الرد</t>
  </si>
  <si>
    <t>سطام</t>
  </si>
  <si>
    <t xml:space="preserve">نسبة الايثانول طبيعيه بسبب الحراره في جيرزان وقد تم ابلاغ مدير المحطة للعمل على تدريب العمال للاستجابه لطلب العميل ومحاوله اخذ رضائه </t>
  </si>
  <si>
    <t>دورت المياه النظافه 0 معذومه جداً - 10:45:04 Wednesday, March 25, 2026</t>
  </si>
  <si>
    <t>نوره يوسف</t>
  </si>
  <si>
    <t>تم اخطار مدير المحطة وتم التنويه على ضرورة متابعة النظافة</t>
  </si>
  <si>
    <t xml:space="preserve">درايف ثرو بلف -  وكيل </t>
  </si>
  <si>
    <t>النظافه معدومه المصلي النساء الفرشه وصخه الحمامات معدومه ولا يوجد ارضي في الحمامات حفائظ الاطفال عند جزامة النساء - 10:09:09 Saturday, May 2, 2026</t>
  </si>
  <si>
    <t xml:space="preserve">تم طلب سجاد مصلى جديد 
بخصوص الارضي من المتوقع المقصود اكرسي العربي وهوا لدى اختصاص قسم المشاريع
وتم التنويه على ضرورة متابعة النظافة 
</t>
  </si>
  <si>
    <t>ياخي العامل هذي ثالث مره مرات اكون مستعجل على الجامعة و تكون معه مشكلة مع السيارة اللي قدامي بخصوص الشبكة اقول له عبي لي على بال ما تحل مشكلتك بس ماش ما يسمعني - 00:43:21 Friday, April 24, 2026 - تم التواصل والاعتذار وشكرنا على الخدمة</t>
  </si>
  <si>
    <t xml:space="preserve">توفيق بخص </t>
  </si>
  <si>
    <t>سلطان دي لايت مقترح ولا يهمك</t>
  </si>
  <si>
    <t>2026-01-24 09:15:47 AM UTC+03:00</t>
  </si>
  <si>
    <t>دانيا</t>
  </si>
  <si>
    <t xml:space="preserve">نسيت سله حق قهوه فيها اشياء مهمة في المواقف الي قدام بنده امس الساعه 2:30م </t>
  </si>
  <si>
    <t xml:space="preserve">تمت افادته بانه لم يصلنا </t>
  </si>
  <si>
    <t>Somaiah</t>
  </si>
  <si>
    <t>العامل قليل ادب وتعامله سيء جداً - جيت قلت له 50 احمر وهو يسولف حاط سماعه عدت كلامي ولاكاني موجوده قمت قلت انت تسمعني؟ قام اشر ونادا العامل الثاني يعبي لي قمت سالته هذا وش وضعه قال ما في معلوم عربي بعدين قال انه المشرف حقهم رحت له قلت انت وراك تطنشني قام ياشر بيده يعني روحي - تورس ازرق - ر ن ص - 2427 - المسار اول وحد على  اليسار عبيت احمر - 19:02:38 Friday, April 24, 2026 -  تم التواصل مع العميله والاعتذار  وشكرتنا على الخدمة</t>
  </si>
  <si>
    <t>عبدالعزيز العمري</t>
  </si>
  <si>
    <t>انس ربيعه</t>
  </si>
  <si>
    <t>اول فرع مغسلة سيارات</t>
  </si>
  <si>
    <t xml:space="preserve">مغسلة - اكثر من فرع </t>
  </si>
  <si>
    <t>المكيف مغلق</t>
  </si>
  <si>
    <t>ابتهال</t>
  </si>
  <si>
    <t>2026-05-03 08:15:53 PM UTC+03:00 - لم يتم الرد</t>
  </si>
  <si>
    <t xml:space="preserve">للاسف جيت وفي شباب داخلين بمكان النساء وللاسف اضطريت اعطي للعامل بالشارع ١٠ ريال عشان ينتبه لاحد يدخل علي وسالته فيه مكان الشكاوى ودلني على هذا الرابط وقال لي دايم الشباب بيدخلون قسم النساء وانو هو بقولهم ممنوع وهم مايسمعو له - 3:44:11 Tuesday, April 21, 2026 -تم التواصل والاعتذار وافادت انها تشتغل في الردف وتجي لدورات مياه درب عشان النظافة وكل الموظفات دايم يجون محطة درب من نظافتها الله يجزاكم خير لكن موضوع ان يدخلوها رجال تكرر ونبي حل </t>
  </si>
  <si>
    <t xml:space="preserve">تم ابلاغ مدير المحطة لمراجعة الكامرا واوضحت الكامرات ان هناك شابين امام دورات مياه النساء ويبدوا انهم في انتظار احد محارمهم للخروج من دورات المياه </t>
  </si>
  <si>
    <t>محمد حمزة</t>
  </si>
  <si>
    <t xml:space="preserve">	2026-01-24 02:17:22 PM UTC+03:00</t>
  </si>
  <si>
    <t xml:space="preserve">درايف ثروا - اول فرع </t>
  </si>
  <si>
    <t>سميه الزهراني</t>
  </si>
  <si>
    <t>ابتسام</t>
  </si>
  <si>
    <t xml:space="preserve">	
لى الاسف دورات المياه النساء غير نظيف جدا اطررت لى تنظيف الحمام قبل الاستعمال يرجى الاهتمام بنظافه دورات المياه التي في الطائف
شارع حسان بن ثابت، أم السباع، الطائف 26517
حيث لم يسبق ان دخلت احد دورات مياه محطات درب ووجدتها غير نظيفه الى هذا المره - 08:50:03 Thursday, April 23, 2026</t>
  </si>
  <si>
    <t>تم اخطار مدير المحطة و التنويه على ذلك</t>
  </si>
  <si>
    <t xml:space="preserve">شركة شريان الشمال العالميه </t>
  </si>
  <si>
    <t>عبدالرحمن سعيد</t>
  </si>
  <si>
    <t xml:space="preserve">  اوقف عند تانكي واكثر من 15 عامل وكل اثنين جالسين يشربوا شاهي ويقولو العامل في الحمام وجالس يطالع فيني - 2026-01-24 05:06:42 PM UTC+03:00</t>
  </si>
  <si>
    <t xml:space="preserve">لا توجد تفاصيل هو من الجنوب وما يعرف اي محطة ولا يعرف موقعها في قوقل </t>
  </si>
  <si>
    <t xml:space="preserve"> أحمد الخيبري</t>
  </si>
  <si>
    <r>
      <rPr>
        <rFont val="Calibri"/>
        <b/>
        <color rgb="FF434343"/>
        <sz val="10.0"/>
      </rPr>
      <t xml:space="preserve">لا يوجد </t>
    </r>
    <r>
      <rPr>
        <rFont val="Calibri"/>
        <b/>
        <color rgb="FFFF0000"/>
        <sz val="10.0"/>
      </rPr>
      <t xml:space="preserve">صابون </t>
    </r>
    <r>
      <rPr>
        <rFont val="Calibri"/>
        <b/>
        <color rgb="FF434343"/>
        <sz val="10.0"/>
      </rPr>
      <t>للايدي - 10:05:12 Thursday, April 23, 2026</t>
    </r>
  </si>
  <si>
    <t xml:space="preserve">صادف وقت عدم اعادة تعبئة وتم التاكيد من توفر المخزون </t>
  </si>
  <si>
    <t>يسال كم فرع عندنا في الرياض</t>
  </si>
  <si>
    <t>Asif</t>
  </si>
  <si>
    <t xml:space="preserve">خدمه سيئه اول مره بتاريخ ماك يخلي الانتظار نص ساعه ولا تحركت سياره ولا فيه زحمه مره تنعد السيارات .. اتمنى معالجه الامر
</t>
  </si>
  <si>
    <t>الرقم لشخص مو من الطائف</t>
  </si>
  <si>
    <t>2026-03-29 12:31:20 PM UTC+03:00</t>
  </si>
  <si>
    <t>عدم نظافة الحمام ولا بوجد مناديل و المغسلة مكسوره - 00:43:21 Friday, April 24, 2026</t>
  </si>
  <si>
    <t xml:space="preserve">تم التواصل مع مدير المحطة وتم شرح الملاحظة وتم التوثيق بمقطع فديو على عدم وجود عطل في المغسلة والنظافة جيده 
المناديل متوقفه من الشركة </t>
  </si>
  <si>
    <t>بسيل صلاح</t>
  </si>
  <si>
    <t>مصطفى الاصطيف</t>
  </si>
  <si>
    <t>مصطفى عبدالخالق</t>
  </si>
  <si>
    <t xml:space="preserve">بنشر اول فرع </t>
  </si>
  <si>
    <t>المحطة ممتازة وموقعها جدا ممتاز ولكن بعض وليس الكل بعض العامل اللي في المحطه اسلوبهم غير جيد
الخميس، 22 يناير 2026 في 11:23 م</t>
  </si>
  <si>
    <t xml:space="preserve">تم ابلاغ مدير المحطة لتكثيف تدريب العماله على تحسين الاسلوب مع العملاء </t>
  </si>
  <si>
    <t xml:space="preserve">كيان للحاويات  - سيارة اب </t>
  </si>
  <si>
    <t>نايف سلمان المسعودي</t>
  </si>
  <si>
    <r>
      <rPr>
        <rFont val="Calibri"/>
        <b/>
        <color rgb="FF434343"/>
        <sz val="10.0"/>
      </rPr>
      <t xml:space="preserve">قطعة ارض
مكة المكرمة - العمرة الجديدة 
رقم القطعة ٢٣٥  المسا حة ١٣١٢ م. ثلا ث شوارع ٤٠ / ١٥ /  ١٥ مو قع ممتاز مدخل المخطط
</t>
    </r>
    <r>
      <rPr>
        <rFont val="Calibri"/>
        <b/>
        <color rgb="FF1155CC"/>
        <sz val="10.0"/>
        <u/>
      </rPr>
      <t>https://maps.app.goo.gl/C1KmctocEe8ivGas5?g_st=aw</t>
    </r>
  </si>
  <si>
    <t xml:space="preserve">ماهر الحربي </t>
  </si>
  <si>
    <t xml:space="preserve">عبدالله الحيدري
</t>
  </si>
  <si>
    <t xml:space="preserve">بينما كنت في محطة نسيم، لم تكن هناك سيارة، وكان جميع العمال جالسين غير منتبهين لها. اضطررت إلى مناداتهم عدة مرات حتى حضروا. Sat 24/1/2026 4:14 AM رنج روفر -العمالة مو اول مره ولا ثالث كل مره اجي وهم يتعازمون  مين اللي يعبي </t>
  </si>
  <si>
    <t xml:space="preserve">تم مراجعة الكاميرات بنفس التوقيت وقد رأينا انه تم خدمه العميل بشكل سريع وصحيح 
</t>
  </si>
  <si>
    <t>الاسم: جمعية نرعاهم لرعاية الايتام
الاستفسار: هل لديكم خدمة مجتمعية وماهي البرامج التي يتم دعها</t>
  </si>
  <si>
    <t>تم الارسال لامل الشمراني</t>
  </si>
  <si>
    <t xml:space="preserve">راعي البقاله كان باقي له شهر ويطلع ونا تواصلت مع موظف عندكم وحولت له المقدم وصارله شهر يماطلني ونا متفق مع راعي البقاله اني بشتري الاغراض وكلشي الان بعد العيد اكتشف ان راعي البقاله مجدد العقد ونا دافع المقدم شرعا هو حرام وقانونيا انا كلمت محامي ومعي ايصال وجميع الاثباتات والمماطله الي صارت مو مقبولة انتم شركة محترمة ونا الان جيتكم بشكل رسمي ابي حل </t>
  </si>
  <si>
    <t>تم ارسال ايميل أ.فواز</t>
  </si>
  <si>
    <t>سعود الجلعوب</t>
  </si>
  <si>
    <r>
      <rPr>
        <rFont val="Calibri"/>
        <b/>
        <color rgb="FF434343"/>
        <sz val="10.0"/>
      </rPr>
      <t>من شركة المياه الوطنية جيت قبل شهرين ابي اراجع الكاميرات وقلي خطاب من الشرطه وجبته والمدير بالمحطه يماطل كل مره اجي يصرفوني او مو مداوم انا ابي اراجع الكاميرات بتاريخ 8,9-12-2025</t>
    </r>
    <r>
      <rPr>
        <rFont val="Calibri"/>
        <b/>
        <color rgb="FFFF9900"/>
        <sz val="10.0"/>
      </rPr>
      <t xml:space="preserve">-تم التواصل وافادة العميل ان الكاميرات لها مده معينه لا تقل عن شهر ولا يوجد ارشفة </t>
    </r>
  </si>
  <si>
    <t xml:space="preserve">ياسر دخيل الله القثامي
</t>
  </si>
  <si>
    <t>داوود الصلاحي</t>
  </si>
  <si>
    <t>محطة- المساحة ١٨٠٠ متر مربع
السيل الصغير - طريق ذوي حجي باتجاه السوق المركز للاغنام
المحطة تحت التشطيب
اعرض المحطة للايجار او للاستثمار - انا المالك الرئيسي</t>
  </si>
  <si>
    <t>استفسار عن تفاصيل موقع وقال بكلم المسؤول عندي رقمه وقفل</t>
  </si>
  <si>
    <t>شركة التحلية للمعسلات</t>
  </si>
  <si>
    <t xml:space="preserve">فيصل علي القحطاني </t>
  </si>
  <si>
    <t xml:space="preserve">عندي مشكلة ف محطتي في صبيا واتصل على ابو نواف وابو داوود محد يرد صعبه علي اجي مكه المكتب </t>
  </si>
  <si>
    <t xml:space="preserve">تم ارساله للاستاذ سلمان والافادة ( العميل عليه متعثرات ويبرغب بفسخ العقد وحنا دافعين عشان تكتمل المحطه والمهندس عنه خبر بالموضوع ) وراح اتواصل معاه واقفل الموضوع </t>
  </si>
  <si>
    <t>شروق</t>
  </si>
  <si>
    <t xml:space="preserve">بليغ </t>
  </si>
  <si>
    <t xml:space="preserve">محل بنشر - فرع واحد - المالك </t>
  </si>
  <si>
    <t xml:space="preserve">اسوء فرع لدرب كل يوم اعبي وكل يوم ن نفس التأخير وكل يوم يعبي لي ٢٠ وانا اقوله من البدايه ٣٠ ولولا انتباهي كان اخذ مني ١٠ريال واقول لهم ايش هاذا ؟ كل يوم نفس المشكلة كل واحد منهم يجلس يخاصم الثاني ويرمون اللوم على بعضهم الأحد، 3 مايو 2026 في 04:08 م
</t>
  </si>
  <si>
    <t xml:space="preserve">تم ابلاغ مدير المحطة للشد على عمال المحطة وتدريبهم وتأهيلهم والقيام بالتعبئه بعد سؤال العميل عن نوع البنزين </t>
  </si>
  <si>
    <t>عبدالمجيد المخلفي</t>
  </si>
  <si>
    <t xml:space="preserve">ارض محطة معتمدة  - عليها رخصة </t>
  </si>
  <si>
    <t>حسان</t>
  </si>
  <si>
    <t xml:space="preserve">اللي فيها مايبغون يشتغلون وفيهم صناجه مايعلم بها الا ربي تم التحرير في الجمعة، 27 مارس 2026 في 11:26 م
</t>
  </si>
  <si>
    <t>تم ابلاغ مدير المنطقة للعمل على تكثيف جهوده في متابعة العمال وتدريبهم على حسن التعامل والتجاوب السريع مع العميل</t>
  </si>
  <si>
    <t>فهد القرشي</t>
  </si>
  <si>
    <t xml:space="preserve">MK304  </t>
  </si>
  <si>
    <r>
      <rPr>
        <rFont val="Calibri"/>
        <b/>
        <color rgb="FF434343"/>
        <sz val="10.0"/>
      </rPr>
      <t xml:space="preserve">يوم الاثنين الساعه 9:01 العامل رفض التعبئة يارس ابيض 1324 - د ق و  ) العميل طلب من الموظف يعبي له احمر ب100 راح ورجع قال للعميل مافي أحمر في اخضر قاله تمام عبي لي اخضر انا مستعجل قال له العامل لا روح انقلع قاله اسلوبك يا رجال كمل يقوله انقلع </t>
    </r>
    <r>
      <rPr>
        <rFont val="Calibri"/>
        <b/>
        <color rgb="FF434343"/>
        <sz val="10.0"/>
      </rPr>
      <t xml:space="preserve">- تم الاعتذار من العيمل وابلاغه بانه سيتم اتخاذ اجراء مع العامل وشكرنا على الاهتمام والتعاون </t>
    </r>
    <r>
      <rPr>
        <rFont val="Calibri"/>
        <b/>
        <color rgb="FF434343"/>
        <sz val="10.0"/>
      </rPr>
      <t xml:space="preserve"> - MK304        </t>
    </r>
    <r>
      <rPr>
        <rFont val="Calibri"/>
        <b/>
        <color rgb="FF434343"/>
        <sz val="10.0"/>
        <u/>
      </rPr>
      <t>https://maps.app.goo.gl/v7fdHhdEkQGXjJN27</t>
    </r>
    <r>
      <rPr>
        <rFont val="Calibri"/>
        <b/>
        <color rgb="FF434343"/>
        <sz val="10.0"/>
        <u/>
      </rPr>
      <t xml:space="preserve"> </t>
    </r>
  </si>
  <si>
    <t>قبل اسبوع سويت مقابلع وعطوني قسيمة ب100 ريال كيف اخذها</t>
  </si>
  <si>
    <t>تمت افادته النسيم  - جدة</t>
  </si>
  <si>
    <t>reeno147 ahmed</t>
  </si>
  <si>
    <t xml:space="preserve">
مستوى الخدمة سىء يحتاج تحسين الغسيل ما يكون نظيف كفاية وإذا تم التركيز على التنظيف يكون الغسيل ضعيف تحسهم بس يبو يخلصو شغل
أتمنى الاهتمام بالتفاصيل أكثر.الجمعة، 27 مارس 2026 في 06:47 م
</t>
  </si>
  <si>
    <t>حور</t>
  </si>
  <si>
    <t>استفسار عن عرض محايل</t>
  </si>
  <si>
    <t xml:space="preserve">       الحمامات جيد لا باس بها ولكن تحتاج الى القليل من العنايه في النظافه والمعدات اغلب الشطفات ضعيفه -  16:27:39 Thursday, January 22, 2026</t>
  </si>
  <si>
    <t>تم اخطار مدير المحطة والتحريص على النظافة ومرافق النساء ومتابعة اعمال الصيانة ورفعها على السستم</t>
  </si>
  <si>
    <t>ناجي صالح</t>
  </si>
  <si>
    <t>Ahmab</t>
  </si>
  <si>
    <t>ديوانية - لايوجد فرع - المالك</t>
  </si>
  <si>
    <t xml:space="preserve">نرجو من سعادتكم تصليح البلف حق الهوا لنه خربان 👍🏻الخميس، 26 مارس 2026 في 01:36 م
</t>
  </si>
  <si>
    <t xml:space="preserve">الفني المنفذ:Mohammed Alsalawi
تاريخ الإنجاز:26 أبريل 2026 - 10:34
</t>
  </si>
  <si>
    <t xml:space="preserve">لدي محطة قائمة محطة </t>
  </si>
  <si>
    <t>علاء العوفي</t>
  </si>
  <si>
    <t xml:space="preserve">        غير نظيفة لاتوجد مناديل او منظفات فقط مادة النفثالين مرميه في المغاسل علما انها مضرة بالصحة وبالاطفال وتؤثر على الجهاز التنفسي للاطفال والصغار - 13:27:05 Thursday, January 22, 2026</t>
  </si>
  <si>
    <t>م توفيرجمييع المنظفات وتم التنويه على ضرورة النظافة و الاتزام بالمعاير 
بخصوص النفتالين متوفره في جميع المحطات حسب سياسة الشرك</t>
  </si>
  <si>
    <t>يزيد القرشي</t>
  </si>
  <si>
    <t>التاريخ: 25 ابريل 2026
الوقت: 7:40 
شكوى: عامل المغسلة الي موجوده هناك
كلمت العامل بتكلم معاه بالاسعار نزلت الطاقه طش عليا مويه داخل السياره ورفتعها بعدين وقف ونزلتها وطش مويه ولا حتى اعتذر ابي شكوى في حق العامل الان وتزيدي برقم الشكوى ومتابعة الامر يوميا تحديث الى ان يتعذر العامل مني (رواد الصيانة - الغسيل اليدوي)</t>
  </si>
  <si>
    <t>تمت افادته بالتواصل مع الشريك</t>
  </si>
  <si>
    <t xml:space="preserve">للأسف النظافه اليوم مو كويس والعامل يغسل بسرعه وبدون إتقان غير انه يروح ويختفي بعدين يرجع يكمل غسل
تم التحرير في السبت، 28 مارس 2026 في 12:03 م
</t>
  </si>
  <si>
    <t xml:space="preserve">مطعم اكثر من فرع - فرنشايز </t>
  </si>
  <si>
    <t>9 يناير - 7:5م - مازدا - اسود -( د د و - 8780) اخضر - 40 ريال كاش  - مضخة 05b - عبيت من محطتكم و مشيت ولا 10 كيلو البنزين انحرق والمكينة تخبط  ووديتها للمكنيكي في نفس اليوم في محطتكم ونظفت البخاخات والحمدلله لحقت عليها. انا كلمت الهندي ويقول انه مدير المحطة ولا فادرني  وقدمت شكوى لوزارة التجارة وبنشوف ايش الاجراء</t>
  </si>
  <si>
    <t>تم ابلاغ نورهان من اداره الجوده  للنزول الميداني للمحطه وفحص عينات البنزين وموافاتنا بالتقرير عن صحه الشكوى من كيديتها - تم التحقق والبنزين ليس به اي شوائب</t>
  </si>
  <si>
    <t>HF. Suliman</t>
  </si>
  <si>
    <t xml:space="preserve">الموظفين يحتاجون تدريب على تنظيم الركاب في الزحمه
تم التحرير في الأحد، 29 مارس 2026 في 10:06 ص
</t>
  </si>
  <si>
    <t xml:space="preserve">تم ابلاغ مدير المحطة لتكليف عامل لتنظيم الحركة خاصة في الاعياد وايام الاجازة </t>
  </si>
  <si>
    <t>سيد حمزة</t>
  </si>
  <si>
    <t>احمد الحربي</t>
  </si>
  <si>
    <t>عبدالوهاب السحيمان</t>
  </si>
  <si>
    <t>محطة عظم يرغب بالامتياز</t>
  </si>
  <si>
    <t xml:space="preserve">عندي محطة قائمة في جدة وابيها تكون تحت اسم درب </t>
  </si>
  <si>
    <t>AHMAD SAEED</t>
  </si>
  <si>
    <t xml:space="preserve">للاحاطه خاصه المسافرين (اغلب الاحيان مافيها بنزين )
الأحد، 29 مارس 2026 في 09:16 م
</t>
  </si>
  <si>
    <t>عم ناخد الاجراء المناسب لحل مشكلة الانقطاعات</t>
  </si>
  <si>
    <t>هيثم صلاح</t>
  </si>
  <si>
    <t>wafaa</t>
  </si>
  <si>
    <t xml:space="preserve">الاثنين، 4 مايو 2026 في 02:24 م
في غش في هاذي المحطة يعبون لك زيادة في السعر
مشكلتي معاهم دايم اعبي كيا 5 ب ١١٥﷼ فل باقي في السياره ١١٠ كيلو عبيت عندهم تعرفون كم عبولي ب ١٣٦﷼ انصدمت قسم بالله انهم نصابين محطة البنزين ملعوب فيها روحو محطة إدريس عبيت ب ١١٥﷼ فول و الممشى كان باقي في السيارة85  كيلو انتبهو من هاذي المحطة أنا راح ارفع عليهم بلاغ </t>
  </si>
  <si>
    <t xml:space="preserve">تم ابلاغ فني الصيانه للنزول الميداني للمحطة واجراء معايره للمسدسات </t>
  </si>
  <si>
    <t>دورات المياة جداً قذره ومعدومه للأسف - 21:10:57 Thursday, January 22, 2026</t>
  </si>
  <si>
    <t>تم التنويه على ضرورة متابعة النظافة  وتم اخطار مدير المحطة بذالك</t>
  </si>
  <si>
    <t>Muhmmed Almansour</t>
  </si>
  <si>
    <t xml:space="preserve">المحطة عاديه ما يعيبها شي والموظفين ما يعيبهم شي بس سالفة الادارة تجبّر الموظفين بطريقة غير مباشرة انهم يقولون للعملاء ادخلوا على قوقل ماب وسووا تقييم وانا جالس اعبي بنزين حسيت الموضوع اجبار واسلوب جداً مستفز ولا ينُم عن إدارة واعية في كسب العملاء، تقييم النجمة للإدارة وصاحب القرار مب للمحطة ومنسوبيها
الاثنين، 30 مارس 2026 في 12:23 ص
</t>
  </si>
  <si>
    <t xml:space="preserve">تم ابلاغ  مدير المنطقة لتحسين اسلوب طلب التقييمات من العميل والحرص على الابتسامه وتخير الوقت المناسب </t>
  </si>
  <si>
    <t>رحيمة</t>
  </si>
  <si>
    <t>النظافه سيئة وباب الحمام لا يقفل والمسجد فرشته قديمة -  18:12:59 Friday, January 23, 2026</t>
  </si>
  <si>
    <t>تم رفع تذكرة تغير السجاد وتم رفع طلبات صيانة و التنويه على ضرورة متابعة النظافة ونقترح توفير عامبة</t>
  </si>
  <si>
    <t xml:space="preserve">استفسار فرع المدينه شغال ولا </t>
  </si>
  <si>
    <t xml:space="preserve">شركة أطياف العمار للتطوير العقاري </t>
  </si>
  <si>
    <t xml:space="preserve">السلام عليكم لدي موقع في محافظه صامطه مساحته 11الف متر مربع موقع استثماري من بلديه صامطه يقع عند دوار الصناعيه الجديده بالمحافظة على شارعين رئيسية نرغب في الشراكه مع شركتكم وشكرا </t>
  </si>
  <si>
    <t>محمد احمد</t>
  </si>
  <si>
    <t xml:space="preserve">        حمامات سيئه قذره وتحتاج اعاده صيانه لا يعقل ان هذا المنظر في محطه متكامله ! ارجوا اعاده النظر في امرها وتنظيفها والاهتمام فيها في اقرب وقت محطه في مخرج مكه -  23:06:44 Friday, January 23, 2026</t>
  </si>
  <si>
    <t>تم التنويه على ذالك وتم رفع جميع اعمال الصيانة ونقترح توفير عاملة نظافة</t>
  </si>
  <si>
    <t>𝗠𝗼𝗵𝗮𝗻𝗮𝗱</t>
  </si>
  <si>
    <r>
      <rPr>
        <rFont val="Calibri"/>
        <b/>
        <color rgb="FF434343"/>
        <sz val="10.0"/>
      </rPr>
      <t>2026-05-04 07:18:10 PM UTC+03:00 - عبيت بنزين ب20 ريال وما ارتفع العداد ابدا ورجعت اعطاني فاتورة طلع عبالي أخضر  - نيسان 2018 رصاصي (د ص ع - 9945 )</t>
    </r>
    <r>
      <rPr>
        <rFont val="Calibri"/>
        <b/>
        <color rgb="FFFF9900"/>
        <sz val="10.0"/>
      </rPr>
      <t xml:space="preserve"> - تم التواصل وشكرنا على الاهتمام </t>
    </r>
  </si>
  <si>
    <t xml:space="preserve">تم ابلاغ مدير المحطة للعمل على تنبيه العمال على سؤال العميل قبل التعبئه عن نوع البنزين وانذار العامل المتسبب </t>
  </si>
  <si>
    <t xml:space="preserve">متى يتم فتح فرع محطة درب في حي الوزيرية
</t>
  </si>
  <si>
    <t>نعمل على تجهيز الموقع وسنكون في خدمتكم قريبًا بإذن الله. يومك سعيد  🧡.</t>
  </si>
  <si>
    <t xml:space="preserve">العامال يجب مراقبتهم في التعبيه.الاثنين، 30 مارس 2026 في 07:23 ص
</t>
  </si>
  <si>
    <t>تعبئة وقود خاطئ</t>
  </si>
  <si>
    <t xml:space="preserve">تم ابلاغ مدير المحطة ومدير المنطقة لتكثيف المراقبة والمتابعة </t>
  </si>
  <si>
    <t>أتقدم بهذه الشكوى بخصوص حمامات محطة درب، حيث أن مستوى النظافة سيئ جدًا وغير مقبول، والحمامات متسخة وتنبعث منها روائح كريهة مما يسبب إزعاجًا للزوار ولا يليق بخدمة المسافرين نأمل منكم اتخاذ الإجراءات اللازمة وتحسين مستوى النظافة بشكل عاجل - ted 01:04:34 Saturday, January 24, 2026</t>
  </si>
  <si>
    <t xml:space="preserve">محطة تحت الانشاء بمساحة 5000م على شارعين يوجد رخصة المالك </t>
  </si>
  <si>
    <t>تم اخطار مدير المحطة وتركيب معطرات للجو</t>
  </si>
  <si>
    <t>2026-05-04 09:09:44 PM UTC+03:00 - لم يتم الرد</t>
  </si>
  <si>
    <t>خالد القحطاني</t>
  </si>
  <si>
    <t>على شارع رئيسي  6000م  - طريق شرائع المجاهدي الوسيط</t>
  </si>
  <si>
    <t>عويض السلمي</t>
  </si>
  <si>
    <t xml:space="preserve"> ابو ريلان</t>
  </si>
  <si>
    <r>
      <rPr>
        <rFont val="Calibri"/>
        <b/>
        <color theme="1"/>
        <sz val="9.0"/>
      </rPr>
      <t xml:space="preserve">جيت على اساس اعبي بنزين ب50 وكنت اتكلم بالجوال وعطيته 500 وراح ربع ساعه يدور صرف اخذن 450 مشيت شوي ولا 15 كيلو ووقفت اكتشفنا انه ما عبى بنزين رجعنا للادارة قالو بنسوي جرد واخذو رقمي ودقو الساعه 1 وقالو ما لقينا فائض يعني العامل ما عبى وخلاص بس كذا انا ما علي من ال50 هو ليه يستغفلني - كانت يوم  25 - 12 الساعه بعد الظهر ما اذكر كم بضبط رقم المشرف الي صور سيارتي وقال ما حصللنا شي 0568909371   - كامري 2017 ابيض - (ح ي ب - 9834)  </t>
    </r>
    <r>
      <rPr>
        <rFont val="Calibri"/>
        <b/>
        <color rgb="FFFF9900"/>
        <sz val="9.0"/>
      </rPr>
      <t xml:space="preserve">- العميل رافض وغير مقتنع انه تمت التعبئة </t>
    </r>
  </si>
  <si>
    <t xml:space="preserve">حاسبت خمسين كاش والعمال جحدني تم افادته بالتواصل مع مدير المحطة وتمت حل الاشكالية في حينها </t>
  </si>
  <si>
    <t>https://maps.app.goo.gl/fEUGxYUCXWxggWVL8?g_st=iw
محطة بنزين للبيع او الاستثمار مساحتها ٣٦٦٠٠ الف متر علي طريق الليث باتجاه جدة لاتزال تحت الانشاء تم افتتاح المسجد في المحطة اليوم التفاصيل للمهتم التواصل علي الخاص وشكرا</t>
  </si>
  <si>
    <t>الشكوى تاريخها قديم قبل شهر 
ايضا تم التواصل مع مدير المحطة وتذكر الشكوى وافاد انه اعطي العميل فاتوره في نفس اليوم 
وان العميل لم يرضي في حينها 
وأضاف مدير المحطة أنه تم إبلاغ العميل بأنه في حال وجود فائض مالي في حساب العامل سيتم التواصل معه وإعادته إلى المحطة للتعبئة مرة أخرى
 وبعد مراجعة الحسابات والتأكد منها، تبيّن عدم وجود أي فائض مالي في حساب العامل المعني بمعنى ان التعبئه تمت وان العميل لايستحق اي تعويض+تم ابلاغ مدير المحطة وافاد انه تمت التعبئة والمراجعة وتبين ان العملية تمت  وان العميل ليس على حق ( مرفق فديو وفاتورة )</t>
  </si>
  <si>
    <t>غلاب العتيبي</t>
  </si>
  <si>
    <t>التأكد من صحة التعبئة</t>
  </si>
  <si>
    <t xml:space="preserve">يوم الاحد 26/4/2026 بعد المغرب الساعة 7:38 عبيت بنزين ورحت البقاله اخذ مويه وخبز ماطولت ولمن جيت اصلا لسا يعبي العامل وتفاجئت بوجد شايب لابس ثوب وحالته حاله ينافخ علي ليه مني موجود بالسياره وكل الناس بسيراتهم الا انت واسلوب مستفزز ولا حاط بطاقه ولا لابس لبس يدل انه موظف وفوقها بعد يقول انا مالك المحطه ويتهجم علي - لاند كروز  - د ق م 6092 المسار الثاني - ابي تراجعون الكاميرات وتتاكدون منه - تم مراجعة الكاميرات العميل عربة السوبرماركت مليانه - تم التواصل </t>
  </si>
  <si>
    <t xml:space="preserve">تم مراجعة الكامرات وتبين ان العميل حط السياره واغلق مسار المحطة ودخل يتسوق مده زمنيه طويله مما سبب ضررا وعرقله سير للمحطة </t>
  </si>
  <si>
    <t xml:space="preserve">عاصم </t>
  </si>
  <si>
    <t>طارق فهيد</t>
  </si>
  <si>
    <t>عرض محطة بمساحة 1600 مغلقه لمدة سنتين وتحت الانشاء  تبعد عن مكة 150 كيلو - المالك</t>
  </si>
  <si>
    <t xml:space="preserve">انا من شركة وجيت اخذت جركل وزميلي اخذ جركل من المحطة ودفعنا تامين عليه 100 ريال اليوم جيت ابا اعبي يقول العامل هذا الجركل مو من عندنا ونا اقوله من عندكم انا دافع عليه عشان اقدر اعبي الشغل متعطل والماطورات واقفه </t>
  </si>
  <si>
    <t>عبداللرحمن عبدالغني الشمراني</t>
  </si>
  <si>
    <t xml:space="preserve">تم التحقق وتبين ان الجركل لا يعود للشركة وتم طلب تفاصيل الدفع والايصال للتحقق من الكاميرات ويدعي العميل انه لا يجدها في حسابه البنكي وتم الاعتذار منه واقفال الشكوى لعدم وجود مايثبت الشراء </t>
  </si>
  <si>
    <t>10.000 م - لا يوجد رخصة - المالك</t>
  </si>
  <si>
    <t xml:space="preserve">احمد عبدالرحمن الثبيتي </t>
  </si>
  <si>
    <t xml:space="preserve">مغسلة او بقالة - لايوجد فروع </t>
  </si>
  <si>
    <t xml:space="preserve">عبدالرحمن القحطاني
</t>
  </si>
  <si>
    <t xml:space="preserve">عرعر </t>
  </si>
  <si>
    <t xml:space="preserve"> العامل ماهو راضي يعبلي في جالون عادي </t>
  </si>
  <si>
    <t xml:space="preserve">المحطه غير مطبقه الهوية وتمت افادتخ بتوجيهات الدفاع المدني </t>
  </si>
  <si>
    <t xml:space="preserve">محطة عمالها سيئين وتخدم أسوء خدمه ممكن تحصل عليها يوجد ٢٠ عامل بس رافضين يعبون وصوتهم مرتفع ويقول العمل المسؤول عن الخزان الي قريب منا في الحمام !!!!!! انتظره
</t>
  </si>
  <si>
    <t>الياس عبد المعطي درجي</t>
  </si>
  <si>
    <t xml:space="preserve">تم ابلاغ مدير المحطة لمتابعه العماله وتدريبهم على سرعه الانجاز كما تم ابلاغ مدير المنطقه </t>
  </si>
  <si>
    <t>حامد العنيزي</t>
  </si>
  <si>
    <t>قلت للعامل عبي 15 ريال وعطيته 200 ريال عبى لي 15وهلله وطلب ياخذ 16 ريال ابي تعويض - (ب ع د - 3210) اكورد اسود - احمر - الساعه 10:06ص</t>
  </si>
  <si>
    <t>تم ابلاغ مدير المحطة لمراجعة الكامرات وتوجيه انذار شفوى للعامل المتسبب وابلاغ جميع العمال في المحطة اذا تكرر هذا الفعل ستم الانذار بالفصل</t>
  </si>
  <si>
    <r>
      <rPr>
        <rFont val="Calibri"/>
        <b/>
        <color rgb="FF434343"/>
        <sz val="10.0"/>
      </rPr>
      <t xml:space="preserve">انسحب منه مبلغ 117 ريال مرتين واتواصل مع المحطة ولم يتم ارجاع المبلغ </t>
    </r>
    <r>
      <rPr>
        <rFont val="Calibri"/>
        <b/>
        <color rgb="FFFF9900"/>
        <sz val="10.0"/>
      </rPr>
      <t xml:space="preserve"> - تم التواصل والاعتذار وتفهم العميل ان المبلغ لم يصلنا وشكرنا على الخدمة</t>
    </r>
  </si>
  <si>
    <t>نواف السلمي</t>
  </si>
  <si>
    <t xml:space="preserve">متغيره جدً البنزيم صار اكثره رغوه اتمنا التعقيب عليهم
تم التحرير في السبت، 25 أبريل 2026 في 01:30 م
</t>
  </si>
  <si>
    <t xml:space="preserve">900م - حي لبن - مستاجرها مدة طويلة </t>
  </si>
  <si>
    <t xml:space="preserve">تم ابلاغ مدير المحطة وذلك لتصفير الخزان دوريا وفي حال تكررت الشكوى على نفس المحطة سيتم ابلاغ نورهان من الجوده للقيام بفحص عينات ممن البنزين </t>
  </si>
  <si>
    <t>عبدالرحمن ع</t>
  </si>
  <si>
    <t xml:space="preserve">اسوء مغسله سيارات تمر عليك لايهتمون بادوات تنظيف السياره زي المغاسل الثانيه مناشف منتهيه تمخش البدي والمدير حقهم اليماني الي شغال بالبنشر عنده سوء تعامل م قد شفته
</t>
  </si>
  <si>
    <t xml:space="preserve"> شركة رؤية الاداء المتطور
النشاط التجاري: خدمات سيارات ميزان
اسم العلامة التجارية: رؤية الاطارات
ثلاثه فروع وفرع رابع تحت الانشاء</t>
  </si>
  <si>
    <t>سلمان جابر</t>
  </si>
  <si>
    <t>تعبئة منتج بالخطا</t>
  </si>
  <si>
    <t>انا دايما اجي المحطة وعشان بطاقتي مافيها واي فاي دايما يتاففون هذي المره جيت وقال بكم اعبي قلت بصوت عالي 50 او 100 قام صيح وقال انت تستهبل وتسوي مصخره وقام يرمي كلام وراح نزلت رحت البقاله رجعت لقيته يبي يعبي لي قلت له روح مابيك تعبي لي وجا واحد ثاني وعبى الله يجزاه خير وسالت عن اسمه  (شاهين)  انا قهرني كنت اقدر اصنه ويتادب لازم تلفتون نظر على اسلوبه تراه واجهه  - الاحد24/4   50 ريال كاش - بعد اذان المغرب - جيب فضي 2005 ا ك ا 6661 - عبيت اخضر - المسار الي جنب البقالة  - لم يتم الرد</t>
  </si>
  <si>
    <t xml:space="preserve">تم التواصل مع العميل والاعتذار منه 
 وتم التواصل مع مشرف المحطة لتنبيه العمال على اسلوب التعامل </t>
  </si>
  <si>
    <t xml:space="preserve">درايف ثرو -كوفي - 5 فروع - سورز - المالك </t>
  </si>
  <si>
    <t xml:space="preserve">محمد السلمي </t>
  </si>
  <si>
    <t xml:space="preserve">يوجد لدي موقع استثمار في مكة بجانب الدائري الثالث الموقع في وسط ثلاثاء احياء حي العتيبية وشارع الحج وريع ذاخر الموقع ممتاز على شارعين رأيسية وشارع فرعي الموقع يوجد حركة سيارات وفي قدام الموقع محلات تجاربه جديدة على وشك ان تجهز عما قريب وهذا الموقع يبعد عن محطة ساسكو تقريبا كيلو او اقل وماشاءالله محطة ساسكو زحمة لو تم فتح محطة في الموقع يمكن تخف الزحمة على ساسكو  مساحتها الأرض 413 وأنا مع المالك مباشرة </t>
  </si>
  <si>
    <t>طريق القصيم - أرض مرخصة - 7755م - شركة طوار طيبة</t>
  </si>
  <si>
    <t>مطلق الجارثي</t>
  </si>
  <si>
    <t xml:space="preserve">3700 م- عظم المحطة- المالك </t>
  </si>
  <si>
    <t xml:space="preserve"> سلطان العازمي</t>
  </si>
  <si>
    <t>رؤى</t>
  </si>
  <si>
    <t xml:space="preserve">  الطائف | محطة للبيع تشتمل المساحة ع محطة وعمارة فرصة استثمارية مميزة تقع على مدخل مدينة الطائف مباشرة، على شارع عام حيوي يُعد رئيسي للطائف.  المساحة: 2,500 م²  السوم: 16 مليون  الموقع: الطائف – طريق المطار موقع استراتيجي عالي الحركة مناسب للاستثمار طويل</t>
  </si>
  <si>
    <t>وبحكم تجربتي الأخيرة في إحدى محطات درب على طريق الطائف جدة، أحببت مشاركة بعض الملاحظات بهدف التطوير والتحسين، لأننا نؤمن أن لديكم فرصة كبيرة لتكونوا من أفضل محطات الوقود في المملكة:
دورات المياه:
	•	وجود عطل في المغسلة (تسريب مياه)
	•	عدم توفر مناديل أو صابون
	•	عدم وجود أماكن مخصصة لتعليق العبايات</t>
  </si>
  <si>
    <t xml:space="preserve">
تمت الصيانة 
الفني المنفذ:
Shahadat Hossain
تاريخ الإنجاز:
02 مايو 2026 - 13:46
</t>
  </si>
  <si>
    <t>عمر النعيم</t>
  </si>
  <si>
    <t>ردمان  حميد عبدالله ذيبان</t>
  </si>
  <si>
    <t xml:space="preserve">شركة النخبة العادله للاستشارات القانونية </t>
  </si>
  <si>
    <t>تمت افادتها بارسالها على الايميل</t>
  </si>
  <si>
    <r>
      <rPr>
        <rFont val="Calibri"/>
        <b/>
        <color rgb="FF434343"/>
        <sz val="10.0"/>
      </rPr>
      <t>المحطة: درب مكة الشرائع - التاريخ:يوم ٥/ ٥/ - الوقت: ١٠/٥٥
 غير موجود أوراق فاتورة وأنا مندوب شركة
الفاتورة الديزل ١١٥ الريال -</t>
    </r>
    <r>
      <rPr>
        <rFont val="Calibri"/>
        <b/>
        <color rgb="FFFF9900"/>
        <sz val="10.0"/>
      </rPr>
      <t xml:space="preserve"> تم ارسال الفاتورة وشكرنا على الخدمة </t>
    </r>
  </si>
  <si>
    <t>نوره</t>
  </si>
  <si>
    <t>المسجد جداً سيء ودورات المياه غير نظيفة الرجاء الاهتمام بالنظافة . 20:10:15 Sunday, March 29, 2026</t>
  </si>
  <si>
    <t>هاجر علي</t>
  </si>
  <si>
    <t>يوجد تنظيف مستمر ولكن اوقات الصلاه والذروه يصعب على العامل الوصول نقترح توفير عامله</t>
  </si>
  <si>
    <t>اسراء فوزي</t>
  </si>
  <si>
    <t>محطة عظم  -  ترغب في تركيب هوية درب</t>
  </si>
  <si>
    <t>صيدليه - اول فرع - للتواصل 0500031739</t>
  </si>
  <si>
    <t xml:space="preserve">استفسار عن عدم الرد عليه من قبل البنشري بمحطة الرصيفة </t>
  </si>
  <si>
    <t xml:space="preserve">صالح اليافعي </t>
  </si>
  <si>
    <t>وليد الشمري</t>
  </si>
  <si>
    <t>مندوب عنده محطات قائمة تحتاج ترميم</t>
  </si>
  <si>
    <t>مغسلة للايجار في الرياض</t>
  </si>
  <si>
    <t>التاكد من التعبئة</t>
  </si>
  <si>
    <t>فهد الصيريعي</t>
  </si>
  <si>
    <t xml:space="preserve">من شركة بحر الانماء للاستثمار العقاري لديه اربع مواقع في جدة </t>
  </si>
  <si>
    <t>مانع القحطاني</t>
  </si>
  <si>
    <r>
      <rPr>
        <rFont val="Calibri"/>
        <b/>
        <color rgb="FF434343"/>
        <sz val="10.0"/>
      </rPr>
      <t>انا تانكي الفل حقه ب 206 - الان يقول ادفع 231 ريال ؟ ابي تقيسون وتشيكون على السستم -المضخة الثالثه من جهة الشارع - خلال الاتصال وصلت المشكلة لمدير المحطة وقال للعميل راح نقييس المصخة ونتواصل معك في حال وجود خطا نامل الافاده من قبل مدير المحطة بالنتيجة</t>
    </r>
    <r>
      <rPr>
        <rFont val="Calibri"/>
        <b/>
        <color rgb="FFFF9900"/>
        <sz val="10.0"/>
      </rPr>
      <t xml:space="preserve">  - تمت محاولة التواصل الهاتف مغلق</t>
    </r>
  </si>
  <si>
    <t xml:space="preserve">خالد ناصر القحطاني </t>
  </si>
  <si>
    <t xml:space="preserve">7000م أرض مالها رخصة - ابي امتياز </t>
  </si>
  <si>
    <t>خيبر الجنوب</t>
  </si>
  <si>
    <t xml:space="preserve">تعامل العمال سيء جدا طلبني 150 مقدم والسياره فيها اكثر من النص وجا اجنبي يعبي ماطلبه مقدم وسالته ليه ماخذيت منه مقدم قال هذا اجنبي مافيه سعودي اجنبي ميه ميه ، اسلوب غير لائق على شركة كبيره كهذه
</t>
  </si>
  <si>
    <t xml:space="preserve">تم التواصل مع ادارة التشغيل لتنبيه العمال على التعامل اللبق مع العملاء </t>
  </si>
  <si>
    <t xml:space="preserve">ليان </t>
  </si>
  <si>
    <t>تبي تسوي شراكة مع شركة درب على نظام نقاط قطاف stc</t>
  </si>
  <si>
    <t xml:space="preserve">        سهى
        المولد</t>
  </si>
  <si>
    <t>السلام عليكم ورحمة الله وبركاته، أود التقدّم بطلب لشغل وظيفة محاسبة في شركتكم الموقّرة، حيث تتوافق مؤهلاتي وخبراتي بشكل كبير مع متطلبات الوظيفة. كما أنني مهتمّة جدًا بالانضمام إلى فريقكم والمساهمة في تحقيق أهداف الشركة. أحيطكم علمًا بأنني حاصلة على دورات من الهيئة السعودية للمراجعين والمحاسبين، ولدي خبرة في مجال أخصائي الوثائق اكتسبت خلالها مهارات في تنظيم الملفات والأرشفة وإدارة المستندات بكفاءة. كما أجيد اللغة الإنجليزية تحدثًا، وأتقن استخدام برامج الأوفيس بالإضافة إلى أنظمة Easy Go، الشافي، وExcel. لدي أيضًا خبرات في شركة جندلة تدريب محاسبي، وفي التدريب التعاوني بفندق الروضة المكية. مرفق لسيادتكم سيرتي الذاتية للاطلاع عليها. أرجو التكرم بالنظر في طلبي، ويسعدني تواصلكم في حال رغبتكم بمزيد من المعلومات. مع خالص التقدير والاحترام</t>
  </si>
  <si>
    <t xml:space="preserve">وادي الدواسر </t>
  </si>
  <si>
    <t xml:space="preserve">محطة 23000 م - قائمة </t>
  </si>
  <si>
    <t>يوسف عبدالرحمن</t>
  </si>
  <si>
    <r>
      <rPr>
        <rFont val="Calibri"/>
        <b/>
        <color theme="1"/>
        <sz val="9.0"/>
      </rPr>
      <t xml:space="preserve">الوقت: 12:20 الليل - بعد ما عبى البنزين جاي يطلب مني حساب ثاني رفضت اعطيه لاني حاسبته ، العامل رفض اتهمني اني ما دفعت حسيني اني حرامي لطعني ممكن فوق ٢٠ دقيقة سببلي احراج قدام الناس لين تاكدو من الكاميرات اني دفعت له المبلغ بلا ما يعتذر حركاته قدامكم ف المقطع المفروض يتعذر ع الغلط شيء ثاني بأمكاني اقدر ارفع شكوى ع المحطة على قلة الاحترام معايا -هونداي كونا الون احمر -  د ل س 3550 - مرفق فيديو </t>
    </r>
    <r>
      <rPr>
        <rFont val="Calibri"/>
        <b/>
        <color rgb="FFFF9900"/>
        <sz val="9.0"/>
      </rPr>
      <t xml:space="preserve">-  تم التواصل والاعتذار من العميل وافاد انه ما يبي تصعيد وقطع رزق العامل </t>
    </r>
  </si>
  <si>
    <t xml:space="preserve">تم ابلاغ مدير المحطة لتوجيه انذار شفوي للعامل المتسبب بعد مراجعو الكامرات </t>
  </si>
  <si>
    <t xml:space="preserve">عبدالله الصيعري </t>
  </si>
  <si>
    <t xml:space="preserve">السادة/ إدارة شركة درب المحترمين، السلام عليكم ورحمة الله وبركاته، أتقدم بطلب التوظيف للعمل لديكم في مجال محطات الوقود، حيث لدي رغبة جادة في العمل بهذا القطاع، وأمتلك مهارات في التعامل مع العملاء والالتزام بالأنظمة والتعليمات. أتميز بالانضباط، وتحمل المسؤولية، والقدرة على العمل ضمن فريق، وأسعى لتقديم أداء يساهم في رفع مستوى الخدمة وتحقيق أهداف الشركة. آمل منكم التكرم بالنظر في طلبي، ويسعدني حضور مقابلة شخصية في الوقت المناسب لكم. وتفضلوا بقبول خالص التحية والتقدير.
</t>
  </si>
  <si>
    <t>دينا توفيق</t>
  </si>
  <si>
    <t xml:space="preserve">انا المحطة دي جنب بيتي كل مره اجيها الموظفين يتكلمو معايا خاارج نظاق الخدمة وكيفك ايش اخبارك وقلة ادب كل الموظفين من متى ذا الاسلوب مقبول عبيت الساعه 7:30 ص 34 ريال 30\3- هونداي بيضا بينو ( ك ف ر - 1058) </t>
  </si>
  <si>
    <t>تم التواصل مع العميله وارضائها وتم تنبيه مشرفالمحطة</t>
  </si>
  <si>
    <t>جبر الحربي</t>
  </si>
  <si>
    <t>عبدالله
الجهني</t>
  </si>
  <si>
    <t>فواز الشمري</t>
  </si>
  <si>
    <t xml:space="preserve">السلام عليكم ورحمة الله وبركاته أنا عبدالله الجهني من ينبع، أحمل رخصة قيادة نقل خفيف عمومي، وأتقدم بطلب فرصة عمل لديكم في محطة درب. لدي رغبة جادة في العمل، وأتحمل ضغط العمل وألتزم بالدوام، وأسعى لإثبات نفسي وتطوير مهاراتي. أتمنى منكم منحي فرصة للعمل لديكم، وأنا على استعداد للبدء فورًا والعمل بكل جد واجتهاد. شاكر ومقدر لكم وقتكم واهتمامكم. 
</t>
  </si>
  <si>
    <t>لديه محطة ويرغب في الامتياز التجاري</t>
  </si>
  <si>
    <t xml:space="preserve">ضيعت ساعة ابل واتش السير اسود قماش صدار السابع والشاشه عليه حمايه
نسيتها بالمسجد والحين اشوفها تحت المظلة حقت البنزين </t>
  </si>
  <si>
    <t xml:space="preserve">موجوده بقسم الامانات </t>
  </si>
  <si>
    <t>استفسار عندكم شقق مفروشه</t>
  </si>
  <si>
    <t xml:space="preserve">تمت افادته بخدمات الشركة </t>
  </si>
  <si>
    <t>نايف 
المالكي</t>
  </si>
  <si>
    <t xml:space="preserve">السلام عليكم ورحمة الله وبركاته أرغب بالعمل مع شركة درب المحترمة في الإدارة العامة أو مسؤول مراقبة ميداني عندي الخبرة الكافية في مجال المراقبة شكراً لكم دمتم بود ومحبه </t>
  </si>
  <si>
    <t xml:space="preserve">يستفسر عن استلام الهدية </t>
  </si>
  <si>
    <t>سالم الحربي</t>
  </si>
  <si>
    <r>
      <rPr>
        <rFont val="Calibri"/>
        <b/>
        <color rgb="FF434343"/>
        <sz val="10.0"/>
      </rPr>
      <t>يوم الثلاثاء الساعة 9:06 ص طلبت بنزين اخضر  وعبى لي احمر وفوقها ينفاخ كاني انا الغلطان - مازادا</t>
    </r>
    <r>
      <rPr>
        <rFont val="Calibri"/>
        <b/>
        <color rgb="FFFF9900"/>
        <sz val="10.0"/>
      </rPr>
      <t xml:space="preserve"> - تم التواصل العميل  راضي عن الخدمة </t>
    </r>
  </si>
  <si>
    <t xml:space="preserve">تم ابلاغ مدير المحطة لتنبيه العاملين للنظر في طلب العميل قبل التعبئه </t>
  </si>
  <si>
    <t>ارام
الزهراني</t>
  </si>
  <si>
    <t>بركات سندي</t>
  </si>
  <si>
    <t xml:space="preserve">السلام عليكم ورحمة الله وبركاته أتشرف بتقديم طلب التوظيف هذا للانضمام إلى فريق عملكم المتميز. أنا ارام الزهراني ، حاصلة على البكالريوس في هندسة الحاسب الالي و شهادة الاعتماد المهني من الهيئة السعودية للمهندسين أتمتع بخبرة في مجال الدعم الفني ، ولدي مهارات في استخدام الحاسب الالي (تركيب اجهزة الكمبيوتر واصلاحها ) التي أعتقد أنها ستساهم في نجاح فريقكم. أرفق لكم سيرتي الذاتية لمراجعتها، وأتمنى أن تتاح لي الفرصة للمساهمة في تحقيق أهداف شركتكم. أشكركم على وقتكم وتفهمكم، مع خالص التحية، ارام الزهراني </t>
  </si>
  <si>
    <t>ييبي يتواصل مع مهندس وائل شركة القافلة عندهم 12 فرع حول المملكة</t>
  </si>
  <si>
    <t>تم تزويده برقم مهندس وائل</t>
  </si>
  <si>
    <t>Formula Driver</t>
  </si>
  <si>
    <t xml:space="preserve">الثلاثاء، 28 أبريل 2026 في 05:00 ص
لا اعلم ان كان تصرف فردي او لا لكن عند تعبيتي ب٣٠ ريال استوعبت انه بدأ ب٤ ريال
حاول يشرح لي ان الدفع سريع ووصل ل٤ بسرعة لكن ما اقنعني، مصيبة ان كان غير تصرف فردي
</t>
  </si>
  <si>
    <t xml:space="preserve">تم ابلاغ مدير المحطة لمراجعة العامرا والتحقق من الشكوى وانذار العامل كتابيا في حال كان كلام العميل صحيحا </t>
  </si>
  <si>
    <t>محمد 
عاصم</t>
  </si>
  <si>
    <t xml:space="preserve">حاصل علي بكالوريوس نظم معلومات إدارية </t>
  </si>
  <si>
    <t>دورا المياه يتم اقفالها والناس مسافرة ومعي عائلة - لم يتواصل مع مكتب خدمة العملاء</t>
  </si>
  <si>
    <t>تم افادته بامه يجب التوجه لمكتب خدمة العملاء وسيتم مساعدته وشكرنا على الخدمة</t>
  </si>
  <si>
    <t xml:space="preserve">عندي محاضرة في الجامعه وحسب لي غياب بسبب المبلغ ما بيرجعه سحبه وقالي مرفوضه الوقت 4:2 حطيت بطاقتي الثاني وسحب مره ثانية الوقت الثاني 4:8 - 83ريال الحين العمليتين كلها مقبوله ليه يقول مرفوضه ويسحب ثاني ؟   اب يتعويض عن وقتي وغيبني في الجامعه - شانجان - بني (د م د - 5246 )  </t>
  </si>
  <si>
    <t xml:space="preserve">نود اشعاركم بأنه تم الالتقاء بالعميل والتوضيح له وتفهم ذالك وان العملية خلال ٢٤ ساعة ستكون مستردة وفي حال تم غير ذالك سيتم التواصل لاحقاً والافادة.
كان التأخير بسبب مشكله خارجه عن ارادتنا وهي صرافه العميل مرفوضه ومن الطبيعي ان ينتظر الى ان تقبل العمليه او يدفع كاش </t>
  </si>
  <si>
    <t>شركو فنون الخدمات "تشغيل وصيانة العمالة - خدمات غسيل  للمحطات المظلات توفير العمالة نقدم خدماتنا الى ادنوك بترومين</t>
  </si>
  <si>
    <t>هاني القحطاني</t>
  </si>
  <si>
    <t>أفاق محمد</t>
  </si>
  <si>
    <t>2026-03-30 05:23:35 PM UTC+03:00 - لم يتم الرد</t>
  </si>
  <si>
    <t>يوجد محطة في حي الوفاء جدة اذا رغبتم استأجارها - المالك</t>
  </si>
  <si>
    <t>السادة/ إدارة شركة درب المحترمين، تحية طيبة،، يسعدني التواصل معكم لعرض فكرة مشروع في مرحلة الدراسة الأولية، يتمحور حول تطوير منطقة راحة عصرية على الطرق السريعة، مستوحاة من نماذج عالمية ناجحة، وتركّز على تحسين تجربة المسافرين وجودة الحياة، بما يتماشى مع توجهات المملكة ورؤية 2030. يستهدف المشروع تقديم نموذج مكمل للمنظومة القائمة، من خلال التركيز على التصميم، وتنظيم الخدمات، وتوفير مساحات مريحة للعائلات والمسافرين، بما يسهم في تخفيف الضغط عن المواقع ذات الكثافة العالية ورفع مستوى التجربة العامة على الطرق. أتطلع — بصفتي صاحبة الفكرة — إلى مناقشة إمكانية شراكة تشغيلية أو استثمارية مناسبة في حال وجدتم الفكرة ضمن اهتماماتكم الاستراتيجية، ويسعدني مشاركة عرض مختصر أو مناقشة الفكرة بشكل مباشر عند رغبتكم. شاكرة ومقدّرة وقتكم واهتمامكم، وتفضلوا بقبول فائق الاحترام. مقدّمة الفكرة: أفاق يوسف عمر محمد</t>
  </si>
  <si>
    <t>مقرن المطيري</t>
  </si>
  <si>
    <t xml:space="preserve">مؤسسة بركات مشني العلوي للمقاولات </t>
  </si>
  <si>
    <t>yasser ofi</t>
  </si>
  <si>
    <t>طلب تاجيري غير مكتمل</t>
  </si>
  <si>
    <t>مجاهد</t>
  </si>
  <si>
    <t xml:space="preserve">القنفذة </t>
  </si>
  <si>
    <t>تمت الافاده انه تواصل مع مسؤول التاجير</t>
  </si>
  <si>
    <t xml:space="preserve">5855 م - ارض فضاء - يوجد رخصة تحت الاجراء </t>
  </si>
  <si>
    <t>يتم  التلاعب في الحساب  وسحب مبلغ  اكثر من المستحق   تكرر  اكثر من  مره   ارجو  الحذرتم التحرير في الأحد، 25 يناير 2026 في 09:58 م</t>
  </si>
  <si>
    <t>الرجاء التواصل مع العميل لمعرفه لمبلغ المسحوب زياده ومراجعه الحسابات واسترجاع المبلغ 
- شكوى قوقل ماب لا يوجد رقم تواصل</t>
  </si>
  <si>
    <t>لدي ارض انا الوكيل الشرعي في الشرائع مكة موقع استراتيجي جداً سهولة وسلاسة في الدخول والخروج المساحة ٢٥٠٠ م على ثلاث شوارع / شارع ١٠٠ وشارع ٢٤ وشارع ١٢
جاري العمل على استخراج ترخيص المحطه تم استخراج الاشتراطاتارغب بعرضها على شركة درب بنظام انهم يستأجرون الموقع كامل لميزة الموقع وندرته</t>
  </si>
  <si>
    <t>ايمن محمد</t>
  </si>
  <si>
    <t xml:space="preserve">20 ريال وعشره شوية مقطعة ومايقبلها العامل </t>
  </si>
  <si>
    <t xml:space="preserve">حمزه اشرف عبدالمنعم غريب </t>
  </si>
  <si>
    <t>تمت افادته بالتوجه لمكتب خدمة العملاء لمعاينة المبلغ</t>
  </si>
  <si>
    <t xml:space="preserve">محطة طريق السيل فبها بنزين </t>
  </si>
  <si>
    <t>واثق يوسف</t>
  </si>
  <si>
    <t xml:space="preserve">ابحث عن شاغر وظيفي لديكم واسعي للانضمام الي فريق العمل ودعم نجاح الشركه 
</t>
  </si>
  <si>
    <t xml:space="preserve">بنشر  - ثاني فرع </t>
  </si>
  <si>
    <t>ابو سعود العتيبي</t>
  </si>
  <si>
    <t xml:space="preserve">91000م متر محطة قائمة </t>
  </si>
  <si>
    <t>كوثر
الخليفه</t>
  </si>
  <si>
    <t>السادة/ إدارة التوظيف في شركة درب المحترمين.. السلام عليكم ورحمة الله وبركاته.. أود التقدم لشغل وظيفة (مساعد إداري / او اي وظيفة إدارية) لدى شركتكم الموقرة، حيث أن لدي خبرة ومهارات في الأعمال الإدارية والتنظيمية، إضافة إلى قدرتي على التعامل مع المهام المكتبية بكفاءة عالية. أعمل على تطوير نفسي بشكل مستمر، وأمتلك مهارات في استخدام الحاسب الآلي، وتنظيم الملفات، والتواصل الفعال، والعمل ضمن فريق، مما يمكنني من المساهمة في تحسين بيئة العمل وتحقيق أهداف المنشأة. أرفقت سيرتي الذاتية للاطلاع، ويسعدني الانضمام إلى فريق عملكم والمساهمة في نجاح الشركة. شاكرة ومقدرة وقتكم واهتمامكم، وأتطلع لفرصة التواصل معكم..</t>
  </si>
  <si>
    <t xml:space="preserve">علي صالح الهمامي </t>
  </si>
  <si>
    <t xml:space="preserve">شروره </t>
  </si>
  <si>
    <t xml:space="preserve">بمساحة 2400 م - الملك ارض فضا يوجد  عليها رخصة </t>
  </si>
  <si>
    <t>ابو محسن البقمي</t>
  </si>
  <si>
    <t>تم مشاركته امل الشمراني</t>
  </si>
  <si>
    <t xml:space="preserve">   علي موسى</t>
  </si>
  <si>
    <t xml:space="preserve">الحرازات -  طريق الهدا  - سمعت عندكم نوع ثاني محسن من الديزال </t>
  </si>
  <si>
    <t xml:space="preserve">تمت افادته هو نوع واحد فقط </t>
  </si>
  <si>
    <t xml:space="preserve">  السلام عليكم ورحمة الله وبركاته اتمنى ان اكون مع فريق العمل ومع الشركة درب اتمنى ان اكون على حسن ضنكم وشكرا لكم </t>
  </si>
  <si>
    <t>سعيد محمد القحطاني</t>
  </si>
  <si>
    <t xml:space="preserve">6700 م - ارض وعليها رخصة - مستاجر الارض </t>
  </si>
  <si>
    <t xml:space="preserve"> عمران كبير أحمد </t>
  </si>
  <si>
    <t xml:space="preserve">مشرف عمال متابعة سير العمل </t>
  </si>
  <si>
    <t>يوم الثلاثاء الساعه 3:00 عصرا انا اعبي عن طريق سيارة اب والعامل ينافخ علي بقول: تبي تعبي ولا تنقلع  وعبى غلط 91 والفل حقي 89 في المتوسط وهو عبى الفل بـ 95 اتمنى تشوفون حل اللعمال العامود قبل الاخير فاو تي 33 اللون ازرق ر س ك 4546  - م التواصل والعميل راضي عن الخدمة</t>
  </si>
  <si>
    <t>يرغب في اكمال اجراءات سيارة اب</t>
  </si>
  <si>
    <t xml:space="preserve">تم ابلاغ مدير المحطة ومدير المنطقة لزيادة شكاوى درب العمره والزامهم باشد على العمال والعمل على متابعتهم وتدريبهم على حسن السلوك مع العملاء </t>
  </si>
  <si>
    <t xml:space="preserve">تمت افادته برقم م.رغد - رقم محمد سيارة اب </t>
  </si>
  <si>
    <t>يوسف المالكي</t>
  </si>
  <si>
    <r>
      <rPr>
        <rFont val="Calibri"/>
        <b/>
        <color rgb="FF434343"/>
        <sz val="10.0"/>
      </rPr>
      <t xml:space="preserve">يوم الثلاثاء  12:19م طالب احمر بـ 30 عبى اخضر  هوندا اكورد 1200 الوحة:ذ ع ع  العامل اسمه ياسر سيارتي توي مسويلها صيانة لا تقل عن 800 ريال ومهتم فيها وبسبب غلط عاملكم ابي اجراء مع العامل </t>
    </r>
    <r>
      <rPr>
        <rFont val="Calibri"/>
        <b/>
        <color rgb="FFFF9900"/>
        <sz val="10.0"/>
      </rPr>
      <t xml:space="preserve">- تم التواصل وافاد اتصالكم هذا عكس اشياء كثيرة ونا سامحت العامل وشكرا لكم </t>
    </r>
  </si>
  <si>
    <t xml:space="preserve">تم ابلاغ مدير المحطة لمتابعه العامل وتوجيه انذار شفوي وتنبيه بقيه العمال على الانتباه وعدم التعبئه الا بعد التأكد من رغبه العميل </t>
  </si>
  <si>
    <t>العامل رفض يعبيلي في المضخه اللي واقف عندها ورحت محطه ثانية لا يرغب بالتزويد بالتفاصيل وفقط اعلامنا عن الاشكالية</t>
  </si>
  <si>
    <t xml:space="preserve">محمد العتيبي </t>
  </si>
  <si>
    <t>يبي فاتورة ضريبية باسم مؤسسة شموخ العاذرية - المبلغ: 50  - المنتج 91 - الوقت 21:50  -تاريخ 1-24  الرقم الضريبي 310179766900003
 السجل التجاري  : 7003116634 تم ارسال ايميل +تم ارسال تذكير +</t>
  </si>
  <si>
    <t xml:space="preserve">سعد السلمي </t>
  </si>
  <si>
    <r>
      <rPr>
        <rFont val="Calibri"/>
        <b/>
        <color rgb="FF434343"/>
        <sz val="10.0"/>
      </rPr>
      <t xml:space="preserve">يوم الاحد 3/4/2026 الساعة 11:15 م عبيت ب171 كاش وعندي مشكلة بالعداد مايرتفع الا لمن اطفي السيارة مشيت ورجعت البيت طفيت السيارة وشغلتها مارتفع الا اقل من النص مع اني معبي فل كانت السيارة مصفره رجعت اليوم الثاني بتاريخ 4/5/2026 الساعه 3:44 عصرا عبيت ب126 واخذت فاتورة وارتفع عندي  معناته ماعبى لي امس كملت السوبرفايزر ودخلنا راجعنا الكاميرات لليوم الاول وكان مدة التعبئة 5 دقايق بس سالته مافي سستم تتاكدون انه عبى ولا؟ قال لا المضخات ماتوضح وثانيا لمن دخلت مع السوبر فايزر شافني العامل اللي عبى لي ودخل معانا يراجع ووقلت للسوبرفايزر لا يدخل وجلسو يتكلمون بلغتهم وشكيت في نصبه انا الحين ابي اتاكد هل تمت التعبئة لي ب171 انا كنت بصعدها لوزارة الطاقه ولكن ماخذت فاتورة ع التعبئة اول مره - فكتوريا فورد بحري 2011 - الوحة ح م ر 2684- تم التحقق من الاشكالية والتعبئة كانت بمبلغ 71 احمر وسيتم المرور بالمحطة للتعبئة بمبلغ 100 ريال </t>
    </r>
    <r>
      <rPr>
        <rFont val="Calibri"/>
        <b/>
        <color rgb="FFFF9900"/>
        <sz val="10.0"/>
      </rPr>
      <t>-تمت التعبئة وتعويض  والعميل راضي عن الاجراء</t>
    </r>
    <r>
      <rPr>
        <rFont val="Calibri"/>
        <b/>
        <color rgb="FF434343"/>
        <sz val="10.0"/>
      </rPr>
      <t xml:space="preserve"> </t>
    </r>
  </si>
  <si>
    <t>العميل كنسل الشكوى بسبب عدم التاكد من الاشكالية ولا يبون يظلمون العامل</t>
  </si>
  <si>
    <t>4:02:00 م - 5/5/2026</t>
  </si>
  <si>
    <t>1:02:00 م - 10/5/2026</t>
  </si>
  <si>
    <t>عبدالرحمن المالكي</t>
  </si>
  <si>
    <t xml:space="preserve">علي منيع السقفي </t>
  </si>
  <si>
    <t>نوع السياره : كامري 2011 - لوحة السياره : ب ط ن 1001</t>
  </si>
  <si>
    <t xml:space="preserve">كوبون 100 ريال </t>
  </si>
  <si>
    <t>تم ارساله لعبدالعزيز</t>
  </si>
  <si>
    <t xml:space="preserve">تم التواصل </t>
  </si>
  <si>
    <t xml:space="preserve">عادل حكمي </t>
  </si>
  <si>
    <t xml:space="preserve">يوجد مضخة ديزل </t>
  </si>
  <si>
    <t>فاطر - فرنشايز</t>
  </si>
  <si>
    <t>عبدالعزيز محمد المطرفي</t>
  </si>
  <si>
    <t xml:space="preserve">ولا يوجد ديزل المحطه متوقفه اصلا </t>
  </si>
  <si>
    <t>نوع السيارة : سوناتا 2019 - لوحة السيارة : د ق ط 4823</t>
  </si>
  <si>
    <t xml:space="preserve">رحت المحطة عبيت بنزين فل المبلغ كان 106 ضغط العامل زر 107 - جا العمال كل واحد يجي يقول انا مدير - ما كلمني انه بيضغط اما يضغط ولا يسال جالسين نلعب ولا نضحك - كوريلا بيضه - (ر ق د - 2794) -  2026-04-28 05:26:10 PM UTC+03:00 - العميل رافض تزويدنا باسمه وباقي التفاصيل </t>
  </si>
  <si>
    <t>شكوى هللات غير مكتملة التفاصيل تم الاعتذار من العميل خلال الاتصال واغلاقها</t>
  </si>
  <si>
    <t xml:space="preserve"> عبدالرحمن</t>
  </si>
  <si>
    <t>يحيى روميز</t>
  </si>
  <si>
    <t>نوع السيارة : سوناتا - لوحة السيارة : د ع س 9286</t>
  </si>
  <si>
    <t xml:space="preserve"> 2026-05-24 06:59:41 PM UTC+03:00 كوريلا 2013 لولي ح د س 8713 المسار الداخلي - لم يتم الرد</t>
  </si>
  <si>
    <t xml:space="preserve">علي احمد حسن </t>
  </si>
  <si>
    <t>شذى</t>
  </si>
  <si>
    <t xml:space="preserve">كان  مقطوع علي البنزين ورحت المحطة ابي بنزين رفض وقال ممنوع انتظر المشرف وانتظرت ساعتين ولا جا  - 2026-04-28 08:02:21 PM UTC+03:00 - لم يوضح العميل ان العامل عرض عليه الجالون المخصص من المحطة </t>
  </si>
  <si>
    <t>تم التواصل مع العميل  وتوضيح له انه ممنوع 
وتم التواصل مع المشرف لحتى  يطلب جالون خاص بتعبئة الوقود داخل المحطة</t>
  </si>
  <si>
    <t xml:space="preserve">من هيئة الاحصاء تحقق من نهاية السجل التجاري </t>
  </si>
  <si>
    <t xml:space="preserve">تمت افادتها وقالت شكله فرع اخر </t>
  </si>
  <si>
    <t xml:space="preserve">خلال 24 ساعة عمل </t>
  </si>
  <si>
    <t>فارس الشجاع</t>
  </si>
  <si>
    <t xml:space="preserve">طريق مكة جدة - أرض - 30الف - عليها رخصة </t>
  </si>
  <si>
    <t>Darb5</t>
  </si>
  <si>
    <t xml:space="preserve">كان يبي يرفع شكوى لكن تم حلها من قبل مدير المحطة </t>
  </si>
  <si>
    <t>تم الاعتذار له اثناء المكالمه وقد شكرنا على التجاوب</t>
  </si>
  <si>
    <t>خدمة الكاشيرات جدا سيئه كل واحد يرمينا على الثاني يحتاج لهم تدريب في التعامل والأسلوب مع الضيوف والخدمه السريعه والمشكله انها مو أول مره نلاقي ذا التعامل 👎🏻👎🏻👎🏻
تم التحرير في الأحد، 25 يناير 2026 في 04:56 م</t>
  </si>
  <si>
    <t>مصمم جرافيك
أو اداره مواقع التواصل الاجتماعي
انا مستعد للعمل معكم عن بعد</t>
  </si>
  <si>
    <t>2026-05-25 01:11:47 AM UTC+03:00 - لم يتم الرد</t>
  </si>
  <si>
    <t>370 شركة يبي كوبونات لتعبئة البنزين</t>
  </si>
  <si>
    <t>تمت افادته بانه يتوفر اشتراك مع سيارة اب وتم تزويده بالرقم</t>
  </si>
  <si>
    <t>2026-05-25 02:54:40 AM UTC+03:00 - لم يتم الرد</t>
  </si>
  <si>
    <t>2026-05-05 05:02:47 PM UTC+03:00 - لم يتم الرد</t>
  </si>
  <si>
    <t xml:space="preserve">مؤسسة ثمانية للمقاولات </t>
  </si>
  <si>
    <t>تمت الافادة بالارسال عبر الايميل</t>
  </si>
  <si>
    <t>عمر عوض</t>
  </si>
  <si>
    <t>حصه محمد</t>
  </si>
  <si>
    <t xml:space="preserve">خدمات سيارات - الفرع الثاني </t>
  </si>
  <si>
    <t>Jaber</t>
  </si>
  <si>
    <t>نظافة سيئة للدورات المياه - 15:57:12 Tuesday, May 5, 2026</t>
  </si>
  <si>
    <t xml:space="preserve"> توجيه تنبيه من مدير المنطقة إلى مدراء المحطات بضرورة الالتزام التام بمعايير النظافة مع إرسال صور يومية توثيقية إضافة إلى مراجعة الكاميرات بشكل مستمر والتشديد على تطبيق إجراءات النظافة دون تهاون</t>
  </si>
  <si>
    <t>در ب المترو</t>
  </si>
  <si>
    <t xml:space="preserve">بنشر سيارات - اول فرع </t>
  </si>
  <si>
    <t xml:space="preserve">انحلت مشكلته </t>
  </si>
  <si>
    <t>در ب الوطن</t>
  </si>
  <si>
    <t xml:space="preserve">في عمله غير مناسب </t>
  </si>
  <si>
    <t>مؤمن هاشم</t>
  </si>
  <si>
    <t xml:space="preserve">ابو محسن </t>
  </si>
  <si>
    <t>564957338)</t>
  </si>
  <si>
    <t xml:space="preserve">شركة IT </t>
  </si>
  <si>
    <t xml:space="preserve">شي معك محلات بنشر وزيت للايجار
</t>
  </si>
  <si>
    <t>يوم الثلاثاء الساعة 10:9 ص العمال متجمعين عند الديزل ومخلين العملاء ينتظرون ربع ساعه مستاء من التاخير</t>
  </si>
  <si>
    <t xml:space="preserve">تم ابلاغ مدير المحطة لزياده متابعه العمال زمنع تجمعهم في مكان واحد وان يلتزم كل عامل بمكانه </t>
  </si>
  <si>
    <t>خالد سعيد الغامدي</t>
  </si>
  <si>
    <t xml:space="preserve">عبدالعزيز الزهراني </t>
  </si>
  <si>
    <t>استفسار عن التاجير - لم يتم الرد</t>
  </si>
  <si>
    <t>أرض 1185م  - المالك</t>
  </si>
  <si>
    <t xml:space="preserve">طلب تاجير تم محاولة الاتصال مرتين لا يوجد رد </t>
  </si>
  <si>
    <t xml:space="preserve"> المشروع حاليًا تحت الإنشاء، وقد تم تصميمه وفق مخطط حديث يتيح تنوع الأنشطة والخدمات  ونبحث عن شراكة استثمارية او مستأجرين، ونسعد بالتعاون معكم للاستفادة من هذه الفرصة الواعدة.  مرفق لكم المخطط الخاص بالمشروع موضح به جميع الانشطة، والموقع على الخارطة، ويسعدنا تزويدكم بكافة التفاصيل الإضافية أو ترتيب لقاء لمناقشة أوجه التعاون بشكل أوسع.
 مؤسسة عز العقار  
https://maps.app.goo.gl/3XoQySkXiKCst4fJ7?g_st=ic
</t>
  </si>
  <si>
    <t>hisham moh</t>
  </si>
  <si>
    <t>استفسار عن عرض يوم الشاي</t>
  </si>
  <si>
    <t xml:space="preserve">تنظيم حركة السير في الموقع
الثلاثاء، 28 أبريل 2026 في 11:58 م
</t>
  </si>
  <si>
    <t xml:space="preserve">تم ابلاغ مدير المحطة لوضع مسؤول لتنظيم الحركةفي حال الضروره والازدحام </t>
  </si>
  <si>
    <t>عدنان محمد الثقفي</t>
  </si>
  <si>
    <t>يزيد الدوسري</t>
  </si>
  <si>
    <t>مغسلة - الوسام - أول فرع 0564847785</t>
  </si>
  <si>
    <t>رنية</t>
  </si>
  <si>
    <t>المساحة: 16,000 بصكين منفصلين كل صك 8,000-مالك</t>
  </si>
  <si>
    <t>حاتم الشهراني</t>
  </si>
  <si>
    <t xml:space="preserve">مسوقه تبي تعمل مع درب </t>
  </si>
  <si>
    <t xml:space="preserve">تعامل شين  وابغاء اعبي موتري يقول ١٢٠﷼ وهو نص ولونه على الصفر افلله بـ٨٢﷼ اسوى شركه مرت علي
ملاحظة موتري يارس ٢٠١٩الثلاثاء، 28 أبريل 2026 في 05:18 م
</t>
  </si>
  <si>
    <t xml:space="preserve">تمت افادها تقدم على الموقع </t>
  </si>
  <si>
    <t xml:space="preserve">تم التواصل مع ادارة الشركة للمحطة 
والتأكيد على تنبيه العمال للتعامل بشكل افضل   </t>
  </si>
  <si>
    <t>درب شركة شحن</t>
  </si>
  <si>
    <t xml:space="preserve"> عبدالرحمن الزهراني</t>
  </si>
  <si>
    <t xml:space="preserve">Talal </t>
  </si>
  <si>
    <t>ارض  - المساحة: 41518
طريق الهجرة بعد محطة غانم الفريدي لها رخصة بناء محطة: لا يوجد رخصة</t>
  </si>
  <si>
    <t>الحديقة الصحية - كشك</t>
  </si>
  <si>
    <t xml:space="preserve">سعيد </t>
  </si>
  <si>
    <t>اماني</t>
  </si>
  <si>
    <t>هل في باقات واشتراكات لغسيل السيارة</t>
  </si>
  <si>
    <t>مطر</t>
  </si>
  <si>
    <t>عنده مواقع للاستثمار في الجنوب والمنطقة الشرقية</t>
  </si>
  <si>
    <t xml:space="preserve">كوفي درايف ثرو - فرع 1 - المالك </t>
  </si>
  <si>
    <t>عامر الشهري</t>
  </si>
  <si>
    <t xml:space="preserve">شركة تكوين يحتاجو تعبئة يومية - 25 سيارة بنزين 5 ديزال - حول 25 معدة تحتاج بنزين - من محطة محايل عسير هل في الية محدد للتزويد يرغب بالتنسيق مع المحطة </t>
  </si>
  <si>
    <t>منصور القرني</t>
  </si>
  <si>
    <t>تاجير - لم تيم الرد</t>
  </si>
  <si>
    <t>محطة قديمة - المالك</t>
  </si>
  <si>
    <t>ام عبد العزيز</t>
  </si>
  <si>
    <t xml:space="preserve">عمري ماتوقعت الغش في محطة درب أنا دايم تعاملي معاهم ولاكن سيارتي جديده رحت عبيت بنزين عندهم الظهر ب١٥ريال ماتغير في اللترات حتي رقم و١ وكمان عبيتها قبل الفجر من نفس المحطه ٢٥ ريال وبرضو العداد حق اللترات ماارتفع ولارقم  فيها شي وآخر شي رحت محطة الادريسي الي قبل مطعم هرمان طفيت السياره معاناته كان مشغل الجهاز ومافيه بنزين أو البنزين مخلوط حسبي الله ونعم وكيل  اتمني وزاره التجاره تلتفت لهاذا الشي الي حصل وتحل المشكله أنا موادفع حق بنزين واخرشي السياره ماتعبت ولانقطة
 الثلاثاء، 27 يناير 2026 في 01:29 ص
</t>
  </si>
  <si>
    <t>تم تزويدها برقم خدمة العملاء للتواصل وتم تواصلها في شهر 2</t>
  </si>
  <si>
    <t>قاسم اليافعي</t>
  </si>
  <si>
    <t>العنود</t>
  </si>
  <si>
    <t xml:space="preserve">تموينات  - اكثر من فع - ملابس وخردوات - شركة روائع الفلاح </t>
  </si>
  <si>
    <t>النظافة جدا سي -  23:19:25 Sunday, April 26, 2026</t>
  </si>
  <si>
    <t>اود رقم درب فرع تربة</t>
  </si>
  <si>
    <t xml:space="preserve">تم اخطار مدير المحطة 
ونقترح توفير عاملة نظافة </t>
  </si>
  <si>
    <t xml:space="preserve">W68 </t>
  </si>
  <si>
    <t>سرعه المظخة عاليه جداً وملحوظ فيها السرعه عكس محطه الدريس وساسكو اتمنى مراجعتها
- تم التوضيح للعميل</t>
  </si>
  <si>
    <t>يوجد في مسدس المضخة ثلاث طقات  للتعبئة (بطيء – متوسط – سريع)، ويبدو أن العامل قام بضبط المسدس على وضع التعبئة السريعة</t>
  </si>
  <si>
    <t xml:space="preserve"> Yazeed Alzahrani</t>
  </si>
  <si>
    <t xml:space="preserve">صالح عواض العتبيبي </t>
  </si>
  <si>
    <t>تجربة ممتازة، ولكن السيفون يحتاج لصيانة - 18:41:04 Monday, April 27, 2026</t>
  </si>
  <si>
    <t xml:space="preserve"> وسيط عقاري معتمد : لدي موقع محطة للبيع من اصحابه اذا لكم رغبة في الشراء ، موقع متميز وعلى خط المدينة المنورة مباشرة مساحة 40 الف وكانت محطة سابقا ولها موقع معروف والان توفي صاحبها والورثة يريدون البيع اذا لكم اهتمام تواصلوا معنا على رقم 0500504240</t>
  </si>
  <si>
    <t>تمت الصيانة 
الفني المنفذ:Juman Miah
تاريخ الإنجاز:02 مايو 2026 - 11:29</t>
  </si>
  <si>
    <r>
      <rPr>
        <rFont val="Calibri"/>
        <b/>
        <color rgb="FF434343"/>
      </rPr>
      <t xml:space="preserve">يوم الاربعاء 12:14 ص بنزين اخضر عبى ديزل ب100 سيارتي متعطلة ورجعت لهم الان الساعة 11:13 ص وجحدو  الان جبت سطحه وبصلحها وبرفقلكم التقا ير تتكفلون فيهلا ولا بتخذ اججراء ثاني جيب نيسان 6267 </t>
    </r>
    <r>
      <rPr>
        <rFont val="Calibri"/>
        <b/>
        <color rgb="FFFF9900"/>
      </rPr>
      <t xml:space="preserve"> - العميل ما عبى في المحطة وتم المفاهمه من قبل ادارة التشغيل الا ان العميل مصر على تعويضه </t>
    </r>
  </si>
  <si>
    <t xml:space="preserve">ساعة ابل قسم النساء بعد صلاة المغرب 26/1/2025  - الاحساء الشرقية </t>
  </si>
  <si>
    <t>Ashwaq</t>
  </si>
  <si>
    <t xml:space="preserve">يبغى طريقه نوصلها له </t>
  </si>
  <si>
    <t xml:space="preserve">لجين
</t>
  </si>
  <si>
    <t>الحمامات جداً معدومه بشكل سيئ لدرجة عدم القدرة على استخدامها او دخولها - 05:58:30 Tuesday, April 28, 2026</t>
  </si>
  <si>
    <t>الاستفسار كم تغسلون السياره بالمغسله حقتكم كم الاسعار غسيل داخلي خارجي</t>
  </si>
  <si>
    <t xml:space="preserve">عبد القوي </t>
  </si>
  <si>
    <t xml:space="preserve">محل زينة سيارات - اول فرع - المالك </t>
  </si>
  <si>
    <t>ابو</t>
  </si>
  <si>
    <t>شكرا لكم .. دورة المياة ممتازة بس المكان مقابل الدورة قذر جداً عند برميل النفايات - 09:29:49 Tuesday, April 28, 2026</t>
  </si>
  <si>
    <t>ميار</t>
  </si>
  <si>
    <t xml:space="preserve">براميل النفايات خارج سياج المحطة </t>
  </si>
  <si>
    <t>عبد الرزاق السويهري</t>
  </si>
  <si>
    <t>تدريب تعاوني</t>
  </si>
  <si>
    <t>الاستفسار: وين الصور؟ فيه واحد جا صور سيارتي وهي فالمغسله وقلت له وين تنزلو الصور يقول انا اعطيها محطة درب وهي تنزلها - مغلق</t>
  </si>
  <si>
    <t xml:space="preserve">عايد </t>
  </si>
  <si>
    <t xml:space="preserve">أرض خام مالها رخصة </t>
  </si>
  <si>
    <t>Hana Ibrahim</t>
  </si>
  <si>
    <t>للاسف الرائحه سيئه وغير نظيف - 19:30:33 Tuesday, April 28, 2026</t>
  </si>
  <si>
    <t xml:space="preserve">الفني المنفذ:Yasser Sultan
تاريخ الإنجاز:28 أبريل 2026 - 23:10
الشفاطات شغاله👍🏼
تم التنويه على ضرورة متابعة النظافة من قبل مدير المحطة </t>
  </si>
  <si>
    <t>توصيل</t>
  </si>
  <si>
    <t>Fahad</t>
  </si>
  <si>
    <t>طامي</t>
  </si>
  <si>
    <t>تربة</t>
  </si>
  <si>
    <r>
      <rPr>
        <rFont val="Calibri"/>
        <b/>
        <color rgb="FF434343"/>
        <sz val="10.0"/>
      </rPr>
      <t>واجهت تجربة غير جيدة في هذه المحطة صباح اليوم، حيث كان أسلوب الموظف غير لائق إطلاقًا أثناء تعبئة الوقود. هذا التصرف أعطاني انطباعًا سلبيًا عن المكان، وبناءً عليه لن أكرر زيارتي لهذه المحطة مستقبلًا
12:03:52 Wednesday, May 6, 2026 Tags -تم التواصل مع العميل والافادة ان سلوك العمال في الافادة ان العملية تاخذ اكثر من 15 او 10 ولكن شوية شوية احسبها دقايق-</t>
    </r>
    <r>
      <rPr>
        <rFont val="Calibri"/>
        <b/>
        <color rgb="FFFF9900"/>
        <sz val="10.0"/>
      </rPr>
      <t xml:space="preserve"> تم الاعتذار وتقبل ذلك </t>
    </r>
  </si>
  <si>
    <t xml:space="preserve">م ابلاغ مدير المحطة لتكثيف التدريب وتوجيه عمال المحطة لما فيه رضا العميل </t>
  </si>
  <si>
    <t>8 مليون يبغى يستثمر</t>
  </si>
  <si>
    <t>Abufeas</t>
  </si>
  <si>
    <t>اكثر من ربع ساعه منتطر ومافي اخد جاني واا في سيارات تعبي اوزحمه مافي - 11:04:37 Sunday, April 26, 2026</t>
  </si>
  <si>
    <t xml:space="preserve">تم ابلاغ مدير المحطة ومدير المنطقة لمراجعة الشكوى ولعمل على معالجتها وعدم تكرارها مره اخرى </t>
  </si>
  <si>
    <t xml:space="preserve">سليمان الشيخ </t>
  </si>
  <si>
    <r>
      <rPr>
        <rFont val="Calibri"/>
        <b/>
        <color rgb="FF434343"/>
        <sz val="10.0"/>
      </rPr>
      <t xml:space="preserve">عندي اشكالية بهذي المحطة العمالة اللي فيها غير احترافية اجي اكلم العامل يعبي ديزل يقولي روح المسار الثاني ورحت والعامل يرفض يقول عبى هناك بينهم مشكلة شخصية انا وش دخلني ورجعت للعامل اللي قبل وعبى لي يقول زميلة في الحمام والله العظيم حسيت بالاهانة وانا الفلف وزودني برقم مشرف المحطة يمني ولا يرد اقلها يرد على العملاء وانا اررفع هذي الملاحظة لان في محطه لا تبعد كثيرا العملاء بيروحونها لو استمرو العمال كذا في تاخير الخدمة اوانا مترردد كثير على المحطه واعرف ان من حرص المشرف كان بنفسه يعبي الا ان اخر فترة تغير الوضع - سنتافي ديزل ٢٠١٥م لون بترولي غامق او زيتي </t>
    </r>
    <r>
      <rPr>
        <rFont val="Calibri"/>
        <b/>
        <color rgb="FFFF9900"/>
        <sz val="10.0"/>
      </rPr>
      <t xml:space="preserve">.-تم التواصل وافاد العميل بالاهتمام اكثر بتدريب العمالة
 </t>
    </r>
  </si>
  <si>
    <t xml:space="preserve">تم ابلاغ مدير المحطة وافاد ان العامل افاده بالتوجه للمضخة الاخرى بسبب ان المسدس خربان وقيد الصيانه </t>
  </si>
  <si>
    <t xml:space="preserve">لمار </t>
  </si>
  <si>
    <t xml:space="preserve">يستفر عن عدم وجود ديزل ولا يرغب بالتزيود بالبيانات </t>
  </si>
  <si>
    <t>الدورات المياه تحتاج الى عناية اكثر وصيانة مستمرة ونظافة على مدار الساعة - 05:01:31 Monday, April 27, 2026</t>
  </si>
  <si>
    <t>تم التواصل مع ادارة المحطة واعادة التنبيه وسيتم اتخاذ اجراء رسمي  بشأن تكرار هذه الشكوى</t>
  </si>
  <si>
    <t>عنوان القهوة.هاف مليون.كوستا في درب النورية</t>
  </si>
  <si>
    <t xml:space="preserve">ارسل البروفايل ايميل واستفسار عن عدم التواصل </t>
  </si>
  <si>
    <t xml:space="preserve">تمت الافاده بانه سيتم التواصل في حال وجود فرصه </t>
  </si>
  <si>
    <t xml:space="preserve">محمد بدر الحجيلي 
</t>
  </si>
  <si>
    <t>Sara</t>
  </si>
  <si>
    <t xml:space="preserve">MK016 </t>
  </si>
  <si>
    <t>عندي ملاحظات لا حظتها في محطه الوثيقه الي في مكة وحبيت أعلمكم عنها بما اني عميل دايم عندكم نظافه الحمامات جدا سيئه والمواضي فيها سيئه</t>
  </si>
  <si>
    <t xml:space="preserve">تمت الزياره و التحقق من الموقع  </t>
  </si>
  <si>
    <t>الحمامات متهالكة صغيرة لاتحتوي ع مستلزمات نظافة ولا مناديل ولا صابون جهاز تجفيف اليدين لايعمل - 20:53:27 Monday, April 27, 2026</t>
  </si>
  <si>
    <t>تمت الصيانة 
لفني المنفذ:Mahmoud Ibrahim
تاريخ الإنجاز:05 مايو 2026 - 12:01</t>
  </si>
  <si>
    <t xml:space="preserve">وحيد فهد </t>
  </si>
  <si>
    <t xml:space="preserve">خدمات سيارة - ثاني فرع </t>
  </si>
  <si>
    <t>تدريب تعاوني-محاسبة</t>
  </si>
  <si>
    <t>Taif Almutairi</t>
  </si>
  <si>
    <t>محمد معوض السفياني</t>
  </si>
  <si>
    <t>مافي مناديل فالحمام ولا عند المغاسل + مقفلين حمام ومخلين حمام واحد فقط ووسخ - 23:17:21 Tuesday, April 28, 2026</t>
  </si>
  <si>
    <t xml:space="preserve">
الحمام مغلق لغرض الصيانة وتم الاصلاح 
المناديل متوقفه من الشركة 
تم التنويه على ضرورة متابعة النظافة 
الفني المنفذ:
Mahmoud Ibrahim
</t>
  </si>
  <si>
    <t xml:space="preserve">تموينات -  غير مهتم في الايجار بالمحطة يرغب بساحة درب </t>
  </si>
  <si>
    <t>محمد عبدالمحسن</t>
  </si>
  <si>
    <t xml:space="preserve">الياس </t>
  </si>
  <si>
    <r>
      <rPr>
        <rFont val="Calibri"/>
        <b/>
        <color rgb="FF434343"/>
        <sz val="10.0"/>
      </rPr>
      <t>الموظف البنقالي يشتم وقت التعبئة كنت اساله ادا التانكي فيه بنزين قال انتا مافي مخ؟ ويشتم انا قلت اخذ رقمكم واكلمكم  -  مضخة 06A  و 05A  واقف بينهم الساعة  2:33 م  الاربعاء 6/5</t>
    </r>
    <r>
      <rPr>
        <rFont val="Calibri"/>
        <b/>
        <color rgb="FFFF9900"/>
        <sz val="10.0"/>
      </rPr>
      <t xml:space="preserve"> - تم التواصل والاعتذار وشكرنا  مع الخدمة</t>
    </r>
  </si>
  <si>
    <t>تم ابلاغ مدير المحطة لتدريب وتأهيل العمال ومتابعتهم بشكل دورى لكي لا تتكرر الشكاوى في المحطة</t>
  </si>
  <si>
    <t>محل كشك صناع القهوه - 12 - موظف</t>
  </si>
  <si>
    <t xml:space="preserve">سيف </t>
  </si>
  <si>
    <t>انسحب عليه مبلغ 117 ريال مرتين واتواصل مع التشغيل وما فادوه وقال بيرسل الشكوى واتس وما رسل تمت محاولة التواصل ولم يتم الرد</t>
  </si>
  <si>
    <t xml:space="preserve">- </t>
  </si>
  <si>
    <t>احمد الغامدي</t>
  </si>
  <si>
    <t xml:space="preserve">قائمة بمساحة 4100م - مسوق </t>
  </si>
  <si>
    <t>شذى ذياب</t>
  </si>
  <si>
    <t xml:space="preserve"> دفعت كاش والعامل اعطاني فلوس قديمه مشققه قلت له بدلي هي قال لا مدير سعودي يقول اعطي العملاء مشققه قلت له ما خصني ابي صرف فلوس عدله وقام يصيح ويغلط على السعاوده  اسلوبه جدا سيء ترا كلها بعبي بنزين ايش الجنان هذا - 6-5-2026- 7 الصباح - فورد ايكو سبورت ابيض - اللوحه د س ق 6839 - تم التواصل والاعتذار</t>
  </si>
  <si>
    <t>يسال ليه العمال مقفلين المحطة ويتاخرون</t>
  </si>
  <si>
    <t>تمت افادته تبديل شفتات او تفريغ وشكرنا</t>
  </si>
  <si>
    <t>وليد الشهري</t>
  </si>
  <si>
    <t xml:space="preserve">مقهى - لا يوجد فروع - عنده كذا فكرة لمقهى يرغب بساحة درب </t>
  </si>
  <si>
    <t>تحويله لعبدالعزيز</t>
  </si>
  <si>
    <t xml:space="preserve">تعبئة في جالون </t>
  </si>
  <si>
    <t>تمت افادته بتعبئة في جالون متخصص</t>
  </si>
  <si>
    <t>تركي العليان</t>
  </si>
  <si>
    <t xml:space="preserve">محطة  - مطل على 3 شوارع رئيسة  - 4200م </t>
  </si>
  <si>
    <t xml:space="preserve">خدمات السيارات - عنده فرعين - الوكيل ولا شريك العميل يفيد الطلب قبل سنتين وغير مهتم اذا في مجال تواصلو معاي </t>
  </si>
  <si>
    <t>خالد العكاشي</t>
  </si>
  <si>
    <t xml:space="preserve">شركة ريمار العقارية - عندهم مشروع يطورونه على طريق الرياض للدمام ومن ضمن المشروع محطة ويبو شركة تشغل المحطة وهو انبهر من موقعنا الالكتروني ومتحمس نشغله المحطة ويبي يرسل الدعوى اليوم ياليت خلال نصف ساعه </t>
  </si>
  <si>
    <t>تم الارسال لاستاذة امل على الواتس اب</t>
  </si>
  <si>
    <t>ماركت- ميد - ٣٠٠ فرع
استفسار عن ايجار في محطه طريق الملك</t>
  </si>
  <si>
    <t>عواض مصلح الحارثي</t>
  </si>
  <si>
    <t xml:space="preserve"> حسين محمود</t>
  </si>
  <si>
    <r>
      <rPr>
        <rFont val="Calibri"/>
        <b/>
        <color rgb="FF434343"/>
        <sz val="10.0"/>
      </rPr>
      <t xml:space="preserve">محطه صعبر
2026/5/4
السلام عليكم ورحمة
انا شتغلت في المحطه الي عل خط السريع رابغ جده مع المهندس أحمد عبدالعزيز
تم تنفيذ اشغل في تاريخ 2026/1/20
باقي لي دفع من الحساب ولاكن المهندس ماطل في الحساب َ وغير متجاوب
برغم انني اشتغلت مع بل يوم يجار بوكلين رجو من مسؤلين محطه الدرب يشوف لنا حل مع المهندس المبلغ الباقي له مايقارب 4 شهور والمهندس احمد عبدالعزيز 558843427 مطنش الموضوع وحضرني من الوتس ما يرد على لاتصال
</t>
    </r>
    <r>
      <rPr>
        <rFont val="Calibri"/>
        <b/>
        <color rgb="FF1155CC"/>
        <sz val="10.0"/>
        <u/>
      </rPr>
      <t>https://maps.app.goo.gl/CD2i2JR7ATvTphXQA?g_st=awb</t>
    </r>
    <r>
      <rPr>
        <rFont val="Calibri"/>
        <b/>
        <color rgb="FF434343"/>
        <sz val="10.0"/>
      </rPr>
      <t xml:space="preserve">  </t>
    </r>
    <r>
      <rPr>
        <rFont val="Calibri"/>
        <b/>
        <color rgb="FFFF9900"/>
        <sz val="10.0"/>
      </rPr>
      <t xml:space="preserve"> - تم التواصل وافادة العميل </t>
    </r>
  </si>
  <si>
    <t xml:space="preserve">كشك مقهى - كان عنده كذا براند ويبغى يفتح براند جديد ويبغى في محطة درب </t>
  </si>
  <si>
    <t xml:space="preserve">رابغ </t>
  </si>
  <si>
    <t>بمساحة 2000م - المالك</t>
  </si>
  <si>
    <t xml:space="preserve">افاد م.وائل :لا يوجد تعاقد مع شركة درب ودرب فقط مشغلة المحطه والمشكلة داخليه بينه وبين المالك السلمي وافاد السلمي ان تم اغلاق الموضوع معاه ومشكلة داخليه بينهم </t>
  </si>
  <si>
    <t xml:space="preserve">ياسر الدوسري </t>
  </si>
  <si>
    <t xml:space="preserve">علي </t>
  </si>
  <si>
    <t>دوراة المياه والمسجد غير نظيفة ابدا</t>
  </si>
  <si>
    <t>غادة القرشي</t>
  </si>
  <si>
    <t>تم إخطار مدير المحطة وتم التأكيد على ضرورة مراقبة النظافة لمنع تكرار الملاحظة</t>
  </si>
  <si>
    <t xml:space="preserve">سيارة اب </t>
  </si>
  <si>
    <t>تم تزويدها برقم المسؤول</t>
  </si>
  <si>
    <t xml:space="preserve">عبدالله بن مسعود ال بلال </t>
  </si>
  <si>
    <t>وصف الاستثمار / ( أرض )  المساحة:10000
الموقع:طريق الرياض نجران - منفذ اليمن - مثلث سلطانه  لها رخصة بناء محطة: عليها رخصة محطه جاهزه للبناء</t>
  </si>
  <si>
    <t>T</t>
  </si>
  <si>
    <t>Numbers</t>
  </si>
  <si>
    <t>وعد</t>
  </si>
  <si>
    <t xml:space="preserve"> MK014</t>
  </si>
  <si>
    <t>في حمامين مافيهم قفل</t>
  </si>
  <si>
    <t>عبداللطيف القحطاني</t>
  </si>
  <si>
    <t xml:space="preserve">Evaluation </t>
  </si>
  <si>
    <t>تم التواصل مع مدير المحطة وتم التنويه على ضرورة رفع اعمال الصيانة على السستم ومتابعة المرافق</t>
  </si>
  <si>
    <t>عزام الوني</t>
  </si>
  <si>
    <t>كيلون الباب</t>
  </si>
  <si>
    <r>
      <rPr>
        <rFont val="Calibri"/>
        <b/>
        <color rgb="FF131825"/>
        <sz val="9.0"/>
      </rPr>
      <t>جيت المحطة رفض العامل يعبي لي جلست واقف فتره طويله هايلوكس 2013 بيضه - العميل رفض يزودنا ببيانات المركبة وافاد انتبهوا لعمالكم تراكم شركة زينة  يوم 5-26 الساعه 1:50م  -</t>
    </r>
    <r>
      <rPr>
        <rFont val="Calibri"/>
        <b/>
        <color theme="8"/>
        <sz val="9.0"/>
      </rPr>
      <t xml:space="preserve"> تم الاعتذار منه</t>
    </r>
  </si>
  <si>
    <t xml:space="preserve">يرغب بالتبرع لبناء مسجد في محطة الخبر
</t>
  </si>
  <si>
    <t>تم رفع الملاحظة لإدارة المحطة للتأكيد على أهمية سرعة خدمة العملاء وعدم رفض تقديم الخدمة والالتزام بحسن التعامل مع جميع الزوار</t>
  </si>
  <si>
    <t>ارسال ايميل الى م.وائل</t>
  </si>
  <si>
    <t>سياسة العامل مسؤول عن مضخته</t>
  </si>
  <si>
    <t xml:space="preserve">خلال 2-5 ايام عمل </t>
  </si>
  <si>
    <t>suggestion</t>
  </si>
  <si>
    <t xml:space="preserve"> MK046</t>
  </si>
  <si>
    <t>الفرش والمصلى ريحته مو كويسه ياليت تهتمو فيه اكثر وبنظافته</t>
  </si>
  <si>
    <t xml:space="preserve">ايلاف حازم </t>
  </si>
  <si>
    <t xml:space="preserve">تم التنويه على ضرورة متابعة المياه في الخزانات </t>
  </si>
  <si>
    <t xml:space="preserve">حامد سعد سالم </t>
  </si>
  <si>
    <t>طارق الشهراني</t>
  </si>
  <si>
    <t xml:space="preserve">افتحو هاف مليون </t>
  </si>
  <si>
    <t>القطيف</t>
  </si>
  <si>
    <t xml:space="preserve">درايف ثرو - اول فرع </t>
  </si>
  <si>
    <t>اقتراح</t>
  </si>
  <si>
    <t xml:space="preserve"> Saad</t>
  </si>
  <si>
    <t xml:space="preserve"> MK002</t>
  </si>
  <si>
    <t>الحمام منظم الشكل حلو لما تدخل تنبسط بالشكل الخارجي لكن الصبانة مافيها صابون الريحة مو حلوة فيه كم منديل مرمي بالحمام فيه اللي ينشف اليد بس مايشتغل اتمنى تخلوا الانطباع الاول والاخير ممتاز</t>
  </si>
  <si>
    <t>تم ابلاغ مدير المحطة و وتم التنويه على متابعة التعبئة من قبل موظف النظافة وادرة مخزون ادوات النظافة</t>
  </si>
  <si>
    <t xml:space="preserve">المغسلة الي في الشرايع مخطط 7 سيئة وموقعها مو في قوقل ماب العامل مستفز ما يمسح بسرعه السيارة تصبصب مويا لمن نشفت جا مسخها وجرح البودي وماني عارف ايش اسمها ملصقين ستيكر درب الصيانة شوفو لنا حل </t>
  </si>
  <si>
    <t>تم توجيه العميل الى رفع الشكوى للشريك المستاجر</t>
  </si>
  <si>
    <t xml:space="preserve">عبدالرحمن العتيبي </t>
  </si>
  <si>
    <t xml:space="preserve">عنده محطة في مكة النوريه ببي الفرانشايز مستثمر </t>
  </si>
  <si>
    <t xml:space="preserve">يرغب في عرض أرض واستثمار محطة او شرائها </t>
  </si>
  <si>
    <r>
      <rPr>
        <rFont val="Calibri"/>
        <b/>
        <color rgb="FF131825"/>
        <sz val="9.0"/>
      </rPr>
      <t>يعني عرفة والناس صايمه ونايمه وهذول بالمحطة ازعاج مدري ايش قاعدين يقصو بمكينة نكلمهم انه يزعجنا ولا كانه   
9:40 ص 5-26 -</t>
    </r>
    <r>
      <rPr>
        <rFont val="Calibri"/>
        <b/>
        <color rgb="FFFF6D01"/>
        <sz val="9.0"/>
      </rPr>
      <t xml:space="preserve"> تم الااعتذار منه </t>
    </r>
  </si>
  <si>
    <t>بندر سعيد آل حويل</t>
  </si>
  <si>
    <t>2026-01-27 06:53:05 PM UTC+03:00</t>
  </si>
  <si>
    <t>: عرض فرصة استثمارية لتطوير وتشغيل محطة محروقات على طريق الرياض – الطائف يقع الموقع على طريق الرياض – الطائف السريع، على بعد حوالي 250 كيلومترًا من مدينة الرياض باتجاه الطائف، بمساحة إجمالية تبلغ (10,600م²)، وفي موقع استراتيجي يخدم الحركة المستمرة للمسافرين وقطاع النقل على مدار العام. موقع حيوي ومميز على طريق رئيسي يشهد كثافة مرورية عالية. مساحة مناسبة لتطوير محطة متكاملة وفق أحدث المعايير التشغيلية والاستثمارية. رخصة البناء والمخططات الهندسية مكتملة وجاهزة للتنفيذ الفوري.  جاهزية الموقع للبدء في أعمال التطوير دون معوقات تنظيمية. إمكانية استثمار الموقع في أنشطة متعددة تشمل خدمات الوقود والتجزئة والمطاعم والخدمات المساندة للمسافرين. كما أود الإشارة إلى ميزة إضافية مهمة للمشروع، حيث تم التواصل مع الجهة المشرفة على مساجد الطرق، وتمت الإفادة بوجود فاعل خير لديه الرغبة في تبني وتمويل إنشاء مسجد الموقع، الأمر الذي يمثل قيمة مضافة للمشروع ويسهم في تعزيز الخدمات المقدمة لمرتادي الطريق، إضافة إلى تخفيف جزء من تكاليف التطوير والإنشاء على المستثمر. وبناءً على ما سبق، أرغب في تأجير الموقع لشركتكم الموقرة بعقد استثماري طويل الأجل، على أن تتولى شركة أبسكو أعمال التطوير والإنشاء والتجهيز والتشغيل على نفقتها، بما يحقق عائدًا استثماريًا مجزيًا للطرفين، ويسهم في تعزيز حضور علامتكم التجارية على هذا المحور الحيوي المهم. إن هذا الموقع يمثل فرصة استثمارية حقيقية ونادرة، حيث يجمع بين الموقع الاستراتيجي، وجاهزية التراخيص والمخططات، وإمكانية التطوير الفوري، إضافة إلى توفر مقومات النجاح والتوسع المستقبلي، مما يجعله خيارًا مثاليًا للاستثمار والتشغيل طويل الأجل. يسعدني تزويدكم بكافة المستندات والتراخيص والمخططات وإحداثيات الموقع، كما أرحب بترتيب زيارة ميدانية للاطلاع عليه ومناقشة فرص التعاون بين الطرفين.</t>
  </si>
  <si>
    <t>الية التقدم على الوظائف</t>
  </si>
  <si>
    <t>أكاديمية درب الأبطال لكرة القدم</t>
  </si>
  <si>
    <t>السادة / شركة درب الوقود المحدودة السلام عليكم ورحمة الله وبركاته،،، يسرنا في أكاديمية درب الأبطال لكرة القدم أن نتقدم لكم بخالص التحية والتقدير، معبرين عن إعجابنا بما تقدمه شركتكم من حضور مميز ودور فعّال في دعم المجتمع والقطاع الرياضي والشبابي. ونظرًا لما تمثله الرياضة من رسالة تربوية وتنموية مهمة، نتطلع إلى بناء شراكة استراتيجية مثمرة مع شركتكم الكريمة، تبدأ برعاية رسمية للأكاديمية من خلال وضع شعار شركة درب الوقود المحدودة على تيشيرتات وملابس الأكاديمية الرياضية، بما يعكس دعمكم للمواهب الناشئة والفئات العمرية المختلفة. كما نطمح مستقبلاً إلى توسيع نطاق التعاون بيننا عبر إنشاء منشأة رياضية متكاملة تحمل اسم شركتكم، لتكون صرحًا رياضيًا يخدم المجتمع ويهتم بتنمية الشباب والبنات في مختلف الفئات العمرية، وفق رؤية رياضية وتطويرية طموحة. ويسعدنا ترتيب اجتماع مع إدارتكم الكريمة لعرض الملف التعريفي الكامل لأكاديمية درب الأبطال، واستعراض أهدافنا وخططنا المستقبلية، وايضًا يكون لنا فروع على مستوى المملكة باختيار ثلاث مدن يكون العمل فيها وبحث أوجه التعاون والشراكة بما يحقق الفائدة المشتركة للطرفين بإذن الله. شاكرين لكم وقتكم واهتمامكم، ونتطلع إلى فرصة التعاون معكم قريبًا. وتفضلوا بقبول فائق الاحترام والتقدير،،، للتواصل:  ايميل : heroespathacademy@gmail.com إليكم مرفق تصويري لشعار شركتكم على تيشيرتات الاكاديمية</t>
  </si>
  <si>
    <t>حمد الثبيتي</t>
  </si>
  <si>
    <t>جيت ووقفت بالمحطة وقلت للعامل عبي ب10 التفت لقيت العداد ما عبى ويقول عبيت لك ب20 قلت انا قلت لك عبي ب10 ! قال خلاص ادفع 10  وقت الاتصال  8:49 - العميل نادا الدورية وعبوا له لكن يبي اجراء مع العامل  - سوزوكي ابيض (أ ص أ - 9363) - المسار الخارجي - بنزين 91</t>
  </si>
  <si>
    <t xml:space="preserve">تم ابلاغ مدير المحطة ومدير المنطقة لمراجعة الكامرات واتخاذ اجراء مع العامل بتوجيه انذار كتابي له </t>
  </si>
  <si>
    <t>يحيى محمد عسيري</t>
  </si>
  <si>
    <t>سلمان الزهراني</t>
  </si>
  <si>
    <r>
      <rPr>
        <rFont val="Calibri"/>
        <b/>
        <color rgb="FF131825"/>
        <sz val="9.0"/>
      </rPr>
      <t xml:space="preserve">شكواي على عامل المحطه حيث قام بالرفض وعدم تعبئة سيارتي بالوقود وطلب مني التحرك من مساري وتغيير مكاني والانتقال الى حيث هو واقف وقبل ذلك بعد مادقيت بوري (المنبه) وقام بتطنيشي مايقارب 4 دقايق مع العلم انه لايوجد سيارات في اي مسار
محطة درب في  بتاريخ 1447/12/5 الساعه 2:45ص سيارتي تويوتا فورشنر 2022 - احب اكدلك اني لم اعبي بنزين من تلك المحطه وتوجهت الى محطة ساسكو لحسن تعامل العاملين فيها مع ان محطة الدرب في طريقي  </t>
    </r>
    <r>
      <rPr>
        <rFont val="Calibri"/>
        <b/>
        <color rgb="FFFF6D01"/>
        <sz val="9.0"/>
      </rPr>
      <t>تم  اغلاق الشكوى والاعتذار من العميل وسيتم اتخاذ اجراء مع العمال</t>
    </r>
  </si>
  <si>
    <t>حسابي 115 واعطيتو 200 يقول لا انت بس اعطيتني 100 الساعه 9:17 ص  ابغا تتاكدو من الكاميرات انا عطيته 100 بس؟ - 3702 - ب أ ب ) ابيض فان - بنزين اخضر المسار الداخلي قبل البقالة مقابل بون  - تم التواصل وابلاغه بالمبلغ الي تم تسليمه 100 ريال شكرنا على التجاوب</t>
  </si>
  <si>
    <t xml:space="preserve">م التنبيه على مشرف المحطة بمتابعة أداء العاملين والتأكد من الالتزام بمعايير خدمة العملاء المعتمدة واتخاذ الإجراءات اللازمة لمنع تكرار مثل هذه الملاحظات مستقبلاً كما  افاد انه تم التأكيد على جميع العاملين بضرورة سرعة الاستجابة للعملاء وتقديم الخدمة في المسار الذي يتوقف فيه العميل </t>
  </si>
  <si>
    <t>جبران</t>
  </si>
  <si>
    <t>ارجو التواصل معي حيث ان لدي عدة محطات ولدينا رغبة فالتعامل معكم.. وشكرا</t>
  </si>
  <si>
    <t>ايوب</t>
  </si>
  <si>
    <t xml:space="preserve">افاد ما اتصلت </t>
  </si>
  <si>
    <t>علي حسين</t>
  </si>
  <si>
    <t xml:space="preserve">اول فرع خدمات سيارات </t>
  </si>
  <si>
    <t xml:space="preserve">محل - القريات الذاتية اكثر من فرع </t>
  </si>
  <si>
    <t>المضخات خربانه بعد العصر ثاني مره مخطط الوسام  - 5-26</t>
  </si>
  <si>
    <t xml:space="preserve">تم التحقق من بلاغات المحطة عن طريق نظام الصيانة ولا يوجد بلاغ 
تم التواصل مع مدير المحطة وافاد لا يوجد اعطال في المضخات </t>
  </si>
  <si>
    <t xml:space="preserve">استفسار عن موعد افتتاح محطة  - لم يتم الرد </t>
  </si>
  <si>
    <t>Urgent</t>
  </si>
  <si>
    <t xml:space="preserve">Oudy </t>
  </si>
  <si>
    <t>احمد عقيل</t>
  </si>
  <si>
    <t>HPCC - يرغب في معرفة تفاصيل سيارة اب</t>
  </si>
  <si>
    <r>
      <rPr>
        <rFont val="Calibri"/>
        <color rgb="FF131825"/>
        <sz val="9.0"/>
      </rPr>
      <t>2026-06-27 08:55:50 AM UTC+03:00  - قلت للعامل عبي لتر ويقول ما اعرف وهو قبل كم يوم معبي لي  ‏النترا 2017 (ح ي ح - ٨٣٢٢)  -</t>
    </r>
    <r>
      <rPr>
        <rFont val="Calibri"/>
        <color rgb="FFFF6D01"/>
        <sz val="9.0"/>
      </rPr>
      <t xml:space="preserve"> تم التواصل والاعتذر وافاد هو دايم يأخرني ويقول ما اعرف بعدين يعرف ويعبي  </t>
    </r>
  </si>
  <si>
    <t>تم توجيه مدير المحطة لتوجيه العامل وإعادة التأكيد عليه  بما في ذلك التعبئة بأي سعر كان  وتقديم الخدمة للعملاء دون تأخير</t>
  </si>
  <si>
    <t>عبدالله البيشي</t>
  </si>
  <si>
    <r>
      <rPr>
        <rFont val="Calibri"/>
        <b/>
        <color rgb="FF131825"/>
        <sz val="9.0"/>
      </rPr>
      <t xml:space="preserve">الطائف السيل الصغير محطة درب طريق السيل مكان محطة عاصفة الصحراء يوم الأربعاء ١٠ ذوالحجه ١٤٤٧ الساعة ١١:٥٠ الشكوى : رفض التعبئه و رفع الصوت في وجهي و هذي دائم التكرار في هذي المحطه لدرجه صار الواحد يدور أي محطه بديله - سيارة سودة (ر ط ن)  - </t>
    </r>
    <r>
      <rPr>
        <rFont val="Calibri"/>
        <b/>
        <color theme="8"/>
        <sz val="9.0"/>
      </rPr>
      <t xml:space="preserve"> تم الاعتذار وانه سيتم اتخاذ اجراء مع العامل لتحسين الخدمة</t>
    </r>
  </si>
  <si>
    <t>تم التنبيه على مشرف المحطة بمتابعة أداء العاملين بشكل مستمر ومعالجة أي ملاحظات تتعلق بأسلوب التعامل مع العملاء</t>
  </si>
  <si>
    <t>احمد الاحمدي</t>
  </si>
  <si>
    <t xml:space="preserve">2026-06-27 09:32:49 AM UTC+03:00 - احمر بدال اخضر نبهوا عمالكم ما يبي يرفع شكوى لكن لو حصل شي بيرجع للمحطة </t>
  </si>
  <si>
    <t xml:space="preserve">فيصل الزايدي </t>
  </si>
  <si>
    <t>شاكر الحربي</t>
  </si>
  <si>
    <t>العامل رافض يعبي لي قلت له عبي ب30 ونص قال يا 30 يا 31 انا بدفع شبكة  وقت الاتصال 11:49ص 1-28</t>
  </si>
  <si>
    <t>تم ابلاغ مدير المحطة بالتنبيه على  العمال بعدم اثاره استياء اي عميل وان يقوموا بخدمته بالوجه المطلوب وبأي مبلغ يرغب به العمي قل او كثر</t>
  </si>
  <si>
    <t>MD009</t>
  </si>
  <si>
    <r>
      <rPr>
        <rFont val="Calibri"/>
        <color rgb="FF131825"/>
        <sz val="9.0"/>
      </rPr>
      <t xml:space="preserve">2026-06-27 11:27:37 AM UTC+03:00  - العامل يمسك الجوال وهو يقدم الخدمة ولابس سماعه معليش انتم حاطين ملصقات انه ممنوع وتفاصيل وعمالكم مو ملتزمين ثاني مره وكل مره اجي اساله عن اسمه يقولي اسم ثاني - </t>
    </r>
    <r>
      <rPr>
        <rFont val="Calibri"/>
        <color rgb="FFFF9900"/>
        <sz val="9.0"/>
      </rPr>
      <t>تم محاولة التواصل ولا يوجد رد</t>
    </r>
  </si>
  <si>
    <t xml:space="preserve">العمال جدد - لايعرفون العربيه - وهنن عم يتدربوا لسا
</t>
  </si>
  <si>
    <t>Bashaer Alkhattabi</t>
  </si>
  <si>
    <t>ورشة ميكانيكا
مكة
كم سعر المساحات التأجيريه في محطة درب العمرة الجديدة ( النواريه)</t>
  </si>
  <si>
    <t>2026-06-27 12:12:13 PM UTC+03:00 - لم يتم الرد</t>
  </si>
  <si>
    <t>معاذ الاسدي</t>
  </si>
  <si>
    <t xml:space="preserve">لا يملكون اسلوب التعامل
</t>
  </si>
  <si>
    <t xml:space="preserve">تم ابلاغ مدير المنطقة لزيادة التدريب والتنبيه على حسن التعامل مع العميل </t>
  </si>
  <si>
    <t>عبدالعزيز بغدادي</t>
  </si>
  <si>
    <t>عمر عبدالقادر</t>
  </si>
  <si>
    <t>محل - اوفرع</t>
  </si>
  <si>
    <t xml:space="preserve">المطور كنوز - مغسلة </t>
  </si>
  <si>
    <t>2026-06-27 03:41:32 PM UTC+03:00 - لم يتم الرد</t>
  </si>
  <si>
    <t xml:space="preserve">خليفه العنزي </t>
  </si>
  <si>
    <t>عرعر</t>
  </si>
  <si>
    <t xml:space="preserve">لديه محطة وارض مسوق يرغب في التفاوض </t>
  </si>
  <si>
    <t>2026-06-27 07:04:05 PM UTC+03:00 - لم يتم الرد</t>
  </si>
  <si>
    <t xml:space="preserve">استفسار عن الجركل </t>
  </si>
  <si>
    <t>تم التواصل مع العامل ولايجيد العربية او الانقليزية لمساعدة العميل فانقطع الاتصال</t>
  </si>
  <si>
    <t>احنا شركة الحلول المستدامة للتدريب والتأهيل اطلقنا برنامج التاهيل المتكامل لمحطات الوقود حابين نقدم خدماتنا</t>
  </si>
  <si>
    <t xml:space="preserve">استفسار عن رقم الواتس </t>
  </si>
  <si>
    <t>فيصل القرشي</t>
  </si>
  <si>
    <t xml:space="preserve"> عبدالرب الكبدي</t>
  </si>
  <si>
    <t>النشاط التجاري: خدمة تبديل زيوت اسم العلامة التجارية: الزيت الذهبي عدد الفروع: 27</t>
  </si>
  <si>
    <t>ابراهيم احمد</t>
  </si>
  <si>
    <t xml:space="preserve">تواصلت معكم عندي عقد امتياز تواصلت مع دكتور حاتم وقال ابشر  ومعد رد </t>
  </si>
  <si>
    <t>تمت افادته بانها اجازة العيد وشكرنا وقال لا ترفعون طلب بتواصل معاه بعد العيد</t>
  </si>
  <si>
    <t xml:space="preserve">استفسار عن موعد افتتاح المحطة احد المسارحة </t>
  </si>
  <si>
    <t xml:space="preserve">تمت افادته سيتم الاعلان عنها في منصات التواصل </t>
  </si>
  <si>
    <t>عبدالله الطلحي</t>
  </si>
  <si>
    <t xml:space="preserve"> عبدالله القحطاني</t>
  </si>
  <si>
    <t>النشاط التجاري: باسل اسم العلامة التجارية: باسل فود عدد الفروع: ٣ فروع المدينة: الخميس مشيط تفاصيل استفسارك: استأجار وحدة احتاج رقم لتواصل المباشر مع المستثمر النشاط مغسلة سيارات كنشاط جديد واضافي لشركتنا كم قيمة الإيجـار وهل هناك مساحة او تم تأجيرها ..</t>
  </si>
  <si>
    <t xml:space="preserve">أرض على شارع مميز - وكيل </t>
  </si>
  <si>
    <t xml:space="preserve"> فيصل الوافي</t>
  </si>
  <si>
    <t xml:space="preserve"> ارض المساحه ٣٠٠٠ مكة شارع الحج قريب من مدخل الدايري الثالث نعم لها رخصه بناء ارض قابله للايجار</t>
  </si>
  <si>
    <t xml:space="preserve">خالد الفقيه </t>
  </si>
  <si>
    <t xml:space="preserve">جابر حسن احمد </t>
  </si>
  <si>
    <t>محل بنشر سيارات متكامل - لايوجد إلى الان جديد باقي - لايوجد فروع- مالك</t>
  </si>
  <si>
    <r>
      <rPr>
        <rFont val="Calibri"/>
        <b/>
        <color rgb="FF131825"/>
        <sz val="9.0"/>
      </rPr>
      <t xml:space="preserve">محايل عسير  العامل رفض فال تعال  ٢:٤٥ د هالوكس ٢٠١٤  (٦٧٥٩ - أ ي و )  واحد مطوع والثاني لا هو هدا المسار داخلي  - </t>
    </r>
    <r>
      <rPr>
        <rFont val="Calibri"/>
        <b/>
        <color theme="8"/>
        <sz val="9.0"/>
      </rPr>
      <t>تم الاعتذار من لعميل وسيتم مراجعة الكميرات واتخاذ اجراء</t>
    </r>
  </si>
  <si>
    <t>تم التأكيد علىمدي المحطة بتنبه العمال بضرورة خدمة العملاء في المسارات المخصصة لهم وعدم توجيههم إلى مسارات أخرى إلا عند وجود سبب تشغيلي يستدعي ذلك مع توضيح السبب للعميل بأسلوب مهني ولائق</t>
  </si>
  <si>
    <r>
      <rPr>
        <rFont val="Calibri"/>
        <color rgb="FF131825"/>
        <sz val="9.0"/>
      </rPr>
      <t xml:space="preserve">المدينة: احد المسارحة المحطة: درب التاريخ: ٢٦-٦-٢٠٢٦ الوقت : 21:27 شكوى/اقتراح: جدية العامل منخفضة راجعو الكاميرات وبتشوفون المنطقة فيها شح محطات لكن هذا التعامل بيخلينا عادي نروح محطات ثانية - </t>
    </r>
    <r>
      <rPr>
        <rFont val="Calibri"/>
        <color rgb="FFFF6D01"/>
        <sz val="9.0"/>
      </rPr>
      <t>لم يتم الرد</t>
    </r>
  </si>
  <si>
    <t xml:space="preserve">تم تبيه العمال والمشرف وسيتم تصعيد الموضوع للمستثمر
</t>
  </si>
  <si>
    <t xml:space="preserve">فواز اليزيني </t>
  </si>
  <si>
    <t>شركة الي ناجي - استاجار محل درب جدة</t>
  </si>
  <si>
    <t xml:space="preserve">شهد
</t>
  </si>
  <si>
    <t>هل فاتحين محطتكم فرع احد المسارحه</t>
  </si>
  <si>
    <t>مجموعة عسق الجزيرة العقارية - لديهم أرضين واحده عليها رخصة بناء محطة</t>
  </si>
  <si>
    <t xml:space="preserve">م . محمد ابو يوسف </t>
  </si>
  <si>
    <t>ممكن جدول الرحلات من حائل الى المدينه المنوره</t>
  </si>
  <si>
    <t>ابو عارف</t>
  </si>
  <si>
    <t>فواز جرمان العسيري</t>
  </si>
  <si>
    <t>عندي محطة ومجمع تجاري واوريد من شركة درب تشغيله  - فرنشايز</t>
  </si>
  <si>
    <t>ماجد المالكي</t>
  </si>
  <si>
    <t xml:space="preserve">كشك  - اكثر من فرع اسبريسو </t>
  </si>
  <si>
    <t>السلام عليكم ورحمة الله وبركاته
تقبل الله منا ومنكم صالح الأعمال
وعيدكم مبارك وكل عام وأنتم بخير سلام وتحيه للشيخ المالكي وابعث له المعايده التاليه لان رقم جواله غير متوفر عندي</t>
  </si>
  <si>
    <t>يبغى رقم السجل التجاري لرفع شكوى</t>
  </si>
  <si>
    <t>أبوفرح</t>
  </si>
  <si>
    <r>
      <rPr>
        <rFont val="Calibri"/>
        <color rgb="FF131825"/>
        <sz val="9.0"/>
      </rPr>
      <t xml:space="preserve">🔥 السعر صيدة 🔥 30 مليون مليون ﷼ صافي اخلصها*أرض خام مميزة جدا على طريق الليث جنوب جدة مقابل معارض السيارات الجديد ▪️مساحة 108 آلاف ▪️3 شوارع (120+52+32م) ▪️واجهة تجارية 415م▪️موقع جبار لعمل محطة بنزين دولية ▪️صك تجاري حديث وقرار مساحي .
</t>
    </r>
    <r>
      <rPr>
        <rFont val="Calibri"/>
        <color rgb="FF1155CC"/>
        <sz val="9.0"/>
        <u/>
      </rPr>
      <t>https://maps.app.goo.gl/yR6D9ibv4UqKgMZK8?g_st=ac</t>
    </r>
  </si>
  <si>
    <t>مهند القرشي</t>
  </si>
  <si>
    <t>كشك - مغسلة</t>
  </si>
  <si>
    <t>استفسار عن التموينات - تربه</t>
  </si>
  <si>
    <t>منيرة</t>
  </si>
  <si>
    <t>رقم التوصيل</t>
  </si>
  <si>
    <t xml:space="preserve">محمد السحاري </t>
  </si>
  <si>
    <t xml:space="preserve">استفسار غير مكتمل ولم يتم الرد </t>
  </si>
  <si>
    <t xml:space="preserve">محل مغسلة سيارات </t>
  </si>
  <si>
    <t>استفسار غير مكتمل  - لم يتم الرد</t>
  </si>
  <si>
    <t xml:space="preserve">خدمات البنشر </t>
  </si>
  <si>
    <t>زاد النخبة مارت</t>
  </si>
  <si>
    <t>حاتم فهد عايد النفيعي</t>
  </si>
  <si>
    <t>سوبر ماركت - 3 - وكيل</t>
  </si>
  <si>
    <t xml:space="preserve">عبدالله سعيد </t>
  </si>
  <si>
    <t>خيبر</t>
  </si>
  <si>
    <t xml:space="preserve"> تدريب تمهير</t>
  </si>
  <si>
    <t xml:space="preserve">ليش مافيه بفرع دومة الجندل
</t>
  </si>
  <si>
    <t>هل يوجد موقع نطلب منه</t>
  </si>
  <si>
    <t xml:space="preserve">العمال ما اعطوه جاو التامين </t>
  </si>
  <si>
    <t>تم التواصل مع العامل واعطاه الجالون وانحلت المشكلة</t>
  </si>
  <si>
    <t xml:space="preserve"> له يوجد لديكم اشتراكات شهري الوقود</t>
  </si>
  <si>
    <t xml:space="preserve">نايف الزهراني 
</t>
  </si>
  <si>
    <t>غ</t>
  </si>
  <si>
    <t>السلام عليكم ورحمة الله وبركاته أريد الاستفسار عن فرص تمهير باسم خدمة عملاء، متى سيتم القبول؟</t>
  </si>
  <si>
    <t xml:space="preserve"> احمد محمد علي</t>
  </si>
  <si>
    <r>
      <rPr>
        <rFont val="Calibri"/>
        <b/>
        <color rgb="FF131825"/>
        <sz val="9.0"/>
      </rPr>
      <t xml:space="preserve">العمال يقولون حنا نسوي حسابات والبنزين فيه علماً اني طلبت منهم يعبون لي سيارتي وعيو وانا مستعجل ابغى اعبي ومشي مسافر. ياليت تشوفون حل لذا الموضوع. . 00:00:21 Thursday, May 21, 2026 - </t>
    </r>
    <r>
      <rPr>
        <rFont val="Calibri"/>
        <b/>
        <color theme="8"/>
        <sz val="9.0"/>
      </rPr>
      <t xml:space="preserve">تم التواصل والاعتذار سيتم تنبيه العمال لتسريع تقديم الخدمة </t>
    </r>
  </si>
  <si>
    <t>تم ابلاغ مدير المحطة ان يزيد الحرص على تقديم الخدمة بأسرع وقت ممكن وإبلاغ العملاء بأي تأخير بشكل مهني ولائق</t>
  </si>
  <si>
    <t>السلام عليكم ورحمة الله وبركاته عندكم وظائف كاشير هذي سيرتي الذاتيه الاسم:تركي  رقم الجوال: 0550792672 المدينه:الطائف الجنسيه:سعودي
نبذه قصيره عني: متخرج طموح أسعى لاكتساب الخبرة وتطوير مهاراتي، وأتميز بالالتزام وتحمل المسؤولية والعمل بروح الفريق المؤهل الدراسي:ثانويه عامه</t>
  </si>
  <si>
    <t>علي عسيري</t>
  </si>
  <si>
    <t xml:space="preserve"> ياليت يكون في اهتمام بالعمال اللي بالمحطة واللي بالسوبرماركت للأسف قليلين أدب ومافي اي احترام نظراتهم وكل مادخلنا السوبرماركت يدخلو ورانا صرنا نزعج منهم عامل الكوفي افضل منهم احترام وادب </t>
  </si>
  <si>
    <t>تم محاولة التواصل للاعتذار من العميلة ولم يتم الرد سيتم ارسال رسالة اعتذر عبر الواتس اب</t>
  </si>
  <si>
    <r>
      <rPr>
        <rFont val="Calibri"/>
        <b/>
        <color rgb="FF131825"/>
        <sz val="9.0"/>
      </rPr>
      <t>رفض العامل يعبي بنزين يقول تعال عندي انا. 19:20:29 Tuesday, May 19, 2026 - العميل كان في جزيزة مختلفة</t>
    </r>
    <r>
      <rPr>
        <rFont val="Calibri"/>
        <b/>
        <color rgb="FFFF6D01"/>
        <sz val="9.0"/>
      </rPr>
      <t xml:space="preserve"> تم الاعتذار واتخاذ اجرا لتحسين سلوك العمال لتوضيح السياسات</t>
    </r>
  </si>
  <si>
    <t>ياسر الحربي</t>
  </si>
  <si>
    <t>تمابلاغ مدير المحطة  بتوجيه العاملين بضرورة خدمة العملاء في المضخة المخصصة لهم وعدم مطالبة العميل بالانتقال بين المضخات إلا عند وجود سبب تشغيلي يستدعي ذلك مع توضيح السبب للعميل بشكل لائق</t>
  </si>
  <si>
    <t xml:space="preserve">محل - شاهي </t>
  </si>
  <si>
    <t>معاك عبدالله الملحان</t>
  </si>
  <si>
    <r>
      <rPr>
        <rFont val="Calibri"/>
        <color rgb="FF131825"/>
        <sz val="9.0"/>
      </rPr>
      <t xml:space="preserve">يوجد لدي موقع للايجار في محافظة بيشة
على مساحة 3000 متر مربع (امتداد 50 متر على الطريق الرئيسي و 60 الامتداد الداخلي) تقع في شارع الرياض بالقرب من مستشفى الملك عبدالله وجامعة بيشة والمحكمة العامة
وهذا هو موقعها على خرائط قوقل
</t>
    </r>
    <r>
      <rPr>
        <rFont val="Calibri"/>
        <color rgb="FF1155CC"/>
        <sz val="9.0"/>
        <u/>
      </rPr>
      <t>https://maps.app.goo.gl/XGQdBAhiJd8tP4vF7?gst=ic</t>
    </r>
  </si>
  <si>
    <t>بتال العتيبي</t>
  </si>
  <si>
    <t xml:space="preserve">أرض مرخصة </t>
  </si>
  <si>
    <r>
      <rPr>
        <rFont val="Calibri"/>
        <b/>
        <color rgb="FF131825"/>
        <sz val="9.0"/>
      </rPr>
      <t xml:space="preserve">عمالكم مافيهم حيل يعبون ولا فيهم حيل يشتغلون واذا عبيت ٣٠ حسبو ٢٨ ليه على كيفكم الشغله هي ؟ ثاني مره ونفس المشكله سلامات اذا على كذا قفو محطتكم وريحو روسنا مب لذي الدرجه ارحمونا ، كنتو افضل محطه صرتو ازق محطه معليش يعني . 10:46:13 Tuesday, May 19, 2026 - </t>
    </r>
    <r>
      <rPr>
        <rFont val="Calibri"/>
        <b/>
        <color rgb="FFFF6D01"/>
        <sz val="9.0"/>
      </rPr>
      <t xml:space="preserve">تم الاعتذار وسيتم رفعها للادارة لتحسين سرعة الخدمة  - مغلق </t>
    </r>
  </si>
  <si>
    <t>م توجيه مشرف المنطقة بمتابعة الأداء بشكل مستمر ومعالجة أي قصور قد يؤثر على تجربة العملاء ومراجعة الكامرات والتأكد من الشكوى  واتخاذ الإجراءات اللازمة لمنع تكرار مثل هذه الملاحظات مستقبلاً.</t>
  </si>
  <si>
    <t>سحب مبلغ زائد.</t>
  </si>
  <si>
    <t>روابي</t>
  </si>
  <si>
    <t>مهندس عبدالسلام القرني</t>
  </si>
  <si>
    <t>المحطة اللي بعد الشواجرة حمامات النساء وسخة جدا الغائط وانتم بكرامة في كل مكان والله 19:06:31 Monday, May 18, 2026</t>
  </si>
  <si>
    <t xml:space="preserve">شركة مقاولات آفاق النماء – قام المندوب محمد علي من قبل شركة درب  بزيارة ميدانية في مدينة رابغ، حيث اطلع على أعمالهم وقام بتصوير اعمالهم في محطات ساسكو ولتر  وافاد باهتمامه بالتعامل معاه بدون وسيلة تواصل يرغب بالتواصل او زيارة ميدانية للمقر </t>
  </si>
  <si>
    <t xml:space="preserve">تم التواصل مع مدير المحطة وشرح الملاحظة والتنويه على ضرورة متابعة المرافق </t>
  </si>
  <si>
    <t xml:space="preserve">تم ارسال ايميل </t>
  </si>
  <si>
    <t xml:space="preserve">كان عنده مشكلة وتم حلها من قبل مدير المحطة وما يبي يرفع بلاغ </t>
  </si>
  <si>
    <t>Madea</t>
  </si>
  <si>
    <t>الحمامات ريحه كريهه وصخه 01:15:01 Friday, June 26, 2026</t>
  </si>
  <si>
    <t xml:space="preserve">تم اخطار مدير المحطة وتم التنبيه على ضرورة المتابعة </t>
  </si>
  <si>
    <t>علي الشهري</t>
  </si>
  <si>
    <t>فهد طوهري</t>
  </si>
  <si>
    <r>
      <rPr>
        <rFont val="Calibri"/>
        <b/>
        <color rgb="FF434343"/>
        <sz val="10.0"/>
      </rPr>
      <t xml:space="preserve"> يوم الاحد 10/5/2026 الساعة 8:17 ص العمالة 2 موجودين بالمحطة ورفضو يعبون لي ديزل وللعلم يوجد ديزل ولا في مدير بالمحطه وانا مشيت وعندي شكوى عليهم - سيارة هايلوكس 2014 غمارتين - رقم اللوحة 8759</t>
    </r>
    <r>
      <rPr>
        <rFont val="Calibri"/>
        <b/>
        <color rgb="FFFF9900"/>
        <sz val="10.0"/>
      </rPr>
      <t xml:space="preserve">-تم محاولة الاتصال مرتين لا يوجد رد </t>
    </r>
  </si>
  <si>
    <t>م إبلاغ مديرالمنطقه  ومراجعة الحالة معه، مع التأكيد على معالجة أسباببها ورفع مستوى الخدمة وعدم تكرار ذلك مستقبلاً.</t>
  </si>
  <si>
    <t>الحمامات تحتاج متابعه كل ساعه الى نظافه كامله مع المتابعه منكم. 23:11:51 Friday, May 22, 2026</t>
  </si>
  <si>
    <t xml:space="preserve">تم التنويه وصادف  نهاية الشفت وتفقد العامل مكان اخر </t>
  </si>
  <si>
    <t>A . G</t>
  </si>
  <si>
    <t xml:space="preserve">استفسار عن خدمات الشريك </t>
  </si>
  <si>
    <t>لا يوجد صابون ولا مناديل في حمامات النساء -  23:31:18 Saturday, June 27, 2026</t>
  </si>
  <si>
    <t>مشكلة لوجستية في تأخر توريد الطلبات من المستودع إلى منطقة الطائف، لعدم اكتمال تغذية محطات مكة</t>
  </si>
  <si>
    <t xml:space="preserve"> لولو مبارك القناص</t>
  </si>
  <si>
    <t xml:space="preserve">  زينة-كار ارت لزينة السيارات  عدد الفروع: 1
اتشرف أن تكون علامتي التجارية في محطتكم الواقعة بالأحساء خط قطر وأن تكون نقطة انطلاقة لي مع محطة درب وأن أستأجر عدد من المحلات في حال ما زالت لم تستأجر 
</t>
  </si>
  <si>
    <t>مسافر</t>
  </si>
  <si>
    <t xml:space="preserve">عنده عمال </t>
  </si>
  <si>
    <r>
      <rPr>
        <rFont val="Calibri"/>
        <b/>
        <color rgb="FF131825"/>
        <sz val="9.0"/>
      </rPr>
      <t xml:space="preserve">العامل الساعه 3:10 ص يوم الثلاثاء وكانك تتعامل مع رحل عصابات يبحث عن المشاكل ومعي عائلتي لذلك السلوك الناتج واضح من ادارتكم 03:15:38 Tuesday, May 19, 2026 - </t>
    </r>
    <r>
      <rPr>
        <rFont val="Calibri"/>
        <b/>
        <color rgb="FFFF6D01"/>
        <sz val="9.0"/>
      </rPr>
      <t>لم يتم الرد</t>
    </r>
  </si>
  <si>
    <t>تم ابلاغ  مدير المنطقة  بمتابعة سلوك العاملين والتأكد من تقديم الخدمة بصورة تعكس معايير الشركة واتخاذ الإجراءات اللازمة بعد التأكد من  التصرف غير لائق الذي اثر على تجربة العملاء وسبب لهم الاستياء،</t>
  </si>
  <si>
    <t>ذياب سليمان الحربي</t>
  </si>
  <si>
    <t xml:space="preserve">يبي يستاجر محل وعنده 60 فرع ومايبي يزودنا بالتفاصيل </t>
  </si>
  <si>
    <t xml:space="preserve">محل - مغسلة </t>
  </si>
  <si>
    <t>امنيه ناصر</t>
  </si>
  <si>
    <t>موظفين - شركة امل</t>
  </si>
  <si>
    <t>RY201</t>
  </si>
  <si>
    <t xml:space="preserve">        السلام عليكم ورحمه الله بركاته
اولا اتمنى من القايمين على محطه درب الي في طنجه الاهتمام بالمسجد اكثر وتنظيفه قبل كل صلاه وتبخيره وتصليح المايك الخارجي لان اهم شي في المحطه المسجد اتمنى اهتمامكم بالمسجد اكثر وفقكم الله 18:57:47 Monday, May 25, 2026</t>
  </si>
  <si>
    <t>هل يوجد بنزين متنقل ؟</t>
  </si>
  <si>
    <t>تمت افادته حاليا غير متوفر</t>
  </si>
  <si>
    <t xml:space="preserve">2026-05-08 02:12:05 AM UTC+03:00 - لم يتم الرد </t>
  </si>
  <si>
    <t>Asmr</t>
  </si>
  <si>
    <t xml:space="preserve">سحب علي مرتين ف الأخير مو راضي يعبي بنزين
تم التحرير في السبت، 27 يونيو 2026 في 06:25 م
</t>
  </si>
  <si>
    <t>تم إبلاغ مدير المحطة  لمراجعة الكامرات وانذار العامل المتأخر على العميل مع ضرورة تسريع حركة العمل والعمل على التعبئة وفق الأولوية للوصول إلى أعلى معايير الخدمة</t>
  </si>
  <si>
    <t>بدر الودعاني</t>
  </si>
  <si>
    <t>abu sultan abu sultan</t>
  </si>
  <si>
    <t xml:space="preserve">يرغب في استأجار مساحة لنشاط مغسلة </t>
  </si>
  <si>
    <t xml:space="preserve">تجربة سيئة جداً. وانصح بعدم التعامل معهم عمال تعبئة الوقود بلا ذمة ولا ضمير.  وخدمة العملاء اسواء.    يضيعون حقك. بالتسويف والمماطلة.   لين تطفش.  مستغلين.  وجود المحطة على طريق. سفر.
حسبي الله ونعم الوكيل عليهم
تبي راحة بالك. لا تمرهم 👎🏻السبت، 27 يونيو 2026 في 12:59 م
</t>
  </si>
  <si>
    <t>للاسف محطة سيئة جدا وخدمات غير جيدة ومرافق غير جيذة  03:50:57 Thursday, May 28, 2026</t>
  </si>
  <si>
    <t xml:space="preserve">تم إبلاغ مدير المنطقة ومدير المحطة للشد على العمال والعمل على تسريع التجربة للعميل </t>
  </si>
  <si>
    <t>2026-05-08 04:43:02 AM UTC+03:00 - لم يتم الرد</t>
  </si>
  <si>
    <t xml:space="preserve">غلط العامل وعبو اخضرSunday, June 28, 2026  - 06:34:45 </t>
  </si>
  <si>
    <t>تم توجيه مدير  المحطة  للتنبيهه بضرورة التحقق من نوع البنزين المطلوب قبل البدء بالتعبئه وعمل انذار للعامل المتسبب</t>
  </si>
  <si>
    <t>الحمامات سيئة جدا ومو نظيفه ليش؟؟؟اوك في وحده رجعت بس المفروض تنغسل ولا يعني الساعه اربع الفجر عادي تكون وصخة؟؟؟ 04:06:34 Monday, May 18, 2026</t>
  </si>
  <si>
    <t xml:space="preserve">تم التنويه وتم توفير ادوات النظافة </t>
  </si>
  <si>
    <t xml:space="preserve">24 Hours </t>
  </si>
  <si>
    <t>2026-05-10 07:57:54 AM UTC+03:00 - مغلق</t>
  </si>
  <si>
    <t>عمال سي جدا
17:40:51 Friday, June 26, 2026</t>
  </si>
  <si>
    <t>Abdullah AL Zhrani</t>
  </si>
  <si>
    <t xml:space="preserve">        لا توجد مناديل في دورات المياه ويجب الاهتمام في نظافة فرش المسجد 12:47:29 Thursday, May 21, 2026</t>
  </si>
  <si>
    <t>عمار الحربي</t>
  </si>
  <si>
    <t>محطه فرع نعمان متجه على مكه
دورات المياه من الداخل اكرمكم الله وسخه ومن الخارج جهت المغاسل المواضي مستوى النضافه جيد
اتمنى تحسين النضافه داخل كل دوره مياه
اكرمكم الله
وشكرآ لكم انتم محطتي المفضله على اي طريق اتمنى دوم لكم النجاح 20:11:25 Thursday, June 25, 2026</t>
  </si>
  <si>
    <t>تم زيارة المحطة وتم التحقق من جميع المرافق وتم التنويه على ضرورة متابعة النظافة حيث لا يوجد عامل نظافة في المحطة ويتم دعم النظافة بعامل مضخه</t>
  </si>
  <si>
    <t xml:space="preserve">2026-05-09 01:37:13 AM UTC+03:00 - كانت لديه مشكلة في المحطو وتم حلها وشكرنا على الاهتمام </t>
  </si>
  <si>
    <t>افضل محطة كخدمات من المعيب عدم توفر صابون لليدين، لان الصابون الموجود في محطة درب طريق الهدا مخفف بالماء بكمية كبييرة لدرجة انعدام جدوى الصابون نفسه لا ينظف ولا له رغوة ولا شي 04:59:07 Friday, May 22, 2026</t>
  </si>
  <si>
    <t>لايوجد صابون في دوراة المياه وعند سؤال العامل ذكر انه الشركه ماوفرت   09:30:14 Thursday, June 25, 2026</t>
  </si>
  <si>
    <t xml:space="preserve">بعد التحقق من الطلب تبين لدينا ان مدير المحطة لم يرفع الطلب بشكل صحيح ولا زال لديه مسودة وتم التنويه على ذلك </t>
  </si>
  <si>
    <t xml:space="preserve">عبدالهادي </t>
  </si>
  <si>
    <t xml:space="preserve">ثاني مره اجي المحطة والعمال يقولو تفريغ انتظر 45د ونا في خط سفر وانتظر والان يقولي نص ساعه وبعد نص ساعه يقول 10 د واسلوبهم سيء وقت الاتصال 2:19:00 م -  فورد - فيراني (3003 - ب ق ن ) - المسار الداخلي </t>
  </si>
  <si>
    <t>عبدالله فقيه</t>
  </si>
  <si>
    <t xml:space="preserve"> أنس صالح التمراوي</t>
  </si>
  <si>
    <t>كراسي الحمام ماتتنظف زين الافرنجية فسها اوساخ على الاطراف والمشكلة الثانية الصابون مخفف بالماء جداً وايضاً البلاستيكيات الموضوعه ماتعبت وتاركينها فارغه ووضعو الصابون في علب بلاستيكيه خارجية اذاً ليش وضعت ولكم ان تاتو وترو بنفسكم وهذا الشي يعكس انطباع لايليق بمحطات درب العريقة والمعرف عنها باصالتها برحاء التكرم والاحاطة واخذ الموضوع بعين الاعتبار 14:52:21 Saturday, May 23, 2026</t>
  </si>
  <si>
    <t>شوية اهتمامنا بصيانة دوراة المياه الشطاف كان عطلان في درب فرع الشوقية وغير كذا عددداكم العيب</t>
  </si>
  <si>
    <t xml:space="preserve">تمت المعالجة  </t>
  </si>
  <si>
    <t>طلال الحربي</t>
  </si>
  <si>
    <t xml:space="preserve">خلال 7 ايام عمل </t>
  </si>
  <si>
    <t>عزة الغامدي</t>
  </si>
  <si>
    <t>محطتين في مكة والمدينة يرغب بالامتياز</t>
  </si>
  <si>
    <t xml:space="preserve">2000 - 2400 لتر  لديه نشاط تجاري ويرغب في تزويده بكميات اسبوعيا </t>
  </si>
  <si>
    <t>المكان متسخ جدًا والرائحة كريهه 23:09:56 Saturday, May 23, 2026</t>
  </si>
  <si>
    <t xml:space="preserve">تم ارسال ايميل للمعتصم </t>
  </si>
  <si>
    <t xml:space="preserve"> ام عيضه</t>
  </si>
  <si>
    <t>الاهتمام بالتنظيف يوميا لانه لم ينظف اكثر من اسبوع والرائحه كريهه جدا وغير مؤهل الاستخدام الاادمي من اسوء الحمامات الي دخلتها
 17:15:59 Wednesday, June 24, 2026</t>
  </si>
  <si>
    <t xml:space="preserve">تتم النظافة بشكل يومي ويتم التشيك عليها ولكن دورات المياه متهالكه </t>
  </si>
  <si>
    <t>المغيره الحسني</t>
  </si>
  <si>
    <t>دوات المياه معفنه جدا جدا جدا جدا و كافيعا تهوية كافيه و ولا نظافه و الذباب في كل مكان - 11:30:33 Wednesday, May 6, 2026</t>
  </si>
  <si>
    <t>تم توجيه تنبيه من مدير المنطقة إلى مدراء المحطات بضرورة الالتزام التام بمعايير النظافة مع إرسال صور يومية توثيقية إضافة إلى مراجعة الكاميرات بشكل مستمر والتشديد على تطبيق إجراءات النظافة دون تهاون</t>
  </si>
  <si>
    <t>نظافه سيئه جدااااااااااً 02:31:32 Monday, May 25, 2026</t>
  </si>
  <si>
    <r>
      <rPr>
        <rFont val="Calibri"/>
        <color rgb="FF131825"/>
        <sz val="9.0"/>
      </rPr>
      <t xml:space="preserve">عمال سيئين جدا يوجد ثلاث عماله وانا واقف قبل اذان الظهر بساعه وكلهم جالسين وانا انتظر لمده دقيقتين ولا يوجد اي شخص ثاني في المحطه وبعدين جاي واحد يتسحب لو المحطه مليانه نعفي عن هذا الشي اذا المحطه مليانه وش رح يصير  11:49:08 Friday, June 26, 2026 - </t>
    </r>
    <r>
      <rPr>
        <rFont val="Calibri"/>
        <color rgb="FFFF6D01"/>
        <sz val="9.0"/>
      </rPr>
      <t xml:space="preserve">تم الاعتذار منه وسيتم النظر في عدد العمال </t>
    </r>
  </si>
  <si>
    <t xml:space="preserve">افاد مدير المحطة  انه كان وقت تغيير الوردية وايقاف المحطة مما اثار استياء العميل </t>
  </si>
  <si>
    <t>تبديل شفت</t>
  </si>
  <si>
    <t xml:space="preserve">كشك  - فرنشايز - اكثر من فرع </t>
  </si>
  <si>
    <t xml:space="preserve">عبدالله هادي </t>
  </si>
  <si>
    <t>عايشه</t>
  </si>
  <si>
    <t>دورات المياه عير نظيفة - 22:43:20 Wednesday, May 6, 2026</t>
  </si>
  <si>
    <t xml:space="preserve">فزت بكوبون في تويتر امس رحت محطة العوالي ويقولو ان المدير جازة يومين ما عرفت طيب متى اجي كيف استلم جلست اشرح للعمال محد فهم </t>
  </si>
  <si>
    <t>الحمامات للاسف قذره ولايوجد صابون ولامنا يل 23:31:44 Monday, May 25, 2026</t>
  </si>
  <si>
    <t>nasser</t>
  </si>
  <si>
    <t>علوان علي االشهري</t>
  </si>
  <si>
    <t>مكسره و عدم ترفر صابون المملكه مقبله على احداث عالميه وانتم واجهة رجاءا اهتمو وتعللمو من الدريس - 16:14:35 Thursday, May 7, 2026</t>
  </si>
  <si>
    <t>محطة قائمة - فرنشايز</t>
  </si>
  <si>
    <t>Rahaf</t>
  </si>
  <si>
    <t>الحمامات جداً وصخه ماقدرت اروح ارجو الاهتمام بالنظافه وتوظيف عامله نظافه 03:16:29 Wednesday, May 27, 2026</t>
  </si>
  <si>
    <t xml:space="preserve">سوبرماركت اكثر من فرع - في جدة </t>
  </si>
  <si>
    <t>Sultan</t>
  </si>
  <si>
    <t>توفرون خزانات</t>
  </si>
  <si>
    <t xml:space="preserve">سائل الصابون نافذ ولا توجد مناديل -  14:39:08 Saturday, May 9, 2026 </t>
  </si>
  <si>
    <t>Wejdan</t>
  </si>
  <si>
    <t xml:space="preserve">        الحمامات جدا سيئة جدا جدا والرائحة ماعرفت حتى اتوضا زين 20:03:40 Wednesday, May 27, 2026</t>
  </si>
  <si>
    <t xml:space="preserve">يوجد من الناحية الشرقية للمسجد رمي للنفايات مما يجعل الناس تستاء  من المنظر ولايليق بمحطة درب المييزة
نتمنى احضار حاويات للنفايات للحفاظ على الصورة المشرقة للدرب-مرفق صورة </t>
  </si>
  <si>
    <t>بمشيئة الله لا تزال المحطة ضمن نطاق أعمال قسم المشاريع حيث تستمر أعمال الإنشاءات والإصلاحات في مختلف مرافق المحطة ولم يكتمل تنفيذها حتى الآن ولا تقتصر الأعمال على المنطقة المرصودة فقط بل تشمل كامل المحطة</t>
  </si>
  <si>
    <t>نظافة ارضية المحطة</t>
  </si>
  <si>
    <t xml:space="preserve"> Waseem Waseli</t>
  </si>
  <si>
    <t xml:space="preserve">اقسم بالله اسوء حمام  النظافة سيئة - ed 01:39:14 Sunday, May 10, 2026 - </t>
  </si>
  <si>
    <t>حاليا عندي ازعاج ولكن بتواصل معاكم وقت ثاني</t>
  </si>
  <si>
    <t xml:space="preserve">Abo Salah </t>
  </si>
  <si>
    <t>مدينه جد حي الامير فواز محطه درب - الي انا عايز محل للايجار فيه</t>
  </si>
  <si>
    <t>يحيى الحارثي</t>
  </si>
  <si>
    <t>نظيفه لكن تحتاج اهتمام ويكون فيه مناديل واشياء اساسيه -  17:30:08 Wednesday, May 6, 2026</t>
  </si>
  <si>
    <t xml:space="preserve"> عبدالمجيد محمد</t>
  </si>
  <si>
    <t xml:space="preserve">تم الاطلاع على الملاحظة ونطمح للافضل  بمشيئة الله  
المناديل متوقفه من الشركة بسبب التخلص منها في مجرى المراحيض مما يسبب انسداد و اعطال كبيره غير التكلفه الماليه ولكن متوفره في المصليات 
</t>
  </si>
  <si>
    <t xml:space="preserve">تم معاودة الاتصال لايوجد رد </t>
  </si>
  <si>
    <t>الاسم:وصف الاستثمار (أرض أم محطة):ارض المساحة:980م الموقع: الرياض على طريق التخصصي لها رخصة بناء محطة: نعم</t>
  </si>
  <si>
    <t>الوظائف</t>
  </si>
  <si>
    <t>وجد</t>
  </si>
  <si>
    <t>مشغول</t>
  </si>
  <si>
    <t>الحمام النسائي غير نظييف - 23:50:42 Friday, May 8, 2026</t>
  </si>
  <si>
    <t>تم اخطار مدير منطقة  لطائف وارسل الملاحظات 
و التحريص على مرافق النساء و العناية و متابعتها لما لوحظ من الشكوى في المنطقة على مرافق النساء خاصه</t>
  </si>
  <si>
    <t>عمر الحداد</t>
  </si>
  <si>
    <t>590003857
500038056</t>
  </si>
  <si>
    <r>
      <rPr>
        <rFont val="Calibri"/>
        <color rgb="FF131825"/>
        <sz val="9.0"/>
      </rPr>
      <t xml:space="preserve">انا عميل دايم في هذي المحطة وسبق قدمت شكوى عليها لكن الظاهر انكم تغيرو العمال وتسلكولنا , جيت صباح الجمعة الساعه 2:40ص قلت للعامل جرب اسحب 20 ريال من بطاقة الولد وعبي مو متاكد كم في البطاقة يقول لا اعبي لك بعدين تدفع قلت له طيب انا مو متاكد كم في البطاقة يعني لو ما سحب 20 يسحب اقل يقول سستم سستم ويتعابط معايا والي جنبه يقول هذا مجنون اصلا انتم افضل لكم تخلونا ندفع قبل تعبو دايم الشبكة ضعيفة و انا رجال كبير في السن ولدي كان بينزل يضربه بس قلت استهدي بالله انا فاضي وراح استقعد لكم لين تعدلو من وضعكم إدارة فاشلة درب العامل قبل ينزل ما يعرف يرتب كلمتين على بعض غير سستم ويطول لسانو بعدين انت تعرفي منطقة بير الغنم ؟ ترا عبالكم لو ما دربتوههم هنا والله لا يتبهدلو اانا شفت مواقف كثيره الناس تطاول عليهم لانه يعلو قلوبنا ابغا صوتي يوصل للمسؤول عندكم لاني مارح اخلي هذي الشكوى تمر  - 2:40ص الجمعة  الطرمبه رقم 3A -  اكسنت بيضا (س ب ل) - المسار الوسطاني   - </t>
    </r>
    <r>
      <rPr>
        <rFont val="Calibri"/>
        <color rgb="FFFF6D01"/>
        <sz val="9.0"/>
      </rPr>
      <t>تم التواصل مع العميل وهو غير راضي عن الخدمة وافاد  الغلط منكم انتو العامل لا يمكن يسوي دا التصرف الا منكم انتم تقولو انه ما ياخذ مقدم واصلا سياستكم هي ادفع قبل تعبي يعني يدق عليا واحد يقول انا نبهته انا خصمت منو ومدري ايش البلا منكم مو مدربين العمال صح وعلى فكرة دايما تصير مشاكل في محطتكم ونا زعلان ليه يخصم على العامل وهوا الي مادربو كويس</t>
    </r>
  </si>
  <si>
    <t xml:space="preserve">تم الاتصال بالعميل من قبل عبد الرحمن المقاطي  ومحاوله ارضائه وقد رضي وافاد ان لانخصم على العامل او نعاقبه كما تم توجيه انذار للعامل وابلاغ مدير المحطة </t>
  </si>
  <si>
    <t>sara</t>
  </si>
  <si>
    <t>اولا شكرا لدرب ، الحمامات جديده بس تحتاج لتنظيف - 23:55:23 Friday, May 8, 2026</t>
  </si>
  <si>
    <t xml:space="preserve">تم اخطار مدير منطقة الطائف وارسل الملاحظات 
و التحريص على مرافق النساء و العناية و متابعتها لما لوحظ من الشكوى في المنطقة على مرافق النساء خاصه </t>
  </si>
  <si>
    <t>كان في مشكلة في المحطة وحليتها ولا يرغب برفع الشكوى</t>
  </si>
  <si>
    <t>نايف ابو الزعيم اليافعي</t>
  </si>
  <si>
    <t>شركة تقديم خدمات عمالية</t>
  </si>
  <si>
    <t>مهتم بالاستثمار - مغلق</t>
  </si>
  <si>
    <t>تم تزويده بايميل انفو</t>
  </si>
  <si>
    <t>ايمن سندي</t>
  </si>
  <si>
    <t xml:space="preserve">للأسف، لا يوجد اهتمام بالعملاء والعمال يتحكمون في سائقي السيارات حتى لا يتحرك إلى الجهة الأخرى نرجو. متابعة العمال ومتابعة الكاميرات اليوم الجمعة، الساعة 11:37 ص   السيارة البيجو ممكن، تتابعوا كاميرات تشوفوا طريقة تعاملهم مع الزبائن والعملاء
</t>
  </si>
  <si>
    <t xml:space="preserve">تمت افادتها بانه مستأجر </t>
  </si>
  <si>
    <t xml:space="preserve">                      </t>
  </si>
  <si>
    <t xml:space="preserve">khalid </t>
  </si>
  <si>
    <t>مهتم بالاستثمار - لم يتم الرد</t>
  </si>
  <si>
    <t>hazil</t>
  </si>
  <si>
    <t xml:space="preserve"> EP301</t>
  </si>
  <si>
    <t xml:space="preserve">brooz  لوحات اعلانات </t>
  </si>
  <si>
    <t>مهتم بالاستثمار - يبي مغسلة  في الرياض اول فرع</t>
  </si>
  <si>
    <t xml:space="preserve">  دورات مياة النساء!!! اول شي مقفله ولما سألنا عنها جا واحد معاه المفتاح وفتحها لنا وهي بالشكل هذا والريحة تصرع ومافيه زبايل حتى أكرمكم الله وواضح انه العمال يستخدمونها أتمنى من اي احد مسؤول يشوف الموضوع ويوفر لهم الي يحتاجونه بسكنهم عشان مايوصخون الأماكن العامة بالشكل هذا الثلاثاء، 28 يوليو 2026 في 09:18 م
</t>
  </si>
  <si>
    <t>النظافة</t>
  </si>
  <si>
    <t>Shrouq</t>
  </si>
  <si>
    <t xml:space="preserve">متجر ون </t>
  </si>
  <si>
    <t xml:space="preserve">سعيد اليزيدي </t>
  </si>
  <si>
    <t xml:space="preserve">محل - بيت المطبق و المعصوب - المالك  </t>
  </si>
  <si>
    <t xml:space="preserve">مقطوع وافدته بوجود جركل بالمحطه  </t>
  </si>
  <si>
    <t>ازدهار غندورة</t>
  </si>
  <si>
    <t>استفسار عدم التواصل</t>
  </si>
  <si>
    <t>Amer</t>
  </si>
  <si>
    <t>مامون حافظ</t>
  </si>
  <si>
    <t>هيثم</t>
  </si>
  <si>
    <t xml:space="preserve">مغسلة - جدة </t>
  </si>
  <si>
    <t>يكم عامل اسمه ( رفيق )بالمحطه اسلوب سئ جدا ولا يريد التعامل مع ابلكيشن سياره اب نحن شركه مقاولات نسكن قريبا من المحطه التي بالخرج بجوار ريزينج كينز ولدينا اكثر من 21 سياره كلها تعمل بالديزل غير الشاحنات الكبيره والجميع يشتكي منه ولا يريد التعامل مع المحطه بسبب اسلوبه ونذهب الي محطه ابعد بسبب هذا العامل اليوم ثاني موقف لي معه نرجو منكم اتخاذ الاجراء اللازم دمتم بخير
ملحوظه هو يفعل ذالك من اجل عدم التعامل مع ابلكيشن سياره اب - 05:59:52 Tuesday, July 28, 2026 - شركة العيسى للمقاولات - 
تم التواصل مع العميل وافاد ان العامل مو مؤهل انه يمسك المحطة هو ماسك سايد واحد مو منطقي يجلس على السياره الوحده لين تخلص تعبي واحنى لاننا نستخدم سيارة اب يقولنا انت انتظر انا وموظفين كثير متضايقين من الاسلوب</t>
  </si>
  <si>
    <r>
      <rPr>
        <rFont val="Calibri"/>
        <b/>
        <color rgb="FF434343"/>
        <sz val="10.0"/>
      </rPr>
      <t xml:space="preserve">يوم الاحد الساعة 1:10 م العامل اعطاني فكه مشقوقه ورفض يبدلها وعاملني باسلوب سيئ </t>
    </r>
    <r>
      <rPr>
        <rFont val="Calibri"/>
        <b/>
        <color rgb="FFFF9900"/>
        <sz val="10.0"/>
      </rPr>
      <t xml:space="preserve">- تم التواصل وتم حلها من قبل مدير المحطة </t>
    </r>
  </si>
  <si>
    <t xml:space="preserve">تم حل المشكله في وقتها واخذ الفلوس المقطوعه من  العميل </t>
  </si>
  <si>
    <t xml:space="preserve">متعب </t>
  </si>
  <si>
    <t xml:space="preserve">عندي أرض على شارع 40 مرحلة العظم  - وأرض ثاني عليها رخصة - موقع 3 في منتزه سعد على طريق الدمام مستثمر اخذ الارض من وزارة السياحة وبيسوي منتزه ونا ماخذ مساحة المحطة ابي اسوي فيها محطة رخصتها في الاجراءات ياليت تتواصلون معي في البداية  واتس اب </t>
  </si>
  <si>
    <t xml:space="preserve">ريحاب </t>
  </si>
  <si>
    <t xml:space="preserve">جده </t>
  </si>
  <si>
    <t>MK223</t>
  </si>
  <si>
    <t>عميله امراه اتصلت تقول نادت الشرطه في واحد متحيل عليها ومعد ترد - تم معاودة الاتصال وافادت العميله وافادت بانها استدعت الشرطة بسبب استهتار العامل خلال زياراتها للمحطة عدت مرات تطلب منه يعبي بمبلغ يعبي لها بمبلغ اخر وكل مره يقولها العمال الثانيين انه جديد ومايعرف وصارت لي 3 مرات لدرجه صرت اذا جيت احد ثاني يعبي لي  اليوم جا يعبي لي وسوا نفس الحركه قلت له فيفتين ون فايف بالعربي بالانقلش ويستعبط ويعبي برقم مختلف عموما ناديت الشرطه ورفعت بلاغ انه ما يلتزم بالانظمة لا لبس رسمي ولا مدربينه منيح كلشي جايبينه من الهند للمحطة انا بصمت ورفعت البلاغ ومشيت ياخي اذا مو مناسب يشتغل شيلوه دربوه سوو اي اجراء - وقت الاتصال 1:2 م بتاريخ 30/7م</t>
  </si>
  <si>
    <t>rmgh .1236</t>
  </si>
  <si>
    <t xml:space="preserve">امل البنزين اللي في الطرمبة الأخيرة تعامله سئ
كل مره يتكرر التعامل جمعة، 8 مايو 2026 في 08:36 </t>
  </si>
  <si>
    <t xml:space="preserve">تم ابلاغ مدير المحطة للعمل على تنبيه العاملين ومتابعتهم </t>
  </si>
  <si>
    <t>dania</t>
  </si>
  <si>
    <t xml:space="preserve"> MK223</t>
  </si>
  <si>
    <r>
      <rPr>
        <rFont val="Calibri"/>
        <b/>
        <color theme="1"/>
      </rPr>
      <t xml:space="preserve">عبى ب74 اخضر وهو بالعاده يعبي146 ولان عبى ب161 يبغا يعرف ليش السعر كذا  سيارته هوندا اكورد ح ر م 6030   </t>
    </r>
    <r>
      <rPr>
        <rFont val="Calibri"/>
        <b/>
        <color rgb="FFFF9900"/>
      </rPr>
      <t xml:space="preserve">--اتراصلتا مع العميل من يوم الخميس وبلغنا انه يستحقً التعوض رايح المحطه يعبي </t>
    </r>
  </si>
  <si>
    <t xml:space="preserve"> ونا انتظر تواصلكم معي </t>
  </si>
  <si>
    <t xml:space="preserve">هل يوجد بنزين احمر في محطة محايل عسير </t>
  </si>
  <si>
    <t>السلااااام عليكم تكفووون ياخوان اذا احد لقى قطعة سماعه ايربودز طايحة جهة الحمامات تقريبا يردد علللي  الجمعة، 8 مايو 2026 في 10:26 ص</t>
  </si>
  <si>
    <t>كان عنده ملاحظة وخلاص</t>
  </si>
  <si>
    <t xml:space="preserve">يزيد الخوتاني </t>
  </si>
  <si>
    <t>تعامل سيئ مافي خدمات كويسه</t>
  </si>
  <si>
    <t xml:space="preserve">تم تنبيه مدير المحطة لتوجيه العمال بالتعامل الحسن مع العملاء وحسن استقبالهم </t>
  </si>
  <si>
    <t>استفسار عن الطلب</t>
  </si>
  <si>
    <t xml:space="preserve">يرغب بالتبرع بثلاجات موية في محطات الخرج ويرغب بمعرفة الاجراء الاداري قبل التصرف - فرد </t>
  </si>
  <si>
    <t xml:space="preserve">ارض مساحه 200م - مالك </t>
  </si>
  <si>
    <t>ايميل للمشتريات تزويد العميل بالمواصفات المطلوبة</t>
  </si>
  <si>
    <t xml:space="preserve">عبد الرحمن الشهري </t>
  </si>
  <si>
    <t>استاجار غرفه</t>
  </si>
  <si>
    <t>لايوجد تعبئة هواء لاطارات السيارات بشكل ذاتي لا يوجد خيار تعبئة بنزين بشكل ذاتي من العميل</t>
  </si>
  <si>
    <t xml:space="preserve">شركة اتمته في مجال المحطات يرغب بعرض التفاصيل في اجتماع مع المسؤول </t>
  </si>
  <si>
    <t>راكان الحربي</t>
  </si>
  <si>
    <t>بالغط</t>
  </si>
  <si>
    <t xml:space="preserve">محطة قائمة للبيع - 3 محطات وارضيات </t>
  </si>
  <si>
    <t>AS154</t>
  </si>
  <si>
    <t>لا يوجد خيار تعبئة بنزين بشكل ذاتي من العميل</t>
  </si>
  <si>
    <t>هديل</t>
  </si>
  <si>
    <t xml:space="preserve">النخبة البيئة </t>
  </si>
  <si>
    <t>MK034</t>
  </si>
  <si>
    <t>Darb24</t>
  </si>
  <si>
    <t>الاستفسار عن سير عمل الشكوى</t>
  </si>
  <si>
    <t>م اعطائي قسيمة من محطة دروب قسيمة غسل سيارتك ب15 ريال وعند الذهاب للمغسله لف ودوران إنه غسيال خارجي فقط ولايشمل الداخلي فقلت غسال خارجي قال الخارجي 20 ريال اخصم لك 5 اريال فقط قلت القسيمه تقول غسيل15 ريال. كذب عيني عينك لا داخلي ولاخارجي يوهمون الناس المحطه كذابه والمغسله كذابه. لاتقول وفق الشروط غير واضح شي فقط محل المغسله واستطلاع واكثر من مره اعبئي وقود وتحلس السياره تقطع ممكن من تسرب ماء المغسله او وجود شوائب في الوقود والخزانا</t>
  </si>
  <si>
    <t>تم تصعيدها لاماني</t>
  </si>
  <si>
    <t xml:space="preserve"> Confirmed</t>
  </si>
  <si>
    <t xml:space="preserve">محل مغسلة سيارات فرنشايز سويتر ويرغب ايضا باستاجار كذا فتحه لمشاريع اخرى </t>
  </si>
  <si>
    <t>6 Hours</t>
  </si>
  <si>
    <t xml:space="preserve">يسال اذا في شرايح </t>
  </si>
  <si>
    <t xml:space="preserve">عايض العتبيبي </t>
  </si>
  <si>
    <t>مرعي مباركي</t>
  </si>
  <si>
    <t xml:space="preserve"> طريق الرياض - درايف ثرو - اول فرع </t>
  </si>
  <si>
    <r>
      <rPr>
        <rFont val="Calibri"/>
        <color rgb="FF131825"/>
        <sz val="9.0"/>
      </rPr>
      <t xml:space="preserve">جيت اعبي عامل واحد لطعني راح يعبي لسيارة ثانية ونا قلت له عبي ثاني لين تتفلل ايتن هونداي 2025 كحلي سيارة كنت اجربها ما عندي رقم اللوحة - </t>
    </r>
    <r>
      <rPr>
        <rFont val="Calibri"/>
        <color rgb="FFFF6D01"/>
        <sz val="9.0"/>
      </rPr>
      <t>تم الاعتذار</t>
    </r>
  </si>
  <si>
    <t>تم إبلاغ مدير المحطة بضرورة تسريع حركة العمل والعمل على التعبئة وفق الأولوية للوصول إلى أعلى معايير الخدمة</t>
  </si>
  <si>
    <t>نواف الجهني</t>
  </si>
  <si>
    <t xml:space="preserve">العامل طلب الدفع مسبق لتعبئة فل والعميل رفض وقام التعبئة في محطة اخرى ولم يطلبني العامل الدفع المسبق </t>
  </si>
  <si>
    <t xml:space="preserve">تم التوضيح السياسة للعميل </t>
  </si>
  <si>
    <t>مؤسسة الاتقان العالمي</t>
  </si>
  <si>
    <t xml:space="preserve">كلادينج </t>
  </si>
  <si>
    <t xml:space="preserve">تمت افادته بارسال البروفال على الايميل </t>
  </si>
  <si>
    <t>امين</t>
  </si>
  <si>
    <r>
      <rPr>
        <rFont val="Calibri"/>
        <b/>
        <color rgb="FF000000"/>
        <sz val="9.0"/>
      </rPr>
      <t xml:space="preserve">يوم الاثنين الساعة 8:02ص طلبت تعبئة بنزين بمبلغ 20اخضر والعامل سحب 25 ريال ارغب بالتاكد هل عبى لي ب25 ولا اخذ زيادة مني </t>
    </r>
    <r>
      <rPr>
        <rFont val="Calibri"/>
        <b/>
        <color rgb="FFFF9900"/>
        <sz val="9.0"/>
      </rPr>
      <t xml:space="preserve">-تم التواصل مع العميل وافاد انه رجع للمحطه والعامل تاسف منه ورجع له المبلغ </t>
    </r>
  </si>
  <si>
    <t>البنشر - حائل</t>
  </si>
  <si>
    <t>فواز العتيبي</t>
  </si>
  <si>
    <t xml:space="preserve">شركة انارة المستقل </t>
  </si>
  <si>
    <t>تستفسر اذا تقدر تاخذ بنزين من المحطه</t>
  </si>
  <si>
    <t>مهند الخنبشي</t>
  </si>
  <si>
    <t>مهند التميمي</t>
  </si>
  <si>
    <t>النشاط التجاري: مغسلة سيارات أتوماتيكيةاسم العلامة التجارية: تحت الإجراءعدد الفروع: نقطة انطلاق تفاصيل استفسارك: ماهي المتطلبات والسعر المتوقع</t>
  </si>
  <si>
    <t>عرض فرصة استثمارية مميزة تتمثل في أرض تقع على طريق الملك عبدالعزيز بمدينة جدة بالقرب من قاعة ليليتي،  مميزات العقار: • موقع استراتيجي على طريق حيوي.     • بمساحة 3,316.5 م². • تصنيف سكني وتجاري. • مسموح البناء حتى 7 أدوار. • مسطح نظام البناء 15,585.435  • مناسبة لإنشاء محطة وقود ومركز خدمات متكامل. • عقد استثماري لمدة 15 سنة. • القيمة الإيجارية المطلوبة: 5 ملايين ريال سنويًا.</t>
  </si>
  <si>
    <t xml:space="preserve">عبدالهادي صالح </t>
  </si>
  <si>
    <t>2026-06-29 05:45:29 PM UTC+03:00 - مغلق</t>
  </si>
  <si>
    <t>ارض 200*300 - غبر مرخصة بين عمارات</t>
  </si>
  <si>
    <t xml:space="preserve">حفر الباطن </t>
  </si>
  <si>
    <t xml:space="preserve">تاجير محل زينه </t>
  </si>
  <si>
    <t xml:space="preserve">محل او كشك </t>
  </si>
  <si>
    <t>2026-06-30 01:57:04 AM UTC+03:00 - لم يتم الرد</t>
  </si>
  <si>
    <t xml:space="preserve"> مغلق</t>
  </si>
  <si>
    <t xml:space="preserve">ستوى النظافه منخض ولا يوجد صابون لليد ولا يوجد اي معطرات وصراحه هذا شي مستغرب من المحطه بلعاده محطات درب يكون مستواها اعلى من كذا. Monday, June 1, 2026 </t>
  </si>
  <si>
    <t xml:space="preserve">تم زيارة المحطة وعمل تنظيف عميق حيث لا يوجد عامل نظافة في المحطة  </t>
  </si>
  <si>
    <t>علي محمد المشبب</t>
  </si>
  <si>
    <t>AS271</t>
  </si>
  <si>
    <r>
      <rPr>
        <rFont val="Calibri"/>
        <color rgb="FF131825"/>
        <sz val="9.0"/>
      </rPr>
      <t xml:space="preserve">150 ببطاقتي دفعت بالصرافه وسحب 140 طلعت في الجهاز انها مرفوضة وعندي انسحبت  - 1:7 ص  - 2026-06-30 02:51:31 AM UTC+03:00  -  </t>
    </r>
    <r>
      <rPr>
        <rFont val="Calibri"/>
        <color rgb="FFFF6D01"/>
        <sz val="9.0"/>
      </rPr>
      <t>تمت افادته بمراجة البنك المركزي في حال عدم التعاون مع البنك الحالي</t>
    </r>
  </si>
  <si>
    <r>
      <rPr>
        <rFont val="Calibri"/>
        <b/>
        <color rgb="FF434343"/>
        <sz val="10.0"/>
      </rPr>
      <t>العامل اخلاقه سيئة يرفع صوته اتوقع اسمه عبدالعليم -5/10 الاحد العصر المبلغ  20 ريال بنزين اخضر   شانجان 2025 فضي - (5476 - ر ك ع ) المسار المسار الثاني</t>
    </r>
    <r>
      <rPr>
        <rFont val="Calibri"/>
        <b/>
        <color rgb="FFFF9900"/>
        <sz val="10.0"/>
      </rPr>
      <t xml:space="preserve"> -تم التواصل والاعتذار عن الاشكالية</t>
    </r>
  </si>
  <si>
    <t xml:space="preserve">تم ابلاغ مدير المحطة وافاد انه لايوجد عامل باسم عبد العليم كما اكدنا عليه بمتابعة العمال واخلاقهم والعمل على تحسين الخدمه </t>
  </si>
  <si>
    <t xml:space="preserve">لا يوجد الدفع بالبطاقة الفيزا--Tuesday, May 26, 2026 </t>
  </si>
  <si>
    <t xml:space="preserve">لم يتم التواصل معه </t>
  </si>
  <si>
    <t>Muna</t>
  </si>
  <si>
    <t>عبدالرحمن محمد</t>
  </si>
  <si>
    <t xml:space="preserve">محل ورشه -وكيل </t>
  </si>
  <si>
    <t xml:space="preserve">MK007 </t>
  </si>
  <si>
    <t xml:space="preserve">محطة يرغب بالامتياز </t>
  </si>
  <si>
    <t>بعض الحمامات ليست نظيفة ارجو الاهتمام اكثر</t>
  </si>
  <si>
    <t xml:space="preserve">نواف المطرفي </t>
  </si>
  <si>
    <t xml:space="preserve">سوبرماركت - تموينات الفوز الاصلي </t>
  </si>
  <si>
    <t xml:space="preserve">عبدالله القحطاني </t>
  </si>
  <si>
    <t xml:space="preserve">الخبر </t>
  </si>
  <si>
    <t>اغلب اقفال الحمامات مكسوره</t>
  </si>
  <si>
    <t xml:space="preserve">عرض محطه قائمه بمساحه 10000م - المالك </t>
  </si>
  <si>
    <t>الفني المنفذ:shahadat.hossain
تاريخ الإنجاز:25 يونيو 2026 - 11:30</t>
  </si>
  <si>
    <t>بسام عبدالله شريف</t>
  </si>
  <si>
    <r>
      <rPr>
        <rFont val="Calibri"/>
        <color rgb="FF131825"/>
        <sz val="9.0"/>
      </rPr>
      <t>المحطة: درب العزيزية التاريخ: 29/06/2026 - الوقت: 21:22 - شكوى/اقتراح: السلام عليكم،  عندي شكوى على موظف في فرع العزيزية بمكة.  طلبت منه يعبي بنزين أحمر بـ30 ريال، لكن للأسف بدأ يعبي بنزين أخضر.. هو ما انتبه للخطأ، أنا اللي انتبهت ونبهته، وكان العداد وقتها على 4 ريالات وكسور، وبعد ما وقف زاد تعبئة لين صار 5 ريال!! بعدها قلت له يكمل لي بنزين أحمر، لكنه وقف التعبئة عند 25 ريال ورفض يكملها إلى 30 ريال. أنا من البداية كانت نيتي إذا كمل لي إلى 30 ريال إني أدفع 35 ريال كاملة، يعني حتى الـ5 ريالات اللي انعبت أخضر كنت مستعد أدفعها عشان ينتهي الموضوع.  لكن بدل ما يعتذر عن الخطأ، بدأ يتكلم بأسلوب سيئ وقال لي: “إن شاء الله يوم القيامة أنا خصمك”، وبعدها قال: “إن شاء الله تروح بالسيارة وتموت”. بعد الكلام هذا استفزني وعصبني، ورفضت بعدها أدفع قيمة الـ5 ريالات لأنها كانت أساسًا نتيجة خطأ منه، مو مني. بعدها كلمت المدير المناوب وشرحت له كل اللي صار، لأني مستغرب إن موظف يتعامل مع العملاء بهذا الأسلوب. أتمنى يتم النظر في الشكوى واتخاذ الإجراء المناسب، لأن اللي حصل ما يليق بسمعة محطات درب ولا بطريقة التعامل المفروض تكون مع العملاء..- بخصوص الموظف.. يعني ياليت انا لوحدي كان اسلوبه سيء معايا، اقسم بالله حتى اللي كان يعبي قدامي اتوجه للمدير المناوب عشان يشتكي عليه م ابغا اقطع رزق احد لكن درب ارقى من كذا👍🏻 - ولو تراجعو الكاميرا بتعرفو ان كلامي في محله ومو قاعد اتبلى عليه.. - (ح ه ك 4572)  كورلا 2016 ابيض -</t>
    </r>
    <r>
      <rPr>
        <rFont val="Calibri"/>
        <color rgb="FFFF6D01"/>
        <sz val="9.0"/>
      </rPr>
      <t xml:space="preserve"> حياك الله استاذ بسام
نفيدك بانه تم فتح تحقيق مع العامل واتضح انه كان كان يهدف لتجنب المشاكل بهذا القول ولكنه للأسف لم يتعامل بشكل لائق. نؤكد أن هذا السلوك غير مقبول وقد تم توجيه إنذار له لاسلوبه وخطأه في التعبئه ولتحسين أدائه وانتباهه في المستقبل. هدفنا تحسين تجربتك في محطات درب ونأسف لتجربتك يومك سعيد 🧡</t>
    </r>
  </si>
  <si>
    <t xml:space="preserve">نفيدك بانه تم فتح تحقيق مع العامل واتضح انه كان كان يهدف لتجنب المشاكل بهذا القول ولكنه للأسف لم يتعامل بشكل لائق. نؤكد أن هذا السلوك غير مقبول وقد تم توجيه إنذار له لاسلوبه وخطأه في التعبئه ولتحسين أدائه وانتباهه في المستقبل. </t>
  </si>
  <si>
    <t xml:space="preserve">Hossein Gadry
</t>
  </si>
  <si>
    <t xml:space="preserve">بندر عامر العتيبي
</t>
  </si>
  <si>
    <t>Darb60</t>
  </si>
  <si>
    <t xml:space="preserve">الموظف يجبرك على التقيم  ويحمل باركود قوقل ماب
</t>
  </si>
  <si>
    <t>ابغا اقدم شكوى على موظفين المغسله العادية وليست الحديثة، عمال المغسل تعاملهم جداً سيء للغاية ولا يبغون يشتغلون ولا يتفاهمون واسلوبهم مو كويس ارجو من صاحب المغسلة لفت النظر وشكرا انا كنت اغسل فيها بشكل يومي والان لو يغسلون لي بلاش ما غسلت لنهم صارو للاسوء وشك -تم التحرير في الجمعة، 29 مايو 2026 في 10:43 م</t>
  </si>
  <si>
    <t>هل المحطه تدعم فيزا</t>
  </si>
  <si>
    <t>حياك الله في درب
نعم نوفر الفيزا في محطات درب 🧡</t>
  </si>
  <si>
    <t xml:space="preserve">mro 502
</t>
  </si>
  <si>
    <t>سامي الحربي</t>
  </si>
  <si>
    <t xml:space="preserve">Mazen Alhazmi
</t>
  </si>
  <si>
    <t xml:space="preserve">6 مايو 2026في بعض العمال استيعابهم بطيء تقله عبي احمر يعبيلك اخضر لا وينافخون بعد
</t>
  </si>
  <si>
    <t>عندي ارض خام في الخبر العزيزيه المساحه مليون و٧٠٠ الف متر مصرح  تجاري استثماري سكني  - مقابله البحر بجانب جامعة الأمير محمد بن فهد حواليها المخططات -  السعر 380ريال للمتر</t>
  </si>
  <si>
    <t>تم اخبارالمشرف بالمشكلةو تم تنبيه العمال</t>
  </si>
  <si>
    <t xml:space="preserve">بالخطا </t>
  </si>
  <si>
    <t xml:space="preserve">المغسلة آخر مرتين غسلة عندهم شغلهم تعبان عند القير والطبلون اماكن ما تنظفت ولا تمسحت
</t>
  </si>
  <si>
    <t xml:space="preserve">سلطان الشهراني </t>
  </si>
  <si>
    <t xml:space="preserve">Bander Sori
</t>
  </si>
  <si>
    <t>6969م - ارض على اربع واجهات - يوجد رخصة-المالك</t>
  </si>
  <si>
    <t xml:space="preserve">العامل تقول حط احمر يحطلك اخضر
</t>
  </si>
  <si>
    <t>محمود سعيد</t>
  </si>
  <si>
    <t xml:space="preserve">سعيد القحطاني </t>
  </si>
  <si>
    <t xml:space="preserve">سعود </t>
  </si>
  <si>
    <t xml:space="preserve">محلات </t>
  </si>
  <si>
    <t xml:space="preserve">MK001 </t>
  </si>
  <si>
    <t>مغسله اوتوماتيكيه وبنشر براند جديد - المالك الرئيسي</t>
  </si>
  <si>
    <t xml:space="preserve">مافيها الا عامل واحد 30 مايو 2026
</t>
  </si>
  <si>
    <t xml:space="preserve">الرجاء تزويدنا بالوقت ليتسنى لنا مراجعة الكامرات </t>
  </si>
  <si>
    <t xml:space="preserve"> AS081</t>
  </si>
  <si>
    <t xml:space="preserve">  سيه ل الغايه العمال مهم كويسن ب المره تروح لعند لعند العمال لاول يقول للك روح لعند العمال الثاني تروح لعند العمال الثاني يقول للك روح لعند هذك اخر تعمل والله معكم
 الجمعة، 31 يوليو 2026 في 03:38 م
</t>
  </si>
  <si>
    <t>ريم الخماش</t>
  </si>
  <si>
    <t xml:space="preserve">كشك كوفي - اول فرع رقم اخر للتواصل 0532809859 </t>
  </si>
  <si>
    <t>Abeer Al-malki</t>
  </si>
  <si>
    <t xml:space="preserve">عبدالرحمن
</t>
  </si>
  <si>
    <t>دورات المياه يحتاج لها اهتمام في النظافة 👍🏻</t>
  </si>
  <si>
    <t xml:space="preserve">تم اخد الملاحظة </t>
  </si>
  <si>
    <t>محمد عويض</t>
  </si>
  <si>
    <t xml:space="preserve">
العامل الي ماسك المضخات اليمين يحتاج له اعاده ضبط ما يتعامل ب احترام اتمنى الاسراع بالضبط بحقه</t>
  </si>
  <si>
    <t>تم ابلاغ مدير المحطة  المحطة للتحقق من الواقعة ومراجعة أداء العامل المعني والتأكيد على أهمية الالتزام بحسن التعامل والاحترام عند تقديم الخدمة للعملاء</t>
  </si>
  <si>
    <t>محطة تحتاج ترميم - وارض مرخصة - 0504722106</t>
  </si>
  <si>
    <t>لا يوجد نظافه في دورات المياه ولا صابون</t>
  </si>
  <si>
    <t xml:space="preserve">تم التحقق من المحطة و المستودع تبين لدينا ان المحطة لم يصلها الصابون بعد خطاء في طلب المنظفات و اغلاق صلاحية التعديل من المشتريات 
مشكلة في التوزيع داخل المستودع 
مشكلة توصيل كانت متعلقه </t>
  </si>
  <si>
    <t xml:space="preserve">M Tebo
</t>
  </si>
  <si>
    <t>فارس فهاد صادق المجنوني</t>
  </si>
  <si>
    <t xml:space="preserve"> ابو حمد
</t>
  </si>
  <si>
    <t xml:space="preserve">
العمال وصخين والواحد يجلس يسحب رجولة تجلس تنتظره عشر دقايق عشان يجي يبي لك</t>
  </si>
  <si>
    <t>المحطة: محطة درب النواريه التاريخ:2026/6/30 - الوقت: 3:05 عصرا
اريد كوبون بنزين قيمته 100 ريال او 50</t>
  </si>
  <si>
    <t xml:space="preserve"> Mk006</t>
  </si>
  <si>
    <t>بطء الخدمة.</t>
  </si>
  <si>
    <t xml:space="preserve">محطة فيه كل شي من سوبرماركت وكافيه وجميع الاشياء عجزت انك تبني مسجد وتاخذ اجر الناس الي جالسه تصلي على الرصيف خصوصا محطة على طريق سفر
الجمعة، 31 يوليو 2026 في 05:09 ص
</t>
  </si>
  <si>
    <t xml:space="preserve">مجد ابراهيم </t>
  </si>
  <si>
    <r>
      <rPr>
        <rFont val="Calibri"/>
        <b/>
        <color rgb="FF434343"/>
        <sz val="10.0"/>
      </rPr>
      <t>محطه مخطط 8 بالقر ب من الجامعه الجهه الداخليه دفعj بنزين ب 20 ريال وماعبى لي الساعه 11و اربعون دقيقه لو حه السياره 1327 ر ط و  - النترا 2024 رمادي اخضر -</t>
    </r>
    <r>
      <rPr>
        <rFont val="Calibri"/>
        <b/>
        <color rgb="FFFF9900"/>
        <sz val="10.0"/>
      </rPr>
      <t xml:space="preserve"> يبي يتاكد من التعبئة-تم التواصل والتوضيح للعميل </t>
    </r>
  </si>
  <si>
    <t xml:space="preserve">عزا م
</t>
  </si>
  <si>
    <t xml:space="preserve">تم التأكد من التعبئه وارفاق فديو </t>
  </si>
  <si>
    <t>سيئ فالتعامل العمال تعاملهم سيء بس يسوي نفسه طيب معك عشان تقيم بعدها يغير اسلوبه!</t>
  </si>
  <si>
    <t>استفسار عن عرض كفرات بلس</t>
  </si>
  <si>
    <t>تم ابلاغ مدي رالمحطة لمراجعة أداء العاملين والتأكد من التزامهم بحسن التعامل مع العملاء بشكل مستمر وليس فقط أثناء طلب التقييم</t>
  </si>
  <si>
    <t xml:space="preserve">محل سوبر -مالك </t>
  </si>
  <si>
    <t>محطه مساحتها كبيره -وكيل التواصل على 591398200</t>
  </si>
  <si>
    <t>مكه</t>
  </si>
  <si>
    <t>Mk001</t>
  </si>
  <si>
    <t xml:space="preserve">سلمان </t>
  </si>
  <si>
    <t xml:space="preserve"> كانت في السابق روعة والان لا
الخميس، 30 يوليو 2026 في 11:02 م
</t>
  </si>
  <si>
    <t>استفسار عن عرض سابق</t>
  </si>
  <si>
    <t>الخفجي</t>
  </si>
  <si>
    <t xml:space="preserve">عبد الله عمر
</t>
  </si>
  <si>
    <t>مالك لارض  مساحه 20000م عنده رغبه تاجير مظله نامل التواصل على 0503934025</t>
  </si>
  <si>
    <t>هل فيه بنزين احمر في محطتكم</t>
  </si>
  <si>
    <t>مجيد</t>
  </si>
  <si>
    <t xml:space="preserve">عبيت ب50 ريال وماسلمني كوبون </t>
  </si>
  <si>
    <t>تم ارسال ال QR code</t>
  </si>
  <si>
    <t xml:space="preserve">اليوم جيت اعبي بنزين فكيت صرافتي فيها ٣٨ وكنت في مكالمه مع صديقي وقلت للعامل وانا متأكد عبي ب ٣٠﷼ وعامل المحطه م ادري هوا م سمعني ولا اش الموضوع م دريت بشبكه الى مرفوضه حاط ٤٠ ريال وحلفت له بالصحف م قلت ٤٠ وم املك الى ٣٨ قلت هاذي ٣٨ وانا غلطان تفاجئت بعد م خلص والله ي الامبير م قام قلت يمكن الطرمبه فيها مشكله وانا اطالب بتعويض كعميل عندكم علماً انو عشان الي حصل متأخر عن عملي بسبب محطتكم رالخميس، 30 يوليو 2026 في 10:41 م
 </t>
  </si>
  <si>
    <t>صارت له مشكلة وحلها مدير المحطة</t>
  </si>
  <si>
    <t xml:space="preserve">Waad </t>
  </si>
  <si>
    <r>
      <rPr>
        <rFont val="Calibri"/>
        <b/>
        <color rgb="FF131825"/>
        <sz val="9.0"/>
      </rPr>
      <t xml:space="preserve">المحطة: شارع حسان بن ثاب التاريخ:12/14 الوقت: 11:15 شكوى/اقتراح: محطة حمامات الطايف حسان بن ثابت تعامل العامل سيئ جدا ويرفع صوته والحمامات وسخه جدا جججدا - </t>
    </r>
    <r>
      <rPr>
        <rFont val="Calibri"/>
        <b/>
        <color rgb="FFFF6D01"/>
        <sz val="9.0"/>
      </rPr>
      <t>تم الاعتذار وسيتم اتخاذ اجراء مع عامل النظافة</t>
    </r>
  </si>
  <si>
    <t>تم رفع الشكوى لمدير المحطة للتحقق من سلوك العامل المذكوروتوجيه جميع العاملين بحسن التعامل مع العملاء كما تم  ابلاغ مسؤول البيئه للتنبيه على ضرورة الاهتمام بنظافة دورات المياه والمحافظة عليها بالمستوى المطلوب</t>
  </si>
  <si>
    <t>ابتسام المطيري</t>
  </si>
  <si>
    <t>استفسار  غير مكتمل</t>
  </si>
  <si>
    <r>
      <rPr>
        <rFont val="Calibri"/>
        <b/>
        <color rgb="FF434343"/>
        <sz val="10.0"/>
      </rPr>
      <t>كوفي موق - محطة درب البيعة لعارف الطويرقي - مستأجرين والامور تمام  اغلقو المحطة بسبب التسوير تضررنا وكانت الخسارة كبيرة ومبيعاتنا نزلت والخساره زادت والان جالسين يقفلوا باركينق المحطة بسور حديد عشان التنظيم بسبب كوفي برا المحطة اصلا خسرنا كل الزباين في اذيه متعمدة وواضحة يقول احنى نقفل المواقف على المحلات المقفلة وهو ياذينا  قلنا له الكوفي يسبب زحمه هو برا المحطة والناس تجي توقف وانتم ماتنظمون انا كمستأجر ليه انظم هذي خدمتكم انا من بعد الاسوار تضررت اتواصل مع مسؤولين شركة درب مافي تجاوب واهمال كبير ياليت تنظرون في مشكلتنا</t>
    </r>
    <r>
      <rPr>
        <rFont val="Calibri"/>
        <b/>
        <color rgb="FFFF9900"/>
        <sz val="10.0"/>
      </rPr>
      <t xml:space="preserve">- الافادة ان :مالك الفرنشايز زيادة على السور باركنق قفلها وضيق علينا </t>
    </r>
  </si>
  <si>
    <t xml:space="preserve"> في تلاعب في العداد  كيف سيارتي سعة التانكي 70 لتر ومعبي من عندكم 74 لتر
في كل المحطات اللي اعبي عندها اعبي 68 او 69 لتر اذا كانت السياره  مررره فاضيه
الخميس، 30 يوليو 2026 في 04:04 م
</t>
  </si>
  <si>
    <t>بناء على الايميل ادناه بالنسبة للبراند كوفي موق قرار الاقفال من امانة محافظة الطائف لايمكن عمل اي اجراء حيال الاقفال.</t>
  </si>
  <si>
    <t>احمد مصطفي</t>
  </si>
  <si>
    <t xml:space="preserve"> حمامات ريحتها ومو نظيفه ابداً يعني ماينفع الوضع ذا طريق سفر ويعتبر وجهه سياحيه الناس اللي تمر تشوف المنظر ذا السياح اش حيفكرو عننا اذاFriday, July 31, 2026 </t>
  </si>
  <si>
    <t>هل لكم محطات في المدينة المنورة ؟</t>
  </si>
  <si>
    <r>
      <rPr>
        <rFont val="Calibri"/>
        <b/>
        <color rgb="FF434343"/>
        <sz val="10.0"/>
      </rPr>
      <t xml:space="preserve">الاسم: كرسبي كريم
المدينة: الطائف
المحطة: السيل الصغير
التاريخ: 09-05-2026
الوقت:
شكوى/اقتراح: البلاط مكسر خارج المحل قمت بطلب صيانه لكن المسؤل عن الصيانه في المحطه بلغني انه سوف يقوم بترميميها ولم يقوم بعمل اي شي مر علي هذا اكثر من شهر ونص - </t>
    </r>
    <r>
      <rPr>
        <rFont val="Calibri"/>
        <b/>
        <color rgb="FFFF6D01"/>
        <sz val="10.0"/>
      </rPr>
      <t xml:space="preserve">تم التواصل مع العميل الاعتذار عن الاطاله وشكرنا على الخدمة </t>
    </r>
  </si>
  <si>
    <t xml:space="preserve">تم حلها مرفق فديو </t>
  </si>
  <si>
    <t>لميس</t>
  </si>
  <si>
    <t xml:space="preserve"> مكه</t>
  </si>
  <si>
    <t>هشام عدنان بادريق</t>
  </si>
  <si>
    <t xml:space="preserve">  MK003</t>
  </si>
  <si>
    <t xml:space="preserve">  الحمامات سييييييئه ومعدوووووومه جدًا والريحه لا تطااااااق Friday, July 31, 2026 </t>
  </si>
  <si>
    <t>محلات تقديم المشروبات كوفي شوب
اسم العلامة التجارية:وايت هارت
عدد الفروع:7
المدينة:جدة
تفاصيل استفسارك:استفسر على موقع كشك للإيجار الموقع محطة الدرب في الأمير فواز</t>
  </si>
  <si>
    <t xml:space="preserve">بشرى </t>
  </si>
  <si>
    <t xml:space="preserve"> ثامر عبيد الحربي</t>
  </si>
  <si>
    <t xml:space="preserve">   MK003</t>
  </si>
  <si>
    <t xml:space="preserve">عبدالله الجهني </t>
  </si>
  <si>
    <t xml:space="preserve"> حمام النساء وصخ جدا ولا فيه اهتمام بالنظافة ويحتاج لصيانة ولكن المصلى مظيق ومعطر ويعطيكم العافية Thursday, July 30, 2026 </t>
  </si>
  <si>
    <t>وصف الاستثمار (أرض أم محطة): أرض المساحة: 503.404 الف متر الموقع: الطريق السريع بين المدينة المنورة والقصيم لها رخصة بناء محطة: نعم تفاصيل استفسارك: يسرنا أن نطرح عليكم فرصة استثمارية واعدة تتمثل في أرض تجارية بموقع استراتيجي وحيوي على الخط السريع الرابط بين المدينة المنورة ومنطقة القصيم، قبل محافظة الحناكية، وهو من الطرق الرئيسية ذات الحركة المرورية العالية على مدار العام. مميزات الموقع: • موقع مباشر على الخط السريع الحيوي بين المدينة المنورة والقصيم • مناسب لإنشاء محط وقود متكاملة وخدمات مساندة • كثافة مرورية عالية وفرصة تشغيلية واستثمارية مميزة • جاهزية كاملة للبدء بالمشروع بيانات العقار: • المساحة: 503,404 الف متر • نوع العرض: بيع أو تأجير مباشر من المالك مساحة المحطة : 57.000 الف متر المحطة فئة ( أ ) كما تم بحمد الله استكمال جميع التصاريح الحكومية اللازمة للمشروع، بالإضافة إلى إعداد المخطط الهندسي الخاص بالمحطة، مما يختصر الوقت والإجراءات ويمنح المشروع جاهزية فورية للتنفيذ.</t>
  </si>
  <si>
    <t xml:space="preserve">المدينه </t>
  </si>
  <si>
    <t>فرصة استثمارية مدينة ساجر محطة وقود</t>
  </si>
  <si>
    <t xml:space="preserve">المدينه المنوره طريق الرياض درايف ثرو </t>
  </si>
  <si>
    <t xml:space="preserve"> سعد عويض الحربي</t>
  </si>
  <si>
    <t xml:space="preserve"> راحت الله</t>
  </si>
  <si>
    <t xml:space="preserve">تبوك </t>
  </si>
  <si>
    <t>تخصصي قانون وعندي بحث للجامعة عن 5 شركات وقود وصراحة اخترت محطات درب لانكم مميزين بخدماتكم ابي اتواصل مع شخص يفيديني في بحثي اذا امكن ويكون تواصل مسترسل مثال رؤوس اقلام على استفساراتي:
        1- في حال هروب الشخص من عدم الدفع وش الية الاسترداد 
        2- كيفية رصد السيارة بناء على رقم اللوحة 
        3- نوع الكاميرا المستخدم في المحطات لرصد هذه الحالات 
4- طريقة المراقبة وعدد الكاميرات في المحطات.</t>
  </si>
  <si>
    <t>تمت الافادة وشكرنا على التجاوب</t>
  </si>
  <si>
    <t>احمد العمر</t>
  </si>
  <si>
    <t>جود الله السلمي</t>
  </si>
  <si>
    <t xml:space="preserve">  لدي خبرة 5 سنوات في مجال البنشر وصيانة الإطارات في مدينة الرياض.
أرغب في استئجار محل بنشر في إحدى محطاتكم المميزة على الطرق السريعة:
- طريق الرياض - جدة
- طريق الرياض - القصيم
- طريق الرياض - الدمام
مستعد للالتزام بجميع الشروط والأنظمة ولدي القدرة المالية. رقم الجوال: 0593605152
</t>
  </si>
  <si>
    <t>اتمنى يصير في دفع مسبق مصل كرت نذخر فيه حق البنزين ويكون في جمع نقاط وعروض وكوبونات</t>
  </si>
  <si>
    <t xml:space="preserve">اكمال التواصل مع التاجير لاستكمال الاستحواذ من شركة البيك </t>
  </si>
  <si>
    <t>حياك الله استاذ احمد. شكرا على اقتراحك وصتك يهمنا نعمل حاليا على تطوير تجربتك في محطات درب وسيتم الاطلاق قريبا 🧡</t>
  </si>
  <si>
    <t xml:space="preserve">تم ارسال ايميل أ.فواز للمتابعة </t>
  </si>
  <si>
    <t>جارالله المالكي</t>
  </si>
  <si>
    <t xml:space="preserve">ياسر خضر </t>
  </si>
  <si>
    <t xml:space="preserve">عبدالعزيز </t>
  </si>
  <si>
    <r>
      <rPr>
        <rFont val="Calibri"/>
        <b/>
        <color rgb="FF434343"/>
        <sz val="10.0"/>
      </rPr>
      <t>يوم الاثنين الساعة 4:19 عصرا العمالة سلوكهم سيئ  ينافخون ويرفعون اصواتهم اكثر من مره اللي حصل طلبت وين مكان الاحمر وهو كان يكلم واحد وطنشني ولمن خلص مارجع جاوبني وسالته يقول اصبر واكثر من مره مع زبون غيري نفس التصرف</t>
    </r>
    <r>
      <rPr>
        <rFont val="Calibri"/>
        <b/>
        <color rgb="FFFF9900"/>
        <sz val="10.0"/>
      </rPr>
      <t xml:space="preserve">  - تم التواصل وحل الاشكالية </t>
    </r>
  </si>
  <si>
    <t xml:space="preserve">عرض استثماري 12 محطه </t>
  </si>
  <si>
    <t xml:space="preserve"> ارغب بتأجير محطات وقود بمساحات ٢٣٠٠٠ م مسطح</t>
  </si>
  <si>
    <t>عبداللله الحربي</t>
  </si>
  <si>
    <r>
      <rPr>
        <rFont val="Calibri"/>
        <color rgb="FF131825"/>
        <sz val="9.0"/>
      </rPr>
      <t xml:space="preserve">يوم الاربعاء الساعه 6:53 ص عبيت بـ 15 ريال شبكة بنزين احمر كامري هايبر 2026 ومشيت واكتشفت ان العامل ماعبى لي ابي اتاكد من مبلغ التعبئة </t>
    </r>
    <r>
      <rPr>
        <rFont val="Calibri"/>
        <color rgb="FFFF9900"/>
        <sz val="9.0"/>
      </rPr>
      <t>-تم التواصل وافادة العميل بانه تم التعبئة ومرفق اثبات افاد مايحتاج ولكن مستغرب انه ما اتحرك العداد</t>
    </r>
  </si>
  <si>
    <t xml:space="preserve">تم التأكد من  التعبئة </t>
  </si>
  <si>
    <t xml:space="preserve"> قاسم</t>
  </si>
  <si>
    <t xml:space="preserve"> Unconfirmed</t>
  </si>
  <si>
    <t xml:space="preserve">صادق </t>
  </si>
  <si>
    <t>استفسار عدم التجاوب</t>
  </si>
  <si>
    <t xml:space="preserve">  بنشر وغيار زيت</t>
  </si>
  <si>
    <t>استفسار عن طلب سابق - تاجير محل بالرياض</t>
  </si>
  <si>
    <t>sama</t>
  </si>
  <si>
    <t>MK311</t>
  </si>
  <si>
    <t xml:space="preserve">نبا ماكدونالدز
</t>
  </si>
  <si>
    <t xml:space="preserve">احمد سويد </t>
  </si>
  <si>
    <t xml:space="preserve">  محمد بن عويض الحارثي</t>
  </si>
  <si>
    <t xml:space="preserve">محل مغسلة كلين كار 
</t>
  </si>
  <si>
    <t>h لاولى جنوب الطايف قيا بالحارث /الثانيه جنوب الطايف الجبوب
 مالك - هذا رقم الوالد صاحب المحطات  0504722106</t>
  </si>
  <si>
    <t xml:space="preserve">يستفسر عن سياره اب وتمت افادته </t>
  </si>
  <si>
    <t xml:space="preserve">فهد العتيبي </t>
  </si>
  <si>
    <t>علي الزهراني</t>
  </si>
  <si>
    <t>عفيف</t>
  </si>
  <si>
    <t xml:space="preserve">حابين نقدم عمليه تنظيم الوقود بالشرايح الذكيه </t>
  </si>
  <si>
    <t>المساحه تقريباً 1000 محطة الموقع عفيف نعم لها رخصة بناء</t>
  </si>
  <si>
    <t xml:space="preserve">عندنا برنامج ونبي نعمل شراكة معكم فكرته راح تعجبكم </t>
  </si>
  <si>
    <t xml:space="preserve">مؤيد ناصر </t>
  </si>
  <si>
    <t xml:space="preserve">منطقه القصيم </t>
  </si>
  <si>
    <t xml:space="preserve">عرض محطه منطقه القصيم - 10 الاف متر -المالك </t>
  </si>
  <si>
    <t>نايف المسعدي</t>
  </si>
  <si>
    <t xml:space="preserve"> AS085</t>
  </si>
  <si>
    <r>
      <rPr>
        <rFont val="Calibri"/>
        <b/>
        <color theme="1"/>
      </rPr>
      <t xml:space="preserve">شرطه خيبر- جاني شكاوي كثير من اهل المنطقه بخصوص عمالكم اول شي ماعندهم اقامات ويقول واحد عبي بنزين يعبي له ديزل واذا جا واحد يقوله عي ديزل يعبي بنزين وفي مصري شايف  نفسه وعندي رقم مدير المنطقه عبد البساط مايرد ابدا   -افاد استاذ علام
</t>
    </r>
    <r>
      <rPr>
        <rFont val="Calibri"/>
        <b/>
        <color rgb="FFFF9900"/>
      </rPr>
      <t xml:space="preserve">تم التواصل مع الشرطة وقفلنا معاهم الموضوع والعسكري قال انه هيقفل الشكاوي من عنده وصاحب المحطة السعودي رايح القسم  
ولكن تم التواصل مع صاحب المحطة ونبهنا عليه علي مشكله العماله ورايح القسم الحين  وسيتم حل المشكله وهيجيب العماله معاه من هناك
و ان المحطة وقفت تقدم الخدمة خلال هذا الوقت لان الشرطه اخذت العماله كلها الساعه 11:22م
</t>
    </r>
  </si>
  <si>
    <t>المدينة المنورةدرب فرع السلام 1 يوليو 2026 8:24 عبيت ب ٤٠﷼ وبلغت العامل عن عرض كفرات بلس وأسلوب العامل بالرد كان سيئ جدا حيث أنه قال ماعرف عن العرض يلا روح ويأشر بيده</t>
  </si>
  <si>
    <t>عمار الحقباني</t>
  </si>
  <si>
    <r>
      <rPr>
        <rFont val="Calibri"/>
        <b/>
        <color rgb="FF434343"/>
        <sz val="10.0"/>
      </rPr>
      <t xml:space="preserve">
لارض على الدائري الثاني  بعد دوار الملك عبد العزيز المتجه الى الراشد مول     مساحتها الاجمالية 7550م٢ على واجهتين طولها على الدائري 110م.                                   
 </t>
    </r>
    <r>
      <rPr>
        <rFont val="Calibri"/>
        <b/>
        <color rgb="FF434343"/>
        <sz val="10.0"/>
        <u/>
      </rPr>
      <t>https://maps.app.goo.gl/pnfLAjgecq7Eiisj8</t>
    </r>
    <r>
      <rPr>
        <rFont val="Calibri"/>
        <b/>
        <color rgb="FF434343"/>
        <sz val="10.0"/>
      </rPr>
      <t xml:space="preserve">         </t>
    </r>
  </si>
  <si>
    <t xml:space="preserve">احسان </t>
  </si>
  <si>
    <t>قاسم حامدي</t>
  </si>
  <si>
    <t>عرض خدماته وتم افادته بارسال البروفايل على الايميل</t>
  </si>
  <si>
    <t>نادر</t>
  </si>
  <si>
    <t>درب في الخمرة محافظة جدة 1/ 7/ 2026 4:56 Am بخصوص العرض اللي ارسلتوه لي كلمت العامل وقلي مافي معلوم</t>
  </si>
  <si>
    <t>حياك الله في درب أستاذ حسين نأسف لتجربتك بامكانك الاستفادة من العرض عبر الـQR code يومك سعيد🧡</t>
  </si>
  <si>
    <t xml:space="preserve">ارض مساحه 11 الف م يوجد رخصه-مالك </t>
  </si>
  <si>
    <t>توصلون طلب لبيت</t>
  </si>
  <si>
    <t>اميره</t>
  </si>
  <si>
    <t xml:space="preserve">بنشر عجلات </t>
  </si>
  <si>
    <t xml:space="preserve">تميم </t>
  </si>
  <si>
    <t xml:space="preserve">من الشركه العالميه الرقمية العالميه - تطوير محطات وتشغيل الاعمال اوتوميشن فيو باي- عندها استفسارات </t>
  </si>
  <si>
    <t xml:space="preserve">تم افادتها بارسال البروفايل على الايميل </t>
  </si>
  <si>
    <t xml:space="preserve">ارض 4500م يوجد رخصه-وكيل  مخطط نمار2030 </t>
  </si>
  <si>
    <t>درب طريق المدينة 30g06 6 pm طلبت العامل يعطني اوفر تغير الكفرات يقول مافي معلوم</t>
  </si>
  <si>
    <t xml:space="preserve">استفسار عن تعبئه في جاللون </t>
  </si>
  <si>
    <t>هذا مو رقم فرع تربه؟</t>
  </si>
  <si>
    <t xml:space="preserve">تاجير محل - محطه الرياض طريق الامير  قيد الانشاء - المالك </t>
  </si>
  <si>
    <r>
      <rPr>
        <rFont val="Calibri"/>
        <b/>
        <sz val="9.0"/>
      </rPr>
      <t>[</t>
    </r>
    <r>
      <rPr>
        <rFont val="Calibri"/>
        <b/>
        <color rgb="FF1155CC"/>
        <sz val="9.0"/>
        <u/>
      </rPr>
      <t>H.HK</t>
    </r>
  </si>
  <si>
    <t>Accounts Bailasan Grove</t>
  </si>
  <si>
    <t xml:space="preserve">حسن اليامي </t>
  </si>
  <si>
    <t xml:space="preserve">ارض مساحه 5000م وكيل </t>
  </si>
  <si>
    <t xml:space="preserve">Bailasan grove company wants to know the pricing or quotation for Drab petrol fuel cards - بطائق شحن </t>
  </si>
  <si>
    <t xml:space="preserve">تمت افادته نعمل على تطوير تجربتك الخ </t>
  </si>
  <si>
    <t xml:space="preserve">مؤسسه حسن اليامي مغسله سيارات </t>
  </si>
  <si>
    <t>ازدهار سليمان محمد غندوره</t>
  </si>
  <si>
    <t>السلام عليكم ورحمة الله وبركاته تواصلت مع شركه درب هاتفيا ورفعتم طلب للتواصل معي بخصوص أرض املكها
اود ان تستأجرها شركه درب إذا اردتم استجارها ولم يتواصل معي احد حتى الان الارض تقع بالمدينه المنوره حي الجامعه مساحتها 1020 متر مربع
تحياتي</t>
  </si>
  <si>
    <t xml:space="preserve"> توصلون طلبات ؟
</t>
  </si>
  <si>
    <t xml:space="preserve">سامي العنزي
</t>
  </si>
  <si>
    <t xml:space="preserve">يحيى علي هزازي </t>
  </si>
  <si>
    <t xml:space="preserve">قايل للعامل عبي فل احمر يعبي اخضر مدري وش وضعه ؟؟
الثلاثاء، 12 مايو 2026 في 10:51 ص
</t>
  </si>
  <si>
    <t xml:space="preserve">عدم توفر جراكل بنزين في المحطه </t>
  </si>
  <si>
    <t>Khaled sawwah</t>
  </si>
  <si>
    <t>توفر جركل</t>
  </si>
  <si>
    <t>انا سجلت فالمسابقة عشان افوز مو ترسلون لي اعلانات</t>
  </si>
  <si>
    <t xml:space="preserve">عبدالاله </t>
  </si>
  <si>
    <t xml:space="preserve">تركي عبدالله </t>
  </si>
  <si>
    <t>أرض مرخصة  - 2000م</t>
  </si>
  <si>
    <t xml:space="preserve">يستفسر عن اسعار المحلات التجاريه محل عصيرات </t>
  </si>
  <si>
    <t>عبدالعزيز الحربي</t>
  </si>
  <si>
    <t xml:space="preserve">عبدالله عبد العزيز محمد يماني </t>
  </si>
  <si>
    <t xml:space="preserve">العمال كلهم رافضين تعبئه البنزين وواقفين يتخبو ورا المضخات  وتعاملهم سيئ واخلاقهم - وطلب العميل مراجعه الكاميرات منهم لتصعيد الشكوى - الوقت الاحد الساعه 10:22 مساء - لوحه السياره ح-ط-ل , 4329 - لكزس اسود </t>
  </si>
  <si>
    <t>يزيد</t>
  </si>
  <si>
    <t xml:space="preserve">سلطان غانم </t>
  </si>
  <si>
    <t>ارض مساحه 300- مالك</t>
  </si>
  <si>
    <t>بدال العرض ابو 150عطوني بنزيم 50</t>
  </si>
  <si>
    <t xml:space="preserve">حايل </t>
  </si>
  <si>
    <t xml:space="preserve">العميل يرغب بتعبئه الجالون </t>
  </si>
  <si>
    <t>العميل بالمحطه ولا يوجد جوالين حاليا 
وقد تم طلبها وبانتظار توفرها من المستودع وارسالها لحائل 
تم اخبار العميل ان يأتي بجالون وسيتم التعبئه له</t>
  </si>
  <si>
    <t xml:space="preserve">لم يتم الرد 3 مرات </t>
  </si>
  <si>
    <t>تمت افادته بالعرض</t>
  </si>
  <si>
    <t xml:space="preserve">طلال </t>
  </si>
  <si>
    <t xml:space="preserve">في مشكله بالحمام - تم التواصل مرتين مغلق ولايجييب </t>
  </si>
  <si>
    <t>حسن عبد الرحيم</t>
  </si>
  <si>
    <t xml:space="preserve">ياسر محمد </t>
  </si>
  <si>
    <t>سجلت بياناتي على الرابط عبر الباركود للاستفادة من الغسيل المجاني للسيارة وما عطتيوني الكوبون ؟الأمر الآخر الخصم ١٥٠ حق الكفر كفر او كفرين ولا لازم يكون طقم كامل</t>
  </si>
  <si>
    <t>حياك الله في درب أستاذ حسن سيتم افتتاح المغسلة قريبا وسيتم التواصل معك من قبل الشريك يومك سعيد 🧡</t>
  </si>
  <si>
    <t xml:space="preserve">مشعل </t>
  </si>
  <si>
    <t xml:space="preserve"> MK300</t>
  </si>
  <si>
    <t xml:space="preserve">العامل عبى له اخضر بدل احمر وكان اسلوبه مستفز ويقول وين كفيلك يستهبل عليه ويقوله بلندن العميل عبى ب20 ريال الساعه 2:40 اللظهر سيارته كورلا س ر ا اللوحه:4522 العميل زعلان ومعصب لانه عبى بنزين مختلف </t>
  </si>
  <si>
    <t xml:space="preserve">        محطه الامير فواز جده -غسيل سيارات - المالك - اول مره   </t>
  </si>
  <si>
    <t>وسيم المجنوني</t>
  </si>
  <si>
    <t>الاستفسار:متى يخلص العرض حق عبي بنزين ب٤٠ ويجيك خصم على الكفرات</t>
  </si>
  <si>
    <t xml:space="preserve"> محمد فؤاد جمي</t>
  </si>
  <si>
    <t xml:space="preserve"> JA348</t>
  </si>
  <si>
    <t xml:space="preserve"> عندي استفسار بخصوص عبيت في محطة لكم في صبيا مقابل السروات موتري كان ناقص عن الفل حاجه بسيطه عبيت ب 58 ونا بالعاده اعبي 25 =30 ف ارجو التأكد من سلامة الطرمبه تبعكم وشكرا سيارته  هايلوكس </t>
  </si>
  <si>
    <t xml:space="preserve">انا كل يوم اعبي سيارتي من محطاتكم
</t>
  </si>
  <si>
    <t>الحمامات جدا وسخة ولا يوجد ادوات نظافة فرع البغدادية بجانب لولو هايبر</t>
  </si>
  <si>
    <t xml:space="preserve">محطه يوجد رخصه مساحه2000م -مستثمر </t>
  </si>
  <si>
    <t>ج</t>
  </si>
  <si>
    <t xml:space="preserve">مدير المبيعات في شركة الحلول </t>
  </si>
  <si>
    <t>طلب غير مكتمل التفاصيل - بانتظار الرد</t>
  </si>
  <si>
    <t xml:space="preserve">صاحب شركه نقليات للخدمات البتروليه والنقل - جازان - المالك </t>
  </si>
  <si>
    <t xml:space="preserve">درايف ثرو بنفسج كوف لديه اربع فروع -مالك </t>
  </si>
  <si>
    <t>رائد</t>
  </si>
  <si>
    <t>استفسار غير مكتمل التفاصيل - بانتظار الرد</t>
  </si>
  <si>
    <t xml:space="preserve">عبدالله باحفيظ </t>
  </si>
  <si>
    <t>يوم الثلاثاء الساعه 4:45 طلبت اعبي ديزل ب50 والعامل عبى بنزين والحين متعطل بالمحطه ابي اللافادة وش الاجراء محد بالمحطه لا مدير ولا مشرف والسياره تبع شركة مو حقتي اروح احملها سحطه و</t>
  </si>
  <si>
    <t>عبدالله سليمان</t>
  </si>
  <si>
    <t xml:space="preserve">كم سعر الكفرات
</t>
  </si>
  <si>
    <r>
      <rPr>
        <rFont val="Calibri"/>
        <b/>
        <color theme="1"/>
      </rPr>
      <t xml:space="preserve">شركه عماله- </t>
    </r>
    <r>
      <rPr>
        <rFont val="Calibri"/>
        <b/>
        <color rgb="FFFF9900"/>
      </rPr>
      <t>تمت الافاده بارسال الملف التعريفي للشركه عبر الايميل</t>
    </r>
  </si>
  <si>
    <t>أريد التقديم في طلب وظيفة في المنطقة الشرقية كوني مهندس مدني وعملت على إشراف ومتابعة التنفيذ على عدة محطات البنزين ومجمعات تجارية . ولي الخبرة الكافية بعد مشيئة الله في أعمال متابعة وتنفيذ محطات البنزين .</t>
  </si>
  <si>
    <t>تم تحويل الطلب الى ايميل Career@darbstations.com.sa</t>
  </si>
  <si>
    <t xml:space="preserve">حسان الطارقي </t>
  </si>
  <si>
    <t>Marwan</t>
  </si>
  <si>
    <t>ابي كفر واحد بس ددسن غمارتين موديل 2012🥲🥲</t>
  </si>
  <si>
    <t>حياك الله في درب بامكانك الاطلاع على تفاصيل الاسعار من حسابات الشريك كفرات بلس 🧡</t>
  </si>
  <si>
    <t>انا اشتغلت في عده مجالات قد اشتغلت في الملابس رجالي والسوبر ماركت وكاشير محاسب في برنامج الاصيل الذهبي ومدير مستودع في الرياض لشركه ركين</t>
  </si>
  <si>
    <t>احمد الخطابي</t>
  </si>
  <si>
    <t>التاريخ:31/7/2026 الوقت: 3:44 شكوى/اقتراح: انا عبيت في محطه درب النواريه وكان حسابي 25 ريال والعامل سحب مني 50 ريال بنزين 95 تايوتا اوريون 2009 رقم اللوحه: ا ق د 4187</t>
  </si>
  <si>
    <t xml:space="preserve">تم افادته المبلغ موجود وبامكانه التوجه للمحطة لاستلامه </t>
  </si>
  <si>
    <t xml:space="preserve">وسوم </t>
  </si>
  <si>
    <t xml:space="preserve">هل العرض موجود في فرع النوارية
</t>
  </si>
  <si>
    <t>علي الدوسري</t>
  </si>
  <si>
    <t xml:space="preserve"> ابو فيصل</t>
  </si>
  <si>
    <t>وظيفة</t>
  </si>
  <si>
    <t xml:space="preserve"> عن موقع ارض تابع لشركة درب معروضه للبيع وافدوني أنها للبيع
أمل إفادتي هل هي للبيع https://maps.app.goo.gl/LnkVbaQ3vnfdi82C6?g_st=ic
مخطط القديره مساحات ٥٠٠</t>
  </si>
  <si>
    <t>ابو عبدالله</t>
  </si>
  <si>
    <t>كم الخصم</t>
  </si>
  <si>
    <t xml:space="preserve">العميل يفيد ان واحد من عمال المحطه دايم يشحت فلوس ريال او ريالين ويتعمد يتاخر عليهم اذا ماعطوه يعني يمشيهم اسرع اذا احد اعطاه فلوس العميل يقول انه يشتغل بالمنطقه الوسطى (سالت عن اسمه مايدري) ذي مو اول مره دايم تتكرر الحركه  </t>
  </si>
  <si>
    <t xml:space="preserve">فزت بكوبون بنزين وين اتوجه اذا وصلت المحطة </t>
  </si>
  <si>
    <t xml:space="preserve">سنباي </t>
  </si>
  <si>
    <t xml:space="preserve">دايم اعبي اكثر من ٤٠
</t>
  </si>
  <si>
    <t>6 فروع - واحد برجر</t>
  </si>
  <si>
    <t xml:space="preserve">          </t>
  </si>
  <si>
    <t xml:space="preserve">تسال عن محلات عندنا قلت فقط هم شركاء </t>
  </si>
  <si>
    <t>سند عائد ابو غالية</t>
  </si>
  <si>
    <t xml:space="preserve">كم سعر الكفر؟
</t>
  </si>
  <si>
    <t>راجح الثبيتي</t>
  </si>
  <si>
    <t>اتشرف بتقديم طلب التوظيف هذا للانضمام إلى فريق عملكم المتميز ،أنا راجح الثبيتي ،أتمتع بخبره في مجال الاداره، ولدي المهارات التي اعتقد انها ستساهم في نجاح فريقكم ارفق لكم سيرتي الذاتية لمراجعتها ،واتنمى ان تتاح لي الفرصه للمساهمه في تحقيق أهداف شركتكم أشكركم على وقتكم وتفهمكم،وأتطلع إلى فرصه لمقابلتكم ومناقشة كيفية تحقيق النجاح المشترك مع خالص التحيه . راجح الثبيتي 0583303414 rajeh_33_a@hotmail.com</t>
  </si>
  <si>
    <t xml:space="preserve">7assan </t>
  </si>
  <si>
    <t>عبدالله السلمي</t>
  </si>
  <si>
    <t xml:space="preserve">ديزال - جركل </t>
  </si>
  <si>
    <t>وين العرض ؟</t>
  </si>
  <si>
    <t xml:space="preserve">ارض بمساحة تقريباً 3000 وعلى شارعين ونافذ بالدمام وعليها تصريح محطة </t>
  </si>
  <si>
    <t>تركي السهلي</t>
  </si>
  <si>
    <t xml:space="preserve"> مشعل </t>
  </si>
  <si>
    <t xml:space="preserve">	السلام عليكم ورحمة الله وبركاته، السادة/ شركة درب الوقود المحدودة المحترمين أتقدم إليكم بطلب التوظيف على وظيفة مشرف محطة، حيث أمتلك الرغبة الجادة في العمل وتحمل المسؤولية والإشراف على سير العمل وتنظيم المهام ومتابعة الموظفين وخدمة العملاء بما يحقق أهداف الشركة ويرفع مستوى الأداء. أتميز بالالتزام والانضباط والقدرة على العمل تحت ضغط وتحمل مسؤوليات الوظيفة، وأسعى للانضمام إلى فريق عملكم والمساهمة في تطوير العمل وتحقيق أفضل النتائج. آمل التكرم بالنظر في طلبي، ويسعدني حضور المقابلة الشخصية في الوقت الذي ترونه مناسباً. وتفضلوا بقبول خالص الشكر والتقدير. الاسم: تركي نايف الحربي رقم الجوال :0510146393</t>
  </si>
  <si>
    <t xml:space="preserve">كم اجمالي فروع محطات درب؟ في السعودية وشكراً لكم
</t>
  </si>
  <si>
    <t xml:space="preserve">عبولي بنزين مجاني
</t>
  </si>
  <si>
    <t>تمت افادته بالعرض ومتابعتتا على المنصات</t>
  </si>
  <si>
    <t xml:space="preserve">نبي محطة في العكيشية ولي العهد لي ما تفتحوا لنا </t>
  </si>
  <si>
    <t xml:space="preserve">محمد فضل </t>
  </si>
  <si>
    <t>اكاديميه درب</t>
  </si>
  <si>
    <t>ابو عيد السلمي</t>
  </si>
  <si>
    <t>السلام عليكم ورحمه الله وبركاته كل عام وانتم بخير محمد فضل محاسب عام خبرة أكثر من 6 سنوات في الشركات المؤهلة لإدارة وتشغيل محطات الوقود في المملكه ابحث عن فرصة عمل إذا متوفر لديكم شاكر ومقدر لكم</t>
  </si>
  <si>
    <t>عروض بنزين</t>
  </si>
  <si>
    <t>حسام</t>
  </si>
  <si>
    <t xml:space="preserve"> يسرنا في أكاديمية درب الأبطال لكرة القدم أن نتقدم إليكم بخالص التحية والتقدير، معبرين عن اعتزازنا بما تقدمه شركتكم الموقرة من دور بارز في دعم المجتمع، وإسهاماتها المتميزة في تعزيز المبادرات الرياضية والشبابية، بما يعكس مسؤوليتها المجتمعية ورؤيتها الطموحة.
وانطلاقًا من رسالتنا في إعداد وتأهيل المواهب الرياضية، نتطلع إلى بناء شراكة استراتيجية مع شركة درب الوقود المحدودة، تكون بداية لتعاون طويل الأمد يخدم الطرفين ويسهم في دعم الرياضة والفئات السنية المختلفة.
وفي هذا الإطار، نأمل منكم التكرم بالموافقة على ما يلي:
* السماح بوضع شعار شركة درب الوقود المحدودة على صدر تيشيرتات الأكاديمية، ليكون الشعار في الموقع الرئيسي للزي الرسمي، بما يعكس مكانة الشركة كشريك داعم للأكاديمية.
* التكفل بتكلفة الأطقم الرياضية الخاصة بالأكاديمية، والبالغ عددها (250) طقمًا رياضيًا، بإجمالي تكلفة 7,350 ريال سعودي، لتكون الانطلاقة الأولى لهذه الشراكة المباركة.
وفي المقابل، تلتزم أكاديمية درب الأبطال بإبراز شعار شركة درب الوقود المحدودة في جميع المشاركات الرسمية للأكاديمية، وعلى رأسها بطولات الاتحاد السعودي لكرة القدم بمختلف الفئات العمرية، إضافة إلى ظهوره في الأنشطة والفعاليات والمشاركات الإعلامية والتسويقية الخاصة بالأكاديمية، بما يعزز الحضور التسويقي للشركة ويؤكد دورها في دعم القطاع الرياضي.
كما نؤكد تطلعنا إلى أن تكون هذه المبادرة بداية لشراكة استراتيجية مستقبلية، تتوسع من خلالها مجالات التعاون بين الطرفين، وصولًا إلى تنفيذ مشاريع رياضية وتنموية مشتركة تخدم المجتمع، وتسهم في صناعة جيل رياضي واعد، مع إمكانية التوسع في عدة مدن داخل المملكة العربية السعودية وفق رؤية مشتركة تحقق الأهداف والطموحات للطرفين.
ويسعدنا ترتيب اجتماع مع إدارتكم الكريمة لعرض الملف التعريفي لأكاديمية درب الأبطال، واستعراض رؤيتنا وخططنا المستقبلية، ومناقشة فرص التعاون والشراكة بما يحقق المنفعة المتبادلة بإذن الله.
شاكرين لكم حسن اهتمامكم، ومتطلعين إلى تعاون مثمر يجسد الشراكة بين القطاع الرياضي والقطاع الخاص، ويسهم في خدمة شباب الوطن وتحقيق مستهدفات رؤية المملكة 2030.
وتفضلوا بقبول فائق الاحترام والتقدير،،،
أكاديمية درب الأبطال لكرة القدم
للتواصل: 0554865560البريد الإلكتروني: heroespathacademy@gmail.com
مرفق: تصور للزي الرسمي للأكاديمية متضمنًا شعار شركة درب الوقود المحدودة في الموقع المقترح على صدر القمي</t>
  </si>
  <si>
    <t>شركة الاحمدي - سيارة اب</t>
  </si>
  <si>
    <t>عبدالله المعالي</t>
  </si>
  <si>
    <t xml:space="preserve">	اتمنى الحصول على فرصة وظيفية في - الساحل الجنوبي ( الليث ، القنفذة ، المظيلف ، القوز ، حلي ) املك خبره ثلاث سنوات في الادارة ، اعمل حالياً في شركة نابكو الوطنية ، ك مشرف مستودعات .</t>
  </si>
  <si>
    <t xml:space="preserve">الدائري الشمالي درايف - 6ويتش - التواصل واتس اب </t>
  </si>
  <si>
    <t xml:space="preserve"> 20/2/1448الساعه 1.50
شكوي / أثناء زياره المحطه لتزود بالوقود والانتظار مده طويله عند جهاز التعبئة لايوجد اي عمال عند الجهاز وكان هناك عمال عند جهاز التعبئة في مسار آخر وعند سواله أين العامل في هذا المسار كان رده ايش دخله بهذا الموضوع وقام بالسب والشتم وقول ألفاظ بذيئة</t>
  </si>
  <si>
    <t xml:space="preserve">الأزرق </t>
  </si>
  <si>
    <t>كم العرض</t>
  </si>
  <si>
    <t>عارف فرج حسن اليامي</t>
  </si>
  <si>
    <t xml:space="preserve">ايمن </t>
  </si>
  <si>
    <t>‭055 334 9777‬</t>
  </si>
  <si>
    <t>صلاح</t>
  </si>
  <si>
    <t xml:space="preserve"> MK154</t>
  </si>
  <si>
    <t>مساحة الأرض: 2,500 متر مربع.- صك ملكية مستقل.- الهيكل الإنشائي للمشروع مكتمل.- المتبقي: أعمال التشطيبات والتجهيزات النهائية فقط.- المشروع مناسب لتشغيل محطة وقود ومجمع خدمات متكامل.</t>
  </si>
  <si>
    <t xml:space="preserve">العميل يقول العامل حط غطاء التانكي مو في مكانه وبعد ما شال الخرطوم الغطا ضرب في البودي حق السياره -سيارته رينو اللوحه9909ابيض مو متاكد من الساعه لكن يقول بين9و10 الليل يوم الاحد 2/8 - العميل مادفع حسابه لسه اللي هو94 وقال لمدير المحطه ترا مابدفع عشان استهبالكم قال لاتدفع روح يعني مو مهتم ابدا العميل بيرجع يدفع بس يبغا يتكلم مع احد محترم </t>
  </si>
  <si>
    <t xml:space="preserve">	السادة/ شركة درب للوقود المحترمين... السلام عليكم ورحمة الله وبركاته وبعد... أتقدم إليكم بطلب وظيفة لدى شركتكم، حيث أنني أطمح للعمل ضمن فريق عملكم، واستغلال مهاراتي وخبراتي في مجال محطات الوقود لخدمة أهداف الشركة. أرفق لكم مع هذا المعروض سيرتي الذاتية التي تحتوي على المزيد من التفاصيل حول خبراتي ومؤهلاتي، وأتطلع إلى فرصة لإجراء مقابلة شخصية. شكرًا جزيلاً على وقتكم واهتمامكم، وآمل أن أكون ضمن فريقكم. وتفضلوا بقبول فائق الاحترام والتقدير. الاسم: صلاح العماري رقم الجوال: </t>
  </si>
  <si>
    <t>باسم</t>
  </si>
  <si>
    <t>عن خصم كفرات بلس</t>
  </si>
  <si>
    <t xml:space="preserve">سلطان المالكي </t>
  </si>
  <si>
    <t xml:space="preserve">سلطان عبدالله العطوي
 </t>
  </si>
  <si>
    <t xml:space="preserve">MK072 </t>
  </si>
  <si>
    <t xml:space="preserve">مشعل السلمي </t>
  </si>
  <si>
    <t>استفسار عن طلب سابق رفعت على الويب سايت طلب تاجير ولي 5 ايام محد تواصل معاي "محل تغيير زيوت سياره -اول فرع"</t>
  </si>
  <si>
    <t xml:space="preserve">الساعه 1.50شكوي / أثناء زياره المحطه لتزود بالوقود والانتظار مده طويله عند جهاز التعبئة لايوجد اي عمال عند الجهاز وكان هناك عمال عند جهاز التعبئة في مسار آخر وعند سواله أين العامل في هذا المسار كان رده ايش دخله بهذا الموضوع وقام بالسب والشتم وقول ألفاظ بذيئة
  </t>
  </si>
  <si>
    <t>صالح محمد صالح العماري</t>
  </si>
  <si>
    <t>متى الغسيل المجاني</t>
  </si>
  <si>
    <t xml:space="preserve">نبغا الغسيل المجاني والتضليل
</t>
  </si>
  <si>
    <t xml:space="preserve">Fahd </t>
  </si>
  <si>
    <t xml:space="preserve">سعد عبدالله الغامدي </t>
  </si>
  <si>
    <t xml:space="preserve"> Mk071</t>
  </si>
  <si>
    <t xml:space="preserve"> اسوء عمال في محطة درب لكيعين جداً و اكلمهم دايم مطنشين ووقت التقييم صاروا كويسين
تم التحرير في الاثنين، 3 أغسطس 2026 في 12:31 ص
</t>
  </si>
  <si>
    <t xml:space="preserve">كشك شاهي وقهوه </t>
  </si>
  <si>
    <t>علي الشيخ</t>
  </si>
  <si>
    <t xml:space="preserve">	السلام عليكم ورحمة الله وبركاته بعد التحيه مرفق لكم السيفي أتمنى الاطلاع عليه ويسعدني الانضمام إلى شركتكم الموقره علما باني اعمل في مجال المبيعات والتسويق تحياتي</t>
  </si>
  <si>
    <t>yzn</t>
  </si>
  <si>
    <t xml:space="preserve">ايش انواع الكفرات الموجودة
</t>
  </si>
  <si>
    <t xml:space="preserve">تسال في توصيل </t>
  </si>
  <si>
    <t xml:space="preserve">     iRayan</t>
  </si>
  <si>
    <r>
      <rPr>
        <rFont val="Arial"/>
        <b/>
        <color rgb="FF434343"/>
        <sz val="11.0"/>
      </rPr>
      <t xml:space="preserve">العامل مايرد وغير متجاوب ومعبي لسيارتين قبلي رغم اني قبلهم وهاذي ثاني مره تكرر - Tuesday, May 12, 2026- 14:19:30 </t>
    </r>
    <r>
      <rPr>
        <rFont val="Arial"/>
        <b/>
        <color rgb="FFFF9900"/>
        <sz val="11.0"/>
      </rPr>
      <t xml:space="preserve">- العميل غير متجاوب واغلق الخط </t>
    </r>
  </si>
  <si>
    <t xml:space="preserve">العرض للان اي محطة؟ </t>
  </si>
  <si>
    <t xml:space="preserve">	السلام عليكم ورحمة الله وبركاته أود التقديم على وظيفة لديكم، حيث أمتلك مهارات جيدة في التواصل والتنظيم والتعامل مع العملاء، إضافة إلى سرعة التعلم وتحمل ضغط العمل والحرص على تقديم خدمة احترافية تليق بجهة العمل. أرفقت لكم السيرة الذاتية، وآمل أن أحظى بفرصة للمقابلة والتعرف أكثر على متطلبات الوظيفة. شاكر لكم وقتكم واهتمامكم. مع خالص التحية والتقدير</t>
  </si>
  <si>
    <t xml:space="preserve">استفسار عن تقديم على الوظائف </t>
  </si>
  <si>
    <t>سيف الشهري</t>
  </si>
  <si>
    <t xml:space="preserve">موقع العرض؟ </t>
  </si>
  <si>
    <t xml:space="preserve">الهدا </t>
  </si>
  <si>
    <t xml:space="preserve">اسسسسسوء مغسله سيارات انحاشو تكفون
قسم بالله هاذي نصيحه يعلم الله.
</t>
  </si>
  <si>
    <t>زهدي</t>
  </si>
  <si>
    <t>السادة مسؤولي التوظيف الأفاضل، تحية طيبة وبعد، أنا زهدي الطيب، أخصائي مساعد إداري بخبرة عملية تفوق 5 سنوات في مجالات الإشراف، خدمة العملاء، وإدارة العمليات ، وحاصل على بكالوريوس في إدارة المستشفيات من جامعة الملك عبدالعزيز. خلال مسيرتي المهنية، قمت بالإشراف على فرق عمل متنوعة، وضمان تطبيق معايير الجودة والسلامة، كما عملت على تحسين أساليب تنظيم العمل ومتابعة الأداء بما يسهم في رفع كفاءة بيئة العمل ، تمكنت من إدارة عمليات متعددة في قطاعات مختلفة منها الصحة، النقل، والصيانة، إضافة إلى المشاركة في عدد من المبادرات التطوعية التي عززت من مهاراتي في التنسيق والعمل الجماعي. أتمتع بمهارات تنظيمية وتحليلية قوية، وقدرة على التعامل مع ضغوط العمل بكفاءة، إلى جانب مهارات تقنية متقدمة في برامج Microsoft Office .وإدارة قواعد البيانات أسعى إلى تطبيق خبراتي في بيئة عمل محفزة تدعم التطوير المستمر، وتهدف إلى تحسين جودة الخدمات ودعم أهداف المنشأة، .وأنا على يقين أن مهاراتي وخبراتي ستضيف قيمة حقيقية لفريق عملكم شكرا لوقتكم .وتفضلوا بقبول فائق الاحترام زهدي الطيب .</t>
  </si>
  <si>
    <t>اي محطة؟</t>
  </si>
  <si>
    <t xml:space="preserve">وعد </t>
  </si>
  <si>
    <t xml:space="preserve">مكه </t>
  </si>
  <si>
    <t xml:space="preserve">كشك مغسله ملابس اول مره </t>
  </si>
  <si>
    <t xml:space="preserve">الصبحي </t>
  </si>
  <si>
    <t xml:space="preserve">المغسلة متى ؟ </t>
  </si>
  <si>
    <t xml:space="preserve">سامي العنزي </t>
  </si>
  <si>
    <t xml:space="preserve">	السلام عليكم، أنا حديث تخرج في تخصص إدارة سلاسل الإمداد، وأسعى للحصول على فرصة تمكنني من تطبيق ما تعلمته أكاديميًا واكتساب خبرة عملية تسهم في تطوير مهاراتي المهنية. أتميز بالرغبة في التعلم والتطوير المستمر والعمل ضمن فريق لتحقيق الأهداف المطلوبة. أتطلع إلى فرصة مناسبة أستطيع من خلالها تقديم أفضل ما لدي والمساهمة في نجاح جهة العمل. مع خالص الشكر والتقدير، علي الشهري</t>
  </si>
  <si>
    <t>عاطف المالكي</t>
  </si>
  <si>
    <t>طلب بنزين احمر وعبى له اخضر 10 صباح 41 ريال امس محطه حي النصافه - ب ك د - 3307 ابيض النترا  تم رفع الشكوى برقم 597747688</t>
  </si>
  <si>
    <t>بندر محمد الشلوي</t>
  </si>
  <si>
    <t>عبدالرحمن الهذيلي</t>
  </si>
  <si>
    <t>ارض        الطايف طريق الجنوب الباحه منطقه ابوراكة كبري تربه 11128م لاتوجد رخصة</t>
  </si>
  <si>
    <t>العرض في الرياض؟</t>
  </si>
  <si>
    <t>Battal Al-Mohmadi</t>
  </si>
  <si>
    <t>وليد القحطاني</t>
  </si>
  <si>
    <t xml:space="preserve">العرض في كل الفروع ؟ </t>
  </si>
  <si>
    <t>محطة خميس مشيط طريق الملك فهد - 4000م - مالك</t>
  </si>
  <si>
    <t xml:space="preserve">ريان العوفي </t>
  </si>
  <si>
    <t xml:space="preserve">وسيط عنده محطه عند طريق الملك عبدالله في الدايري </t>
  </si>
  <si>
    <t>الى متى العرض؟</t>
  </si>
  <si>
    <t>وليد عبدالرحمن</t>
  </si>
  <si>
    <t>وظيفة أسمع عن طموحكم العالي، ونفسي أبدأ مسيرتي معكم.</t>
  </si>
  <si>
    <t>محمد الفايدي</t>
  </si>
  <si>
    <t xml:space="preserve">محل - عندي فرع سابق </t>
  </si>
  <si>
    <t xml:space="preserve">عبد الباري ابراهيم الحربي </t>
  </si>
  <si>
    <t xml:space="preserve">هل راح توفرون الياف بالمحطه </t>
  </si>
  <si>
    <t>عارف بن صريح</t>
  </si>
  <si>
    <t xml:space="preserve">تركي  </t>
  </si>
  <si>
    <t xml:space="preserve">عندي محطات في محافظة القريات وحده فيهم من اول المحطات ومغذيه الاولى للمؤسسات والادارات وفي اثنين على الطريق الاقليمي شغلتها قبل بترومين ولتر وبيزول عدت محطات وكلها سيئة واجانب ياليت الي يتواصل معي سعودي ووممثل شرعي ويتواصل معي باللهجة  ابي شركة سعودية - وكيل مباشر مع الملاك </t>
  </si>
  <si>
    <t xml:space="preserve">	سلام عليكم ‏اشتغلت في شركة وعندي خبرة سنة أربع شهور</t>
  </si>
  <si>
    <t>بعد ماطلبنا القطع وصلت ومتعب دفع عربون للوكاله والان ما يرد</t>
  </si>
  <si>
    <t>أسوأ تعامل تهميش الأربعاء، 1 يوليو 2026 في 12:28 ص</t>
  </si>
  <si>
    <t xml:space="preserve">م إبلاغ مدير المحطة والمنطقة  وتوجيههم بفرض معايير احترام وتقدير العملاء وتم تفعيل متابعة ميدانيه مستمرة لمثل هذه الشكوى </t>
  </si>
  <si>
    <t xml:space="preserve">ارسال ايميل لمتعب لمتابعة اجراءات الشكوى </t>
  </si>
  <si>
    <t>abdulaziz</t>
  </si>
  <si>
    <t xml:space="preserve">	I am honored to extend my sincere greetings and express my genuine interest in joining your legal team. I am a recent Law graduate holding a Bachelor’s degree, with 1 year and 4 months of practical experience in the legal field. My experience includes contract drafting and review, preparing legal memoranda and regulations, as well as providing legal advice. In addition, I have obtained professional certifications in Governance, Risk, and Compliance, including: - Governance, Risk Management &amp; Compliance Professional (GRCP) - Governance, Risk &amp; Compliance Auditor (GRCA) I have also completed a specialized training program in Intellectual Property Fundamentals from the World Intellectual Property Organization (WIPO), totaling 55 training hours. I look forward to contributing to your organization’s goals, and I am confident that my legal knowledge, enthusiasm, and commitment to professional growth will make me a valuable addition to your team. Thank you for your time and consideration. Abdulaziz Aljabri</t>
  </si>
  <si>
    <t>omar Ahmad</t>
  </si>
  <si>
    <t xml:space="preserve">أسواء تعامل
الأربعاء، 1 يوليو 2026 في 12:27 ص
</t>
  </si>
  <si>
    <t xml:space="preserve">تم إبلاغ مدير المحطة لفرض معايير احترام وتقدير العملاء وتم تفعيل متابعة مستمرة ميدانيه لمثل هذه الشكاوى </t>
  </si>
  <si>
    <t xml:space="preserve">نواف المرحدي </t>
  </si>
  <si>
    <t xml:space="preserve">محل - المالك مستاجر زينه سيارات ومغسله </t>
  </si>
  <si>
    <t xml:space="preserve">Muhammad Shahadat
</t>
  </si>
  <si>
    <t xml:space="preserve">سلوك الموظفين في هذه المحطة غير جيد. جئت لشراء وقود الأوكتان باستخدام تطبيق سيارة ، لكن الموظفين رفضوا تزويدي به. جميع الموظفين يتعاملون بطريقة سيئة. إذا كنتم لا تقبلون استخدام تطبيق Chaira لشراء الوقود، فأوقفوا التعامل مع التطبيق. وأرجو توجيه موظفيكم لتحسين أسلوب تعاملهم." الثلاثاء، 30 يونيو 2026 في 08:36 م
</t>
  </si>
  <si>
    <t xml:space="preserve">تم ابلاغ مدير المحطة في حينها وافاد ان كود السياره يختلف عن نوع السياره ورقم لوحتها لذلك لم تتم التعبئه </t>
  </si>
  <si>
    <t>السادة شركة "درب" لخدمات الوقود المحترمين، تحية طيبة، وبعد.. بصفتي مالكاً لأرض تجارية متميزة في قلب المسار الأكثر حيوية في المملكة، يسرني أن أعرض عليكم فرصة استثنائية للتوسع في شبكة محطاتكم المرموقة، من خلال استئجار أرض مخصصة لإقامة محطة وقود نموذجية بمواصفات تتوافق مع رؤية وتطلعات شركة "درب" بيانات الفرصة الاستثمارية: الموقع الاستراتيجي: تقع الأرض مباشرة على طريق الهجرة بمدينة المصطفى ﷺ، وهو الشريان الرئيسي الرابط بين مكة المكرمة والمدينة المنورة، مما يجعلها في مواجهة تدفق بشري ولوجستي لا ينقطع على مدار العام. المساحة: 2,400 متر مربع (مساحة مثالية لتصميم محطة متكاملة الخدمات). القيمة التشغيلية: يمتاز الموقع بكثافة مرورية عالية جداً تشمل (الحافلات، الشاحنات، والسيارات الصغيرة)، مما يضمن عائداً تشغيلياً مرتفعاً وسرعة في الوصول لنقطة التعادل (Break-even point). لماذا هذه الأرض هي الخيار الأمثل لشركة "درب"؟ الموقع الذهبي: تقع الأرض في منطقة حيوية تخدم ضيوف الرحمن والمسافرين، مما يعزز من حضور علامة "درب" التجارية في المواقع السيادية. الجاهزية والوضوح: الأرض تمتاز بوضوح المعالم وسهولة المداخل والمخارج وفق اشتراطات وزارة الشؤون البلدية والقروية، مما يسهل عملية استخراج التراخيص وبدء التنفيذ. تكامل الخدمات: المساحة تتيح لكم تطبيق هويتكم الحديثة التي تشمل "تموينات، مقاهي، وخدمات سريعة" بجانب مضخات الوقود. نحن نبحث عن شريك نجاح يضيف للموقع قيمة نوعية، ونرى في شركة "درب" المشغل الأنسب لهذه الأرض. لذا، يسعدنا دعوتكم لمعاينة الموقع ومناقشة بنود الاستئجار طويلة الأمد بما يحقق المصالح المشتركة للطرفين. إحداثيات الموقع الدقيقة. https://www.google.com/maps/place/24.387632,39.546303 نتطلع لتلقي ردكم الكريم وتحديد موعد لمناقشة آفاق التعاون. وتقبلوا خالص التحية والتقدير،،</t>
  </si>
  <si>
    <t xml:space="preserve">العميل يبغا بطاقه مدار او الاشتراك في سياره اب </t>
  </si>
  <si>
    <t>مهند الزهراني</t>
  </si>
  <si>
    <t xml:space="preserve">
للأسف كانت تجربة سيئة جداً في محطة الدرب بشارع الحج أكثر من مضخة بنزين معطلة ومع ذلك مفتوحة ويوقف عندها العملاء على أساس أنها تعمل وبعد الانتظار يكتشفون أنها لا تعمل وهذا سبب ازدحام وإرباك لأكثر من سيارة.
طلبت من عامل المحطة أن يضع أقماع أو لوحات على المضخات المعطلة حتى يعرف العملاء أنها خارج الخدمة لكنه رد بكل برود: “أنا ماني مسؤول.”
طلبت مقابلة المسؤول فقيل لي: “المسؤول نايم.” وكان الوقت حوالي الساعة 12 ظهراً!
أتمنى من إدارة المحطة الاهتمام بإدارة الموقع بشكل أفضل ووضع علامات واضحة على المضخات المعطلة ووجود مسؤول متابع خلال ساعات العمل لأن ما حصل يسبب تعطيل وإزعاج للعملاء بشكل غير مقبول . الثلاثاء، 30 يونيو 2026 في 08:21 م
</t>
  </si>
  <si>
    <t>تم إبلاغ مدير المحطة عند وجود مضخة  معطلة بوضع قمع  وتثبيت تنبيهات واضحة عليها مع رفع بلاغ  صيانة والتأكد من سلامة جميع المضخات وعدم تكرار هذه المشكلة</t>
  </si>
  <si>
    <t xml:space="preserve">عمرو انس </t>
  </si>
  <si>
    <t xml:space="preserve">عبدالرحمن العنزي </t>
  </si>
  <si>
    <t xml:space="preserve">محافظه الرس - عرض ارض بمساحه حدود الفين - المحطه جاهزه ولكن تحتاج تجديد- </t>
  </si>
  <si>
    <t xml:space="preserve">مغسله سيارات -العلامه التجاريه - وهج </t>
  </si>
  <si>
    <t>7moody 10</t>
  </si>
  <si>
    <t>Darb18</t>
  </si>
  <si>
    <t xml:space="preserve">
تم التحرير في الثلاثاء، 30 يونيو 2026 في 12:56 م
انا مشكلتي مع مغسلة السياره اليوم بتاريخ 30/6/2026 غيرت زيت في البنشر وعاملين عرض غسيل خارجي مجاني والله الجنوط فيها زيت ووسخ وغسله اي كلام وكلمته وعيني عينك يقلي قد غسلتها يا أصحاب المغاسل والبناشر اذا الشي مجانا بتسويه من غير نفس رجاء لاتسوي انا اخذت السفنجه ونظفت الوسخ اللي في الجنوط بنفسي حاول معايا العامل لكن انا رفضت اول واخر مره اجيكم ان شاء الله</t>
  </si>
  <si>
    <t xml:space="preserve">ام عبدالعزيز </t>
  </si>
  <si>
    <t xml:space="preserve">محطه حي الامير فواز في جده - المالك - تاجير بنشر </t>
  </si>
  <si>
    <t>محمد حبيب</t>
  </si>
  <si>
    <t>Ahmed Adil</t>
  </si>
  <si>
    <t xml:space="preserve">ems sloution </t>
  </si>
  <si>
    <t xml:space="preserve">
العمالة الي شغالين في المحطة كل مره اعبي عندهم يسوو حركة بالشبكة عشان ينسحب المبلغ من بطاقتي وتجيهم مرفوضة اتكررت الحركة مرتين ولا مرة البنك رجع المبلغ  الثلاثاء، 30 يونيو 2026 في 12:04 م
</t>
  </si>
  <si>
    <t xml:space="preserve">ممكن مشكلة بالنت -
</t>
  </si>
  <si>
    <t>نجيب الحربي</t>
  </si>
  <si>
    <t xml:space="preserve">عرض محطه بمساحه 1200 قيد الانشاء - وسيط </t>
  </si>
  <si>
    <t>SHD 120</t>
  </si>
  <si>
    <t>Darb28</t>
  </si>
  <si>
    <t>يبي اشتراك</t>
  </si>
  <si>
    <t xml:space="preserve">
محطة مميزة فيها الكثير من خيارات التسوق فيها ماكدونالد و الطازج ولكن السوبر ماركت كان مميز بأسعاره وخيارات التسوق فيه ولكنه صار من اسوأ المحلات الي زرتها لايوفر أقل الإحتياجات واهتمامه فقط يتركز على بعض الأصناف ويهمل البعض الآخر .
لدرجة أنني ترددت على السوبر ماركت اكثر من عشرة مرات خلال فترات متباعدة وفي كل مرة تقل البضائع داخل السوبرماركت وأسأل العمال ويشتكون من صاحب المحل بأنه مهمل وغير مهتم بطلب البضائع .
لن أكرر زيارتي لهذا المحل مستقبلاً .</t>
  </si>
  <si>
    <t xml:space="preserve">سليمان </t>
  </si>
  <si>
    <t xml:space="preserve">والله العظيم انه فيه تلاعب في عداد البنزين
</t>
  </si>
  <si>
    <t xml:space="preserve">تم تصعيد المشكله لمدير الجوده في شركة بترولايز  لحل عدة مشاكل ابرزها النظافه
</t>
  </si>
  <si>
    <t xml:space="preserve">محطه قيد الانشاء - خميس مشيط - تاجير محل - المالك </t>
  </si>
  <si>
    <t>توصيل بقالة درب</t>
  </si>
  <si>
    <t>هل يوجد فيزا في المحطات</t>
  </si>
  <si>
    <t xml:space="preserve">راكان </t>
  </si>
  <si>
    <t xml:space="preserve">أرض - 1000م وعليها مالها رخصة - شمال الطائف  - مطله 3 واحد عام واثنين </t>
  </si>
  <si>
    <t>Sir, do you provide online diesel rod service</t>
  </si>
  <si>
    <t xml:space="preserve">نواف العقيلي </t>
  </si>
  <si>
    <t xml:space="preserve">عندي محطة وابي مهندس يتاكد هل هي موافقه للاشتراطات </t>
  </si>
  <si>
    <t xml:space="preserve">تمت افادته اننا نشغل محطات مو نقدم خدمات </t>
  </si>
  <si>
    <t>رد على حملة جازان</t>
  </si>
  <si>
    <t>عبدالعزيز المالكي</t>
  </si>
  <si>
    <t xml:space="preserve">عبيت فل ولا اعطاني العامل باركود الخصم </t>
  </si>
  <si>
    <t xml:space="preserve">تم التواصل لاكثر من 3 مرات ولا يوجد رد </t>
  </si>
  <si>
    <t xml:space="preserve">العميل اغلق الخط </t>
  </si>
  <si>
    <t>اريد قسم التاجير في جده اريد استاجر و اشغل السوبر ماركت</t>
  </si>
  <si>
    <r>
      <rPr>
        <rFont val="Calibri"/>
        <color rgb="FF131825"/>
        <sz val="9.0"/>
      </rPr>
      <t>عبيت بـ15 من الدريس وجات شرطتين - مريت عبيت 10 ريال محطتكم وحتى شرطة ماطلع  - الناصفة - 10 ريال بنزين 91 - الساعه 12:25م  -</t>
    </r>
    <r>
      <rPr>
        <rFont val="Calibri"/>
        <color rgb="FFFF9900"/>
        <sz val="9.0"/>
      </rPr>
      <t xml:space="preserve"> لم يتم الرد</t>
    </r>
  </si>
  <si>
    <t>تم ابلاغ مدير المحطة لمراجعة العمليات والتأكد من التعبئه في تاريخ 2/7 الساعه 12:25</t>
  </si>
  <si>
    <t xml:space="preserve">طلال خالد السليماني </t>
  </si>
  <si>
    <t xml:space="preserve">محطه طريق الامير سعود بجده - تاجير مغسله -المالك- اول مره </t>
  </si>
  <si>
    <t>تبغون موظفين سعودين</t>
  </si>
  <si>
    <t xml:space="preserve">رافضين يعبون لي عشاني عند اخر تانكي يقول جبها لنا اقرب Saturday, May 30, 2026 </t>
  </si>
  <si>
    <t>توجيه المركبات للتعبئة من المضخة الأولى في بعض الحالات يكون بهدف تنظيم حركة السير داخل المحطة وتجنب الازدحام وضمان انسيابية الخدمة لجميع العملاء</t>
  </si>
  <si>
    <t>اشتاق محمد</t>
  </si>
  <si>
    <t>الاستفسار عن الشركاء</t>
  </si>
  <si>
    <t>As-salamu alaykum, brother.
I’m looking to open a car wash shop in one of your petrol stations here in Riyadh. Could you please guide me on the following:
• What is the process to get started?
• What are the rental costs involved?
• Which locations are currently available?
• Do you have any upcoming projects or new stations?
Please share any details you have, and I’d love to connect further to discuss.
Jazak Allah Khair.</t>
  </si>
  <si>
    <t xml:space="preserve"> محمد عبد الحكيم</t>
  </si>
  <si>
    <t xml:space="preserve"> Saturday, May 30, 2026 يرفض تعبئة الباص بالوقود مع ان الوقود متوفر</t>
  </si>
  <si>
    <t xml:space="preserve">ان رفض التعبئة كان بسبب تعليمات تشغيلية خاصة بالمحطة وصغر حجمها </t>
  </si>
  <si>
    <t>سامي محمد</t>
  </si>
  <si>
    <r>
      <rPr>
        <rFont val="Arial"/>
        <b/>
        <color rgb="FF434343"/>
        <sz val="11.0"/>
      </rPr>
      <t>محطة درب جمب كنتاكي بحي الناصفه التاريخ 25ذو القعده الساعه10:50 الصباح - قايل للعامل يعبي بنزين احمر عبالي اخضر البنزين اختلط كذا؟ عندي الايصال إذا تبون صوره - 41 ريال  -السيارة فيها صوت تفتفه - ابيض ب ك د - 3307 ) هونداي النترا</t>
    </r>
    <r>
      <rPr>
        <rFont val="Arial"/>
        <b/>
        <color rgb="FFFF9900"/>
        <sz val="11.0"/>
      </rPr>
      <t>- التواصل لا يوجد رد اخر تواصل 21/5/2025</t>
    </r>
  </si>
  <si>
    <t>تم ابلاغ مدير المنطقة للعمل على حل الاشكاليه وقد تم التواصل مع العميل ومحاوله ارضائه بكوبون تويض بقيمه 50 ريال لا قال بيجيب تقرير عشان نعوضه</t>
  </si>
  <si>
    <t xml:space="preserve">استفسار عن المقر </t>
  </si>
  <si>
    <t xml:space="preserve">باسم </t>
  </si>
  <si>
    <t xml:space="preserve">كشك - مغاسل ظريف نظيف - ثاني فرع </t>
  </si>
  <si>
    <t xml:space="preserve">نزار الريمي
</t>
  </si>
  <si>
    <t>عرض خدمات ANC</t>
  </si>
  <si>
    <t>تم رفع طلبك للإدارة المختصة
يومك سعيد 🧡.</t>
  </si>
  <si>
    <t xml:space="preserve">سيارتي اعبيها فل ب130 ف كل المحطات عبيت عندهم مرتين ب 149 ماركزت الى متاخر والكثيييير يشتكو من نفس المشكلة ولا في اي تصحيح ماغير اتواصلو عالواتس اب
-الثلاثاء، 2 يونيو 2026 في 11:29 ص
</t>
  </si>
  <si>
    <t>Ahmed Alali</t>
  </si>
  <si>
    <t>رضوان</t>
  </si>
  <si>
    <t>وظائف</t>
  </si>
  <si>
    <t xml:space="preserve"> فهد العتيبي </t>
  </si>
  <si>
    <t>محل - كرك شباتي - ديوانية</t>
  </si>
  <si>
    <t>سيتم ارسال رسالة جماعية للرد</t>
  </si>
  <si>
    <t xml:space="preserve">نايف الزهراني
</t>
  </si>
  <si>
    <t xml:space="preserve">ما يبي يعبي لي بنزين يقول روح مكان ثاني  -  4:9 م </t>
  </si>
  <si>
    <t>عنده شكوى وماسك خط راح يرسل واتساب</t>
  </si>
  <si>
    <t>مغسلة سيارات المنطقة الغربية -الطايف مكة جده</t>
  </si>
  <si>
    <t>ضيف الله الدوسري</t>
  </si>
  <si>
    <t xml:space="preserve">متعب الطلحي </t>
  </si>
  <si>
    <r>
      <rPr>
        <rFont val="Calibri"/>
        <color rgb="FF131825"/>
        <sz val="9.0"/>
      </rPr>
      <t xml:space="preserve">حي النعيم المحطة على 3 شوارع"" مع العلم انه لايوجد محطه من شارع الامير سلطان الى تقاطع طريق المدينه المنورة مع شارع الامل الا هذه المحطة المعروضه ""
</t>
    </r>
    <r>
      <rPr>
        <rFont val="Calibri"/>
        <color rgb="FF1155CC"/>
        <sz val="9.0"/>
        <u/>
      </rPr>
      <t>https://maps.app.goo.gl/Cb29pg1oV91VKNTb6?g_st=ic</t>
    </r>
    <r>
      <rPr>
        <rFont val="Calibri"/>
        <color rgb="FF131825"/>
        <sz val="9.0"/>
      </rPr>
      <t xml:space="preserve"> المساحة: 2496 متر مربع 📐بناء على المخطط المحطة تتكون من : - سوبرماركت- بنشر- عدد 3 محلات مطاعم- موقع للصرافه 🏧- مطعم Drive thru- مغسله سيارات آلية- محل قهوه- كشك
ملاحظة : يوجد مقاطع توضيحيه توضح الحركة التقريبيه للشوارع والحي التي تقع عليها المحطة .* مخطط المحطة موجود* في حال عدم الرغبة في المواقع لأي سبب كان ف يوجد أيضاً مواقع اخرى في منطقة ومكة وجدة معروضه لدينا .
نسبة اتمام المحطة من 100 % المحطة جاهزه للتشغيل ،، للرغبة في ايجار المحطة يرجى التواصل على الواتس اب لتحديد موعد اجتماع و مناقشة باقي التفاصيل
</t>
    </r>
  </si>
  <si>
    <t xml:space="preserve">طريق السيل الطايف محل </t>
  </si>
  <si>
    <t xml:space="preserve">تاجير محل زينه سيارات - المالك -شركه نجيد المتحده </t>
  </si>
  <si>
    <t>Raghad</t>
  </si>
  <si>
    <t>وكيل محطة قائمة</t>
  </si>
  <si>
    <t>طلب عبر الواتس اب غير مكتمل ولم يتم الرد</t>
  </si>
  <si>
    <t>شاهد هذا الفيديو الذي وجدته على TikTok! #محطة_للبيع #فرصة_استثمارية #عقا... ▶️شاهد الفيديو بالكامل الآن! https://vt.tiktok.com/ZS9vLajTw/ محطة في شارع الحج و قريب بيكون جنبها بوليفارد بمساحة مليون متر فرصة ماتتفوت 😍😍</t>
  </si>
  <si>
    <t>استفسار مغسلة الشركاء</t>
  </si>
  <si>
    <t>هل فيه عروض بتعبئة البنزين قسائم شرائية</t>
  </si>
  <si>
    <t>شركة رباعيات الشيف
الاستفسار عن طريقه الاشتراك فى عمل كروت زكيه لتمويل السيارات او الوسيلة المتاحة لتمويل السيارات السداد المسبق الدفع</t>
  </si>
  <si>
    <t>محمد الواحدي</t>
  </si>
  <si>
    <t>Naif Alhazmi</t>
  </si>
  <si>
    <t xml:space="preserve">تموينات للاجار في جده </t>
  </si>
  <si>
    <t>الاسم: نايف الحازمي
المدينة: مكة المكرمة
المحطة: درب العمرة MK007 (النوارية)
التاريخ:30 / 06 / 2026 م
الوقت: 10:51:21 مساء
شكوى/اقتراح: عند طلب عرض خصم كفرات بلس من عامل المحطة لم يعطيني العرض يقول مافي عرض ماعندي</t>
  </si>
  <si>
    <t>ورشة صيانة السيارات</t>
  </si>
  <si>
    <t>مؤسسة تاريخ المشرق</t>
  </si>
  <si>
    <t>امل سالم الشريف</t>
  </si>
  <si>
    <t>مغسلة سيارات أوتوماتيكية-سم العلامة التجارية: تاريخ المشرق-مكة المكرمة
تفاصيل استفسارك : رغبة في طلب تأجير مساحة لافتتاح فرع مغسلة أوتوماتيكية في منطقة مكة المكرمة - حي الراشدية</t>
  </si>
  <si>
    <t>الرجاء تقديم شكواك وإعادة تعبئة النموذج التالي:لمحطة: محطه درب الشرايع مخطط ٣ةلتاريخ: 30/06/2026 لوقت: 4:30شكوى/اقتراح:جيت اليوم في العصر عند ورشه المحطه عشان بغير الزيت وتسبب لي العامل بشرخ في صره كارتير الزيت وصار الزيت يهرب اش الحل في ذي الحاله ؟؟</t>
  </si>
  <si>
    <t>عالم الانوار</t>
  </si>
  <si>
    <t>عالم الانوار لزينه السيارات</t>
  </si>
  <si>
    <t>حسن الدوسري</t>
  </si>
  <si>
    <t xml:space="preserve">بندر الشلوي </t>
  </si>
  <si>
    <t xml:space="preserve">الباحه </t>
  </si>
  <si>
    <t>32.000 م  - على وشك يطلع الرخصة - المالك</t>
  </si>
  <si>
    <t xml:space="preserve"> أرض تجارية بصك شرعي على طريق الجنوب الرابط بين الطائف والباحة باتجاه تربة، بمساحة تقارب 11,000 متر، موقع مباشر على الطريق العام ومناسبة لتطوير محطة وقود حديثة أو مركز خدمات متكامل للمسافرين.
</t>
  </si>
  <si>
    <t>سميه الصبحي</t>
  </si>
  <si>
    <t>لو سمحت ابغى اشترك ب خدمه غسيل السيارات</t>
  </si>
  <si>
    <t xml:space="preserve">احتاج رقم البقالة مشيت ولا دفعت </t>
  </si>
  <si>
    <t>fatimah bamefleh</t>
  </si>
  <si>
    <t>صالح الهزازي</t>
  </si>
  <si>
    <t>يسعدني الانضام لفريق العمل لديكم</t>
  </si>
  <si>
    <t>شركة أطياف العمار للتطوير
ارض تجاريه ع شارعين
10000م
محافظة صامطه منطقة جيزان
لايوجد رخصة وبالامكان استخراج الرخصه</t>
  </si>
  <si>
    <t xml:space="preserve">يوجد لدي مواقع اراضي تجارية ارغب بتاجيرها اليكم </t>
  </si>
  <si>
    <t xml:space="preserve">طلب غير مكتمل ولم يتم الرد </t>
  </si>
  <si>
    <t>أبغى استأجر موقع في المحطة - طلب واتس اب غير مكتمل ولم يتم الرد</t>
  </si>
  <si>
    <t>جسار الحربي</t>
  </si>
  <si>
    <t>مكة محطة درب طريق المدينه المنورة النورايه 1448/01/15 الوقت في الساعه 9 تقريبن عبيت ب 41 ريال ولا عطاني الكبون حق خصم الكفرات</t>
  </si>
  <si>
    <t>تم ارسال الباركود</t>
  </si>
  <si>
    <t>زياد</t>
  </si>
  <si>
    <t>السلام عليكم ورحمة الله وبركاته أنا زياد من سكان حي التعاون بجوار مشروعكم الكبير وحاب اقدم على وظيفة ادارية في المشروع أنا حاصل على درجة البكالوريوس في تخصص العلاقات العامة ولديه خبرة كبيرة بمجال خدمة العملاء وآخر وظيفة اخصائي خدمة العملاء</t>
  </si>
  <si>
    <t>طلب تأجير مساحة - طلب واتس اب غير مكتمل ولم يتم الرد</t>
  </si>
  <si>
    <t>صادق</t>
  </si>
  <si>
    <t>عمران</t>
  </si>
  <si>
    <t>أمين</t>
  </si>
  <si>
    <t>Car wash Shirka saif شركة سيف I want to start car wash business in your any available station</t>
  </si>
  <si>
    <t>السادة/ إدارة درب المحترمين السلام عليكم ورحمة الله وبركاته، أتقدم بطلب التوظيف لدى شركتكم الموقرة، وأعرب عن اهتمامي بالانضمام إلى فريق العمل والمساهمة في تحقيق أهداف المؤسسة. أمتلك المهارات والخبرات التي تمكنني من أداء مهام الوظيفة بكفاءة، كما أحرص على التعلم المستمر والعمل بروح الفريق وتحمل المسؤولية. أرفق لكم سيرتي الذاتية للاطلاع على مؤهلاتي وخبراتي، وأتطلع إلى فرصة لمقابلتكم ومناقشة مدى ملاءمتي للوظيفة. شاكرًا لكم وقتكم واهتمامكم، وتفضلوا بقبول خالص التحية والتقدير. وتفضلوا بقبول فائق الاحترام والتقدير.</t>
  </si>
  <si>
    <t xml:space="preserve">اسواق - موجودين في السوق اكثر من اسم </t>
  </si>
  <si>
    <t xml:space="preserve">حمد القحطاني </t>
  </si>
  <si>
    <t xml:space="preserve">عسير </t>
  </si>
  <si>
    <t xml:space="preserve">ارض خام بمساحة 7500م - شغال عليها - المالك </t>
  </si>
  <si>
    <t>عبدالعزيز الحليفي</t>
  </si>
  <si>
    <t xml:space="preserve">	السلام عليكم ورحمة الله وبركاته أنا عبدالعزيز الحليفي ، من سكان مكة المكرمة، وأمتلك خبرة تتجاوز 10 سنوات في الموارد البشرية والشؤون الإدارية والعلاقات الحكومية وإدارة العمليات التشغيلية. كما أحمل شهادة SHRM في الموارد البشرية، والتي عززت خبرتي العملية بالمنهجيات الحديثة والممارسات المهنية في إدارة رأس المال البشري. خلال مسيرتي المهنية توليت مسؤوليات متنوعة شملت إدارة شؤون الموظفين، الامتثال للأنظمة واللوائح، تطوير الإجراءات التشغيلية، وإدارة الخدمات والأنظمة الحكومية، بالإضافة إلى دعم الإدارات المختلفة لتحقيق أهدافها التشغيلية والاستراتيجية بكفاءة عالية. أطمح للانضمام إلى شركة درب والمساهمة في نجاحها من خلال خبرتي العملية، ومعرفتي ببيئة العمل في مكة المكرمة، وقدرتي على إدارة التحديات وتحقيق نتائج ملموسة تدعم نمو الأعمال ورفع كفاءة العمليات. أرفقت سيرتي الذاتية للاطلاع، ويسعدني مناقشة أي فرصة وظيفية تتناسب مع خبراتي ومؤهلاتي. مع خالص التقدير، عبدالعزيز الحليفي</t>
  </si>
  <si>
    <t xml:space="preserve">استفسار عن تطبيق سياره اب </t>
  </si>
  <si>
    <t>بتال</t>
  </si>
  <si>
    <t>الشيباني نور الدين</t>
  </si>
  <si>
    <t>اليوم الخميس 2/7/2026
٥:٤٥
عبيت٥٠﷼ ويوم قلت للعامل اعطيني الكوبون خصم يصل150﷼ قل مافي اصلا كوبون او شي من هاذا القبيل</t>
  </si>
  <si>
    <t xml:space="preserve">غلطان يستفسر عن شركة جيني </t>
  </si>
  <si>
    <t>أرغب بالعمل معكم أقامه مهنيه قابله للتحويل وجزاكم الله خير الجزاء</t>
  </si>
  <si>
    <t>التعامل ليس جيد للغايه - 20:44:19 Sunday, June 28, 2026</t>
  </si>
  <si>
    <t xml:space="preserve">كلمنا مشرف المحطة لينبههم على على ان يكون التعامل جيد
</t>
  </si>
  <si>
    <t>Shan Qureshi</t>
  </si>
  <si>
    <t>Assalamualaikum, Greetings, I would like to join your team, as a Gas Station Supervisor, I am done a Bachelor of Science Degree from Aiou University From Pakistan, I have Seven Year Experience in Petromin Refuel Company Saudi Arabia, as a managing and Operating, during my job, and I have a comprehensive Skills including Area Supervisor, I handle 6 fuel station sites in Obhur North Jeddah, managing the organizing shits and flow of work, Monitoring the fuel levels &amp; place the order of fuel deliveries, and receiving the fuel deliveries, Conducting Car Accessories Inventories, Station Cash Audits and ensuring compliance with occupational safety (HSE) 1. Customer Service 2. How the increase the fuel Sale. 3. How to control the tank Gain losses. 4. How to check the water level in tanks. 5. How to calibrate the nozzles. 6. How to sell the Car Accessories. 7. How to track the fuel deliveries. 8. How to offering the wind screen cleaning to customer. 9. How to control and fixed the maintaince Complaints. 10. How to manage the forecourt Activity &amp; manage the customer complaints. 11. How to control the Traffic in station on peak hours. 12. Follow up the checklists and Government documents. 13. Preparing Daily log sheet and send to Finance with deposit slips. Sir I am ready to join your company, &amp; ensure that the highest level of services and provide according to company policy, and i have also a Iosh certificate from British Council, and also I have a valid Saudi driving license. Please see the attached file of my resume and give me a chance for interview, I shall be very thankful to you. Thank you.</t>
  </si>
  <si>
    <t xml:space="preserve">محمد عبدالله </t>
  </si>
  <si>
    <t>باسم الفقيه</t>
  </si>
  <si>
    <r>
      <rPr>
        <rFont val="Arial"/>
        <b/>
        <color rgb="FF434343"/>
        <sz val="11.0"/>
      </rPr>
      <t xml:space="preserve">  شكوى من عامل مايسحب الي الا بعد الدفع المسبق  2026-05-14 06:19:59 AM   </t>
    </r>
    <r>
      <rPr>
        <rFont val="Arial"/>
        <b/>
        <color rgb="FFFF9900"/>
        <sz val="11.0"/>
      </rPr>
      <t xml:space="preserve">- تم الاعتذار للعميل </t>
    </r>
  </si>
  <si>
    <t xml:space="preserve">المسجد ع خط سفر من الافضل ان يكون مفتوح امانه يخلص الامام يتسكر المسجد ارا انه غير معقول حتى وات كان هناك مشاكل في بدايل غير تسكير المسجد بدأتم بلمكارم فختموها جزاكم الله خيرا - 16:10:56 Monday, June 29, 2026 - سياسة قفل المسجد </t>
  </si>
  <si>
    <t xml:space="preserve">عم تصير سرقات لهيك يفضل اغلاق المسجد
</t>
  </si>
  <si>
    <t>أحمد الكبيشي</t>
  </si>
  <si>
    <t>سياسة الدفع المسبق</t>
  </si>
  <si>
    <t xml:space="preserve">	السلام عليكم ورحمة الله وبركاته، أتقدم بطلب التوظيف لدى شركة درب، وأتطلع للانضمام إلى فريق العمل والمساهمة بخبرتي في الإدارة والتشغيل والإشراف على فرق العمل. أحمل دبلوم البنوك والتأمين من جامعة الملك عبدالعزيز، ولدي مهارات في التنظيم وخدمة العملاء وإدارة العمليات اليومية. أشكركم على وقتكم واهتمامكم، وأتطلع إلى فرصة للمقابلة الشخصية</t>
  </si>
  <si>
    <t xml:space="preserve">مستور سويلم العتيبي </t>
  </si>
  <si>
    <t>ريناد العمري</t>
  </si>
  <si>
    <t>صالح المجحد</t>
  </si>
  <si>
    <t>العامل لم يقيم بتعبئة البنزين مشغول بفواتير والعميل مستاء من بطئ الخدمة  2026-05-13 06:39:12 PM</t>
  </si>
  <si>
    <t>تم اخبار المشرف - تم الاتفاق على اتخاذ اجراء تحذيري للعمال</t>
  </si>
  <si>
    <t>في صراصير وفيه عناكب وووصخ وبدون شفاط - 01:05:09 Wednesday, July 1, 2026</t>
  </si>
  <si>
    <t xml:space="preserve">	السلام عليكم أتقدم لديكم اذا توفر شواغر يتناسب مع امكانياتي ومهاراتي وخبراتي يوجد ملاحظه لدي مشهد الاعاقة ضعف سمع خفيف</t>
  </si>
  <si>
    <t>احمد باقارش</t>
  </si>
  <si>
    <t xml:space="preserve">العميل غير متجاوب والصوت غير واضح </t>
  </si>
  <si>
    <t xml:space="preserve">	السلام عليكم ورحمة الله وبركاته إذا كانت لديكم أي وظيفة شاغرة فلا تترددو في التواصل معي وشكرا</t>
  </si>
  <si>
    <t xml:space="preserve">المويه حقتكم مالحه حطو فلتر لو سمحتو 😊 </t>
  </si>
  <si>
    <t xml:space="preserve">المياه ابار وغير مخصصه للشرب </t>
  </si>
  <si>
    <t>جودة المياه</t>
  </si>
  <si>
    <t xml:space="preserve">مساعد الثبيتي </t>
  </si>
  <si>
    <t>محمد العسيري</t>
  </si>
  <si>
    <t xml:space="preserve">مطعم بخاري - المالك </t>
  </si>
  <si>
    <r>
      <rPr>
        <rFont val="Calibri"/>
        <b/>
        <color rgb="FF131825"/>
        <sz val="9.0"/>
      </rPr>
      <t>‏البنقالي اللي في المحطة يعبي على جيبه حق موقعي أنا موقف عند البنك وهو ما يبغى يعطيني يبغى يجيني مع زياد أتمنى أن 02:35:13 Friday, May 29, 2026 - 
تم التواصل افاد العميل ان مافي الا عامل واحد بالمحطة ويقوله تعال هنا تعال هنا استفزه  كامري 98 ابيض (4849- ا ع ط ) -</t>
    </r>
    <r>
      <rPr>
        <rFont val="Calibri"/>
        <b/>
        <color rgb="FFFF6D01"/>
        <sz val="9.0"/>
      </rPr>
      <t xml:space="preserve"> تم الاعتذار منه </t>
    </r>
  </si>
  <si>
    <t>تمت مناقشة الملاحظة مع مدير المنصقة  والتأكيد على أهمية حسن التعامل مع العملاء وتوجيه العمال  بعدم استخدام أسلوب قد يُفهم منه الاستفزاز أو عدم الاهتمام</t>
  </si>
  <si>
    <t>هل يوجد شحن كهربائي</t>
  </si>
  <si>
    <t>يرغب بتعبئه جالون</t>
  </si>
  <si>
    <t>لايجود بنزين لفتره طويله  17:22:40 Thursday, May 28, 2026</t>
  </si>
  <si>
    <t xml:space="preserve">يستفسر عن عدم التواصل </t>
  </si>
  <si>
    <t>لا يوجد بنزين/ديزل</t>
  </si>
  <si>
    <t>PR</t>
  </si>
  <si>
    <t xml:space="preserve">ساره </t>
  </si>
  <si>
    <t>بكري الفهمي</t>
  </si>
  <si>
    <t>Assigen to</t>
  </si>
  <si>
    <t xml:space="preserve"> الشيخ هباش</t>
  </si>
  <si>
    <t>الدايري الشمالي تقاطع عثمان بن عفان لايوجد بنزين 95</t>
  </si>
  <si>
    <t>دورة المياه مافيها سائل يد  15:12:47 Saturday, May 30, 2026</t>
  </si>
  <si>
    <r>
      <rPr>
        <rFont val="Calibri"/>
        <color rgb="FF131825"/>
        <sz val="9.0"/>
      </rPr>
      <t xml:space="preserve">اليوم الخميس الساعه 12 مساء العميل يفيد  بتجاهل 2 من العمال وعدم تجاوبهم في خدمنه ورفض يعبي من المحطه ومشي  العميل متحفظ بمعلومتته ويقول راجعو الكاميرات الساعه 12مساء </t>
    </r>
    <r>
      <rPr>
        <rFont val="Calibri"/>
        <color rgb="FFFF9900"/>
        <sz val="9.0"/>
      </rPr>
      <t xml:space="preserve">-تم محاولة الاتصال لا يوجد رد </t>
    </r>
  </si>
  <si>
    <t>تم إبلاغ مدير المحطة بمضمون الشكوى ، وتم التوجيه بمراجعة تسجيل الكاميرات لتحديد العاملين المعنيين والتحقق من الواقعة  مع التشديد على جميع عمال المحطة بسرعة استقبال العملاء وعدم تركهم دون خدمة تحت أي ظرف.</t>
  </si>
  <si>
    <t>عصام العاصم</t>
  </si>
  <si>
    <t>محمد القاضي</t>
  </si>
  <si>
    <t xml:space="preserve">شركه درب العقاريه عرض عقاري خاص املاك خاصه طريق الدايري الجنوبي بمدينه الرياض لاقامه محطه وقود - مكت محاماه و يعرض لعميل </t>
  </si>
  <si>
    <t>Makkah</t>
  </si>
  <si>
    <t xml:space="preserve">        ماشاء الله تبارك الله دورات مياه ممتاز جداً ومسجد ممتاز وخدمات ممتازه جداً ولكن توجد هناك ملاحظات (روائح كهريه في دورات المياه وتحتاج الى قليل من الاهتمام جزاكم الله خيراً 21:40:20 Thursday, May 28, 2026</t>
  </si>
  <si>
    <t xml:space="preserve">عبد المجيد </t>
  </si>
  <si>
    <t xml:space="preserve">تم التعرف على مصدر الرائحة وهي مواصير ارضيه 
ملاحظة انشائيه 
وتم ارفاق فديو للتوضيح  </t>
  </si>
  <si>
    <r>
      <rPr>
        <rFont val="Calibri"/>
        <color rgb="FF131825"/>
        <sz val="9.0"/>
      </rPr>
      <t xml:space="preserve"> اليوم الخميس يفيد العميل  بتعبئه   السياره ب50 ريال ثم مشى كم خطوه واكنشف انها ماتعبت ورجع عبا ب50 مرا ثانيه نوع البنزين احمر فور شنر ابيض موديل 2008 رقم اللوحه ا ك و 2330 </t>
    </r>
    <r>
      <rPr>
        <rFont val="Calibri"/>
        <color rgb="FFFF9900"/>
        <sz val="9.0"/>
      </rPr>
      <t xml:space="preserve">(مرفق فديو) تم مراجعة الكاميرات لا يوجد مواصفات السيارة والعميل يرغب بمشاركته الفديو </t>
    </r>
  </si>
  <si>
    <t xml:space="preserve">تم التواصل مع المشرف للتشييك ع الكميرات لكن مالقو السياره وارسلي الفديو \ العميل  قالحيروح ع المحطة يراجع الفديو مع المشرف
</t>
  </si>
  <si>
    <t>Samiyah</t>
  </si>
  <si>
    <t>l;i</t>
  </si>
  <si>
    <t xml:space="preserve">استفسار عن مغسله سيارات </t>
  </si>
  <si>
    <t>مرافقكم نظيفة وجيدة جدًا ( في جازان - الكورنيش ) لكن ينقصها توفر المناديل وأحيانًا الصابون يكون فاضي 23:32:50 Sunday, May 31, 2026</t>
  </si>
  <si>
    <r>
      <rPr>
        <rFont val="Calibri"/>
        <color rgb="FF131825"/>
        <sz val="9.0"/>
      </rPr>
      <t>العمال رفضو يعبون له في تطبيق سياره اب محطه</t>
    </r>
    <r>
      <rPr>
        <rFont val="Calibri"/>
        <color rgb="FFFF9900"/>
        <sz val="9.0"/>
      </rPr>
      <t xml:space="preserve"> -تم التواصل مع العميل ولايوجد رد</t>
    </r>
  </si>
  <si>
    <t xml:space="preserve">Mosalli 7mody
</t>
  </si>
  <si>
    <t>بالله مشرفين محطه درب يعني الواحد يجي يغسل عندكم ويجو العمال يخلوه يعبي المويه ونحنى ننتظرهم ونتعطل عن امورنا والموظفين اللي حاطينهم محد يتجاوب ولا كاننا بنتكلم يصف الواحد ويمشي ولا في مشرف سعودي على المحطه عشان نتفاهم معاه
تم التحرير في 13 مايو 2026</t>
  </si>
  <si>
    <t>Siltan</t>
  </si>
  <si>
    <t>مركز متخصص في غيار الزيتلم يتم تسمية العلامة التجاريةالمشروع تحت الانشاء
ابستفسر عن المحطه اللي بطريق سعد بن عبدالرحمن الاول بكم الاجار فيها</t>
  </si>
  <si>
    <r>
      <rPr>
        <rFont val="Calibri"/>
        <b/>
        <color rgb="FF131825"/>
        <sz val="9.0"/>
      </rPr>
      <t xml:space="preserve">تم الوقوف بالمحطه فرع القصيم/ بريدة /الدائري الشرقي الساعه 11:55 AM وطلب مني العامل الانتظار حتى يتم استبدال الشفت؟؟ 12:05:33 Friday, May 29, 2026 - </t>
    </r>
    <r>
      <rPr>
        <rFont val="Calibri"/>
        <b/>
        <color rgb="FFFF6D01"/>
        <sz val="9.0"/>
      </rPr>
      <t xml:space="preserve">تم الاعتذار منه </t>
    </r>
  </si>
  <si>
    <t>تمت مراجعة الشكوى واتضح أن التأخير كان بسبب إجراءات استبدال الشفت وأخذ القراءات وتم التأكيد على إدارة المحطة والعاملين بضرورة تسريع الإجراءات وعدم التأثير على خدمة العملاء قدر الإمكان مستقبلاً.</t>
  </si>
  <si>
    <t>جاسر القرني</t>
  </si>
  <si>
    <t>انا مهتم بالدخول معكم في شراكة بخصوص المحطة، سواء من خلال شراء حصة تجارية أو المساهمة في تطوير المشروع. حاب أعرف إذا فيه إمكانية للتعاون، ونتناقش أكثر في التفاصيل من ناحية النسبة، والعوائد. شاكر لكم وقتكم، وبانتظار ردكم</t>
  </si>
  <si>
    <t>الشطاف خربان ونكبتوني 😡  01:37:35 Friday, May 29, 2026</t>
  </si>
  <si>
    <t xml:space="preserve">تم التواصل مع مدير المنطقة وتم الاصلاح في نفس اليوم </t>
  </si>
  <si>
    <t>كرسبي كريم - لسه المشكله ما انحلت</t>
  </si>
  <si>
    <t>ولد يام</t>
  </si>
  <si>
    <t>تم ارسال تذكير</t>
  </si>
  <si>
    <t>عندكم تطبيق؟</t>
  </si>
  <si>
    <t>محمد العلياني</t>
  </si>
  <si>
    <t>مغسلة سيارات الفروع جديد جده معرفة المواقع المتاحة لتأجير مغسلة سيارات</t>
  </si>
  <si>
    <t>الحمامات الصدق السيئه وغير نظيفه صابون مافي اهتمام ب الحمام مافي كل الدنياء وصخه اقسم بالله ي ريحة الحمام تجيب الهم جيبو منقي هوا معطر اهتمو ب الحمامات الله يكرمكم لو بيدي صورت لكم العفن بس مافي خانة تصوير 23:14:31 Monday, June 1, 2026</t>
  </si>
  <si>
    <t xml:space="preserve">تم توفير ادوات النظافة وتم ارسال الشحنه للمنطقة </t>
  </si>
  <si>
    <t>Riyadh</t>
  </si>
  <si>
    <t>سلام عليكم ورحمة الله وبركاته،
تحية طيبة،حن شركة مقاولات، ونود إعلامكم بأن لدينا محطة وقود جاهزة للاستثمار والتشغيل ومتاحة للإيجار.تتميز المحطة بما يلي:1 – المساحة 31000 كلم22 – عدد طرمبات 9 بنزين و 5 ديزل3 – عدد 8 كشتات4 – عدد 12 محل5- بنشر ومغسلة سيارات6 – ورشة صيانة تريلات عدد 27 – فندق بسعة 10 غرف8- مسجد كبير9- عدد واحد صراف10 – 4 غرف سكن عمال</t>
  </si>
  <si>
    <t>سارة العتيبي</t>
  </si>
  <si>
    <t>حمدي الشريف</t>
  </si>
  <si>
    <t>حطوا مناديل وصابون بشكل دايم في حماماتكم! مرة شيء سيء أن أبسط احترازات النظافة موب موجودة. 20:54:39 Monday, June 1, 2026</t>
  </si>
  <si>
    <t xml:space="preserve">مشكلة في التوصيل فترة الحج
 وتم توفير الادوات </t>
  </si>
  <si>
    <t>التاريخ:13/5/2026 الوقت: 10.44pm ملاحظة : تميزت محطاتكم بوجود دورات المياه النظيفة بشكل مستمر لاحظت تهريب بالكرسي بدورة مياه الاحتياجات الخاصة (استمرار تدفق مياه السيفون باستمرار ) و أحد الخلاطات الخاصة بالوضوء</t>
  </si>
  <si>
    <t xml:space="preserve">الفني المنفذ:Mahmoud Ibrahim
تاريخ الإنجاز:12 مايو 2026 - 14:49
</t>
  </si>
  <si>
    <t>موتريلا ايدج</t>
  </si>
  <si>
    <t>المحطه كويسه ولكن للأسف٢ من العمال تعاملهم سئ جدا
السبت، 4 يوليو 2026 في 06:54 م</t>
  </si>
  <si>
    <t>تم ابلاغ مدير المنطقة لمراجعة الكامرات ولإصدار إنذار  للموظفين الاثنين بسبب سوء التعامل مع العملاء.</t>
  </si>
  <si>
    <t>Bayan Zahrani</t>
  </si>
  <si>
    <t>النظافه سيئة جدا ولايوجد اهتمام 04:53:17 Monday, June 1, 2026</t>
  </si>
  <si>
    <t xml:space="preserve">تم توفير ادوات النظافة 
وتم التنويه على العنايه </t>
  </si>
  <si>
    <t>Ray 4</t>
  </si>
  <si>
    <t>الية التوظيف</t>
  </si>
  <si>
    <t>Mk018</t>
  </si>
  <si>
    <t xml:space="preserve">
تعامل سيئ جدًا. حاسبت بمبلغ 35 ريال، والعامل قال إن العملية مرفوضة رغم أن المبلغ انخصم من حسابي ووصلني إشعار من الراجحي بأنه تم الشراء. طلب مني أعيد الدفع بحجة أن العملية الأولى معلقة، فوثقت بكلامه ودفعت مرة ثانية، وتمت العملية. في النهاية انخصم المبلغ مرتين، ومن يوم الخميس إلى الآن لم يرجع أي مبلغ. إذا كان ما حصل خطأ من الجهاز فأتمنى من إدارة المحطة مراجعة الكاميرات وعمليات نقاط البيع وإرجاع حقي، أما إذا كان تصرفًا متعمدًا فحسبي الله ونعم الوكيل. لن أكرر التعامل مع هذا المكان حتى يتم إنصافي.</t>
  </si>
  <si>
    <t>تم الرد: نوضح لك أن سياسة استرداد المبالغ المرفوضة تتم من خلال البنك المُصدر للبطاقة، وليس مباشرةً من شركة درب. لذا نأمل منك التواصل مع البنك التابع لك للتأكد من حالة العملية ورفع طلب استرداد للمبلغ. وفي حال احتاج البنك إلى مخاطبة شركة درب لاستكمال إجراءات التحقق أو الاسترداد، فسيقوم بذلك عبر القنوات الرسمية.</t>
  </si>
  <si>
    <t>samerah</t>
  </si>
  <si>
    <t>عملية عكسية</t>
  </si>
  <si>
    <t>كل عام وانتم بخيرنشكركم على الجهود الجباره في المساجدولكن تحتاج الى موظفه داخل مصلى ودورات المياه للنظافه وذلك لما لوحظ عدم نظافة دورات المياه ودمتم بخير</t>
  </si>
  <si>
    <t xml:space="preserve"> Unable to Verify</t>
  </si>
  <si>
    <t xml:space="preserve">تم التنويه على الملاحظة وتم توفير المنظفات </t>
  </si>
  <si>
    <t>محمد الشرفي</t>
  </si>
  <si>
    <t xml:space="preserve"> سجود مصطفى</t>
  </si>
  <si>
    <t>Mk029</t>
  </si>
  <si>
    <t>العمال يشتغلو ع كيفهم مايبغو يعبو الي بالمسار الي هم جالسين فيه السبت، 4 يوليو 2026 في 03:24 م</t>
  </si>
  <si>
    <t xml:space="preserve"> من شركة EPRO لتطوير الأعمال. يسعدنا التواصل معكم للتعريف بخدماتنا الاستشارية المتخصصة التي تهدف إلى دعم نمو الأعمال وتعزيز الكفاءة التشغيلية وتحسين القرارات الاستثمارية. وتشمل خدماتنا: • دراسة السوق والنماذج المالية • اتشارات تطوير الأعمال • التدقيق الداخلي • الإدارة المالية • الحوكمة وتحسين العمليات التشغيلية
نسعد بترتيب اجتماع أو مكالمة قصيرة للتعريف بشكل أكبر بخدماتنا ومناقشة كيف يمكننا دعم أعمالكم بما يتناسب مع احتياجاتكم.
شاكرين لكم وقتكم، ونتطلع للتواصل معكم.</t>
  </si>
  <si>
    <t>Abdulmajeed</t>
  </si>
  <si>
    <t xml:space="preserve">تمت افادتها بارساله عبر الايميل </t>
  </si>
  <si>
    <t>الرائحة كريهة، ولا يوجد صابون للأيدي.  01:52:30 Saturday, May 30, 2026</t>
  </si>
  <si>
    <t>تم توفير ادوات النظافة</t>
  </si>
  <si>
    <t>كشك</t>
  </si>
  <si>
    <t>Tahani</t>
  </si>
  <si>
    <t>مروان الصبحي</t>
  </si>
  <si>
    <t>ابو تولين</t>
  </si>
  <si>
    <t>ضيعت محفظه فيها صرافة الراجحي وفلوس كاش 500﷼ وفكة</t>
  </si>
  <si>
    <t>Hanan</t>
  </si>
  <si>
    <t>Mk019</t>
  </si>
  <si>
    <t>وجدها العميل في المحطة وشكرنا على الحرص</t>
  </si>
  <si>
    <t>فية عامل بنقالي يتكلم من طرف خشمة بالرغم اني اعبي يوميا فل عمال غيرة اخلاقهم تمام  قابلت صباح اليو الساعة 6 وعشر دقائق اليوم الرجال مختلف اخلاقة الله لاوفقة  مشيت وانقع عليا البنزين السبت، 4 يوليو 2026 في 06:34 ص</t>
  </si>
  <si>
    <t>الحمّامات تحتاج اهتمام ، يوجد بها روائح ويبغالها تجديد الافرنجي وياريت توفير اكياس تنحط ع المقاعد لكبار السن وعدم توفر مناديل ، المسجد جميل 01:16:17 Friday, May 29, 2026</t>
  </si>
  <si>
    <t xml:space="preserve">المناديل متوقفة من الشركة
تم توفير المعطرات  و أدوات النظافة
تجديد الحمام على نفقة المالك كما قام بتجديد الأبواب يتم التجديد حسب الحاجه  الضرورة  للتغير 
</t>
  </si>
  <si>
    <t>كرسي الحمام</t>
  </si>
  <si>
    <t>فرحان هايل</t>
  </si>
  <si>
    <t xml:space="preserve">الجنوب </t>
  </si>
  <si>
    <t>تقاطع طريق القادسيةمع طريق عمر الكدي
https://maps.app.goo.gl/6Bk1Tf3YPbiuPGdP7?g_st=icالمساحة: 18700 متر مربع 📐
بناء على المخطط المحطة تتكون من :"" المرفق المعروض للايجار ""
( مضخات البنزين والديزل فقط )ارتفاع المظله 8 مترعدد المضخات 24 مضخه
* ملاحظة : المحطة من ضمن مشروع متكامل والمشروع يحتوي على :
- بوليفارد ✅- فلل سكنية 🏠- محطة وقود ⛽️للتوضيح فقط مرافق المحطة الغير معروضه للايجار :- سوبر ماركت- عدد 14 مطعم- مصلى رجال- مصلى نساء- عدد 2 بنشر- مكينة صراف 🏧- مطعم مستقل- عدد 3 مطاعم Drive thru- محل قهوة- عدد 7 غرف نوم للعمالة( نسبة اتمام المحطة 70 % ومعروضه للايجار ومتوقع تسليمها للشركة المستثمرة من 4 الى 6 شهور )* للرغبة في ايجار مظلة المحطة يرجى التواصل على الواتس اب لتحديد موعد اجتماع و مناقشة باقي التفاصيل</t>
  </si>
  <si>
    <t xml:space="preserve">استفسار عن جراكل النزين والتعبئه </t>
  </si>
  <si>
    <t>محطة  1850م - المالك حي التلال - المالك</t>
  </si>
  <si>
    <t xml:space="preserve">عبد الملك </t>
  </si>
  <si>
    <r>
      <rPr>
        <rFont val="Arial"/>
        <b/>
        <color rgb="FF434343"/>
        <sz val="11.0"/>
      </rPr>
      <t xml:space="preserve">طلب من العامل تعبئه بنزين 95 وعبى له 91 الخميس الساعه 1:46 م  - بمبلغ 20 ريال العميل اصر على تزويده برقم الشكوى  </t>
    </r>
    <r>
      <rPr>
        <rFont val="Arial"/>
        <b/>
        <color rgb="FFFF9900"/>
        <sz val="11.0"/>
      </rPr>
      <t xml:space="preserve"> - تم الاعتذار للعميل وفي حال تضررت سيارته سيتم تحمل التكاليف</t>
    </r>
  </si>
  <si>
    <t xml:space="preserve">شركه علوش شاي علوش - تاجير محل في محطه على طريق الكويت تحت الانشاء ديوانيه  - محل </t>
  </si>
  <si>
    <t xml:space="preserve">ناصر </t>
  </si>
  <si>
    <t>شفت طفايه الحريق ضغطها عالي ف مع الحراره تنفجربس حبيت ابلغكم</t>
  </si>
  <si>
    <t xml:space="preserve">تم الافادة من قبل ادارة التشغيل بان الامر طبيعي </t>
  </si>
  <si>
    <t xml:space="preserve">اديل </t>
  </si>
  <si>
    <t>الية التقديم على الظائف</t>
  </si>
  <si>
    <t>عبدالباسط عبدالكريم</t>
  </si>
  <si>
    <t xml:space="preserve">سليمان العنزي </t>
  </si>
  <si>
    <t xml:space="preserve"> انا حافظ القران ولله الحمد وساكن في الشوقية ابغى اصلي بالناس في محطة الدرب ومحتسب بدون اجر او مقابل ولكم مني جزيل الشكر والتقدير
</t>
  </si>
  <si>
    <t xml:space="preserve">تم ارسال ايميل لـ أ.عمر </t>
  </si>
  <si>
    <t xml:space="preserve">MK323 </t>
  </si>
  <si>
    <r>
      <rPr>
        <rFont val="Calibri"/>
        <b/>
        <color rgb="FF434343"/>
        <sz val="9.0"/>
      </rPr>
      <t xml:space="preserve">شكوى  
السلام عليكم ورحمة الله وبركاته ..
اعزائي محطة درب ؛ لوحظ بمحطة درب فرع النسيم مكة المكرمة تدني بمستوى نظافة دورات المياه - اعزكم الله - وهذا لا اعتقد يرضي المسؤولين عن المحطه وحرصهم على تقييمات العملاء ورضاهم
موقع المحطة : https://maps.app.goo.gl/HR9WHSSvwsF6owrw8?g_st=ic
</t>
    </r>
    <r>
      <rPr>
        <rFont val="Calibri"/>
        <b/>
        <color rgb="FFFF9900"/>
        <sz val="9.0"/>
      </rPr>
      <t xml:space="preserve"> تم محاولة التواصل مع العميل اكثر من 4 مرات ولا يوجد رد </t>
    </r>
  </si>
  <si>
    <t xml:space="preserve">حامد مطر الثبيتي </t>
  </si>
  <si>
    <t>موظف سابق يسال عن حقوقه</t>
  </si>
  <si>
    <t xml:space="preserve">شامان غالب الحربي </t>
  </si>
  <si>
    <t xml:space="preserve">محمد جمال </t>
  </si>
  <si>
    <t>يوجد لدي مواقع محطات ممتازة لتاجير  في المنطقة الشرقية مدينة الخفجي
اذا كان لكم رغبة ارجو التواصل على الرقم ادناة</t>
  </si>
  <si>
    <t xml:space="preserve">مدير شركه بوادر الامن والسلامه عروض لمحطات الوقود عقد وصيانه شامل لمده سنه 450 شامل الضريبه على عقد السلامه 6 زيارات مجانيه كل شهرين 6 زيارات كل سنه وطفايات حريقه تجديد الستيكر ب 6 ريال ةتعبئه الطفايه والنتروجين ب 5 ريال ولتعبئه البودره 10 ريال ة ال سي او تو  ب20 ريال ورفع معامله الدفاع المدني مجانا </t>
  </si>
  <si>
    <t xml:space="preserve">استفسار </t>
  </si>
  <si>
    <t>هاشم</t>
  </si>
  <si>
    <t xml:space="preserve">ندى السبيعي </t>
  </si>
  <si>
    <t>مغسلة سيارات علامة جديدة داخله السوق من أوسع الأبواب ١
احتاج استأجر فرع جازان الكورنيش الشمالي محطة طريق الجامعه
امل منكم الرد في اقرب فرصة ممكنه شاكر ومقدر لكم</t>
  </si>
  <si>
    <t xml:space="preserve">تاجير درايف ثرو -كوفي في حفرالباطن  
</t>
  </si>
  <si>
    <t>رائد حسنين</t>
  </si>
  <si>
    <t>هل لديكم اشتراك لسيارات للمؤسسات</t>
  </si>
  <si>
    <t>يحيى الشهري</t>
  </si>
  <si>
    <t>Darb16</t>
  </si>
  <si>
    <t>محمد فضل</t>
  </si>
  <si>
    <t>Ann Snitko</t>
  </si>
  <si>
    <t xml:space="preserve">تقييمي يخص مغسلة السيارات بنجمه لسواء عمال المغسله الي في مرحلة التنشيف اسواء عماله للامانه ووقتهم كله سواليف وياخروا الزباين وتهاون لابعد حد وشغلهم سيئ للغايه بالنسبه للعمال الي على المرحله الاولى للغسيل فيعملون باخلاص وامانه اتمنى ملاحظة ذلك وشكراً
 تم التحرير في 14 مايو 2026
</t>
  </si>
  <si>
    <r>
      <rPr>
        <rFont val="Calibri"/>
        <color rgb="FF131825"/>
        <sz val="9.0"/>
      </rPr>
      <t xml:space="preserve">معك محمد فضل
من شركه بيت المشاعل العقاريه
عندنا أراضي صالحه موقف سيارات لاسطولكم   1- المساحة 6675 - الحي المصانع
https://maps.app.goo.gl/Pe6THBecHHnqRS5F8
2- المساحة 6925 - الحي المصانع
https://maps.app.goo.gl/KdoY3caH3CLEm3ux7
3- المساحة 18241 - الحي السلي
https://maps.app.goo.gl/utM4UXRA7dynKjmK6
4- المساحة 27400 - الحي السلي
https://maps.app.goo.gl/tLNXto61Ef2zCLQ5A
5- المساحة 12520 - الحي السلي
https://maps.app.goo.gl/QHSUXnUp9PAk3BDv6
6- المساحة 15707 - الحي المشاعل
</t>
    </r>
    <r>
      <rPr>
        <rFont val="Calibri"/>
        <color rgb="FF1155CC"/>
        <sz val="9.0"/>
        <u/>
      </rPr>
      <t>https://maps.app.goo.gl/R7GkatayGsKZafAM9</t>
    </r>
  </si>
  <si>
    <t xml:space="preserve">Eastern
</t>
  </si>
  <si>
    <t>Infrastructure as a Dervice
LlamaBox
All Saudi
I am interested in few regions to start cooperation</t>
  </si>
  <si>
    <t>Thank you for contacting Darb 🙏
Please send your request and company profile to Info@darbstations.com.sa
It will be reviewed by the concerned department, and we will contact you if required.
Thank you 🧡</t>
  </si>
  <si>
    <t xml:space="preserve"> Motaz Ghalib</t>
  </si>
  <si>
    <t>م.محمد حكمي</t>
  </si>
  <si>
    <t>المحطة: البغدادية الغربية
شكوى/اقتراح: اقترح اضافة ساتر لمصلى وحمامات النساء بما انهم يطلون على الشارع العام وهناك كشف حقيقي للمكان .. وشكرا</t>
  </si>
  <si>
    <r>
      <rPr>
        <rFont val="Calibri"/>
        <b/>
        <color rgb="FF131825"/>
        <sz val="9.0"/>
      </rPr>
      <t xml:space="preserve">الاسم:م.محمد حكمي غرفة جازان التجارية
الاستفسار: حابين نعرض عليكم فرصة استثمارية مميزة لتشغيل وإدارة محطة وقود نموذجية في موقع استراتيجي بمدينة جيزان، وذلك على طريق الملك فيصل (شارع الستين) بحي الرحاب.
يمتاز المشروع بموقعه الحيوي والفريد، حيث تُعد هذه المحطة الوحيدة على امتداد شارع الستين في نطاقها المباشر، مما يمنحها ميزة تنافسية عالية وفرصة استحواذ على حركة المرور الكثيفة في المنطقة.
أبرز مميزات الموقع:
* مساحة تتجاوز 4,000 متر مربع قابلة للتطوير وفق أعلى المعايير التشغيلية.
* موقع استراتيجي على شارع رئيسي حيوي داخل مدينة جيزان.
* مجاورة مباشرة لـ مجمع تجاري ومحلات إدارية قائمة، مما يعزز الحركة اليومية للموقع.
* كثافة مرورية عالية تربط بين الأحياء السكنية والتجارية.
* بيئة مناسبة لإنشاء محطة وقود نموذجية متكاملة مع خدمات مساندة (مطاعم، مقاهي، خدمات سيارات).
* فرصة استثمارية نادرة في موقع لا يوجد له منافس مباشر على نفس الشارع.
</t>
    </r>
    <r>
      <rPr>
        <rFont val="Calibri"/>
        <b/>
        <color rgb="FF1155CC"/>
        <sz val="9.0"/>
        <u/>
      </rPr>
      <t>https://maps.app.goo.gl/oHkquDxQRbHFhd8T7</t>
    </r>
  </si>
  <si>
    <t xml:space="preserve">ابو عمر </t>
  </si>
  <si>
    <t xml:space="preserve">استفسار عن طريق الواتس الطلب غير واضح ولا يوجد رد من العميل </t>
  </si>
  <si>
    <t xml:space="preserve">Noura AlHomaidi
</t>
  </si>
  <si>
    <t xml:space="preserve">تواصلت في الويكند وحاليا ماعندي خدمة </t>
  </si>
  <si>
    <t xml:space="preserve">
اتمنى من المالك ينتبه اليوم لسبت الساعه ١٢:٨ بليل عبيت بنزين فل وسيارتي فيها نقطتين وطلع حسابي ٩١ ريال وانا اعرف اذا ثلاث نقاط يصير حول ال٧٠ ومايجي ٨٠ وانا شفت يوم جاء يشغلها كان ١٤ ريال ووقت ما جاء يشغل جاب صديقه سوو حركه بعدين شغل وانتبهت وقلت له يسوي نفسه ما يفهم متاكده انه نصاب قالي هو مسوي وانا كملت قلت لا هو ما شغل حط لخرطوش وماشغل قال لا شغل ووقفه وانا كملت17 مايو 2026
 </t>
  </si>
  <si>
    <t>ابوملك</t>
  </si>
  <si>
    <t>Madinah</t>
  </si>
  <si>
    <t xml:space="preserve">سلام عليكم ارغب بإستجار مغسلة السيارات في محطة درب الطريق الدائري </t>
  </si>
  <si>
    <t xml:space="preserve">علي ثابت الشهري </t>
  </si>
  <si>
    <t xml:space="preserve">عرض أرض </t>
  </si>
  <si>
    <t xml:space="preserve">عرض ارض - طريق الرياض 12 الف متر مربع عليها رخصه بناء محطه </t>
  </si>
  <si>
    <t>Salman</t>
  </si>
  <si>
    <t>أبو عبدالعزيز</t>
  </si>
  <si>
    <t xml:space="preserve">
مشكلتها تعبية السيارات والتريلات من طرمبة وحدة
وتسبب زحمة</t>
  </si>
  <si>
    <t xml:space="preserve">الية التقديم على الوظائف </t>
  </si>
  <si>
    <t xml:space="preserve">سعد </t>
  </si>
  <si>
    <t xml:space="preserve">محطه الخرج طريق الملك عبدالله - طلب من العامل التعبئه وقاله روح المضخه الثانيه وتاخر بالتعبئه -وسوء تنظيم العميل جدا مستاء ويطالب بتنظيم المحطه ويشتكي من سوء اسلوب العامل -معه سياره باترول 2009 اللوحه ا-د-ك-9-5-3-8 المسار الخلفي عبى ديزل </t>
  </si>
  <si>
    <t>تم توجيه العمال  بضرورة حسن التعامل مع العملاء والحرص على سرعة تقديم الخدمة وتنظيم حركة المركبات بشكل أفضل</t>
  </si>
  <si>
    <t xml:space="preserve">تاجير مساحه </t>
  </si>
  <si>
    <t>Muneer Alabsi</t>
  </si>
  <si>
    <t xml:space="preserve">الخدمه جداً بطيئه يحتاج رقابه تعبي بنزين وتأخير وكل واحد يقلك مافي احد روح الممرات الثانيه لازم رقابه للعمال في تاخير
15 مايو 2026
</t>
  </si>
  <si>
    <t xml:space="preserve">تم ابلاغ مدير المحطة في حينها وتم التعبئه للعميل في حينها حيث كان العامل المسؤول عن التعبئه في بريك للغداء </t>
  </si>
  <si>
    <t xml:space="preserve">استثمار - تم حاولة الاتصال لا يوجد رد </t>
  </si>
  <si>
    <t xml:space="preserve">غاده الشريف </t>
  </si>
  <si>
    <t xml:space="preserve">تاجير - درايف ثرو - المالك فرنشايز تابع ل كوفي  </t>
  </si>
  <si>
    <t>Hasan Alshehri</t>
  </si>
  <si>
    <t xml:space="preserve"> مايو 2026
الله يجزاكم خير على المسجد وكسب الاجر واتمنى الاهتمام بدورات مياه المسجد والتي تفتقد للنظافة وشطافات الحمامات
</t>
  </si>
  <si>
    <t>وسوم</t>
  </si>
  <si>
    <t xml:space="preserve">حمود </t>
  </si>
  <si>
    <t>Yasser dali</t>
  </si>
  <si>
    <t xml:space="preserve">استفسار مغسلة واش واي غسيل سيارات </t>
  </si>
  <si>
    <t xml:space="preserve">اول مره قيمتهم خمسه وبعد اكثر من مره تغيير تعملهم وحتى الكلام الي كانت اشتكي منه من اكثر المحطات أصبحت عندهم نفس المشكله الي هي إذا جاي يفتح التانكي يصقع كل مكان الي بوابة التانكي مرات كان يقفل بشكل خاطئ
الأربعاء، 3 يونيو 2026 في 06:19 ص
</t>
  </si>
  <si>
    <t xml:space="preserve">العامل ساحب علي ومدري ايش جالس يسوي وازهمه يقول دقيقة ولطعني اكتر من ٥ دقايق وانا التانكس فاضي ومستعجل، خلاني اكره درب ولاعاد اعبي فيه ابدا ولو سيارتي بتطفي، مافيها شي لو قالي ٥ دقايق او اسري ماني معبي لك بس لايسوق العبط ويطنش ( مرفق صورة)
14 مايو 2026
</t>
  </si>
  <si>
    <t>توجيه العاملين بالمحطة بضرورة الالتزام بالطريقة الصحيحة أثناء تقديم الخدمة والمحافظة على مركبات العملاء وسيتم متابعة الموضوع للتأكد من عدم تكراره</t>
  </si>
  <si>
    <t xml:space="preserve">Saud Qasem
</t>
  </si>
  <si>
    <t>افادت خلاص ولدي نايم</t>
  </si>
  <si>
    <t>مغسلة السيارات في المحطة سيئة جداً جداً
لا غسيل كويس ولا عمالة محترمة</t>
  </si>
  <si>
    <t xml:space="preserve">كان  عندي استفسار تمت خدمته </t>
  </si>
  <si>
    <t>جُ</t>
  </si>
  <si>
    <t>أحمد عقيل</t>
  </si>
  <si>
    <t xml:space="preserve">امكانية الطلب من البقالة </t>
  </si>
  <si>
    <r>
      <rPr>
        <rFont val="Calibri"/>
        <color rgb="FF131825"/>
        <sz val="9.0"/>
      </rPr>
      <t>يوم الجمعة  ‏الوقت 16:50 ‏التاريخ ١٤٤٨/١/١٨ لا يوجد عمال فقط على مسارين واخلاق العمال سيئة مرفق فديوهات للحادثة</t>
    </r>
    <r>
      <rPr>
        <rFont val="Calibri"/>
        <color rgb="FFFF9900"/>
        <sz val="9.0"/>
      </rPr>
      <t xml:space="preserve"> تم التواصل والاعتذار للعميل</t>
    </r>
    <r>
      <rPr>
        <rFont val="Calibri"/>
        <color rgb="FF131825"/>
        <sz val="9.0"/>
      </rPr>
      <t xml:space="preserve"> </t>
    </r>
  </si>
  <si>
    <t xml:space="preserve">عبدالله الثبيتي
</t>
  </si>
  <si>
    <t xml:space="preserve"> MK006</t>
  </si>
  <si>
    <t xml:space="preserve">الخدمه عندهم سيئه جدا -الثلاثاء، 2 يونيو 2026 في 07:55 م
</t>
  </si>
  <si>
    <t>تم التأكيد على جميع العاملين بضرورة تحسين مستوى الخدمة والالتزام بحسن استقبال العملاء وسرعة تلبية طلباتهم</t>
  </si>
  <si>
    <t>التوصيل من الشركاء</t>
  </si>
  <si>
    <t>: احد المسارحة المحطة: درب التاريخ: ٠٣-٠٧-٢٠٢٦ الوقت : 1:35 صباحاً جدية العامل منخفضة</t>
  </si>
  <si>
    <t xml:space="preserve">تم تنبيه العمال بهذه المحطة بالذات على الاجتهاد في التعامل 
</t>
  </si>
  <si>
    <t xml:space="preserve"> نوره المالكي</t>
  </si>
  <si>
    <t>عمر اليماني</t>
  </si>
  <si>
    <t xml:space="preserve">القصيم </t>
  </si>
  <si>
    <t xml:space="preserve"> QS055</t>
  </si>
  <si>
    <t xml:space="preserve">اذا مشغول يقولي امشي مب يعلقن ١٠ دقايق!!!
-الثلاثاء، 2 يونيو 2026 في 07:24 م
</t>
  </si>
  <si>
    <r>
      <rPr>
        <rFont val="Calibri"/>
        <color rgb="FF131825"/>
        <sz val="9.0"/>
      </rPr>
      <t xml:space="preserve">السبت 4/8/2026 الساعة. 9:44 ليلا" الشكوى : تم تعبئة السيارة اكسنت لون ابيض فل 91 القيمة توقفت عند 62.15 طلبت من العامل عدم الزيادة . ولكن لم يتوقف واكمل التعبئة. طلبت مرة أخرى التوقف توقفت القيمة عند 62.91 ريال. واوقفت التعبئة اخرجت بطاقة الصراف والتفتت فوجدت القيمة اصبحت 63 ريال العامل بعد توقف القيمة عند 62.91 قام بلمس الشاشة . واظهرت صوت توت يبدو انه هو من قام بجبر القيمة الى 63 اعترضت عليه . ولكنه في النهاية أصر ان يحصل على قيمة 63 ريال.. ووجهني الى مراجعة الادارة ومراجعة الكاميرات . وأشار لي لمكان مكتب الادارة دفعت وتوجهت للإدارة . ولكن كان المكتب مقفل عدت للعامل واعترضت عله ان وجهني للمكتب والمكتب مغلق قال بكل برود . المدير اصلا" ذهب لبريدة </t>
    </r>
    <r>
      <rPr>
        <rFont val="Calibri"/>
        <color rgb="FFFF9900"/>
        <sz val="9.0"/>
      </rPr>
      <t xml:space="preserve">- تم التواصل العميل يفيد في حال لم يتم اتخاذ اجراء سيتم تصعيدها الى وزارة التجارة وتم تواصل أ.كمال مع العميل لاغلاق الشكوى </t>
    </r>
  </si>
  <si>
    <t xml:space="preserve">تم ابلاغ مدير المحطة للمتابعة والنظر في سبب التأخير وانذار العامل المتسبب </t>
  </si>
  <si>
    <t>شكوى مالية</t>
  </si>
  <si>
    <t>حسام الثبيتي</t>
  </si>
  <si>
    <t>Hussain</t>
  </si>
  <si>
    <t>،أتمنى منكم دراسة افتتاح فرع لمحطة درب في حي الأمانة بمدينة الدمام، حيث يفتقر الحي إلى وجود محطة وقود تخدم السكان، مع تزايد الكثافة السكانية والحاجة لخدمات قريبة. أعتقد أن افتتاح فرع في الحي سيخدم الأهالي ويحقق إقبالًا جيدًا بإذن الله.
شكرًا لكم، وأتمنى أن يحظى هذا الاقتراح باهتمامكم</t>
  </si>
  <si>
    <t>استفسار غير مكتمل - لم يتم الرد</t>
  </si>
  <si>
    <t xml:space="preserve">يماني اصيل
</t>
  </si>
  <si>
    <t xml:space="preserve">مانصح في مغسله السيارات لان غسليهم مو كويس
</t>
  </si>
  <si>
    <t>نهار العتيبي</t>
  </si>
  <si>
    <t>عقيق</t>
  </si>
  <si>
    <t>Favas</t>
  </si>
  <si>
    <t>عرض محطه قائمه بمساحته 2600م ويوجد ارض في الخلف بمساحته 2600م - المالك</t>
  </si>
  <si>
    <t>Name: Favas
Business Activity: Tire and oil service shop
City: Sharafiya, Jeddah</t>
  </si>
  <si>
    <t xml:space="preserve"> -</t>
  </si>
  <si>
    <t xml:space="preserve"> MK054</t>
  </si>
  <si>
    <t xml:space="preserve">محطةً سيىء  من عمال و من محلات خدمات سيى--الثلاثاء، 2 يونيو 2026 في 04:24 م
</t>
  </si>
  <si>
    <t xml:space="preserve">تم ابلاغ مدير المحطة للعمل على تدريب العمال وتأهيلهم على المعامله الحسنه مع العملاء وكسب رضاهم </t>
  </si>
  <si>
    <t xml:space="preserve">استفسار عن وجود بطايق مسبقه الدفع </t>
  </si>
  <si>
    <t>غازي أبوساق</t>
  </si>
  <si>
    <t>أود التقدم إليكم بهذا الطلب ، وأنا أمتلك أرضًا خامًا ملكًا خاصًا في مدينة نجران على طريق الملك فهد، وهو من الطرق الحيوية والرئيسية، ويُعد امتدادًا مهمًا باتجاه منفذ الخضراء ومحافظة شرورة.
وحيث إن هذا الموقع يتميز بموقع استراتيجي وحركة مرورية نشطة، فإنني أرغب في عرضه عليكم للنظر في إمكانية تخصيصه ليكون موقعًا لمحطة وقود تابعة لشركتكم الموقرة في مدينة نجران.
آمل منكم التكرم بدراسة الموقع وإفادتي برأيكم وإجراءاتكم في حال وجود اهتمام، مع استعدادنا التام للتعاون وتقديم كافة التفاصيل والمستندات اللازمة.
طريق الملك فهد</t>
  </si>
  <si>
    <t xml:space="preserve">العمال تعاملهم سيئ ول يعرفون شي الاثنين، 1 يونيو 2026 في 11:48 م
</t>
  </si>
  <si>
    <t>لم بتم الرد</t>
  </si>
  <si>
    <r>
      <rPr>
        <rFont val="Calibri"/>
        <color rgb="FF131825"/>
        <sz val="9.0"/>
      </rPr>
      <t>استفسار عن عرض -</t>
    </r>
    <r>
      <rPr>
        <rFont val="Calibri"/>
        <color rgb="FFFF9900"/>
        <sz val="9.0"/>
      </rPr>
      <t xml:space="preserve"> تمت افادته</t>
    </r>
  </si>
  <si>
    <t xml:space="preserve"> RY106</t>
  </si>
  <si>
    <t xml:space="preserve">اسلوب العامل اللي يعبي بنزين جدا سيء و منفس وينفخ ولا فيه أي احترام للعميل الاثنين، 1 يونيو 2026 في 07:50 م
</t>
  </si>
  <si>
    <t>م.طارق مختار</t>
  </si>
  <si>
    <t>عطيه صالح المالكي</t>
  </si>
  <si>
    <t>استثمار محطه قائمه مساحه فوق2000م -مالك</t>
  </si>
  <si>
    <t>شركة الاندلس للاستشارات الهندسية
استفسر عن طلب تحديد موعد اجتماع لعرض خدماتنا في مجال التصاريح البيئية</t>
  </si>
  <si>
    <t xml:space="preserve">طلب عقار ايجار كشك او محل - مالك </t>
  </si>
  <si>
    <t>حسام محمد أمين</t>
  </si>
  <si>
    <t>المحطة: اللي في الممشى القديم الشوقية
التاريخ:15 / 05 / 2026 الوقت: 10:50م يوجد عامل اسمه اتوقع محمد فيصل بنجالي قل ادبه واسلوبه سيء ارجو منكم التواصل لمعرفة التفاصيل واتخاذ اجراء صارم ضده او انا اخذ اجراء قانوني لان يوجد شاهد -  سوزوكي سماوي - اخضر - 20 ريال شبكة - المسار الخارجي</t>
  </si>
  <si>
    <t>تم إبلاغ مدير المحطة لمراجعة الكامرات والتأكد من اسم العامل واعطاءه لفت نظر ه، مع التأكيد على معالجة أسباب الشكوى  ورفع مستوى الخدمة وعدم تكرار ذلك مستقبلاً.</t>
  </si>
  <si>
    <t xml:space="preserve">وليد </t>
  </si>
  <si>
    <r>
      <rPr>
        <rFont val="Calibri"/>
        <color rgb="FF131825"/>
        <sz val="9.0"/>
      </rPr>
      <t xml:space="preserve">يوم الاحد الساعه 10:17ص  كنت عند اول مضخه من بداية المسار وطلب مني العامل ارجع لاخر مسار لان العامل المسؤول عن المضخه في الحمام ورجعت لاخر مسار في مدخل المحطة وتجي سيارتين قدامي ويروح يعبي لها؟ وخلاني ارجع ع الفاضي وانتظرت ربع ساعه مابي اضر العامل اعتذر لي ولكن اتمنى التنبيه وعدم التكرار - سيارة جيب ابيض ام جي </t>
    </r>
    <r>
      <rPr>
        <rFont val="Calibri"/>
        <color rgb="FFFF9900"/>
        <sz val="9.0"/>
      </rPr>
      <t xml:space="preserve">- تم التواصل والاعتذار للعميل وتقبل ذلك </t>
    </r>
  </si>
  <si>
    <t xml:space="preserve">طلب العميل التحويل لقسم البيئه لعرض الخدمات وتمت افادته -بالارسال على الايميل </t>
  </si>
  <si>
    <t>اروى العتيبي</t>
  </si>
  <si>
    <t>درب طريق المطار
16 مايو .. 11:00am
(ذباب )في مخبز السوبرماركت</t>
  </si>
  <si>
    <t>محل سيارات - لا يوجد فروع - المالك</t>
  </si>
  <si>
    <t xml:space="preserve">جمال </t>
  </si>
  <si>
    <r>
      <rPr>
        <rFont val="Calibri"/>
        <b/>
        <color rgb="FF434343"/>
        <sz val="9.0"/>
      </rPr>
      <t xml:space="preserve">يوم الاربعاء الساعة 4:04 م العامل مو امام المضخة وخويه يقولي 10 دقايق ويحي رايح يتغدا وانا لي نص ساعه واقف عند المضخة 05D والصف الثاني رفضو يخدموني- تاهو شفرولية ابيض </t>
    </r>
    <r>
      <rPr>
        <rFont val="Calibri"/>
        <b/>
        <color rgb="FFFF9900"/>
        <sz val="9.0"/>
      </rPr>
      <t>-تم التواصل مع العميل وتمت التعبئة له</t>
    </r>
  </si>
  <si>
    <t>محل</t>
  </si>
  <si>
    <t>ا با اعرف محطة درب اللي فالنسيم فيلها غسيل سيارات</t>
  </si>
  <si>
    <t>استثمار محطه عليها رخصه بصفه مالك</t>
  </si>
  <si>
    <t>يبغون دوار السعاده  في محطه المدينه قبل التفتيش</t>
  </si>
  <si>
    <t xml:space="preserve">مهدي ظافر العنزي </t>
  </si>
  <si>
    <t>يرغب العميل بعرض محطات ومواقع تجاريه على خطوط رئيسيه والتواصل مع مسؤؤل الاستثمار بشكل مباشر</t>
  </si>
  <si>
    <t xml:space="preserve">عبد الكريم </t>
  </si>
  <si>
    <t>محافظه الغاط</t>
  </si>
  <si>
    <t>استثمار محطه جاهزه للتشغيل بمساحه 50م بصفه مالك</t>
  </si>
  <si>
    <t>مهند الثقفي</t>
  </si>
  <si>
    <t xml:space="preserve">مسؤؤل ملعب افاد انه يود مشاركه درب في تنميه كره القدم للاطفال ووضع علامه درب في الملعب والتيشرتات والمبارايات - </t>
  </si>
  <si>
    <t>السلام عليكم ، حصلت ارقامكم على محطه على وشك الافتتاح في خميس مشيط طريق وادي بن هشبل هل فيه ايجار موقع كشك دريف ثرو؟</t>
  </si>
  <si>
    <t xml:space="preserve">تت افادته بارسال جميع التفاصيل على الايميل  </t>
  </si>
  <si>
    <r>
      <rPr>
        <rFont val="Calibri"/>
        <color rgb="FF131825"/>
        <sz val="9.0"/>
      </rPr>
      <t>يوم الجمعه االساعه2م تجاهل العماله يتجمعون يسولفون ويتركون الناس ويقول تعال عبي يقول مو شغال لان العمال بمساره ويتجاهل العميل  السسياره صني لون ازرق-ان -</t>
    </r>
    <r>
      <rPr>
        <rFont val="Calibri"/>
        <color rgb="FFFF9900"/>
        <sz val="9.0"/>
      </rPr>
      <t xml:space="preserve"> تم التواصل والاعتذار للعميل  </t>
    </r>
  </si>
  <si>
    <t>تم تنبيه المشرف بأنو لازم يتعلموا العمال لباقة التعامل</t>
  </si>
  <si>
    <t xml:space="preserve">Najran
</t>
  </si>
  <si>
    <t xml:space="preserve">عبدالسلام </t>
  </si>
  <si>
    <t xml:space="preserve">أم فرح </t>
  </si>
  <si>
    <t xml:space="preserve">عرض اراضي متعدده بمساحه 17000 - المالك -يرغب بالتواصل مع المسؤؤل مباشرة </t>
  </si>
  <si>
    <t>استفسار - لم يتم الرد</t>
  </si>
  <si>
    <t>Al Qassim</t>
  </si>
  <si>
    <r>
      <rPr>
        <rFont val="Calibri"/>
        <b/>
        <color rgb="FF131825"/>
        <sz val="9.0"/>
      </rPr>
      <t>جيت المحطة رفض العامل يعبي لي جلست واقف فتره طويله هايلوكس 2013 بيضه - العميل رفض يزودنا ببيانات المركبة وافاد انتبهوا لعمالكم تراكم شركة زينة  يوم 5-26 الساعه 1:50م  -</t>
    </r>
    <r>
      <rPr>
        <rFont val="Calibri"/>
        <b/>
        <color theme="8"/>
        <sz val="9.0"/>
      </rPr>
      <t xml:space="preserve"> تم الاعتذار منه</t>
    </r>
  </si>
  <si>
    <t>Kamal</t>
  </si>
  <si>
    <t>مقبل</t>
  </si>
  <si>
    <t xml:space="preserve">زينة سيارات اول فرع  - ابها وخميس مشيطه </t>
  </si>
  <si>
    <t>تأخير مبالغ فيه وبرود العمال - 22:08:34 Thursday, May 14, 2026 - لم يتم الرد لمعرفة تفاصيل الملاحظة</t>
  </si>
  <si>
    <t xml:space="preserve">تم ابلاغ مدير المحطة والتشديد عليه لتكرار هذه الشكوى في المحطة اكثر من مره </t>
  </si>
  <si>
    <t>درايف ثرو</t>
  </si>
  <si>
    <t>سليم محسن</t>
  </si>
  <si>
    <t>ناصر الغامدي</t>
  </si>
  <si>
    <t xml:space="preserve">الطائف </t>
  </si>
  <si>
    <t>تعامل العمال سي جدا - 11:41:10 Sunday, May 10, 2026</t>
  </si>
  <si>
    <t>الباحه</t>
  </si>
  <si>
    <t xml:space="preserve"> تاجير بنشر وزيت - شركه الامثل - الطايف </t>
  </si>
  <si>
    <t xml:space="preserve">تم ابلاغ مدير المحطة لزيادة التدريب والتاهيل </t>
  </si>
  <si>
    <t xml:space="preserve">طلب استثمار موقع بمساحه 3500م بصفه مالك وسبق تم التواصل معاي من  الرقم التالي 0555520019 ويرغب بالرد النهائي </t>
  </si>
  <si>
    <t xml:space="preserve">تم ارسال ايميل لسلمان ونايف لمتابعة الطلب لاهميته </t>
  </si>
  <si>
    <t>عبدالرحمن محمد السلولي</t>
  </si>
  <si>
    <t xml:space="preserve">استفسار عن العرض                                                                                                                                                                                                                               </t>
  </si>
  <si>
    <t>مدخل الكراسي المتحركة عالي جدا عند دورات المياه
وايضا درجات السلم تحتاج استاند جانبي يساعد كبار السن على صعود الدرج
شكرا لكم على ما تقدمون من خدمات راقية للمسافرين وعابري الطريق</t>
  </si>
  <si>
    <t xml:space="preserve">ابوصديق </t>
  </si>
  <si>
    <t>على طرق فرعي
في منطقة حيوية
موقع محطة
على قرى كثيرة
مساحة المجمع ١٢٥٠ متر مربع
للإيجار</t>
  </si>
  <si>
    <t>ساره</t>
  </si>
  <si>
    <t>راحت المحطه يوم الخميس الساعه 11م كانت بتعبي بانزين 95 وقالها غير متوفر</t>
  </si>
  <si>
    <t xml:space="preserve">تم التواصل وافاد مدير المنطقة ان البنزيم متوفر والعميل جاء في وقت التفريغ </t>
  </si>
  <si>
    <t>انقطاع الوقود</t>
  </si>
  <si>
    <t>لا يوجد عمال كافيين في المحطه في المحطه تحتاج لها عمال - 10:09:02 Thursday, May 14, 2026</t>
  </si>
  <si>
    <t>عرض اراض بمساحه 9 الاف -كانت سابقا محطه محروقات -منطقه جيزان</t>
  </si>
  <si>
    <r>
      <rPr>
        <rFont val="Calibri"/>
        <color rgb="FF131825"/>
        <sz val="9.0"/>
      </rPr>
      <t xml:space="preserve">جيت يوم الاثنين والعمال تصرفهم سيئة ورجعت يوم الجمعه والعامل ينافخ يقول جميعه مين يعبي؟ وتجاهلني اكثر من مره يوم الجمعه الساععه 12:55 الظهر سيارته فضي 2007 </t>
    </r>
    <r>
      <rPr>
        <rFont val="Calibri"/>
        <color rgb="FFFF9900"/>
        <sz val="9.0"/>
      </rPr>
      <t xml:space="preserve">- تم التواصل والاعتذار للعميل </t>
    </r>
  </si>
  <si>
    <t>احمد مدني</t>
  </si>
  <si>
    <t xml:space="preserve">غنيم ناصر الغنيم </t>
  </si>
  <si>
    <t xml:space="preserve"> عرض ارض  لموقع محطه ف اعلى مساحه  51 الف متر على طريق الرياض السريع الدولي
عليها رخصه جديده ومخطط -المالك </t>
  </si>
  <si>
    <t xml:space="preserve">00:07:00 Friday, May 15, 2026 - لم يتم الرد لمعرفة تفاصيل التققيم </t>
  </si>
  <si>
    <t>MK323</t>
  </si>
  <si>
    <r>
      <rPr>
        <rFont val="Calibri"/>
        <color rgb="FF131825"/>
        <sz val="9.0"/>
      </rPr>
      <t>الامبير سريع وبس ينبه عن المحطه  ويقول عكس المحطات الثانيه</t>
    </r>
    <r>
      <rPr>
        <rFont val="Calibri"/>
        <color rgb="FFFF9900"/>
        <sz val="9.0"/>
      </rPr>
      <t xml:space="preserve">-تم التواصل مع العميل وافهامه وتفهم ذلك وافاد هي ملاحظة بس </t>
    </r>
  </si>
  <si>
    <r>
      <rPr>
        <rFont val="Calibri"/>
        <b/>
        <color rgb="FF131825"/>
        <sz val="9.0"/>
      </rPr>
      <t>يعني عرفة والناس صايمه ونايمه وهذول بالمحطة ازعاج مدري ايش قاعدين يقصو بمكينة نكلمهم انه يزعجنا ولا كانه   
9:40 ص 5-26 -</t>
    </r>
    <r>
      <rPr>
        <rFont val="Calibri"/>
        <b/>
        <color rgb="FFFF6D01"/>
        <sz val="9.0"/>
      </rPr>
      <t xml:space="preserve"> تم الااعتذار منه </t>
    </r>
  </si>
  <si>
    <t xml:space="preserve">سلوك العمال </t>
  </si>
  <si>
    <t>اميره صالح القحطاني</t>
  </si>
  <si>
    <t>مؤسسة الدائرة الذهبية  ابها</t>
  </si>
  <si>
    <t>خأسه الحمام وصخان ومليان خرى و بول والشفاط ما يشفط والشطاف مكسور والباب ما يتقفل -  19:21:15 Friday, May 15, 2026</t>
  </si>
  <si>
    <t xml:space="preserve">تم شرح الملاحظة لمدير المحطة وتم التنويه باتخاذ اللازم </t>
  </si>
  <si>
    <t>اقتراح أن يكون لشركة دروب بطاقات وقود خاصة بالشركة تكون للشركة نسبة فيها و يكون التعبئه من نفس الشركة فقط و يكون للعملاء المميزين بعض المميزات
هذا مجرد اقتراح و لكم جزيل الشكر</t>
  </si>
  <si>
    <t>خلف</t>
  </si>
  <si>
    <t>العماله سييه  - 15:12:08 Thursday, May 14, 2026 - لم يتم الرد لمعرفة تفاصيل الملاحظة</t>
  </si>
  <si>
    <t xml:space="preserve">تم ابلاغ مدير المحطة للشد على العمال </t>
  </si>
  <si>
    <t>استفسار عن وظائف</t>
  </si>
  <si>
    <t xml:space="preserve">سوزان </t>
  </si>
  <si>
    <t xml:space="preserve">عندي موقع ممتاز - طلب غير مكتمل </t>
  </si>
  <si>
    <t xml:space="preserve">Asir
</t>
  </si>
  <si>
    <r>
      <rPr>
        <rFont val="Calibri"/>
        <b/>
        <color rgb="FF131825"/>
        <sz val="9.0"/>
      </rPr>
      <t xml:space="preserve">شكواي على عامل المحطه حيث قام بالرفض وعدم تعبئة سيارتي بالوقود وطلب مني التحرك من مساري وتغيير مكاني والانتقال الى حيث هو واقف وقبل ذلك بعد مادقيت بوري (المنبه) وقام بتطنيشي مايقارب 4 دقايق مع العلم انه لايوجد سيارات في اي مسار
محطة درب في  بتاريخ 1447/12/5 الساعه 2:45ص سيارتي تويوتا فورشنر 2022 - احب اكدلك اني لم اعبي بنزين من تلك المحطه وتوجهت الى محطة ساسكو لحسن تعامل العاملين فيها مع ان محطة الدرب في طريقي  </t>
    </r>
    <r>
      <rPr>
        <rFont val="Calibri"/>
        <b/>
        <color rgb="FFFF6D01"/>
        <sz val="9.0"/>
      </rPr>
      <t>تم  اغلاق الشكوى والاعتذار من العميل وسيتم اتخاذ اجراء مع العمال</t>
    </r>
  </si>
  <si>
    <t>سيف</t>
  </si>
  <si>
    <t>حمامات غير نظيفه - 00:48:49 Monday, May 11, 2026</t>
  </si>
  <si>
    <t>تم توجيه مدير المنطقة بوجود عدة بلاغات بخصوص نظافة المرافق العامة بالمحطة
و التوجيه باتخاذ اللازم للحد من ملاحظات العملاء</t>
  </si>
  <si>
    <t>شركة الشريف للمواد الغذائية</t>
  </si>
  <si>
    <t xml:space="preserve">تموينات وبوفيهات سريعه ومطاعم
عدد الفروع: 2
المدينة: مكه وتبوك وجازان 
</t>
  </si>
  <si>
    <t>Shahad</t>
  </si>
  <si>
    <t>السلام عليكم حمامات الفرع هذا جدا سيئة المغسلة مافيها موية !!! مناديل وقلنا يالله مو مشكلة بس مويه كيف نغسل يديننا يعني والكرسي يبغالة تنظيف / فرع الطايف البيعة حي الجال 24372 - 14:29:52 Thursday, May 14, 2026</t>
  </si>
  <si>
    <t xml:space="preserve">سعيد محمود </t>
  </si>
  <si>
    <t xml:space="preserve"> طلب تاجير مساحه جده الرحيلي حي طيبه تاجير درايف ثرو - محل بوفيه -وكيل </t>
  </si>
  <si>
    <t>Nadia</t>
  </si>
  <si>
    <t>وسخه مرره وكمان مغاسله مهتريه - 08:24:26 Friday, May 15, 2026</t>
  </si>
  <si>
    <r>
      <rPr>
        <rFont val="Calibri"/>
        <b/>
        <color rgb="FF131825"/>
        <sz val="9.0"/>
      </rPr>
      <t xml:space="preserve">الطائف السيل الصغير محطة درب طريق السيل مكان محطة عاصفة الصحراء يوم الأربعاء ١٠ ذوالحجه ١٤٤٧ الساعة ١١:٥٠ الشكوى : رفض التعبئه و رفع الصوت في وجهي و هذي دائم التكرار في هذي المحطه لدرجه صار الواحد يدور أي محطه بديله - سيارة سودة (ر ط ن)  - </t>
    </r>
    <r>
      <rPr>
        <rFont val="Calibri"/>
        <b/>
        <color theme="8"/>
        <sz val="9.0"/>
      </rPr>
      <t xml:space="preserve"> تم الاعتذار وانه سيتم اتخاذ اجراء مع العامل لتحسين الخدمة</t>
    </r>
  </si>
  <si>
    <t>علي بن سعد المصقري</t>
  </si>
  <si>
    <t>شركه كيو اند او ايليت</t>
  </si>
  <si>
    <t xml:space="preserve">طلبات استثمار </t>
  </si>
  <si>
    <t xml:space="preserve">افاد العميل انه خارج المملكه سيتم التزويد بكافه التفاصيل على الواتس </t>
  </si>
  <si>
    <t>Tala</t>
  </si>
  <si>
    <t>الحمامات نظيفه نوعا ما بس المساحه جدا صغيره للحمامات والمصلى النساء - 14:28:32 Friday, May 15, 2026</t>
  </si>
  <si>
    <t xml:space="preserve">عبد المجيد الحازمي </t>
  </si>
  <si>
    <r>
      <rPr>
        <rFont val="Calibri"/>
        <b/>
        <color rgb="FF131825"/>
        <sz val="9.0"/>
      </rPr>
      <t>كننت اعبي بنزين في محطه احد المسارحه جيزان - الطرمبه شغاله والعمال موجودين طلب العامل الانتظار من الانتهاء من السياره الموجوده في الطرمبه الثالثه وهو فالثانيه وطفيت السيار ووقفت- بعدها قال قدم لعندي -ثم قال له امشي ماراح اعبي لك - العميل مشى لرفض العامل التعبئه له  الخميس -الساعه 9:58 لوحة السياره ر-ار 4317 كامري فضي - المسار الاول   -</t>
    </r>
    <r>
      <rPr>
        <rFont val="Calibri"/>
        <b/>
        <color rgb="FFFF6D01"/>
        <sz val="9.0"/>
      </rPr>
      <t xml:space="preserve"> تم اغلاق الشكوى مع العميل والاعتذار منه </t>
    </r>
  </si>
  <si>
    <t>تم التنبيه على مشرف المنطقة  بمتابعة أداء العاملين واتخاذ الإجراءات اللازمة حيال أي مخالفة أو تقصير والعمل على منع تكرار مثل هذه الملاحظات</t>
  </si>
  <si>
    <t>سوبرماركت</t>
  </si>
  <si>
    <t>الحمام مو وسخ قذذذذررر ومكتوم ومافي صابون ولا مناديل - 19:45:00 Friday, May 15, 2026</t>
  </si>
  <si>
    <t>تقول ماتصلت</t>
  </si>
  <si>
    <t xml:space="preserve">سعيد الشهراني </t>
  </si>
  <si>
    <t xml:space="preserve">طلب تاجير - محل في ابها وعسير -وكيل -اول مره </t>
  </si>
  <si>
    <t>Rashd</t>
  </si>
  <si>
    <t>مافيه صابون حاطين مويه على الصابون عشان يكثر ولا له فايدة ولا رغوة كانه مويه وريحته تايد مو صابون يد - 00:05:26 Saturday, May 16, 2026</t>
  </si>
  <si>
    <t xml:space="preserve">تقول كانت تبغا توصيل من محطه قريبه منها </t>
  </si>
  <si>
    <t xml:space="preserve">تم توجيه مدير المنطقة بوجود عدة بلاغات بخصوص نظافة المرافق العامة بالمحطة
و التوجيه باتخاذ اللازم للحد من ملاحظات العملاء وتم شرح الملاحظة </t>
  </si>
  <si>
    <t xml:space="preserve">فهد خضر القرشي </t>
  </si>
  <si>
    <t xml:space="preserve">تم اجراء مقابله وتصوير معه فالمحطه على طريق الهدا قبل شهرين ونشر المقطع على التيك توك افاد العميل انه تم اعطاءه كوبون 100 ريال - فورد لون سمني - لوحة السياره ب-ر-ط 2641 العميل يرغب استخدام الكوبون </t>
  </si>
  <si>
    <t>الحمام وصخ ومافيه مناديل الطايف كوفي موب - 23:19:08 Saturday, May 16, 2026</t>
  </si>
  <si>
    <t xml:space="preserve">استفسار عن الوظائف - تت افادته </t>
  </si>
  <si>
    <t xml:space="preserve">استفسار - تم التواصل معه من قبل مسؤؤله التاجير </t>
  </si>
  <si>
    <t>الماء مقطوع ودوره المياه مفتوحه</t>
  </si>
  <si>
    <t xml:space="preserve">تم التحقق من دورة المياه وجميع ا دورات المياه يوجد بها ماء </t>
  </si>
  <si>
    <t>انقطاع المياه</t>
  </si>
  <si>
    <t xml:space="preserve">استفسار عن عرض </t>
  </si>
  <si>
    <t>2000م- عليها رخصة -</t>
  </si>
  <si>
    <t xml:space="preserve">يرغب بكوبون بنزين او كرت وتم توضيح سيارة اب له </t>
  </si>
  <si>
    <t xml:space="preserve">استفسار عن شريحه او بطاقه </t>
  </si>
  <si>
    <t xml:space="preserve">دوراات المياه قذرة جدًا ورائحتها كريهة وواضحة قبل الدخول حتى، لا يوجد مناديل ولا صابون، سلات المهملات ‏مملوءة بالقذارة، ‏اقفال الأبواب مكسورة، والمقاعد قذرة جدًا ومكسورة Thursday, June 4, 2026 </t>
  </si>
  <si>
    <t xml:space="preserve">عبد الحكيم </t>
  </si>
  <si>
    <t xml:space="preserve">لوحظ وجود الرائجة الكهريهة 
تم التحقق من الصابون موجود 
اقفال الابواب تعمل 
تم التنويه على ضرورة المتابعة </t>
  </si>
  <si>
    <t xml:space="preserve">2026-05-15 03:00:06 PM UTC+03:00-دق بالخطاء - </t>
  </si>
  <si>
    <r>
      <rPr>
        <rFont val="Calibri"/>
        <b/>
        <color rgb="FF131825"/>
        <sz val="9.0"/>
      </rPr>
      <t>يوم الاحد 12:48 م  عبى ديزل بقيمه 1775ريال كاش المتفرض يكون باللتر 977 الا ان العامل عبى 900 لتر - السياره دينه بيضا اللوحه 0272</t>
    </r>
    <r>
      <rPr>
        <rFont val="Calibri"/>
        <b/>
        <color rgb="FFFF9900"/>
        <sz val="9.0"/>
      </rPr>
      <t xml:space="preserve">-تم تواصل مشرف المحطه لتوضيح سياسة الحسبة الصحصحة بالتر  - </t>
    </r>
    <r>
      <rPr>
        <rFont val="Calibri"/>
        <b/>
        <color rgb="FF131825"/>
        <sz val="9.0"/>
      </rPr>
      <t>تم التواصل مع العميل وتوضيح أن قيمة التعبئة الصحيحة هي 1,750 ريال، وأن احتساب كمية الوقود يتم بقسمة المبلغ على سعر اللتر (1.790 ريال)، وليس بطريقة أخرى. تفهم العميل وتم إغلاق الشكوى.</t>
    </r>
  </si>
  <si>
    <t>العميل لم يحسب الحسبه بشكل صحيح ضرب المبلغ في عدد اللترات والصحيح ان يقسم المبلغ في سعر اللتر  (المبلغ ÷ سعر اللتر = عدد اللترات
)</t>
  </si>
  <si>
    <t>Nawaf</t>
  </si>
  <si>
    <t>لوحظ تكرار التأخر في تقديم الخدمة من قبل بعض موظفي المحطة، مما نتج عنه زيادة مدة الانتظار وانعكس سلبًا على مستوى الخدمة
الخميس، 4 يونيو 2026 في 11:29 ص</t>
  </si>
  <si>
    <t>تم إبلاغ إدارةالمنطقة  بالملاحظة والتأكيد على ضرورة سرعة الاستجابة للعملاء وتقديم الخدمة بالوقت المناسب،</t>
  </si>
  <si>
    <t xml:space="preserve">درب حفر الباطن-بالخطأ                    </t>
  </si>
  <si>
    <t>Saturday, May 16, 2026 -اعتذر عن كتابة هذا التعليق: ولكن دورة المياه هذه أسوء من السيء مكتومة ومتسخة لا تلبق بمثل هذه المحطة. جزاكم الله خيرا</t>
  </si>
  <si>
    <t xml:space="preserve">تم شرح الملاحظة لمدير المحطة 
وتم الشكر على ملاحظة نسبة عدد الشكاوى على المحطة قل 
والتحريص على العناية و الاهتمام بي المرافق  </t>
  </si>
  <si>
    <r>
      <rPr>
        <rFont val="Calibri"/>
        <b/>
        <color rgb="FF131825"/>
        <sz val="9.0"/>
      </rPr>
      <t xml:space="preserve">محايل عسير  العامل رفض فال تعال  ٢:٤٥ د هالوكس ٢٠١٤  (٦٧٥٩ - أ ي و )  واحد مطوع والثاني لا هو هدا المسار داخلي  - </t>
    </r>
    <r>
      <rPr>
        <rFont val="Calibri"/>
        <b/>
        <color theme="8"/>
        <sz val="9.0"/>
      </rPr>
      <t>تم الاعتذار من لعميل وسيتم مراجعة الكميرات واتخاذ اجراء</t>
    </r>
  </si>
  <si>
    <t xml:space="preserve">هل يوجد توصيل </t>
  </si>
  <si>
    <t xml:space="preserve">انا من عملاء درب ما اعبي الا من محطاتهم وبعض الاحيان اتعنى من بعيد عشان اجي للمحطة وكذا سياره ما اعبي الا منها في جميع المناطق وابغا خصم على الاقل او يكون فيه ابلكيشن للشركة زي ساسكو
</t>
  </si>
  <si>
    <t xml:space="preserve">اخلاق العاملين جدا سئيه ، واقفين و يسولفون و يتمطعون في الخدمه و المحطه زحمهThursday, May 14, 2026 </t>
  </si>
  <si>
    <t xml:space="preserve">تم ابلاغ مدير المحطة لتكثيف الرقابه والشد على العماله </t>
  </si>
  <si>
    <t xml:space="preserve">
سلام عليكم ورحمه الله وبركاته مساك الله بالخير كيف حالك عساك طيب
عندي ارض بحي الصحافه مساحتها ٣٦٠٠متر ايجارها مناسب جدا انا جابلى الموقع ورقم المتب واحد مدير شركه معروفه كان بيحلص الموقع لشركتهم وصرفهم جابلي الموقع ورقم المكتب طالب سعي ٥٠٠الف والموقع ممتاز حقه ثلاثه مليون
المهم العقد ٢٠ سنه
الخمس السنوات الاولى مليون وميتين الخمس السنوات الثانيه مليون وربعميه الخمس السنوات الثالثه مليون وستميه الخمس السنوات الرابعه مليون وثمان ميه وسنه فتره اعمار الموقع</t>
  </si>
  <si>
    <t>علي الاحمدي</t>
  </si>
  <si>
    <t xml:space="preserve">عرض محطه جاهزه بمساحة 5000الاف مالقصيم البكيريه </t>
  </si>
  <si>
    <t>السلام عليكم
ممكن رقم الفرنشايز او المسوؤل عن المعارض والفعاليات</t>
  </si>
  <si>
    <t xml:space="preserve">تم محاولة التواصل لفهم طلب العميل لا يوجد رد </t>
  </si>
  <si>
    <t xml:space="preserve">العماله اليمنيه الي في المحطه معدمين دورة المياه والمسجدThursday, May 14, 2026 </t>
  </si>
  <si>
    <t>حسب افادة مدير المنطقة  في  عمال تابعين لمحل الزينة بالمحطة، وعليهم بعض الملاحظات بالفعل، منها رمي الكراتين عند باب المحل وتركها لفترة طويلة، وكذلك وضع عربة النظافة قدام المحل وبرضه يدخلوا الحمامات وينظفوا العربة بطريقة توسخ الحمامات وتم التنبيه عليهم بخصوص هذي الملاحظات.</t>
  </si>
  <si>
    <t xml:space="preserve">احمد ابو زيد </t>
  </si>
  <si>
    <t xml:space="preserve">عرض موقع حكومي في ابها للاستثمار بمساحة 6000الاف </t>
  </si>
  <si>
    <t>شذى طارق -</t>
  </si>
  <si>
    <t>السلام عليكم ورحمة الله وبركاته، معك شذى طارق عبدالرحمن خريجة قانون أرسل لك رغبتي في الالتحاق بالشاغر بمسمى (اخصائي عقود ) مرفق لكم سيرتي الذاتية للاطلاع عليها، وشاكرة ومقدرة لوقتكم.</t>
  </si>
  <si>
    <t xml:space="preserve">عبدالرحمن المهيدب </t>
  </si>
  <si>
    <t xml:space="preserve">مغاسل للايجار طريق المطار الطائف - اول مره - المالك </t>
  </si>
  <si>
    <t xml:space="preserve">ماهر سعود المطيري </t>
  </si>
  <si>
    <t xml:space="preserve">الخرج الناصفه RY042 الخميس الساعه 12:20 ظهرا محطه درب المسار الايسر الاول العامل حط الجهاز وقال مرفوضه- رجع جاب جهاز شبكه ثاني وسحب وتمت وصلتني سحوبات من الاثنين بعد مامشيت لوحة السياره ر-م-م الرقم 2462 هوندا ذهبي  العميل ارفق صور بالواتس اب  - تم ابلاغ العميل بمراجعة البنك </t>
  </si>
  <si>
    <t>تواصلو  معه من قروب الخدمه و - من خلال الحديث معه ما تطرق لموضوع مراجعه البنك وبالغالب بترجع عكسية بما أن حساباتنا مضبوطه لاننا مقفلين شفت 12 ساعة</t>
  </si>
  <si>
    <t>الية التقديم</t>
  </si>
  <si>
    <t xml:space="preserve">خالد الشريف </t>
  </si>
  <si>
    <t>سعد القحطاني</t>
  </si>
  <si>
    <t xml:space="preserve">                                طريق المطار - تاجير </t>
  </si>
  <si>
    <t xml:space="preserve">سلام عليكم ممساء الخير عندي موقع مميز على طريق دولي مميز وعندي ترخيص بناء محطه مساحه 10000 متر
على طريق الحساء الرياض تبعد من الحساء 42 باتجاه الرياض
اذا لكم خاطر تكونون المسثمرين لها وتكون له بصمه في هذا الطريق يسعدني تواصلكم معي
</t>
  </si>
  <si>
    <t xml:space="preserve">طلب استشاره للاستثمار وشراء موقع الارض للتعاون مع درب </t>
  </si>
  <si>
    <t xml:space="preserve">محمد سعيد الغامدي </t>
  </si>
  <si>
    <t>الية التقديم ع الوظائف</t>
  </si>
  <si>
    <t xml:space="preserve">محل في جده - حي الامير فواز - بوفيه </t>
  </si>
  <si>
    <t xml:space="preserve">معاذ المهدي </t>
  </si>
  <si>
    <r>
      <rPr>
        <rFont val="Calibri"/>
        <b/>
        <color rgb="FF131825"/>
        <sz val="9.0"/>
      </rPr>
      <t>محطة: البغدادية الغربية - طريق الاندلس ( بجوار فندق قصر المدينة )
التاريخ:03/06/2026
الوقت: 07:08 AM
شكوى: سيارتي هوندا اكورد 2018 سعة خزان الوقود فيها 56 لتر يتم تعبئته 62.43 لتر ، برجاء انصافي واتخاذ ما يلزم - المسار الايسر الصباح الساعه 7 الاربعاء - طلبت تعبئه فل ب 145 انا اول مره اعبي السياره بهذا السعر لوحه السياره  - 5584-دع-ل اكورد ابيض   -</t>
    </r>
    <r>
      <rPr>
        <rFont val="Calibri"/>
        <b/>
        <color rgb="FFFF9900"/>
        <sz val="9.0"/>
      </rPr>
      <t xml:space="preserve"> تم التواصل معه والاعتذار منه وفهم الاشكاليه </t>
    </r>
  </si>
  <si>
    <t xml:space="preserve"> - غلطان -2026-05-15 06:25:26 AM </t>
  </si>
  <si>
    <t>يخلطون البنزين</t>
  </si>
  <si>
    <t>تم التواصل مرتين والهاتف مغلق  حياك الله في درب 
تم التواصل عبر الاتصال ولم يتم توضيح الاشكاليه 
في حال رغبتك باقفال الرسائل الدعائية بامكانك الغاء الاشتراك 🙏</t>
  </si>
  <si>
    <t xml:space="preserve">شاهر العباسي </t>
  </si>
  <si>
    <t xml:space="preserve">كشك </t>
  </si>
  <si>
    <r>
      <rPr>
        <rFont val="Calibri"/>
        <color theme="1"/>
        <sz val="9.0"/>
      </rPr>
      <t xml:space="preserve">يستفسر عن الرقم الضريبي للشركه </t>
    </r>
    <r>
      <rPr>
        <rFont val="Calibri"/>
        <color rgb="FFFF9900"/>
        <sz val="9.0"/>
      </rPr>
      <t xml:space="preserve">  تمت افادته</t>
    </r>
  </si>
  <si>
    <t>مجاهد احمد</t>
  </si>
  <si>
    <t xml:space="preserve">
لتوضيح دخلت خط المنتصف والعامل يقول انت تشوفني وين انا تعال اول المسار رحت عندة رجعني
قال تعال المسار الثالث  ينقلني كل المسارت  يقول انت مايفهم   ( مرفق صورة)                                الاثنين، 6 يوليو 2026 في 12:38 ص
</t>
  </si>
  <si>
    <t>سلطان القاسم</t>
  </si>
  <si>
    <t xml:space="preserve">عبدالله جميل </t>
  </si>
  <si>
    <r>
      <rPr>
        <rFont val="Calibri"/>
        <b/>
        <color rgb="FF131825"/>
        <sz val="9.0"/>
      </rPr>
      <t>العميل جدا منفعل من تعامل وبطئ خدمه العمال واخلاقياتهم  والعامل اليماني</t>
    </r>
    <r>
      <rPr>
        <rFont val="Calibri"/>
        <b/>
        <color rgb="FFFF9900"/>
        <sz val="9.0"/>
      </rPr>
      <t xml:space="preserve">-تم التواصل معه والاعتذار منه وحل المشكله </t>
    </r>
  </si>
  <si>
    <t>تم رفعها لمدير  المحطة للتحقق من الواقعة ومراجعة أداء العاملين والتأكيد على الالتزام بأخلاقيات العمل وحسن التعامل مع العملاء وسرعة تقديم الخدمة</t>
  </si>
  <si>
    <r>
      <rPr>
        <rFont val="Calibri"/>
        <color rgb="FF131825"/>
        <sz val="9.0"/>
      </rPr>
      <t xml:space="preserve">العامل (….. حكيم ) يعبي على كيفه انتبهوا منه اقول عبي150اخضر يعبي لي احمر 100ماانتبهت إلا بعد مابدا يعبي أناديه مايرد المهم انتبهوا قبل لايغيب لكم تاكدوا (مرفق صوره)  الأحد، 5 يوليو 2026 في 09:50 </t>
    </r>
    <r>
      <rPr>
        <rFont val="Calibri"/>
        <color rgb="FFFF6D01"/>
        <sz val="9.0"/>
      </rPr>
      <t>- تمت مراجعة الكاميرات واتضح ان العامل على حق  - مرفق فيديو</t>
    </r>
  </si>
  <si>
    <t xml:space="preserve">عبدالرحمن بن نجيفان </t>
  </si>
  <si>
    <t xml:space="preserve">حي المساعديه - تموينات -المالك </t>
  </si>
  <si>
    <t>رامي</t>
  </si>
  <si>
    <t>من اسوأ المحطات اذا ماكانت الاسوأ من ناحية عمال اقوله عبي ٨٣ وكررتها له مرتين ويروح يعبي بريال ويوقف يقول خويه غلط حط ٣٨ واقول انا قلت ٨٣ عبي ٨٣ خويك غلط مالي دخل هذي مشكلتك مو مشكلتي وانا اتكلم قام زادها لين ١١ ومن قبل ادق بوري واكلمه وهو يصيح ويضحك ولا كأنه يسمعني اسلوبه دنيء جداً وغير مهني ابداً انا شدخلني اذا غلط خويك مشكلتك مو مشكلتي تبيني اتحمل غلطك وغلط زميلك لو فيه اقل من نجمه حطيت والله على سوء التعامل والتطنيش الأحد، 5 يوليو 2026 في 11:41 م</t>
  </si>
  <si>
    <r>
      <rPr>
        <rFont val="Calibri"/>
        <b/>
        <color rgb="FF131825"/>
        <sz val="9.0"/>
      </rPr>
      <t>درب بالحسينيه مكه العميل منقطع طلب تعبئه جالون لانه منقطع وتمت افادته بالجراكل الجاهزه وعند الطلب من العمال -لايوجد -جيب لاند كروزر ابيض لوحه السياره د-رح-ح 227 ثالث مسار  -</t>
    </r>
    <r>
      <rPr>
        <rFont val="Calibri"/>
        <b/>
        <color rgb="FFFF6D01"/>
        <sz val="9.0"/>
      </rPr>
      <t xml:space="preserve"> تم الاعتذار من العميل لعدم توفرها</t>
    </r>
  </si>
  <si>
    <t xml:space="preserve">تم طلب جراكل عبر السستم لتفادى حدوث شكوى مستقبلا </t>
  </si>
  <si>
    <t>Mk004</t>
  </si>
  <si>
    <t>محطة درب نموذج كان ممتاز يستحق الشكر والدعم والان نامل التطوير اكثر الاهمال بداية الفشل السيارات تعبي وقود عكس السير تنظيم العماله ومعاملتهم غير جيده (مرفق صوره)  الأحد، 5 يوليو 2026 في 04:26</t>
  </si>
  <si>
    <t>التنظيم</t>
  </si>
  <si>
    <t>علي المبارك</t>
  </si>
  <si>
    <r>
      <rPr>
        <rFont val="Calibri"/>
        <b/>
        <color rgb="FF131825"/>
        <sz val="9.0"/>
      </rPr>
      <t xml:space="preserve">العمال يقولون حنا نسوي حسابات والبنزين فيه علماً اني طلبت منهم يعبون لي سيارتي وعيو وانا مستعجل ابغى اعبي ومشي مسافر. ياليت تشوفون حل لذا الموضوع. . 00:00:21 Thursday, May 21, 2026 - </t>
    </r>
    <r>
      <rPr>
        <rFont val="Calibri"/>
        <b/>
        <color theme="8"/>
        <sz val="9.0"/>
      </rPr>
      <t xml:space="preserve">تم التواصل والاعتذار سيتم تنبيه العمال لتسريع تقديم الخدمة </t>
    </r>
  </si>
  <si>
    <t xml:space="preserve">عرض ارض مكه الحسينيه الطريق العام -بمساحه 22 الف و 400 وسيط </t>
  </si>
  <si>
    <t>المساحة:4400 الموقع: الاحساء الهفوف طريق الخليج  لها رخصة بناء محطة: نعم كانت عليه محطه قائمه ولكن تم الهدم لعادة البناء حاليا ارض فاضيه شارع تجاري حيوي</t>
  </si>
  <si>
    <t>الجوهره</t>
  </si>
  <si>
    <r>
      <rPr>
        <rFont val="Calibri"/>
        <color rgb="FF131825"/>
        <sz val="9.0"/>
      </rPr>
      <t xml:space="preserve">وقفت وقالت له عبي لي بنزين بمبلغ150 العامل عبى نوع95 بدون يسالها احمر او اخضر وبمبلغ100 ريال وقالت اسم العامل محمد حكيم  يوم الاحد الساعه 9:30م  </t>
    </r>
    <r>
      <rPr>
        <rFont val="Calibri"/>
        <color rgb="FFFF9900"/>
        <sz val="9.0"/>
      </rPr>
      <t>تم التواصل والعميله راضيه عن الاجراء</t>
    </r>
  </si>
  <si>
    <t>اسماعيل أبراهيم عبده عبدالله</t>
  </si>
  <si>
    <t>محل معسلات اسم العلامة التجارية:شركة مشاريع امواج الريف التجاريه اسم المحل مزاج الزعيم عدد الفروع: 7 المدينة: الدمام تفاصيل استفسارك:تأجير</t>
  </si>
  <si>
    <t xml:space="preserve">البراء علي محمد </t>
  </si>
  <si>
    <t xml:space="preserve">هيازع الشهري </t>
  </si>
  <si>
    <t xml:space="preserve">العميل يشتكي من سوء تعامل العمال في المحطه وعند مناداه المدير وتعدى على العميل لفظا و الصراخ عليه -يوم الاحد الساعه 11 ص </t>
  </si>
  <si>
    <r>
      <rPr>
        <rFont val="Calibri"/>
        <color theme="1"/>
        <sz val="9.0"/>
      </rPr>
      <t xml:space="preserve">يفيد ان العمال تجاهلوه وانتظر اكثر من نص ساعه هو وثلاث اشخاص ينتظرون ايضا  اليوم الاثنين يقول محايل الصناعيه القديمه </t>
    </r>
    <r>
      <rPr>
        <rFont val="Calibri"/>
        <color rgb="FFFF9900"/>
        <sz val="9.0"/>
      </rPr>
      <t xml:space="preserve"> تم التواصل والاعتذار من العميل</t>
    </r>
    <r>
      <rPr>
        <rFont val="Calibri"/>
        <color theme="1"/>
        <sz val="9.0"/>
      </rPr>
      <t xml:space="preserve"> </t>
    </r>
  </si>
  <si>
    <t xml:space="preserve">تم التوجيه بالتحقق من الواقعة  والتشديد على جميع عمال المحطة بسرعة استقبال العملاء وتغطية المسارات باستمرار وعدم ترك أي عميل منتظراً، مع المتابعة الميدانية لضمان عدم تكرارالشكوى </t>
  </si>
  <si>
    <r>
      <rPr>
        <rFont val="Calibri"/>
        <b/>
        <color rgb="FF131825"/>
        <sz val="9.0"/>
      </rPr>
      <t>رفض العامل يعبي بنزين يقول تعال عندي انا. 19:20:29 Tuesday, May 19, 2026 - العميل كان في جزيزة مختلفة</t>
    </r>
    <r>
      <rPr>
        <rFont val="Calibri"/>
        <b/>
        <color rgb="FFFF6D01"/>
        <sz val="9.0"/>
      </rPr>
      <t xml:space="preserve"> تم الاعتذار واتخاذ اجرا لتحسين سلوك العمال لتوضيح السياسات</t>
    </r>
  </si>
  <si>
    <t>محل - المدينة - اول فرع - خدمات سيارات - واتس اب</t>
  </si>
  <si>
    <r>
      <rPr>
        <rFont val="Calibri"/>
        <color theme="1"/>
        <sz val="9.0"/>
      </rPr>
      <t xml:space="preserve">يسال عن شريحه -   </t>
    </r>
    <r>
      <rPr>
        <rFont val="Calibri"/>
        <color rgb="FFFF9900"/>
        <sz val="9.0"/>
      </rPr>
      <t>تمت افادته</t>
    </r>
  </si>
  <si>
    <t>2026-05-15 08:10:08 PM UTC+03:00</t>
  </si>
  <si>
    <t>وسيط عقاري</t>
  </si>
  <si>
    <t xml:space="preserve">Jazan
</t>
  </si>
  <si>
    <t>انا وسيط ولست المالك
https://maps.app.goo.gl/RXUmbN1LKHh4TgKb7?g_st=iw
القيروان نافذه على الملك فهد
حسب الاتفاق اذا جازت الموقع وصلتك مع المكتب
مساحتها ٢٨٠٠ متر</t>
  </si>
  <si>
    <r>
      <rPr>
        <rFont val="Calibri"/>
        <b/>
        <color rgb="FF131825"/>
        <sz val="9.0"/>
      </rPr>
      <t xml:space="preserve">عمالكم مافيهم حيل يعبون ولا فيهم حيل يشتغلون واذا عبيت ٣٠ حسبو ٢٨ ليه على كيفكم الشغله هي ؟ ثاني مره ونفس المشكله سلامات اذا على كذا قفو محطتكم وريحو روسنا مب لذي الدرجه ارحمونا ، كنتو افضل محطه صرتو ازق محطه معليش يعني . 10:46:13 Tuesday, May 19, 2026 - </t>
    </r>
    <r>
      <rPr>
        <rFont val="Calibri"/>
        <b/>
        <color rgb="FFFF6D01"/>
        <sz val="9.0"/>
      </rPr>
      <t xml:space="preserve">تم الاعتذار وسيتم رفعها للادارة لتحسين سرعة الخدمة  - مغلق </t>
    </r>
  </si>
  <si>
    <t>2026-05-15 02:50:42 PM UTC+03:00-لم يتم الرد -</t>
  </si>
  <si>
    <t xml:space="preserve">يستفسر عن اليه التاجير لمطعم </t>
  </si>
  <si>
    <t xml:space="preserve">نوصيل من الشركاء </t>
  </si>
  <si>
    <t>تمت الاقاده</t>
  </si>
  <si>
    <t xml:space="preserve">استفسار بخصوص الايجار </t>
  </si>
  <si>
    <t xml:space="preserve"> درب فرع الوزيرية التاريخ: 5/6/2026 الوقت: 7:08 شكوى/اقتراح: لماذا تم التوقف عن إكمال المحطة، 3 أسابيع تقريباً متوقف الشغل بشكل تام </t>
  </si>
  <si>
    <t>حياك الله, المحطة حاليا قيدالانشاء وسيتم استكمالها باذن الله في أقرب وقت.
نعتذر منك على الاطالة وتسعدنا خدمتك ✨</t>
  </si>
  <si>
    <t xml:space="preserve">2026-05-16 03:05:29 AM UTC+03:00--لم يتم الرد </t>
  </si>
  <si>
    <t xml:space="preserve">الاستفسار عن عدم التواصل </t>
  </si>
  <si>
    <t>استفسار عن تأجير مغسله بصفه مالك</t>
  </si>
  <si>
    <t>اقدر اوفر لكم اراضي محطات هل بامكاني التعاون معكم وشكراً</t>
  </si>
  <si>
    <t xml:space="preserve">- لم يتم الرد -2026-05-16 03:08:10 PM UTC+03:00- مغلق </t>
  </si>
  <si>
    <t>نجيب احمد صالح</t>
  </si>
  <si>
    <t xml:space="preserve">العميل يفيد انه تعرض لعملية نصب واحتيال من قبل دلال اسمه جلال مقبل اخذ منه دلالة مقدمة 25.000 الف ريال لتاجيره محل التموينات ويرغب بحل الاشكالية واذا يعمل لدينا </t>
  </si>
  <si>
    <t>سعيد عبدالرحمن علي القحطاني</t>
  </si>
  <si>
    <t xml:space="preserve">تم ارسال ايميل استاذ فواز : تحية طيبة 
تم حل الاشكالية فيما بينهم حيث اننا تدخلنا كوسيط فقط بسبب انها مشكلة خارجية ليس لنا علاقة بها لا يوجد لدينا اي اتفاقيات مع مسوق 
خارجي اسمه جلال هو عميل مستأجر في المحطة ولكن تم حلها حسب افادة الاخصائين.
</t>
  </si>
  <si>
    <t xml:space="preserve">  أرض المساحة: 1045 م الموقع: أحد رفيدة طريق الأمير سلطان نعم لها رخصة بناء محطة تفاصيل استفسارك: تأجير المدى الطويل</t>
  </si>
  <si>
    <r>
      <rPr>
        <rFont val="Calibri"/>
        <b/>
        <color rgb="FF131825"/>
        <sz val="9.0"/>
      </rPr>
      <t xml:space="preserve">العامل الساعه 3:10 ص يوم الثلاثاء وكانك تتعامل مع رحل عصابات يبحث عن المشاكل ومعي عائلتي لذلك السلوك الناتج واضح من ادارتكم 03:15:38 Tuesday, May 19, 2026 - </t>
    </r>
    <r>
      <rPr>
        <rFont val="Calibri"/>
        <b/>
        <color rgb="FFFF6D01"/>
        <sz val="9.0"/>
      </rPr>
      <t>لم يتم الرد</t>
    </r>
  </si>
  <si>
    <t xml:space="preserve">2026-05-15 08:52:04 AM- لم يتم الرد </t>
  </si>
  <si>
    <t xml:space="preserve">يستفسر عن محطات الرياض اللي شغاله ومتوفر مغسله او لا </t>
  </si>
  <si>
    <t xml:space="preserve"> التاريخ:2026/5/17 الوقت: 8:00 شكوى/اقتراح:السلام عليكم ورحمة الله وبركاته انا فزت بجائزة ١٠٠ ريال كوبون من المحطة في إحدى اللقائات واتواصل معهم في التيك توك مايردون</t>
  </si>
  <si>
    <t xml:space="preserve">عبدالله سعد </t>
  </si>
  <si>
    <t>ساميه</t>
  </si>
  <si>
    <t xml:space="preserve">اكثر ميزه تنافسية عندكم ان المسافرين دايم يقولون حمامات محطة درب نظيفه ما نروح الا لها والكل يمدح في محطة درب لدرجه لو رحت مدينه مافيها محطه درب وشفت قرف الحمامات اقول الله يعز محطة درب ! لاحظت الفتره الاخيره النظافه تدنت شوي ممكن جيت في وقت غلط و لاحظت الجدران حقت الحمام وصخه بشكل واضح هذي ما تتوصخ بسرعه زي الباقي مع اني طالعه والعامل ينتظر عشان ينظف انتم في موسم حاولوا تنتبهون لهذي النقطه Tuesday, July 7, 2026 </t>
  </si>
  <si>
    <t xml:space="preserve">مشكلة لوجستية من سلاسل الامداد ادت الى تاخير توصيل مواد النظافة سيتم توصيلها غدا </t>
  </si>
  <si>
    <r>
      <rPr>
        <rFont val="Calibri"/>
        <b/>
        <color rgb="FF434343"/>
      </rPr>
      <t xml:space="preserve">عامل يمسح القزاز - ويخصم ريال زياده ولما لاحظه رجع الفلوس - امس -الساعه 1 الظهر الجمعه - قبل مستشفى الامير محمد بن ناصر باتجاه صبيا - كامري - س-ا-س -4-2-4-9 ابيض  احمر 59 اعطاه 100 وخصم ريال زياده </t>
    </r>
    <r>
      <rPr>
        <rFont val="Calibri"/>
        <b/>
        <color rgb="FFFF9900"/>
      </rPr>
      <t>-تم التواصل والعميل يفيد ان العامل اخذ 60 وتم ارجاعه ومسح القزاز واخذ ريال يدل على الشحذه التصرف مايليق بالمحطة</t>
    </r>
  </si>
  <si>
    <t xml:space="preserve">Monday, July 6, 2026   
فرع محطة درب طريق السيل الصغير المسجد فرشه متسخ جدا يحتاج تنضيف وراحته كريهة دورات المياه اعزكم الله تحتاج صيانه وتوفير بعض الخدمات مغاسل تحتاج صيانه احواض المغسله فيها انسداد لا يتوفر صابون غسل الايادي
(وهاذا ليس اجباري وانما خدمه منكم تشكرون عليها)وكذاك علب توزيع الصابون مكسره وتالفه داخل دورات المياه اعزكم الله تفتقر لصيانة الحواجز والبيبان وكما يوجد تجمعات مياه على الكراسي ومنها البعض يكون فيه فراغ بين البلاط والكرسي اعزكم الله يوجد بعض من رشاشات المياه داخل الدورات فيها انسداد وكذالك المغاسل فيها انسداد بسبب استخدام ماء غير محلاه وغير صالحه . وتاثر ف الوضوء للصلاة مايسهم في اضعاف تجربة مستخدمين المحطه
وياثر سلباً على سمعة المحطه هاذا مارصدته من بعض المشاكل التي اتمنى معالجتها .
وشكرا لكم على خدماتكم وماتقدمونه لتحسين تجربة
</t>
  </si>
  <si>
    <t>عماد عبدالكريم الجهني</t>
  </si>
  <si>
    <t xml:space="preserve">امس كنت واقف وجا حارس الامن وجتني مخالة -  4:46 كان قدامي 30 شخص - فورد ذهبي (أ ب ف - 6943) - تم التواصل والاعتذار </t>
  </si>
  <si>
    <t xml:space="preserve">استفسار عن خدمه تعبئه البنزين المتنقله  </t>
  </si>
  <si>
    <t xml:space="preserve"> الحمام وصخ جداً</t>
  </si>
  <si>
    <t>متعب</t>
  </si>
  <si>
    <t>ريماس</t>
  </si>
  <si>
    <t>لايوجد صابون النظافة رديئة</t>
  </si>
  <si>
    <t xml:space="preserve">مشكلة لوجستية مع سلاسل الامداد سيتم توفير الصابون غدا بمشيئة الله </t>
  </si>
  <si>
    <t xml:space="preserve">انا جيت الساعه ٣ ونص عشان العرض وتفاجأت من العسكري يقول لي روحي خلاص بنطلعهم ممنوع
وجايه والله من حي الملك فهد وسيارتي بتطفي ورجعت من ورا قاعده انتظر - (ر ل ق
2302)  اكسنت ٢٠٢٤ فضي- تم التواصل والاعتذار </t>
  </si>
  <si>
    <t xml:space="preserve">
عبدالعزيز</t>
  </si>
  <si>
    <t>محمد المطيري</t>
  </si>
  <si>
    <t xml:space="preserve"> السادة شركة "درب" لخدمات الوقود المحترمين، تحية طيبة، وبعد..
بصفتي مالكاً لأرض تجارية متميزة في قلب المسار الأكثر حيوية في المملكة، يسرني أن أعرض عليكم فرصة استثنائية للتوسع في شبكة محطاتكم المرموقة، من خلال استئجار أرض مخصصة لإقامة محطة وقود نموذجية بمواصفات تتوافق مع رؤية وتطلعات شركة "درب".
بيانات الفرصة الاستثمارية: الموقع الاستراتيجي: تقع الأرض مباشرة على طريق الهجرة بمدينة المصطفى ﷺ، وهو الشريان الرئيسي الرابط بين مكة المكرمة والمدينة المنورة، مما يجعلها في مواجهة تدفق بشري ولوجستي لا ينقطع على مدار العام. المساحة: 2,400 متر مربع (مساحة مثالية لتصميم محطة متكاملة الخدمات). القيمة التشغيلية: يمتاز الموقع بكثافة مرورية عالية جداً تشمل (الحافلات، الشاحنات، والسيارات الصغيرة)، مما يضمن عائداً تشغيلياً مرتفعاً وسرعة في الوصول لنقطة التعادل (Break-even point).
الموقع الذهبي: تقع الأرض في منطقة حيوية تخدم ضيوف الرحمن والمسافرين، مما يعزز من حضور علامة "درب" التجارية في المواقع السيادية.
الجاهزية والوضوح: الأرض تمتاز بوضوح المعالم وسهولة المداخل والمخارج وفق اشتراطات وزارة الشؤون البلدية والقروية، مما يسهل عملية استخراج التراخيص وبدء التنفيذ.
تكامل الخدمات: المساحة تتيح لكم تطبيق هويتكم الحديثة التي تشمل "تموينات، مقاهي، وخدمات سريعة" بجانب مضخات الوقود.
نحن نبحث عن شريك نجاح يضيف للموقع قيمة نوعية، ونرى في شركة "درب" المشغل الأنسب لهذه الأرض. لذا، يسعدنا دعوتكم لمعاينة الموقع ومناقشة بنود الاستئجار طويلة الأمد بما يحقق المصالح المشتركة للطرفين.
إحداثيات الموقع الدقيقة.
https://www.google.com/maps/place/24.387632,39.546303</t>
  </si>
  <si>
    <t xml:space="preserve">الرجاء منكم توفير صايون لي ثلاث ايام اجي دورت المياه ولا حصل صايون وشكراSaturday, July 4, 2026 </t>
  </si>
  <si>
    <t>كوفي شوب Cuppio 7 جدة ومكة نرغب في استئجار موقع كشك</t>
  </si>
  <si>
    <t>Remas Baothman</t>
  </si>
  <si>
    <r>
      <rPr>
        <rFont val="Calibri"/>
        <color theme="1"/>
        <sz val="9.0"/>
      </rPr>
      <t>العامل تعامله سيئ و يستخف دمه
Saturday, July 4, 2026</t>
    </r>
    <r>
      <rPr>
        <rFont val="Calibri"/>
        <color rgb="FFFF9900"/>
        <sz val="9.0"/>
      </rPr>
      <t xml:space="preserve"> -تم محاولة التواصل لا يوجد رد</t>
    </r>
  </si>
  <si>
    <t>زياد الثبيتي</t>
  </si>
  <si>
    <t xml:space="preserve">درايف -  زهيد -  3 فرع </t>
  </si>
  <si>
    <t>منيف</t>
  </si>
  <si>
    <t xml:space="preserve">ثاني محطه لكم و نفس الحمامات وصخه مافيها تنظيف مستمر و بيبانها مكسره و لا فيه شطاف والمغاسل وصخه و مافيه مناديل و ريح قذر
Saturday, July 4, 2026 </t>
  </si>
  <si>
    <t>تم التحقق من مدير المنطقة ذكر في الافادة ان كان لديه  اشكاليه بخصوص مواد النظافة واليوم تم التحويل من المشتريات وبتوصله  اليوم
 الباب مرتخي مو مكسور وبالنسبة للمناديل  مجفف كهربائي يفي بالغرض
الشطافات كل ما نركب جديد تنسرق</t>
  </si>
  <si>
    <t>الباب مكسور</t>
  </si>
  <si>
    <t xml:space="preserve">عبدالله علي </t>
  </si>
  <si>
    <t xml:space="preserve"> جده </t>
  </si>
  <si>
    <t xml:space="preserve">جده حي الامير فواز سوبر ماركت - المالك </t>
  </si>
  <si>
    <t>Osama</t>
  </si>
  <si>
    <t>فيها رواح كريهه والاحساس بكتمه وعدم التهويه الجيده
Thursday, July 2, 2026</t>
  </si>
  <si>
    <t>تمت المعالجة</t>
  </si>
  <si>
    <t xml:space="preserve">المدينة: احد المسارحة المحطة: درب التاريخ: ٦-٦-٢٠٢٦ الوقت: 23:35م
جدية العامل منخفضة - في عمال يشتغلو وعمال ولا همهم يعني يجيك يمشيي يطالع ما عنده جديه في الخدمه راجعو العمال وبتتاكدو </t>
  </si>
  <si>
    <t xml:space="preserve"> رحمه الغامدي</t>
  </si>
  <si>
    <t xml:space="preserve">رائحة دورة المياة جداً كريهه لدرجة ماقدرنا الوضوء من رائحه و المسجد لا يوجد مكيفات حرررره
Thursday, July 2, 2026 </t>
  </si>
  <si>
    <t>تم التواصل مع مشرف المحطة من اجل الشكوى</t>
  </si>
  <si>
    <t xml:space="preserve">عبدالرحمن ماجد </t>
  </si>
  <si>
    <t xml:space="preserve">جده حي الامير فواز  - محل -مغسله سيارات - المالك- اول مره </t>
  </si>
  <si>
    <t>مصنع الخليج</t>
  </si>
  <si>
    <t xml:space="preserve">صابون </t>
  </si>
  <si>
    <t>Raid</t>
  </si>
  <si>
    <r>
      <rPr>
        <rFont val="Calibri"/>
        <color theme="1"/>
        <sz val="9.0"/>
      </rPr>
      <t xml:space="preserve">العامل غير حركي وع الهاتف المحمول
Friday, July 3, 2026 </t>
    </r>
    <r>
      <rPr>
        <rFont val="Calibri"/>
        <color rgb="FFFF9900"/>
        <sz val="9.0"/>
      </rPr>
      <t xml:space="preserve">- تم التوااصل والعميل ابدء استياءه من سياسة كل عامل مسؤول عن مضخته والافادة  لو ماجيت عنده ماراح يعبي </t>
    </r>
  </si>
  <si>
    <t>تم التشديد على العامل المعني وجميع عمال المحطة بمنع استخدام الجوال أثناء الخدمة نهائياً</t>
  </si>
  <si>
    <t>NJ219</t>
  </si>
  <si>
    <t>الماء ليس موجود والنظافه الدوره المياه تعبانهنرجو منكم الحفاظ على النظافه
Monday, July 6, 2026</t>
  </si>
  <si>
    <t>خميس مشيطه</t>
  </si>
  <si>
    <t xml:space="preserve">تمت المعالجة وتم اخطار مدير المحطة بضرورة متابعة النظافة </t>
  </si>
  <si>
    <t xml:space="preserve">الساعه 9 ونص الصباح  وباقي مافتحوا المحطه وراح الوقت وحنا منتظرين والسيارات ماسكين سره يعني لو عندك ظرف طارئ وسيارتك مافيها بنزين وجيت المحطه ذي الله يكون في عونك اتمنى تعدلون وتكتبون ان دوامكم من العصر للعشاء لاتكتب على مدار الساعة ❌️❌️
الاثنين، 18 مايو 2026 في 09:25 ص
</t>
  </si>
  <si>
    <t xml:space="preserve">2026-06-05 12:11:17 PM UTC+03:00 - جيت المحطة وكانت مقفله </t>
  </si>
  <si>
    <t>تمت افادته سيتم مراجعة حالة المحطات في قوقل ماب بالاضافة الى حالة محطات خميس مشيط</t>
  </si>
  <si>
    <t>حمد</t>
  </si>
  <si>
    <t xml:space="preserve">سويتو اعلان عند مشهور ترند نجران انه فيه بنزين بلاش ٥٠ ريال ل اول ٣٠٠ سياره وعندما جيت تفائجت ب العامل يقول مافيه !!
Thursday, July 2, 2026 </t>
  </si>
  <si>
    <t>2026-06-05 03:35:24 PM UTC+03:00  - لم يتم الرد</t>
  </si>
  <si>
    <t>لاسم: عبدالله علي
النشاط التجاري: سوبر ماركت
اسم العلامة التجارية: تموينات سله تميم
عدد الفروع: 2
المدينة: جدة</t>
  </si>
  <si>
    <t xml:space="preserve">حطو ابلكيشن
Thursday, July 2, 2026 </t>
  </si>
  <si>
    <t>استفسار عن عرض يوم السبت</t>
  </si>
  <si>
    <t>بندر الشلوي</t>
  </si>
  <si>
    <t xml:space="preserve">ستفسر عن اليه التأجير </t>
  </si>
  <si>
    <t>( ارض )المساحه ( ١١،١٢٨ الف ) منطقه ( الطايف - ابوراكة ) ليس لها رخصه بناء</t>
  </si>
  <si>
    <t>ماجد الزهراني</t>
  </si>
  <si>
    <r>
      <rPr>
        <rFont val="Calibri"/>
        <b/>
        <color rgb="FF131825"/>
        <sz val="9.0"/>
      </rPr>
      <t xml:space="preserve"> - قلت لعامل المحطه عبي 80 ريال او فل قام عبى لي وفجاه المسدس ما وقف و طلع برا المدسدس مو المفروض يوقف اول ما يتعبى التانكي؟ ليه طلع وخلاني ادفع حق الي طش ريحة السيارة سيئة ورحت ورجعت ومليان بنزين قام ننظفه وكان مليان المنديل كله اتبلل منه البنزين -  12:44ص - أحمر - احمر فورد - المسار الداخلي على اليمين وقت الاتصال 2026-06-06 00:50:48 AM UTC+03:00 -  80.12 -</t>
    </r>
    <r>
      <rPr>
        <rFont val="Calibri"/>
        <b/>
        <color rgb="FFFF6D01"/>
        <sz val="9.0"/>
      </rPr>
      <t>تمت مراجعة الكاميرات ولم يسكب العامل البنزين لم يتم الرد</t>
    </r>
  </si>
  <si>
    <t xml:space="preserve">تم ابلاغ مدير المحطة وتم التوجيه بفحص المسدسات  والتأكد من سلامة عملها في  الإيقاف التلقائي وعمل طلب صيانه للعطلان منها  </t>
  </si>
  <si>
    <t xml:space="preserve">رامي </t>
  </si>
  <si>
    <t xml:space="preserve">يستفسر عن اليه التاجير لمحل </t>
  </si>
  <si>
    <t>2026-06-06 08:25:41 AM UTC+03:00 - افاد انه نايم وقفل</t>
  </si>
  <si>
    <t>Abdur Rahman Naseem</t>
  </si>
  <si>
    <t>لديه طلب وسيتم ارساله عبر الواتس اب</t>
  </si>
  <si>
    <t xml:space="preserve">تم التواصل مرتين مغلق </t>
  </si>
  <si>
    <t>نادر الحربي</t>
  </si>
  <si>
    <t>أرض للاستثمار2400م - المالك - باقي مالها رخصة 0505944629 - ثلاث شوارع</t>
  </si>
  <si>
    <t xml:space="preserve">اصيل الحربي </t>
  </si>
  <si>
    <t xml:space="preserve">MOHSEN </t>
  </si>
  <si>
    <t>يستفسر عن ايجار كشك او درايف ثرو بصفه مالك</t>
  </si>
  <si>
    <t>ابي  مركز للاجار بنشر في محطاتكم بجده</t>
  </si>
  <si>
    <t>حمود الحربي</t>
  </si>
  <si>
    <t xml:space="preserve">اتمنى الافادة تتوفر شواحن كهرباء للسيارات في مكة
</t>
  </si>
  <si>
    <t xml:space="preserve">تمت افادته بانه قريبا وسيتم التواصل معه في حال توفرها </t>
  </si>
  <si>
    <t xml:space="preserve">وسيط عقاري يرغب يعرض مواقع </t>
  </si>
  <si>
    <t>2026-06-06 11:06:43 AM UTC+03:00 - لم يتم الرد</t>
  </si>
  <si>
    <t>مها</t>
  </si>
  <si>
    <t>علي العقربي</t>
  </si>
  <si>
    <t>الاستمرار بنفس المستوى ، توفير مناديل للمغاسل ، توفير لوحه ارشاديه لثلاجه المياه داخل المسجد ب ان المياه مخصصه للمصلين لكل مصلي عبوه واحده ، لان اغلب الناس يحطوا بشنطهم كثير قوارير للاسف  Monday, July 6, 2026</t>
  </si>
  <si>
    <r>
      <rPr>
        <rFont val="Calibri,Arial"/>
        <b/>
        <color rgb="FF434343"/>
      </rPr>
      <t xml:space="preserve">السلام عليكم ورحمة الله وبركاته ، مساكم الله بالخير والسعادة . نحن عرب ، ونعتز ونفتخر بلغتنا العربية وما يظهر هنا في الصورة لا يمت بصلة للغة القرآن ، ولا يعكس عناية حكومتنا الرشيدة باللغة العربية ، هل يرضيكم هذا ؟؟؟؟؟ (مرفق فيديو) </t>
    </r>
    <r>
      <rPr>
        <rFont val="Calibri,Arial"/>
        <b/>
        <color rgb="FFFF9900"/>
      </rPr>
      <t>- تم التواصل مع العميل والتوضيح انه خطا مصنعي وتم رفع البلاغ وتعميم على جميع المحطات باتاكد من الخطوط وتعديل النصوص وسيتم العمل على حلها مع الادارة المختصة - شكرنا العميل على الاهتمام</t>
    </r>
  </si>
  <si>
    <t>2026-06-06 03:06:20 PM UTC+03:00 - لم يتم الرد</t>
  </si>
  <si>
    <t>وسخ في ريحه المسجد فراشه وسخ وفيه بواقي اكل ومترسه فيه البساس عدم نظافه   Sunday, July 5, 2026</t>
  </si>
  <si>
    <t xml:space="preserve">تم ازلة السجاد المركن خارج المسجد وتم تفقد المسجد و السجاد </t>
  </si>
  <si>
    <t>خلال 12 ساعة عمل</t>
  </si>
  <si>
    <t xml:space="preserve">2026-06-06 03:52:47 PM UTC+03:00 - تم اقفال الاتصال بعد التعريف </t>
  </si>
  <si>
    <t xml:space="preserve">2026-05-17 05:29:29 PM UTC+03:00-العميل لايجيب </t>
  </si>
  <si>
    <t>الدورات غير نظيفة أبداً  Sunday, July 5, 2026</t>
  </si>
  <si>
    <t xml:space="preserve">سيتم عمل  خطة في الايام المقبله الان بي انتظار التنفيذ من التشغيل </t>
  </si>
  <si>
    <t>2026-06-06 06:24:17 PM UTC+03:00 - لم يتم الرد</t>
  </si>
  <si>
    <t>5444 99606</t>
  </si>
  <si>
    <t>دخلت دوره المياه ودا المنظر المقزز اللي واجهني للاسف  Friday, July 3, 2026</t>
  </si>
  <si>
    <t xml:space="preserve">تم التنويه على ضرورة متابعة المرافق و الاهتمام بدورات المياه وتعبئة النموذج المخصص للزيارة دورات المياه </t>
  </si>
  <si>
    <t xml:space="preserve">غلطان </t>
  </si>
  <si>
    <t>قاسم</t>
  </si>
  <si>
    <t>2026-06-06 08:16:25 PM UTC+03:00 - لم يتم الرد</t>
  </si>
  <si>
    <t xml:space="preserve">الحمامات سبئة جدا من نظافه الى ابواب لا يوجد لها قفل الى شطافات مفكوكة الى الى كل شي سبء حتى وضع الصنابر Saturday, July 4, 2026 </t>
  </si>
  <si>
    <t>تم تصعيد المشكله لمدير الجوده في شركة بترولايز  لحل عدة مشاكل ابرزها النظافه</t>
  </si>
  <si>
    <t>ابراهيم محمد الحلوي</t>
  </si>
  <si>
    <t xml:space="preserve">اول فرع كوفي </t>
  </si>
  <si>
    <t xml:space="preserve"> نواف نبيل الحازمي</t>
  </si>
  <si>
    <t xml:space="preserve"> العميله تمت خدمتها </t>
  </si>
  <si>
    <t>السلام عليكم ورحمة الله وبركاته اقدم لكم طلب التوظيف في وظيفة أخصائي عقود، حيث انني حاصل على شهادة البكالوريوس في الأنظمة (القانون)، ودبلوم عالي للمحاماة من مركز التدريب العدلي ، ولمناقشة المزيد من خبراتي، يمكنكم التواصل معي. ولكم جزير الشكر والتقدير مقدم الطلب:</t>
  </si>
  <si>
    <t xml:space="preserve">نوره </t>
  </si>
  <si>
    <t xml:space="preserve">من شركه عنايه - ترغب بعرض شراكه  للعماله -تمت افادتها بارسال على الايميل </t>
  </si>
  <si>
    <t>مطلق المطيري</t>
  </si>
  <si>
    <r>
      <rPr>
        <rFont val="Calibri"/>
        <sz val="9.0"/>
      </rPr>
      <t xml:space="preserve"> ارض عليه رخصة مساحته ٢٢٤١ متر ٣ شوارع الموقع المنطقة الشرقيه محافظة قرية العليا
</t>
    </r>
    <r>
      <rPr>
        <rFont val="Calibri"/>
        <color rgb="FF1155CC"/>
        <sz val="9.0"/>
        <u/>
      </rPr>
      <t>https://maps.app.goo.gl/D44Y78pyidptm1As6?g_st=iw</t>
    </r>
  </si>
  <si>
    <t>Joud Almabadi</t>
  </si>
  <si>
    <t>Dear Hiring Manager, I am Joud Almabadi, an accounting graduate with one year of professional experience in accounting, along with training experience at TotalEnergies. I have hands-on experience in accounts receivable, collections, account reconciliations, and financial transactions. I am also proficient in SAP and hold a SOCPA membership and the CME1 certification. I am eager to contribute my skills and knowledge to a dynamic organization where I can continue to grow professionally while supporting the company’s financial objectives. I am known for my attention to detail, strong work ethic, and ability to work effectively within a team. Thank you for your time and consideration. I look forward to the opportunity to discuss how my qualifications can contribute to your organization. Sincerely, Joud Almabadi Accountant</t>
  </si>
  <si>
    <t xml:space="preserve">محمد القباع </t>
  </si>
  <si>
    <t xml:space="preserve">شركه لنيكس - شركه اداره فعاليات للموظفين والشركه - للمشاركات فالمعارض - وجميع الفعاليات  </t>
  </si>
  <si>
    <t>تركي المالكي</t>
  </si>
  <si>
    <t>السيدات والسادة المحترمين فريق التوظيف في درب العملاقة أتشرف وأفتخر بطلبي بالتقدم على احد الوظائف لديكم والانضمام الى كوكبة من أروع الكوادر البشرية لديكم لأكون زميل وأخ كبير لكم والعمل بروح الفريق الواحد تحت مظلة قيادتكم الحكيمة وأضع خبرة تمتد لأكثر من ١٣ عام في مشاريع المطارات الدولية والمحلية في المملكة العربية السعودية بما فيها المبيعات والمشتريات والادارة والأعمال الميدانية كالصيانة والتشغيل والامن والسلامة والتصاريح الامنية والرخص والتراخيص. وفقكم الله لما يحبه ويرضاه دمتم في خير .</t>
  </si>
  <si>
    <t xml:space="preserve">علي الحازمي </t>
  </si>
  <si>
    <t xml:space="preserve">يستفسر عن ايجار كشك  عباره عن عصيرات طبيعيه يفضل في محطه مكه على ظريق المدينه </t>
  </si>
  <si>
    <t xml:space="preserve">محمد محسن فهد </t>
  </si>
  <si>
    <t>يرغب ف استأجار المحطة كاملة</t>
  </si>
  <si>
    <r>
      <rPr>
        <rFont val="Calibri"/>
        <color rgb="FF1B1B1A"/>
        <sz val="9.0"/>
      </rPr>
      <t xml:space="preserve">يبغا نرجع نتواصل معاه </t>
    </r>
    <r>
      <rPr>
        <rFont val="Calibri"/>
        <color rgb="FFFF0000"/>
        <sz val="9.0"/>
      </rPr>
      <t xml:space="preserve"> لم يتم الرد </t>
    </r>
  </si>
  <si>
    <t>عبدالاله العجلان</t>
  </si>
  <si>
    <t xml:space="preserve">فواز جزاء وارد الحكمي
</t>
  </si>
  <si>
    <r>
      <rPr>
        <rFont val="Calibri"/>
        <color theme="1"/>
        <sz val="9.0"/>
      </rPr>
      <t xml:space="preserve">يفيد بانه عبى فل سيارته ب150 احمر وهو بالعاده الفل لسيارته 120 بين130 مايتعدى العميل على خط سفر ويرغب بحل الاشكالية حالأ </t>
    </r>
    <r>
      <rPr>
        <rFont val="Calibri"/>
        <color rgb="FFFF9900"/>
        <sz val="9.0"/>
      </rPr>
      <t xml:space="preserve">-العميل قال للعامل فلل السياره 
ولما فللها طلع 150 قام زعل ومارضي يدفع 
وبعد قال وقيل دفع وراح
المحطة مافيها اي تلاعب ولا اي مشكله الها شغاله معانا من بداية السنه وما اجت عليها هيك شكوى وعاملين تقييس وامورهم بالسليم
مع هيك وللتأكيد قلت لمشرف المحطة يركز مع المضخه الي عبى منها العميل منشان نعرف اذا فيها شي او لا  </t>
    </r>
    <r>
      <rPr>
        <rFont val="Calibri"/>
        <color rgb="FFFF6D01"/>
        <sz val="9.0"/>
      </rPr>
      <t xml:space="preserve">- تم التواصل مع العميل وابلاغه بصحة التعبئة وللتأكد الرجاء مراجعة المحطة وسيتم اطلاعه على شهادة التقييس </t>
    </r>
  </si>
  <si>
    <t>أتمتع بخبرة تزيد عن 5 سنوات في مجالات إدارة الفروع، المبيعات، وخدمة العملاء و الادارة المكتبة، مع سجل حافل بتحقيق النجاحات في زيادة الإيرادات وتحسين كفاءة العمليات أتميز بقدرتي على تطوير استراتيجيات فعالة للتواصل مع العملاء وإدارة الفرق .أسعى للانضمام إلى منظمة ديناميكية أستطيع من خلالها المساهمة في تحقيق أهداف الشركة وتعزيز تجربتها في خدمة العملاء بالإضافة إلى ذلك، لدي خبرة في الأعمال التطوعية والعمل الإداري .وأسعى إلى تطويرها وتنميتها</t>
  </si>
  <si>
    <t>تم ارسال شهادة التقييسس على الايميل</t>
  </si>
  <si>
    <t xml:space="preserve">محافظة أحد المسارحةالطريق الرابط بين المحافظة وجيزان اقرب محطة تبعد قرابة ٢٥ كيلو متر 
المرفق لكم كروكي كامل موضح به المساحة الكلية.
اعتمد للاستثمار بالمدة التي ترغبون بها ..  موقع استثماري ممتاز..
</t>
  </si>
  <si>
    <r>
      <rPr>
        <rFont val="Calibri"/>
        <color theme="1"/>
        <sz val="9.0"/>
      </rPr>
      <t xml:space="preserve">يوم الثلاثاء الساعه 11:28ص يفيد بان العامل بالمحطه قليل ادب يرفه صوته عليه ويتلفظ بالفاظ غير لائقه وقبلها كان يهاوش شايب ووقف ينتظره خمس دقايق وقاله العمل انت تعال عند مكاني  </t>
    </r>
    <r>
      <rPr>
        <rFont val="Calibri"/>
        <color rgb="FFFF9900"/>
        <sz val="9.0"/>
      </rPr>
      <t>تم التواصل مع العميل والاعتذار منه</t>
    </r>
  </si>
  <si>
    <t xml:space="preserve"> تم توجيه مدير المحطة  للتحقيق في الواقعة مع العامل، وتوجيهه بضرورة الالتزام بحسن التعامل مع العملاء، وعدم رفع الصوت أو استخدام أي ألفاظ أو أساليب غير لائقة، مع التأكيد مع جميع العمال على أهمية سرعة الاستجابة للعملاء واحترامهم في جميع الأوقات</t>
  </si>
  <si>
    <t>Hi we are interesting in partnership for leasing.</t>
  </si>
  <si>
    <t>محمد انس</t>
  </si>
  <si>
    <t xml:space="preserve">مغسله سيارات جده - محطه ام القرى- قريب المالك </t>
  </si>
  <si>
    <t>حمود</t>
  </si>
  <si>
    <t>يستفسر عن اليه الايجار بصفه مالك</t>
  </si>
  <si>
    <t>حمد النهدي</t>
  </si>
  <si>
    <t xml:space="preserve">	السلام عليكم ورحمة الله وبركاته فني مدني ( هندسة مدنيه ) أﺳﻌﻰ ﻟﻠﺤﺼﻮل ﻋﲆ ﻓﺮﺻﺔ ﻋﻤﻞ ﻓﻲ ﻣﺠﺎل ﺗﺨﺼﺼﻲ ان وجد أﺗﻤﻜﻦ ﻣﻦ ﺧﻼﻟﻬﺎ ﻣﻦ ﺗﻄﻮﻳﺮ ﻣﻬﺎراﺗﻲ اﻟﻌﻤﻠﻴﺔ ٫واﻟﻤﺴﺎﻫﻤﺔ ﻓﻲ ﺗﺤﻘﻴﻖ أﻓﻀﻞ اﻟﻨﺘﺎﺋﺞ ﻟﺠﻬﺔ اﻟﻌﻤﻞ .</t>
  </si>
  <si>
    <t xml:space="preserve">عبدالله مهدي الفطيس
</t>
  </si>
  <si>
    <t>علاء</t>
  </si>
  <si>
    <r>
      <rPr>
        <rFont val="Calibri"/>
        <color theme="1"/>
        <sz val="9.0"/>
      </rPr>
      <t xml:space="preserve"> موظفين يسولفون ادق امنبه سيارة عشرين مره عشان يجي احد يعبي بنزين و لا كاني موجود ، ولمانزلت اعبي بنفسي جاء مشرفهم يتفلسف علي و مطلعني غلطان . غير منطقي نهائيا في محطة بهذا الحجم</t>
    </r>
    <r>
      <rPr>
        <rFont val="Calibri"/>
        <color rgb="FFFF9900"/>
        <sz val="9.0"/>
      </rPr>
      <t>-تم التواصل مع العميل والاعتذار له وتقبل ذلك</t>
    </r>
  </si>
  <si>
    <t>(أرض أم محطة): ارض مقترح بناء محطه فيها
المساحة: ٨ الاف متر على ٣ واجاهات - طريق وادي وج 
لها رخصة بناء محطة</t>
  </si>
  <si>
    <t xml:space="preserve">تم توجيه المشرف والعاملين بضرورة الالتزام بسرعة خدمة العملاء، وعدم الانشغال بالأحاديث الجانبية، والتعامل مع جميع العملاء بكل احترام واحترافية، ونرجو تزويدنا بالوقت لاتخاذ اجراء ضد العامل المقصر </t>
  </si>
  <si>
    <t>ريان السلمي</t>
  </si>
  <si>
    <t xml:space="preserve">	السلام عليكم ورحمة الله وبركاته، السادة/ شركة درب المحترمين أتقدم إليكم بطلب التوظيف، حيث أحمل درجة البكالوريوس في الكيمياء، وأسعى للانضمام إلى فريق العمل لديكم والاستفادة من مهاراتي وقدراتي في بيئة عمل احترافية تسهم في تطويري المهني وتحقيق أهداف الشركة. أتمتع بالجدية والالتزام والاستعداد لتعلم المهام الجديدة والعمل ضمن فريق، وأرفق لكم سيرتي الذاتية للنظر في إمكانية شغلي لأي وظيفة مناسبة لمؤهلاتي وخبراتي. شاكرًا لكم وقتكم واهتمامكم، وآمل أن أحظى بفرصة لإجراء مقابلة شخصية .</t>
  </si>
  <si>
    <t>جمانه</t>
  </si>
  <si>
    <t xml:space="preserve">  MK007</t>
  </si>
  <si>
    <r>
      <rPr>
        <rFont val="Calibri"/>
        <color theme="1"/>
        <sz val="9.0"/>
      </rPr>
      <t xml:space="preserve">  ذي ثاني مره العامل تعامله ماش ومايعرف يعبي يقولي التانكي فيه هواء ما يعبي الماكينه وبعدين حولت على الثاني يكلمه عشان ما يعبي لي ولما عباء يقول الماكينه اللي عنده خربانه اذا خربانه ماتتصلح اتمنى تشوفون حل لذا العامل خصيصا وذي ثاني مره اقيم اتمنى تتواصلون معي </t>
    </r>
    <r>
      <rPr>
        <rFont val="Calibri"/>
        <color rgb="FFFF9900"/>
        <sz val="9.0"/>
      </rPr>
      <t xml:space="preserve"> تم التواصل لاوجد رد من العميله</t>
    </r>
  </si>
  <si>
    <t xml:space="preserve">يرجا تزويدنا بالوقت والتاريخ لمراجعة الكامرات </t>
  </si>
  <si>
    <t xml:space="preserve">بندر محمد الشلوي </t>
  </si>
  <si>
    <t xml:space="preserve"> - على طريق تربه جنوب الطايف -11 الف و 128 - المالك - صك شرعي - للاستثمار </t>
  </si>
  <si>
    <t>فيصل عزيز العتيبي</t>
  </si>
  <si>
    <t xml:space="preserve">طلب تأجير محل </t>
  </si>
  <si>
    <t xml:space="preserve"> موظفينكم في فرع العزيزية مكة عندهم بطئ جدا ويحبو يتكلمو مع سيارات الأجرة والمحطة فيها زحمة السيارات.</t>
  </si>
  <si>
    <t>تم نقل ملاحظتكم إلى مدير المحطة للتحقق من الواقعة، وسيتم توجيه العاملين بضرورة التركيز على خدمة العملاء والابتعاد عن أي أحاديث جانبية قد تؤثر على سرعة الخدمة،</t>
  </si>
  <si>
    <t xml:space="preserve">سعد المطيري </t>
  </si>
  <si>
    <t xml:space="preserve">بريده </t>
  </si>
  <si>
    <t xml:space="preserve">تاجير - درايف ثرو كوفي - اول مره - المالك </t>
  </si>
  <si>
    <t>فواز بن سالم</t>
  </si>
  <si>
    <t>تقديم وظيفة تعقيب</t>
  </si>
  <si>
    <t>وسن</t>
  </si>
  <si>
    <r>
      <rPr>
        <rFont val="Calibri"/>
        <color theme="1"/>
        <sz val="9.0"/>
      </rPr>
      <t xml:space="preserve"> المحطه اللي بنسيم م فيه شبكه اغلب الاجهزه ماتشتغل </t>
    </r>
    <r>
      <rPr>
        <rFont val="Calibri"/>
        <color rgb="FFFF9900"/>
        <sz val="9.0"/>
      </rPr>
      <t xml:space="preserve">- -تم محاولة التواصل مغلق </t>
    </r>
  </si>
  <si>
    <t xml:space="preserve">كانت  يوجد مشكله بالنت في وقت الشكوى  حاليا الاجهزة بحاله جيده </t>
  </si>
  <si>
    <t xml:space="preserve">سهل سعود </t>
  </si>
  <si>
    <r>
      <rPr>
        <rFont val="Calibri"/>
        <b/>
        <color rgb="FF434343"/>
      </rPr>
      <t xml:space="preserve">عبئ الصباح في محطه درب - العامل ماقفل التانكي والبنزين طشر وعدم البويه  بطحاء قريش مكه - 8 ونصف الصباح او 9 - ل - ه - ط- 20050 - نوع السياره كامري ابيض - المسار الثالث اخر واحد على اليمين- العميل منزعج جدا ومستاء -شارع ابو العاص بن الربيعه </t>
    </r>
    <r>
      <rPr>
        <rFont val="Calibri"/>
        <b/>
        <color rgb="FFFF9900"/>
      </rPr>
      <t>- العميل يفيد بان الغطاء ماقفله زين وافادته ان لا يوجد سياررته اثناء مراجعة الكاميرات</t>
    </r>
  </si>
  <si>
    <t>Daniel Mamdouh</t>
  </si>
  <si>
    <t>السلام عليكم ورحمة الله وبركاته، أرفق لكم سيرتي الذاتية للتقديم على وظيفة محاسب. أحمل درجة البكالوريوس في المحاسبة، ولدي خبرة عملية في المحاسبة المالية وإعداد التقارير والقوائم المالية، تشمل: - إعداد القيود اليومية والإقفالات الشهرية والسنوية. - إعداد القوائم والتقارير المالية والتحليل المالي. - إدارة الأستاذ العام ومتابعة الحسابات المدينة والدائنة. - إعداد التسويات البنكية ومراجعة الحسابات والقيود المحاسبية. - فحص الفواتير والمستندات والتأكد من دقتها وسلامتها. - الالتزام الضريبي وإعداد ورفع إقرارات ضريبة القيمة المضافة (VAT) عبر منصة ZATCA. - التعامل مع الفحوصات والتدقيقات الضريبية وطلبات الهيئة. - متابعة عمليات استرداد الضرائب والتعامل مع مكاتب المراجعة والتدقيق الخارجي. - مراقبة البنوك والمصروفات والعمل على تحسين الرقابة الداخلية وترشيد التكاليف. - التعامل مع الأنظمة المحاسبية المختلفة والتنسيق مع الإدارات التشغيلية والإدارية. كما أن لدي خبرة في إدارة فرق العمل والتعاون مع الإدارات المختلفة لدعم القرارات المالية والإدارية. إقامتي سارية حتى ديسمبر 2026، وعضوية الهيئة السعودية للمراجعين والمحاسبين (SOCPA) تحت الإجراء، وقد اجتزت بعض مواد الزمالة المهنية وجارٍ استكمال بقية المواد. جاهز للانتقال والعمل فورًا في حال القبول، ويسعدني تزويدكم بأي شهادات خبرة أو مستندات إضافية عند الطلب. وتفضلوا بقبول فائق الاحترام والتقدير</t>
  </si>
  <si>
    <t xml:space="preserve">   MK210</t>
  </si>
  <si>
    <t xml:space="preserve">  تاخير والمشكله مافي الا سياره تعبي مافيه الا شاحنتين واصلا قاعدين يعبون
</t>
  </si>
  <si>
    <t>تم التواصل مع مشرف المحطة لتتنبيه العمال على سرعة العمل</t>
  </si>
  <si>
    <t>درب العوالي فيها ديزال ؟</t>
  </si>
  <si>
    <t xml:space="preserve">	السلام عليكم ورحمة الله وبركاته خبرة أكثر من ١٣ عام في التسويق في إحدى اكبر مصانع البلك الأحمر السعودي في الغربيه وعلى مستوى المملكة العربية السعودية انا سعيد أبو ندى أردني زوج مواطنه إقامة ساريه دبلوم عالي برمجة حاسب آلي وأكثر من ٢٠ دورة تسويق وادارة وإشراف عملت في عدة أماكن في تسويق المنتجات وعملت ١٣ عام لدى شركة الطوب الأحمر السعودي كمندوب مبيعات ثم مسؤول فرع ثم مشرف منطقة اتمنى من الله تعالى الالتحاق بالعمل لديكم والله ولي التوفيق ٠٥٣٣٣٨٦٦٦٩</t>
  </si>
  <si>
    <t xml:space="preserve">قصي </t>
  </si>
  <si>
    <t xml:space="preserve">شركه توريد وتصنيع </t>
  </si>
  <si>
    <t xml:space="preserve">                2026-05-18 08:59:46 PM UTC+03:00- تم محاولة الاتصال مرتين لا يوجد رد </t>
  </si>
  <si>
    <t>عدنان القثامي</t>
  </si>
  <si>
    <t xml:space="preserve">        العرفاء الغربية  أرض - 320 م - المالك - عليها رخصة</t>
  </si>
  <si>
    <t>مغلق تم التواصل ومايرد</t>
  </si>
  <si>
    <t>نوره الحربي</t>
  </si>
  <si>
    <t xml:space="preserve"> شركة عناية للموارد البشرية
احنا حابين نخدم درب في توريد القوى العاملة، من الشخص المسؤول للتواصل ومنلقشة التفاصيل؟</t>
  </si>
  <si>
    <t xml:space="preserve">شركه شاشات اعلانيه ديناميكية يرغب بمساحه 3م في جده والطايف ^ قال راح يرسل البروفايل واتس اب ومارسل اذا </t>
  </si>
  <si>
    <t>خالد بن عبداللطيف</t>
  </si>
  <si>
    <t>السلام عليكم ورحمة الله وبركاته لدي خبرة ادارية لاكقر من ٢٠ سنة وارغب في العمل ومستعد للانضمام في اقرب وقت ممكن تحياتي</t>
  </si>
  <si>
    <t xml:space="preserve">سيستفسر عن المورد الاساسي </t>
  </si>
  <si>
    <t>لم يتم الرد ومعرفة الاستفسار</t>
  </si>
  <si>
    <t>محمد محجوب</t>
  </si>
  <si>
    <t xml:space="preserve">	السلام عليكم ورحمة الله وبركاته الإخوة في شركة درب أرفق لكم السيرة الذاتية الخاصة بي للنظر في إمكانية انضمامي إلى فريق العمل لديكم مع خالص الشكر والتقدير</t>
  </si>
  <si>
    <t xml:space="preserve">غنيم المطيري </t>
  </si>
  <si>
    <r>
      <rPr>
        <rFont val="Calibri"/>
        <color theme="1"/>
        <sz val="9.0"/>
      </rPr>
      <t>اريد تغيير السياره التي سأعبي بها الكوبون الى بيجو 3008 2018</t>
    </r>
    <r>
      <rPr>
        <rFont val="Calibri"/>
        <color rgb="FFFF9900"/>
        <sz val="9.0"/>
      </rPr>
      <t xml:space="preserve">-تم التواصل ولايوجد رد من العميل </t>
    </r>
  </si>
  <si>
    <t>منار العصيمي</t>
  </si>
  <si>
    <t xml:space="preserve">	السادة شركة درب المحترمين السلام عليكم ورحمة الله وبركاته يسعدني التقدّم بطلب الانضمام إلى فريق عملكم الموقر أنا منار خريجة تخصص علاقات عامة وأسعى لاكتساب الخبرة وتطوير مهاراتي المهنية ضمن بيئة عمل مميزة وطموحة. أمتلك مهارات قوية في التواصل، والتنظيم، والعمل الجماعي، إضافة إلى اهتمام كبير بالتفاصيل والقدرة على التعامل باحترافية في مختلف المواقف، وأطمح لأن أكون إضافة إيجابية تسهم في تحقيق أهداف فريقكم. أرفقت لكم سيرتي الذاتية للاطلاع، وآمل أن أحظى بفرصة لمقابلتكم ومناقشة إمكانية التعاون معكم. شاكرة لكم وقتكم واهتمامكم مع خالص التحية منار</t>
  </si>
  <si>
    <t>Alaa Alsulaimani</t>
  </si>
  <si>
    <t>فراس</t>
  </si>
  <si>
    <t>النشاط التجاري: عمل درايف ثرو قهوه اسم العلامة التجارية:سوف يتم اختيارالاسم عدد الفروع: سوف يتم تأجير اول فرع تفاصيل استفسارك:
محطة درب في شارع قريش السداد في الطائف لاحظت لوحه لتأجير الدرايف ثرو داخل بداخل مساحه المحطه وعليها رقم
الرجاء افادتي بسعر الايجار وهل هي متاحه</t>
  </si>
  <si>
    <r>
      <rPr>
        <rFont val="Calibri"/>
        <color theme="1"/>
        <sz val="9.0"/>
      </rPr>
      <t>السلام عليكم اش صار على البلاغ</t>
    </r>
    <r>
      <rPr>
        <rFont val="Calibri"/>
        <color rgb="FFFF9900"/>
        <sz val="9.0"/>
      </rPr>
      <t xml:space="preserve">-تواصلت معاه يقول ماحليتو رغم ارسل مقاطع ومتواصل سابقا مع استاذ احمد وبساك ولكن نوهت عليه يرجع يكلم مسؤول المنطقه دام رقمه عنده لان الحل النهائي عنده كما تم التنويه على بسام باغلاق الاشكالية حتى لا يعاود العميل الاتصال بعدم الحل </t>
    </r>
  </si>
  <si>
    <t>Ghousuddin</t>
  </si>
  <si>
    <t>In the mood - 3 فروع - المالك - كشك</t>
  </si>
  <si>
    <t>رنيم</t>
  </si>
  <si>
    <t>محمد العصيمي</t>
  </si>
  <si>
    <t>ابحث عن وظيفه مسؤول علاقات حكومية او مشرف علي موقع</t>
  </si>
  <si>
    <t>ديم</t>
  </si>
  <si>
    <t xml:space="preserve">اسلوب العماله سيء وقبل عبو لها  بدال الاحمر اخضر وتبغا نرجع نتواصل معاها </t>
  </si>
  <si>
    <t>تم محاولة الاتتصال بالعميله لمعرفة تفاصيل الشكوى ولم يتم الرد</t>
  </si>
  <si>
    <r>
      <rPr>
        <rFont val="Calibri"/>
        <b/>
        <color rgb="FF000000"/>
        <sz val="9.0"/>
      </rPr>
      <t xml:space="preserve">يوم الاثنين الساعة 8:02ص طلبت تعبئة بنزين بمبلغ 20اخضر والعامل سحب 25 ريال ارغب بالتاكد هل عبى لي ب25 ولا اخذ زيادة مني </t>
    </r>
    <r>
      <rPr>
        <rFont val="Calibri"/>
        <b/>
        <color rgb="FFFF9900"/>
        <sz val="9.0"/>
      </rPr>
      <t xml:space="preserve">-تم التواصل مع العميل وافاد انه رجع للمحطه والعامل تاسف منه ورجع له المبلغ </t>
    </r>
  </si>
  <si>
    <t xml:space="preserve">فيصل </t>
  </si>
  <si>
    <t>عاصم شعيب</t>
  </si>
  <si>
    <t>احمد مصطفى</t>
  </si>
  <si>
    <t xml:space="preserve">تأجير مغسله جديده بمححطه الملك عبدالله بصفه مالك </t>
  </si>
  <si>
    <t xml:space="preserve">شركة هندسية </t>
  </si>
  <si>
    <t xml:space="preserve">لا يوجد اهتمام منكم ارسلت العديد من المرات ولم يتم حل المشكله أكثر من عشره ايام
</t>
  </si>
  <si>
    <t>تم تصعيده لاماني</t>
  </si>
  <si>
    <t>Mk028</t>
  </si>
  <si>
    <t xml:space="preserve"> حطة مميزة فيها الكثير من خيارات التسوق فيها ماكدونالد و الطازج ولكن السوبر ماركت كان مميز بأسعاره وخيارات التسوق فيه ولكنه صار من اسوأ المحلات الي زرتها لايوفر أقل الإحتياجات واهتمامه فقط يتركز على بعض الأصناف ويهمل البعض الآخر .
لدرجة أنني ترددت على السوبر ماركت اكثر من عشرة مرات خلال فترات متباعدة وفي كل مرة تقل البضائع داخل السوبرماركت وأسأل العمال ويشتكون من صاحب المحل بأنه مهمل وغير مهتم بطلب البضائع .
لن أكرر زيارتي لهذا المحل مستقبلاً .</t>
  </si>
  <si>
    <t xml:space="preserve">	السلام عليكم ورحمة الله وبركاته السادة / ادارة الموارد البشرية اتقدم انا أحمد خالد الغامدي على الوظائف الشاغرة لديكم وارفق لكم ملف السيرة الذاتية وشكراً جزيلاً .</t>
  </si>
  <si>
    <t xml:space="preserve">غادر عبدالله محمد
</t>
  </si>
  <si>
    <t xml:space="preserve">  المحطة ممتازة ولاكن الخدمة سيئة العمال غير مهيئين للاسف اتمني ترتقي لمستوي محطات الدريس
</t>
  </si>
  <si>
    <t>النشاط خدمات سيارات عدد الفروع 2 الاستفسار كم سعر الاجار في الموقع محطه درب موقعها الخميس على خط صناعيه وادي بن هشبل
المدينه الخميس</t>
  </si>
  <si>
    <t>تم نقل ملاحظتكم إادارة المحطة  وتم التوجيه باتخاذ  الإجراءات اللازمة لتوجيه العاملين ورفع مستوى التدريب والمتابعة بما يضمن تقديم خدمة أفضل تليق بعملائنا الكرام.</t>
  </si>
  <si>
    <t>رنا بانقيطة</t>
  </si>
  <si>
    <t xml:space="preserve">	السلام عليكم ورحمة الله وبركاته، أتقدم بطلب التوظيف لدى شركتكم، حيث أحمل درجة البكالوريوس في نظم المعلومات الإدارية من جامعة الطائف، ولدي خبرة في المبيعات ومهارات في استخدام برامج Microsoft Office والأعمال الإدارية. أرفق لكم سيرتي الذاتية، وأتطلع لفرصة الانضمام إلى فريق العمل لديكم رنا بانقيطة</t>
  </si>
  <si>
    <t xml:space="preserve">يستفسر عن عرض سياره اب </t>
  </si>
  <si>
    <t>Mohannad</t>
  </si>
  <si>
    <t xml:space="preserve">لماذا تم التوقف من اعمال محطة درب فرع الوزيريه
</t>
  </si>
  <si>
    <t>طلال محمد هزاع</t>
  </si>
  <si>
    <t xml:space="preserve">	السلام عليكم ورحمة الله وبركاته أنا عندي الخبره الكافية في المحطات وعملت في شركة محطة زيت الجري خمسة سنوات في المدينة المنورة</t>
  </si>
  <si>
    <t>العميله ملخبطه بين درب الوطن ودرب الوقود</t>
  </si>
  <si>
    <t xml:space="preserve">عبد الرحمن </t>
  </si>
  <si>
    <t>شريف</t>
  </si>
  <si>
    <r>
      <rPr>
        <rFont val="Calibri"/>
        <b/>
        <color rgb="FF434343"/>
      </rPr>
      <t>عبى بنزين  ولما مشى مافيها بنزين - 4 و45 العصر شانجان ايدو بلس -كاش 15 ريال -س-د-ص- الارقام 1164 - لون السياره رصاصي  المسار الثاني - محطه درب العزيزيه جنب برج الخفيضات عند مجمع اطباء العصر  العميل يطالب بمراجعه الكاميرات والتاكد من ان العامل قام بالتعبئه</t>
    </r>
    <r>
      <rPr>
        <rFont val="Calibri"/>
        <b/>
        <color rgb="FFFF9900"/>
      </rPr>
      <t xml:space="preserve"> - تم التواصل لمزيد من التفاصيل الا ان العميل سامح العامل اذا اخطا او اذا عبى ولا يرغب برفع شكوى اخر ويرغب باغلاقها </t>
    </r>
  </si>
  <si>
    <t>MOHAMMED</t>
  </si>
  <si>
    <t xml:space="preserve">يفيد العميل بان عبى بنزين احمر ب50 ريال واعطى العامل 150 زياده كاش الثلاثاء  الساعه 4:15م سيارته كامري (4843) </t>
  </si>
  <si>
    <t xml:space="preserve">طلع العامل عبى ب40 ويبي يستفيد من البركود </t>
  </si>
  <si>
    <t xml:space="preserve">	Logistics Executive with a proven ability to transform complex challenges into strategic opportunities through robust governance, data-driven performance management, and continuous improvement. Expert in KPI-driven frameworks, resource optimization, efficiency and sustainability strategies, and leading high-performing teams to enhance operational resilience and long-term value. Contributes to corporate strategy, strengthens performance, and reinforces competitive positioning within the logistics sector.</t>
  </si>
  <si>
    <t xml:space="preserve">Faize Aljawfi1
</t>
  </si>
  <si>
    <t xml:space="preserve">عبيت وفاتورتي 143 ريال ولاهو مررررره مصفر ؟؟ انا اذا مرا مرا ماتزيد عن 135 تاكدو من مكينتكم العامل يقول معليه انا جديد جديد ما اعرف  وقت التعبئة 15:04م 7\8 الاربعاء دفعت شبكة كيا 2018 رصاصي </t>
  </si>
  <si>
    <t xml:space="preserve">تواصلت مع العميل حتى نعوضه لكنه رفض التعويض  واكيد رفعت الشكوى لادارة بترولايز
</t>
  </si>
  <si>
    <t xml:space="preserve"> رياض</t>
  </si>
  <si>
    <t>RY083</t>
  </si>
  <si>
    <t xml:space="preserve">محطة مهجورة وقديمة ولايوجد فيها خدمات
الثلاثاء، 19 مايو 2026 في 03:05 ص
</t>
  </si>
  <si>
    <t>مكه حي الحسينيه الشارع العام  - أرض - 22400م</t>
  </si>
  <si>
    <t>كافية</t>
  </si>
  <si>
    <t xml:space="preserve">Moath Alharbi
</t>
  </si>
  <si>
    <t>حمود الشهري</t>
  </si>
  <si>
    <t>- الأحد، 17 مايو 2026 في 07:36 ص
الحمامات وصخة ولازم لها صيانه هذي وهي ماكملت كم شهر</t>
  </si>
  <si>
    <t xml:space="preserve">ارض بمساحة 9 آلاف متر الإيجار طويل الأمد على طريق سياحي المخواه أبها
 - في انتظار باقي التفاصيل
</t>
  </si>
  <si>
    <t>لجين الحارثي</t>
  </si>
  <si>
    <t xml:space="preserve">فهد عبدالرحمن
</t>
  </si>
  <si>
    <t>يعقوب ياسر</t>
  </si>
  <si>
    <t xml:space="preserve">	السلام عليكم ورحمة الله وبركاته، أتقدم بطلب الانضمام إلى فريق العمل لديكم، وأتطلع إلى فرصة أستطيع من خلالها الاستفادة من مهاراتي في خدمة العملاء والتواصل الفعّال والعمل بروح الفريق. أتمتع بالالتزام وتحمل المسؤولية والقدرة على التعلم السريع والعمل تحت الضغط، وأسعى للمساهمة في تحقيق أهداف المنشأة وتقديم أفضل مستوى من الخدمة. شاكرةً لكم وقتكم واهتمامكم، وأتطلع إلى فرصة للمقابلة الشخصية. لجين الحارثي</t>
  </si>
  <si>
    <t xml:space="preserve">‏خسارة النجمة على هال العمال ذولا
ري جيت إلا يقول المكائن الخربان
‏ وأتفاجئ يعبي لدينا ديزل -الأحد، 17 مايو 2026 في 05:39 م
</t>
  </si>
  <si>
    <t>محل  رقم التواصل 562217119 واتساب</t>
  </si>
  <si>
    <t>تم التواصل مع مدير المنطقة وتمت الافاده مسدس عطلان وتم اصلاحه قبل العيد بيومين 
خلال في المسدس تعليق 
تم الاصلاح</t>
  </si>
  <si>
    <t>عبدالرحمن الحربي</t>
  </si>
  <si>
    <t>sh</t>
  </si>
  <si>
    <t>مغسلة سيارات - فرع</t>
  </si>
  <si>
    <t xml:space="preserve">سيارتي سنتافي ٤ سلندر أعبيها إذا لمبة البنزين والعة فل ما يزيد عن 146 ريال من نفط أو الدريس أو ساسكو دائما وأبدا نا قد وصلت ١٥٠ إلا من محطات جي اويل ودرب
-الاثنين، 18 مايو 2026 في 01:22 ص
</t>
  </si>
  <si>
    <t>شكوى الشركاء</t>
  </si>
  <si>
    <t>MOHAMED</t>
  </si>
  <si>
    <t xml:space="preserve">	السلام عليكم ورحمة الله وبركاته الساده شركة درب المحترمين أتقدم لسيادتكم بطلب وظيفي أنا محمد عبدالإله أحمد سوداني الجنسية مقيم في الخميس خريج جامعي عملت في شركة سعيد محمد البسامي لنقل عدد2سنة في قسم المبيعات والتسويق وحابي اكون ضم فريق العمل لديكم والله ولي التوفيق والنجاح محمد عبدالإله 0506907071</t>
  </si>
  <si>
    <t xml:space="preserve">بريندا </t>
  </si>
  <si>
    <t xml:space="preserve">تمت الافادة باننا غير مهتمين حاليا </t>
  </si>
  <si>
    <t xml:space="preserve">Saad Taima
</t>
  </si>
  <si>
    <t xml:space="preserve"> MK007</t>
  </si>
  <si>
    <t xml:space="preserve">من اسواء محطات البترول تعامل سيء عماله مهمله جدا تدخل تعبي بترول تجلس يالربع ساعه حاجه استغفر الله
الاثنين، 18 مايو 2026 في 10:09 ص
</t>
  </si>
  <si>
    <t>احمد عرب</t>
  </si>
  <si>
    <t xml:space="preserve">	السلام عليكم أتقدم لسيادتكم بطلب العمل لديكم للاستفادة من خبراتكم ولكم جزيل الشكر</t>
  </si>
  <si>
    <t>ابي رقم البقالة محطة درب في تربة البقوم</t>
  </si>
  <si>
    <t>تعبئة منتج غير مطابق للطلب.</t>
  </si>
  <si>
    <t xml:space="preserve">Rayan Hafiz
</t>
  </si>
  <si>
    <t xml:space="preserve">تاخير في استخراج الفاتورة
السسمتم معلق علي طول 
الاثنين، 18 مايو 2026 في 05:27 م
</t>
  </si>
  <si>
    <t xml:space="preserve">خطأ تقني تم حل الشكوى حينها </t>
  </si>
  <si>
    <t>عبدالرحمن القثامي</t>
  </si>
  <si>
    <t xml:space="preserve">	بسم الله الرحمن الرحيم السلام عليكم ورحمة الله وبركاته وبعد أتقدم لكم بالسيرة الذاتية على اي وظيفه وتقبلوا شكري وتقديري.</t>
  </si>
  <si>
    <t>حسن باعقيل</t>
  </si>
  <si>
    <t xml:space="preserve">يوجد عدد من الموقع للايجار محطات في الرياض والقصيم
</t>
  </si>
  <si>
    <t>نقص عدد العمالة.</t>
  </si>
  <si>
    <t xml:space="preserve">hani mahfouz
</t>
  </si>
  <si>
    <t xml:space="preserve">هذا العامل تحدث معي باسلوب غير لائق وايضا رفض تعبئه البنزين في السياره تحت بند يوجد تحديث وعند الذهاب لعامل اخر تم خدمتي بشكل لائق ..
وتم استدعاء المشرف وللاسف تحدث معه باسلوب سيء جدا جدا ولم يحترم مشرفه
الاثنين، 18 مايو 2026 في 10:40 م
</t>
  </si>
  <si>
    <t xml:space="preserve">تم ابلاغ مدير المحطة وتم عمل انذار ولفت نظر للعامل المتسبب </t>
  </si>
  <si>
    <t>L</t>
  </si>
  <si>
    <t xml:space="preserve">	عبدالمجيد العضياني</t>
  </si>
  <si>
    <t>السلام عليكم ورحمة الله اقتراح👇🏼 يا ليت تفتحون فرع قريب من حي الملك عبد الله وحي الملك سلمان في الرياض والأحياء اللي حولها القريبة منها</t>
  </si>
  <si>
    <t>إنني متحمس للانضمام إلى مؤسستكم الموقرة لما تتمتع به من سمعة متميزة وفرص للنمو والتطوير المهني. وأتطلع إلى فرصة لمناقشة كيف يمكن لمؤهلاتي وخبراتي أن تضيف قيمة إلى فريقكم</t>
  </si>
  <si>
    <t xml:space="preserve">Ahmed Mahnashi
</t>
  </si>
  <si>
    <t>علي حسين ال قريع</t>
  </si>
  <si>
    <t>أتقدم إليكم بطلب التوظيف على وظيفة “قانوني” في منشأتكم الموقرة، مستندًا إلى خلفيتي العلمية والعملية في المجال القانوني، وحملي لترخيص مزاولة مهنة المحاماة الصادر من وزارة العدل، بالإضافة إلى خبرتي في تمثيل الجهات أمام المحاكم واللجان القضائية</t>
  </si>
  <si>
    <t xml:space="preserve"> بنشر ومغسلة سيارات1 نجران مجمع محطة درب في المركب نجران</t>
  </si>
  <si>
    <t>اول مره اعبي سيارتي بهاذا السعر سيارتي لكزس gs دايم اعبيها وهيا مصفره مره 136 الحين عبيتها اول ما ولعت لمبة البنزين 140 ليه مو حرام التلاعب
الاثنين، 18 مايو 2026 في 11:36 م</t>
  </si>
  <si>
    <t xml:space="preserve"> بدر الشمراني
</t>
  </si>
  <si>
    <t>محمد حسن عوض حسن</t>
  </si>
  <si>
    <t>المطلوب إيجار أرض بمساحة ٩ آلاف متر الملكيه خاصه لا يوجد عليه أي رخصه</t>
  </si>
  <si>
    <t xml:space="preserve">معتصم محمد </t>
  </si>
  <si>
    <t xml:space="preserve">	السلام عليكم ورحمه الله تحيه طيبه ارغب ف التقديم لديكم مع العلم بان مسمئ المهنه عامل والاقامه والرخصه مجدده</t>
  </si>
  <si>
    <t xml:space="preserve">بيستاجر مضخه داخل المحطه </t>
  </si>
  <si>
    <t xml:space="preserve">بدر فادي </t>
  </si>
  <si>
    <t>ماجد البكالي</t>
  </si>
  <si>
    <t xml:space="preserve">-جده </t>
  </si>
  <si>
    <t xml:space="preserve">درايف ثرو - جده الاجواد -كوفي مكان - المالك </t>
  </si>
  <si>
    <t>supermarket - 14 branch - شركة عالم الوسام</t>
  </si>
  <si>
    <t xml:space="preserve">علي احمد </t>
  </si>
  <si>
    <t>الشركاء</t>
  </si>
  <si>
    <t>Abdulaziz Alamri</t>
  </si>
  <si>
    <t xml:space="preserve">محايل عسير خميس البحر - مجمع ومحطه جاهزه كامله بمساحه 15 الف واكثر - مسوق </t>
  </si>
  <si>
    <t xml:space="preserve">	السلام عليكم ورحمه الله أتقدم بطلب التوظيف لدى شركة درب، ولدي خبرة 4 سنوات في قطاع التجزئة وخدمة العملاء والمبيعات، منها سنتان في مجموعة الشايع وسنتان في بيسايد. كما أحمل دورات في خدمة العملاء والمبيعات، وأتطلع للانضمام إلى فريق العمل والمساهمة بخبرتي</t>
  </si>
  <si>
    <t>علي سيف</t>
  </si>
  <si>
    <t xml:space="preserve">عندي موقع محطة كيف نعرض عليكم الفرصة سبق تجمعنا مع اكثر من شركة ونبي نتعاقد في أقرب فرصة في حال ناسبنا  - ايجار </t>
  </si>
  <si>
    <t xml:space="preserve">ماجد </t>
  </si>
  <si>
    <t>عبدالسلام ال الزبن</t>
  </si>
  <si>
    <t xml:space="preserve"> يقترح العميل فتح مكبرات صوت لتكبيرات الحج في المحطات </t>
  </si>
  <si>
    <t xml:space="preserve">	أتقدم بطلب شغل وظيفة لديكم، حيث أمتلك خبرة عملية في نفس مجال عمل الشركة، مما أكسبني معرفة جيدة بمتطلبات القطاع وآليات العمل فيه. وخلال مسيرتي المهنية طورت مهاراتي في أداء المهام بكفاءة، والعمل ضمن فريق، وتحقيق الأهداف المطلوبة. أؤمن بأن خبرتي وخلفيتي المهنية ستمكنني من تقديم قيمة مضافة للشركة والمساهمة في تحقيق أهدافها، وأتطلع إلى فرصة لمناقشة مدى توافق مؤهلاتي مع احتياجاتكم. وتفضلوا بقبول فائق الاحترام والتقدير</t>
  </si>
  <si>
    <t>وعليكم السلام ي ارحبوا تراحيب المطر 
إن شاءالله دربنا واحد بعد توفيق الله عزوجل 
[[[[عندي محطة مساحتها 10600م² مخططاتها ورخصة البناء جاهزه للتطوير موقعها على الطريق السريع الرياض الطايف تبعد ٢٤٠كيلو من الرياض بإتجاه الطايف موقعها طيب</t>
  </si>
  <si>
    <t>متعب زياد</t>
  </si>
  <si>
    <t>أبومالك الوجيهي</t>
  </si>
  <si>
    <r>
      <rPr>
        <rFont val="Calibri"/>
        <b/>
        <color rgb="FF131825"/>
        <sz val="9.0"/>
      </rPr>
      <t xml:space="preserve">المحطة: شارع حسان بن ثاب التاريخ:12/14 الوقت: 11:15 شكوى/اقتراح: محطة حمامات الطايف حسان بن ثابت تعامل العامل سيئ جدا ويرفع صوته والحمامات وسخه جدا جججدا - </t>
    </r>
    <r>
      <rPr>
        <rFont val="Calibri"/>
        <b/>
        <color rgb="FFFF6D01"/>
        <sz val="9.0"/>
      </rPr>
      <t>تم الاعتذار وسيتم اتخاذ اجراء مع عامل النظافة</t>
    </r>
  </si>
  <si>
    <t>تربه</t>
  </si>
  <si>
    <t>محطة قائمة تحتاج تجديد</t>
  </si>
  <si>
    <t xml:space="preserve">	بسم الله الرحمن الرحيم الإخوةالقائمون على شركةدرب الوقود الرائدةبمكةالمكرمةالسلام عليكم ورحمةالله وبركاته يسرني ويسعدني ويهمنيأن أتقدم بالطلب للانضمام والتشرف لأكون جزءا من منظومتكم المباركة ودربكم الوهاج وكلي أمل بالله تعالى أن يوفقنا وإياكم إلى كل خير وتحقيق ماتصبون إليه من سلوك الدرب وبلوغ الكمال والله الموفق ،، أخوكم /عبدالقوي الوجيهي</t>
  </si>
  <si>
    <t xml:space="preserve">خديجه </t>
  </si>
  <si>
    <r>
      <rPr>
        <rFont val="Calibri"/>
        <sz val="9.0"/>
      </rPr>
      <t xml:space="preserve">تقول ان العامل رفض يعبيلها وكانت تبغا احمر قال مافي قدمي قدام يوم الخميس 8:28صباح تاريخ 9/7 - </t>
    </r>
    <r>
      <rPr>
        <rFont val="Calibri"/>
        <color rgb="FF1155CC"/>
        <sz val="9.0"/>
        <u/>
      </rPr>
      <t>https://maps.app.goo.gl/KH6QPRFfMDsp15CH9?g_st=iw</t>
    </r>
  </si>
  <si>
    <t>راكان العتيبي</t>
  </si>
  <si>
    <t>محمد بلحمر</t>
  </si>
  <si>
    <t xml:space="preserve">شمال الطائف - 800م </t>
  </si>
  <si>
    <t>موظف سابق بالخطوط السعودية لدي خبرة بخدمة العملاء اكثر من 5 سنوات</t>
  </si>
  <si>
    <t>موقع المحطة تابع للدريس وغير متوفر في ملف المشاريع تم التواصل مع العميله والاعتذار وابلاغها بمجرد ان يتم افتتاح المحطة من قبل إدارة درب سيتم اتخاذ اجراء على تغيير العمالة شكرتنا</t>
  </si>
  <si>
    <t>عاصم</t>
  </si>
  <si>
    <r>
      <rPr>
        <rFont val="Calibri"/>
        <b/>
        <color rgb="FF434343"/>
      </rPr>
      <t>يوم الاثنين 18-5-2026 الساعة 11:40 ص عبيت ديزل وبالعادة فل سيارتي وهي مصفرة 90 اخذ مني 101 وهي فيها كم لتر في اشكالية بالمضخة وارغب بمتابعة الشكوى سيارة بيجو رافتر ا ب ه  6549 رمادي  -(سيتم تعويضه ب100 ريال</t>
    </r>
    <r>
      <rPr>
        <rFont val="Calibri"/>
        <b/>
        <color rgb="FFFF9900"/>
      </rPr>
      <t>)  تم التواصل وافاد اه راح المحطة وما استلم التعويض وتمت المتابعه حتى التعويض</t>
    </r>
  </si>
  <si>
    <r>
      <rPr>
        <rFont val="Calibri"/>
        <color rgb="FF131825"/>
        <sz val="9.0"/>
      </rPr>
      <t xml:space="preserve">جينا نعبي بنزين قلنا له 20 قام سوا مجنون وعبى 50 قال تحاسبي غصبا عنك مسوي معصب ويقول اصلا ليه تعبوها 20 قليل وتجمعو وواحد يضحك يعني اسلوبهم سيء فوق غلطهم - 9:29د - شبكة 50 - لكزس 3000 د ل ط ابيض - اخضر - المسار الوسط  </t>
    </r>
    <r>
      <rPr>
        <rFont val="Calibri"/>
        <color rgb="FFFF6D01"/>
        <sz val="9.0"/>
      </rPr>
      <t>-تم الاعتذار وانه سيتم اتخاذ اجراء  لم يتم الرد  لابلاغ العميله بالاجراء</t>
    </r>
  </si>
  <si>
    <t>تم التأكيد على مدير المنطقة بضرورة تدريب العاملين على سؤال العميل عن  الكمية التي يحددها العميل قبل بدء عملية التعبئة  والالتزام بأعلى معايير الاحترام والمهنية في التعامل . كما تم مراجعة الكامرات  واتخاذ(لفت نظر ) ضد العمال المتسببين في استياء العميل لضمان عدم تكرار مثل هذه الملاحظات مستقبلاً</t>
  </si>
  <si>
    <t xml:space="preserve"> خالد</t>
  </si>
  <si>
    <t xml:space="preserve">     العمال لا يلتزمون بقول العميل   في الأربعاء، 8 يوليو 2026 في 04:2 </t>
  </si>
  <si>
    <t>عبدالله علي</t>
  </si>
  <si>
    <t>ريان سعيد</t>
  </si>
  <si>
    <t xml:space="preserve">تذكير بعد التواصل </t>
  </si>
  <si>
    <t>حياك الله أستاذ عبدالله علي🧡
تم رفع طلبك بالفعل وسيتم رفع طلب تذكير للتواصل مع أخصائي التأجير نعتذر منك على الاطالة 🙏</t>
  </si>
  <si>
    <r>
      <rPr>
        <rFont val="Calibri"/>
        <b/>
        <color rgb="FF131825"/>
        <sz val="9.0"/>
      </rPr>
      <t>وقفت عند المحطه مستعجل وطلبتهم يعبون فل وراح العامل فتح التانكي ومشى قال دوامي خلص والشي القاني اي عامل يجي يعبي مافيه عمال</t>
    </r>
    <r>
      <rPr>
        <rFont val="Calibri"/>
        <b/>
        <color rgb="FFFF9900"/>
        <sz val="9.0"/>
      </rPr>
      <t xml:space="preserve"> بزي موحد</t>
    </r>
    <r>
      <rPr>
        <rFont val="Calibri"/>
        <b/>
        <color rgb="FF131825"/>
        <sz val="9.0"/>
      </rPr>
      <t xml:space="preserve"> كل واحد يجي يعبي لي اخر واحد عبى لي مصري لابس ثوب 12:59:45 Friday, June 5, 2026 </t>
    </r>
  </si>
  <si>
    <t xml:space="preserve">تم التواصل والعميل  افاد باغلاق الطلب </t>
  </si>
  <si>
    <t>سلطان الشهراني</t>
  </si>
  <si>
    <t xml:space="preserve">محطه درب شارع قريش - المالك - درايف ثرو -كوفي - اول مره </t>
  </si>
  <si>
    <r>
      <rPr>
        <rFont val="Calibri"/>
        <b/>
        <color rgb="FF131825"/>
        <sz val="9.0"/>
      </rPr>
      <t xml:space="preserve">انقطاع البنزيم بستمرار 01:45:39 Wednesday, June 3, 2026 - </t>
    </r>
    <r>
      <rPr>
        <rFont val="Calibri"/>
        <b/>
        <color rgb="FFFF6D01"/>
        <sz val="9.0"/>
      </rPr>
      <t>تم تصعيدها لاماني</t>
    </r>
  </si>
  <si>
    <t>تم الاتصال وتواصلنا مع العميل قبل</t>
  </si>
  <si>
    <t>Mohmmed</t>
  </si>
  <si>
    <t xml:space="preserve">حالة التقديم على الوظيف </t>
  </si>
  <si>
    <t>تمت افادته بانه سيتم التواصل معه من قبل مسؤول التوظيف في حال توفر شاغر</t>
  </si>
  <si>
    <r>
      <rPr>
        <rFont val="Calibri"/>
        <b/>
        <color rgb="FF131825"/>
        <sz val="9.0"/>
      </rPr>
      <t>فترة انتظار طويلة حتى يتم ربط المبلغ بتعبئة الوقود
النظام يحتاج لتطوير اسرع 08:27:34 Wednesday, June 3, 2026 - تم التواصل وافاد العميل المحطة على طريق دوامي وحط المسدس ويقول انتظر سستم ما جا مرتين لاحظتها وضايقتني الصدق اخرتني -</t>
    </r>
    <r>
      <rPr>
        <rFont val="Calibri"/>
        <b/>
        <color rgb="FFFF6D01"/>
        <sz val="9.0"/>
      </rPr>
      <t xml:space="preserve"> تم الاعتذار منه وتطيب خاطره وانه سيتم حلها </t>
    </r>
  </si>
  <si>
    <t>عبد الله</t>
  </si>
  <si>
    <t xml:space="preserve">للأسف تدخل دورات المياه كلها عمال يدخنون  08:25:44 Tuesday, June 2, 2026 </t>
  </si>
  <si>
    <t>رض المساحة: 503.404 الف متر الموقع: الطريق السريع بين المدينة المنورة والقصيم لها رخصة بناء محطة: نعم تفاصيل استفسارك: يسرنا أن نطرح عليكم فرصة استثمارية واعدة تتمثل في أرض تجارية بموقع استراتيجي وحيوي على الخط السريع الرابط بين المدينة المنورة ومنطقة القصيم، قبل محافظة الحناكية، وهو من الطرق الرئيسية ذات الحركة المرورية العالية على مدار العام. مميزات الموقع: • موقع مباشر على الخط السريع الحيوي بين المدينة المنورة والقصيم • مناسب لإنشاء محطة وقود متكاملة وخدمات مساندة • كثافة مرورية عالية وفرصة تشغيلية واستثمارية مميزة • جاهزية كاملة للبدء بالمشروع بيانات العقار: • المساحة: 503,404 الف متر • نوع العرض: بيع أو تأجير مباشر من المالك مساحة المحطة : 57.000 الف متر المحطة فئة ( أ )  كما تم بحمد الله استكمال جميع التصاريح الحكومية اللازمة للمشروع، بالإضافة إلى إعداد المخطط الهندسي الخاص بالمحطة، مما يختصر الوقت والإجراءات ويمنح المشروع جاهزية فورية للتنفيذ.</t>
  </si>
  <si>
    <t>تم ابلاغ مدير المحطة بمنع التدخين داخل دورات المياه والمرافق التابعة للمحطة واتخاذ الإجراءات اللازمة بحق المخالفين</t>
  </si>
  <si>
    <t>تدخين العمال</t>
  </si>
  <si>
    <t xml:space="preserve">سامي خالد </t>
  </si>
  <si>
    <t>نجد</t>
  </si>
  <si>
    <t xml:space="preserve">انحلت الخدمه </t>
  </si>
  <si>
    <t xml:space="preserve">الطايف موقع المحطه قبل تيرا ا بجوار النهدي لعميل مستاء - العامل تعدى عليه لفظا  ورفع صوته - طلب منه تعبئه البنزين فل طقه وحده وعباه ف دقيقه طقتين - 126 ريال شبكه -  الوقت الساعه 3||34 دقيقه - المسار الايسر من الوسط  معه سياره مازدا ابيض - د - ع - ب- 8-5-7-5 خلفه هايلوكس  </t>
  </si>
  <si>
    <t>ريحه الحمامات والمكان غير جييده ومافي ريحه حلوه 19:04:55 Tuesday, June 2, 2026</t>
  </si>
  <si>
    <t xml:space="preserve">تمت افادته وحل المشكله </t>
  </si>
  <si>
    <t>تم اخطار مدير المحطة بتعطير المكان 
تم التعرف على مصدر الرائحة وهي مواصير ارضيه 
ملاحظة انشائيه 
وتم ارفاق فديو للتوضيح</t>
  </si>
  <si>
    <t>Loly</t>
  </si>
  <si>
    <t xml:space="preserve">يستفسر عن طلب سابق </t>
  </si>
  <si>
    <t>لقيت وزغه فالحمام ومافي مسكات لرشاش المويه وريحة الحمام جثه لازم اهتمام حرام تعبتو فيها عالفاضي 18:13:20 Wednesday, June 3, 2026</t>
  </si>
  <si>
    <t xml:space="preserve">
أنشئ بواسطة: darb56@darbstations.com.sa
تاريخ الإنشاء: 11/05/2026 15:52
يوجد بلاغ قائم من شهر 
مسؤول الصيانة في منطقة جيزان غير متجاوب والاعذار غير مقنعه 
حيث طلب المرايه اكمل شهرين 
و الشطافات شهر 
سيتم التصعيد للمدير المباشر 
لايتوفر حاليا شطافات
مافي شطاقات
محتاج مرايا لحمام النساء ورجال ولازم اعمل عرض</t>
  </si>
  <si>
    <t xml:space="preserve">السلام عليكم
بس حصلي موقف مع العمال عندكم
عبيت بنزين اليوم الساعة ٤:٣٣ تقريبا بعد العصر حطلي العامل اللي تبع البنزين في السيارة وطلبت يعبي بخمسين وكان العداد يعد بعدين طلب المبلغ قلتلوا ما أتحرك المؤشر بعدين قلي معليش بالغلط ورجع عبى
المهم أنا ما ادري وش نيتو ولكن من باب العلم وشكرا 
درب جدة 
١٩-٥-٢٠٢٦
٤:٣٣م  - كيا سودا - سيارة الوالد ارجع ارسلكم رقم اللوحه - تم التواصل العميل فاد انسى ارسلكم لكن عموما هي ملاحظة مو شكوى  - تم التواصل لاكمال التفاصيل وابلغنا بانها ملاحظة لسلوك العامل وليست شكوى </t>
  </si>
  <si>
    <t>من افضل المحطات لاكن ماعندكم ناقط ولاء او مكافأة للعملاء تحسب له عند طلب الخدمه 09:40:37 Thursday, June 4, 2026</t>
  </si>
  <si>
    <t xml:space="preserve">طلب سابق وتم التواصل مع مشرف المحطه </t>
  </si>
  <si>
    <r>
      <rPr>
        <rFont val="Calibri"/>
        <b/>
        <color rgb="FF434343"/>
      </rPr>
      <t xml:space="preserve">عرض استثماري أرض تجارية مميزة شمال الرياض على طريق الثمامة (بعد إيكيا) ▫️ موقع استراتيجي عالي القيمة ▫️ على أربع شوارع ▫️ مساحة: 17,000 م² ▫️ قابلة لتطوير تجاري ضخم 📍 الموقع:brha
</t>
    </r>
    <r>
      <rPr>
        <rFont val="Calibri"/>
        <b/>
        <color rgb="FF1155CC"/>
        <u/>
      </rPr>
      <t>https://maps.app.goo.gl/pWqFAyNruowvvwmH8?g_st=iw</t>
    </r>
    <r>
      <rPr>
        <rFont val="Calibri"/>
        <b/>
        <color rgb="FF434343"/>
      </rPr>
      <t xml:space="preserve">   موقع رهيب جدا بس طالب فيها ايجار ثمانيه مليون
العقد ٢٠ سنه
فتره السماح سنه ونص - لم يرد العميل على الاتصال </t>
    </r>
  </si>
  <si>
    <t xml:space="preserve">يقول شارك بمسابقه باساله وجاوب و فاز بكوبون 100ريال من اربع شهور وولان محد اعطاه </t>
  </si>
  <si>
    <t>المصلى يبغاله كنيس، دورات المياه متهالكه والبيبان ماتنصك وغير نظيفه ترا مايكلف الديتول والمكانس وعامل راتبه الف ريال ينظفها كل يوم
تحياتي✋ 19:56:44 Wednesday, June 3, 2026</t>
  </si>
  <si>
    <t>تم التواصل مع مدير المحطة والتحقق من الملاحظات المذكوره
كما كان لدينا زيارة من قبل مدير التشغيل و مشرف التشغيل</t>
  </si>
  <si>
    <t xml:space="preserve">طريف </t>
  </si>
  <si>
    <t>NP130</t>
  </si>
  <si>
    <r>
      <rPr>
        <rFont val="Calibri"/>
        <color theme="1"/>
        <sz val="9.0"/>
      </rPr>
      <t xml:space="preserve">يفيد العميل بانه دفع كاش 19 وشبكه 19 الاجمالي 38 وعبى له العامل ب29 فقط بانزين اخضر سيارته صني ابيض رقمها 1507 الااربعاء 8:20 م </t>
    </r>
    <r>
      <rPr>
        <rFont val="Calibri"/>
        <color rgb="FFFF9900"/>
        <sz val="9.0"/>
      </rPr>
      <t>-تم التواصل مع العميل وابلاغه بتعويضه بقيمة 30 ريال وتم مروره على المحطة</t>
    </r>
  </si>
  <si>
    <t>تم التواصل مع المالك وأكد انه العمال  لسا بمرحلة تدرب عندهم مشكلة تواصل -واتفقنا بالاجتماع انه حيتم حل الموضوع من قبلكم</t>
  </si>
  <si>
    <t xml:space="preserve">اليه التقديم ومتى الرد </t>
  </si>
  <si>
    <t>نادر عبدالله الحربي</t>
  </si>
  <si>
    <t>2500م أرض - الرخصة تحت الانشاء حفرالباطن - على 3 شوارع 0505944629 - عبدالله الحربي</t>
  </si>
  <si>
    <t xml:space="preserve">يرغب العميل باستاجار مستودع بمكه محطه النواريه بصفه مالك </t>
  </si>
  <si>
    <t>الجنوبية</t>
  </si>
  <si>
    <t xml:space="preserve">تغيير زيت عندكم ؟ </t>
  </si>
  <si>
    <t xml:space="preserve">تمت الافاده بانهم شركاء مستأجرين </t>
  </si>
  <si>
    <t>مواد غذائية لديه 6 فروع كبار شركة جوهرة المجد المالك - مطاعم 3 مطاعم - يرسل رسالة واتس اب قيل</t>
  </si>
  <si>
    <t>استفسار عن طلب سابق</t>
  </si>
  <si>
    <t>عبدالرحمن حسين فقيه</t>
  </si>
  <si>
    <t xml:space="preserve">2026-05-19 06:18:21 PM UTC+03:00- لم يتم الرد </t>
  </si>
  <si>
    <t xml:space="preserve">12000م - أرض - مالها رخصة - المالك </t>
  </si>
  <si>
    <t xml:space="preserve">توفر جركل </t>
  </si>
  <si>
    <t>عدنان</t>
  </si>
  <si>
    <t xml:space="preserve"> Description of investment (land or station): Al Riyadh
Area: Riyadh
Location: Riyadh
Has a station building license:
Details of your inquiry: details and location for Darb Office Riyadh   </t>
  </si>
  <si>
    <t>ابراهيم عبدالعزيز</t>
  </si>
  <si>
    <t xml:space="preserve">احمد عطيه </t>
  </si>
  <si>
    <t>ضيع محفظته بالمحطه يوم الخميس 2يوليو بعد الظهر ويبغا يتاكد لو احد شالها له</t>
  </si>
  <si>
    <t xml:space="preserve">  تم التواصل لم يتم ايجادها</t>
  </si>
  <si>
    <t xml:space="preserve">سيء رائحه كريهه -Tuesday, May 19, 2026 </t>
  </si>
  <si>
    <t>مفقودات</t>
  </si>
  <si>
    <t>بسبب ازدحام المحطة الدائم - مع هيك قمنا بتنبيههم وتم ارسال صور لنظافةدورات المياه</t>
  </si>
  <si>
    <t>علي المري</t>
  </si>
  <si>
    <t xml:space="preserve">يسال عن رقم البنشر بالمحطه ووضحت له انه مستأجر فقط </t>
  </si>
  <si>
    <t xml:space="preserve">المجاردة </t>
  </si>
  <si>
    <t>10.000 م - لا يوجد رخصة يوجد صكين - المالك ( المالك 505647837)</t>
  </si>
  <si>
    <t>الرجاء توفير عامل نظافة لنظافة دورات المياه بستمرار
 بذات في الويكند 03:59:28 Friday, April 17, 2026</t>
  </si>
  <si>
    <t xml:space="preserve">تواصل بالواتس اب وماعطانا معلومات كافيه </t>
  </si>
  <si>
    <t xml:space="preserve">تم تسجيل الملاحظة </t>
  </si>
  <si>
    <t>سلطان العبيد</t>
  </si>
  <si>
    <t xml:space="preserve">يرغب بايجار محل بصفه مالك </t>
  </si>
  <si>
    <t>صاحب محطة  جوهرة في الهدا اعرض محطتي 1700م لازالت شركة الدريس حاليا</t>
  </si>
  <si>
    <t xml:space="preserve">مؤوسسة خدمات بيئية </t>
  </si>
  <si>
    <t xml:space="preserve">فراس </t>
  </si>
  <si>
    <t xml:space="preserve">محل - اول فرع - مغسلة </t>
  </si>
  <si>
    <t>كثرو عمال 13:00:05 Friday, April 17, 2026</t>
  </si>
  <si>
    <t xml:space="preserve">تحدثنا مع المختص بتوزيع العمال وافاد ان العدد مناسب بالنسبة للمبيعات </t>
  </si>
  <si>
    <t xml:space="preserve"> NJ219 </t>
  </si>
  <si>
    <r>
      <rPr>
        <rFont val="Calibri"/>
        <color theme="1"/>
        <sz val="9.0"/>
      </rPr>
      <t>طلب من العامل يعبي له احمر وعبا له اخضر الخميس 3:50 العصر 9يوليو سيارته هايلكس سالته رقم اللوحه ماعرف</t>
    </r>
    <r>
      <rPr>
        <rFont val="Calibri"/>
        <color rgb="FFFF9900"/>
        <sz val="9.0"/>
      </rPr>
      <t xml:space="preserve"> -تفهم العميل الاجراء المتخذ</t>
    </r>
  </si>
  <si>
    <t>وظيفة مو ذوي الاحتياجات الخاصة</t>
  </si>
  <si>
    <t xml:space="preserve">شاكر </t>
  </si>
  <si>
    <t>Ss</t>
  </si>
  <si>
    <t xml:space="preserve"> MD009</t>
  </si>
  <si>
    <r>
      <rPr>
        <rFont val="Calibri"/>
        <color theme="1"/>
        <sz val="9.0"/>
      </rPr>
      <t>يفيد العميل بان وقف عند المضخه الاولى وقال تعال اخر المسار وكان التانكي مفتوح الخميس الساعه 4:08العصر  سيارته لكززس 1614</t>
    </r>
    <r>
      <rPr>
        <rFont val="Calibri"/>
        <color rgb="FFFF9900"/>
        <sz val="9.0"/>
      </rPr>
      <t>- تم التواصل مع العميل وافاد ان الرقم غلط وتم التحقق من الرقم وهو نفسه اللي استقبلنا الشكوى منه</t>
    </r>
  </si>
  <si>
    <t>المصلى غير نظيف جدا ودورات المياه ايضا غير نظيفة وفيها حشرات</t>
  </si>
  <si>
    <t xml:space="preserve">التواصل وافاد مدير المنطقة على التنويه و التحريص على مدراء المنطقة  ويسال الله ان تكون اخر ملاحظة على النظافة </t>
  </si>
  <si>
    <t xml:space="preserve">امين </t>
  </si>
  <si>
    <t xml:space="preserve"> MK100</t>
  </si>
  <si>
    <r>
      <rPr>
        <rFont val="Calibri"/>
        <color theme="1"/>
        <sz val="9.0"/>
      </rPr>
      <t xml:space="preserve">يفيد العميل بانه عبا من المحطه ب10 ريال وسحب منه 30 ريال شبكه الساعه 3:45العصر بمر المحطة وافيدكم </t>
    </r>
    <r>
      <rPr>
        <rFont val="Calibri"/>
        <color rgb="FFFF9900"/>
        <sz val="9.0"/>
      </rPr>
      <t xml:space="preserve"> -العميل يفيد راحت للمحطة والعامل عبى ب30 وسحب 30 منه</t>
    </r>
  </si>
  <si>
    <t xml:space="preserve">ارض خام على وشك يطلع رخصة - المالك على طريق الملك عبدالعزيز امام محطة درب والدريس </t>
  </si>
  <si>
    <t>الحمامات غير نظيفه  18:08:37 Saturday, April 18, 2026</t>
  </si>
  <si>
    <t xml:space="preserve">شهد الحمام كثافة زوار مما نتج  الى ظهور بعض الملاحظات لقرب الصلاه </t>
  </si>
  <si>
    <t>سعد المالكي</t>
  </si>
  <si>
    <r>
      <rPr>
        <rFont val="Calibri"/>
        <color theme="1"/>
        <sz val="9.0"/>
      </rPr>
      <t>محطة درب طريق السيل قبل تفتيش سبوحه 1448/1/26 4:04 مساء عندي شكوى برفعها لاحد محطاتكم
انا عندي مولد كهرباء ولازم اعبيه ديزل بالجوالين يوم اجي محطة درب يقولي ممنوع ولكن يوم يجيهم اجنبي يعبون له عادي وعندي تصوير لذلك قام العامل بتعبئة جالون بنزين للباكستاني هذا فلماذا يقولون ممنوع ولكن للاجنبي يعبون له مباشره وبإمكانكم الاطلاع على تسجيل الكاميرات في تمام الساعة 4:00 مساء يوم السبت الموافق 1448/1/26 -</t>
    </r>
    <r>
      <rPr>
        <rFont val="Calibri"/>
        <color rgb="FFFF6D01"/>
        <sz val="9.0"/>
      </rPr>
      <t xml:space="preserve"> تم التواصل عبر الاتصال, نسعدك لخدمتك وشكرا على تواصلك
درب سالم 🧡 - شكرنا وكان راضي على الخدمة </t>
    </r>
  </si>
  <si>
    <t>تم إبلاغ مدير المحطة  بمضمون الشكوى ومراجعة تسجيل الكاميرات للتحقق من مخالفة العامل بتعبئة عبوة وتوجيه انذار لعدم التعبئه في جالون مخصص  مع التشديد على جميع عمال المحطة بتطبيق تعليمات السلامة بشكل موحد على جميع العملاء دون استثناء أو تمييز.</t>
  </si>
  <si>
    <t xml:space="preserve">وسام عبدالله </t>
  </si>
  <si>
    <t>الاستفسار:هل يوجد عند البنشري فحص كمبويتر؟</t>
  </si>
  <si>
    <t xml:space="preserve"> يوم الثلاثاء الساعه 7:40  مساء  دفع شبكه بمبلغ 50 ريال والعامل سحب مرتين  كان بالمسار الاوسط معه سياره النترا رصاصي اللوحه س-ب-ح  4058- العميل يرغب بالتحقق وتحويل المبلغ - تم التواصل للتوضيح لا يوجد رد</t>
  </si>
  <si>
    <t>عبدالبصير عبدالحي</t>
  </si>
  <si>
    <t>الاستفسار : بسيط لو سمحت ابغ اتاكد لديكم تطبيق خاص فيكم للجوال زي بعض المحطات الثانيه او لا</t>
  </si>
  <si>
    <t xml:space="preserve">الحربي </t>
  </si>
  <si>
    <t>كشك قهوة - توس كافي</t>
  </si>
  <si>
    <t xml:space="preserve">الشرقيه الخفجي </t>
  </si>
  <si>
    <t xml:space="preserve">عرض مظلات مساحه  500 - مستثمر -ول مره </t>
  </si>
  <si>
    <t xml:space="preserve">لأرض حالياً فضاء ولا توجد عليها رخصة. وبإمكاننا إصدار رخصة محطة وقود من خلال مكتبنا وفق الأنظمة والإجراءات المتبعة.
علماً بأن مساحة الأرض الفعلية تبلغ 6,682 متر²، 
والإيجار المطلوب 300 ريال للمتر سنوياً.
نسأل الله التوفيق للجميع. - خامس مره يرفع الطلب  من الشهر الماضي </t>
  </si>
  <si>
    <t>عماد</t>
  </si>
  <si>
    <t>هيا</t>
  </si>
  <si>
    <t>أرض - الوكيل - مالها رخصة - 3600م</t>
  </si>
  <si>
    <t>يعقوب فؤاد</t>
  </si>
  <si>
    <t>لو سمحت ممكن رقم البقاله اللي موجوده في المحطه</t>
  </si>
  <si>
    <t xml:space="preserve">ولي العهد - محل صيانة سيارات -  اكثر من فرع </t>
  </si>
  <si>
    <t>رقم الشركاء</t>
  </si>
  <si>
    <t>حمد ضيف الله</t>
  </si>
  <si>
    <t>محطة تحت التنفيذ - 6الاف - اليوم اخر يوم او بكرا ياليت يتواصل بسرعه</t>
  </si>
  <si>
    <t>ابو طلال</t>
  </si>
  <si>
    <t>نحن مؤسسة متخصصه في اكسسوارات التدخين لها اكثر من 50 سنه في السوق</t>
  </si>
  <si>
    <t>طارق محمد</t>
  </si>
  <si>
    <t>االقصيم</t>
  </si>
  <si>
    <t>استثمار محطه بصفه مالك</t>
  </si>
  <si>
    <t>لديه محطة بس متعاقد مع شركة ولديه موقع يبي يستفسر اكثر عن الاستثمار</t>
  </si>
  <si>
    <t xml:space="preserve">الحدريا - ديوانية وبوفيه 4 فروع - 6 بوفيات </t>
  </si>
  <si>
    <r>
      <rPr>
        <rFont val="Calibri"/>
        <b/>
        <color rgb="FF434343"/>
      </rPr>
      <t xml:space="preserve">اقدم لكم ارض لللبيع مساحه 11086 م 2 دخل جدة من الشمال حي الغربيه  لا يوجد عليها رخص محطة  السعر 2200 ريال للمتر قابل للتفاوض 
 الموقع 
</t>
    </r>
    <r>
      <rPr>
        <rFont val="Calibri"/>
        <b/>
        <color rgb="FF1155CC"/>
        <u/>
      </rPr>
      <t>https://maps.app.goo.gl/HGLPQkUS3ovAQBxr7</t>
    </r>
    <r>
      <rPr>
        <rFont val="Calibri"/>
        <b/>
        <color rgb="FF434343"/>
      </rPr>
      <t xml:space="preserve">
</t>
    </r>
  </si>
  <si>
    <t>mk040</t>
  </si>
  <si>
    <r>
      <rPr>
        <rFont val="Calibri"/>
        <color theme="1"/>
        <sz val="9.0"/>
      </rPr>
      <t>انا مستأجر التموينات في محطة الروضة والكهربا مو شغاله عندي</t>
    </r>
    <r>
      <rPr>
        <rFont val="Calibri"/>
        <color rgb="FFFF9900"/>
        <sz val="9.0"/>
      </rPr>
      <t xml:space="preserve"> -تم التواصل مع العميل وتزويده برقم المسؤول احمد الثبيت </t>
    </r>
  </si>
  <si>
    <t xml:space="preserve">تم ارسال ايميل لادارة العقار والرد بحل الاشكالية </t>
  </si>
  <si>
    <t>تعبئة منتج خطأ</t>
  </si>
  <si>
    <t xml:space="preserve">   RY106</t>
  </si>
  <si>
    <t xml:space="preserve">   عامل البنزين تعامله سيء وغير كذا مادري المحطه تشتغل غير نظاميه لان هاذي ثالث مرا اجيهم واطلبهم فاتوره يتغير اسلوبه ويسفهني ويروحلسبت، 11 يوليو 2026 في 01:12 ص</t>
  </si>
  <si>
    <t>تم تنبيه المشرف على تحسين اسلوب العمال</t>
  </si>
  <si>
    <t xml:space="preserve">محمد حسين </t>
  </si>
  <si>
    <t>محمد شعبان</t>
  </si>
  <si>
    <t xml:space="preserve"> AS153</t>
  </si>
  <si>
    <t xml:space="preserve">  محطة سيئاء والعمال فيهم عباطه ويكلمك من طرف خشم   
السبت، 11 يوليو 2026 في 02:20 ص</t>
  </si>
  <si>
    <t>مع حضرتك م. من مكتب تقنية البيئة الخليجية للاستشارات البيئية كمكتب مختص بالتصاريح البيئية للمنشأت والمصانع والمحاجر ونحن متواجدين في الرياض في حي الربوة من اكثر من 10 سنوات وتم انجاز اكثر من مشاريع في الفتره دي مثل محطات الدريس ودواجن الوطنية و شركه ارامكو وده بروفايل الشركة حقنا ونتمني يكون فيه بينا تعاون الفتره القادمة</t>
  </si>
  <si>
    <t xml:space="preserve"> مجمع طريق صبيا مساحه  7000 الاف - المستاجر </t>
  </si>
  <si>
    <t>نجوى</t>
  </si>
  <si>
    <t xml:space="preserve">خليص </t>
  </si>
  <si>
    <t xml:space="preserve">  لنشاط التجاري: كوفي
تفاصيل استفسارك: بكم ايجار مساحة مربع كوفي شباك</t>
  </si>
  <si>
    <t>خالد عيدان الغامدي</t>
  </si>
  <si>
    <t xml:space="preserve">محمد القحطاني </t>
  </si>
  <si>
    <t xml:space="preserve"> مغسلة سيارات لم يتحدد عدد الفروع: لايوجد المدينة: مكة جبل النور تفاصيل استفسارك: السلام عليكم،  أرغب في استئجار المساحة المتاحة لديكم في بنشر مركز المصموم بجبل النور (شارع سرحان) لافتتاح مغسلة سيارات. أرجو تزويدي بتفاصيل الإيجار في حال كانت المساحة متاحة</t>
  </si>
  <si>
    <t xml:space="preserve">خيس مشيط </t>
  </si>
  <si>
    <t>حسام الصبحي</t>
  </si>
  <si>
    <t xml:space="preserve">عرض مجمع جاهز-مساحه70 -100- المالك </t>
  </si>
  <si>
    <t xml:space="preserve"> مغسلة سيارات مغسلة 
</t>
  </si>
  <si>
    <t>Ssm</t>
  </si>
  <si>
    <t>لولوه</t>
  </si>
  <si>
    <t xml:space="preserve">نجمه وحده كثيره المسجد روائح كريهه والفرش متسخ
تم التحرير في 7 يونيو 2026
</t>
  </si>
  <si>
    <t xml:space="preserve"> هل عندكم فرع في الدمام؟</t>
  </si>
  <si>
    <t xml:space="preserve">متابعة الطلب لدى قسم المشتريات 
961 رقم الطلب 
في الانتظار </t>
  </si>
  <si>
    <t xml:space="preserve">جيزان </t>
  </si>
  <si>
    <t xml:space="preserve"> يقترح انشاء محطه في طريق المضايه الى الشقيق في جيزان </t>
  </si>
  <si>
    <t xml:space="preserve">عامر </t>
  </si>
  <si>
    <t>تركي لايف</t>
  </si>
  <si>
    <r>
      <rPr>
        <rFont val="Calibri"/>
        <color theme="1"/>
        <sz val="9.0"/>
      </rPr>
      <t xml:space="preserve"> شكوى بخصوص ان العمال  راحو دوره المياه وباقي واحد بالمحطه وصافين طابور والسير واقف يقول  للعامل لليمين تعال عبي للليسار يقول لا  الساعه 4:58م سيارته جيب مازدا رصاصي</t>
    </r>
    <r>
      <rPr>
        <rFont val="Calibri"/>
        <color rgb="FFFF9900"/>
        <sz val="9.0"/>
      </rPr>
      <t xml:space="preserve"> -تم التواصل والاعتذار من العميل </t>
    </r>
  </si>
  <si>
    <t xml:space="preserve">
سيى جدا محطه عبيت 15 ريال احمر مشتني 48 كيلو محطه اخرى 10 ريال مشتني 44 كيلو وبعدين يعبون بسرعه مافي فايده بنزين يستهلك اكثر تانكي كامل 600 كيلو محطات اخرى 650 كيلو براحه7 يونيو 2026
</t>
  </si>
  <si>
    <t xml:space="preserve">تم ابلاغ مدي المحطه للأبلاغ عن اي مشاكل في المضخات وتقييسها وننوه  إلى أن استهلاك الوقود يختلف من مركبة لأخرى بحسب عدة عوامل مثل أسلوب القيادة وحالة المركبة والطرق المستخدمة والازدحام المروري </t>
  </si>
  <si>
    <t xml:space="preserve">استفسار عن خدمات الشركاء </t>
  </si>
  <si>
    <t xml:space="preserve">  صالح عبدالله</t>
  </si>
  <si>
    <t xml:space="preserve">  عندي محطه بنزين مع المحلات ابغا ااجره</t>
  </si>
  <si>
    <t>Hani Rajab</t>
  </si>
  <si>
    <t xml:space="preserve">شكرًا على ردك وتقديرك لتعليقات العملاء. هذا يعكس التزامك بالتحسين المستمر.قييمي بثلاث نجوم لم يكن نقدًا، بل تعبيرًا عن أملي في رؤية تجرب أفضل، حيث أؤمن أن محطة درب لديها القدرة على الوصول إلى أعلى المعايير. آمل أن أرى اهتمامًا أكبر بجودة الخدمة، والتفاصيل، والتجربة العامة للعملاء.الى الزيارة مرة أخرى، وآمل أن تحصل تجربتي القادمة على تقييم كامل من خمس نجوم.تم التحرير في 7 يونيو 2026
</t>
  </si>
  <si>
    <t>onlysanad</t>
  </si>
  <si>
    <t>عمار</t>
  </si>
  <si>
    <t xml:space="preserve"> MK001</t>
  </si>
  <si>
    <t xml:space="preserve">ضيع مبلغ بالسوبر ماركت </t>
  </si>
  <si>
    <t xml:space="preserve"> بكم عندكم خدمة غسيل سيارة خارجي</t>
  </si>
  <si>
    <t>سعد فف</t>
  </si>
  <si>
    <t xml:space="preserve">محطه سيئه جدا وصلت اعبي وبنزيمي بيخلص قلت عبي قال اسف خلص داومي ثلاث عمال كلهم مارضو يعبون
 7 يونيو 2026
</t>
  </si>
  <si>
    <t>الحاله هذه تحدث نادرا في حال بطء النت في كاش ان وقد تم التأكيد على العاملين بضرورة إبلاغ العملاء بأي تأخير ناتج عن النظام بشكل واضح ومهن</t>
  </si>
  <si>
    <t xml:space="preserve">عنده منتجات سيارات </t>
  </si>
  <si>
    <t xml:space="preserve">Kholod </t>
  </si>
  <si>
    <t>هل يوجد توصيل 🚚</t>
  </si>
  <si>
    <t>اياد</t>
  </si>
  <si>
    <t xml:space="preserve">  JA041</t>
  </si>
  <si>
    <t>na ked</t>
  </si>
  <si>
    <r>
      <rPr>
        <rFont val="Calibri"/>
        <color theme="1"/>
        <sz val="9.0"/>
      </rPr>
      <t xml:space="preserve">يفيد العميل بانه جا يعبي ومعاه 50 ريال كاش وكان يبغا يعبي بال30 وياخذ 20 ويكمل الباقي شبكه والعامل طنشه واخذ 50 وعبى له يوم الاحد الساعه 9:25 ص </t>
    </r>
    <r>
      <rPr>
        <rFont val="Calibri"/>
        <color rgb="FFFF9900"/>
        <sz val="9.0"/>
      </rPr>
      <t xml:space="preserve">تم التواصل مرتين مغلق </t>
    </r>
  </si>
  <si>
    <t>لسلام عليكم ورحمة الله وبركاته جيت الساعه 5 وصفيت مع السياره الى الساعه 6:40 دقيقه يعني اكثر من ساعه ونص ونا واقف بل نهاية يجي العسكري يطلعني ياخي مايصلح زي كذا جاي من مسافه عشان اعبي بل نهاية يصير زي كذا</t>
  </si>
  <si>
    <t xml:space="preserve">جده قبل الساريه لولو ماركت - العميل رفض التزويد ببياناته واستدعى الشرطه ويطلب التكلم مع المسؤؤل   - تم محاوله الاتصال ثلاث مرات عليه لكن جواله مغلق </t>
  </si>
  <si>
    <t xml:space="preserve">تم الاتصال واالعميل تمت خدمته </t>
  </si>
  <si>
    <t>Taym Khormi</t>
  </si>
  <si>
    <t xml:space="preserve">تجربة سيئة 👎🏻6 يونيو 2026
</t>
  </si>
  <si>
    <t xml:space="preserve">تم ابلاغ مدير المحطة لمراجعة مستوى الخدمة والعمل على تحسين تجربة العملاءفي روابي جيزان </t>
  </si>
  <si>
    <t xml:space="preserve">عبدالله الشريف
</t>
  </si>
  <si>
    <t xml:space="preserve">تم التواصل والعميل تمت خدمته </t>
  </si>
  <si>
    <t>تخيلو جيت اغسل سيارتي من برا سالته بكم قال ٢٥ وقلت له كامل ٣٠ وسالته لي الارتفاع علماً باني ما اغسل إلا عندهم اجاب الوايتات ارتفع سعرها واحنا نرفع الأسعار للاسف اول مره أشوف هاذي الظاهره وين حماية المستهلك عنهم يعني لا فيه حماية للأسعار ولا فيه احترام للأسعار الثابته عندهl</t>
  </si>
  <si>
    <t xml:space="preserve">                     </t>
  </si>
  <si>
    <t xml:space="preserve">ريان الحارثي
</t>
  </si>
  <si>
    <t xml:space="preserve">عمال جالسين بس يسولفون متكين عن طرمبه وحده 6 يونيو 2026
</t>
  </si>
  <si>
    <t>تم رفع الملاحظة لإدارة المحطة للتحقق من الواقعة والتأكد من التزام العاملين بأداء مهامهم وخدمة العملاء بالشكل المطلوب وعدم الانشغال بما يؤثر على سرعة وجودة الخدمة</t>
  </si>
  <si>
    <t xml:space="preserve">تم الاتصال والعميل لايرد </t>
  </si>
  <si>
    <t xml:space="preserve">اتمنئ يشوفون حل للكفي جونيت يعني ما اقدر اغير زيت ولا اعبي بنزين ولا حتئ البقاله اتمنئ تشوفون حل يعني مو معقوله ابي بقاله أوقف برا المحطه
</t>
  </si>
  <si>
    <t>محمد D</t>
  </si>
  <si>
    <t xml:space="preserve">تم الاتصال  وتقول ماتصلت </t>
  </si>
  <si>
    <t>عيب والله مايصير اتعنى من مسافه بعيده و انتضر مع الصف ب النهايه يطلعوني ومايخلوني اعبي ومتعني من مسافه بعيده ومنتظر ب الطابور و اكلم العسكري يقلي ممنوع  تدخل الله يسامحكم بس وحسافه على المشوار ومنتظر من 3:30 العصر وكذا ب النهايه  6 يونيو 2026</t>
  </si>
  <si>
    <t>منذر ال غانم</t>
  </si>
  <si>
    <t>مغسلة سيارات
القطيف او تاروت
احتاج الى استأجر مغسلة</t>
  </si>
  <si>
    <t>حامد</t>
  </si>
  <si>
    <r>
      <rPr>
        <rFont val="Calibri"/>
        <color rgb="FF000000"/>
        <sz val="9.0"/>
      </rPr>
      <t xml:space="preserve">يفيد العميل بانه جا المحطه الاحد الساعه 6:06 الصباح وجا يعبي بنزين وكان يبي يشوف الامبير طالع جا العامل قال انزل شوف ويتلفظ عليه ومو منتبه يتفرج على مباراه مو مركز مع العميل وعنده فديو اثبات سيارته جيب ابيض 2003 </t>
    </r>
    <r>
      <rPr>
        <rFont val="Calibri"/>
        <color rgb="FFFF9900"/>
        <sz val="9.0"/>
      </rPr>
      <t xml:space="preserve"> - تم ارسال فديو لا يوجد اي صحه لكلام العميل وتم تواصل المشرف مع العميل لحل الاشكالية </t>
    </r>
  </si>
  <si>
    <t>Big Bone</t>
  </si>
  <si>
    <t xml:space="preserve">
المحطة اكثر من مره اجيهم ووقت تخلص تعبي بانزين ويجي الحساب يقول الفيزا او الماستركارد مو شغاله وصاحب المحطة موقفها ومانع السداد بالفيزا والشيء هذا يعتبر مخالف كيف يجبرك تدفع كاش او بطاقة مدى طيب اللي ماعنده كاش ايش يسوي وليه مو من البداية العامل ينبه ان الفيزا مو شغاله بالمحطة!! 6 يونيو 2026
</t>
  </si>
  <si>
    <t xml:space="preserve">ايجار درايف ثرو بصفه وكيل </t>
  </si>
  <si>
    <t xml:space="preserve">جده- محل -المالك-اول مره -محافظ استثماريه </t>
  </si>
  <si>
    <t>al5ain</t>
  </si>
  <si>
    <t xml:space="preserve">مكتب استشاري لديه محطات وحده على الطريق السرع بمساحه 9500م ومحطه اخرى بمساحه 1600م  جميعها عليها رخص </t>
  </si>
  <si>
    <t>جيت عبيت وسئلت العامل عن العرض يقولي ايوه انت يجي عشان بلاش ايش الاستفزاز هذا اتمنى انه يكون فيه رقابة على العمال وطريقة تعاملهم واسلوبهم اذا حابين تكسبون زباين 6 يونيو 2026</t>
  </si>
  <si>
    <t xml:space="preserve">عماد الحربي </t>
  </si>
  <si>
    <t xml:space="preserve">لديه محطه على طريق مكه المدينه مساحه فوق 80 متر يرغب بعرضها بصفه وكيل </t>
  </si>
  <si>
    <t xml:space="preserve">هيفاء </t>
  </si>
  <si>
    <t xml:space="preserve">سلام عليكم جيت الساعه ٣ ونص ووقفت عشان العرض وتفاجأت من المرور قال لي ممنوع خلاص بنطلعهم وانا جايه من بعيد ومتعنيه وسيارتي بتطفي 6 يونيو 2026
</t>
  </si>
  <si>
    <t xml:space="preserve">الشرقية </t>
  </si>
  <si>
    <t xml:space="preserve">مستشارة تطوير لديها ارض بمساحة 10.000 م عليها رخصة في الشرقية على طريق الجبيل وترغب بالتواصل لاهتمامها الشديد بالتعاون مع درب  لدي علاقها مع ادنوك واينوك ولكن لفتها الاهتمام درب بالتفاصيل وترغب بالتواصل </t>
  </si>
  <si>
    <t xml:space="preserve">يرغب بعرض بنشر سيارات </t>
  </si>
  <si>
    <t>Aymen Abdallah</t>
  </si>
  <si>
    <t xml:space="preserve">من بنك الامارات حاب يعرض خدماته الماليه </t>
  </si>
  <si>
    <t xml:space="preserve">رحت اعبي جا لبالي اسال على العرض متى منشان ارسل لاخوياني تفاجأت بالعامل يتكللم معي بطريقة تعالي تحبون ببلاش انتم فحذفت الرسالة و قتله خلاص ماعاد بدي اعبي و رحت لمحطة ثانية ياليت تجيبو ناس تعرف تحكي مع الزباين  6 يونيو 2026
</t>
  </si>
  <si>
    <t>محمد العامودي</t>
  </si>
  <si>
    <t>مغسلة سيارات - لا يوجد فروع - المالك</t>
  </si>
  <si>
    <t>محطة بمساحة 10الاف متر مرخصة - وكيل</t>
  </si>
  <si>
    <t>K2030 K</t>
  </si>
  <si>
    <t xml:space="preserve">جيت  بعبي وسالت عن العرض وليتني ماسالت اخلاق العامل الله لا يوريك يقول تبي بلاش انت احرجني ومعي اهلي احرجني والله وبسلوب تريقه يقوله بعد عشان بس سالت اذا العرض فيه او لا وكنت ناوي اعبي بكل الحالات ومشيت ولا عبيت ولا راح اعبي من عندهم مره ثانيه العرض ترا يوم والزبون دايم كل يوم والخط مليان محطات بس ياليت تعطونهم دورات باسلوب الردوشكرا... تم التحرير في 6 يونيو 2026
</t>
  </si>
  <si>
    <t>علي القرني</t>
  </si>
  <si>
    <t xml:space="preserve"> عندي موقع ف المنطقه الجنوبيه -  مدينة سبت العلايا
ع الطريق السياحي العام الرابط بين ابها والطايف 
المحطه تعمل الان وفي مساحه حوالي ٣ الاف متر 
ارغب ف تاجير الموقع لمحطتكم ​​​​​​​​​​​​
</t>
  </si>
  <si>
    <t>طراد الزايدي</t>
  </si>
  <si>
    <t xml:space="preserve">تواصل الشريك يشتكي تم سحب قيمة البنزين مرتين من حسابه  يريد استرجاع مبلغة 
بمبلغ 50 ريال نوع البنزين: 91
العملية جاته مرفوضة وتحقق من البنك يقول مقبولة - مرفق الايصال </t>
  </si>
  <si>
    <t xml:space="preserve">افادته حسب توجيهات البنك المركزي يتم رفع شكوى للبنك المعني وافادته بالايصال وان الشركة تقر ان العميلة متكرر وحتى يتم مخاطبة البنك لقسم المالية وامكانية عكس المبلغ للعميل وذلك يكون التعامل مع البنك والشركه ويمنع تحويلها او دفعها كاش للعميل رتب </t>
  </si>
  <si>
    <t>مشاري المالكي</t>
  </si>
  <si>
    <r>
      <rPr>
        <rFont val="Calibri"/>
        <b/>
        <color rgb="FF131825"/>
        <sz val="9.0"/>
      </rPr>
      <t xml:space="preserve">المحطة كويسة وممتازة ولكن الطرمبة رقم 10B عطلانة
او يسرقون منها لكن سيارتي ٥٠ لتر حرفيا عبى لي 67 لتر لحد يعبي في الطرمبة 10B
8 يونيو 2026
</t>
    </r>
    <r>
      <rPr>
        <rFont val="Calibri"/>
        <b/>
        <color rgb="FFFF9900"/>
        <sz val="9.0"/>
      </rPr>
      <t xml:space="preserve">-مرفق تقييس </t>
    </r>
  </si>
  <si>
    <t xml:space="preserve">يرغب بعرض محطه بمساحه 2200م /وكيل </t>
  </si>
  <si>
    <t xml:space="preserve">تم إحالةالشكوى  إلى فريق الصيانة والتقييس للتحقق من سلامةالمضخه واعادة تقييس كل المضخات وتم ارسال تقرير التقييس في قروب الوتس </t>
  </si>
  <si>
    <t>طلب غير مكتمل  هل يوجد تأجير بالباطن للمجمع الجديد في محايل عسير
عندي عدد من الاشخاص المهتمين في الدخول بالاستثمار بالباطن</t>
  </si>
  <si>
    <t>محطة يبي ياجرها  0532470019</t>
  </si>
  <si>
    <t>أنا عبيت ب darb co ابغى اعرف ايت محطة</t>
  </si>
  <si>
    <t xml:space="preserve">        ناصر ابو بكر</t>
  </si>
  <si>
    <t>حياك الله في درب
لا يمكن معرفة المحطة من أسم السحب, اذا ممكن تزودنا بموقعها من قوقل ماب عشان نقدر نساعدك - لم يتم الرد</t>
  </si>
  <si>
    <t xml:space="preserve">ثاني  فرع مغسلة سيارات في جدة </t>
  </si>
  <si>
    <t>عادل احمد</t>
  </si>
  <si>
    <t>محل بنشر ومغسلة - عنده فرعين - المالك</t>
  </si>
  <si>
    <t>فهيد الشمري</t>
  </si>
  <si>
    <t>كم عدد محطات درب</t>
  </si>
  <si>
    <t>عبدالرمم بمكمم</t>
  </si>
  <si>
    <t xml:space="preserve">شوفو حل لعمال المحطه فيهم برود ماهو طبيعييييي
4 يونيو 2026
</t>
  </si>
  <si>
    <t xml:space="preserve">طريق  مكه  الرياض -تموينات </t>
  </si>
  <si>
    <t>السلام عليكم ورحمه الله وبركاته بخصوص الوظائف الشاغرة اتشرف بتقديم السيرة الذاتية</t>
  </si>
  <si>
    <t>تم مناقشة البطء  في الخدمةمع مدير المحطة للتأكيد عليهم بضرورة سرعة الاستجابة للعملاء وتقديم الخدمة بكفاءة واهتمام</t>
  </si>
  <si>
    <t>خليل</t>
  </si>
  <si>
    <t>قلت للعامل أن يدخلني في خصم الكفرات وقال لي غير موجود</t>
  </si>
  <si>
    <t>سالم اللافي</t>
  </si>
  <si>
    <t xml:space="preserve">المحطه تطلب دفع مقدم وبعدين تبدا تعبي مدري ليش النظام هاذا
5 يونيو 2026
</t>
  </si>
  <si>
    <t>شركة اي ام قولدن لاندز للعقارات</t>
  </si>
  <si>
    <t>محطة المساحة:1091.20 الموقع:شارع ابها (بيشة) لها رخصة بناء محطة:نعم يوجد</t>
  </si>
  <si>
    <t>wed alzahrani</t>
  </si>
  <si>
    <t xml:space="preserve">دورات المياة قذرة جداً لو الشخص ما كان مضطر مستحيل يدخلها الرجاء العناية فيها اكثر خصوصاً دورات مياة النساء
5 يونيو 2026
</t>
  </si>
  <si>
    <t xml:space="preserve">تم زيارة المحطة بتاريخ 
17 يونيو  2026
وتم التحقق و التنويه على ضرورة الاللتزام </t>
  </si>
  <si>
    <t xml:space="preserve">حسين محسن المالكي </t>
  </si>
  <si>
    <t>نوف</t>
  </si>
  <si>
    <t xml:space="preserve">درايف ثرو- محل - المالك - اول مره </t>
  </si>
  <si>
    <t>رنا</t>
  </si>
  <si>
    <t>هشام</t>
  </si>
  <si>
    <t xml:space="preserve">2026-05-23 11:38:29 AM UTC+03:00-درب الوطن </t>
  </si>
  <si>
    <t xml:space="preserve">العامل يقول المحطه مافيها فيزا ولا ماستر وصاحب المحطة مانع الدفع بالفيزا سلامات ايش الكلام هذا !!!!
Saturday, June 6, 2026  18:51:19 </t>
  </si>
  <si>
    <t>هل العرض متوفر</t>
  </si>
  <si>
    <t>مروان حسين</t>
  </si>
  <si>
    <t>عمر عبدالعزيز</t>
  </si>
  <si>
    <t>هل يوجد محطة شمال جده</t>
  </si>
  <si>
    <t>الحمامات وانتو بكرامه اللي بالهدا حلوه مره بس ياليت لو تحطون مروش عشان المسافرين والمعذره على الازعاج</t>
  </si>
  <si>
    <t xml:space="preserve">2026-05-21 11:52:38 PM UTC+03:00-تم معاوده الاتصال وجوال العميل مغلق </t>
  </si>
  <si>
    <t>بدر المضياني</t>
  </si>
  <si>
    <t xml:space="preserve">درب الوطن حايل؟
</t>
  </si>
  <si>
    <t xml:space="preserve">دورات المياه لا يوجد صابون ولا يوجد عامل تنظيف
Sunday, June 7, 2026 </t>
  </si>
  <si>
    <t xml:space="preserve">2026-05-21 10:38:09 PM UTC+03:00- نك معاوده الااتصال والعميل لايجيب </t>
  </si>
  <si>
    <t>لد موقع حساس جدا جاهز للتاجير مكه الرصيفه 0555526861 - مالك</t>
  </si>
  <si>
    <t xml:space="preserve">تم التحقق حيث يوجد عامل فترة الصباح و المساء ولكن لايوجد عامل ثابت في دورة المياه  ربما لم يلتزم العامل في اعادة التعبئة 
تم اخطار مدير المحطة بضرورة المتابعة </t>
  </si>
  <si>
    <t xml:space="preserve"> عبد الغني الوايلي</t>
  </si>
  <si>
    <t>اتمنا تسوو تطبيق لمحطه درب ويوجد فيها نقاط نستبدلها ببنزين</t>
  </si>
  <si>
    <t>حسين العماري</t>
  </si>
  <si>
    <t xml:space="preserve">مافي مناديل في الحمامات
</t>
  </si>
  <si>
    <t xml:space="preserve">2026-05-21 04:56:40 PM-العميل غير متجاوب وتم محاوله الاتصال مرتين </t>
  </si>
  <si>
    <t>طولتو شوي بس عادي - 16:50:48 Thursday, July 9, 2026</t>
  </si>
  <si>
    <t xml:space="preserve">غير واضح </t>
  </si>
  <si>
    <t xml:space="preserve">الحمامات جدا سيئة وغير نظيفة ولا يوجد مناديل
Tuesday, June 2, 2026 </t>
  </si>
  <si>
    <t xml:space="preserve">تم التنويه على ضرورة متابعة النظافة المنديل متوقفه من الشركة </t>
  </si>
  <si>
    <t xml:space="preserve">2026-05-21 04:56:40 PM- لديه طلب تاجير و تواصل مع المسؤؤل وتم حل المشكله </t>
  </si>
  <si>
    <r>
      <rPr>
        <rFont val="Calibri"/>
        <color theme="1"/>
        <sz val="9.0"/>
      </rPr>
      <t>العامل الي في محطه درب محايل طريق جده اسلوبه تافهه مره - 20:43:52 Saturday, July 11, 2026 -</t>
    </r>
    <r>
      <rPr>
        <rFont val="Calibri"/>
        <color rgb="FFFF6D01"/>
        <sz val="9.0"/>
      </rPr>
      <t xml:space="preserve"> تم ارسال رساله عبر الواتس </t>
    </r>
  </si>
  <si>
    <t>تم إبلاغ مدير محطة محايل والتشديد على جميع عمال المحطة بالالتزام بمعايير التعامل اللائق مع العملاء وتحسين أسلوب الخدمه، مع التأكيد على المتابعة الدوريه  لضمان عدم تكرار الملاحظة.</t>
  </si>
  <si>
    <t>هلا للمدفوعات</t>
  </si>
  <si>
    <t xml:space="preserve"> محمد بن عبدالله ال محمد</t>
  </si>
  <si>
    <t xml:space="preserve">2026-05-21 09:25:18 PM-درب الوطن </t>
  </si>
  <si>
    <r>
      <rPr>
        <rFont val="Calibri"/>
        <color theme="1"/>
        <sz val="9.0"/>
      </rPr>
      <t xml:space="preserve">مسار واحد يعبي الثاني مافيه العمال بعضهم غير متواجد ويوم سألت يقول جالس يتعشاء وتارك الناس محتاسين اليوم الخميس 24 / 1/ 1448 - 19:26:07 Thursday, July 9, 2026 - </t>
    </r>
    <r>
      <rPr>
        <rFont val="Calibri"/>
        <color rgb="FFFF6D01"/>
        <sz val="9.0"/>
      </rPr>
      <t xml:space="preserve"> تم ارسال رساله عبر الواتس </t>
    </r>
  </si>
  <si>
    <t xml:space="preserve">وتم ابلاغ مدير المحطة لمراجعة الكامرات ومحاسبة العامل المتسبب بالشكوى وتم التشديد على منع ترك المسارات دون تغطية نهائياً وتنظيم أوقات استراحات العمال بالتناوب بما يضمن استمرار الخدمة على جميع المسارات دون انقطاع مع التأكيد على المتابعة خلال أوقات الذروة </t>
  </si>
  <si>
    <t>مازن</t>
  </si>
  <si>
    <t>طاهر علي عبدالله زيد</t>
  </si>
  <si>
    <t>مسجد الرجال مقفل الساعه 8.09 - 05:03:00 Friday, July 10, 2026</t>
  </si>
  <si>
    <r>
      <rPr>
        <rFont val="Calibri"/>
        <b/>
        <color rgb="FF131825"/>
        <sz val="9.0"/>
      </rPr>
      <t>محطة في خط سفر ودرجة الحرارة فوق الخمسين وعمالكم يطفون المكيفات ليتها محطة صغيرة او داخل حي عشان تشغلونها قبل الصلاه بساعتين المحطة 24 ساعه فيها ناس  وسبق كلمت مسؤول ورفعت شكوى ونفس الاشكالية  +مريت المحطه للمره الثانية ولازالت المكيفات طافيه اوقات الصلاة -تم التواصل وفادته بتطبيق الاجراء في حال</t>
    </r>
    <r>
      <rPr>
        <rFont val="Calibri"/>
        <b/>
        <color rgb="FFFF6D01"/>
        <sz val="9.0"/>
      </rPr>
      <t xml:space="preserve"> -تم اختبار في اليوم التالي بين الصلوات لتاكد من تطبيق الاجرا ء وتم التاكد واعلام العميل في حال مر وماحصلها شغاله يوثقلها لنا </t>
    </r>
  </si>
  <si>
    <t xml:space="preserve">بسبب وجود سرقات عم تحصل من داخل المسجد لذلك يفتح فقط وقت الصلاه
</t>
  </si>
  <si>
    <t xml:space="preserve">تم تعميد العاملين ف المسجد بتشغيل التكيف الساعه 10صباحا وعدم قفل التكيف بين الصلوات المتواتره </t>
  </si>
  <si>
    <t xml:space="preserve">2026-05-22 03:56:35 AM-درب الوطن </t>
  </si>
  <si>
    <t>افضل</t>
  </si>
  <si>
    <t>المسجد كل ما اجي مقفل المفروض يكون مفتوح 24ساعة - ed 14:36:39 Wednesday, July 8, 2026</t>
  </si>
  <si>
    <t>اكد مشرف المحطة ان المسجد ا يبقى شغال الى ساعه 12 الليل</t>
  </si>
  <si>
    <t>منير الضبيبي</t>
  </si>
  <si>
    <t xml:space="preserve">2026-05-22 03:56:35 AM-تم معاوده الاتصال 3 مرات جوال العميل مغلق </t>
  </si>
  <si>
    <t xml:space="preserve"> زينة سيارات بروف لزينة السيارات فرع واحد مكه النوارية</t>
  </si>
  <si>
    <t>Abrhim</t>
  </si>
  <si>
    <t>نظافة الحمامات والحاويات - 21:25:51 Wednesday, July 8, 2026</t>
  </si>
  <si>
    <t>محمود خوجه</t>
  </si>
  <si>
    <t xml:space="preserve">2026-05-22 06:45:20 PM-درب الوطن </t>
  </si>
  <si>
    <r>
      <rPr>
        <rFont val="Calibri"/>
        <color theme="1"/>
        <sz val="9.0"/>
      </rPr>
      <t xml:space="preserve">اخلاق العامل جدا سيء - 12:05:25 Sunday, July 12, 2026 -  </t>
    </r>
    <r>
      <rPr>
        <rFont val="Calibri"/>
        <color rgb="FFFF6D01"/>
        <sz val="9.0"/>
      </rPr>
      <t xml:space="preserve">تم ارسال رساله عبر الواتس </t>
    </r>
  </si>
  <si>
    <t>تم إبلاغ مدير المحطة بمضمون الشكوى بشأن سوء أخلاق العامل والتحقق من الواقعة والتشديد على العامل المعني وجميع عمال المحطة بالالتزام بمعايير التعامل اللائق مع العملاء،</t>
  </si>
  <si>
    <t>عمالكم شيلوهم تعامل مره مو حلو ازفت تعامل مره مو حلو - 16:27:09 Wednesday, July 8, 2026</t>
  </si>
  <si>
    <t>تم إبلاغ مدير المحطة للتشديد على جميع عمال المحطة بالالتزام بمعايير التعامل اللائق مع العملاء مع التوجيه بمتابعة سلوك العمال ميدانياً واتخاذ الإجراء النظامي بحق من يثبت تقصيره في التعامل.</t>
  </si>
  <si>
    <t xml:space="preserve">2026-05-22 06:46:37 PM-العميل غير متجاوب </t>
  </si>
  <si>
    <t xml:space="preserve">توصيل </t>
  </si>
  <si>
    <t>بدر عبدالعزيز</t>
  </si>
  <si>
    <t xml:space="preserve">لدية محطة يرغب بالفرنشايز </t>
  </si>
  <si>
    <t xml:space="preserve">2026-05-22 10:58:17 PM-غلطان </t>
  </si>
  <si>
    <t>مانع اليامي</t>
  </si>
  <si>
    <t>درايف</t>
  </si>
  <si>
    <t xml:space="preserve"> ليلى احمد محمد حكمي</t>
  </si>
  <si>
    <t>السلام عليكم ورحمة الله
أنا سلطان التميمي
لدي الرغبه في العمل في فرع شركه درب المدينه المنوره</t>
  </si>
  <si>
    <r>
      <rPr>
        <rFont val="Calibri"/>
        <color theme="1"/>
        <sz val="9.0"/>
      </rPr>
      <t>السلام عليكم ، اليوم الساعه 6 ونص تقريباً عبيت بنزين ، قبل ما اعبي لما جيت وقفت سألني دفع شبكه قلتله ايوه ، بعد ما عبيت قلي لا مافي فيزه مدى ، طيب قلتله ليه ما وضحتلي من البدايه مافي فيزه ! و انا أحاسب بفيزة برق في كل مكان اول مرا يواجهني هذا المشكله ، وضحتلو انو انا ماعندي غير في الفيزه حتى ماعندي نت انو احول من الفيزه لي بطاقة مدى ، مافي حل حالياً غير اني ارجعلك بعد الظهر و الغلط مو مني منك ما حددتلي انو مافي فيزه ، جلس ينافخ و يرفع صوته ، ماراح اضيع وقتي معاه و مستعجله ، راح ارجع الظهر الفرع و احتاج مدير مسؤل متواجد . وضرب سياراتي و انا ماشيه هذا موضوع راح اتفاهم معاه فيه لما ارجع عشان انا مني حراميه و الأسلوب كان غير لائق . - 
نوع المركبة : MG GT - رقم اللوحة : ر ر أ 4161 - المبلغ : 50 ريال - راح ارجع اليوم بعد الدوام و ماراح احاسب مع نفس الشخص ابغا احد مسؤل -</t>
    </r>
    <r>
      <rPr>
        <rFont val="Calibri"/>
        <color rgb="FFFF6D01"/>
        <sz val="9.0"/>
      </rPr>
      <t xml:space="preserve"> حياك الله استاذة ليلى, نعمل حاليا على حل الاشكالية ومراجعة الكميرات لمعرفة العامل واتخاذ اجراء حازم بما يخص الاسلوب
نعتذر منك على تجربتك ونأمل ان تكون زيارتك القادمة أفضل
تنورينا في درب ونسعد لتواصلك🧡 - </t>
    </r>
    <r>
      <rPr>
        <rFont val="Calibri"/>
        <color theme="1"/>
        <sz val="9.0"/>
      </rPr>
      <t xml:space="preserve">أتمنى انو ما يكون في ضرر على أي من الأشخاص الأفضل هوا حل المشكله ، التوضيح عدم تفعيل دفع فيزه بطريقه واضحه لتجنب المشاكل ، اقتراحي لي تعاونكم لتجنب التقيم السئ في حال تم التكرار و ان شاء الله تغير لي الأفضل - </t>
    </r>
    <r>
      <rPr>
        <rFont val="Calibri"/>
        <color rgb="FFFF6D01"/>
        <sz val="9.0"/>
      </rPr>
      <t xml:space="preserve"> ابشري دونت ملاحظاتك راح نحرص انه ما يتصرر
تم رفع الاقتراح شكرا لك على وقتك وذوقك 🙏</t>
    </r>
  </si>
  <si>
    <t xml:space="preserve">تم التواصل مع المشرف وتوضيح المشكله , رجعت العميله بعد الظهر وفعلا وتفاهمت مع المشرف واكيد تم تنبيه العميل على لبقاوة الاسلوب مع العملاء
</t>
  </si>
  <si>
    <t xml:space="preserve">2026-05-23 00:08:17 AM--العميل يفيد ان الوقت غير مناسب </t>
  </si>
  <si>
    <t xml:space="preserve">يحيى </t>
  </si>
  <si>
    <t>نوره الماضي</t>
  </si>
  <si>
    <t>JA156</t>
  </si>
  <si>
    <r>
      <rPr>
        <rFont val="Calibri"/>
        <color theme="1"/>
        <sz val="9.0"/>
      </rPr>
      <t xml:space="preserve">العامل لامبالاة مراا كل ما جيت اعبي يخبط في السيارة هذي ثالث مره ليه يخبط السياره بايده حركة مستفزه واسلوبهم وخدمتهم بطيئة اول مره اعبي في محطة وتاخذ المضخة 9 دقايق عشان اعبي ب100 ريال ؟؟ (د ح ه - 3505 ) ابيض نيسان مكسيما  المسار الداخلي  100 شبكة  احمر - الوقت 1:04 م  </t>
    </r>
    <r>
      <rPr>
        <rFont val="Calibri"/>
        <color rgb="FFFF6D01"/>
        <sz val="9.0"/>
      </rPr>
      <t xml:space="preserve">- تم التواصل مع العميل وابلاغه بانه تم رفع البلاغ بما يخص اداء المضخة للادارة المختصة لاصلاح المشكلة بنسبة للعمال سيتم رفع بلاغ علة تدريبهم وتحسين السلوك اثناء تقديم الخدمة - وفي حال واجهته اي ملاحظة اخرى يتواصل معنا </t>
    </r>
  </si>
  <si>
    <t xml:space="preserve">تم تنبيه المشرف  لتأكيد ضرور ة اللباقه والاسلوب الجيد مع العملاء
</t>
  </si>
  <si>
    <t>كوفي سحابي لسه ماعندي اي فروع بيكون اول فرع اذا أجرته عندكم ام الساهك في كشك لكوفي ابي اعرف اذا تأجر ولا باقي وكم ايجاره</t>
  </si>
  <si>
    <t xml:space="preserve">2026-05-23 10:57:33 AM-بالخطاء </t>
  </si>
  <si>
    <t>اسامة محمد</t>
  </si>
  <si>
    <t xml:space="preserve">محل ثاني </t>
  </si>
  <si>
    <t>استفسار عن عرض المدينة</t>
  </si>
  <si>
    <t xml:space="preserve"> يحي الحريصي</t>
  </si>
  <si>
    <t xml:space="preserve"> RY024</t>
  </si>
  <si>
    <t xml:space="preserve">  دقه وحده والعداد يجري جري الاثنين، 13 يوليو 2026 في 02:05 ص</t>
  </si>
  <si>
    <t xml:space="preserve">2026-05-21 04:56:40 PM-درب الوطن </t>
  </si>
  <si>
    <t>محمد لو اجي الحين اعبي ب ٥٠ مجانا</t>
  </si>
  <si>
    <t xml:space="preserve"> عبدالله العتيبي</t>
  </si>
  <si>
    <t xml:space="preserve"> عداد المحطة غير دقيق بنسبة ١٠ ٪؜</t>
  </si>
  <si>
    <t xml:space="preserve">استئجار محل في محطه درب طريق الجنوب مغسله ملابس </t>
  </si>
  <si>
    <t>Arafa</t>
  </si>
  <si>
    <t xml:space="preserve"> MK289</t>
  </si>
  <si>
    <t>لسلام عليكم ورحمة الله السادة المحترمين مدير ادارة الموارد البشرية بعد التحية. اتقد. اليكم بطلب توظيف الرجاء مراجعة السيرة الذاتية.</t>
  </si>
  <si>
    <r>
      <rPr>
        <rFont val="Calibri"/>
        <color theme="1"/>
        <sz val="9.0"/>
      </rPr>
      <t>يفيد العميل بانه ريحه المسجد جدا سيئه ويقترح لو نحط شفاط او منقي</t>
    </r>
    <r>
      <rPr>
        <rFont val="Calibri"/>
        <color rgb="FFFF9900"/>
        <sz val="9.0"/>
      </rPr>
      <t xml:space="preserve"> تم التواصل مع العميل</t>
    </r>
    <r>
      <rPr>
        <rFont val="Calibri"/>
        <color theme="1"/>
        <sz val="9.0"/>
      </rPr>
      <t xml:space="preserve"> </t>
    </r>
    <r>
      <rPr>
        <rFont val="Calibri"/>
        <color rgb="FFFF9900"/>
        <sz val="9.0"/>
      </rPr>
      <t>وشكرنا على الاهتمام وافاد ان المسجد يخدم الحي ويضطر سكان المنطقه الذهاب الى ادريس والصلاه فالمسجد</t>
    </r>
  </si>
  <si>
    <t xml:space="preserve">Al Baha
</t>
  </si>
  <si>
    <t xml:space="preserve">يستفسر عن غسيل نوع سياره بيستون </t>
  </si>
  <si>
    <t xml:space="preserve">خلف </t>
  </si>
  <si>
    <t xml:space="preserve">  MK300</t>
  </si>
  <si>
    <t xml:space="preserve">يفيد العميل بانه عبى سيارته اخضر  ب121 وبالعاده الفل حقه 115 سيارته انوفا فضي اليوم الااحد بعد المغرب  مرفق فاتوره </t>
  </si>
  <si>
    <t>"تم التواصل مع الشركة والعميل سيتم تعويض العميل 
- كما تم التواصل مع ادارة الجوده وإلزامهم ب‘عادة معاية المضخات +ارسال فديو مصور 
"</t>
  </si>
  <si>
    <t>وسيم الثقفي</t>
  </si>
  <si>
    <t>خبرة عملية تمتد لأكثر من سبع سنوات في مجال السكرتارية التنفيذية وإدارة المكاتب،</t>
  </si>
  <si>
    <t xml:space="preserve">2026-05-23 02:34:21 PM-غلطان </t>
  </si>
  <si>
    <r>
      <rPr>
        <rFont val="Calibri"/>
        <color theme="1"/>
        <sz val="9.0"/>
      </rPr>
      <t xml:space="preserve">كان محتاج يعبي بجركل بس </t>
    </r>
    <r>
      <rPr>
        <rFont val="Calibri"/>
        <color rgb="FFFF9900"/>
        <sz val="9.0"/>
      </rPr>
      <t xml:space="preserve">تمت افادته </t>
    </r>
  </si>
  <si>
    <t>سماح عزالدين</t>
  </si>
  <si>
    <t xml:space="preserve">	السلام عليكم ورحمة الله وبركاته اقدم نفسي إليكم انا حديثة تخرج بكالوريوس خدمه اجتماعيه من جامعة ام القرى وأود ان اكتسب خبرات عمليه ومهنيه وشغوفه جدا بالعمل والتطوير المستمر اعبر عن اهتمامي الكبير بالانضمام إلى فريقكم ❤️مع خالص الشكر والتقدير</t>
  </si>
  <si>
    <t xml:space="preserve">تم التواصل تقول ماتصلت </t>
  </si>
  <si>
    <t xml:space="preserve">2026-05-23 03:08:18 PM- تم معاوده الاتصال 3 مرات والعميل لايجيب </t>
  </si>
  <si>
    <t>ريمان المطيري</t>
  </si>
  <si>
    <r>
      <rPr>
        <rFont val="Calibri"/>
        <color theme="1"/>
        <sz val="9.0"/>
      </rPr>
      <t>يستفسر انه ضيع محفظته بالمحطه العوالي ا</t>
    </r>
    <r>
      <rPr>
        <rFont val="Calibri"/>
        <color rgb="FFFF9900"/>
        <sz val="9.0"/>
      </rPr>
      <t>لعميل يفيد انه بيروح المحطه بنفسه</t>
    </r>
  </si>
  <si>
    <t xml:space="preserve">	Fresh law graduate from the University of Jeddah with experience in contract drafting and review. Eager to apply my legal knowledge as a Contracts Specialist at Darb Company.</t>
  </si>
  <si>
    <t>عادل الحربي</t>
  </si>
  <si>
    <t xml:space="preserve">2026-05-23 03:19:31 PM- استفسار عن قطع غيار للسياره - تم الافاده </t>
  </si>
  <si>
    <r>
      <rPr>
        <rFont val="Calibri"/>
        <color theme="1"/>
        <sz val="9.0"/>
      </rPr>
      <t xml:space="preserve"> عامل التعبئه في المسار الثاني وانت خارج من مكه بطيء جدا Saturday, July 11, 2026 </t>
    </r>
    <r>
      <rPr>
        <rFont val="Calibri"/>
        <color rgb="FFFF6D01"/>
        <sz val="9.0"/>
      </rPr>
      <t xml:space="preserve">- لم يتم الرد </t>
    </r>
  </si>
  <si>
    <t>صهيب الحازمي</t>
  </si>
  <si>
    <t xml:space="preserve">	أتقدم بطلب التوظيف لديكم على هذة الوظيفة أنا من ذوي الإعاقة ولدي الخبرة في مجال صندوق المحاسبة وأمتلك المهارات والخبرات الأزمة لأداء مهام العمل بكفاءة</t>
  </si>
  <si>
    <t xml:space="preserve">  MK064</t>
  </si>
  <si>
    <r>
      <rPr>
        <rFont val="Calibri"/>
        <color theme="1"/>
        <sz val="9.0"/>
      </rPr>
      <t xml:space="preserve">والله الخدمه سيئه جدآ
وماعندهم اسلوب خالص
اتمنى من الادراه اتكلم معاهم ب اسلوب ليعرفو انهم اساس الدرب وانهم الواجهه لاي عميل
وفقكم الله الخدمه سيئه فقط اما المحطه من اجمل المحطات بالمملكه  Friday, July 10, 2026 </t>
    </r>
    <r>
      <rPr>
        <rFont val="Calibri"/>
        <color rgb="FFFF9900"/>
        <sz val="9.0"/>
      </rPr>
      <t>تم التواصل مع العميل والاعتذار منه</t>
    </r>
    <r>
      <rPr>
        <rFont val="Calibri"/>
        <color theme="1"/>
        <sz val="9.0"/>
      </rPr>
      <t xml:space="preserve"> </t>
    </r>
  </si>
  <si>
    <t xml:space="preserve">2026-05-23 04:27:51 PM-تم معاوده التصال والعميل لايجيب </t>
  </si>
  <si>
    <t xml:space="preserve"> وقفت في طريق عبوري الى الحرم للصلاه ودخلت مصلى النساء والحمامات للوضوء صدمت حرفيا لان المحطه توحي بان يكون مستوى النظافه والترتيب افضل من هذا الاساسيات موجوده ولكن هذا لا يكفي ولا يعكس قدسيه البلد الحرام برايي الواجهه للمحطه تبدا من المسجد ومرافقه فالمحلات تعكس البراند نفسه اتمنى اعاده النظر ونشكر لكم اهتمامكم Sunday, July 12, 2026</t>
  </si>
  <si>
    <t>جميلة داغستاني</t>
  </si>
  <si>
    <t xml:space="preserve">2026-05-24 01:33:05 AM- تم معاوده الاتصال والعميل لايجيب </t>
  </si>
  <si>
    <t>السادة / شركة درب للخدمات البترولية السلام عليكم ورحمة الله أتقدم لسعادتكم بطلب توظيف في قسم التأجير حيث اني امتك خبرة لعدة سنوات في مجال المحطات اكتسبت خلالها خبرة في التخطيط و التنظيم و الادارة و التفاوض و العديد من المهارات ارفق لكم سيرتي الذاتية للاطلاع و يسعدني حضور مقابلة شخصية في الوقت الذي ترونه مناسبا و تفضلو بقبول فائق الاحترام والتقدير جميلة داغستاني 0503528789 gamila.daghstany2@gmail.com</t>
  </si>
  <si>
    <t xml:space="preserve">امل          </t>
  </si>
  <si>
    <t xml:space="preserve"> النظافه صفر وريحه الحمامات طالعه لين الدرج بره  Friday, July 10, 2026</t>
  </si>
  <si>
    <t xml:space="preserve">سامي       </t>
  </si>
  <si>
    <t xml:space="preserve">SJJAD DIN
</t>
  </si>
  <si>
    <t>سلطان الحازمي</t>
  </si>
  <si>
    <t xml:space="preserve">
‏وكذلك الاهتمام بدورة المياه Saturday, July 11, 2026</t>
  </si>
  <si>
    <t xml:space="preserve">	أمتلك خبرة تقارب 4 سنوات في قطاع المحطات، شملت إدارة علاقات العملاء وحسابات كبار العملاء والمبيعات ، وتنسيق العمليات بين الأقسام، والإشراف على جودة خدمة العملاء وتطوير أداء الفريق. أسعى للانضمام إلى جهة متميزة أساهم فيها بخبراتي وأواصل تطوير مهاراتي المهنية.</t>
  </si>
  <si>
    <t xml:space="preserve">اسوء محطة في العزيزية سبب عمال واحد فقط على جهتين بدون سبب نتأخر خلي مع نفسهم
الأحد، 24 مايو 2026 في 02:04 ص
</t>
  </si>
  <si>
    <t xml:space="preserve"> احمد </t>
  </si>
  <si>
    <t xml:space="preserve"> الحممات اكرمكم الله جداً سيئة ولا توجد نظافة الرجاء الاهتمام اكثر Sunday, July 12, 2026</t>
  </si>
  <si>
    <t>Abdulaziz</t>
  </si>
  <si>
    <t>I'm a strong candidate for gas station supervisor /manager position with 5+uears of experience in fuel retail and hospitality operations</t>
  </si>
  <si>
    <t xml:space="preserve">تجربة سيئة مدري هل هي حركة نصب جديدة ولا ايش تانكي السيارة كان شرطة وحدة (-) وعبيت بنزين والعداد نفس ماهو ما ارتفع طفيت السيارة اكثر من مرة  مشيت 20 كيلو ونفس الشيء ماكأني عبيت بنزين علمًا بأن موديل سيارتي جديد 2025 يعني شبه مستحيل تكون المشكلة من قراءة عداد السيارة الموقف هذا صار معي من الموظف اليماني اللي موجود في الفجر
السبت، 23 مايو 2026 في 06:00 ص
</t>
  </si>
  <si>
    <t xml:space="preserve"> Tawfeeq Bukhar</t>
  </si>
  <si>
    <t xml:space="preserve">  محطاتكم معروفة انها نظيفة و فيها كل الخدمات لكن محطة البغدادية جدة غير نظيفة ابداً و الحمامات تفتقر ل ابسط الاشياء Thursday, July 9, 2026</t>
  </si>
  <si>
    <t xml:space="preserve">تم تصعيد المشكله لمدير الجوده في شركة بترولايز  لحل عدة مشاكل ابرزها النظافه
</t>
  </si>
  <si>
    <t xml:space="preserve">بدر </t>
  </si>
  <si>
    <t xml:space="preserve">ام احمد   </t>
  </si>
  <si>
    <t>محمد صالح محمد</t>
  </si>
  <si>
    <r>
      <rPr>
        <rFont val="Calibri"/>
        <color theme="1"/>
        <sz val="9.0"/>
      </rPr>
      <t xml:space="preserve">تستفسر عن صلاحيه الكوبون واقرب محطه لها  </t>
    </r>
    <r>
      <rPr>
        <rFont val="Calibri"/>
        <color rgb="FFFF9900"/>
        <sz val="9.0"/>
      </rPr>
      <t>تم الرد على العميله ( نشكركم على تواصلكم. نفيدكم بأن العرض متاح لمدة 7 أيام من تاريخ الاستلام، وقد انتهت مدة العرض. معوضين بالمسابقات الجاية 🧡)</t>
    </r>
  </si>
  <si>
    <t xml:space="preserve">ينقص العمال  الادب والاحترام عديمين اخلاق الخميس-- ، 21 مايو 2026 في 08:02 م
</t>
  </si>
  <si>
    <t>محاسب أول خبره ١١ عام في مجال تشغيل محطات الوقود</t>
  </si>
  <si>
    <t xml:space="preserve">يوسف </t>
  </si>
  <si>
    <t xml:space="preserve">يستفسر عن قبوله بالوظيفه </t>
  </si>
  <si>
    <t xml:space="preserve">عبدالله صلاح صالح </t>
  </si>
  <si>
    <t>هاني الصاعدي</t>
  </si>
  <si>
    <t xml:space="preserve">مغسله سياراتالمالك -اول مره </t>
  </si>
  <si>
    <t>السلام عليكم ورحمة الله وبركاته، يسرني التقدم لطلب وظيفة لديكم، حيث إنني خريج بكالوريوس دراسات إسلامية بمرتبة الشرف (2019)، ولدي خبرة عملية تمتد لعدة سنوات في مجالات الإشراف الإداري، خدمة العملاء، وإدارة الصناديق والعهد المالية. عملت خلال مسيرتي في عدة جهات، من أبرزها شركة البيك للوجبات السريعة لمدة ثلاث سنوات حتى الآن، بالإضافة إلى خبرات سابقة في شركة مواقف، شركة بندة، ومركز القلب، مما أكسبني مهارات عالية في التنظيم، إعداد التقارير، التعامل مع الجمهور، والعمل تحت ضغط. أتطلع للانضمام إلى فريق عملكم والمساهمة بخبرتي والتزامي في تحقيق أهداف الجهة ورفع مستوى الأداء، ويسعدني تزويدكم بأي معلومات إضافية أو حضور مقابلة شخصية في الوقت الذي ترونه مناسبًا. وتفضلوا بقبول فائق الاحترام والتقدير، الاسم: هاني عويد دخيل ربه الصاعدي المدينة: المدينة المنورة رقم الجوال: 0505652094 البريد الإلكتروني: j888j444@gmail.com</t>
  </si>
  <si>
    <t>عبادي</t>
  </si>
  <si>
    <r>
      <rPr>
        <rFont val="Calibri"/>
        <color theme="1"/>
        <sz val="9.0"/>
      </rPr>
      <t xml:space="preserve">يستفسر عن عرض كفرات بلس </t>
    </r>
    <r>
      <rPr>
        <rFont val="Calibri"/>
        <color rgb="FFFF9900"/>
        <sz val="9.0"/>
      </rPr>
      <t>تمت افادته</t>
    </r>
    <r>
      <rPr>
        <rFont val="Calibri"/>
        <color theme="1"/>
        <sz val="9.0"/>
      </rPr>
      <t xml:space="preserve"> </t>
    </r>
  </si>
  <si>
    <t xml:space="preserve">استفسار على طلب مسبق </t>
  </si>
  <si>
    <t>سلام عليكم اريد التقديم على وظيفة ,,, وشكراً</t>
  </si>
  <si>
    <t xml:space="preserve">استفسار عن تلبيسه مقاعد </t>
  </si>
  <si>
    <t>يرغب بتاجير كشك (مزاج مغربي)</t>
  </si>
  <si>
    <t xml:space="preserve">مسوق عقاري يستفسر عن امكانيه عرض للتسويق لمحطات درب </t>
  </si>
  <si>
    <t xml:space="preserve">استفسار عن سماكو حي الفلاح </t>
  </si>
  <si>
    <t>تمت افادته بانهم مستأجرين ويتواصل معهم بشكل مباشر</t>
  </si>
  <si>
    <t xml:space="preserve">فرج </t>
  </si>
  <si>
    <t xml:space="preserve">شركه اعاده استخدام المياه تم ارفاق بروفايل عالموقع </t>
  </si>
  <si>
    <r>
      <rPr>
        <rFont val="Calibri"/>
        <b/>
        <color rgb="FF131825"/>
        <sz val="9.0"/>
      </rPr>
      <t>‏البنقالي اللي في المحطة يعبي على جيبه حق موقعي أنا موقف عند البنك وهو ما يبغى يعطيني يبغى يجيني مع زياد أتمنى أن 02:35:13 Friday, May 29, 2026 - 
تم التواصل افاد العميل ان مافي الا عامل واحد بالمحطة ويقوله تعال هنا تعال هنا استفزه  كامري 98 ابيض (4849- ا ع ط ) -</t>
    </r>
    <r>
      <rPr>
        <rFont val="Calibri"/>
        <b/>
        <color rgb="FFFF6D01"/>
        <sz val="9.0"/>
      </rPr>
      <t xml:space="preserve"> تم الاعتذار منه </t>
    </r>
  </si>
  <si>
    <t>مبارك عبدالله السروري</t>
  </si>
  <si>
    <t xml:space="preserve">بيشه </t>
  </si>
  <si>
    <t xml:space="preserve">محطة 2700م  وأرض 30الف - المالك </t>
  </si>
  <si>
    <t xml:space="preserve">عرض ارض محافظه بيشه وسط البلد - مساحه 50 في 50 </t>
  </si>
  <si>
    <t xml:space="preserve">لا يوجد بنزين </t>
  </si>
  <si>
    <t xml:space="preserve"> MK008</t>
  </si>
  <si>
    <r>
      <rPr>
        <rFont val="Calibri"/>
        <color theme="1"/>
        <sz val="9.0"/>
      </rPr>
      <t xml:space="preserve">يفيد العميل بانه دايم يعبي سيارته ب100او107 اخضر عبى اليوم الاثنين الظهر الساعه 1:50 بمبلغ 118 ريال كاش سيارته كيا بني اللوحه 9407 </t>
    </r>
    <r>
      <rPr>
        <rFont val="Calibri"/>
        <color rgb="FFFF9900"/>
        <sz val="9.0"/>
      </rPr>
      <t xml:space="preserve">تم التواصل مع العميل وفادته بان المبلغ مطابق لقيمه التعبئه </t>
    </r>
  </si>
  <si>
    <r>
      <rPr>
        <rFont val="Calibri"/>
        <color rgb="FF131825"/>
        <sz val="9.0"/>
      </rPr>
      <t xml:space="preserve">كنت اعبي والعامل جوا المحطة جالس يدخن والكاب مقلوب ويمشي كان رايح على ناحية دورات المياه - 12:20م -  صني خضرا (ب ا ق - 8286) - </t>
    </r>
    <r>
      <rPr>
        <rFont val="Calibri"/>
        <color rgb="FFFF6D01"/>
        <sz val="9.0"/>
      </rPr>
      <t>تم التوضيح اللعميل وابلاغه بالاجراء</t>
    </r>
  </si>
  <si>
    <t xml:space="preserve"> المحطة مافيها ديزل ولا نفس الوضع كل ماتجيها مافيها ديزل </t>
  </si>
  <si>
    <t xml:space="preserve">بعد مراجعة الفديو تبين أن العامل لم يكن يدخن في منطقة المضخات أو أثناء تقديم الخدمة للعملاء وإنما كان ذلك بعد انتهاء ورديته وفي طريقه للخروج من المحطة باتجاه المرافق وقد تم عمل محضر ولفت نظر لعدم التكرار مره اخرى </t>
  </si>
  <si>
    <t xml:space="preserve">  MK022</t>
  </si>
  <si>
    <r>
      <rPr>
        <rFont val="Calibri"/>
        <color theme="1"/>
        <sz val="9.0"/>
      </rPr>
      <t xml:space="preserve">يستفسر عن عرض كفرات بلس  </t>
    </r>
    <r>
      <rPr>
        <rFont val="Calibri"/>
        <color rgb="FFFF9900"/>
        <sz val="9.0"/>
      </rPr>
      <t xml:space="preserve">تمت افادته </t>
    </r>
  </si>
  <si>
    <t>سلطان المالكي</t>
  </si>
  <si>
    <r>
      <rPr>
        <rFont val="Calibri"/>
        <b/>
        <color rgb="FF434343"/>
      </rPr>
      <t>المحطة/ جديد١٤٤٧/١٢/٥ ٢:١٦ص
اقتراح / نأمل فتح محطة على طريق وادي جليل الطائف حيث ان اقرب محطة اللي على طريق المطار ما يقارب ١٥ كيلو من البيت ونحن في معاناه صعبة نرجو من الله ثم منكم تلبية طلبنا ولكم تحياتي- - ت</t>
    </r>
    <r>
      <rPr>
        <rFont val="Calibri"/>
        <b/>
        <color rgb="FFFF9900"/>
      </rPr>
      <t xml:space="preserve">م التواصل وشكر العميل على الاقتراح </t>
    </r>
  </si>
  <si>
    <t xml:space="preserve">غسلت سيارتي والمحطة كسرو لي القزاز - تمت افادته العميل بانهم شركاء الا انه غضب وقال ان المغسله باسم درب ويبي البلاغ يوصل من عندنا للمغسله </t>
  </si>
  <si>
    <t xml:space="preserve">كهربائي يرغب بتاجير محل </t>
  </si>
  <si>
    <t>خليل عبد القادر</t>
  </si>
  <si>
    <t>سليمان الحماد</t>
  </si>
  <si>
    <r>
      <rPr>
        <rFont val="Calibri"/>
        <b/>
        <color rgb="FF434343"/>
      </rPr>
      <t>بالتاريخ: 22/5/2026 الوقت: 10,50مساء شكوى: تعامل عمال المحطه غير جيد ودائم في حاله زعل وغضب ، ويوجد عامل واحد او اثنين فقط المسار الاخير - العميل رفض التزويد بلوحه السياره او بياناتها</t>
    </r>
    <r>
      <rPr>
        <rFont val="Calibri"/>
        <b/>
        <color rgb="FFFF9900"/>
      </rPr>
      <t xml:space="preserve">  -العميل لم لايرغب بتصعيد الموضوع وتم الاعتذار للعميل واقفال الشكوى </t>
    </r>
    <r>
      <rPr>
        <rFont val="Calibri"/>
        <b/>
        <color rgb="FF434343"/>
      </rPr>
      <t xml:space="preserve"> </t>
    </r>
  </si>
  <si>
    <r>
      <rPr>
        <rFont val="Calibri"/>
        <color theme="1"/>
        <sz val="9.0"/>
      </rPr>
      <t xml:space="preserve">يريد العميل مراجعه الكاميرات لحادثه حصلت معه ولديه خطاب </t>
    </r>
    <r>
      <rPr>
        <rFont val="Calibri"/>
        <color rgb="FFFF9900"/>
        <sz val="9.0"/>
      </rPr>
      <t>وتمت افادنه بالتوجه لمدير المحطه</t>
    </r>
    <r>
      <rPr>
        <rFont val="Calibri"/>
        <color theme="1"/>
        <sz val="9.0"/>
      </rPr>
      <t xml:space="preserve"> </t>
    </r>
  </si>
  <si>
    <t>سعود عبدالله محمد العطيشان للنقليات</t>
  </si>
  <si>
    <t xml:space="preserve">ريان الزهراني </t>
  </si>
  <si>
    <t xml:space="preserve"> MK015</t>
  </si>
  <si>
    <t xml:space="preserve">محمد الودعاني
</t>
  </si>
  <si>
    <r>
      <rPr>
        <rFont val="Calibri"/>
        <color theme="1"/>
        <sz val="9.0"/>
      </rPr>
      <t xml:space="preserve">  ابي المهندس اللي مايفهم كيف يصمم خروج!!!!! رفعت بلاغ وفي انتظار ردكم  (مرفق صور)</t>
    </r>
    <r>
      <rPr>
        <rFont val="Calibri"/>
        <color rgb="FFFF9900"/>
        <sz val="9.0"/>
      </rPr>
      <t xml:space="preserve">-تم ارسال ايميل لادارة التشغيل تم محاولة التواصل مع العميل لا يوجد رد  - </t>
    </r>
    <r>
      <rPr>
        <rFont val="Calibri"/>
        <color theme="1"/>
        <sz val="9.0"/>
      </rPr>
      <t xml:space="preserve">كم مدة التواصل ؟؟
احتاج الرد لو تكرمتم ، وتعويض الأضرار للمركبة
لأن هذا الرصيف على كلام الموظفين اكثر من شخص تضرر منه وهذا دليل على سوء التصميم والارتقاع المبالغ فيه جدًا ، سيارتي تضررت احتاج منكم رد يليق فيكم كدرب - السلام عليكم
أرجوا منكم لو تكرمتم فعلًا يتصعد موضوعي، وين مافيه رد استفدت منه - </t>
    </r>
    <r>
      <rPr>
        <rFont val="Calibri"/>
        <color rgb="FFFF9900"/>
        <sz val="9.0"/>
      </rPr>
      <t>نود إفادتكم بأن بعض الشكاوى تتطلب وقتًا إضافيًا للتحقق والمتابعة، وسيتم الرد عليكم في أقرب وقت
نقدّر صبركم وتعاونكم 🙏</t>
    </r>
  </si>
  <si>
    <t>عبدالله الزهراني</t>
  </si>
  <si>
    <t>صيانة مرافق المحطة</t>
  </si>
  <si>
    <r>
      <rPr>
        <rFont val="Arial"/>
        <color theme="1"/>
      </rPr>
      <t>رفض عامل المحطه  تعبئه البنزين</t>
    </r>
    <r>
      <rPr>
        <rFont val="Arial"/>
        <color rgb="FFFF9900"/>
      </rPr>
      <t xml:space="preserve">- تم محاوله التواصل 4 مرات ولم يتم الرد </t>
    </r>
  </si>
  <si>
    <t>أرض على شارعين تجارية - مالها رخصة - 900م</t>
  </si>
  <si>
    <t xml:space="preserve">متعطله وكانت تبغا توصيل بنزين ووضحت انه لايوجد توصيل </t>
  </si>
  <si>
    <r>
      <rPr>
        <rFont val="Calibri"/>
        <b/>
        <color rgb="FF131825"/>
        <sz val="9.0"/>
      </rPr>
      <t xml:space="preserve">تم الوقوف بالمحطه فرع القصيم/ بريدة /الدائري الشرقي الساعه 11:55 AM وطلب مني العامل الانتظار حتى يتم استبدال الشفت؟؟ 12:05:33 Friday, May 29, 2026 - </t>
    </r>
    <r>
      <rPr>
        <rFont val="Calibri"/>
        <b/>
        <color rgb="FFFF6D01"/>
        <sz val="9.0"/>
      </rPr>
      <t xml:space="preserve">تم الاعتذار منه </t>
    </r>
  </si>
  <si>
    <t>محمد  ابراهيم</t>
  </si>
  <si>
    <t xml:space="preserve">محمد احمد حفظي </t>
  </si>
  <si>
    <t xml:space="preserve">وظيفه اخصائي عقود </t>
  </si>
  <si>
    <r>
      <rPr>
        <rFont val="Calibri"/>
        <b/>
        <color rgb="FF434343"/>
      </rPr>
      <t>المحطة: درب خط الجامعه
التاريخ:1447/12/5 الوقت:3:28 اانا كنت طالب 30 والعامل عبى لي 35  ودفعت اول شي 15 ك شبكه وقالي الموظف انها ما اندفعت بعدين دفعت 20 كاش ريال والباقي سحبت من صرافتين 5 و5 شبكه واعطيته 5 ريال كاش اتمنا إرجاع المبلغ او شوف لي حل مناسب -ولما وصلت البيت لقيت سحب ب 15 ريال - العامل قال انها مانسحبت - العامل لاعلم لديه ارجو عدم محاسبته - المسار الثاني لوحه السياره ي - ن - ح - الارقام 8-4-9-3- سوناتا رصاصي - مرفق صوره --</t>
    </r>
    <r>
      <rPr>
        <rFont val="Calibri"/>
        <b/>
        <color rgb="FFFF9900"/>
      </rPr>
      <t xml:space="preserve">العميل لايرغب بتصعيد الموضوع وتم اقفال الشكوى </t>
    </r>
  </si>
  <si>
    <t>ه</t>
  </si>
  <si>
    <t xml:space="preserve">يرغب بتاجير محل لسوبرماركت(اسواق الرؤيه ) لديه ثلاث فروع -مالك </t>
  </si>
  <si>
    <t>محمد ميزان الرحمن</t>
  </si>
  <si>
    <t>سكاكا</t>
  </si>
  <si>
    <t xml:space="preserve">اسحاق </t>
  </si>
  <si>
    <t xml:space="preserve">يشتغل قبل في محطة </t>
  </si>
  <si>
    <t>صالح ربيع</t>
  </si>
  <si>
    <t xml:space="preserve">ستثمار -جيزان صامته - محطه او مجمع قائم على شارعين - المالك للارض والمحطه بمساحه 2000 متر مربع ومساحه خلفيه في حال الرغبه للتوسعه </t>
  </si>
  <si>
    <t>يوجد موقع مجمع ومحطة وقود بطريق الملك عبدالعزيز بمدينة نجران مطروح للاستثمار 
ولأننا نبحث عن الافضل تم عرض الموقع لكم
-مالك المحطه‬ مباشره</t>
  </si>
  <si>
    <r>
      <rPr>
        <rFont val="Calibri"/>
        <b/>
        <color rgb="FF131825"/>
        <sz val="9.0"/>
      </rPr>
      <t xml:space="preserve">التاريخ : ٢٠٢٩/٠٦/٠٨م السيارة : راف فور ٢٠٢٣ رقم اللوحة : (ر ر ك ١٥٠٧) الوقت : ٥٥ : ٠١ منتصف الليل تقريباً الشكوى : عندي شك في مصداقية تعبئة سيارتي للبنزين.. بنزين ٩١ اخضر
١٠ ريال كاش
دفعت ٥٠ ريال نقد ورجع لي ٤٠- العميل يرغب بالتأكد من التعبئة  </t>
    </r>
    <r>
      <rPr>
        <rFont val="Calibri"/>
        <b/>
        <color rgb="FFFF9900"/>
        <sz val="9.0"/>
      </rPr>
      <t>- المحطة</t>
    </r>
    <r>
      <rPr>
        <rFont val="Calibri"/>
        <b/>
        <color rgb="FFFF6D01"/>
        <sz val="9.0"/>
      </rPr>
      <t xml:space="preserve"> لا تستخدم كاش ان سيتم التشييك عبر ناتج وتم التواصل وافادة العميل بتاكيد التعبئة وفي حال يرغب بفاتورة نرفقها له وافاد مايحتاج في ذمة العامل </t>
    </r>
  </si>
  <si>
    <t>عمرو محمد</t>
  </si>
  <si>
    <t>تم التأكد من التعبئه وارسال الفاتوره</t>
  </si>
  <si>
    <t>عنيزة</t>
  </si>
  <si>
    <t>مؤسسة عمرو محمد العمودي - محطة</t>
  </si>
  <si>
    <t>التأكد من صحة التعبئة.</t>
  </si>
  <si>
    <t xml:space="preserve">هاني عسكر </t>
  </si>
  <si>
    <t xml:space="preserve">محتاج رقم مكتبكم نبغا نستأجر محل في محطتكم اللي في النوارية
- العميل لايجيب </t>
  </si>
  <si>
    <t>يوسف اكرم اكبر</t>
  </si>
  <si>
    <t>ايمان محمد</t>
  </si>
  <si>
    <t>مخرج المحطة</t>
  </si>
  <si>
    <t>ريد التقديم على وظيفة أخصائي عقود، فرع جدة</t>
  </si>
  <si>
    <t xml:space="preserve">تبي سوبرماركت مساحته 300م اقل شي </t>
  </si>
  <si>
    <t xml:space="preserve">ابو محمد </t>
  </si>
  <si>
    <t xml:space="preserve"> أنوار</t>
  </si>
  <si>
    <t>ارض قريبه من البحر القنفذة للايجار اطلب منكم مساعدتي في ٠مستثمر فيها تكفى تكفى احد ٠من معارفكم اواحد اصحابكم اوشركة يتواصل معنا الله يكتب لكم كل خير الله يعطيك من الخير حتى ترضى ٠لعلى الله يفرج همي ويصلح حالي وشكر لكم --الاستثمار الارض تجارية المساحة ٧٢٠م الموقع القنفذة هل لكم رغبة في استثمارالارض طويل المدى</t>
  </si>
  <si>
    <t>الاستفسار مغسلة السياره الموجوده في محطة درب مكه الدايري الثالث مواعيد العمل</t>
  </si>
  <si>
    <t xml:space="preserve">استفسار في خدمة توصيل بنزين </t>
  </si>
  <si>
    <t>مرام الحربي</t>
  </si>
  <si>
    <t xml:space="preserve">نايف عبدالله </t>
  </si>
  <si>
    <t>السلام عليكم ورحمة الله وبركاته،
معكِ مرام الحربي من شركة الحلول المستدامة للخدمات البيئية .
يسعدنا التعاون معكم لتسهيل وإصدار كافة التصاريح البيئية والالتزام باشتراطات المركز الوطني للالتزام البيئي لمنشأتكم، لتجنب أي مخالفات وضمان سير العمل بكفاءة.
مرفق لكم بروفايل الشركة، ويسعدني الإجابة على أي استفسار.
شكراً لوقتكم.</t>
  </si>
  <si>
    <t>ناجي محمد الشهري</t>
  </si>
  <si>
    <t>: ورشة ميكانيكا متخصصة في الديزل وصيانة المركباتاسم العلامة التجارية: ورشة عشرة نجوم
عدد الفروع: 1
نفيدكم بأن لدينا “ورشة عشرة نجوم” المتخصصة في الميكانيكا والديزل، بخبرة تتجاوز 7 سنوات في مكة المكرمة وبإدارة سعودية، ونرغب بالحصول على موقع داخل محطة درب – النوارية - بعد عبداللطيف جميل
نرى أن الموقع مناسب جدًا لطبيعة نشاطنا، خصوصًا لقربه من حركة الحافلات الصغيرة والمركبات المتجهة إلى المدينة المنورة وخطوط السفر، مما يتيح تقديم خدمات الصيانة السريعة والميكانيكية للمركبات العابرة وخدمة مرتادي المحطة بشكل فعّال، بما يحقق قيمة مضافة للموقع ويرفع مستوى الخدمات المقد</t>
  </si>
  <si>
    <t xml:space="preserve">أرض كبيره فيها مبنى كان التعليم مستأجره لكن طلعو المبنى موجود وفيه مساحة لبناء محطة   صك الكتروني - المالك </t>
  </si>
  <si>
    <t>تركي البقمي</t>
  </si>
  <si>
    <t xml:space="preserve"> محطه - ١٥ الف - تربه البقوم - نعم عليها رخصة </t>
  </si>
  <si>
    <t>محمد علي الشهراني</t>
  </si>
  <si>
    <t>نواف عويمر الخالدي</t>
  </si>
  <si>
    <t>ام دي بابول ميا - قلت له حبيبي عبي بنزين ومعي 500 قال لا انا ما اعبي مافي صرف - قلت عيب انتا انسان ؟ قال يعني انا حيوان جا واحد شايب عبى لي - 9:10ص - اخضر - ابيض هونداي - (ح ط ل )</t>
  </si>
  <si>
    <t xml:space="preserve">افاد مابي ارفع الشكوى - الواضح انه طلب صرف وتعبئة بمبلغ قليل وتراجع بعد سؤاله عن المبلغ وبيانات السياره </t>
  </si>
  <si>
    <r>
      <rPr>
        <rFont val="Calibri"/>
        <b/>
        <color rgb="FF434343"/>
      </rPr>
      <t>درب في خط الدائري
٢٠٢٦/٥/٢٣
Pm٤:٣٥
‏جيت بعبي بنزين أخضر وقلت للعامل عبه أخضر فل وعبالي ‏بريال وسبعة وعشرين هللة احمر وليته يشيله على طول اتمنى احد يتواصل معي عشان اعرف وش الحل لي ان سيارتي جديده وابغا اعرف اذا صار فيها مشكله مين اواجه-</t>
    </r>
    <r>
      <rPr>
        <rFont val="Calibri"/>
        <b/>
        <color rgb="FFFF9900"/>
      </rPr>
      <t xml:space="preserve">تم التواصل اكثر من مره ولم يتم الرد </t>
    </r>
  </si>
  <si>
    <t>لولي</t>
  </si>
  <si>
    <t>سيىه جدا وغير نظيفه و خايسه جدا اتمنى من تضافتها اتمنى وصخه وخا - 01:27:05 Monday, July 13, 2026</t>
  </si>
  <si>
    <t xml:space="preserve">سلطان الجهني </t>
  </si>
  <si>
    <r>
      <rPr>
        <rFont val="Calibri"/>
        <b/>
        <color theme="1"/>
        <sz val="9.0"/>
      </rPr>
      <t xml:space="preserve">رحت وقفت في مسار فاضي قام قال هذي كلها ماتشتغل ووجهني للمسارين الثانين وكلها فيها سيارات ليه يوقف مسار كامل عباطه ؟  - كوريلا سماوي - (9151- ب ن ل - ) 10:00 ص  - </t>
    </r>
    <r>
      <rPr>
        <rFont val="Calibri"/>
        <b/>
        <color rgb="FFFF6D01"/>
        <sz val="9.0"/>
      </rPr>
      <t xml:space="preserve">تم التواصل والاعتذار </t>
    </r>
  </si>
  <si>
    <t>شركة عالم الوسام مراكز تجاريه 14 فرع - حي الفضيلة رقم اخر للتواصل 596562619</t>
  </si>
  <si>
    <t xml:space="preserve">تبوك حي الخارجيه - صيانه سيارات -المالك- اول مره </t>
  </si>
  <si>
    <t xml:space="preserve">صلاح </t>
  </si>
  <si>
    <t>تم تزويده برقم سيارة اب</t>
  </si>
  <si>
    <t>طلب تواصل</t>
  </si>
  <si>
    <t>حسام الحربي</t>
  </si>
  <si>
    <t>شكوى na ked من قوقل ماب واقف انتظار والمرور حركني ولا عبيت - نيسان ابيض (د ي ر - 6590) - تم الاعتذار والتوضيح بما يخص عدد التعبئة وشكرنا وافنا بانه في حال وجود عرض قادم سيتم التواصل معه وابلاغه</t>
  </si>
  <si>
    <r>
      <rPr>
        <rFont val="Arial"/>
        <color theme="1"/>
      </rPr>
      <t xml:space="preserve">افاد العميل انه لايوجد عمال لتعبئه البنزين ووقت دخوله وجد العمال كلهم نائمين بالمسجد والمسجد ريحته جدا سيئه معندكم رقابه واداره للمحطه  -24/5/2026- 1:20 مساء </t>
    </r>
    <r>
      <rPr>
        <rFont val="Arial"/>
        <color rgb="FFFF9900"/>
      </rPr>
      <t xml:space="preserve">-تم التواصل وافادة العميل بمباشرة الشكوى وشكرنا على التجاوب والاهتمام </t>
    </r>
  </si>
  <si>
    <t>شهد احمد</t>
  </si>
  <si>
    <t>الملاحظة غير صحيحة 
المحطة تشهد كثافة زوار جدا عاليه خاصة فترة الحج فلا يمكن تجاهل مضلة البنزين و النوم في المسجد كما تم تبخير المسجد وقت صلاة الظهر</t>
  </si>
  <si>
    <t xml:space="preserve">مجمع عايلة الطبي - فحص عمالة سعر خاص </t>
  </si>
  <si>
    <t>وسام العنزي</t>
  </si>
  <si>
    <t>أرض عليها رخصة بناء محطة 625م - المالك  - خميس مشيط حي النور</t>
  </si>
  <si>
    <t xml:space="preserve">أرض على خط سريع المالك عليها كل الاوراق باقي الرخصة </t>
  </si>
  <si>
    <t xml:space="preserve">فايز العنزي </t>
  </si>
  <si>
    <t xml:space="preserve">طريق دمج انوار القادسيه - تاجير محل مكنيكا - المالك- اول مره </t>
  </si>
  <si>
    <t>العنود الدوسري</t>
  </si>
  <si>
    <t>الخير</t>
  </si>
  <si>
    <t xml:space="preserve">السيارة m5 2020  او -  ( د م ي - 2362) - الخميس 7\8قلت للعامل يعبي لي و عطيتو 500 يفكها لي والظاهر جديد فجا واحد ثاني وحوسه لين اعطوني الباقي عبيت بحدود ال 90 ريال بس ابي اعرف الغطا في في المحطة ولا ؟ - تم افادتها بانه في المحطة </t>
  </si>
  <si>
    <t>افاد التشغيل ان الغطاء في المحطة عادة</t>
  </si>
  <si>
    <t>سليمان الأنصاري</t>
  </si>
  <si>
    <t>السلام عليكم ورحمة الله وبركاته، السادة/ شركة درب المحترمين، تحية طيبة وبعد،، أرفق لسعادتكم سيرتي الذاتية للنظر في إمكانية الاستفادة من خبراتي المهنية، حيث أمتلك خبرة في مجالات الإدارة والتسويق وتطوير الأعمال وإدارة علاقات العملاء، وأسعى للانضمام إلى جهة مهنية تمكنني من المساهمة في تحقيق أهدافها وتطوير أعمالها. آمل التكرم بالاطلاع على السيرة الذاتية المرفقة، ويسعدني حضور أي مقابلة أو تقديم أي معلومات إضافية عند الحاجة. وتفضلوا بقبول فائق الاحترام والتقدير.</t>
  </si>
  <si>
    <t xml:space="preserve">ياسر </t>
  </si>
  <si>
    <t xml:space="preserve">العيسائي للمرطبات يرغب في 5000 الاف لتر فالشهر ديزل احتياجهم احيانا  من 1 الى 3 صد باليوم حسب احتياج التانكي - ويرغب بالتعاون مع شركه مرخصه من وزاره الطاقه </t>
  </si>
  <si>
    <t xml:space="preserve">بشير </t>
  </si>
  <si>
    <t xml:space="preserve"> MK049</t>
  </si>
  <si>
    <t xml:space="preserve"> جيت المحطه اللي ع طريق ولي العهد واحد م لقيت البركود حق سحوبات و تعاملهم ماش</t>
  </si>
  <si>
    <r>
      <rPr>
        <rFont val="Calibri"/>
        <b/>
        <color rgb="FF434343"/>
        <sz val="9.0"/>
      </rPr>
      <t xml:space="preserve">شكوى  
السلام عليكم ورحمة الله وبركاته ..
اعزائي محطة درب ؛ لوحظ بمحطة درب فرع النسيم مكة المكرمة تدني بمستوى نظافة دورات المياه - اعزكم الله - وهذا لا اعتقد يرضي المسؤولين عن المحطه وحرصهم على تقييمات العملاء ورضاهم
موقع المحطة : https://maps.app.goo.gl/HR9WHSSvwsF6owrw8?g_st=ic
</t>
    </r>
    <r>
      <rPr>
        <rFont val="Calibri"/>
        <b/>
        <color rgb="FFFF9900"/>
        <sz val="9.0"/>
      </rPr>
      <t xml:space="preserve"> تم محاولة التواصل مع العميل اكثر من 4 مرات ولا يوجد رد </t>
    </r>
  </si>
  <si>
    <t>Muhanad</t>
  </si>
  <si>
    <t xml:space="preserve">	I am pleased to submit my application to join Darb Company. I am eager to contribute my skills, experience, and dedication to your team while continuing to grow professionally within a respected organization.</t>
  </si>
  <si>
    <t>هيفاء</t>
  </si>
  <si>
    <t xml:space="preserve">سامي يوسف </t>
  </si>
  <si>
    <t xml:space="preserve">تستفسر عن طلب سابق </t>
  </si>
  <si>
    <t xml:space="preserve">افاد العميل ان بطاقته البنكيه ابتلعها صرافه راجحي - ثم وصلته رسائل سحب من محطه درب بمبلغ  110ريال-110-ريال و 80  ريال - 3 مرات اليوم بوقت واحد - تواصل العميل مع البنك لتجميد حسابه  وافادوه بموقع الاقرب للسحوبات ويرغب بتاكد من المبالغ هذي بمحطة درب </t>
  </si>
  <si>
    <t>خالد طاهر عبدالرحيم</t>
  </si>
  <si>
    <t xml:space="preserve">يستفسر عن طلب مسبق </t>
  </si>
  <si>
    <t xml:space="preserve">	محاسب بخبرة 3 سنوات في إدارة ومحاسبة محطات الوقود داخل المملكة العربية السعودية، لدي خبرة في إعداد التقارير المالية اليومية والشهرية ومتابعة الإيرادات والمصروفات، ومطابقة العهد والصناديق، وإدارة حسابات الموردين والعملاء، بالإضافة إلى استخدام الأنظمة المحاسبية وإعداد القيود والتسويات المالية و أتميز بالدقة في العمل والقدرة على تحمل المسؤولية والعمل ضمن فريق لتحقيق الأهداف المالية والتشغيلية بكفاءة</t>
  </si>
  <si>
    <t>عزا م</t>
  </si>
  <si>
    <t xml:space="preserve">سيء فالتعامل العمال تعاملهم سيء بس يسوي نفسه طيب معك عشان تقيم بعدها يغير اسلوبه!!
25 مايو 2026
</t>
  </si>
  <si>
    <t>تم التواصل مغلق</t>
  </si>
  <si>
    <t>فهد الجعيد</t>
  </si>
  <si>
    <t>أتقدم إليكم بطلب التوظيف على إحدى الوظائف الإدارية المتاحة لديكم، حيث أحمل شهادة في تخصص القانون، وأمتلك مهارات في التنظيم، وإعداد المراسلات، والتعامل الإداري باحترافية</t>
  </si>
  <si>
    <t>تم التواصل معاه وتم حل المشكه مسبقا</t>
  </si>
  <si>
    <t xml:space="preserve">Ab A
</t>
  </si>
  <si>
    <t>ممتازة عييها المواقف قليل 24 مايو 2026</t>
  </si>
  <si>
    <t>اسامة باقندوان</t>
  </si>
  <si>
    <t xml:space="preserve">	السادة شركة درب المحترمين، أتقدم إليكم بطلب التوظيف، راجيًا من الله ثم منكم إتاحة الفرصة للانضمام إلى فريق العمل لديكم. أمتلك الخبرة والالتزام والحرص على أداء المهام بكفاءة ومسؤولية، وأسعى دائمًا لتطوير مهاراتي وتحقيق أفضل النتائج. أتطلع إلى فرصة المقابلة والتعريف بمؤهلاتي بشكل أكبر، وأشكركم على وقتكم واهتمامكم. وتفضلوا بقبول خالص التحية والتقدير، أسامة باقندوان</t>
  </si>
  <si>
    <t>تم التواصل لايوجد رد</t>
  </si>
  <si>
    <t>عرض شراكة تسويقية</t>
  </si>
  <si>
    <t xml:space="preserve">يعرض محطه بمنطقه جازان بمساحه تقريبا 1000م بصفه وكيل </t>
  </si>
  <si>
    <t>توفيق الجدعاني</t>
  </si>
  <si>
    <t>شركة لاندمارك العربية  - يبي يستاجر محل في درب جدة - يتكلم عربي بس مارد</t>
  </si>
  <si>
    <r>
      <rPr>
        <rFont val="Calibri"/>
        <b/>
        <color rgb="FF131825"/>
        <sz val="9.0"/>
      </rPr>
      <t xml:space="preserve">الاسم:م.محمد حكمي غرفة جازان التجارية
الاستفسار: حابين نعرض عليكم فرصة استثمارية مميزة لتشغيل وإدارة محطة وقود نموذجية في موقع استراتيجي بمدينة جيزان، وذلك على طريق الملك فيصل (شارع الستين) بحي الرحاب.
يمتاز المشروع بموقعه الحيوي والفريد، حيث تُعد هذه المحطة الوحيدة على امتداد شارع الستين في نطاقها المباشر، مما يمنحها ميزة تنافسية عالية وفرصة استحواذ على حركة المرور الكثيفة في المنطقة.
أبرز مميزات الموقع:
* مساحة تتجاوز 4,000 متر مربع قابلة للتطوير وفق أعلى المعايير التشغيلية.
* موقع استراتيجي على شارع رئيسي حيوي داخل مدينة جيزان.
* مجاورة مباشرة لـ مجمع تجاري ومحلات إدارية قائمة، مما يعزز الحركة اليومية للموقع.
* كثافة مرورية عالية تربط بين الأحياء السكنية والتجارية.
* بيئة مناسبة لإنشاء محطة وقود نموذجية متكاملة مع خدمات مساندة (مطاعم، مقاهي، خدمات سيارات).
* فرصة استثمارية نادرة في موقع لا يوجد له منافس مباشر على نفس الشارع.
</t>
    </r>
    <r>
      <rPr>
        <rFont val="Calibri"/>
        <b/>
        <color rgb="FF1155CC"/>
        <sz val="9.0"/>
        <u/>
      </rPr>
      <t>https://maps.app.goo.gl/oHkquDxQRbHFhd8T7</t>
    </r>
  </si>
  <si>
    <t xml:space="preserve"> حسين عبدالله </t>
  </si>
  <si>
    <t xml:space="preserve">  شركة أربون للخدمات البيئية. أرغب بالتواصل مع المسؤول عن التصاريح والسجلات البيئية لديكم لبحث فرص التعاون. لدينا خبرة في إصدار التصاريح وإعداد السجلات البيئية،</t>
  </si>
  <si>
    <t xml:space="preserve">شركة لاندمارك العربية  - يبي يستاجر محل في درب جدة  - ما يتكلم عربي يقول كلمو توفيق هو يعرف عربي اذا تبون </t>
  </si>
  <si>
    <t xml:space="preserve">شركه اول ميم للتسويق </t>
  </si>
  <si>
    <t>تم رفع طلبه مسبقا برقم مختلف</t>
  </si>
  <si>
    <t xml:space="preserve"> محمد </t>
  </si>
  <si>
    <t xml:space="preserve"> الاحساء</t>
  </si>
  <si>
    <t xml:space="preserve">  محطه المساحة: 1500 لها رخصة بناء محطة: نعم</t>
  </si>
  <si>
    <t>محمد بن سليمان المنعمي</t>
  </si>
  <si>
    <t>يستفسر عن مقرنا الرئيسي</t>
  </si>
  <si>
    <t>لدي عرض لأرض مميزة للبيع في جده</t>
  </si>
  <si>
    <r>
      <rPr>
        <rFont val="Calibri"/>
        <color theme="1"/>
        <sz val="9.0"/>
      </rPr>
      <t>شكوى سابقة كم مدة التواصل؟؟ أحتاج الرد لو تكرمتم، وتعويض الأضرار للمركبة.
لأن هذا الوصف على كلام الموظفين أكثر من شخص تضرر منه، وهذا دليل على سوء التصميم وارتفاع المبالغ فيه جدًا، سيارتي تضررت وأحتاج منكم الرد بأقرب وقت</t>
    </r>
    <r>
      <rPr>
        <rFont val="Calibri"/>
        <color rgb="FFFF9900"/>
        <sz val="9.0"/>
      </rPr>
      <t>.-تم محاولة التواصل مع العميل لا يوجد ر</t>
    </r>
  </si>
  <si>
    <t>هل يوجد شقق للإيجار</t>
  </si>
  <si>
    <t xml:space="preserve">نأمل توضيح الطلب, علما ان محطات درب يتوفر فيها محلات وكشك ودرايف ثرو فقط 🙏
</t>
  </si>
  <si>
    <t>حاتم الجابري</t>
  </si>
  <si>
    <t xml:space="preserve">الفخامة النموذجيه ارغب في عمل شراكة كوبونات بنزين من محطتكم </t>
  </si>
  <si>
    <t xml:space="preserve">محد تواصل معي بخصوص الكوبون </t>
  </si>
  <si>
    <t xml:space="preserve">أرض مالها رخصة -سبق وتم رفع طلبه </t>
  </si>
  <si>
    <t xml:space="preserve">أرض كانت محطة عارضينها للايجار تصلح تكون موقع كشك لوجيستيك محلات درايف ثرو وهي موقعها قبل محطة ساسكو </t>
  </si>
  <si>
    <t>احلام الجحدي</t>
  </si>
  <si>
    <r>
      <rPr>
        <rFont val="Calibri"/>
        <b/>
        <color rgb="FF131825"/>
        <sz val="9.0"/>
      </rPr>
      <t>500 بعد ما عبى راح وجا وجاب الصرف قلت ابا 100 بدال 200 قام يصرخ عليا وقلت مافي اسم والثاني جا يكلمو بلغتهم يقول خلاص اعطيها يقول الثاني ما اعرف - 1:50م -تيوتا ابيض (د ه ي  9251) - 102 - اخضر - المسار الداخلي</t>
    </r>
    <r>
      <rPr>
        <rFont val="Calibri"/>
        <b/>
        <color rgb="FFFF6D01"/>
        <sz val="9.0"/>
      </rPr>
      <t xml:space="preserve"> - تم التواصل والاعتذار وايضاح الاجراء المتخذ الا انها اصرت ع المرور والاعتذار لها </t>
    </r>
  </si>
  <si>
    <t>تم توجيه مدير المحطة  والتنبيه عليه بضرورة الالتزام بحسن التعامل مع العملاء وعدم رفع الصوت أو الدخول في أي نقاش قد يؤثر على تجربة العميل</t>
  </si>
  <si>
    <t>السلام عليكم ورحمة الله وبركاته ممكن رقم استاذ مجاهد لان طلب مني موقع أرض للاستثمار وما سجلت رقمه او ممكن يتواصل معي مره اخري - تم بالفعل رفع طلبها في june برقم اخر</t>
  </si>
  <si>
    <t>Adel Al-Zahrani</t>
  </si>
  <si>
    <t>تقييم سلبي - لم يتم الرد</t>
  </si>
  <si>
    <t>دفع المياه جدا عالي</t>
  </si>
  <si>
    <t>دفع الماء</t>
  </si>
  <si>
    <r>
      <rPr>
        <rFont val="Calibri"/>
        <b/>
        <color rgb="FF131825"/>
        <sz val="9.0"/>
      </rPr>
      <t xml:space="preserve">جيت ابغى اعبي فيزا قالي مافي 
جدة شارع حراء يوم السبت قبل ثلاث ايام بعد صلاة المغرب الساعه 8:00
</t>
    </r>
    <r>
      <rPr>
        <rFont val="Calibri"/>
        <b/>
        <color rgb="FF1155CC"/>
        <sz val="9.0"/>
        <u/>
      </rPr>
      <t>https://maps.app.goo.gl/2rtF7tZYT6NtimCa7?g_st=ac</t>
    </r>
  </si>
  <si>
    <t>مرتضى</t>
  </si>
  <si>
    <t xml:space="preserve">شركة زي موحد </t>
  </si>
  <si>
    <t>تم تحويله على ايميل انفو</t>
  </si>
  <si>
    <t>محمد السليمان</t>
  </si>
  <si>
    <r>
      <rPr>
        <rFont val="Calibri"/>
        <color theme="1"/>
        <sz val="9.0"/>
      </rPr>
      <t xml:space="preserve">قلت للعامل قبل يعبي في فاتورة ؟ قالي ايوا وعبيت سيارة الشركة وجا يقولي الجهاز عطلان كيف محطة قد كذا مافيها اجهزة وكلهم من الجنسية الباكستانية مو عارفه اتعامل معاهم ابا الفاتورة اليوم لازم اقدمها للشركة مارح اتحرك لين توصلني - المبلغ 61 - شبكة - 10:36ص  - المنتج  91  </t>
    </r>
    <r>
      <rPr>
        <rFont val="Calibri"/>
        <color rgb="FFFF6D01"/>
        <sz val="9.0"/>
      </rPr>
      <t xml:space="preserve">- تم ارسال الفاتورة للعميل والاعتذار وتطيب خاطره </t>
    </r>
  </si>
  <si>
    <t xml:space="preserve">"تم رفع الفاتوره على المجموعه الخاصه بخدمة العملاء
"
</t>
  </si>
  <si>
    <t xml:space="preserve">Hgfr Ggdd
</t>
  </si>
  <si>
    <t xml:space="preserve">2026/06/08ملاحظة من محطة درب المسجد فيه روائح كريهة والفرشة وسخة ارجو اتاكد من النظافة
 </t>
  </si>
  <si>
    <t xml:space="preserve"> تم تحديث اخر افاده من المشتريات في انتظار اعتماد السعر وتم طلب موعد
وتم التوضيح ان الطلب يؤثر على تجربة العميل
وسيتم التصعيد في حال عدم اللتزام </t>
  </si>
  <si>
    <t>سعيد عطيه عبد الله المالكي</t>
  </si>
  <si>
    <r>
      <rPr>
        <rFont val="Calibri"/>
        <b/>
        <color theme="1"/>
        <sz val="9.0"/>
      </rPr>
      <t xml:space="preserve">درب شرائع النخل
السبت 12/7/2026
الوقت من ٨،٣٠ الى ٩،١٥
عبيت بمئة ريال كاش ولم يتعبى البنزين يوم السبت - (ح م ح 5132) - جيب لكزس 2012 - المضخة اول وحده يسار  - منتج 95 - </t>
    </r>
    <r>
      <rPr>
        <rFont val="Calibri"/>
        <b/>
        <color rgb="FFFF6D01"/>
        <sz val="9.0"/>
      </rPr>
      <t xml:space="preserve">تم االتواصل مع العميل وافاد انه انه ناسي بيرجع يتواصل معنا واتس اب  - تم التحقق لاوجود له في الكاميرات </t>
    </r>
  </si>
  <si>
    <t xml:space="preserve">تم التحقق من الكاميرات والسيارة غير موجوده تم ابلاغ العميل بارسال الوقت الصحيح وتزويده برقم مدير المحطة في حال وصوله لها ولم يتم افادتنا باي تحديث من العميل </t>
  </si>
  <si>
    <t xml:space="preserve">Canceled </t>
  </si>
  <si>
    <t>12 Hours</t>
  </si>
  <si>
    <t>ريان السبيحاني</t>
  </si>
  <si>
    <t xml:space="preserve">محطة قائمة -مساحة الارض  3156م - المبني 1893م شركة الرياض القابضة ملاك للارض </t>
  </si>
  <si>
    <t xml:space="preserve">ضيعت مفتاحها ومو عارفه اي محطة </t>
  </si>
  <si>
    <t xml:space="preserve">تمت افادتها بمواقع جميع المحطات وافادت يمكن محطة ثانية </t>
  </si>
  <si>
    <t>احمد القديمي</t>
  </si>
  <si>
    <t>بسام عبدالله المبارك</t>
  </si>
  <si>
    <t xml:space="preserve">في محطة في جدة بعد طريق جازان يبي المساحة الهنقر الي فيه 
يبي تواصل اليوم ضروري لان لو بتاجرو بيجلس لو لا بيسافر </t>
  </si>
  <si>
    <t xml:space="preserve">محطة مستثمر - ولي العهد مخطط 1 - 998 م تقريبا التواصل الساعه 9 ص </t>
  </si>
  <si>
    <t>عواد عيسى الحربي</t>
  </si>
  <si>
    <r>
      <rPr>
        <rFont val="Calibri"/>
        <b/>
        <color rgb="FF131825"/>
        <sz val="9.0"/>
      </rPr>
      <t xml:space="preserve">⛽️فرصة استثمارية بموقع مميز👌👇
📢الاعلان عن أستثمار طويل الأجل لارض تجارية مرخص عليها محطة وقود فئة (ب)⛽️📍الموقع القصيم -الفوارة✅ طريق الملك عبدالعزيز عرض 64م❇️مساحة الارض 1496م2✅مميزات الموقع :-🔹طولها على الشارع العام (35)م🔹الارض مستوية🔹الموقع على طريق عام يربط منطقة القصيم بمنطقة حائل (طريق البتراء -الفوارة-سميراء -حائل)✅تقع على ثلاث شوارع🔸الشارع العام عرض (64)م (طريق الملك عبدالعزيز مسارين)🔸شارع شمالي عرض 20م🔸شارع غربي عرض 20م✅الترخيص جديد وينتهي 1450/12/22◾️توفر المخطط الانشائي◾️توفرالمخطط المعماري◾️توفر مخطط السلامة💰الايجار السنوي 100 الف ريال قابل للتفاوض📍الموقع: </t>
    </r>
    <r>
      <rPr>
        <rFont val="Calibri"/>
        <b/>
        <color rgb="FF1155CC"/>
        <sz val="9.0"/>
        <u/>
      </rPr>
      <t>https://maps.app.goo.gl/K2Sf3y4o2RZst1hi8</t>
    </r>
    <r>
      <rPr>
        <rFont val="Calibri"/>
        <b/>
        <color rgb="FF131825"/>
        <sz val="9.0"/>
      </rPr>
      <t xml:space="preserve"> 📸مرفق بعض الصور.📌ترخيص الاعلان من الهيئة العامة للعقار(7200996428)🔸الوسيط العقاري🔸مكتب عواد عيسى الحربيللعقار بالفوارةللتواصل والاستفسار :-
📲0566412912</t>
    </r>
  </si>
  <si>
    <t>عبدالله شرعبي</t>
  </si>
  <si>
    <t xml:space="preserve">موظف يبي يوصل لمعتز  - مديره فواز - احمد </t>
  </si>
  <si>
    <t>تم ابلاغه بالتواصل مع مديره المباشر</t>
  </si>
  <si>
    <t>ساجد علي</t>
  </si>
  <si>
    <t xml:space="preserve">محل - شركة النور البخاري </t>
  </si>
  <si>
    <t>فواز علي مخمد الشهري</t>
  </si>
  <si>
    <t>MK202</t>
  </si>
  <si>
    <r>
      <rPr>
        <rFont val="Calibri"/>
        <b/>
        <color rgb="FF131825"/>
        <sz val="9.0"/>
      </rPr>
      <t xml:space="preserve"> محطة الخير 09 / 06 / 2026 تعبئة الشاحنات ديزل وكذالك الدينات الصغيره وتقوم معظم الشاحنات بالدخول من الخروج وتسب زحمة في الخط  - المحطة ليست منظمة بالهوية المطلوبة
</t>
    </r>
    <r>
      <rPr>
        <rFont val="Calibri"/>
        <b/>
        <color rgb="FF1155CC"/>
        <sz val="9.0"/>
        <u/>
      </rPr>
      <t>https://maps.app.goo.gl/BXcwhrAWy2fQEY9A7</t>
    </r>
    <r>
      <rPr>
        <rFont val="Calibri"/>
        <b/>
        <color rgb="FFFFFFFF"/>
        <sz val="9.0"/>
      </rPr>
      <t xml:space="preserve"> </t>
    </r>
    <r>
      <rPr>
        <rFont val="Calibri"/>
        <b/>
        <color rgb="FFFF9900"/>
        <sz val="9.0"/>
      </rPr>
      <t xml:space="preserve">- تم الاعتذا ر من العميل وانه سيتم العمل على تعديل الهوية وتحسين الخدمة </t>
    </r>
  </si>
  <si>
    <t>تم ارسال ايميل فرنشايز</t>
  </si>
  <si>
    <t xml:space="preserve"> عزوز السلمي
</t>
  </si>
  <si>
    <t xml:space="preserve"> Mk003</t>
  </si>
  <si>
    <r>
      <rPr>
        <rFont val="Calibri"/>
        <color rgb="FF131825"/>
        <sz val="9.0"/>
      </rPr>
      <t xml:space="preserve">من أسواء المحطات الموجودة قي العوالي دايما المسجد مافيه كهرباء ودوراة المياة مافيه مويه ودائما المشاكل هاذي موجوده في المحطة هاذي من اسواء المحطات الثلاثاء، 14 يوليو 2026 في 08:5 </t>
    </r>
    <r>
      <rPr>
        <rFont val="Calibri"/>
        <color rgb="FFFF9900"/>
        <sz val="9.0"/>
      </rPr>
      <t>تم إبلاغ قسم الصيانة بشأن الملاحظة، وأفادوا بأن سبب الانقطاع المتكرر للكهرباء يعود إلى زيادة الأحمال على عداد المسجد، وذلك نتيجة اشتراكه مع منشأة حاشي باشا على نفس العداد، مما يؤدي إلى انقطاع التيار الكهربائي بشكل متكرر وتأثر الخدمات المرتبطة به، بما في ذلك المسجد ودورات المياه.
كما أفادت الصيانة بأن إجراءات نقل الخدمة الكهربائية إلى عداد مستقل جارية حاليًا،</t>
    </r>
  </si>
  <si>
    <t>عبدالله الاسمري</t>
  </si>
  <si>
    <r>
      <rPr>
        <rFont val="Calibri"/>
        <b/>
        <color rgb="FF131825"/>
        <sz val="9.0"/>
      </rPr>
      <t xml:space="preserve">العامل يقول ادفع وانا ابي فل قال ادفع 200 بعدين ارجع لك كاش قلت له عبي ب100 ريال لانه اتستفزني رافض يعبي رفعت بلاغ في وزارة التجارة - 4:40م - اسمه محمد شاهين </t>
    </r>
    <r>
      <rPr>
        <rFont val="Calibri"/>
        <b/>
        <color rgb="FFFF6D01"/>
        <sz val="9.0"/>
      </rPr>
      <t xml:space="preserve"> تم التواصل والاعتذار وفي حال التكرار يتواصل معنا </t>
    </r>
  </si>
  <si>
    <t xml:space="preserve">  محطة في شارع الحج و قريب بيكون جنبها بوليفارد بمساحة مليون متر فرصة ماتتفوت </t>
  </si>
  <si>
    <r>
      <rPr>
        <rFont val="Calibri"/>
        <b/>
        <color rgb="FF434343"/>
        <sz val="9.0"/>
      </rPr>
      <t xml:space="preserve">يوم الاربعاء الساعة 4:04 م العامل مو امام المضخة وخويه يقولي 10 دقايق ويحي رايح يتغدا وانا لي نص ساعه واقف عند المضخة 05D والصف الثاني رفضو يخدموني- تاهو شفرولية ابيض </t>
    </r>
    <r>
      <rPr>
        <rFont val="Calibri"/>
        <b/>
        <color rgb="FFFF9900"/>
        <sz val="9.0"/>
      </rPr>
      <t>-تم التواصل مع العميل وتمت التعبئة له</t>
    </r>
  </si>
  <si>
    <t>عمر المهلبي</t>
  </si>
  <si>
    <t xml:space="preserve"> ارض
المساحة: 2100
الموقع : طريق عشيره الرئيسي
</t>
  </si>
  <si>
    <r>
      <rPr>
        <rFont val="Calibri"/>
        <b/>
        <color rgb="FF131825"/>
        <sz val="9.0"/>
      </rPr>
      <t xml:space="preserve">عميل سيارة اب وصلت قال انتظر 30د جيت كلمتو جا قالي مافي سيارة اب لو يقولي من البدايه ليه يخليني انتظر هذا الوقت كلو دايما تصير مشاكل مع سيارة اب انا لو ما اثق واحب اعبي من درب كان ماجيت العمال كرهوني اعبي عندكم  -  هونداي ابيض (2861 - أ ب س) - الداخلي - كلهم  - 2026-06-09 05:48:16 PM UTC+03:00 - </t>
    </r>
    <r>
      <rPr>
        <rFont val="Calibri"/>
        <b/>
        <color rgb="FFFF6D01"/>
        <sz val="9.0"/>
      </rPr>
      <t xml:space="preserve">تم التواصل والاعتذار من العميل واخذ تفاصيل الشكوى </t>
    </r>
  </si>
  <si>
    <t>تمت متابعة الشكوى  مع مدير المحطة، والتأكيد على العاملين بضرورة إبلاغ العملاء بحالة الخدمة بشكل واضح وعدم التسبب في انتظارهم دون مبرر مع تحسين مستوى الخدمة</t>
  </si>
  <si>
    <t xml:space="preserve"> السلام عليكم ورحمة الله وبركاته،
أود تقديم ملاحظة بخصوص تجربة حصلت لي اليوم في فرعكم بجده بحي البغدادية الغربية.
أنا أمتلك سيارتي منذ ثلاث سنوات، وخلال هذه الفترة أقوم بتعبئة الوقود بشكل منتظم، وحتى عندما يكون خزان الوقود شبه فارغ تمامًا فإن قيمة التعبئة الكاملة تكون عادة بين 137 و138 ريالًا كحد أقصى.
اليوم قمت بالتعبئة في فرع البغدادية الغربية، ورغم أن السيارة لم تكن على آخر الوقود بالكامل وكان لا يزال فيها كمية، فوجئت بأن قيمة التعبئة وصلت إلى 141 ريالًا، وهو أمر لم يحدث معي طوال فترة امتلاكي للسيارة.
بصراحة استغربت جدًا من هذا الفرق، خاصة أنني أثق باسم محطات درب وسمعتها، لذلك آمل منكم التحقق من عملية التعبئة ومراجعة معايرة المضخة والتأكد من عدم وجود أي خلل.
وفي حال تبين وجود أي خطأ أو ملاحظة تستدعي المعالجة، آمل إنصافي واتخاذ الإجراء المناسب بما يحفظ ثقة العملاء.
شاكرًا لكم حسن تعاونكم، وأتطلع إلى ردكم وتوضيحكم.</t>
  </si>
  <si>
    <t>فيصل الفهمي</t>
  </si>
  <si>
    <r>
      <rPr>
        <rFont val="Calibri"/>
        <b/>
        <color rgb="FF131825"/>
        <sz val="9.0"/>
      </rPr>
      <t xml:space="preserve">طلبته يعبي وحسابي  55.34 ريال قلت له فيزا قال ادفع 56 عشان ريال هذا ياخذوه مني اذا دفعت فيزا قلت له مو مشكلتي ولا مشكلتك هذي الشركه هي الي تتحمل واصريت ادفع فيزا قام زعل وينافخ وجاب الجهاز واسلوبه سيء يمد الجهاز زي الي ادفع وامشي فكنا ترا مو من حقه يطلب زياده ولا من حقكم تخصمو عليه  - اكسنت هونداي ابيض (ح ه د 8046) المنتج:  اخضر - المبلغ 55.34ريال شبكة الساعه 21:10م - المسار الداخلي اليمين اخر شي -  2026-06-09 09:05:27 PM UTC+03:00 - </t>
    </r>
    <r>
      <rPr>
        <rFont val="Calibri"/>
        <b/>
        <color rgb="FFFF6D01"/>
        <sz val="9.0"/>
      </rPr>
      <t>لم يتم الرد</t>
    </r>
  </si>
  <si>
    <t>فادي</t>
  </si>
  <si>
    <t xml:space="preserve">  MK029</t>
  </si>
  <si>
    <t xml:space="preserve"> حمام المسجد وانتو بكرامه يحتاج صيانه اسلاك المويه نصها مقطع او مثقوب الشفاط لي تهوية الحمامات شبه معدوم مكتومه وغير الروائح الكريها بسبب الشفط الضعيف وغير نظافة الحمامات الكراسي والبلاط معدومين طول الوقت  Wednesday, July 15, 2026</t>
  </si>
  <si>
    <t>مروة الحربي</t>
  </si>
  <si>
    <t>عبدالوالي اليحيى 10 افرع في انحاء المملكة</t>
  </si>
  <si>
    <t>تمت الافاده بالارسال عبر الايميل</t>
  </si>
  <si>
    <t>ابو بكر باراس</t>
  </si>
  <si>
    <t>soso</t>
  </si>
  <si>
    <t>الاسم: شركة نجم العروس لتأجير لوازم المناسبات المحطة: محطات جدة التاريخ: 9 يونيو الوقت: من الان شكوى/اقتراح: احتاج شرايح نفس حق محطات الدريس لان عندنا سيارتين باسم الشركة عشان الفواتير احتاجها باسم الشركة</t>
  </si>
  <si>
    <t xml:space="preserve">دخلت المحطة شبه فاضيه مافيها عمال وقفت لقيت عامل جالس على جواله لحاله بين المضخات قلت عبي لي 20 اخضر وجات سيارة بالمسار الي جنبي وقاله العامل روح هنا مافي احد قلت له كيف مافي احد والسياره خلاص تمشي ما تعبي لها ؟ قال اي مافي احد غيري هنا مديري بس يجي كليوم 10 د ويروح انا هنا لحالي وسيارات كثير ما اقدر اعبي الا هنا   - دفعت كاش السيارة نيسان صني - المسار الي على الشارع - اخضر - الساعه 5:10 م تقريبا </t>
  </si>
  <si>
    <t>تم تنبيه المشرف واتخاذ االجراء التالي تواجد المشرف بالمحطة لعدة ايام حتى يراقب العمال ويكون معهم خطوه بخطو ويتعلموا يضلوا الشفت كامل</t>
  </si>
  <si>
    <t>عوض</t>
  </si>
  <si>
    <t xml:space="preserve">يرغب بعرض محطه مساحه 5000م -مالك </t>
  </si>
  <si>
    <t xml:space="preserve">عبد الله متعب
</t>
  </si>
  <si>
    <t>صيانة سيارات نيتروس سبيد المدينه المنوره</t>
  </si>
  <si>
    <t>هذا رقم سوبر ماركت درب؟ ياليل مابي اتوظف ابي رقم بقالتكم</t>
  </si>
  <si>
    <t>حازم</t>
  </si>
  <si>
    <t>المدينه</t>
  </si>
  <si>
    <t xml:space="preserve">حاب يستاجر محل -وكيل </t>
  </si>
  <si>
    <t>مطلق</t>
  </si>
  <si>
    <t xml:space="preserve">يرغب بعرض موقع بمساحه 2200م -مالك </t>
  </si>
  <si>
    <r>
      <rPr>
        <rFont val="Calibri"/>
        <b/>
        <color rgb="FF131825"/>
        <sz val="9.0"/>
      </rPr>
      <t xml:space="preserve">يطيب لنا في مكتب القمة الواعدة للأستشارات البيئية أن نعرض على جهاتكم الموقرة خدماتنا المتخصصة في استصدار التصاريح البيئية الإنشائية والتشغيلية ، وذلك وفق أحدث المواصفات والمعايير الوطنية /المركز الوطني للرقابة على الإلتزام البيئى والدولية المعتمدة. ومزيد من البيانات عن أعمالنا / زوزوا موقعنا الإلكتروني : </t>
    </r>
    <r>
      <rPr>
        <rFont val="Calibri"/>
        <b/>
        <color rgb="FF1155CC"/>
        <sz val="9.0"/>
        <u/>
      </rPr>
      <t>https://promising-consult.netlify.app/</t>
    </r>
  </si>
  <si>
    <t>اشواق</t>
  </si>
  <si>
    <t xml:space="preserve"> في حالة سيئة جدًا، تفتقر إلى أبسط معايير النظافة والصيانة، وغير مهيأة للاستخدام الآدمي. المكان متسخ بشكل واضح، وتنبعث منه روائح كريهة، كما أن مستوى النظافة لا يليق بخدمة تُقدم للمسافرين. نأمل سرعة الاهتمام بها، وتحسين مستوى النظافة والصيانة بشكل مستمر، حتى تكون مناسبة وآمنة للاستخدام 23:47:11 Wednesday, July 15, 2026</t>
  </si>
  <si>
    <t>يستفسر عن عرض كفرات بلس</t>
  </si>
  <si>
    <t>محمد الغبان</t>
  </si>
  <si>
    <t>يوجد لدينا موقع محطة بمساحة جيده حابين نعرضها عليكم</t>
  </si>
  <si>
    <t>منيف العتيبي</t>
  </si>
  <si>
    <r>
      <rPr>
        <rFont val="Calibri"/>
        <color theme="1"/>
        <sz val="9.0"/>
      </rPr>
      <t>الحويه  العامل رفض يعبي لي لان موظف الشفت الثاني ماجا لي سبع دقايق انتظر ونا وراي دوام - 11:57 م  - 16-7 -</t>
    </r>
    <r>
      <rPr>
        <rFont val="Calibri"/>
        <color rgb="FFFF6D01"/>
        <sz val="9.0"/>
      </rPr>
      <t xml:space="preserve"> تم الاعتذار من العميل وقت تبديل شفتات</t>
    </r>
  </si>
  <si>
    <t>شفت</t>
  </si>
  <si>
    <t>تمت الافادة النسيم MK015</t>
  </si>
  <si>
    <t>فهد الغامدي</t>
  </si>
  <si>
    <r>
      <rPr>
        <rFont val="Calibri"/>
        <color theme="1"/>
        <sz val="9.0"/>
      </rPr>
      <t xml:space="preserve">العماله مافي الا واحد  انا من سكان المنطقه اخر كم اسبوع اضطر اروح محطات خارج الحي عشان البطء الي فيهاا  طول الوقت الاداء سيء والله محطات درب صارت بنسبه لي احلى مافيها السوبر ماركت والخدمات لكن المحطة خدمتها سيئة واقف  ثلث ساعه عشان اعبي انا مشيت لا تراجعين سيارتي وتطلبي بياناتها راجعي عدد عمالكم بالمحطة وقت استلام الشكوى 2:30 م  </t>
    </r>
    <r>
      <rPr>
        <rFont val="Calibri"/>
        <color rgb="FFFF6D01"/>
        <sz val="9.0"/>
      </rPr>
      <t xml:space="preserve">- لم  يتم الرد - تمت مراجعة الكاميرات والعمال متواجدين في المحطة </t>
    </r>
  </si>
  <si>
    <t xml:space="preserve">عمر المالكي </t>
  </si>
  <si>
    <t xml:space="preserve">فزت بكوبون والى الان محد تواصل معي </t>
  </si>
  <si>
    <t>تم الارسال لعبدالعزيز</t>
  </si>
  <si>
    <t xml:space="preserve">محل - زيت وفلاتر - شركة برنت </t>
  </si>
  <si>
    <t>اماني صالح</t>
  </si>
  <si>
    <t xml:space="preserve">مسعود عبدالله مسعود الشهراني
</t>
  </si>
  <si>
    <r>
      <rPr>
        <rFont val="Calibri"/>
        <color theme="1"/>
        <sz val="9.0"/>
      </rPr>
      <t xml:space="preserve">جيت المحطة اقولو عبي يقولي خربانه بعدين جات سيارة وعبى لها ودقيت عليكم الان هو قرر يعبي يوم اتصلت شوفيني واقفه -  احمر جيلي - (د م ط - 5125) - 50 شبكة - 2:53م -  ثالث مسار - ممكن رقم المضخة 20 مو متاكده  - </t>
    </r>
    <r>
      <rPr>
        <rFont val="Calibri"/>
        <color rgb="FFFF6D01"/>
        <sz val="9.0"/>
      </rPr>
      <t xml:space="preserve">تم التواصل مع العميلة بعد مراجعة الكاميرات وافادت ان العامل اول ما وصلت كان يسولف مع السيارة الي قدامها واسلوبه سيء جدا ومو مقبول وكان يقولي المخضة خربانه وبعدين بعد ما اتصلت عليكم قام يعبيلي منها </t>
    </r>
  </si>
  <si>
    <t xml:space="preserve">تم مراجعة الفديو ويتضح ان العامل كان مشغول بتعبئة سياره اخرى جاءات قبل الحمراء الجيلي </t>
  </si>
  <si>
    <t>ارض / يوجد عليها محلات تجاريه ومستودع لامانع من ازالتها المساحة/ على الشارع الرئيسي ٧٥ متر والشارع الفرعي فوق ٢٠٠ متر الموقع / محافظة بيشة المدخل الغربي للمحافظة على الشارع العام يوجد رخصه تجارية للمحلات قديمه استفساري /ارغب بتاجير الموقع لشركتكم بالسعر اللي ترغبون فيه اتمنى الرد ومشاركتكم لي</t>
  </si>
  <si>
    <t>انس</t>
  </si>
  <si>
    <t>محمد ابو رامي</t>
  </si>
  <si>
    <t>استثمار ارض ساحة 3500م اربع واجهات جدة - طريق الامير ماجد لا يوجد رخصه اود التواصل مع القسم المختص بالاستثمار</t>
  </si>
  <si>
    <t xml:space="preserve">استفسار غير مكتمل </t>
  </si>
  <si>
    <t>حبيب عبدالله المقطري</t>
  </si>
  <si>
    <t xml:space="preserve">محطه سيء جدا جدا تعاملهم زفت جد محطه غير ليق 9 يونيو 2026
</t>
  </si>
  <si>
    <t>تم توجيه إدارة المحطة بالتحقق من الملاحظة واتخاذ اللازم والتأكيد على العاملين بحسن التعامل</t>
  </si>
  <si>
    <t>متى افتتاح محطة الي في المدينه المنوره الي في شارع الهجره</t>
  </si>
  <si>
    <t>نعمل على تجهيز الموقع وسنكون في خدمتكم قريبًا بإذن الله. 🧡
للاطلاع على تفاصيل العروض الرجاء متابعتنا عبر منصاتنا الرسمية 🙏</t>
  </si>
  <si>
    <t xml:space="preserve">سلطان نواف العنزي
</t>
  </si>
  <si>
    <t>fwws1</t>
  </si>
  <si>
    <t>الاستفسار: حاب ان اكون معكم و انضمم إليكم هل في طريقة اخرى غير الايميل اتواصل معكم فيها</t>
  </si>
  <si>
    <t xml:space="preserve">كل شي ممتاز ولكن اتمنى الاهتمام ب نظافة المسجد ورائحته
السجاد يحتاج نظافة9 يونيو 2026 </t>
  </si>
  <si>
    <t xml:space="preserve">تم عمل تنظيف عميق للمسجد وتم تفعيل الفواحات وسحب متابعتها من قسم الصيانة الى قسم البيئية 
كما ستتم  المتابعة المسجد من قبلي   </t>
  </si>
  <si>
    <t>Abood Yaqoob</t>
  </si>
  <si>
    <t>اخلاق المطوع صفر الاثنين، 13 يوليو 2026 في 08:14 م</t>
  </si>
  <si>
    <t>عمر احمد المخلافي</t>
  </si>
  <si>
    <t xml:space="preserve">شوفو على تعامل لذا الموضفين وبي امكانكم مرجعت الكيمرات تم التحرير في 9 يونيو 2026
-مرفق صورة العامل على قوقل ماب </t>
  </si>
  <si>
    <t>م توجيه مدير  المحطة بالتحقق  واتخاذ اللازم والتأكيد على العاملين بحسن التعامل وتقديم الخدمة بالشكل المطلوب</t>
  </si>
  <si>
    <t xml:space="preserve">Rayan </t>
  </si>
  <si>
    <t>محطه ممتازه بس لما زرتها عدم توفر ٩١
الثلاثاء، 14 يوليو 2026 في 01:21 م</t>
  </si>
  <si>
    <t xml:space="preserve">ابراهيم </t>
  </si>
  <si>
    <t xml:space="preserve">محطة قائمة - وسيط </t>
  </si>
  <si>
    <t>saudi hero</t>
  </si>
  <si>
    <t xml:space="preserve">التأكد من السعر وعدد اللترات قبل الدفع، لأن المبلغ الذي تم احتسابه لي كان أعلى من المتوقع بحوالي 4 ريالات.اخر مره اعبي منهم
الثلاثاء، 14 يوليو 2026 في 05:37 م
</t>
  </si>
  <si>
    <t>في منتجات تباع في المحطة جنب المضخات  زي ليكوي مولي ؟</t>
  </si>
  <si>
    <t>منير العتيبي</t>
  </si>
  <si>
    <t>تمت الافاده لايوجد</t>
  </si>
  <si>
    <t>Mk006</t>
  </si>
  <si>
    <t xml:space="preserve">أنا من محبين محطت درب وللأسف
يوجد في هاذي المحطه مشكله بسبب تعامل العمال مع الزبان أرجو ان يتم تعمال مع العمال لأنهم جلعوني اندم اني تعاملت مع المحطه وأنا شديد ندم👍🏻الأربعاء، 15 يوليو 2026 في 11:14 ص
</t>
  </si>
  <si>
    <t xml:space="preserve">مروان شيحه </t>
  </si>
  <si>
    <t>Rayan Alyasi</t>
  </si>
  <si>
    <t>كنت على تواصل مع موظفين عبدالعزيز و امواج واتفقت معاهم على ان يكون الدفع بعد النشر لكن التحويل طول انا مابا مشاكل لكن خلال اليوم ياليت يتم التحويل لاني جالس اتواصل ومافي رد</t>
  </si>
  <si>
    <t xml:space="preserve">اسوء عمالة للاسف في المحطه اسلوبهم سيء شايفين نفسهم ويطنشك ويتأخر وحصل معاي مع اكثر من عامل صراحه ضروري الادارة تشوف حل معاهم
الخميس، 16 يوليو 2026 في 01:43 ص
</t>
  </si>
  <si>
    <t xml:space="preserve">تم التحويل ومرفق ايصال وتم اغلاقها مع العميل </t>
  </si>
  <si>
    <t>تم التوجيه بالتحقق من عمال الوردية الليلية المعنية ومساءلة المقصرين منهم والتشديد على جميع عمال المحطة بالالتزام بمعايير التعامل اللائق وسرعة الخدمة مع إخضاع فريق المحطة لمتابعة ميدانية مكثفة نظراً لتكرار الملاحظات على أسلوب التعامل واتخاذ الإجراء النظامي بحق من يثبت استمرار تقصيره</t>
  </si>
  <si>
    <t xml:space="preserve">شركة ركاز العقارية متخصصين في تطوير المرافق السكنية  - عندنا اراضي تصلح تكون محطة نبي نتعاون معكم بما انكم شركة متميزة </t>
  </si>
  <si>
    <t>albhr55 66</t>
  </si>
  <si>
    <t>3 عمال ما يعرفون يعبون بنزين
الخميس، 16 يوليو 2026 في 10:16 ص</t>
  </si>
  <si>
    <r>
      <rPr>
        <rFont val="Calibri"/>
        <b/>
        <color rgb="FF131825"/>
        <sz val="9.0"/>
      </rPr>
      <t>كننت اعبي بنزين في محطه احد المسارحه جيزان - الطرمبه شغاله والعمال موجودين طلب العامل الانتظار من الانتهاء من السياره الموجوده في الطرمبه الثالثه وهو فالثانيه وطفيت السيار ووقفت- بعدها قال قدم لعندي -ثم قال له امشي ماراح اعبي لك - العميل مشى لرفض العامل التعبئه له  الخميس -الساعه 9:58 لوحة السياره ر-ار 4317 كامري فضي - المسار الاول   -</t>
    </r>
    <r>
      <rPr>
        <rFont val="Calibri"/>
        <b/>
        <color rgb="FFFF6D01"/>
        <sz val="9.0"/>
      </rPr>
      <t xml:space="preserve"> تم اغلاق الشكوى مع العميل والاعتذار منه </t>
    </r>
  </si>
  <si>
    <t>ثامر عدنان</t>
  </si>
  <si>
    <r>
      <rPr>
        <rFont val="Calibri"/>
        <b/>
        <color rgb="FF131825"/>
        <sz val="9.0"/>
      </rPr>
      <t xml:space="preserve">قبل اسبوع جاني العامل قال في واحد عبى 20 وشرد وكلشويه يشغلنا بالهرجه دي امس ونا خارج من المغسله قلت له عبي فل العداد مكتوب عليه 20 قالي خلاص قلت له انتا عبيت فل؟ قال لا بعدين كمل يعبي وحسبلي هيا مع ال20 الي كانت على المضخة وحسابي 94 ريال اتاكدولي هو عبى بنفس المبلغ ولا يستهبل- المبلغ  94 شبكة الساعه 18:56 تاريخ 6-9 منتج 95 - المركبة  كدلك ct6 اسود رقم اللوحة (9897- XBD)  - </t>
    </r>
    <r>
      <rPr>
        <rFont val="Calibri"/>
        <b/>
        <color rgb="FFFF6D01"/>
        <sz val="9.0"/>
      </rPr>
      <t xml:space="preserve">تم التواصل والتوضيح </t>
    </r>
  </si>
  <si>
    <t xml:space="preserve">تم التأكدمن الكامرات وارفاق الفواتير والعمليتين </t>
  </si>
  <si>
    <t xml:space="preserve">طه شقرون </t>
  </si>
  <si>
    <t xml:space="preserve">3755 م لا يوجد رخصة - مسوق عقري </t>
  </si>
  <si>
    <t>صالح محمد</t>
  </si>
  <si>
    <t>Arslan ijaz</t>
  </si>
  <si>
    <t>محطة عظم متبقي نكملها حسب الاشتراطات فنبا نعاون مع شركة- في القوز منطقه فيها كثافه سكانية عاليه اكيد محطة درب تعرف هذي المنطقه  - ابن المالك  رقم التواصل  0538046164</t>
  </si>
  <si>
    <t xml:space="preserve"> / Canadian Maple Leaf
2, Car Wash
3, Wash way
4, More than 5
5, Multiple
I have spoken to the CEO of Washway Company. I want to buy their franchise, so I am looking for a place, a good location. - يبي فرنشايز واش واي </t>
  </si>
  <si>
    <t>السلام عليكم ورحمة الله وبركاته
ااسعد الله مساكم بكل خير ☘️ عندي استفساروهل يمكن للتطبيقات بأن تتكامل مع نظام درب للوقود عبر APIووماهي الشروط والأنظمة المعمول بها اذا امكن ذلك
وشكرا لكم...</t>
  </si>
  <si>
    <t>حياك الله في درب وشكرًا لتواصلك🙏
يرجى إرسال الطلب والملف التعريفي للخدمات إلى الإيميل التالي: Info@darbstaions.com.sa
وسيتم رفعه للإدارة المختصة للاطلاع، وفي حال الحاجة سيتم التواصل معكم مباشرة.
شاكرين تعاونكم 🧡</t>
  </si>
  <si>
    <t>عدنان عمر</t>
  </si>
  <si>
    <t>بقالة  - اول فرع</t>
  </si>
  <si>
    <r>
      <rPr>
        <rFont val="Calibri"/>
        <b/>
        <color rgb="FF131825"/>
        <sz val="9.0"/>
      </rPr>
      <t>العميل يبغى يعبي في جالون عادي والعمال رفضو ويرغب بحل الاشكالية متعطله سيارته ويفيد اني كبير ولا اني لعاب واذا تبون هويتي عطيتكم هي</t>
    </r>
    <r>
      <rPr>
        <rFont val="Calibri"/>
        <b/>
        <color rgb="FFFF6D01"/>
        <sz val="9.0"/>
      </rPr>
      <t>- تم الاعتذار وتوضيح السياسة والعميل راضي</t>
    </r>
  </si>
  <si>
    <t>احمد علي الغامدي</t>
  </si>
  <si>
    <t>النشاط التجاري: مغسله سيارات اسم العلامة التجارية:لا يوجد ماحددت لسا عدد الفروع: لا يوجد المدينة: جده تفاصيل استفسارك: ارغب ب استئجار مغسله سيارات في محطه درب في مشروع الامير فواز الجنوبي بجده</t>
  </si>
  <si>
    <t>اسامه محمد</t>
  </si>
  <si>
    <r>
      <rPr>
        <rFont val="Calibri"/>
        <b/>
        <color rgb="FF131825"/>
        <sz val="9.0"/>
      </rPr>
      <t>المحطة: الفضيلة التاريخ: 10/6/2026 الوقت: 10:28ص شكوى/اقتراح: طلبت من العامل تعبئة ديزل ل ونيت هايلوكس 2023
لكن عبى بنزين 91 وحاليا انا واقف في الخط متعطل من 10 الصباح وجاء ميكانيكي قال المكينة ضربت والسيارة ما تشتغل -</t>
    </r>
    <r>
      <rPr>
        <rFont val="Calibri"/>
        <b/>
        <color rgb="FFFF6D01"/>
        <sz val="9.0"/>
      </rPr>
      <t xml:space="preserve"> تم التصعيد لرغد ولم يتم الرد بعدها تم محاولة التواصل ولم يتم الرد على خدمة العملاء</t>
    </r>
  </si>
  <si>
    <t>وائل قبلان</t>
  </si>
  <si>
    <t xml:space="preserve"> الاستثمار ارض المساحه كبيره مرا الموقع مدركه ماله رخصه</t>
  </si>
  <si>
    <t xml:space="preserve">محطة درب المسار فيها ديزال؟ </t>
  </si>
  <si>
    <t>محسن العبدلي</t>
  </si>
  <si>
    <t xml:space="preserve"> ابحث عن ايميل الادارة للتواصل معهم بخصوص فرصة استثمارية</t>
  </si>
  <si>
    <t>تم الافادة بايميل انفو</t>
  </si>
  <si>
    <r>
      <rPr>
        <rFont val="Calibri"/>
        <b/>
        <color rgb="FF131825"/>
        <sz val="9.0"/>
      </rPr>
      <t xml:space="preserve">قلت للعامل فل حط في الجهاز 50 وقال يلا ادفع 116 على اساس انه عبى ب66 ريال زياده فوق ال50 ابي تتاكدون لي نوع المنتج احمر - قيمة التعبئة 116 ريال - مازدا 20 لونها رصاصي رقم اللوحة( د ك س - 8499) - المسار الداخلي اخر مضخة - 2:54م  - </t>
    </r>
    <r>
      <rPr>
        <rFont val="Calibri"/>
        <b/>
        <color rgb="FFFF6D01"/>
        <sz val="9.0"/>
      </rPr>
      <t>تم الاعتذار وشكرنا على الاهتمام</t>
    </r>
  </si>
  <si>
    <t xml:space="preserve">ماجد اليامي
</t>
  </si>
  <si>
    <t>محطه قائمه الموقع جده نعم لها رخصه بناء ارغب في تأجيرها</t>
  </si>
  <si>
    <t>فهد العواني</t>
  </si>
  <si>
    <t>قراف كافيه - يبي يكمل تواصله مع أستاذة فاطمة من قسم التأجير</t>
  </si>
  <si>
    <t xml:space="preserve"> ابو قاسم</t>
  </si>
  <si>
    <t>الحمامات غير نضيفة والبلاط لون الوساخة لاصق فيه والريحة جدا سئئة
اما المصلى جداجداجدا نظيف19:16:08 Saturday, July 18, 2026</t>
  </si>
  <si>
    <t xml:space="preserve"> تم اخذ الملاحظة بعين الاعتبار و تم زيارة جميع محطات جازان من قبل قسم البيئة وتم التحقق ورفع الملاحظات ولم ترد هذي الملاحظة لدينا من قبل المختص </t>
  </si>
  <si>
    <t>عبدالعزيز يحي الغامدي</t>
  </si>
  <si>
    <t>اهلا وسهلا فيكم نحن ملاك عقار تجاري بمنطقة جازان مدينة جيزان وابحث عن مستثمر يناسب العقار ويواكب لنا رؤية ٢٠٣٠ وتطوير الموقع للمنطقة اذا جاز لكم عرضنا بالعقار لاتترددوا بالتواصل</t>
  </si>
  <si>
    <t>التسعيرة زائده بهللتين - 16:49:25 Saturday, July 18, 2026</t>
  </si>
  <si>
    <t>G</t>
  </si>
  <si>
    <t>غير نظيفه جدا 00:48:15 Friday, July 17, 2026</t>
  </si>
  <si>
    <r>
      <rPr>
        <rFont val="Calibri"/>
        <b/>
        <color rgb="FF131825"/>
        <sz val="9.0"/>
      </rPr>
      <t xml:space="preserve">ثاني مره اجي المحطة والعمال محد يتحرك يعبي يعني بالبدايه رحت المسار اليمين على الشارع محد جاني شفتهم في اليسار رحت كلمتهم بعد طلعة روح قرر يعبي وترا كتبت تعليق في قوقل ماب - الاربعاء 6-10 الساعه 12:8م دفعت 50 ريال شبكة  - شفورليه 2007   رصاصي-  اللوحة (7253 - kTB ) </t>
    </r>
    <r>
      <rPr>
        <rFont val="Calibri"/>
        <b/>
        <color rgb="FFFF6D01"/>
        <sz val="9.0"/>
      </rPr>
      <t>- تم التواصل والاعتذار وشكرنا</t>
    </r>
  </si>
  <si>
    <t>تم ابلاغ مدير  المحطة والتحقق من الواقعة مع العاملين المناوبين في ذلك الوقت وتم حثهم على  سرعة خدمة العملاء وعدم التأخر في تقديم الخدمة</t>
  </si>
  <si>
    <t>اقتراح اضافة خدمات</t>
  </si>
  <si>
    <t>لطيفه</t>
  </si>
  <si>
    <t xml:space="preserve">ايمان </t>
  </si>
  <si>
    <t>كويسه والاكن العام كانت افضل واخاف اجي السنه القادمه الاقيها اصبحت غير جيده - 21:51:10 Thursday, July 16, 2026</t>
  </si>
  <si>
    <t xml:space="preserve">زوجة المهندس معتز ترغب بالوصول له </t>
  </si>
  <si>
    <t xml:space="preserve">لطيب محمد
</t>
  </si>
  <si>
    <t>الاستفسار: ابي احمل التطبيق حق للدرب</t>
  </si>
  <si>
    <t>حياك الله في درب
نعمل حاليا على تطوير الخدمة سيتم اطلاقها قريبًا
شكرا على تواصلك 🧡</t>
  </si>
  <si>
    <t>سبق وان تم الابلاغ عن المحطة تعمل في تعبئة الشاحنات وهذا مخالف وممنوع - متابعة شكوى سابقة</t>
  </si>
  <si>
    <t xml:space="preserve">تم تصعيد لاماني </t>
  </si>
  <si>
    <t>عامر الجلالي</t>
  </si>
  <si>
    <r>
      <rPr>
        <rFont val="Calibri"/>
        <sz val="9.0"/>
      </rPr>
      <t xml:space="preserve">عندي جوال ضايع في محطة درب و يوم شفته بالفايند ماي ايفون شفته في غرفة خدمة العملاء تقريبا
بس لقيته مقفل ابغاكم تتواصلوا مع نفس المحطة غرفة خدمة العملاء لانه كل اللي في المحطة ما تجاوبوا معنا قالوا ما نقدر نعطيك رقم الموظف 😢 الجوال ايفون 12 العادي لون ازرق الكفر أسود
و لكم جزيل الشكر
موقع المحطة </t>
    </r>
    <r>
      <rPr>
        <rFont val="Calibri"/>
        <color rgb="FF1155CC"/>
        <sz val="9.0"/>
        <u/>
      </rPr>
      <t>https://maps.app.goo.gl/862TJXSFMqxsrA778?g_st=awb</t>
    </r>
    <r>
      <rPr>
        <rFont val="Calibri"/>
        <sz val="9.0"/>
      </rPr>
      <t xml:space="preserve">        - افاد العميل انه من سكان مكة وراح 3 مرات المحطة ويوم الخميس الساعه 8 العشاء جاب الدورية والمكتب مافيه احد ومحد من العمال فاده برقم لين حصل رقمنا في قوقل ماب وتواصل معنا واليوم الصباح زار المحطة نفس الشي المكتب مقفل ومافي احد</t>
    </r>
    <r>
      <rPr>
        <rFont val="Calibri"/>
        <color rgb="FFFF9900"/>
        <sz val="9.0"/>
      </rPr>
      <t xml:space="preserve"> - تم التواصل مع العميل وافادته الاجراء الا العميل افاد ان المشكلة انحلت يوجد مسؤول تم تواصله معاي قبل 5 دقايق وافادته بمروره على المحطة واستلام الجوال </t>
    </r>
  </si>
  <si>
    <t>وليد حسن الخرفي</t>
  </si>
  <si>
    <t>RY106</t>
  </si>
  <si>
    <r>
      <rPr>
        <rFont val="Calibri"/>
        <b/>
        <color rgb="FF131825"/>
        <sz val="9.0"/>
      </rPr>
      <t xml:space="preserve">معي جركل مخصص ابي بنزين رفض يعبي لي وما عنده جركل بالمحطة الاربعاء 6-10 الساعه 3:50م بعد الصلاه - النترا بيضه 2015 واحد لابس ثوب - (ح س ل - 4630 ) - </t>
    </r>
    <r>
      <rPr>
        <rFont val="Calibri"/>
        <b/>
        <color rgb="FFFF6D01"/>
        <sz val="9.0"/>
      </rPr>
      <t>تم توضيح السياسه والاعتذار</t>
    </r>
  </si>
  <si>
    <t>يقول جا المحطه يبا يراجع الكامرات 
مشرف المحطه قاله لازم اذن من الشرطه 
الجوال ضايع بقرب دوره المياه خلف المحطه وليس في غرفه خدمه العملاء 
يجيب اذن من الشرطه ويراجعوا له الكيمرات</t>
  </si>
  <si>
    <t>في شخص كلمني وقال انه من شركة درب ابغا اتأكد فقط لا اكثر لان عندي محطة هذا رقمه 539067844</t>
  </si>
  <si>
    <t>الافادة:هذا مسوق من شركة اركان البيت عندهم موقع معانا ولكن يتفاوض باسم درب والمهندس يدري عنه وسالته هل هالشي نظامي قال لا المهندس يستحي منه ولكن بنخذ اجراء ونفيدكم بالرد ع مثل هالطلبات</t>
  </si>
  <si>
    <t>فيصل محمد فزت معكم في x جيت المحطه مارضي العمال يعبي</t>
  </si>
  <si>
    <t>تم التحقق تمت التعبئة اليوم الصباح الساعه 8 مرفق الفاتورة</t>
  </si>
  <si>
    <t xml:space="preserve">
يوجد لدي ارض فضاء مساحة 17ألف م متاحة للإستثمار طويل المدى (١٥سنة) المطلوب: ٤٠٠الف سنوي والانشاءات عليكم  رخصة بناء موجودة
</t>
  </si>
  <si>
    <t xml:space="preserve">غسلت بستم وحرقو لي الدلم وراجع له بالفاتورة ومالقيت لهم رقم تواصل ولكن متوجه لحلها اذا ماحلوها برفع عليكم المشكلة </t>
  </si>
  <si>
    <t xml:space="preserve"> عبدالله المعبدي </t>
  </si>
  <si>
    <t xml:space="preserve">لدي فرص استثماريه تتمثل في مواقع محطات وقود في الجموم... يشرفني التعاون معكم 
الوسيط العقاري </t>
  </si>
  <si>
    <t>محمد الجهني</t>
  </si>
  <si>
    <t xml:space="preserve">عندي موقع ممتاز. مساحه ٤٢ الف متر  حاب اعرضه. لكم إذا في مسول او مختص يتواصل معي علي جوال 0500032165 في مكه المكرمه مكتب روافد العقاريه
</t>
  </si>
  <si>
    <t>افتتاح جازان فين موقعه</t>
  </si>
  <si>
    <t>احمد محمد سلمان</t>
  </si>
  <si>
    <t xml:space="preserve">•        الموقع: محافظة البرك (مباشرة على الطريق الساحلي الدولي الحيوي الرابط بين جدة وجازان).
•        المساحة الاجمالية: 16600 متر مربع (واجهة استراتيجية ممتدة على الطريق الدولي بطول 200متر).
•        حالة الموقع الحالية: المجمع تحت الانشاء (جاهز للتطوير واكمال التشطيبات وتطبيق الهوية الخاصة بشركتكم).
</t>
  </si>
  <si>
    <t xml:space="preserve">علي العامري
</t>
  </si>
  <si>
    <r>
      <rPr>
        <rFont val="Calibri"/>
        <b/>
        <color rgb="FF131825"/>
        <sz val="9.0"/>
      </rPr>
      <t>محطة: البغدادية الغربية - طريق الاندلس ( بجوار فندق قصر المدينة )
التاريخ:03/06/2026
الوقت: 07:08 AM
شكوى: سيارتي هوندا اكورد 2018 سعة خزان الوقود فيها 56 لتر يتم تعبئته 62.43 لتر ، برجاء انصافي واتخاذ ما يلزم - المسار الايسر الصباح الساعه 7 الاربعاء - طلبت تعبئه فل ب 145 انا اول مره اعبي السياره بهذا السعر لوحه السياره  - 5584-دع-ل اكورد ابيض   -</t>
    </r>
    <r>
      <rPr>
        <rFont val="Calibri"/>
        <b/>
        <color rgb="FFFF9900"/>
        <sz val="9.0"/>
      </rPr>
      <t xml:space="preserve"> تم التواصل معه والاعتذار منه وفهم الاشكاليه </t>
    </r>
  </si>
  <si>
    <t xml:space="preserve"> 2026/مايو/30 9:30 العشاء
الشكوي / السلام عليكم ورحمة الله وبركاته أشاره إلى الحادث الواقع داخل الطريق الفرعي بالمحطه نفيدكم بان المركبه تعرضت لسقوط مفاجئ داخل حفره عميقه وخطره دون وجود اي وسائل او تحذير بالموقع حيث لا يوجد لوحات إرشادية ولا عواكس ولا حواجز تنبيهيه رغم خطوره الموقع على مستخدمي الطريق مما تسبب بأضرار جسميه للمركبه وخروج الصدام الامامي وتضرر أجزاء متعدده منها اضافه على خروج الوسائد الهوائية الايرباقات نتيجه قوه الارتطام كما كان برفقتي زوجتي وأطفالي ارجو منكم النظر الى الشكوي حيث لا يوجد معي غير هاذي المركبه فقط وشكرا لتعاونكم- تم التواصل وافاد العميل انه وقت الحادث نادا المرور وقالو له انه هذي الحفرة جزء من تخطيط محطة درب  - تم التواصل مع العميل وافادته بان يتواصل مع الامانه عبر منصة بلدي وتم التوضيح انهها غير تابعة لمخطط المحطه شكرنا وسيتابع طلبه </t>
  </si>
  <si>
    <t xml:space="preserve">صيانة المضخة </t>
  </si>
  <si>
    <t>بعد مراجعة الموقع والإفادة االموقع المشار إليه يقع خارج نطاق المحطة، وخاص بمواقف الترلات ولا يدخل ضمن المرافق أو المناطق التشغيلية التابعة للمحطة.
كما أن مدخل المواقف والطريق الفرعي يتطلبان القيادة بسرعة منخفضة مع مراعاة ظروف الطريق والانتباه للمسار أثناء الدخول والخروج، علماً بأن الموقع تتوفر به إنارات تساعد على الرؤية خلال الفترة المسائية.
وبناءً على ما سبق، ونظراً لكون الحادث وقع خارج نطاق مسؤولية المحطة التشغيلية، فإن المحطة لا تتحمل أي التزامات أو تعويضات ناتجة عن الأضرار المشار إليها في الشكوى</t>
  </si>
  <si>
    <t xml:space="preserve">كان عنده كوبون غسيل من واش واي </t>
  </si>
  <si>
    <t>هل يوجد في الجوف فرع</t>
  </si>
  <si>
    <t>حياك الله في درب
لايوجد فرع حاليا, نعمل على التوسع لنكون أقرب لك بإذن الله
درب سالم🧡</t>
  </si>
  <si>
    <t>كان يبغا يرفع شكوى وتراجع</t>
  </si>
  <si>
    <t>سامر فقيره</t>
  </si>
  <si>
    <r>
      <rPr>
        <rFont val="Calibri"/>
        <b/>
        <color rgb="FF131825"/>
        <sz val="9.0"/>
      </rPr>
      <t xml:space="preserve">لوحظ من عامل المحطة عند التعبئة يأتي لي ويقول ان شخص ملّا بنزين ب20 ريال ولم يحاسب ويرد مني تغطية المبلغ وفي  يوم 6/9/20126 جيت اعبي فل وفجاه لقيت مسدس البنزين واقف على 20 ريال ثم ناديت العامل وقلت له اني طلبت منك تعبئة فل ورجع صفر من جديد وعبا فل 74 وتم حسب ال20 ريال وقال انها لي والمسدس وقف لو انه وقف هوا كان كمل اضافة وليسى من جديد ارجو الانتباه من حركات عامل المحطة مع انه انا من الناس الي احب اعبي من محطات درب منتشرة في جميع احياءً مكه ومحطات نموذجية والشي هذا يعبر عن تصرف شخص لا يخص محطات درب وتم رفع شكوى لدى الشركة
</t>
    </r>
    <r>
      <rPr>
        <rFont val="Calibri"/>
        <b/>
        <color rgb="FFFF9900"/>
        <sz val="9.0"/>
      </rPr>
      <t xml:space="preserve">-تم رفع الشكوى اتصال وتم التوضيح له ان العامل قام بالتعبئة لاول مرة 20 ثم اكملها 74 </t>
    </r>
  </si>
  <si>
    <t>عامل واحد غقط في المحطة 21:43:20 Wednesday, June 10, 2026 -لم يتم الرد</t>
  </si>
  <si>
    <t>العامل سي جدا احد المسارخة بجىار المرور  07:46:30 Wednesday, June 10, 2026 - لم يتم الرد</t>
  </si>
  <si>
    <t>تمت متابعة الملاحظة مع مدير المحطة والتحقق من الواقعة، مع اتخاذ الإجراء المناسب والتأكيد على العاملين بضرورة الالتزام بحسن التعامل وتقديم الخدمة بالشكل المطلوب.</t>
  </si>
  <si>
    <t xml:space="preserve"> MK016</t>
  </si>
  <si>
    <t xml:space="preserve"> رائحه الحمام كريهه جدا Saturday, July 18, 2026</t>
  </si>
  <si>
    <r>
      <rPr>
        <rFont val="Calibri"/>
        <b/>
        <color rgb="FF131825"/>
        <sz val="9.0"/>
      </rPr>
      <t>العميل جدا منفعل من تعامل وبطئ خدمه العمال واخلاقياتهم  والعامل اليماني</t>
    </r>
    <r>
      <rPr>
        <rFont val="Calibri"/>
        <b/>
        <color rgb="FFFF9900"/>
        <sz val="9.0"/>
      </rPr>
      <t xml:space="preserve">-تم التواصل معه والاعتذار منه وحل المشكله </t>
    </r>
  </si>
  <si>
    <t xml:space="preserve"> اكرم الشمري</t>
  </si>
  <si>
    <t>حمام غير نظيف 17:03:07 Monday, June 8, 2026</t>
  </si>
  <si>
    <t xml:space="preserve">تم اخطار مدير المحطة و التنويه على المتابعة </t>
  </si>
  <si>
    <t xml:space="preserve"> الحمام مقرف وعع وكله حشرات وين النظافه؟ لا مناديل ولا صابون وفطريات وعع  Saturday, July 18, 2026</t>
  </si>
  <si>
    <r>
      <rPr>
        <rFont val="Calibri"/>
        <b/>
        <color rgb="FF131825"/>
        <sz val="9.0"/>
      </rPr>
      <t>درب بالحسينيه مكه العميل منقطع طلب تعبئه جالون لانه منقطع وتمت افادته بالجراكل الجاهزه وعند الطلب من العمال -لايوجد -جيب لاند كروزر ابيض لوحه السياره د-رح-ح 227 ثالث مسار  -</t>
    </r>
    <r>
      <rPr>
        <rFont val="Calibri"/>
        <b/>
        <color rgb="FFFF6D01"/>
        <sz val="9.0"/>
      </rPr>
      <t xml:space="preserve"> تم الاعتذار من العميل لعدم توفرها</t>
    </r>
  </si>
  <si>
    <t>دورات المياة تحتاج الى تهوية اكثر وتبريد للمنطقة المكتومة 23:45:19 Sunday, June 7, 2026</t>
  </si>
  <si>
    <t xml:space="preserve"> المسجد ودورات المياه نظيفين وممتاز في التصميم ولكن للأسف دورات المياه مكتومه جدا ولا يوجد بها تهويه Thursday, July 16, 2026 </t>
  </si>
  <si>
    <t xml:space="preserve">حسب الافادة لا يوجد اشكالية في الموقع  </t>
  </si>
  <si>
    <t xml:space="preserve">ارياف </t>
  </si>
  <si>
    <t xml:space="preserve"> للاسف غير تظيفة الوالدة عندها سكر واحتاجت الذهاب للحمام الرائحة سيئة والمناديل المتسخة متروكة على الارض Thursday, July 16, 2026 </t>
  </si>
  <si>
    <t>العامل يقول المحطه مافيها فيزا ولا ماستر وصاحب المحطة مانع الدفع بالفيزا سلامات ايش الكلام هذا !!!! 18:51:19 Saturday, June 6, 2026</t>
  </si>
  <si>
    <t>طريف</t>
  </si>
  <si>
    <t xml:space="preserve"> NB131</t>
  </si>
  <si>
    <t xml:space="preserve"> المحطه ممتازة  لكن لا يوجد فيها مصلى فنرجو من الشركه ان تسوي  مصلى متنقل
 السبت، 18 يوليو 2026 في 10:03 م
</t>
  </si>
  <si>
    <t xml:space="preserve">ان شالله مستقبلا حنخبر المالك بهالاقتراح
</t>
  </si>
  <si>
    <t>لمى</t>
  </si>
  <si>
    <t>كاتبين الدفع مقدم وعاملكم مهمل راح يعبي بدون م يحاسب وهذي ثاني مره يسويها والله المره ل افشخكم باي</t>
  </si>
  <si>
    <t>ابو عبدالعزيز</t>
  </si>
  <si>
    <t xml:space="preserve"> الخدمة سيئة جدا جدا
الأحد، 19 يوليو 2026 في 01:35 ص</t>
  </si>
  <si>
    <t>BBR YAM</t>
  </si>
  <si>
    <t xml:space="preserve"> Fahad </t>
  </si>
  <si>
    <t xml:space="preserve">"محطه تعبانه والعمال سيئين اكلمهم محد يرد ومحد تاكي يعبي لك تكلمه ينفخ  عليك لازم يشفون حل لأسلوب العمال
"10 يونيو 2026
</t>
  </si>
  <si>
    <t>تم إحالة الملاحظة إلى مدير المحطة، مع التأكيد على العاملين بضرورة سرعة الاستجابة للعملاء والالتزام بحسن التعامل</t>
  </si>
  <si>
    <t xml:space="preserve"> JA069</t>
  </si>
  <si>
    <t xml:space="preserve"> تخيل اكثر محطة مزدحمة في جازان مقفلين الحمامات عشان الاستخدام عليها مرتفع ومعلقين ورقة مغلق للصيانة مع عدم وجود صيانة، بالرغم من قوانين المحطات. السبت، 18 يوليو 2026 في 03:19 ص</t>
  </si>
  <si>
    <t xml:space="preserve"> فهد المطيري
</t>
  </si>
  <si>
    <t xml:space="preserve"> الخرج</t>
  </si>
  <si>
    <t>عبدالله محمد</t>
  </si>
  <si>
    <t xml:space="preserve"> RY025</t>
  </si>
  <si>
    <t xml:space="preserve"> العماله الي فيها كلامهم شين و يتكلمون بكلم ماهو زين و اذا هذا تعاملهم مع الزباين و تقييم صفررررررررررر من عشره كل المحطات تعاملهم ممتاز معدا المحطه ذي فيهم شوفت نفس مدري ع ايش
  الخميس، 16 يوليو 2026 في 08:11 م
</t>
  </si>
  <si>
    <t xml:space="preserve">اول ما فتحت المحطة كان البنزين ممتاز ويطول وحتى الممشى يعطيك مسافه كويسه بالأخير صار مثله مثل غيره للاسف
11 يونيو 2026
</t>
  </si>
  <si>
    <t xml:space="preserve">
تم ابلاغ مدي المحطه للأبلاغ عن اي مشاكل في المضخات وتقييسها وننوه  إلى أن استهلاك الوقود يختلف من مركبة لأخرى بحسب عدة عوامل مثل أسلوب القيادة وحالة المركبة والطرق المستخدمة والازدحام المروري </t>
  </si>
  <si>
    <t xml:space="preserve"> Rayan </t>
  </si>
  <si>
    <t xml:space="preserve"> اسوء عمالة للاسف في المحطه اسلوبهم سيء شايفين نفسهم ويطنشك ويتأخر وحصل معاي مع اكثر من عامل صراحه ضروري الادارة تشوف حل معاهم
 الخميس، 16 يوليو 2026 في 01:43 ص
</t>
  </si>
  <si>
    <t>اتمنى يكون فيه صابون سايل تنظيف دقيق للحمامات تركيب رشاشات ماء داخل الحمام وضع مناديل</t>
  </si>
  <si>
    <r>
      <rPr>
        <rFont val="Calibri"/>
        <b/>
        <color rgb="FF131825"/>
        <sz val="9.0"/>
      </rPr>
      <t xml:space="preserve">يوم الخميس الساعه 9:47 ص العميل طلب تعبئة بنزين بمبلغ 50 وقله بشويش الا ان العامل طنشني وعبى لي طقتين وسريعه واخر شي فصل علي يقول تبغى ولا روح عبى مكان ثاني اسلوب لا يرضيني كوريلا 2009 </t>
    </r>
    <r>
      <rPr>
        <rFont val="Calibri"/>
        <b/>
        <color rgb="FFFF6D01"/>
        <sz val="9.0"/>
      </rPr>
      <t>-تم التواصل والاعتذار للعميل</t>
    </r>
    <r>
      <rPr>
        <rFont val="Calibri"/>
        <b/>
        <color rgb="FF131825"/>
        <sz val="9.0"/>
      </rPr>
      <t xml:space="preserve"> </t>
    </r>
  </si>
  <si>
    <t xml:space="preserve">تم ابلاغ مدير المحطة لمراجعة الكاميرات والتأكد من الشكوى وانذار العامل المتسبب وعمل اللازم لتدريب العمالة على حسن التعامل مع العملاء </t>
  </si>
  <si>
    <t xml:space="preserve">تقول ماتصلت </t>
  </si>
  <si>
    <r>
      <rPr>
        <rFont val="Calibri"/>
        <b/>
        <color rgb="FF131825"/>
        <sz val="9.0"/>
      </rPr>
      <t>العميل يفيد ان ماتحول له المبلغ الى الان ويرغب بالتحويل الفوري او رفع شكوى للجهات المختصة ولديه فاتورة تثبت ذلك</t>
    </r>
    <r>
      <rPr>
        <rFont val="Calibri"/>
        <b/>
        <color rgb="FFFF6D01"/>
        <sz val="9.0"/>
      </rPr>
      <t xml:space="preserve"> -تم التواصل والتاكد من الاجراء ومرفق ايصال تحويل</t>
    </r>
  </si>
  <si>
    <t xml:space="preserve">تم تحويل المبلغ </t>
  </si>
  <si>
    <t>الجنوب</t>
  </si>
  <si>
    <t xml:space="preserve">تم التواصل ويقول انحلت المشكله </t>
  </si>
  <si>
    <t xml:space="preserve">منير </t>
  </si>
  <si>
    <t xml:space="preserve">يقول ضيع قلم بالمحطه (افدته بانه يرجع المحطه مكتب المشرف يتاكد) </t>
  </si>
  <si>
    <t xml:space="preserve">استفسار عن عدم التواصل </t>
  </si>
  <si>
    <t xml:space="preserve">تم التواصل وافادته بالمروربمكتب خدمه العملاء </t>
  </si>
  <si>
    <t>قفلت</t>
  </si>
  <si>
    <t>سالم ناصر</t>
  </si>
  <si>
    <t xml:space="preserve">محطة قائمة - المالك </t>
  </si>
  <si>
    <r>
      <rPr>
        <rFont val="Calibri"/>
        <b/>
        <color theme="1"/>
      </rPr>
      <t>سلوك العمال غيراخلاقي  الجمعه الساعه  5:21 العصر</t>
    </r>
    <r>
      <rPr>
        <rFont val="Calibri"/>
        <b/>
        <color rgb="FFFF9900"/>
      </rPr>
      <t xml:space="preserve">  تم الاتصال مرتين ولم يتم الرد</t>
    </r>
  </si>
  <si>
    <t>تم التنبيه على مدير المحطة لزيادة الحرص على تدريب العمال على حسن المعامله مع العملاء وتجنب عدم رضائهم عن الخدمه</t>
  </si>
  <si>
    <t>عبدالرحمن نايف</t>
  </si>
  <si>
    <t xml:space="preserve">أرض - مالها رخصة - وسيط </t>
  </si>
  <si>
    <t xml:space="preserve">نظام فيول باي </t>
  </si>
  <si>
    <t xml:space="preserve">يقول ان الجركل حق البانزين سيء لجميع السيارات يعبي شوي ولباقي برا وبكذا ماستفاد شي منه </t>
  </si>
  <si>
    <t xml:space="preserve">فاز بكوبون ومحد ردعليه </t>
  </si>
  <si>
    <t xml:space="preserve">تم التواصل وافاد انه اخوه دق بجواله وتم الاستلام </t>
  </si>
  <si>
    <t xml:space="preserve">شركة EXOPLA المعارض ومؤتمرات </t>
  </si>
  <si>
    <t>تقول بالغلط</t>
  </si>
  <si>
    <t xml:space="preserve">امنه </t>
  </si>
  <si>
    <t>شركة اي لايف ستي  توريد 32الف لتر يومي - ترغب بالتوريد الديزال ( للتواصل 0579438605 )</t>
  </si>
  <si>
    <t xml:space="preserve">مساحتها 12الف م محطة جاهزه الورثه يبون يقسموها قد كلمني واحد بس ضيعت رقمه </t>
  </si>
  <si>
    <t>استفسار عن طلب مسبق</t>
  </si>
  <si>
    <t xml:space="preserve">عمرو زيد عبده عبدالله العامري </t>
  </si>
  <si>
    <t>جازان صبياء</t>
  </si>
  <si>
    <t>رقم لوحه 6367ر م س 
نوع سزوكي ديزاير الون فضي
رقم جوال 0551588049</t>
  </si>
  <si>
    <t xml:space="preserve">تم استلامها </t>
  </si>
  <si>
    <t>Instgram</t>
  </si>
  <si>
    <t xml:space="preserve">مدير المبيعات في شركة الحلول يعبر عن اهتمامه بارسل البروفايل على الايميل </t>
  </si>
  <si>
    <t>يرغب بعرض ارض مساحه 3000م -مالك</t>
  </si>
  <si>
    <t xml:space="preserve">عرض الحقو </t>
  </si>
  <si>
    <t>يسال اذا متوفر عندنا شرايح</t>
  </si>
  <si>
    <t>عبدالرحمن المتروك</t>
  </si>
  <si>
    <t xml:space="preserve">استثمار - أرض - باقي مالها رخص -  700 - 1200م </t>
  </si>
  <si>
    <r>
      <rPr>
        <rFont val="Calibri"/>
        <b/>
        <color theme="1"/>
        <sz val="9.0"/>
      </rPr>
      <t xml:space="preserve">يفيد العميل بانه كان يبغا يعبي وسيارته وخلص البنزين بسيارته  بعيد شوي عن المسار قال لللعامل عبي شوي ورفض الا انه يقرب من مسارالتعبئه يقول مو اول مره تعامل العمال كذا  11:45الظهر  </t>
    </r>
    <r>
      <rPr>
        <rFont val="Calibri"/>
        <b/>
        <color rgb="FFFF9900"/>
        <sz val="9.0"/>
      </rPr>
      <t xml:space="preserve">تم التواصل والاعتذار من العميل وتقبل الامر </t>
    </r>
  </si>
  <si>
    <t xml:space="preserve"> NP131</t>
  </si>
  <si>
    <t xml:space="preserve">يقترح باضافه مسجد لان المصلين يصلون بالمحطه بدون مسجد </t>
  </si>
  <si>
    <t xml:space="preserve">استفسار عن عدم التواصل  </t>
  </si>
  <si>
    <t xml:space="preserve">عسير بيشه </t>
  </si>
  <si>
    <t>حاب يقترح ارض  مساحتها كبيره على طريق عام (فقط يبغى يدلكم عالموقع يعني ليس وكيل او مالك)</t>
  </si>
  <si>
    <t xml:space="preserve">استفسار عن عدم التواصل - يتواصل من رقمين </t>
  </si>
  <si>
    <t xml:space="preserve"> شركة "TWIV" نوفّر لكم نظام ولاء ذكي يساعدكم على زيادة المبيعات والمحافظة على العملاء بطريقة احترافية 📈
</t>
  </si>
  <si>
    <t xml:space="preserve">تم الارسال لامل الشمراني </t>
  </si>
  <si>
    <t xml:space="preserve"> عدنان </t>
  </si>
  <si>
    <t xml:space="preserve"> محطه المساحه8760نعم يوجد رخصه
</t>
  </si>
  <si>
    <t>معطش الشهراني</t>
  </si>
  <si>
    <t>ارض مالها رخصة - المالك - على طريق دولي</t>
  </si>
  <si>
    <t>سعود الخالدي</t>
  </si>
  <si>
    <t>تأجير</t>
  </si>
  <si>
    <t xml:space="preserve"> يوسف الدعيس</t>
  </si>
  <si>
    <t>مشاري العميري</t>
  </si>
  <si>
    <t xml:space="preserve"> فرع درايف ثرو
</t>
  </si>
  <si>
    <r>
      <rPr>
        <rFont val="Calibri"/>
        <b/>
        <color rgb="FF131825"/>
        <sz val="9.0"/>
      </rPr>
      <t>التاريخ: ٢٤ ذو الحجة ١٤٤٧هـ الوقت: صلاة العشاء شكوى/اقتراح: المسجد التابع للمحطة في مكة حي العوالي يعاني جداً من رائحة كريهة في السجاد.
نرجوا من عنايتكم التكرم وتغييره والتشييك على باقي سجاد المساجد التابعة لكم.-</t>
    </r>
    <r>
      <rPr>
        <rFont val="Calibri"/>
        <b/>
        <color rgb="FFFF9900"/>
        <sz val="9.0"/>
      </rPr>
      <t>تم التواصل مع العميل وشكره على حرصه وملاحظاته</t>
    </r>
  </si>
  <si>
    <t xml:space="preserve">تم التحقق من السجاد حيث نقوم بالصلاة عليه خلال اوقات العمل
 ولا يوجد ملاحظة في رائحته ربما يكون وقت صلاة الظهر او العصر دخول العماله الى المسجد وتكون روائح الجوارب او الشمس </t>
  </si>
  <si>
    <t xml:space="preserve"> 55 902 5612</t>
  </si>
  <si>
    <t xml:space="preserve">  أرض بكدي مكة  تجاري منطقة ابراج  المساحة الاجمالية  9.450 الاف متر 
قرب برج رويال كدي على الشارع العام على 4 شوارع 
</t>
  </si>
  <si>
    <t>يوسف العتيبي</t>
  </si>
  <si>
    <t>محطة - 12م - شارع طريق الطائف الرياض - المالك</t>
  </si>
  <si>
    <t>سعود الدوسري</t>
  </si>
  <si>
    <t xml:space="preserve"> محطة قديمة وسنطورها الى محطة جديدة حسب المخطط الجديد المرفق
المساحة 29 الف متر مربع 
الموقع محافظة السليل طريق الرياض وادي الدواسر ابها
لها رخصة بناء</t>
  </si>
  <si>
    <t>ابراهيم الفتح</t>
  </si>
  <si>
    <t>عبد العزيز</t>
  </si>
  <si>
    <r>
      <rPr>
        <rFont val="Calibri"/>
        <b/>
        <color rgb="FF131825"/>
        <sz val="9.0"/>
      </rPr>
      <t>رفض يعبي عشان اعطيه 50 ومعي ببوكي عشرات ماله دخل انا طلب يعبي بهذي - 2:30م -( د ب ي - 3518) اكسنت ابيض - المسار الداخلي - مارح اعبي بمشي</t>
    </r>
    <r>
      <rPr>
        <rFont val="Calibri"/>
        <b/>
        <color rgb="FFFF6D01"/>
        <sz val="9.0"/>
      </rPr>
      <t xml:space="preserve"> - لم يتم الرد</t>
    </r>
  </si>
  <si>
    <r>
      <rPr>
        <rFont val="Arial"/>
        <b/>
        <color theme="1"/>
        <sz val="10.0"/>
      </rPr>
      <t xml:space="preserve">
الاستفسار: كيف اقدر استفيد من قسيمة كسبتها معكم بتعبئة بنزين بقيمة ١٠٠ ريال
</t>
    </r>
    <r>
      <rPr>
        <rFont val="Arial"/>
        <b/>
        <color rgb="FFFF9900"/>
        <sz val="10.0"/>
      </rPr>
      <t>تم ارسال لقسم التسويق + تم التواصل معاه</t>
    </r>
  </si>
  <si>
    <t xml:space="preserve">جاسم </t>
  </si>
  <si>
    <t>يسيتفسر عن وجود جراكل بمحطه بريده</t>
  </si>
  <si>
    <t>عبيت الساعه 7 الصباح يقول 131 الحساب  ونا سيارتي بحياتها ما وصلت هذا المبلغ  ( د د ي - 6563) بني كيا  اخضر - شبكة  7:17 ص-لم يتم التواصل مع العميل بسبب عدم التجاوب من قسم الفرنشايز</t>
  </si>
  <si>
    <t>عبدالاه</t>
  </si>
  <si>
    <t xml:space="preserve"> نرى اهمية تسهيل الدخول للدورات والمسجد من الشارع لانه فيه صعوبه على كبار السن وذوي الاحتياجات Sunday, July 19, 2026</t>
  </si>
  <si>
    <t>تم رفع طلب إلى قسم الصيانة منذ فترة وما زلنا بانتظار التنفيذ</t>
  </si>
  <si>
    <t xml:space="preserve">ثامر عبيد الحربي  </t>
  </si>
  <si>
    <t xml:space="preserve">ايسرنا أن نطرح عليكم فرصة استثمارية واعدة تتمثل في أرض تجارية بموقع استراتيجي وحيوي على الخط السريع الرابط بين المدينة المنورة ومنطقة القصيم، قبل محافظة الحناكية، وهو من الطرق الرئيسية ذات الحركة المرورية العالية على مدار العام.موقع مباشر على الخط السريع الحيوي بين المدينة المنورة والقصيم•مناسب لإنشاء محطة وقود متكاملة وخدمات مساندةكثافة مرورية عالية وفرصة تشغيلية واستثمارية مميزةجاهزية كاملة للبدء بالمشروعالمساحة: 503,404 سم²
نوع العرض: بيع أو تأجير مباشر من المالك كما تم بحمد الله استكمال جميع التصاريح الحكومية اللازمة للمشروع، بالإضافة إلى إعداد المخطط الهندسي الخاص بالمحطة، مما يختصر الوقت والإجراءات ويمنح المشروع جاهزية فورية للتنفيذ نرحب بتعاونكم الكريم، ويسعدنا تزويدكم بكافة التفاصيل والمستندات الرسمية والتنسيق للاطلاع على الموقع ومناقشة فرص الشراكة أو الاستثمار.
</t>
  </si>
  <si>
    <t xml:space="preserve">اتصلت يقول غلطان </t>
  </si>
  <si>
    <t xml:space="preserve">تم التواصل يقول ماتصلت </t>
  </si>
  <si>
    <t xml:space="preserve">مروان المرواني </t>
  </si>
  <si>
    <t>خالد القاضي</t>
  </si>
  <si>
    <r>
      <rPr>
        <rFont val="Calibri"/>
        <b/>
        <color rgb="FF131825"/>
        <sz val="9.0"/>
      </rPr>
      <t xml:space="preserve"> - قلت لعامل المحطه عبي 80 ريال او فل قام عبى لي وفجاه المسدس ما وقف و طلع برا المدسدس مو المفروض يوقف اول ما يتعبى التانكي؟ ليه طلع وخلاني ادفع حق الي طش ريحة السيارة سيئة ورحت ورجعت ومليان بنزين قام ننظفه وكان مليان المنديل كله اتبلل منه البنزين -  12:44ص - أحمر - احمر فورد - المسار الداخلي على اليمين وقت الاتصال 2026-06-06 00:50:48 AM UTC+03:00 -  80.12 -</t>
    </r>
    <r>
      <rPr>
        <rFont val="Calibri"/>
        <b/>
        <color rgb="FFFF6D01"/>
        <sz val="9.0"/>
      </rPr>
      <t>تمت مراجعة الكاميرات ولم يسكب العامل البنزين لم يتم الرد</t>
    </r>
  </si>
  <si>
    <t>*</t>
  </si>
  <si>
    <t>محل ايجار تموينات نامل التواصل على 0504920077</t>
  </si>
  <si>
    <t xml:space="preserve">احلام </t>
  </si>
  <si>
    <t>استفسار عن الشكوى</t>
  </si>
  <si>
    <t xml:space="preserve">تمت افادتها وتصعيدها لاماني والتشغيل </t>
  </si>
  <si>
    <t xml:space="preserve"> تحتاج دورو المياه للصيانه والي النظافة وتركيب مصيدة للذباب  Sunday, July 19, 2026 </t>
  </si>
  <si>
    <t xml:space="preserve">عبدالرحمن محجوبه </t>
  </si>
  <si>
    <t xml:space="preserve"> MK033</t>
  </si>
  <si>
    <t xml:space="preserve"> تعامل سيى جدا من العامل ويرفع صوته على الزباين Sunday, July 19, 2026  - لم يتم الرد</t>
  </si>
  <si>
    <t xml:space="preserve">عبو لي بنزين بدال ديزال - العميل يبي المسؤول </t>
  </si>
  <si>
    <t xml:space="preserve">تم تواصل مع العميل وافاد بان العامل كان يتجادل مع الباص اللي امامي وحضر العامل  واعطتيه  ١٠٠ قلت له عبي ديزل وعبي بنزين - يطلب التعويض - تم اصدار الفاتورة ومتابعتها </t>
  </si>
  <si>
    <t xml:space="preserve"> نايله حسين بكر</t>
  </si>
  <si>
    <t>عرض أرض استثماريه بصك اوراقها كاملة ونظاميه وتنفع محطه الموقع:بين الطائف والباحه لها رخصة بناء محطة: نعم تفاصيل استفسارك: ارغب في مقابلة المدير بتقديم العرض مباشر له "</t>
  </si>
  <si>
    <t xml:space="preserve">تم التواصل وقال ان تمت افادته خلاص  </t>
  </si>
  <si>
    <r>
      <rPr>
        <rFont val="Calibri"/>
        <b/>
        <color theme="1"/>
        <sz val="10.0"/>
      </rPr>
      <t xml:space="preserve">العميل يريد التبرع بثلاجات ولم يتم التجاوب معه </t>
    </r>
    <r>
      <rPr>
        <rFont val="Calibri"/>
        <b/>
        <color rgb="FFFF9900"/>
        <sz val="10.0"/>
      </rPr>
      <t xml:space="preserve">تم التواصل ويحتاج رد  - تم التواصل مع قبل استاذ بسام والتواصل مع العميل والاعتذار وشكرنا </t>
    </r>
  </si>
  <si>
    <t>وعليكم السلام أ/ساميه  تم التواصل مع العميل في تمام الساعة 1.30 واعتماد محطة العرجاني42 فقط لوجود مصلى رجال ونساء شاكر ومقدر حرصكم</t>
  </si>
  <si>
    <t>محمد جلال احمد</t>
  </si>
  <si>
    <t>قسيمه زيناز  - الشوقيه</t>
  </si>
  <si>
    <t xml:space="preserve"> محسن العبدلي</t>
  </si>
  <si>
    <t>يسرّنا أن نعرض عليكم فرصة استثمارية مميزة تتمثل في محطة واقعة على أربعة شوارع في حي الشرفية بمدينة جدة، وتتميز بموقع استراتيجي وحيوي، مما يجعلها فرصة مناسبة للاستثمار والتطوير.</t>
  </si>
  <si>
    <r>
      <rPr>
        <rFont val="Calibri"/>
        <b/>
        <color theme="1"/>
        <sz val="10.0"/>
      </rPr>
      <t xml:space="preserve">يستفسر هل فيه تامين جراكل في محطات بريدة ؟
</t>
    </r>
    <r>
      <rPr>
        <rFont val="Calibri"/>
        <b/>
        <color rgb="FFFF9900"/>
        <sz val="10.0"/>
      </rPr>
      <t>تمت افادته</t>
    </r>
  </si>
  <si>
    <t xml:space="preserve">مكة الشرائع مخطط 11 حي الصفا - المسوق - 620م </t>
  </si>
  <si>
    <r>
      <rPr>
        <rFont val="Calibri"/>
        <b/>
        <color theme="1"/>
      </rPr>
      <t>يستفسر متى تفتح محطه</t>
    </r>
    <r>
      <rPr>
        <rFont val="Calibri"/>
        <b/>
        <color rgb="FFFF9900"/>
      </rPr>
      <t xml:space="preserve"> تمت افادته يتابعنا عبر مواقع التواصل الاجتماعي </t>
    </r>
  </si>
  <si>
    <t xml:space="preserve">ينبع </t>
  </si>
  <si>
    <t>MD224</t>
  </si>
  <si>
    <t xml:space="preserve">المسجد سيء جدا غير نظيف  </t>
  </si>
  <si>
    <t xml:space="preserve">عبدالرحمن القحطاني
</t>
  </si>
  <si>
    <t xml:space="preserve">جاي اعبي بنزيم يقلي مافي اقله ليش يقول شفتي خلص استنى الشفت الثاني يباني استنى 20 دقيقه اش النظآم الغبي ذا؟
السبت، 13 يونيو 2026 في 11:58 م
</t>
  </si>
  <si>
    <t xml:space="preserve">الانتظار لتغيير الورديه لا يستغرق 4 دقائق </t>
  </si>
  <si>
    <t xml:space="preserve">منصور </t>
  </si>
  <si>
    <r>
      <rPr>
        <rFont val="Calibri"/>
        <b/>
        <color theme="1"/>
        <sz val="10.0"/>
      </rPr>
      <t xml:space="preserve">ييفيد العميل بانه عبى بنزين يوم18/7 الساعه 2:41 الظهر والمبلغ كان فقط75 وسحب منه العامل 150 لان قاله الاولى مرفوضه بس العميل جاه سحبين سيارته كورلا ابيض  اللوحه 1221 - الراحجي  </t>
    </r>
    <r>
      <rPr>
        <rFont val="Calibri"/>
        <b/>
        <color rgb="FFFF6D01"/>
        <sz val="10.0"/>
      </rPr>
      <t xml:space="preserve">- تم التواصل ووضحت له يراجع البنك تبعه او البنك المركزي -   تم التواصل مره أخرى  مع العميل وافاد انه العامل نصاب وانه هو يبي يسرقه تم الاعتذار والتوضيح ولكنه رافض </t>
    </r>
  </si>
  <si>
    <t>AAA</t>
  </si>
  <si>
    <t xml:space="preserve">ضبطو الحفرة الي ف مخرج المحطة بسررررعه
السبت، 13 يونيو 2026 في 09:30 م
</t>
  </si>
  <si>
    <t>تفاصيل العمل المنجز
الفني المنفذ:Mohammed Alsalawi
تاريخ الإنجاز:22 يونيو 2026 - 08:15
جميع المرفقات</t>
  </si>
  <si>
    <t>عرض خدمات الزي الموحد</t>
  </si>
  <si>
    <t xml:space="preserve">تم الافادة بالارسال البروفايل على الايميل </t>
  </si>
  <si>
    <t>تقديم خمات بيئة</t>
  </si>
  <si>
    <t xml:space="preserve">
اسوى محطه في جيزان توقف ربع ساعه عند الطرمبه
اقسم بالله نجمه كثير عليهم تم التحرير في الجمعة، 12 يونيو 2026 في 07:43 م
</t>
  </si>
  <si>
    <t xml:space="preserve">قاسم </t>
  </si>
  <si>
    <t>محل بنشر -وكيل</t>
  </si>
  <si>
    <t>Mr Hussain Hakami</t>
  </si>
  <si>
    <t xml:space="preserve">سيء جدا الناس تعبي وتمشي والسير الآخر واقف لفترة.
الجمعة، 12 يونيو 2026 في 07:23 م
</t>
  </si>
  <si>
    <t xml:space="preserve">العميل لديه استفسارات عن الخدمات المقدمه في المحطه </t>
  </si>
  <si>
    <t>ابو رعد</t>
  </si>
  <si>
    <t xml:space="preserve"> التحربه حلوه بس عندي اقتراح لو تحطو مكيفات كذا داخل المحطه اف اف اخ يناس تطلع فنانه</t>
  </si>
  <si>
    <t>Mustafa Nooeri</t>
  </si>
  <si>
    <t xml:space="preserve">سي جدا تعامل
الجمعة، 12 يونيو 2026 في 06:50 م
</t>
  </si>
  <si>
    <t xml:space="preserve">سلوى </t>
  </si>
  <si>
    <r>
      <rPr>
        <rFont val="Calibri"/>
        <b/>
        <color theme="1"/>
        <sz val="9.0"/>
      </rPr>
      <t>يوم الاثنين الساعه 12:45 ظهرا العميلة تفيد انها عبت بنزين وتقول ماتعبى ابدا</t>
    </r>
    <r>
      <rPr>
        <rFont val="Calibri"/>
        <b/>
        <color rgb="FFFF9900"/>
        <sz val="9.0"/>
      </rPr>
      <t xml:space="preserve">  تم التواصل واعتذرنا من العميله وتمت خدمتها </t>
    </r>
  </si>
  <si>
    <t xml:space="preserve">تم التواصل مع مدير المحطة وقت الشكوى وتمت  التعبئة في حينها للعميله </t>
  </si>
  <si>
    <t xml:space="preserve">طريق الهجرة قائمة - المالك 5000م </t>
  </si>
  <si>
    <t xml:space="preserve">الخدمة والعمال اخلاقهم سيئه كانهم متفضلين عليك.
الجمعة، 12 يونيو 2026 في 05:51 م
</t>
  </si>
  <si>
    <t>م توجيه إدارة المحطة بالتحقق من الملاحظة واتخاذ اللازم والتأكيد على العاملين بحسن التعامل وتقديم الخدمة بالشكل المطلوب</t>
  </si>
  <si>
    <t>حمدان</t>
  </si>
  <si>
    <t>محل مغسلة سيارات 3 فروع - اي كار - المالك</t>
  </si>
  <si>
    <t xml:space="preserve"> سليمان ناصر الفرهود</t>
  </si>
  <si>
    <t xml:space="preserve">مي  المطيري </t>
  </si>
  <si>
    <t>المساحة الإجمالية: 449.66 م² بصك اكتروني محدث طول الواجهة على طريق الملك عبدالعزيز: 25.50 متر طول الارض من جهة الشمال : 28 متر طول الارض جهة الجنوب : 22 متر طول الحد الخلفي للارض جهة الشرق : 15.70 متر عمق الأرض: من 23.73 متر تقريباً ي جد على الارض عداد كهرباء يوجد على الارض عداد ماء يوجد خزان ماء ارضي نوع العقار: أرض تجارية الموقع: على تقاطع طريق الملك عبدالعزيز مع طريق الملك فهدhttps://maps.app.goo.gl/ehupcowJspk97HNV9?g_st=ic
مميزات الموقع ✓ واجهة مباشرة على طريق رئيسي. ✓ كثافة مرورة مرتفعة طوال اليوم. ✓ محاط بمنشآت تجارية وسكنية. ✓ سهولة الدخول والخروج للمركبات. ✓ مناسب لمحطة وقود حضرية ذات خدمات متكاملة. ✓ إمكانية استغلال العلامة التجارية للمستثمر لزيادة العائد التشغيلي. التصور التطويري للمشروع يتضمن المشروع: مضخات وقود حديثة. مظلة وقود. متجر تموينات وخدمات. دورات مياه. أجهزة صراف وخدمات إلكترونية. شاحن سيارات كهربائية. لوحة أسعار وبرج إعلاني للمحطة. مزايا الاستثمار موقع جاهز للتطوير. عوائد متعددة من الوقود والمتجر والخدمات. فرصة مناسبة للتشغيل تحت علامة الدريس. إمكانية توقيع عقد استثمار أو إيجار طويل الأجل. المطلوب نتطلع إلى مناقشة أحد الخيارات التالية: استئجار الموقع بعقد طويل الأجل. الاستثمار والتطوير والتشغيل بواسطة شركة الدريس. الدخول في شراكة استثمارية وفق آلية يتم الاتفاق عليها بين الطرفين. 503336060</t>
  </si>
  <si>
    <t xml:space="preserve"> شاي مختص وتقديم مشروبات شاي رحال
4 فروع ابي عروض لإيجار المساحات لطرحها على المستثمر لدينا</t>
  </si>
  <si>
    <r>
      <rPr>
        <rFont val="Calibri"/>
        <b/>
        <color theme="1"/>
      </rPr>
      <t xml:space="preserve">يسال في غرف مبيت بالمحطه  </t>
    </r>
    <r>
      <rPr>
        <rFont val="Calibri"/>
        <b/>
        <color rgb="FFFF9900"/>
      </rPr>
      <t>-تمت افادته بانه لايبوجد</t>
    </r>
  </si>
  <si>
    <t>وليد العنزي</t>
  </si>
  <si>
    <t xml:space="preserve"> زينة سيارات احسن مكان
٢ تاجير في محطه درب مكه ان امكن</t>
  </si>
  <si>
    <t xml:space="preserve">غازي </t>
  </si>
  <si>
    <t xml:space="preserve">عنده ارض حاب يعرضها مساحتها100الف متر-مالك </t>
  </si>
  <si>
    <t>محطة عظم المساحة:١٠٠ الف متر الموقع: طريق ينبع جدة السريع لها رخصة بناء محطة: نعم تفاصيل استفسارك: نرغب بالتاجير</t>
  </si>
  <si>
    <r>
      <rPr>
        <rFont val="Calibri"/>
        <b/>
        <color theme="1"/>
      </rPr>
      <t xml:space="preserve">تسال عن خدمه عملاء سوبرماركت </t>
    </r>
    <r>
      <rPr>
        <rFont val="Calibri"/>
        <b/>
        <color rgb="FFFF9900"/>
      </rPr>
      <t>- نمت افادتها بانه مستاجر لدينا فقط</t>
    </r>
  </si>
  <si>
    <t xml:space="preserve"> obydul islam</t>
  </si>
  <si>
    <t>استفسار غير مكتمل</t>
  </si>
  <si>
    <r>
      <rPr>
        <rFont val="Calibri"/>
        <b/>
        <color theme="1"/>
      </rPr>
      <t xml:space="preserve">يستفسر عن الوظائف </t>
    </r>
    <r>
      <rPr>
        <rFont val="Calibri"/>
        <b/>
        <color rgb="FFFF9900"/>
      </rPr>
      <t xml:space="preserve">تمت افادته بالتقديم عالايميل </t>
    </r>
  </si>
  <si>
    <t>ماجد الهيف</t>
  </si>
  <si>
    <t xml:space="preserve">شركه كلاودر استفسار بخصوص ews وحابه تتواصل مع الاستاذ معتز </t>
  </si>
  <si>
    <t xml:space="preserve">(أرض): المساحة: 47500 الموقع: طريق الرياض - مكة ، بعد محافظة القويعية لها رخصة بناء محطة: نعم تفاصيل استفسارك: ارغب في عقد شراكة بيني وبينكم ومناقشة التفاصيل مع الرئيس التنفيذي للشركة - العميل من الرياض وجدا مهتم </t>
  </si>
  <si>
    <t>رياض</t>
  </si>
  <si>
    <t xml:space="preserve"> شركه مقامات الخليج للنقل
</t>
  </si>
  <si>
    <t>فرح</t>
  </si>
  <si>
    <t>حابة استفسر عن مساحة تأجير درايف ثرو في هذي المحطة بكم إيجارها؟</t>
  </si>
  <si>
    <t xml:space="preserve">يسال في زيت بالبنشر </t>
  </si>
  <si>
    <t>قاسم محمد الحريري</t>
  </si>
  <si>
    <t>النشاط خبرة بنشر وغيار زيوت وبطاريات مافي علامة تجاري بدي استاجر محل بنشر وغيار زيت بمحطاتكم نبي ثنتين في وحدة لكم قبل الدوادمي؟ وفي وحدة عطريق القصيم الطريق السريع المدينة المنورة؟</t>
  </si>
  <si>
    <t>2026-06-11 05:20:54 PM UTC+03:00</t>
  </si>
  <si>
    <t xml:space="preserve">ramzi Almghamsi </t>
  </si>
  <si>
    <t>ملاحظة على محطة النورية - لم تيم الرد والتجاوب عبر الواتس اب</t>
  </si>
  <si>
    <t>ام اسامه</t>
  </si>
  <si>
    <t xml:space="preserve">ضيعت يوم الخميس في المحطة كيس اسود فيه اصفر وداخله في قماش اسود </t>
  </si>
  <si>
    <t>متوفر توصيل؟</t>
  </si>
  <si>
    <t>سالم اليامي</t>
  </si>
  <si>
    <t xml:space="preserve">المحطة: العزيزية التاريخ:2060/6/14 الوقت: 7:32 شكوى/اقتراح: معبي 40 ريال احمر وطلع ف لتر 17:11 عندكم غش - مرفق صورة في قروب التشغيل </t>
  </si>
  <si>
    <t xml:space="preserve">تم المراجعة والخللفي اللوحة الالكترونيه وتم ارفاق صوره في قروب الوتس اب وتم المتابعة مع الصيانة لتغيير اللوحة الإلكترونية للمضخة </t>
  </si>
  <si>
    <t>استفسار عدم تواصل</t>
  </si>
  <si>
    <t>تقديم على وظايف  وعندي خبرة  بائع</t>
  </si>
  <si>
    <t>السلام عليكم ورحمة الله وبركاته أتشرف بالتواصل معكم لطلب الالتحاق لديكم بمسمى أخصائي عقود. أنا عبدالمجيد عويض مسفر الشلوي، خريج قانون حديثًا، وأسعى لاكتساب الخبرة العملية تحت إشرافكم. أرفقت سيرتي الذاتية، وآمل التكرم بالنظر في طلبي. وتفضلوا بقبول خالص التحية والتقدير، عبدالمجيد عويض مسفر الشلوي</t>
  </si>
  <si>
    <t xml:space="preserve">حمدان </t>
  </si>
  <si>
    <t>جوجو</t>
  </si>
  <si>
    <t>دورات المياه متسخه وحمام واحد مكسور الكيلو مايتقفل - 19:13:20 Monday, July 20, 2026</t>
  </si>
  <si>
    <t>تمت الصيانة  الفني المنفذ:Yasser Sultan تاريخ الإنجاز:22 يوليو 2026 - 17:18 ملاحظات التسليم:</t>
  </si>
  <si>
    <t>ميريام</t>
  </si>
  <si>
    <t>يوجد إن شاء الله فرع جديد لمحطة درب قبل نقطة التفتيش باتجاه القدية، أود عن استفسار قيمة تأجير محل (درايف ثرو) وشكرًا.
 سول كافيه - فرعين</t>
  </si>
  <si>
    <t>حمامات وسخه ومافي صابون وبزبوز المويه قوي مرا والمويه تطرطش من قوتو حاجة مزعجة بصراحه والتواليت لونو اسود! عفاااانه، اديتوني نظره سيئة عنكم - 07:04:58 Sunday, July 19, 2026</t>
  </si>
  <si>
    <t>الحمامات عددها قليل والانتظار طويل لين يجي دورك واتمنى تحطون مناديل بالحمام وتحتاج نظافه من الداخل 02:49:07 Monday, July 20, 2026</t>
  </si>
  <si>
    <t>Amera</t>
  </si>
  <si>
    <t>الحمامات قرف ولا فيها قفل 00:26:30 Sunday, June 14, 2026</t>
  </si>
  <si>
    <t xml:space="preserve">تم التحقق صباح اليوم جميع الاقفال تعمل بشكل سليم ولكن الحمام يحتاج تجديد مما يؤثر على تجربة العميل </t>
  </si>
  <si>
    <r>
      <rPr>
        <rFont val="Calibri"/>
        <b/>
        <color theme="1"/>
      </rPr>
      <t xml:space="preserve"> أنا عبيت كم مرة اكثر من ٤٠ ريال
مرة كلمت العامل عن الكفر قال ما يعرف </t>
    </r>
    <r>
      <rPr>
        <rFont val="Calibri"/>
        <b/>
        <color rgb="FFFF9900"/>
      </rPr>
      <t xml:space="preserve"> تم ارسال باركود العرض</t>
    </r>
  </si>
  <si>
    <t>الحمام الكرسي فيه اعقاب سقاير وريحة الحمام تدخين وتوجد وسساخه في الكراسي
 d 13:27:53 Thursday, June 11, 2026</t>
  </si>
  <si>
    <t xml:space="preserve">تم زيارة المحطة وتم التحقق من الشيك لست وتم التحقق من الروائح وتم التنويه على ضرورة المتابعه </t>
  </si>
  <si>
    <t xml:space="preserve"> محمد حامد المالكي
</t>
  </si>
  <si>
    <t xml:space="preserve"> 1080 مساحة
وصف الاستثمار ارض</t>
  </si>
  <si>
    <t>سلام
فيه توصيل مجاني</t>
  </si>
  <si>
    <r>
      <rPr>
        <rFont val="Calibri"/>
        <b/>
        <color theme="1"/>
      </rPr>
      <t>استفسلر على توصيل مقاضي من السوبرماركت -</t>
    </r>
    <r>
      <rPr>
        <rFont val="Calibri"/>
        <b/>
        <color rgb="FFFF9900"/>
      </rPr>
      <t>تمت افادتها بانه مستاجر لدينا فقط</t>
    </r>
  </si>
  <si>
    <r>
      <rPr>
        <rFont val="Calibri"/>
        <b/>
        <color theme="1"/>
      </rPr>
      <t>تستفسر عن رقم بقاله بمحطه تربه -</t>
    </r>
    <r>
      <rPr>
        <rFont val="Calibri"/>
        <b/>
        <color rgb="FFFF9900"/>
      </rPr>
      <t>-تمت افادته  بانه مستاجر لدينا فقط</t>
    </r>
  </si>
  <si>
    <t xml:space="preserve">Nouf </t>
  </si>
  <si>
    <t>مساء الخير
فيه طريقه ارسل فيها كوبون بنزين هديه لشخص ؟</t>
  </si>
  <si>
    <t xml:space="preserve">اتصلت تقول خلاص شكرا تمت افادتها </t>
  </si>
  <si>
    <t>الاستفسار: تواصل معي احد ممثليكم اسمها فاطمة احتاج التواصل معها لضرورة</t>
  </si>
  <si>
    <t xml:space="preserve">تم التواصل مرتين لايوجد رد </t>
  </si>
  <si>
    <t xml:space="preserve"> ابو قنّاص
</t>
  </si>
  <si>
    <t>المحطه ممتازة لكن لا يوجد فيها مصلى فنرجو من الشركه ان تسوي مصلى</t>
  </si>
  <si>
    <t>استفسار على عدم التواصل  - تاجير</t>
  </si>
  <si>
    <t>تمت افادتها بانه تم رفع طلبها للاخصائي</t>
  </si>
  <si>
    <t xml:space="preserve"> عبدالله </t>
  </si>
  <si>
    <r>
      <rPr>
        <rFont val="Calibri"/>
        <b/>
        <color rgb="FF131825"/>
        <sz val="9.0"/>
      </rPr>
      <t xml:space="preserve">  15:17:36 Monday, July 20, 2026 
يفيد العميل بانه جا يعبي سيارته دينه يعبي ديزل فا دخل المحطه وفي سيارات عاكسه وسيارته كبيره فالعامل قال روح روح مافي ديزل العميل زعلان من التعامل لانه دايم يعبي بالمحطه مرفق صوره  -</t>
    </r>
    <r>
      <rPr>
        <rFont val="Calibri"/>
        <b/>
        <color rgb="FFFF9900"/>
        <sz val="9.0"/>
      </rPr>
      <t>تم الاعتذار للعميل وكان راضي وتقبل الامر</t>
    </r>
  </si>
  <si>
    <t>SULTAN SULAIMAN S ALFAIFI</t>
  </si>
  <si>
    <t xml:space="preserve">المحطة صغيرة ولا تتسع للسيارات الكبيره وقد تم تنبيه العمال على ايصال الفكره للعميل باسلوب طيب </t>
  </si>
  <si>
    <t>drive_thru فرع 1</t>
  </si>
  <si>
    <t xml:space="preserve"> MK063</t>
  </si>
  <si>
    <r>
      <rPr>
        <rFont val="Calibri"/>
        <b/>
        <color theme="1"/>
      </rPr>
      <t xml:space="preserve">العميل يحتاج فاتوره اللي رقمها(229159) الساعه 2:02 الظهر اعطوه فاتوره بس مو واضحه يبغاها بي دي اف - </t>
    </r>
    <r>
      <rPr>
        <rFont val="Calibri"/>
        <b/>
        <color rgb="FFFF9900"/>
      </rPr>
      <t>تمت افادته بالفاتورة</t>
    </r>
  </si>
  <si>
    <t xml:space="preserve">                                                                                                                                                                            </t>
  </si>
  <si>
    <t>فاتورة</t>
  </si>
  <si>
    <t xml:space="preserve">	السلام عليكم ورحمة الله وبركاته، أتقدم بطلب التوظيف لديكم في محطة درب، وأتطلع للانضمام إلى فريق العمل. لدي خبرة في خدمة العملاء والتعامل مع الجمهور، وأتميز بالالتزام وتحمل المسؤولية والعمل بروح الفريق. أرفقت سيرتي الذاتية، وأتشرف بإتاحة فرصة للمقابلة. ولكم خالص الشكر والتقدي</t>
  </si>
  <si>
    <t xml:space="preserve">مغسله سيارات حاب يستأجر -مالك </t>
  </si>
  <si>
    <t xml:space="preserve">حاب يستأجر درايف ثرو (يفضل محطه النواريه)  -مالك </t>
  </si>
  <si>
    <t>عمرو خلف الله</t>
  </si>
  <si>
    <t xml:space="preserve">	السلام عليكم ورحمة الله وبركاته الساده الافاضل تحية طيبة وبعد مرسل الي سيادتكم السيرة الذاتية اتمناه من اللة ان ينال اعجابكم اعمل كمدير محطة وقود بالشركة الوطنية حتي الان واللة ولي التوفيق</t>
  </si>
  <si>
    <t xml:space="preserve">محطه مساحه 2100م يوجد عليها رخصه -وكيل </t>
  </si>
  <si>
    <t>Ahmed Kamal</t>
  </si>
  <si>
    <r>
      <rPr>
        <rFont val="Calibri"/>
        <b/>
        <color rgb="FF131825"/>
        <sz val="9.0"/>
      </rPr>
      <t xml:space="preserve">        السلام عليكم ورحمة الله وبركاته تحية طيبة و بعد: أنا مهندس ميكانيكا خبرة عمل ١١ سنة سوداني الجنسية ، مع عضوية محترف في الهيئة السعودية للمهندسين SCE ؛ متواجد في الرياض بأقامة سارية قابلة للنقل و رخصة قيادة سارية. اخر وظيفة (مشرف صيانة و سلامة) في شركة فيول للمنتجات البترولية حسب اشتراطات وزارة الطاقة السعودية. ولدي خبرة ممتازة في انظمة أتمتة الوقود ATG و PTS. B.Sc. Mechanical Engineer (Production) | Production O&amp;M | QMS (ISO9001) Site Inspector | HVAC | Quality Engineering Management | HSE Engineer | Firefighting &amp; Emergency Response | Permit To Work PTW |Accident Investigation | ISO 45001: 2018 Internal Auditor | Maintenance Supervision مرفق لكم السيرة الذاتية و تحتوي على الشهادات و الخبرات. آمل الرد على هذه الرسالة و عرضها على قسم Hr في شركتكم المحترمة Darb درب . Best regards, Ahmed Alata QA/QC Engineer | HSE | O&amp;M Engineer 📞 0556170938 📧 eng32ahmed@gmail.com 🔗 </t>
    </r>
    <r>
      <rPr>
        <rFont val="Calibri"/>
        <b/>
        <color rgb="FF1155CC"/>
        <sz val="9.0"/>
        <u/>
      </rPr>
      <t>linkedin.com/in/eng-ahmed-alata</t>
    </r>
  </si>
  <si>
    <t xml:space="preserve">محطه-وكيل </t>
  </si>
  <si>
    <t>محطه مساحه 2600م -مالك</t>
  </si>
  <si>
    <t>حسن الصادق</t>
  </si>
  <si>
    <t xml:space="preserve">	أتشرف بالتقدم للانضمام إلى شركتكم الموقرة، مستندًا إلى خبرة مهنية ممتدة لأكثر من عشرين عامًا في قطاع البترول، شملت إدارة العمليات، الإشراف على المستودعات ومحطات الوقود، وإدارة الحسابات والرقابة المالية. أتمتع بخبرة في تطوير الإجراءات التشغيلية، وتحسين الأداء، وقيادة فرق العمل لتحقيق أعلى مستويات الكفاءة والجودة. وأتطلع إلى توظيف خبراتي للمساهمة في نجاح شركتكم وتحقيق أهدافها الاستراتيجيةو ولكم جزيل الشكر .</t>
  </si>
  <si>
    <t xml:space="preserve">يستفسر عن وجود تطبيق </t>
  </si>
  <si>
    <t>يارا سويد</t>
  </si>
  <si>
    <t>السادة/ إدارة الموارد البشرية المحترمين، أرغب بطلب التوظيف لديكم، حيث أحمل درجة البكالوريوس في المحاسبة بمرتبة الشرف الأولى من جامعة أم القرى، ولدي خبرة عملية في الأعمال المحاسبية وإعداد التقارير المالية ومطابقة الحسابات ورفع الاقرارات الضريبية واسترداد ضريبة القيمة المضافة و ضريبة التصرفات العقارية أتطلع إلى فرصة تمكنني من توظيف مهاراتي وخبراتي والمساهمة في تحقيق أهداف منشأتكم، وأرفق لكم سيرتي الذاتية . وتفضلوا بقبول خالص الشكر والتقدير. يارا سويد الزهراني رقم الجوال : ٠٥٥٧٦١٢٧٣٩</t>
  </si>
  <si>
    <t xml:space="preserve">مؤوسسه سعود عبدالله للنقل </t>
  </si>
  <si>
    <t>دانه  باحكيم</t>
  </si>
  <si>
    <t xml:space="preserve">يستفسر عن موقع شركه درب </t>
  </si>
  <si>
    <t xml:space="preserve">	السلام عليكم ورحمة الله وبركاته،، أكتب إليكم هذا الخطاب للتعبير عن رغبتي الشديدة واهتمامي البالغ بالانضمام إلى فريق عملكم المتميز في شركة درب ، والتقدم على الشواغر المتاحة حالياً في مجال الإدارة أو الموارد البشرية، والتي تتوافق تماماً مع خلفيتي الأكاديمية وشغفي المهني. لقد تخرجت مؤخراً وحصلت على درجة البكالوريوس في إدارة الأعمال من جامعة أم القرى . وخلال مسيرتي الدراسية، ركزت بشكل مكثف على فهم أسس الإدارة الاستراتيجية، وتطوير رأس المال البشري، وإدارة الأداء، بالإضافة إلى دراسة البيئات التنظيمية للمؤسسات. هذا التأهيل الأكاديمي منحني رؤية واضحة حول كيفية بناء بيئات عمل إنتاجية وتطوير استراتيجيات تدعم أهداف المنشأة. وتم تدريبي في غرفة مكة التجارية في قسم تطوير الاعمال الدوليه والمحلية رغم أنني في بداية مسيرتي المهنية، إلا أنني أمتلك مهارات تنظيمية وتحليلية عالية، وقدرة ممتازة على التواصل والعمل الجماعي، إلى جانب الشغف الكبير بالتعلم السريع والتكيف مع بيئة العمل الحيوية لديكم. المؤسسية الرائدة التي تتمتع بها هي ما يدفعني بقوة لأبدأ رحلتي المهنية معكم، كوني أؤمن أن بيئتكم هي المكان المثالي للعطاء والنمو. شاكرة لكم وقتكم الكريم وحسن اهتمامكم. وتفضلوا بقبول خالص التحية والتقدير،،</t>
  </si>
  <si>
    <t xml:space="preserve">ريان  السالمي </t>
  </si>
  <si>
    <t xml:space="preserve">خطاب صادر من المديريه العامه للحدود </t>
  </si>
  <si>
    <t xml:space="preserve">تم طلب ارسال الخطاب عالايميل  - تم ارساله لامل الشمراني عبر القروب </t>
  </si>
  <si>
    <t>علي محمد ال فردان</t>
  </si>
  <si>
    <t>kiosk - اول فرع</t>
  </si>
  <si>
    <t xml:space="preserve">محطه 5000م </t>
  </si>
  <si>
    <t>حسين ابراهيم</t>
  </si>
  <si>
    <t>أرض 1000م - المالك - مالها رخصة - الوسام</t>
  </si>
  <si>
    <t>احمد محمد يوسف</t>
  </si>
  <si>
    <t xml:space="preserve">	عملت في مجالات مختلفة داخل السودان وكذلك في اكبر شركتي اتصالات هي (زين _ MTN ) في مجال الدعم الفني والمبيعات وخدمات المشتركين والاشراف وادخال البيات.. ولدي خبرة داخل السعودية ما يقارب العام لدي شركة درب الوطن للنقل الجماعي في منطقة عرعر في الحدود الشمالية ..</t>
  </si>
  <si>
    <t xml:space="preserve">عابد </t>
  </si>
  <si>
    <r>
      <rPr>
        <rFont val="Calibri"/>
        <b/>
        <color theme="1"/>
      </rPr>
      <t>يفيد العميل بانه جا يعبي ولاتومتيك حق سيارته مايمسك فاطاح كذا مره والعامل صار يمسكه عشان يقدر يعبي وعبى ب60 شبكه وكان يبغا يعبي اكثر بس العامل فاله خلاص واسلوبه سيء والعميل مستاء من اسلوبه وراح عبى الباقي بمحطه ثانيه -يوم الاثنين12:30 الليل سيارته جمس سبورمان لوحته8514 -</t>
    </r>
    <r>
      <rPr>
        <rFont val="Calibri"/>
        <b/>
        <color rgb="FFFF9900"/>
      </rPr>
      <t xml:space="preserve">تم التواصل مع العميل والاعتذار وتقبل الامر </t>
    </r>
  </si>
  <si>
    <t>عبدالله يسلم الصيعري</t>
  </si>
  <si>
    <t xml:space="preserve">	drive_thru  - علامه جديده في السوق</t>
  </si>
  <si>
    <t xml:space="preserve"> علي حسن الشهري</t>
  </si>
  <si>
    <r>
      <rPr>
        <rFont val="Calibri"/>
        <b/>
      </rPr>
      <t xml:space="preserve">يسرني أن أتقدم لسعادتكم بطلب النظر في إنشاء محطة وقود جديدة بديلة عن محطة الوقود القائمة حالياً في [مكة المكرمة - حي الخالدية - بجوار برج مشارق المطل على الدائري الثالث ] والتي أصبحت في حالة متهالكة ولا تليق بالمعايير الحديثة للسلامة والخدمة. تفاصيل الموقع:  • الموقع الحالي: </t>
    </r>
    <r>
      <rPr>
        <rFont val="Calibri"/>
        <b/>
        <color rgb="FF1155CC"/>
        <u/>
      </rPr>
      <t>https://maps.app.goo.gl/KmhTFttFQCZdLNvo8?g_st=ic</t>
    </r>
    <r>
      <rPr>
        <rFont val="Calibri"/>
        <b/>
      </rPr>
      <t xml:space="preserve"> أسباب الطلب: 1. تهالك المنشأة الحالية وعدم مطابقتها لاشتراطات السلامة. 2. الرغبة في تحسين مستوى الخدمة المقدمة للمواطنين وفق معايير شركة محطات درب المعروفة. آمل من سعادتكم التكرم بدراسة هذا الطلب وإفادتنا بالإجراءات والمتطلبات اللازمة (الفنية والمالية والقانونية) لتنفيذ هذا المشروع، وما إذا كانت هناك زيارة ميدانية مطلوبة لمعاينة الموقع.</t>
    </r>
  </si>
  <si>
    <t>خالد الغامدي</t>
  </si>
  <si>
    <t xml:space="preserve">	السلام عليكم ورحمة الله وبركاته، السادة/ شركة درب المحترمين، أتقدم إليكم بطلب التوظيف للانضمام إلى فريق العمل لديكم، حيث أمتلك خبرات ومهارات عملية ساهمت في تطوير قدراتي المهنية وتحقيق نتائج إيجابية في بيئات العمل المختلفة. خلال مسيرتي المهنية حرصت على اكتساب الخبرة العملية وتطوير مهاراتي في التواصل والعمل الجماعي وتحمل المسؤولية وإنجاز المهام بكفاءة واحترافية. كما أتمتع بالقدرة على التعلم السريع والتكيف مع متطلبات العمل المختلفة والسعي المستمر لتحقيق أهداف المنشأة والمساهمة في نجاحها. إن ما تقدمه شركة درب من بيئة مهنية وفرص للتطوير يجعلني متحمسًا للانضمام إلى فريقكم والمساهمة بخبراتي وقدراتي لتحقيق المزيد من النجاح والتميز. أرفق لكم سيرتي الذاتية للاطلاع، ويسعدني حضور المقابلة الشخصية في الوقت الذي ترونه مناسبًا. وتفضلوا بقبول فائق الاحترام والتقدير الأسم:خالد منصور الغامدي الرقم:0564247417 الأيميل:kahlidmnsuor@gmail.com</t>
  </si>
  <si>
    <t>أحمد سعيد ادم</t>
  </si>
  <si>
    <t>عقيل الشمري</t>
  </si>
  <si>
    <t xml:space="preserve">هو يمكنني التحدث أو الاتصال بأحد
</t>
  </si>
  <si>
    <t>تمت افادته التقديم عبر البريد والموقع فقط</t>
  </si>
  <si>
    <t xml:space="preserve">	السلام عليكم ورحمة الله وبركاته، يسرني التقدم لهذه الوظيفة، حيث أمتلك خبرة عملية تمتد لأكثر من 6 سنوات في شركة بندة تحت المسمى الوظيفي قائد فريق خدمة عملاء، اكتسبت خلالها مهارات في قيادة الفريق، وخدمة العملاء، وحل المشكلات، وتحقيق أهداف العمل. كما حصلت على عدة شهادات شكر وتقدير من الإدارة تقديرًا لجهودي وأدائي المتميز. بالإضافة إلى ذلك، لدي معرفة وخبرة بسيطة بطبيعة العمل في شركة الدريس بحكم علاقاتي وخبرتي في التعامل ضمن بيئات عمل مختلفة. أتطلع إلى فرصة للانضمام إلى فريق العمل والمساهمة بخبراتي لتحقيق أهداف الشركة. مع خالص الشكر والتقدير. عقيل فهد الشمري 0564640540</t>
  </si>
  <si>
    <t>Sitah</t>
  </si>
  <si>
    <t xml:space="preserve">shop - اول فرع - مغسلة </t>
  </si>
  <si>
    <t xml:space="preserve"> Rehan</t>
  </si>
  <si>
    <t>My self Rehan from A facilty management company</t>
  </si>
  <si>
    <t>تمت افادته بالارسال عبر الايميل</t>
  </si>
  <si>
    <t>عادل الكريم</t>
  </si>
  <si>
    <t xml:space="preserve">يرغب في التواصل للمساهمة في بناء مسجد او التبرع </t>
  </si>
  <si>
    <t>تم الارسال لاستاذ مشاري (قروب التسويق)</t>
  </si>
  <si>
    <t xml:space="preserve">وش صار في الشكوى حقتي قبل ٥ أيام
</t>
  </si>
  <si>
    <t>حياك الله أستاذ سعيد نعتذر منك ولكن ما لقينا السيارة في الكاميرات
تقدر تتواصل مع مشرف المحطة على +966 57 220 6219
يومك سعيد</t>
  </si>
  <si>
    <t>موسى محمد</t>
  </si>
  <si>
    <t xml:space="preserve">	، السلام عليكم ورحمة الله وبركاته، أتقدم إليكم بطلب التوظيف لشغل إحدى الوظائف الشاغرة لديكم، حيث أطمح للانضمام إلى فريق العمل والمساهمة بخبراتي ومهاراتي في تحقيق أهداف المنشأة. أتمتع بالجدية في العمل، والقدرة على التعلم والتطوير المستمر، والعمل ضمن فريق وتحمل المسؤولية. وأتطلع إلى فرصة تمكنني من اكتساب المزيد من الخبرات وتقديم أفضل ما لدي لخدمة جهة العمل. أرفق لكم سيرتي الذاتية للاطلاع عليها، وآمل أن أحظى بفرصة لإجراء مقابلة شخصية. وتفضلوا بقبول فائق الاحترام والتقدير</t>
  </si>
  <si>
    <t>المناديب تبع بنده سكرو المواقف تكلمهم يقلك اتصل على الشرطه تحي تشيل السياره ويوقف ويسكر سيارته ويروح</t>
  </si>
  <si>
    <t xml:space="preserve">لم يتم ارسال التفاصيل للوقت </t>
  </si>
  <si>
    <t xml:space="preserve"> shop سوفت كلين - فرع 1</t>
  </si>
  <si>
    <t>أحمد العيسي</t>
  </si>
  <si>
    <t>فيصل الشهري</t>
  </si>
  <si>
    <t xml:space="preserve">	ارغب واتشرف ان اتوظف لديكم</t>
  </si>
  <si>
    <t>مركزي</t>
  </si>
  <si>
    <t>استفسار عن المقر لمراجعة الكاميرات - معه خطاب من المرور</t>
  </si>
  <si>
    <t>عبد العزيز اللهيبي</t>
  </si>
  <si>
    <t xml:space="preserve">انا بسال عن المغسله الاوتوماتيكية متى تفتح ياغالي
</t>
  </si>
  <si>
    <t>عبدالله خالد</t>
  </si>
  <si>
    <t xml:space="preserve">معك محاسب شركة دار الشراع العالمية -ونريد نفتح حساب عندكم - على اساس الفواتير الضريبية
</t>
  </si>
  <si>
    <t xml:space="preserve">محل فتحتين ثلاثه - محطة طريق  الملك - اسما لعلامة: مركز الاتحاد التخصصي لصيانة لكزس </t>
  </si>
  <si>
    <t>رأفت الاغبري دار الشراع العالمية</t>
  </si>
  <si>
    <t>أرض - مالها رخصة</t>
  </si>
  <si>
    <t xml:space="preserve"> ماهرعلي الحكيمي</t>
  </si>
  <si>
    <t>Mk054</t>
  </si>
  <si>
    <t xml:space="preserve"> تعامل العمال سيئ جدًا المحطة كبيرة بس العمال اخلاقهم زفت
 الثلاثاء، 21 يوليو 2026 في 11:50 ص
</t>
  </si>
  <si>
    <t xml:space="preserve">حياك الله المشكله  بسيطه الهوا والماء الما متواجد والهوا للاسف لمدة اسبوع اروح ادوام الفجر  ابي ازود هوا  للاسف مافي  المحطه الى في طريق الجنوب كبري ثماله المحطه الي في الوسام الدايري مقابل مخطط الاصيفر
</t>
  </si>
  <si>
    <t xml:space="preserve">تم التواصل مع مدير المحطة وتم ارفاق مقطع فديو ان الجهاز يعمل وربما العميل لا يعرف طريقة الاستخدام </t>
  </si>
  <si>
    <t>جهاز هواء وماء</t>
  </si>
  <si>
    <t xml:space="preserve"> Nef daghriri
</t>
  </si>
  <si>
    <t xml:space="preserve">محطة عظم بمساحة 1300م وكل تراخيصها جاهزه-المالك </t>
  </si>
  <si>
    <t xml:space="preserve"> JA092</t>
  </si>
  <si>
    <t xml:space="preserve"> خدمة سيئة جدا عمال م يبغون يشتغلون السيارات تنتظر وقت طويل الصراحه
 الثلاثاء، 21 يوليو 2026 في 10:12 ص
</t>
  </si>
  <si>
    <t xml:space="preserve">شركة درب الصيانة تابعه لكم </t>
  </si>
  <si>
    <t xml:space="preserve">  كوفي- درايف ثرو</t>
  </si>
  <si>
    <t>التحقق من قيمة التعبئة - 12:36 م 100 ريال  شبكة - أحمر -( 5455- د ن ص) كامري 2020 بني غامق -لم يتم التواصل مع العميل بسبب عدم التجاوب من قسم الفرنشايز</t>
  </si>
  <si>
    <r>
      <rPr>
        <rFont val="Calibri"/>
        <b/>
        <color theme="1"/>
      </rPr>
      <t>اليه التقديم عالوظائف</t>
    </r>
    <r>
      <rPr>
        <rFont val="Calibri"/>
        <b/>
        <color rgb="FFFF9900"/>
      </rPr>
      <t xml:space="preserve"> تمت الافاده عبر الاييميل </t>
    </r>
  </si>
  <si>
    <t xml:space="preserve"> يوسف الدعيس
</t>
  </si>
  <si>
    <t>سلطان سلمان المالكي</t>
  </si>
  <si>
    <r>
      <rPr>
        <rFont val="Calibri"/>
        <b/>
        <color theme="1"/>
        <sz val="9.0"/>
      </rPr>
      <t xml:space="preserve">  قام أحد عمال المحطة بالتعامل مع مركبتي بطريقة غير صحيحة، مما أدى إلى كسر باب خزان الوقود (باب البنزين) والتسبب بضرر واضح في السيارة.
وعند مطالبتي العامل بتحمل مسؤوليته عن الخطأ، تطور الموقف إلى مشادة كلامية، ثم تدخل عامل آخر لمساندته بدلاً من احتواء الموقف أو المساعدة في حل المشكلة  التاريخ: 21 يوليو
الوقت: 9:50 م
-كامري
ر ك ط9511
ابيض  - تم التواصل مع العميل والاعتذار منه وكان متقبل الامر وراضي -كما ان لايوجد ضرر واضح بالسياره  - </t>
    </r>
    <r>
      <rPr>
        <rFont val="Calibri"/>
        <b/>
        <color rgb="FFFF6D01"/>
        <sz val="9.0"/>
      </rPr>
      <t xml:space="preserve"> تم التواصل وابلاغه في حال وجود ضرر الرجوع للمحطة </t>
    </r>
  </si>
  <si>
    <t>م التحقيق في الواقعة ومراجعة تسجيلات الكاميرات، وثبت عدم وجود ضرر على المركبة بسبب العامل.
ومع ذلك تم التنبيه على العاملين بحسن التعامل مع العملاء واحتواء أي موقف مستقبلًا،</t>
  </si>
  <si>
    <t xml:space="preserve">هل يوجد عرض ؟ </t>
  </si>
  <si>
    <t xml:space="preserve">درايف ثرو  -حاب موقع في محطه النواريه </t>
  </si>
  <si>
    <t>عبدالله حمد الشهراني</t>
  </si>
  <si>
    <t xml:space="preserve">عندي محطة عظم - مستثمر  من جهة حكومية </t>
  </si>
  <si>
    <t xml:space="preserve">Makanak Company Limited </t>
  </si>
  <si>
    <t>نحن شركة مصاعد وسلالم كهربائية نعرض عليكم خدماتنا
 ان كان المشروع يحوي مصاعد او سلالم ا. مشايات  هذا المشروع ام غيره</t>
  </si>
  <si>
    <t>تم الافاده الارسال عبر الايميل</t>
  </si>
  <si>
    <t xml:space="preserve">طارق حطمان العبدلي </t>
  </si>
  <si>
    <t xml:space="preserve">مجمع تجاري-6000م-وكيل </t>
  </si>
  <si>
    <t>محمد ابورامي</t>
  </si>
  <si>
    <t>ضاري</t>
  </si>
  <si>
    <t xml:space="preserve">محطه مساحه 5000م-وكيل </t>
  </si>
  <si>
    <t>الوليد القحطاني</t>
  </si>
  <si>
    <t>قبل اسابيع شاركت في برنامج وقالو بنتواصل معك عشان تستلم الكوبون ومن وقتها انتظر</t>
  </si>
  <si>
    <t>منى</t>
  </si>
  <si>
    <t xml:space="preserve"> MK035</t>
  </si>
  <si>
    <r>
      <rPr>
        <rFont val="Calibri"/>
        <b/>
        <color theme="1"/>
      </rPr>
      <t>تفيد العميله انها جات تسحب فيزا ورفض وبعدين حاسبت بطاقه عاديه وسحب واكتشفت انه سحب من الفيزا بعدين  مبلغ82 ,الثلاثاء 9:30مساء -سيارتها النترا رمادي 7684 -</t>
    </r>
    <r>
      <rPr>
        <rFont val="Calibri"/>
        <b/>
        <color rgb="FFFF9900"/>
      </rPr>
      <t xml:space="preserve">تم التواصل والاعتذار ويتتحقق من البنك المركزي </t>
    </r>
  </si>
  <si>
    <t xml:space="preserve">التحقق من البنك </t>
  </si>
  <si>
    <r>
      <rPr>
        <rFont val="Calibri"/>
        <color rgb="FF131825"/>
        <sz val="9.0"/>
      </rPr>
      <t xml:space="preserve">جينا نعبي بنزين قلنا له 20 قام سوا مجنون وعبى 50 قال تحاسبي غصبا عنك مسوي معصب ويقول اصلا ليه تعبوها 20 قليل وتجمعو وواحد يضحك يعني اسلوبهم سيء فوق غلطهم - 9:29د - شبكة 50 - لكزس 3000 د ل ط ابيض - اخضر - المسار الوسط  </t>
    </r>
    <r>
      <rPr>
        <rFont val="Calibri"/>
        <color rgb="FFFF6D01"/>
        <sz val="9.0"/>
      </rPr>
      <t>-تم الاعتذار وانه سيتم اتخاذ اجراء  لم يتم الرد  لابلاغ العميله بالاجراء</t>
    </r>
  </si>
  <si>
    <t xml:space="preserve">العامل بقول الجالون مومتوفر - جالوون عادي -  سيتم ارسال التفاصيل واتس اب -لم يتم ارسال التفاصيل والرد </t>
  </si>
  <si>
    <r>
      <rPr>
        <rFont val="Calibri"/>
        <b/>
        <color theme="1"/>
      </rPr>
      <t>يفيد العميل بان في تاخير بالمحطه والعامل يعبي تريله له ساعه ويقول انتظر ساعه كمان يستفير ليه التاخير كذا الاربعاء الساعه 11الظهر  -</t>
    </r>
    <r>
      <rPr>
        <rFont val="Calibri"/>
        <b/>
        <color rgb="FFFF9900"/>
      </rPr>
      <t>تم التواصل مع العميل وكان وقت تفريغ المحطه وتم الاعتذار منه</t>
    </r>
  </si>
  <si>
    <t xml:space="preserve">وقت التفريغ والطبيعي توقيف المحطة
</t>
  </si>
  <si>
    <r>
      <rPr>
        <rFont val="Calibri"/>
        <b/>
        <color theme="1"/>
      </rPr>
      <t>يسال اذا في كهربائي بمحطه قريبه منه -</t>
    </r>
    <r>
      <rPr>
        <rFont val="Calibri"/>
        <b/>
        <color rgb="FFFF9900"/>
      </rPr>
      <t xml:space="preserve">تمت افادته بانه يقدر يطلع على الخدمات المتوفره من قوقل ماب </t>
    </r>
  </si>
  <si>
    <t>يبي يقدم على الوظائف</t>
  </si>
  <si>
    <r>
      <rPr>
        <rFont val="Calibri"/>
        <b/>
        <color rgb="FF131825"/>
        <sz val="9.0"/>
      </rPr>
      <t>وقفت عند المحطه مستعجل وطلبتهم يعبون فل وراح العامل فتح التانكي ومشى قال دوامي خلص والشي القاني اي عامل يجي يعبي مافيه عمال</t>
    </r>
    <r>
      <rPr>
        <rFont val="Calibri"/>
        <b/>
        <color rgb="FFFF9900"/>
        <sz val="9.0"/>
      </rPr>
      <t xml:space="preserve"> بزي موحد</t>
    </r>
    <r>
      <rPr>
        <rFont val="Calibri"/>
        <b/>
        <color rgb="FF131825"/>
        <sz val="9.0"/>
      </rPr>
      <t xml:space="preserve"> كل واحد يجي يعبي لي اخر واحد عبى لي مصري لابس ثوب 12:59:45 Friday, June 5, 2026 </t>
    </r>
  </si>
  <si>
    <t xml:space="preserve">استفسار عن طلب سابق </t>
  </si>
  <si>
    <t>باسم المالكي</t>
  </si>
  <si>
    <r>
      <rPr>
        <rFont val="Calibri"/>
        <b/>
        <color rgb="FF131825"/>
        <sz val="9.0"/>
      </rPr>
      <t xml:space="preserve">المدينة مكة المكرمة محطة الرصيفة 15/06/2026 الساعة 23:52 الشكوى اسلوب عامل المحظة ومدير المحطة العامل مايبغى يشتغل مطنش انا مستعجل وهو لطعني وخلاني انتظر ولا يبغى يجي للمضخه الي ورا يعبي لي لين خلص الباص الي قدامي
ويقولي قدم ورفضت ورحت اشتكي للمدير الي اسمه ايوب والله العظيم لا اسلوب ولا اخلاق مدري كيف مخلينه مدير يقول وين سيارتك هيا قدم قدم خله يعبي لك عشان بقفل نهاية الشفت وبنعبي الخزان وبتضطر تنتظر لين 12:30-  راجع قبل الوقت هذا  تشوفني جيت وتشوف العامل كيف مطنشني ولاطعني فالسيارة وتشوف المدير وهو يصرفني داخل المحطة الصف الثالث يمكن  - بيانات سيارتي كامري 2011 لونها اسود - 2771 ب د ك - </t>
    </r>
    <r>
      <rPr>
        <rFont val="Calibri"/>
        <b/>
        <color rgb="FFFF6D01"/>
        <sz val="9.0"/>
      </rPr>
      <t xml:space="preserve">نعتذر منك سيتم مراجعة الكاميرات واتخاذ اجراء تأديبي مع العمال هدفنا رضاك وخدمتك 🧡 وشكرنا </t>
    </r>
  </si>
  <si>
    <t xml:space="preserve">محطه مساحه 50م تقريبا -مالك -موقعها مدخل خيبر الجنوب على الشارع العام </t>
  </si>
  <si>
    <r>
      <rPr>
        <rFont val="Calibri"/>
        <b/>
        <color rgb="FF131825"/>
        <sz val="9.0"/>
      </rPr>
      <t xml:space="preserve">انقطاع البنزيم بستمرار 01:45:39 Wednesday, June 3, 2026 - </t>
    </r>
    <r>
      <rPr>
        <rFont val="Calibri"/>
        <b/>
        <color rgb="FFFF6D01"/>
        <sz val="9.0"/>
      </rPr>
      <t>تم تصعيدها لاماني</t>
    </r>
  </si>
  <si>
    <t xml:space="preserve">Shahad </t>
  </si>
  <si>
    <t>كيف اقدم على وظيفة؟</t>
  </si>
  <si>
    <t xml:space="preserve">محل ديوانيه-مالك </t>
  </si>
  <si>
    <t xml:space="preserve">مغسله سيارات -مالك </t>
  </si>
  <si>
    <r>
      <rPr>
        <rFont val="Calibri"/>
        <b/>
        <color rgb="FF131825"/>
        <sz val="9.0"/>
      </rPr>
      <t>فترة انتظار طويلة حتى يتم ربط المبلغ بتعبئة الوقود
النظام يحتاج لتطوير اسرع 08:27:34 Wednesday, June 3, 2026 - تم التواصل وافاد العميل المحطة على طريق دوامي وحط المسدس ويقول انتظر سستم ما جا مرتين لاحظتها وضايقتني الصدق اخرتني -</t>
    </r>
    <r>
      <rPr>
        <rFont val="Calibri"/>
        <b/>
        <color rgb="FFFF6D01"/>
        <sz val="9.0"/>
      </rPr>
      <t xml:space="preserve"> تم الاعتذار منه وتطيب خاطره وانه سيتم حلها </t>
    </r>
  </si>
  <si>
    <t xml:space="preserve">Abdullah Alzahrani </t>
  </si>
  <si>
    <t xml:space="preserve">كيف أقيم المحطة </t>
  </si>
  <si>
    <t>صالح مرزوق</t>
  </si>
  <si>
    <t>بإمكانك تقييم محطات درب عبر منصة قوقل ماب 🧡
إختار المحطة الي زرتها ثم قيمنا https://www.google.com/maps
شكرا لك على دعمك وفي حال لديك أي ملاحظة تنورنا ✨</t>
  </si>
  <si>
    <t xml:space="preserve">3 افرع - مؤسسة درب المشاغر </t>
  </si>
  <si>
    <t xml:space="preserve">  وائل قبلان العتيبي
</t>
  </si>
  <si>
    <t xml:space="preserve"> ارض المساحه كبيرا جدا الموقع مدركه له استحكام</t>
  </si>
  <si>
    <r>
      <rPr>
        <rFont val="Calibri"/>
        <b/>
        <color theme="1"/>
      </rPr>
      <t>اليه التقديم على الوظائف -</t>
    </r>
    <r>
      <rPr>
        <rFont val="Calibri"/>
        <b/>
        <color rgb="FFFF9900"/>
      </rPr>
      <t>تمت الافاده عبر الايميل</t>
    </r>
  </si>
  <si>
    <t xml:space="preserve">مقطوع عليه البنزين ويبي 98 </t>
  </si>
  <si>
    <t xml:space="preserve">تمت افادته بان النوع هذا متوفر في محطة النسيم فقط </t>
  </si>
  <si>
    <t xml:space="preserve">استفسار عن طلب مسبق </t>
  </si>
  <si>
    <t xml:space="preserve">التهوئة </t>
  </si>
  <si>
    <t>سلمان</t>
  </si>
  <si>
    <t xml:space="preserve">2026-06-14 05:04:45 PM UTC+03:00 - لم يتم الرد </t>
  </si>
  <si>
    <t xml:space="preserve"> MK210</t>
  </si>
  <si>
    <t xml:space="preserve">المحطه العماله فيه قليلين ارجو الزياده وشكراً Thursday, July 23, 2026 </t>
  </si>
  <si>
    <t xml:space="preserve">ام اسامه </t>
  </si>
  <si>
    <t>استفسار عن غرض ضائع</t>
  </si>
  <si>
    <t xml:space="preserve">دورات الميله بحاجة الى اهتمام وتنظيف ولا يوجد بها صابون غسيل Wednesday, July 22, 2026 </t>
  </si>
  <si>
    <t>ابورواد</t>
  </si>
  <si>
    <t xml:space="preserve">  العامل حصل معاه ٣ مواقف اول موقف واقوله عبي ب ٥٠ ويحط المبلغ ٧٠ ويسوي نفسه مجنون وثاني مره جا واحد قاله اطبع لي فاتوره وجاني يقول اني طبعت له فاتورة ديزل وهو يبي بنزين ويضحك واليوم اعبي والعداد ما يتغير الا ٢٠ كيلو ؟  الأربعاء، 22 يوليو 2026 في 08:55 م</t>
  </si>
  <si>
    <t>تم ابلاغ مدير  والمنطقه للتشديد على إدارة المحطة بمتابعة دقة عمليات التعبئة وسلوك العمال ورفع أي ملاحظة فورًا</t>
  </si>
  <si>
    <t xml:space="preserve">عندكم برنامج نقاط
</t>
  </si>
  <si>
    <t>حياك الله في درب ✨
نعمل على تطوير تجربتك, سيتم اطلاقه قريبا 
شكرا لتواصلك, درب سالم🧡</t>
  </si>
  <si>
    <t xml:space="preserve"> عبدالرحمن </t>
  </si>
  <si>
    <t xml:space="preserve">  JA053</t>
  </si>
  <si>
    <t xml:space="preserve"> Shuaib Hassan is the worst employee at Darb.</t>
  </si>
  <si>
    <t>استفسار عن شكوى استلام كوبون - الكوبون ينتهي 18 يونيو</t>
  </si>
  <si>
    <t>تمت افادته - تم رفع طلبك وسيتم العمل على الية استلامك للكوبون 🙏</t>
  </si>
  <si>
    <r>
      <rPr>
        <rFont val="Calibri"/>
        <b/>
        <color theme="1"/>
        <sz val="9.0"/>
      </rPr>
      <t xml:space="preserve">العميل زعلان من اسلوب العامل يقول سيء جدا وساله عن اسمه يقول ساالم- الخميسس8:55صباح سيارته جلي 1618 ر ط س - العامل كان يبيه يقدم للتنظيم لاول مضخة والعميل ما يبي الشمس وحجته المحطة فاضيه  ومتعارف ان المحطة هذه مزدحمة دائما فالعامل ملتزم بتنظيمها ولكن ننوه على الاسلوب   -- </t>
    </r>
    <r>
      <rPr>
        <rFont val="Calibri"/>
        <b/>
        <color rgb="FFFF9900"/>
        <sz val="9.0"/>
      </rPr>
      <t xml:space="preserve">تم التواصل مع العميل والاعتذار منه وتقبل الامر </t>
    </r>
  </si>
  <si>
    <t>تم التشديد على مشرف المحطة بمتابعة سلوك العامل مع العملاء خلال الفترة القادمة ورفع تقرير فوري عند أي ملاحظة</t>
  </si>
  <si>
    <r>
      <rPr>
        <rFont val="Calibri"/>
        <b/>
        <color rgb="FF131825"/>
        <sz val="9.0"/>
      </rPr>
      <t xml:space="preserve">ارض للاستثمار علي طريق الملك سلمان وطريق الامير فيصل بن بندر المساحه ١٠٣٥ متر علي ثلاثة شوارع  المطلوب مليون و600  سنوي   مباشر مع المالك
</t>
    </r>
    <r>
      <rPr>
        <rFont val="Calibri"/>
        <b/>
        <color rgb="FF1155CC"/>
        <sz val="9.0"/>
        <u/>
      </rPr>
      <t>https://maps.app.goo.gl/NEGm2hfXzqq3TQKi9?g_st</t>
    </r>
    <r>
      <rPr>
        <rFont val="Calibri"/>
        <b/>
        <color rgb="FF131825"/>
        <sz val="9.0"/>
      </rPr>
      <t xml:space="preserve"> - لم يتم الرد لمعرفة تفاصيل الطلب</t>
    </r>
  </si>
  <si>
    <t>محمد حسين علي</t>
  </si>
  <si>
    <t>جزاكم الله خير دورات المياة مكتومة لازم مراوح شفط لان المسجد متاذي منه  20:42:47 Wednesday, July 22, 2026</t>
  </si>
  <si>
    <t>There are one Employ  - 06:20:31 Tuesday, July 21, 2026 - لايوجد موظفين - لم يتم الرد</t>
  </si>
  <si>
    <t xml:space="preserve">تم مراجعة الكامرات  والعامل متواجد  ساعه الشكوى </t>
  </si>
  <si>
    <t>نداء عبدالرحمن الخزاعي</t>
  </si>
  <si>
    <t xml:space="preserve">المدينة: مكه المكرمه المحطة: الدائري الثالث التاريخ:11-6-2026 الوقت: 19:32 - لم يتم الرد </t>
  </si>
  <si>
    <t xml:space="preserve">محطه 700م على شارعين -مالك </t>
  </si>
  <si>
    <t xml:space="preserve"> شركة لوذان</t>
  </si>
  <si>
    <t>عنيزه</t>
  </si>
  <si>
    <t xml:space="preserve"> محطتين وقود
المساحات ١٠ الف لكل محطه يوجود رخص بناء وبلدية المحطات جاهزه </t>
  </si>
  <si>
    <t>احمد العمري</t>
  </si>
  <si>
    <t>هل عندكم محل تصليح سيارات</t>
  </si>
  <si>
    <t>حياك الله في درب 🧡
نود إفادتك بأن بعض الخدمات داخل المحطة تُدار من قبل شركاء بشكل مستقل.
نأمل التواصل مع الشريك المعني مباشرة. شكرًا لتفهّمك 🙏</t>
  </si>
  <si>
    <t xml:space="preserve">فهد القرشي </t>
  </si>
  <si>
    <t xml:space="preserve">طلب غير مكتمل </t>
  </si>
  <si>
    <t xml:space="preserve">استفسار عن طلبه بمايخص القسائم الشرائية -  (ر ي ي - 5024 ) 2021 النترا ابيض - يوم الافتتاح -دفعت كاش  بعد المغرب 7:30 م تقريبا </t>
  </si>
  <si>
    <t xml:space="preserve">يريد التواصل مع قسم التوظيف </t>
  </si>
  <si>
    <t>A A</t>
  </si>
  <si>
    <t>اخيس محطة من تعامل اخلاق العمال تجي توقف يطنشوا وما يجوك بسرعة ويعملوا نفسهم مشغولين وبطيئين مرة و ما هي أول مرة يعملوها بطلت بعدها اجي عندهم شوفوا حل لعمالكم ما لهم خلق يشتغلوا غيروهم ما بنشحت بنزين.
الأحد، 14 يونيو 2026 في 11:04 م</t>
  </si>
  <si>
    <t>تم ابلاغ مدير المحطه للتشديد على العاملين بسرعة الاستجابة للعملاء والالتزام بحسن التعامل</t>
  </si>
  <si>
    <t xml:space="preserve"> عبدالمحسن </t>
  </si>
  <si>
    <t xml:space="preserve">توريد ديزل </t>
  </si>
  <si>
    <t>-تم افادته بالايميل وارسال تفاصيل الكمية وتحويلها للتشغيل</t>
  </si>
  <si>
    <t>mz_509 mz_509</t>
  </si>
  <si>
    <t xml:space="preserve">عبيت ب 50 و عبالي ب 30
الأحد، 14 يونيو 2026 في 07:25 م
</t>
  </si>
  <si>
    <t xml:space="preserve">قاضي  </t>
  </si>
  <si>
    <r>
      <rPr>
        <rFont val="Calibri"/>
        <b/>
        <color theme="1"/>
      </rPr>
      <t>البنك الاول -</t>
    </r>
    <r>
      <rPr>
        <rFont val="Calibri"/>
        <b/>
        <color rgb="FFFF9900"/>
      </rPr>
      <t xml:space="preserve">تم افادته بالايميل وارسال تفاصيل الاستفسار </t>
    </r>
  </si>
  <si>
    <t xml:space="preserve">عدنان سراج </t>
  </si>
  <si>
    <t xml:space="preserve"> MK068 </t>
  </si>
  <si>
    <r>
      <rPr>
        <rFont val="Calibri"/>
        <b/>
        <color theme="1"/>
        <sz val="9.0"/>
      </rPr>
      <t xml:space="preserve">العامل رافض يعبي للعميل يقول سيارتك فيها هوا وهو بالمحطه الان ماعبى له الساعه 3:40 الظهر الخميس  </t>
    </r>
    <r>
      <rPr>
        <rFont val="Calibri"/>
        <b/>
        <color rgb="FFFF9900"/>
        <sz val="9.0"/>
      </rPr>
      <t xml:space="preserve">- تم التواصل واعتذرنا منه </t>
    </r>
  </si>
  <si>
    <t xml:space="preserve">جلست ١٠ دقائق ولم أعبي البنزين لأن عامل الخط كان في الحمام.
والمفروض واحد يغطي مكانه. Thursday, June 11, 2026  18:30:17 </t>
  </si>
  <si>
    <t xml:space="preserve">تم التعبئة للعميل في حينها ولم يكن السبب الهواء بل الازدحام </t>
  </si>
  <si>
    <t xml:space="preserve">
Fuad Nihal </t>
  </si>
  <si>
    <r>
      <rPr>
        <rFont val="Calibri"/>
        <b/>
      </rPr>
      <t xml:space="preserve"> وإذا رجعت الجركل تسترجع تأمينك بالكامل✔️ #درب #اختيارك_الاول #اكسبلور #ريلز
</t>
    </r>
    <r>
      <rPr>
        <rFont val="Calibri"/>
        <b/>
        <color rgb="FF1155CC"/>
        <u/>
      </rPr>
      <t>https://www.instagram.com/p/Daxi5RIAqrt/</t>
    </r>
    <r>
      <rPr>
        <rFont val="Calibri"/>
        <b/>
      </rPr>
      <t xml:space="preserve"> </t>
    </r>
  </si>
  <si>
    <t>عامل المحطة شبك المضخة وراح كل شوي يفصل عشان الهواء وانتظار فوق الانتظار</t>
  </si>
  <si>
    <t>سلوك عامل</t>
  </si>
  <si>
    <t>Moayad</t>
  </si>
  <si>
    <t>الاستفسار: هل يوجد بطائق تعبئة للسواقين</t>
  </si>
  <si>
    <t>حياك الله في درب 🧡
حاليا لدينا تعاقد مع تطبيق سيارة اب للمؤسسات والشركات فقط</t>
  </si>
  <si>
    <t xml:space="preserve"> شركة مدرار لقطع غيار السيارات
ودنا بتعاون معاكم بكوبونات زي ما سويتو وقت الافتتاح في المدينة https://heylink.me/Medrarco/
هذي حساباتنا في السوشال ميديا</t>
  </si>
  <si>
    <t>6فرع - بوفيه</t>
  </si>
  <si>
    <t>استفسار عن عدم التواصل</t>
  </si>
  <si>
    <t>عبدالله المالكي</t>
  </si>
  <si>
    <t xml:space="preserve">
الاستفسار: ابي اركب شريحة بنزيم في سيارات السائق كم التكلفة وكيف نظامها</t>
  </si>
  <si>
    <t>حياك الله في درب 🧡
حاليا لدينا تعاقد مع تطبيق سيارة اب للمؤسسات والشركات فقط</t>
  </si>
  <si>
    <t xml:space="preserve">افاد شركتكم تخط البنزين والمالكي ودكتور حاتم عارفين ولكم محطات مقفله من وزارة الطاقه </t>
  </si>
  <si>
    <t>تمت افادته ان محطات درب تواقف على اشتراطات وزارة الطاقه وفي حال لديه شكوى او ملاحظه يفيدنا  - "تم التواصل مرتين والهاتف مغلق  حياك الله في درب 
تم التواصل عبر الاتصال ولم يتم توضيح الاشكاليه 
في حال رغبتك باقفال الرسائل الدعائية بامكانك الغاء الاشتراك 🙏"</t>
  </si>
  <si>
    <t xml:space="preserve">ابوعبدالمحسن ابن الشيخ </t>
  </si>
  <si>
    <r>
      <rPr>
        <rFont val="Calibri"/>
        <b/>
        <color theme="1"/>
        <sz val="9.0"/>
      </rPr>
      <t xml:space="preserve">جيت مره والعمال متهاوشين مع بعض وكل واحد يقول حرك هنا هنا هذي خربانه المره الماضيه اكتشفت انها مو خربانه هذي المره ياليت تتاكدون - </t>
    </r>
    <r>
      <rPr>
        <rFont val="Calibri"/>
        <b/>
        <color rgb="FFFF6D01"/>
        <sz val="9.0"/>
      </rPr>
      <t xml:space="preserve">تم التوضيح للعميل وشكرنا على الاهتمام - عليها صيانة  - اتضح ان عليها صيانة بالفعل </t>
    </r>
  </si>
  <si>
    <t xml:space="preserve">سعيد الزهراني
</t>
  </si>
  <si>
    <t>عصيرات وايسكريم عصيرات وايسكريم عمر الفروع صفر نشاط جديد كم سعر المحل وكم المساحه المدن الطرفيه من مكه المكرمه</t>
  </si>
  <si>
    <t>افنان</t>
  </si>
  <si>
    <t xml:space="preserve"> السلام عليكم ورحمة الله وبركاته
معك افنان مدير المشاريع في جمعية الاستثنائيين لخدمة ذوي الاعاقة حابه اتواصل مع قسم العلاقات العامة او المسؤولية الاجتماعية عندكم بالشركة</t>
  </si>
  <si>
    <t>تم الارسال لامواج بديلة امل الشمراني</t>
  </si>
  <si>
    <t>طلال الجهني</t>
  </si>
  <si>
    <t xml:space="preserve">محل - اول فرع - مطعم وجبات سريعه </t>
  </si>
  <si>
    <t xml:space="preserve">تم التواصل غلطان </t>
  </si>
  <si>
    <t>2026-07-24 10:21:09 AM UTC+03:00 لم يتم الرد</t>
  </si>
  <si>
    <t>ابو علي</t>
  </si>
  <si>
    <t>ارضية للمستقبل</t>
  </si>
  <si>
    <t xml:space="preserve">طلب تفاصيله غير واضحة </t>
  </si>
  <si>
    <t>2026-07-24 06:41:56 PM UTC+03:00 لم يتم الرد</t>
  </si>
  <si>
    <t xml:space="preserve">هل بترومين في محطة الفلاح </t>
  </si>
  <si>
    <t xml:space="preserve">2026-07-25 02:50:25 AM UTC+03:00 مغلق </t>
  </si>
  <si>
    <t xml:space="preserve">فهد محمد </t>
  </si>
  <si>
    <t>2026-07-25 12:54:04 PM UTC+03:00 لم يتم الرد</t>
  </si>
  <si>
    <t>الاسم: ورد ازرق لتقديم المشروب النشاط التجاري: قهوة مختصة اسم العلامة التجارية: روز عدد الفروع: ٤ المدينة: القنفذة تفاصيل استفسارك: ايجار</t>
  </si>
  <si>
    <t>2026-07-25 09:40:58 PM UTC+03:00 مغلق  - تواصل معنا ولم يتم الرد</t>
  </si>
  <si>
    <t>محمد عبده</t>
  </si>
  <si>
    <r>
      <rPr>
        <rFont val="Calibri"/>
        <b/>
        <color rgb="FF131825"/>
        <sz val="9.0"/>
      </rPr>
      <t xml:space="preserve">يوم الاثنين 14/6/2026 الساعه 1:34 م طلبت العامل يعبي ب50 شبكة  اخضر 91 ومشيت نص الخط الا العداد مارتفع بالعادة 50 تفرق معاي ورجعت للمحطه وراجعو الكاميرات يقولك المشرف العامل عبى ولازلت اشك انه ماعبى بالمبلغ كامل وابغى اتاكد السيارة يارس رصاصي اللوحة 8087 </t>
    </r>
    <r>
      <rPr>
        <rFont val="Calibri"/>
        <b/>
        <color rgb="FFFF9900"/>
        <sz val="9.0"/>
      </rPr>
      <t xml:space="preserve">  -تم التواصل والاعتذار والافادة بالمرور لتعبئة بمبلغ 50 ريال</t>
    </r>
  </si>
  <si>
    <t>2026-07-25 01:40:48 PM UTC+03:00</t>
  </si>
  <si>
    <t xml:space="preserve">2026-07-25 10:24:37 AM UTC+03:00 - 2026-07-25 10:20:48 AM UTC+03:00    مغلق </t>
  </si>
  <si>
    <t>زهير بن محمد الغامدي</t>
  </si>
  <si>
    <t xml:space="preserve"> المطاعم و الكافيهات اسم العلامة التجارية:ديفلور عدد الفروع: ١ المدينة: ينبع تفاصيل استفسارك: توفر مساحة لعمل مقهى درايف ثرو في ينبع و المدينة و طريق ينبع جد</t>
  </si>
  <si>
    <t xml:space="preserve">2026-07-25 07:55:47 AM UTC+03:00 لم يتم الرد </t>
  </si>
  <si>
    <t>2026-07-26 05:00:49 AMتم التواصل مرتين  لم يتم الرد</t>
  </si>
  <si>
    <t>2026-06-15 05:43:01 PM UTC+03:00</t>
  </si>
  <si>
    <t>2026-06-15 05:46:50 PM UTC+03:00</t>
  </si>
  <si>
    <t xml:space="preserve">الرقم المطلوب خارج الخدمه </t>
  </si>
  <si>
    <t>5:8 PM</t>
  </si>
  <si>
    <t>علي خزاعي</t>
  </si>
  <si>
    <t>المحطة: محطة النواريهالتاريخ: 15/6/2026 الوقت: نرغب في معرفة اهم الوظائف المتاحه لدى فروعكم وخاصة محطة النواريه
والشروط المطلوبه</t>
  </si>
  <si>
    <t>اعطانا رقم ثاني للتواصل الطلب غير مكتمل  0568028712</t>
  </si>
  <si>
    <t xml:space="preserve">تمت افادته بالتواصل واتساب لمشاركته الايميل </t>
  </si>
  <si>
    <t xml:space="preserve">ماجد عبدالله
</t>
  </si>
  <si>
    <t>السلام عليكم استاذي الكريم ما حد تواصل معي</t>
  </si>
  <si>
    <r>
      <rPr>
        <rFont val="Calibri"/>
        <b/>
        <color theme="1"/>
      </rPr>
      <t>انا بالعادة اعبي 175 لتر التانكي امس رحت وعبى لي لين 200 لتر ياليت تتاكدو من المضخة هل التعبئة صح انه 200 لتر دفعت كاش 352 - ديزال  - 2026-07-25 02:34:55 PM UTC+03:00---</t>
    </r>
    <r>
      <rPr>
        <rFont val="Calibri"/>
        <b/>
        <color rgb="FFFF9900"/>
      </rPr>
      <t xml:space="preserve"> تم التواصل وطلب ارسال موقع المحطه مرتين ولم يتم الرد </t>
    </r>
  </si>
  <si>
    <t>غازي الشريف</t>
  </si>
  <si>
    <t xml:space="preserve">عبد الفاتح </t>
  </si>
  <si>
    <t xml:space="preserve"> ارض مرخصه محطة وملحقاتها. المساحه ١٠٠ الف متر بداية طريق المدينة- حائل السريع ارغب بعرض تأجيرها لشركة درب</t>
  </si>
  <si>
    <t xml:space="preserve">ايجار محل </t>
  </si>
  <si>
    <t>الريااض</t>
  </si>
  <si>
    <t xml:space="preserve">يستفسر عن عرض كفرات بلس </t>
  </si>
  <si>
    <t>التاريخ: 15 يونيو 2026 الوقت:
شكوى/اقتراح: ارغب في التواصل مع ادارة التشغيل لديكم للضرورة ، رقم جوالي :
0551705575 - لم يتم الرد</t>
  </si>
  <si>
    <t xml:space="preserve">حاب يستاجر محل بمحطه طريق الملك الشاطئ </t>
  </si>
  <si>
    <t>القمري</t>
  </si>
  <si>
    <t>استفسار عن مواقع المحطات</t>
  </si>
  <si>
    <r>
      <rPr>
        <rFont val="Calibri"/>
        <b/>
        <color theme="1"/>
      </rPr>
      <t>استفسار عن الوظائف -</t>
    </r>
    <r>
      <rPr>
        <rFont val="Calibri"/>
        <b/>
        <color rgb="FFFF9900"/>
      </rPr>
      <t xml:space="preserve">تمت الافاده عبر الايميل </t>
    </r>
  </si>
  <si>
    <t>اول مره اتصلت قال في شكوى وبحثت بالرقم لايوجد اتصلت مره اخرى افهم التفاصيل قال غلطانين</t>
  </si>
  <si>
    <t xml:space="preserve">تم التواصل من قبل بالواتس اب </t>
  </si>
  <si>
    <t>ابو يزيد</t>
  </si>
  <si>
    <t>طلب تأجير مساحة غير مكتمل</t>
  </si>
  <si>
    <t>قيس</t>
  </si>
  <si>
    <t>ضيع محفظته يوم 7/9 الساعه تقريبا 9 الليل لوحه السياره 6559</t>
  </si>
  <si>
    <t>ابو هتان</t>
  </si>
  <si>
    <t xml:space="preserve">   رواد </t>
  </si>
  <si>
    <t xml:space="preserve"> مغسلة سيارات اوتوماتيكية
</t>
  </si>
  <si>
    <t xml:space="preserve"> عبدالـرحمن </t>
  </si>
  <si>
    <t xml:space="preserve">  الحمامات قليلة وعليها زحمه Friday, July 24, 2026 </t>
  </si>
  <si>
    <t xml:space="preserve">سامي </t>
  </si>
  <si>
    <t xml:space="preserve">  Mk017</t>
  </si>
  <si>
    <t>لم يتم استفسال التقديم عبر الموقع الالكتروني</t>
  </si>
  <si>
    <t xml:space="preserve"> كسرو لي غطا التانكي
 تم التحرير في الجمعة، 24 يوليو 2026 في 09:33 م</t>
  </si>
  <si>
    <t xml:space="preserve">تمت الافاده عبر التقديم من الايميل وربع الشكوى للمطور </t>
  </si>
  <si>
    <t xml:space="preserve"> سيء اسلوب شين ودايم اجي مافيييه 95 اكثر من ثلاث مرات اجي وبإوقات وأيام متفرقه مافيه بنزين
السبت، 25 يوليو 2026 في 11:59 م
</t>
  </si>
  <si>
    <t>سوزان</t>
  </si>
  <si>
    <t xml:space="preserve"> رسي مافي غير عامل واحد
الجمعة، 24 يوليو 2026 في 01:19 ص</t>
  </si>
  <si>
    <r>
      <rPr>
        <rFont val="Calibri"/>
        <b/>
        <color theme="1"/>
      </rPr>
      <t>يستفسر عن اليه التقريم عالوظائف-</t>
    </r>
    <r>
      <rPr>
        <rFont val="Calibri"/>
        <b/>
        <color rgb="FFFF9900"/>
      </rPr>
      <t>تمت افادته عبر الايميل</t>
    </r>
    <r>
      <rPr>
        <rFont val="Calibri"/>
        <b/>
        <color theme="1"/>
      </rPr>
      <t xml:space="preserve">  </t>
    </r>
  </si>
  <si>
    <t xml:space="preserve">احمد
</t>
  </si>
  <si>
    <t>اريد التواصل مع ممثلي قسم الاستثمار</t>
  </si>
  <si>
    <t>بانتظار اكمال التفاصيل</t>
  </si>
  <si>
    <t xml:space="preserve">القطيف </t>
  </si>
  <si>
    <t xml:space="preserve">  ارض-- المساحة:5140
لهار رخصه ومخطط جاهز </t>
  </si>
  <si>
    <t xml:space="preserve">نظام بطائق متوفر </t>
  </si>
  <si>
    <r>
      <rPr>
        <rFont val="Calibri"/>
        <b/>
        <color theme="1"/>
      </rPr>
      <t>يستفسر عن اليه التقريم عالوظائف-</t>
    </r>
    <r>
      <rPr>
        <rFont val="Calibri"/>
        <b/>
        <color rgb="FFFF9900"/>
      </rPr>
      <t>تمت افادته عبر الايميل</t>
    </r>
    <r>
      <rPr>
        <rFont val="Calibri"/>
        <b/>
        <color theme="1"/>
      </rPr>
      <t xml:space="preserve">  </t>
    </r>
  </si>
  <si>
    <t>الياس</t>
  </si>
  <si>
    <t xml:space="preserve">درايف ثرو براند قعده حجر -مالك </t>
  </si>
  <si>
    <r>
      <rPr>
        <rFont val="Calibri"/>
        <b/>
        <color rgb="FF131825"/>
        <sz val="9.0"/>
      </rPr>
      <t xml:space="preserve">واقف العامل رفض يعبي يقول افتح الشباك انا قد طفيت السياره وش دخله هافال اسود - ( د ن ك - 7501) -للان واقف رافض يعبي لي ومافي مشرف ووراي دوام عجلو - </t>
    </r>
    <r>
      <rPr>
        <rFont val="Calibri"/>
        <b/>
        <color rgb="FFFF6D01"/>
        <sz val="9.0"/>
      </rPr>
      <t>تم التواصل وتطيب خاطر العميل</t>
    </r>
  </si>
  <si>
    <t xml:space="preserve">تم ابلاغ مدير المنطقه وافاد انه تم التعبئه وان العامل طلب فتح النافذه ليسأل عن مقدار التعبئه </t>
  </si>
  <si>
    <r>
      <rPr>
        <rFont val="Calibri"/>
        <b/>
        <color rgb="FF131825"/>
        <sz val="9.0"/>
      </rPr>
      <t xml:space="preserve">المحطة كويسة وممتازة ولكن الطرمبة رقم 10B عطلانة
او يسرقون منها لكن سيارتي ٥٠ لتر حرفيا عبى لي 67 لتر لحد يعبي في الطرمبة 10B
8 يونيو 2026
</t>
    </r>
    <r>
      <rPr>
        <rFont val="Calibri"/>
        <b/>
        <color rgb="FFFF9900"/>
        <sz val="9.0"/>
      </rPr>
      <t xml:space="preserve">-مرفق تقييس </t>
    </r>
  </si>
  <si>
    <t xml:space="preserve">مكتب عقار لديه اكثر من موقع </t>
  </si>
  <si>
    <t>علي السبيعي</t>
  </si>
  <si>
    <r>
      <rPr>
        <rFont val="Calibri"/>
        <b/>
        <color theme="1"/>
      </rPr>
      <t>يستفسر عن اليه التقريم عالوظائف-</t>
    </r>
    <r>
      <rPr>
        <rFont val="Calibri"/>
        <b/>
        <color rgb="FFFF9900"/>
      </rPr>
      <t>تمت افادته عبر الايميل</t>
    </r>
    <r>
      <rPr>
        <rFont val="Calibri"/>
        <b/>
        <color theme="1"/>
      </rPr>
      <t xml:space="preserve">  </t>
    </r>
  </si>
  <si>
    <t>الخرمة</t>
  </si>
  <si>
    <t xml:space="preserve"> عرض استأجر محطة مستوفية الشروط والتراخيص بناءً على السمعة الرائدة لشركتكم الموقرة في قطاع الأعمال، يسعدنا في أن نعرض عليكم هذا العرض المبدئي لاستأجر محطة مستوفية الشروط والتراخيص موقعها محافظة الخرمة حي المحمدية طريق الملك عبدالعزيز بجوار أسواق العثيم مكونات الموقع : المساحة 1907 م وعرض الوجهة الشارع الرئيسي بطول 44م والوجهة الأخرى بطول 41 م الوجهة الثالثة بطول 44م  الشارع الرئيسي 40 م (عرض الشارع ) الشارع الثاني 25 م (عرض الشارع )ى الشارع الثالث 20م (عرض الشارع ) مكونات الرخصة : عدد 4 طرمبة ومحل بنشر ومحل مغسلة ومحل سوبر ماركت موقع صراف آلي وموقع كشكك وعدد محل 2 آخر و2 دورة مياه وغرفة إدارة وغرفة استراحة موظفين 
مرفق لسيادتكم جميع المخططات الإنشائية والمعمارية ورخصة البناء بتصوير ثلاثي الابعاد
جوال ثاني : 0532202323
</t>
  </si>
  <si>
    <t xml:space="preserve">وكيل لديه موقعين ارض+محطه مساحه 80م </t>
  </si>
  <si>
    <t xml:space="preserve">كشك كوفي اول فرع - القطيف رقم اخر  للتواصل 507862633
</t>
  </si>
  <si>
    <t>Hatem</t>
  </si>
  <si>
    <r>
      <rPr>
        <rFont val="Calibri"/>
        <b/>
        <color theme="1"/>
      </rPr>
      <t>عدم الدفع تن طريق الفيزا التماد لازم انديهم عشان يعبون - 18:49:06 Thursday, July 23, 2026 -</t>
    </r>
    <r>
      <rPr>
        <rFont val="Calibri"/>
        <b/>
        <color rgb="FFFF6D01"/>
      </rPr>
      <t xml:space="preserve"> تم التواصل وافاد دائما يقولو مافي فيزا </t>
    </r>
  </si>
  <si>
    <t>لؤي  ناقرو</t>
  </si>
  <si>
    <t>مجموعة محطات في المنطقة الشرقية ويرغب مالكها في تقبيلها بسعر اقل</t>
  </si>
  <si>
    <t>مشاري الثمالي</t>
  </si>
  <si>
    <t>هل يوجد توصيل لأحياء لية</t>
  </si>
  <si>
    <t xml:space="preserve">سياسة الدفع المسبق </t>
  </si>
  <si>
    <t>ام حور</t>
  </si>
  <si>
    <t xml:space="preserve"> البقاله توصل؟</t>
  </si>
  <si>
    <t>مختار</t>
  </si>
  <si>
    <t>طلب وظيفه اداره وإشراف وتطوير وتطبيق هويه الشركة لمحطات الوقود</t>
  </si>
  <si>
    <t>حاتم الجابري
ابغى اتعاون معاكم عندي مغسلة سيارات وبوزع كوبونات بنزين بمناسبة السنوية وبشتري من عندكم</t>
  </si>
  <si>
    <t xml:space="preserve">	السلام عليكم ورحمة الله وبركاته أنا خالد حديث تخرج بشهادة بكالوريوس تخصص محاسبة من جامعة ام القرى عمري 25 هدفي من الإنضمام لكم هو كسب الخبرات المهنية والتطوير في المجال الخاص بتخصصي وشكرا لكم</t>
  </si>
  <si>
    <t>ماجد الجابري</t>
  </si>
  <si>
    <t>عندي ارض على شارع تجاري عرض 60م في مركز الفواره منطقة القصيم مساحة الأرض 117000م لو ترغبون في إستئجار اي مساحة من الأرض</t>
  </si>
  <si>
    <t>طارق القثامي</t>
  </si>
  <si>
    <t xml:space="preserve">	عناية شؤون الموظفين يسرني أن أتقدم لشغل وظيفة لديكم، وأود أن أكون جزءًا من فريقكم المتميز وأمتلك خبرة في مهارات الحاسب الآلي والإدارة والإشراف والمراقبة وانجاز العمل بمنتهى الترتيب والتواصل مع الجمهور وأرحب بإجراء مقابلة في الوقت الذي يناسبكم وشكرا</t>
  </si>
  <si>
    <r>
      <rPr>
        <rFont val="Calibri"/>
        <b/>
      </rPr>
      <t xml:space="preserve">محطة درب فرع حي الاجاويد والهدى بجانب بندة 25-7 بين الساعه 8:10AM الى 8:30AM شكوى السلام عليكم الاخوه الاعزاء ارجو اخذ الشكوى ببعض من الجدية حيث اني اواجه مشكله مع عماله المحطه وغيري من العملاء حيث ليست اول مره تكرر مع العماله ليس لديهم قيم التعامل الجيده اخلاقهم سيئه جدا واليوم يتكرر موقف جديد من عماله المحظه حيث عند وصولي للتعبئة وجدت عميل زبون قبلي سيارته فيها مشكله طافيه شكلها طفت بنزين وقتم يحاول يخلي العماله تعبيلي سيارتي عشان يسحب يسارته بالدف لانها طافيه المهم يكلم العماله اللي يعيون المحطه يقوله يامحمد يكلمه والعماله يطنشونه لدرجه انه جا عنده وجلس يقوله محمد يمسكه يقوله هيه محمد ما يسمع وما يرد عليه ولا يطالع فيه وانا واقف انتظر العماله مفروض يعبي سيارتي انا قاعد انتظر مادري وش فيه تاركني كذا فتحت القزاز اقوله اناديه عشان يعبي سيارتي ما يرد ناديته يمكن اكثر من خمس مرات ما يرد علي شوي قام وراح عند المكينه بيعبي وكلمني كذا باسلوب سيء يعني كم تبي اعبيلك طالعت فيه قلت وش فيك انت يرفع صوتك ؟ رده علي بما معناه اخلص كم تبي ما رديت لان اسلوبه سيئ قام ركب المضخه بقوه في فتحت البنزين حق السياره بشكل مستفز اتمنى تراجعون التصوير للتحقق + حتى الشفت المسائي اخلاقهم جدا سيئه اتمنى تراجعون بالتوقيت المذكور اعلاه صباح اليوم الساعه ٨ الى ٨ ونص سيارتي كورولا بيضا ٢٠١٧ رقم اللوحه 6782 د ا م Take a look at محطة درب on Google Map   </t>
    </r>
    <r>
      <rPr>
        <rFont val="Calibri"/>
        <b/>
        <color rgb="FF1155CC"/>
        <u/>
      </rPr>
      <t>https://maps.app.goo.gl/6RFPCzsE8rd2u5h97?g_st=ic</t>
    </r>
    <r>
      <rPr>
        <rFont val="Calibri"/>
        <b/>
      </rPr>
      <t xml:space="preserve">  - </t>
    </r>
    <r>
      <rPr>
        <rFont val="Calibri"/>
        <b/>
        <color rgb="FFFF6D01"/>
      </rPr>
      <t>تم التواصل وابلغنا العميل بانه تم انذار الموظفين في شفت الصباح وشكرنا على الاهتمام</t>
    </r>
  </si>
  <si>
    <t>فيصل سعود العتيبي</t>
  </si>
  <si>
    <t xml:space="preserve">	أتطلع بشغف للفرصة لمناقشة كيف يمكن لمهاراتي وخبرتي أن تسهم في تحقيق رؤية وأهداف الشركة . أنا متحمس للفرصة للانضمام إلى فريقكم المحترم والمبدع . شكرًا جزيلاً لفتح الباب أمامي للتقديم على هذه الوظيفة المحترمة ، وأتطلع إلى الفرصة للقاء بكم في مقابلة شخ</t>
  </si>
  <si>
    <t>د. خالد عثمان</t>
  </si>
  <si>
    <t>اريد التواصل مع المسئول عن ملف التصاريح البىئيه الخاصه بال محطات بالشركه</t>
  </si>
  <si>
    <t>تم افادته بالارسال عبر الايميل</t>
  </si>
  <si>
    <r>
      <rPr>
        <rFont val="Calibri"/>
        <b/>
        <color theme="1"/>
      </rPr>
      <t xml:space="preserve">ياحبيبي ذيك المحطه اقسم بالله عمالها يشيبون الراس انتظرت مايقارب 5 دقايق ومحد يعبي لي رغم انه في عمال فاضيين ادق بوري محد يرد 8:40 - </t>
    </r>
    <r>
      <rPr>
        <rFont val="Calibri"/>
        <b/>
        <color rgb="FF666666"/>
      </rPr>
      <t>تم محاولة الاتصال ولم يتم الرد</t>
    </r>
  </si>
  <si>
    <t xml:space="preserve"> عبدالله حسن</t>
  </si>
  <si>
    <t>تحية طيبة انا من متابعين نشاطكم في x ارغب بشدة العمل في التحصيل المالي او الرقابة المالية او ادارة المحطة ويشرفني ذلك لدي القدرة الكامله على الالتحاق فوراً يسعدني جداً قبولكم طلبي</t>
  </si>
  <si>
    <t>"السلام عليكم ورحمة اللّٰه وبركاته، الأفاضل في إدارة التطوير والاستثمار،
نرفق لكم عرضاً لفرصة استثمارية ممتازة لتأجير محطة وقود حديثة ومكتملة التجهيزات الفنية (مضخات جديدة وخزانات قائمة) بموقع حيوي على شارع 40م
وبدون أي منافسة في الحي.
تجدون كافة التفاصيل الفنية والإحداثيات ورابط الخريطة المباشر في ملف ال PDF المرفق.
للتواصل والمعاينة المباشرة:
• جوال / واتساب: 
Sauud333222@gmail.com :البريد الإلكتروني •
شاكرين لكم ومقدرين،"</t>
  </si>
  <si>
    <t>السلام عليكم ورحمة الله وبركاته، نذكركم بأن مؤسسة الحلول المتقدمة جاهزة لتنفيذ جميع أعمال التشطيبات، والصيانة العامة، ويسعدنا خدمتكم بكل احترافية وسرعة، حيث نوفر أعمال البلاط، والدهانات، والجبس بورد، والسباكة، والكهرباء، على أيدي فنيين متخصصين وبأسعار منافسة. نسعد بخدمتكم في أي وقت 🤝</t>
  </si>
  <si>
    <t>تم تحويل الطلب على الايميل</t>
  </si>
  <si>
    <t>السلام عليكم ورحمة الله وبركاته، أتقدم بطلب التوظيف لدى شركة درب الوقود، وأرفق سيرتي الذاتية للنظر في أي فرصة وظيفية مناسبة. شاكرًا لكم وقتكم واهتمامكم، وأتطلع للانضمام إلى فريق العمل. مع التحية، ياسر جمعان اللهيبي</t>
  </si>
  <si>
    <t xml:space="preserve">شاهر </t>
  </si>
  <si>
    <t>محطه عليها رخصه =وكيل</t>
  </si>
  <si>
    <t xml:space="preserve">  حسن ناجي
</t>
  </si>
  <si>
    <r>
      <rPr>
        <rFont val="Calibri"/>
        <b/>
        <color theme="1"/>
      </rPr>
      <t xml:space="preserve">  استفساري أنا شاركت في الكود حق المغسله اللي في النواريه بمكه ولا خلوني اغسل ليش؟
-ت</t>
    </r>
    <r>
      <rPr>
        <rFont val="Calibri"/>
        <b/>
        <color rgb="FFFF9900"/>
      </rPr>
      <t>مت الافاده بانه ينتظر دوره ولو حاب يستفسر اكثر يتواصل مع خدمه عملاء الشريك</t>
    </r>
  </si>
  <si>
    <t>Mustafa</t>
  </si>
  <si>
    <t xml:space="preserve">	Please find my CV attached for your review. I am very interested in exploring opportunities within your organization and look forward to discussing how my skills might align with your needs</t>
  </si>
  <si>
    <t xml:space="preserve">تم التواصل لايوجد رد </t>
  </si>
  <si>
    <t xml:space="preserve">وائل </t>
  </si>
  <si>
    <t>ياسر المالكي</t>
  </si>
  <si>
    <t xml:space="preserve">ايجار محل ورش -وكيل  </t>
  </si>
  <si>
    <t xml:space="preserve">	السيد/ة مدير التوظيف[شركه درب ]تحية طيبة وبعد،،أتقدم إليكم بطلبي هذا لشغل وظيفة [درب ] المعلن عنها من قِبل شركتكم الموقرة. بصفتي مهني متخصص في مجال [المحاسبة</t>
  </si>
  <si>
    <r>
      <rPr>
        <rFont val="Calibri"/>
        <b/>
        <color rgb="FF131825"/>
        <sz val="9.0"/>
      </rPr>
      <t>محطة في خط سفر ودرجة الحرارة فوق الخمسين وعمالكم يطفون المكيفات ليتها محطة صغيرة او داخل حي عشان تشغلونها قبل الصلاه بساعتين المحطة 24 ساعه فيها ناس  وسبق كلمت مسؤول ورفعت شكوى ونفس الاشكالية  +مريت المحطه للمره الثانية ولازالت المكيفات طافيه اوقات الصلاة -تم التواصل وفادته بتطبيق الاجراء في حال</t>
    </r>
    <r>
      <rPr>
        <rFont val="Calibri"/>
        <b/>
        <color rgb="FFFF6D01"/>
        <sz val="9.0"/>
      </rPr>
      <t xml:space="preserve"> -تم اختبار في اليوم التالي بين الصلوات لتاكد من تطبيق الاجرا ء وتم التاكد واعلام العميل في حال مر وماحصلها شغاله يوثقلها لنا </t>
    </r>
  </si>
  <si>
    <t>التكييف مغلق</t>
  </si>
  <si>
    <t xml:space="preserve">تم التواصل بخصوص التوجه للمحطه لاستلام الكوبون </t>
  </si>
  <si>
    <t>مريم الديباني</t>
  </si>
  <si>
    <t>أتقدم بطلب التوظيف لدى شركتكم، وأرفقت سيرتي الذاتية للاطلاع. أتطلع إلى فرصة عمل مناسبة تتوافق مع مؤهلاتي وخبراتي. شكراً لكم.</t>
  </si>
  <si>
    <t>عمر العتيبي</t>
  </si>
  <si>
    <t>السلام عليكم ورحمة الله وبركاته السادة /قسم التوظيف المحترمين اتقدم اليكم بطلب التوظيف وارفقت سيرتي الذاتية للاطلاع عليها.أتطلع الى فرصة لانضمام إلى فريق العمل والمساهمة بمهاراتي وخبراتي في تحقيق أهداف المنشأة البريد الالكتروني:alsadi1437@gmail.com</t>
  </si>
  <si>
    <t xml:space="preserve"> اياد</t>
  </si>
  <si>
    <t>صلاح الدين عبدالوهاب</t>
  </si>
  <si>
    <r>
      <rPr>
        <rFont val="Calibri"/>
        <b/>
        <color theme="1"/>
        <sz val="9.0"/>
      </rPr>
      <t xml:space="preserve">  سوء اخلاق العامل  Sunday, July 26, 2026  - </t>
    </r>
    <r>
      <rPr>
        <rFont val="Calibri"/>
        <b/>
        <color rgb="FFFF6D01"/>
        <sz val="9.0"/>
      </rPr>
      <t xml:space="preserve">افاد انا في اجتماع الوقت غير مناسب </t>
    </r>
  </si>
  <si>
    <t>ريم الزهراني</t>
  </si>
  <si>
    <t xml:space="preserve">حنين </t>
  </si>
  <si>
    <t xml:space="preserve">محطه بمساحه 725م-وكيل </t>
  </si>
  <si>
    <t>عبدالعزيز 	الاعماء</t>
  </si>
  <si>
    <t>السلام عليكم ورحمة الله وبركاته اتمنى قبولي في احد الوظائف</t>
  </si>
  <si>
    <t xml:space="preserve">  سلمان</t>
  </si>
  <si>
    <t xml:space="preserve"> نظافة الحمامات سيئة جدا جدا والمسجد مغلق Sunday, July 26, 2026 </t>
  </si>
  <si>
    <t>محمد بابحير</t>
  </si>
  <si>
    <t xml:space="preserve">Yaser </t>
  </si>
  <si>
    <t xml:space="preserve">	انا محمد وابحث عن وظيفة داخل المملكة العربية السعودية</t>
  </si>
  <si>
    <t xml:space="preserve"> شارطين على الناس يعبون 120﷼ للفل ليه ؟؟
 الاثنين، 27 يوليو 2026 في 07:00 ص
</t>
  </si>
  <si>
    <t xml:space="preserve">يستفسر اذا يوجد في المحطه مشرف -تمت افادته بوجود مدير ومشرف </t>
  </si>
  <si>
    <t xml:space="preserve">رفيف </t>
  </si>
  <si>
    <t>صوفي الشاعري</t>
  </si>
  <si>
    <t xml:space="preserve"> بقالة المحطه الي بالجراد عنده توصيل؟ انا عندي استراحه قريبه الي اشوف لو عندكم خدمة توصيل
</t>
  </si>
  <si>
    <t>امير حبحب</t>
  </si>
  <si>
    <t xml:space="preserve">	اتطلع لسماع العروض الوظيفية من قبلكم</t>
  </si>
  <si>
    <t xml:space="preserve">  جلال الصاعدي
</t>
  </si>
  <si>
    <t xml:space="preserve"> 4300 متر راس بلك 100 متر على شارع 64 -40 على شارعين 32 متر
</t>
  </si>
  <si>
    <t>محمود عساف</t>
  </si>
  <si>
    <t>طلب وضيفة ميدانية او ادارة مستودعات ومشتريات</t>
  </si>
  <si>
    <t xml:space="preserve"> عبدالعزيز </t>
  </si>
  <si>
    <r>
      <rPr>
        <rFont val="Calibri"/>
        <b/>
        <color theme="1"/>
      </rPr>
      <t xml:space="preserve"> تم زياره محطه درب وتم تجربه جهاز الهواء والماء جدا سئ الهواء. يتم خفض ضغط الهواء وليس زياده ضغط الهواء وهذا شي جدا سئ في جميع الاجهزه داخل المحطات جودة الجهاز ري جدا جدا
وتم زياره فرعين لمحطه درب نفس المشكله في الجهاز يخفض ضغط الهواء
</t>
    </r>
    <r>
      <rPr>
        <rFont val="Calibri"/>
        <b/>
        <color rgb="FFFF9900"/>
      </rPr>
      <t xml:space="preserve">تم اجراء بلاغ صيانه </t>
    </r>
  </si>
  <si>
    <t>احمد سامي</t>
  </si>
  <si>
    <t>شركه تقنيه</t>
  </si>
  <si>
    <t xml:space="preserve">الكندي أحمد
</t>
  </si>
  <si>
    <t xml:space="preserve">ثلاث مواقع عقار مساحه كل منه 638م و1620م  620 م - مالك </t>
  </si>
  <si>
    <t>حسان خوجة</t>
  </si>
  <si>
    <t>ريحان</t>
  </si>
  <si>
    <t xml:space="preserve">يبي يعرض خدماته تمت افادته بالارسال عبر الايميل </t>
  </si>
  <si>
    <t xml:space="preserve">	اتمنى قبولي وشكرا</t>
  </si>
  <si>
    <r>
      <rPr>
        <rFont val="Calibri"/>
        <b/>
        <color theme="1"/>
        <sz val="9.0"/>
      </rPr>
      <t xml:space="preserve">يقول ان العامل مايوريه المبلغ قبل الدفع يسال ليه كذا العامل اسمه ميدي  الاثنين 11:30الظهر مو من حقه ما يوريني المبلغ الي على الجهاز </t>
    </r>
    <r>
      <rPr>
        <rFont val="Calibri"/>
        <b/>
        <color rgb="FFFF9900"/>
        <sz val="9.0"/>
      </rPr>
      <t xml:space="preserve">- تم التواصل والاعتذار من العميل </t>
    </r>
  </si>
  <si>
    <t>براء عنبر</t>
  </si>
  <si>
    <t xml:space="preserve"> نشمي الحربي
</t>
  </si>
  <si>
    <t xml:space="preserve">   حابين نطرح لكم برنامجنا فلوفيكس محاسبي متكامل
ونتمنى نعمل اجتماع لطرح الفكره والتجربه
نتمنى نكون احد شركاء النجاح</t>
  </si>
  <si>
    <t xml:space="preserve">	يُشرفني أن أتقدم بطلب التوظيف هذا للانضمام إلى فريق العمل في منشأتكم الموقرة وشغل وظيفة ، حيث أجد في نفسي الشغف والكفاءة التقنية اللازمة للمساهمة في دعم مسيرة التحول الرقمي لديكم، وتحقيق تطلعاتكم الطموحة.</t>
  </si>
  <si>
    <t xml:space="preserve">محمد داحش عبدالله </t>
  </si>
  <si>
    <r>
      <rPr>
        <rFont val="Arial"/>
        <b/>
        <color rgb="FF1B1B1A"/>
        <sz val="11.0"/>
      </rPr>
      <t xml:space="preserve">يقول كان بيحاسب وبطاقته مرفوضه اعطى واحد من العمال هويته عشان يضمن يرجعله ويوم رجع قال مدري الهويه مع المدير والمدير مو موجود يتصل محد يرد - </t>
    </r>
    <r>
      <rPr>
        <rFont val="Arial"/>
        <b/>
        <color rgb="FFFF6D01"/>
        <sz val="11.0"/>
      </rPr>
      <t>-</t>
    </r>
    <r>
      <rPr>
        <rFont val="Arial"/>
        <b/>
        <color rgb="FFFF9900"/>
        <sz val="11.0"/>
      </rPr>
      <t xml:space="preserve"> تم التواصل مع العميل وابلاغه بان يتوجه للمحطة والدفع واستلامها </t>
    </r>
  </si>
  <si>
    <t xml:space="preserve">تم التواصل مع إدارة الامتياز واتضح ان العميل لم يدفع منذ 7 ايام ويرغب في استلام هويته دون الدفع </t>
  </si>
  <si>
    <t xml:space="preserve">طلب تسجيل كاميرات بس طلع ملخبط يقصد درب الوطن </t>
  </si>
  <si>
    <t xml:space="preserve">	ارغب بالحصول ع وظيفه مناسبة ومعرفة التفاصيل قبل الموافقة</t>
  </si>
  <si>
    <t xml:space="preserve">سماكو - صيانة </t>
  </si>
  <si>
    <t xml:space="preserve"> ميس المري</t>
  </si>
  <si>
    <t xml:space="preserve">	اهلا وسهلا ميس المري خبيرة تسويق الكتروني وميداني خبرة بمجال القاعات والتصاميم بجميع انواعها ادارة تسويق لدى شركات وفنادق</t>
  </si>
  <si>
    <t xml:space="preserve">طلب غير مكتمل -تم الاتصال مرتين  لايوجد رد </t>
  </si>
  <si>
    <t xml:space="preserve"> عبدالله العزاني
</t>
  </si>
  <si>
    <t xml:space="preserve">  كل  ما اجي عبي يقول ٥ دقايق  انتظر 
 الاثنين، 27 يوليو 2026 في 11:53 ص
</t>
  </si>
  <si>
    <t>موسى الزهراني</t>
  </si>
  <si>
    <t xml:space="preserve">	السلام عليكم ورحمة الله وبركاته ارغب في الالتحاق بشركتكم المحترمه مقدم الطلب / موسى عيدان الزهراني</t>
  </si>
  <si>
    <t xml:space="preserve">شركه خيريه ترغب في التعاون لبناء و تشغيل محطة </t>
  </si>
  <si>
    <t>سوزان علي</t>
  </si>
  <si>
    <t xml:space="preserve">	السادة شركة درب، أتقدم بطلب التوظيف لديكم، ولدي خبرة في خدمة العملاء وإدارة الحسابات وتجديد العقود والتنسيق البيعي. أتطلع للانضمام إلى فريقكم والمساهمة في تحقيق أهداف الشركة. مع الشكر والتقدير، سوزان يوسف</t>
  </si>
  <si>
    <t xml:space="preserve">يستفسر عن شخص بالصيانه بس طلع غلطان بالرقم </t>
  </si>
  <si>
    <t>احمد دسوقيي</t>
  </si>
  <si>
    <r>
      <rPr>
        <rFont val="Calibri"/>
        <b/>
      </rPr>
      <t xml:space="preserve">الاستفسار بخصوص بنزين مجانا
</t>
    </r>
    <r>
      <rPr>
        <rFont val="Calibri"/>
        <b/>
        <color rgb="FF1155CC"/>
        <u/>
      </rPr>
      <t>https://www.instagram.com/p/DbSYDP-gHTQ/?igsh=bDk4b2lqZDc3YzUx</t>
    </r>
  </si>
  <si>
    <t>حياك الله أستاذ سلطان
كل الي عليك تتابعنا وتمنشن 2 من اصحابك ✨
فالك التوفيق</t>
  </si>
  <si>
    <t>هبه المدابغي</t>
  </si>
  <si>
    <t xml:space="preserve">	لسلام عليكم ورحمة الله وبركاته، السادة/ إدارة التوظيف المحترمين أتقدم إليكم بطلب التوظيف ، وأرغب بالانضمام إلى فريق العمل لديكم. أتمتع بالجدية والرغبة في التعلم وتحمل المسؤولية والعمل بروح الفريق، وأسعى لتطوير مهاراتي واكتساب الخبرات المهنية.</t>
  </si>
  <si>
    <t xml:space="preserve">طلب تاجير غير مكتمل ولا يرد اتصال </t>
  </si>
  <si>
    <t>محمد عتيق</t>
  </si>
  <si>
    <t xml:space="preserve">يرغب بتزويده بالديزال </t>
  </si>
  <si>
    <t>تم تحويله على الايميل</t>
  </si>
  <si>
    <t>حسن  الجرفي</t>
  </si>
  <si>
    <t xml:space="preserve">	اتقدم لكم للقبول بأحدا الواظائف لديكم تناسب سيرتي الذاتيه</t>
  </si>
  <si>
    <t>رباب الشاعري</t>
  </si>
  <si>
    <t>أنا رباب الشاعري، أعمل في مجال الموارد البشرية والشؤون الإدارية. لدي خبرة في إدارة ملفات الموظفين والعقود والتأمينات والمنصات الحكومية، بالإضافة إلى متابعة الإجراءات الإدارية اليومية والتنسيق بين مختلف الجهات.</t>
  </si>
  <si>
    <t>بيان فلمبم</t>
  </si>
  <si>
    <t xml:space="preserve">	أرفق لكم سيرتي الذاتية التي تُبرز إنجازاتي. أتقدم بطلب الانضمام إلى شركتكم الموقرة. أؤمن بأن خبرتي الواسعة وقدرتي على تحقيق النتائج ستؤهلني لأكون جزءًا من شركتكم المرموقة وأساهم في تحقيق أهدافها. مع خالص التحيات، أشكركم على وقتكم واهتمامكم.</t>
  </si>
  <si>
    <t xml:space="preserve">عرض خدمات </t>
  </si>
  <si>
    <t>السلام عليكم ورحمة الله اقدم معروضي هذا وفيه اليدكم انني اتشرف ان اكون ظمن طاقمكم المميز حيث انني شاب طموح اتحمل ضغوط العمل ولبق اجتماعيا</t>
  </si>
  <si>
    <t xml:space="preserve">  MK028</t>
  </si>
  <si>
    <r>
      <rPr>
        <rFont val="Calibri"/>
        <b/>
        <color theme="1"/>
      </rPr>
      <t xml:space="preserve">يفيد انه دفع شبكه وكانت مقبوله ومشى بعدين اكتشف انه جاته عمليه استرداد والمبلغ رجع له  يوم الاثنين 27/7 الساعه 4:18 الصبح المبلغ 130 ريال بنزين 91 - </t>
    </r>
    <r>
      <rPr>
        <rFont val="Calibri"/>
        <b/>
        <color rgb="FFFF6D01"/>
      </rPr>
      <t xml:space="preserve">تم التواصل وافادته بان لايوجد عجز والمبلغ معلق </t>
    </r>
  </si>
  <si>
    <t>غدير العمري</t>
  </si>
  <si>
    <t xml:space="preserve">افاد التشغيل انه لايوجد عجز </t>
  </si>
  <si>
    <t xml:space="preserve">	هل يوجد شاغل وظيفي في جده</t>
  </si>
  <si>
    <t>عكس عملية</t>
  </si>
  <si>
    <r>
      <rPr>
        <rFont val="Calibri"/>
        <color rgb="FF131825"/>
        <sz val="9.0"/>
      </rPr>
      <t xml:space="preserve">كنت اعبي والعامل جوا المحطة جالس يدخن والكاب مقلوب ويمشي كان رايح على ناحية دورات المياه - 12:20م -  صني خضرا (ب ا ق - 8286) - </t>
    </r>
    <r>
      <rPr>
        <rFont val="Calibri"/>
        <color rgb="FFFF6D01"/>
        <sz val="9.0"/>
      </rPr>
      <t>تم التوضيح اللعميل وابلاغه بالاجراء</t>
    </r>
  </si>
  <si>
    <t>علاء الغامدي</t>
  </si>
  <si>
    <t xml:space="preserve">محل مغسله سيارات -مالك </t>
  </si>
  <si>
    <t xml:space="preserve">	أتمنى ان أكون احد موظفي هذا الصرح الشامخ واتشرف بالالتحاق به</t>
  </si>
  <si>
    <t>مجدى</t>
  </si>
  <si>
    <t>صالح الصقور</t>
  </si>
  <si>
    <r>
      <rPr>
        <rFont val="Calibri"/>
        <b/>
        <color theme="1"/>
      </rPr>
      <t xml:space="preserve">سيارته وقف ويبغا يعبي بنزين- </t>
    </r>
    <r>
      <rPr>
        <rFont val="Calibri"/>
        <b/>
        <color rgb="FFFF9900"/>
      </rPr>
      <t>تم افادته بوجود جركل مخصص</t>
    </r>
  </si>
  <si>
    <t>اتمني الانضمام الي العمل معكم</t>
  </si>
  <si>
    <t xml:space="preserve"> ابراهيم</t>
  </si>
  <si>
    <t>لؤي التركي</t>
  </si>
  <si>
    <r>
      <rPr>
        <rFont val="Calibri"/>
        <b/>
        <color theme="1"/>
      </rPr>
      <t xml:space="preserve"> محتاج رقم الموظف عبدالله اليمني الي فالبنشر الموجود في محطه درب ع طريق الليث</t>
    </r>
    <r>
      <rPr>
        <rFont val="Calibri"/>
        <b/>
        <color rgb="FFFF9900"/>
      </rPr>
      <t>-تمت افادته بانه شريك لدينا فقط</t>
    </r>
  </si>
  <si>
    <t xml:space="preserve">	تحية طيبة وبعد، أتقدم إليكم بهذا الخطاب للتعبير عن اهتمامي الشديد بالانضمام إلى فريق عمل شركة درب الوقود والترشح لشغل الوظيفة المناسبة لخبرتي و تخصصي مع جزيل الشكر و الاحترام</t>
  </si>
  <si>
    <t xml:space="preserve"> 
Rehan </t>
  </si>
  <si>
    <t>معقب مراقب سائق خدمة عملاء ...</t>
  </si>
  <si>
    <r>
      <rPr>
        <rFont val="Calibri"/>
        <b/>
        <color theme="1"/>
      </rPr>
      <t xml:space="preserve">  شركة متخصصة في توفير القوى العاملة-ت</t>
    </r>
    <r>
      <rPr>
        <rFont val="Calibri"/>
        <b/>
        <color rgb="FFFF9900"/>
      </rPr>
      <t>م طلب ارسال الخدمات عبر الايميل</t>
    </r>
  </si>
  <si>
    <t xml:space="preserve">محمد منصور </t>
  </si>
  <si>
    <r>
      <rPr>
        <rFont val="Calibri"/>
        <b/>
        <color theme="1"/>
      </rPr>
      <t xml:space="preserve">صورت مقطع افتتاح محطه بنجران تصوير جوي وللان محد تواصل معاه </t>
    </r>
    <r>
      <rPr>
        <rFont val="Calibri"/>
        <b/>
        <color rgb="FFFF9900"/>
      </rPr>
      <t xml:space="preserve">-تم الارسل الى قسم التسويق وتم ارسال الاتفاقيه </t>
    </r>
  </si>
  <si>
    <t>محمد قايد حسن</t>
  </si>
  <si>
    <t>تم تعبيئة البيانات المطلوبة وفي انتظار ردكم الكريم</t>
  </si>
  <si>
    <t xml:space="preserve">Al Jawf
</t>
  </si>
  <si>
    <r>
      <rPr>
        <rFont val="Calibri"/>
        <b/>
        <color theme="1"/>
      </rPr>
      <t xml:space="preserve">يسال اذا عندنا اشتراك شهري للتعبئه </t>
    </r>
    <r>
      <rPr>
        <rFont val="Calibri"/>
        <b/>
        <color rgb="FFFF9900"/>
      </rPr>
      <t xml:space="preserve">-تم الافاده </t>
    </r>
  </si>
  <si>
    <t>اسراء  القثمي</t>
  </si>
  <si>
    <t xml:space="preserve">	الرجاء التواصل معي في حال وجود شاغر وظيفي بقسم HR لموظف مميز ونشط وكفؤ ومساهم في تطوير وبناء الشركة . شاكر لكم</t>
  </si>
  <si>
    <t xml:space="preserve"> مغسلة سيارات  اسم العلامة التجارية: وش , الفروع: ١</t>
  </si>
  <si>
    <t>نوره 	القحطاني</t>
  </si>
  <si>
    <r>
      <rPr>
        <rFont val="Calibri"/>
        <b/>
        <color rgb="FF131825"/>
        <sz val="9.0"/>
      </rPr>
      <t xml:space="preserve">التاريخ : ٢٠٢٩/٠٦/٠٨م السيارة : راف فور ٢٠٢٣ رقم اللوحة : (ر ر ك ١٥٠٧) الوقت : ٥٥ : ٠١ منتصف الليل تقريباً الشكوى : عندي شك في مصداقية تعبئة سيارتي للبنزين.. بنزين ٩١ اخضر
١٠ ريال كاش
دفعت ٥٠ ريال نقد ورجع لي ٤٠- العميل يرغب بالتأكد من التعبئة  </t>
    </r>
    <r>
      <rPr>
        <rFont val="Calibri"/>
        <b/>
        <color rgb="FFFF9900"/>
        <sz val="9.0"/>
      </rPr>
      <t>- المحطة</t>
    </r>
    <r>
      <rPr>
        <rFont val="Calibri"/>
        <b/>
        <color rgb="FFFF6D01"/>
        <sz val="9.0"/>
      </rPr>
      <t xml:space="preserve"> لا تستخدم كاش ان سيتم التشييك عبر ناتج وتم التواصل وافادة العميل بتاكيد التعبئة وفي حال يرغب بفاتورة نرفقها له وافاد مايحتاج في ذمة العامل </t>
    </r>
  </si>
  <si>
    <t>السلام عليكم، أتقدم بطلب الانضمام لفريق عمل شركة درب، لدي دبلوم إدارة أعمال وخبرة في العمل الإداري، وأطمح لتطوير مهاراتي والمساهمة في نجاح الشركة. شاكرة لكم وقتكم، وأتطلع لفرصة المقابلة. نوره فهد القحطاني</t>
  </si>
  <si>
    <t xml:space="preserve">تم الاتصال مرتين مغلق </t>
  </si>
  <si>
    <t>صالحه علي</t>
  </si>
  <si>
    <t xml:space="preserve">تم الاتصال يقول خلاص </t>
  </si>
  <si>
    <t xml:space="preserve">	السلام عليكم ورحمة الله وبركاتة ارغب في وضيفه اذا لديكم</t>
  </si>
  <si>
    <t xml:space="preserve"> الباحة</t>
  </si>
  <si>
    <t xml:space="preserve"> BH065</t>
  </si>
  <si>
    <t xml:space="preserve"> حراميه عبيت وكان الحساب 59 ريال وفيه كم هلله راح العامل قدام عيوني جلس يضغط زر صار 60 ريال وجايب الشبكة يبيني احاسب وجلس ينكر انه سواها حاسبت على 60 والله يجعلها في ذمته
 الثلاثاء، 28 يوليو 2026 في 01:28 ص
</t>
  </si>
  <si>
    <t>ابرار الصمدي</t>
  </si>
  <si>
    <t xml:space="preserve">	عملت في مجال المبيعات ولدي الخبره الكافيه في اداره عمليات البيع واستقطاب عملاء جدد واستدامه العملاء الحالين ،عملت في مجال الانديه الرياضيه والرياضه واتطلع للعمل بمجالات اخرى بشكل اوسع لدي ميزه حب تعلم كل شي والاستفاده منه</t>
  </si>
  <si>
    <t xml:space="preserve"> Faris </t>
  </si>
  <si>
    <t xml:space="preserve"> Mk007</t>
  </si>
  <si>
    <t xml:space="preserve"> للأسف تعامل العمال بمحطة الوقود جدااً سيئ
 تركت التعبئة بهذي المحطة بسبب سوء تعامل عمالها عند التعبيئة  لا أخلاق ولاااشي
 الاثنين، 27 يوليو 2026 في 05:30 م
</t>
  </si>
  <si>
    <t>احمد ابولحية</t>
  </si>
  <si>
    <t xml:space="preserve">	Dear Hiring Manager, Experienced Electrical Engineer with a demonstrated history of working in the construction industry When reviewing the job requirement, I was excited to see that my qualifications and personal traits align with your needs.</t>
  </si>
  <si>
    <t xml:space="preserve"> مسفر الحارثي</t>
  </si>
  <si>
    <t xml:space="preserve">  المحطه رايحين العماله يعبون لي الترلات واحنى مخلينا ننتظر وبعضنا مشا ولا عبا اخرونا وحنى في سفر موقع المحطه وانت طالع من مكه بتجاه الطايف قبل مركز صبوحه Tuesday, July 28, 2026 </t>
  </si>
  <si>
    <t>سعود ابو الخير</t>
  </si>
  <si>
    <t xml:space="preserve"> عيدروس حبيب</t>
  </si>
  <si>
    <t xml:space="preserve">	انا حاليا على رأس عمل بوظيفة مسؤل مبيعات المنطقه الغربية لا يمانع اذا جاني عرض وظيفي اخر ان اتتطلع له وكل انسان يطمح للأفضل</t>
  </si>
  <si>
    <t xml:space="preserve"> سلام عليكم
 انا فزت بكوبون و الفرع هذا بعيد عني مره
اقدر اروح الفرع اللي قريب مني وهو فرع حي الكوثر
</t>
  </si>
  <si>
    <t>محمد فاروق</t>
  </si>
  <si>
    <t xml:space="preserve">	جاني رساله للإنضمام</t>
  </si>
  <si>
    <t xml:space="preserve">  الكندي </t>
  </si>
  <si>
    <t>جواهر آل ثابت</t>
  </si>
  <si>
    <t>وظائف اداريه</t>
  </si>
  <si>
    <t>سهام</t>
  </si>
  <si>
    <r>
      <rPr>
        <rFont val="Calibri"/>
        <b/>
        <color theme="1"/>
      </rPr>
      <t>عبي 100 دقه وحده وهو يعبي استغفلني وسوا دقه ثاني قلت له ليه قام يكذب يقول ما سويت دقه ثانيه قلت له مارح ادفع انت تسوي دقه ثانية ليه قمت كلمت شخص على التلفون وقال انه صحيح العامل سوا دقهه ثانية لكن عشان يراجع الكاميرات يحتاج وقت قلت له انا مشغوله وبروح بعد ما تاخذون اجراء راح اجي ادفع ونا اشوف ان حسابي 100 ابي تخصمون من العامل 50 ونا ادفع 50 لان معروف التانكي ماي متلى بنزين بدقتي يمتلى غاز   - الي كلمته شخص اتوقع اسمه ماجد العتيبي مو متأكده بجوال العامل قام اخذ رقمي وكلمني واتس وارسلي رقم اماني عشان اتابع معها 0501355711 - ح ي ن - 9977 - كامري 2017 ابيض - لم يتم الرد -</t>
    </r>
    <r>
      <rPr>
        <rFont val="Calibri"/>
        <b/>
        <color rgb="FFFF6D01"/>
      </rPr>
      <t xml:space="preserve"> تم التواصل وابلاغ العميله بان العامل لم يفعل شي وبامكانها التأكد من الفيديو وقت زيارتها للمحطة</t>
    </r>
  </si>
  <si>
    <t xml:space="preserve">تم التحقق من الكاميرات والعامل لم يفعل شيء تم التعبئة بنفس القيمة ودقة واحده </t>
  </si>
  <si>
    <t xml:space="preserve">التحقق من التعبئة </t>
  </si>
  <si>
    <t>احمد محمد احمد</t>
  </si>
  <si>
    <t>ارفق لكم السيفى الخاص بي طالبا عمل حسب ماهو موضح ولكم جزيل الشكر والتقدير</t>
  </si>
  <si>
    <t xml:space="preserve"> سليمان </t>
  </si>
  <si>
    <r>
      <rPr>
        <rFont val="Calibri"/>
        <b/>
        <color theme="1"/>
      </rPr>
      <t>.عندي سياره لوسيد هل لديكم في فرع الباحه شحن كهربائي للسيارة-ت</t>
    </r>
    <r>
      <rPr>
        <rFont val="Calibri"/>
        <b/>
        <color rgb="FFFF9900"/>
      </rPr>
      <t>مت الافاده</t>
    </r>
    <r>
      <rPr>
        <rFont val="Calibri"/>
        <b/>
        <color theme="1"/>
      </rPr>
      <t xml:space="preserve">
</t>
    </r>
  </si>
  <si>
    <t>رغد  القحطاني</t>
  </si>
  <si>
    <t>أتقدم بطلب وظيفه</t>
  </si>
  <si>
    <t xml:space="preserve">يبغا يتواصل مع مسؤول قسم الموارد البشريه </t>
  </si>
  <si>
    <t>هنوف عالم</t>
  </si>
  <si>
    <t xml:space="preserve">	السلام عليكم ورحمة الله وبركاته، أتقدم بطلب التوظيف على وظيفة إداري لدى شركة دروب، وأمتلك خبرة في الأعمال الإدارية والاستقبال وخدمة العملاء، مع مهارات جيدة في التنظيم واستخدام برامج الأوفيس. أتطلع للانضمام إلى فريقكم والمساهمة في نجاح العمل. وشكرا</t>
  </si>
  <si>
    <t xml:space="preserve">مغسله الفخامه النموذجيه  -6فروع -مالك </t>
  </si>
  <si>
    <t>رباب الشمراتي</t>
  </si>
  <si>
    <t xml:space="preserve">	لايوجد لدي خبره لغتي الانجليزيه متوسطه قليلا الحاسب متوسطه قليلا مواقع السوشل ميديا لدي خبره قليلا اتمنى التوفيق لي ولكم</t>
  </si>
  <si>
    <t>سعادة/ إدارة محطة درب المحترمين السلام عليكم ورحمة الله وبركاته، نود إفادتكم برغبتنا في استئجار مغسلة سيارات داخل محطة درب، الكائنة على طريق الملك فيصل - حفرالباطن  -  حي الواحة، وذلك بعد ملاحظة عدم تشغيلها الا فتره قصيره ومقفله الان ونود الاستأجار بغرض تشغيلها وإدارتها بشكل احترافي وفق أعلى معايير الجودة والسلامة، وبما يحقق قيمة مضافة للمحطة ويخدم عملاءها.
نفيدكم بوجود شراكة تشغيلية وتكامل خدمي مع نادي تمرين الرياضي المقابل للمحطة، مما يتيح فرصة مميزة لزيادة الإقبال والحركة اليومية، حيث يمكن لمرتادي النادي الاستفادة من خدمة غسيل السيارات أثناء تواجدهم في الموقع، بما يعزز الاستفادة المشتركة لجميع الأطراف. نمتلك الخبرة والقدرة التشغيلية اللازمة لإدارة المغسلة، مع الالتزام التام بجميع اشتراطات الجهات الرسمية والبيئية، والمحافظة على المظهر العام للموقع بما يتناسب مع هوية المحطة. يسرّنا مناقشة تفاصيل الاستئجار وآلية التعاون المقترحة بما يحقق المنفعة المشتركة للطرفين، ويسعدنا تحديد موعد مناسب للقاء أو التواصل معكم لاستكمال الإجراءات. شاكرين ومقدّرين حسن تعاونكم،وتفضلوا بقبول فائق الاحترام والتقدير.</t>
  </si>
  <si>
    <t xml:space="preserve">عيدروس حبيب </t>
  </si>
  <si>
    <t>أريج بريك</t>
  </si>
  <si>
    <t xml:space="preserve">يستفسر عن تغيير موقع المحطه لاستلام  الكوبون </t>
  </si>
  <si>
    <t xml:space="preserve">	أتشرف بتقديم سيرتي الذاتية لحضراتكم و اتمنى أن يحوز على رضاكم</t>
  </si>
  <si>
    <t>علي مفرج</t>
  </si>
  <si>
    <t xml:space="preserve">اول فرع </t>
  </si>
  <si>
    <t>فهدالأسمر</t>
  </si>
  <si>
    <t xml:space="preserve">استفسار عن الوظائف -تمت الافاده عبر الايميل </t>
  </si>
  <si>
    <t xml:space="preserve">ابراهيم الوايلي </t>
  </si>
  <si>
    <t>سعود العصيمي</t>
  </si>
  <si>
    <t xml:space="preserve"> ابي فتحة محل  رقم التواصل 0553337974 - درب المركب</t>
  </si>
  <si>
    <t xml:space="preserve">لديه اكثر من موقع واحد منهم مساحته4000م والاخر 2500م ويوجد ايضا مواقع مميزه عليها رخص </t>
  </si>
  <si>
    <t>عبدالرحمن طشه</t>
  </si>
  <si>
    <t xml:space="preserve">	عبدالرحمن أحمد طشه مشرف خدمات لوجستيه مستعد لتقديم خبرتي في أعمال مشابهة وايضا في اي خدمات ممكن تطلب مني فلدي خبرة كافية لتقديم المساعدة والعمل بروح الفريق</t>
  </si>
  <si>
    <t xml:space="preserve">تركي المطيري </t>
  </si>
  <si>
    <t xml:space="preserve">محطه مساحه 2500م تقريبا بالقرب من مطار الحفر موقع مميز عليها رخصه -وكيل </t>
  </si>
  <si>
    <t>هيثم المحروقي</t>
  </si>
  <si>
    <t xml:space="preserve">	بسم الله الرحمن الرحيم انا هيثم المحروقي عندي خبره 4سنين في مجال الصناعة عندي رخص مهنيه واحترافيه زي الاوشا وغيرها من الشهادات ورخص</t>
  </si>
  <si>
    <t xml:space="preserve">استفسر عن طاب مسبق </t>
  </si>
  <si>
    <t xml:space="preserve">علي الزهراني </t>
  </si>
  <si>
    <t>محمد عطية</t>
  </si>
  <si>
    <t>ارض على شارع عام علبها رخصه-وكيل</t>
  </si>
  <si>
    <t>اتقدم لكم بالسيرة الذاتية المختصرة عن المسار الوظيفي الخاص بي في مجال المحاسبة و الادارة المالية مع خالص تقديري لوقتكم ومجهودكم</t>
  </si>
  <si>
    <t xml:space="preserve">شركة اسس افاق الريادة
</t>
  </si>
  <si>
    <t xml:space="preserve">  نتشرف بالتواصل معكم لعرض فرصة استثمارية مميزة تتمثل في تشغيل محطة وقود ضمن مشروع تجاري متكامل يجري تطويره حالياً في مدينة جدة.
يقع المشروع على أرض تبلغ مساحتها 13,000 متر مربع، على شارع المدائن في حي النزلة الشرقية، مقابل مجمع العائلة، وهو موقع يتميز بكثافة سكانية وحركة مرورية نشطة، مما يجعله من المواقع الواعدة للاستثمار والتشغيل.</t>
  </si>
  <si>
    <t>البراء زرعة</t>
  </si>
  <si>
    <r>
      <rPr>
        <rFont val="Calibri"/>
        <b/>
        <color theme="1"/>
        <sz val="9.0"/>
      </rPr>
      <t>العميل متعطل ويحتاج جركل ويقول العامل مافي جركل  -</t>
    </r>
    <r>
      <rPr>
        <rFont val="Calibri"/>
        <b/>
        <color rgb="FFFF9900"/>
        <sz val="9.0"/>
      </rPr>
      <t xml:space="preserve"> متوفر جركل بالفعل </t>
    </r>
  </si>
  <si>
    <t>تم التعبئة للعميل في جركل وادعائه غير صحيح متوفر مرفق فيديو ومثبت استلامه للجركل</t>
  </si>
  <si>
    <t>جركل</t>
  </si>
  <si>
    <t>احمد محمد المالكي</t>
  </si>
  <si>
    <t>ضابط متقاعد من الاستخبارات العامة وابحث عن عمل مناسب</t>
  </si>
  <si>
    <t xml:space="preserve">تم الاتصال واغلقت الهاتف </t>
  </si>
  <si>
    <t>محمد المهدي</t>
  </si>
  <si>
    <t>اوقات عمل الشريك</t>
  </si>
  <si>
    <t>السلام عليكم ورحمة الله وبركاته انا المهندس محمد عبدالله المهدي مرفق لكم سيرتي الذاتية ولكم جزيل الشكر</t>
  </si>
  <si>
    <r>
      <rPr>
        <rFont val="Calibri"/>
        <b/>
        <color rgb="FF131825"/>
        <sz val="9.0"/>
      </rPr>
      <t>500 بعد ما عبى راح وجا وجاب الصرف قلت ابا 100 بدال 200 قام يصرخ عليا وقلت مافي اسم والثاني جا يكلمو بلغتهم يقول خلاص اعطيها يقول الثاني ما اعرف - 1:50م -تيوتا ابيض (د ه ي  9251) - 102 - اخضر - المسار الداخلي</t>
    </r>
    <r>
      <rPr>
        <rFont val="Calibri"/>
        <b/>
        <color rgb="FFFF6D01"/>
        <sz val="9.0"/>
      </rPr>
      <t xml:space="preserve"> - تم التواصل والاعتذار وايضاح الاجراء المتخذ الا انها اصرت ع المرور والاعتذار لها </t>
    </r>
  </si>
  <si>
    <t>المدينة:اسكان الحصمهالمحطة: درب التاريخ:اليوم الوقت: ساعه حدود الساعه 8:05 رفض ان يعبي الي فكنت انظر الى المال كم شبكه وكم كاش من المعروف يسال العامل عندما يكمل تعبئه البنزين ويسال كاش او شبكه وهذا رفض ان يعبي لي - https://www.google.com/maps/search/?api=1&amp;query=16.8192644,42.9594792</t>
  </si>
  <si>
    <t xml:space="preserve">تم ابلاغ العميل بانه سيتم ارشفة الشكوى على ملف المحطة وتم تصعيده  وهدف درب دائما تحسين المحطة وتجربة العميل وزي ما هو شايف المحطة في اجراءات التغيير لتصبح من ضمن محطات درب وبالتاكيد بمجرد اكتمال المشروع سيتم انزال عمال متدربون وتغييرهم وتم الاعتذار وشكرنا على الاهتمام وكان سعيد بالخدمة </t>
  </si>
  <si>
    <t>اماني حبيب الله</t>
  </si>
  <si>
    <t>كفرات زيوت اكثر من 40 فرع</t>
  </si>
  <si>
    <t xml:space="preserve">يزن </t>
  </si>
  <si>
    <t>Hani</t>
  </si>
  <si>
    <t>ارض بين محافظة أحد المسارحة وأبوعريش مساحه9179م  -</t>
  </si>
  <si>
    <t>اتقدم لحضرتكم لوظيفة تناسب مؤهلاتي وخبراتي بالعمل وفقا للسيرة الذاتية المرفقه</t>
  </si>
  <si>
    <t>سند</t>
  </si>
  <si>
    <t xml:space="preserve"> تم تعبئة بنزين وطلب كوبون سفاري الطايف ولكن العامل لم يفهم موجود ؟
</t>
  </si>
  <si>
    <r>
      <rPr>
        <rFont val="Calibri"/>
        <b/>
        <color rgb="FF131825"/>
        <sz val="9.0"/>
      </rPr>
      <t xml:space="preserve">جيت ابغى اعبي فيزا قالي مافي 
جدة شارع حراء يوم السبت قبل ثلاث ايام بعد صلاة المغرب الساعه 8:00
</t>
    </r>
    <r>
      <rPr>
        <rFont val="Calibri"/>
        <b/>
        <color rgb="FF1155CC"/>
        <sz val="9.0"/>
        <u/>
      </rPr>
      <t>https://maps.app.goo.gl/2rtF7tZYT6NtimCa7?g_st=ac</t>
    </r>
  </si>
  <si>
    <t>منذر</t>
  </si>
  <si>
    <r>
      <rPr>
        <rFont val="Calibri"/>
        <b/>
        <color theme="1"/>
      </rPr>
      <t xml:space="preserve"> عندي استفسار بخصوص الرعايات و الشراكات ، هل عندكم ايميل او رقم واتس ارسلها عليه - </t>
    </r>
    <r>
      <rPr>
        <rFont val="Calibri"/>
        <b/>
        <color rgb="FFFF9900"/>
      </rPr>
      <t xml:space="preserve">تم تزويده بالايميل </t>
    </r>
  </si>
  <si>
    <t xml:space="preserve"> سيئه جدا جدا جدا والله عمال سيئين جيت اعبي ب 20 وراح حط 25 ليه طيب اذا فلوسي محدوده تغصبني اعبي ب25 والله شي لا يعقل اتمنى تغيير العمال  الثلاثاء، 28 يوليو 2026 في 04:13 م</t>
  </si>
  <si>
    <t xml:space="preserve">سلمان
</t>
  </si>
  <si>
    <t>تعبئة مبلغ زيادة</t>
  </si>
  <si>
    <t>Hazem</t>
  </si>
  <si>
    <t>تم الاتصال بالخطأ</t>
  </si>
  <si>
    <t>حسن عبد الكريم</t>
  </si>
  <si>
    <t xml:space="preserve">	السلام عليكم ورحمة اللّٰه وبركاته، بشرفني التقدم للعمل لديكم، وأرفق لسيادتكم سيرتي الذاتيةو أمتلك خبرة ومهارات في عدة مجالات منها (التحصيل المالي/العلاقات الحكوميه) اتمنى أنها تتوافق مع متطلبات التوظيف لديكم وتُمكّنني من الإسهام في تحقيق اهدافكم.</t>
  </si>
  <si>
    <t xml:space="preserve">  انني كنت اريد دورة المياه ورائحتها مقززه والنظافه كذلك Wednesday, July 29, 2026 </t>
  </si>
  <si>
    <t xml:space="preserve"> MK019</t>
  </si>
  <si>
    <r>
      <rPr>
        <rFont val="Calibri"/>
        <b/>
        <color rgb="FF131825"/>
        <sz val="9.0"/>
      </rPr>
      <t xml:space="preserve">⛽️فرصة استثمارية بموقع مميز👌👇
📢الاعلان عن أستثمار طويل الأجل لارض تجارية مرخص عليها محطة وقود فئة (ب)⛽️📍الموقع القصيم -الفوارة✅ طريق الملك عبدالعزيز عرض 64م❇️مساحة الارض 1496م2✅مميزات الموقع :-🔹طولها على الشارع العام (35)م🔹الارض مستوية🔹الموقع على طريق عام يربط منطقة القصيم بمنطقة حائل (طريق البتراء -الفوارة-سميراء -حائل)✅تقع على ثلاث شوارع🔸الشارع العام عرض (64)م (طريق الملك عبدالعزيز مسارين)🔸شارع شمالي عرض 20م🔸شارع غربي عرض 20م✅الترخيص جديد وينتهي 1450/12/22◾️توفر المخطط الانشائي◾️توفرالمخطط المعماري◾️توفر مخطط السلامة💰الايجار السنوي 100 الف ريال قابل للتفاوض📍الموقع: </t>
    </r>
    <r>
      <rPr>
        <rFont val="Calibri"/>
        <b/>
        <color rgb="FF1155CC"/>
        <sz val="9.0"/>
        <u/>
      </rPr>
      <t>https://maps.app.goo.gl/K2Sf3y4o2RZst1hi8</t>
    </r>
    <r>
      <rPr>
        <rFont val="Calibri"/>
        <b/>
        <color rgb="FF131825"/>
        <sz val="9.0"/>
      </rPr>
      <t xml:space="preserve"> 📸مرفق بعض الصور.📌ترخيص الاعلان من الهيئة العامة للعقار(7200996428)🔸الوسيط العقاري🔸مكتب عواد عيسى الحربيللعقار بالفوارةللتواصل والاستفسار :-
📲0566412912</t>
    </r>
  </si>
  <si>
    <t xml:space="preserve"> دورات المياه غير نظيفة ولاترتقي لسمعة العلامة الرائعة "درب" Tuesday, July 28, 2026 </t>
  </si>
  <si>
    <t xml:space="preserve">	السلام عليكم ورحمة الله وبركاته السادة. درب ارفع اليكم سيرتي الذاتية لغرض التوظيف</t>
  </si>
  <si>
    <t>محمد سلطان</t>
  </si>
  <si>
    <t>وصاخة دورات المياه وريحة المسجد عناطير 21:33:02 Tuesday, July 28, 2026</t>
  </si>
  <si>
    <r>
      <rPr>
        <rFont val="Calibri"/>
        <b/>
        <color rgb="FF131825"/>
        <sz val="9.0"/>
      </rPr>
      <t xml:space="preserve"> محطة الخير 09 / 06 / 2026 تعبئة الشاحنات ديزل وكذالك الدينات الصغيره وتقوم معظم الشاحنات بالدخول من الخروج وتسب زحمة في الخط  - المحطة ليست منظمة بالهوية المطلوبة
</t>
    </r>
    <r>
      <rPr>
        <rFont val="Calibri"/>
        <b/>
        <color rgb="FF1155CC"/>
        <sz val="9.0"/>
        <u/>
      </rPr>
      <t>https://maps.app.goo.gl/BXcwhrAWy2fQEY9A7</t>
    </r>
    <r>
      <rPr>
        <rFont val="Calibri"/>
        <b/>
        <color rgb="FFFFFFFF"/>
        <sz val="9.0"/>
      </rPr>
      <t xml:space="preserve"> </t>
    </r>
    <r>
      <rPr>
        <rFont val="Calibri"/>
        <b/>
        <color rgb="FFFF9900"/>
        <sz val="9.0"/>
      </rPr>
      <t xml:space="preserve">- تم الاعتذا ر من العميل وانه سيتم العمل على تعديل الهوية وتحسين الخدمة </t>
    </r>
  </si>
  <si>
    <t>سيييييى جججججدددددا عماله سسسسيى والله سيئه يعبون على مزاجهم تقول لهم 20 يعبي 25 - 16:09:45 Tuesday, July 28, 2026</t>
  </si>
  <si>
    <t xml:space="preserve">تنظيم </t>
  </si>
  <si>
    <t>خالد السليمي</t>
  </si>
  <si>
    <t>توقعت مستوى درب اعلى من كذا لا يوجد صابون ولا مناديل وبعض الابواب لا تقفل - 17:31:56 Monday, July 27, 2026</t>
  </si>
  <si>
    <t>صيانة كيلون الباب</t>
  </si>
  <si>
    <t>ثامر الحربي</t>
  </si>
  <si>
    <r>
      <rPr>
        <rFont val="Calibri"/>
        <b/>
        <color rgb="FF131825"/>
        <sz val="9.0"/>
      </rPr>
      <t xml:space="preserve">العامل يقول ادفع وانا ابي فل قال ادفع 200 بعدين ارجع لك كاش قلت له عبي ب100 ريال لانه اتستفزني رافض يعبي رفعت بلاغ في وزارة التجارة - 4:40م - اسمه محمد شاهين </t>
    </r>
    <r>
      <rPr>
        <rFont val="Calibri"/>
        <b/>
        <color rgb="FFFF6D01"/>
        <sz val="9.0"/>
      </rPr>
      <t xml:space="preserve"> تم التواصل والاعتذار وفي حال التكرار يتواصل معنا </t>
    </r>
  </si>
  <si>
    <r>
      <rPr>
        <rFont val="Calibri"/>
        <b/>
      </rPr>
      <t xml:space="preserve">السلام عليكم ورحمة الله
انا كنت طالع من مكة وعبي بنزين من محطة درب وفقدت مفتاح سيارة GMC اتوقع اني فاقده في المحط اذ ممكن تستفسر من المحطه بعد اذنك
</t>
    </r>
    <r>
      <rPr>
        <rFont val="Calibri"/>
        <b/>
        <color rgb="FF1155CC"/>
        <u/>
      </rPr>
      <t>https://maps.app.goo.gl/ER7aUWosRrrD1a8bA</t>
    </r>
    <r>
      <rPr>
        <rFont val="Calibri"/>
        <b/>
      </rPr>
      <t xml:space="preserve"> </t>
    </r>
  </si>
  <si>
    <t>امل سنكي</t>
  </si>
  <si>
    <t xml:space="preserve">	أتقدم بطلب العمل لديكم في محطة درب وأرغب بالانضمام إلى فريق العمل أتمتع بالجدية والالتزام وحسن التعامل مع العملاء ولدي الرغبة في التعلم وتطوير مهاراتي واكتساب الخبرة العملية أتطلع إلى فرصة للمقابلة الشخصية لإيضاح مدى ملاءمتي للعمل وأشكركم على وقتكم</t>
  </si>
  <si>
    <t>تم ايجاد المفتاح وتسليمه وشكرنا على الخدمة</t>
  </si>
  <si>
    <t xml:space="preserve">رحاب </t>
  </si>
  <si>
    <t>نايف الجرشان</t>
  </si>
  <si>
    <r>
      <rPr>
        <rFont val="Calibri"/>
        <b/>
        <color rgb="FF131825"/>
        <sz val="9.0"/>
      </rPr>
      <t xml:space="preserve">عميل سيارة اب وصلت قال انتظر 30د جيت كلمتو جا قالي مافي سيارة اب لو يقولي من البدايه ليه يخليني انتظر هذا الوقت كلو دايما تصير مشاكل مع سيارة اب انا لو ما اثق واحب اعبي من درب كان ماجيت العمال كرهوني اعبي عندكم  -  هونداي ابيض (2861 - أ ب س) - الداخلي - كلهم  - 2026-06-09 05:48:16 PM UTC+03:00 - </t>
    </r>
    <r>
      <rPr>
        <rFont val="Calibri"/>
        <b/>
        <color rgb="FFFF6D01"/>
        <sz val="9.0"/>
      </rPr>
      <t xml:space="preserve">تم التواصل والاعتذار من العميل واخذ تفاصيل الشكوى </t>
    </r>
  </si>
  <si>
    <t xml:space="preserve">الحناكيه </t>
  </si>
  <si>
    <t xml:space="preserve">محطه مساحه1660م عليها رخصه -وكيل </t>
  </si>
  <si>
    <t xml:space="preserve">محطه مساحه 23الف م عليها صك -وكيل </t>
  </si>
  <si>
    <t>عهد هاني</t>
  </si>
  <si>
    <r>
      <rPr>
        <rFont val="Calibri"/>
        <b/>
        <color rgb="FF131825"/>
        <sz val="9.0"/>
      </rPr>
      <t xml:space="preserve">طلبته يعبي وحسابي  55.34 ريال قلت له فيزا قال ادفع 56 عشان ريال هذا ياخذوه مني اذا دفعت فيزا قلت له مو مشكلتي ولا مشكلتك هذي الشركه هي الي تتحمل واصريت ادفع فيزا قام زعل وينافخ وجاب الجهاز واسلوبه سيء يمد الجهاز زي الي ادفع وامشي فكنا ترا مو من حقه يطلب زياده ولا من حقكم تخصمو عليه  - اكسنت هونداي ابيض (ح ه د 8046) المنتج:  اخضر - المبلغ 55.34ريال شبكة الساعه 21:10م - المسار الداخلي اليمين اخر شي -  2026-06-09 09:05:27 PM UTC+03:00 - </t>
    </r>
    <r>
      <rPr>
        <rFont val="Calibri"/>
        <b/>
        <color rgb="FFFF6D01"/>
        <sz val="9.0"/>
      </rPr>
      <t>لم يتم الرد</t>
    </r>
  </si>
  <si>
    <t>أتقدم بطلب العمل لديكم في محطة درب وأرغب بالانضمام إلى فريق العمل أتمتع بالجدية والالتزام وحسن التعامل مع العملاء ولدي الرغبة في التعلم وتطوير مهاراتي واكتساب الخبرة العملية أتطلع إلى فرصة للمقابلة الشخصية لإيضاح مدى ملاءمتي للعمل وأشكركم على وقتكم</t>
  </si>
  <si>
    <t>شهد الصعيدي</t>
  </si>
  <si>
    <t xml:space="preserve">	يسعدني التقدم بطلب للعمل لدى محطة درب حيث أطمح إلى الانضمام إلى فريق العمل والمساهمة في تقديم خدمة مميزة للعملاء أتميز بالالتزام والمسؤولية والقدرة على العمل ضمن فريق كما أن لدي الحماس للتعلم واكتساب خبرات جديدة وتطوير مهاراتي العملية</t>
  </si>
  <si>
    <t xml:space="preserve">محل خبراء الزيوت </t>
  </si>
  <si>
    <t>محمد حكمي</t>
  </si>
  <si>
    <t>Good Morning Kindly find my CV attached</t>
  </si>
  <si>
    <t xml:space="preserve">خالد القرشي </t>
  </si>
  <si>
    <t>بلقاسم الفقيه</t>
  </si>
  <si>
    <t xml:space="preserve">حاب يتواصل مع احد مسؤولين الموارد البشريه </t>
  </si>
  <si>
    <t>اود معرفة العمل ونقدر لكم اهتمامكم</t>
  </si>
  <si>
    <t xml:space="preserve">ضيع محفظته ويبغا يعرف اذا موجوده بالمحطه </t>
  </si>
  <si>
    <t>تم التحقق وافادت العميل لايوجد محفظه</t>
  </si>
  <si>
    <t>سميه الاحمدي</t>
  </si>
  <si>
    <t>السادة/ إدارة التوظيف المحترمين، السلام عليكم ورحمة الله وبركاته، أتقدم إلى سعادتكم بطلب التوظيف لشغل الوظيفة الشاغرة لديكم، شاكرة لكم وقتكم واهتمامكم، وآملة أن أحظى بفرصة للمقابلة الشخصية. وتفضلوا بقبول فائق الاحترام والتقدير.</t>
  </si>
  <si>
    <t xml:space="preserve">اتصل قال السلام وقفل رجعت اتصلت لايوجد رد </t>
  </si>
  <si>
    <t>مراد</t>
  </si>
  <si>
    <t>اتمنى قبول طلبي لشغل الوظيفه في شركه درب شاكر لكم</t>
  </si>
  <si>
    <r>
      <rPr>
        <rFont val="Calibri"/>
        <b/>
        <color theme="1"/>
      </rPr>
      <t xml:space="preserve">  نحن شركة وعلان القابضة للاعلان
نرغب فى تأخير موقعين بمحطاتكم
1/ محطة درب طريق السيل
2/ محطة درب طريق المطار
وذلك لتركيب لوحتين من نوع يونى بول
امل النظر والرد علينا وذلك لشرح التفاصيل+ ت</t>
    </r>
    <r>
      <rPr>
        <rFont val="Calibri"/>
        <b/>
        <color rgb="FFFF9900"/>
      </rPr>
      <t xml:space="preserve">م طلب ارسال الطلب عبر الايميل </t>
    </r>
  </si>
  <si>
    <t>صابر رحمه</t>
  </si>
  <si>
    <t xml:space="preserve">ا يبرو شركة </t>
  </si>
  <si>
    <r>
      <rPr>
        <rFont val="Calibri"/>
        <b/>
        <color theme="1"/>
      </rPr>
      <t>شركة سعودية متخصصة في الاستشارات الإدارية وتطوير الأعمال، ونقدم حلولًا في مجالات التحول المؤسسي، الحوكمة، الاستراتيجية، إدارة المشاريع، دراسات الجدوى، والتحول الرقمي، بما يدعم نمو الأعمال ورفع كفاءة الأداء  -</t>
    </r>
    <r>
      <rPr>
        <rFont val="Calibri"/>
        <b/>
        <color rgb="FFFF9900"/>
      </rPr>
      <t>تم الافاده بالايميل للملف التعريفي</t>
    </r>
  </si>
  <si>
    <r>
      <rPr>
        <rFont val="Calibri"/>
        <b/>
        <color rgb="FF131825"/>
        <sz val="9.0"/>
      </rPr>
      <t xml:space="preserve">يطيب لنا في مكتب القمة الواعدة للأستشارات البيئية أن نعرض على جهاتكم الموقرة خدماتنا المتخصصة في استصدار التصاريح البيئية الإنشائية والتشغيلية ، وذلك وفق أحدث المواصفات والمعايير الوطنية /المركز الوطني للرقابة على الإلتزام البيئى والدولية المعتمدة. ومزيد من البيانات عن أعمالنا / زوزوا موقعنا الإلكتروني : </t>
    </r>
    <r>
      <rPr>
        <rFont val="Calibri"/>
        <b/>
        <color rgb="FF1155CC"/>
        <sz val="9.0"/>
        <u/>
      </rPr>
      <t>https://promising-consult.netlify.app/</t>
    </r>
  </si>
  <si>
    <t>محمد باصفار</t>
  </si>
  <si>
    <t xml:space="preserve">يستفسر عن مكانيكي لو موجود بالمحطه- افدته انهم مجرد شركاء لدينا </t>
  </si>
  <si>
    <t>مهندس مدني</t>
  </si>
  <si>
    <t xml:space="preserve"> مروه</t>
  </si>
  <si>
    <t xml:space="preserve">الاحساء </t>
  </si>
  <si>
    <t xml:space="preserve">  شركة واحة "شركة امانة الاحساء" المساحة: 22,484 متر مربع، على طريق حرض- أرامكو
صفة المالك: شركة حكومية مملوكة لامانة الاحساء</t>
  </si>
  <si>
    <t>خلود محمد</t>
  </si>
  <si>
    <t>عبدالله بالعبيد</t>
  </si>
  <si>
    <t>أنا عبدالله ناصر بالعبيد، أمتلك خبرة في إدارة المشتريات والمبيعات، وإعداد التصاميم الخاصة بالأثاث المكتبي، إضافة إلى الأعمال المحاسبية والإدارية. لدي القدرة على التفاوض مع الموردين، وإدارة علاقات العملاء</t>
  </si>
  <si>
    <r>
      <rPr>
        <rFont val="Calibri"/>
        <b/>
        <color theme="1"/>
      </rPr>
      <t>شركه ميد -</t>
    </r>
    <r>
      <rPr>
        <rFont val="Calibri"/>
        <b/>
        <color rgb="FFFF9900"/>
      </rPr>
      <t xml:space="preserve">تم الافاده بارسال الملف التعريفي  عبر الايميل </t>
    </r>
  </si>
  <si>
    <t>محمد الزواري</t>
  </si>
  <si>
    <t xml:space="preserve">	اتقذم لسعادتكم الكريمه بطلب وضيفه حيث عملت في الإشراف والبيع وشركات الحج وشركات وغيره مرفق السيره الداتيه</t>
  </si>
  <si>
    <t>Basim Abdualziz</t>
  </si>
  <si>
    <t xml:space="preserve">ارض 5000م -مالك  عليها رخصه </t>
  </si>
  <si>
    <t xml:space="preserve">	السلام عليكم أتقدم بطلب العمل في إدارة وتشغيل محطات ومرافق الوقود مستفيدًا من خبرتي في إدارة المواقع والتشغيل الميداني ورفع كفاءة العمل ومتابعة الجاهزية التشغيلية. أتطلع للانضمام إلى فريقكم والمساهمة في تحقيق أعلى مستويات التشغيل والجودة. وشكرا لك</t>
  </si>
  <si>
    <t>اشرف</t>
  </si>
  <si>
    <t>رائد  السردي</t>
  </si>
  <si>
    <r>
      <rPr>
        <rFont val="Calibri"/>
        <b/>
        <color theme="1"/>
      </rPr>
      <t>يقول انه جا الاربعاء الساعه5العصر عبى بنزين احمر كاش100 ورجع له 50 افكاك وخمسه مقطوعه ماقدر يحاسب فيها وقال للعامل هذي مقطوعه خذها  قاله لا ماياخذ وجلس يقول للعميل انا اصور سيارتك الحين واسلوبه مو تمام معه وعصب العميل من الخمسه المقطوعه واسلوب العامل -اشرف سيارته مكسيما احمر3190 -العميل زعلان من اسلوب العامل اكثر من ال5 -</t>
    </r>
    <r>
      <rPr>
        <rFont val="Calibri"/>
        <b/>
        <color rgb="FFFF9900"/>
      </rPr>
      <t xml:space="preserve">تم الاتصال ولم يتم الرد وتم ارسال رساله واتس اب اعتذار للعميل وشكرنا </t>
    </r>
  </si>
  <si>
    <t>السادة/ إدارة الموارد البشرية المحترمين السلام عليكم ورحمة الله وبركاته الموضوع: طلب التقدم لشغل وظيفة أتقدم إليكم بخالص الاحترام والتقدير ، راجياً النظر في طلبي لشغل احدالوظائف المتاحة لديكم. إنني أمتلك الرغبة الجادة في العمل والتطوير المهني.</t>
  </si>
  <si>
    <t>انا شخص سريع التعلم، أشتغل تحت الضغط، وعندي شغف أطور من نفسي ومن فريق العمل. مرفق لكم سيرتي الذاتية للاطلاع على تفاصيل خبراتي بشكل أوضح. أتطلع لفرصة مقابلة شخصية لأشرح كيف أقدر أضيف قيمة لشركتكم. شاكر لكم وقتكم، وتفضلوا بقبول فائق الاحترام</t>
  </si>
  <si>
    <r>
      <rPr>
        <rFont val="Calibri"/>
        <b/>
        <color theme="1"/>
      </rPr>
      <t>العميل  عبى بنزين احمر بمبلغ 50 ريال شبكه سحب العامل 100 زياده  -الخميس الساعه 7الصباح  سيارته ازرق كامري 2063 - ت</t>
    </r>
    <r>
      <rPr>
        <rFont val="Calibri"/>
        <b/>
        <color rgb="FFFF9900"/>
      </rPr>
      <t xml:space="preserve">م التواصل مع العميل وافادته بتغريم  200 ريال من العامل وتم الاعتذار منه </t>
    </r>
  </si>
  <si>
    <t>راويه حميد</t>
  </si>
  <si>
    <t>السلام عليكم ورحمة الله وبركاته، أتقدم إليكم بطلب التوظيف لشغل إحدى الوظائف المناسبة لدى شركتكم الموقرة. أحمل المؤهلات والمهارات التي تمكنني من أداء المهام المطلوبة بكفاءة، وأسعى للانضمام إلى فريق عمل احترافي يتيح لي تطوير خبراتي والمساهمة في تحقيق</t>
  </si>
  <si>
    <t xml:space="preserve">العميل مادفع مبلغ تقريبا 140 من شهر كان عليه ايقاف خدمات وتوقف حسابه حاب يرجع يدفع لكن ناسي اليوم بالضبط والتاريخ </t>
  </si>
  <si>
    <t>عائشه عونى</t>
  </si>
  <si>
    <t xml:space="preserve"> ليان</t>
  </si>
  <si>
    <t xml:space="preserve">	اذا كان فى وظيفه مناسبه ، اود ان انضم اللى فريق العمل ليكم</t>
  </si>
  <si>
    <t xml:space="preserve"> حمامات النساء غير نظيفة وريحتها مو حلوة وكمان الاقفال مكسورة</t>
  </si>
  <si>
    <t>Husam</t>
  </si>
  <si>
    <t xml:space="preserve"> هنادي</t>
  </si>
  <si>
    <t xml:space="preserve">   في محطة درب العوالي ريحة مجاري من دورة المياه وصلت مصلى النساء ريحه مزعجه جدا ، وفي مصلى النساء برادة المياه تحتها كروانه هل فيها تسريب ماء؟مافيه دولاب للاحذيه عند مصلى النساء
</t>
  </si>
  <si>
    <t xml:space="preserve"> وليد</t>
  </si>
  <si>
    <t>يسرنا أن نقدم لكم خدماتنا في تنفيذ جميع أعمال الكلادينج والحدادة بأعلى معايير الجودة والإتقان، مع الالتزام بالمواعيد والأسعار المنافسة.
🔹 تنفيذ جميع أعمال الكلادينج. 🔹 أعمال الحدادة والهياكل المعدنية. 🔹 تشطيبات احترافية وضمان جودة التنفيذ.</t>
  </si>
  <si>
    <t>اصيل</t>
  </si>
  <si>
    <t xml:space="preserve">  مساحة ضيقه زي الزفت ما ادري تلقاها من المدخل ولا المخرج ولا من كشك القهوه اللي يجمع السيارات بالمدخل طول اليوم
 Thursday, July 30, 2026 at 03:09 AM
</t>
  </si>
  <si>
    <t>عبدالاله شافعي</t>
  </si>
  <si>
    <t xml:space="preserve">	السلام عليكم ورحمة الله وبركاته اسعد الله اوقاتكم اود ان اقدم لسيادتكم طلبي هذا لشغل وظيفة دعم فني في شركة درب انا المواطن عبدالاله عبدالله شافعي حاصل على شهادة دبلوم شبكات من كلية التقنية ولدي خبرة بسيطة في مجال دعم فني واشكركم على وقتكم واهتمامكم</t>
  </si>
  <si>
    <t>موسى ابراهيم عسيري</t>
  </si>
  <si>
    <t>أرض - 12الف - يبي فرنشايز</t>
  </si>
  <si>
    <t>جاهد</t>
  </si>
  <si>
    <t xml:space="preserve">  MK093</t>
  </si>
  <si>
    <r>
      <rPr>
        <rFont val="Calibri"/>
        <b/>
        <color theme="1"/>
      </rPr>
      <t>العامل يقوله مافي بنزين احمر 11:00الظهر  -</t>
    </r>
    <r>
      <rPr>
        <rFont val="Calibri"/>
        <b/>
        <color rgb="FFFF9900"/>
      </rPr>
      <t>فسخنا عقد الايجار مع المالك</t>
    </r>
  </si>
  <si>
    <t xml:space="preserve">	خبرة 5 اعوام في مجال الجودة واعمال التفتيش والمعايرة القانونية لادوات القياس لمضخات الوقود والموازيين التجارية</t>
  </si>
  <si>
    <t xml:space="preserve">اتصلت يقول خلاص </t>
  </si>
  <si>
    <t>محمد الشهري</t>
  </si>
  <si>
    <t xml:space="preserve">	الموضوع: طلب انضمام للمناصب القيادية والاستشارية (العمليات / الأمن والسلامة)إلى عناية إدارة استقطاب القيادات العليا بشركة درب الوقود المحدودة،السلام عليكم ورحمة الله وبركاته،،،أتقدم إليكم بهذا الخطاب للتعبير عن اهتمامي بالانضمام إلى فريقكم القيادي.</t>
  </si>
  <si>
    <t xml:space="preserve">تم التواصل ويقول تمت افادته </t>
  </si>
  <si>
    <t>مي الزحماني</t>
  </si>
  <si>
    <t xml:space="preserve">	السلام عليكم ورحمة الله وبركاته مرحبا اسمي مي، اكتسبت خبره ممتازة فالتسويق و المبيعات واسلوب لبق في المحافظة على العملاء و ارفق لكم السيفي و ارجو ان ينال اعجابكم</t>
  </si>
  <si>
    <t xml:space="preserve">يسال اذا في بطايق -تمت افادته </t>
  </si>
  <si>
    <t>حازم الحربي</t>
  </si>
  <si>
    <t xml:space="preserve">اتصل بالغلط </t>
  </si>
  <si>
    <t>لدي خبرات ادارية شغوف ومحب للتطور</t>
  </si>
  <si>
    <t>2026-07-30 04:34:49 AM  تمم  الاتصال  مرتين لايوجد رد</t>
  </si>
  <si>
    <t xml:space="preserve">شركة تل العمارة للمقاولات </t>
  </si>
  <si>
    <t xml:space="preserve">محل او كشك لديوانيه </t>
  </si>
  <si>
    <r>
      <rPr>
        <rFont val="Calibri"/>
        <b/>
        <color rgb="FF131825"/>
        <sz val="9.0"/>
      </rPr>
      <t xml:space="preserve">قبل اسبوع جاني العامل قال في واحد عبى 20 وشرد وكلشويه يشغلنا بالهرجه دي امس ونا خارج من المغسله قلت له عبي فل العداد مكتوب عليه 20 قالي خلاص قلت له انتا عبيت فل؟ قال لا بعدين كمل يعبي وحسبلي هيا مع ال20 الي كانت على المضخة وحسابي 94 ريال اتاكدولي هو عبى بنفس المبلغ ولا يستهبل- المبلغ  94 شبكة الساعه 18:56 تاريخ 6-9 منتج 95 - المركبة  كدلك ct6 اسود رقم اللوحة (9897- XBD)  - </t>
    </r>
    <r>
      <rPr>
        <rFont val="Calibri"/>
        <b/>
        <color rgb="FFFF6D01"/>
        <sz val="9.0"/>
      </rPr>
      <t xml:space="preserve">تم التواصل والتوضيح </t>
    </r>
  </si>
  <si>
    <t xml:space="preserve">استفسار عن خدمات السيارات </t>
  </si>
  <si>
    <t xml:space="preserve">محطه مساحه 1600م عليها رخصه- وكيل  </t>
  </si>
  <si>
    <t>عبده  الفلقي</t>
  </si>
  <si>
    <t xml:space="preserve"> AS286</t>
  </si>
  <si>
    <t xml:space="preserve"> من شركة رمز الجنوب ممثل وزارة النقل, بخصوص واضعين حواجز خراسنات عند المحطه على الطريق التابع لوزاره النقل مما ادى الى حادث سير ارجو التواصل بشكل عاجل جدا لتفادي اي حوادث مستقبلا </t>
  </si>
  <si>
    <t xml:space="preserve">إدارة دانكن نرغب في استأجار كشك </t>
  </si>
  <si>
    <t xml:space="preserve">تواصلت شركة كورسينتي المهتمة بتطوير وتنمية القدرات البشرية في الشركات عبر صفحتي على لينكد إن وابدت رغبتها في التواصل مع قسمكم لعرض الملفات المرفقة والمناقشة  </t>
  </si>
  <si>
    <r>
      <rPr>
        <rFont val="Calibri"/>
        <b/>
        <color rgb="FF131825"/>
        <sz val="9.0"/>
      </rPr>
      <t>العميل يبغى يعبي في جالون عادي والعمال رفضو ويرغب بحل الاشكالية متعطله سيارته ويفيد اني كبير ولا اني لعاب واذا تبون هويتي عطيتكم هي</t>
    </r>
    <r>
      <rPr>
        <rFont val="Calibri"/>
        <b/>
        <color rgb="FFFF6D01"/>
        <sz val="9.0"/>
      </rPr>
      <t>- تم الاعتذار وتوضيح السياسة والعميل راضي</t>
    </r>
  </si>
  <si>
    <t xml:space="preserve">احمد الدوسري </t>
  </si>
  <si>
    <t xml:space="preserve">محطه مساحه 10000م عليها رخصه -مالك </t>
  </si>
  <si>
    <t xml:space="preserve">عدم التواصل </t>
  </si>
  <si>
    <t>علاء السالم</t>
  </si>
  <si>
    <t xml:space="preserve">اشارة  إلى الموضوع أعلاه نتقدم الى سعادتكم بهذا العرض والمتضمن محطة وقود بمدينة جدة حي الياقوت جديدة ومكتملة وجاهزة للتأجير الفوري . والذي نثق بأنه سيلبي كافة إحتياجاتكم وتطلعاتكم . ونحن على إستعداد تام لترتيب زيارة ميدانية معكم لمعاينة الموقع على أرض الواقع ومناقشة كافة التفاصيل المتعلقة بالتعاقد. حيث نرفق لسعادتكم ملف التصميم الخاص بالموقع    وتقبلوا منا فائق الإحترام والتقدير
</t>
  </si>
  <si>
    <r>
      <rPr>
        <rFont val="Calibri"/>
        <b/>
        <color rgb="FF131825"/>
        <sz val="9.0"/>
      </rPr>
      <t>المحطة: الفضيلة التاريخ: 10/6/2026 الوقت: 10:28ص شكوى/اقتراح: طلبت من العامل تعبئة ديزل ل ونيت هايلوكس 2023
لكن عبى بنزين 91 وحاليا انا واقف في الخط متعطل من 10 الصباح وجاء ميكانيكي قال المكينة ضربت والسيارة ما تشتغل -</t>
    </r>
    <r>
      <rPr>
        <rFont val="Calibri"/>
        <b/>
        <color rgb="FFFF6D01"/>
        <sz val="9.0"/>
      </rPr>
      <t xml:space="preserve"> تم التصعيد لرغد ولم يتم الرد بعدها تم محاولة التواصل ولم يتم الرد على خدمة العملاء</t>
    </r>
  </si>
  <si>
    <r>
      <rPr>
        <rFont val="Calibri"/>
        <b/>
        <color theme="1"/>
      </rPr>
      <t xml:space="preserve">العميل عبى سيارته بمبلغ 88 بنزين اخضر الساعه 3:31الظهر حاب يتاكد من المحطه لان سعر التعبئه مرتفع سيارته كيا 6411= </t>
    </r>
    <r>
      <rPr>
        <rFont val="Calibri"/>
        <b/>
        <color rgb="FFFF9900"/>
      </rPr>
      <t xml:space="preserve">تم التواصل وافادته بتفاصل التعبئه وكان راضي  واقتنع </t>
    </r>
  </si>
  <si>
    <t xml:space="preserve">مزاد جذور الرياض - منصة سُموتك </t>
  </si>
  <si>
    <t>مشعل المطيري</t>
  </si>
  <si>
    <t>وصف الاستثمار (أرض أم محطة): ارض ثلاث شوارع المساحة: ١٢٣٦ متر الموقع: القصيم - عنيزه لها رخصة بناء محطة: لايوجد لكن تطلع ان شاءالله وتم الاستعلام عنها تفاصيل استفسارك: ارغب بإجراء مكالمه مع المسؤول لمناقشة التفاصيل سواء ً ابني انا او تاخذونها انتم والخ</t>
  </si>
  <si>
    <t>وعد الزهراني</t>
  </si>
  <si>
    <t>حدة</t>
  </si>
  <si>
    <t>استفسار عن شكوى MK068</t>
  </si>
  <si>
    <t>عندي محطه للبيع في جده حي السنابل</t>
  </si>
  <si>
    <t xml:space="preserve">تمت افادته بالاجراء وبالمرور على المحطة لتعبئة بقيمة 50 ريال </t>
  </si>
  <si>
    <r>
      <rPr>
        <rFont val="Calibri"/>
        <b/>
        <color rgb="FF131825"/>
        <sz val="9.0"/>
      </rPr>
      <t xml:space="preserve">قلت للعامل فل حط في الجهاز 50 وقال يلا ادفع 116 على اساس انه عبى ب66 ريال زياده فوق ال50 ابي تتاكدون لي نوع المنتج احمر - قيمة التعبئة 116 ريال - مازدا 20 لونها رصاصي رقم اللوحة( د ك س - 8499) - المسار الداخلي اخر مضخة - 2:54م  - </t>
    </r>
    <r>
      <rPr>
        <rFont val="Calibri"/>
        <b/>
        <color rgb="FFFF6D01"/>
        <sz val="9.0"/>
      </rPr>
      <t>تم الاعتذار وشكرنا على الاهتمام</t>
    </r>
  </si>
  <si>
    <t>سالم غانم الشمري</t>
  </si>
  <si>
    <t>متي الرحلات من حائل الي عرعر</t>
  </si>
  <si>
    <t>سعودد السهلي</t>
  </si>
  <si>
    <t>اراضي تجاريه - 5000م وعليها  - المالك</t>
  </si>
  <si>
    <t>جميله المالكي</t>
  </si>
  <si>
    <t xml:space="preserve">هل يوجد لديكم استثمار غير الامتياز التجاري -  الدخول بمبلغ من المال
التواصل على هذا الرقم 0543707172
</t>
  </si>
  <si>
    <t>سعد  اللحياني</t>
  </si>
  <si>
    <t xml:space="preserve"> هل يوجد تطبيق نطلب منه</t>
  </si>
  <si>
    <t>أرض 48م الدائري الرابع اتجاهك على جدة - مكة - مباشر مع الملاك - مالها رخصة - المساحة على الشارع 300م من جهة الغرب منبسطه -  545522919 لديه طلب سابق ولم يتم التواصل معه</t>
  </si>
  <si>
    <r>
      <rPr>
        <rFont val="Calibri"/>
        <b/>
        <color rgb="FF131825"/>
        <sz val="9.0"/>
      </rPr>
      <t xml:space="preserve">ثاني مره اجي المحطة والعمال محد يتحرك يعبي يعني بالبدايه رحت المسار اليمين على الشارع محد جاني شفتهم في اليسار رحت كلمتهم بعد طلعة روح قرر يعبي وترا كتبت تعليق في قوقل ماب - الاربعاء 6-10 الساعه 12:8م دفعت 50 ريال شبكة  - شفورليه 2007   رصاصي-  اللوحة (7253 - kTB ) </t>
    </r>
    <r>
      <rPr>
        <rFont val="Calibri"/>
        <b/>
        <color rgb="FFFF6D01"/>
        <sz val="9.0"/>
      </rPr>
      <t>- تم التواصل والاعتذار وشكرنا</t>
    </r>
  </si>
  <si>
    <t>نشوان الراشد</t>
  </si>
  <si>
    <t>ناقل للمنتجات البترولية 0508425705</t>
  </si>
  <si>
    <t xml:space="preserve">استفسار عن التواصل </t>
  </si>
  <si>
    <t xml:space="preserve">تمت التحقق وتم التواصل معه بالفعل من اخصائي التاجير الا ان الموقع الذي يرغب به تم تأجيره بالفعل </t>
  </si>
  <si>
    <t xml:space="preserve">تمت افادته عبر ارسال البروفايل للايميل </t>
  </si>
  <si>
    <r>
      <rPr>
        <rFont val="Calibri"/>
        <b/>
        <color rgb="FF131825"/>
        <sz val="9.0"/>
      </rPr>
      <t xml:space="preserve">معي جركل مخصص ابي بنزين رفض يعبي لي وما عنده جركل بالمحطة الاربعاء 6-10 الساعه 3:50م بعد الصلاه - النترا بيضه 2015 واحد لابس ثوب - (ح س ل - 4630 ) - </t>
    </r>
    <r>
      <rPr>
        <rFont val="Calibri"/>
        <b/>
        <color rgb="FFFF6D01"/>
        <sz val="9.0"/>
      </rPr>
      <t>تم توضيح السياسه والاعتذار</t>
    </r>
  </si>
  <si>
    <t>Global Brands Magazine</t>
  </si>
  <si>
    <t>تم افادتها برقم امل الشمراني وايميل امل هادي</t>
  </si>
  <si>
    <t xml:space="preserve">محطة تحت الانشاء - وكيل </t>
  </si>
  <si>
    <t xml:space="preserve">محطة جدة تم افتتاحها ولا باقي </t>
  </si>
  <si>
    <t xml:space="preserve">
مركز صيانة السيارت خدمة سئية جدا وتلاعب بالاسعار مو طبيعي وفاتورة مزيفة الباركود
موظفين الفترة الصباحية
يوم 17-06-2026
الساعه 7:30الأربعاء، 17 يونيو 2026 في 08:41 ص
</t>
  </si>
  <si>
    <t>صيانة</t>
  </si>
  <si>
    <t xml:space="preserve">انطفت اسياره علي عند عنون القهوة وعطتهم علبت مويه قلت عبولي قالو لا مافي كلمت المدير قال دق عل اشرطه استأذان منهم يحسبني امزح معاه اسوأ محطه شفتها في حياتي لا تعمل ولا يسعدون
الثلاثاء، 16 يونيو 2026 في 10:09 م
</t>
  </si>
  <si>
    <t>Al Jawf</t>
  </si>
  <si>
    <t xml:space="preserve">قمة القذارة وقله الحيا لما اجي اعبي فل ويجي العامل يرفض ويقول الدفع اولاً وهاذا النظام مين الي حط النظام هاذا وأنكم تحسسو الزبون انه بيسرقكم هذي خدمة زي الزفت الثلاثاء، 16 يونيو 2026 في 03:20 م
</t>
  </si>
  <si>
    <t xml:space="preserve">سبق ورفعت طلب وتم التواصل من قبل أ.سلمان وكان في اهتمام بالمواقع اللي ارسلتها له وطلبني بعض المتطلبات وارسلتها وبعدها مايتجاوب معاي؟ ودقيت مره ومرتين ولا في رد انحرجت مع الشركات اللي متعاقده معاها لعدم الجدية وبعدها فجأة جاني اتصصل من مجاهد وافادته ان سبق وتم التواصل مع سلمان وموضوعي عنده والحين انا بموقف محرج لان الشركات اللي متعاقده معاها ماتعرف سلمان تعرف سمعتي كهيفاء والحين ابي رد على الملاك اللي ينتظرون مني خبر؟ بس ماحبيت انهم ياخذون كل المعلومات ويعطوني امل وبعدها يسحبون علي المفروض اذا مافي اهتمام خلاص يعطيني خبر مو يتجاهل اتصالاتي ولا يرد علي وترغب برفع شكوى على مدير سلمان او التواصل مع سلطان المالكي </t>
  </si>
  <si>
    <r>
      <rPr>
        <rFont val="Calibri"/>
        <b/>
        <color rgb="FF131825"/>
        <sz val="9.0"/>
      </rPr>
      <t xml:space="preserve">لوحظ من عامل المحطة عند التعبئة يأتي لي ويقول ان شخص ملّا بنزين ب20 ريال ولم يحاسب ويرد مني تغطية المبلغ وفي  يوم 6/9/20126 جيت اعبي فل وفجاه لقيت مسدس البنزين واقف على 20 ريال ثم ناديت العامل وقلت له اني طلبت منك تعبئة فل ورجع صفر من جديد وعبا فل 74 وتم حسب ال20 ريال وقال انها لي والمسدس وقف لو انه وقف هوا كان كمل اضافة وليسى من جديد ارجو الانتباه من حركات عامل المحطة مع انه انا من الناس الي احب اعبي من محطات درب منتشرة في جميع احياءً مكه ومحطات نموذجية والشي هذا يعبر عن تصرف شخص لا يخص محطات درب وتم رفع شكوى لدى الشركة
</t>
    </r>
    <r>
      <rPr>
        <rFont val="Calibri"/>
        <b/>
        <color rgb="FFFF9900"/>
        <sz val="9.0"/>
      </rPr>
      <t xml:space="preserve">-تم رفع الشكوى اتصال وتم التوضيح له ان العامل قام بالتعبئة لاول مرة 20 ثم اكملها 74 </t>
    </r>
  </si>
  <si>
    <t>كان يرغب بالمساعدة بس خلاص</t>
  </si>
  <si>
    <t xml:space="preserve">كان مضيع سيارته بالمحطة وحصلها </t>
  </si>
  <si>
    <t>النشاط التجاري: مغسلة سيارات اسم العلامة التجارية:جديد عدد الفروع: 1 المدينة: ابرياض تفاصيل استفسارك: في محطة على طريقة الميه مخرج 15 ابغى اعرف كم الإيجار</t>
  </si>
  <si>
    <t>سلمان الهذلي</t>
  </si>
  <si>
    <r>
      <rPr>
        <rFont val="Calibri"/>
        <b/>
        <color rgb="FF131825"/>
        <sz val="9.0"/>
      </rPr>
      <t>المحطة: درب بالقرب من حجز الشرايع التاريخ:6/17 الوقت: 1:34 شكوى/اقتراح:وقفت وقلت للعامل عبي ٥٠ اخضر واكتشف انه معبي احمر ووصل الى مبلغ ١٧ ريال بعد ماقلت وقف طلع اللي وشبك اللي الاخضر بيكمل المبلغ كامل ويقول انت غلط كلام وانا ٢٠٠٪؜ قلت اخضر ٥٠ ولو فيه كاميرات وصوت تثبت ذالك لكزس es لوحة ح س د 7299 الوقت 1:33 ص تقريباً اجمالي المبلغ ١٧ ريال - 2026-06-17 01:26:17 AM UTC+03:00 -</t>
    </r>
    <r>
      <rPr>
        <rFont val="Calibri"/>
        <b/>
        <color theme="8"/>
        <sz val="9.0"/>
      </rPr>
      <t xml:space="preserve"> تم التواصل والاعتذار وشكرنا على الاهتمام</t>
    </r>
  </si>
  <si>
    <t>---السلام عليكم ورحمة الله أنا عبدالرحمن محمد، معي خبرة سنة بائع كاشير ومعي رخصة قيادة سارية. أبحث عن وظيفة بائع أو كاشير أو مندوب مبيعات في محايل عسير وجاهز للمباشرة فوراً. أرفقت لكم سيرتي الذاتية للاطلاع. شاكر لكم وقتكم. 0556965409 2. رسالة إيميل رسمية الموضوع: طلب توظيف - بائع كاشيرسعادة مدير التوظيف المحترم، تحية طيبة وبعد، أتقدم لسعادتكم بطلب شغل وظيفة بائع/كاشير لديكم. لدي خبرة سنة في شركة مذهلة الجمال التجارية بمحايل عسير، وأمتلك رخصة قيادة سارية المفعول. أتميز بالالتزام والأمانة وسرعة التعلم. مرفق لكم سيرتي الذاتية للاطلاع والتكرم بالنظر في طلبي. جاهز للمقابلة والمباشرة في أي وقت. وتفضلوا بقبول فائق الاحترام، عبدالرحمن محمد علي أحمد 0556965409 b71635622@gmail.com  3. رسالة تقديم لوظيفة مندوب مبيعات السلام عليكم بخصوص إعلان وظيفة مندوب مبيعات، أرفق لكم سيرتي الذاتية. عندي خبرة سنة في البيع المباشر والتعامل مع العملاء، ومعي رخصة قيادة سارية وأعرف منطقة عسير ومحايل كويس. جاهز للعمل الميداني وتحقيق التارجت. رقم التواصل: 0556965409</t>
  </si>
  <si>
    <t>aziz</t>
  </si>
  <si>
    <t>لديه شكوى ولم يتم الرد</t>
  </si>
  <si>
    <t>مازن المالكي</t>
  </si>
  <si>
    <t xml:space="preserve">استفسار عن طلبه مع استاذ ناصر  يبي رد بما يخص المساحة </t>
  </si>
  <si>
    <t xml:space="preserve">طلب تاجير لم يتم الرد </t>
  </si>
  <si>
    <t xml:space="preserve">استفسار - لم يتم الرد </t>
  </si>
  <si>
    <t>محمد البيشي</t>
  </si>
  <si>
    <t xml:space="preserve">سال كافيه - كافي شوب  الموقع: النوارية قبل كبري  اسم العلامة التجارية: سال للقهوة المختصة عدد الفروع:3 مالك أم وكيل: مالك </t>
  </si>
  <si>
    <t xml:space="preserve"> ماجد مساعد عتيق الرويعي</t>
  </si>
  <si>
    <t xml:space="preserve"> موسسه سلو كب وصف النشاط: كوفي الموقع: محطه درب لي بطريق الهجره المدينه منور اسم العلامة التجارية: سلو كب عدد الفروع: 3 مالك أم وكيل: مالك</t>
  </si>
  <si>
    <r>
      <rPr>
        <rFont val="Calibri"/>
        <b/>
        <color rgb="FF131825"/>
        <sz val="9.0"/>
      </rPr>
      <t xml:space="preserve">يوم الخميس الساعه 9:47 ص العميل طلب تعبئة بنزين بمبلغ 50 وقله بشويش الا ان العامل طنشني وعبى لي طقتين وسريعه واخر شي فصل علي يقول تبغى ولا روح عبى مكان ثاني اسلوب لا يرضيني كوريلا 2009 </t>
    </r>
    <r>
      <rPr>
        <rFont val="Calibri"/>
        <b/>
        <color rgb="FFFF6D01"/>
        <sz val="9.0"/>
      </rPr>
      <t>-تم التواصل والاعتذار للعميل</t>
    </r>
    <r>
      <rPr>
        <rFont val="Calibri"/>
        <b/>
        <color rgb="FF131825"/>
        <sz val="9.0"/>
      </rPr>
      <t xml:space="preserve"> </t>
    </r>
  </si>
  <si>
    <t xml:space="preserve">محمد الزهراني </t>
  </si>
  <si>
    <t>وصف النشاط: محل عصيرات طبيعية  الموقع: محطة درب طريق السيل  اسم العلامة التجارية: لم يحدد عدد الفروع: 1 مالك أم وكيل: مالك</t>
  </si>
  <si>
    <t xml:space="preserve">عبدالرحمن الجابر </t>
  </si>
  <si>
    <t>ارض  أبها - طريق الملك عبدالله المساحة ١٩٠٠٠ م على شارع ٣٠٠ ليس عليها رخصة محطه</t>
  </si>
  <si>
    <r>
      <rPr>
        <rFont val="Calibri"/>
        <b/>
        <color rgb="FF131825"/>
        <sz val="9.0"/>
      </rPr>
      <t>العميل يفيد ان ماتحول له المبلغ الى الان ويرغب بالتحويل الفوري او رفع شكوى للجهات المختصة ولديه فاتورة تثبت ذلك</t>
    </r>
    <r>
      <rPr>
        <rFont val="Calibri"/>
        <b/>
        <color rgb="FFFF6D01"/>
        <sz val="9.0"/>
      </rPr>
      <t xml:space="preserve"> -تم التواصل والتاكد من الاجراء ومرفق ايصال تحويل</t>
    </r>
  </si>
  <si>
    <t>محمد امبارك الزهراني</t>
  </si>
  <si>
    <t>ارض على خط الباحه الطايف ( المندق) مساحه 5500 متر لا يوجد رخصه</t>
  </si>
  <si>
    <t>الموضوع:  عرض استأجر محطة مستوفية الشروط والتراخيص  المحترمين تحية طيبة وبعد ،،، بناءً على السمعة الرائدة لشركتكم الموقرة في قطاع الأعمال، يسعدنا في أن نعرض عليكم هذا العرض المبدئي لاستأجر محطة مستوفية الشروط والتراخيص   موقعها محافظة الخرمة حي المحمدية طريق الملك عبدالعزيز بجوار أسواق العثيم مكونات الموقع : المساحة 1907 م وعرض الوجهة  الشارع الرئيسي بطول 44م والوجهة الأخرى بطول 41 م الوجهة الثالثة بطول 44م   الشارع الرئيسي 40 م  (عرض الشارع ) الشارع الثاني    25 م  (عرض الشارع ) الشارع الثالث    20م   (عرض الشارع )
مكونات الرخصة : عدد 4 طرمبة ومحل بنشر ومحل مغسلة ومحل سوبر ماركت موقع صراف آلي وموقع كشكك وعدد  محل 2 آخر و2 دورة مياه وغرفة إدارة وغرفة استراحة موظفين  مرفق لسيادتكم جميع المخططات الإنشائية والمعمارية ورخصة البناء بتصوير ثلاثي الابعاد للتواصل مع المالك : جوال ثاني :         0532202323 الايميل : aliila6041@gmail.com</t>
  </si>
  <si>
    <t>ابو نايف</t>
  </si>
  <si>
    <t xml:space="preserve">السلام عليكم ورحمة الله وبركاته  الأخوة الكرام لدي أرضين مساحة كبيرة قرابة ٦٠ الف متر مربع بصك شرعي وعلى طريق حيوي يربط بين مدينة القنفذة القوز مجاردة، نرغب عرضها على شركة درب الموقرة للاستثمار، فمكانها جداً مناسب ويخدم المنطقة بشكل كبير، حفظكم الله </t>
  </si>
  <si>
    <t xml:space="preserve">السلام عليكم ورحمة الله  عندي محطة وقود بالجوف سكاكا تحت الانشاء موقع مميز على الطريق الاقليمي للاستثمار </t>
  </si>
  <si>
    <t xml:space="preserve">سليمان ناصر الفرهود </t>
  </si>
  <si>
    <t>فرصة استثمارية مميزة موقع مقترح لمحطة وقود على طريق الملك عبدالعزيز في محافظة الرس مقدمة تُطرح هذه الفرصة الاستثمارية لتطوير وتشغيل محطة وقود حديثة على أرض تجارية تقع على طريق الملك عبدالعزيز بمحافظة الرس ، في موقع حيوي يتميز بكثافة مرورية عالية ووجود أنشطة سكنية وتجارية محيطة، مما يجعله مناسباً لتشغيل محطة وقود حضرية حديثة تحت علامة تجارية رائدة مثل شركة الدريس. بيانات الموقع المساحة الإجمالية: 449.66 م² بصك اكتروني محدث  طول الواجهة على طريق الملك عبدالعزيز: 25.50 متر طول الارض من جهة الشمال : 28 متر طول الارض جهة الجنوب : 22 متر طول الحد الخلفي للارض جهة الشرق : 15.70 متر عمق الأرض: من 23.73 متر تقريباً يوجد على الارض عداد كهرباء  يوجد على الارض عداد ماء  يوجد خزان ماء ارضي نوع العقار: أرض تجارية الموقع: على تقاطع طريق الملك عبدالعزيز مع طريق الملك فهد   https://t.co/azTm5efGMO⸻ مميزات الموقع ✓ واجهة مباشرة على طريق رئيسي. ✓ كثافة مرورية مرتفعة طوال اليوم. ✓ محاط بمنشآت تجارية وسكنية. ✓ سهولة الدخول والخروج للمركبات. ✓ مناسب لمحطة وقود حضرية ذات خدمات متكاملة. ✓ إمكانية استغلال العلامة التجارية للمستثمر لزيادة العائد التشغيلي. التصور التطويري للمشروع يتضمن المشروع: مضخات وقود حديثة. مظلة وقود. متجر تموينات وخدمات. دورات مياه. أجهزة صراف وخدمات إلكترونية. شاحن سيارات كهربائية. لوحة أسعار وبرج إعلاني للمحطة.⸻ مزايا الاستثمار  موقع جاهز للتطوير. عوائد متعددة من الوقود والمتجر والخدمات. فرصة مناسبة للتشغيل تح  علامة الدريس. إمكانية توقيع عقد استثمار أو إيجار طويل الأجل.⸻ المطلوب نتطلع إلى مناقشة أحد الخيارات التالية: استئجار الموقع بعقد طويل الأجل. الاستثمار والتطوير والتشغيل بواسطة شركة الدريس. الدخول في شراكة استثمارية وفق آلية يتم الاتفاق عليها بين الطرفين. بيانات التواصل اسم المسؤل : سليمان ناصر الفرهود رقم الجوال:  0503336060 البريد الإلكتروني:  alfarhood.est@gmail.com مدينة العقار:  القصيم - الرس نسعد بتزويدكم بكافة المستندات والمخططات والمعلومات الإضافية عند الطلب</t>
  </si>
  <si>
    <t>فهد القحطاني</t>
  </si>
  <si>
    <t xml:space="preserve">	السلام عليكم، أتقدم بطلب التوظيف لديكم، وأنا حاصل على درجة البكالوريوس في إدارة الأعمال من جامعة الملك عبدالعزيز. لدي خبرة في الأعمال الإدارية وشؤون الموظفين، وأمتلك مهارات في التنظيم وإدارة الملفات والتواصل وإعداد التقارير.</t>
  </si>
  <si>
    <t>خالد احمد</t>
  </si>
  <si>
    <t>احب العمل بروح الفريق طموح واسعى دائما الى النجاح والتميز فالعمل</t>
  </si>
  <si>
    <t>أثير الصبياني</t>
  </si>
  <si>
    <t xml:space="preserve">	السلام عليكم ورحمة الله وبركاته، أتقدم بطلب التوظيف لديكم، وأتطلع للانضمام إلى فريق العمل والمساهمة في تحقيق أهداف المنشأة. أتمتع بالجدية والالتزام والرغبة في التطور واكتساب الخبرات العملية. شاكرة لكم وقتكم واهتمامكم، وأتطلع لفرصة المقابلة الشخصية.</t>
  </si>
  <si>
    <t>ملك شعراوي</t>
  </si>
  <si>
    <t>السادة/ إدارة درب المحترمين، أتقدم إليكم بطلب التوظيف لديكم، راجيةً من الله ثم منكم منحي فرصة للانضمام إلى فريق العمل. أمتلك مهارات جيدة في التعامل مع العملاء والعمل بروح الفريق، وأسعى لتطوير خبراتي والمساهمة في نجاح جهة العمل. شاكرةً لكم وقتكم</t>
  </si>
  <si>
    <t>Ahmed Abdulrahim</t>
  </si>
  <si>
    <t>Senior Facilities Engineer with 8+ years of experience in facilities management, MEP operations, maintenance engineering, and QHSE leadership across commercial, industrial, and government facilities in Saudi Arabia. Proven expertise in managing criti</t>
  </si>
  <si>
    <t>مهند زيد</t>
  </si>
  <si>
    <t>أرفق لسعادتكم سيرتي الذاتية للاطلاع على مؤهلاتي وخبراتي بشكل أكثر تفصيلاً، وأتطلع إلى فرصة لمقابلة شخصية لمناقشة مدى توافق مؤهلاتي مع متطلبات الوظيفة. أشكركم على وقتكم واهتمامكم، وأتطلع إلى ردكم الكريم</t>
  </si>
  <si>
    <t>ريم الرحيلي</t>
  </si>
  <si>
    <t>أود التقديم على الفرصة المتاحة في مجال الموارد البشرية، حيث أمتلك خبرة في إدارة عمليات الموارد البشرية واستخدام أنظمة HRIS و ERP، بالإضافة إلى التعامل مع المنصات الحكومية. أرفقت لكم سيرتي الذاتية، وآمل أن تتاح لي الفرصة لمناقشة كيف يمكنني الإضافة لف</t>
  </si>
  <si>
    <t>السلام عليكم ورحمه الله كلنا لنواكب النجاح والنجاح بالتعاون هاذا هوا خطابي وشكراً</t>
  </si>
  <si>
    <t>ليان بكري</t>
  </si>
  <si>
    <t>السلام عليكم ورحمة الله وبركاته، أتقدم بطلب الانضمام إلى شركة درب الوقود المحدودة، وأتطلع للمساهمة بمهاراتي وخبراتي في بيئة عمل احترافية. أتميز بالالتزام وسرعة التعلم والعمل بروح الفريق، وأتطلع إلى فرصة للانضمام إلى فريقكم. مع خالص الشكر والتقدير،</t>
  </si>
  <si>
    <t>فارس اللهيبي</t>
  </si>
  <si>
    <t>أنا حاصل على دبلوم الموارد البشرية، وأسعى لتطوير مهاراتي واكتساب خبرات عملية تسهم في تحقيق أهداف جهة العمل. أتميز بالالتزام وحسن التواصل وروح التعلم، وأتطلع إلى فرصة أقدم من خلالها أفضل ما لدي وأطور مسيرتي المهنية</t>
  </si>
  <si>
    <t>Lujain Meliebary</t>
  </si>
  <si>
    <t>السلام عليكم ورحمة الله، أتقدم إليكم بطلب التوظيف لشغل إحدى الوظائف المتاحة لديكم. أحمل درجة البكالوريوس في إدارة الأعمال، وأتمتع بمهارات جيدة في التواصل والتنظيم وخدمة العملاء والعمل ضمن فريق. شاكرةً لكم وقتكم واهتمامكم. مع خالص التحية، لجين مليباري</t>
  </si>
  <si>
    <t>افنان عسيري</t>
  </si>
  <si>
    <t>أرغب بالتقديم على الوظيفة المعلنة لديكم. أود التنويه إلى أن السيرة الذاتية المرفقة لم يتم تحديثها مؤخراً، حيث حصلت حديثاً على درجة ماجستير إدارة الأعمال ولم تُضف بعد إلى السيرة الذاتية. كما أنني أعمل حالياً في مجال إدارة التشغيل وما زلت على رأس</t>
  </si>
  <si>
    <r>
      <rPr>
        <rFont val="Calibri"/>
        <b/>
        <color rgb="FF131825"/>
        <sz val="9.0"/>
      </rPr>
      <t>التاريخ: ٢٤ ذو الحجة ١٤٤٧هـ الوقت: صلاة العشاء شكوى/اقتراح: المسجد التابع للمحطة في مكة حي العوالي يعاني جداً من رائحة كريهة في السجاد.
نرجوا من عنايتكم التكرم وتغييره والتشييك على باقي سجاد المساجد التابعة لكم.-</t>
    </r>
    <r>
      <rPr>
        <rFont val="Calibri"/>
        <b/>
        <color rgb="FFFF9900"/>
        <sz val="9.0"/>
      </rPr>
      <t>تم التواصل مع العميل وشكره على حرصه وملاحظاته</t>
    </r>
  </si>
  <si>
    <t>ريماس يونس</t>
  </si>
  <si>
    <t>أود أنا أتوظف معاكم</t>
  </si>
  <si>
    <t>خيرة السفياني</t>
  </si>
  <si>
    <t>السلام عليكم ورحمة الله وبركاته،،أكتب إليكم هذا الخطاب للتعبير عن رغبتي الصادقة في الانضمام إلى فريق العمل في شركتكم الموقرة، ولقد اطلعت على متطلبات هذه الوظيفة، وأنا على ثقة تامة بأن مؤهلاتي وخبراتي تتوافق تماماً مع احتياجاتكم</t>
  </si>
  <si>
    <r>
      <rPr>
        <rFont val="Calibri"/>
        <b/>
        <color rgb="FF131825"/>
        <sz val="9.0"/>
      </rPr>
      <t>رفض يعبي عشان اعطيه 50 ومعي ببوكي عشرات ماله دخل انا طلب يعبي بهذي - 2:30م -( د ب ي - 3518) اكسنت ابيض - المسار الداخلي - مارح اعبي بمشي</t>
    </r>
    <r>
      <rPr>
        <rFont val="Calibri"/>
        <b/>
        <color rgb="FFFF6D01"/>
        <sz val="9.0"/>
      </rPr>
      <t xml:space="preserve"> - لم يتم الرد</t>
    </r>
  </si>
  <si>
    <t>Mamdooh Alharbi</t>
  </si>
  <si>
    <t>توظفون بدون تامينات</t>
  </si>
  <si>
    <t>عبيت الساعه 7 الصباح يقول 131 الحساب  ونا سيارتي بحياتها ما وصلت هذا المبلغ  ( د د ي - 6563) بني كيا  اخضر - شبكة  7:17 ص</t>
  </si>
  <si>
    <t>عبد الباسط حافظ</t>
  </si>
  <si>
    <t>السلام عليكم ورحمة الله وبركاته أتشرف بتقديم سيرتي الذاتية للحصول على وظيفة مناسبة في مكة المكرمة وأشكركم على إتاحة هذه الفرصة</t>
  </si>
  <si>
    <t>مهند الخضري</t>
  </si>
  <si>
    <t>السلام عليكم ورحمة الله وبركاتة أرغب في العمل مع شركتكم المؤقرة ولكم الشكر</t>
  </si>
  <si>
    <t>أحمد كابلي</t>
  </si>
  <si>
    <t>السلام عليكم ورحمة الله وبركاته، السادة/ إدارة الموارد البشرية المحترمين، أتقدم إليكم بطلب التوظيف لشغل إحدى الوظائف الشاغرة لديكم، حيث أطمح للانضمام إلى فريق العمل والمساهمة بخبراتي ومهاراتي في تحقيق أهداف الشركة. أتمتع بالجدية والانضباط والقدرة على</t>
  </si>
  <si>
    <t>امل الحارثي</t>
  </si>
  <si>
    <t>ابحث عن وظيفه</t>
  </si>
  <si>
    <t>موسي عقدي</t>
  </si>
  <si>
    <t>السلام عليكم ورحمة الله وبركاته أتقدم إليكم بطلب حصولي ع وضيفه ويشهد الله اني في امس الحاجه لها لان اب للثلاثه أشخاص وزوجتي الرابعه نامل منكم الموافقه ع طلبي للوضيفه ولكم مني كامل التقدير والاحترام</t>
  </si>
  <si>
    <t>نوير صلهبي</t>
  </si>
  <si>
    <t>أتقدم إليكم بطلب التوظيف وأتطلع للحصول على فرصة عمل أستطيع من خلالها توظيف مهاراتي وخبراتي والمساهمة في تطوير العمل وتحقيق الأهداف أتميز بالقدرة على التعلم السريع، وتحمل ضغط العمل، والعمل بروح الفريق، إضافة إلى مهارات التواصل والتنظيم.</t>
  </si>
  <si>
    <t>رائد السبيعي</t>
  </si>
  <si>
    <t>السلام عليكم ورحمة الله وبركاته، أتقدم بطلب التوظيف على وظيفة أخصائي عقود، حيث أحمل درجة البكالوريوس في القانون ولدي خبرة في إدارة ومراجعة وصياغة العقود ومتابعة الالتزامات التعاقدية.</t>
  </si>
  <si>
    <t>دانا نولي</t>
  </si>
  <si>
    <t>حديثة تخرج تخصص ادارة اعمال مسار ادارة مشاريع</t>
  </si>
  <si>
    <t>طلال الرميحي</t>
  </si>
  <si>
    <t>أقدام أنا بنفسي طلال حصل على شهادة دبلوم ثانوي بتخصص انشاءات معمارية ولدي خبرة 5 سنوات</t>
  </si>
  <si>
    <t>ابراهيم الشقيفي</t>
  </si>
  <si>
    <t>السلام عليكم ورحمة الله وبركاته اسعد الله اوقاتكم بكل خير حاب أتقدم للشاغر ( محاسب ) الوظيفي لديكم وقد أرفقت كافة المستندات المطلوبة</t>
  </si>
  <si>
    <t>Khaled Alharthi</t>
  </si>
  <si>
    <t>شكرًا دروب وأتمنى من الله التوفيق لي ولكم 🫡</t>
  </si>
  <si>
    <t>Suzan Alamri</t>
  </si>
  <si>
    <t>جمعان الغامدي</t>
  </si>
  <si>
    <t>ارجوا من الله ثم منكم القبول</t>
  </si>
  <si>
    <t>عبدالرحيم الميمني</t>
  </si>
  <si>
    <t>السادة/ المحترمين، أتقدم بطلب شغل وظيفة ، وأتطلع للانضمام إلى فريق العمل لديكم. أمتلك مهارات في التواصل والعمل الجماعي وسرعة التعلم، وأسعى لتقديم أفضل ما لدي والمساهمة في تحقيق أهداف الشركة. شاكرًا لكم وقتكم واهتمامكم،</t>
  </si>
  <si>
    <t>الساده مدير التوظيف في شركة درب المحترم اتقدم لكم بانني ارغب بالتوظيف لدى شركتكم الموقره امل الموافقه على طلبي وتقبلوا فائق احترامي</t>
  </si>
  <si>
    <t>زهير فيصل علي مشهور</t>
  </si>
  <si>
    <t>انا متفرغ لي العمل واريد الشغل لا يهمني مسمى الوظيفي</t>
  </si>
  <si>
    <t>انس رواس</t>
  </si>
  <si>
    <t>الملخص المهني هناك دائمًا طرق متعددة لتحقيق النجاح وتطوير الأعمال بالشكل الصحيح وفي الوقت والمكان المناسبين، ولا توجد طريقة واحدة مثالية. ما أؤمن به هو أهمية تقديم قيمة حقيقية تسهم في تحسين الأداء ورفع كفاءة العمل المؤسسي، مع التركيز على تطوير الحلو</t>
  </si>
  <si>
    <t>ساري الرويتعي</t>
  </si>
  <si>
    <t>السلام عليكم ورحمة الله وبركاته</t>
  </si>
  <si>
    <t>رانيه السليماني</t>
  </si>
  <si>
    <t>بتخصص محاسبة مالية</t>
  </si>
  <si>
    <t>مازن السمان</t>
  </si>
  <si>
    <t>أمتلك خبرة تزيد عن 15 عامًا في خدمة العملاء وإدارة العمليات والمبيعات، وأسعى للانضمام إلى شركة درب للمساهمة في تحقيق أهدافها التشغيلية وتقديم أفضل تجربة للعملاء. أؤمن بالعمل الجماعي والتطوير المستمر وتحمل المسؤولية، وأتطلع إلى فرصة للانضمام إلى فريقك</t>
  </si>
  <si>
    <t>مازن الدريدي</t>
  </si>
  <si>
    <t>اتشرف بالعمل لديكم اسكن بالمدينة المنورة</t>
  </si>
  <si>
    <t>kareem aboelez</t>
  </si>
  <si>
    <t>اسعى لتحقيق نجاح واستقرار مع شركتكم</t>
  </si>
  <si>
    <t>فالح محمد الشهراني</t>
  </si>
  <si>
    <t>طلب فرصه وظيفه</t>
  </si>
  <si>
    <t>رامي خشيفاتي</t>
  </si>
  <si>
    <t>جاهز للانضمام</t>
  </si>
  <si>
    <t>مصطفى السيد</t>
  </si>
  <si>
    <t>السلام عليكم ورحمة الله وبركاته أتقدم بطلب التوظيف لدى محطات درب، وأحمل دبلوم تقنية وصيانة المركبات، ولدي خبرة 7 سنوات في مجال العمل. أتطلع إلى فرصة للانضمام إلى فريقكم والاستفادة من خبرتي لخدمة الشركة.</t>
  </si>
  <si>
    <t>محمد علي محمد</t>
  </si>
  <si>
    <t>العائل الوحيد لعائلتي ...واشتغلت مؤخرا مع شركه نينجا للتوصيل ولاكن تغير نظامهم الان مما ادى لعدم وجود شفتات مافيه للمناديب .. وعلى الله التوفيق</t>
  </si>
  <si>
    <t>العائل الوحيد لاسرتي..لدي سياره ورخصه .... واشتغلت مؤاخرا في تطبيقات توصيل ومن ضمنهم نينجا ... ومتفهم ومدرك تماما لبيئه العمل فيه المجالات اللوجستيه</t>
  </si>
  <si>
    <t>وعد تركستاني</t>
  </si>
  <si>
    <t>جامعه الملك عبدالعزيز تخصص موارد بشرية</t>
  </si>
  <si>
    <t>حمد حامد</t>
  </si>
  <si>
    <t>الرغبه في العمل وتيسير اموري ولو بشكل بسيط للعلم بانني اتحمل ضغوطات العمل بشكل تام وانجز عملي في وقت وجيز</t>
  </si>
  <si>
    <t>تحسن وضعي للعلم باني انجز العمل في وقت وجيز</t>
  </si>
  <si>
    <t>السلام عليكم ورحمة الله وبركاته ارغب في وظيفه لدى محطتكم الراقيه ولكم جزيل الشكر والامتنان</t>
  </si>
  <si>
    <t>عبدالرحمن مرعناق</t>
  </si>
  <si>
    <t>استلام الكوبون</t>
  </si>
  <si>
    <t>لدي خبرة ١٤ سنة في مجال المبيعات وادارة العمال والعمل التسويق وخبرة الادارة والمشتريات</t>
  </si>
  <si>
    <t>السادة/ [ شركة درب] المحترمين أتقدم إليكم بطلب التوظيف حيث أمتلك الرغبة الجادة في العمل وتطوير مهاراتي والمساهمة في تحقيق أهداف المنشأة. أرفق لكم سيرتي الذاتية للاطلاع على مؤهلاتي وخبراتي، وآمل أن أحظى بفرصة للمقابله</t>
  </si>
  <si>
    <t>Mohammed Almutairi</t>
  </si>
  <si>
    <t>تقديم على وظيفة</t>
  </si>
  <si>
    <t>السيره الذاتيه</t>
  </si>
  <si>
    <t>جوان كوسه</t>
  </si>
  <si>
    <t>السلام عليكم ورحمة الله وبركاته، اسمي جوان محمد محمد اسماعيل كوسه، عمري ٢٢ سنه وأدرس بكالوريوس تخصص علوم حاسب في الجامعة السعودية الاكترونية وانا من السعوديه. يسعدني ان اقدم سيرتي الذاتية واخذ الفرص الوظيفية.</t>
  </si>
  <si>
    <r>
      <rPr>
        <rFont val="Calibri"/>
        <b/>
        <color rgb="FF131825"/>
        <sz val="9.0"/>
      </rPr>
      <t xml:space="preserve">        السلام عليكم ورحمة الله وبركاته تحية طيبة و بعد: أنا مهندس ميكانيكا خبرة عمل ١١ سنة سوداني الجنسية ، مع عضوية محترف في الهيئة السعودية للمهندسين SCE ؛ متواجد في الرياض بأقامة سارية قابلة للنقل و رخصة قيادة سارية. اخر وظيفة (مشرف صيانة و سلامة) في شركة فيول للمنتجات البترولية حسب اشتراطات وزارة الطاقة السعودية. ولدي خبرة ممتازة في انظمة أتمتة الوقود ATG و PTS. B.Sc. Mechanical Engineer (Production) | Production O&amp;M | QMS (ISO9001) Site Inspector | HVAC | Quality Engineering Management | HSE Engineer | Firefighting &amp; Emergency Response | Permit To Work PTW |Accident Investigation | ISO 45001: 2018 Internal Auditor | Maintenance Supervision مرفق لكم السيرة الذاتية و تحتوي على الشهادات و الخبرات. آمل الرد على هذه الرسالة و عرضها على قسم Hr في شركتكم المحترمة Darb درب . Best regards, Ahmed Alata QA/QC Engineer | HSE | O&amp;M Engineer 📞 0556170938 📧 eng32ahmed@gmail.com 🔗 </t>
    </r>
    <r>
      <rPr>
        <rFont val="Calibri"/>
        <b/>
        <color rgb="FF1155CC"/>
        <sz val="9.0"/>
        <u/>
      </rPr>
      <t>linkedin.com/in/eng-ahmed-alata</t>
    </r>
  </si>
  <si>
    <t>فيصل المكلاوي</t>
  </si>
  <si>
    <t>بفضل الله خلال العشرين السنة الماضية حصلت على العديد من الخبرات في مجال خدمة العملاء والمبيعات والحصول على العديد من الشهادات في هذا المجال.</t>
  </si>
  <si>
    <t>رغد الصعيدي</t>
  </si>
  <si>
    <t>أتقدم بطلب للانضمام إلى فريق عمل "محطة درب". أتميز بالجدية، والالتزام، وحسن التعامل مع العملاء، مع رغبة مستمرة في التعلم وتطوير مهاراتي. أتطلع لفرصة مقابلة شخصية لبحث سبل التعاون. شاكراً لكم وقتكم واهتمامكم. مع خالص التحية،،</t>
  </si>
  <si>
    <t>Hanaa Wafaa</t>
  </si>
  <si>
    <t>السادة/ إدارة التوظيف في شركة درب المحترمين السلام عليكم ورحمة الله وبركاته، أتقدم إليكم بطلب الانضمام إلى فريق العمل لديكم، حيث أمتلك خبرة مهنية في مجال إدارة الجودة وسلامة المرضى وإدارة المخاطر، بالإضافة إلى خبرة في إعداد السياسات والإجراءات، ومتاب</t>
  </si>
  <si>
    <t>افراح ابوبكر الصديق سليمان</t>
  </si>
  <si>
    <t>حابه اقدم عل واظيفه تتناسب مع موهلاتي وخبرتي .ولدي الشغف والطموح لتجربه العمل بشركتكم ..</t>
  </si>
  <si>
    <t>Aseel Alghamdi</t>
  </si>
  <si>
    <t>I am writing to express my interest in this job at [Darb], With an Executive Master of Business Administration and a proven track record in administrative operations, project coordination, and organizational development.</t>
  </si>
  <si>
    <t>هاجر الزهراني</t>
  </si>
  <si>
    <t>انا مهتم بالعمل معكم</t>
  </si>
  <si>
    <t>محمد حمدي</t>
  </si>
  <si>
    <t>السلام عليكم ورحمة الله وبركاتة. أما بعد انا المدعو/ محمد حمدي أقدم لكم هذا الخطاب بأني أرغب في الحصول على وظيفة لديكم وتحت أدارتكم وشكراً.</t>
  </si>
  <si>
    <t>احمد اليعقوبي</t>
  </si>
  <si>
    <t>السلام عليكم ورحمة الله وبركاته، السادة/ شركة درب أتقدم بطلب التوظيف لديكم، وأتطلع للانضمام إلى فريق العمل والمساهمة في تحقيق أهداف الشركة. أرفق لكم سيرتي الذاتية، وآمل أن يحظى طلبي باهتمامكم. وتفضلوا بقبول خالص التحية والتقدير</t>
  </si>
  <si>
    <t>Ahmed Alsukary</t>
  </si>
  <si>
    <t>من الأشياء الجميلة وجود فرصة متاحة للانضمام لفريق عمل طموح باسم يليق به يسعدني جداً ان أكون ضمن فريق ذو خبرة لتجربة مسيرة نجاح</t>
  </si>
  <si>
    <t>عبدالله غيلان</t>
  </si>
  <si>
    <t>ابي في فرع مكة المكرمة النورية</t>
  </si>
  <si>
    <t>حسين بكيش</t>
  </si>
  <si>
    <t>السلام عليكم ورحمة اللّٰه وبركاته يشرفني التقدم لشغل اي وظيفة مناسبة لديكم وأرفق لسيادتكم سيرتي الذاتية ، وأتطلع لاتاحة الفرصة في عمل مقابلة شخصية لمناقشة ما يمكن أن أقدمه من قيمة مضافة . وتفضلوا بقبول فائق الاحترام والتقدير،،،</t>
  </si>
  <si>
    <t>سالم الشهراني</t>
  </si>
  <si>
    <t>تقديم طلب وظيفه</t>
  </si>
  <si>
    <t>Mohammad Alkatheri</t>
  </si>
  <si>
    <t>السلام عليكم ورحمة الله وبركاته تحيه طيبه وبعد ... معكم أخوكم محمد طالب الكثيري حضرمي مواليد الرياض أبلغ من العمر 41 سنه والعمر مجرد رقم ولله الحمد ، ● محترف في إدارة الفعاليات والأعمال الإدارية بخبرة عملية في تنظيم كبرى الفعاليات ضمن موسم الرياض</t>
  </si>
  <si>
    <t>حياة الزهراني</t>
  </si>
  <si>
    <t>السلام عليكم ورحمة الله وبركاته الموضوع: طلب وظيفة تحية طيبة وبعد، أود أن أقدم لسيادتكم طلبي هذا لشغل وظيفة أنا المواطنة حياة عبدالعزيز عبدالله الزهراني والحاصلة على شهادة البكالوريوس من جامعة ام القرى، تخصص رياضيات مع اعداد تربوي</t>
  </si>
  <si>
    <t>محمد الحسني</t>
  </si>
  <si>
    <t>سلام عليكم ورحمه الله وبركاته محاسب حديث تخرج من جامعة ام اقرى و يشرفني اني اكون جزء من نجاح الشركة و صعودها للقمة و اتمنى لي ولكم التوفيق</t>
  </si>
  <si>
    <t>محمد بحراوب</t>
  </si>
  <si>
    <t>السلام عليكم ورحمة الله وبركاته ارجو من سيادتكم قبول تقدمي لمسيرة وظيفيه افضل ويسعدني العمل لدى شركتكم الموقرة</t>
  </si>
  <si>
    <t>يسرني العمل معكم . وشكراً</t>
  </si>
  <si>
    <t>هاجر باطهف</t>
  </si>
  <si>
    <t>السادة/ إدارة الموارد البشرية المحترمين السلام عليكم ورحمة الله وبركاته، أتقدم إليكم بطلب التوظيف على وظيفة موظفة استقبال، وأرغب في البحث عن عمل ملكم والمساهمة بخبراتي ومهاراتي في تقديم صورة إيجابية ومهنية عن جهة العمل. أمتلك مهارات جيدة في التواصل م</t>
  </si>
  <si>
    <t>ياسر أحمد عبدالله</t>
  </si>
  <si>
    <t>مدير مشاريع استشارى فى الهندسة المدنية</t>
  </si>
  <si>
    <t>محمد عبدالله غريب</t>
  </si>
  <si>
    <t>مشرف حركه شاحنات ومشرف محطات مشرف المحطات مسؤول عن تشغيل محطة الوقود بشكل يومي وضمان سير العمل بدون مشاكل. يتابع الموظفين ويشرف على توزيع الشفتات، ويتأكد من توفر الوقود وعدم وجود أعطال في الطلمبات. كما يراقب كميات الوقود والمبيعات ويطابقها مع النظام،</t>
  </si>
  <si>
    <t>اسامة امين</t>
  </si>
  <si>
    <t>السادة شركة درب الوقود المحدودة المحترمين أتقدم إلى سعادتكم بطلب التوظيف لدى شركتكم، وأرفقت سيرتي الذاتية للاطلاع على مؤهلاتي وخبراتي. أتطلع للانضمام إلى فريق العمل والمساهمة في تحقيق أهداف الشركة من خلال الجدية تحمل المسؤولية والعمل بروح الفريق</t>
  </si>
  <si>
    <t>Abdullah Khoja</t>
  </si>
  <si>
    <t>أتقدم بطلب التوظيف لدى شركتكم الموقرة، راجيًا من الله ثم منكم إتاحة الفرصة للانضمام إلى فريق العمل. أرفق لسعادتكم سيرتي الذاتية والتي تتضمن كافة مؤهلاتي وخبراتي العملية. أتطلع إلى فرصة للمساهمة في تحقيق أهداف الشركة والاستفادة من خبراتي المهنية.</t>
  </si>
  <si>
    <t xml:space="preserve">التحقق من قيمة التعبئة - 12:36 م 100 ريال  شبكة - أحمر -( 5455- د ن ص) كامري 2020 بني غامق </t>
  </si>
  <si>
    <t>Ahmed Al Esias</t>
  </si>
  <si>
    <t>محلل معلومات، Power BI Dashboard Designer Data Analyst, Data Reporting, Data Preparation.</t>
  </si>
  <si>
    <t>الامير عبدالله آل سعود</t>
  </si>
  <si>
    <t>خبره وعلاقات عامه قويه جدا ولدي شركة تطوير عقاري ومقاولات وإدارة فعاليات وإدارة املاك</t>
  </si>
  <si>
    <t>Osama Askar</t>
  </si>
  <si>
    <t>مصمم تجربة مستخدم (UX / UI Designer ) لاكثر من 4 سنوات عملت في السوق السعودي لدب عض الجهات الجهات الخاصة والجهات الحكومية</t>
  </si>
  <si>
    <t>قاسم العقبي</t>
  </si>
  <si>
    <t>اتقدم لكم بطلب وظيفه</t>
  </si>
  <si>
    <t>دعاء الهرش</t>
  </si>
  <si>
    <t>أتقدم لسيادتكم بطلب التوظيف لشغل وظيفة مناسبة في مجال تدريس اللغة الإنجليزية أو التدريب. أمتلك خبرة تزيد عن 21 عامًا في في التدريس والتدريب، وعملت محاضرة ومدربة لغة إنجليزية في عدد من المؤسسات التعليمية المرموقة، مع خبرة في إعداد المناهج والبرامج</t>
  </si>
  <si>
    <t>عبداللطيف الزهراني</t>
  </si>
  <si>
    <t>طلب توظيف على وظيفة محاسب أتقدم إليكم بطلب الانضمام إلى فريق العمل في شركة درب للمحطات على وظيفة محاسب، حيث إنني حاصل على درجة البكالوريوس في المحاسبة، ولدي معرفة بالمبادئ المحاسبية وإعداد القيود اليومية، ومتابعة الحسابات، والتسويات البنكية</t>
  </si>
  <si>
    <t>عادل عبدالله</t>
  </si>
  <si>
    <t>انا عادل مشرف ميكانيكا صيانة [سوداني ] امتلك خبرة عاليه بخبره 8 سنوات في الشاحنات والمعدات الثقيله تشمل التشخيص المتقدم بوكلينات شيولات دنابر بلدوزر كريدر والبرمجة. الكهرباء. الضفائر .والأنظمة الميكانيكي لدى قدره علي التعامل مع الأعطال المعقده ورف</t>
  </si>
  <si>
    <t>خالد عسيري</t>
  </si>
  <si>
    <t>يسعدني ويشرفني العمل لديكم لدي خبره في الاداره والعماله مكه المكرمة</t>
  </si>
  <si>
    <r>
      <rPr>
        <rFont val="Calibri"/>
        <b/>
        <color rgb="FF131825"/>
        <sz val="9.0"/>
      </rPr>
      <t xml:space="preserve">المدينة مكة المكرمة محطة الرصيفة 15/06/2026 الساعة 23:52 الشكوى اسلوب عامل المحظة ومدير المحطة العامل مايبغى يشتغل مطنش انا مستعجل وهو لطعني وخلاني انتظر ولا يبغى يجي للمضخه الي ورا يعبي لي لين خلص الباص الي قدامي
ويقولي قدم ورفضت ورحت اشتكي للمدير الي اسمه ايوب والله العظيم لا اسلوب ولا اخلاق مدري كيف مخلينه مدير يقول وين سيارتك هيا قدم قدم خله يعبي لك عشان بقفل نهاية الشفت وبنعبي الخزان وبتضطر تنتظر لين 12:30-  راجع قبل الوقت هذا  تشوفني جيت وتشوف العامل كيف مطنشني ولاطعني فالسيارة وتشوف المدير وهو يصرفني داخل المحطة الصف الثالث يمكن  - بيانات سيارتي كامري 2011 لونها اسود - 2771 ب د ك - </t>
    </r>
    <r>
      <rPr>
        <rFont val="Calibri"/>
        <b/>
        <color rgb="FFFF6D01"/>
        <sz val="9.0"/>
      </rPr>
      <t xml:space="preserve">نعتذر منك سيتم مراجعة الكاميرات واتخاذ اجراء تأديبي مع العمال هدفنا رضاك وخدمتك 🧡 وشكرنا </t>
    </r>
  </si>
  <si>
    <t>السلام عليكم ورحمة الله وبركاتة. أما بعد انا المدعو/ محمد حمدي اقدم لكم هذا الخطاب بأني أرغب في الحصول على وظيفة لديكم وتحت إدارتكم وشكراً</t>
  </si>
  <si>
    <t>عماد الزهراني</t>
  </si>
  <si>
    <t>Hello, HR Team I look forward to joining you, which is from the first time I heard about you, and to join an elite and a great team serving this high edifice, and to be one of you And I'm waiting for you impatiently, Greetings Thank you.</t>
  </si>
  <si>
    <t>عبده الاهدل</t>
  </si>
  <si>
    <t>جازان . سعودي . بكلوريوس لغة إنجليزية خبرة طويلة مبيعات . إدارة . تسويق . العناية بالعملاء</t>
  </si>
  <si>
    <t>أتقدم إليكم بطلب التوظيف على وظيفة مدير مشروع، حيث أمتلك خبرة ومعرفة في إدارة المشاريع والإشراف على الأعمال التشغيلية والتنفيذية، مع القدرة على التخطيط والتنظيم ومتابعة الأداء وضمان تحقيق الأهداف وفق أعلى معايير الجودة والكفاءة.</t>
  </si>
  <si>
    <t>سلمى الدوسري</t>
  </si>
  <si>
    <t>….</t>
  </si>
  <si>
    <t>ساري سمير دمنهوري</t>
  </si>
  <si>
    <t>تقديم وظيفه</t>
  </si>
  <si>
    <t>فؤاد القرشي</t>
  </si>
  <si>
    <t>التقديم على وظيفه مناسبه</t>
  </si>
  <si>
    <t>حسن سندي</t>
  </si>
  <si>
    <t>السلام عليكم و رحمة الله و بركاته ارفق لكم السيره الذاتيه رغم اني موظف بامانة العاصمة المقدسة و ارغب في تطوير الذات و البحث عن فرص عمل جديدة و نسال الله التوفيق للجميع</t>
  </si>
  <si>
    <t>نيفين غالب</t>
  </si>
  <si>
    <t>ارغب بالتقديم علي وظيقه</t>
  </si>
  <si>
    <t>عصام الدين أحمد</t>
  </si>
  <si>
    <t>سعادة مدير إدارة الموارد البشرية بشركة درب للوقود المحدودة (Darb) سلمه الله السلام عليكم ورحمة الله وبركاته،،، أتقدم لسعادتكم بطلبي هذا لإيجاد فرصة عمل مع فريق عمل بشركة درب العامرة في وظيفة إدارة الجودة أو ما يتناسب ومؤهلاتي</t>
  </si>
  <si>
    <t>Abdul Najeeb</t>
  </si>
  <si>
    <r>
      <rPr>
        <rFont val="Calibri"/>
        <b/>
        <color rgb="FF131825"/>
        <sz val="9.0"/>
      </rPr>
      <t xml:space="preserve">ارض للاستثمار علي طريق الملك سلمان وطريق الامير فيصل بن بندر المساحه ١٠٣٥ متر علي ثلاثة شوارع  المطلوب مليون و600  سنوي   مباشر مع المالك
</t>
    </r>
    <r>
      <rPr>
        <rFont val="Calibri"/>
        <b/>
        <color rgb="FF1155CC"/>
        <sz val="9.0"/>
        <u/>
      </rPr>
      <t>https://maps.app.goo.gl/NEGm2hfXzqq3TQKi9?g_st</t>
    </r>
    <r>
      <rPr>
        <rFont val="Calibri"/>
        <b/>
        <color rgb="FF131825"/>
        <sz val="9.0"/>
      </rPr>
      <t xml:space="preserve"> - لم يتم الرد لمعرفة تفاصيل الطلب</t>
    </r>
  </si>
  <si>
    <t>Dear recruitment team, Am Abdul Najeeb from India and here working as a Civil Engineer, currently am searching job related to Civil Engineering and i have 18 years of lroven working experience in construction industry meantime searching other jobs.</t>
  </si>
  <si>
    <t>عبدالعزيز شلبي</t>
  </si>
  <si>
    <t>السلام عليكم ورحمة الله وبركاته، أتقدم إليكم بطلب التوظيف لدى شركتكم الموقرة، حيث أمتلك مؤهل دبلوم هندسة معمارية ومعتمد من هيئة المهندسين السعودية، وأتطلع إلى فرصة العمل ضمن فريق العمل لديكم</t>
  </si>
  <si>
    <t>جاسم الحرز</t>
  </si>
  <si>
    <t>أمل منكم التكرم بالنظر للسيرة الذاتية الخاصة بي حيث يوجد لديا خبرة في تشغيل المحطات اكثر من 10 سنوات</t>
  </si>
  <si>
    <t>رزان الشريف</t>
  </si>
  <si>
    <t>السلام عليكم ورحمة الله وبركاته، الى الإدارة العامة للموارد البشرية ، أتقدم إليكم بطلب هذا الترشيح للانضمام إلى فريق العمل لدى درب من خلال الفرص الوظيفية المتاحة في مجال اختصاصي مرفق لكم سيرتي الذاتية للاطلاع عليها،وأتطلع لفرصة للعمل</t>
  </si>
  <si>
    <t>Ahamed Annas</t>
  </si>
  <si>
    <t>المدينة: الخبر | نوع النشاط: kiosk | عدد الفروع: 1 | العلامة التجارية: LoqamLoqman</t>
  </si>
  <si>
    <t>مسلم</t>
  </si>
  <si>
    <t xml:space="preserve">محل - بنشر اول فرع </t>
  </si>
  <si>
    <t xml:space="preserve">كان يبي يرفع شكوى لكن ما يبي يكلم حرمه </t>
  </si>
  <si>
    <t>غاده</t>
  </si>
  <si>
    <t xml:space="preserve">سكون العقاريه - تاروت حي الاندلوس - أرض عليها رخصة - 2182م </t>
  </si>
  <si>
    <t>علي مطرق السبيعي</t>
  </si>
  <si>
    <t xml:space="preserve">أرض مرخصه 1907م  في الخرمة تابعه لمنطقة مكة او الطائف - المالك </t>
  </si>
  <si>
    <t xml:space="preserve">محل- كافتريا - اول فرع </t>
  </si>
  <si>
    <t>يبي يتواصل مع شباتي وكرك</t>
  </si>
  <si>
    <t>شركة مقاولات يعبون من المحطة في سياراتهم تحتاج رقم السجل التجاري</t>
  </si>
  <si>
    <t>استفسار حالة الطلب</t>
  </si>
  <si>
    <t>ناجي العتيبي</t>
  </si>
  <si>
    <r>
      <rPr>
        <rFont val="Calibri"/>
        <b/>
        <color rgb="FF131825"/>
        <sz val="9.0"/>
      </rPr>
      <t>لا يوجد مكبرات صوت بالمسجد او عطلانه</t>
    </r>
    <r>
      <rPr>
        <rFont val="Calibri"/>
        <b/>
        <color rgb="FFFF9900"/>
        <sz val="9.0"/>
      </rPr>
      <t xml:space="preserve">-تم التواصل والتوضيح للعميل ممنوع من البلدية </t>
    </r>
  </si>
  <si>
    <t xml:space="preserve">تم اقفال مكبر الصوت من البلدية 
لا يوجد عطل في جهاز مكبرات الصوت </t>
  </si>
  <si>
    <t>مكبرات الصوت</t>
  </si>
  <si>
    <t>2026-06-18 03:42:18 AM UTC+03:00 - لم يتم الرد</t>
  </si>
  <si>
    <r>
      <rPr>
        <rFont val="Calibri"/>
        <b/>
        <color rgb="FF131825"/>
        <sz val="9.0"/>
      </rPr>
      <t xml:space="preserve">وصف الاستثمار (أرض أم محطة): ارض المساحة: 13 الف متر مربع الموقع: على مخرج الطريق السريع القصيم الرياض في محافظة المجمعة:
</t>
    </r>
    <r>
      <rPr>
        <rFont val="Calibri"/>
        <b/>
        <color rgb="FF1155CC"/>
        <sz val="9.0"/>
        <u/>
      </rPr>
      <t>https://maps.app.goo.gl/cetEfLXeg1bTpmqK9?g_st=ic</t>
    </r>
    <r>
      <rPr>
        <rFont val="Calibri"/>
        <b/>
        <color rgb="FF131825"/>
        <sz val="9.0"/>
      </rPr>
      <t xml:space="preserve"> لها رخصة بناء محطة: نعم نوع الملكية: ايجار 20 سنة قابل للتجديد</t>
    </r>
  </si>
  <si>
    <t xml:space="preserve">العنود </t>
  </si>
  <si>
    <t>السلام عليكم  من الشركة الوطنية للاسكان لنا رغبة بخدمة الشريحة الذكية لسيارات الشركة للبنزين و الديزل اذا متوفره الخدمه لديكم - لم يتم الرد لتزويدها برقم المسؤول</t>
  </si>
  <si>
    <t>طلب غير مكتمل لم يتم الرد</t>
  </si>
  <si>
    <r>
      <rPr>
        <rFont val="Calibri"/>
        <b/>
        <color rgb="FF131825"/>
        <sz val="9.0"/>
      </rPr>
      <t xml:space="preserve">يوم الاثنين 14/6/2026 الساعه 1:34 م طلبت العامل يعبي ب50 شبكة  اخضر 91 ومشيت نص الخط الا العداد مارتفع بالعادة 50 تفرق معاي ورجعت للمحطه وراجعو الكاميرات يقولك المشرف العامل عبى ولازلت اشك انه ماعبى بالمبلغ كامل وابغى اتاكد السيارة يارس رصاصي اللوحة 8087 </t>
    </r>
    <r>
      <rPr>
        <rFont val="Calibri"/>
        <b/>
        <color rgb="FFFF9900"/>
        <sz val="9.0"/>
      </rPr>
      <t xml:space="preserve">  -تم التواصل والاعتذار والافادة بالمرور لتعبئة بمبلغ 50 ريال</t>
    </r>
  </si>
  <si>
    <t>محمد صلاح</t>
  </si>
  <si>
    <t>شركة خددمات بيئية</t>
  </si>
  <si>
    <t>محمد حماد الزهراني</t>
  </si>
  <si>
    <t>🛑عرض 🛑 ارض عليها تصريح محطة في شرق الرياض مساحتها   ٣٧٢٠ ثلاث شوارع ٦٠ جنوبي ٤٠غربي ١٥شمالى فئة ( ب) تعتبر اعلى فئة داخل المدن قابله للبيع وللإيجار ‏
مع المالك شخصياً 
‏https://maps.app.goo.gl/UGU6agLAApJdLz928?g_st=iwb
ايجار لا تتجاوز المده ١٥ سنه 
السنه الواحده ب مليون وخمس ميه
البيع ٦٥٠٠ وم راح نختلف مع الصامل
من ضمن التصريح ١٣ مرفق منها ٣ درايف ثرو</t>
  </si>
  <si>
    <t xml:space="preserve">عبيت ب50 والعامل رفض ال500 الي معي والله ما معي غيرها رحت البقاله ادور صرف مافي وش اسوي </t>
  </si>
  <si>
    <t>العامل مزاجي واقف عند مضخه عشان يعبي  - شفروليه - رصاصي د ر ر - 2026-06-18 01:57:30 PM UTC+03:00  - بييرسل التفاصيل واتس اب</t>
  </si>
  <si>
    <t>احمد شحاط</t>
  </si>
  <si>
    <r>
      <rPr>
        <rFont val="Calibri"/>
        <b/>
        <color rgb="FF131825"/>
        <sz val="9.0"/>
      </rPr>
      <t>يوم الخميس الساعه 14:47 م بمبلغ 25 والعداد بددا ب10 على طول وانا بالعاده لمن اعبي 25 يفرق الحين يادوبك ارتفع ارغب بالتاكد من التعبئة وحاليا بالمحطه ابي مسؤول قبل ادق ع الشرطه</t>
    </r>
    <r>
      <rPr>
        <rFont val="Calibri"/>
        <b/>
        <color rgb="FFFF9900"/>
        <sz val="9.0"/>
      </rPr>
      <t xml:space="preserve"> - تم التواصل بعد الخدمة العميل يفيد ان العداد 10 وبدا على طول يحسب 11 انا فاهم الموضووع ولكن الله يعوضني خير انا مشيتها ولكن غيري ماراح يمشيها </t>
    </r>
  </si>
  <si>
    <t xml:space="preserve">شركة الاسواق الحره - حي الفضيلة </t>
  </si>
  <si>
    <t>عبدالرحمن السبيعي</t>
  </si>
  <si>
    <t>بخت - 3 فرع - درايف ثرو</t>
  </si>
  <si>
    <t xml:space="preserve">تركي الهلال </t>
  </si>
  <si>
    <r>
      <rPr>
        <rFont val="Calibri"/>
        <b/>
        <color rgb="FF131825"/>
        <sz val="9.0"/>
      </rPr>
      <t xml:space="preserve">المحطة زحمة ومافيها تنظيم اول مره اجي المحطة  يوم الخميس 6-18 الساعة 4:50 م  - </t>
    </r>
    <r>
      <rPr>
        <rFont val="Calibri"/>
        <b/>
        <color rgb="FFFF6D01"/>
        <sz val="9.0"/>
      </rPr>
      <t xml:space="preserve">تم التواصل والاعتذار وزيارته القادمة افضل </t>
    </r>
  </si>
  <si>
    <t>تطبيق koo  - لم يتم الرد</t>
  </si>
  <si>
    <t>قاسم مصباحي</t>
  </si>
  <si>
    <t>البغدادية في تلاعب في العداد  2026-06-19 08:57:41 AM UTC+03:00 - اكثر من مره اعبي و في فرق في التعبه عبيت 120 ولا اكتمل ناقص حوالي 30 - هايس ابيض (ا ن م - 5106)</t>
  </si>
  <si>
    <t xml:space="preserve">2026-06-19 11:25:20 AM UTC+03:00- افادت ما اتصلت ولا اعرف هذا الرقم </t>
  </si>
  <si>
    <t>الاسم: سالم
المدينة: الرياض
المحطة:
التاريخ: 15 يونيو 2026
الوقت:
شكوى/اقتراح: ارغب في التواصل مع ادارة التشغيل لديكم للضرورة ، رقم جوالي :
0551705575</t>
  </si>
  <si>
    <t>2026-06-19 04:40:01 PM UTC+03:00 - لم يتم الرد</t>
  </si>
  <si>
    <t>2026-06-19 06:00:10 PM UTC+03:00 - مغلق</t>
  </si>
  <si>
    <t>عبدالله الصاعدي</t>
  </si>
  <si>
    <r>
      <rPr>
        <rFont val="Calibri"/>
        <b/>
        <color rgb="FF131825"/>
        <sz val="9.0"/>
      </rPr>
      <t xml:space="preserve">2026-06-20 00:24:29 AM UTC+03:00 جيت المحطة سيارتي موقفه قدام المحطة قلت للعامل ابا بنزين ولو ب5 ريال ساعدني جلست احاول فيه يعبيلي شوية بس اجيب سيارتي واعبيها هيا طافيه قال شوف هذا الرقم دق اذا هوا وافق انا اعبي لك وانتم ماتردو جلست اتصل اتصل واحاول فيه يساعدني ولا وافق في النهايه رحت رفيت السياره لين جيت المحطة شوفو الكاميرات سيارتي نوفا تفاحي يعني هوا لابس سديري برتقالي المفروض يكون افهم من البقيه ويساعدني مو اتصل عليكم  - العميل افاد ان العمال ما اقترحو عليه بوجود جركل مخصص او اي شي من ذلك  - </t>
    </r>
    <r>
      <rPr>
        <rFont val="Calibri"/>
        <b/>
        <color rgb="FFFF6D01"/>
        <sz val="9.0"/>
      </rPr>
      <t xml:space="preserve">تم الاعتذار والتوضيح انه يوجد جركل وسيتم اتخاذ اجراء مع العامل </t>
    </r>
  </si>
  <si>
    <t>تم متابعة الشكوى مع مدير المحطة للتأكيد على العاملين بضرورة إرشاد العملاء للحلول المتاحة مثل توفير الجركل المخصص وتقديم المساعدة اللازمة بما يضمن سرعة وجودة الخدمة</t>
  </si>
  <si>
    <t>عابد عبدالله القرشي</t>
  </si>
  <si>
    <r>
      <rPr>
        <rFont val="Calibri"/>
        <b/>
        <color rgb="FF131825"/>
        <sz val="9.0"/>
      </rPr>
      <t xml:space="preserve">دخلت اتوضيت شفت حذيان عندالباب ومقفل المصلى كلمت العمال قالو دق الباب رحت دقيت الباب فتح لي الباب عامل دخلت اصلي دوبي بديت الصلاه طفى المكيف كملت صلاتي وخلصت رحت لعنده قلت ليه تطفي المكيف ونا اصلي؟  قال بمعنى كلامو انه طفاه على حسب نظام الشركة قلت يعني الشركة تقول تطفي على الناس المكيف وانت تفتحه وقت كنت نايم ومقفل الباب قام يقول يلا روح انت تبا تشتكي اشتكي العامل مرا استفزتني حركته واسلوبه انا بتابع المشكلة هذي ابا اجراء ضده   - 2026-06-20 08:34:00 AM UTC+03:00 -  درب حي الخضراء بجوار مسجد العريفي 20\6\2026 تقريبا من الثامنه والربع إلى الثامنه والنصف  </t>
    </r>
    <r>
      <rPr>
        <rFont val="Calibri"/>
        <b/>
        <color rgb="FFFF9900"/>
        <sz val="9.0"/>
      </rPr>
      <t xml:space="preserve">- المحطة لا تستخدم كاش ان سيتم - تم التواصل وافدنا بحالة المحطة وانه تم لفت نظر العامل وافاد راح اتابع الموضوع </t>
    </r>
  </si>
  <si>
    <t>2026-06-20 11:41:56 AM UTC+03:00 - مغلق</t>
  </si>
  <si>
    <t xml:space="preserve">استفسار عن عرض صبيا ما حصلت اللوكيشن وراح محطة ثانية </t>
  </si>
  <si>
    <t xml:space="preserve">جيت ابي اعبي وفي بنزين قلت له عبي فل قال ادفع 250 ونا اعبي لك قلت له الفل حقي 100 وشي ليه ادفع لك 250 قال مارح اعبي ومشيت صراحة عبيت من محطة ثانية   2026-06-20 08:59:09 PM UTC+03:00   لاندر كروزر 2015 -  ح ن ك  1155 </t>
  </si>
  <si>
    <t xml:space="preserve">مرعي عسيري
</t>
  </si>
  <si>
    <r>
      <rPr>
        <rFont val="Calibri"/>
        <b/>
        <color rgb="FF131825"/>
        <sz val="9.0"/>
      </rPr>
      <t>شغل العمال بطيى جدا ٣ سيارات ينتظر كل سياره تعبي حتى تنتهي ثم ينتقل للاخرا ثم بعد ذالك يقوم بترتيب الليات كانه انتهى من عمله تماما لماذا هاذا التاخير ؟؟ لماذا عمل العمال ببطى تام ولا هامه اي شي بتاتا؟؟ هناك من هو مسافر وهناك من لدية عمل عاجل وهناك من لدية مواعيد هاذا غير صحيح الانتطار المفرط دون اي مبالاة لربما الانتظار في محطة اخرى مزدحمة قد ينجوزونا في اقل من ربع مدة الانتظار في محطة درب بمحايل عسير في الصناعية القديمة علما بانها ليست اول تجربة انما في كل زيارتي اواجة نفس المشكلة لذالك قد يتوجب علي تجنب محطة درب وتزويد بالوقود من محطة اخرى - 17:10:09 Saturday, June 20, 2026 - النترا ابيض - 6414 تقريبا - المسار الداخلي - دائما  البطئ -</t>
    </r>
    <r>
      <rPr>
        <rFont val="Calibri"/>
        <b/>
        <color rgb="FFFF6D01"/>
        <sz val="9.0"/>
      </rPr>
      <t xml:space="preserve"> تم التواصل والاعتذار وسيتم تصعيدها لتحسين سرعة الخدمة </t>
    </r>
  </si>
  <si>
    <t>تمت متابعة الملاحظة مع مدير المحطة والتأكيد على تنظيم سير العمل، وسرعة خدمة العملاء</t>
  </si>
  <si>
    <t xml:space="preserve">تاخر العامل عن التعبيئه واخلاقه سيئه جدا مع ان مافي زحام لكن العامل يتعمد التاخير -  18:04:17 Tuesday, June 16, 2026 </t>
  </si>
  <si>
    <t>تم ابلاغ مدير المحطة والتأكيد على تنظيم سير العمل، وسرعة خدمة العملاء</t>
  </si>
  <si>
    <t xml:space="preserve"> بندر حامد محمد</t>
  </si>
  <si>
    <t xml:space="preserve">        تاخير العامل تعامل سيا عامل واحد شغال على المحطه فيها ااكثر من سياره مجرد تاخير وقت وما يعبي الا في جنب واحد 18:04:22 Tuesday, June 16, 2026</t>
  </si>
  <si>
    <t>تمت متابعة الملاحظة مع مديرالمنطقه والتأكيد على زيادة كفاءة التشغيل، وسرعة خدمة العملاء، وحسن التعامل لتفادي تكرار مثل هذه الملاحظات</t>
  </si>
  <si>
    <t>شاهر القارحي</t>
  </si>
  <si>
    <t>مايبي يدفع مبلغ التامين للجركل</t>
  </si>
  <si>
    <t>Abdullah Asiri</t>
  </si>
  <si>
    <t>بطىء وتأخير غير مبرر و سوى تعامل من عمال المحطة نتمنا تحسياً ذالك و شكراً. 17:25:14 Saturday, June 20, 2026</t>
  </si>
  <si>
    <t>تم مناقشتها مع مدير المنطقه  لتوجيه العاملين بضرورة تحسين مستوى الخدمة، وتقليل وقت الانتظار</t>
  </si>
  <si>
    <t>JA272</t>
  </si>
  <si>
    <t>الموظف غير متمكن 17:56:28 Saturday, June 20, 2026</t>
  </si>
  <si>
    <t>حمزة احمد القرشي</t>
  </si>
  <si>
    <t xml:space="preserve">ساحة درب - كشك - اول فرع </t>
  </si>
  <si>
    <t xml:space="preserve">شركة حج </t>
  </si>
  <si>
    <t xml:space="preserve">يرغب في شرائح </t>
  </si>
  <si>
    <r>
      <rPr>
        <rFont val="Calibri"/>
        <b/>
        <color rgb="FF131825"/>
        <sz val="9.0"/>
      </rPr>
      <t xml:space="preserve">واقف العامل رفض يعبي يقول افتح الشباك انا قد طفيت السياره وش دخله هافال اسود - ( د ن ك - 7501) -للان واقف رافض يعبي لي ومافي مشرف ووراي دوام عجلو - </t>
    </r>
    <r>
      <rPr>
        <rFont val="Calibri"/>
        <b/>
        <color rgb="FFFF6D01"/>
        <sz val="9.0"/>
      </rPr>
      <t>تم التواصل وتطيب خاطر العميل</t>
    </r>
  </si>
  <si>
    <t>ايمان</t>
  </si>
  <si>
    <t>دورات المياة النسائية تحتاج صيانة و وضع مصلى بشكل جيد - 20:39:37 Saturday, June 20, 2026</t>
  </si>
  <si>
    <t>الفني المنفذ:Mahmoud Ibrahim
تاريخ الإنجاز:22 يونيو 2026 - 19:03</t>
  </si>
  <si>
    <t xml:space="preserve">Makkah
</t>
  </si>
  <si>
    <t>وش ذا حمام المعفن هذا زريبه مو حمام  15:20:36 Friday, June 19, 2026</t>
  </si>
  <si>
    <t xml:space="preserve">ادوات النظافة وعامل النظافة
على المالك ولسيت تحت تصرف درب </t>
  </si>
  <si>
    <t>الصراحة المحطة و الحمام نظيفين بس عندي ملاحظة ريحة الحمام الله يكرمكم سيئة و البزبوز خلاط المويه خربان و شكراً - 22:28:35 Monday, June 15, 2026</t>
  </si>
  <si>
    <t>الفني المنفذ:Mahmoud Ibrahim
تاريخ الإنجاز:25 يونيو 2026 - 15:02</t>
  </si>
  <si>
    <t>استفسار عن التعبئة بمناسبة الافتتاح كم تعبئة لسياره الوحده هل فل او 50 ريال ؟</t>
  </si>
  <si>
    <t>استفسار عن حالة طلبه لاستلام الكوبون</t>
  </si>
  <si>
    <t xml:space="preserve">اي محطة فيها ديزال </t>
  </si>
  <si>
    <t>احمد السمين</t>
  </si>
  <si>
    <t>ارض للبيع الموقع: https://maps.app.goo.gl/VCSZPW4NSvK5xeNb7
لها رخصة بناء محطة: لا يوجد
 حاب اعرض ارض مناسبة تكون محطة بنزين من اقدر اتواصل معاه؟ وشكرا</t>
  </si>
  <si>
    <t xml:space="preserve">شادن </t>
  </si>
  <si>
    <t xml:space="preserve"> شركة جرس الثلج المتكاملة ..... كيف نسجل عندكم كموردين</t>
  </si>
  <si>
    <t>بنزينكم ملوث فيه مشكله خرب سيارتي</t>
  </si>
  <si>
    <t xml:space="preserve">تم الاتصال بالعميل افاد انتم نظفوا خزاناتكم وبس مابي اقدم شكوى ولا سالفه وماعنده لا فاتورة وتقارير - تمت افادته بانه مرحب في اي وقت لتزويدنا باي شكوى او اقتراح </t>
  </si>
  <si>
    <t>راشد علي</t>
  </si>
  <si>
    <t xml:space="preserve">نحن شركة الهباش للسياحة وخدمات المعتمرين - موقعنا مكة المكرمة نرغب في الاستفادة من برامجكم لتعبئة الباصات و السيارات الصغيرة ( وقود ديزل )
 ارجو منكم التكرم بتزويدنا برقم القسم المسؤول عن الخدمة للتواصل معهم و معرفة كيفية الاستفادة من خدماتكم شركة الهباش للسياحة وخدمات المعتمرين
</t>
  </si>
  <si>
    <t>علي سليمان</t>
  </si>
  <si>
    <t>المظلة فقط حابها يعرضها المحطة قيد التجديد - المالك</t>
  </si>
  <si>
    <t>اسماعيل محمد ابراهيم</t>
  </si>
  <si>
    <t>أرض على شارع عام مساحتها 33450 موقع مميز استثماري تجاري بصك سكني مباشرة على طريق جازان جده الموقع محافظة الدرب بمنطقة جازان ونفخر بدرب كونها في الدرب</t>
  </si>
  <si>
    <t>يوم السبت الساعه 9:09 م لعامل يطلب مني دفع مبلغ ٢٥٠ شبكة قبل اعبي رغم ان مبلغ التعبئه اقل ماهذا النظام ؟ إذا كان اجتهاد من العامل فمصيبه واذا من عندكم فالمصيبه اكبر</t>
  </si>
  <si>
    <t xml:space="preserve">السلام عليكم ورحمة الله وبركاته جمعة مباركة عندك محطة للاستثمار
</t>
  </si>
  <si>
    <r>
      <rPr>
        <rFont val="Calibri"/>
        <b/>
        <color rgb="FF131825"/>
        <sz val="9.0"/>
      </rPr>
      <t xml:space="preserve">العمال رفض الخدمة </t>
    </r>
    <r>
      <rPr>
        <rFont val="Calibri"/>
        <b/>
        <color rgb="FFFF9900"/>
        <sz val="9.0"/>
      </rPr>
      <t>- تم محاولة الاتصال والعميل رفض تزوديني والافادة بحل الموضوع بالمحطة</t>
    </r>
  </si>
  <si>
    <t xml:space="preserve">السلام عليكم
حضرت للتزود بالوقود من محطتكم الواقعه على طريق الملك عبدالله قبل صيدلية النهدي بمحافظة الخرج
وكان يوجد عامل واحد وطلبت منه تعبئة المركبه بالوقود ورفض بحجة ان العامل المسؤول عن المضخه التي توقفت بجانبها ليس موجوداً وهذا شيء لا اعتقد انه صحيح نظراً لاسلوبه بالتحدث معي وكان بشكل سيء جداً لابعد حد وعند مشاهدته لي وانا ادون رقم التواصل الموجود على المضخه حضر لي وقال بانه لامانع لديه من تعبئة مركبتي بالوقود واثبت بانه غير صادق حين ذكر بان المسؤول عامل اخر
المحطة والخدمات الموجودة بها شيء يجب شكركم عليه لكن ارى بان الاهتمام بتعليم الموظفين في كيفية التعامل مع الزوار هو الاهم لضمان استمرارية العملاء .
الساعه 1:50 دقيقه فجراً تقريباً
نوع السيارة تورس لون اسود-  Thursday, Jun 18th
</t>
  </si>
  <si>
    <t xml:space="preserve">كان في اشكالية بالمحطه وتم حلها </t>
  </si>
  <si>
    <t>شركة اربيكا ستار (اربيكا ستار )فوق 100 فرع
وجد لديكم محطه جديذ بحفر الباطن على طريق الملك عبدالعزيز عند اسكان الملك عبدالله ابي استاجر موقع كوفي طلبات سيارات-فرنشايز</t>
  </si>
  <si>
    <t>مترك الدوسري</t>
  </si>
  <si>
    <t>الدواسر</t>
  </si>
  <si>
    <t xml:space="preserve">لديه محطة كبيره ومجمع يبي علامة درب ملاحظة المالك كبير في العمر </t>
  </si>
  <si>
    <t>كانت بتشتكي بس سوء فهم وانحلت امورها وشكرتنا</t>
  </si>
  <si>
    <t>تغريد</t>
  </si>
  <si>
    <t xml:space="preserve">ابي الرقم الوطني الموحد للمنشأة برفع قضيه </t>
  </si>
  <si>
    <t xml:space="preserve">السجل التجاري: 7031131506
</t>
  </si>
  <si>
    <r>
      <rPr>
        <rFont val="Calibri"/>
        <b/>
        <color rgb="FF131825"/>
        <sz val="9.0"/>
      </rPr>
      <t xml:space="preserve">العامل رفض يعبي لين اجي صفه وش هذا التعامل وجيت المضخه يقولي هذي خربانه ما فيها الاحمر غير مكانك والله بطئ وسوء في الخدمة عندكم بشكل عمالكم لازم لهم حل  30 احمر  الرمبه الي ورا خربانه - ا ب ك - 1188 - هايلوكس غمارتين شبك -  شبكة 3:10م  </t>
    </r>
    <r>
      <rPr>
        <rFont val="Calibri"/>
        <b/>
        <color rgb="FFFF9900"/>
        <sz val="9.0"/>
      </rPr>
      <t>- لم يتم الرد</t>
    </r>
  </si>
  <si>
    <t>كان عندي استفسار بس خلاص</t>
  </si>
  <si>
    <t xml:space="preserve">المكيف مو شغال تم حل الاشكاليه سابقا </t>
  </si>
  <si>
    <t>عبدالله الحربي</t>
  </si>
  <si>
    <t>استفسار عن طلبه الاتصال الثالث</t>
  </si>
  <si>
    <t>استاجار محل في الحسا</t>
  </si>
  <si>
    <t>محمد الشمراني</t>
  </si>
  <si>
    <t xml:space="preserve">كشك- اول فرع </t>
  </si>
  <si>
    <t xml:space="preserve">MAZEN ALMALKI </t>
  </si>
  <si>
    <t>نعم ولكن انا شاب وحاب اسوي مشروع مغسلة سيارات فالمحطة ، وقال لي السعر 80 و 5٪ خدمات و80 قبل الضريبة</t>
  </si>
  <si>
    <t>بما يخص استفسارك سيتم رفع طلبك لادارة التأجير للتواصل معك في أقرب وقت 🙏</t>
  </si>
  <si>
    <t>Husam albiladi</t>
  </si>
  <si>
    <t xml:space="preserve">الجدار والارضيات غير نظيفة ولا يوجد صابون ومنظفات وادوات المياة ناقصة
-07:53:18 -Sunday, June 21, 2026 </t>
  </si>
  <si>
    <t xml:space="preserve">غير نظيفه وتهريب مويه في ليات الشطافات
Thursday, June 18, 2026 </t>
  </si>
  <si>
    <t>تسرب المياه</t>
  </si>
  <si>
    <t>Bushra Asiri</t>
  </si>
  <si>
    <t xml:space="preserve">الحمامات حقت المسجد سيئه قديمه دفع الماء ضعيف في المغاسل وداخل الحمام عدم توفر مناديل وصابون بس في موزع واحد والعلبه الثانيه فاضي رائحه مزعجه وسيئه الواحد يدخل ويخرج وهو خايف من انتقال الفيروسات والبكتيريا اتمنى الاهتمام بدورات المياه المحطه مكانها استراتيجي ومهم ويمر عليها الاف وملايين البشر .
23:29:31 
Thursday, June 18, 2026 </t>
  </si>
  <si>
    <t>في انتظار التجديد من الصيانة</t>
  </si>
  <si>
    <t>ام لجين</t>
  </si>
  <si>
    <t xml:space="preserve">دورات المياه غير نظيفه اتمنى وضع مشرفه للاهتمام.
19:35:37 - Thursday, June 18, 2026 </t>
  </si>
  <si>
    <t xml:space="preserve">سيتم الطرح ومناقشة الادارة بعد التجديد للموقع </t>
  </si>
  <si>
    <t xml:space="preserve">العامل اخلاقه سيئه ينافخ وسالته عن اسمه يقول اسمه مبارك اتمنى تشوفون له حل اوقف ابيه يعبي لي بيخليني انتظر لين يخلص من السياره ويحاسب بعدين اقدم للمكان الي هو يبيه ويعبي لي وهو في ثلاث شيش بنزين وديزل ليه انتظر واقوله ذا العامل الي جمبك يعبي لي يقول هو جديد مايعرف اخر شي الجديد هو الي عبى لي اتمنى تشوفون له حل
00:50:35 - Monday, June 22, 2026 </t>
  </si>
  <si>
    <t>وتم توجيه إدارة المحطة بالتحقق من الملاحظة واتخاذ اللازم والتأكيد على العاملين بحسن التعامل وتقديم الخدمة بالشكل المطلوب</t>
  </si>
  <si>
    <t xml:space="preserve">الوضع الظهر مافي الا عمل واحد بس
15:31:55  Saturday, June 20, 2026 </t>
  </si>
  <si>
    <t xml:space="preserve">محطة درب خليص لا يوجد عمال
00:10:48  Friday, June 19, 2026 </t>
  </si>
  <si>
    <t>jex64</t>
  </si>
  <si>
    <t>العامل يرفض تقديم الخدمة للعملاء و قام باغلاق تانكي البنزين دون قيامه بعمل الخدمه
الزيارة في تاريخ ١٩/٦/٢٠٢٦ ٩:٣٥</t>
  </si>
  <si>
    <t>Nasser AlSharif</t>
  </si>
  <si>
    <t>ياليت تشوفو حل مع بعض العمالة تعبئة الوقود علموهم التعامل . بسم الله ما شاء الله على الأخلاق الحلوة . شين وقوي عين وكمان على الجوال وهذا مخالف للأنظمة السلامة. اتمنى من مسوول المحطة الالتزام بوسائل السلامة .</t>
  </si>
  <si>
    <t>تم توجيه إدارة المحطة بالتحقق من الموضوع والتأكيد على العاملين بحسن التعامل والالتزام بإجراءات السلامة وعدم استخدام الجوال أثناء العمل</t>
  </si>
  <si>
    <t xml:space="preserve">qazmlp tgv
</t>
  </si>
  <si>
    <t xml:space="preserve">اتمنى اللي يزورون المحطه واصحاب المحطه ينتبهون على شخصين معاهم سيارة بلوحه امارتيه مسكوني عند المسجد يطلبون اعبي لهم بنزين ومسكوا فيا مرا وانهم مقطوعين وبطاقتهم خربانه وجوالاتهم مدري ايش فيها وبنوكهم معطله ومامعاهم الى كاش إماراتي والمحطه ماقبلته قلت لهم خلاص اعطوني الكاش وانا احاسب لكم شبكه من عندي قالوا تم نبغى نعبي بمية درهم نعطيك هيا قلت تمام ورحت للمحطه معهم عشان احاسب وتلحوس علي خلى العامل يبدأ يعبي وشغل العداد على مية وقلت له هات الفلوس اللي معاك قام طلع 1000 درهم يقول معليش مامعاي صرف، وخليت العامل يوقف التعبيه على طول قيد عبوا بفوق العشره ريال حاولوا ادفع يحلفون نحولك بعدين نحولك مارضيت ومشيوا وحاسبت العامل على التعبيه، واسأل العامل عنهم قال هذول كل يومين الى اسبوع يجون يسوون نفس الحركه كانو شخصين لبسهم اماراتي ولهجتهم اماراتيه ماتشك فيهم، قلت للعامل كان نبهتني من قبل طيب، على العموم وجب التحذير واتمنى لو اصحاب المحطه لهم صلاحية يتخذون موقف في هاذي الحالة منهم دام وضعهم متكرر في نفس المحطه وواضح انهم نصابين
الأحد، 21 يونيو 2026 في 06:17 ص
</t>
  </si>
  <si>
    <t>ابو راكان</t>
  </si>
  <si>
    <t xml:space="preserve">محطة جيدة جدًا فيها اغلب الخدمات اتمنى منهم توفير مصلى يخدم الطريق والله يبارك لهم الخميس، 18 يونيو 2026 في 04:56 م
</t>
  </si>
  <si>
    <t xml:space="preserve">Eng A.aziz
</t>
  </si>
  <si>
    <t xml:space="preserve">اذا لاعبين بالعداد .. حقي اخذه منكم يوم القيامة
</t>
  </si>
  <si>
    <t>امس رسلت توقعي صح في الخاص وماحد رد علي</t>
  </si>
  <si>
    <t>محمد نصر</t>
  </si>
  <si>
    <t>كلادينق للمحطات - شركة مصنع الطحيان</t>
  </si>
  <si>
    <t>موسى ابو القاسم</t>
  </si>
  <si>
    <t>المحطة: الرصيفة التاريخ:7-1-1448 الوقت: 1:21 شكوى/اقتراح:
عبيت بنزين وجيت احاسب بالعملة الدينار ولا يوجد لدي اموال سوى العمله الدينار - 2026-06-22 01:12:05 AM UTC+03:00</t>
  </si>
  <si>
    <t xml:space="preserve">يبي يدفع بعمله ثانية تمت افادته الافضل تتعامل بالعملة السعودية </t>
  </si>
  <si>
    <t xml:space="preserve">عبدالله العنزي </t>
  </si>
  <si>
    <t>3 فروع - بنشر</t>
  </si>
  <si>
    <t>عبدالله ناصر الشهري</t>
  </si>
  <si>
    <t>كشك  - بارنيز</t>
  </si>
  <si>
    <t xml:space="preserve">محافظة المويه  3000 م والقائم 1500م  - التواصل واتس </t>
  </si>
  <si>
    <t>اياد صلاح</t>
  </si>
  <si>
    <t>مغسلة  - اول فرع - الامير فواز</t>
  </si>
  <si>
    <t>عبدالله الجابري</t>
  </si>
  <si>
    <t>شركة ولاء للتامين</t>
  </si>
  <si>
    <t>عفاف المطيري</t>
  </si>
  <si>
    <t xml:space="preserve">المالكة - محطة - المجمعة </t>
  </si>
  <si>
    <t>حمود الشمري</t>
  </si>
  <si>
    <t xml:space="preserve">سهم المملكة - عندي جمهور ومشاهير والدريس من عملائي </t>
  </si>
  <si>
    <t>استفسار عن عرض حفرالباطن</t>
  </si>
  <si>
    <t>حمود المطيري</t>
  </si>
  <si>
    <t>محطة قديمة ويرغب في تشغيلها  عرضناها على الدريس لكن ما ناسب المالك مرا عرضهم - مسوق من  الجنة العقاريه في المجمعة ابي التواصل بشكل عاجل</t>
  </si>
  <si>
    <t>امين محمد</t>
  </si>
  <si>
    <t xml:space="preserve">مستودع -  ابي استأجرة </t>
  </si>
  <si>
    <t>هادي عسيري</t>
  </si>
  <si>
    <t xml:space="preserve">يوم الاثنين الساعه 4:20 م المسار اللي انا فيه فاضي والعمالة من المسارين مايبون يجون يخدموني يسوولفون ولمن كلمته اني بدق قال اشتكى الصراحه عمالة ماتليق بدرب </t>
  </si>
  <si>
    <t>تم توجيه إدارة المحطة بالتحقق من الملاحظة واتخاذ اللازم، مع التأكيد على العاملين بسرعة خدمة العملاء وحسن التعامل</t>
  </si>
  <si>
    <t xml:space="preserve">ريم </t>
  </si>
  <si>
    <t xml:space="preserve">سوبر ماركت لا يوجد فروع </t>
  </si>
  <si>
    <t>مصطفى فهمي زين</t>
  </si>
  <si>
    <t>Station: درب فرع الفلاح Date:2026/6/23 Time: 12.21 Complaint\Suggestions:مدير المحطة رفض يعبي لي الكبون بي 100 ريال مع أني وريته الرسالة و الإثبات الخاص فيني</t>
  </si>
  <si>
    <t>حياك الله أستاذ مصطفى
تم التحقق واتضح ان بيانات المركبة لاتتطابق مع البيانات الموجودة لدى مدير المحطة لذلك نأمل منك استلام الكوبون بنفس المركبة التي تم تسجيل بياناتها مسبقًا
في حال الرغبة في تعديل البيانات الرجاء التواصل معنا
تنورنا 🧡</t>
  </si>
  <si>
    <t xml:space="preserve"> مطيع بن عبادي</t>
  </si>
  <si>
    <t>الاستفسار: انا مندوب مبيعات في مؤسسه إبره و تطريز للزي الموحد
و حابب اتعامل معاكم في مجال زي الموظفين
ممكن اعرف كيف استطيع التواصل مع احد المسؤولين في قسم المشتريات تبعكم</t>
  </si>
  <si>
    <t>السلام عليكم عندكم في السوبر ماركت حقكم فلفل شقرا ؟ وبكم - لم يتم الرد</t>
  </si>
  <si>
    <t xml:space="preserve">كِنوان </t>
  </si>
  <si>
    <t>أنا من شركة سفينة للمقاولات. نرغب في بناء شراكة مع شركة درب كمورد معتمد لقديم مختلف خدمات المقاولات والصيانة والإنشاءات في جميع مناطق المملكة العربية السعودية.
نأمل إتاحة فرصة للتعاون، ونود الاستفسار عما إذا كان بالإمكان تحديد موعد لزيارة مكتبكم ومناقشة فرص الشراكة.
شاكرين لكم وقتكم، ونتطلع إلى تواصلكم</t>
  </si>
  <si>
    <t>فواد الغامدي</t>
  </si>
  <si>
    <t>الاستفسار هو. هل عندكم بطايق زي الادريس</t>
  </si>
  <si>
    <t xml:space="preserve">جركل بتامين </t>
  </si>
  <si>
    <t>احمد يحيى</t>
  </si>
  <si>
    <r>
      <rPr>
        <rFont val="Calibri"/>
        <b/>
        <color rgb="FF131825"/>
        <sz val="9.0"/>
      </rPr>
      <t xml:space="preserve">الموظف غير متعاون وغير محترم خلصت اعبي دفعت بالبطاقه جا يرمي الشاشه على وجهي يقول دخل الباسورد قلت له دخله 1**3 قال لا انت دخل قلت له ياراجال يدي معدومه جالس افطر والساندوتش مفتوح في السيارة قام يقول انت مو محترم دخل باسورد انت لا تتحرك واتجادلنا حول دقيقتين بعد ما دفعت قالي روح انقلع قلت له طيب هات الايصال قال مافي ايصال روح يعني اسلوبه سيء جدا -الساعه 9:00ص - مبلغ 39 ريال شبكة المنتح احمر - مضخة 01b -السيارة اسود gmc - ( 8112 - د ب ع )  - </t>
    </r>
    <r>
      <rPr>
        <rFont val="Calibri"/>
        <b/>
        <color rgb="FFFF6D01"/>
        <sz val="9.0"/>
      </rPr>
      <t xml:space="preserve"> تم التواصل وافاد هذي المحطة فادتنا بس العمال فيها مستفزين تمت افادته انه سيتم اتخاذ اجراء جذري عليها وسيتم تحسين الخدمة</t>
    </r>
  </si>
  <si>
    <t>تم ابلاغ مدير المنطقة بجيزان  لاتخاذ الإجراءات اللازمة بحق المخالف مع التأكيد على تحسين مستوى الخدمة والالتزام بحسن التعامل مع جميع العملاء</t>
  </si>
  <si>
    <t>عبدالله الشليبي</t>
  </si>
  <si>
    <t xml:space="preserve"> شكوى وزارة الطاقة: تواصل الشريك بخصوص يوجد بعض من مضخات الوقود لا تعمل في المحطة لجميع انواع المنتجات البترولية  حيث اثناء التوقف يطلب الموظف تغيير موقع المركبة وغيرت الموقع ومره ثاني يفيد انها لا تعمل - تم التواصل لابلاغ العميل باستقبال الشكوى واخذ تفاصيل الوقت والتاريخ ونوع السيارة وافاد العميل :هافل اسود 22.21/6/2026 قبل المغرب كانت اول زيارة لي واخر زيادة تجربة سيئة ولا ارغب بالتواصل بعد حل الاشكالية 
</t>
  </si>
  <si>
    <t>تم اصلاح الطرمبات 25/5/2026</t>
  </si>
  <si>
    <t xml:space="preserve">بحر المجاهدين - العمال الي فيها يحطو الاقماع ويقولو مافي بنزين - مرات تغيير ورديات -  https://maps.app.goo.gl/WExigegt1Pu5tg9P8?g_st=ic موقع المحطه - تم الاعتذار من العميل </t>
  </si>
  <si>
    <t>المحطة غير واضحة</t>
  </si>
  <si>
    <t>اياد فلمبان</t>
  </si>
  <si>
    <t>عبيت والادمي الي عبيت عندو قلت له التانكي فيه هوا وعصب عليا  -  10:00ص - 100 ريال شبكة - اخضر - المسار على الشارع - الادمي يعرف بس يستهبل عليا - شفورلي 2009 تاهو ذهبي (أ ه ن ) - سترة برتقاليه ما سوا شي -  افاد لا ترفعو الشكوى وبحذف تعليقي في قوقل ماب</t>
  </si>
  <si>
    <t>بندر القحطاني</t>
  </si>
  <si>
    <t xml:space="preserve">وصلني خبر انكم تبحثون عن مساحات على طريق الرياض عندي ارض عليها رخصة - 10600م  تبعد من الرياض 240كيلو </t>
  </si>
  <si>
    <t>Rory</t>
  </si>
  <si>
    <t xml:space="preserve">السلام عليكم, اقتراح افتتاح فرع لـ ماكي هاوس أو أي مطعم سوشي داخل محطة درب النورية لان المنطقة تفتقر لخيارات السوشي ويوجد اقبال جيد عليها وجود مطعم سوشي بالمحطة راح يكون إضافة مميزة ويخدم شريحة كبيرة من الزوار شكرا لكم </t>
  </si>
  <si>
    <t>مصلت العتيبي</t>
  </si>
  <si>
    <t xml:space="preserve">محطة 23 الف م - المالك قائمة </t>
  </si>
  <si>
    <t>خالد الشيخي</t>
  </si>
  <si>
    <t xml:space="preserve">عبى لي ب25 ريال اخضر بدال احمر  - فورد 2008 - رمادي (ا ر م - 9101)  -  انا راح اسوي تصيفه مارح انتظر مشكلة تصير وراح يتحمل العامل التكلفه لانه يقول امشي اذا صار شي ارجع ونا رافض هذا الشي - تم التواصل والاعتذار وقال اذا صار شي في المكينة راح ابلغكم تم طمئنته بان بياناته لدينا وحياه اي وقت </t>
  </si>
  <si>
    <t xml:space="preserve">محمد صالح القرشي </t>
  </si>
  <si>
    <t xml:space="preserve">عامل اسمه ابراهيم بنقالي - جيت اعبي يقول دوامي بيخلص بعد10د ومشيت الساعه 11:28 - 23/6 - تم التواصل والاعتذار </t>
  </si>
  <si>
    <r>
      <rPr>
        <rFont val="Calibri"/>
        <b/>
        <color rgb="FF131825"/>
        <sz val="9.0"/>
      </rPr>
      <t>يكلم بالجوال وحر  الله يخلي له اهله بس معليش نبهوه -  المسار الخارجي اول مضخة - ب ي ق - 1614) احمر لكزس 460  - الفاتورة 152 - شبكة 2:17م  - 6\23 -</t>
    </r>
    <r>
      <rPr>
        <rFont val="Calibri"/>
        <b/>
        <color rgb="FFFF6D01"/>
        <sz val="9.0"/>
      </rPr>
      <t xml:space="preserve"> تم التواصل والاعتذار وشكرنا وراح يمر المحطة في حال ما اللتزمو برجع اكلمكم </t>
    </r>
  </si>
  <si>
    <t>اضياء سعد الشمري</t>
  </si>
  <si>
    <t xml:space="preserve">المالك - محطة </t>
  </si>
  <si>
    <t>إياد فلمبان</t>
  </si>
  <si>
    <t xml:space="preserve">العمال في محطة درب سيئين التعامل في محطة
Tuesday, June 23, 2026 -09:51:58 </t>
  </si>
  <si>
    <t>تم توجيه إدارة المحطة بالتحقق من الملاحظة واتخاذ اللازم والتأكيد على العاملين بحسن التعامل وتقديم الخدمة بالشكل المطلوب</t>
  </si>
  <si>
    <t>مبارك</t>
  </si>
  <si>
    <t>خدمات متكاملة ويفرو كاميرات واجهزة  - 0540793218</t>
  </si>
  <si>
    <t>سمير عافا سليمان</t>
  </si>
  <si>
    <t>خدمات - عمالة</t>
  </si>
  <si>
    <t>شركة خدمات بترولية  يرغب في التعاون</t>
  </si>
  <si>
    <t xml:space="preserve">تمت افادته بالارسال عبر الايميل </t>
  </si>
  <si>
    <t>احمد المقبل</t>
  </si>
  <si>
    <t>ارض المساحة: 3500 الموقع:القصيم لها رخصة بناء محطة: يوجد رخصة بناء تفاصيل استفسارك: اريد الاستثمر و البناء الموقع</t>
  </si>
  <si>
    <t>استفسار عن خدمات السيارات</t>
  </si>
  <si>
    <t>محمد طامي الشمراني</t>
  </si>
  <si>
    <t>كافي كشك - اسم العلامة التجارية  يصرح اذا تمت الموافقه - فرع  1 - لديه طلب سابق</t>
  </si>
  <si>
    <t xml:space="preserve"> متعب مقبول العتيبي</t>
  </si>
  <si>
    <r>
      <rPr>
        <rFont val="Calibri"/>
        <b/>
        <color rgb="FF131825"/>
        <sz val="9.0"/>
      </rPr>
      <t xml:space="preserve">المحطة:بير الغنم التاريخ:2026/6/24 الوقت: 7:40 شكوى/اقتراح:عامل عيا يعبي بنزيم بي سبب بوري ر ط س 7501
جلي امجراند /اللون رمادي </t>
    </r>
    <r>
      <rPr>
        <rFont val="Calibri"/>
        <b/>
        <color rgb="FFFF9900"/>
        <sz val="9.0"/>
      </rPr>
      <t>- تم الاعتذار من العميل وسيتم اتخاذ اجراء تاديبي</t>
    </r>
  </si>
  <si>
    <t xml:space="preserve">محمد فراس </t>
  </si>
  <si>
    <r>
      <rPr>
        <rFont val="Calibri"/>
        <b/>
        <color rgb="FF131825"/>
        <sz val="9.0"/>
      </rPr>
      <t xml:space="preserve">كودو مقفل الشارع علينا </t>
    </r>
    <r>
      <rPr>
        <rFont val="Calibri"/>
        <b/>
        <color rgb="FF1155CC"/>
        <sz val="9.0"/>
        <u/>
      </rPr>
      <t>https://maps.app.goo.gl/sQMLaPKPHLFrswHF7?g_st=aw</t>
    </r>
  </si>
  <si>
    <t xml:space="preserve">تم ارسال ايميل لادارة العقار </t>
  </si>
  <si>
    <t xml:space="preserve">استفسار عن حالة طلبه </t>
  </si>
  <si>
    <t>ون ملي one milli</t>
  </si>
  <si>
    <t>انا عندي مؤسسة مقاولات
نقوم بتنفيذ الكلادينج والاحرف للوحات والمرفقات والستيكرات باسعار مميزة حسب المواصفات المطلوبة وبضمانا</t>
  </si>
  <si>
    <t>فهد احمد الطويرقي</t>
  </si>
  <si>
    <t>وصف الاستثمار (أرض أم محطة):ارض بصك الكتروني كانت محطه قديمه لا نها افضل موقع . المساحة: 79000م٢ /300معلي الريق المزدوج مكه / الليث</t>
  </si>
  <si>
    <t>عامر العتيبي</t>
  </si>
  <si>
    <r>
      <rPr>
        <rFont val="Calibri"/>
        <b/>
        <color rgb="FF131825"/>
        <sz val="9.0"/>
      </rPr>
      <t xml:space="preserve">المحطة: 7290، أبو العاص بن الربيع، حي بطحاء قريش، MDQA3315، 3315، مكة التاريخ: 24/06/2026 الوقت: 4:40 مساءً الشكوى/الاقتراح:
حضرت إلى المحطة المذكورة الساعة 4:40 مساءً بهدف تعبئة الوقود، إلا أن العامل عبدالله مومن رفض تعبئة البنزين دون توضيح سبب واضح، رغم توفر الوقود وعدم وجود أي عطل أو خلل في مضخات البنزين. وقد تسبب هذا الموقف في تعطيل خدمتي وإزعاجي كعميل. أرجو التحقق من الواقعة واتخاذ الإجراء المناسب حيالها، والعمل على ضمان تقديم الخدمة للعملاء بالشكل المطلوب ومنع تكرار مثل هذه المواقف مستقبلاً. مع خالص الشكر والتقدير -يظهر الفديو افهام العميل ان المضخه لاتعمل وان الاتوميشن متوقف مؤقتا - </t>
    </r>
    <r>
      <rPr>
        <rFont val="Calibri"/>
        <b/>
        <color rgb="FFFF6D01"/>
        <sz val="9.0"/>
      </rPr>
      <t xml:space="preserve"> الهاتف مغلق</t>
    </r>
  </si>
  <si>
    <t xml:space="preserve">طلب استفسار غير مكتمل  - تم االتواصل افادت راح اتواصل معك </t>
  </si>
  <si>
    <t>طلب تاجير غير مكتمل ورقم غير سعودي</t>
  </si>
  <si>
    <t>طلب تاجير غير مكتمل  -لم يتم الرد</t>
  </si>
  <si>
    <t>Majed al anaizi</t>
  </si>
  <si>
    <t>Drive thru coffee - Blackberry - 2 - Hafr al batine</t>
  </si>
  <si>
    <t>رهف</t>
  </si>
  <si>
    <t xml:space="preserve"> نمذجة للاستشارات البيئية</t>
  </si>
  <si>
    <t>ابو خالد</t>
  </si>
  <si>
    <t xml:space="preserve">
عمال سيئين جدا ويتأخرون في الخدمه والاخلاق سيئه ولا يتم التعبئه الا بعد انتظار فتره
الرجاء من الاداره الاهتمام والتطوير تقبلو تحياتيالأربعاء، 24 يونيو 2026 في 09:15 ص
</t>
  </si>
  <si>
    <t>تم توجيه إدارة المحطة بمتابعة الملاحظة والتأكيد على العاملين بسرعة تقديم الخدمة وحسن التعامل مع العملاء</t>
  </si>
  <si>
    <t>عبدالمحسن فلاتة</t>
  </si>
  <si>
    <t xml:space="preserve">
خدمة سيئه جدا تعامل الموظف كانها يعبي لي بلاش +
أتمنى من الادارة تتواصل معي لغرض الضروره شكر لكم .الثلاثاء، 23 يونيو 2026 في 06:15 م
</t>
  </si>
  <si>
    <t>تم إحالة الملاحظة لمدير المحطة والتحقيق في الواقعة، مع التأكيد على العاملين بضرورة الالتزام بحسن التعامل، وسيتم اتخاذ الإجراءات اللازمة لضمان عدم تكراره</t>
  </si>
  <si>
    <t>Ghazi</t>
  </si>
  <si>
    <t xml:space="preserve">عمال غير محترمين ومايعرفون يشتغلون
</t>
  </si>
  <si>
    <t>ازدهار</t>
  </si>
  <si>
    <t>عرض ارض بمساحة 1000م - لايوجد رخصة - المالكة</t>
  </si>
  <si>
    <t xml:space="preserve">عمر الحارثي </t>
  </si>
  <si>
    <t xml:space="preserve">الصيانة اللي هنا عندهم تحايل على العمال يبعلي علبة زيت ب200 في علبه غريب ويقولك مميزات ماهي فيه اصلا لو تروح برا تلقاه ب50 ومن شركة مضمونه زي برتومين وقلت هالكلام لان يمثل سمعتكم </t>
  </si>
  <si>
    <t>يوسف الحذيري</t>
  </si>
  <si>
    <t xml:space="preserve">محطة للاستثمار  تواصل مباشر مع المالك  مدينة تبوك  5000م </t>
  </si>
  <si>
    <t>Athar</t>
  </si>
  <si>
    <t xml:space="preserve">ريحه الحمام سيئه جدا ولايوجد اهتمام ولانظافه ولايوحد مناديل والمرايه غير نظفيه ارجو الاهتمام وشكرااا جزيلا </t>
  </si>
  <si>
    <t xml:space="preserve"> تاريخ الإنشاء: 28/06/2026 08:20
في انتظار حل من الصيانة بحل مشكلة الرائحة 
المناديل متوقفه من الشركة 
وتم التنويه على ضرورة متابعة النظافة </t>
  </si>
  <si>
    <t>الحمامات وصخه لازم فيه عامل ينضف - 23:40:54 Sunday, June 21, 2026</t>
  </si>
  <si>
    <t xml:space="preserve">تم التنويه على ضرورة النظافة و المتابعه وتبين لدينا الوقت نهاية شفت عامل النظافة وان العامل كان في تنظيف منطقه اخرى داخل المحطة </t>
  </si>
  <si>
    <t>Salam Altooq</t>
  </si>
  <si>
    <t>EP102</t>
  </si>
  <si>
    <t>طلبت من العامل التعبئة البطيئة ولكن اكثر من مرة نفس العامل يعيد الخطأ ويجعلها بالتعبئة السريعة ارجوا ملاحظة الامر وشكراً درب 00:05:52 Tuesday, June 23, 2026</t>
  </si>
  <si>
    <t xml:space="preserve">        ياخي يرحم امكم خلو عندكم نظام تتبعونه للنظافه يعني المسجد بعد كل صلاه نظفوه بالمكنسه والبخور والحمامات يبغا لها نظافه يعني عشوائيه 04:10:47 Monday, June 22, 2026</t>
  </si>
  <si>
    <t>أم محمد</t>
  </si>
  <si>
    <t>*جزاكم الله خير- دورات المياة نظيفة جداً*
المكان المخصص للصلاة قسم النساء يحتاج تكملة التغطية حماية من الشمس وحفاظاً على بقاء المكان نظيف.
*دمتم متألقين يادرب فأنتم رفاق الدروب*</t>
  </si>
  <si>
    <t>TK-QXQ2EF
أنشئ بواسطة: hussain.qabas@darbstations.com.sa
تاريخ الإنشاء: 28/06/2026 08:54</t>
  </si>
  <si>
    <t>توفر مصلى</t>
  </si>
  <si>
    <t xml:space="preserve"> نـــورهـ الـــشــريــف</t>
  </si>
  <si>
    <t>افضل محطه بنزين ودورات مياه نظيفه واسواق درب حلوه ينقصه مصلى</t>
  </si>
  <si>
    <t>كن مع الله ولاتبالي</t>
  </si>
  <si>
    <t xml:space="preserve">لا باس بها ولكن الحذر من عمال تعبئه البنزين حسبت غير اللي في تعبئه بثلاثه ريال زايد المدفوع
الاثنين، 22 يونيو 2026 في 04:36 م
</t>
  </si>
  <si>
    <t>Faisal Asmary</t>
  </si>
  <si>
    <t xml:space="preserve">نصيحة إنسان يبغى الخير محطة درب إللي في محايل عند كبري الصناعية القديمة المحطة بتموت المحطة بتموت من العمال أو العمالة إللي حاطينهم على طرمبات البنزين أخلاقهم سيئة وأيضاً تاركين المحطة وماهم فيه أنا الآن واقف عندهم وغيري جاء يدق بوري وما عندك أحد ولا معبرك أحد علماً إن كل الطرمبات شغااااله بلا عمالة يخدمون المحطة وأيضاً جيت أكثر من مرة أعبي ولما أطفي السيارة يجي العامل ويقول لا أنا شغلي السيد هذا  الثاني ما أجي عنده خربان وما يشتغل  علماً المحطة جديدة فأضطر أشغل وأمشي وأروح محطة ثانية أنقذوا المحطة من بدري قبل تطيح سمعتها عمالكم والله العظيم والله العظيم والله العظيم سيئين للغاية
الاثنين، 15 يونيو 2026 في 06:12 م
</t>
  </si>
  <si>
    <t>Noura Alhaddad</t>
  </si>
  <si>
    <t xml:space="preserve">
نصابين احذروا منهم لما تطلبو ٥٠ ريال مثلا يعبو لكم بي ٤٠ زي كذا
الاثنين، 15 يونيو 2026 في 03:11 م
</t>
  </si>
  <si>
    <t xml:space="preserve">
توجد اشكاليه في الدخول و الخروج بالمحطه بسبب محلات صيانه السيارات Tuesday, June 23, 2026 </t>
  </si>
  <si>
    <t xml:space="preserve">عماله جداً سيه كل واحد فيهم يعتمد على الاخر في التعبئه وفي الحساب
</t>
  </si>
  <si>
    <t>تم توجيه إدارة المحطة بمتابعة العاملين والتأكيد عليهم بتحسين سرعة الخدمة وعدم التأخر في التعبئه</t>
  </si>
  <si>
    <t xml:space="preserve">تعامل العمال البنزين سيئ 
</t>
  </si>
  <si>
    <t>عبدالله الثبيتي</t>
  </si>
  <si>
    <t>مطاعم</t>
  </si>
  <si>
    <t>محمد السواط</t>
  </si>
  <si>
    <t>مغاسل لا يوجد فروع ( لا تتواصلي معاه اذا مافي شاغر)</t>
  </si>
  <si>
    <t xml:space="preserve">خدمات سيارات </t>
  </si>
  <si>
    <t>دار كيف 
اكثر من 50 فرع</t>
  </si>
  <si>
    <t>سعيد صالح</t>
  </si>
  <si>
    <t>بيتزا هاستا ١٣ فرع في مكة ١ جدة ١ طايف</t>
  </si>
  <si>
    <t>عبدالله الغماس</t>
  </si>
  <si>
    <t>عنده ٣ فروع مقاهي اسمه اسانتي 
و عنده كتير براندات مطاعم تانية</t>
  </si>
  <si>
    <t>محل عصيرات صمدو</t>
  </si>
  <si>
    <t>لقمة المنقوشة</t>
  </si>
  <si>
    <t>كوفي وصاف-4 فروع</t>
  </si>
  <si>
    <t xml:space="preserve">ابو علي </t>
  </si>
  <si>
    <t>عندو عدة فروع بيتزا الإيطالية</t>
  </si>
  <si>
    <r>
      <rPr>
        <rFont val="Calibri"/>
        <b/>
        <color rgb="FF131825"/>
        <sz val="9.0"/>
      </rPr>
      <t xml:space="preserve">انا كليوم اجي اعبي قبل اروح الدوام ومنها اخذ قهوتي اليوم جيت وشفت العامل كان يحط المدسس بالقوه في تحت التانكي وكانه حايس سالته ليه كذا  قام ينافخ واسلوبه سيء ترا انا سالتك بعرف ليه كان حايس يعني وهو يعبي لي حاس الدنيا  قلت باخذ اسمه قام يخبي قلت بصورك ترا للشركه قام غطى وجهه - المسار ثالث او الرابع كنت بالوسط  6:51 ص الاربعاء 24/6/2026  شانجان احمر ( د و ك - 6289) شبكة 40 ريال - اخضر </t>
    </r>
    <r>
      <rPr>
        <rFont val="Calibri"/>
        <b/>
        <color rgb="FFFF9900"/>
        <sz val="9.0"/>
      </rPr>
      <t>- لم يتم الرد</t>
    </r>
  </si>
  <si>
    <t>بناءً على إفادة مدير المنطقة، تم التحقق من الشكوى مع العامل المعني، وأفاد بأن المركبة كانت تُخرج هواءً أثناء عملية التعبئة، مما استدعى رفع مسدس التعبئة بشكل مؤقت حتى يخرج الهواء ويتم استكمال التعبئة بشكل صحيح. ويبدو أن ذلك فُهم بشكل مختلف من قبل العميلة وظنت أن هناك عبثاً أثناء التعبئة.
كما تم مناقشة العامل بشأن أسلوب التعامل، ونظراً لما ورد في الشكوى فقد تم توجيه إنذار شفهي له والتأكيد على أهمية حسن التعامل مع العملاء</t>
  </si>
  <si>
    <t>شكوى عامل</t>
  </si>
  <si>
    <t>معتصم بكر</t>
  </si>
  <si>
    <t xml:space="preserve">ابا بنزين سيارتي موقفه والعامل ما اعطاني واقله ابغا الجركل حقكم ما يرد عليا انا الان في المحطة </t>
  </si>
  <si>
    <t>فاطمة الشهراني</t>
  </si>
  <si>
    <t xml:space="preserve">قلت للعامل عبى احمر وعبى اخضر - قال انتي قللتي اخضر وهو مركب سماعات قام يهاوش  3:15 شبكة - 50  اخضر بدال احمر  كامري2003 اخضر - (ل ن و - 5001)  المسار الخارجي </t>
  </si>
  <si>
    <t>فهد الحربي</t>
  </si>
  <si>
    <t xml:space="preserve">محطتكم دي وضعها غريب لا عمال لا سرعة في الخدمة ولاشي واليوم اشوفه كانه جالس يبيع لللسيارة الي قدامي راجعو الكاميرات 
الساعه 3:22 م - الاربعاء 23/6 - كوريلا فضي - رفض يزودنا بالتفاصيل واستيائه من الاطاله </t>
  </si>
  <si>
    <t>يحي المشنوي</t>
  </si>
  <si>
    <t xml:space="preserve"> مغسلة السيارات في المحطة الواقعة في خميس مشيط امام الصناعية </t>
  </si>
  <si>
    <t>صبحي شاكر</t>
  </si>
  <si>
    <t>محطة -4000م - طريق الدمام</t>
  </si>
  <si>
    <t xml:space="preserve"> يوسف</t>
  </si>
  <si>
    <t>569213560               500128312</t>
  </si>
  <si>
    <r>
      <rPr>
        <rFont val="Calibri"/>
        <b/>
        <color rgb="FF131825"/>
        <sz val="9.0"/>
      </rPr>
      <t>المحطة: درب بالقرب من حجز الشرايع التاريخ:6/17 الوقت: 1:34 شكوى/اقتراح:وقفت وقلت للعامل عبي ٥٠ اخضر واكتشف انه معبي احمر ووصل الى مبلغ ١٧ ريال بعد ماقلت وقف طلع اللي وشبك اللي الاخضر بيكمل المبلغ كامل ويقول انت غلط كلام وانا ٢٠٠٪؜ قلت اخضر ٥٠ ولو فيه كاميرات وصوت تثبت ذالك لكزس es لوحة ح س د 7299 الوقت 1:33 ص تقريباً اجمالي المبلغ ١٧ ريال - 2026-06-17 01:26:17 AM UTC+03:00 -</t>
    </r>
    <r>
      <rPr>
        <rFont val="Calibri"/>
        <b/>
        <color theme="8"/>
        <sz val="9.0"/>
      </rPr>
      <t xml:space="preserve"> تم التواصل والاعتذار وشكرنا على الاهتمام</t>
    </r>
  </si>
  <si>
    <r>
      <rPr>
        <rFont val="Calibri"/>
        <b/>
        <color rgb="FF131825"/>
        <sz val="9.0"/>
      </rPr>
      <t xml:space="preserve">   التاريخ: 17_ 06_ 2026 م
الوقت: 9:36
طلبت تعبئة ديزل والعامل عبى بنزين ومارفعت شكوى لكم ولكن المشرفين نبيل وغيره عندهم خبر بالمششكلة وتمت افادتي باصلاحها وفواتير اجيبها لهم وسيتم تحمل التكلفة ورحت جبت الفواتير والا يبون فواتير اكترونية والورش ماتوفرها وعندي هذي الفواتير واخذوها مني ولا في اي ححل للمشكلة لحد الان</t>
    </r>
    <r>
      <rPr>
        <rFont val="Calibri"/>
        <b/>
        <color rgb="FFFF9900"/>
        <sz val="9.0"/>
      </rPr>
      <t xml:space="preserve"> - تم التواصل بعد الخدمة والعميل راضي وتم استلام المبلغ</t>
    </r>
  </si>
  <si>
    <t>عبدالعزيز العتيبي</t>
  </si>
  <si>
    <t>رحت المحطة الهندي رفض يعبيلي بالكوبون ابي اخذ الكوبون من المحطة الي خلف تيرا مول</t>
  </si>
  <si>
    <t>لايوجد رد</t>
  </si>
  <si>
    <t>2026-06-25 09:05:34 AM UTC+03:00 - لم يتم الرد</t>
  </si>
  <si>
    <t>2026-06-24 09:41:10 PM UTC+03:00 - لا يوجد رد</t>
  </si>
  <si>
    <t>معاذ حكمي</t>
  </si>
  <si>
    <t xml:space="preserve">مشيت ونسيت ادفع له بس برجع له خلاص </t>
  </si>
  <si>
    <t>تمت افادته اذا احتجت شي تنورنا</t>
  </si>
  <si>
    <t>مشهور علي الحارثي</t>
  </si>
  <si>
    <t xml:space="preserve">شريف رفض يعبي ديزال اول شي تحاسب بعدين اعبي لك طبعا قال كذا لانه كان يسولف مع خويه ونا دقيت بوري عشان يجي يعبي عند علي  - 10:33ص - ب ر ي 3861 ) هايلوكس غمارتين </t>
  </si>
  <si>
    <t>مؤسسة حلول الصيانة المتقدمة</t>
  </si>
  <si>
    <t>تاسيس كهرباء وسباك وتأسيس التكييف المركزي</t>
  </si>
  <si>
    <t>تم الافادة عبر الايميل</t>
  </si>
  <si>
    <t>ابرهيم الشريف</t>
  </si>
  <si>
    <t>الاراضي طريق جدة جازان  - 10000م</t>
  </si>
  <si>
    <t xml:space="preserve">رهف </t>
  </si>
  <si>
    <t>هذه الردود اللي وصلت لنا لما حاولنا نتواصل على الايميل (مرفق صورة)</t>
  </si>
  <si>
    <t>خلل تقني</t>
  </si>
  <si>
    <t>محمد بارحمة</t>
  </si>
  <si>
    <t>أرض 2100م  - مالها رخصة</t>
  </si>
  <si>
    <t xml:space="preserve">أرض مرخصة - وكيل مباشر مع المالك </t>
  </si>
  <si>
    <t>عبدالله مصطفى</t>
  </si>
  <si>
    <t>بخصوص الاشتراك في المحطة لسيارات الشركة</t>
  </si>
  <si>
    <t>بيستخرج تصاريح بيئية من المركز الوطني للرقابة علي الالتزام البيئي بأسعار تنافسية</t>
  </si>
  <si>
    <t xml:space="preserve">الخدمه بطيئه - تم ارسال رساله لاكمال الطلب والملاحظة </t>
  </si>
  <si>
    <t>اشواق الشهري</t>
  </si>
  <si>
    <t xml:space="preserve">افتحو الباب </t>
  </si>
  <si>
    <t>تم ابلاغ الاستقبال</t>
  </si>
  <si>
    <t>شركة Mindware</t>
  </si>
  <si>
    <t>تمت الافادرة بارسال البروفايل ايميل</t>
  </si>
  <si>
    <t>Naif</t>
  </si>
  <si>
    <t>مجمع جمييييل جدا وما اوقف في الطرق اللي عندكم .. ملاحظه بسيطه ياليت دوارات المياه تهتمون فيها اكثر وتبتعدون عن الجدران المستعاره وتكون جوده افضل وشكراً  -  08:43:38 Thursday, June 25, 2026</t>
  </si>
  <si>
    <t xml:space="preserve"> ‏عبد العزيز</t>
  </si>
  <si>
    <t>اشاءالله نظافة ممتازة والعمال محترمين جداً ولكن يظهر عليهم التعب ارجو النظر والمتابعة كي تكسبو ولاء العمال 21:35:23 Wednesday, June 24, 2026</t>
  </si>
  <si>
    <t>المكان ريحته شيء لا يطاق ، لا نظافه ولا مناديل !!!  - 15:15:34 Wednesday, June 24, 2026</t>
  </si>
  <si>
    <t xml:space="preserve">تم اخطار مدير المحطة وفي  انتظار الرد </t>
  </si>
  <si>
    <t>Ameer</t>
  </si>
  <si>
    <t xml:space="preserve">خدمتكم سيئة جداً
الخميس، 25 يونيو 2026 في 12:39 ص
</t>
  </si>
  <si>
    <t xml:space="preserve">انخفاض مستوى العماله في المحطة من حيث التعامل والأسلوب مقارنة ب العماله عند افتتاح المحطة.
الأربعاء، 24 يونيو 2026 في 02:19 م
</t>
  </si>
  <si>
    <t>كيف اوصل لمحطة درب الشيباني</t>
  </si>
  <si>
    <t>تمت افادته بانها على طريق المطار</t>
  </si>
  <si>
    <t>كنافة كيو+عندو عدة فروع حلا ومطاعم برجر</t>
  </si>
  <si>
    <t xml:space="preserve">حاتم </t>
  </si>
  <si>
    <t>قهوة ايسو</t>
  </si>
  <si>
    <t>ناصر الاسمري</t>
  </si>
  <si>
    <t>مؤسسة ابي شرايح -  سيارة اب</t>
  </si>
  <si>
    <t>تمت افادته برقم المسؤول</t>
  </si>
  <si>
    <r>
      <rPr>
        <rFont val="Calibri"/>
        <b/>
        <color rgb="FF131825"/>
        <sz val="9.0"/>
      </rPr>
      <t>لا يوجد مكبرات صوت بالمسجد او عطلانه</t>
    </r>
    <r>
      <rPr>
        <rFont val="Calibri"/>
        <b/>
        <color rgb="FFFF9900"/>
        <sz val="9.0"/>
      </rPr>
      <t xml:space="preserve">-تم التواصل والتوضيح للعميل ممنوع من البلدية </t>
    </r>
  </si>
  <si>
    <r>
      <rPr>
        <rFont val="Calibri"/>
        <b/>
        <color rgb="FF131825"/>
        <sz val="9.0"/>
      </rPr>
      <t xml:space="preserve">وصف الاستثمار (أرض أم محطة): ارض المساحة: 13 الف متر مربع الموقع: على مخرج الطريق السريع القصيم الرياض في محافظة المجمعة:
</t>
    </r>
    <r>
      <rPr>
        <rFont val="Calibri"/>
        <b/>
        <color rgb="FF1155CC"/>
        <sz val="9.0"/>
        <u/>
      </rPr>
      <t>https://maps.app.goo.gl/cetEfLXeg1bTpmqK9?g_st=ic</t>
    </r>
    <r>
      <rPr>
        <rFont val="Calibri"/>
        <b/>
        <color rgb="FF131825"/>
        <sz val="9.0"/>
      </rPr>
      <t xml:space="preserve"> لها رخصة بناء محطة: نعم نوع الملكية: ايجار 20 سنة قابل للتجديد</t>
    </r>
  </si>
  <si>
    <t xml:space="preserve">Tabuk
</t>
  </si>
  <si>
    <r>
      <rPr>
        <rFont val="Calibri"/>
        <b/>
        <color rgb="FF131825"/>
        <sz val="9.0"/>
      </rPr>
      <t>يوم الخميس الساعه 14:47 م بمبلغ 25 والعداد بددا ب10 على طول وانا بالعاده لمن اعبي 25 يفرق الحين يادوبك ارتفع ارغب بالتاكد من التعبئة وحاليا بالمحطه ابي مسؤول قبل ادق ع الشرطه</t>
    </r>
    <r>
      <rPr>
        <rFont val="Calibri"/>
        <b/>
        <color rgb="FFFF9900"/>
        <sz val="9.0"/>
      </rPr>
      <t xml:space="preserve"> - تم التواصل بعد الخدمة العميل يفيد ان العداد 10 وبدا على طول يحسب 11 انا فاهم الموضووع ولكن الله يعوضني خير انا مشيتها ولكن غيري ماراح يمشيها </t>
    </r>
  </si>
  <si>
    <r>
      <rPr>
        <rFont val="Calibri"/>
        <b/>
        <color rgb="FF131825"/>
        <sz val="9.0"/>
      </rPr>
      <t xml:space="preserve">المحطة زحمة ومافيها تنظيم اول مره اجي المحطة  يوم الخميس 6-18 الساعة 4:50 م  - </t>
    </r>
    <r>
      <rPr>
        <rFont val="Calibri"/>
        <b/>
        <color rgb="FFFF6D01"/>
        <sz val="9.0"/>
      </rPr>
      <t xml:space="preserve">تم التواصل والاعتذار وزيارته القادمة افضل </t>
    </r>
  </si>
  <si>
    <r>
      <rPr>
        <rFont val="Calibri"/>
        <b/>
        <color rgb="FF131825"/>
        <sz val="9.0"/>
      </rPr>
      <t xml:space="preserve">2026-06-20 00:24:29 AM UTC+03:00 جيت المحطة سيارتي موقفه قدام المحطة قلت للعامل ابا بنزين ولو ب5 ريال ساعدني جلست احاول فيه يعبيلي شوية بس اجيب سيارتي واعبيها هيا طافيه قال شوف هذا الرقم دق اذا هوا وافق انا اعبي لك وانتم ماتردو جلست اتصل اتصل واحاول فيه يساعدني ولا وافق في النهايه رحت رفيت السياره لين جيت المحطة شوفو الكاميرات سيارتي نوفا تفاحي يعني هوا لابس سديري برتقالي المفروض يكون افهم من البقيه ويساعدني مو اتصل عليكم  - العميل افاد ان العمال ما اقترحو عليه بوجود جركل مخصص او اي شي من ذلك  - </t>
    </r>
    <r>
      <rPr>
        <rFont val="Calibri"/>
        <b/>
        <color rgb="FFFF6D01"/>
        <sz val="9.0"/>
      </rPr>
      <t xml:space="preserve">تم الاعتذار والتوضيح انه يوجد جركل وسيتم اتخاذ اجراء مع العامل </t>
    </r>
  </si>
  <si>
    <r>
      <rPr>
        <rFont val="Calibri"/>
        <b/>
        <color rgb="FF131825"/>
        <sz val="9.0"/>
      </rPr>
      <t xml:space="preserve">دخلت اتوضيت شفت حذيان عندالباب ومقفل المصلى كلمت العمال قالو دق الباب رحت دقيت الباب فتح لي الباب عامل دخلت اصلي دوبي بديت الصلاه طفى المكيف كملت صلاتي وخلصت رحت لعنده قلت ليه تطفي المكيف ونا اصلي؟  قال بمعنى كلامو انه طفاه على حسب نظام الشركة قلت يعني الشركة تقول تطفي على الناس المكيف وانت تفتحه وقت كنت نايم ومقفل الباب قام يقول يلا روح انت تبا تشتكي اشتكي العامل مرا استفزتني حركته واسلوبه انا بتابع المشكلة هذي ابا اجراء ضده   - 2026-06-20 08:34:00 AM UTC+03:00 -  درب حي الخضراء بجوار مسجد العريفي 20\6\2026 تقريبا من الثامنه والربع إلى الثامنه والنصف  </t>
    </r>
    <r>
      <rPr>
        <rFont val="Calibri"/>
        <b/>
        <color rgb="FFFF9900"/>
        <sz val="9.0"/>
      </rPr>
      <t xml:space="preserve">- المحطة لا تستخدم كاش ان سيتم - تم التواصل وافدنا بحالة المحطة وانه تم لفت نظر العامل وافاد راح اتابع الموضوع </t>
    </r>
  </si>
  <si>
    <r>
      <rPr>
        <rFont val="Calibri"/>
        <b/>
        <color rgb="FF131825"/>
        <sz val="9.0"/>
      </rPr>
      <t>شغل العمال بطيى جدا ٣ سيارات ينتظر كل سياره تعبي حتى تنتهي ثم ينتقل للاخرا ثم بعد ذالك يقوم بترتيب الليات كانه انتهى من عمله تماما لماذا هاذا التاخير ؟؟ لماذا عمل العمال ببطى تام ولا هامه اي شي بتاتا؟؟ هناك من هو مسافر وهناك من لدية عمل عاجل وهناك من لدية مواعيد هاذا غير صحيح الانتطار المفرط دون اي مبالاة لربما الانتظار في محطة اخرى مزدحمة قد ينجوزونا في اقل من ربع مدة الانتظار في محطة درب بمحايل عسير في الصناعية القديمة علما بانها ليست اول تجربة انما في كل زيارتي اواجة نفس المشكلة لذالك قد يتوجب علي تجنب محطة درب وتزويد بالوقود من محطة اخرى - 17:10:09 Saturday, June 20, 2026 - النترا ابيض - 6414 تقريبا - المسار الداخلي - دائما  البطئ -</t>
    </r>
    <r>
      <rPr>
        <rFont val="Calibri"/>
        <b/>
        <color rgb="FFFF6D01"/>
        <sz val="9.0"/>
      </rPr>
      <t xml:space="preserve"> تم التواصل والاعتذار وسيتم تصعيدها لتحسين سرعة الخدمة </t>
    </r>
  </si>
  <si>
    <r>
      <rPr>
        <rFont val="Calibri"/>
        <b/>
        <color rgb="FF131825"/>
        <sz val="9.0"/>
      </rPr>
      <t xml:space="preserve">العمال رفض الخدمة </t>
    </r>
    <r>
      <rPr>
        <rFont val="Calibri"/>
        <b/>
        <color rgb="FFFF9900"/>
        <sz val="9.0"/>
      </rPr>
      <t>- تم محاولة الاتصال والعميل رفض تزوديني والافادة بحل الموضوع بالمحطة</t>
    </r>
  </si>
  <si>
    <r>
      <rPr>
        <rFont val="Calibri"/>
        <b/>
        <color rgb="FF131825"/>
        <sz val="9.0"/>
      </rPr>
      <t xml:space="preserve">العامل رفض يعبي لين اجي صفه وش هذا التعامل وجيت المضخه يقولي هذي خربانه ما فيها الاحمر غير مكانك والله بطئ وسوء في الخدمة عندكم بشكل عمالكم لازم لهم حل  30 احمر  الرمبه الي ورا خربانه - ا ب ك - 1188 - هايلوكس غمارتين شبك -  شبكة 3:10م  </t>
    </r>
    <r>
      <rPr>
        <rFont val="Calibri"/>
        <b/>
        <color rgb="FFFF9900"/>
        <sz val="9.0"/>
      </rPr>
      <t>- لم يتم الرد</t>
    </r>
  </si>
  <si>
    <r>
      <rPr>
        <rFont val="Calibri"/>
        <b/>
        <color rgb="FF131825"/>
        <sz val="9.0"/>
      </rPr>
      <t xml:space="preserve">الموظف غير متعاون وغير محترم خلصت اعبي دفعت بالبطاقه جا يرمي الشاشه على وجهي يقول دخل الباسورد قلت له دخله 1**3 قال لا انت دخل قلت له ياراجال يدي معدومه جالس افطر والساندوتش مفتوح في السيارة قام يقول انت مو محترم دخل باسورد انت لا تتحرك واتجادلنا حول دقيقتين بعد ما دفعت قالي روح انقلع قلت له طيب هات الايصال قال مافي ايصال روح يعني اسلوبه سيء جدا -الساعه 9:00ص - مبلغ 39 ريال شبكة المنتح احمر - مضخة 01b -السيارة اسود gmc - ( 8112 - د ب ع )  - </t>
    </r>
    <r>
      <rPr>
        <rFont val="Calibri"/>
        <b/>
        <color rgb="FFFF6D01"/>
        <sz val="9.0"/>
      </rPr>
      <t xml:space="preserve"> تم التواصل وافاد هذي المحطة فادتنا بس العمال فيها مستفزين تمت افادته انه سيتم اتخاذ اجراء جذري عليها وسيتم تحسين الخدمة</t>
    </r>
  </si>
  <si>
    <r>
      <rPr>
        <rFont val="Calibri"/>
        <b/>
        <color rgb="FF131825"/>
        <sz val="9.0"/>
      </rPr>
      <t>يكلم بالجوال وحر  الله يخلي له اهله بس معليش نبهوه -  المسار الخارجي اول مضخة - ب ي ق - 1614) احمر لكزس 460  - الفاتورة 152 - شبكة 2:17م  - 6\23 -</t>
    </r>
    <r>
      <rPr>
        <rFont val="Calibri"/>
        <b/>
        <color rgb="FFFF6D01"/>
        <sz val="9.0"/>
      </rPr>
      <t xml:space="preserve"> تم التواصل والاعتذار وشكرنا وراح يمر المحطة في حال ما اللتزمو برجع اكلمكم </t>
    </r>
  </si>
  <si>
    <t>Hail</t>
  </si>
  <si>
    <r>
      <rPr>
        <rFont val="Calibri"/>
        <b/>
        <color rgb="FF131825"/>
        <sz val="9.0"/>
      </rPr>
      <t xml:space="preserve">المحطة:بير الغنم التاريخ:2026/6/24 الوقت: 7:40 شكوى/اقتراح:عامل عيا يعبي بنزيم بي سبب بوري ر ط س 7501
جلي امجراند /اللون رمادي </t>
    </r>
    <r>
      <rPr>
        <rFont val="Calibri"/>
        <b/>
        <color rgb="FFFF9900"/>
        <sz val="9.0"/>
      </rPr>
      <t>- تم الاعتذار من العميل وسيتم اتخاذ اجراء تاديبي</t>
    </r>
  </si>
  <si>
    <r>
      <rPr>
        <rFont val="Calibri"/>
        <b/>
        <color rgb="FF131825"/>
        <sz val="9.0"/>
      </rPr>
      <t xml:space="preserve">كودو مقفل الشارع علينا </t>
    </r>
    <r>
      <rPr>
        <rFont val="Calibri"/>
        <b/>
        <color rgb="FF1155CC"/>
        <sz val="9.0"/>
        <u/>
      </rPr>
      <t>https://maps.app.goo.gl/sQMLaPKPHLFrswHF7?g_st=aw</t>
    </r>
  </si>
  <si>
    <r>
      <rPr>
        <rFont val="Calibri"/>
        <b/>
        <color rgb="FF131825"/>
        <sz val="9.0"/>
      </rPr>
      <t xml:space="preserve">المحطة: 7290، أبو العاص بن الربيع، حي بطحاء قريش، MDQA3315، 3315، مكة التاريخ: 24/06/2026 الوقت: 4:40 مساءً الشكوى/الاقتراح:
حضرت إلى المحطة المذكورة الساعة 4:40 مساءً بهدف تعبئة الوقود، إلا أن العامل عبدالله مومن رفض تعبئة البنزين دون توضيح سبب واضح، رغم توفر الوقود وعدم وجود أي عطل أو خلل في مضخات البنزين. وقد تسبب هذا الموقف في تعطيل خدمتي وإزعاجي كعميل. أرجو التحقق من الواقعة واتخاذ الإجراء المناسب حيالها، والعمل على ضمان تقديم الخدمة للعملاء بالشكل المطلوب ومنع تكرار مثل هذه المواقف مستقبلاً. مع خالص الشكر والتقدير -يظهر الفديو افهام العميل ان المضخه لاتعمل وان الاتوميشن متوقف مؤقتا - </t>
    </r>
    <r>
      <rPr>
        <rFont val="Calibri"/>
        <b/>
        <color rgb="FFFF6D01"/>
        <sz val="9.0"/>
      </rPr>
      <t xml:space="preserve"> الهاتف مغلق</t>
    </r>
  </si>
  <si>
    <t>سقف المصلى</t>
  </si>
  <si>
    <t>اضافة مصلى</t>
  </si>
  <si>
    <r>
      <rPr>
        <rFont val="Calibri"/>
        <b/>
        <color rgb="FF131825"/>
        <sz val="9.0"/>
      </rPr>
      <t xml:space="preserve">انا كليوم اجي اعبي قبل اروح الدوام ومنها اخذ قهوتي اليوم جيت وشفت العامل كان يحط المدسس بالقوه في تحت التانكي وكانه حايس سالته ليه كذا  قام ينافخ واسلوبه سيء ترا انا سالتك بعرف ليه كان حايس يعني وهو يعبي لي حاس الدنيا  قلت باخذ اسمه قام يخبي قلت بصورك ترا للشركه قام غطى وجهه - المسار ثالث او الرابع كنت بالوسط  6:51 ص الاربعاء 24/6/2026  شانجان احمر ( د و ك - 6289) شبكة 40 ريال - اخضر </t>
    </r>
    <r>
      <rPr>
        <rFont val="Calibri"/>
        <b/>
        <color rgb="FFFF9900"/>
        <sz val="9.0"/>
      </rPr>
      <t>- لم يتم الرد</t>
    </r>
  </si>
  <si>
    <r>
      <rPr>
        <rFont val="Calibri"/>
        <b/>
        <color rgb="FF131825"/>
        <sz val="9.0"/>
      </rPr>
      <t xml:space="preserve">   التاريخ: 17_ 06_ 2026 م
الوقت: 9:36
طلبت تعبئة ديزل والعامل عبى بنزين ومارفعت شكوى لكم ولكن المشرفين نبيل وغيره عندهم خبر بالمششكلة وتمت افادتي باصلاحها وفواتير اجيبها لهم وسيتم تحمل التكلفة ورحت جبت الفواتير والا يبون فواتير اكترونية والورش ماتوفرها وعندي هذي الفواتير واخذوها مني ولا في اي ححل للمشكلة لحد الان</t>
    </r>
    <r>
      <rPr>
        <rFont val="Calibri"/>
        <b/>
        <color rgb="FFFF9900"/>
        <sz val="9.0"/>
      </rPr>
      <t xml:space="preserve"> - تم التواصل بعد الخدمة والعميل راضي وتم استلام المبلغ</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</si>
</sst>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yy"/>
    <numFmt numFmtId="165" formatCode="h:mm:ss am/pm"/>
    <numFmt numFmtId="166" formatCode="h:mm am/pm"/>
    <numFmt numFmtId="167" formatCode="yyyy/MM/dd"/>
    <numFmt numFmtId="168" formatCode="[$EGP-C01]#,##0.00"/>
  </numFmts>
  <fonts count="90">
    <font>
      <sz val="10.0"/>
      <color rgb="FF000000"/>
      <name val="Arial"/>
      <scheme val="minor"/>
    </font>
    <font>
      <b/>
      <sz val="10.0"/>
      <color rgb="FF434343"/>
      <name val="Calibri"/>
    </font>
    <font>
      <b/>
      <sz val="9.0"/>
      <color rgb="FF434343"/>
      <name val="Calibri"/>
    </font>
    <font>
      <b/>
      <sz val="10.0"/>
      <color rgb="FF000000"/>
      <name val="Calibri"/>
    </font>
    <font>
      <b/>
      <sz val="10.0"/>
      <color theme="1"/>
      <name val="Calibri"/>
    </font>
    <font>
      <b/>
      <sz val="9.0"/>
      <color rgb="FF000000"/>
      <name val="Calibri"/>
    </font>
    <font>
      <color theme="1"/>
      <name val="Arial"/>
    </font>
    <font>
      <b/>
      <sz val="10.0"/>
      <color rgb="FFFF9900"/>
      <name val="Calibri"/>
    </font>
    <font>
      <b/>
      <sz val="9.0"/>
      <color theme="1"/>
      <name val="Calibri"/>
    </font>
    <font>
      <b/>
      <color rgb="FFFBBC04"/>
      <name val="Calibri"/>
    </font>
    <font>
      <b/>
      <sz val="10.0"/>
      <color rgb="FFFBBC04"/>
      <name val="Calibri"/>
    </font>
    <font>
      <color theme="1"/>
      <name val="Arial"/>
      <scheme val="minor"/>
    </font>
    <font>
      <b/>
      <sz val="11.0"/>
      <color rgb="FF131825"/>
      <name val="Calibri"/>
    </font>
    <font>
      <b/>
      <color rgb="FF000000"/>
      <name val="Calibri"/>
    </font>
    <font>
      <b/>
      <color theme="1"/>
      <name val="Calibri"/>
    </font>
    <font>
      <b/>
      <color theme="1"/>
      <name val="Arial"/>
    </font>
    <font>
      <b/>
      <u/>
      <sz val="10.0"/>
      <color rgb="FF434343"/>
      <name val="Calibri"/>
    </font>
    <font>
      <b/>
      <sz val="10.0"/>
      <color theme="6"/>
      <name val="Calibri"/>
    </font>
    <font>
      <b/>
      <u/>
      <sz val="10.0"/>
      <color rgb="FF434343"/>
      <name val="Calibri"/>
    </font>
    <font>
      <b/>
      <sz val="12.0"/>
      <color rgb="FF434343"/>
      <name val="Calibri"/>
    </font>
    <font>
      <b/>
      <sz val="11.0"/>
      <color rgb="FF000000"/>
      <name val="Calibri"/>
    </font>
    <font>
      <b/>
      <sz val="11.0"/>
      <color rgb="FF131825"/>
      <name val="Outfit"/>
    </font>
    <font>
      <sz val="11.0"/>
      <color rgb="FF131825"/>
      <name val="Outfit"/>
    </font>
    <font>
      <b/>
      <sz val="10.0"/>
      <color rgb="FF131825"/>
      <name val="Outfit"/>
    </font>
    <font>
      <b/>
      <u/>
      <sz val="9.0"/>
      <color rgb="FF000000"/>
      <name val="Calibri"/>
    </font>
    <font>
      <b/>
      <sz val="9.0"/>
      <color rgb="FF434343"/>
      <name val="Arial"/>
    </font>
    <font>
      <b/>
      <sz val="11.0"/>
      <color rgb="FF434343"/>
      <name val="Calibri"/>
    </font>
    <font>
      <b/>
      <color theme="1"/>
      <name val="Arial"/>
      <scheme val="minor"/>
    </font>
    <font>
      <b/>
      <sz val="10.0"/>
      <color rgb="FF434343"/>
      <name val="Arial"/>
    </font>
    <font>
      <b/>
      <color rgb="FF434343"/>
      <name val="Calibri"/>
    </font>
    <font>
      <b/>
      <sz val="10.0"/>
      <color rgb="FF434343"/>
      <name val="Outfit"/>
    </font>
    <font>
      <b/>
      <sz val="11.0"/>
      <color theme="1"/>
      <name val="Calibri"/>
    </font>
    <font>
      <b/>
      <u/>
      <sz val="9.0"/>
      <color rgb="FF0000FF"/>
      <name val="Calibri"/>
    </font>
    <font>
      <sz val="10.0"/>
      <color rgb="FF434343"/>
      <name val="Calibri"/>
    </font>
    <font>
      <b/>
      <sz val="9.0"/>
      <color rgb="FF131825"/>
      <name val="Calibri"/>
    </font>
    <font>
      <color rgb="FF000000"/>
      <name val="Arial"/>
    </font>
    <font>
      <b/>
      <sz val="11.0"/>
      <color rgb="FF000000"/>
      <name val="-apple-system"/>
    </font>
    <font>
      <sz val="9.0"/>
      <color rgb="FF434343"/>
      <name val="Calibri"/>
    </font>
    <font>
      <sz val="9.0"/>
      <color rgb="FF000000"/>
      <name val="Calibri"/>
    </font>
    <font>
      <sz val="9.0"/>
      <color rgb="FF131825"/>
      <name val="Calibri"/>
    </font>
    <font>
      <u/>
      <sz val="9.0"/>
      <color rgb="FF131825"/>
      <name val="Calibri"/>
    </font>
    <font>
      <sz val="9.0"/>
      <color theme="1"/>
      <name val="Calibri"/>
    </font>
    <font>
      <b/>
      <color rgb="FF434343"/>
      <name val="Arial"/>
    </font>
    <font>
      <color theme="1"/>
      <name val="Calibri"/>
    </font>
    <font>
      <b/>
      <sz val="11.0"/>
      <color rgb="FF515966"/>
      <name val="Arial"/>
    </font>
    <font>
      <b/>
      <sz val="11.0"/>
      <color rgb="FF545452"/>
      <name val="InterVariable"/>
    </font>
    <font>
      <b/>
      <color rgb="FF434343"/>
      <name val="Arial"/>
      <scheme val="minor"/>
    </font>
    <font>
      <b/>
      <u/>
      <sz val="9.0"/>
      <color rgb="FF0000FF"/>
      <name val="Calibri"/>
    </font>
    <font>
      <b/>
      <sz val="11.0"/>
      <color rgb="FF434343"/>
      <name val="Arial"/>
    </font>
    <font>
      <sz val="9.0"/>
      <color rgb="FF545452"/>
      <name val="Calibri"/>
    </font>
    <font>
      <b/>
      <u/>
      <sz val="9.0"/>
      <color rgb="FF131825"/>
      <name val="Calibri"/>
    </font>
    <font>
      <sz val="9.0"/>
      <color rgb="FF10131A"/>
      <name val="Calibri"/>
    </font>
    <font>
      <b/>
      <sz val="9.0"/>
      <color rgb="FFFF9900"/>
      <name val="Calibri"/>
    </font>
    <font>
      <sz val="9.0"/>
      <color rgb="FF515966"/>
      <name val="Calibri"/>
    </font>
    <font>
      <b/>
      <color rgb="FFB10202"/>
      <name val="Calibri"/>
    </font>
    <font>
      <b/>
      <color rgb="FF5A3286"/>
      <name val="Calibri"/>
    </font>
    <font>
      <b/>
      <color rgb="FF11734B"/>
      <name val="Calibri"/>
    </font>
    <font>
      <u/>
      <sz val="9.0"/>
      <color rgb="FF0000FF"/>
      <name val="Calibri"/>
    </font>
    <font>
      <sz val="9.0"/>
      <color rgb="FF1B1B1A"/>
      <name val="Calibri"/>
    </font>
    <font>
      <b/>
      <u/>
      <color rgb="FF434343"/>
      <name val="Calibri"/>
    </font>
    <font>
      <b/>
      <u/>
      <color rgb="FF434343"/>
      <name val="Calibri"/>
    </font>
    <font>
      <b/>
      <sz val="11.0"/>
      <color rgb="FF545452"/>
      <name val="Arial"/>
    </font>
    <font>
      <b/>
      <u/>
      <sz val="9.0"/>
      <color rgb="FF131825"/>
      <name val="Calibri"/>
    </font>
    <font>
      <u/>
      <sz val="9.0"/>
      <color rgb="FF0000FF"/>
      <name val="Calibri"/>
    </font>
    <font>
      <sz val="9.0"/>
      <color theme="1"/>
      <name val="Arial"/>
    </font>
    <font>
      <b/>
      <sz val="8.0"/>
      <color rgb="FF434343"/>
      <name val="Calibri"/>
    </font>
    <font>
      <b/>
      <sz val="8.0"/>
      <color theme="1"/>
      <name val="Calibri"/>
    </font>
    <font>
      <b/>
      <sz val="8.0"/>
      <color rgb="FF131825"/>
      <name val="Outfit"/>
    </font>
    <font>
      <sz val="8.0"/>
      <color theme="1"/>
      <name val="Calibri"/>
    </font>
    <font>
      <b/>
      <color rgb="FF000000"/>
      <name val="Arial"/>
    </font>
    <font>
      <b/>
      <sz val="11.0"/>
      <color rgb="FF1B1B1A"/>
      <name val="Arial"/>
    </font>
    <font>
      <b/>
      <sz val="10.0"/>
      <color rgb="FF545452"/>
      <name val="Arial"/>
    </font>
    <font>
      <b/>
      <sz val="10.0"/>
      <color theme="1"/>
      <name val="Arial"/>
    </font>
    <font>
      <b/>
      <sz val="10.0"/>
      <color rgb="FF434343"/>
      <name val="-apple-system"/>
    </font>
    <font>
      <b/>
      <sz val="10.0"/>
      <color theme="1"/>
      <name val="Arial"/>
      <scheme val="minor"/>
    </font>
    <font>
      <b/>
      <sz val="10.0"/>
      <color rgb="FF000000"/>
      <name val="Arial"/>
    </font>
    <font>
      <b/>
      <sz val="11.0"/>
      <color rgb="FF000000"/>
      <name val="InterVariable"/>
    </font>
    <font>
      <b/>
      <sz val="11.0"/>
      <color rgb="FF1B1B1A"/>
      <name val="InterVariable"/>
    </font>
    <font>
      <b/>
      <sz val="11.0"/>
      <color rgb="FF000000"/>
      <name val="Arial"/>
    </font>
    <font>
      <b/>
      <u/>
      <color rgb="FF0000FF"/>
      <name val="Calibri"/>
    </font>
    <font>
      <color rgb="FF000000"/>
      <name val="Calibri"/>
    </font>
    <font>
      <b/>
      <sz val="8.0"/>
      <color rgb="FF1B1B1A"/>
      <name val="Arial"/>
    </font>
    <font>
      <sz val="10.0"/>
      <color theme="1"/>
      <name val="Calibri"/>
    </font>
    <font>
      <b/>
      <sz val="11.0"/>
      <color rgb="FF515966"/>
      <name val="-apple-system"/>
    </font>
    <font>
      <sz val="13.0"/>
      <color rgb="FFFF9900"/>
      <name val="Calibri"/>
    </font>
    <font>
      <sz val="11.0"/>
      <color rgb="FF000000"/>
      <name val="Calibri"/>
    </font>
    <font>
      <b/>
      <sz val="9.0"/>
      <color rgb="FF5A3286"/>
      <name val="Calibri"/>
    </font>
    <font>
      <b/>
      <sz val="9.0"/>
      <color rgb="FF473821"/>
      <name val="Calibri"/>
    </font>
    <font>
      <b/>
      <sz val="9.0"/>
      <color rgb="FFFFCFC9"/>
      <name val="Calibri"/>
    </font>
    <font>
      <b/>
      <sz val="9.0"/>
      <color rgb="FF0A53A8"/>
      <name val="Calibri"/>
    </font>
  </fonts>
  <fills count="18">
    <fill>
      <patternFill patternType="none"/>
    </fill>
    <fill>
      <patternFill patternType="lightGray"/>
    </fill>
    <fill>
      <patternFill patternType="solid">
        <fgColor rgb="FFFF6D01"/>
        <bgColor rgb="FFFF6D01"/>
      </patternFill>
    </fill>
    <fill>
      <patternFill patternType="solid">
        <fgColor rgb="FFFFFF00"/>
        <bgColor rgb="FFFFFF00"/>
      </patternFill>
    </fill>
    <fill>
      <patternFill patternType="solid">
        <fgColor rgb="FFFFFFFF"/>
        <bgColor rgb="FFFFFFFF"/>
      </patternFill>
    </fill>
    <fill>
      <patternFill patternType="solid">
        <fgColor rgb="FFF8F9FA"/>
        <bgColor rgb="FFF8F9FA"/>
      </patternFill>
    </fill>
    <fill>
      <patternFill patternType="solid">
        <fgColor rgb="FFFFF2CC"/>
        <bgColor rgb="FFFFF2CC"/>
      </patternFill>
    </fill>
    <fill>
      <patternFill patternType="solid">
        <fgColor rgb="FFFCE5CD"/>
        <bgColor rgb="FFFCE5CD"/>
      </patternFill>
    </fill>
    <fill>
      <patternFill patternType="solid">
        <fgColor rgb="FFFF0000"/>
        <bgColor rgb="FFFF0000"/>
      </patternFill>
    </fill>
    <fill>
      <patternFill patternType="solid">
        <fgColor rgb="FF00FFFF"/>
        <bgColor rgb="FF00FFFF"/>
      </patternFill>
    </fill>
    <fill>
      <patternFill patternType="solid">
        <fgColor rgb="FF00FF00"/>
        <bgColor rgb="FF00FF00"/>
      </patternFill>
    </fill>
    <fill>
      <patternFill patternType="solid">
        <fgColor rgb="FFF9FAFB"/>
        <bgColor rgb="FFF9FAFB"/>
      </patternFill>
    </fill>
    <fill>
      <patternFill patternType="solid">
        <fgColor rgb="FFF4F4F2"/>
        <bgColor rgb="FFF4F4F2"/>
      </patternFill>
    </fill>
    <fill>
      <patternFill patternType="solid">
        <fgColor rgb="FF4A86E8"/>
        <bgColor rgb="FF4A86E8"/>
      </patternFill>
    </fill>
    <fill>
      <patternFill patternType="solid">
        <fgColor rgb="FFF3F3F3"/>
        <bgColor rgb="FFF3F3F3"/>
      </patternFill>
    </fill>
    <fill>
      <patternFill patternType="solid">
        <fgColor rgb="FFE6B8AF"/>
        <bgColor rgb="FFE6B8AF"/>
      </patternFill>
    </fill>
    <fill>
      <patternFill patternType="solid">
        <fgColor rgb="FFF6F6F6"/>
        <bgColor rgb="FFF6F6F6"/>
      </patternFill>
    </fill>
    <fill>
      <patternFill patternType="solid">
        <fgColor rgb="FFF4CCCC"/>
        <bgColor rgb="FFF4CCCC"/>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left style="thin">
        <color rgb="FFE5E7EB"/>
      </left>
      <right style="thin">
        <color rgb="FFE5E7EB"/>
      </right>
      <top style="thin">
        <color rgb="FFE5E7EB"/>
      </top>
      <bottom style="thin">
        <color rgb="FFE5E7EB"/>
      </bottom>
    </border>
    <border>
      <left style="thin">
        <color rgb="FF000000"/>
      </left>
      <right style="thin">
        <color rgb="FF000000"/>
      </right>
      <bottom style="thin">
        <color rgb="FF000000"/>
      </bottom>
    </border>
  </borders>
  <cellStyleXfs count="1">
    <xf borderId="0" fillId="0" fontId="0" numFmtId="0" applyAlignment="1" applyFont="1"/>
  </cellStyleXfs>
  <cellXfs count="471">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2" fontId="1" numFmtId="0" xfId="0" applyAlignment="1" applyBorder="1" applyFont="1">
      <alignment horizontal="center" shrinkToFit="0" vertical="center" wrapText="1"/>
    </xf>
    <xf borderId="1" fillId="2" fontId="2" numFmtId="0" xfId="0" applyAlignment="1" applyBorder="1" applyFont="1">
      <alignment horizontal="center" readingOrder="0" shrinkToFit="0" vertical="center" wrapText="1"/>
    </xf>
    <xf borderId="1" fillId="2" fontId="1" numFmtId="0" xfId="0" applyAlignment="1" applyBorder="1" applyFont="1">
      <alignment horizontal="center" readingOrder="0" shrinkToFit="0" vertical="center" wrapText="1"/>
    </xf>
    <xf borderId="1" fillId="2" fontId="2" numFmtId="0" xfId="0" applyAlignment="1" applyBorder="1" applyFont="1">
      <alignment horizontal="center" shrinkToFit="0" vertical="center" wrapText="1"/>
    </xf>
    <xf borderId="1" fillId="2" fontId="2" numFmtId="0" xfId="0" applyAlignment="1" applyBorder="1" applyFont="1">
      <alignment horizontal="center" shrinkToFit="0" vertical="center" wrapText="1"/>
    </xf>
    <xf borderId="1" fillId="3" fontId="2" numFmtId="0" xfId="0" applyAlignment="1" applyBorder="1" applyFill="1" applyFont="1">
      <alignment horizontal="center" readingOrder="0" shrinkToFit="0" vertical="center" wrapText="1"/>
    </xf>
    <xf borderId="1" fillId="3" fontId="2" numFmtId="0" xfId="0" applyAlignment="1" applyBorder="1" applyFont="1">
      <alignment horizontal="center" shrinkToFit="0" vertical="center" wrapText="1"/>
    </xf>
    <xf borderId="1" fillId="3" fontId="1" numFmtId="0" xfId="0" applyAlignment="1" applyBorder="1" applyFont="1">
      <alignment horizontal="center" shrinkToFit="0" vertical="center" wrapText="1"/>
    </xf>
    <xf borderId="1" fillId="3" fontId="1" numFmtId="0" xfId="0" applyAlignment="1" applyBorder="1" applyFont="1">
      <alignment horizontal="center" readingOrder="0" shrinkToFit="0" vertical="center" wrapText="1"/>
    </xf>
    <xf borderId="1" fillId="3" fontId="2" numFmtId="0" xfId="0" applyAlignment="1" applyBorder="1" applyFont="1">
      <alignment horizontal="center" shrinkToFit="0" vertical="center" wrapText="1"/>
    </xf>
    <xf borderId="1" fillId="4" fontId="3" numFmtId="0" xfId="0" applyAlignment="1" applyBorder="1" applyFill="1" applyFont="1">
      <alignment horizontal="center" readingOrder="0" shrinkToFit="0" vertical="center" wrapText="1"/>
    </xf>
    <xf borderId="1" fillId="4" fontId="1" numFmtId="0" xfId="0" applyAlignment="1" applyBorder="1" applyFont="1">
      <alignment horizontal="center" readingOrder="0" shrinkToFit="0" vertical="center" wrapText="1"/>
    </xf>
    <xf borderId="1" fillId="4" fontId="3" numFmtId="164" xfId="0" applyAlignment="1" applyBorder="1" applyFont="1" applyNumberFormat="1">
      <alignment horizontal="center" readingOrder="0" shrinkToFit="0" vertical="center" wrapText="1"/>
    </xf>
    <xf borderId="1" fillId="4" fontId="1" numFmtId="164" xfId="0" applyAlignment="1" applyBorder="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1" fillId="4" fontId="4" numFmtId="0" xfId="0" applyAlignment="1" applyBorder="1" applyFont="1">
      <alignment horizontal="center" readingOrder="0" shrinkToFit="0" vertical="center" wrapText="1"/>
    </xf>
    <xf borderId="1" fillId="4" fontId="4" numFmtId="164" xfId="0" applyAlignment="1" applyBorder="1" applyFont="1" applyNumberFormat="1">
      <alignment horizontal="center" shrinkToFit="0" vertical="center" wrapText="1"/>
    </xf>
    <xf borderId="1" fillId="0" fontId="5" numFmtId="0" xfId="0" applyAlignment="1" applyBorder="1" applyFont="1">
      <alignment horizontal="center" readingOrder="0" shrinkToFit="0" vertical="center" wrapText="1"/>
    </xf>
    <xf borderId="1" fillId="4" fontId="1"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4" fontId="5" numFmtId="0" xfId="0" applyAlignment="1" applyBorder="1" applyFont="1">
      <alignment horizontal="center" readingOrder="0" shrinkToFit="0" vertical="center" wrapText="1"/>
    </xf>
    <xf borderId="1" fillId="4" fontId="4" numFmtId="0" xfId="0" applyAlignment="1" applyBorder="1" applyFont="1">
      <alignment horizontal="center" readingOrder="0" shrinkToFit="0" vertical="center" wrapText="1"/>
    </xf>
    <xf borderId="1" fillId="4" fontId="6" numFmtId="0" xfId="0" applyAlignment="1" applyBorder="1" applyFont="1">
      <alignment readingOrder="0"/>
    </xf>
    <xf borderId="1" fillId="4" fontId="2" numFmtId="0" xfId="0" applyAlignment="1" applyBorder="1" applyFont="1">
      <alignment horizontal="center" readingOrder="0" shrinkToFit="0" vertical="center" wrapText="1"/>
    </xf>
    <xf borderId="1" fillId="4" fontId="2" numFmtId="0" xfId="0" applyAlignment="1" applyBorder="1" applyFont="1">
      <alignment horizontal="center" readingOrder="0" shrinkToFit="0" vertical="center" wrapText="1"/>
    </xf>
    <xf borderId="1" fillId="4" fontId="6" numFmtId="165" xfId="0" applyBorder="1" applyFont="1" applyNumberFormat="1"/>
    <xf borderId="1" fillId="0" fontId="7" numFmtId="0" xfId="0" applyAlignment="1" applyBorder="1" applyFont="1">
      <alignment horizontal="center" readingOrder="0" shrinkToFit="0" vertical="center" wrapText="1"/>
    </xf>
    <xf borderId="1" fillId="4" fontId="8"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4" fontId="9"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1" fillId="4" fontId="6" numFmtId="0" xfId="0" applyBorder="1" applyFont="1"/>
    <xf borderId="1" fillId="4" fontId="2" numFmtId="165" xfId="0" applyAlignment="1" applyBorder="1" applyFont="1" applyNumberFormat="1">
      <alignment horizontal="center" readingOrder="0" shrinkToFit="0" vertical="center" wrapText="1"/>
    </xf>
    <xf borderId="1" fillId="4" fontId="5" numFmtId="0" xfId="0" applyAlignment="1" applyBorder="1" applyFont="1">
      <alignment horizontal="center" readingOrder="0" shrinkToFit="0" vertical="center" wrapText="1"/>
    </xf>
    <xf borderId="1" fillId="4" fontId="10" numFmtId="0" xfId="0" applyAlignment="1" applyBorder="1" applyFont="1">
      <alignment horizontal="center" readingOrder="0" shrinkToFit="0" vertical="center" wrapText="1"/>
    </xf>
    <xf borderId="1" fillId="0" fontId="11" numFmtId="0" xfId="0" applyAlignment="1" applyBorder="1" applyFont="1">
      <alignment readingOrder="0"/>
    </xf>
    <xf borderId="1" fillId="4" fontId="8" numFmtId="0" xfId="0" applyAlignment="1" applyBorder="1" applyFont="1">
      <alignment horizontal="center" readingOrder="0" shrinkToFit="0" vertical="center" wrapText="1"/>
    </xf>
    <xf borderId="1" fillId="0" fontId="8" numFmtId="0" xfId="0" applyAlignment="1" applyBorder="1" applyFont="1">
      <alignment horizontal="center" shrinkToFit="0" wrapText="1"/>
    </xf>
    <xf borderId="0" fillId="4" fontId="12" numFmtId="0" xfId="0" applyAlignment="1" applyFont="1">
      <alignment horizontal="center" readingOrder="0" shrinkToFit="0" vertical="center" wrapText="1"/>
    </xf>
    <xf borderId="1" fillId="4" fontId="6" numFmtId="0" xfId="0" applyAlignment="1" applyBorder="1" applyFont="1">
      <alignment horizontal="center" readingOrder="0"/>
    </xf>
    <xf borderId="1" fillId="4" fontId="1" numFmtId="0" xfId="0" applyAlignment="1" applyBorder="1" applyFont="1">
      <alignment horizontal="center" shrinkToFit="0" vertical="center" wrapText="1"/>
    </xf>
    <xf borderId="1" fillId="4" fontId="6" numFmtId="0" xfId="0" applyAlignment="1" applyBorder="1" applyFont="1">
      <alignment horizontal="center" readingOrder="0" shrinkToFit="0" vertical="center" wrapText="0"/>
    </xf>
    <xf borderId="0" fillId="4" fontId="11" numFmtId="0" xfId="0" applyAlignment="1" applyFont="1">
      <alignment readingOrder="0"/>
    </xf>
    <xf borderId="0" fillId="5" fontId="11" numFmtId="0" xfId="0" applyAlignment="1" applyFill="1" applyFont="1">
      <alignment horizontal="center" readingOrder="0" shrinkToFit="0" wrapText="1"/>
    </xf>
    <xf borderId="1" fillId="0" fontId="13" numFmtId="0" xfId="0" applyAlignment="1" applyBorder="1" applyFont="1">
      <alignment horizontal="center" readingOrder="0" shrinkToFit="0" vertical="center" wrapText="1"/>
    </xf>
    <xf borderId="1" fillId="4" fontId="14" numFmtId="164" xfId="0" applyAlignment="1" applyBorder="1" applyFont="1" applyNumberFormat="1">
      <alignment horizontal="center" shrinkToFit="0" vertical="bottom" wrapText="1"/>
    </xf>
    <xf borderId="1" fillId="0" fontId="14" numFmtId="0" xfId="0" applyAlignment="1" applyBorder="1" applyFont="1">
      <alignment horizontal="center" shrinkToFit="0" vertical="bottom" wrapText="1"/>
    </xf>
    <xf borderId="1" fillId="4" fontId="14" numFmtId="0" xfId="0" applyAlignment="1" applyBorder="1" applyFont="1">
      <alignment horizontal="center" shrinkToFit="0" vertical="bottom" wrapText="1"/>
    </xf>
    <xf borderId="1" fillId="0" fontId="14" numFmtId="0" xfId="0" applyAlignment="1" applyBorder="1" applyFont="1">
      <alignment horizontal="center" shrinkToFit="0" wrapText="1"/>
    </xf>
    <xf borderId="1" fillId="4" fontId="8" numFmtId="0" xfId="0" applyAlignment="1" applyBorder="1" applyFont="1">
      <alignment horizontal="center" shrinkToFit="0" vertical="bottom" wrapText="1"/>
    </xf>
    <xf borderId="1" fillId="0" fontId="15" numFmtId="0" xfId="0" applyAlignment="1" applyBorder="1" applyFont="1">
      <alignment horizontal="center" shrinkToFit="0" wrapText="1"/>
    </xf>
    <xf borderId="1" fillId="0" fontId="1" numFmtId="0" xfId="0" applyAlignment="1" applyBorder="1" applyFont="1">
      <alignment horizontal="center" readingOrder="0" shrinkToFit="0" vertical="center" wrapText="1"/>
    </xf>
    <xf borderId="1" fillId="5" fontId="1" numFmtId="0" xfId="0" applyAlignment="1" applyBorder="1" applyFont="1">
      <alignment horizontal="center" readingOrder="0" shrinkToFit="0" vertical="center" wrapText="1"/>
    </xf>
    <xf borderId="0" fillId="0" fontId="11" numFmtId="0" xfId="0" applyAlignment="1" applyFont="1">
      <alignment horizontal="center" readingOrder="0" shrinkToFit="0" vertical="center" wrapText="1"/>
    </xf>
    <xf borderId="1" fillId="5" fontId="16" numFmtId="0" xfId="0" applyAlignment="1" applyBorder="1" applyFont="1">
      <alignment horizontal="center" readingOrder="0" shrinkToFit="0" vertical="center" wrapText="1"/>
    </xf>
    <xf borderId="1" fillId="5" fontId="1" numFmtId="0" xfId="0" applyAlignment="1" applyBorder="1" applyFont="1">
      <alignment horizontal="center" readingOrder="0" shrinkToFit="0" vertical="center" wrapText="1"/>
    </xf>
    <xf borderId="1" fillId="0" fontId="17" numFmtId="0" xfId="0" applyAlignment="1" applyBorder="1" applyFont="1">
      <alignment horizontal="center" readingOrder="0" shrinkToFit="0" vertical="center" wrapText="1"/>
    </xf>
    <xf borderId="1" fillId="6" fontId="1" numFmtId="0" xfId="0" applyAlignment="1" applyBorder="1" applyFill="1" applyFont="1">
      <alignment horizontal="center" readingOrder="0" shrinkToFit="0" vertical="center" wrapText="1"/>
    </xf>
    <xf borderId="1" fillId="4" fontId="18" numFmtId="0" xfId="0" applyAlignment="1" applyBorder="1" applyFont="1">
      <alignment horizontal="center" readingOrder="0" shrinkToFit="0" vertical="center" wrapText="1"/>
    </xf>
    <xf borderId="1" fillId="0" fontId="1" numFmtId="164" xfId="0" applyAlignment="1" applyBorder="1" applyFont="1" applyNumberFormat="1">
      <alignment horizontal="center" readingOrder="0" shrinkToFit="0" vertical="center" wrapText="1"/>
    </xf>
    <xf borderId="1" fillId="0" fontId="9"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4" fontId="3" numFmtId="0" xfId="0" applyAlignment="1" applyBorder="1" applyFont="1">
      <alignment horizontal="center" shrinkToFit="0" vertical="center" wrapText="1"/>
    </xf>
    <xf borderId="1" fillId="7" fontId="8" numFmtId="0" xfId="0" applyAlignment="1" applyBorder="1" applyFill="1" applyFont="1">
      <alignment horizontal="center" readingOrder="0" shrinkToFit="0" vertical="center" wrapText="1"/>
    </xf>
    <xf borderId="1" fillId="0" fontId="3" numFmtId="164" xfId="0" applyAlignment="1" applyBorder="1" applyFont="1" applyNumberFormat="1">
      <alignment horizontal="center" readingOrder="0" shrinkToFit="0" vertical="center" wrapText="1"/>
    </xf>
    <xf borderId="1" fillId="4" fontId="2" numFmtId="0" xfId="0" applyAlignment="1" applyBorder="1" applyFont="1">
      <alignment horizontal="center" shrinkToFit="0" wrapText="1"/>
    </xf>
    <xf borderId="1" fillId="4" fontId="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4" fontId="4" numFmtId="164" xfId="0" applyAlignment="1" applyBorder="1" applyFont="1" applyNumberFormat="1">
      <alignment horizontal="center" readingOrder="0" shrinkToFit="0" vertical="center" wrapText="1"/>
    </xf>
    <xf borderId="1" fillId="0" fontId="3" numFmtId="0" xfId="0" applyAlignment="1" applyBorder="1" applyFont="1">
      <alignment horizontal="center" shrinkToFit="0" vertical="center" wrapText="1"/>
    </xf>
    <xf borderId="0" fillId="0" fontId="11" numFmtId="0" xfId="0" applyAlignment="1" applyFont="1">
      <alignment readingOrder="0"/>
    </xf>
    <xf borderId="0" fillId="0" fontId="11" numFmtId="0" xfId="0" applyAlignment="1" applyFont="1">
      <alignment horizontal="center" readingOrder="0" vertical="center"/>
    </xf>
    <xf borderId="1" fillId="4" fontId="19" numFmtId="0" xfId="0" applyAlignment="1" applyBorder="1" applyFont="1">
      <alignment horizontal="center" readingOrder="0" shrinkToFit="0" vertical="center" wrapText="1"/>
    </xf>
    <xf borderId="0" fillId="4" fontId="13" numFmtId="0" xfId="0" applyAlignment="1" applyFont="1">
      <alignment horizontal="center" readingOrder="0" shrinkToFit="0" vertical="center" wrapText="1"/>
    </xf>
    <xf borderId="0" fillId="4" fontId="20" numFmtId="0" xfId="0" applyAlignment="1" applyFont="1">
      <alignment horizontal="center" readingOrder="0" shrinkToFit="0" vertical="center" wrapText="1"/>
    </xf>
    <xf borderId="1" fillId="8" fontId="1" numFmtId="0" xfId="0" applyAlignment="1" applyBorder="1" applyFill="1" applyFont="1">
      <alignment horizontal="center" readingOrder="0" shrinkToFit="0" vertical="center" wrapText="1"/>
    </xf>
    <xf borderId="1" fillId="4" fontId="21" numFmtId="0" xfId="0" applyAlignment="1" applyBorder="1" applyFont="1">
      <alignment horizontal="center" readingOrder="0" shrinkToFit="0" vertical="center" wrapText="1"/>
    </xf>
    <xf borderId="1" fillId="4" fontId="22" numFmtId="0" xfId="0" applyAlignment="1" applyBorder="1" applyFont="1">
      <alignment horizontal="center" readingOrder="0" shrinkToFit="0" vertical="center" wrapText="1"/>
    </xf>
    <xf borderId="1" fillId="4" fontId="6" numFmtId="0" xfId="0" applyAlignment="1" applyBorder="1" applyFont="1">
      <alignment horizontal="center" readingOrder="0" shrinkToFit="0" vertical="center" wrapText="1"/>
    </xf>
    <xf borderId="1" fillId="0" fontId="1" numFmtId="0" xfId="0" applyAlignment="1" applyBorder="1" applyFont="1">
      <alignment horizontal="center" readingOrder="0" vertical="center"/>
    </xf>
    <xf borderId="1" fillId="4" fontId="23" numFmtId="0" xfId="0" applyAlignment="1" applyBorder="1" applyFont="1">
      <alignment horizontal="center" readingOrder="0" shrinkToFit="0" vertical="center" wrapText="1"/>
    </xf>
    <xf borderId="1" fillId="4" fontId="23" numFmtId="0" xfId="0" applyAlignment="1" applyBorder="1" applyFont="1">
      <alignment horizontal="center" readingOrder="0" shrinkToFit="0" vertical="center" wrapText="1"/>
    </xf>
    <xf borderId="1" fillId="5" fontId="6" numFmtId="0" xfId="0" applyAlignment="1" applyBorder="1" applyFont="1">
      <alignment horizontal="center" readingOrder="0" shrinkToFit="0" vertical="center" wrapText="1"/>
    </xf>
    <xf borderId="1" fillId="8" fontId="2" numFmtId="165" xfId="0" applyAlignment="1" applyBorder="1" applyFont="1" applyNumberFormat="1">
      <alignment horizontal="center" readingOrder="0" shrinkToFit="0" vertical="center" wrapText="1"/>
    </xf>
    <xf borderId="1" fillId="0" fontId="4" numFmtId="164" xfId="0" applyAlignment="1" applyBorder="1" applyFont="1" applyNumberFormat="1">
      <alignment horizontal="center" readingOrder="0" shrinkToFit="0" vertical="center" wrapText="1"/>
    </xf>
    <xf borderId="1" fillId="0" fontId="2" numFmtId="165" xfId="0" applyAlignment="1" applyBorder="1" applyFont="1" applyNumberFormat="1">
      <alignment horizontal="center" readingOrder="0" shrinkToFit="0" vertical="center" wrapText="1"/>
    </xf>
    <xf borderId="1" fillId="0" fontId="2" numFmtId="0" xfId="0" applyAlignment="1" applyBorder="1" applyFont="1">
      <alignment horizontal="center" shrinkToFit="0" wrapText="1"/>
    </xf>
    <xf borderId="1" fillId="9" fontId="1" numFmtId="0" xfId="0" applyAlignment="1" applyBorder="1" applyFill="1" applyFont="1">
      <alignment horizontal="center" readingOrder="0" shrinkToFit="0" vertical="center" wrapText="1"/>
    </xf>
    <xf borderId="1" fillId="4" fontId="24" numFmtId="0" xfId="0" applyAlignment="1" applyBorder="1" applyFont="1">
      <alignment horizontal="center" readingOrder="0" shrinkToFit="0" vertical="center" wrapText="1"/>
    </xf>
    <xf borderId="1" fillId="4" fontId="25" numFmtId="0" xfId="0" applyAlignment="1" applyBorder="1" applyFont="1">
      <alignment horizontal="center" shrinkToFit="0" vertical="center" wrapText="1"/>
    </xf>
    <xf borderId="0" fillId="0" fontId="11" numFmtId="0" xfId="0" applyAlignment="1" applyFont="1">
      <alignment horizontal="center" readingOrder="0"/>
    </xf>
    <xf borderId="0" fillId="0" fontId="1" numFmtId="0" xfId="0" applyAlignment="1" applyFont="1">
      <alignment horizontal="center" readingOrder="0" vertical="center"/>
    </xf>
    <xf borderId="1" fillId="5" fontId="2" numFmtId="165" xfId="0" applyAlignment="1" applyBorder="1" applyFont="1" applyNumberFormat="1">
      <alignment horizontal="center" readingOrder="0" shrinkToFit="0" vertical="center" wrapText="1"/>
    </xf>
    <xf borderId="1" fillId="5" fontId="4" numFmtId="0" xfId="0" applyAlignment="1" applyBorder="1" applyFont="1">
      <alignment horizontal="center" readingOrder="0" shrinkToFit="0" vertical="center" wrapText="1"/>
    </xf>
    <xf borderId="1" fillId="4" fontId="6" numFmtId="164" xfId="0" applyBorder="1" applyFont="1" applyNumberFormat="1"/>
    <xf borderId="1" fillId="0" fontId="8" numFmtId="0" xfId="0" applyAlignment="1" applyBorder="1" applyFont="1">
      <alignment horizontal="center" readingOrder="0" shrinkToFit="0" vertical="center" wrapText="1"/>
    </xf>
    <xf borderId="0" fillId="0" fontId="21" numFmtId="0" xfId="0" applyAlignment="1" applyFont="1">
      <alignment horizontal="center" readingOrder="0" shrinkToFit="0" vertical="center" wrapText="1"/>
    </xf>
    <xf borderId="0" fillId="5" fontId="1" numFmtId="0" xfId="0" applyAlignment="1" applyFont="1">
      <alignment horizontal="center" readingOrder="0" vertical="center"/>
    </xf>
    <xf borderId="1" fillId="4" fontId="4" numFmtId="0" xfId="0" applyAlignment="1" applyBorder="1" applyFont="1">
      <alignment horizontal="center" readingOrder="0" shrinkToFit="0" vertical="top" wrapText="1"/>
    </xf>
    <xf borderId="1" fillId="4" fontId="26" numFmtId="0" xfId="0" applyAlignment="1" applyBorder="1" applyFont="1">
      <alignment horizontal="center" readingOrder="0" shrinkToFit="0" vertical="center" wrapText="1"/>
    </xf>
    <xf borderId="1" fillId="4" fontId="26" numFmtId="0" xfId="0" applyAlignment="1" applyBorder="1" applyFont="1">
      <alignment horizontal="center" shrinkToFit="0" vertical="center" wrapText="1"/>
    </xf>
    <xf borderId="0" fillId="4" fontId="21" numFmtId="0" xfId="0" applyAlignment="1" applyFont="1">
      <alignment horizontal="center" readingOrder="0" shrinkToFit="0" vertical="center" wrapText="1"/>
    </xf>
    <xf borderId="1" fillId="5" fontId="11" numFmtId="0" xfId="0" applyAlignment="1" applyBorder="1" applyFont="1">
      <alignment readingOrder="0"/>
    </xf>
    <xf borderId="1" fillId="4" fontId="1" numFmtId="0" xfId="0" applyAlignment="1" applyBorder="1" applyFont="1">
      <alignment horizontal="center" shrinkToFit="0" vertical="center" wrapText="1"/>
    </xf>
    <xf borderId="1" fillId="4" fontId="11" numFmtId="0" xfId="0" applyAlignment="1" applyBorder="1" applyFont="1">
      <alignment readingOrder="0"/>
    </xf>
    <xf borderId="1" fillId="0" fontId="14" numFmtId="0" xfId="0" applyAlignment="1" applyBorder="1" applyFont="1">
      <alignment horizontal="center" shrinkToFit="0" vertical="center" wrapText="1"/>
    </xf>
    <xf borderId="1" fillId="0" fontId="14" numFmtId="0" xfId="0" applyAlignment="1" applyBorder="1" applyFont="1">
      <alignment horizontal="center" readingOrder="0" shrinkToFit="0" vertical="center" wrapText="1"/>
    </xf>
    <xf borderId="1" fillId="4" fontId="14" numFmtId="0" xfId="0" applyAlignment="1" applyBorder="1" applyFont="1">
      <alignment horizontal="center" shrinkToFit="0" vertical="center" wrapText="1"/>
    </xf>
    <xf borderId="1" fillId="4" fontId="8" numFmtId="0" xfId="0" applyAlignment="1" applyBorder="1" applyFont="1">
      <alignment horizontal="center" shrinkToFit="0" vertical="center" wrapText="1"/>
    </xf>
    <xf borderId="0" fillId="4" fontId="11" numFmtId="0" xfId="0" applyAlignment="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4" fontId="2" numFmtId="165" xfId="0" applyAlignment="1" applyBorder="1" applyFont="1" applyNumberFormat="1">
      <alignment horizontal="center" readingOrder="0" shrinkToFit="0" vertical="center" wrapText="1"/>
    </xf>
    <xf borderId="1" fillId="5" fontId="8" numFmtId="0" xfId="0" applyAlignment="1" applyBorder="1" applyFont="1">
      <alignment horizontal="center" readingOrder="0" shrinkToFit="0" vertical="center" wrapText="1"/>
    </xf>
    <xf borderId="1" fillId="5" fontId="8" numFmtId="0" xfId="0" applyAlignment="1" applyBorder="1" applyFont="1">
      <alignment horizontal="center" shrinkToFit="0" wrapText="1"/>
    </xf>
    <xf borderId="1" fillId="4" fontId="14" numFmtId="0" xfId="0" applyAlignment="1" applyBorder="1" applyFont="1">
      <alignment horizontal="center" readingOrder="0" shrinkToFit="0" vertical="center" wrapText="1"/>
    </xf>
    <xf borderId="1" fillId="4" fontId="14" numFmtId="0" xfId="0" applyAlignment="1" applyBorder="1" applyFont="1">
      <alignment horizontal="center" readingOrder="0" shrinkToFit="0" vertical="center" wrapText="1"/>
    </xf>
    <xf borderId="1" fillId="4" fontId="8" numFmtId="0" xfId="0" applyAlignment="1" applyBorder="1" applyFont="1">
      <alignment horizontal="center" shrinkToFit="0" wrapText="1"/>
    </xf>
    <xf borderId="0" fillId="4" fontId="1" numFmtId="0" xfId="0" applyAlignment="1" applyFont="1">
      <alignment horizontal="center" readingOrder="0" vertical="center"/>
    </xf>
    <xf borderId="0" fillId="4" fontId="27" numFmtId="0" xfId="0" applyAlignment="1" applyFont="1">
      <alignment horizontal="center" readingOrder="0" shrinkToFit="0" vertical="center" wrapText="1"/>
    </xf>
    <xf borderId="1" fillId="4" fontId="17" numFmtId="0" xfId="0" applyAlignment="1" applyBorder="1" applyFont="1">
      <alignment horizontal="center" readingOrder="0" shrinkToFit="0" vertical="center" wrapText="1"/>
    </xf>
    <xf borderId="1" fillId="4" fontId="28" numFmtId="0" xfId="0" applyAlignment="1" applyBorder="1" applyFont="1">
      <alignment horizontal="center" shrinkToFit="0" vertical="center" wrapText="1"/>
    </xf>
    <xf borderId="1" fillId="0" fontId="6" numFmtId="0" xfId="0" applyBorder="1" applyFont="1"/>
    <xf borderId="1" fillId="4" fontId="29" numFmtId="164" xfId="0" applyAlignment="1" applyBorder="1" applyFont="1" applyNumberFormat="1">
      <alignment horizontal="center" readingOrder="0" shrinkToFit="0" vertical="center" wrapText="1"/>
    </xf>
    <xf borderId="1" fillId="0" fontId="2" numFmtId="0" xfId="0" applyAlignment="1" applyBorder="1" applyFont="1">
      <alignment horizontal="center" readingOrder="0" shrinkToFit="0" vertical="center" wrapText="1"/>
    </xf>
    <xf borderId="1" fillId="4" fontId="29"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5" fontId="29" numFmtId="0" xfId="0" applyAlignment="1" applyBorder="1" applyFont="1">
      <alignment horizontal="center" shrinkToFit="0" vertical="center" wrapText="1"/>
    </xf>
    <xf borderId="1" fillId="4" fontId="29" numFmtId="0" xfId="0" applyAlignment="1" applyBorder="1" applyFont="1">
      <alignment horizontal="center" readingOrder="0" shrinkToFit="0" vertical="center" wrapText="1"/>
    </xf>
    <xf borderId="1" fillId="4" fontId="30" numFmtId="0" xfId="0" applyAlignment="1" applyBorder="1" applyFont="1">
      <alignment horizontal="center" readingOrder="0" shrinkToFit="0" vertical="center" wrapText="1"/>
    </xf>
    <xf borderId="1" fillId="4" fontId="30" numFmtId="0" xfId="0" applyAlignment="1" applyBorder="1" applyFont="1">
      <alignment horizontal="center" readingOrder="0" shrinkToFit="0" vertical="center" wrapText="1"/>
    </xf>
    <xf borderId="1" fillId="4" fontId="30" numFmtId="0" xfId="0" applyAlignment="1" applyBorder="1" applyFont="1">
      <alignment horizontal="center" readingOrder="0" shrinkToFit="0" vertical="center" wrapText="1"/>
    </xf>
    <xf borderId="1" fillId="4" fontId="21" numFmtId="0" xfId="0" applyAlignment="1" applyBorder="1" applyFont="1">
      <alignment horizontal="center" readingOrder="0" shrinkToFit="0" vertical="center" wrapText="1"/>
    </xf>
    <xf borderId="1" fillId="4" fontId="1" numFmtId="0" xfId="0" applyAlignment="1" applyBorder="1" applyFont="1">
      <alignment horizontal="center" readingOrder="0" vertical="center"/>
    </xf>
    <xf borderId="1" fillId="4" fontId="14" numFmtId="164" xfId="0" applyAlignment="1" applyBorder="1" applyFont="1" applyNumberFormat="1">
      <alignment horizontal="center" readingOrder="0" shrinkToFit="0" vertical="center" wrapText="1"/>
    </xf>
    <xf borderId="1" fillId="0" fontId="1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6" numFmtId="0" xfId="0" applyAlignment="1" applyBorder="1" applyFont="1">
      <alignment horizontal="center" shrinkToFit="0" vertical="center" wrapText="1"/>
    </xf>
    <xf borderId="1" fillId="0" fontId="15" numFmtId="0" xfId="0" applyAlignment="1" applyBorder="1" applyFont="1">
      <alignment horizontal="center" readingOrder="0" shrinkToFit="0" vertical="center" wrapText="1"/>
    </xf>
    <xf borderId="1" fillId="4" fontId="15" numFmtId="0" xfId="0" applyAlignment="1" applyBorder="1" applyFont="1">
      <alignment horizontal="center" readingOrder="0" shrinkToFit="0" vertical="center" wrapText="1"/>
    </xf>
    <xf borderId="1" fillId="4" fontId="31" numFmtId="164" xfId="0" applyAlignment="1" applyBorder="1" applyFont="1" applyNumberFormat="1">
      <alignment horizontal="center" readingOrder="0" shrinkToFit="0" vertical="center" wrapText="1"/>
    </xf>
    <xf borderId="1" fillId="0" fontId="31" numFmtId="0" xfId="0" applyAlignment="1" applyBorder="1" applyFont="1">
      <alignment horizontal="center" readingOrder="0" shrinkToFit="0" vertical="center" wrapText="1"/>
    </xf>
    <xf borderId="1" fillId="0" fontId="31" numFmtId="0" xfId="0" applyAlignment="1" applyBorder="1" applyFont="1">
      <alignment horizontal="center" readingOrder="0" shrinkToFit="0" vertical="center" wrapText="1"/>
    </xf>
    <xf borderId="1" fillId="6" fontId="1" numFmtId="0" xfId="0" applyAlignment="1" applyBorder="1" applyFont="1">
      <alignment horizontal="center" shrinkToFit="0" vertical="center" wrapText="1"/>
    </xf>
    <xf borderId="1" fillId="4" fontId="15" numFmtId="0" xfId="0" applyAlignment="1" applyBorder="1" applyFont="1">
      <alignment horizontal="center" readingOrder="0" shrinkToFit="0" vertical="center" wrapText="1"/>
    </xf>
    <xf borderId="1" fillId="4" fontId="32" numFmtId="0" xfId="0" applyAlignment="1" applyBorder="1" applyFont="1">
      <alignment horizontal="center" readingOrder="0" shrinkToFit="0" vertical="center" wrapText="1"/>
    </xf>
    <xf borderId="1" fillId="10" fontId="8" numFmtId="0" xfId="0" applyAlignment="1" applyBorder="1" applyFill="1" applyFont="1">
      <alignment horizontal="center" readingOrder="0" shrinkToFit="0" vertical="center" wrapText="1"/>
    </xf>
    <xf borderId="1" fillId="0" fontId="15" numFmtId="0" xfId="0" applyAlignment="1" applyBorder="1" applyFont="1">
      <alignment horizontal="center" readingOrder="0" shrinkToFit="0" wrapText="1"/>
    </xf>
    <xf quotePrefix="1" borderId="1" fillId="4" fontId="1" numFmtId="0" xfId="0" applyAlignment="1" applyBorder="1" applyFont="1">
      <alignment horizontal="center" shrinkToFit="0" vertical="center" wrapText="1"/>
    </xf>
    <xf borderId="1" fillId="2" fontId="33" numFmtId="0" xfId="0" applyAlignment="1" applyBorder="1" applyFont="1">
      <alignment horizontal="center" shrinkToFit="0" vertical="center" wrapText="1"/>
    </xf>
    <xf borderId="1" fillId="4" fontId="15" numFmtId="0" xfId="0" applyAlignment="1" applyBorder="1" applyFont="1">
      <alignment horizontal="center" readingOrder="0" vertical="center"/>
    </xf>
    <xf borderId="0" fillId="0" fontId="22" numFmtId="0" xfId="0" applyAlignment="1" applyFont="1">
      <alignment horizontal="center" readingOrder="0"/>
    </xf>
    <xf borderId="1" fillId="4" fontId="1" numFmtId="165" xfId="0" applyAlignment="1" applyBorder="1" applyFont="1" applyNumberFormat="1">
      <alignment horizontal="center" readingOrder="0" shrinkToFit="0" vertical="center" wrapText="1"/>
    </xf>
    <xf borderId="1" fillId="4" fontId="29" numFmtId="0" xfId="0" applyAlignment="1" applyBorder="1" applyFont="1">
      <alignment horizontal="center" readingOrder="0" shrinkToFit="0" vertical="center" wrapText="1"/>
    </xf>
    <xf borderId="1" fillId="0" fontId="11" numFmtId="0" xfId="0" applyAlignment="1" applyBorder="1" applyFont="1">
      <alignment horizontal="center" readingOrder="0" vertical="center"/>
    </xf>
    <xf borderId="1" fillId="4" fontId="1" numFmtId="0" xfId="0" applyAlignment="1" applyBorder="1" applyFont="1">
      <alignment horizontal="center" readingOrder="2" shrinkToFit="0" vertical="center" wrapText="1"/>
    </xf>
    <xf borderId="1" fillId="4" fontId="29" numFmtId="165" xfId="0" applyAlignment="1" applyBorder="1" applyFont="1" applyNumberFormat="1">
      <alignment horizontal="center" readingOrder="0" shrinkToFit="0" vertical="center" wrapText="1"/>
    </xf>
    <xf borderId="1" fillId="5" fontId="3" numFmtId="0" xfId="0" applyAlignment="1" applyBorder="1" applyFont="1">
      <alignment horizontal="center" readingOrder="0" shrinkToFit="0" vertical="center" wrapText="1"/>
    </xf>
    <xf borderId="1" fillId="4" fontId="1" numFmtId="166" xfId="0" applyAlignment="1" applyBorder="1" applyFont="1" applyNumberFormat="1">
      <alignment horizontal="center" readingOrder="0" shrinkToFit="0" vertical="center" wrapText="1"/>
    </xf>
    <xf borderId="1" fillId="5" fontId="11" numFmtId="0" xfId="0" applyAlignment="1" applyBorder="1" applyFont="1">
      <alignment horizontal="center" readingOrder="0" vertical="center"/>
    </xf>
    <xf borderId="1" fillId="4" fontId="1" numFmtId="0" xfId="0" applyAlignment="1" applyBorder="1" applyFont="1">
      <alignment horizontal="center" readingOrder="0" shrinkToFit="0" vertical="center" wrapText="1"/>
    </xf>
    <xf borderId="1" fillId="4" fontId="29" numFmtId="164" xfId="0" applyAlignment="1" applyBorder="1" applyFont="1" applyNumberFormat="1">
      <alignment horizontal="center" shrinkToFit="0" vertical="center" wrapText="1"/>
    </xf>
    <xf borderId="1" fillId="4" fontId="6" numFmtId="0" xfId="0" applyAlignment="1" applyBorder="1" applyFont="1">
      <alignment readingOrder="0" shrinkToFit="0" vertical="center" wrapText="1"/>
    </xf>
    <xf borderId="1" fillId="4" fontId="11" numFmtId="0" xfId="0" applyAlignment="1" applyBorder="1" applyFont="1">
      <alignment horizontal="center" readingOrder="0" vertical="center"/>
    </xf>
    <xf borderId="1" fillId="4" fontId="31" numFmtId="0" xfId="0" applyAlignment="1" applyBorder="1" applyFont="1">
      <alignment horizontal="center" readingOrder="0" shrinkToFit="0" vertical="center" wrapText="1"/>
    </xf>
    <xf borderId="1" fillId="4" fontId="11" numFmtId="0" xfId="0" applyBorder="1" applyFont="1"/>
    <xf borderId="1" fillId="0" fontId="8" numFmtId="0" xfId="0" applyAlignment="1" applyBorder="1" applyFont="1">
      <alignment horizontal="center" readingOrder="0" shrinkToFit="0" vertical="center" wrapText="1"/>
    </xf>
    <xf borderId="0" fillId="0" fontId="27" numFmtId="0" xfId="0" applyAlignment="1" applyFont="1">
      <alignment horizontal="center" readingOrder="0" shrinkToFit="0" vertical="center" wrapText="1"/>
    </xf>
    <xf borderId="1" fillId="0" fontId="11" numFmtId="0" xfId="0" applyBorder="1" applyFont="1"/>
    <xf borderId="1" fillId="6" fontId="8" numFmtId="0" xfId="0" applyAlignment="1" applyBorder="1" applyFont="1">
      <alignment horizontal="center" readingOrder="0" shrinkToFit="0" vertical="center" wrapText="1"/>
    </xf>
    <xf borderId="1" fillId="4" fontId="25" numFmtId="0" xfId="0" applyAlignment="1" applyBorder="1" applyFont="1">
      <alignment horizontal="center" shrinkToFit="0" vertical="center" wrapText="0"/>
    </xf>
    <xf borderId="0" fillId="4" fontId="8" numFmtId="0" xfId="0" applyAlignment="1" applyFont="1">
      <alignment horizontal="center" readingOrder="0" shrinkToFit="0" wrapText="1"/>
    </xf>
    <xf borderId="1" fillId="4" fontId="2" numFmtId="0" xfId="0" applyAlignment="1" applyBorder="1" applyFont="1">
      <alignment horizontal="center" readingOrder="0" shrinkToFit="0" vertical="center" wrapText="0"/>
    </xf>
    <xf borderId="1" fillId="4" fontId="2" numFmtId="164" xfId="0" applyAlignment="1" applyBorder="1" applyFont="1" applyNumberFormat="1">
      <alignment horizontal="center" readingOrder="0" shrinkToFit="0" vertical="center" wrapText="0"/>
    </xf>
    <xf borderId="1" fillId="4" fontId="2" numFmtId="0" xfId="0" applyAlignment="1" applyBorder="1" applyFont="1">
      <alignment horizontal="center" readingOrder="0" shrinkToFit="0" vertical="center" wrapText="0"/>
    </xf>
    <xf borderId="1" fillId="0" fontId="5" numFmtId="0" xfId="0" applyAlignment="1" applyBorder="1" applyFont="1">
      <alignment horizontal="center" readingOrder="0" shrinkToFit="0" vertical="center" wrapText="0"/>
    </xf>
    <xf borderId="1" fillId="0" fontId="34" numFmtId="0" xfId="0" applyAlignment="1" applyBorder="1" applyFont="1">
      <alignment horizontal="center" readingOrder="0" shrinkToFit="0" vertical="center" wrapText="1"/>
    </xf>
    <xf borderId="1" fillId="4" fontId="2" numFmtId="165" xfId="0" applyAlignment="1" applyBorder="1" applyFont="1" applyNumberFormat="1">
      <alignment horizontal="center" readingOrder="0" shrinkToFit="0" vertical="center" wrapText="0"/>
    </xf>
    <xf borderId="1" fillId="0" fontId="35" numFmtId="0" xfId="0" applyAlignment="1" applyBorder="1" applyFont="1">
      <alignment horizontal="right" readingOrder="0" shrinkToFit="0" vertical="bottom" wrapText="0"/>
    </xf>
    <xf borderId="1" fillId="6" fontId="1" numFmtId="0" xfId="0" applyAlignment="1" applyBorder="1" applyFont="1">
      <alignment horizontal="center" readingOrder="0" shrinkToFit="0" vertical="center" wrapText="1"/>
    </xf>
    <xf borderId="0" fillId="4" fontId="21" numFmtId="0" xfId="0" applyAlignment="1" applyFont="1">
      <alignment horizontal="center" readingOrder="0" vertical="center"/>
    </xf>
    <xf borderId="1" fillId="4" fontId="2" numFmtId="0" xfId="0" applyAlignment="1" applyBorder="1" applyFont="1">
      <alignment horizontal="center" readingOrder="0" shrinkToFit="0" wrapText="0"/>
    </xf>
    <xf borderId="1" fillId="4" fontId="36" numFmtId="0" xfId="0" applyAlignment="1" applyBorder="1" applyFont="1">
      <alignment horizontal="center" readingOrder="0"/>
    </xf>
    <xf borderId="1" fillId="2" fontId="37" numFmtId="0" xfId="0" applyAlignment="1" applyBorder="1" applyFont="1">
      <alignment horizontal="center" readingOrder="0" shrinkToFit="0" vertical="center" wrapText="1"/>
    </xf>
    <xf borderId="1" fillId="2" fontId="37" numFmtId="0" xfId="0" applyAlignment="1" applyBorder="1" applyFont="1">
      <alignment horizontal="center" shrinkToFit="0" vertical="center" wrapText="1"/>
    </xf>
    <xf borderId="1" fillId="4" fontId="2" numFmtId="164" xfId="0" applyAlignment="1" applyBorder="1" applyFont="1" applyNumberFormat="1">
      <alignment horizontal="center" readingOrder="0" shrinkToFit="0" vertical="center" wrapText="1"/>
    </xf>
    <xf borderId="1" fillId="3" fontId="37" numFmtId="0" xfId="0" applyAlignment="1" applyBorder="1" applyFont="1">
      <alignment horizontal="center" readingOrder="0" shrinkToFit="0" vertical="center" wrapText="1"/>
    </xf>
    <xf borderId="1" fillId="3" fontId="37" numFmtId="0" xfId="0" applyAlignment="1" applyBorder="1" applyFont="1">
      <alignment horizontal="center" shrinkToFit="0" vertical="center" wrapText="1"/>
    </xf>
    <xf borderId="1" fillId="7" fontId="37"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1" fillId="4" fontId="37" numFmtId="0" xfId="0" applyAlignment="1" applyBorder="1" applyFont="1">
      <alignment horizontal="center" readingOrder="0" shrinkToFit="0" vertical="center" wrapText="1"/>
    </xf>
    <xf borderId="1" fillId="4" fontId="37" numFmtId="167" xfId="0" applyAlignment="1" applyBorder="1" applyFont="1" applyNumberFormat="1">
      <alignment horizontal="center" readingOrder="0" shrinkToFit="0" vertical="center" wrapText="1"/>
    </xf>
    <xf borderId="1" fillId="4" fontId="37" numFmtId="0" xfId="0" applyAlignment="1" applyBorder="1" applyFont="1">
      <alignment horizontal="center" readingOrder="0" shrinkToFit="0" vertical="center" wrapText="1"/>
    </xf>
    <xf borderId="1" fillId="0" fontId="38" numFmtId="0" xfId="0" applyAlignment="1" applyBorder="1" applyFont="1">
      <alignment horizontal="center" readingOrder="0" shrinkToFit="0" vertical="center" wrapText="1"/>
    </xf>
    <xf borderId="1" fillId="0" fontId="39"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0"/>
    </xf>
    <xf borderId="1" fillId="4" fontId="2" numFmtId="165" xfId="0" applyAlignment="1" applyBorder="1" applyFont="1" applyNumberFormat="1">
      <alignment horizontal="center" shrinkToFit="0" vertical="center" wrapText="0"/>
    </xf>
    <xf borderId="1" fillId="4" fontId="2" numFmtId="0" xfId="0" applyAlignment="1" applyBorder="1" applyFont="1">
      <alignment horizontal="center" shrinkToFit="0" vertical="center" wrapText="0"/>
    </xf>
    <xf borderId="1" fillId="0" fontId="11" numFmtId="0" xfId="0" applyAlignment="1" applyBorder="1" applyFont="1">
      <alignment horizontal="center" readingOrder="0" shrinkToFit="0" vertical="center" wrapText="0"/>
    </xf>
    <xf borderId="1" fillId="0" fontId="37" numFmtId="0" xfId="0" applyAlignment="1" applyBorder="1" applyFont="1">
      <alignment horizontal="center" readingOrder="0" shrinkToFit="0" vertical="center" wrapText="1"/>
    </xf>
    <xf borderId="1" fillId="4" fontId="38" numFmtId="0" xfId="0" applyAlignment="1" applyBorder="1" applyFont="1">
      <alignment horizontal="center" readingOrder="0" shrinkToFit="0" vertical="center" wrapText="1"/>
    </xf>
    <xf borderId="1" fillId="4" fontId="2" numFmtId="0" xfId="0" applyAlignment="1" applyBorder="1" applyFont="1">
      <alignment horizontal="center" shrinkToFit="0" vertical="center" wrapText="1"/>
    </xf>
    <xf borderId="1" fillId="0" fontId="40"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0"/>
    </xf>
    <xf borderId="1" fillId="4" fontId="5" numFmtId="0" xfId="0" applyAlignment="1" applyBorder="1" applyFont="1">
      <alignment horizontal="center" readingOrder="0" shrinkToFit="0" vertical="center" wrapText="0"/>
    </xf>
    <xf borderId="1" fillId="4" fontId="2" numFmtId="0" xfId="0" applyAlignment="1" applyBorder="1" applyFont="1">
      <alignment horizontal="center" readingOrder="0" shrinkToFit="0" vertical="center" wrapText="0"/>
    </xf>
    <xf borderId="1" fillId="4" fontId="34" numFmtId="0" xfId="0" applyAlignment="1" applyBorder="1" applyFont="1">
      <alignment horizontal="center" readingOrder="0" shrinkToFit="0" vertical="center" wrapText="1"/>
    </xf>
    <xf borderId="1" fillId="0" fontId="41" numFmtId="0" xfId="0" applyAlignment="1" applyBorder="1" applyFont="1">
      <alignment horizontal="center" readingOrder="0" shrinkToFit="0" vertical="center" wrapText="0"/>
    </xf>
    <xf borderId="1" fillId="0" fontId="37" numFmtId="0" xfId="0" applyAlignment="1" applyBorder="1" applyFont="1">
      <alignment horizontal="center" readingOrder="0" shrinkToFit="0" vertical="center" wrapText="1"/>
    </xf>
    <xf borderId="1" fillId="0" fontId="29" numFmtId="0" xfId="0" applyAlignment="1" applyBorder="1" applyFont="1">
      <alignment horizontal="center" shrinkToFit="0" vertical="center" wrapText="1"/>
    </xf>
    <xf borderId="1" fillId="5" fontId="3" numFmtId="0" xfId="0" applyAlignment="1" applyBorder="1" applyFont="1">
      <alignment horizontal="center" shrinkToFit="0" vertical="center" wrapText="1"/>
    </xf>
    <xf borderId="1" fillId="5" fontId="42" numFmtId="0" xfId="0" applyAlignment="1" applyBorder="1" applyFont="1">
      <alignment horizontal="center" readingOrder="0" shrinkToFit="0" vertical="center" wrapText="1"/>
    </xf>
    <xf borderId="1" fillId="5" fontId="42" numFmtId="0" xfId="0" applyAlignment="1" applyBorder="1" applyFont="1">
      <alignment horizontal="center" shrinkToFit="0" vertical="center" wrapText="1"/>
    </xf>
    <xf borderId="1" fillId="4" fontId="42" numFmtId="165" xfId="0" applyAlignment="1" applyBorder="1" applyFont="1" applyNumberFormat="1">
      <alignment horizontal="center" shrinkToFit="0" vertical="center" wrapText="1"/>
    </xf>
    <xf borderId="1" fillId="0" fontId="42" numFmtId="0" xfId="0" applyAlignment="1" applyBorder="1" applyFont="1">
      <alignment horizontal="center" shrinkToFit="0" vertical="center" wrapText="1"/>
    </xf>
    <xf borderId="1" fillId="4" fontId="42" numFmtId="0" xfId="0" applyAlignment="1" applyBorder="1" applyFont="1">
      <alignment horizontal="center" shrinkToFit="0" vertical="center" wrapText="1"/>
    </xf>
    <xf borderId="1" fillId="4" fontId="1" numFmtId="0" xfId="0" applyAlignment="1" applyBorder="1" applyFont="1">
      <alignment horizontal="center" readingOrder="0" shrinkToFit="0" vertical="center" wrapText="1"/>
    </xf>
    <xf borderId="1" fillId="4" fontId="39" numFmtId="0" xfId="0" applyAlignment="1" applyBorder="1" applyFont="1">
      <alignment horizontal="center" readingOrder="0" shrinkToFit="0" vertical="center" wrapText="1"/>
    </xf>
    <xf borderId="1" fillId="2" fontId="37" numFmtId="165" xfId="0" applyAlignment="1" applyBorder="1" applyFont="1" applyNumberFormat="1">
      <alignment horizontal="center" readingOrder="0" shrinkToFit="0" vertical="center" wrapText="1"/>
    </xf>
    <xf borderId="1" fillId="4" fontId="1" numFmtId="167" xfId="0" applyAlignment="1" applyBorder="1" applyFont="1" applyNumberFormat="1">
      <alignment horizontal="center" readingOrder="0" shrinkToFit="0" vertical="center" wrapText="1"/>
    </xf>
    <xf borderId="1" fillId="4" fontId="43" numFmtId="0" xfId="0" applyAlignment="1" applyBorder="1" applyFont="1">
      <alignment horizontal="center" shrinkToFit="0" vertical="center" wrapText="1"/>
    </xf>
    <xf borderId="1" fillId="4" fontId="43" numFmtId="165" xfId="0" applyAlignment="1" applyBorder="1" applyFont="1" applyNumberFormat="1">
      <alignment horizontal="center" shrinkToFit="0" vertical="center" wrapText="1"/>
    </xf>
    <xf borderId="1" fillId="4" fontId="43" numFmtId="0" xfId="0" applyAlignment="1" applyBorder="1" applyFont="1">
      <alignment horizontal="center" readingOrder="0" shrinkToFit="0" vertical="center" wrapText="1"/>
    </xf>
    <xf borderId="1" fillId="4" fontId="15" numFmtId="0" xfId="0" applyAlignment="1" applyBorder="1" applyFont="1">
      <alignment horizontal="center" shrinkToFit="0" vertical="center" wrapText="1"/>
    </xf>
    <xf borderId="1" fillId="4" fontId="43" numFmtId="168" xfId="0" applyAlignment="1" applyBorder="1" applyFont="1" applyNumberFormat="1">
      <alignment horizontal="center" shrinkToFit="0" vertical="center" wrapText="1"/>
    </xf>
    <xf borderId="1" fillId="4" fontId="26" numFmtId="0" xfId="0" applyAlignment="1" applyBorder="1" applyFont="1">
      <alignment horizontal="center" readingOrder="0" shrinkToFit="0" vertical="center" wrapText="1"/>
    </xf>
    <xf borderId="1" fillId="5" fontId="26" numFmtId="0" xfId="0" applyAlignment="1" applyBorder="1" applyFont="1">
      <alignment horizontal="center" readingOrder="0" shrinkToFit="0" vertical="center" wrapText="1"/>
    </xf>
    <xf borderId="1" fillId="0" fontId="39"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0"/>
    </xf>
    <xf borderId="1" fillId="4" fontId="1" numFmtId="0" xfId="0" applyAlignment="1" applyBorder="1" applyFont="1">
      <alignment horizontal="center" readingOrder="0" shrinkToFit="0" vertical="center" wrapText="0"/>
    </xf>
    <xf borderId="1" fillId="4" fontId="1" numFmtId="0" xfId="0" applyAlignment="1" applyBorder="1" applyFont="1">
      <alignment horizontal="center" readingOrder="0" shrinkToFit="0" vertical="center" wrapText="1"/>
    </xf>
    <xf borderId="1" fillId="0" fontId="11" numFmtId="0" xfId="0" applyAlignment="1" applyBorder="1" applyFont="1">
      <alignment readingOrder="0" shrinkToFit="0" wrapText="0"/>
    </xf>
    <xf borderId="1" fillId="0" fontId="2" numFmtId="164" xfId="0" applyAlignment="1" applyBorder="1" applyFont="1" applyNumberFormat="1">
      <alignment horizontal="center" readingOrder="0" shrinkToFit="0" vertical="center" wrapText="0"/>
    </xf>
    <xf borderId="1" fillId="0" fontId="2" numFmtId="165" xfId="0" applyAlignment="1" applyBorder="1" applyFont="1" applyNumberFormat="1">
      <alignment horizontal="center" readingOrder="0" shrinkToFit="0" vertical="center" wrapText="0"/>
    </xf>
    <xf borderId="1" fillId="5" fontId="2" numFmtId="0" xfId="0" applyAlignment="1" applyBorder="1" applyFont="1">
      <alignment horizontal="center" readingOrder="0" shrinkToFit="0" vertical="center" wrapText="1"/>
    </xf>
    <xf borderId="0" fillId="11" fontId="44" numFmtId="0" xfId="0" applyAlignment="1" applyFill="1" applyFont="1">
      <alignment readingOrder="0"/>
    </xf>
    <xf borderId="0" fillId="12" fontId="45" numFmtId="0" xfId="0" applyAlignment="1" applyFill="1" applyFont="1">
      <alignment readingOrder="0" shrinkToFit="0" wrapText="0"/>
    </xf>
    <xf borderId="1" fillId="4" fontId="39" numFmtId="0" xfId="0" applyAlignment="1" applyBorder="1" applyFont="1">
      <alignment horizontal="center" readingOrder="0" shrinkToFit="0" vertical="center" wrapText="1"/>
    </xf>
    <xf borderId="1" fillId="4" fontId="46" numFmtId="0" xfId="0" applyAlignment="1" applyBorder="1" applyFont="1">
      <alignment horizontal="center" readingOrder="0" shrinkToFit="0" vertical="center" wrapText="1"/>
    </xf>
    <xf borderId="1" fillId="4" fontId="8" numFmtId="0" xfId="0" applyAlignment="1" applyBorder="1" applyFont="1">
      <alignment horizontal="center" readingOrder="0" shrinkToFit="0" vertical="center" wrapText="0"/>
    </xf>
    <xf borderId="1" fillId="4" fontId="8" numFmtId="0" xfId="0" applyAlignment="1" applyBorder="1" applyFont="1">
      <alignment horizontal="center" shrinkToFit="0" vertical="center" wrapText="0"/>
    </xf>
    <xf borderId="1" fillId="4" fontId="47" numFmtId="0" xfId="0" applyAlignment="1" applyBorder="1" applyFont="1">
      <alignment horizontal="center" readingOrder="0" shrinkToFit="0" vertical="center" wrapText="1"/>
    </xf>
    <xf borderId="1" fillId="0" fontId="11" numFmtId="0" xfId="0" applyAlignment="1" applyBorder="1" applyFont="1">
      <alignment horizontal="center" readingOrder="0" shrinkToFit="0" wrapText="1"/>
    </xf>
    <xf borderId="1" fillId="5" fontId="2" numFmtId="165" xfId="0" applyAlignment="1" applyBorder="1" applyFont="1" applyNumberFormat="1">
      <alignment horizontal="center" readingOrder="0" shrinkToFit="0" vertical="center" wrapText="0"/>
    </xf>
    <xf borderId="1" fillId="5" fontId="2" numFmtId="0" xfId="0" applyAlignment="1" applyBorder="1" applyFont="1">
      <alignment horizontal="center" readingOrder="0" shrinkToFit="0" vertical="center" wrapText="0"/>
    </xf>
    <xf borderId="1" fillId="5" fontId="5" numFmtId="0" xfId="0" applyAlignment="1" applyBorder="1" applyFont="1">
      <alignment horizontal="center" readingOrder="0" shrinkToFit="0" vertical="center" wrapText="0"/>
    </xf>
    <xf borderId="1" fillId="4" fontId="48" numFmtId="0" xfId="0" applyAlignment="1" applyBorder="1" applyFont="1">
      <alignment horizontal="center" readingOrder="0" shrinkToFit="0" vertical="center" wrapText="1"/>
    </xf>
    <xf borderId="1" fillId="5" fontId="2" numFmtId="0" xfId="0" applyAlignment="1" applyBorder="1" applyFont="1">
      <alignment horizontal="center" readingOrder="0" shrinkToFit="0" vertical="center" wrapText="0"/>
    </xf>
    <xf borderId="1" fillId="5" fontId="34" numFmtId="0" xfId="0" applyAlignment="1" applyBorder="1" applyFont="1">
      <alignment horizontal="center" readingOrder="0" shrinkToFit="0" vertical="center" wrapText="1"/>
    </xf>
    <xf borderId="1" fillId="5" fontId="35" numFmtId="0" xfId="0" applyAlignment="1" applyBorder="1" applyFont="1">
      <alignment horizontal="right" readingOrder="0" shrinkToFit="0" vertical="bottom" wrapText="0"/>
    </xf>
    <xf borderId="1" fillId="4" fontId="35" numFmtId="0" xfId="0" applyAlignment="1" applyBorder="1" applyFont="1">
      <alignment horizontal="right" readingOrder="0" shrinkToFit="0" vertical="bottom" wrapText="0"/>
    </xf>
    <xf borderId="1" fillId="4" fontId="6" numFmtId="0" xfId="0" applyAlignment="1" applyBorder="1" applyFont="1">
      <alignment horizontal="center" readingOrder="0" shrinkToFit="0" vertical="center" wrapText="1"/>
    </xf>
    <xf borderId="1" fillId="4" fontId="6" numFmtId="0" xfId="0" applyAlignment="1" applyBorder="1" applyFont="1">
      <alignment horizontal="center" shrinkToFit="0" vertical="center" wrapText="1"/>
    </xf>
    <xf borderId="1" fillId="4" fontId="6" numFmtId="165" xfId="0" applyAlignment="1" applyBorder="1" applyFont="1" applyNumberFormat="1">
      <alignment horizontal="center" shrinkToFit="0" vertical="center" wrapText="1"/>
    </xf>
    <xf borderId="1" fillId="5" fontId="6" numFmtId="0" xfId="0" applyAlignment="1" applyBorder="1" applyFont="1">
      <alignment horizontal="center" readingOrder="0" shrinkToFit="0" vertical="center" wrapText="1"/>
    </xf>
    <xf borderId="1" fillId="5" fontId="15" numFmtId="0" xfId="0" applyAlignment="1" applyBorder="1" applyFont="1">
      <alignment horizontal="center" readingOrder="0" shrinkToFit="0" vertical="center" wrapText="1"/>
    </xf>
    <xf borderId="1" fillId="5" fontId="6" numFmtId="0" xfId="0" applyAlignment="1" applyBorder="1" applyFont="1">
      <alignment horizontal="center" shrinkToFit="0" vertical="center" wrapText="1"/>
    </xf>
    <xf borderId="1" fillId="4" fontId="48" numFmtId="0" xfId="0" applyAlignment="1" applyBorder="1" applyFont="1">
      <alignment horizontal="center" shrinkToFit="0" vertical="center" wrapText="1"/>
    </xf>
    <xf borderId="1" fillId="5" fontId="48" numFmtId="0" xfId="0" applyAlignment="1" applyBorder="1" applyFont="1">
      <alignment horizontal="center" shrinkToFit="0" vertical="center" wrapText="1"/>
    </xf>
    <xf borderId="0" fillId="5" fontId="27" numFmtId="0" xfId="0" applyAlignment="1" applyFont="1">
      <alignment horizontal="center" readingOrder="0" shrinkToFit="0" vertical="center" wrapText="1"/>
    </xf>
    <xf borderId="1" fillId="4" fontId="1" numFmtId="21" xfId="0" applyAlignment="1" applyBorder="1" applyFont="1" applyNumberFormat="1">
      <alignment horizontal="center" readingOrder="0" shrinkToFit="0" vertical="center" wrapText="1"/>
    </xf>
    <xf borderId="1" fillId="5" fontId="34" numFmtId="0" xfId="0" applyAlignment="1" applyBorder="1" applyFont="1">
      <alignment horizontal="center" readingOrder="0" shrinkToFit="0" vertical="center" wrapText="1"/>
    </xf>
    <xf borderId="1" fillId="4" fontId="41" numFmtId="0" xfId="0" applyAlignment="1" applyBorder="1" applyFont="1">
      <alignment horizontal="center" readingOrder="0" shrinkToFit="0" vertical="center" wrapText="1"/>
    </xf>
    <xf borderId="1" fillId="4" fontId="48" numFmtId="0" xfId="0" applyAlignment="1" applyBorder="1" applyFont="1">
      <alignment horizontal="center" readingOrder="0" shrinkToFit="0" vertical="center" wrapText="1"/>
    </xf>
    <xf borderId="1" fillId="0" fontId="38" numFmtId="0" xfId="0" applyAlignment="1" applyBorder="1" applyFont="1">
      <alignment horizontal="center" shrinkToFit="0" vertical="center" wrapText="1"/>
    </xf>
    <xf borderId="1" fillId="4" fontId="37" numFmtId="0" xfId="0" applyAlignment="1" applyBorder="1" applyFont="1">
      <alignment horizontal="center" shrinkToFit="0" vertical="center" wrapText="1"/>
    </xf>
    <xf borderId="1" fillId="0" fontId="38" numFmtId="0" xfId="0" applyAlignment="1" applyBorder="1" applyFont="1">
      <alignment horizontal="center" readingOrder="0" shrinkToFit="0" vertical="center" wrapText="1"/>
    </xf>
    <xf borderId="1" fillId="9" fontId="34" numFmtId="0" xfId="0" applyAlignment="1" applyBorder="1" applyFont="1">
      <alignment horizontal="center" readingOrder="0" shrinkToFit="0" vertical="center" wrapText="1"/>
    </xf>
    <xf borderId="1" fillId="5" fontId="48" numFmtId="0" xfId="0" applyAlignment="1" applyBorder="1" applyFont="1">
      <alignment horizontal="center" readingOrder="0" shrinkToFit="0" vertical="center" wrapText="1"/>
    </xf>
    <xf borderId="1" fillId="4" fontId="37" numFmtId="19" xfId="0" applyAlignment="1" applyBorder="1" applyFont="1" applyNumberFormat="1">
      <alignment horizontal="center" readingOrder="0" shrinkToFit="0" vertical="center" wrapText="1"/>
    </xf>
    <xf borderId="1" fillId="4" fontId="49" numFmtId="0" xfId="0" applyAlignment="1" applyBorder="1" applyFont="1">
      <alignment horizontal="center" readingOrder="0" shrinkToFit="0" vertical="center" wrapText="1"/>
    </xf>
    <xf borderId="1" fillId="4" fontId="49" numFmtId="0" xfId="0" applyAlignment="1" applyBorder="1" applyFont="1">
      <alignment horizontal="center" readingOrder="0" shrinkToFit="0" vertical="center" wrapText="1"/>
    </xf>
    <xf borderId="1" fillId="4" fontId="11" numFmtId="0" xfId="0" applyAlignment="1" applyBorder="1" applyFont="1">
      <alignment horizontal="center" readingOrder="0" shrinkToFit="0" vertical="center" wrapText="1"/>
    </xf>
    <xf borderId="1" fillId="5" fontId="11" numFmtId="0" xfId="0" applyAlignment="1" applyBorder="1" applyFont="1">
      <alignment horizontal="center" readingOrder="0" shrinkToFit="0" vertical="center" wrapText="1"/>
    </xf>
    <xf borderId="0" fillId="4" fontId="37" numFmtId="0" xfId="0" applyAlignment="1" applyFont="1">
      <alignment horizontal="center" readingOrder="0" shrinkToFit="0" vertical="center" wrapText="1"/>
    </xf>
    <xf borderId="0" fillId="4" fontId="1" numFmtId="167" xfId="0" applyAlignment="1" applyFont="1" applyNumberFormat="1">
      <alignment horizontal="center" readingOrder="0" shrinkToFit="0" vertical="center" wrapText="1"/>
    </xf>
    <xf borderId="0" fillId="4" fontId="8" numFmtId="0" xfId="0" applyAlignment="1" applyFont="1">
      <alignment horizontal="center" readingOrder="0" shrinkToFit="0" vertical="center" wrapText="1"/>
    </xf>
    <xf borderId="0" fillId="4" fontId="2" numFmtId="0" xfId="0" applyAlignment="1" applyFont="1">
      <alignment horizontal="center" readingOrder="0" shrinkToFit="0" vertical="center" wrapText="1"/>
    </xf>
    <xf borderId="0" fillId="4" fontId="8" numFmtId="0" xfId="0" applyAlignment="1" applyFont="1">
      <alignment horizontal="center" readingOrder="0" shrinkToFit="0" vertical="center" wrapText="1"/>
    </xf>
    <xf borderId="1" fillId="4" fontId="11" numFmtId="0" xfId="0" applyAlignment="1" applyBorder="1" applyFont="1">
      <alignment horizontal="center" readingOrder="0" shrinkToFit="0" vertical="center" wrapText="1"/>
    </xf>
    <xf borderId="0" fillId="4" fontId="15" numFmtId="0" xfId="0" applyAlignment="1" applyFont="1">
      <alignment horizontal="center" readingOrder="0" shrinkToFit="0" vertical="center" wrapText="1"/>
    </xf>
    <xf borderId="0" fillId="4" fontId="14" numFmtId="0" xfId="0" applyAlignment="1" applyFont="1">
      <alignment horizontal="center" readingOrder="0" shrinkToFit="0" vertical="center" wrapText="1"/>
    </xf>
    <xf borderId="0" fillId="4" fontId="43" numFmtId="0" xfId="0" applyAlignment="1" applyFont="1">
      <alignment horizontal="center" shrinkToFit="0" vertical="center" wrapText="1"/>
    </xf>
    <xf borderId="0" fillId="4" fontId="43" numFmtId="165" xfId="0" applyAlignment="1" applyFont="1" applyNumberFormat="1">
      <alignment horizontal="center" shrinkToFit="0" vertical="center" wrapText="1"/>
    </xf>
    <xf borderId="0" fillId="0" fontId="6" numFmtId="0" xfId="0" applyAlignment="1" applyFont="1">
      <alignment horizontal="center" readingOrder="0" shrinkToFit="0" vertical="center" wrapText="1"/>
    </xf>
    <xf borderId="0" fillId="4" fontId="14" numFmtId="0" xfId="0" applyAlignment="1" applyFont="1">
      <alignment horizontal="center" shrinkToFit="0" vertical="center" wrapText="1"/>
    </xf>
    <xf borderId="1" fillId="0" fontId="34" numFmtId="0" xfId="0" applyAlignment="1" applyBorder="1" applyFont="1">
      <alignment horizontal="center" readingOrder="0" shrinkToFit="0" vertical="center" wrapText="1"/>
    </xf>
    <xf borderId="1" fillId="5" fontId="11" numFmtId="0" xfId="0" applyAlignment="1" applyBorder="1" applyFont="1">
      <alignment horizontal="center" readingOrder="0" shrinkToFit="0" vertical="center" wrapText="1"/>
    </xf>
    <xf borderId="1" fillId="4" fontId="37" numFmtId="167" xfId="0" applyAlignment="1" applyBorder="1" applyFont="1" applyNumberFormat="1">
      <alignment horizontal="center" shrinkToFit="0" vertical="center" wrapText="1"/>
    </xf>
    <xf borderId="1" fillId="0" fontId="41" numFmtId="0" xfId="0" applyAlignment="1" applyBorder="1" applyFont="1">
      <alignment horizontal="center" shrinkToFit="0" vertical="center" wrapText="1"/>
    </xf>
    <xf borderId="1" fillId="0" fontId="41" numFmtId="0" xfId="0" applyAlignment="1" applyBorder="1" applyFont="1">
      <alignment horizontal="center" readingOrder="0" shrinkToFit="0" vertical="center" wrapText="1"/>
    </xf>
    <xf borderId="1" fillId="0" fontId="39" numFmtId="0" xfId="0" applyAlignment="1" applyBorder="1" applyFont="1">
      <alignment horizontal="center" shrinkToFit="0" vertical="center" wrapText="1"/>
    </xf>
    <xf borderId="1" fillId="4" fontId="41" numFmtId="0" xfId="0" applyAlignment="1" applyBorder="1" applyFont="1">
      <alignment horizontal="center" shrinkToFit="0" vertical="center" wrapText="1"/>
    </xf>
    <xf borderId="1" fillId="13" fontId="2" numFmtId="0" xfId="0" applyAlignment="1" applyBorder="1" applyFill="1" applyFont="1">
      <alignment horizontal="center" shrinkToFit="0" vertical="center" wrapText="1"/>
    </xf>
    <xf borderId="1" fillId="13" fontId="2" numFmtId="0" xfId="0" applyAlignment="1" applyBorder="1" applyFont="1">
      <alignment horizontal="center" readingOrder="0" shrinkToFit="0" vertical="center" wrapText="1"/>
    </xf>
    <xf borderId="1" fillId="4" fontId="41" numFmtId="0" xfId="0" applyAlignment="1" applyBorder="1" applyFont="1">
      <alignment horizontal="center" readingOrder="0" shrinkToFit="0" vertical="center" wrapText="1"/>
    </xf>
    <xf borderId="1" fillId="14" fontId="39" numFmtId="0" xfId="0" applyAlignment="1" applyBorder="1" applyFill="1" applyFont="1">
      <alignment horizontal="center" readingOrder="0" shrinkToFit="0" vertical="center" wrapText="1"/>
    </xf>
    <xf borderId="0" fillId="0" fontId="11" numFmtId="0" xfId="0" applyAlignment="1" applyFont="1">
      <alignment readingOrder="0" shrinkToFit="0" wrapText="0"/>
    </xf>
    <xf borderId="1" fillId="4" fontId="2" numFmtId="165" xfId="0" applyAlignment="1" applyBorder="1" applyFont="1" applyNumberFormat="1">
      <alignment horizontal="center" readingOrder="0" shrinkToFit="0" vertical="center" wrapText="0"/>
    </xf>
    <xf borderId="1" fillId="4" fontId="39" numFmtId="0" xfId="0" applyAlignment="1" applyBorder="1" applyFont="1">
      <alignment horizontal="center" shrinkToFit="0" vertical="center" wrapText="1"/>
    </xf>
    <xf borderId="1" fillId="0" fontId="41" numFmtId="0" xfId="0" applyAlignment="1" applyBorder="1" applyFont="1">
      <alignment horizontal="center" readingOrder="0" shrinkToFit="0" vertical="center" wrapText="1"/>
    </xf>
    <xf borderId="1" fillId="4" fontId="6" numFmtId="164" xfId="0" applyAlignment="1" applyBorder="1" applyFont="1" applyNumberFormat="1">
      <alignment horizontal="center" shrinkToFit="0" vertical="center" wrapText="1"/>
    </xf>
    <xf borderId="1" fillId="0" fontId="50" numFmtId="0" xfId="0" applyAlignment="1" applyBorder="1" applyFont="1">
      <alignment horizontal="center" readingOrder="0" shrinkToFit="0" vertical="center" wrapText="1"/>
    </xf>
    <xf borderId="1" fillId="4" fontId="39" numFmtId="0" xfId="0" applyAlignment="1" applyBorder="1" applyFont="1">
      <alignment horizontal="center" readingOrder="1" shrinkToFit="0" vertical="center" wrapText="1"/>
    </xf>
    <xf borderId="1" fillId="4" fontId="11" numFmtId="0" xfId="0" applyAlignment="1" applyBorder="1" applyFont="1">
      <alignment readingOrder="0" shrinkToFit="0" wrapText="0"/>
    </xf>
    <xf borderId="1" fillId="4" fontId="2" numFmtId="0" xfId="0" applyAlignment="1" applyBorder="1" applyFont="1">
      <alignment horizontal="center" readingOrder="0" shrinkToFit="0" wrapText="1"/>
    </xf>
    <xf borderId="1" fillId="4" fontId="51" numFmtId="0" xfId="0" applyAlignment="1" applyBorder="1" applyFont="1">
      <alignment horizontal="center" shrinkToFit="0" vertical="center" wrapText="1"/>
    </xf>
    <xf borderId="1" fillId="4" fontId="52" numFmtId="0" xfId="0" applyAlignment="1" applyBorder="1" applyFont="1">
      <alignment horizontal="center" readingOrder="0" shrinkToFit="0" vertical="center" wrapText="1"/>
    </xf>
    <xf borderId="1" fillId="4" fontId="2" numFmtId="166" xfId="0" applyAlignment="1" applyBorder="1" applyFont="1" applyNumberFormat="1">
      <alignment horizontal="center" readingOrder="0" shrinkToFit="0" vertical="center" wrapText="1"/>
    </xf>
    <xf borderId="1" fillId="0" fontId="41" numFmtId="167" xfId="0" applyAlignment="1" applyBorder="1" applyFont="1" applyNumberFormat="1">
      <alignment horizontal="center" shrinkToFit="0" vertical="center" wrapText="1"/>
    </xf>
    <xf borderId="0" fillId="4" fontId="3" numFmtId="0" xfId="0" applyAlignment="1" applyFont="1">
      <alignment horizontal="center" readingOrder="0" shrinkToFit="0" vertical="center" wrapText="1"/>
    </xf>
    <xf borderId="1" fillId="4" fontId="49" numFmtId="0" xfId="0" applyAlignment="1" applyBorder="1" applyFont="1">
      <alignment horizontal="center" shrinkToFit="0" vertical="center" wrapText="1"/>
    </xf>
    <xf borderId="0" fillId="11" fontId="3" numFmtId="0" xfId="0" applyAlignment="1" applyFont="1">
      <alignment horizontal="center" readingOrder="0" shrinkToFit="0" vertical="center" wrapText="1"/>
    </xf>
    <xf borderId="1" fillId="4" fontId="52" numFmtId="0" xfId="0" applyAlignment="1" applyBorder="1" applyFont="1">
      <alignment horizontal="center" readingOrder="0" shrinkToFit="0" vertical="center" wrapText="0"/>
    </xf>
    <xf borderId="0" fillId="4" fontId="11" numFmtId="0" xfId="0" applyAlignment="1" applyFont="1">
      <alignment readingOrder="0" vertical="center"/>
    </xf>
    <xf borderId="1" fillId="4" fontId="11" numFmtId="0" xfId="0" applyAlignment="1" applyBorder="1" applyFont="1">
      <alignment readingOrder="0" shrinkToFit="0" wrapText="1"/>
    </xf>
    <xf borderId="1" fillId="0" fontId="41" numFmtId="167" xfId="0" applyAlignment="1" applyBorder="1" applyFont="1" applyNumberFormat="1">
      <alignment horizontal="center" readingOrder="0" shrinkToFit="0" vertical="center" wrapText="1"/>
    </xf>
    <xf borderId="1" fillId="4" fontId="51" numFmtId="0" xfId="0" applyAlignment="1" applyBorder="1" applyFont="1">
      <alignment horizontal="center" readingOrder="0" shrinkToFit="0" vertical="center" wrapText="1"/>
    </xf>
    <xf borderId="1" fillId="4" fontId="13" numFmtId="0" xfId="0" applyAlignment="1" applyBorder="1" applyFont="1">
      <alignment horizontal="center" readingOrder="0" shrinkToFit="0" vertical="center" wrapText="1"/>
    </xf>
    <xf borderId="1" fillId="4" fontId="53" numFmtId="0" xfId="0" applyAlignment="1" applyBorder="1" applyFont="1">
      <alignment horizontal="center" shrinkToFit="0" vertical="center" wrapText="1"/>
    </xf>
    <xf borderId="1" fillId="4" fontId="29" numFmtId="0" xfId="0" applyAlignment="1" applyBorder="1" applyFont="1">
      <alignment horizontal="center" readingOrder="0" shrinkToFit="0" vertical="center" wrapText="1"/>
    </xf>
    <xf borderId="2" fillId="4" fontId="6" numFmtId="0" xfId="0" applyAlignment="1" applyBorder="1" applyFont="1">
      <alignment vertical="center"/>
    </xf>
    <xf borderId="2" fillId="4" fontId="29" numFmtId="0" xfId="0" applyAlignment="1" applyBorder="1" applyFont="1">
      <alignment horizontal="center" readingOrder="0" shrinkToFit="0" vertical="center" wrapText="1"/>
    </xf>
    <xf borderId="3" fillId="5" fontId="6" numFmtId="165" xfId="0" applyAlignment="1" applyBorder="1" applyFont="1" applyNumberFormat="1">
      <alignment horizontal="center" readingOrder="0" vertical="center"/>
    </xf>
    <xf borderId="2" fillId="4" fontId="54" numFmtId="0" xfId="0" applyAlignment="1" applyBorder="1" applyFont="1">
      <alignment horizontal="center" readingOrder="0" shrinkToFit="0" vertical="center" wrapText="1"/>
    </xf>
    <xf borderId="2" fillId="4" fontId="55" numFmtId="0" xfId="0" applyAlignment="1" applyBorder="1" applyFont="1">
      <alignment horizontal="center" readingOrder="0" shrinkToFit="0" vertical="center" wrapText="1"/>
    </xf>
    <xf borderId="2" fillId="4" fontId="6" numFmtId="0" xfId="0" applyAlignment="1" applyBorder="1" applyFont="1">
      <alignment readingOrder="0" vertical="center"/>
    </xf>
    <xf borderId="2" fillId="4" fontId="56" numFmtId="0" xfId="0" applyAlignment="1" applyBorder="1" applyFont="1">
      <alignment horizontal="center" readingOrder="0" shrinkToFit="0" vertical="center" wrapText="1"/>
    </xf>
    <xf borderId="2" fillId="4" fontId="29" numFmtId="165" xfId="0" applyAlignment="1" applyBorder="1" applyFont="1" applyNumberFormat="1">
      <alignment horizontal="center" readingOrder="0" shrinkToFit="0" vertical="center" wrapText="1"/>
    </xf>
    <xf borderId="1" fillId="0" fontId="57" numFmtId="0" xfId="0" applyAlignment="1" applyBorder="1" applyFont="1">
      <alignment horizontal="center" shrinkToFit="0" vertical="center" wrapText="1"/>
    </xf>
    <xf borderId="1" fillId="0" fontId="58" numFmtId="0" xfId="0" applyAlignment="1" applyBorder="1" applyFont="1">
      <alignment horizontal="center" shrinkToFit="0" textRotation="0" vertical="center" wrapText="1"/>
    </xf>
    <xf borderId="1" fillId="11" fontId="53" numFmtId="0" xfId="0" applyAlignment="1" applyBorder="1" applyFont="1">
      <alignment horizontal="center" shrinkToFit="0" vertical="center" wrapText="1"/>
    </xf>
    <xf borderId="1" fillId="4" fontId="11" numFmtId="0" xfId="0" applyAlignment="1" applyBorder="1" applyFont="1">
      <alignment horizontal="center" readingOrder="0" shrinkToFit="0" wrapText="1"/>
    </xf>
    <xf borderId="0" fillId="4" fontId="27" numFmtId="0" xfId="0" applyAlignment="1" applyFont="1">
      <alignment horizontal="center" readingOrder="0" vertical="center"/>
    </xf>
    <xf borderId="1" fillId="9" fontId="29"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29" numFmtId="165" xfId="0" applyAlignment="1" applyBorder="1" applyFont="1" applyNumberFormat="1">
      <alignment horizontal="center" readingOrder="0" shrinkToFit="0" vertical="center" wrapText="1"/>
    </xf>
    <xf borderId="1" fillId="0" fontId="29" numFmtId="164" xfId="0" applyAlignment="1" applyBorder="1" applyFont="1" applyNumberFormat="1">
      <alignment horizontal="center" readingOrder="0" shrinkToFit="0" vertical="center" wrapText="1"/>
    </xf>
    <xf borderId="1" fillId="4" fontId="59" numFmtId="0" xfId="0" applyAlignment="1" applyBorder="1" applyFont="1">
      <alignment horizontal="center" readingOrder="0" shrinkToFit="0" vertical="center" wrapText="1"/>
    </xf>
    <xf borderId="1" fillId="5" fontId="5" numFmtId="0" xfId="0" applyAlignment="1" applyBorder="1" applyFont="1">
      <alignment horizontal="center" readingOrder="0" shrinkToFit="0" vertical="center" wrapText="1"/>
    </xf>
    <xf borderId="1" fillId="5" fontId="2" numFmtId="0" xfId="0" applyAlignment="1" applyBorder="1" applyFont="1">
      <alignment horizontal="center" readingOrder="0" shrinkToFit="0" vertical="center" wrapText="1"/>
    </xf>
    <xf borderId="1" fillId="5" fontId="29" numFmtId="0" xfId="0" applyAlignment="1" applyBorder="1" applyFont="1">
      <alignment horizontal="center" shrinkToFit="0" wrapText="1"/>
    </xf>
    <xf borderId="1" fillId="5" fontId="6" numFmtId="164" xfId="0" applyAlignment="1" applyBorder="1" applyFont="1" applyNumberFormat="1">
      <alignment horizontal="center" shrinkToFit="0" wrapText="1"/>
    </xf>
    <xf borderId="1" fillId="5" fontId="60" numFmtId="0" xfId="0" applyAlignment="1" applyBorder="1" applyFont="1">
      <alignment horizontal="center" shrinkToFit="0" wrapText="1"/>
    </xf>
    <xf borderId="1" fillId="4" fontId="29" numFmtId="0" xfId="0" applyAlignment="1" applyBorder="1" applyFont="1">
      <alignment horizontal="center" shrinkToFit="0" wrapText="1"/>
    </xf>
    <xf borderId="1" fillId="0" fontId="5" numFmtId="0" xfId="0" applyAlignment="1" applyBorder="1" applyFont="1">
      <alignment horizontal="center" readingOrder="0" shrinkToFit="0" vertical="center" wrapText="0"/>
    </xf>
    <xf borderId="1" fillId="4" fontId="34" numFmtId="0" xfId="0" applyAlignment="1" applyBorder="1" applyFont="1">
      <alignment horizontal="center" readingOrder="0" shrinkToFit="0" vertical="center" wrapText="0"/>
    </xf>
    <xf borderId="1" fillId="4" fontId="38" numFmtId="0" xfId="0" applyAlignment="1" applyBorder="1" applyFont="1">
      <alignment horizontal="center" readingOrder="0" shrinkToFit="0" vertical="center" wrapText="1"/>
    </xf>
    <xf borderId="1" fillId="4" fontId="34" numFmtId="0" xfId="0" applyAlignment="1" applyBorder="1" applyFont="1">
      <alignment horizontal="center" readingOrder="0" shrinkToFit="0" vertical="center" wrapText="1"/>
    </xf>
    <xf borderId="1" fillId="4" fontId="29" numFmtId="0" xfId="0" applyAlignment="1" applyBorder="1" applyFont="1">
      <alignment horizontal="center" readingOrder="0" shrinkToFit="0" vertical="center" wrapText="1"/>
    </xf>
    <xf borderId="1" fillId="0" fontId="34" numFmtId="0" xfId="0" applyAlignment="1" applyBorder="1" applyFont="1">
      <alignment horizontal="center" readingOrder="1" shrinkToFit="0" vertical="center" wrapText="1"/>
    </xf>
    <xf borderId="1" fillId="0" fontId="41" numFmtId="164" xfId="0" applyAlignment="1" applyBorder="1" applyFont="1" applyNumberFormat="1">
      <alignment horizontal="center" shrinkToFit="0" vertical="center" wrapText="1"/>
    </xf>
    <xf borderId="1" fillId="8" fontId="2" numFmtId="0" xfId="0" applyAlignment="1" applyBorder="1" applyFont="1">
      <alignment horizontal="center" readingOrder="0" shrinkToFit="0" vertical="center" wrapText="1"/>
    </xf>
    <xf borderId="1" fillId="0" fontId="41" numFmtId="164" xfId="0" applyAlignment="1" applyBorder="1" applyFont="1" applyNumberFormat="1">
      <alignment horizontal="center" readingOrder="0" shrinkToFit="0" vertical="center" wrapText="1"/>
    </xf>
    <xf borderId="1" fillId="0" fontId="43" numFmtId="0" xfId="0" applyAlignment="1" applyBorder="1" applyFont="1">
      <alignment horizontal="center" readingOrder="0" shrinkToFit="0" vertical="center" wrapText="0"/>
    </xf>
    <xf borderId="1" fillId="4" fontId="29" numFmtId="0" xfId="0" applyAlignment="1" applyBorder="1" applyFont="1">
      <alignment horizontal="center" readingOrder="0" vertical="center"/>
    </xf>
    <xf borderId="1" fillId="8" fontId="29" numFmtId="0" xfId="0" applyAlignment="1" applyBorder="1" applyFont="1">
      <alignment horizontal="center" readingOrder="0" shrinkToFit="0" vertical="center" wrapText="1"/>
    </xf>
    <xf borderId="0" fillId="4" fontId="61" numFmtId="0" xfId="0" applyAlignment="1" applyFont="1">
      <alignment horizontal="center" readingOrder="0" shrinkToFit="0" vertical="center" wrapText="0"/>
    </xf>
    <xf borderId="0" fillId="5" fontId="11" numFmtId="0" xfId="0" applyAlignment="1" applyFont="1">
      <alignment horizontal="center" readingOrder="0" vertical="center"/>
    </xf>
    <xf borderId="0" fillId="4" fontId="61" numFmtId="0" xfId="0" applyAlignment="1" applyFont="1">
      <alignment horizontal="center" readingOrder="0" shrinkToFit="0" vertical="center" wrapText="1"/>
    </xf>
    <xf borderId="1" fillId="0" fontId="41" numFmtId="165" xfId="0" applyAlignment="1" applyBorder="1" applyFont="1" applyNumberFormat="1">
      <alignment horizontal="center" shrinkToFit="0" vertical="center" wrapText="1"/>
    </xf>
    <xf borderId="1" fillId="0" fontId="41" numFmtId="0" xfId="0" applyAlignment="1" applyBorder="1" applyFont="1">
      <alignment horizontal="center" shrinkToFit="0" vertical="center" wrapText="1"/>
    </xf>
    <xf borderId="0" fillId="0" fontId="11" numFmtId="0" xfId="0" applyAlignment="1" applyFont="1">
      <alignment readingOrder="0" shrinkToFit="0" wrapText="1"/>
    </xf>
    <xf borderId="0" fillId="4" fontId="11" numFmtId="165" xfId="0" applyAlignment="1" applyFont="1" applyNumberFormat="1">
      <alignment horizontal="center" readingOrder="0" shrinkToFit="0" vertical="center" wrapText="1"/>
    </xf>
    <xf borderId="0" fillId="5" fontId="11" numFmtId="165" xfId="0" applyAlignment="1" applyFont="1" applyNumberFormat="1">
      <alignment horizontal="center" readingOrder="0" shrinkToFit="0" vertical="center" wrapText="1"/>
    </xf>
    <xf borderId="1" fillId="4" fontId="62" numFmtId="0" xfId="0" applyAlignment="1" applyBorder="1" applyFont="1">
      <alignment horizontal="center" readingOrder="0" shrinkToFit="0" vertical="center" wrapText="1"/>
    </xf>
    <xf borderId="1" fillId="4" fontId="2" numFmtId="166" xfId="0" applyAlignment="1" applyBorder="1" applyFont="1" applyNumberFormat="1">
      <alignment horizontal="center" readingOrder="0" shrinkToFit="0" vertical="center" wrapText="0"/>
    </xf>
    <xf borderId="1" fillId="4" fontId="58" numFmtId="0" xfId="0" applyAlignment="1" applyBorder="1" applyFont="1">
      <alignment horizontal="center" shrinkToFit="0" vertical="center" wrapText="1"/>
    </xf>
    <xf borderId="0" fillId="0" fontId="8" numFmtId="0" xfId="0" applyAlignment="1" applyFont="1">
      <alignment horizontal="center" readingOrder="0" shrinkToFit="0" vertical="center" wrapText="0"/>
    </xf>
    <xf borderId="1" fillId="0" fontId="53" numFmtId="0" xfId="0" applyAlignment="1" applyBorder="1" applyFont="1">
      <alignment horizontal="center" readingOrder="0" shrinkToFit="0" vertical="center" wrapText="1"/>
    </xf>
    <xf borderId="1" fillId="0" fontId="49" numFmtId="0" xfId="0" applyAlignment="1" applyBorder="1" applyFont="1">
      <alignment horizontal="center" readingOrder="0" shrinkToFit="0" vertical="center" wrapText="1"/>
    </xf>
    <xf borderId="1" fillId="15" fontId="41" numFmtId="0" xfId="0" applyAlignment="1" applyBorder="1" applyFill="1" applyFont="1">
      <alignment horizontal="center" readingOrder="0" shrinkToFit="0" vertical="center" wrapText="1"/>
    </xf>
    <xf borderId="0" fillId="0" fontId="8" numFmtId="0" xfId="0" applyAlignment="1" applyFont="1">
      <alignment horizontal="center" readingOrder="0" shrinkToFit="0" vertical="center" wrapText="1"/>
    </xf>
    <xf borderId="0" fillId="0" fontId="11" numFmtId="0" xfId="0" applyAlignment="1" applyFont="1">
      <alignment horizontal="center" readingOrder="0" shrinkToFit="0" wrapText="1"/>
    </xf>
    <xf borderId="1" fillId="4" fontId="1" numFmtId="0" xfId="0" applyAlignment="1" applyBorder="1" applyFont="1">
      <alignment horizontal="center" shrinkToFit="0" vertical="center" wrapText="0"/>
    </xf>
    <xf borderId="0" fillId="4" fontId="11" numFmtId="0" xfId="0" applyAlignment="1" applyFont="1">
      <alignment horizontal="center" readingOrder="0" vertical="center"/>
    </xf>
    <xf borderId="1" fillId="0" fontId="2" numFmtId="165" xfId="0" applyAlignment="1" applyBorder="1" applyFont="1" applyNumberFormat="1">
      <alignment horizontal="center" shrinkToFit="0" vertical="center" wrapText="0"/>
    </xf>
    <xf borderId="1" fillId="4" fontId="41" numFmtId="167" xfId="0" applyAlignment="1" applyBorder="1" applyFont="1" applyNumberFormat="1">
      <alignment horizontal="center" readingOrder="0" shrinkToFit="0" vertical="center" wrapText="1"/>
    </xf>
    <xf borderId="1" fillId="4" fontId="63" numFmtId="0" xfId="0" applyAlignment="1" applyBorder="1" applyFont="1">
      <alignment horizontal="center" readingOrder="0" shrinkToFit="0" vertical="center" wrapText="1"/>
    </xf>
    <xf borderId="1" fillId="0" fontId="8" numFmtId="14" xfId="0" applyAlignment="1" applyBorder="1" applyFont="1" applyNumberFormat="1">
      <alignment horizontal="center" readingOrder="0" shrinkToFit="0" vertical="center" wrapText="1"/>
    </xf>
    <xf borderId="1" fillId="0" fontId="43" numFmtId="0" xfId="0" applyAlignment="1" applyBorder="1" applyFont="1">
      <alignment horizontal="center" shrinkToFit="0" vertical="center" wrapText="1"/>
    </xf>
    <xf borderId="1" fillId="0" fontId="43" numFmtId="0" xfId="0" applyAlignment="1" applyBorder="1" applyFont="1">
      <alignment horizontal="center" readingOrder="0" shrinkToFit="0" vertical="center" wrapText="1"/>
    </xf>
    <xf borderId="1" fillId="4" fontId="64" numFmtId="0" xfId="0" applyAlignment="1" applyBorder="1" applyFont="1">
      <alignment horizontal="center" readingOrder="0" shrinkToFit="0" vertical="center" wrapText="1"/>
    </xf>
    <xf borderId="1" fillId="4" fontId="8" numFmtId="14" xfId="0" applyAlignment="1" applyBorder="1" applyFont="1" applyNumberFormat="1">
      <alignment horizontal="center" readingOrder="0" shrinkToFit="0" vertical="center" wrapText="1"/>
    </xf>
    <xf borderId="1" fillId="4" fontId="4" numFmtId="0" xfId="0" applyAlignment="1" applyBorder="1" applyFont="1">
      <alignment horizontal="center" shrinkToFit="0" vertical="center" wrapText="1"/>
    </xf>
    <xf borderId="1" fillId="0" fontId="64" numFmtId="0" xfId="0" applyAlignment="1" applyBorder="1" applyFont="1">
      <alignment horizontal="center" readingOrder="0" shrinkToFit="0" vertical="center" wrapText="1"/>
    </xf>
    <xf borderId="1" fillId="4" fontId="21" numFmtId="0" xfId="0" applyAlignment="1" applyBorder="1" applyFont="1">
      <alignment horizontal="center" readingOrder="0" shrinkToFit="0" vertical="center" wrapText="1"/>
    </xf>
    <xf borderId="1" fillId="4" fontId="43" numFmtId="0" xfId="0" applyAlignment="1" applyBorder="1" applyFont="1">
      <alignment horizontal="center" readingOrder="0" shrinkToFit="0" vertical="center" wrapText="1"/>
    </xf>
    <xf borderId="1" fillId="4" fontId="65" numFmtId="0" xfId="0" applyAlignment="1" applyBorder="1" applyFont="1">
      <alignment horizontal="center" readingOrder="0" shrinkToFit="0" vertical="center" wrapText="1"/>
    </xf>
    <xf borderId="1" fillId="4" fontId="66" numFmtId="0" xfId="0" applyAlignment="1" applyBorder="1" applyFont="1">
      <alignment horizontal="center" readingOrder="0" shrinkToFit="0" vertical="center" wrapText="1"/>
    </xf>
    <xf borderId="1" fillId="4" fontId="67" numFmtId="0" xfId="0" applyAlignment="1" applyBorder="1" applyFont="1">
      <alignment horizontal="center" readingOrder="0" shrinkToFit="0" vertical="center" wrapText="1"/>
    </xf>
    <xf borderId="1" fillId="4" fontId="44" numFmtId="0" xfId="0" applyAlignment="1" applyBorder="1" applyFont="1">
      <alignment horizontal="center" readingOrder="0" shrinkToFit="0" vertical="center" wrapText="1"/>
    </xf>
    <xf borderId="1" fillId="0" fontId="43" numFmtId="0" xfId="0" applyAlignment="1" applyBorder="1" applyFont="1">
      <alignment horizontal="center" readingOrder="0" shrinkToFit="0" vertical="center" wrapText="1"/>
    </xf>
    <xf borderId="1" fillId="4" fontId="68" numFmtId="0" xfId="0" applyAlignment="1" applyBorder="1" applyFont="1">
      <alignment horizontal="center" readingOrder="0" shrinkToFit="0" vertical="center" wrapText="1"/>
    </xf>
    <xf borderId="1" fillId="4" fontId="69" numFmtId="0" xfId="0" applyAlignment="1" applyBorder="1" applyFont="1">
      <alignment horizontal="center" readingOrder="0" shrinkToFit="0" vertical="center" wrapText="1"/>
    </xf>
    <xf borderId="1" fillId="4" fontId="61" numFmtId="0" xfId="0" applyAlignment="1" applyBorder="1" applyFont="1">
      <alignment horizontal="center" readingOrder="0" shrinkToFit="0" vertical="center" wrapText="1"/>
    </xf>
    <xf borderId="1" fillId="4" fontId="70" numFmtId="0" xfId="0" applyAlignment="1" applyBorder="1" applyFont="1">
      <alignment horizontal="center" readingOrder="0" shrinkToFit="0" vertical="center" wrapText="1"/>
    </xf>
    <xf borderId="1" fillId="4" fontId="26" numFmtId="167" xfId="0" applyAlignment="1" applyBorder="1" applyFont="1" applyNumberFormat="1">
      <alignment horizontal="center" readingOrder="0" shrinkToFit="0" vertical="center" wrapText="1"/>
    </xf>
    <xf borderId="1" fillId="4" fontId="71" numFmtId="0" xfId="0" applyAlignment="1" applyBorder="1" applyFont="1">
      <alignment horizontal="center" readingOrder="0" shrinkToFit="0" vertical="center" wrapText="0"/>
    </xf>
    <xf borderId="1" fillId="0" fontId="4" numFmtId="0" xfId="0" applyAlignment="1" applyBorder="1" applyFont="1">
      <alignment horizontal="center" shrinkToFit="0" vertical="center" wrapText="1"/>
    </xf>
    <xf borderId="1" fillId="0" fontId="72" numFmtId="0" xfId="0" applyAlignment="1" applyBorder="1" applyFont="1">
      <alignment horizontal="center" readingOrder="0" shrinkToFit="0" vertical="center" wrapText="1"/>
    </xf>
    <xf borderId="1" fillId="0" fontId="72" numFmtId="0" xfId="0" applyAlignment="1" applyBorder="1" applyFont="1">
      <alignment horizontal="center" shrinkToFit="0" vertical="center" wrapText="1"/>
    </xf>
    <xf borderId="1" fillId="0" fontId="72" numFmtId="0" xfId="0" applyAlignment="1" applyBorder="1" applyFont="1">
      <alignment horizontal="center" vertical="center"/>
    </xf>
    <xf borderId="1" fillId="4" fontId="72" numFmtId="0" xfId="0" applyAlignment="1" applyBorder="1" applyFont="1">
      <alignment horizontal="center" readingOrder="0" shrinkToFit="0" vertical="center" wrapText="1"/>
    </xf>
    <xf borderId="1" fillId="4" fontId="2" numFmtId="0" xfId="0" applyAlignment="1" applyBorder="1" applyFont="1">
      <alignment horizontal="center" readingOrder="0" shrinkToFit="0" vertical="center" wrapText="1"/>
    </xf>
    <xf borderId="1" fillId="0" fontId="72" numFmtId="0" xfId="0" applyAlignment="1" applyBorder="1" applyFont="1">
      <alignment horizontal="center" readingOrder="0" vertical="center"/>
    </xf>
    <xf borderId="1" fillId="4" fontId="72" numFmtId="0" xfId="0" applyAlignment="1" applyBorder="1" applyFont="1">
      <alignment horizontal="center" readingOrder="0" vertical="center"/>
    </xf>
    <xf borderId="1" fillId="0" fontId="72" numFmtId="0" xfId="0" applyAlignment="1" applyBorder="1" applyFont="1">
      <alignment horizontal="center" readingOrder="0" vertical="center"/>
    </xf>
    <xf borderId="1" fillId="4" fontId="72" numFmtId="0" xfId="0" applyAlignment="1" applyBorder="1" applyFont="1">
      <alignment horizontal="center" readingOrder="0" vertical="center"/>
    </xf>
    <xf borderId="1" fillId="0" fontId="72" numFmtId="0" xfId="0" applyAlignment="1" applyBorder="1" applyFont="1">
      <alignment horizontal="center" readingOrder="0" shrinkToFit="0" vertical="center" wrapText="1"/>
    </xf>
    <xf borderId="1" fillId="16" fontId="73" numFmtId="0" xfId="0" applyAlignment="1" applyBorder="1" applyFill="1" applyFont="1">
      <alignment horizontal="center" readingOrder="0" vertical="center"/>
    </xf>
    <xf borderId="1" fillId="4" fontId="72"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0" fontId="23" numFmtId="0" xfId="0" applyAlignment="1" applyBorder="1" applyFont="1">
      <alignment horizontal="center" readingOrder="0" vertical="center"/>
    </xf>
    <xf borderId="1" fillId="0" fontId="23" numFmtId="0" xfId="0" applyAlignment="1" applyBorder="1" applyFont="1">
      <alignment horizontal="center" readingOrder="0" shrinkToFit="0" vertical="center" wrapText="1"/>
    </xf>
    <xf borderId="1" fillId="0" fontId="74" numFmtId="0" xfId="0" applyAlignment="1" applyBorder="1" applyFont="1">
      <alignment horizontal="center" readingOrder="0" vertical="center"/>
    </xf>
    <xf borderId="1" fillId="4" fontId="75" numFmtId="0" xfId="0" applyAlignment="1" applyBorder="1" applyFont="1">
      <alignment horizontal="center" readingOrder="0" shrinkToFit="0" vertical="center" wrapText="1"/>
    </xf>
    <xf borderId="1" fillId="0" fontId="15" numFmtId="0" xfId="0" applyAlignment="1" applyBorder="1" applyFont="1">
      <alignment horizontal="center" readingOrder="0" vertical="center"/>
    </xf>
    <xf borderId="1" fillId="4" fontId="76" numFmtId="0" xfId="0" applyAlignment="1" applyBorder="1" applyFont="1">
      <alignment horizontal="center" readingOrder="0" shrinkToFit="0" vertical="center" wrapText="0"/>
    </xf>
    <xf borderId="1" fillId="4" fontId="77" numFmtId="0" xfId="0" applyAlignment="1" applyBorder="1" applyFont="1">
      <alignment horizontal="center" readingOrder="0" vertical="center"/>
    </xf>
    <xf borderId="1" fillId="4" fontId="61" numFmtId="0" xfId="0" applyAlignment="1" applyBorder="1" applyFont="1">
      <alignment horizontal="center" readingOrder="0" shrinkToFit="0" vertical="center" wrapText="0"/>
    </xf>
    <xf borderId="1" fillId="4" fontId="43" numFmtId="0" xfId="0" applyAlignment="1" applyBorder="1" applyFont="1">
      <alignment horizontal="center" readingOrder="0" shrinkToFit="0" vertical="center" wrapText="0"/>
    </xf>
    <xf borderId="1" fillId="4" fontId="43" numFmtId="0" xfId="0" applyAlignment="1" applyBorder="1" applyFont="1">
      <alignment horizontal="center" shrinkToFit="0" vertical="center" wrapText="0"/>
    </xf>
    <xf borderId="1" fillId="0" fontId="21" numFmtId="0" xfId="0" applyAlignment="1" applyBorder="1" applyFont="1">
      <alignment readingOrder="0" vertical="center"/>
    </xf>
    <xf borderId="1" fillId="4" fontId="43" numFmtId="0" xfId="0" applyAlignment="1" applyBorder="1" applyFont="1">
      <alignment horizontal="center" readingOrder="0" shrinkToFit="0" vertical="center" wrapText="0"/>
    </xf>
    <xf borderId="1" fillId="4" fontId="78" numFmtId="0" xfId="0" applyAlignment="1" applyBorder="1" applyFont="1">
      <alignment horizontal="center" readingOrder="0" shrinkToFit="0" vertical="center" wrapText="0"/>
    </xf>
    <xf borderId="1" fillId="4" fontId="79"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0"/>
    </xf>
    <xf borderId="1" fillId="4" fontId="80" numFmtId="0" xfId="0" applyAlignment="1" applyBorder="1" applyFont="1">
      <alignment horizontal="center" readingOrder="0" shrinkToFit="0" vertical="center" wrapText="1"/>
    </xf>
    <xf borderId="1" fillId="4" fontId="70" numFmtId="0" xfId="0" applyAlignment="1" applyBorder="1" applyFont="1">
      <alignment horizontal="center" readingOrder="0" vertical="center"/>
    </xf>
    <xf borderId="1" fillId="0" fontId="81" numFmtId="0" xfId="0" applyAlignment="1" applyBorder="1" applyFont="1">
      <alignment horizontal="center" readingOrder="0" shrinkToFit="0" vertical="center" wrapText="1"/>
    </xf>
    <xf borderId="1" fillId="4" fontId="78" numFmtId="0" xfId="0" applyAlignment="1" applyBorder="1" applyFont="1">
      <alignment horizontal="center" readingOrder="0" vertical="center"/>
    </xf>
    <xf borderId="1" fillId="4" fontId="82" numFmtId="0" xfId="0" applyAlignment="1" applyBorder="1" applyFont="1">
      <alignment horizontal="center" shrinkToFit="0" vertical="center" wrapText="0"/>
    </xf>
    <xf borderId="1" fillId="4" fontId="15" numFmtId="0" xfId="0" applyAlignment="1" applyBorder="1" applyFont="1">
      <alignment horizontal="center" readingOrder="0" shrinkToFit="0" wrapText="1"/>
    </xf>
    <xf borderId="1" fillId="0" fontId="27" numFmtId="0" xfId="0" applyAlignment="1" applyBorder="1" applyFont="1">
      <alignment horizontal="center" readingOrder="0" vertical="center"/>
    </xf>
    <xf borderId="1" fillId="11" fontId="83" numFmtId="0" xfId="0" applyAlignment="1" applyBorder="1" applyFont="1">
      <alignment horizontal="center" readingOrder="0" vertical="center"/>
    </xf>
    <xf borderId="1" fillId="11" fontId="44" numFmtId="0" xfId="0" applyAlignment="1" applyBorder="1" applyFont="1">
      <alignment horizontal="center" readingOrder="0" shrinkToFit="0" vertical="center" wrapText="1"/>
    </xf>
    <xf borderId="1" fillId="17" fontId="2" numFmtId="0" xfId="0" applyAlignment="1" applyBorder="1" applyFill="1" applyFont="1">
      <alignment horizontal="center" readingOrder="0" shrinkToFit="0" vertical="center" wrapText="0"/>
    </xf>
    <xf borderId="1" fillId="8" fontId="2" numFmtId="0" xfId="0" applyAlignment="1" applyBorder="1" applyFont="1">
      <alignment horizontal="center" readingOrder="0" shrinkToFit="0" vertical="center" wrapText="0"/>
    </xf>
    <xf borderId="1" fillId="8" fontId="2" numFmtId="164" xfId="0" applyAlignment="1" applyBorder="1" applyFont="1" applyNumberFormat="1">
      <alignment horizontal="center" readingOrder="0" shrinkToFit="0" vertical="center" wrapText="0"/>
    </xf>
    <xf borderId="1" fillId="8" fontId="2" numFmtId="0" xfId="0" applyAlignment="1" applyBorder="1" applyFont="1">
      <alignment horizontal="center" readingOrder="0" shrinkToFit="0" vertical="center" wrapText="0"/>
    </xf>
    <xf borderId="1" fillId="8" fontId="5" numFmtId="0" xfId="0" applyAlignment="1" applyBorder="1" applyFont="1">
      <alignment horizontal="center" readingOrder="0" shrinkToFit="0" vertical="center" wrapText="0"/>
    </xf>
    <xf borderId="1" fillId="8" fontId="34" numFmtId="0" xfId="0" applyAlignment="1" applyBorder="1" applyFont="1">
      <alignment horizontal="center" readingOrder="0" shrinkToFit="0" vertical="center" wrapText="1"/>
    </xf>
    <xf borderId="1" fillId="8" fontId="2" numFmtId="165" xfId="0" applyAlignment="1" applyBorder="1" applyFont="1" applyNumberFormat="1">
      <alignment horizontal="center" readingOrder="0" shrinkToFit="0" vertical="center" wrapText="0"/>
    </xf>
    <xf borderId="1" fillId="4" fontId="34" numFmtId="0" xfId="0" applyAlignment="1" applyBorder="1" applyFont="1">
      <alignment horizontal="center" readingOrder="1" shrinkToFit="0" vertical="center" wrapText="1"/>
    </xf>
    <xf borderId="1" fillId="4" fontId="84" numFmtId="0" xfId="0" applyAlignment="1" applyBorder="1" applyFont="1">
      <alignment horizontal="center" readingOrder="0" shrinkToFit="0" vertical="center" wrapText="1"/>
    </xf>
    <xf borderId="1" fillId="0" fontId="11" numFmtId="0" xfId="0" applyAlignment="1" applyBorder="1" applyFont="1">
      <alignment readingOrder="0"/>
    </xf>
    <xf borderId="1" fillId="17" fontId="14" numFmtId="0" xfId="0" applyAlignment="1" applyBorder="1" applyFont="1">
      <alignment horizontal="center" readingOrder="0" shrinkToFit="0" vertical="center" wrapText="1"/>
    </xf>
    <xf borderId="1" fillId="0" fontId="34" numFmtId="0" xfId="0" applyAlignment="1" applyBorder="1" applyFont="1">
      <alignment horizontal="center" readingOrder="0" shrinkToFit="0" vertical="center" wrapText="0"/>
    </xf>
    <xf borderId="1" fillId="0" fontId="5" numFmtId="0" xfId="0" applyAlignment="1" applyBorder="1" applyFont="1">
      <alignment horizontal="center" shrinkToFit="0" vertical="center" wrapText="0"/>
    </xf>
    <xf borderId="1" fillId="4" fontId="34" numFmtId="0" xfId="0" applyAlignment="1" applyBorder="1" applyFont="1">
      <alignment horizontal="center" shrinkToFit="0" vertical="center" wrapText="1"/>
    </xf>
    <xf borderId="1" fillId="4" fontId="6" numFmtId="0" xfId="0" applyAlignment="1" applyBorder="1" applyFont="1">
      <alignment horizontal="center" readingOrder="0" vertical="center"/>
    </xf>
    <xf borderId="1" fillId="4" fontId="33" numFmtId="0" xfId="0" applyAlignment="1" applyBorder="1" applyFont="1">
      <alignment horizontal="center" readingOrder="0" shrinkToFit="0" vertical="center" wrapText="0"/>
    </xf>
    <xf borderId="2" fillId="0" fontId="8" numFmtId="0" xfId="0" applyAlignment="1" applyBorder="1" applyFont="1">
      <alignment horizontal="center" readingOrder="0" shrinkToFit="0" vertical="center" wrapText="0"/>
    </xf>
    <xf borderId="2" fillId="4" fontId="2" numFmtId="0" xfId="0" applyAlignment="1" applyBorder="1" applyFont="1">
      <alignment horizontal="center" readingOrder="0" shrinkToFit="0" vertical="center" wrapText="0"/>
    </xf>
    <xf borderId="1" fillId="4" fontId="34" numFmtId="0" xfId="0" applyAlignment="1" applyBorder="1" applyFont="1">
      <alignment horizontal="center" readingOrder="0" shrinkToFit="0" vertical="center" wrapText="0"/>
    </xf>
    <xf borderId="1" fillId="17" fontId="5" numFmtId="0" xfId="0" applyAlignment="1" applyBorder="1" applyFont="1">
      <alignment horizontal="center" readingOrder="0" shrinkToFit="0" vertical="center" wrapText="0"/>
    </xf>
    <xf borderId="1" fillId="4" fontId="38" numFmtId="0" xfId="0" applyAlignment="1" applyBorder="1" applyFont="1">
      <alignment horizontal="center" readingOrder="0" vertical="bottom"/>
    </xf>
    <xf borderId="1" fillId="0" fontId="5" numFmtId="0" xfId="0" applyAlignment="1" applyBorder="1" applyFont="1">
      <alignment horizontal="center" shrinkToFit="0" vertical="center" wrapText="1"/>
    </xf>
    <xf borderId="1" fillId="4" fontId="33" numFmtId="0" xfId="0" applyAlignment="1" applyBorder="1" applyFont="1">
      <alignment horizontal="center" readingOrder="0" shrinkToFit="0" vertical="center" wrapText="1"/>
    </xf>
    <xf borderId="4" fillId="0" fontId="85" numFmtId="0" xfId="0" applyAlignment="1" applyBorder="1" applyFont="1">
      <alignment horizontal="left" readingOrder="0" shrinkToFit="0" vertical="bottom" wrapText="0"/>
    </xf>
    <xf borderId="1" fillId="4" fontId="86" numFmtId="0" xfId="0" applyAlignment="1" applyBorder="1" applyFont="1">
      <alignment horizontal="center" readingOrder="0" shrinkToFit="0" wrapText="1"/>
    </xf>
    <xf borderId="2" fillId="0" fontId="8" numFmtId="0" xfId="0" applyAlignment="1" applyBorder="1" applyFont="1">
      <alignment horizontal="center" readingOrder="0" shrinkToFit="0" vertical="center" wrapText="1"/>
    </xf>
    <xf borderId="2" fillId="4" fontId="2" numFmtId="0" xfId="0" applyAlignment="1" applyBorder="1" applyFont="1">
      <alignment horizontal="center" readingOrder="0" shrinkToFit="0" vertical="center" wrapText="1"/>
    </xf>
    <xf borderId="5" fillId="4" fontId="87" numFmtId="0" xfId="0" applyAlignment="1" applyBorder="1" applyFont="1">
      <alignment horizontal="center" readingOrder="0" shrinkToFit="0" wrapText="1"/>
    </xf>
    <xf borderId="1" fillId="17" fontId="5" numFmtId="0" xfId="0" applyAlignment="1" applyBorder="1" applyFont="1">
      <alignment horizontal="center" readingOrder="0" shrinkToFit="0" vertical="center" wrapText="1"/>
    </xf>
    <xf borderId="5" fillId="4" fontId="88" numFmtId="0" xfId="0" applyAlignment="1" applyBorder="1" applyFont="1">
      <alignment horizontal="center" readingOrder="0" shrinkToFit="0" wrapText="1"/>
    </xf>
    <xf borderId="5" fillId="4" fontId="89" numFmtId="0" xfId="0" applyAlignment="1" applyBorder="1" applyFont="1">
      <alignment horizontal="center" readingOrder="0"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39KNMnRTs5MEGsBk7?g_st=iwb"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re.mobasher.sa/auctions/t-details/43244" TargetMode="External"/><Relationship Id="rId2" Type="http://schemas.openxmlformats.org/officeDocument/2006/relationships/hyperlink" Target="https://maps.app.goo.gl/YGSHCe8ofHTux1Sr6?g_st=iw" TargetMode="External"/><Relationship Id="rId3" Type="http://schemas.openxmlformats.org/officeDocument/2006/relationships/hyperlink" Target="https://maps.app.goo.gl/Y7BVCV2iU6oLpYMs9?g_st=ic"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aps.app.goo.gl/vT7Moe8Mi8QHtZKo9?g_st=aw"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maps.app.goo.gl/cBihyduv1g2B31Yj6?g_st=iw" TargetMode="External"/><Relationship Id="rId2" Type="http://schemas.openxmlformats.org/officeDocument/2006/relationships/hyperlink" Target="https://drive.google.com/file/d/18oJkCUMla5bYR_ACSvnl3xITVVvaz-xl/view?usp=sharing" TargetMode="External"/><Relationship Id="rId3" Type="http://schemas.openxmlformats.org/officeDocument/2006/relationships/hyperlink" Target="https://maps.app.goo.gl/BbfUxYisXY4rnjRg9?g_st=iw" TargetMode="External"/><Relationship Id="rId4" Type="http://schemas.openxmlformats.org/officeDocument/2006/relationships/hyperlink" Target="https://maps.app.goo.gl/NPhErfLJXteE81sb7?g_st=iw" TargetMode="External"/><Relationship Id="rId5" Type="http://schemas.openxmlformats.org/officeDocument/2006/relationships/hyperlink" Target="https://maps.app.goo.gl/C1KmctocEe8ivGas5?g_st=aw" TargetMode="External"/><Relationship Id="rId6"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maps.app.goo.gl/v7fdHhdEkQGXjJN27" TargetMode="External"/><Relationship Id="rId2" Type="http://schemas.openxmlformats.org/officeDocument/2006/relationships/hyperlink" Target="https://maps.app.goo.gl/CD2i2JR7ATvTphXQA?g_st=awb-%D8%AA%D9%85" TargetMode="External"/><Relationship Id="rId3" Type="http://schemas.openxmlformats.org/officeDocument/2006/relationships/hyperlink" Target="https://maps.app.goo.gl/pnfLAjgecq7Eiisj8" TargetMode="External"/><Relationship Id="rId4" Type="http://schemas.openxmlformats.org/officeDocument/2006/relationships/hyperlink" Target="https://maps.app.goo.gl/pWqFAyNruowvvwmH8?g_st=iw" TargetMode="External"/><Relationship Id="rId5" Type="http://schemas.openxmlformats.org/officeDocument/2006/relationships/hyperlink" Target="https://maps.app.goo.gl/HGLPQkUS3ovAQBxr7"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maps.app.goo.gl/oHkquDxQRbHFhd8T7" TargetMode="External"/><Relationship Id="rId2" Type="http://schemas.openxmlformats.org/officeDocument/2006/relationships/hyperlink" Target="https://maps.app.goo.gl/2rtF7tZYT6NtimCa7?g_st=ac" TargetMode="External"/><Relationship Id="rId3" Type="http://schemas.openxmlformats.org/officeDocument/2006/relationships/hyperlink" Target="https://maps.app.goo.gl/K2Sf3y4o2RZst1hi8" TargetMode="External"/><Relationship Id="rId4" Type="http://schemas.openxmlformats.org/officeDocument/2006/relationships/hyperlink" Target="https://maps.app.goo.gl/BXcwhrAWy2fQEY9A7" TargetMode="External"/><Relationship Id="rId10" Type="http://schemas.openxmlformats.org/officeDocument/2006/relationships/drawing" Target="../drawings/drawing6.xml"/><Relationship Id="rId9" Type="http://schemas.openxmlformats.org/officeDocument/2006/relationships/hyperlink" Target="https://maps.app.goo.gl/sQMLaPKPHLFrswHF7?g_st=aw" TargetMode="External"/><Relationship Id="rId5" Type="http://schemas.openxmlformats.org/officeDocument/2006/relationships/hyperlink" Target="https://promising-consult.netlify.app/" TargetMode="External"/><Relationship Id="rId6" Type="http://schemas.openxmlformats.org/officeDocument/2006/relationships/hyperlink" Target="http://linkedin.com/in/eng-ahmed-alata" TargetMode="External"/><Relationship Id="rId7" Type="http://schemas.openxmlformats.org/officeDocument/2006/relationships/hyperlink" Target="https://maps.app.goo.gl/NEGm2hfXzqq3TQKi9?g_st" TargetMode="External"/><Relationship Id="rId8" Type="http://schemas.openxmlformats.org/officeDocument/2006/relationships/hyperlink" Target="https://maps.app.goo.gl/cetEfLXeg1bTpmqK9?g_st=ic" TargetMode="External"/></Relationships>
</file>

<file path=xl/worksheets/_rels/sheet7.xml.rels><?xml version="1.0" encoding="UTF-8" standalone="yes"?><Relationships xmlns="http://schemas.openxmlformats.org/package/2006/relationships"><Relationship Id="rId11" Type="http://schemas.openxmlformats.org/officeDocument/2006/relationships/hyperlink" Target="https://www.instagram.com/p/DbSYDP-gHTQ/?igsh=bDk4b2lqZDc3YzUx" TargetMode="External"/><Relationship Id="rId10" Type="http://schemas.openxmlformats.org/officeDocument/2006/relationships/hyperlink" Target="https://maps.app.goo.gl/6RFPCzsE8rd2u5h97?g_st=ic" TargetMode="External"/><Relationship Id="rId13" Type="http://schemas.openxmlformats.org/officeDocument/2006/relationships/drawing" Target="../drawings/drawing7.xml"/><Relationship Id="rId12" Type="http://schemas.openxmlformats.org/officeDocument/2006/relationships/hyperlink" Target="https://maps.app.goo.gl/ER7aUWosRrrD1a8bA" TargetMode="External"/><Relationship Id="rId1" Type="http://schemas.openxmlformats.org/officeDocument/2006/relationships/hyperlink" Target="https://maps.app.goo.gl/yR6D9ibv4UqKgMZK8?g_st=ac" TargetMode="External"/><Relationship Id="rId2" Type="http://schemas.openxmlformats.org/officeDocument/2006/relationships/hyperlink" Target="https://maps.app.goo.gl/XGQdBAhiJd8tP4vF7?gst=ic" TargetMode="External"/><Relationship Id="rId3" Type="http://schemas.openxmlformats.org/officeDocument/2006/relationships/hyperlink" Target="https://maps.app.goo.gl/Cb29pg1oV91VKNTb6?g_st=ic" TargetMode="External"/><Relationship Id="rId4" Type="http://schemas.openxmlformats.org/officeDocument/2006/relationships/hyperlink" Target="https://maps.app.goo.gl/R7GkatayGsKZafAM9" TargetMode="External"/><Relationship Id="rId9" Type="http://schemas.openxmlformats.org/officeDocument/2006/relationships/hyperlink" Target="https://www.instagram.com/p/Daxi5RIAqrt/" TargetMode="External"/><Relationship Id="rId5" Type="http://schemas.openxmlformats.org/officeDocument/2006/relationships/hyperlink" Target="https://maps.app.goo.gl/D44Y78pyidptm1As6?g_st=iw" TargetMode="External"/><Relationship Id="rId6" Type="http://schemas.openxmlformats.org/officeDocument/2006/relationships/hyperlink" Target="https://maps.app.goo.gl/KH6QPRFfMDsp15CH9?g_st=iw" TargetMode="External"/><Relationship Id="rId7" Type="http://schemas.openxmlformats.org/officeDocument/2006/relationships/hyperlink" Target="https://maps.app.goo.gl/862TJXSFMqxsrA778?g_st=awb" TargetMode="External"/><Relationship Id="rId8" Type="http://schemas.openxmlformats.org/officeDocument/2006/relationships/hyperlink" Target="https://maps.app.goo.gl/KmhTFttFQCZdLNvo8?g_st=ic"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h.hk/"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0" Type="http://schemas.openxmlformats.org/officeDocument/2006/relationships/drawing" Target="../drawings/drawing9.xml"/><Relationship Id="rId1" Type="http://schemas.openxmlformats.org/officeDocument/2006/relationships/hyperlink" Target="https://maps.app.goo.gl/oHkquDxQRbHFhd8T7" TargetMode="External"/><Relationship Id="rId2" Type="http://schemas.openxmlformats.org/officeDocument/2006/relationships/hyperlink" Target="https://maps.app.goo.gl/2rtF7tZYT6NtimCa7?g_st=ac" TargetMode="External"/><Relationship Id="rId3" Type="http://schemas.openxmlformats.org/officeDocument/2006/relationships/hyperlink" Target="https://maps.app.goo.gl/K2Sf3y4o2RZst1hi8" TargetMode="External"/><Relationship Id="rId4" Type="http://schemas.openxmlformats.org/officeDocument/2006/relationships/hyperlink" Target="https://maps.app.goo.gl/BXcwhrAWy2fQEY9A7" TargetMode="External"/><Relationship Id="rId9" Type="http://schemas.openxmlformats.org/officeDocument/2006/relationships/hyperlink" Target="https://maps.app.goo.gl/sQMLaPKPHLFrswHF7?g_st=aw" TargetMode="External"/><Relationship Id="rId5" Type="http://schemas.openxmlformats.org/officeDocument/2006/relationships/hyperlink" Target="https://promising-consult.netlify.app/" TargetMode="External"/><Relationship Id="rId6" Type="http://schemas.openxmlformats.org/officeDocument/2006/relationships/hyperlink" Target="http://linkedin.com/in/eng-ahmed-alata" TargetMode="External"/><Relationship Id="rId7" Type="http://schemas.openxmlformats.org/officeDocument/2006/relationships/hyperlink" Target="https://maps.app.goo.gl/NEGm2hfXzqq3TQKi9?g_st" TargetMode="External"/><Relationship Id="rId8" Type="http://schemas.openxmlformats.org/officeDocument/2006/relationships/hyperlink" Target="https://maps.app.goo.gl/cetEfLXeg1bTpmqK9?g_st=i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pane xSplit="4.0" topLeftCell="E1" activePane="topRight" state="frozen"/>
      <selection activeCell="F2" sqref="F2" pane="topRight"/>
    </sheetView>
  </sheetViews>
  <sheetFormatPr customHeight="1" defaultColWidth="12.63" defaultRowHeight="15.75"/>
  <cols>
    <col customWidth="1" min="1" max="1" width="2.88"/>
    <col customWidth="1" min="2" max="2" width="7.88"/>
    <col customWidth="1" min="3" max="3" width="13.88"/>
    <col customWidth="1" min="4" max="4" width="14.88"/>
    <col customWidth="1" min="5" max="5" width="9.25"/>
    <col customWidth="1" min="6" max="6" width="10.75"/>
    <col customWidth="1" min="7" max="7" width="6.5"/>
    <col customWidth="1" min="8" max="8" width="9.13"/>
    <col customWidth="1" min="9" max="9" width="55.5"/>
    <col customWidth="1" min="10" max="10" width="29.25"/>
    <col customWidth="1" min="11" max="11" width="14.25"/>
    <col customWidth="1" min="12" max="12" width="8.0"/>
    <col customWidth="1" min="13" max="13" width="13.63"/>
    <col customWidth="1" min="14" max="14" width="14.88"/>
    <col customWidth="1" min="15" max="15" width="14.75"/>
    <col customWidth="1" min="16" max="17" width="11.0"/>
    <col customWidth="1" min="18" max="20" width="14.75"/>
    <col customWidth="1" min="21" max="22" width="11.63"/>
  </cols>
  <sheetData>
    <row r="1">
      <c r="A1" s="1"/>
      <c r="B1" s="2" t="s">
        <v>0</v>
      </c>
      <c r="C1" s="2" t="s">
        <v>1</v>
      </c>
      <c r="D1" s="3" t="s">
        <v>2</v>
      </c>
      <c r="E1" s="2" t="s">
        <v>4</v>
      </c>
      <c r="F1" s="2" t="s">
        <v>5</v>
      </c>
      <c r="G1" s="4" t="s">
        <v>6</v>
      </c>
      <c r="H1" s="4" t="s">
        <v>7</v>
      </c>
      <c r="I1" s="5" t="s">
        <v>8</v>
      </c>
      <c r="J1" s="4" t="s">
        <v>9</v>
      </c>
      <c r="K1" s="2" t="s">
        <v>10</v>
      </c>
      <c r="L1" s="3" t="s">
        <v>11</v>
      </c>
      <c r="M1" s="8" t="s">
        <v>12</v>
      </c>
      <c r="N1" s="9" t="s">
        <v>13</v>
      </c>
      <c r="O1" s="10" t="s">
        <v>14</v>
      </c>
      <c r="P1" s="7" t="s">
        <v>15</v>
      </c>
      <c r="Q1" s="3" t="s">
        <v>16</v>
      </c>
      <c r="R1" s="4" t="s">
        <v>17</v>
      </c>
      <c r="S1" s="6" t="s">
        <v>15</v>
      </c>
      <c r="T1" s="6" t="s">
        <v>18</v>
      </c>
      <c r="U1" s="5" t="s">
        <v>19</v>
      </c>
      <c r="V1" s="2" t="s">
        <v>20</v>
      </c>
    </row>
    <row r="2" hidden="1">
      <c r="A2" s="17">
        <v>1.0</v>
      </c>
      <c r="B2" s="18">
        <v>46023.0</v>
      </c>
      <c r="C2" s="22" t="s">
        <v>21</v>
      </c>
      <c r="D2" s="22" t="s">
        <v>34</v>
      </c>
      <c r="E2" s="24" t="s">
        <v>37</v>
      </c>
      <c r="F2" s="22">
        <v>5.81537302E8</v>
      </c>
      <c r="G2" s="24" t="s">
        <v>41</v>
      </c>
      <c r="H2" s="22" t="s">
        <v>27</v>
      </c>
      <c r="I2" s="30" t="s">
        <v>43</v>
      </c>
      <c r="J2" s="31" t="s">
        <v>45</v>
      </c>
      <c r="K2" s="22" t="s">
        <v>39</v>
      </c>
      <c r="L2" s="35"/>
      <c r="M2" s="38" t="s">
        <v>51</v>
      </c>
      <c r="N2" s="22" t="s">
        <v>56</v>
      </c>
      <c r="O2" s="22" t="s">
        <v>42</v>
      </c>
      <c r="P2" s="26"/>
      <c r="Q2" s="22" t="s">
        <v>49</v>
      </c>
      <c r="R2" s="33" t="s">
        <v>68</v>
      </c>
      <c r="S2" s="40"/>
      <c r="T2" s="28"/>
      <c r="U2" s="34"/>
      <c r="V2" s="26">
        <v>5.0</v>
      </c>
    </row>
    <row r="3" hidden="1">
      <c r="A3" s="17">
        <v>2.0</v>
      </c>
      <c r="B3" s="18">
        <v>46023.0</v>
      </c>
      <c r="C3" s="22" t="s">
        <v>58</v>
      </c>
      <c r="D3" s="22" t="s">
        <v>84</v>
      </c>
      <c r="E3" s="24" t="s">
        <v>85</v>
      </c>
      <c r="F3" s="22">
        <v>5.482485E8</v>
      </c>
      <c r="G3" s="24" t="s">
        <v>41</v>
      </c>
      <c r="H3" s="22" t="s">
        <v>27</v>
      </c>
      <c r="I3" s="30" t="s">
        <v>86</v>
      </c>
      <c r="J3" s="24" t="s">
        <v>87</v>
      </c>
      <c r="K3" s="22" t="s">
        <v>36</v>
      </c>
      <c r="L3" s="35"/>
      <c r="M3" s="42" t="s">
        <v>88</v>
      </c>
      <c r="N3" s="22" t="s">
        <v>56</v>
      </c>
      <c r="O3" s="22" t="s">
        <v>42</v>
      </c>
      <c r="P3" s="26"/>
      <c r="Q3" s="22" t="s">
        <v>49</v>
      </c>
      <c r="R3" s="33" t="s">
        <v>68</v>
      </c>
      <c r="S3" s="40"/>
      <c r="T3" s="28"/>
      <c r="U3" s="34"/>
      <c r="V3" s="26">
        <v>5.0</v>
      </c>
    </row>
    <row r="4">
      <c r="A4" s="17">
        <v>3.0</v>
      </c>
      <c r="B4" s="18">
        <v>46026.0</v>
      </c>
      <c r="C4" s="17" t="s">
        <v>47</v>
      </c>
      <c r="D4" s="17" t="s">
        <v>48</v>
      </c>
      <c r="E4" s="24" t="s">
        <v>96</v>
      </c>
      <c r="F4" s="17" t="s">
        <v>27</v>
      </c>
      <c r="G4" s="24" t="s">
        <v>41</v>
      </c>
      <c r="H4" s="17" t="s">
        <v>97</v>
      </c>
      <c r="I4" s="30" t="s">
        <v>99</v>
      </c>
      <c r="J4" s="24" t="s">
        <v>100</v>
      </c>
      <c r="K4" s="17" t="s">
        <v>78</v>
      </c>
      <c r="L4" s="35"/>
      <c r="M4" s="20" t="s">
        <v>101</v>
      </c>
      <c r="N4" s="17" t="s">
        <v>56</v>
      </c>
      <c r="O4" s="17"/>
      <c r="P4" s="26"/>
      <c r="Q4" s="17" t="s">
        <v>49</v>
      </c>
      <c r="R4" s="39" t="s">
        <v>46</v>
      </c>
      <c r="S4" s="40"/>
      <c r="T4" s="28"/>
      <c r="U4" s="34"/>
      <c r="V4" s="26">
        <v>5.0</v>
      </c>
    </row>
    <row r="5" ht="64.5" customHeight="1">
      <c r="A5" s="17">
        <v>4.0</v>
      </c>
      <c r="B5" s="18">
        <v>46026.0</v>
      </c>
      <c r="C5" s="17" t="s">
        <v>47</v>
      </c>
      <c r="D5" s="17" t="s">
        <v>48</v>
      </c>
      <c r="E5" s="24" t="s">
        <v>108</v>
      </c>
      <c r="F5" s="17" t="s">
        <v>27</v>
      </c>
      <c r="G5" s="24" t="s">
        <v>41</v>
      </c>
      <c r="H5" s="17" t="s">
        <v>52</v>
      </c>
      <c r="I5" s="30" t="s">
        <v>109</v>
      </c>
      <c r="J5" s="24" t="s">
        <v>110</v>
      </c>
      <c r="K5" s="17" t="s">
        <v>78</v>
      </c>
      <c r="L5" s="35"/>
      <c r="M5" s="20" t="s">
        <v>101</v>
      </c>
      <c r="N5" s="17" t="s">
        <v>56</v>
      </c>
      <c r="O5" s="17"/>
      <c r="P5" s="26"/>
      <c r="Q5" s="17" t="s">
        <v>49</v>
      </c>
      <c r="R5" s="39" t="s">
        <v>46</v>
      </c>
      <c r="S5" s="40"/>
      <c r="T5" s="28"/>
      <c r="U5" s="34"/>
      <c r="V5" s="26">
        <v>5.0</v>
      </c>
    </row>
    <row r="6" hidden="1">
      <c r="A6" s="17">
        <v>5.0</v>
      </c>
      <c r="B6" s="18">
        <v>46026.0</v>
      </c>
      <c r="C6" s="22" t="s">
        <v>21</v>
      </c>
      <c r="D6" s="22" t="s">
        <v>22</v>
      </c>
      <c r="E6" s="24" t="s">
        <v>118</v>
      </c>
      <c r="F6" s="22">
        <v>5.51000233E8</v>
      </c>
      <c r="G6" s="31" t="s">
        <v>120</v>
      </c>
      <c r="H6" s="22" t="s">
        <v>27</v>
      </c>
      <c r="I6" s="30" t="s">
        <v>121</v>
      </c>
      <c r="J6" s="31" t="s">
        <v>123</v>
      </c>
      <c r="K6" s="22" t="s">
        <v>36</v>
      </c>
      <c r="L6" s="35"/>
      <c r="M6" s="38" t="s">
        <v>125</v>
      </c>
      <c r="N6" s="22" t="s">
        <v>56</v>
      </c>
      <c r="O6" s="22" t="s">
        <v>42</v>
      </c>
      <c r="P6" s="26"/>
      <c r="Q6" s="22" t="s">
        <v>49</v>
      </c>
      <c r="R6" s="33" t="s">
        <v>68</v>
      </c>
      <c r="S6" s="40"/>
      <c r="T6" s="28"/>
      <c r="U6" s="34"/>
      <c r="V6" s="26">
        <v>5.0</v>
      </c>
    </row>
    <row r="7" hidden="1">
      <c r="A7" s="17">
        <v>6.0</v>
      </c>
      <c r="B7" s="18">
        <v>46026.0</v>
      </c>
      <c r="C7" s="17" t="s">
        <v>58</v>
      </c>
      <c r="D7" s="17" t="s">
        <v>84</v>
      </c>
      <c r="E7" s="24" t="s">
        <v>131</v>
      </c>
      <c r="F7" s="17" t="s">
        <v>27</v>
      </c>
      <c r="G7" s="24" t="s">
        <v>41</v>
      </c>
      <c r="H7" s="17" t="s">
        <v>133</v>
      </c>
      <c r="I7" s="30" t="s">
        <v>135</v>
      </c>
      <c r="J7" s="31" t="s">
        <v>123</v>
      </c>
      <c r="K7" s="17" t="s">
        <v>78</v>
      </c>
      <c r="L7" s="35"/>
      <c r="M7" s="25" t="s">
        <v>38</v>
      </c>
      <c r="N7" s="22" t="s">
        <v>56</v>
      </c>
      <c r="O7" s="17" t="s">
        <v>42</v>
      </c>
      <c r="P7" s="26"/>
      <c r="Q7" s="17" t="s">
        <v>49</v>
      </c>
      <c r="R7" s="33" t="s">
        <v>68</v>
      </c>
      <c r="S7" s="40"/>
      <c r="T7" s="28"/>
      <c r="U7" s="34"/>
      <c r="V7" s="26">
        <v>5.0</v>
      </c>
    </row>
    <row r="8" ht="27.75" customHeight="1">
      <c r="A8" s="17">
        <v>7.0</v>
      </c>
      <c r="B8" s="18">
        <v>46026.0</v>
      </c>
      <c r="C8" s="17" t="s">
        <v>47</v>
      </c>
      <c r="D8" s="17" t="s">
        <v>138</v>
      </c>
      <c r="E8" s="24" t="s">
        <v>141</v>
      </c>
      <c r="F8" s="17">
        <v>5.66343374E8</v>
      </c>
      <c r="G8" s="24" t="s">
        <v>41</v>
      </c>
      <c r="H8" s="17" t="s">
        <v>146</v>
      </c>
      <c r="I8" s="30" t="s">
        <v>147</v>
      </c>
      <c r="J8" s="24" t="s">
        <v>149</v>
      </c>
      <c r="K8" s="17" t="s">
        <v>148</v>
      </c>
      <c r="L8" s="35"/>
      <c r="M8" s="44" t="s">
        <v>150</v>
      </c>
      <c r="N8" s="22" t="s">
        <v>56</v>
      </c>
      <c r="O8" s="17"/>
      <c r="P8" s="26"/>
      <c r="Q8" s="17" t="s">
        <v>49</v>
      </c>
      <c r="R8" s="39" t="s">
        <v>46</v>
      </c>
      <c r="S8" s="40"/>
      <c r="T8" s="28"/>
      <c r="U8" s="34"/>
      <c r="V8" s="26">
        <v>5.0</v>
      </c>
    </row>
    <row r="9" hidden="1">
      <c r="A9" s="17">
        <v>8.0</v>
      </c>
      <c r="B9" s="18">
        <v>46026.0</v>
      </c>
      <c r="C9" s="22" t="s">
        <v>58</v>
      </c>
      <c r="D9" s="22" t="s">
        <v>84</v>
      </c>
      <c r="E9" s="24" t="s">
        <v>159</v>
      </c>
      <c r="F9" s="22">
        <v>5.52522157E8</v>
      </c>
      <c r="G9" s="31" t="s">
        <v>41</v>
      </c>
      <c r="H9" s="22" t="s">
        <v>27</v>
      </c>
      <c r="I9" s="30" t="s">
        <v>160</v>
      </c>
      <c r="J9" s="24" t="s">
        <v>161</v>
      </c>
      <c r="K9" s="22" t="s">
        <v>36</v>
      </c>
      <c r="L9" s="35"/>
      <c r="M9" s="42" t="s">
        <v>88</v>
      </c>
      <c r="N9" s="22" t="s">
        <v>56</v>
      </c>
      <c r="O9" s="22" t="s">
        <v>42</v>
      </c>
      <c r="P9" s="26"/>
      <c r="Q9" s="22" t="s">
        <v>49</v>
      </c>
      <c r="R9" s="33" t="s">
        <v>68</v>
      </c>
      <c r="S9" s="40"/>
      <c r="T9" s="28"/>
      <c r="U9" s="34"/>
      <c r="V9" s="26">
        <v>5.0</v>
      </c>
    </row>
    <row r="10" hidden="1">
      <c r="A10" s="17">
        <v>9.0</v>
      </c>
      <c r="B10" s="18">
        <v>46026.0</v>
      </c>
      <c r="C10" s="22" t="s">
        <v>21</v>
      </c>
      <c r="D10" s="22" t="s">
        <v>34</v>
      </c>
      <c r="E10" s="24" t="s">
        <v>168</v>
      </c>
      <c r="F10" s="22">
        <v>5.63391351E8</v>
      </c>
      <c r="G10" s="31" t="s">
        <v>71</v>
      </c>
      <c r="H10" s="22" t="s">
        <v>27</v>
      </c>
      <c r="I10" s="30" t="s">
        <v>169</v>
      </c>
      <c r="J10" s="31" t="s">
        <v>170</v>
      </c>
      <c r="K10" s="22" t="s">
        <v>36</v>
      </c>
      <c r="L10" s="35"/>
      <c r="M10" s="38" t="s">
        <v>51</v>
      </c>
      <c r="N10" s="22" t="s">
        <v>56</v>
      </c>
      <c r="O10" s="22" t="s">
        <v>42</v>
      </c>
      <c r="P10" s="26"/>
      <c r="Q10" s="22" t="s">
        <v>49</v>
      </c>
      <c r="R10" s="33" t="s">
        <v>68</v>
      </c>
      <c r="S10" s="40"/>
      <c r="T10" s="28"/>
      <c r="U10" s="34"/>
      <c r="V10" s="26">
        <v>5.0</v>
      </c>
    </row>
    <row r="11" hidden="1">
      <c r="A11" s="17">
        <v>10.0</v>
      </c>
      <c r="B11" s="18">
        <v>46026.0</v>
      </c>
      <c r="C11" s="22" t="s">
        <v>58</v>
      </c>
      <c r="D11" s="22" t="s">
        <v>84</v>
      </c>
      <c r="E11" s="24" t="s">
        <v>176</v>
      </c>
      <c r="F11" s="22">
        <v>5.65604515E8</v>
      </c>
      <c r="G11" s="24" t="s">
        <v>79</v>
      </c>
      <c r="H11" s="22" t="s">
        <v>178</v>
      </c>
      <c r="I11" s="30" t="s">
        <v>180</v>
      </c>
      <c r="J11" s="24" t="s">
        <v>182</v>
      </c>
      <c r="K11" s="22" t="s">
        <v>36</v>
      </c>
      <c r="L11" s="35"/>
      <c r="M11" s="42" t="s">
        <v>88</v>
      </c>
      <c r="N11" s="22" t="s">
        <v>56</v>
      </c>
      <c r="O11" s="22" t="s">
        <v>42</v>
      </c>
      <c r="P11" s="26"/>
      <c r="Q11" s="22" t="s">
        <v>49</v>
      </c>
      <c r="R11" s="33" t="s">
        <v>68</v>
      </c>
      <c r="S11" s="40"/>
      <c r="T11" s="28"/>
      <c r="U11" s="34"/>
      <c r="V11" s="26">
        <v>5.0</v>
      </c>
    </row>
    <row r="12" hidden="1">
      <c r="A12" s="17">
        <v>11.0</v>
      </c>
      <c r="B12" s="18">
        <v>46026.0</v>
      </c>
      <c r="C12" s="22" t="s">
        <v>21</v>
      </c>
      <c r="D12" s="22" t="s">
        <v>24</v>
      </c>
      <c r="E12" s="24" t="s">
        <v>190</v>
      </c>
      <c r="F12" s="22">
        <v>5.4794794E8</v>
      </c>
      <c r="G12" s="31" t="s">
        <v>41</v>
      </c>
      <c r="H12" s="22" t="s">
        <v>27</v>
      </c>
      <c r="I12" s="30" t="s">
        <v>194</v>
      </c>
      <c r="J12" s="31" t="s">
        <v>123</v>
      </c>
      <c r="K12" s="22" t="s">
        <v>36</v>
      </c>
      <c r="L12" s="35"/>
      <c r="M12" s="25" t="s">
        <v>38</v>
      </c>
      <c r="N12" s="22" t="s">
        <v>56</v>
      </c>
      <c r="O12" s="22" t="s">
        <v>42</v>
      </c>
      <c r="P12" s="26"/>
      <c r="Q12" s="22" t="s">
        <v>49</v>
      </c>
      <c r="R12" s="33" t="s">
        <v>46</v>
      </c>
      <c r="S12" s="40"/>
      <c r="T12" s="28"/>
      <c r="U12" s="34"/>
      <c r="V12" s="26">
        <v>5.0</v>
      </c>
    </row>
    <row r="13" hidden="1">
      <c r="A13" s="17">
        <v>12.0</v>
      </c>
      <c r="B13" s="18">
        <v>46026.0</v>
      </c>
      <c r="C13" s="22" t="s">
        <v>21</v>
      </c>
      <c r="D13" s="22" t="s">
        <v>48</v>
      </c>
      <c r="E13" s="17" t="s">
        <v>27</v>
      </c>
      <c r="F13" s="22">
        <v>5.78596546E8</v>
      </c>
      <c r="G13" s="24" t="s">
        <v>79</v>
      </c>
      <c r="H13" s="22" t="s">
        <v>27</v>
      </c>
      <c r="I13" s="30" t="s">
        <v>201</v>
      </c>
      <c r="J13" s="24" t="s">
        <v>204</v>
      </c>
      <c r="K13" s="22" t="s">
        <v>36</v>
      </c>
      <c r="L13" s="35"/>
      <c r="M13" s="25" t="s">
        <v>38</v>
      </c>
      <c r="N13" s="22" t="s">
        <v>56</v>
      </c>
      <c r="O13" s="22" t="s">
        <v>42</v>
      </c>
      <c r="P13" s="26"/>
      <c r="Q13" s="22" t="s">
        <v>49</v>
      </c>
      <c r="R13" s="33" t="s">
        <v>68</v>
      </c>
      <c r="S13" s="40"/>
      <c r="T13" s="28"/>
      <c r="U13" s="34"/>
      <c r="V13" s="26">
        <v>5.0</v>
      </c>
    </row>
    <row r="14" hidden="1">
      <c r="A14" s="17">
        <v>13.0</v>
      </c>
      <c r="B14" s="18">
        <v>46026.0</v>
      </c>
      <c r="C14" s="17" t="s">
        <v>58</v>
      </c>
      <c r="D14" s="17" t="s">
        <v>84</v>
      </c>
      <c r="E14" s="17" t="s">
        <v>27</v>
      </c>
      <c r="F14" s="17">
        <v>5.05774831E8</v>
      </c>
      <c r="G14" s="24" t="s">
        <v>211</v>
      </c>
      <c r="H14" s="17" t="s">
        <v>133</v>
      </c>
      <c r="I14" s="30" t="s">
        <v>212</v>
      </c>
      <c r="J14" s="31" t="s">
        <v>123</v>
      </c>
      <c r="K14" s="17" t="s">
        <v>65</v>
      </c>
      <c r="L14" s="35"/>
      <c r="M14" s="25" t="s">
        <v>38</v>
      </c>
      <c r="N14" s="22" t="s">
        <v>56</v>
      </c>
      <c r="O14" s="17" t="s">
        <v>42</v>
      </c>
      <c r="P14" s="26"/>
      <c r="Q14" s="17" t="s">
        <v>49</v>
      </c>
      <c r="R14" s="33" t="s">
        <v>68</v>
      </c>
      <c r="S14" s="40"/>
      <c r="T14" s="28"/>
      <c r="U14" s="34"/>
      <c r="V14" s="26">
        <v>5.0</v>
      </c>
    </row>
    <row r="15" hidden="1">
      <c r="A15" s="17">
        <v>14.0</v>
      </c>
      <c r="B15" s="18">
        <v>46026.0</v>
      </c>
      <c r="C15" s="22" t="s">
        <v>21</v>
      </c>
      <c r="D15" s="22" t="s">
        <v>22</v>
      </c>
      <c r="E15" s="24" t="s">
        <v>217</v>
      </c>
      <c r="F15" s="22">
        <v>5.34398557E8</v>
      </c>
      <c r="G15" s="24" t="s">
        <v>79</v>
      </c>
      <c r="H15" s="22" t="s">
        <v>27</v>
      </c>
      <c r="I15" s="30" t="s">
        <v>220</v>
      </c>
      <c r="J15" s="31" t="s">
        <v>123</v>
      </c>
      <c r="K15" s="22" t="s">
        <v>36</v>
      </c>
      <c r="L15" s="35"/>
      <c r="M15" s="38" t="s">
        <v>125</v>
      </c>
      <c r="N15" s="22" t="s">
        <v>56</v>
      </c>
      <c r="O15" s="22" t="s">
        <v>42</v>
      </c>
      <c r="P15" s="26"/>
      <c r="Q15" s="22" t="s">
        <v>49</v>
      </c>
      <c r="R15" s="33" t="s">
        <v>46</v>
      </c>
      <c r="S15" s="40"/>
      <c r="T15" s="28"/>
      <c r="U15" s="34"/>
      <c r="V15" s="26">
        <v>5.0</v>
      </c>
    </row>
    <row r="16" hidden="1">
      <c r="A16" s="17">
        <v>15.0</v>
      </c>
      <c r="B16" s="48">
        <v>46026.0</v>
      </c>
      <c r="C16" s="49" t="s">
        <v>21</v>
      </c>
      <c r="D16" s="49" t="s">
        <v>24</v>
      </c>
      <c r="E16" s="50" t="s">
        <v>226</v>
      </c>
      <c r="F16" s="49">
        <v>5.60501701E8</v>
      </c>
      <c r="G16" s="51" t="s">
        <v>211</v>
      </c>
      <c r="H16" s="49" t="s">
        <v>222</v>
      </c>
      <c r="I16" s="52" t="s">
        <v>231</v>
      </c>
      <c r="J16" s="53" t="s">
        <v>232</v>
      </c>
      <c r="K16" s="49" t="s">
        <v>36</v>
      </c>
      <c r="L16" s="35"/>
      <c r="M16" s="25" t="s">
        <v>38</v>
      </c>
      <c r="N16" s="22" t="s">
        <v>56</v>
      </c>
      <c r="O16" s="49" t="s">
        <v>42</v>
      </c>
      <c r="P16" s="26"/>
      <c r="Q16" s="49" t="s">
        <v>49</v>
      </c>
      <c r="R16" s="33" t="s">
        <v>46</v>
      </c>
      <c r="S16" s="40"/>
      <c r="T16" s="28"/>
      <c r="U16" s="34"/>
      <c r="V16" s="26">
        <v>5.0</v>
      </c>
    </row>
    <row r="17" hidden="1">
      <c r="A17" s="17">
        <v>16.0</v>
      </c>
      <c r="B17" s="18">
        <v>46026.0</v>
      </c>
      <c r="C17" s="22" t="s">
        <v>21</v>
      </c>
      <c r="D17" s="22" t="s">
        <v>24</v>
      </c>
      <c r="E17" s="24" t="s">
        <v>108</v>
      </c>
      <c r="F17" s="22">
        <v>5.08833366E8</v>
      </c>
      <c r="G17" s="31" t="s">
        <v>71</v>
      </c>
      <c r="H17" s="22" t="s">
        <v>27</v>
      </c>
      <c r="I17" s="30" t="s">
        <v>236</v>
      </c>
      <c r="J17" s="31" t="s">
        <v>123</v>
      </c>
      <c r="K17" s="22" t="s">
        <v>39</v>
      </c>
      <c r="L17" s="35"/>
      <c r="M17" s="25" t="s">
        <v>38</v>
      </c>
      <c r="N17" s="22" t="s">
        <v>56</v>
      </c>
      <c r="O17" s="22" t="s">
        <v>42</v>
      </c>
      <c r="P17" s="26"/>
      <c r="Q17" s="22" t="s">
        <v>49</v>
      </c>
      <c r="R17" s="33" t="s">
        <v>46</v>
      </c>
      <c r="S17" s="40"/>
      <c r="T17" s="28"/>
      <c r="U17" s="34"/>
      <c r="V17" s="26">
        <v>5.0</v>
      </c>
    </row>
    <row r="18" hidden="1">
      <c r="A18" s="17">
        <v>17.0</v>
      </c>
      <c r="B18" s="18">
        <v>46026.0</v>
      </c>
      <c r="C18" s="22" t="s">
        <v>21</v>
      </c>
      <c r="D18" s="22" t="s">
        <v>48</v>
      </c>
      <c r="E18" s="24" t="s">
        <v>246</v>
      </c>
      <c r="F18" s="22">
        <v>5.78596546E8</v>
      </c>
      <c r="G18" s="31" t="s">
        <v>41</v>
      </c>
      <c r="H18" s="22" t="s">
        <v>27</v>
      </c>
      <c r="I18" s="30" t="s">
        <v>247</v>
      </c>
      <c r="J18" s="24" t="s">
        <v>204</v>
      </c>
      <c r="K18" s="22" t="s">
        <v>39</v>
      </c>
      <c r="L18" s="35"/>
      <c r="M18" s="25" t="s">
        <v>38</v>
      </c>
      <c r="N18" s="22" t="s">
        <v>56</v>
      </c>
      <c r="O18" s="22" t="s">
        <v>42</v>
      </c>
      <c r="P18" s="26"/>
      <c r="Q18" s="22" t="s">
        <v>49</v>
      </c>
      <c r="R18" s="33" t="s">
        <v>68</v>
      </c>
      <c r="S18" s="40"/>
      <c r="T18" s="28"/>
      <c r="U18" s="34"/>
      <c r="V18" s="26">
        <v>5.0</v>
      </c>
    </row>
    <row r="19" hidden="1">
      <c r="A19" s="17">
        <v>18.0</v>
      </c>
      <c r="B19" s="18">
        <v>46026.0</v>
      </c>
      <c r="C19" s="22" t="s">
        <v>21</v>
      </c>
      <c r="D19" s="22" t="s">
        <v>57</v>
      </c>
      <c r="E19" s="24" t="s">
        <v>257</v>
      </c>
      <c r="F19" s="22">
        <v>5.42600299E8</v>
      </c>
      <c r="G19" s="31" t="s">
        <v>120</v>
      </c>
      <c r="H19" s="22" t="s">
        <v>27</v>
      </c>
      <c r="I19" s="30" t="s">
        <v>258</v>
      </c>
      <c r="J19" s="31" t="s">
        <v>260</v>
      </c>
      <c r="K19" s="22" t="s">
        <v>39</v>
      </c>
      <c r="L19" s="35"/>
      <c r="M19" s="25" t="s">
        <v>38</v>
      </c>
      <c r="N19" s="22" t="s">
        <v>56</v>
      </c>
      <c r="O19" s="22" t="s">
        <v>42</v>
      </c>
      <c r="P19" s="26"/>
      <c r="Q19" s="22" t="s">
        <v>49</v>
      </c>
      <c r="R19" s="33" t="s">
        <v>68</v>
      </c>
      <c r="S19" s="40"/>
      <c r="T19" s="28"/>
      <c r="U19" s="34"/>
      <c r="V19" s="26">
        <v>5.0</v>
      </c>
    </row>
    <row r="20" hidden="1">
      <c r="A20" s="17">
        <v>19.0</v>
      </c>
      <c r="B20" s="18">
        <v>46026.0</v>
      </c>
      <c r="C20" s="22" t="s">
        <v>21</v>
      </c>
      <c r="D20" s="22" t="s">
        <v>22</v>
      </c>
      <c r="E20" s="24" t="s">
        <v>264</v>
      </c>
      <c r="F20" s="22">
        <v>5.01503435E8</v>
      </c>
      <c r="G20" s="31" t="s">
        <v>267</v>
      </c>
      <c r="H20" s="22" t="s">
        <v>27</v>
      </c>
      <c r="I20" s="30" t="s">
        <v>271</v>
      </c>
      <c r="J20" s="31" t="s">
        <v>123</v>
      </c>
      <c r="K20" s="22" t="s">
        <v>39</v>
      </c>
      <c r="L20" s="35"/>
      <c r="M20" s="38" t="s">
        <v>125</v>
      </c>
      <c r="N20" s="22" t="s">
        <v>56</v>
      </c>
      <c r="O20" s="22" t="s">
        <v>42</v>
      </c>
      <c r="P20" s="26"/>
      <c r="Q20" s="22" t="s">
        <v>49</v>
      </c>
      <c r="R20" s="33" t="s">
        <v>68</v>
      </c>
      <c r="S20" s="40"/>
      <c r="T20" s="28"/>
      <c r="U20" s="34"/>
      <c r="V20" s="26">
        <v>5.0</v>
      </c>
    </row>
    <row r="21" hidden="1">
      <c r="A21" s="17">
        <v>20.0</v>
      </c>
      <c r="B21" s="18">
        <v>46026.0</v>
      </c>
      <c r="C21" s="22" t="s">
        <v>21</v>
      </c>
      <c r="D21" s="22" t="s">
        <v>22</v>
      </c>
      <c r="E21" s="24" t="s">
        <v>277</v>
      </c>
      <c r="F21" s="22">
        <v>5.50594928E8</v>
      </c>
      <c r="G21" s="31" t="s">
        <v>28</v>
      </c>
      <c r="H21" s="22" t="s">
        <v>27</v>
      </c>
      <c r="I21" s="30" t="s">
        <v>279</v>
      </c>
      <c r="J21" s="31" t="s">
        <v>123</v>
      </c>
      <c r="K21" s="22" t="s">
        <v>39</v>
      </c>
      <c r="L21" s="35"/>
      <c r="M21" s="38" t="s">
        <v>125</v>
      </c>
      <c r="N21" s="22" t="s">
        <v>56</v>
      </c>
      <c r="O21" s="22" t="s">
        <v>42</v>
      </c>
      <c r="P21" s="26"/>
      <c r="Q21" s="22" t="s">
        <v>49</v>
      </c>
      <c r="R21" s="33" t="s">
        <v>68</v>
      </c>
      <c r="S21" s="40"/>
      <c r="T21" s="28"/>
      <c r="U21" s="34"/>
      <c r="V21" s="26">
        <v>5.0</v>
      </c>
    </row>
    <row r="22" hidden="1">
      <c r="A22" s="17">
        <v>21.0</v>
      </c>
      <c r="B22" s="18">
        <v>46026.0</v>
      </c>
      <c r="C22" s="22" t="s">
        <v>21</v>
      </c>
      <c r="D22" s="22" t="s">
        <v>22</v>
      </c>
      <c r="E22" s="24" t="s">
        <v>284</v>
      </c>
      <c r="F22" s="22">
        <v>5.31216597E8</v>
      </c>
      <c r="G22" s="31" t="s">
        <v>285</v>
      </c>
      <c r="H22" s="22" t="s">
        <v>27</v>
      </c>
      <c r="I22" s="30" t="s">
        <v>286</v>
      </c>
      <c r="J22" s="31" t="s">
        <v>123</v>
      </c>
      <c r="K22" s="22" t="s">
        <v>36</v>
      </c>
      <c r="L22" s="35"/>
      <c r="M22" s="38" t="s">
        <v>125</v>
      </c>
      <c r="N22" s="22" t="s">
        <v>56</v>
      </c>
      <c r="O22" s="22" t="s">
        <v>42</v>
      </c>
      <c r="P22" s="26"/>
      <c r="Q22" s="22" t="s">
        <v>49</v>
      </c>
      <c r="R22" s="33" t="s">
        <v>68</v>
      </c>
      <c r="S22" s="40"/>
      <c r="T22" s="28"/>
      <c r="U22" s="34"/>
      <c r="V22" s="26">
        <v>5.0</v>
      </c>
    </row>
    <row r="23" hidden="1">
      <c r="A23" s="17">
        <v>22.0</v>
      </c>
      <c r="B23" s="18">
        <v>46026.0</v>
      </c>
      <c r="C23" s="22" t="s">
        <v>21</v>
      </c>
      <c r="D23" s="22" t="s">
        <v>34</v>
      </c>
      <c r="E23" s="24" t="s">
        <v>297</v>
      </c>
      <c r="F23" s="22">
        <v>5.8074956E8</v>
      </c>
      <c r="G23" s="31" t="s">
        <v>41</v>
      </c>
      <c r="H23" s="22" t="s">
        <v>27</v>
      </c>
      <c r="I23" s="30" t="s">
        <v>298</v>
      </c>
      <c r="J23" s="31" t="s">
        <v>299</v>
      </c>
      <c r="K23" s="22" t="s">
        <v>36</v>
      </c>
      <c r="L23" s="35"/>
      <c r="M23" s="38" t="s">
        <v>51</v>
      </c>
      <c r="N23" s="22" t="s">
        <v>56</v>
      </c>
      <c r="O23" s="22" t="s">
        <v>42</v>
      </c>
      <c r="P23" s="26"/>
      <c r="Q23" s="22" t="s">
        <v>49</v>
      </c>
      <c r="R23" s="33" t="s">
        <v>68</v>
      </c>
      <c r="S23" s="40"/>
      <c r="T23" s="28"/>
      <c r="U23" s="34"/>
      <c r="V23" s="26">
        <v>5.0</v>
      </c>
    </row>
    <row r="24" hidden="1">
      <c r="A24" s="17">
        <v>23.0</v>
      </c>
      <c r="B24" s="18">
        <v>46026.0</v>
      </c>
      <c r="C24" s="22" t="s">
        <v>21</v>
      </c>
      <c r="D24" s="22" t="s">
        <v>34</v>
      </c>
      <c r="E24" s="24" t="s">
        <v>305</v>
      </c>
      <c r="F24" s="22">
        <v>5.91544156E8</v>
      </c>
      <c r="G24" s="31" t="s">
        <v>71</v>
      </c>
      <c r="H24" s="22" t="s">
        <v>27</v>
      </c>
      <c r="I24" s="30" t="s">
        <v>298</v>
      </c>
      <c r="J24" s="31" t="s">
        <v>299</v>
      </c>
      <c r="K24" s="22" t="s">
        <v>36</v>
      </c>
      <c r="L24" s="35"/>
      <c r="M24" s="38" t="s">
        <v>51</v>
      </c>
      <c r="N24" s="22" t="s">
        <v>56</v>
      </c>
      <c r="O24" s="22" t="s">
        <v>42</v>
      </c>
      <c r="P24" s="26"/>
      <c r="Q24" s="22" t="s">
        <v>49</v>
      </c>
      <c r="R24" s="33" t="s">
        <v>68</v>
      </c>
      <c r="S24" s="40"/>
      <c r="T24" s="28"/>
      <c r="U24" s="34"/>
      <c r="V24" s="26">
        <v>5.0</v>
      </c>
    </row>
    <row r="25" hidden="1">
      <c r="A25" s="17">
        <v>24.0</v>
      </c>
      <c r="B25" s="18">
        <v>46026.0</v>
      </c>
      <c r="C25" s="22" t="s">
        <v>58</v>
      </c>
      <c r="D25" s="22" t="s">
        <v>84</v>
      </c>
      <c r="E25" s="24" t="s">
        <v>311</v>
      </c>
      <c r="F25" s="22">
        <v>5.35883966E8</v>
      </c>
      <c r="G25" s="31" t="s">
        <v>71</v>
      </c>
      <c r="H25" s="22" t="s">
        <v>185</v>
      </c>
      <c r="I25" s="30" t="s">
        <v>314</v>
      </c>
      <c r="J25" s="24" t="s">
        <v>315</v>
      </c>
      <c r="K25" s="22" t="s">
        <v>36</v>
      </c>
      <c r="L25" s="35"/>
      <c r="M25" s="42" t="s">
        <v>88</v>
      </c>
      <c r="N25" s="22" t="s">
        <v>56</v>
      </c>
      <c r="O25" s="22" t="s">
        <v>42</v>
      </c>
      <c r="P25" s="26"/>
      <c r="Q25" s="22" t="s">
        <v>49</v>
      </c>
      <c r="R25" s="33" t="s">
        <v>68</v>
      </c>
      <c r="S25" s="40"/>
      <c r="T25" s="28"/>
      <c r="U25" s="34"/>
      <c r="V25" s="26">
        <v>5.0</v>
      </c>
    </row>
    <row r="26" hidden="1">
      <c r="A26" s="17">
        <v>25.0</v>
      </c>
      <c r="B26" s="18">
        <v>46026.0</v>
      </c>
      <c r="C26" s="22" t="s">
        <v>21</v>
      </c>
      <c r="D26" s="22" t="s">
        <v>24</v>
      </c>
      <c r="E26" s="24" t="s">
        <v>325</v>
      </c>
      <c r="F26" s="22">
        <v>5.02983339E8</v>
      </c>
      <c r="G26" s="31" t="s">
        <v>71</v>
      </c>
      <c r="H26" s="22" t="s">
        <v>27</v>
      </c>
      <c r="I26" s="30" t="s">
        <v>327</v>
      </c>
      <c r="J26" s="31" t="s">
        <v>123</v>
      </c>
      <c r="K26" s="22" t="s">
        <v>36</v>
      </c>
      <c r="L26" s="35"/>
      <c r="M26" s="25" t="s">
        <v>38</v>
      </c>
      <c r="N26" s="22" t="s">
        <v>56</v>
      </c>
      <c r="O26" s="22" t="s">
        <v>42</v>
      </c>
      <c r="P26" s="26"/>
      <c r="Q26" s="22" t="s">
        <v>49</v>
      </c>
      <c r="R26" s="33" t="s">
        <v>46</v>
      </c>
      <c r="S26" s="40"/>
      <c r="T26" s="28"/>
      <c r="U26" s="34"/>
      <c r="V26" s="26">
        <v>5.0</v>
      </c>
    </row>
    <row r="27">
      <c r="A27" s="17">
        <v>26.0</v>
      </c>
      <c r="B27" s="18">
        <v>46026.0</v>
      </c>
      <c r="C27" s="17" t="s">
        <v>47</v>
      </c>
      <c r="D27" s="17" t="s">
        <v>92</v>
      </c>
      <c r="E27" s="24" t="s">
        <v>335</v>
      </c>
      <c r="F27" s="17">
        <v>5.40764486E8</v>
      </c>
      <c r="G27" s="31" t="s">
        <v>71</v>
      </c>
      <c r="H27" s="17" t="s">
        <v>337</v>
      </c>
      <c r="I27" s="30" t="s">
        <v>338</v>
      </c>
      <c r="J27" s="24" t="s">
        <v>339</v>
      </c>
      <c r="K27" s="17" t="s">
        <v>36</v>
      </c>
      <c r="L27" s="35"/>
      <c r="M27" s="20" t="s">
        <v>342</v>
      </c>
      <c r="N27" s="17" t="s">
        <v>56</v>
      </c>
      <c r="O27" s="17"/>
      <c r="P27" s="26"/>
      <c r="Q27" s="17" t="s">
        <v>49</v>
      </c>
      <c r="R27" s="39" t="s">
        <v>46</v>
      </c>
      <c r="S27" s="40"/>
      <c r="T27" s="28"/>
      <c r="U27" s="34"/>
      <c r="V27" s="26">
        <v>5.0</v>
      </c>
    </row>
    <row r="28" hidden="1">
      <c r="A28" s="17">
        <v>27.0</v>
      </c>
      <c r="B28" s="18">
        <v>46026.0</v>
      </c>
      <c r="C28" s="22" t="s">
        <v>21</v>
      </c>
      <c r="D28" s="22" t="s">
        <v>24</v>
      </c>
      <c r="E28" s="24" t="s">
        <v>347</v>
      </c>
      <c r="F28" s="17">
        <v>5.545307E8</v>
      </c>
      <c r="G28" s="31" t="s">
        <v>41</v>
      </c>
      <c r="H28" s="22" t="s">
        <v>222</v>
      </c>
      <c r="I28" s="30" t="s">
        <v>350</v>
      </c>
      <c r="J28" s="31" t="s">
        <v>123</v>
      </c>
      <c r="K28" s="22" t="s">
        <v>36</v>
      </c>
      <c r="L28" s="35"/>
      <c r="M28" s="25" t="s">
        <v>38</v>
      </c>
      <c r="N28" s="22" t="s">
        <v>56</v>
      </c>
      <c r="O28" s="22" t="s">
        <v>42</v>
      </c>
      <c r="P28" s="26"/>
      <c r="Q28" s="22" t="s">
        <v>49</v>
      </c>
      <c r="R28" s="33" t="s">
        <v>46</v>
      </c>
      <c r="S28" s="40"/>
      <c r="T28" s="28"/>
      <c r="U28" s="34"/>
      <c r="V28" s="26">
        <v>5.0</v>
      </c>
    </row>
    <row r="29" hidden="1">
      <c r="A29" s="17">
        <v>28.0</v>
      </c>
      <c r="B29" s="18">
        <v>46026.0</v>
      </c>
      <c r="C29" s="22" t="s">
        <v>21</v>
      </c>
      <c r="D29" s="22" t="s">
        <v>66</v>
      </c>
      <c r="E29" s="24" t="s">
        <v>357</v>
      </c>
      <c r="F29" s="17">
        <v>5.6655277E8</v>
      </c>
      <c r="G29" s="31" t="s">
        <v>120</v>
      </c>
      <c r="H29" s="22" t="s">
        <v>27</v>
      </c>
      <c r="I29" s="30" t="s">
        <v>358</v>
      </c>
      <c r="J29" s="31" t="s">
        <v>360</v>
      </c>
      <c r="K29" s="22" t="s">
        <v>36</v>
      </c>
      <c r="L29" s="35"/>
      <c r="M29" s="25" t="s">
        <v>38</v>
      </c>
      <c r="N29" s="22" t="s">
        <v>56</v>
      </c>
      <c r="O29" s="22" t="s">
        <v>42</v>
      </c>
      <c r="P29" s="26"/>
      <c r="Q29" s="22" t="s">
        <v>49</v>
      </c>
      <c r="R29" s="33" t="s">
        <v>68</v>
      </c>
      <c r="S29" s="40"/>
      <c r="T29" s="28"/>
      <c r="U29" s="34"/>
      <c r="V29" s="26">
        <v>5.0</v>
      </c>
    </row>
    <row r="30" ht="48.75" customHeight="1">
      <c r="A30" s="17">
        <v>29.0</v>
      </c>
      <c r="B30" s="18">
        <v>46026.0</v>
      </c>
      <c r="C30" s="17" t="s">
        <v>47</v>
      </c>
      <c r="D30" s="17" t="s">
        <v>367</v>
      </c>
      <c r="E30" s="24" t="s">
        <v>368</v>
      </c>
      <c r="F30" s="17">
        <v>5.3092962E8</v>
      </c>
      <c r="G30" s="24" t="s">
        <v>369</v>
      </c>
      <c r="H30" s="65" t="s">
        <v>113</v>
      </c>
      <c r="I30" s="66" t="s">
        <v>371</v>
      </c>
      <c r="J30" s="24" t="s">
        <v>373</v>
      </c>
      <c r="K30" s="17" t="s">
        <v>36</v>
      </c>
      <c r="L30" s="35"/>
      <c r="M30" s="25" t="s">
        <v>55</v>
      </c>
      <c r="N30" s="22" t="s">
        <v>56</v>
      </c>
      <c r="O30" s="17"/>
      <c r="P30" s="26"/>
      <c r="Q30" s="17" t="s">
        <v>49</v>
      </c>
      <c r="R30" s="39" t="s">
        <v>46</v>
      </c>
      <c r="S30" s="40"/>
      <c r="T30" s="28"/>
      <c r="U30" s="34"/>
      <c r="V30" s="26">
        <v>5.0</v>
      </c>
    </row>
    <row r="31" hidden="1">
      <c r="A31" s="17">
        <v>30.0</v>
      </c>
      <c r="B31" s="18">
        <v>46026.0</v>
      </c>
      <c r="C31" s="22" t="s">
        <v>21</v>
      </c>
      <c r="D31" s="22" t="s">
        <v>24</v>
      </c>
      <c r="E31" s="24" t="s">
        <v>287</v>
      </c>
      <c r="F31" s="22">
        <v>5.83280858E8</v>
      </c>
      <c r="G31" s="31" t="s">
        <v>120</v>
      </c>
      <c r="H31" s="22" t="s">
        <v>27</v>
      </c>
      <c r="I31" s="30" t="s">
        <v>380</v>
      </c>
      <c r="J31" s="31" t="s">
        <v>123</v>
      </c>
      <c r="K31" s="22" t="s">
        <v>36</v>
      </c>
      <c r="L31" s="35"/>
      <c r="M31" s="25" t="s">
        <v>38</v>
      </c>
      <c r="N31" s="22" t="s">
        <v>56</v>
      </c>
      <c r="O31" s="22" t="s">
        <v>42</v>
      </c>
      <c r="P31" s="26"/>
      <c r="Q31" s="22" t="s">
        <v>49</v>
      </c>
      <c r="R31" s="33" t="s">
        <v>46</v>
      </c>
      <c r="S31" s="40"/>
      <c r="T31" s="28"/>
      <c r="U31" s="34"/>
      <c r="V31" s="26">
        <v>5.0</v>
      </c>
    </row>
    <row r="32" hidden="1">
      <c r="A32" s="17">
        <v>31.0</v>
      </c>
      <c r="B32" s="18">
        <v>46026.0</v>
      </c>
      <c r="C32" s="22" t="s">
        <v>21</v>
      </c>
      <c r="D32" s="22" t="s">
        <v>24</v>
      </c>
      <c r="E32" s="24" t="s">
        <v>384</v>
      </c>
      <c r="F32" s="22">
        <v>5.56668585E8</v>
      </c>
      <c r="G32" s="31" t="s">
        <v>71</v>
      </c>
      <c r="H32" s="22" t="s">
        <v>27</v>
      </c>
      <c r="I32" s="30" t="s">
        <v>388</v>
      </c>
      <c r="J32" s="31" t="s">
        <v>123</v>
      </c>
      <c r="K32" s="22" t="s">
        <v>36</v>
      </c>
      <c r="L32" s="35">
        <v>0.5798611111111112</v>
      </c>
      <c r="M32" s="25" t="s">
        <v>38</v>
      </c>
      <c r="N32" s="22" t="s">
        <v>56</v>
      </c>
      <c r="O32" s="22" t="s">
        <v>42</v>
      </c>
      <c r="P32" s="26"/>
      <c r="Q32" s="22" t="s">
        <v>49</v>
      </c>
      <c r="R32" s="33" t="s">
        <v>46</v>
      </c>
      <c r="S32" s="40"/>
      <c r="T32" s="28"/>
      <c r="U32" s="68" t="s">
        <v>44</v>
      </c>
      <c r="V32" s="26">
        <v>5.0</v>
      </c>
    </row>
    <row r="33" hidden="1">
      <c r="A33" s="17">
        <v>32.0</v>
      </c>
      <c r="B33" s="18">
        <v>46026.0</v>
      </c>
      <c r="C33" s="22" t="s">
        <v>21</v>
      </c>
      <c r="D33" s="22" t="s">
        <v>57</v>
      </c>
      <c r="E33" s="24" t="s">
        <v>393</v>
      </c>
      <c r="F33" s="22">
        <v>5.70562677E8</v>
      </c>
      <c r="G33" s="31" t="s">
        <v>41</v>
      </c>
      <c r="H33" s="22" t="s">
        <v>222</v>
      </c>
      <c r="I33" s="30" t="s">
        <v>398</v>
      </c>
      <c r="J33" s="31" t="s">
        <v>123</v>
      </c>
      <c r="K33" s="22" t="s">
        <v>36</v>
      </c>
      <c r="L33" s="35"/>
      <c r="M33" s="25" t="s">
        <v>38</v>
      </c>
      <c r="N33" s="22" t="s">
        <v>56</v>
      </c>
      <c r="O33" s="22" t="s">
        <v>42</v>
      </c>
      <c r="P33" s="26"/>
      <c r="Q33" s="22" t="s">
        <v>49</v>
      </c>
      <c r="R33" s="33" t="s">
        <v>68</v>
      </c>
      <c r="S33" s="40"/>
      <c r="T33" s="28"/>
      <c r="U33" s="34"/>
      <c r="V33" s="26">
        <v>5.0</v>
      </c>
    </row>
    <row r="34" hidden="1">
      <c r="A34" s="17">
        <v>33.0</v>
      </c>
      <c r="B34" s="18">
        <v>46026.0</v>
      </c>
      <c r="C34" s="22" t="s">
        <v>58</v>
      </c>
      <c r="D34" s="22" t="s">
        <v>84</v>
      </c>
      <c r="E34" s="24" t="s">
        <v>405</v>
      </c>
      <c r="F34" s="22">
        <v>5.60715309E8</v>
      </c>
      <c r="G34" s="31" t="s">
        <v>41</v>
      </c>
      <c r="H34" s="22" t="s">
        <v>222</v>
      </c>
      <c r="I34" s="30" t="s">
        <v>408</v>
      </c>
      <c r="J34" s="24" t="s">
        <v>410</v>
      </c>
      <c r="K34" s="22" t="s">
        <v>36</v>
      </c>
      <c r="L34" s="35"/>
      <c r="M34" s="42" t="s">
        <v>88</v>
      </c>
      <c r="N34" s="22" t="s">
        <v>56</v>
      </c>
      <c r="O34" s="22" t="s">
        <v>42</v>
      </c>
      <c r="P34" s="26"/>
      <c r="Q34" s="22" t="s">
        <v>49</v>
      </c>
      <c r="R34" s="33" t="s">
        <v>68</v>
      </c>
      <c r="S34" s="40"/>
      <c r="T34" s="28"/>
      <c r="U34" s="34"/>
      <c r="V34" s="26">
        <v>5.0</v>
      </c>
    </row>
    <row r="35" hidden="1">
      <c r="A35" s="17">
        <v>34.0</v>
      </c>
      <c r="B35" s="18">
        <v>46026.0</v>
      </c>
      <c r="C35" s="22" t="s">
        <v>21</v>
      </c>
      <c r="D35" s="22" t="s">
        <v>24</v>
      </c>
      <c r="E35" s="24" t="s">
        <v>413</v>
      </c>
      <c r="F35" s="22">
        <v>5.5582327E7</v>
      </c>
      <c r="G35" s="31" t="s">
        <v>41</v>
      </c>
      <c r="H35" s="22" t="s">
        <v>414</v>
      </c>
      <c r="I35" s="30" t="s">
        <v>415</v>
      </c>
      <c r="J35" s="31" t="s">
        <v>123</v>
      </c>
      <c r="K35" s="22" t="s">
        <v>36</v>
      </c>
      <c r="L35" s="35"/>
      <c r="M35" s="25" t="s">
        <v>38</v>
      </c>
      <c r="N35" s="22" t="s">
        <v>56</v>
      </c>
      <c r="O35" s="22" t="s">
        <v>42</v>
      </c>
      <c r="P35" s="26"/>
      <c r="Q35" s="22" t="s">
        <v>49</v>
      </c>
      <c r="R35" s="33" t="s">
        <v>46</v>
      </c>
      <c r="S35" s="40"/>
      <c r="T35" s="28"/>
      <c r="U35" s="34"/>
      <c r="V35" s="26">
        <v>5.0</v>
      </c>
    </row>
    <row r="36" hidden="1">
      <c r="A36" s="17">
        <v>35.0</v>
      </c>
      <c r="B36" s="18">
        <v>46026.0</v>
      </c>
      <c r="C36" s="22" t="s">
        <v>58</v>
      </c>
      <c r="D36" s="22" t="s">
        <v>84</v>
      </c>
      <c r="E36" s="24" t="s">
        <v>424</v>
      </c>
      <c r="F36" s="22">
        <v>5.56880717E8</v>
      </c>
      <c r="G36" s="31" t="s">
        <v>426</v>
      </c>
      <c r="H36" s="43" t="s">
        <v>177</v>
      </c>
      <c r="I36" s="30" t="s">
        <v>427</v>
      </c>
      <c r="J36" s="24" t="s">
        <v>428</v>
      </c>
      <c r="K36" s="22" t="s">
        <v>36</v>
      </c>
      <c r="L36" s="35">
        <v>0.4027777777777778</v>
      </c>
      <c r="M36" s="42" t="s">
        <v>88</v>
      </c>
      <c r="N36" s="22" t="s">
        <v>56</v>
      </c>
      <c r="O36" s="22" t="s">
        <v>42</v>
      </c>
      <c r="P36" s="26"/>
      <c r="Q36" s="22" t="s">
        <v>49</v>
      </c>
      <c r="R36" s="33" t="s">
        <v>68</v>
      </c>
      <c r="S36" s="40"/>
      <c r="T36" s="28"/>
      <c r="U36" s="68" t="s">
        <v>44</v>
      </c>
      <c r="V36" s="26">
        <v>5.0</v>
      </c>
    </row>
    <row r="37" hidden="1">
      <c r="A37" s="17">
        <v>36.0</v>
      </c>
      <c r="B37" s="71">
        <v>46027.0</v>
      </c>
      <c r="C37" s="22" t="s">
        <v>21</v>
      </c>
      <c r="D37" s="22" t="s">
        <v>22</v>
      </c>
      <c r="E37" s="24" t="s">
        <v>437</v>
      </c>
      <c r="F37" s="22">
        <v>5.01680017E8</v>
      </c>
      <c r="G37" s="24" t="s">
        <v>79</v>
      </c>
      <c r="H37" s="22" t="s">
        <v>27</v>
      </c>
      <c r="I37" s="30" t="s">
        <v>438</v>
      </c>
      <c r="J37" s="31" t="s">
        <v>123</v>
      </c>
      <c r="K37" s="22" t="s">
        <v>36</v>
      </c>
      <c r="L37" s="35"/>
      <c r="M37" s="38" t="s">
        <v>125</v>
      </c>
      <c r="N37" s="22" t="s">
        <v>56</v>
      </c>
      <c r="O37" s="22" t="s">
        <v>42</v>
      </c>
      <c r="P37" s="26"/>
      <c r="Q37" s="22" t="s">
        <v>49</v>
      </c>
      <c r="R37" s="33" t="s">
        <v>68</v>
      </c>
      <c r="S37" s="40"/>
      <c r="T37" s="28"/>
      <c r="U37" s="34"/>
      <c r="V37" s="26">
        <v>5.0</v>
      </c>
    </row>
    <row r="38" hidden="1">
      <c r="A38" s="17">
        <v>37.0</v>
      </c>
      <c r="B38" s="71">
        <v>46027.0</v>
      </c>
      <c r="C38" s="22" t="s">
        <v>21</v>
      </c>
      <c r="D38" s="22" t="s">
        <v>22</v>
      </c>
      <c r="E38" s="24" t="s">
        <v>446</v>
      </c>
      <c r="F38" s="22">
        <v>5.48552218E8</v>
      </c>
      <c r="G38" s="31" t="s">
        <v>447</v>
      </c>
      <c r="H38" s="22" t="s">
        <v>27</v>
      </c>
      <c r="I38" s="30" t="s">
        <v>448</v>
      </c>
      <c r="J38" s="31" t="s">
        <v>123</v>
      </c>
      <c r="K38" s="22" t="s">
        <v>36</v>
      </c>
      <c r="L38" s="35">
        <v>0.6145833333333334</v>
      </c>
      <c r="M38" s="38" t="s">
        <v>125</v>
      </c>
      <c r="N38" s="22" t="s">
        <v>56</v>
      </c>
      <c r="O38" s="22" t="s">
        <v>42</v>
      </c>
      <c r="P38" s="26"/>
      <c r="Q38" s="22" t="s">
        <v>49</v>
      </c>
      <c r="R38" s="33" t="s">
        <v>68</v>
      </c>
      <c r="S38" s="40"/>
      <c r="T38" s="28"/>
      <c r="U38" s="68" t="s">
        <v>44</v>
      </c>
      <c r="V38" s="26">
        <v>5.0</v>
      </c>
    </row>
    <row r="39" hidden="1">
      <c r="A39" s="17">
        <v>38.0</v>
      </c>
      <c r="B39" s="71">
        <v>46027.0</v>
      </c>
      <c r="C39" s="22" t="s">
        <v>21</v>
      </c>
      <c r="D39" s="22" t="s">
        <v>34</v>
      </c>
      <c r="E39" s="24" t="s">
        <v>458</v>
      </c>
      <c r="F39" s="22">
        <v>5.47822555E8</v>
      </c>
      <c r="G39" s="31" t="s">
        <v>71</v>
      </c>
      <c r="H39" s="22" t="s">
        <v>27</v>
      </c>
      <c r="I39" s="30" t="s">
        <v>460</v>
      </c>
      <c r="J39" s="31" t="s">
        <v>299</v>
      </c>
      <c r="K39" s="22" t="s">
        <v>39</v>
      </c>
      <c r="L39" s="35"/>
      <c r="M39" s="38" t="s">
        <v>51</v>
      </c>
      <c r="N39" s="22" t="s">
        <v>56</v>
      </c>
      <c r="O39" s="22" t="s">
        <v>42</v>
      </c>
      <c r="P39" s="26"/>
      <c r="Q39" s="22" t="s">
        <v>49</v>
      </c>
      <c r="R39" s="33" t="s">
        <v>68</v>
      </c>
      <c r="S39" s="40"/>
      <c r="T39" s="28"/>
      <c r="U39" s="34"/>
      <c r="V39" s="26">
        <v>5.0</v>
      </c>
    </row>
    <row r="40" hidden="1">
      <c r="A40" s="17">
        <v>39.0</v>
      </c>
      <c r="B40" s="71">
        <v>46027.0</v>
      </c>
      <c r="C40" s="22" t="s">
        <v>58</v>
      </c>
      <c r="D40" s="22" t="s">
        <v>57</v>
      </c>
      <c r="E40" s="17" t="s">
        <v>27</v>
      </c>
      <c r="F40" s="22">
        <v>5.67944222E8</v>
      </c>
      <c r="G40" s="24" t="s">
        <v>79</v>
      </c>
      <c r="H40" s="22" t="s">
        <v>27</v>
      </c>
      <c r="I40" s="30" t="s">
        <v>467</v>
      </c>
      <c r="J40" s="31" t="s">
        <v>468</v>
      </c>
      <c r="K40" s="22" t="s">
        <v>36</v>
      </c>
      <c r="L40" s="35">
        <v>0.5277777777777778</v>
      </c>
      <c r="M40" s="25" t="s">
        <v>88</v>
      </c>
      <c r="N40" s="22" t="s">
        <v>56</v>
      </c>
      <c r="O40" s="22" t="s">
        <v>42</v>
      </c>
      <c r="P40" s="26"/>
      <c r="Q40" s="22" t="s">
        <v>49</v>
      </c>
      <c r="R40" s="33" t="s">
        <v>68</v>
      </c>
      <c r="S40" s="40"/>
      <c r="T40" s="28"/>
      <c r="U40" s="68" t="s">
        <v>44</v>
      </c>
      <c r="V40" s="26">
        <v>5.0</v>
      </c>
    </row>
    <row r="41">
      <c r="A41" s="17">
        <v>40.0</v>
      </c>
      <c r="B41" s="71">
        <v>46027.0</v>
      </c>
      <c r="C41" s="17" t="s">
        <v>47</v>
      </c>
      <c r="D41" s="17" t="s">
        <v>138</v>
      </c>
      <c r="E41" s="24" t="s">
        <v>476</v>
      </c>
      <c r="F41" s="17">
        <v>5.01291262E8</v>
      </c>
      <c r="G41" s="24" t="s">
        <v>79</v>
      </c>
      <c r="H41" s="17" t="s">
        <v>178</v>
      </c>
      <c r="I41" s="30" t="s">
        <v>478</v>
      </c>
      <c r="J41" s="24" t="s">
        <v>480</v>
      </c>
      <c r="K41" s="17" t="s">
        <v>148</v>
      </c>
      <c r="L41" s="35"/>
      <c r="M41" s="27" t="s">
        <v>323</v>
      </c>
      <c r="N41" s="22" t="s">
        <v>56</v>
      </c>
      <c r="O41" s="17"/>
      <c r="P41" s="26"/>
      <c r="Q41" s="17" t="s">
        <v>49</v>
      </c>
      <c r="R41" s="39" t="s">
        <v>46</v>
      </c>
      <c r="S41" s="40"/>
      <c r="T41" s="28"/>
      <c r="U41" s="34"/>
      <c r="V41" s="26">
        <v>5.0</v>
      </c>
    </row>
    <row r="42">
      <c r="A42" s="17">
        <v>41.0</v>
      </c>
      <c r="B42" s="71">
        <v>46027.0</v>
      </c>
      <c r="C42" s="17" t="s">
        <v>47</v>
      </c>
      <c r="D42" s="17" t="s">
        <v>138</v>
      </c>
      <c r="E42" s="24" t="s">
        <v>485</v>
      </c>
      <c r="F42" s="17">
        <v>5.61655519E8</v>
      </c>
      <c r="G42" s="24" t="s">
        <v>79</v>
      </c>
      <c r="H42" s="17" t="s">
        <v>487</v>
      </c>
      <c r="I42" s="30" t="s">
        <v>488</v>
      </c>
      <c r="J42" s="24" t="s">
        <v>490</v>
      </c>
      <c r="K42" s="17" t="s">
        <v>148</v>
      </c>
      <c r="L42" s="35"/>
      <c r="M42" s="27" t="s">
        <v>323</v>
      </c>
      <c r="N42" s="22" t="s">
        <v>56</v>
      </c>
      <c r="O42" s="17"/>
      <c r="P42" s="26"/>
      <c r="Q42" s="17" t="s">
        <v>49</v>
      </c>
      <c r="R42" s="39" t="s">
        <v>46</v>
      </c>
      <c r="S42" s="40"/>
      <c r="T42" s="28"/>
      <c r="U42" s="34"/>
      <c r="V42" s="26">
        <v>5.0</v>
      </c>
    </row>
    <row r="43" hidden="1">
      <c r="A43" s="17">
        <v>42.0</v>
      </c>
      <c r="B43" s="71">
        <v>46027.0</v>
      </c>
      <c r="C43" s="22" t="s">
        <v>58</v>
      </c>
      <c r="D43" s="22" t="s">
        <v>84</v>
      </c>
      <c r="E43" s="17" t="s">
        <v>27</v>
      </c>
      <c r="F43" s="22">
        <v>5.57396646E8</v>
      </c>
      <c r="G43" s="24" t="s">
        <v>79</v>
      </c>
      <c r="H43" s="22" t="s">
        <v>451</v>
      </c>
      <c r="I43" s="30" t="s">
        <v>497</v>
      </c>
      <c r="J43" s="24" t="s">
        <v>498</v>
      </c>
      <c r="K43" s="17" t="s">
        <v>148</v>
      </c>
      <c r="L43" s="35"/>
      <c r="M43" s="25" t="s">
        <v>38</v>
      </c>
      <c r="N43" s="22" t="s">
        <v>56</v>
      </c>
      <c r="O43" s="22" t="s">
        <v>42</v>
      </c>
      <c r="P43" s="26"/>
      <c r="Q43" s="22" t="s">
        <v>49</v>
      </c>
      <c r="R43" s="33" t="s">
        <v>68</v>
      </c>
      <c r="S43" s="40"/>
      <c r="T43" s="28"/>
      <c r="U43" s="34"/>
      <c r="V43" s="26">
        <v>5.0</v>
      </c>
    </row>
    <row r="44">
      <c r="A44" s="17">
        <v>43.0</v>
      </c>
      <c r="B44" s="71">
        <v>46027.0</v>
      </c>
      <c r="C44" s="17" t="s">
        <v>47</v>
      </c>
      <c r="D44" s="17" t="s">
        <v>138</v>
      </c>
      <c r="E44" s="24" t="s">
        <v>503</v>
      </c>
      <c r="F44" s="17">
        <v>5.6643314E8</v>
      </c>
      <c r="G44" s="24" t="s">
        <v>41</v>
      </c>
      <c r="H44" s="17" t="s">
        <v>146</v>
      </c>
      <c r="I44" s="30" t="s">
        <v>504</v>
      </c>
      <c r="J44" s="24" t="s">
        <v>506</v>
      </c>
      <c r="K44" s="17" t="s">
        <v>148</v>
      </c>
      <c r="L44" s="35"/>
      <c r="M44" s="27" t="s">
        <v>323</v>
      </c>
      <c r="N44" s="22" t="s">
        <v>56</v>
      </c>
      <c r="O44" s="17"/>
      <c r="P44" s="26"/>
      <c r="Q44" s="17" t="s">
        <v>49</v>
      </c>
      <c r="R44" s="39" t="s">
        <v>46</v>
      </c>
      <c r="S44" s="40"/>
      <c r="T44" s="28"/>
      <c r="U44" s="34"/>
      <c r="V44" s="26">
        <v>5.0</v>
      </c>
    </row>
    <row r="45">
      <c r="A45" s="17">
        <v>44.0</v>
      </c>
      <c r="B45" s="71">
        <v>46027.0</v>
      </c>
      <c r="C45" s="17" t="s">
        <v>47</v>
      </c>
      <c r="D45" s="17" t="s">
        <v>138</v>
      </c>
      <c r="E45" s="24" t="s">
        <v>512</v>
      </c>
      <c r="F45" s="17">
        <v>5.52494843E8</v>
      </c>
      <c r="G45" s="24" t="s">
        <v>41</v>
      </c>
      <c r="H45" s="17" t="s">
        <v>513</v>
      </c>
      <c r="I45" s="30" t="s">
        <v>514</v>
      </c>
      <c r="J45" s="74" t="s">
        <v>515</v>
      </c>
      <c r="K45" s="17" t="s">
        <v>148</v>
      </c>
      <c r="L45" s="35"/>
      <c r="M45" s="27" t="s">
        <v>323</v>
      </c>
      <c r="N45" s="22" t="s">
        <v>56</v>
      </c>
      <c r="O45" s="17"/>
      <c r="P45" s="26"/>
      <c r="Q45" s="17" t="s">
        <v>49</v>
      </c>
      <c r="R45" s="39" t="s">
        <v>46</v>
      </c>
      <c r="S45" s="40"/>
      <c r="T45" s="28"/>
      <c r="U45" s="34"/>
      <c r="V45" s="26">
        <v>5.0</v>
      </c>
    </row>
    <row r="46">
      <c r="A46" s="17">
        <v>45.0</v>
      </c>
      <c r="B46" s="71">
        <v>46027.0</v>
      </c>
      <c r="C46" s="17" t="s">
        <v>47</v>
      </c>
      <c r="D46" s="17" t="s">
        <v>138</v>
      </c>
      <c r="E46" s="24" t="s">
        <v>520</v>
      </c>
      <c r="F46" s="17">
        <v>5.96512082E8</v>
      </c>
      <c r="G46" s="24" t="s">
        <v>41</v>
      </c>
      <c r="H46" s="17" t="s">
        <v>513</v>
      </c>
      <c r="I46" s="30" t="s">
        <v>521</v>
      </c>
      <c r="J46" s="24" t="s">
        <v>523</v>
      </c>
      <c r="K46" s="17" t="s">
        <v>148</v>
      </c>
      <c r="L46" s="35"/>
      <c r="M46" s="27" t="s">
        <v>323</v>
      </c>
      <c r="N46" s="22" t="s">
        <v>56</v>
      </c>
      <c r="O46" s="17"/>
      <c r="P46" s="26"/>
      <c r="Q46" s="17" t="s">
        <v>49</v>
      </c>
      <c r="R46" s="39" t="s">
        <v>46</v>
      </c>
      <c r="S46" s="40"/>
      <c r="T46" s="28"/>
      <c r="U46" s="68" t="s">
        <v>44</v>
      </c>
      <c r="V46" s="26">
        <v>5.0</v>
      </c>
    </row>
    <row r="47">
      <c r="A47" s="17">
        <v>46.0</v>
      </c>
      <c r="B47" s="71">
        <v>46027.0</v>
      </c>
      <c r="C47" s="17" t="s">
        <v>47</v>
      </c>
      <c r="D47" s="17" t="s">
        <v>138</v>
      </c>
      <c r="E47" s="17" t="s">
        <v>27</v>
      </c>
      <c r="F47" s="17">
        <v>5.50930191E8</v>
      </c>
      <c r="G47" s="24" t="s">
        <v>41</v>
      </c>
      <c r="H47" s="17" t="s">
        <v>146</v>
      </c>
      <c r="I47" s="30" t="s">
        <v>529</v>
      </c>
      <c r="J47" s="24" t="s">
        <v>531</v>
      </c>
      <c r="K47" s="17" t="s">
        <v>148</v>
      </c>
      <c r="L47" s="35"/>
      <c r="M47" s="27" t="s">
        <v>323</v>
      </c>
      <c r="N47" s="17" t="s">
        <v>56</v>
      </c>
      <c r="O47" s="17"/>
      <c r="P47" s="26"/>
      <c r="Q47" s="17" t="s">
        <v>49</v>
      </c>
      <c r="R47" s="39" t="s">
        <v>46</v>
      </c>
      <c r="S47" s="40"/>
      <c r="T47" s="28"/>
      <c r="U47" s="34"/>
      <c r="V47" s="26">
        <v>5.0</v>
      </c>
    </row>
    <row r="48" hidden="1">
      <c r="A48" s="17">
        <v>47.0</v>
      </c>
      <c r="B48" s="71">
        <v>46027.0</v>
      </c>
      <c r="C48" s="22" t="s">
        <v>58</v>
      </c>
      <c r="D48" s="22" t="s">
        <v>84</v>
      </c>
      <c r="E48" s="24" t="s">
        <v>533</v>
      </c>
      <c r="F48" s="22">
        <v>5.58825002E8</v>
      </c>
      <c r="G48" s="31" t="s">
        <v>41</v>
      </c>
      <c r="H48" s="22" t="s">
        <v>146</v>
      </c>
      <c r="I48" s="30" t="s">
        <v>535</v>
      </c>
      <c r="J48" s="31" t="s">
        <v>537</v>
      </c>
      <c r="K48" s="17" t="s">
        <v>148</v>
      </c>
      <c r="L48" s="35"/>
      <c r="M48" s="25" t="s">
        <v>38</v>
      </c>
      <c r="N48" s="22" t="s">
        <v>56</v>
      </c>
      <c r="O48" s="22" t="s">
        <v>42</v>
      </c>
      <c r="P48" s="26"/>
      <c r="Q48" s="22" t="s">
        <v>49</v>
      </c>
      <c r="R48" s="33" t="s">
        <v>68</v>
      </c>
      <c r="S48" s="40"/>
      <c r="T48" s="28"/>
      <c r="U48" s="34"/>
      <c r="V48" s="26">
        <v>5.0</v>
      </c>
    </row>
    <row r="49" hidden="1">
      <c r="A49" s="17">
        <v>48.0</v>
      </c>
      <c r="B49" s="71">
        <v>46027.0</v>
      </c>
      <c r="C49" s="22" t="s">
        <v>58</v>
      </c>
      <c r="D49" s="22" t="s">
        <v>84</v>
      </c>
      <c r="E49" s="24" t="s">
        <v>544</v>
      </c>
      <c r="F49" s="17">
        <v>5.03059787E8</v>
      </c>
      <c r="G49" s="24" t="s">
        <v>79</v>
      </c>
      <c r="H49" s="22" t="s">
        <v>451</v>
      </c>
      <c r="I49" s="30" t="s">
        <v>545</v>
      </c>
      <c r="J49" s="31" t="s">
        <v>546</v>
      </c>
      <c r="K49" s="22" t="s">
        <v>36</v>
      </c>
      <c r="L49" s="35"/>
      <c r="M49" s="42" t="s">
        <v>88</v>
      </c>
      <c r="N49" s="22" t="s">
        <v>56</v>
      </c>
      <c r="O49" s="22" t="s">
        <v>42</v>
      </c>
      <c r="P49" s="26"/>
      <c r="Q49" s="22" t="s">
        <v>49</v>
      </c>
      <c r="R49" s="33" t="s">
        <v>68</v>
      </c>
      <c r="S49" s="40"/>
      <c r="T49" s="28"/>
      <c r="U49" s="34"/>
      <c r="V49" s="26">
        <v>5.0</v>
      </c>
    </row>
    <row r="50" hidden="1">
      <c r="A50" s="17">
        <v>49.0</v>
      </c>
      <c r="B50" s="71">
        <v>46027.0</v>
      </c>
      <c r="C50" s="22" t="s">
        <v>21</v>
      </c>
      <c r="D50" s="22" t="s">
        <v>24</v>
      </c>
      <c r="E50" s="24" t="s">
        <v>556</v>
      </c>
      <c r="F50" s="22">
        <v>5.00454348E8</v>
      </c>
      <c r="G50" s="31" t="s">
        <v>120</v>
      </c>
      <c r="H50" s="22" t="s">
        <v>27</v>
      </c>
      <c r="I50" s="30" t="s">
        <v>557</v>
      </c>
      <c r="J50" s="31" t="s">
        <v>123</v>
      </c>
      <c r="K50" s="22" t="s">
        <v>36</v>
      </c>
      <c r="L50" s="35"/>
      <c r="M50" s="25" t="s">
        <v>38</v>
      </c>
      <c r="N50" s="22" t="s">
        <v>56</v>
      </c>
      <c r="O50" s="22" t="s">
        <v>42</v>
      </c>
      <c r="P50" s="26"/>
      <c r="Q50" s="22" t="s">
        <v>49</v>
      </c>
      <c r="R50" s="33" t="s">
        <v>46</v>
      </c>
      <c r="S50" s="40"/>
      <c r="T50" s="28"/>
      <c r="U50" s="34"/>
      <c r="V50" s="26">
        <v>5.0</v>
      </c>
    </row>
    <row r="51" ht="50.25" customHeight="1">
      <c r="A51" s="17">
        <v>50.0</v>
      </c>
      <c r="B51" s="71">
        <v>46027.0</v>
      </c>
      <c r="C51" s="17" t="s">
        <v>47</v>
      </c>
      <c r="D51" s="17" t="s">
        <v>92</v>
      </c>
      <c r="E51" s="24" t="s">
        <v>562</v>
      </c>
      <c r="F51" s="17">
        <v>5.56071649E8</v>
      </c>
      <c r="G51" s="31" t="s">
        <v>71</v>
      </c>
      <c r="H51" s="17" t="s">
        <v>337</v>
      </c>
      <c r="I51" s="30" t="s">
        <v>563</v>
      </c>
      <c r="J51" s="24" t="s">
        <v>564</v>
      </c>
      <c r="K51" s="17" t="s">
        <v>36</v>
      </c>
      <c r="L51" s="35"/>
      <c r="M51" s="20" t="s">
        <v>342</v>
      </c>
      <c r="N51" s="17" t="s">
        <v>56</v>
      </c>
      <c r="O51" s="17"/>
      <c r="P51" s="26"/>
      <c r="Q51" s="17" t="s">
        <v>49</v>
      </c>
      <c r="R51" s="39" t="s">
        <v>46</v>
      </c>
      <c r="S51" s="40"/>
      <c r="T51" s="28"/>
      <c r="U51" s="34"/>
      <c r="V51" s="26">
        <v>5.0</v>
      </c>
    </row>
    <row r="52" hidden="1">
      <c r="A52" s="17">
        <v>51.0</v>
      </c>
      <c r="B52" s="71">
        <v>46027.0</v>
      </c>
      <c r="C52" s="22" t="s">
        <v>21</v>
      </c>
      <c r="D52" s="22" t="s">
        <v>66</v>
      </c>
      <c r="E52" s="24" t="s">
        <v>571</v>
      </c>
      <c r="F52" s="22">
        <v>5.51091696E8</v>
      </c>
      <c r="G52" s="31" t="s">
        <v>120</v>
      </c>
      <c r="H52" s="22" t="s">
        <v>27</v>
      </c>
      <c r="I52" s="30" t="s">
        <v>573</v>
      </c>
      <c r="J52" s="31" t="s">
        <v>575</v>
      </c>
      <c r="K52" s="22" t="s">
        <v>36</v>
      </c>
      <c r="L52" s="35"/>
      <c r="M52" s="25" t="s">
        <v>38</v>
      </c>
      <c r="N52" s="22" t="s">
        <v>56</v>
      </c>
      <c r="O52" s="22" t="s">
        <v>42</v>
      </c>
      <c r="P52" s="26"/>
      <c r="Q52" s="22" t="s">
        <v>49</v>
      </c>
      <c r="R52" s="33" t="s">
        <v>68</v>
      </c>
      <c r="S52" s="40"/>
      <c r="T52" s="28"/>
      <c r="U52" s="34"/>
      <c r="V52" s="26">
        <v>5.0</v>
      </c>
    </row>
    <row r="53" hidden="1">
      <c r="A53" s="17">
        <v>52.0</v>
      </c>
      <c r="B53" s="71">
        <v>46027.0</v>
      </c>
      <c r="C53" s="22" t="s">
        <v>21</v>
      </c>
      <c r="D53" s="22" t="s">
        <v>24</v>
      </c>
      <c r="E53" s="24" t="s">
        <v>582</v>
      </c>
      <c r="F53" s="22">
        <v>5.09244144E8</v>
      </c>
      <c r="G53" s="31" t="s">
        <v>71</v>
      </c>
      <c r="H53" s="22" t="s">
        <v>27</v>
      </c>
      <c r="I53" s="30" t="s">
        <v>585</v>
      </c>
      <c r="J53" s="31" t="s">
        <v>123</v>
      </c>
      <c r="K53" s="22" t="s">
        <v>36</v>
      </c>
      <c r="L53" s="35"/>
      <c r="M53" s="25" t="s">
        <v>38</v>
      </c>
      <c r="N53" s="22" t="s">
        <v>56</v>
      </c>
      <c r="O53" s="22" t="s">
        <v>42</v>
      </c>
      <c r="P53" s="26"/>
      <c r="Q53" s="22" t="s">
        <v>49</v>
      </c>
      <c r="R53" s="33" t="s">
        <v>46</v>
      </c>
      <c r="S53" s="40"/>
      <c r="T53" s="28"/>
      <c r="U53" s="34"/>
      <c r="V53" s="26">
        <v>5.0</v>
      </c>
    </row>
    <row r="54" ht="78.0" hidden="1" customHeight="1">
      <c r="A54" s="17">
        <v>53.0</v>
      </c>
      <c r="B54" s="71">
        <v>46027.0</v>
      </c>
      <c r="C54" s="22" t="s">
        <v>21</v>
      </c>
      <c r="D54" s="22" t="s">
        <v>22</v>
      </c>
      <c r="E54" s="17" t="s">
        <v>27</v>
      </c>
      <c r="F54" s="22">
        <v>5.66818959E8</v>
      </c>
      <c r="G54" s="24" t="s">
        <v>495</v>
      </c>
      <c r="H54" s="22" t="s">
        <v>27</v>
      </c>
      <c r="I54" s="30" t="s">
        <v>594</v>
      </c>
      <c r="J54" s="31" t="s">
        <v>123</v>
      </c>
      <c r="K54" s="22" t="s">
        <v>457</v>
      </c>
      <c r="L54" s="35">
        <v>0.0</v>
      </c>
      <c r="M54" s="38" t="s">
        <v>125</v>
      </c>
      <c r="N54" s="22" t="s">
        <v>56</v>
      </c>
      <c r="O54" s="22" t="s">
        <v>42</v>
      </c>
      <c r="P54" s="26"/>
      <c r="Q54" s="22" t="s">
        <v>49</v>
      </c>
      <c r="R54" s="33" t="s">
        <v>68</v>
      </c>
      <c r="S54" s="40"/>
      <c r="T54" s="28"/>
      <c r="U54" s="68" t="s">
        <v>44</v>
      </c>
      <c r="V54" s="26">
        <v>5.0</v>
      </c>
    </row>
    <row r="55" hidden="1">
      <c r="A55" s="17">
        <v>54.0</v>
      </c>
      <c r="B55" s="71">
        <v>46027.0</v>
      </c>
      <c r="C55" s="22" t="s">
        <v>58</v>
      </c>
      <c r="D55" s="22" t="s">
        <v>84</v>
      </c>
      <c r="E55" s="24" t="s">
        <v>310</v>
      </c>
      <c r="F55" s="22">
        <v>5.56800909E8</v>
      </c>
      <c r="G55" s="31" t="s">
        <v>120</v>
      </c>
      <c r="H55" s="22" t="s">
        <v>27</v>
      </c>
      <c r="I55" s="30" t="s">
        <v>603</v>
      </c>
      <c r="J55" s="31" t="s">
        <v>604</v>
      </c>
      <c r="K55" s="22" t="s">
        <v>36</v>
      </c>
      <c r="L55" s="35">
        <v>0.8055555555555556</v>
      </c>
      <c r="M55" s="42" t="s">
        <v>88</v>
      </c>
      <c r="N55" s="22" t="s">
        <v>56</v>
      </c>
      <c r="O55" s="22" t="s">
        <v>42</v>
      </c>
      <c r="P55" s="26"/>
      <c r="Q55" s="22" t="s">
        <v>49</v>
      </c>
      <c r="R55" s="33" t="s">
        <v>68</v>
      </c>
      <c r="S55" s="40"/>
      <c r="T55" s="28"/>
      <c r="U55" s="68" t="s">
        <v>44</v>
      </c>
      <c r="V55" s="26">
        <v>5.0</v>
      </c>
    </row>
    <row r="56" hidden="1">
      <c r="A56" s="17">
        <v>55.0</v>
      </c>
      <c r="B56" s="71">
        <v>46027.0</v>
      </c>
      <c r="C56" s="22" t="s">
        <v>58</v>
      </c>
      <c r="D56" s="22" t="s">
        <v>84</v>
      </c>
      <c r="E56" s="24" t="s">
        <v>613</v>
      </c>
      <c r="F56" s="22">
        <v>5.04261127E8</v>
      </c>
      <c r="G56" s="31" t="s">
        <v>71</v>
      </c>
      <c r="H56" s="22" t="s">
        <v>27</v>
      </c>
      <c r="I56" s="30" t="s">
        <v>615</v>
      </c>
      <c r="J56" s="31" t="s">
        <v>617</v>
      </c>
      <c r="K56" s="22" t="s">
        <v>36</v>
      </c>
      <c r="L56" s="35">
        <v>0.4486111111111111</v>
      </c>
      <c r="M56" s="42" t="s">
        <v>88</v>
      </c>
      <c r="N56" s="22" t="s">
        <v>56</v>
      </c>
      <c r="O56" s="22" t="s">
        <v>42</v>
      </c>
      <c r="P56" s="26"/>
      <c r="Q56" s="22" t="s">
        <v>49</v>
      </c>
      <c r="R56" s="33" t="s">
        <v>68</v>
      </c>
      <c r="S56" s="40"/>
      <c r="T56" s="28"/>
      <c r="U56" s="68" t="s">
        <v>44</v>
      </c>
      <c r="V56" s="26">
        <v>5.0</v>
      </c>
    </row>
    <row r="57" hidden="1">
      <c r="A57" s="17">
        <v>56.0</v>
      </c>
      <c r="B57" s="71">
        <v>46027.0</v>
      </c>
      <c r="C57" s="22" t="s">
        <v>21</v>
      </c>
      <c r="D57" s="22" t="s">
        <v>22</v>
      </c>
      <c r="E57" s="24" t="s">
        <v>624</v>
      </c>
      <c r="F57" s="22">
        <v>5.37089669E8</v>
      </c>
      <c r="G57" s="31" t="s">
        <v>333</v>
      </c>
      <c r="H57" s="22" t="s">
        <v>27</v>
      </c>
      <c r="I57" s="30" t="s">
        <v>625</v>
      </c>
      <c r="J57" s="31" t="s">
        <v>123</v>
      </c>
      <c r="K57" s="22" t="s">
        <v>36</v>
      </c>
      <c r="L57" s="35">
        <v>0.4930555555555556</v>
      </c>
      <c r="M57" s="38" t="s">
        <v>125</v>
      </c>
      <c r="N57" s="22" t="s">
        <v>56</v>
      </c>
      <c r="O57" s="22" t="s">
        <v>42</v>
      </c>
      <c r="P57" s="26"/>
      <c r="Q57" s="22" t="s">
        <v>49</v>
      </c>
      <c r="R57" s="33" t="s">
        <v>68</v>
      </c>
      <c r="S57" s="40"/>
      <c r="T57" s="28"/>
      <c r="U57" s="34"/>
      <c r="V57" s="26">
        <v>5.0</v>
      </c>
    </row>
    <row r="58" hidden="1">
      <c r="A58" s="17">
        <v>57.0</v>
      </c>
      <c r="B58" s="71">
        <v>46027.0</v>
      </c>
      <c r="C58" s="22" t="s">
        <v>21</v>
      </c>
      <c r="D58" s="22" t="s">
        <v>24</v>
      </c>
      <c r="E58" s="24" t="s">
        <v>633</v>
      </c>
      <c r="F58" s="17">
        <v>5.32822671E8</v>
      </c>
      <c r="G58" s="31" t="s">
        <v>120</v>
      </c>
      <c r="H58" s="22" t="s">
        <v>27</v>
      </c>
      <c r="I58" s="30" t="s">
        <v>634</v>
      </c>
      <c r="J58" s="31" t="s">
        <v>123</v>
      </c>
      <c r="K58" s="22" t="s">
        <v>36</v>
      </c>
      <c r="L58" s="35">
        <v>0.4930555555555556</v>
      </c>
      <c r="M58" s="25" t="s">
        <v>38</v>
      </c>
      <c r="N58" s="22" t="s">
        <v>56</v>
      </c>
      <c r="O58" s="22" t="s">
        <v>42</v>
      </c>
      <c r="P58" s="26"/>
      <c r="Q58" s="22" t="s">
        <v>49</v>
      </c>
      <c r="R58" s="33" t="s">
        <v>46</v>
      </c>
      <c r="S58" s="40"/>
      <c r="T58" s="28"/>
      <c r="U58" s="34"/>
      <c r="V58" s="26">
        <v>5.0</v>
      </c>
    </row>
    <row r="59" hidden="1">
      <c r="A59" s="17">
        <v>58.0</v>
      </c>
      <c r="B59" s="71">
        <v>46027.0</v>
      </c>
      <c r="C59" s="22" t="s">
        <v>58</v>
      </c>
      <c r="D59" s="22" t="s">
        <v>84</v>
      </c>
      <c r="E59" s="17" t="s">
        <v>27</v>
      </c>
      <c r="F59" s="17">
        <v>5.09704729E8</v>
      </c>
      <c r="G59" s="17" t="s">
        <v>27</v>
      </c>
      <c r="H59" s="22" t="s">
        <v>27</v>
      </c>
      <c r="I59" s="30" t="s">
        <v>641</v>
      </c>
      <c r="J59" s="31" t="s">
        <v>123</v>
      </c>
      <c r="K59" s="22" t="s">
        <v>65</v>
      </c>
      <c r="L59" s="35">
        <v>0.13541666666666666</v>
      </c>
      <c r="M59" s="25" t="s">
        <v>38</v>
      </c>
      <c r="N59" s="22" t="s">
        <v>56</v>
      </c>
      <c r="O59" s="22" t="s">
        <v>42</v>
      </c>
      <c r="P59" s="26"/>
      <c r="Q59" s="22" t="s">
        <v>49</v>
      </c>
      <c r="R59" s="33" t="s">
        <v>68</v>
      </c>
      <c r="S59" s="40"/>
      <c r="T59" s="28"/>
      <c r="U59" s="68" t="s">
        <v>44</v>
      </c>
      <c r="V59" s="26">
        <v>5.0</v>
      </c>
    </row>
    <row r="60" hidden="1">
      <c r="A60" s="17">
        <v>59.0</v>
      </c>
      <c r="B60" s="71">
        <v>46028.0</v>
      </c>
      <c r="C60" s="22" t="s">
        <v>21</v>
      </c>
      <c r="D60" s="22" t="s">
        <v>34</v>
      </c>
      <c r="E60" s="24" t="s">
        <v>644</v>
      </c>
      <c r="F60" s="22">
        <v>5.53669109E8</v>
      </c>
      <c r="G60" s="24" t="s">
        <v>79</v>
      </c>
      <c r="H60" s="22" t="s">
        <v>27</v>
      </c>
      <c r="I60" s="30" t="s">
        <v>646</v>
      </c>
      <c r="J60" s="31" t="s">
        <v>299</v>
      </c>
      <c r="K60" s="22" t="s">
        <v>36</v>
      </c>
      <c r="L60" s="35">
        <v>0.4930555555555556</v>
      </c>
      <c r="M60" s="38" t="s">
        <v>51</v>
      </c>
      <c r="N60" s="22" t="s">
        <v>56</v>
      </c>
      <c r="O60" s="22" t="s">
        <v>42</v>
      </c>
      <c r="P60" s="26"/>
      <c r="Q60" s="22" t="s">
        <v>49</v>
      </c>
      <c r="R60" s="33" t="s">
        <v>68</v>
      </c>
      <c r="S60" s="40"/>
      <c r="T60" s="28"/>
      <c r="U60" s="34"/>
      <c r="V60" s="26">
        <v>5.0</v>
      </c>
    </row>
    <row r="61">
      <c r="A61" s="17">
        <v>60.0</v>
      </c>
      <c r="B61" s="71">
        <v>46028.0</v>
      </c>
      <c r="C61" s="17" t="s">
        <v>47</v>
      </c>
      <c r="D61" s="17" t="s">
        <v>48</v>
      </c>
      <c r="E61" s="24" t="s">
        <v>656</v>
      </c>
      <c r="F61" s="17">
        <v>5.0510132E8</v>
      </c>
      <c r="G61" s="31" t="s">
        <v>120</v>
      </c>
      <c r="H61" s="17" t="s">
        <v>658</v>
      </c>
      <c r="I61" s="30" t="s">
        <v>659</v>
      </c>
      <c r="J61" s="24" t="s">
        <v>660</v>
      </c>
      <c r="K61" s="17" t="s">
        <v>36</v>
      </c>
      <c r="L61" s="35">
        <v>0.6597222222222222</v>
      </c>
      <c r="M61" s="20" t="s">
        <v>662</v>
      </c>
      <c r="N61" s="17" t="s">
        <v>56</v>
      </c>
      <c r="O61" s="17"/>
      <c r="P61" s="26"/>
      <c r="Q61" s="17" t="s">
        <v>49</v>
      </c>
      <c r="R61" s="39" t="s">
        <v>46</v>
      </c>
      <c r="S61" s="40"/>
      <c r="T61" s="28"/>
      <c r="U61" s="34"/>
      <c r="V61" s="26">
        <v>5.0</v>
      </c>
    </row>
    <row r="62" hidden="1">
      <c r="A62" s="17">
        <v>61.0</v>
      </c>
      <c r="B62" s="71">
        <v>46028.0</v>
      </c>
      <c r="C62" s="22" t="s">
        <v>21</v>
      </c>
      <c r="D62" s="22" t="s">
        <v>22</v>
      </c>
      <c r="E62" s="24" t="s">
        <v>533</v>
      </c>
      <c r="F62" s="22">
        <v>5.99052579E8</v>
      </c>
      <c r="G62" s="24" t="s">
        <v>28</v>
      </c>
      <c r="H62" s="22" t="s">
        <v>27</v>
      </c>
      <c r="I62" s="30" t="s">
        <v>667</v>
      </c>
      <c r="J62" s="31" t="s">
        <v>123</v>
      </c>
      <c r="K62" s="22" t="s">
        <v>36</v>
      </c>
      <c r="L62" s="35">
        <v>0.4930555555555556</v>
      </c>
      <c r="M62" s="38" t="s">
        <v>125</v>
      </c>
      <c r="N62" s="22" t="s">
        <v>56</v>
      </c>
      <c r="O62" s="22" t="s">
        <v>42</v>
      </c>
      <c r="P62" s="26"/>
      <c r="Q62" s="22" t="s">
        <v>49</v>
      </c>
      <c r="R62" s="33" t="s">
        <v>68</v>
      </c>
      <c r="S62" s="40"/>
      <c r="T62" s="28"/>
      <c r="U62" s="34"/>
      <c r="V62" s="26">
        <v>5.0</v>
      </c>
    </row>
    <row r="63">
      <c r="A63" s="17">
        <v>62.0</v>
      </c>
      <c r="B63" s="71">
        <v>46028.0</v>
      </c>
      <c r="C63" s="17" t="s">
        <v>47</v>
      </c>
      <c r="D63" s="17" t="s">
        <v>138</v>
      </c>
      <c r="E63" s="17" t="s">
        <v>27</v>
      </c>
      <c r="F63" s="17" t="s">
        <v>27</v>
      </c>
      <c r="G63" s="24" t="s">
        <v>41</v>
      </c>
      <c r="H63" s="17" t="s">
        <v>188</v>
      </c>
      <c r="I63" s="30" t="s">
        <v>672</v>
      </c>
      <c r="J63" s="24" t="s">
        <v>673</v>
      </c>
      <c r="K63" s="17" t="s">
        <v>78</v>
      </c>
      <c r="L63" s="35"/>
      <c r="M63" s="81" t="s">
        <v>674</v>
      </c>
      <c r="N63" s="22" t="s">
        <v>56</v>
      </c>
      <c r="O63" s="17"/>
      <c r="P63" s="26"/>
      <c r="Q63" s="17" t="s">
        <v>49</v>
      </c>
      <c r="R63" s="39" t="s">
        <v>46</v>
      </c>
      <c r="S63" s="40"/>
      <c r="T63" s="28"/>
      <c r="U63" s="34"/>
      <c r="V63" s="26">
        <v>5.0</v>
      </c>
    </row>
    <row r="64">
      <c r="A64" s="17">
        <v>63.0</v>
      </c>
      <c r="B64" s="71">
        <v>46028.0</v>
      </c>
      <c r="C64" s="17" t="s">
        <v>47</v>
      </c>
      <c r="D64" s="17" t="s">
        <v>48</v>
      </c>
      <c r="E64" s="17" t="s">
        <v>27</v>
      </c>
      <c r="F64" s="17" t="s">
        <v>27</v>
      </c>
      <c r="G64" s="24" t="s">
        <v>41</v>
      </c>
      <c r="H64" s="17" t="s">
        <v>513</v>
      </c>
      <c r="I64" s="30" t="s">
        <v>679</v>
      </c>
      <c r="J64" s="24" t="s">
        <v>681</v>
      </c>
      <c r="K64" s="17" t="s">
        <v>78</v>
      </c>
      <c r="L64" s="35">
        <v>0.4930555555555556</v>
      </c>
      <c r="M64" s="20" t="s">
        <v>101</v>
      </c>
      <c r="N64" s="17" t="s">
        <v>56</v>
      </c>
      <c r="O64" s="17"/>
      <c r="P64" s="26"/>
      <c r="Q64" s="17" t="s">
        <v>49</v>
      </c>
      <c r="R64" s="39" t="s">
        <v>46</v>
      </c>
      <c r="S64" s="40"/>
      <c r="T64" s="28"/>
      <c r="U64" s="34"/>
      <c r="V64" s="26">
        <v>5.0</v>
      </c>
    </row>
    <row r="65" ht="50.25" customHeight="1">
      <c r="A65" s="17">
        <v>64.0</v>
      </c>
      <c r="B65" s="71">
        <v>46028.0</v>
      </c>
      <c r="C65" s="17" t="s">
        <v>47</v>
      </c>
      <c r="D65" s="17" t="s">
        <v>48</v>
      </c>
      <c r="E65" s="17" t="s">
        <v>27</v>
      </c>
      <c r="F65" s="17" t="s">
        <v>27</v>
      </c>
      <c r="G65" s="24" t="s">
        <v>79</v>
      </c>
      <c r="H65" s="17" t="s">
        <v>80</v>
      </c>
      <c r="I65" s="30" t="s">
        <v>685</v>
      </c>
      <c r="J65" s="24" t="s">
        <v>686</v>
      </c>
      <c r="K65" s="17" t="s">
        <v>78</v>
      </c>
      <c r="L65" s="35">
        <v>0.4930555555555556</v>
      </c>
      <c r="M65" s="82" t="s">
        <v>55</v>
      </c>
      <c r="N65" s="17" t="s">
        <v>56</v>
      </c>
      <c r="O65" s="17"/>
      <c r="P65" s="26"/>
      <c r="Q65" s="17" t="s">
        <v>49</v>
      </c>
      <c r="R65" s="39" t="s">
        <v>46</v>
      </c>
      <c r="S65" s="40"/>
      <c r="T65" s="28"/>
      <c r="U65" s="34"/>
      <c r="V65" s="26">
        <v>5.0</v>
      </c>
    </row>
    <row r="66" ht="49.5" customHeight="1">
      <c r="A66" s="17">
        <v>65.0</v>
      </c>
      <c r="B66" s="71">
        <v>46028.0</v>
      </c>
      <c r="C66" s="17" t="s">
        <v>47</v>
      </c>
      <c r="D66" s="17" t="s">
        <v>92</v>
      </c>
      <c r="E66" s="24" t="s">
        <v>118</v>
      </c>
      <c r="F66" s="17" t="s">
        <v>27</v>
      </c>
      <c r="G66" s="24" t="s">
        <v>28</v>
      </c>
      <c r="H66" s="17" t="s">
        <v>692</v>
      </c>
      <c r="I66" s="30" t="s">
        <v>694</v>
      </c>
      <c r="J66" s="24" t="s">
        <v>695</v>
      </c>
      <c r="K66" s="17" t="s">
        <v>78</v>
      </c>
      <c r="L66" s="35">
        <v>0.4930555555555556</v>
      </c>
      <c r="M66" s="20" t="s">
        <v>101</v>
      </c>
      <c r="N66" s="17" t="s">
        <v>56</v>
      </c>
      <c r="O66" s="17"/>
      <c r="P66" s="26"/>
      <c r="Q66" s="17" t="s">
        <v>49</v>
      </c>
      <c r="R66" s="39" t="s">
        <v>46</v>
      </c>
      <c r="S66" s="40"/>
      <c r="T66" s="28"/>
      <c r="U66" s="34"/>
      <c r="V66" s="26">
        <v>5.0</v>
      </c>
    </row>
    <row r="67" ht="63.75" hidden="1" customHeight="1">
      <c r="A67" s="17">
        <v>66.0</v>
      </c>
      <c r="B67" s="71">
        <v>46028.0</v>
      </c>
      <c r="C67" s="22" t="s">
        <v>58</v>
      </c>
      <c r="D67" s="22" t="s">
        <v>84</v>
      </c>
      <c r="E67" s="83" t="s">
        <v>698</v>
      </c>
      <c r="F67" s="84" t="s">
        <v>27</v>
      </c>
      <c r="G67" s="24" t="s">
        <v>79</v>
      </c>
      <c r="H67" s="22" t="s">
        <v>700</v>
      </c>
      <c r="I67" s="30" t="s">
        <v>701</v>
      </c>
      <c r="J67" s="31" t="s">
        <v>702</v>
      </c>
      <c r="K67" s="22" t="s">
        <v>78</v>
      </c>
      <c r="L67" s="35">
        <v>0.4930555555555556</v>
      </c>
      <c r="M67" s="25" t="s">
        <v>38</v>
      </c>
      <c r="N67" s="22" t="s">
        <v>56</v>
      </c>
      <c r="O67" s="22" t="s">
        <v>42</v>
      </c>
      <c r="P67" s="26"/>
      <c r="Q67" s="22" t="s">
        <v>49</v>
      </c>
      <c r="R67" s="33" t="s">
        <v>68</v>
      </c>
      <c r="S67" s="40"/>
      <c r="T67" s="28"/>
      <c r="U67" s="34"/>
      <c r="V67" s="26">
        <v>5.0</v>
      </c>
    </row>
    <row r="68" hidden="1">
      <c r="A68" s="17">
        <v>67.0</v>
      </c>
      <c r="B68" s="71">
        <v>46028.0</v>
      </c>
      <c r="C68" s="22" t="s">
        <v>58</v>
      </c>
      <c r="D68" s="22" t="s">
        <v>84</v>
      </c>
      <c r="E68" s="17" t="s">
        <v>704</v>
      </c>
      <c r="F68" s="22" t="s">
        <v>27</v>
      </c>
      <c r="G68" s="24" t="s">
        <v>41</v>
      </c>
      <c r="H68" s="22" t="s">
        <v>705</v>
      </c>
      <c r="I68" s="30" t="s">
        <v>706</v>
      </c>
      <c r="J68" s="31" t="s">
        <v>123</v>
      </c>
      <c r="K68" s="22" t="s">
        <v>78</v>
      </c>
      <c r="L68" s="35">
        <v>0.4930555555555556</v>
      </c>
      <c r="M68" s="25" t="s">
        <v>38</v>
      </c>
      <c r="N68" s="22" t="s">
        <v>56</v>
      </c>
      <c r="O68" s="22" t="s">
        <v>42</v>
      </c>
      <c r="P68" s="26"/>
      <c r="Q68" s="22" t="s">
        <v>49</v>
      </c>
      <c r="R68" s="33" t="s">
        <v>68</v>
      </c>
      <c r="S68" s="40"/>
      <c r="T68" s="28"/>
      <c r="U68" s="34"/>
      <c r="V68" s="26">
        <v>5.0</v>
      </c>
    </row>
    <row r="69">
      <c r="A69" s="17">
        <v>68.0</v>
      </c>
      <c r="B69" s="71">
        <v>46028.0</v>
      </c>
      <c r="C69" s="17" t="s">
        <v>47</v>
      </c>
      <c r="D69" s="17" t="s">
        <v>138</v>
      </c>
      <c r="E69" s="24" t="s">
        <v>190</v>
      </c>
      <c r="F69" s="17">
        <v>5.53436645E8</v>
      </c>
      <c r="G69" s="24" t="s">
        <v>79</v>
      </c>
      <c r="H69" s="17" t="s">
        <v>431</v>
      </c>
      <c r="I69" s="30" t="s">
        <v>714</v>
      </c>
      <c r="J69" s="24" t="s">
        <v>715</v>
      </c>
      <c r="K69" s="17" t="s">
        <v>148</v>
      </c>
      <c r="L69" s="35"/>
      <c r="M69" s="81" t="s">
        <v>674</v>
      </c>
      <c r="N69" s="22" t="s">
        <v>56</v>
      </c>
      <c r="O69" s="17"/>
      <c r="P69" s="26"/>
      <c r="Q69" s="17" t="s">
        <v>49</v>
      </c>
      <c r="R69" s="39" t="s">
        <v>46</v>
      </c>
      <c r="S69" s="40"/>
      <c r="T69" s="28"/>
      <c r="U69" s="34"/>
      <c r="V69" s="26">
        <v>5.0</v>
      </c>
    </row>
    <row r="70" hidden="1">
      <c r="A70" s="17">
        <v>69.0</v>
      </c>
      <c r="B70" s="71">
        <v>46028.0</v>
      </c>
      <c r="C70" s="22" t="s">
        <v>21</v>
      </c>
      <c r="D70" s="22" t="s">
        <v>66</v>
      </c>
      <c r="E70" s="24" t="s">
        <v>720</v>
      </c>
      <c r="F70" s="22">
        <v>5.99052579E8</v>
      </c>
      <c r="G70" s="31" t="s">
        <v>71</v>
      </c>
      <c r="H70" s="22" t="s">
        <v>27</v>
      </c>
      <c r="I70" s="30" t="s">
        <v>722</v>
      </c>
      <c r="J70" s="31" t="s">
        <v>723</v>
      </c>
      <c r="K70" s="22" t="s">
        <v>36</v>
      </c>
      <c r="L70" s="35">
        <v>0.4930555555555556</v>
      </c>
      <c r="M70" s="25" t="s">
        <v>38</v>
      </c>
      <c r="N70" s="22" t="s">
        <v>56</v>
      </c>
      <c r="O70" s="22" t="s">
        <v>42</v>
      </c>
      <c r="P70" s="26"/>
      <c r="Q70" s="22" t="s">
        <v>49</v>
      </c>
      <c r="R70" s="33" t="s">
        <v>68</v>
      </c>
      <c r="S70" s="40"/>
      <c r="T70" s="28"/>
      <c r="U70" s="34"/>
      <c r="V70" s="26">
        <v>5.0</v>
      </c>
    </row>
    <row r="71" hidden="1">
      <c r="A71" s="17">
        <v>70.0</v>
      </c>
      <c r="B71" s="71">
        <v>46028.0</v>
      </c>
      <c r="C71" s="22" t="s">
        <v>21</v>
      </c>
      <c r="D71" s="22" t="s">
        <v>24</v>
      </c>
      <c r="E71" s="24" t="s">
        <v>276</v>
      </c>
      <c r="F71" s="22">
        <v>5.66306245E8</v>
      </c>
      <c r="G71" s="31" t="s">
        <v>71</v>
      </c>
      <c r="H71" s="22" t="s">
        <v>27</v>
      </c>
      <c r="I71" s="30" t="s">
        <v>724</v>
      </c>
      <c r="J71" s="31" t="s">
        <v>123</v>
      </c>
      <c r="K71" s="22" t="s">
        <v>39</v>
      </c>
      <c r="L71" s="35"/>
      <c r="M71" s="25" t="s">
        <v>38</v>
      </c>
      <c r="N71" s="22" t="s">
        <v>56</v>
      </c>
      <c r="O71" s="22" t="s">
        <v>42</v>
      </c>
      <c r="P71" s="26"/>
      <c r="Q71" s="22" t="s">
        <v>49</v>
      </c>
      <c r="R71" s="33" t="s">
        <v>46</v>
      </c>
      <c r="S71" s="40"/>
      <c r="T71" s="28"/>
      <c r="U71" s="34"/>
      <c r="V71" s="26">
        <v>5.0</v>
      </c>
    </row>
    <row r="72" ht="86.25" hidden="1" customHeight="1">
      <c r="A72" s="17">
        <v>71.0</v>
      </c>
      <c r="B72" s="71">
        <v>46028.0</v>
      </c>
      <c r="C72" s="22" t="s">
        <v>21</v>
      </c>
      <c r="D72" s="22" t="s">
        <v>24</v>
      </c>
      <c r="E72" s="24" t="s">
        <v>729</v>
      </c>
      <c r="F72" s="22">
        <v>5.61505008E8</v>
      </c>
      <c r="G72" s="31" t="s">
        <v>71</v>
      </c>
      <c r="H72" s="22" t="s">
        <v>27</v>
      </c>
      <c r="I72" s="30" t="s">
        <v>730</v>
      </c>
      <c r="J72" s="31" t="s">
        <v>123</v>
      </c>
      <c r="K72" s="22" t="s">
        <v>39</v>
      </c>
      <c r="L72" s="35"/>
      <c r="M72" s="25" t="s">
        <v>38</v>
      </c>
      <c r="N72" s="22" t="s">
        <v>56</v>
      </c>
      <c r="O72" s="22" t="s">
        <v>42</v>
      </c>
      <c r="P72" s="26"/>
      <c r="Q72" s="22" t="s">
        <v>49</v>
      </c>
      <c r="R72" s="33" t="s">
        <v>46</v>
      </c>
      <c r="S72" s="40"/>
      <c r="T72" s="28"/>
      <c r="U72" s="34"/>
      <c r="V72" s="26">
        <v>5.0</v>
      </c>
    </row>
    <row r="73" ht="86.25" hidden="1" customHeight="1">
      <c r="A73" s="17">
        <v>72.0</v>
      </c>
      <c r="B73" s="71">
        <v>46028.0</v>
      </c>
      <c r="C73" s="22" t="s">
        <v>58</v>
      </c>
      <c r="D73" s="22" t="s">
        <v>84</v>
      </c>
      <c r="E73" s="17" t="s">
        <v>27</v>
      </c>
      <c r="F73" s="22">
        <v>5.02424907E8</v>
      </c>
      <c r="G73" s="24" t="s">
        <v>41</v>
      </c>
      <c r="H73" s="22" t="s">
        <v>27</v>
      </c>
      <c r="I73" s="30" t="s">
        <v>741</v>
      </c>
      <c r="J73" s="24" t="s">
        <v>742</v>
      </c>
      <c r="K73" s="22" t="s">
        <v>36</v>
      </c>
      <c r="L73" s="35"/>
      <c r="M73" s="42" t="s">
        <v>88</v>
      </c>
      <c r="N73" s="22" t="s">
        <v>56</v>
      </c>
      <c r="O73" s="22" t="s">
        <v>42</v>
      </c>
      <c r="P73" s="26"/>
      <c r="Q73" s="22" t="s">
        <v>49</v>
      </c>
      <c r="R73" s="33" t="s">
        <v>68</v>
      </c>
      <c r="S73" s="40"/>
      <c r="T73" s="28"/>
      <c r="U73" s="34"/>
      <c r="V73" s="26">
        <v>5.0</v>
      </c>
    </row>
    <row r="74" hidden="1">
      <c r="A74" s="17">
        <v>73.0</v>
      </c>
      <c r="B74" s="71">
        <v>46029.0</v>
      </c>
      <c r="C74" s="22" t="s">
        <v>21</v>
      </c>
      <c r="D74" s="22" t="s">
        <v>22</v>
      </c>
      <c r="E74" s="24" t="s">
        <v>745</v>
      </c>
      <c r="F74" s="17">
        <v>5.65560248E8</v>
      </c>
      <c r="G74" s="24" t="s">
        <v>28</v>
      </c>
      <c r="H74" s="22" t="s">
        <v>27</v>
      </c>
      <c r="I74" s="30" t="s">
        <v>746</v>
      </c>
      <c r="J74" s="31" t="s">
        <v>123</v>
      </c>
      <c r="K74" s="22" t="s">
        <v>36</v>
      </c>
      <c r="L74" s="35"/>
      <c r="M74" s="38" t="s">
        <v>125</v>
      </c>
      <c r="N74" s="22" t="s">
        <v>56</v>
      </c>
      <c r="O74" s="22" t="s">
        <v>42</v>
      </c>
      <c r="P74" s="26"/>
      <c r="Q74" s="22" t="s">
        <v>49</v>
      </c>
      <c r="R74" s="33" t="s">
        <v>68</v>
      </c>
      <c r="S74" s="40"/>
      <c r="T74" s="28"/>
      <c r="U74" s="34"/>
      <c r="V74" s="26">
        <v>5.0</v>
      </c>
    </row>
    <row r="75" hidden="1">
      <c r="A75" s="17">
        <v>74.0</v>
      </c>
      <c r="B75" s="71">
        <v>46029.0</v>
      </c>
      <c r="C75" s="22" t="s">
        <v>21</v>
      </c>
      <c r="D75" s="22" t="s">
        <v>22</v>
      </c>
      <c r="E75" s="24" t="s">
        <v>751</v>
      </c>
      <c r="F75" s="17">
        <v>5.49297584E8</v>
      </c>
      <c r="G75" s="24" t="s">
        <v>752</v>
      </c>
      <c r="H75" s="22" t="s">
        <v>27</v>
      </c>
      <c r="I75" s="30" t="s">
        <v>753</v>
      </c>
      <c r="J75" s="31" t="s">
        <v>123</v>
      </c>
      <c r="K75" s="22" t="s">
        <v>36</v>
      </c>
      <c r="L75" s="35"/>
      <c r="M75" s="38" t="s">
        <v>125</v>
      </c>
      <c r="N75" s="22" t="s">
        <v>56</v>
      </c>
      <c r="O75" s="22" t="s">
        <v>42</v>
      </c>
      <c r="P75" s="26"/>
      <c r="Q75" s="22" t="s">
        <v>49</v>
      </c>
      <c r="R75" s="33" t="s">
        <v>68</v>
      </c>
      <c r="S75" s="40"/>
      <c r="T75" s="28"/>
      <c r="U75" s="34"/>
      <c r="V75" s="26">
        <v>5.0</v>
      </c>
    </row>
    <row r="76" hidden="1">
      <c r="A76" s="17">
        <v>75.0</v>
      </c>
      <c r="B76" s="71">
        <v>46029.0</v>
      </c>
      <c r="C76" s="22" t="s">
        <v>21</v>
      </c>
      <c r="D76" s="22" t="s">
        <v>22</v>
      </c>
      <c r="E76" s="24" t="s">
        <v>759</v>
      </c>
      <c r="F76" s="17">
        <v>5.32743783E8</v>
      </c>
      <c r="G76" s="24" t="s">
        <v>369</v>
      </c>
      <c r="H76" s="22" t="s">
        <v>27</v>
      </c>
      <c r="I76" s="30" t="s">
        <v>762</v>
      </c>
      <c r="J76" s="31" t="s">
        <v>123</v>
      </c>
      <c r="K76" s="22" t="s">
        <v>457</v>
      </c>
      <c r="L76" s="35">
        <v>0.625</v>
      </c>
      <c r="M76" s="38" t="s">
        <v>125</v>
      </c>
      <c r="N76" s="22" t="s">
        <v>56</v>
      </c>
      <c r="O76" s="22" t="s">
        <v>42</v>
      </c>
      <c r="P76" s="26"/>
      <c r="Q76" s="22" t="s">
        <v>49</v>
      </c>
      <c r="R76" s="33" t="s">
        <v>68</v>
      </c>
      <c r="S76" s="40"/>
      <c r="T76" s="28"/>
      <c r="U76" s="68" t="s">
        <v>49</v>
      </c>
      <c r="V76" s="26">
        <v>5.0</v>
      </c>
    </row>
    <row r="77" hidden="1">
      <c r="A77" s="17">
        <v>76.0</v>
      </c>
      <c r="B77" s="71">
        <v>46029.0</v>
      </c>
      <c r="C77" s="22" t="s">
        <v>21</v>
      </c>
      <c r="D77" s="22" t="s">
        <v>34</v>
      </c>
      <c r="E77" s="24" t="s">
        <v>769</v>
      </c>
      <c r="F77" s="17">
        <v>5.38866101E8</v>
      </c>
      <c r="G77" s="24" t="s">
        <v>41</v>
      </c>
      <c r="H77" s="22" t="s">
        <v>27</v>
      </c>
      <c r="I77" s="30" t="s">
        <v>772</v>
      </c>
      <c r="J77" s="31" t="s">
        <v>299</v>
      </c>
      <c r="K77" s="22" t="s">
        <v>36</v>
      </c>
      <c r="L77" s="35"/>
      <c r="M77" s="38" t="s">
        <v>51</v>
      </c>
      <c r="N77" s="22" t="s">
        <v>56</v>
      </c>
      <c r="O77" s="22" t="s">
        <v>42</v>
      </c>
      <c r="P77" s="26"/>
      <c r="Q77" s="22" t="s">
        <v>49</v>
      </c>
      <c r="R77" s="33" t="s">
        <v>68</v>
      </c>
      <c r="S77" s="40"/>
      <c r="T77" s="28"/>
      <c r="U77" s="34"/>
      <c r="V77" s="26">
        <v>5.0</v>
      </c>
    </row>
    <row r="78">
      <c r="A78" s="17">
        <v>77.0</v>
      </c>
      <c r="B78" s="71">
        <v>46029.0</v>
      </c>
      <c r="C78" s="17" t="s">
        <v>47</v>
      </c>
      <c r="D78" s="17" t="s">
        <v>367</v>
      </c>
      <c r="E78" s="17" t="s">
        <v>780</v>
      </c>
      <c r="F78" s="17">
        <v>5.97152194E8</v>
      </c>
      <c r="G78" s="24" t="s">
        <v>41</v>
      </c>
      <c r="H78" s="17" t="s">
        <v>783</v>
      </c>
      <c r="I78" s="30" t="s">
        <v>784</v>
      </c>
      <c r="J78" s="24" t="s">
        <v>787</v>
      </c>
      <c r="K78" s="17" t="s">
        <v>148</v>
      </c>
      <c r="L78" s="35"/>
      <c r="M78" s="25" t="s">
        <v>183</v>
      </c>
      <c r="N78" s="22" t="s">
        <v>56</v>
      </c>
      <c r="O78" s="17"/>
      <c r="P78" s="26"/>
      <c r="Q78" s="17" t="s">
        <v>49</v>
      </c>
      <c r="R78" s="39" t="s">
        <v>46</v>
      </c>
      <c r="S78" s="40"/>
      <c r="T78" s="28"/>
      <c r="U78" s="34"/>
      <c r="V78" s="26">
        <v>5.0</v>
      </c>
    </row>
    <row r="79">
      <c r="A79" s="17">
        <v>78.0</v>
      </c>
      <c r="B79" s="71">
        <v>46029.0</v>
      </c>
      <c r="C79" s="17" t="s">
        <v>47</v>
      </c>
      <c r="D79" s="17" t="s">
        <v>138</v>
      </c>
      <c r="E79" s="17" t="s">
        <v>788</v>
      </c>
      <c r="F79" s="17" t="s">
        <v>27</v>
      </c>
      <c r="G79" s="24" t="s">
        <v>41</v>
      </c>
      <c r="H79" s="17" t="s">
        <v>222</v>
      </c>
      <c r="I79" s="30" t="s">
        <v>790</v>
      </c>
      <c r="J79" s="24" t="s">
        <v>792</v>
      </c>
      <c r="K79" s="17" t="s">
        <v>148</v>
      </c>
      <c r="L79" s="35"/>
      <c r="M79" s="25" t="s">
        <v>795</v>
      </c>
      <c r="N79" s="22" t="s">
        <v>56</v>
      </c>
      <c r="O79" s="17"/>
      <c r="P79" s="26"/>
      <c r="Q79" s="17" t="s">
        <v>49</v>
      </c>
      <c r="R79" s="39" t="s">
        <v>46</v>
      </c>
      <c r="S79" s="40"/>
      <c r="T79" s="28"/>
      <c r="U79" s="34"/>
      <c r="V79" s="26">
        <v>5.0</v>
      </c>
    </row>
    <row r="80" hidden="1">
      <c r="A80" s="17">
        <v>79.0</v>
      </c>
      <c r="B80" s="71">
        <v>46029.0</v>
      </c>
      <c r="C80" s="22" t="s">
        <v>58</v>
      </c>
      <c r="D80" s="22" t="s">
        <v>84</v>
      </c>
      <c r="E80" s="17" t="s">
        <v>27</v>
      </c>
      <c r="F80" s="17">
        <v>5.05699915E8</v>
      </c>
      <c r="G80" s="24" t="s">
        <v>369</v>
      </c>
      <c r="H80" s="22" t="s">
        <v>27</v>
      </c>
      <c r="I80" s="30" t="s">
        <v>799</v>
      </c>
      <c r="J80" s="31" t="s">
        <v>123</v>
      </c>
      <c r="K80" s="22" t="s">
        <v>36</v>
      </c>
      <c r="L80" s="35"/>
      <c r="M80" s="42" t="s">
        <v>88</v>
      </c>
      <c r="N80" s="22" t="s">
        <v>56</v>
      </c>
      <c r="O80" s="22" t="s">
        <v>42</v>
      </c>
      <c r="P80" s="26"/>
      <c r="Q80" s="22" t="s">
        <v>49</v>
      </c>
      <c r="R80" s="33" t="s">
        <v>68</v>
      </c>
      <c r="S80" s="40"/>
      <c r="T80" s="28"/>
      <c r="U80" s="34"/>
      <c r="V80" s="26">
        <v>5.0</v>
      </c>
    </row>
    <row r="81" hidden="1">
      <c r="A81" s="17">
        <v>80.0</v>
      </c>
      <c r="B81" s="71">
        <v>46029.0</v>
      </c>
      <c r="C81" s="22" t="s">
        <v>21</v>
      </c>
      <c r="D81" s="22" t="s">
        <v>66</v>
      </c>
      <c r="E81" s="24" t="s">
        <v>118</v>
      </c>
      <c r="F81" s="17">
        <v>5.37500694E8</v>
      </c>
      <c r="G81" s="24" t="s">
        <v>807</v>
      </c>
      <c r="H81" s="22" t="s">
        <v>27</v>
      </c>
      <c r="I81" s="30" t="s">
        <v>808</v>
      </c>
      <c r="J81" s="24" t="s">
        <v>204</v>
      </c>
      <c r="K81" s="22" t="s">
        <v>36</v>
      </c>
      <c r="L81" s="35"/>
      <c r="M81" s="25" t="s">
        <v>38</v>
      </c>
      <c r="N81" s="22" t="s">
        <v>56</v>
      </c>
      <c r="O81" s="22" t="s">
        <v>42</v>
      </c>
      <c r="P81" s="26"/>
      <c r="Q81" s="22" t="s">
        <v>49</v>
      </c>
      <c r="R81" s="33" t="s">
        <v>68</v>
      </c>
      <c r="S81" s="40"/>
      <c r="T81" s="28"/>
      <c r="U81" s="34"/>
      <c r="V81" s="26">
        <v>5.0</v>
      </c>
    </row>
    <row r="82" ht="18.0" hidden="1" customHeight="1">
      <c r="A82" s="17">
        <v>81.0</v>
      </c>
      <c r="B82" s="71">
        <v>46029.0</v>
      </c>
      <c r="C82" s="22" t="s">
        <v>58</v>
      </c>
      <c r="D82" s="22" t="s">
        <v>57</v>
      </c>
      <c r="E82" s="24" t="s">
        <v>812</v>
      </c>
      <c r="F82" s="17">
        <v>5.53442065E8</v>
      </c>
      <c r="G82" s="24" t="s">
        <v>815</v>
      </c>
      <c r="H82" s="22" t="s">
        <v>27</v>
      </c>
      <c r="I82" s="30" t="s">
        <v>816</v>
      </c>
      <c r="J82" s="24" t="s">
        <v>817</v>
      </c>
      <c r="K82" s="22" t="s">
        <v>457</v>
      </c>
      <c r="L82" s="35"/>
      <c r="M82" s="25" t="s">
        <v>88</v>
      </c>
      <c r="N82" s="22" t="s">
        <v>56</v>
      </c>
      <c r="O82" s="22" t="s">
        <v>42</v>
      </c>
      <c r="P82" s="26"/>
      <c r="Q82" s="22" t="s">
        <v>49</v>
      </c>
      <c r="R82" s="33" t="s">
        <v>68</v>
      </c>
      <c r="S82" s="40"/>
      <c r="T82" s="28"/>
      <c r="U82" s="34"/>
      <c r="V82" s="26">
        <v>5.0</v>
      </c>
    </row>
    <row r="83" hidden="1">
      <c r="A83" s="17">
        <v>82.0</v>
      </c>
      <c r="B83" s="71">
        <v>46029.0</v>
      </c>
      <c r="C83" s="22" t="s">
        <v>21</v>
      </c>
      <c r="D83" s="22" t="s">
        <v>22</v>
      </c>
      <c r="E83" s="24" t="s">
        <v>820</v>
      </c>
      <c r="F83" s="22">
        <v>5.45522919E8</v>
      </c>
      <c r="G83" s="24" t="s">
        <v>41</v>
      </c>
      <c r="H83" s="22" t="s">
        <v>27</v>
      </c>
      <c r="I83" s="30" t="s">
        <v>821</v>
      </c>
      <c r="J83" s="31" t="s">
        <v>123</v>
      </c>
      <c r="K83" s="22" t="s">
        <v>36</v>
      </c>
      <c r="L83" s="35"/>
      <c r="M83" s="38" t="s">
        <v>125</v>
      </c>
      <c r="N83" s="22" t="s">
        <v>56</v>
      </c>
      <c r="O83" s="22" t="s">
        <v>42</v>
      </c>
      <c r="P83" s="26"/>
      <c r="Q83" s="22" t="s">
        <v>49</v>
      </c>
      <c r="R83" s="33" t="s">
        <v>68</v>
      </c>
      <c r="S83" s="40"/>
      <c r="T83" s="28"/>
      <c r="U83" s="34"/>
      <c r="V83" s="26">
        <v>5.0</v>
      </c>
    </row>
    <row r="84" hidden="1">
      <c r="A84" s="17">
        <v>83.0</v>
      </c>
      <c r="B84" s="71">
        <v>46029.0</v>
      </c>
      <c r="C84" s="22" t="s">
        <v>21</v>
      </c>
      <c r="D84" s="22" t="s">
        <v>24</v>
      </c>
      <c r="E84" s="24" t="s">
        <v>834</v>
      </c>
      <c r="F84" s="22">
        <v>5.63965712E8</v>
      </c>
      <c r="G84" s="31" t="s">
        <v>71</v>
      </c>
      <c r="H84" s="22" t="s">
        <v>27</v>
      </c>
      <c r="I84" s="30" t="s">
        <v>93</v>
      </c>
      <c r="J84" s="31" t="s">
        <v>123</v>
      </c>
      <c r="K84" s="22" t="s">
        <v>36</v>
      </c>
      <c r="L84" s="35"/>
      <c r="M84" s="25" t="s">
        <v>38</v>
      </c>
      <c r="N84" s="22" t="s">
        <v>56</v>
      </c>
      <c r="O84" s="22" t="s">
        <v>42</v>
      </c>
      <c r="P84" s="26"/>
      <c r="Q84" s="22" t="s">
        <v>44</v>
      </c>
      <c r="R84" s="33" t="s">
        <v>46</v>
      </c>
      <c r="S84" s="40"/>
      <c r="T84" s="28"/>
      <c r="U84" s="34"/>
      <c r="V84" s="26">
        <v>5.0</v>
      </c>
    </row>
    <row r="85" ht="20.25" hidden="1" customHeight="1">
      <c r="A85" s="17">
        <v>84.0</v>
      </c>
      <c r="B85" s="71">
        <v>46029.0</v>
      </c>
      <c r="C85" s="22" t="s">
        <v>21</v>
      </c>
      <c r="D85" s="22" t="s">
        <v>24</v>
      </c>
      <c r="E85" s="24" t="s">
        <v>840</v>
      </c>
      <c r="F85" s="22">
        <v>5.49297584E8</v>
      </c>
      <c r="G85" s="24" t="s">
        <v>41</v>
      </c>
      <c r="H85" s="22" t="s">
        <v>27</v>
      </c>
      <c r="I85" s="30" t="s">
        <v>93</v>
      </c>
      <c r="J85" s="31" t="s">
        <v>123</v>
      </c>
      <c r="K85" s="22" t="s">
        <v>36</v>
      </c>
      <c r="L85" s="35"/>
      <c r="M85" s="25" t="s">
        <v>38</v>
      </c>
      <c r="N85" s="22" t="s">
        <v>56</v>
      </c>
      <c r="O85" s="22" t="s">
        <v>42</v>
      </c>
      <c r="P85" s="26"/>
      <c r="Q85" s="22" t="s">
        <v>44</v>
      </c>
      <c r="R85" s="33" t="s">
        <v>46</v>
      </c>
      <c r="S85" s="40"/>
      <c r="T85" s="28"/>
      <c r="U85" s="34"/>
      <c r="V85" s="26">
        <v>5.0</v>
      </c>
    </row>
    <row r="86" hidden="1">
      <c r="A86" s="17">
        <v>85.0</v>
      </c>
      <c r="B86" s="71">
        <v>46029.0</v>
      </c>
      <c r="C86" s="22" t="s">
        <v>21</v>
      </c>
      <c r="D86" s="22" t="s">
        <v>24</v>
      </c>
      <c r="E86" s="24" t="s">
        <v>845</v>
      </c>
      <c r="F86" s="17">
        <v>5.53667391E8</v>
      </c>
      <c r="G86" s="31" t="s">
        <v>71</v>
      </c>
      <c r="H86" s="22" t="s">
        <v>27</v>
      </c>
      <c r="I86" s="30" t="s">
        <v>557</v>
      </c>
      <c r="J86" s="31" t="s">
        <v>123</v>
      </c>
      <c r="K86" s="22" t="s">
        <v>36</v>
      </c>
      <c r="L86" s="35"/>
      <c r="M86" s="25" t="s">
        <v>38</v>
      </c>
      <c r="N86" s="22" t="s">
        <v>56</v>
      </c>
      <c r="O86" s="22" t="s">
        <v>42</v>
      </c>
      <c r="P86" s="26"/>
      <c r="Q86" s="22" t="s">
        <v>49</v>
      </c>
      <c r="R86" s="33" t="s">
        <v>46</v>
      </c>
      <c r="S86" s="40"/>
      <c r="T86" s="28"/>
      <c r="U86" s="34"/>
      <c r="V86" s="26">
        <v>5.0</v>
      </c>
    </row>
    <row r="87" hidden="1">
      <c r="A87" s="17">
        <v>86.0</v>
      </c>
      <c r="B87" s="71">
        <v>46029.0</v>
      </c>
      <c r="C87" s="22" t="s">
        <v>21</v>
      </c>
      <c r="D87" s="22" t="s">
        <v>92</v>
      </c>
      <c r="E87" s="24" t="s">
        <v>850</v>
      </c>
      <c r="F87" s="17">
        <v>5.5332079E8</v>
      </c>
      <c r="G87" s="24" t="s">
        <v>41</v>
      </c>
      <c r="H87" s="22" t="s">
        <v>27</v>
      </c>
      <c r="I87" s="30" t="s">
        <v>851</v>
      </c>
      <c r="J87" s="31" t="s">
        <v>852</v>
      </c>
      <c r="K87" s="22" t="s">
        <v>36</v>
      </c>
      <c r="L87" s="35"/>
      <c r="M87" s="82" t="s">
        <v>208</v>
      </c>
      <c r="N87" s="22" t="s">
        <v>56</v>
      </c>
      <c r="O87" s="22" t="s">
        <v>42</v>
      </c>
      <c r="P87" s="26"/>
      <c r="Q87" s="22" t="s">
        <v>44</v>
      </c>
      <c r="R87" s="33" t="s">
        <v>68</v>
      </c>
      <c r="S87" s="40"/>
      <c r="T87" s="28"/>
      <c r="U87" s="34"/>
      <c r="V87" s="26">
        <v>5.0</v>
      </c>
    </row>
    <row r="88" hidden="1">
      <c r="A88" s="17">
        <v>87.0</v>
      </c>
      <c r="B88" s="71">
        <v>46029.0</v>
      </c>
      <c r="C88" s="22" t="s">
        <v>58</v>
      </c>
      <c r="D88" s="22" t="s">
        <v>84</v>
      </c>
      <c r="E88" s="17" t="s">
        <v>27</v>
      </c>
      <c r="F88" s="17">
        <v>5.58447757E8</v>
      </c>
      <c r="G88" s="24" t="s">
        <v>79</v>
      </c>
      <c r="H88" s="22" t="s">
        <v>27</v>
      </c>
      <c r="I88" s="30" t="s">
        <v>859</v>
      </c>
      <c r="J88" s="31" t="s">
        <v>123</v>
      </c>
      <c r="K88" s="22" t="s">
        <v>36</v>
      </c>
      <c r="L88" s="86"/>
      <c r="M88" s="42" t="s">
        <v>88</v>
      </c>
      <c r="N88" s="22" t="s">
        <v>56</v>
      </c>
      <c r="O88" s="22" t="s">
        <v>42</v>
      </c>
      <c r="P88" s="26"/>
      <c r="Q88" s="22" t="s">
        <v>49</v>
      </c>
      <c r="R88" s="33" t="s">
        <v>68</v>
      </c>
      <c r="S88" s="40"/>
      <c r="T88" s="28"/>
      <c r="U88" s="68" t="s">
        <v>863</v>
      </c>
      <c r="V88" s="26">
        <v>5.0</v>
      </c>
    </row>
    <row r="89" hidden="1">
      <c r="A89" s="17">
        <v>88.0</v>
      </c>
      <c r="B89" s="71">
        <v>46029.0</v>
      </c>
      <c r="C89" s="22" t="s">
        <v>58</v>
      </c>
      <c r="D89" s="22" t="s">
        <v>84</v>
      </c>
      <c r="E89" s="24" t="s">
        <v>463</v>
      </c>
      <c r="F89" s="17">
        <v>5.43355315E8</v>
      </c>
      <c r="G89" s="31" t="s">
        <v>71</v>
      </c>
      <c r="H89" s="22" t="s">
        <v>27</v>
      </c>
      <c r="I89" s="30" t="s">
        <v>864</v>
      </c>
      <c r="J89" s="24" t="s">
        <v>866</v>
      </c>
      <c r="K89" s="22" t="s">
        <v>36</v>
      </c>
      <c r="L89" s="35"/>
      <c r="M89" s="42" t="s">
        <v>88</v>
      </c>
      <c r="N89" s="22" t="s">
        <v>56</v>
      </c>
      <c r="O89" s="22" t="s">
        <v>42</v>
      </c>
      <c r="P89" s="26"/>
      <c r="Q89" s="22" t="s">
        <v>49</v>
      </c>
      <c r="R89" s="33" t="s">
        <v>68</v>
      </c>
      <c r="S89" s="40"/>
      <c r="T89" s="28"/>
      <c r="U89" s="34"/>
      <c r="V89" s="26">
        <v>5.0</v>
      </c>
    </row>
    <row r="90" hidden="1">
      <c r="A90" s="17">
        <v>89.0</v>
      </c>
      <c r="B90" s="71">
        <v>46029.0</v>
      </c>
      <c r="C90" s="22" t="s">
        <v>21</v>
      </c>
      <c r="D90" s="22" t="s">
        <v>66</v>
      </c>
      <c r="E90" s="24" t="s">
        <v>873</v>
      </c>
      <c r="F90" s="17">
        <v>5.98742204E8</v>
      </c>
      <c r="G90" s="31" t="s">
        <v>120</v>
      </c>
      <c r="H90" s="22" t="s">
        <v>27</v>
      </c>
      <c r="I90" s="30" t="s">
        <v>878</v>
      </c>
      <c r="J90" s="31" t="s">
        <v>880</v>
      </c>
      <c r="K90" s="22" t="s">
        <v>36</v>
      </c>
      <c r="L90" s="35"/>
      <c r="M90" s="25" t="s">
        <v>38</v>
      </c>
      <c r="N90" s="22" t="s">
        <v>56</v>
      </c>
      <c r="O90" s="22" t="s">
        <v>42</v>
      </c>
      <c r="P90" s="26"/>
      <c r="Q90" s="22" t="s">
        <v>44</v>
      </c>
      <c r="R90" s="33" t="s">
        <v>68</v>
      </c>
      <c r="S90" s="40"/>
      <c r="T90" s="28"/>
      <c r="U90" s="34"/>
      <c r="V90" s="26">
        <v>5.0</v>
      </c>
    </row>
    <row r="91" hidden="1">
      <c r="A91" s="17">
        <v>90.0</v>
      </c>
      <c r="B91" s="71">
        <v>46029.0</v>
      </c>
      <c r="C91" s="22" t="s">
        <v>21</v>
      </c>
      <c r="D91" s="22" t="s">
        <v>57</v>
      </c>
      <c r="E91" s="24" t="s">
        <v>887</v>
      </c>
      <c r="F91" s="17">
        <v>5.83867912E8</v>
      </c>
      <c r="G91" s="24" t="s">
        <v>41</v>
      </c>
      <c r="H91" s="22" t="s">
        <v>27</v>
      </c>
      <c r="I91" s="30" t="s">
        <v>889</v>
      </c>
      <c r="J91" s="31" t="s">
        <v>123</v>
      </c>
      <c r="K91" s="22" t="s">
        <v>36</v>
      </c>
      <c r="L91" s="35"/>
      <c r="M91" s="25" t="s">
        <v>38</v>
      </c>
      <c r="N91" s="22" t="s">
        <v>56</v>
      </c>
      <c r="O91" s="22" t="s">
        <v>42</v>
      </c>
      <c r="P91" s="26"/>
      <c r="Q91" s="22" t="s">
        <v>44</v>
      </c>
      <c r="R91" s="33" t="s">
        <v>68</v>
      </c>
      <c r="S91" s="40"/>
      <c r="T91" s="28"/>
      <c r="U91" s="34"/>
      <c r="V91" s="26">
        <v>5.0</v>
      </c>
    </row>
    <row r="92" hidden="1">
      <c r="A92" s="17">
        <v>91.0</v>
      </c>
      <c r="B92" s="71">
        <v>46029.0</v>
      </c>
      <c r="C92" s="22" t="s">
        <v>21</v>
      </c>
      <c r="D92" s="22" t="s">
        <v>34</v>
      </c>
      <c r="E92" s="17" t="s">
        <v>27</v>
      </c>
      <c r="F92" s="17">
        <v>5.07284604E8</v>
      </c>
      <c r="G92" s="24" t="s">
        <v>41</v>
      </c>
      <c r="H92" s="22" t="s">
        <v>27</v>
      </c>
      <c r="I92" s="30" t="s">
        <v>896</v>
      </c>
      <c r="J92" s="31" t="s">
        <v>897</v>
      </c>
      <c r="K92" s="22" t="s">
        <v>36</v>
      </c>
      <c r="L92" s="35"/>
      <c r="M92" s="38" t="s">
        <v>51</v>
      </c>
      <c r="N92" s="22" t="s">
        <v>56</v>
      </c>
      <c r="O92" s="22" t="s">
        <v>42</v>
      </c>
      <c r="P92" s="26"/>
      <c r="Q92" s="22" t="s">
        <v>44</v>
      </c>
      <c r="R92" s="33" t="s">
        <v>68</v>
      </c>
      <c r="S92" s="40"/>
      <c r="T92" s="28"/>
      <c r="U92" s="34"/>
      <c r="V92" s="26">
        <v>5.0</v>
      </c>
    </row>
    <row r="93" hidden="1">
      <c r="A93" s="17">
        <v>92.0</v>
      </c>
      <c r="B93" s="71">
        <v>46029.0</v>
      </c>
      <c r="C93" s="22" t="s">
        <v>21</v>
      </c>
      <c r="D93" s="22" t="s">
        <v>57</v>
      </c>
      <c r="E93" s="24" t="s">
        <v>901</v>
      </c>
      <c r="F93" s="17">
        <v>5.07895029E8</v>
      </c>
      <c r="G93" s="24" t="s">
        <v>41</v>
      </c>
      <c r="H93" s="22" t="s">
        <v>27</v>
      </c>
      <c r="I93" s="30" t="s">
        <v>902</v>
      </c>
      <c r="J93" s="31" t="s">
        <v>903</v>
      </c>
      <c r="K93" s="22" t="s">
        <v>39</v>
      </c>
      <c r="L93" s="35"/>
      <c r="M93" s="25" t="s">
        <v>38</v>
      </c>
      <c r="N93" s="22" t="s">
        <v>56</v>
      </c>
      <c r="O93" s="22" t="s">
        <v>42</v>
      </c>
      <c r="P93" s="26"/>
      <c r="Q93" s="22" t="s">
        <v>49</v>
      </c>
      <c r="R93" s="33" t="s">
        <v>68</v>
      </c>
      <c r="S93" s="40"/>
      <c r="T93" s="28"/>
      <c r="U93" s="34"/>
      <c r="V93" s="26">
        <v>5.0</v>
      </c>
    </row>
    <row r="94" hidden="1">
      <c r="A94" s="17">
        <v>93.0</v>
      </c>
      <c r="B94" s="71">
        <v>46030.0</v>
      </c>
      <c r="C94" s="22" t="s">
        <v>58</v>
      </c>
      <c r="D94" s="22" t="s">
        <v>84</v>
      </c>
      <c r="E94" s="24" t="s">
        <v>913</v>
      </c>
      <c r="F94" s="17">
        <v>5.81137822E8</v>
      </c>
      <c r="G94" s="24" t="s">
        <v>41</v>
      </c>
      <c r="H94" s="17" t="s">
        <v>914</v>
      </c>
      <c r="I94" s="30" t="s">
        <v>915</v>
      </c>
      <c r="J94" s="31" t="s">
        <v>123</v>
      </c>
      <c r="K94" s="22" t="s">
        <v>36</v>
      </c>
      <c r="L94" s="35"/>
      <c r="M94" s="42" t="s">
        <v>88</v>
      </c>
      <c r="N94" s="22" t="s">
        <v>56</v>
      </c>
      <c r="O94" s="22" t="s">
        <v>42</v>
      </c>
      <c r="P94" s="26"/>
      <c r="Q94" s="22" t="s">
        <v>44</v>
      </c>
      <c r="R94" s="33" t="s">
        <v>68</v>
      </c>
      <c r="S94" s="40"/>
      <c r="T94" s="28"/>
      <c r="U94" s="34"/>
      <c r="V94" s="26">
        <v>5.0</v>
      </c>
    </row>
    <row r="95" hidden="1">
      <c r="A95" s="17">
        <v>94.0</v>
      </c>
      <c r="B95" s="71">
        <v>46030.0</v>
      </c>
      <c r="C95" s="22" t="s">
        <v>58</v>
      </c>
      <c r="D95" s="22" t="s">
        <v>57</v>
      </c>
      <c r="E95" s="24" t="s">
        <v>922</v>
      </c>
      <c r="F95" s="17">
        <v>5.00449778E8</v>
      </c>
      <c r="G95" s="31" t="s">
        <v>120</v>
      </c>
      <c r="H95" s="22" t="s">
        <v>27</v>
      </c>
      <c r="I95" s="30" t="s">
        <v>924</v>
      </c>
      <c r="J95" s="31" t="s">
        <v>925</v>
      </c>
      <c r="K95" s="22" t="s">
        <v>36</v>
      </c>
      <c r="L95" s="35"/>
      <c r="M95" s="25" t="s">
        <v>88</v>
      </c>
      <c r="N95" s="22" t="s">
        <v>56</v>
      </c>
      <c r="O95" s="22" t="s">
        <v>42</v>
      </c>
      <c r="P95" s="26"/>
      <c r="Q95" s="22" t="s">
        <v>44</v>
      </c>
      <c r="R95" s="33" t="s">
        <v>68</v>
      </c>
      <c r="S95" s="40"/>
      <c r="T95" s="28"/>
      <c r="U95" s="34"/>
      <c r="V95" s="26">
        <v>5.0</v>
      </c>
    </row>
    <row r="96" hidden="1">
      <c r="A96" s="17">
        <v>95.0</v>
      </c>
      <c r="B96" s="71">
        <v>46030.0</v>
      </c>
      <c r="C96" s="22" t="s">
        <v>21</v>
      </c>
      <c r="D96" s="22" t="s">
        <v>24</v>
      </c>
      <c r="E96" s="24" t="s">
        <v>934</v>
      </c>
      <c r="F96" s="17">
        <v>5.66657944E8</v>
      </c>
      <c r="G96" s="24" t="s">
        <v>41</v>
      </c>
      <c r="H96" s="22" t="s">
        <v>222</v>
      </c>
      <c r="I96" s="30" t="s">
        <v>935</v>
      </c>
      <c r="J96" s="31" t="s">
        <v>123</v>
      </c>
      <c r="K96" s="22" t="s">
        <v>39</v>
      </c>
      <c r="L96" s="35"/>
      <c r="M96" s="25" t="s">
        <v>38</v>
      </c>
      <c r="N96" s="22" t="s">
        <v>56</v>
      </c>
      <c r="O96" s="22" t="s">
        <v>42</v>
      </c>
      <c r="P96" s="26"/>
      <c r="Q96" s="22" t="s">
        <v>49</v>
      </c>
      <c r="R96" s="33" t="s">
        <v>46</v>
      </c>
      <c r="S96" s="40"/>
      <c r="T96" s="28"/>
      <c r="U96" s="34"/>
      <c r="V96" s="26">
        <v>5.0</v>
      </c>
    </row>
    <row r="97" hidden="1">
      <c r="A97" s="17">
        <v>96.0</v>
      </c>
      <c r="B97" s="87">
        <v>46030.0</v>
      </c>
      <c r="C97" s="22" t="s">
        <v>58</v>
      </c>
      <c r="D97" s="22" t="s">
        <v>84</v>
      </c>
      <c r="E97" s="24" t="s">
        <v>176</v>
      </c>
      <c r="F97" s="22">
        <v>5.04474217E8</v>
      </c>
      <c r="G97" s="24" t="s">
        <v>79</v>
      </c>
      <c r="H97" s="22" t="s">
        <v>638</v>
      </c>
      <c r="I97" s="30" t="s">
        <v>945</v>
      </c>
      <c r="J97" s="31" t="s">
        <v>946</v>
      </c>
      <c r="K97" s="22" t="s">
        <v>36</v>
      </c>
      <c r="L97" s="35"/>
      <c r="M97" s="42" t="s">
        <v>88</v>
      </c>
      <c r="N97" s="22" t="s">
        <v>56</v>
      </c>
      <c r="O97" s="22" t="s">
        <v>42</v>
      </c>
      <c r="P97" s="26"/>
      <c r="Q97" s="22" t="s">
        <v>44</v>
      </c>
      <c r="R97" s="33" t="s">
        <v>68</v>
      </c>
      <c r="S97" s="40"/>
      <c r="T97" s="28"/>
      <c r="U97" s="34"/>
      <c r="V97" s="26">
        <v>5.0</v>
      </c>
    </row>
    <row r="98" hidden="1">
      <c r="A98" s="17">
        <v>97.0</v>
      </c>
      <c r="B98" s="71">
        <v>46030.0</v>
      </c>
      <c r="C98" s="22" t="s">
        <v>21</v>
      </c>
      <c r="D98" s="22" t="s">
        <v>22</v>
      </c>
      <c r="E98" s="24" t="s">
        <v>959</v>
      </c>
      <c r="F98" s="17">
        <v>5.55792729E8</v>
      </c>
      <c r="G98" s="24" t="s">
        <v>41</v>
      </c>
      <c r="H98" s="22" t="s">
        <v>27</v>
      </c>
      <c r="I98" s="30" t="s">
        <v>960</v>
      </c>
      <c r="J98" s="31" t="s">
        <v>123</v>
      </c>
      <c r="K98" s="22" t="s">
        <v>39</v>
      </c>
      <c r="L98" s="35"/>
      <c r="M98" s="38" t="s">
        <v>125</v>
      </c>
      <c r="N98" s="22" t="s">
        <v>56</v>
      </c>
      <c r="O98" s="22" t="s">
        <v>42</v>
      </c>
      <c r="P98" s="26"/>
      <c r="Q98" s="22" t="s">
        <v>49</v>
      </c>
      <c r="R98" s="33" t="s">
        <v>68</v>
      </c>
      <c r="S98" s="40"/>
      <c r="T98" s="28"/>
      <c r="U98" s="34"/>
      <c r="V98" s="26">
        <v>5.0</v>
      </c>
    </row>
    <row r="99" hidden="1">
      <c r="A99" s="17">
        <v>98.0</v>
      </c>
      <c r="B99" s="71">
        <v>46030.0</v>
      </c>
      <c r="C99" s="22" t="s">
        <v>58</v>
      </c>
      <c r="D99" s="22" t="s">
        <v>84</v>
      </c>
      <c r="E99" s="17" t="s">
        <v>27</v>
      </c>
      <c r="F99" s="17">
        <v>5.81510915E8</v>
      </c>
      <c r="G99" s="24" t="s">
        <v>112</v>
      </c>
      <c r="H99" s="22" t="s">
        <v>27</v>
      </c>
      <c r="I99" s="30" t="s">
        <v>484</v>
      </c>
      <c r="J99" s="31" t="s">
        <v>969</v>
      </c>
      <c r="K99" s="22" t="s">
        <v>36</v>
      </c>
      <c r="L99" s="35"/>
      <c r="M99" s="42" t="s">
        <v>88</v>
      </c>
      <c r="N99" s="22" t="s">
        <v>56</v>
      </c>
      <c r="O99" s="22" t="s">
        <v>42</v>
      </c>
      <c r="P99" s="26"/>
      <c r="Q99" s="22" t="s">
        <v>44</v>
      </c>
      <c r="R99" s="33" t="s">
        <v>68</v>
      </c>
      <c r="S99" s="40"/>
      <c r="T99" s="28"/>
      <c r="U99" s="34"/>
      <c r="V99" s="26">
        <v>5.0</v>
      </c>
    </row>
    <row r="100" hidden="1">
      <c r="A100" s="17">
        <v>99.0</v>
      </c>
      <c r="B100" s="71">
        <v>46030.0</v>
      </c>
      <c r="C100" s="22" t="s">
        <v>21</v>
      </c>
      <c r="D100" s="22" t="s">
        <v>22</v>
      </c>
      <c r="E100" s="24" t="s">
        <v>976</v>
      </c>
      <c r="F100" s="17">
        <v>5.44041192E8</v>
      </c>
      <c r="G100" s="31" t="s">
        <v>120</v>
      </c>
      <c r="H100" s="22" t="s">
        <v>27</v>
      </c>
      <c r="I100" s="30" t="s">
        <v>979</v>
      </c>
      <c r="J100" s="31" t="s">
        <v>123</v>
      </c>
      <c r="K100" s="22" t="s">
        <v>36</v>
      </c>
      <c r="L100" s="35"/>
      <c r="M100" s="38" t="s">
        <v>125</v>
      </c>
      <c r="N100" s="22" t="s">
        <v>40</v>
      </c>
      <c r="O100" s="22" t="s">
        <v>42</v>
      </c>
      <c r="P100" s="26"/>
      <c r="Q100" s="22" t="s">
        <v>44</v>
      </c>
      <c r="R100" s="33" t="s">
        <v>68</v>
      </c>
      <c r="S100" s="40"/>
      <c r="T100" s="28"/>
      <c r="U100" s="34"/>
      <c r="V100" s="26">
        <v>5.0</v>
      </c>
    </row>
    <row r="101" hidden="1">
      <c r="A101" s="17">
        <v>100.0</v>
      </c>
      <c r="B101" s="71">
        <v>46030.0</v>
      </c>
      <c r="C101" s="22" t="s">
        <v>58</v>
      </c>
      <c r="D101" s="22" t="s">
        <v>57</v>
      </c>
      <c r="E101" s="17" t="s">
        <v>27</v>
      </c>
      <c r="F101" s="17">
        <v>5.38431263E8</v>
      </c>
      <c r="G101" s="31" t="s">
        <v>120</v>
      </c>
      <c r="H101" s="22" t="s">
        <v>27</v>
      </c>
      <c r="I101" s="30" t="s">
        <v>924</v>
      </c>
      <c r="J101" s="31" t="s">
        <v>925</v>
      </c>
      <c r="K101" s="22" t="s">
        <v>36</v>
      </c>
      <c r="L101" s="35"/>
      <c r="M101" s="25" t="s">
        <v>88</v>
      </c>
      <c r="N101" s="22" t="s">
        <v>56</v>
      </c>
      <c r="O101" s="22" t="s">
        <v>42</v>
      </c>
      <c r="P101" s="26"/>
      <c r="Q101" s="22" t="s">
        <v>44</v>
      </c>
      <c r="R101" s="33" t="s">
        <v>68</v>
      </c>
      <c r="S101" s="40"/>
      <c r="T101" s="28"/>
      <c r="U101" s="34"/>
      <c r="V101" s="26">
        <v>5.0</v>
      </c>
    </row>
    <row r="102" hidden="1">
      <c r="A102" s="17">
        <v>101.0</v>
      </c>
      <c r="B102" s="71">
        <v>46030.0</v>
      </c>
      <c r="C102" s="22" t="s">
        <v>21</v>
      </c>
      <c r="D102" s="22" t="s">
        <v>66</v>
      </c>
      <c r="E102" s="24" t="s">
        <v>990</v>
      </c>
      <c r="F102" s="17">
        <v>5.69832865E8</v>
      </c>
      <c r="G102" s="31" t="s">
        <v>120</v>
      </c>
      <c r="H102" s="22" t="s">
        <v>27</v>
      </c>
      <c r="I102" s="30" t="s">
        <v>991</v>
      </c>
      <c r="J102" s="31" t="s">
        <v>992</v>
      </c>
      <c r="K102" s="22" t="s">
        <v>36</v>
      </c>
      <c r="L102" s="35"/>
      <c r="M102" s="25" t="s">
        <v>38</v>
      </c>
      <c r="N102" s="22" t="s">
        <v>56</v>
      </c>
      <c r="O102" s="22" t="s">
        <v>42</v>
      </c>
      <c r="P102" s="26"/>
      <c r="Q102" s="22" t="s">
        <v>44</v>
      </c>
      <c r="R102" s="33" t="s">
        <v>68</v>
      </c>
      <c r="S102" s="40"/>
      <c r="T102" s="28"/>
      <c r="U102" s="34"/>
      <c r="V102" s="26">
        <v>5.0</v>
      </c>
    </row>
    <row r="103">
      <c r="A103" s="17">
        <v>102.0</v>
      </c>
      <c r="B103" s="71">
        <v>46030.0</v>
      </c>
      <c r="C103" s="17" t="s">
        <v>47</v>
      </c>
      <c r="D103" s="17" t="s">
        <v>48</v>
      </c>
      <c r="E103" s="24" t="s">
        <v>995</v>
      </c>
      <c r="F103" s="17">
        <v>5.51761423E8</v>
      </c>
      <c r="G103" s="24" t="s">
        <v>41</v>
      </c>
      <c r="H103" s="17" t="s">
        <v>791</v>
      </c>
      <c r="I103" s="30" t="s">
        <v>1000</v>
      </c>
      <c r="J103" s="24" t="s">
        <v>1001</v>
      </c>
      <c r="K103" s="17" t="s">
        <v>36</v>
      </c>
      <c r="L103" s="35"/>
      <c r="M103" s="20" t="s">
        <v>342</v>
      </c>
      <c r="N103" s="17" t="s">
        <v>56</v>
      </c>
      <c r="O103" s="17"/>
      <c r="P103" s="26"/>
      <c r="Q103" s="17" t="s">
        <v>44</v>
      </c>
      <c r="R103" s="39" t="s">
        <v>46</v>
      </c>
      <c r="S103" s="40"/>
      <c r="T103" s="28"/>
      <c r="U103" s="34"/>
      <c r="V103" s="26">
        <v>5.0</v>
      </c>
    </row>
    <row r="104" hidden="1">
      <c r="A104" s="17">
        <v>103.0</v>
      </c>
      <c r="B104" s="71">
        <v>46030.0</v>
      </c>
      <c r="C104" s="22" t="s">
        <v>21</v>
      </c>
      <c r="D104" s="22" t="s">
        <v>92</v>
      </c>
      <c r="E104" s="24" t="s">
        <v>449</v>
      </c>
      <c r="F104" s="17">
        <v>5.33675118E8</v>
      </c>
      <c r="G104" s="24" t="s">
        <v>41</v>
      </c>
      <c r="H104" s="22" t="s">
        <v>27</v>
      </c>
      <c r="I104" s="30" t="s">
        <v>1007</v>
      </c>
      <c r="J104" s="31" t="s">
        <v>1009</v>
      </c>
      <c r="K104" s="22" t="s">
        <v>36</v>
      </c>
      <c r="L104" s="88">
        <v>0.46875</v>
      </c>
      <c r="M104" s="82" t="s">
        <v>208</v>
      </c>
      <c r="N104" s="22" t="s">
        <v>56</v>
      </c>
      <c r="O104" s="22" t="s">
        <v>42</v>
      </c>
      <c r="P104" s="26"/>
      <c r="Q104" s="22" t="s">
        <v>44</v>
      </c>
      <c r="R104" s="33" t="s">
        <v>68</v>
      </c>
      <c r="S104" s="40"/>
      <c r="T104" s="28"/>
      <c r="U104" s="89" t="s">
        <v>44</v>
      </c>
      <c r="V104" s="26">
        <v>5.0</v>
      </c>
    </row>
    <row r="105" hidden="1">
      <c r="A105" s="17">
        <v>104.0</v>
      </c>
      <c r="B105" s="71">
        <v>46030.0</v>
      </c>
      <c r="C105" s="22" t="s">
        <v>21</v>
      </c>
      <c r="D105" s="22" t="s">
        <v>66</v>
      </c>
      <c r="E105" s="24" t="s">
        <v>1016</v>
      </c>
      <c r="F105" s="17">
        <v>5.3230693E8</v>
      </c>
      <c r="G105" s="31" t="s">
        <v>71</v>
      </c>
      <c r="H105" s="22" t="s">
        <v>27</v>
      </c>
      <c r="I105" s="30" t="s">
        <v>1018</v>
      </c>
      <c r="J105" s="31" t="s">
        <v>992</v>
      </c>
      <c r="K105" s="22" t="s">
        <v>36</v>
      </c>
      <c r="L105" s="35"/>
      <c r="M105" s="25" t="s">
        <v>38</v>
      </c>
      <c r="N105" s="22" t="s">
        <v>56</v>
      </c>
      <c r="O105" s="22" t="s">
        <v>42</v>
      </c>
      <c r="P105" s="26"/>
      <c r="Q105" s="22" t="s">
        <v>49</v>
      </c>
      <c r="R105" s="33" t="s">
        <v>68</v>
      </c>
      <c r="S105" s="40"/>
      <c r="T105" s="28"/>
      <c r="U105" s="34"/>
      <c r="V105" s="26">
        <v>5.0</v>
      </c>
    </row>
    <row r="106" hidden="1">
      <c r="A106" s="17">
        <v>105.0</v>
      </c>
      <c r="B106" s="71">
        <v>46030.0</v>
      </c>
      <c r="C106" s="22" t="s">
        <v>58</v>
      </c>
      <c r="D106" s="22" t="s">
        <v>57</v>
      </c>
      <c r="E106" s="17" t="s">
        <v>27</v>
      </c>
      <c r="F106" s="17">
        <v>5.54344044E8</v>
      </c>
      <c r="G106" s="31" t="s">
        <v>120</v>
      </c>
      <c r="H106" s="22" t="s">
        <v>27</v>
      </c>
      <c r="I106" s="30" t="s">
        <v>924</v>
      </c>
      <c r="J106" s="31" t="s">
        <v>925</v>
      </c>
      <c r="K106" s="22" t="s">
        <v>36</v>
      </c>
      <c r="L106" s="35"/>
      <c r="M106" s="25" t="s">
        <v>88</v>
      </c>
      <c r="N106" s="22" t="s">
        <v>56</v>
      </c>
      <c r="O106" s="22" t="s">
        <v>42</v>
      </c>
      <c r="P106" s="26"/>
      <c r="Q106" s="22" t="s">
        <v>44</v>
      </c>
      <c r="R106" s="33" t="s">
        <v>68</v>
      </c>
      <c r="S106" s="40"/>
      <c r="T106" s="28"/>
      <c r="U106" s="34"/>
      <c r="V106" s="26">
        <v>5.0</v>
      </c>
    </row>
    <row r="107" hidden="1">
      <c r="A107" s="17">
        <v>106.0</v>
      </c>
      <c r="B107" s="71">
        <v>46030.0</v>
      </c>
      <c r="C107" s="22" t="s">
        <v>58</v>
      </c>
      <c r="D107" s="22" t="s">
        <v>57</v>
      </c>
      <c r="E107" s="17" t="s">
        <v>27</v>
      </c>
      <c r="F107" s="17">
        <v>5.50246244E8</v>
      </c>
      <c r="G107" s="31" t="s">
        <v>120</v>
      </c>
      <c r="H107" s="22" t="s">
        <v>27</v>
      </c>
      <c r="I107" s="30" t="s">
        <v>924</v>
      </c>
      <c r="J107" s="31" t="s">
        <v>925</v>
      </c>
      <c r="K107" s="22" t="s">
        <v>36</v>
      </c>
      <c r="L107" s="35"/>
      <c r="M107" s="25" t="s">
        <v>88</v>
      </c>
      <c r="N107" s="22" t="s">
        <v>56</v>
      </c>
      <c r="O107" s="22" t="s">
        <v>42</v>
      </c>
      <c r="P107" s="26"/>
      <c r="Q107" s="22" t="s">
        <v>44</v>
      </c>
      <c r="R107" s="33" t="s">
        <v>68</v>
      </c>
      <c r="S107" s="40"/>
      <c r="T107" s="28"/>
      <c r="U107" s="34"/>
      <c r="V107" s="26">
        <v>5.0</v>
      </c>
    </row>
    <row r="108" hidden="1">
      <c r="A108" s="17">
        <v>107.0</v>
      </c>
      <c r="B108" s="71">
        <v>46030.0</v>
      </c>
      <c r="C108" s="22" t="s">
        <v>58</v>
      </c>
      <c r="D108" s="22" t="s">
        <v>57</v>
      </c>
      <c r="E108" s="17" t="s">
        <v>27</v>
      </c>
      <c r="F108" s="17">
        <v>5.9663405E8</v>
      </c>
      <c r="G108" s="31" t="s">
        <v>120</v>
      </c>
      <c r="H108" s="22" t="s">
        <v>27</v>
      </c>
      <c r="I108" s="30" t="s">
        <v>924</v>
      </c>
      <c r="J108" s="31" t="s">
        <v>925</v>
      </c>
      <c r="K108" s="22" t="s">
        <v>36</v>
      </c>
      <c r="L108" s="35"/>
      <c r="M108" s="25" t="s">
        <v>88</v>
      </c>
      <c r="N108" s="22" t="s">
        <v>56</v>
      </c>
      <c r="O108" s="22" t="s">
        <v>42</v>
      </c>
      <c r="P108" s="26"/>
      <c r="Q108" s="22" t="s">
        <v>44</v>
      </c>
      <c r="R108" s="33" t="s">
        <v>68</v>
      </c>
      <c r="S108" s="40"/>
      <c r="T108" s="28"/>
      <c r="U108" s="34"/>
      <c r="V108" s="26">
        <v>5.0</v>
      </c>
    </row>
    <row r="109" hidden="1">
      <c r="A109" s="17">
        <v>108.0</v>
      </c>
      <c r="B109" s="71">
        <v>46030.0</v>
      </c>
      <c r="C109" s="22" t="s">
        <v>58</v>
      </c>
      <c r="D109" s="22" t="s">
        <v>84</v>
      </c>
      <c r="E109" s="17" t="s">
        <v>27</v>
      </c>
      <c r="F109" s="17">
        <v>5.96877099E8</v>
      </c>
      <c r="G109" s="31" t="s">
        <v>120</v>
      </c>
      <c r="H109" s="22" t="s">
        <v>27</v>
      </c>
      <c r="I109" s="30" t="s">
        <v>1042</v>
      </c>
      <c r="J109" s="31" t="s">
        <v>1043</v>
      </c>
      <c r="K109" s="22" t="s">
        <v>36</v>
      </c>
      <c r="L109" s="35"/>
      <c r="M109" s="42" t="s">
        <v>88</v>
      </c>
      <c r="N109" s="22" t="s">
        <v>56</v>
      </c>
      <c r="O109" s="22" t="s">
        <v>42</v>
      </c>
      <c r="P109" s="26"/>
      <c r="Q109" s="22" t="s">
        <v>44</v>
      </c>
      <c r="R109" s="33" t="s">
        <v>68</v>
      </c>
      <c r="S109" s="40"/>
      <c r="T109" s="28"/>
      <c r="U109" s="34"/>
      <c r="V109" s="26">
        <v>5.0</v>
      </c>
    </row>
    <row r="110">
      <c r="A110" s="17">
        <v>109.0</v>
      </c>
      <c r="B110" s="71">
        <v>46030.0</v>
      </c>
      <c r="C110" s="22" t="s">
        <v>47</v>
      </c>
      <c r="D110" s="22" t="s">
        <v>138</v>
      </c>
      <c r="E110" s="17" t="s">
        <v>27</v>
      </c>
      <c r="F110" s="17">
        <v>5.32136253E8</v>
      </c>
      <c r="G110" s="24" t="s">
        <v>28</v>
      </c>
      <c r="H110" s="22" t="s">
        <v>830</v>
      </c>
      <c r="I110" s="30" t="s">
        <v>1049</v>
      </c>
      <c r="J110" s="24" t="s">
        <v>1050</v>
      </c>
      <c r="K110" s="22" t="s">
        <v>36</v>
      </c>
      <c r="L110" s="35"/>
      <c r="M110" s="20" t="s">
        <v>1051</v>
      </c>
      <c r="N110" s="17" t="s">
        <v>56</v>
      </c>
      <c r="O110" s="22"/>
      <c r="P110" s="26"/>
      <c r="Q110" s="22" t="s">
        <v>44</v>
      </c>
      <c r="R110" s="33" t="s">
        <v>46</v>
      </c>
      <c r="S110" s="40"/>
      <c r="T110" s="28"/>
      <c r="U110" s="34"/>
      <c r="V110" s="26">
        <v>5.0</v>
      </c>
    </row>
    <row r="111" hidden="1">
      <c r="A111" s="17">
        <v>110.0</v>
      </c>
      <c r="B111" s="71">
        <v>46030.0</v>
      </c>
      <c r="C111" s="22" t="s">
        <v>58</v>
      </c>
      <c r="D111" s="22" t="s">
        <v>84</v>
      </c>
      <c r="E111" s="17" t="s">
        <v>27</v>
      </c>
      <c r="F111" s="17">
        <v>5.55664058E8</v>
      </c>
      <c r="G111" s="31" t="s">
        <v>120</v>
      </c>
      <c r="H111" s="22" t="s">
        <v>27</v>
      </c>
      <c r="I111" s="30" t="s">
        <v>1042</v>
      </c>
      <c r="J111" s="31" t="s">
        <v>1043</v>
      </c>
      <c r="K111" s="22" t="s">
        <v>36</v>
      </c>
      <c r="L111" s="35"/>
      <c r="M111" s="42" t="s">
        <v>88</v>
      </c>
      <c r="N111" s="22" t="s">
        <v>56</v>
      </c>
      <c r="O111" s="22" t="s">
        <v>42</v>
      </c>
      <c r="P111" s="26"/>
      <c r="Q111" s="22" t="s">
        <v>44</v>
      </c>
      <c r="R111" s="33" t="s">
        <v>68</v>
      </c>
      <c r="S111" s="40"/>
      <c r="T111" s="28"/>
      <c r="U111" s="34"/>
      <c r="V111" s="26">
        <v>5.0</v>
      </c>
    </row>
    <row r="112" hidden="1">
      <c r="A112" s="17">
        <v>111.0</v>
      </c>
      <c r="B112" s="71">
        <v>46033.0</v>
      </c>
      <c r="C112" s="22" t="s">
        <v>21</v>
      </c>
      <c r="D112" s="22" t="s">
        <v>24</v>
      </c>
      <c r="E112" s="24" t="s">
        <v>934</v>
      </c>
      <c r="F112" s="17">
        <v>5.01591188E8</v>
      </c>
      <c r="G112" s="24" t="s">
        <v>41</v>
      </c>
      <c r="H112" s="22" t="s">
        <v>222</v>
      </c>
      <c r="I112" s="30" t="s">
        <v>1066</v>
      </c>
      <c r="J112" s="31" t="s">
        <v>123</v>
      </c>
      <c r="K112" s="22" t="s">
        <v>36</v>
      </c>
      <c r="L112" s="35"/>
      <c r="M112" s="25" t="s">
        <v>38</v>
      </c>
      <c r="N112" s="22" t="s">
        <v>56</v>
      </c>
      <c r="O112" s="22" t="s">
        <v>42</v>
      </c>
      <c r="P112" s="26"/>
      <c r="Q112" s="22" t="s">
        <v>44</v>
      </c>
      <c r="R112" s="33" t="s">
        <v>46</v>
      </c>
      <c r="S112" s="40"/>
      <c r="T112" s="28"/>
      <c r="U112" s="34"/>
      <c r="V112" s="26">
        <v>5.0</v>
      </c>
    </row>
    <row r="113" hidden="1">
      <c r="A113" s="17">
        <v>112.0</v>
      </c>
      <c r="B113" s="71">
        <v>46033.0</v>
      </c>
      <c r="C113" s="22" t="s">
        <v>58</v>
      </c>
      <c r="D113" s="22" t="s">
        <v>84</v>
      </c>
      <c r="E113" s="17" t="s">
        <v>27</v>
      </c>
      <c r="F113" s="17">
        <v>5.00652668E8</v>
      </c>
      <c r="G113" s="24" t="s">
        <v>112</v>
      </c>
      <c r="H113" s="22" t="s">
        <v>27</v>
      </c>
      <c r="I113" s="30" t="s">
        <v>1074</v>
      </c>
      <c r="J113" s="31" t="s">
        <v>969</v>
      </c>
      <c r="K113" s="22" t="s">
        <v>36</v>
      </c>
      <c r="L113" s="35"/>
      <c r="M113" s="42" t="s">
        <v>88</v>
      </c>
      <c r="N113" s="22" t="s">
        <v>56</v>
      </c>
      <c r="O113" s="22" t="s">
        <v>42</v>
      </c>
      <c r="P113" s="26"/>
      <c r="Q113" s="22" t="s">
        <v>44</v>
      </c>
      <c r="R113" s="33" t="s">
        <v>68</v>
      </c>
      <c r="S113" s="40"/>
      <c r="T113" s="28"/>
      <c r="U113" s="34"/>
      <c r="V113" s="26">
        <v>5.0</v>
      </c>
    </row>
    <row r="114">
      <c r="A114" s="17">
        <v>113.0</v>
      </c>
      <c r="B114" s="71">
        <v>46033.0</v>
      </c>
      <c r="C114" s="17" t="s">
        <v>47</v>
      </c>
      <c r="D114" s="17" t="s">
        <v>48</v>
      </c>
      <c r="E114" s="24" t="s">
        <v>1082</v>
      </c>
      <c r="F114" s="17">
        <v>5.63916191E8</v>
      </c>
      <c r="G114" s="24" t="s">
        <v>41</v>
      </c>
      <c r="H114" s="17" t="s">
        <v>222</v>
      </c>
      <c r="I114" s="30" t="s">
        <v>1083</v>
      </c>
      <c r="J114" s="24" t="s">
        <v>1084</v>
      </c>
      <c r="K114" s="17" t="s">
        <v>36</v>
      </c>
      <c r="L114" s="35"/>
      <c r="M114" s="75" t="s">
        <v>555</v>
      </c>
      <c r="N114" s="17" t="s">
        <v>56</v>
      </c>
      <c r="O114" s="17"/>
      <c r="P114" s="26"/>
      <c r="Q114" s="17" t="s">
        <v>44</v>
      </c>
      <c r="R114" s="39" t="s">
        <v>46</v>
      </c>
      <c r="S114" s="40"/>
      <c r="T114" s="28"/>
      <c r="U114" s="34"/>
      <c r="V114" s="26">
        <v>5.0</v>
      </c>
    </row>
    <row r="115" hidden="1">
      <c r="A115" s="17">
        <v>114.0</v>
      </c>
      <c r="B115" s="71">
        <v>46033.0</v>
      </c>
      <c r="C115" s="22" t="s">
        <v>21</v>
      </c>
      <c r="D115" s="22" t="s">
        <v>22</v>
      </c>
      <c r="E115" s="24" t="s">
        <v>1093</v>
      </c>
      <c r="F115" s="22">
        <v>5.33876287E8</v>
      </c>
      <c r="G115" s="24" t="s">
        <v>76</v>
      </c>
      <c r="H115" s="22" t="s">
        <v>27</v>
      </c>
      <c r="I115" s="30" t="s">
        <v>1094</v>
      </c>
      <c r="J115" s="31" t="s">
        <v>123</v>
      </c>
      <c r="K115" s="22" t="s">
        <v>36</v>
      </c>
      <c r="L115" s="35"/>
      <c r="M115" s="38" t="s">
        <v>125</v>
      </c>
      <c r="N115" s="22" t="s">
        <v>40</v>
      </c>
      <c r="O115" s="22" t="s">
        <v>42</v>
      </c>
      <c r="P115" s="26"/>
      <c r="Q115" s="22" t="s">
        <v>44</v>
      </c>
      <c r="R115" s="33" t="s">
        <v>68</v>
      </c>
      <c r="S115" s="40"/>
      <c r="T115" s="28"/>
      <c r="U115" s="34"/>
      <c r="V115" s="26">
        <v>5.0</v>
      </c>
    </row>
    <row r="116">
      <c r="A116" s="17">
        <v>115.0</v>
      </c>
      <c r="B116" s="71">
        <v>46033.0</v>
      </c>
      <c r="C116" s="17" t="s">
        <v>47</v>
      </c>
      <c r="D116" s="17" t="s">
        <v>48</v>
      </c>
      <c r="E116" s="24" t="s">
        <v>1103</v>
      </c>
      <c r="F116" s="17">
        <v>5.00618632E8</v>
      </c>
      <c r="G116" s="24" t="s">
        <v>41</v>
      </c>
      <c r="H116" s="17" t="s">
        <v>52</v>
      </c>
      <c r="I116" s="30" t="s">
        <v>1105</v>
      </c>
      <c r="J116" s="24" t="s">
        <v>1106</v>
      </c>
      <c r="K116" s="17" t="s">
        <v>36</v>
      </c>
      <c r="L116" s="35"/>
      <c r="M116" s="20" t="s">
        <v>662</v>
      </c>
      <c r="N116" s="17" t="s">
        <v>56</v>
      </c>
      <c r="O116" s="17"/>
      <c r="P116" s="26"/>
      <c r="Q116" s="17" t="s">
        <v>44</v>
      </c>
      <c r="R116" s="39" t="s">
        <v>46</v>
      </c>
      <c r="S116" s="40"/>
      <c r="T116" s="28"/>
      <c r="U116" s="34"/>
      <c r="V116" s="26">
        <v>5.0</v>
      </c>
    </row>
    <row r="117">
      <c r="A117" s="17">
        <v>116.0</v>
      </c>
      <c r="B117" s="71">
        <v>46033.0</v>
      </c>
      <c r="C117" s="17" t="s">
        <v>47</v>
      </c>
      <c r="D117" s="17" t="s">
        <v>367</v>
      </c>
      <c r="E117" s="24" t="s">
        <v>1112</v>
      </c>
      <c r="F117" s="17" t="s">
        <v>27</v>
      </c>
      <c r="G117" s="24" t="s">
        <v>333</v>
      </c>
      <c r="H117" s="17" t="s">
        <v>1114</v>
      </c>
      <c r="I117" s="30" t="s">
        <v>1115</v>
      </c>
      <c r="J117" s="24" t="s">
        <v>1116</v>
      </c>
      <c r="K117" s="17" t="s">
        <v>78</v>
      </c>
      <c r="L117" s="35"/>
      <c r="M117" s="25" t="s">
        <v>55</v>
      </c>
      <c r="N117" s="17" t="s">
        <v>56</v>
      </c>
      <c r="O117" s="17"/>
      <c r="P117" s="26"/>
      <c r="Q117" s="17" t="s">
        <v>44</v>
      </c>
      <c r="R117" s="39" t="s">
        <v>46</v>
      </c>
      <c r="S117" s="40"/>
      <c r="T117" s="28"/>
      <c r="U117" s="34"/>
      <c r="V117" s="26">
        <v>5.0</v>
      </c>
    </row>
    <row r="118">
      <c r="A118" s="17">
        <v>117.0</v>
      </c>
      <c r="B118" s="71">
        <v>46033.0</v>
      </c>
      <c r="C118" s="17" t="s">
        <v>47</v>
      </c>
      <c r="D118" s="17" t="s">
        <v>367</v>
      </c>
      <c r="E118" s="24" t="s">
        <v>1122</v>
      </c>
      <c r="F118" s="17" t="s">
        <v>27</v>
      </c>
      <c r="G118" s="24" t="s">
        <v>28</v>
      </c>
      <c r="H118" s="17" t="s">
        <v>548</v>
      </c>
      <c r="I118" s="30" t="s">
        <v>1124</v>
      </c>
      <c r="J118" s="24" t="s">
        <v>787</v>
      </c>
      <c r="K118" s="17" t="s">
        <v>78</v>
      </c>
      <c r="L118" s="35">
        <v>0.5208333333333334</v>
      </c>
      <c r="M118" s="25" t="s">
        <v>55</v>
      </c>
      <c r="N118" s="22" t="s">
        <v>56</v>
      </c>
      <c r="O118" s="17"/>
      <c r="P118" s="26"/>
      <c r="Q118" s="17" t="s">
        <v>44</v>
      </c>
      <c r="R118" s="39" t="s">
        <v>46</v>
      </c>
      <c r="S118" s="40"/>
      <c r="T118" s="28"/>
      <c r="U118" s="34"/>
      <c r="V118" s="26">
        <v>5.0</v>
      </c>
    </row>
    <row r="119">
      <c r="A119" s="17">
        <v>118.0</v>
      </c>
      <c r="B119" s="71">
        <v>46033.0</v>
      </c>
      <c r="C119" s="17" t="s">
        <v>47</v>
      </c>
      <c r="D119" s="17" t="s">
        <v>48</v>
      </c>
      <c r="E119" s="24" t="s">
        <v>1128</v>
      </c>
      <c r="F119" s="17" t="s">
        <v>27</v>
      </c>
      <c r="G119" s="31" t="s">
        <v>120</v>
      </c>
      <c r="H119" s="17" t="s">
        <v>272</v>
      </c>
      <c r="I119" s="30" t="s">
        <v>1130</v>
      </c>
      <c r="J119" s="24" t="s">
        <v>1131</v>
      </c>
      <c r="K119" s="17" t="s">
        <v>78</v>
      </c>
      <c r="L119" s="35"/>
      <c r="M119" s="94" t="s">
        <v>1134</v>
      </c>
      <c r="N119" s="17" t="s">
        <v>56</v>
      </c>
      <c r="O119" s="17"/>
      <c r="P119" s="26"/>
      <c r="Q119" s="17" t="s">
        <v>44</v>
      </c>
      <c r="R119" s="39" t="s">
        <v>46</v>
      </c>
      <c r="S119" s="40"/>
      <c r="T119" s="28"/>
      <c r="U119" s="34"/>
      <c r="V119" s="26">
        <v>5.0</v>
      </c>
    </row>
    <row r="120" ht="24.75" hidden="1" customHeight="1">
      <c r="A120" s="17">
        <v>119.0</v>
      </c>
      <c r="B120" s="71">
        <v>46033.0</v>
      </c>
      <c r="C120" s="22" t="s">
        <v>21</v>
      </c>
      <c r="D120" s="22" t="s">
        <v>24</v>
      </c>
      <c r="E120" s="24" t="s">
        <v>1139</v>
      </c>
      <c r="F120" s="17">
        <v>5.99900033E8</v>
      </c>
      <c r="G120" s="24" t="s">
        <v>41</v>
      </c>
      <c r="H120" s="22" t="s">
        <v>27</v>
      </c>
      <c r="I120" s="30" t="s">
        <v>1141</v>
      </c>
      <c r="J120" s="31" t="s">
        <v>123</v>
      </c>
      <c r="K120" s="22" t="s">
        <v>39</v>
      </c>
      <c r="L120" s="95"/>
      <c r="M120" s="25" t="s">
        <v>38</v>
      </c>
      <c r="N120" s="96" t="s">
        <v>56</v>
      </c>
      <c r="O120" s="96" t="s">
        <v>42</v>
      </c>
      <c r="P120" s="26"/>
      <c r="Q120" s="22" t="s">
        <v>49</v>
      </c>
      <c r="R120" s="33" t="s">
        <v>46</v>
      </c>
      <c r="S120" s="40"/>
      <c r="T120" s="28"/>
      <c r="U120" s="97"/>
      <c r="V120" s="26">
        <v>5.0</v>
      </c>
    </row>
    <row r="121" hidden="1">
      <c r="A121" s="17">
        <v>120.0</v>
      </c>
      <c r="B121" s="71">
        <v>46033.0</v>
      </c>
      <c r="C121" s="22" t="s">
        <v>21</v>
      </c>
      <c r="D121" s="22" t="s">
        <v>24</v>
      </c>
      <c r="E121" s="24" t="s">
        <v>1155</v>
      </c>
      <c r="F121" s="17">
        <v>5.91590616E8</v>
      </c>
      <c r="G121" s="31" t="s">
        <v>71</v>
      </c>
      <c r="H121" s="22" t="s">
        <v>27</v>
      </c>
      <c r="I121" s="30" t="s">
        <v>1157</v>
      </c>
      <c r="J121" s="31" t="s">
        <v>123</v>
      </c>
      <c r="K121" s="22" t="s">
        <v>39</v>
      </c>
      <c r="L121" s="35"/>
      <c r="M121" s="25" t="s">
        <v>38</v>
      </c>
      <c r="N121" s="17" t="s">
        <v>56</v>
      </c>
      <c r="O121" s="17" t="s">
        <v>42</v>
      </c>
      <c r="P121" s="26"/>
      <c r="Q121" s="22" t="s">
        <v>49</v>
      </c>
      <c r="R121" s="33" t="s">
        <v>46</v>
      </c>
      <c r="S121" s="40"/>
      <c r="T121" s="28"/>
      <c r="U121" s="34"/>
      <c r="V121" s="26">
        <v>5.0</v>
      </c>
    </row>
    <row r="122" hidden="1">
      <c r="A122" s="17">
        <v>121.0</v>
      </c>
      <c r="B122" s="71">
        <v>46033.0</v>
      </c>
      <c r="C122" s="22" t="s">
        <v>58</v>
      </c>
      <c r="D122" s="22" t="s">
        <v>84</v>
      </c>
      <c r="E122" s="24" t="s">
        <v>1164</v>
      </c>
      <c r="F122" s="17">
        <v>5.63007667E8</v>
      </c>
      <c r="G122" s="24" t="s">
        <v>79</v>
      </c>
      <c r="H122" s="22" t="s">
        <v>27</v>
      </c>
      <c r="I122" s="30" t="s">
        <v>1167</v>
      </c>
      <c r="J122" s="31" t="s">
        <v>1168</v>
      </c>
      <c r="K122" s="22" t="s">
        <v>36</v>
      </c>
      <c r="L122" s="95"/>
      <c r="M122" s="42" t="s">
        <v>88</v>
      </c>
      <c r="N122" s="96" t="s">
        <v>56</v>
      </c>
      <c r="O122" s="96" t="s">
        <v>42</v>
      </c>
      <c r="P122" s="26"/>
      <c r="Q122" s="22" t="s">
        <v>44</v>
      </c>
      <c r="R122" s="33" t="s">
        <v>68</v>
      </c>
      <c r="S122" s="40"/>
      <c r="T122" s="28"/>
      <c r="U122" s="34"/>
      <c r="V122" s="26">
        <v>5.0</v>
      </c>
    </row>
    <row r="123">
      <c r="A123" s="17">
        <v>122.0</v>
      </c>
      <c r="B123" s="71">
        <v>46033.0</v>
      </c>
      <c r="C123" s="17" t="s">
        <v>47</v>
      </c>
      <c r="D123" s="17" t="s">
        <v>48</v>
      </c>
      <c r="E123" s="24" t="s">
        <v>1173</v>
      </c>
      <c r="F123" s="17" t="s">
        <v>27</v>
      </c>
      <c r="G123" s="24" t="s">
        <v>41</v>
      </c>
      <c r="H123" s="17" t="s">
        <v>222</v>
      </c>
      <c r="I123" s="30" t="s">
        <v>1175</v>
      </c>
      <c r="J123" s="24" t="s">
        <v>1176</v>
      </c>
      <c r="K123" s="17" t="s">
        <v>78</v>
      </c>
      <c r="L123" s="35">
        <v>0.4791666666666667</v>
      </c>
      <c r="M123" s="75" t="s">
        <v>101</v>
      </c>
      <c r="N123" s="17" t="s">
        <v>56</v>
      </c>
      <c r="O123" s="17"/>
      <c r="P123" s="26"/>
      <c r="Q123" s="17" t="s">
        <v>49</v>
      </c>
      <c r="R123" s="39" t="s">
        <v>46</v>
      </c>
      <c r="S123" s="40"/>
      <c r="T123" s="28"/>
      <c r="U123" s="68" t="s">
        <v>44</v>
      </c>
      <c r="V123" s="26">
        <v>5.0</v>
      </c>
    </row>
    <row r="124" hidden="1">
      <c r="A124" s="17">
        <v>123.0</v>
      </c>
      <c r="B124" s="71">
        <v>46033.0</v>
      </c>
      <c r="C124" s="22" t="s">
        <v>58</v>
      </c>
      <c r="D124" s="22" t="s">
        <v>84</v>
      </c>
      <c r="E124" s="24" t="s">
        <v>1185</v>
      </c>
      <c r="F124" s="17">
        <v>5.44877203E8</v>
      </c>
      <c r="G124" s="24" t="s">
        <v>41</v>
      </c>
      <c r="H124" s="22" t="s">
        <v>414</v>
      </c>
      <c r="I124" s="30" t="s">
        <v>1186</v>
      </c>
      <c r="J124" s="31" t="s">
        <v>1187</v>
      </c>
      <c r="K124" s="22" t="s">
        <v>78</v>
      </c>
      <c r="L124" s="95">
        <v>0.4791666666666667</v>
      </c>
      <c r="M124" s="25" t="s">
        <v>38</v>
      </c>
      <c r="N124" s="96" t="s">
        <v>56</v>
      </c>
      <c r="O124" s="96" t="s">
        <v>42</v>
      </c>
      <c r="P124" s="26"/>
      <c r="Q124" s="22" t="s">
        <v>49</v>
      </c>
      <c r="R124" s="33" t="s">
        <v>68</v>
      </c>
      <c r="S124" s="40"/>
      <c r="T124" s="28"/>
      <c r="U124" s="68" t="s">
        <v>44</v>
      </c>
      <c r="V124" s="26">
        <v>5.0</v>
      </c>
    </row>
    <row r="125">
      <c r="A125" s="17">
        <v>124.0</v>
      </c>
      <c r="B125" s="87">
        <v>46033.0</v>
      </c>
      <c r="C125" s="22" t="s">
        <v>47</v>
      </c>
      <c r="D125" s="22" t="s">
        <v>48</v>
      </c>
      <c r="E125" s="98" t="s">
        <v>1197</v>
      </c>
      <c r="F125" s="33">
        <v>5.59903353E8</v>
      </c>
      <c r="G125" s="31" t="s">
        <v>41</v>
      </c>
      <c r="H125" s="22" t="s">
        <v>956</v>
      </c>
      <c r="I125" s="30" t="s">
        <v>1201</v>
      </c>
      <c r="J125" s="30" t="s">
        <v>1202</v>
      </c>
      <c r="K125" s="22" t="s">
        <v>78</v>
      </c>
      <c r="L125" s="35">
        <v>0.4791666666666667</v>
      </c>
      <c r="M125" s="20" t="s">
        <v>1205</v>
      </c>
      <c r="N125" s="17" t="s">
        <v>56</v>
      </c>
      <c r="O125" s="17"/>
      <c r="P125" s="26"/>
      <c r="Q125" s="22" t="s">
        <v>49</v>
      </c>
      <c r="R125" s="33" t="s">
        <v>46</v>
      </c>
      <c r="S125" s="40"/>
      <c r="T125" s="28"/>
      <c r="U125" s="68" t="s">
        <v>44</v>
      </c>
      <c r="V125" s="26">
        <v>5.0</v>
      </c>
    </row>
    <row r="126">
      <c r="A126" s="17">
        <v>125.0</v>
      </c>
      <c r="B126" s="87">
        <v>46033.0</v>
      </c>
      <c r="C126" s="22" t="s">
        <v>47</v>
      </c>
      <c r="D126" s="22" t="s">
        <v>48</v>
      </c>
      <c r="E126" s="99" t="s">
        <v>1208</v>
      </c>
      <c r="F126" s="22" t="s">
        <v>27</v>
      </c>
      <c r="G126" s="31" t="s">
        <v>41</v>
      </c>
      <c r="H126" s="22" t="s">
        <v>222</v>
      </c>
      <c r="I126" s="30" t="s">
        <v>1209</v>
      </c>
      <c r="J126" s="24" t="s">
        <v>1210</v>
      </c>
      <c r="K126" s="22" t="s">
        <v>78</v>
      </c>
      <c r="L126" s="95">
        <v>0.4791666666666667</v>
      </c>
      <c r="M126" s="75" t="s">
        <v>555</v>
      </c>
      <c r="N126" s="17" t="s">
        <v>56</v>
      </c>
      <c r="O126" s="96"/>
      <c r="P126" s="26"/>
      <c r="Q126" s="22" t="s">
        <v>49</v>
      </c>
      <c r="R126" s="33" t="s">
        <v>46</v>
      </c>
      <c r="S126" s="40"/>
      <c r="T126" s="28"/>
      <c r="U126" s="34"/>
      <c r="V126" s="26">
        <v>5.0</v>
      </c>
    </row>
    <row r="127" hidden="1">
      <c r="A127" s="17">
        <v>126.0</v>
      </c>
      <c r="B127" s="71">
        <v>46033.0</v>
      </c>
      <c r="C127" s="22" t="s">
        <v>58</v>
      </c>
      <c r="D127" s="22" t="s">
        <v>84</v>
      </c>
      <c r="E127" s="24" t="s">
        <v>1217</v>
      </c>
      <c r="F127" s="17" t="s">
        <v>27</v>
      </c>
      <c r="G127" s="24" t="s">
        <v>41</v>
      </c>
      <c r="H127" s="22" t="s">
        <v>414</v>
      </c>
      <c r="I127" s="30" t="s">
        <v>1219</v>
      </c>
      <c r="J127" s="31" t="s">
        <v>123</v>
      </c>
      <c r="K127" s="22" t="s">
        <v>78</v>
      </c>
      <c r="L127" s="35">
        <v>0.4791666666666667</v>
      </c>
      <c r="M127" s="25" t="s">
        <v>38</v>
      </c>
      <c r="N127" s="17" t="s">
        <v>56</v>
      </c>
      <c r="O127" s="17" t="s">
        <v>42</v>
      </c>
      <c r="P127" s="26"/>
      <c r="Q127" s="22" t="s">
        <v>49</v>
      </c>
      <c r="R127" s="33" t="s">
        <v>68</v>
      </c>
      <c r="S127" s="40"/>
      <c r="T127" s="28"/>
      <c r="U127" s="68" t="s">
        <v>44</v>
      </c>
      <c r="V127" s="26">
        <v>5.0</v>
      </c>
    </row>
    <row r="128">
      <c r="A128" s="17">
        <v>127.0</v>
      </c>
      <c r="B128" s="71">
        <v>46033.0</v>
      </c>
      <c r="C128" s="17" t="s">
        <v>47</v>
      </c>
      <c r="D128" s="17" t="s">
        <v>48</v>
      </c>
      <c r="E128" s="17" t="s">
        <v>1225</v>
      </c>
      <c r="F128" s="17" t="s">
        <v>27</v>
      </c>
      <c r="G128" s="24" t="s">
        <v>41</v>
      </c>
      <c r="H128" s="17" t="s">
        <v>263</v>
      </c>
      <c r="I128" s="30" t="s">
        <v>1227</v>
      </c>
      <c r="J128" s="24" t="s">
        <v>1228</v>
      </c>
      <c r="K128" s="17" t="s">
        <v>78</v>
      </c>
      <c r="L128" s="95">
        <v>0.4791666666666667</v>
      </c>
      <c r="M128" s="100" t="s">
        <v>55</v>
      </c>
      <c r="N128" s="17" t="s">
        <v>56</v>
      </c>
      <c r="O128" s="17"/>
      <c r="P128" s="26"/>
      <c r="Q128" s="17" t="s">
        <v>49</v>
      </c>
      <c r="R128" s="39" t="s">
        <v>46</v>
      </c>
      <c r="S128" s="40"/>
      <c r="T128" s="28"/>
      <c r="U128" s="68" t="s">
        <v>44</v>
      </c>
      <c r="V128" s="26">
        <v>5.0</v>
      </c>
    </row>
    <row r="129">
      <c r="A129" s="17">
        <v>128.0</v>
      </c>
      <c r="B129" s="71">
        <v>46033.0</v>
      </c>
      <c r="C129" s="17" t="s">
        <v>47</v>
      </c>
      <c r="D129" s="17" t="s">
        <v>138</v>
      </c>
      <c r="E129" s="24" t="s">
        <v>1233</v>
      </c>
      <c r="F129" s="17">
        <v>5.49597976E8</v>
      </c>
      <c r="G129" s="24" t="s">
        <v>41</v>
      </c>
      <c r="H129" s="17" t="s">
        <v>52</v>
      </c>
      <c r="I129" s="30" t="s">
        <v>1236</v>
      </c>
      <c r="J129" s="24" t="s">
        <v>1239</v>
      </c>
      <c r="K129" s="17" t="s">
        <v>148</v>
      </c>
      <c r="L129" s="35"/>
      <c r="M129" s="25" t="s">
        <v>150</v>
      </c>
      <c r="N129" s="17" t="s">
        <v>56</v>
      </c>
      <c r="O129" s="17"/>
      <c r="P129" s="26"/>
      <c r="Q129" s="17" t="s">
        <v>44</v>
      </c>
      <c r="R129" s="39" t="s">
        <v>46</v>
      </c>
      <c r="S129" s="40"/>
      <c r="T129" s="28"/>
      <c r="U129" s="68" t="s">
        <v>44</v>
      </c>
      <c r="V129" s="26">
        <v>5.0</v>
      </c>
    </row>
    <row r="130">
      <c r="A130" s="17">
        <v>129.0</v>
      </c>
      <c r="B130" s="71">
        <v>46033.0</v>
      </c>
      <c r="C130" s="17" t="s">
        <v>47</v>
      </c>
      <c r="D130" s="17" t="s">
        <v>138</v>
      </c>
      <c r="E130" s="17" t="s">
        <v>1242</v>
      </c>
      <c r="F130" s="17">
        <v>5.0550039E8</v>
      </c>
      <c r="G130" s="24" t="s">
        <v>41</v>
      </c>
      <c r="H130" s="17" t="s">
        <v>146</v>
      </c>
      <c r="I130" s="30" t="s">
        <v>1243</v>
      </c>
      <c r="J130" s="24" t="s">
        <v>1245</v>
      </c>
      <c r="K130" s="17" t="s">
        <v>148</v>
      </c>
      <c r="L130" s="35"/>
      <c r="M130" s="25" t="s">
        <v>150</v>
      </c>
      <c r="N130" s="96" t="s">
        <v>56</v>
      </c>
      <c r="O130" s="17"/>
      <c r="P130" s="26"/>
      <c r="Q130" s="17" t="s">
        <v>44</v>
      </c>
      <c r="R130" s="39" t="s">
        <v>46</v>
      </c>
      <c r="S130" s="40"/>
      <c r="T130" s="28"/>
      <c r="U130" s="68" t="s">
        <v>44</v>
      </c>
      <c r="V130" s="26">
        <v>5.0</v>
      </c>
    </row>
    <row r="131">
      <c r="A131" s="17">
        <v>130.0</v>
      </c>
      <c r="B131" s="71">
        <v>46033.0</v>
      </c>
      <c r="C131" s="17" t="s">
        <v>47</v>
      </c>
      <c r="D131" s="17" t="s">
        <v>138</v>
      </c>
      <c r="E131" s="17" t="s">
        <v>1251</v>
      </c>
      <c r="F131" s="17">
        <v>5.05567736E8</v>
      </c>
      <c r="G131" s="24" t="s">
        <v>41</v>
      </c>
      <c r="H131" s="17" t="s">
        <v>914</v>
      </c>
      <c r="I131" s="30" t="s">
        <v>1253</v>
      </c>
      <c r="J131" s="24" t="s">
        <v>1254</v>
      </c>
      <c r="K131" s="17" t="s">
        <v>148</v>
      </c>
      <c r="L131" s="35"/>
      <c r="M131" s="27" t="s">
        <v>323</v>
      </c>
      <c r="N131" s="17" t="s">
        <v>56</v>
      </c>
      <c r="O131" s="17"/>
      <c r="P131" s="26"/>
      <c r="Q131" s="17" t="s">
        <v>44</v>
      </c>
      <c r="R131" s="39" t="s">
        <v>46</v>
      </c>
      <c r="S131" s="40"/>
      <c r="T131" s="28"/>
      <c r="U131" s="68" t="s">
        <v>44</v>
      </c>
      <c r="V131" s="26">
        <v>5.0</v>
      </c>
    </row>
    <row r="132">
      <c r="A132" s="17">
        <v>131.0</v>
      </c>
      <c r="B132" s="71">
        <v>46033.0</v>
      </c>
      <c r="C132" s="17" t="s">
        <v>47</v>
      </c>
      <c r="D132" s="17" t="s">
        <v>138</v>
      </c>
      <c r="E132" s="17" t="s">
        <v>1262</v>
      </c>
      <c r="F132" s="17">
        <v>5.34070868E8</v>
      </c>
      <c r="G132" s="24" t="s">
        <v>41</v>
      </c>
      <c r="H132" s="17" t="s">
        <v>146</v>
      </c>
      <c r="I132" s="30" t="s">
        <v>1263</v>
      </c>
      <c r="J132" s="24" t="s">
        <v>506</v>
      </c>
      <c r="K132" s="17" t="s">
        <v>148</v>
      </c>
      <c r="L132" s="35"/>
      <c r="M132" s="27" t="s">
        <v>323</v>
      </c>
      <c r="N132" s="96" t="s">
        <v>56</v>
      </c>
      <c r="O132" s="17"/>
      <c r="P132" s="26"/>
      <c r="Q132" s="17" t="s">
        <v>44</v>
      </c>
      <c r="R132" s="39" t="s">
        <v>46</v>
      </c>
      <c r="S132" s="40"/>
      <c r="T132" s="28"/>
      <c r="U132" s="68" t="s">
        <v>44</v>
      </c>
      <c r="V132" s="26">
        <v>5.0</v>
      </c>
    </row>
    <row r="133">
      <c r="A133" s="17">
        <v>132.0</v>
      </c>
      <c r="B133" s="71">
        <v>46033.0</v>
      </c>
      <c r="C133" s="17" t="s">
        <v>47</v>
      </c>
      <c r="D133" s="17" t="s">
        <v>367</v>
      </c>
      <c r="E133" s="17" t="s">
        <v>1251</v>
      </c>
      <c r="F133" s="17">
        <v>5.05567736E8</v>
      </c>
      <c r="G133" s="24" t="s">
        <v>41</v>
      </c>
      <c r="H133" s="17" t="s">
        <v>914</v>
      </c>
      <c r="I133" s="30" t="s">
        <v>1270</v>
      </c>
      <c r="J133" s="101" t="s">
        <v>1271</v>
      </c>
      <c r="K133" s="17" t="s">
        <v>148</v>
      </c>
      <c r="L133" s="35">
        <v>0.4791666666666667</v>
      </c>
      <c r="M133" s="25" t="s">
        <v>1273</v>
      </c>
      <c r="N133" s="17" t="s">
        <v>56</v>
      </c>
      <c r="O133" s="17"/>
      <c r="P133" s="26"/>
      <c r="Q133" s="17" t="s">
        <v>44</v>
      </c>
      <c r="R133" s="39" t="s">
        <v>46</v>
      </c>
      <c r="S133" s="40"/>
      <c r="T133" s="28"/>
      <c r="U133" s="68" t="s">
        <v>44</v>
      </c>
      <c r="V133" s="26">
        <v>5.0</v>
      </c>
    </row>
    <row r="134" hidden="1">
      <c r="A134" s="17">
        <v>133.0</v>
      </c>
      <c r="B134" s="71">
        <v>46033.0</v>
      </c>
      <c r="C134" s="22" t="s">
        <v>21</v>
      </c>
      <c r="D134" s="22" t="s">
        <v>24</v>
      </c>
      <c r="E134" s="24" t="s">
        <v>118</v>
      </c>
      <c r="F134" s="17">
        <v>5.30863511E8</v>
      </c>
      <c r="G134" s="31" t="s">
        <v>120</v>
      </c>
      <c r="H134" s="22" t="s">
        <v>27</v>
      </c>
      <c r="I134" s="30" t="s">
        <v>1280</v>
      </c>
      <c r="J134" s="31" t="s">
        <v>123</v>
      </c>
      <c r="K134" s="22" t="s">
        <v>36</v>
      </c>
      <c r="L134" s="95">
        <v>0.4791666666666667</v>
      </c>
      <c r="M134" s="25" t="s">
        <v>38</v>
      </c>
      <c r="N134" s="96" t="s">
        <v>56</v>
      </c>
      <c r="O134" s="96" t="s">
        <v>42</v>
      </c>
      <c r="P134" s="26"/>
      <c r="Q134" s="22" t="s">
        <v>44</v>
      </c>
      <c r="R134" s="33" t="s">
        <v>46</v>
      </c>
      <c r="S134" s="40"/>
      <c r="T134" s="28"/>
      <c r="U134" s="68" t="s">
        <v>44</v>
      </c>
      <c r="V134" s="26">
        <v>5.0</v>
      </c>
    </row>
    <row r="135" hidden="1">
      <c r="A135" s="17">
        <v>134.0</v>
      </c>
      <c r="B135" s="71">
        <v>46033.0</v>
      </c>
      <c r="C135" s="22" t="s">
        <v>58</v>
      </c>
      <c r="D135" s="22" t="s">
        <v>84</v>
      </c>
      <c r="E135" s="17" t="s">
        <v>27</v>
      </c>
      <c r="F135" s="22">
        <v>5.53475427E8</v>
      </c>
      <c r="G135" s="24" t="s">
        <v>79</v>
      </c>
      <c r="H135" s="22" t="s">
        <v>27</v>
      </c>
      <c r="I135" s="30" t="s">
        <v>1290</v>
      </c>
      <c r="J135" s="31" t="s">
        <v>1291</v>
      </c>
      <c r="K135" s="22" t="s">
        <v>36</v>
      </c>
      <c r="L135" s="35">
        <v>0.4791666666666667</v>
      </c>
      <c r="M135" s="42" t="s">
        <v>88</v>
      </c>
      <c r="N135" s="17" t="s">
        <v>56</v>
      </c>
      <c r="O135" s="17" t="s">
        <v>42</v>
      </c>
      <c r="P135" s="26"/>
      <c r="Q135" s="22" t="s">
        <v>44</v>
      </c>
      <c r="R135" s="33" t="s">
        <v>68</v>
      </c>
      <c r="S135" s="40"/>
      <c r="T135" s="28"/>
      <c r="U135" s="68" t="s">
        <v>44</v>
      </c>
      <c r="V135" s="26">
        <v>5.0</v>
      </c>
    </row>
    <row r="136" hidden="1">
      <c r="A136" s="17">
        <v>135.0</v>
      </c>
      <c r="B136" s="71">
        <v>46033.0</v>
      </c>
      <c r="C136" s="22" t="s">
        <v>21</v>
      </c>
      <c r="D136" s="22" t="s">
        <v>22</v>
      </c>
      <c r="E136" s="24" t="s">
        <v>1297</v>
      </c>
      <c r="F136" s="22">
        <v>5.45311156E8</v>
      </c>
      <c r="G136" s="31" t="s">
        <v>120</v>
      </c>
      <c r="H136" s="22" t="s">
        <v>27</v>
      </c>
      <c r="I136" s="30" t="s">
        <v>1299</v>
      </c>
      <c r="J136" s="31" t="s">
        <v>123</v>
      </c>
      <c r="K136" s="22" t="s">
        <v>36</v>
      </c>
      <c r="L136" s="95">
        <v>0.4791666666666667</v>
      </c>
      <c r="M136" s="105" t="s">
        <v>125</v>
      </c>
      <c r="N136" s="96" t="s">
        <v>40</v>
      </c>
      <c r="O136" s="96" t="s">
        <v>42</v>
      </c>
      <c r="P136" s="26"/>
      <c r="Q136" s="22" t="s">
        <v>44</v>
      </c>
      <c r="R136" s="33" t="s">
        <v>68</v>
      </c>
      <c r="S136" s="40"/>
      <c r="T136" s="28"/>
      <c r="U136" s="68" t="s">
        <v>44</v>
      </c>
      <c r="V136" s="26">
        <v>5.0</v>
      </c>
    </row>
    <row r="137" hidden="1">
      <c r="A137" s="17">
        <v>136.0</v>
      </c>
      <c r="B137" s="71">
        <v>46033.0</v>
      </c>
      <c r="C137" s="22" t="s">
        <v>58</v>
      </c>
      <c r="D137" s="22" t="s">
        <v>57</v>
      </c>
      <c r="E137" s="17" t="s">
        <v>27</v>
      </c>
      <c r="F137" s="22">
        <v>5.95429474E8</v>
      </c>
      <c r="G137" s="24" t="s">
        <v>41</v>
      </c>
      <c r="H137" s="22" t="s">
        <v>27</v>
      </c>
      <c r="I137" s="30" t="s">
        <v>1306</v>
      </c>
      <c r="J137" s="31" t="s">
        <v>1307</v>
      </c>
      <c r="K137" s="22" t="s">
        <v>65</v>
      </c>
      <c r="L137" s="35">
        <v>0.4791666666666667</v>
      </c>
      <c r="M137" s="25" t="s">
        <v>88</v>
      </c>
      <c r="N137" s="17" t="s">
        <v>56</v>
      </c>
      <c r="O137" s="17" t="s">
        <v>42</v>
      </c>
      <c r="P137" s="26"/>
      <c r="Q137" s="22" t="s">
        <v>44</v>
      </c>
      <c r="R137" s="33" t="s">
        <v>68</v>
      </c>
      <c r="S137" s="40"/>
      <c r="T137" s="28"/>
      <c r="U137" s="68" t="s">
        <v>44</v>
      </c>
      <c r="V137" s="26">
        <v>5.0</v>
      </c>
    </row>
    <row r="138" hidden="1">
      <c r="A138" s="17">
        <v>137.0</v>
      </c>
      <c r="B138" s="71">
        <v>46033.0</v>
      </c>
      <c r="C138" s="22" t="s">
        <v>21</v>
      </c>
      <c r="D138" s="22" t="s">
        <v>66</v>
      </c>
      <c r="E138" s="24" t="s">
        <v>1313</v>
      </c>
      <c r="F138" s="22">
        <v>5.36778549E8</v>
      </c>
      <c r="G138" s="31" t="s">
        <v>120</v>
      </c>
      <c r="H138" s="22" t="s">
        <v>27</v>
      </c>
      <c r="I138" s="30" t="s">
        <v>1314</v>
      </c>
      <c r="J138" s="31" t="s">
        <v>1315</v>
      </c>
      <c r="K138" s="22" t="s">
        <v>36</v>
      </c>
      <c r="L138" s="95">
        <v>0.4791666666666667</v>
      </c>
      <c r="M138" s="25" t="s">
        <v>38</v>
      </c>
      <c r="N138" s="96" t="s">
        <v>56</v>
      </c>
      <c r="O138" s="96" t="s">
        <v>42</v>
      </c>
      <c r="P138" s="26"/>
      <c r="Q138" s="22" t="s">
        <v>44</v>
      </c>
      <c r="R138" s="33" t="s">
        <v>68</v>
      </c>
      <c r="S138" s="40"/>
      <c r="T138" s="28"/>
      <c r="U138" s="34"/>
      <c r="V138" s="26">
        <v>5.0</v>
      </c>
    </row>
    <row r="139">
      <c r="A139" s="17">
        <v>138.0</v>
      </c>
      <c r="B139" s="71">
        <v>46033.0</v>
      </c>
      <c r="C139" s="17" t="s">
        <v>47</v>
      </c>
      <c r="D139" s="17" t="s">
        <v>48</v>
      </c>
      <c r="E139" s="24" t="s">
        <v>1324</v>
      </c>
      <c r="F139" s="17">
        <v>5.40270983E8</v>
      </c>
      <c r="G139" s="24" t="s">
        <v>41</v>
      </c>
      <c r="H139" s="17" t="s">
        <v>222</v>
      </c>
      <c r="I139" s="30" t="s">
        <v>1326</v>
      </c>
      <c r="J139" s="24" t="s">
        <v>1327</v>
      </c>
      <c r="K139" s="17" t="s">
        <v>36</v>
      </c>
      <c r="L139" s="35">
        <v>0.4791666666666667</v>
      </c>
      <c r="M139" s="75" t="s">
        <v>555</v>
      </c>
      <c r="N139" s="17" t="s">
        <v>56</v>
      </c>
      <c r="O139" s="17"/>
      <c r="P139" s="26"/>
      <c r="Q139" s="17" t="s">
        <v>44</v>
      </c>
      <c r="R139" s="39" t="s">
        <v>46</v>
      </c>
      <c r="S139" s="40"/>
      <c r="T139" s="28"/>
      <c r="U139" s="34"/>
      <c r="V139" s="26">
        <v>5.0</v>
      </c>
    </row>
    <row r="140" hidden="1">
      <c r="A140" s="17">
        <v>139.0</v>
      </c>
      <c r="B140" s="71">
        <v>46033.0</v>
      </c>
      <c r="C140" s="22" t="s">
        <v>58</v>
      </c>
      <c r="D140" s="22" t="s">
        <v>84</v>
      </c>
      <c r="E140" s="17" t="s">
        <v>27</v>
      </c>
      <c r="F140" s="17">
        <v>5.42974302E8</v>
      </c>
      <c r="G140" s="24" t="s">
        <v>112</v>
      </c>
      <c r="H140" s="22" t="s">
        <v>27</v>
      </c>
      <c r="I140" s="30" t="s">
        <v>554</v>
      </c>
      <c r="J140" s="31" t="s">
        <v>969</v>
      </c>
      <c r="K140" s="22" t="s">
        <v>36</v>
      </c>
      <c r="L140" s="95">
        <v>0.4791666666666667</v>
      </c>
      <c r="M140" s="42" t="s">
        <v>88</v>
      </c>
      <c r="N140" s="96" t="s">
        <v>56</v>
      </c>
      <c r="O140" s="96" t="s">
        <v>42</v>
      </c>
      <c r="P140" s="26"/>
      <c r="Q140" s="22" t="s">
        <v>44</v>
      </c>
      <c r="R140" s="33" t="s">
        <v>68</v>
      </c>
      <c r="S140" s="40"/>
      <c r="T140" s="28"/>
      <c r="U140" s="68" t="s">
        <v>44</v>
      </c>
      <c r="V140" s="26">
        <v>5.0</v>
      </c>
    </row>
    <row r="141" hidden="1">
      <c r="A141" s="17">
        <v>140.0</v>
      </c>
      <c r="B141" s="71">
        <v>46033.0</v>
      </c>
      <c r="C141" s="22" t="s">
        <v>58</v>
      </c>
      <c r="D141" s="22" t="s">
        <v>84</v>
      </c>
      <c r="E141" s="17" t="s">
        <v>27</v>
      </c>
      <c r="F141" s="17">
        <v>5.80400001E8</v>
      </c>
      <c r="G141" s="31" t="s">
        <v>71</v>
      </c>
      <c r="H141" s="22" t="s">
        <v>291</v>
      </c>
      <c r="I141" s="30" t="s">
        <v>1342</v>
      </c>
      <c r="J141" s="31" t="s">
        <v>1343</v>
      </c>
      <c r="K141" s="22" t="s">
        <v>36</v>
      </c>
      <c r="L141" s="35">
        <v>0.4791666666666667</v>
      </c>
      <c r="M141" s="42" t="s">
        <v>88</v>
      </c>
      <c r="N141" s="17" t="s">
        <v>56</v>
      </c>
      <c r="O141" s="17" t="s">
        <v>42</v>
      </c>
      <c r="P141" s="26"/>
      <c r="Q141" s="22" t="s">
        <v>44</v>
      </c>
      <c r="R141" s="33" t="s">
        <v>68</v>
      </c>
      <c r="S141" s="40"/>
      <c r="T141" s="28"/>
      <c r="U141" s="68" t="s">
        <v>44</v>
      </c>
      <c r="V141" s="26">
        <v>5.0</v>
      </c>
    </row>
    <row r="142" hidden="1">
      <c r="A142" s="17">
        <v>141.0</v>
      </c>
      <c r="B142" s="71">
        <v>46033.0</v>
      </c>
      <c r="C142" s="22" t="s">
        <v>21</v>
      </c>
      <c r="D142" s="22" t="s">
        <v>66</v>
      </c>
      <c r="E142" s="24" t="s">
        <v>1350</v>
      </c>
      <c r="F142" s="17">
        <v>5.33968275E8</v>
      </c>
      <c r="G142" s="31" t="s">
        <v>71</v>
      </c>
      <c r="H142" s="22" t="s">
        <v>27</v>
      </c>
      <c r="I142" s="30" t="s">
        <v>1353</v>
      </c>
      <c r="J142" s="31" t="s">
        <v>1195</v>
      </c>
      <c r="K142" s="22" t="s">
        <v>36</v>
      </c>
      <c r="L142" s="95">
        <v>0.4791666666666667</v>
      </c>
      <c r="M142" s="25" t="s">
        <v>38</v>
      </c>
      <c r="N142" s="96" t="s">
        <v>56</v>
      </c>
      <c r="O142" s="96" t="s">
        <v>42</v>
      </c>
      <c r="P142" s="26"/>
      <c r="Q142" s="22" t="s">
        <v>44</v>
      </c>
      <c r="R142" s="33" t="s">
        <v>68</v>
      </c>
      <c r="S142" s="40"/>
      <c r="T142" s="28"/>
      <c r="U142" s="68" t="s">
        <v>44</v>
      </c>
      <c r="V142" s="26">
        <v>5.0</v>
      </c>
    </row>
    <row r="143" hidden="1">
      <c r="A143" s="17">
        <v>142.0</v>
      </c>
      <c r="B143" s="71">
        <v>46033.0</v>
      </c>
      <c r="C143" s="22" t="s">
        <v>21</v>
      </c>
      <c r="D143" s="22" t="s">
        <v>66</v>
      </c>
      <c r="E143" s="24" t="s">
        <v>1360</v>
      </c>
      <c r="F143" s="17">
        <v>5.69026116E8</v>
      </c>
      <c r="G143" s="31" t="s">
        <v>120</v>
      </c>
      <c r="H143" s="22" t="s">
        <v>27</v>
      </c>
      <c r="I143" s="30" t="s">
        <v>1363</v>
      </c>
      <c r="J143" s="31" t="s">
        <v>1195</v>
      </c>
      <c r="K143" s="22" t="s">
        <v>36</v>
      </c>
      <c r="L143" s="35">
        <v>0.4791666666666667</v>
      </c>
      <c r="M143" s="25" t="s">
        <v>38</v>
      </c>
      <c r="N143" s="17" t="s">
        <v>56</v>
      </c>
      <c r="O143" s="17" t="s">
        <v>42</v>
      </c>
      <c r="P143" s="26"/>
      <c r="Q143" s="22" t="s">
        <v>44</v>
      </c>
      <c r="R143" s="33" t="s">
        <v>68</v>
      </c>
      <c r="S143" s="40"/>
      <c r="T143" s="28"/>
      <c r="U143" s="34"/>
      <c r="V143" s="26">
        <v>5.0</v>
      </c>
    </row>
    <row r="144" hidden="1">
      <c r="A144" s="17">
        <v>143.0</v>
      </c>
      <c r="B144" s="71">
        <v>46033.0</v>
      </c>
      <c r="C144" s="22" t="s">
        <v>58</v>
      </c>
      <c r="D144" s="22" t="s">
        <v>84</v>
      </c>
      <c r="E144" s="17" t="s">
        <v>27</v>
      </c>
      <c r="F144" s="17" t="s">
        <v>27</v>
      </c>
      <c r="G144" s="24" t="s">
        <v>28</v>
      </c>
      <c r="H144" s="22" t="s">
        <v>830</v>
      </c>
      <c r="I144" s="30" t="s">
        <v>1369</v>
      </c>
      <c r="J144" s="31" t="s">
        <v>123</v>
      </c>
      <c r="K144" s="22" t="s">
        <v>78</v>
      </c>
      <c r="L144" s="95"/>
      <c r="M144" s="25" t="s">
        <v>38</v>
      </c>
      <c r="N144" s="96" t="s">
        <v>56</v>
      </c>
      <c r="O144" s="96" t="s">
        <v>42</v>
      </c>
      <c r="P144" s="26"/>
      <c r="Q144" s="22" t="s">
        <v>49</v>
      </c>
      <c r="R144" s="33" t="s">
        <v>68</v>
      </c>
      <c r="S144" s="40"/>
      <c r="T144" s="28"/>
      <c r="U144" s="34"/>
      <c r="V144" s="26">
        <v>5.0</v>
      </c>
    </row>
    <row r="145" hidden="1">
      <c r="A145" s="17">
        <v>144.0</v>
      </c>
      <c r="B145" s="71">
        <v>46033.0</v>
      </c>
      <c r="C145" s="22" t="s">
        <v>58</v>
      </c>
      <c r="D145" s="22" t="s">
        <v>84</v>
      </c>
      <c r="E145" s="17" t="s">
        <v>27</v>
      </c>
      <c r="F145" s="17">
        <v>5.07748429E8</v>
      </c>
      <c r="G145" s="24" t="s">
        <v>79</v>
      </c>
      <c r="H145" s="22" t="s">
        <v>27</v>
      </c>
      <c r="I145" s="30" t="s">
        <v>1376</v>
      </c>
      <c r="J145" s="31" t="s">
        <v>1377</v>
      </c>
      <c r="K145" s="22" t="s">
        <v>36</v>
      </c>
      <c r="L145" s="35"/>
      <c r="M145" s="42" t="s">
        <v>88</v>
      </c>
      <c r="N145" s="17" t="s">
        <v>56</v>
      </c>
      <c r="O145" s="17" t="s">
        <v>42</v>
      </c>
      <c r="P145" s="26"/>
      <c r="Q145" s="22" t="s">
        <v>44</v>
      </c>
      <c r="R145" s="33" t="s">
        <v>68</v>
      </c>
      <c r="S145" s="40"/>
      <c r="T145" s="28"/>
      <c r="U145" s="34"/>
      <c r="V145" s="26">
        <v>5.0</v>
      </c>
    </row>
    <row r="146" hidden="1">
      <c r="A146" s="17">
        <v>145.0</v>
      </c>
      <c r="B146" s="71">
        <v>46033.0</v>
      </c>
      <c r="C146" s="22" t="s">
        <v>21</v>
      </c>
      <c r="D146" s="22" t="s">
        <v>22</v>
      </c>
      <c r="E146" s="24" t="s">
        <v>1384</v>
      </c>
      <c r="F146" s="17">
        <v>5.03044489E8</v>
      </c>
      <c r="G146" s="17" t="s">
        <v>27</v>
      </c>
      <c r="H146" s="22" t="s">
        <v>27</v>
      </c>
      <c r="I146" s="30" t="s">
        <v>1386</v>
      </c>
      <c r="J146" s="31" t="s">
        <v>32</v>
      </c>
      <c r="K146" s="22" t="s">
        <v>62</v>
      </c>
      <c r="L146" s="95"/>
      <c r="M146" s="105" t="s">
        <v>1389</v>
      </c>
      <c r="N146" s="96" t="s">
        <v>40</v>
      </c>
      <c r="O146" s="96" t="s">
        <v>42</v>
      </c>
      <c r="P146" s="26"/>
      <c r="Q146" s="22" t="s">
        <v>44</v>
      </c>
      <c r="R146" s="33" t="s">
        <v>68</v>
      </c>
      <c r="S146" s="40"/>
      <c r="T146" s="28"/>
      <c r="U146" s="34"/>
      <c r="V146" s="26">
        <v>5.0</v>
      </c>
    </row>
    <row r="147" hidden="1">
      <c r="A147" s="17">
        <v>146.0</v>
      </c>
      <c r="B147" s="71">
        <v>46033.0</v>
      </c>
      <c r="C147" s="22" t="s">
        <v>21</v>
      </c>
      <c r="D147" s="22" t="s">
        <v>34</v>
      </c>
      <c r="E147" s="24" t="s">
        <v>1393</v>
      </c>
      <c r="F147" s="17">
        <v>5.99083487E8</v>
      </c>
      <c r="G147" s="24" t="s">
        <v>41</v>
      </c>
      <c r="H147" s="22" t="s">
        <v>27</v>
      </c>
      <c r="I147" s="30" t="s">
        <v>1394</v>
      </c>
      <c r="J147" s="31" t="s">
        <v>1395</v>
      </c>
      <c r="K147" s="22" t="s">
        <v>62</v>
      </c>
      <c r="L147" s="35"/>
      <c r="M147" s="107" t="s">
        <v>51</v>
      </c>
      <c r="N147" s="17" t="s">
        <v>56</v>
      </c>
      <c r="O147" s="17" t="s">
        <v>42</v>
      </c>
      <c r="P147" s="26"/>
      <c r="Q147" s="22" t="s">
        <v>44</v>
      </c>
      <c r="R147" s="33" t="s">
        <v>68</v>
      </c>
      <c r="S147" s="40"/>
      <c r="T147" s="28"/>
      <c r="U147" s="34"/>
      <c r="V147" s="26">
        <v>5.0</v>
      </c>
    </row>
    <row r="148">
      <c r="A148" s="17">
        <v>147.0</v>
      </c>
      <c r="B148" s="71">
        <v>46033.0</v>
      </c>
      <c r="C148" s="17" t="s">
        <v>47</v>
      </c>
      <c r="D148" s="17" t="s">
        <v>48</v>
      </c>
      <c r="E148" s="24" t="s">
        <v>1401</v>
      </c>
      <c r="F148" s="17">
        <v>5.57977677E8</v>
      </c>
      <c r="G148" s="24" t="s">
        <v>41</v>
      </c>
      <c r="H148" s="17" t="s">
        <v>222</v>
      </c>
      <c r="I148" s="30" t="s">
        <v>1403</v>
      </c>
      <c r="J148" s="24" t="s">
        <v>1404</v>
      </c>
      <c r="K148" s="17" t="s">
        <v>36</v>
      </c>
      <c r="L148" s="95"/>
      <c r="M148" s="75" t="s">
        <v>300</v>
      </c>
      <c r="N148" s="17" t="s">
        <v>56</v>
      </c>
      <c r="O148" s="17"/>
      <c r="P148" s="26"/>
      <c r="Q148" s="17" t="s">
        <v>49</v>
      </c>
      <c r="R148" s="39" t="s">
        <v>46</v>
      </c>
      <c r="S148" s="40"/>
      <c r="T148" s="28"/>
      <c r="U148" s="34"/>
      <c r="V148" s="26">
        <v>5.0</v>
      </c>
    </row>
    <row r="149" hidden="1">
      <c r="A149" s="17">
        <v>148.0</v>
      </c>
      <c r="B149" s="71">
        <v>46033.0</v>
      </c>
      <c r="C149" s="22" t="s">
        <v>58</v>
      </c>
      <c r="D149" s="22" t="s">
        <v>84</v>
      </c>
      <c r="E149" s="17" t="s">
        <v>27</v>
      </c>
      <c r="F149" s="22">
        <v>5.57070641E8</v>
      </c>
      <c r="G149" s="17" t="s">
        <v>27</v>
      </c>
      <c r="H149" s="22" t="s">
        <v>27</v>
      </c>
      <c r="I149" s="30" t="s">
        <v>1307</v>
      </c>
      <c r="J149" s="31" t="s">
        <v>1412</v>
      </c>
      <c r="K149" s="22" t="s">
        <v>65</v>
      </c>
      <c r="L149" s="35"/>
      <c r="M149" s="25" t="s">
        <v>38</v>
      </c>
      <c r="N149" s="17" t="s">
        <v>56</v>
      </c>
      <c r="O149" s="17" t="s">
        <v>42</v>
      </c>
      <c r="P149" s="26"/>
      <c r="Q149" s="22" t="s">
        <v>44</v>
      </c>
      <c r="R149" s="33" t="s">
        <v>68</v>
      </c>
      <c r="S149" s="40"/>
      <c r="T149" s="28"/>
      <c r="U149" s="34"/>
      <c r="V149" s="26">
        <v>5.0</v>
      </c>
    </row>
    <row r="150" hidden="1">
      <c r="A150" s="17">
        <v>149.0</v>
      </c>
      <c r="B150" s="71">
        <v>46033.0</v>
      </c>
      <c r="C150" s="22" t="s">
        <v>21</v>
      </c>
      <c r="D150" s="22" t="s">
        <v>24</v>
      </c>
      <c r="E150" s="24" t="s">
        <v>1418</v>
      </c>
      <c r="F150" s="17">
        <v>5.43319226E8</v>
      </c>
      <c r="G150" s="24" t="s">
        <v>41</v>
      </c>
      <c r="H150" s="22" t="s">
        <v>146</v>
      </c>
      <c r="I150" s="30" t="s">
        <v>1419</v>
      </c>
      <c r="J150" s="31" t="s">
        <v>123</v>
      </c>
      <c r="K150" s="22" t="s">
        <v>36</v>
      </c>
      <c r="L150" s="95"/>
      <c r="M150" s="25" t="s">
        <v>38</v>
      </c>
      <c r="N150" s="96" t="s">
        <v>56</v>
      </c>
      <c r="O150" s="96" t="s">
        <v>42</v>
      </c>
      <c r="P150" s="26"/>
      <c r="Q150" s="22" t="s">
        <v>44</v>
      </c>
      <c r="R150" s="33" t="s">
        <v>46</v>
      </c>
      <c r="S150" s="40"/>
      <c r="T150" s="28"/>
      <c r="U150" s="34"/>
      <c r="V150" s="26">
        <v>5.0</v>
      </c>
    </row>
    <row r="151" hidden="1">
      <c r="A151" s="17">
        <v>150.0</v>
      </c>
      <c r="B151" s="71">
        <v>46033.0</v>
      </c>
      <c r="C151" s="22" t="s">
        <v>21</v>
      </c>
      <c r="D151" s="22" t="s">
        <v>24</v>
      </c>
      <c r="E151" s="24" t="s">
        <v>1424</v>
      </c>
      <c r="F151" s="17">
        <v>5.55886316E8</v>
      </c>
      <c r="G151" s="31" t="s">
        <v>71</v>
      </c>
      <c r="H151" s="22" t="s">
        <v>27</v>
      </c>
      <c r="I151" s="30" t="s">
        <v>1426</v>
      </c>
      <c r="J151" s="31" t="s">
        <v>123</v>
      </c>
      <c r="K151" s="22" t="s">
        <v>36</v>
      </c>
      <c r="L151" s="35"/>
      <c r="M151" s="25" t="s">
        <v>38</v>
      </c>
      <c r="N151" s="22" t="s">
        <v>56</v>
      </c>
      <c r="O151" s="22" t="s">
        <v>42</v>
      </c>
      <c r="P151" s="26"/>
      <c r="Q151" s="22" t="s">
        <v>44</v>
      </c>
      <c r="R151" s="33" t="s">
        <v>46</v>
      </c>
      <c r="S151" s="40"/>
      <c r="T151" s="28"/>
      <c r="U151" s="34"/>
      <c r="V151" s="26">
        <v>5.0</v>
      </c>
    </row>
    <row r="152">
      <c r="A152" s="17">
        <v>151.0</v>
      </c>
      <c r="B152" s="71">
        <v>46034.0</v>
      </c>
      <c r="C152" s="17" t="s">
        <v>47</v>
      </c>
      <c r="D152" s="17" t="s">
        <v>138</v>
      </c>
      <c r="E152" s="17" t="s">
        <v>1432</v>
      </c>
      <c r="F152" s="17">
        <v>5.53403336E8</v>
      </c>
      <c r="G152" s="24" t="s">
        <v>41</v>
      </c>
      <c r="H152" s="17" t="s">
        <v>146</v>
      </c>
      <c r="I152" s="30" t="s">
        <v>1434</v>
      </c>
      <c r="J152" s="24" t="s">
        <v>506</v>
      </c>
      <c r="K152" s="17" t="s">
        <v>148</v>
      </c>
      <c r="L152" s="35"/>
      <c r="M152" s="27" t="s">
        <v>323</v>
      </c>
      <c r="N152" s="22" t="s">
        <v>56</v>
      </c>
      <c r="O152" s="17"/>
      <c r="P152" s="26"/>
      <c r="Q152" s="17" t="s">
        <v>44</v>
      </c>
      <c r="R152" s="39" t="s">
        <v>46</v>
      </c>
      <c r="S152" s="40"/>
      <c r="T152" s="28"/>
      <c r="U152" s="34"/>
      <c r="V152" s="26">
        <v>5.0</v>
      </c>
    </row>
    <row r="153">
      <c r="A153" s="17">
        <v>152.0</v>
      </c>
      <c r="B153" s="71">
        <v>46034.0</v>
      </c>
      <c r="C153" s="17" t="s">
        <v>47</v>
      </c>
      <c r="D153" s="17" t="s">
        <v>138</v>
      </c>
      <c r="E153" s="24" t="s">
        <v>1440</v>
      </c>
      <c r="F153" s="17">
        <v>5.03337583E8</v>
      </c>
      <c r="G153" s="24" t="s">
        <v>41</v>
      </c>
      <c r="H153" s="17" t="s">
        <v>188</v>
      </c>
      <c r="I153" s="30" t="s">
        <v>1441</v>
      </c>
      <c r="J153" s="24" t="s">
        <v>1443</v>
      </c>
      <c r="K153" s="17" t="s">
        <v>148</v>
      </c>
      <c r="L153" s="35"/>
      <c r="M153" s="25" t="s">
        <v>150</v>
      </c>
      <c r="N153" s="22" t="s">
        <v>56</v>
      </c>
      <c r="O153" s="17"/>
      <c r="P153" s="26"/>
      <c r="Q153" s="17" t="s">
        <v>44</v>
      </c>
      <c r="R153" s="39" t="s">
        <v>46</v>
      </c>
      <c r="S153" s="40"/>
      <c r="T153" s="28"/>
      <c r="U153" s="34"/>
      <c r="V153" s="26">
        <v>5.0</v>
      </c>
    </row>
    <row r="154">
      <c r="A154" s="17">
        <v>153.0</v>
      </c>
      <c r="B154" s="71">
        <v>46034.0</v>
      </c>
      <c r="C154" s="17" t="s">
        <v>47</v>
      </c>
      <c r="D154" s="17" t="s">
        <v>367</v>
      </c>
      <c r="E154" s="24" t="s">
        <v>1449</v>
      </c>
      <c r="F154" s="17">
        <v>5.36593558E8</v>
      </c>
      <c r="G154" s="24" t="s">
        <v>41</v>
      </c>
      <c r="H154" s="17" t="s">
        <v>791</v>
      </c>
      <c r="I154" s="30" t="s">
        <v>1453</v>
      </c>
      <c r="J154" s="24" t="s">
        <v>1455</v>
      </c>
      <c r="K154" s="17" t="s">
        <v>148</v>
      </c>
      <c r="L154" s="35"/>
      <c r="M154" s="25" t="s">
        <v>55</v>
      </c>
      <c r="N154" s="22" t="s">
        <v>56</v>
      </c>
      <c r="O154" s="17"/>
      <c r="P154" s="26"/>
      <c r="Q154" s="17" t="s">
        <v>44</v>
      </c>
      <c r="R154" s="39" t="s">
        <v>46</v>
      </c>
      <c r="S154" s="40"/>
      <c r="T154" s="28"/>
      <c r="U154" s="34"/>
      <c r="V154" s="26">
        <v>5.0</v>
      </c>
    </row>
    <row r="155">
      <c r="A155" s="17">
        <v>154.0</v>
      </c>
      <c r="B155" s="71">
        <v>46034.0</v>
      </c>
      <c r="C155" s="17" t="s">
        <v>47</v>
      </c>
      <c r="D155" s="17" t="s">
        <v>138</v>
      </c>
      <c r="E155" s="24" t="s">
        <v>1460</v>
      </c>
      <c r="F155" s="17">
        <v>5.53486055E8</v>
      </c>
      <c r="G155" s="24" t="s">
        <v>41</v>
      </c>
      <c r="H155" s="17" t="s">
        <v>146</v>
      </c>
      <c r="I155" s="30" t="s">
        <v>1461</v>
      </c>
      <c r="J155" s="24" t="s">
        <v>1462</v>
      </c>
      <c r="K155" s="17" t="s">
        <v>148</v>
      </c>
      <c r="L155" s="35"/>
      <c r="M155" s="25" t="s">
        <v>150</v>
      </c>
      <c r="N155" s="22" t="s">
        <v>56</v>
      </c>
      <c r="O155" s="17"/>
      <c r="P155" s="26"/>
      <c r="Q155" s="17" t="s">
        <v>44</v>
      </c>
      <c r="R155" s="39" t="s">
        <v>46</v>
      </c>
      <c r="S155" s="40"/>
      <c r="T155" s="28"/>
      <c r="U155" s="34"/>
      <c r="V155" s="26">
        <v>5.0</v>
      </c>
    </row>
    <row r="156">
      <c r="A156" s="17">
        <v>155.0</v>
      </c>
      <c r="B156" s="71">
        <v>46034.0</v>
      </c>
      <c r="C156" s="17" t="s">
        <v>47</v>
      </c>
      <c r="D156" s="17" t="s">
        <v>138</v>
      </c>
      <c r="E156" s="17" t="s">
        <v>1471</v>
      </c>
      <c r="F156" s="17">
        <v>5.43428189E8</v>
      </c>
      <c r="G156" s="24" t="s">
        <v>79</v>
      </c>
      <c r="H156" s="17" t="s">
        <v>80</v>
      </c>
      <c r="I156" s="30" t="s">
        <v>1472</v>
      </c>
      <c r="J156" s="31" t="s">
        <v>123</v>
      </c>
      <c r="K156" s="17" t="s">
        <v>148</v>
      </c>
      <c r="L156" s="35"/>
      <c r="M156" s="27" t="s">
        <v>323</v>
      </c>
      <c r="N156" s="22" t="s">
        <v>56</v>
      </c>
      <c r="O156" s="17"/>
      <c r="P156" s="26"/>
      <c r="Q156" s="17" t="s">
        <v>44</v>
      </c>
      <c r="R156" s="39" t="s">
        <v>46</v>
      </c>
      <c r="S156" s="40"/>
      <c r="T156" s="28"/>
      <c r="U156" s="34"/>
      <c r="V156" s="26">
        <v>5.0</v>
      </c>
    </row>
    <row r="157">
      <c r="A157" s="17">
        <v>156.0</v>
      </c>
      <c r="B157" s="71">
        <v>46034.0</v>
      </c>
      <c r="C157" s="22" t="s">
        <v>47</v>
      </c>
      <c r="D157" s="22" t="s">
        <v>367</v>
      </c>
      <c r="E157" s="17" t="s">
        <v>1479</v>
      </c>
      <c r="F157" s="17">
        <v>5.0899857E8</v>
      </c>
      <c r="G157" s="24" t="s">
        <v>79</v>
      </c>
      <c r="H157" s="22" t="s">
        <v>451</v>
      </c>
      <c r="I157" s="30" t="s">
        <v>1481</v>
      </c>
      <c r="J157" s="24" t="s">
        <v>787</v>
      </c>
      <c r="K157" s="17" t="s">
        <v>148</v>
      </c>
      <c r="L157" s="35"/>
      <c r="M157" s="25" t="s">
        <v>55</v>
      </c>
      <c r="N157" s="17" t="s">
        <v>56</v>
      </c>
      <c r="O157" s="22"/>
      <c r="P157" s="26"/>
      <c r="Q157" s="22" t="s">
        <v>44</v>
      </c>
      <c r="R157" s="33" t="s">
        <v>46</v>
      </c>
      <c r="S157" s="40"/>
      <c r="T157" s="28"/>
      <c r="U157" s="34"/>
      <c r="V157" s="26">
        <v>5.0</v>
      </c>
    </row>
    <row r="158">
      <c r="A158" s="17">
        <v>157.0</v>
      </c>
      <c r="B158" s="71">
        <v>46034.0</v>
      </c>
      <c r="C158" s="22" t="s">
        <v>47</v>
      </c>
      <c r="D158" s="22" t="s">
        <v>138</v>
      </c>
      <c r="E158" s="17" t="s">
        <v>1488</v>
      </c>
      <c r="F158" s="17" t="s">
        <v>27</v>
      </c>
      <c r="G158" s="24" t="s">
        <v>41</v>
      </c>
      <c r="H158" s="22" t="s">
        <v>146</v>
      </c>
      <c r="I158" s="30" t="s">
        <v>1491</v>
      </c>
      <c r="J158" s="24" t="s">
        <v>1492</v>
      </c>
      <c r="K158" s="22" t="s">
        <v>78</v>
      </c>
      <c r="L158" s="35"/>
      <c r="M158" s="27" t="s">
        <v>323</v>
      </c>
      <c r="N158" s="17" t="s">
        <v>56</v>
      </c>
      <c r="O158" s="22"/>
      <c r="P158" s="26"/>
      <c r="Q158" s="22" t="s">
        <v>49</v>
      </c>
      <c r="R158" s="33" t="s">
        <v>46</v>
      </c>
      <c r="S158" s="40"/>
      <c r="T158" s="28"/>
      <c r="U158" s="34"/>
      <c r="V158" s="26">
        <v>5.0</v>
      </c>
    </row>
    <row r="159">
      <c r="A159" s="17">
        <v>158.0</v>
      </c>
      <c r="B159" s="71">
        <v>46034.0</v>
      </c>
      <c r="C159" s="22" t="s">
        <v>47</v>
      </c>
      <c r="D159" s="22" t="s">
        <v>138</v>
      </c>
      <c r="E159" s="24" t="s">
        <v>1497</v>
      </c>
      <c r="F159" s="17" t="s">
        <v>27</v>
      </c>
      <c r="G159" s="24" t="s">
        <v>79</v>
      </c>
      <c r="H159" s="22" t="s">
        <v>80</v>
      </c>
      <c r="I159" s="30" t="s">
        <v>1498</v>
      </c>
      <c r="J159" s="24" t="s">
        <v>1499</v>
      </c>
      <c r="K159" s="22" t="s">
        <v>78</v>
      </c>
      <c r="L159" s="35"/>
      <c r="M159" s="27" t="s">
        <v>323</v>
      </c>
      <c r="N159" s="22" t="s">
        <v>56</v>
      </c>
      <c r="O159" s="22"/>
      <c r="P159" s="26"/>
      <c r="Q159" s="22" t="s">
        <v>49</v>
      </c>
      <c r="R159" s="33" t="s">
        <v>46</v>
      </c>
      <c r="S159" s="40"/>
      <c r="T159" s="28"/>
      <c r="U159" s="34"/>
      <c r="V159" s="26">
        <v>5.0</v>
      </c>
    </row>
    <row r="160" hidden="1">
      <c r="A160" s="17">
        <v>159.0</v>
      </c>
      <c r="B160" s="71">
        <v>46034.0</v>
      </c>
      <c r="C160" s="22" t="s">
        <v>21</v>
      </c>
      <c r="D160" s="22" t="s">
        <v>22</v>
      </c>
      <c r="E160" s="17" t="s">
        <v>1502</v>
      </c>
      <c r="F160" s="17">
        <v>5.6584493E8</v>
      </c>
      <c r="G160" s="17" t="s">
        <v>27</v>
      </c>
      <c r="H160" s="22" t="s">
        <v>27</v>
      </c>
      <c r="I160" s="30" t="s">
        <v>1503</v>
      </c>
      <c r="J160" s="31" t="s">
        <v>123</v>
      </c>
      <c r="K160" s="22" t="s">
        <v>39</v>
      </c>
      <c r="L160" s="35"/>
      <c r="M160" s="38" t="s">
        <v>1389</v>
      </c>
      <c r="N160" s="22" t="s">
        <v>56</v>
      </c>
      <c r="O160" s="22" t="s">
        <v>42</v>
      </c>
      <c r="P160" s="26"/>
      <c r="Q160" s="22" t="s">
        <v>49</v>
      </c>
      <c r="R160" s="33" t="s">
        <v>68</v>
      </c>
      <c r="S160" s="40"/>
      <c r="T160" s="28"/>
      <c r="U160" s="34"/>
      <c r="V160" s="26">
        <v>5.0</v>
      </c>
    </row>
    <row r="161" hidden="1">
      <c r="A161" s="17">
        <v>160.0</v>
      </c>
      <c r="B161" s="71">
        <v>46034.0</v>
      </c>
      <c r="C161" s="22" t="s">
        <v>21</v>
      </c>
      <c r="D161" s="22" t="s">
        <v>22</v>
      </c>
      <c r="E161" s="24" t="s">
        <v>1513</v>
      </c>
      <c r="F161" s="17">
        <v>5.60580606E8</v>
      </c>
      <c r="G161" s="24" t="s">
        <v>28</v>
      </c>
      <c r="H161" s="22" t="s">
        <v>27</v>
      </c>
      <c r="I161" s="30" t="s">
        <v>1515</v>
      </c>
      <c r="J161" s="31" t="s">
        <v>123</v>
      </c>
      <c r="K161" s="22" t="s">
        <v>39</v>
      </c>
      <c r="L161" s="35"/>
      <c r="M161" s="38" t="s">
        <v>125</v>
      </c>
      <c r="N161" s="22" t="s">
        <v>56</v>
      </c>
      <c r="O161" s="22" t="s">
        <v>42</v>
      </c>
      <c r="P161" s="26"/>
      <c r="Q161" s="22" t="s">
        <v>49</v>
      </c>
      <c r="R161" s="33" t="s">
        <v>68</v>
      </c>
      <c r="S161" s="40"/>
      <c r="T161" s="28"/>
      <c r="U161" s="34"/>
      <c r="V161" s="26">
        <v>5.0</v>
      </c>
    </row>
    <row r="162" hidden="1">
      <c r="A162" s="17">
        <v>161.0</v>
      </c>
      <c r="B162" s="71">
        <v>46034.0</v>
      </c>
      <c r="C162" s="22" t="s">
        <v>21</v>
      </c>
      <c r="D162" s="22" t="s">
        <v>22</v>
      </c>
      <c r="E162" s="24" t="s">
        <v>1523</v>
      </c>
      <c r="F162" s="17">
        <v>5.55581424E8</v>
      </c>
      <c r="G162" s="24" t="s">
        <v>76</v>
      </c>
      <c r="H162" s="22" t="s">
        <v>27</v>
      </c>
      <c r="I162" s="30" t="s">
        <v>1525</v>
      </c>
      <c r="J162" s="31" t="s">
        <v>123</v>
      </c>
      <c r="K162" s="22" t="s">
        <v>36</v>
      </c>
      <c r="L162" s="35"/>
      <c r="M162" s="38" t="s">
        <v>1389</v>
      </c>
      <c r="N162" s="22" t="s">
        <v>40</v>
      </c>
      <c r="O162" s="22" t="s">
        <v>42</v>
      </c>
      <c r="P162" s="26"/>
      <c r="Q162" s="22" t="s">
        <v>44</v>
      </c>
      <c r="R162" s="33" t="s">
        <v>68</v>
      </c>
      <c r="S162" s="40"/>
      <c r="T162" s="28"/>
      <c r="U162" s="34"/>
      <c r="V162" s="26">
        <v>5.0</v>
      </c>
    </row>
    <row r="163" hidden="1">
      <c r="A163" s="17">
        <v>162.0</v>
      </c>
      <c r="B163" s="71">
        <v>46034.0</v>
      </c>
      <c r="C163" s="22" t="s">
        <v>58</v>
      </c>
      <c r="D163" s="22" t="s">
        <v>84</v>
      </c>
      <c r="E163" s="17" t="s">
        <v>27</v>
      </c>
      <c r="F163" s="17">
        <v>5.92336665E8</v>
      </c>
      <c r="G163" s="31" t="s">
        <v>71</v>
      </c>
      <c r="H163" s="22" t="s">
        <v>27</v>
      </c>
      <c r="I163" s="30" t="s">
        <v>1530</v>
      </c>
      <c r="J163" s="31" t="s">
        <v>1207</v>
      </c>
      <c r="K163" s="22" t="s">
        <v>36</v>
      </c>
      <c r="L163" s="35"/>
      <c r="M163" s="42" t="s">
        <v>88</v>
      </c>
      <c r="N163" s="22" t="s">
        <v>56</v>
      </c>
      <c r="O163" s="22" t="s">
        <v>42</v>
      </c>
      <c r="P163" s="26"/>
      <c r="Q163" s="22" t="s">
        <v>44</v>
      </c>
      <c r="R163" s="33" t="s">
        <v>68</v>
      </c>
      <c r="S163" s="40"/>
      <c r="T163" s="28"/>
      <c r="U163" s="34"/>
      <c r="V163" s="26">
        <v>5.0</v>
      </c>
    </row>
    <row r="164" hidden="1">
      <c r="A164" s="17">
        <v>163.0</v>
      </c>
      <c r="B164" s="71">
        <v>46034.0</v>
      </c>
      <c r="C164" s="22" t="s">
        <v>21</v>
      </c>
      <c r="D164" s="22" t="s">
        <v>22</v>
      </c>
      <c r="E164" s="24" t="s">
        <v>1538</v>
      </c>
      <c r="F164" s="17">
        <v>5.54746139E8</v>
      </c>
      <c r="G164" s="24" t="s">
        <v>1540</v>
      </c>
      <c r="H164" s="22" t="s">
        <v>27</v>
      </c>
      <c r="I164" s="30" t="s">
        <v>1541</v>
      </c>
      <c r="J164" s="31" t="s">
        <v>123</v>
      </c>
      <c r="K164" s="22" t="s">
        <v>36</v>
      </c>
      <c r="L164" s="35"/>
      <c r="M164" s="38" t="s">
        <v>125</v>
      </c>
      <c r="N164" s="22" t="s">
        <v>56</v>
      </c>
      <c r="O164" s="22" t="s">
        <v>42</v>
      </c>
      <c r="P164" s="26"/>
      <c r="Q164" s="22" t="s">
        <v>49</v>
      </c>
      <c r="R164" s="33" t="s">
        <v>68</v>
      </c>
      <c r="S164" s="40"/>
      <c r="T164" s="28"/>
      <c r="U164" s="34"/>
      <c r="V164" s="26">
        <v>5.0</v>
      </c>
    </row>
    <row r="165" hidden="1">
      <c r="A165" s="17">
        <v>164.0</v>
      </c>
      <c r="B165" s="71">
        <v>46034.0</v>
      </c>
      <c r="C165" s="22" t="s">
        <v>21</v>
      </c>
      <c r="D165" s="22" t="s">
        <v>34</v>
      </c>
      <c r="E165" s="17" t="s">
        <v>27</v>
      </c>
      <c r="F165" s="17">
        <v>5.44476075E8</v>
      </c>
      <c r="G165" s="24" t="s">
        <v>41</v>
      </c>
      <c r="H165" s="22" t="s">
        <v>27</v>
      </c>
      <c r="I165" s="30" t="s">
        <v>298</v>
      </c>
      <c r="J165" s="31" t="s">
        <v>1207</v>
      </c>
      <c r="K165" s="22" t="s">
        <v>36</v>
      </c>
      <c r="L165" s="35">
        <v>0.4861111111111111</v>
      </c>
      <c r="M165" s="38" t="s">
        <v>51</v>
      </c>
      <c r="N165" s="22" t="s">
        <v>56</v>
      </c>
      <c r="O165" s="22" t="s">
        <v>42</v>
      </c>
      <c r="P165" s="26"/>
      <c r="Q165" s="22" t="s">
        <v>44</v>
      </c>
      <c r="R165" s="33" t="s">
        <v>68</v>
      </c>
      <c r="S165" s="40"/>
      <c r="T165" s="28"/>
      <c r="U165" s="68" t="s">
        <v>44</v>
      </c>
      <c r="V165" s="26">
        <v>5.0</v>
      </c>
    </row>
    <row r="166" hidden="1">
      <c r="A166" s="17">
        <v>165.0</v>
      </c>
      <c r="B166" s="71">
        <v>46034.0</v>
      </c>
      <c r="C166" s="22" t="s">
        <v>21</v>
      </c>
      <c r="D166" s="22" t="s">
        <v>66</v>
      </c>
      <c r="E166" s="24" t="s">
        <v>1554</v>
      </c>
      <c r="F166" s="17">
        <v>5.99242615E8</v>
      </c>
      <c r="G166" s="24" t="s">
        <v>28</v>
      </c>
      <c r="H166" s="22" t="s">
        <v>27</v>
      </c>
      <c r="I166" s="30" t="s">
        <v>1555</v>
      </c>
      <c r="J166" s="31" t="s">
        <v>1207</v>
      </c>
      <c r="K166" s="22" t="s">
        <v>36</v>
      </c>
      <c r="L166" s="35">
        <v>0.4861111111111111</v>
      </c>
      <c r="M166" s="25" t="s">
        <v>38</v>
      </c>
      <c r="N166" s="22" t="s">
        <v>56</v>
      </c>
      <c r="O166" s="22" t="s">
        <v>42</v>
      </c>
      <c r="P166" s="26"/>
      <c r="Q166" s="22" t="s">
        <v>44</v>
      </c>
      <c r="R166" s="33" t="s">
        <v>68</v>
      </c>
      <c r="S166" s="40"/>
      <c r="T166" s="28"/>
      <c r="U166" s="68" t="s">
        <v>44</v>
      </c>
      <c r="V166" s="26">
        <v>5.0</v>
      </c>
    </row>
    <row r="167" hidden="1">
      <c r="A167" s="17">
        <v>166.0</v>
      </c>
      <c r="B167" s="71">
        <v>46034.0</v>
      </c>
      <c r="C167" s="22" t="s">
        <v>21</v>
      </c>
      <c r="D167" s="22" t="s">
        <v>34</v>
      </c>
      <c r="E167" s="17" t="s">
        <v>27</v>
      </c>
      <c r="F167" s="17">
        <v>5.90765649E8</v>
      </c>
      <c r="G167" s="24" t="s">
        <v>41</v>
      </c>
      <c r="H167" s="17" t="s">
        <v>27</v>
      </c>
      <c r="I167" s="30" t="s">
        <v>298</v>
      </c>
      <c r="J167" s="31" t="s">
        <v>1207</v>
      </c>
      <c r="K167" s="22" t="s">
        <v>36</v>
      </c>
      <c r="L167" s="35">
        <v>0.4861111111111111</v>
      </c>
      <c r="M167" s="38" t="s">
        <v>51</v>
      </c>
      <c r="N167" s="22" t="s">
        <v>56</v>
      </c>
      <c r="O167" s="22" t="s">
        <v>42</v>
      </c>
      <c r="P167" s="26"/>
      <c r="Q167" s="22" t="s">
        <v>44</v>
      </c>
      <c r="R167" s="33" t="s">
        <v>68</v>
      </c>
      <c r="S167" s="40"/>
      <c r="T167" s="28"/>
      <c r="U167" s="68" t="s">
        <v>44</v>
      </c>
      <c r="V167" s="26">
        <v>5.0</v>
      </c>
    </row>
    <row r="168" hidden="1">
      <c r="A168" s="17">
        <v>167.0</v>
      </c>
      <c r="B168" s="71">
        <v>46034.0</v>
      </c>
      <c r="C168" s="22" t="s">
        <v>21</v>
      </c>
      <c r="D168" s="22" t="s">
        <v>92</v>
      </c>
      <c r="E168" s="24" t="s">
        <v>1568</v>
      </c>
      <c r="F168" s="17">
        <v>5.56471399E8</v>
      </c>
      <c r="G168" s="24" t="s">
        <v>41</v>
      </c>
      <c r="H168" s="17" t="s">
        <v>27</v>
      </c>
      <c r="I168" s="30" t="s">
        <v>1571</v>
      </c>
      <c r="J168" s="31" t="s">
        <v>205</v>
      </c>
      <c r="K168" s="22" t="s">
        <v>36</v>
      </c>
      <c r="L168" s="35">
        <v>0.4861111111111111</v>
      </c>
      <c r="M168" s="82" t="s">
        <v>208</v>
      </c>
      <c r="N168" s="22" t="s">
        <v>56</v>
      </c>
      <c r="O168" s="22" t="s">
        <v>42</v>
      </c>
      <c r="P168" s="26"/>
      <c r="Q168" s="22" t="s">
        <v>44</v>
      </c>
      <c r="R168" s="33" t="s">
        <v>68</v>
      </c>
      <c r="S168" s="40"/>
      <c r="T168" s="28"/>
      <c r="U168" s="68" t="s">
        <v>44</v>
      </c>
      <c r="V168" s="26">
        <v>5.0</v>
      </c>
    </row>
    <row r="169" hidden="1">
      <c r="A169" s="17">
        <v>168.0</v>
      </c>
      <c r="B169" s="71">
        <v>46034.0</v>
      </c>
      <c r="C169" s="22" t="s">
        <v>58</v>
      </c>
      <c r="D169" s="22" t="s">
        <v>84</v>
      </c>
      <c r="E169" s="17" t="s">
        <v>27</v>
      </c>
      <c r="F169" s="17">
        <v>5.09876381E8</v>
      </c>
      <c r="G169" s="31" t="s">
        <v>71</v>
      </c>
      <c r="H169" s="22" t="s">
        <v>27</v>
      </c>
      <c r="I169" s="30" t="s">
        <v>1577</v>
      </c>
      <c r="J169" s="31" t="s">
        <v>1207</v>
      </c>
      <c r="K169" s="22" t="s">
        <v>36</v>
      </c>
      <c r="L169" s="35">
        <v>0.4861111111111111</v>
      </c>
      <c r="M169" s="42" t="s">
        <v>88</v>
      </c>
      <c r="N169" s="22" t="s">
        <v>56</v>
      </c>
      <c r="O169" s="22" t="s">
        <v>42</v>
      </c>
      <c r="P169" s="26"/>
      <c r="Q169" s="22" t="s">
        <v>49</v>
      </c>
      <c r="R169" s="33" t="s">
        <v>68</v>
      </c>
      <c r="S169" s="40"/>
      <c r="T169" s="28"/>
      <c r="U169" s="68" t="s">
        <v>44</v>
      </c>
      <c r="V169" s="26">
        <v>5.0</v>
      </c>
    </row>
    <row r="170">
      <c r="A170" s="17">
        <v>169.0</v>
      </c>
      <c r="B170" s="71">
        <v>46034.0</v>
      </c>
      <c r="C170" s="17" t="s">
        <v>47</v>
      </c>
      <c r="D170" s="17" t="s">
        <v>48</v>
      </c>
      <c r="E170" s="24" t="s">
        <v>974</v>
      </c>
      <c r="F170" s="17">
        <v>5.36771572E8</v>
      </c>
      <c r="G170" s="24" t="s">
        <v>41</v>
      </c>
      <c r="H170" s="17" t="s">
        <v>222</v>
      </c>
      <c r="I170" s="30" t="s">
        <v>1583</v>
      </c>
      <c r="J170" s="24" t="s">
        <v>1585</v>
      </c>
      <c r="K170" s="17" t="s">
        <v>36</v>
      </c>
      <c r="L170" s="35">
        <v>0.4861111111111111</v>
      </c>
      <c r="M170" s="75" t="s">
        <v>300</v>
      </c>
      <c r="N170" s="17" t="s">
        <v>56</v>
      </c>
      <c r="O170" s="17"/>
      <c r="P170" s="26"/>
      <c r="Q170" s="17" t="s">
        <v>49</v>
      </c>
      <c r="R170" s="39" t="s">
        <v>46</v>
      </c>
      <c r="S170" s="40"/>
      <c r="T170" s="28"/>
      <c r="U170" s="68" t="s">
        <v>44</v>
      </c>
      <c r="V170" s="26">
        <v>5.0</v>
      </c>
    </row>
    <row r="171" hidden="1">
      <c r="A171" s="17">
        <v>170.0</v>
      </c>
      <c r="B171" s="71">
        <v>46034.0</v>
      </c>
      <c r="C171" s="22" t="s">
        <v>58</v>
      </c>
      <c r="D171" s="22" t="s">
        <v>84</v>
      </c>
      <c r="E171" s="17" t="s">
        <v>27</v>
      </c>
      <c r="F171" s="17">
        <v>5.09064542E8</v>
      </c>
      <c r="G171" s="24" t="s">
        <v>79</v>
      </c>
      <c r="H171" s="22" t="s">
        <v>1591</v>
      </c>
      <c r="I171" s="30" t="s">
        <v>1592</v>
      </c>
      <c r="J171" s="31" t="s">
        <v>1593</v>
      </c>
      <c r="K171" s="22" t="s">
        <v>36</v>
      </c>
      <c r="L171" s="35">
        <v>0.4861111111111111</v>
      </c>
      <c r="M171" s="42" t="s">
        <v>88</v>
      </c>
      <c r="N171" s="22" t="s">
        <v>56</v>
      </c>
      <c r="O171" s="22" t="s">
        <v>42</v>
      </c>
      <c r="P171" s="26"/>
      <c r="Q171" s="22" t="s">
        <v>44</v>
      </c>
      <c r="R171" s="33" t="s">
        <v>68</v>
      </c>
      <c r="S171" s="40"/>
      <c r="T171" s="28"/>
      <c r="U171" s="68" t="s">
        <v>44</v>
      </c>
      <c r="V171" s="26">
        <v>5.0</v>
      </c>
    </row>
    <row r="172" hidden="1">
      <c r="A172" s="17">
        <v>171.0</v>
      </c>
      <c r="B172" s="71">
        <v>46034.0</v>
      </c>
      <c r="C172" s="22" t="s">
        <v>21</v>
      </c>
      <c r="D172" s="22" t="s">
        <v>66</v>
      </c>
      <c r="E172" s="24" t="s">
        <v>1598</v>
      </c>
      <c r="F172" s="17">
        <v>5.32864729E8</v>
      </c>
      <c r="G172" s="31" t="s">
        <v>71</v>
      </c>
      <c r="H172" s="22" t="s">
        <v>27</v>
      </c>
      <c r="I172" s="30" t="s">
        <v>1601</v>
      </c>
      <c r="J172" s="31" t="s">
        <v>1195</v>
      </c>
      <c r="K172" s="22" t="s">
        <v>36</v>
      </c>
      <c r="L172" s="35">
        <v>0.4861111111111111</v>
      </c>
      <c r="M172" s="25" t="s">
        <v>38</v>
      </c>
      <c r="N172" s="22" t="s">
        <v>56</v>
      </c>
      <c r="O172" s="22" t="s">
        <v>42</v>
      </c>
      <c r="P172" s="26"/>
      <c r="Q172" s="22" t="s">
        <v>44</v>
      </c>
      <c r="R172" s="33" t="s">
        <v>68</v>
      </c>
      <c r="S172" s="40"/>
      <c r="T172" s="28"/>
      <c r="U172" s="68" t="s">
        <v>44</v>
      </c>
      <c r="V172" s="26">
        <v>5.0</v>
      </c>
    </row>
    <row r="173" hidden="1">
      <c r="A173" s="17">
        <v>172.0</v>
      </c>
      <c r="B173" s="71">
        <v>46034.0</v>
      </c>
      <c r="C173" s="22" t="s">
        <v>21</v>
      </c>
      <c r="D173" s="22" t="s">
        <v>22</v>
      </c>
      <c r="E173" s="24" t="s">
        <v>1604</v>
      </c>
      <c r="F173" s="17">
        <v>5.05103533E8</v>
      </c>
      <c r="G173" s="24" t="s">
        <v>333</v>
      </c>
      <c r="H173" s="22" t="s">
        <v>27</v>
      </c>
      <c r="I173" s="30" t="s">
        <v>1606</v>
      </c>
      <c r="J173" s="31" t="s">
        <v>123</v>
      </c>
      <c r="K173" s="22" t="s">
        <v>36</v>
      </c>
      <c r="L173" s="35">
        <v>0.4861111111111111</v>
      </c>
      <c r="M173" s="38" t="s">
        <v>125</v>
      </c>
      <c r="N173" s="22" t="s">
        <v>40</v>
      </c>
      <c r="O173" s="22" t="s">
        <v>42</v>
      </c>
      <c r="P173" s="26"/>
      <c r="Q173" s="22" t="s">
        <v>44</v>
      </c>
      <c r="R173" s="33" t="s">
        <v>68</v>
      </c>
      <c r="S173" s="40"/>
      <c r="T173" s="28"/>
      <c r="U173" s="68" t="s">
        <v>44</v>
      </c>
      <c r="V173" s="26">
        <v>5.0</v>
      </c>
    </row>
    <row r="174" hidden="1">
      <c r="A174" s="17">
        <v>173.0</v>
      </c>
      <c r="B174" s="71">
        <v>46034.0</v>
      </c>
      <c r="C174" s="22" t="s">
        <v>58</v>
      </c>
      <c r="D174" s="22" t="s">
        <v>84</v>
      </c>
      <c r="E174" s="17" t="s">
        <v>27</v>
      </c>
      <c r="F174" s="17">
        <v>5.03434358E8</v>
      </c>
      <c r="G174" s="24" t="s">
        <v>112</v>
      </c>
      <c r="H174" s="22" t="s">
        <v>27</v>
      </c>
      <c r="I174" s="30" t="s">
        <v>484</v>
      </c>
      <c r="J174" s="31" t="s">
        <v>123</v>
      </c>
      <c r="K174" s="22" t="s">
        <v>36</v>
      </c>
      <c r="L174" s="35">
        <v>0.4861111111111111</v>
      </c>
      <c r="M174" s="42" t="s">
        <v>88</v>
      </c>
      <c r="N174" s="22" t="s">
        <v>56</v>
      </c>
      <c r="O174" s="22" t="s">
        <v>42</v>
      </c>
      <c r="P174" s="26"/>
      <c r="Q174" s="22" t="s">
        <v>49</v>
      </c>
      <c r="R174" s="33" t="s">
        <v>68</v>
      </c>
      <c r="S174" s="40"/>
      <c r="T174" s="28"/>
      <c r="U174" s="68" t="s">
        <v>44</v>
      </c>
      <c r="V174" s="26">
        <v>5.0</v>
      </c>
    </row>
    <row r="175" hidden="1">
      <c r="A175" s="17">
        <v>174.0</v>
      </c>
      <c r="B175" s="71">
        <v>46034.0</v>
      </c>
      <c r="C175" s="22" t="s">
        <v>21</v>
      </c>
      <c r="D175" s="22" t="s">
        <v>24</v>
      </c>
      <c r="E175" s="24" t="s">
        <v>763</v>
      </c>
      <c r="F175" s="17">
        <v>5.52553317E8</v>
      </c>
      <c r="G175" s="31" t="s">
        <v>120</v>
      </c>
      <c r="H175" s="22" t="s">
        <v>27</v>
      </c>
      <c r="I175" s="30" t="s">
        <v>1618</v>
      </c>
      <c r="J175" s="31" t="s">
        <v>123</v>
      </c>
      <c r="K175" s="22" t="s">
        <v>36</v>
      </c>
      <c r="L175" s="35">
        <v>0.4097222222222222</v>
      </c>
      <c r="M175" s="25" t="s">
        <v>38</v>
      </c>
      <c r="N175" s="22" t="s">
        <v>56</v>
      </c>
      <c r="O175" s="22" t="s">
        <v>42</v>
      </c>
      <c r="P175" s="26"/>
      <c r="Q175" s="22" t="s">
        <v>49</v>
      </c>
      <c r="R175" s="33" t="s">
        <v>46</v>
      </c>
      <c r="S175" s="40"/>
      <c r="T175" s="28"/>
      <c r="U175" s="68" t="s">
        <v>44</v>
      </c>
      <c r="V175" s="26">
        <v>5.0</v>
      </c>
    </row>
    <row r="176" hidden="1">
      <c r="A176" s="17">
        <v>175.0</v>
      </c>
      <c r="B176" s="71">
        <v>46034.0</v>
      </c>
      <c r="C176" s="22" t="s">
        <v>21</v>
      </c>
      <c r="D176" s="22" t="s">
        <v>66</v>
      </c>
      <c r="E176" s="17" t="s">
        <v>1623</v>
      </c>
      <c r="F176" s="17">
        <v>5.3284729E7</v>
      </c>
      <c r="G176" s="31" t="s">
        <v>71</v>
      </c>
      <c r="H176" s="22" t="s">
        <v>27</v>
      </c>
      <c r="I176" s="30" t="s">
        <v>1625</v>
      </c>
      <c r="J176" s="31" t="s">
        <v>123</v>
      </c>
      <c r="K176" s="22" t="s">
        <v>39</v>
      </c>
      <c r="L176" s="35">
        <v>0.7240740740740741</v>
      </c>
      <c r="M176" s="25" t="s">
        <v>38</v>
      </c>
      <c r="N176" s="22" t="s">
        <v>56</v>
      </c>
      <c r="O176" s="22" t="s">
        <v>42</v>
      </c>
      <c r="P176" s="26"/>
      <c r="Q176" s="22" t="s">
        <v>49</v>
      </c>
      <c r="R176" s="33" t="s">
        <v>68</v>
      </c>
      <c r="S176" s="40"/>
      <c r="T176" s="28"/>
      <c r="U176" s="34"/>
      <c r="V176" s="26">
        <v>5.0</v>
      </c>
    </row>
    <row r="177" hidden="1">
      <c r="A177" s="17">
        <v>176.0</v>
      </c>
      <c r="B177" s="71">
        <v>46034.0</v>
      </c>
      <c r="C177" s="22" t="s">
        <v>58</v>
      </c>
      <c r="D177" s="22" t="s">
        <v>84</v>
      </c>
      <c r="E177" s="17" t="s">
        <v>27</v>
      </c>
      <c r="F177" s="22">
        <v>5.67478784E8</v>
      </c>
      <c r="G177" s="17" t="s">
        <v>27</v>
      </c>
      <c r="H177" s="22" t="s">
        <v>27</v>
      </c>
      <c r="I177" s="30" t="s">
        <v>1307</v>
      </c>
      <c r="J177" s="31" t="s">
        <v>1412</v>
      </c>
      <c r="K177" s="22" t="s">
        <v>65</v>
      </c>
      <c r="L177" s="35">
        <v>0.6338773148148148</v>
      </c>
      <c r="M177" s="25" t="s">
        <v>38</v>
      </c>
      <c r="N177" s="22" t="s">
        <v>56</v>
      </c>
      <c r="O177" s="22" t="s">
        <v>42</v>
      </c>
      <c r="P177" s="26"/>
      <c r="Q177" s="22" t="s">
        <v>44</v>
      </c>
      <c r="R177" s="33" t="s">
        <v>68</v>
      </c>
      <c r="S177" s="40"/>
      <c r="T177" s="28"/>
      <c r="U177" s="34"/>
      <c r="V177" s="26">
        <v>5.0</v>
      </c>
    </row>
    <row r="178" hidden="1">
      <c r="A178" s="17">
        <v>177.0</v>
      </c>
      <c r="B178" s="71">
        <v>46034.0</v>
      </c>
      <c r="C178" s="22" t="s">
        <v>58</v>
      </c>
      <c r="D178" s="22" t="s">
        <v>84</v>
      </c>
      <c r="E178" s="17" t="s">
        <v>27</v>
      </c>
      <c r="F178" s="17">
        <v>5.31619869E8</v>
      </c>
      <c r="G178" s="24" t="s">
        <v>112</v>
      </c>
      <c r="H178" s="22" t="s">
        <v>27</v>
      </c>
      <c r="I178" s="30" t="s">
        <v>554</v>
      </c>
      <c r="J178" s="31" t="s">
        <v>969</v>
      </c>
      <c r="K178" s="22" t="s">
        <v>36</v>
      </c>
      <c r="L178" s="35">
        <v>0.6527777777777778</v>
      </c>
      <c r="M178" s="42" t="s">
        <v>88</v>
      </c>
      <c r="N178" s="22" t="s">
        <v>56</v>
      </c>
      <c r="O178" s="22" t="s">
        <v>42</v>
      </c>
      <c r="P178" s="26"/>
      <c r="Q178" s="22" t="s">
        <v>44</v>
      </c>
      <c r="R178" s="33" t="s">
        <v>68</v>
      </c>
      <c r="S178" s="40"/>
      <c r="T178" s="28"/>
      <c r="U178" s="34"/>
      <c r="V178" s="26">
        <v>5.0</v>
      </c>
    </row>
    <row r="179" hidden="1">
      <c r="A179" s="17">
        <v>178.0</v>
      </c>
      <c r="B179" s="71">
        <v>46034.0</v>
      </c>
      <c r="C179" s="22" t="s">
        <v>21</v>
      </c>
      <c r="D179" s="22" t="s">
        <v>24</v>
      </c>
      <c r="E179" s="24" t="s">
        <v>1317</v>
      </c>
      <c r="F179" s="17">
        <v>5.00820194E8</v>
      </c>
      <c r="G179" s="24" t="s">
        <v>333</v>
      </c>
      <c r="H179" s="22" t="s">
        <v>27</v>
      </c>
      <c r="I179" s="30" t="s">
        <v>1639</v>
      </c>
      <c r="J179" s="31" t="s">
        <v>123</v>
      </c>
      <c r="K179" s="22" t="s">
        <v>36</v>
      </c>
      <c r="L179" s="35">
        <v>0.6527777777777778</v>
      </c>
      <c r="M179" s="25" t="s">
        <v>38</v>
      </c>
      <c r="N179" s="22" t="s">
        <v>56</v>
      </c>
      <c r="O179" s="22" t="s">
        <v>42</v>
      </c>
      <c r="P179" s="26"/>
      <c r="Q179" s="22" t="s">
        <v>44</v>
      </c>
      <c r="R179" s="33" t="s">
        <v>46</v>
      </c>
      <c r="S179" s="40"/>
      <c r="T179" s="28"/>
      <c r="U179" s="34"/>
      <c r="V179" s="26">
        <v>5.0</v>
      </c>
    </row>
    <row r="180" hidden="1">
      <c r="A180" s="17">
        <v>179.0</v>
      </c>
      <c r="B180" s="71">
        <v>46035.0</v>
      </c>
      <c r="C180" s="108" t="s">
        <v>21</v>
      </c>
      <c r="D180" s="109" t="s">
        <v>24</v>
      </c>
      <c r="E180" s="110" t="s">
        <v>226</v>
      </c>
      <c r="F180" s="108">
        <v>5.60501701E8</v>
      </c>
      <c r="G180" s="108" t="s">
        <v>211</v>
      </c>
      <c r="H180" s="108" t="s">
        <v>222</v>
      </c>
      <c r="I180" s="111" t="s">
        <v>231</v>
      </c>
      <c r="J180" s="31" t="s">
        <v>123</v>
      </c>
      <c r="K180" s="108" t="s">
        <v>36</v>
      </c>
      <c r="L180" s="35">
        <v>0.4152777777777778</v>
      </c>
      <c r="M180" s="25" t="s">
        <v>38</v>
      </c>
      <c r="N180" s="22" t="s">
        <v>56</v>
      </c>
      <c r="O180" s="108" t="s">
        <v>42</v>
      </c>
      <c r="P180" s="26"/>
      <c r="Q180" s="108" t="s">
        <v>49</v>
      </c>
      <c r="R180" s="33" t="s">
        <v>46</v>
      </c>
      <c r="S180" s="40"/>
      <c r="T180" s="28"/>
      <c r="U180" s="68" t="s">
        <v>44</v>
      </c>
      <c r="V180" s="26">
        <v>5.0</v>
      </c>
    </row>
    <row r="181" hidden="1">
      <c r="A181" s="17">
        <v>180.0</v>
      </c>
      <c r="B181" s="71">
        <v>46035.0</v>
      </c>
      <c r="C181" s="22" t="s">
        <v>58</v>
      </c>
      <c r="D181" s="22" t="s">
        <v>84</v>
      </c>
      <c r="E181" s="17" t="s">
        <v>27</v>
      </c>
      <c r="F181" s="17">
        <v>5.43547002E8</v>
      </c>
      <c r="G181" s="24" t="s">
        <v>79</v>
      </c>
      <c r="H181" s="22" t="s">
        <v>27</v>
      </c>
      <c r="I181" s="30" t="s">
        <v>1659</v>
      </c>
      <c r="J181" s="31" t="s">
        <v>1660</v>
      </c>
      <c r="K181" s="22" t="s">
        <v>36</v>
      </c>
      <c r="L181" s="35"/>
      <c r="M181" s="42" t="s">
        <v>88</v>
      </c>
      <c r="N181" s="22" t="s">
        <v>56</v>
      </c>
      <c r="O181" s="22" t="s">
        <v>42</v>
      </c>
      <c r="P181" s="26"/>
      <c r="Q181" s="22" t="s">
        <v>44</v>
      </c>
      <c r="R181" s="33" t="s">
        <v>68</v>
      </c>
      <c r="S181" s="40"/>
      <c r="T181" s="28"/>
      <c r="U181" s="34"/>
      <c r="V181" s="26">
        <v>5.0</v>
      </c>
    </row>
    <row r="182">
      <c r="A182" s="17">
        <v>181.0</v>
      </c>
      <c r="B182" s="71">
        <v>46035.0</v>
      </c>
      <c r="C182" s="22" t="s">
        <v>47</v>
      </c>
      <c r="D182" s="22" t="s">
        <v>138</v>
      </c>
      <c r="E182" s="24" t="s">
        <v>1663</v>
      </c>
      <c r="F182" s="17" t="s">
        <v>27</v>
      </c>
      <c r="G182" s="108" t="s">
        <v>211</v>
      </c>
      <c r="H182" s="22" t="s">
        <v>146</v>
      </c>
      <c r="I182" s="30" t="s">
        <v>1665</v>
      </c>
      <c r="J182" s="24" t="s">
        <v>377</v>
      </c>
      <c r="K182" s="17" t="s">
        <v>148</v>
      </c>
      <c r="L182" s="35"/>
      <c r="M182" s="25" t="s">
        <v>150</v>
      </c>
      <c r="N182" s="22" t="s">
        <v>56</v>
      </c>
      <c r="O182" s="22"/>
      <c r="P182" s="26"/>
      <c r="Q182" s="22" t="s">
        <v>44</v>
      </c>
      <c r="R182" s="33" t="s">
        <v>46</v>
      </c>
      <c r="S182" s="40"/>
      <c r="T182" s="28"/>
      <c r="U182" s="34"/>
      <c r="V182" s="26">
        <v>5.0</v>
      </c>
    </row>
    <row r="183">
      <c r="A183" s="17">
        <v>182.0</v>
      </c>
      <c r="B183" s="71">
        <v>46035.0</v>
      </c>
      <c r="C183" s="22" t="s">
        <v>47</v>
      </c>
      <c r="D183" s="22" t="s">
        <v>138</v>
      </c>
      <c r="E183" s="24" t="s">
        <v>1671</v>
      </c>
      <c r="F183" s="17">
        <v>5.46795931E8</v>
      </c>
      <c r="G183" s="108" t="s">
        <v>211</v>
      </c>
      <c r="H183" s="22" t="s">
        <v>146</v>
      </c>
      <c r="I183" s="30" t="s">
        <v>1674</v>
      </c>
      <c r="J183" s="24" t="s">
        <v>1675</v>
      </c>
      <c r="K183" s="17" t="s">
        <v>148</v>
      </c>
      <c r="L183" s="35"/>
      <c r="M183" s="25" t="s">
        <v>150</v>
      </c>
      <c r="N183" s="22" t="s">
        <v>56</v>
      </c>
      <c r="O183" s="22"/>
      <c r="P183" s="26"/>
      <c r="Q183" s="22" t="s">
        <v>44</v>
      </c>
      <c r="R183" s="33" t="s">
        <v>46</v>
      </c>
      <c r="S183" s="40"/>
      <c r="T183" s="28"/>
      <c r="U183" s="34"/>
      <c r="V183" s="26">
        <v>5.0</v>
      </c>
    </row>
    <row r="184">
      <c r="A184" s="17">
        <v>183.0</v>
      </c>
      <c r="B184" s="71">
        <v>46035.0</v>
      </c>
      <c r="C184" s="22" t="s">
        <v>47</v>
      </c>
      <c r="D184" s="22" t="s">
        <v>138</v>
      </c>
      <c r="E184" s="17" t="s">
        <v>261</v>
      </c>
      <c r="F184" s="17">
        <v>5.66663326E8</v>
      </c>
      <c r="G184" s="108" t="s">
        <v>211</v>
      </c>
      <c r="H184" s="22" t="s">
        <v>146</v>
      </c>
      <c r="I184" s="30" t="s">
        <v>1680</v>
      </c>
      <c r="J184" s="24" t="s">
        <v>1681</v>
      </c>
      <c r="K184" s="17" t="s">
        <v>148</v>
      </c>
      <c r="L184" s="35"/>
      <c r="M184" s="25" t="s">
        <v>150</v>
      </c>
      <c r="N184" s="22" t="s">
        <v>56</v>
      </c>
      <c r="O184" s="22"/>
      <c r="P184" s="26"/>
      <c r="Q184" s="22" t="s">
        <v>44</v>
      </c>
      <c r="R184" s="33" t="s">
        <v>46</v>
      </c>
      <c r="S184" s="40"/>
      <c r="T184" s="28"/>
      <c r="U184" s="34"/>
      <c r="V184" s="26">
        <v>5.0</v>
      </c>
    </row>
    <row r="185" hidden="1">
      <c r="A185" s="17">
        <v>184.0</v>
      </c>
      <c r="B185" s="71">
        <v>46035.0</v>
      </c>
      <c r="C185" s="22" t="s">
        <v>21</v>
      </c>
      <c r="D185" s="22" t="s">
        <v>24</v>
      </c>
      <c r="E185" s="24" t="s">
        <v>463</v>
      </c>
      <c r="F185" s="17">
        <v>5.80904373E8</v>
      </c>
      <c r="G185" s="24" t="s">
        <v>874</v>
      </c>
      <c r="H185" s="22" t="s">
        <v>27</v>
      </c>
      <c r="I185" s="30" t="s">
        <v>1692</v>
      </c>
      <c r="J185" s="31" t="s">
        <v>123</v>
      </c>
      <c r="K185" s="22" t="s">
        <v>36</v>
      </c>
      <c r="L185" s="35">
        <v>0.6527777777777778</v>
      </c>
      <c r="M185" s="25" t="s">
        <v>38</v>
      </c>
      <c r="N185" s="22" t="s">
        <v>56</v>
      </c>
      <c r="O185" s="22" t="s">
        <v>42</v>
      </c>
      <c r="P185" s="26"/>
      <c r="Q185" s="22" t="s">
        <v>44</v>
      </c>
      <c r="R185" s="33" t="s">
        <v>46</v>
      </c>
      <c r="S185" s="40"/>
      <c r="T185" s="28"/>
      <c r="U185" s="34"/>
      <c r="V185" s="26">
        <v>5.0</v>
      </c>
    </row>
    <row r="186">
      <c r="A186" s="17">
        <v>185.0</v>
      </c>
      <c r="B186" s="71">
        <v>46035.0</v>
      </c>
      <c r="C186" s="17" t="s">
        <v>47</v>
      </c>
      <c r="D186" s="17" t="s">
        <v>48</v>
      </c>
      <c r="E186" s="17" t="s">
        <v>1700</v>
      </c>
      <c r="F186" s="17" t="s">
        <v>27</v>
      </c>
      <c r="G186" s="110" t="s">
        <v>211</v>
      </c>
      <c r="H186" s="110" t="s">
        <v>222</v>
      </c>
      <c r="I186" s="30" t="s">
        <v>1702</v>
      </c>
      <c r="J186" s="24" t="s">
        <v>1704</v>
      </c>
      <c r="K186" s="17" t="s">
        <v>78</v>
      </c>
      <c r="L186" s="35">
        <v>0.6527777777777778</v>
      </c>
      <c r="M186" s="75" t="s">
        <v>555</v>
      </c>
      <c r="N186" s="17" t="s">
        <v>56</v>
      </c>
      <c r="O186" s="17"/>
      <c r="P186" s="26"/>
      <c r="Q186" s="17" t="s">
        <v>49</v>
      </c>
      <c r="R186" s="39" t="s">
        <v>46</v>
      </c>
      <c r="S186" s="40"/>
      <c r="T186" s="28"/>
      <c r="U186" s="34"/>
      <c r="V186" s="26">
        <v>5.0</v>
      </c>
    </row>
    <row r="187" hidden="1">
      <c r="A187" s="17">
        <v>186.0</v>
      </c>
      <c r="B187" s="71">
        <v>46035.0</v>
      </c>
      <c r="C187" s="22" t="s">
        <v>21</v>
      </c>
      <c r="D187" s="22" t="s">
        <v>22</v>
      </c>
      <c r="E187" s="24" t="s">
        <v>1711</v>
      </c>
      <c r="F187" s="17">
        <v>5.57222919E8</v>
      </c>
      <c r="G187" s="113" t="s">
        <v>1712</v>
      </c>
      <c r="H187" s="22" t="s">
        <v>27</v>
      </c>
      <c r="I187" s="30" t="s">
        <v>1713</v>
      </c>
      <c r="J187" s="31" t="s">
        <v>123</v>
      </c>
      <c r="K187" s="22" t="s">
        <v>321</v>
      </c>
      <c r="L187" s="35">
        <v>0.6527777777777778</v>
      </c>
      <c r="M187" s="38" t="s">
        <v>125</v>
      </c>
      <c r="N187" s="22" t="s">
        <v>56</v>
      </c>
      <c r="O187" s="22" t="s">
        <v>42</v>
      </c>
      <c r="P187" s="26"/>
      <c r="Q187" s="22" t="s">
        <v>49</v>
      </c>
      <c r="R187" s="33" t="s">
        <v>68</v>
      </c>
      <c r="S187" s="40"/>
      <c r="T187" s="28"/>
      <c r="U187" s="34"/>
      <c r="V187" s="26">
        <v>5.0</v>
      </c>
    </row>
    <row r="188" hidden="1">
      <c r="A188" s="17">
        <v>187.0</v>
      </c>
      <c r="B188" s="71">
        <v>46035.0</v>
      </c>
      <c r="C188" s="22" t="s">
        <v>58</v>
      </c>
      <c r="D188" s="22" t="s">
        <v>84</v>
      </c>
      <c r="E188" s="17" t="s">
        <v>27</v>
      </c>
      <c r="F188" s="22">
        <v>5.54610194E8</v>
      </c>
      <c r="G188" s="17" t="s">
        <v>27</v>
      </c>
      <c r="H188" s="22" t="s">
        <v>27</v>
      </c>
      <c r="I188" s="30" t="s">
        <v>1724</v>
      </c>
      <c r="J188" s="31" t="s">
        <v>1726</v>
      </c>
      <c r="K188" s="22" t="s">
        <v>36</v>
      </c>
      <c r="L188" s="114">
        <v>0.4791666666666667</v>
      </c>
      <c r="M188" s="42" t="s">
        <v>88</v>
      </c>
      <c r="N188" s="22" t="s">
        <v>56</v>
      </c>
      <c r="O188" s="22" t="s">
        <v>42</v>
      </c>
      <c r="P188" s="26"/>
      <c r="Q188" s="22" t="s">
        <v>44</v>
      </c>
      <c r="R188" s="33" t="s">
        <v>68</v>
      </c>
      <c r="S188" s="40"/>
      <c r="T188" s="28"/>
      <c r="U188" s="34"/>
      <c r="V188" s="26">
        <v>5.0</v>
      </c>
    </row>
    <row r="189" hidden="1">
      <c r="A189" s="17">
        <v>188.0</v>
      </c>
      <c r="B189" s="71">
        <v>46035.0</v>
      </c>
      <c r="C189" s="22" t="s">
        <v>58</v>
      </c>
      <c r="D189" s="22" t="s">
        <v>84</v>
      </c>
      <c r="E189" s="17" t="s">
        <v>27</v>
      </c>
      <c r="F189" s="22">
        <v>5.62159791E8</v>
      </c>
      <c r="G189" s="113" t="s">
        <v>41</v>
      </c>
      <c r="H189" s="109" t="s">
        <v>27</v>
      </c>
      <c r="I189" s="30" t="s">
        <v>1736</v>
      </c>
      <c r="J189" s="56" t="s">
        <v>1738</v>
      </c>
      <c r="K189" s="22" t="s">
        <v>36</v>
      </c>
      <c r="L189" s="35"/>
      <c r="M189" s="42" t="s">
        <v>88</v>
      </c>
      <c r="N189" s="22" t="s">
        <v>56</v>
      </c>
      <c r="O189" s="22" t="s">
        <v>42</v>
      </c>
      <c r="P189" s="26"/>
      <c r="Q189" s="22" t="s">
        <v>44</v>
      </c>
      <c r="R189" s="33" t="s">
        <v>68</v>
      </c>
      <c r="S189" s="40"/>
      <c r="T189" s="28"/>
      <c r="U189" s="34"/>
      <c r="V189" s="26">
        <v>5.0</v>
      </c>
    </row>
    <row r="190" hidden="1">
      <c r="A190" s="17">
        <v>189.0</v>
      </c>
      <c r="B190" s="71">
        <v>46035.0</v>
      </c>
      <c r="C190" s="22" t="s">
        <v>21</v>
      </c>
      <c r="D190" s="22" t="s">
        <v>22</v>
      </c>
      <c r="E190" s="24" t="s">
        <v>1745</v>
      </c>
      <c r="F190" s="22">
        <v>5.5899033E8</v>
      </c>
      <c r="G190" s="113" t="s">
        <v>112</v>
      </c>
      <c r="H190" s="109" t="s">
        <v>27</v>
      </c>
      <c r="I190" s="30" t="s">
        <v>1747</v>
      </c>
      <c r="J190" s="31" t="s">
        <v>123</v>
      </c>
      <c r="K190" s="22" t="s">
        <v>36</v>
      </c>
      <c r="L190" s="35">
        <v>0.6527777777777778</v>
      </c>
      <c r="M190" s="105" t="s">
        <v>1389</v>
      </c>
      <c r="N190" s="96" t="s">
        <v>56</v>
      </c>
      <c r="O190" s="96" t="s">
        <v>42</v>
      </c>
      <c r="P190" s="26"/>
      <c r="Q190" s="96" t="s">
        <v>49</v>
      </c>
      <c r="R190" s="115" t="s">
        <v>68</v>
      </c>
      <c r="S190" s="116"/>
      <c r="T190" s="28"/>
      <c r="U190" s="68" t="s">
        <v>863</v>
      </c>
      <c r="V190" s="26">
        <v>5.0</v>
      </c>
    </row>
    <row r="191">
      <c r="A191" s="17">
        <v>190.0</v>
      </c>
      <c r="B191" s="71">
        <v>46035.0</v>
      </c>
      <c r="C191" s="17" t="s">
        <v>47</v>
      </c>
      <c r="D191" s="17" t="s">
        <v>92</v>
      </c>
      <c r="E191" s="24" t="s">
        <v>276</v>
      </c>
      <c r="F191" s="17">
        <v>5.9800317E8</v>
      </c>
      <c r="G191" s="117" t="s">
        <v>172</v>
      </c>
      <c r="H191" s="118" t="s">
        <v>1150</v>
      </c>
      <c r="I191" s="30" t="s">
        <v>1760</v>
      </c>
      <c r="J191" s="24" t="s">
        <v>1761</v>
      </c>
      <c r="K191" s="17" t="s">
        <v>36</v>
      </c>
      <c r="L191" s="35">
        <v>0.7006944444444444</v>
      </c>
      <c r="M191" s="20" t="s">
        <v>101</v>
      </c>
      <c r="N191" s="17" t="s">
        <v>40</v>
      </c>
      <c r="O191" s="17"/>
      <c r="P191" s="26"/>
      <c r="Q191" s="17" t="s">
        <v>49</v>
      </c>
      <c r="R191" s="39" t="s">
        <v>46</v>
      </c>
      <c r="S191" s="119"/>
      <c r="T191" s="28"/>
      <c r="U191" s="68" t="s">
        <v>49</v>
      </c>
      <c r="V191" s="26">
        <v>5.0</v>
      </c>
    </row>
    <row r="192" ht="98.25" hidden="1" customHeight="1">
      <c r="A192" s="17">
        <v>191.0</v>
      </c>
      <c r="B192" s="71">
        <v>46035.0</v>
      </c>
      <c r="C192" s="22" t="s">
        <v>21</v>
      </c>
      <c r="D192" s="22" t="s">
        <v>34</v>
      </c>
      <c r="E192" s="24" t="s">
        <v>1777</v>
      </c>
      <c r="F192" s="22">
        <v>5.31182488E8</v>
      </c>
      <c r="G192" s="113" t="s">
        <v>198</v>
      </c>
      <c r="H192" s="109" t="s">
        <v>27</v>
      </c>
      <c r="I192" s="30" t="s">
        <v>1778</v>
      </c>
      <c r="J192" s="31" t="s">
        <v>123</v>
      </c>
      <c r="K192" s="22" t="s">
        <v>39</v>
      </c>
      <c r="L192" s="35"/>
      <c r="M192" s="105" t="s">
        <v>208</v>
      </c>
      <c r="N192" s="96" t="s">
        <v>56</v>
      </c>
      <c r="O192" s="96" t="s">
        <v>42</v>
      </c>
      <c r="P192" s="26"/>
      <c r="Q192" s="96" t="s">
        <v>49</v>
      </c>
      <c r="R192" s="115" t="s">
        <v>68</v>
      </c>
      <c r="S192" s="116"/>
      <c r="T192" s="28"/>
      <c r="U192" s="34"/>
      <c r="V192" s="26">
        <v>5.0</v>
      </c>
    </row>
    <row r="193">
      <c r="A193" s="17">
        <v>192.0</v>
      </c>
      <c r="B193" s="71">
        <v>46035.0</v>
      </c>
      <c r="C193" s="17" t="s">
        <v>47</v>
      </c>
      <c r="D193" s="17" t="s">
        <v>48</v>
      </c>
      <c r="E193" s="24" t="s">
        <v>1788</v>
      </c>
      <c r="F193" s="17">
        <v>5.56160932E8</v>
      </c>
      <c r="G193" s="117" t="s">
        <v>211</v>
      </c>
      <c r="H193" s="118" t="s">
        <v>52</v>
      </c>
      <c r="I193" s="30" t="s">
        <v>1790</v>
      </c>
      <c r="J193" s="24" t="s">
        <v>1791</v>
      </c>
      <c r="K193" s="17" t="s">
        <v>36</v>
      </c>
      <c r="L193" s="35"/>
      <c r="M193" s="120" t="s">
        <v>55</v>
      </c>
      <c r="N193" s="17" t="s">
        <v>56</v>
      </c>
      <c r="O193" s="17"/>
      <c r="P193" s="26"/>
      <c r="Q193" s="17" t="s">
        <v>44</v>
      </c>
      <c r="R193" s="39" t="s">
        <v>46</v>
      </c>
      <c r="S193" s="119"/>
      <c r="T193" s="28"/>
      <c r="U193" s="34"/>
      <c r="V193" s="26">
        <v>5.0</v>
      </c>
    </row>
    <row r="194" hidden="1">
      <c r="A194" s="17">
        <v>193.0</v>
      </c>
      <c r="B194" s="71">
        <v>46035.0</v>
      </c>
      <c r="C194" s="22" t="s">
        <v>21</v>
      </c>
      <c r="D194" s="22" t="s">
        <v>22</v>
      </c>
      <c r="E194" s="24" t="s">
        <v>1793</v>
      </c>
      <c r="F194" s="22">
        <v>5.09940095E8</v>
      </c>
      <c r="G194" s="31" t="s">
        <v>120</v>
      </c>
      <c r="H194" s="109" t="s">
        <v>27</v>
      </c>
      <c r="I194" s="30" t="s">
        <v>1796</v>
      </c>
      <c r="J194" s="31" t="s">
        <v>32</v>
      </c>
      <c r="K194" s="22" t="s">
        <v>62</v>
      </c>
      <c r="L194" s="35"/>
      <c r="M194" s="38" t="s">
        <v>125</v>
      </c>
      <c r="N194" s="22" t="s">
        <v>40</v>
      </c>
      <c r="O194" s="22" t="s">
        <v>42</v>
      </c>
      <c r="P194" s="26"/>
      <c r="Q194" s="22" t="s">
        <v>44</v>
      </c>
      <c r="R194" s="33" t="s">
        <v>68</v>
      </c>
      <c r="S194" s="40"/>
      <c r="T194" s="28"/>
      <c r="U194" s="34"/>
      <c r="V194" s="26">
        <v>5.0</v>
      </c>
    </row>
    <row r="195" hidden="1">
      <c r="A195" s="17">
        <v>194.0</v>
      </c>
      <c r="B195" s="71">
        <v>46035.0</v>
      </c>
      <c r="C195" s="22" t="s">
        <v>21</v>
      </c>
      <c r="D195" s="22" t="s">
        <v>66</v>
      </c>
      <c r="E195" s="24" t="s">
        <v>1802</v>
      </c>
      <c r="F195" s="22">
        <v>5.62927993E8</v>
      </c>
      <c r="G195" s="31" t="s">
        <v>120</v>
      </c>
      <c r="H195" s="109" t="s">
        <v>27</v>
      </c>
      <c r="I195" s="30" t="s">
        <v>1805</v>
      </c>
      <c r="J195" s="31" t="s">
        <v>1806</v>
      </c>
      <c r="K195" s="22" t="s">
        <v>36</v>
      </c>
      <c r="L195" s="35"/>
      <c r="M195" s="25" t="s">
        <v>38</v>
      </c>
      <c r="N195" s="22" t="s">
        <v>56</v>
      </c>
      <c r="O195" s="22" t="s">
        <v>42</v>
      </c>
      <c r="P195" s="26"/>
      <c r="Q195" s="22" t="s">
        <v>44</v>
      </c>
      <c r="R195" s="33" t="s">
        <v>68</v>
      </c>
      <c r="S195" s="40"/>
      <c r="T195" s="28"/>
      <c r="U195" s="34"/>
      <c r="V195" s="26">
        <v>5.0</v>
      </c>
    </row>
    <row r="196" hidden="1">
      <c r="A196" s="17">
        <v>195.0</v>
      </c>
      <c r="B196" s="71">
        <v>46035.0</v>
      </c>
      <c r="C196" s="22" t="s">
        <v>21</v>
      </c>
      <c r="D196" s="22" t="s">
        <v>66</v>
      </c>
      <c r="E196" s="24" t="s">
        <v>463</v>
      </c>
      <c r="F196" s="22">
        <v>5.5846979E8</v>
      </c>
      <c r="G196" s="113" t="s">
        <v>28</v>
      </c>
      <c r="H196" s="109" t="s">
        <v>27</v>
      </c>
      <c r="I196" s="30" t="s">
        <v>1812</v>
      </c>
      <c r="J196" s="31" t="s">
        <v>1806</v>
      </c>
      <c r="K196" s="22" t="s">
        <v>36</v>
      </c>
      <c r="L196" s="35"/>
      <c r="M196" s="25" t="s">
        <v>38</v>
      </c>
      <c r="N196" s="22" t="s">
        <v>56</v>
      </c>
      <c r="O196" s="22" t="s">
        <v>42</v>
      </c>
      <c r="P196" s="26"/>
      <c r="Q196" s="22" t="s">
        <v>44</v>
      </c>
      <c r="R196" s="33" t="s">
        <v>68</v>
      </c>
      <c r="S196" s="40"/>
      <c r="T196" s="28"/>
      <c r="U196" s="34"/>
      <c r="V196" s="26">
        <v>5.0</v>
      </c>
    </row>
    <row r="197" hidden="1">
      <c r="A197" s="17">
        <v>196.0</v>
      </c>
      <c r="B197" s="71">
        <v>46035.0</v>
      </c>
      <c r="C197" s="22" t="s">
        <v>21</v>
      </c>
      <c r="D197" s="22" t="s">
        <v>22</v>
      </c>
      <c r="E197" s="24" t="s">
        <v>1820</v>
      </c>
      <c r="F197" s="22">
        <v>5.58121542E8</v>
      </c>
      <c r="G197" s="113" t="s">
        <v>237</v>
      </c>
      <c r="H197" s="109" t="s">
        <v>27</v>
      </c>
      <c r="I197" s="30" t="s">
        <v>1822</v>
      </c>
      <c r="J197" s="31" t="s">
        <v>123</v>
      </c>
      <c r="K197" s="22" t="s">
        <v>36</v>
      </c>
      <c r="L197" s="35"/>
      <c r="M197" s="105" t="s">
        <v>1389</v>
      </c>
      <c r="N197" s="96" t="s">
        <v>40</v>
      </c>
      <c r="O197" s="96" t="s">
        <v>42</v>
      </c>
      <c r="P197" s="26"/>
      <c r="Q197" s="96" t="s">
        <v>44</v>
      </c>
      <c r="R197" s="115" t="s">
        <v>68</v>
      </c>
      <c r="S197" s="116"/>
      <c r="T197" s="28"/>
      <c r="U197" s="97"/>
      <c r="V197" s="26">
        <v>5.0</v>
      </c>
    </row>
    <row r="198" hidden="1">
      <c r="A198" s="17">
        <v>197.0</v>
      </c>
      <c r="B198" s="71">
        <v>46035.0</v>
      </c>
      <c r="C198" s="22" t="s">
        <v>21</v>
      </c>
      <c r="D198" s="22" t="s">
        <v>24</v>
      </c>
      <c r="E198" s="24" t="s">
        <v>1831</v>
      </c>
      <c r="F198" s="22">
        <v>5.80904373E8</v>
      </c>
      <c r="G198" s="113" t="s">
        <v>874</v>
      </c>
      <c r="H198" s="109" t="s">
        <v>27</v>
      </c>
      <c r="I198" s="30" t="s">
        <v>1832</v>
      </c>
      <c r="J198" s="31" t="s">
        <v>123</v>
      </c>
      <c r="K198" s="22" t="s">
        <v>36</v>
      </c>
      <c r="L198" s="35"/>
      <c r="M198" s="25" t="s">
        <v>38</v>
      </c>
      <c r="N198" s="17" t="s">
        <v>56</v>
      </c>
      <c r="O198" s="17" t="s">
        <v>42</v>
      </c>
      <c r="P198" s="26"/>
      <c r="Q198" s="17" t="s">
        <v>44</v>
      </c>
      <c r="R198" s="39" t="s">
        <v>46</v>
      </c>
      <c r="S198" s="119"/>
      <c r="T198" s="28"/>
      <c r="U198" s="34"/>
      <c r="V198" s="26">
        <v>5.0</v>
      </c>
    </row>
    <row r="199" hidden="1">
      <c r="A199" s="17">
        <v>198.0</v>
      </c>
      <c r="B199" s="71">
        <v>46035.0</v>
      </c>
      <c r="C199" s="22" t="s">
        <v>21</v>
      </c>
      <c r="D199" s="22" t="s">
        <v>66</v>
      </c>
      <c r="E199" s="24" t="s">
        <v>1837</v>
      </c>
      <c r="F199" s="22">
        <v>5.43671288E8</v>
      </c>
      <c r="G199" s="31" t="s">
        <v>71</v>
      </c>
      <c r="H199" s="109" t="s">
        <v>27</v>
      </c>
      <c r="I199" s="30" t="s">
        <v>1840</v>
      </c>
      <c r="J199" s="31" t="s">
        <v>1806</v>
      </c>
      <c r="K199" s="22" t="s">
        <v>36</v>
      </c>
      <c r="L199" s="35"/>
      <c r="M199" s="25" t="s">
        <v>38</v>
      </c>
      <c r="N199" s="96" t="s">
        <v>56</v>
      </c>
      <c r="O199" s="96" t="s">
        <v>42</v>
      </c>
      <c r="P199" s="26"/>
      <c r="Q199" s="96" t="s">
        <v>44</v>
      </c>
      <c r="R199" s="115" t="s">
        <v>68</v>
      </c>
      <c r="S199" s="116"/>
      <c r="T199" s="28"/>
      <c r="U199" s="34"/>
      <c r="V199" s="26">
        <v>5.0</v>
      </c>
    </row>
    <row r="200" hidden="1">
      <c r="A200" s="17">
        <v>199.0</v>
      </c>
      <c r="B200" s="71">
        <v>46035.0</v>
      </c>
      <c r="C200" s="22" t="s">
        <v>58</v>
      </c>
      <c r="D200" s="22" t="s">
        <v>84</v>
      </c>
      <c r="E200" s="17" t="s">
        <v>27</v>
      </c>
      <c r="F200" s="22">
        <v>5.07215331E8</v>
      </c>
      <c r="G200" s="113" t="s">
        <v>112</v>
      </c>
      <c r="H200" s="109" t="s">
        <v>27</v>
      </c>
      <c r="I200" s="30" t="s">
        <v>554</v>
      </c>
      <c r="J200" s="31" t="s">
        <v>969</v>
      </c>
      <c r="K200" s="22" t="s">
        <v>36</v>
      </c>
      <c r="L200" s="35"/>
      <c r="M200" s="42" t="s">
        <v>88</v>
      </c>
      <c r="N200" s="17" t="s">
        <v>56</v>
      </c>
      <c r="O200" s="17" t="s">
        <v>42</v>
      </c>
      <c r="P200" s="26"/>
      <c r="Q200" s="17" t="s">
        <v>44</v>
      </c>
      <c r="R200" s="39" t="s">
        <v>68</v>
      </c>
      <c r="S200" s="119"/>
      <c r="T200" s="28"/>
      <c r="U200" s="34"/>
      <c r="V200" s="26">
        <v>5.0</v>
      </c>
    </row>
    <row r="201" hidden="1">
      <c r="A201" s="17">
        <v>200.0</v>
      </c>
      <c r="B201" s="71">
        <v>46036.0</v>
      </c>
      <c r="C201" s="22" t="s">
        <v>58</v>
      </c>
      <c r="D201" s="22" t="s">
        <v>84</v>
      </c>
      <c r="E201" s="17" t="s">
        <v>27</v>
      </c>
      <c r="F201" s="22">
        <v>5.81114492E8</v>
      </c>
      <c r="G201" s="113" t="s">
        <v>41</v>
      </c>
      <c r="H201" s="109" t="s">
        <v>27</v>
      </c>
      <c r="I201" s="30" t="s">
        <v>1854</v>
      </c>
      <c r="J201" s="31" t="s">
        <v>1855</v>
      </c>
      <c r="K201" s="22" t="s">
        <v>36</v>
      </c>
      <c r="L201" s="35"/>
      <c r="M201" s="42" t="s">
        <v>88</v>
      </c>
      <c r="N201" s="96" t="s">
        <v>56</v>
      </c>
      <c r="O201" s="96" t="s">
        <v>42</v>
      </c>
      <c r="P201" s="26"/>
      <c r="Q201" s="96" t="s">
        <v>44</v>
      </c>
      <c r="R201" s="115" t="s">
        <v>68</v>
      </c>
      <c r="S201" s="116"/>
      <c r="T201" s="28"/>
      <c r="U201" s="34"/>
      <c r="V201" s="26">
        <v>5.0</v>
      </c>
    </row>
    <row r="202" hidden="1">
      <c r="A202" s="17">
        <v>201.0</v>
      </c>
      <c r="B202" s="71">
        <v>46036.0</v>
      </c>
      <c r="C202" s="22" t="s">
        <v>58</v>
      </c>
      <c r="D202" s="22" t="s">
        <v>84</v>
      </c>
      <c r="E202" s="24" t="s">
        <v>763</v>
      </c>
      <c r="F202" s="22">
        <v>5.38851155E8</v>
      </c>
      <c r="G202" s="24" t="s">
        <v>79</v>
      </c>
      <c r="H202" s="22" t="s">
        <v>27</v>
      </c>
      <c r="I202" s="30" t="s">
        <v>1865</v>
      </c>
      <c r="J202" s="31" t="s">
        <v>123</v>
      </c>
      <c r="K202" s="22" t="s">
        <v>36</v>
      </c>
      <c r="L202" s="35"/>
      <c r="M202" s="42" t="s">
        <v>88</v>
      </c>
      <c r="N202" s="17" t="s">
        <v>56</v>
      </c>
      <c r="O202" s="17" t="s">
        <v>42</v>
      </c>
      <c r="P202" s="26"/>
      <c r="Q202" s="17" t="s">
        <v>49</v>
      </c>
      <c r="R202" s="39" t="s">
        <v>68</v>
      </c>
      <c r="S202" s="119"/>
      <c r="T202" s="28"/>
      <c r="U202" s="34"/>
      <c r="V202" s="26">
        <v>5.0</v>
      </c>
    </row>
    <row r="203" hidden="1">
      <c r="A203" s="17">
        <v>202.0</v>
      </c>
      <c r="B203" s="71">
        <v>46036.0</v>
      </c>
      <c r="C203" s="22" t="s">
        <v>21</v>
      </c>
      <c r="D203" s="22" t="s">
        <v>24</v>
      </c>
      <c r="E203" s="24" t="s">
        <v>1871</v>
      </c>
      <c r="F203" s="22">
        <v>5.53978983E8</v>
      </c>
      <c r="G203" s="113" t="s">
        <v>41</v>
      </c>
      <c r="H203" s="109" t="s">
        <v>27</v>
      </c>
      <c r="I203" s="30" t="s">
        <v>1872</v>
      </c>
      <c r="J203" s="31" t="s">
        <v>123</v>
      </c>
      <c r="K203" s="22" t="s">
        <v>62</v>
      </c>
      <c r="L203" s="35"/>
      <c r="M203" s="25" t="s">
        <v>38</v>
      </c>
      <c r="N203" s="96" t="s">
        <v>56</v>
      </c>
      <c r="O203" s="96" t="s">
        <v>42</v>
      </c>
      <c r="P203" s="26"/>
      <c r="Q203" s="96" t="s">
        <v>44</v>
      </c>
      <c r="R203" s="115" t="s">
        <v>46</v>
      </c>
      <c r="S203" s="116"/>
      <c r="T203" s="28"/>
      <c r="U203" s="34"/>
      <c r="V203" s="26">
        <v>5.0</v>
      </c>
    </row>
    <row r="204">
      <c r="A204" s="17">
        <v>203.0</v>
      </c>
      <c r="B204" s="71">
        <v>46036.0</v>
      </c>
      <c r="C204" s="22" t="s">
        <v>47</v>
      </c>
      <c r="D204" s="22" t="s">
        <v>138</v>
      </c>
      <c r="E204" s="24" t="s">
        <v>1671</v>
      </c>
      <c r="F204" s="22">
        <v>5.41733366E8</v>
      </c>
      <c r="G204" s="24" t="s">
        <v>79</v>
      </c>
      <c r="H204" s="109" t="s">
        <v>431</v>
      </c>
      <c r="I204" s="30" t="s">
        <v>1880</v>
      </c>
      <c r="J204" s="24" t="s">
        <v>1881</v>
      </c>
      <c r="K204" s="17" t="s">
        <v>148</v>
      </c>
      <c r="L204" s="35"/>
      <c r="M204" s="25" t="s">
        <v>150</v>
      </c>
      <c r="N204" s="17" t="s">
        <v>56</v>
      </c>
      <c r="O204" s="17"/>
      <c r="P204" s="26"/>
      <c r="Q204" s="17" t="s">
        <v>44</v>
      </c>
      <c r="R204" s="39" t="s">
        <v>46</v>
      </c>
      <c r="S204" s="119"/>
      <c r="T204" s="28"/>
      <c r="U204" s="34"/>
      <c r="V204" s="26">
        <v>5.0</v>
      </c>
    </row>
    <row r="205">
      <c r="A205" s="17">
        <v>204.0</v>
      </c>
      <c r="B205" s="71">
        <v>46036.0</v>
      </c>
      <c r="C205" s="22" t="s">
        <v>47</v>
      </c>
      <c r="D205" s="22" t="s">
        <v>138</v>
      </c>
      <c r="E205" s="24" t="s">
        <v>1886</v>
      </c>
      <c r="F205" s="22">
        <v>5.50487278E8</v>
      </c>
      <c r="G205" s="24" t="s">
        <v>79</v>
      </c>
      <c r="H205" s="109" t="s">
        <v>178</v>
      </c>
      <c r="I205" s="30" t="s">
        <v>1889</v>
      </c>
      <c r="J205" s="24" t="s">
        <v>1891</v>
      </c>
      <c r="K205" s="17" t="s">
        <v>148</v>
      </c>
      <c r="L205" s="35"/>
      <c r="M205" s="27" t="s">
        <v>323</v>
      </c>
      <c r="N205" s="96" t="s">
        <v>56</v>
      </c>
      <c r="O205" s="96"/>
      <c r="P205" s="26"/>
      <c r="Q205" s="96" t="s">
        <v>44</v>
      </c>
      <c r="R205" s="115" t="s">
        <v>46</v>
      </c>
      <c r="S205" s="116"/>
      <c r="T205" s="28"/>
      <c r="U205" s="34"/>
      <c r="V205" s="26">
        <v>5.0</v>
      </c>
    </row>
    <row r="206" hidden="1">
      <c r="A206" s="17">
        <v>205.0</v>
      </c>
      <c r="B206" s="71">
        <v>46036.0</v>
      </c>
      <c r="C206" s="22" t="s">
        <v>21</v>
      </c>
      <c r="D206" s="22" t="s">
        <v>22</v>
      </c>
      <c r="E206" s="24" t="s">
        <v>1899</v>
      </c>
      <c r="F206" s="22">
        <v>5.04747588E8</v>
      </c>
      <c r="G206" s="113" t="s">
        <v>76</v>
      </c>
      <c r="H206" s="109" t="s">
        <v>27</v>
      </c>
      <c r="I206" s="30" t="s">
        <v>1903</v>
      </c>
      <c r="J206" s="31" t="s">
        <v>32</v>
      </c>
      <c r="K206" s="22" t="s">
        <v>36</v>
      </c>
      <c r="L206" s="35"/>
      <c r="M206" s="107" t="s">
        <v>1389</v>
      </c>
      <c r="N206" s="17" t="s">
        <v>40</v>
      </c>
      <c r="O206" s="17" t="s">
        <v>42</v>
      </c>
      <c r="P206" s="26"/>
      <c r="Q206" s="17" t="s">
        <v>44</v>
      </c>
      <c r="R206" s="39" t="s">
        <v>68</v>
      </c>
      <c r="S206" s="119"/>
      <c r="T206" s="28"/>
      <c r="U206" s="34"/>
      <c r="V206" s="26">
        <v>5.0</v>
      </c>
    </row>
    <row r="207" hidden="1">
      <c r="A207" s="17">
        <v>206.0</v>
      </c>
      <c r="B207" s="71">
        <v>46036.0</v>
      </c>
      <c r="C207" s="22" t="s">
        <v>21</v>
      </c>
      <c r="D207" s="22" t="s">
        <v>22</v>
      </c>
      <c r="E207" s="24" t="s">
        <v>1911</v>
      </c>
      <c r="F207" s="22">
        <v>5.91014566E8</v>
      </c>
      <c r="G207" s="31" t="s">
        <v>120</v>
      </c>
      <c r="H207" s="109" t="s">
        <v>27</v>
      </c>
      <c r="I207" s="30" t="s">
        <v>1913</v>
      </c>
      <c r="J207" s="31" t="s">
        <v>32</v>
      </c>
      <c r="K207" s="22" t="s">
        <v>36</v>
      </c>
      <c r="L207" s="35"/>
      <c r="M207" s="38" t="s">
        <v>125</v>
      </c>
      <c r="N207" s="22" t="s">
        <v>40</v>
      </c>
      <c r="O207" s="22" t="s">
        <v>42</v>
      </c>
      <c r="P207" s="26"/>
      <c r="Q207" s="22" t="s">
        <v>44</v>
      </c>
      <c r="R207" s="33" t="s">
        <v>68</v>
      </c>
      <c r="S207" s="40"/>
      <c r="T207" s="28"/>
      <c r="U207" s="34"/>
      <c r="V207" s="26">
        <v>5.0</v>
      </c>
    </row>
    <row r="208" hidden="1">
      <c r="A208" s="17">
        <v>207.0</v>
      </c>
      <c r="B208" s="71">
        <v>46036.0</v>
      </c>
      <c r="C208" s="22" t="s">
        <v>58</v>
      </c>
      <c r="D208" s="22" t="s">
        <v>84</v>
      </c>
      <c r="E208" s="17" t="s">
        <v>27</v>
      </c>
      <c r="F208" s="22">
        <v>5.05836994E8</v>
      </c>
      <c r="G208" s="113" t="s">
        <v>112</v>
      </c>
      <c r="H208" s="109" t="s">
        <v>27</v>
      </c>
      <c r="I208" s="30" t="s">
        <v>554</v>
      </c>
      <c r="J208" s="31" t="s">
        <v>969</v>
      </c>
      <c r="K208" s="22" t="s">
        <v>36</v>
      </c>
      <c r="L208" s="35"/>
      <c r="M208" s="42" t="s">
        <v>88</v>
      </c>
      <c r="N208" s="22" t="s">
        <v>56</v>
      </c>
      <c r="O208" s="22" t="s">
        <v>42</v>
      </c>
      <c r="P208" s="26"/>
      <c r="Q208" s="22" t="s">
        <v>44</v>
      </c>
      <c r="R208" s="33" t="s">
        <v>68</v>
      </c>
      <c r="S208" s="40"/>
      <c r="T208" s="28"/>
      <c r="U208" s="34"/>
      <c r="V208" s="26">
        <v>5.0</v>
      </c>
    </row>
    <row r="209" hidden="1">
      <c r="A209" s="17">
        <v>208.0</v>
      </c>
      <c r="B209" s="71">
        <v>46036.0</v>
      </c>
      <c r="C209" s="22" t="s">
        <v>21</v>
      </c>
      <c r="D209" s="22" t="s">
        <v>22</v>
      </c>
      <c r="E209" s="24" t="s">
        <v>1926</v>
      </c>
      <c r="F209" s="22">
        <v>5.70768751E8</v>
      </c>
      <c r="G209" s="31" t="s">
        <v>120</v>
      </c>
      <c r="H209" s="109" t="s">
        <v>27</v>
      </c>
      <c r="I209" s="30" t="s">
        <v>1929</v>
      </c>
      <c r="J209" s="31" t="s">
        <v>32</v>
      </c>
      <c r="K209" s="22" t="s">
        <v>36</v>
      </c>
      <c r="L209" s="35">
        <v>0.6527777777777778</v>
      </c>
      <c r="M209" s="105" t="s">
        <v>1389</v>
      </c>
      <c r="N209" s="96" t="s">
        <v>40</v>
      </c>
      <c r="O209" s="96" t="s">
        <v>42</v>
      </c>
      <c r="P209" s="26"/>
      <c r="Q209" s="96" t="s">
        <v>44</v>
      </c>
      <c r="R209" s="115" t="s">
        <v>68</v>
      </c>
      <c r="S209" s="116"/>
      <c r="T209" s="28"/>
      <c r="U209" s="68" t="s">
        <v>863</v>
      </c>
      <c r="V209" s="26">
        <v>5.0</v>
      </c>
    </row>
    <row r="210" hidden="1">
      <c r="A210" s="17">
        <v>209.0</v>
      </c>
      <c r="B210" s="71">
        <v>46036.0</v>
      </c>
      <c r="C210" s="22" t="s">
        <v>58</v>
      </c>
      <c r="D210" s="22" t="s">
        <v>84</v>
      </c>
      <c r="E210" s="17" t="s">
        <v>27</v>
      </c>
      <c r="F210" s="22">
        <v>5.5561168E8</v>
      </c>
      <c r="G210" s="31" t="s">
        <v>71</v>
      </c>
      <c r="H210" s="109" t="s">
        <v>27</v>
      </c>
      <c r="I210" s="30" t="s">
        <v>1935</v>
      </c>
      <c r="J210" s="31" t="s">
        <v>123</v>
      </c>
      <c r="K210" s="22" t="s">
        <v>36</v>
      </c>
      <c r="L210" s="35"/>
      <c r="M210" s="42" t="s">
        <v>88</v>
      </c>
      <c r="N210" s="17" t="s">
        <v>56</v>
      </c>
      <c r="O210" s="17" t="s">
        <v>42</v>
      </c>
      <c r="P210" s="26"/>
      <c r="Q210" s="17" t="s">
        <v>44</v>
      </c>
      <c r="R210" s="39" t="s">
        <v>68</v>
      </c>
      <c r="S210" s="119"/>
      <c r="T210" s="28"/>
      <c r="U210" s="34"/>
      <c r="V210" s="26">
        <v>5.0</v>
      </c>
    </row>
    <row r="211" hidden="1">
      <c r="A211" s="17">
        <v>210.0</v>
      </c>
      <c r="B211" s="71">
        <v>46036.0</v>
      </c>
      <c r="C211" s="22" t="s">
        <v>58</v>
      </c>
      <c r="D211" s="22" t="s">
        <v>84</v>
      </c>
      <c r="E211" s="17" t="s">
        <v>27</v>
      </c>
      <c r="F211" s="22">
        <v>5.59784639E8</v>
      </c>
      <c r="G211" s="113" t="s">
        <v>28</v>
      </c>
      <c r="H211" s="109" t="s">
        <v>27</v>
      </c>
      <c r="I211" s="30" t="s">
        <v>1939</v>
      </c>
      <c r="J211" s="31" t="s">
        <v>1940</v>
      </c>
      <c r="K211" s="22" t="s">
        <v>36</v>
      </c>
      <c r="L211" s="35"/>
      <c r="M211" s="42" t="s">
        <v>88</v>
      </c>
      <c r="N211" s="96" t="s">
        <v>56</v>
      </c>
      <c r="O211" s="96" t="s">
        <v>42</v>
      </c>
      <c r="P211" s="26"/>
      <c r="Q211" s="96" t="s">
        <v>49</v>
      </c>
      <c r="R211" s="115" t="s">
        <v>68</v>
      </c>
      <c r="S211" s="116"/>
      <c r="T211" s="28"/>
      <c r="U211" s="34"/>
      <c r="V211" s="26">
        <v>5.0</v>
      </c>
    </row>
    <row r="212" hidden="1">
      <c r="A212" s="17">
        <v>211.0</v>
      </c>
      <c r="B212" s="71">
        <v>46036.0</v>
      </c>
      <c r="C212" s="22" t="s">
        <v>58</v>
      </c>
      <c r="D212" s="22" t="s">
        <v>84</v>
      </c>
      <c r="E212" s="17" t="s">
        <v>27</v>
      </c>
      <c r="F212" s="22">
        <v>5.09028648E8</v>
      </c>
      <c r="G212" s="113" t="s">
        <v>112</v>
      </c>
      <c r="H212" s="109" t="s">
        <v>27</v>
      </c>
      <c r="I212" s="30" t="s">
        <v>554</v>
      </c>
      <c r="J212" s="31" t="s">
        <v>969</v>
      </c>
      <c r="K212" s="22" t="s">
        <v>36</v>
      </c>
      <c r="L212" s="35"/>
      <c r="M212" s="42" t="s">
        <v>88</v>
      </c>
      <c r="N212" s="17" t="s">
        <v>56</v>
      </c>
      <c r="O212" s="17" t="s">
        <v>42</v>
      </c>
      <c r="P212" s="26"/>
      <c r="Q212" s="17" t="s">
        <v>44</v>
      </c>
      <c r="R212" s="39" t="s">
        <v>68</v>
      </c>
      <c r="S212" s="119"/>
      <c r="T212" s="28"/>
      <c r="U212" s="34"/>
      <c r="V212" s="26">
        <v>5.0</v>
      </c>
    </row>
    <row r="213" hidden="1">
      <c r="A213" s="17">
        <v>212.0</v>
      </c>
      <c r="B213" s="71">
        <v>46036.0</v>
      </c>
      <c r="C213" s="22" t="s">
        <v>58</v>
      </c>
      <c r="D213" s="22" t="s">
        <v>84</v>
      </c>
      <c r="E213" s="17" t="s">
        <v>27</v>
      </c>
      <c r="F213" s="22">
        <v>5.6680818E8</v>
      </c>
      <c r="G213" s="24" t="s">
        <v>79</v>
      </c>
      <c r="H213" s="109" t="s">
        <v>27</v>
      </c>
      <c r="I213" s="30" t="s">
        <v>1935</v>
      </c>
      <c r="J213" s="31" t="s">
        <v>1207</v>
      </c>
      <c r="K213" s="22" t="s">
        <v>36</v>
      </c>
      <c r="L213" s="35"/>
      <c r="M213" s="42" t="s">
        <v>88</v>
      </c>
      <c r="N213" s="96" t="s">
        <v>56</v>
      </c>
      <c r="O213" s="96" t="s">
        <v>42</v>
      </c>
      <c r="P213" s="26"/>
      <c r="Q213" s="96" t="s">
        <v>44</v>
      </c>
      <c r="R213" s="115" t="s">
        <v>68</v>
      </c>
      <c r="S213" s="116"/>
      <c r="T213" s="28"/>
      <c r="U213" s="34"/>
      <c r="V213" s="26">
        <v>5.0</v>
      </c>
    </row>
    <row r="214" ht="63.0" customHeight="1">
      <c r="A214" s="17">
        <v>213.0</v>
      </c>
      <c r="B214" s="71">
        <v>46037.0</v>
      </c>
      <c r="C214" s="22" t="s">
        <v>47</v>
      </c>
      <c r="D214" s="22" t="s">
        <v>48</v>
      </c>
      <c r="E214" s="17" t="s">
        <v>1958</v>
      </c>
      <c r="F214" s="22" t="s">
        <v>27</v>
      </c>
      <c r="G214" s="117" t="s">
        <v>211</v>
      </c>
      <c r="H214" s="109" t="s">
        <v>705</v>
      </c>
      <c r="I214" s="30" t="s">
        <v>1960</v>
      </c>
      <c r="J214" s="24" t="s">
        <v>1961</v>
      </c>
      <c r="K214" s="22" t="s">
        <v>78</v>
      </c>
      <c r="L214" s="35"/>
      <c r="M214" s="20" t="s">
        <v>101</v>
      </c>
      <c r="N214" s="17" t="s">
        <v>56</v>
      </c>
      <c r="O214" s="22"/>
      <c r="P214" s="26"/>
      <c r="Q214" s="22" t="s">
        <v>49</v>
      </c>
      <c r="R214" s="33" t="s">
        <v>46</v>
      </c>
      <c r="S214" s="40"/>
      <c r="T214" s="28"/>
      <c r="U214" s="34"/>
      <c r="V214" s="26">
        <v>5.0</v>
      </c>
    </row>
    <row r="215" hidden="1">
      <c r="A215" s="17">
        <v>214.0</v>
      </c>
      <c r="B215" s="71">
        <v>46037.0</v>
      </c>
      <c r="C215" s="22" t="s">
        <v>21</v>
      </c>
      <c r="D215" s="22" t="s">
        <v>24</v>
      </c>
      <c r="E215" s="24" t="s">
        <v>1965</v>
      </c>
      <c r="F215" s="17">
        <v>5.56805599E8</v>
      </c>
      <c r="G215" s="31" t="s">
        <v>71</v>
      </c>
      <c r="H215" s="109" t="s">
        <v>27</v>
      </c>
      <c r="I215" s="30" t="s">
        <v>1968</v>
      </c>
      <c r="J215" s="31" t="s">
        <v>123</v>
      </c>
      <c r="K215" s="22" t="s">
        <v>36</v>
      </c>
      <c r="L215" s="35"/>
      <c r="M215" s="25" t="s">
        <v>38</v>
      </c>
      <c r="N215" s="22" t="s">
        <v>56</v>
      </c>
      <c r="O215" s="22" t="s">
        <v>42</v>
      </c>
      <c r="P215" s="26"/>
      <c r="Q215" s="22" t="s">
        <v>44</v>
      </c>
      <c r="R215" s="33" t="s">
        <v>46</v>
      </c>
      <c r="S215" s="40"/>
      <c r="T215" s="28"/>
      <c r="U215" s="34"/>
      <c r="V215" s="26">
        <v>5.0</v>
      </c>
    </row>
    <row r="216" hidden="1">
      <c r="A216" s="17">
        <v>215.0</v>
      </c>
      <c r="B216" s="71">
        <v>46037.0</v>
      </c>
      <c r="C216" s="22" t="s">
        <v>58</v>
      </c>
      <c r="D216" s="22" t="s">
        <v>84</v>
      </c>
      <c r="E216" s="17" t="s">
        <v>27</v>
      </c>
      <c r="F216" s="17">
        <v>5.70604685E8</v>
      </c>
      <c r="G216" s="109" t="s">
        <v>27</v>
      </c>
      <c r="H216" s="109" t="s">
        <v>27</v>
      </c>
      <c r="I216" s="39" t="s">
        <v>1976</v>
      </c>
      <c r="J216" s="31" t="s">
        <v>1978</v>
      </c>
      <c r="K216" s="22" t="s">
        <v>65</v>
      </c>
      <c r="L216" s="35"/>
      <c r="M216" s="25" t="s">
        <v>38</v>
      </c>
      <c r="N216" s="22" t="s">
        <v>56</v>
      </c>
      <c r="O216" s="22" t="s">
        <v>42</v>
      </c>
      <c r="P216" s="26"/>
      <c r="Q216" s="22" t="s">
        <v>44</v>
      </c>
      <c r="R216" s="33" t="s">
        <v>68</v>
      </c>
      <c r="S216" s="40"/>
      <c r="T216" s="28"/>
      <c r="U216" s="34"/>
      <c r="V216" s="26">
        <v>5.0</v>
      </c>
    </row>
    <row r="217" hidden="1">
      <c r="A217" s="17">
        <v>216.0</v>
      </c>
      <c r="B217" s="71">
        <v>46037.0</v>
      </c>
      <c r="C217" s="22" t="s">
        <v>21</v>
      </c>
      <c r="D217" s="22" t="s">
        <v>22</v>
      </c>
      <c r="E217" s="24" t="s">
        <v>463</v>
      </c>
      <c r="F217" s="17">
        <v>5.00775536E8</v>
      </c>
      <c r="G217" s="113" t="s">
        <v>28</v>
      </c>
      <c r="H217" s="109" t="s">
        <v>27</v>
      </c>
      <c r="I217" s="30" t="s">
        <v>1985</v>
      </c>
      <c r="J217" s="31" t="s">
        <v>123</v>
      </c>
      <c r="K217" s="22" t="s">
        <v>36</v>
      </c>
      <c r="L217" s="35"/>
      <c r="M217" s="38" t="s">
        <v>125</v>
      </c>
      <c r="N217" s="22" t="s">
        <v>40</v>
      </c>
      <c r="O217" s="22" t="s">
        <v>42</v>
      </c>
      <c r="P217" s="26"/>
      <c r="Q217" s="22" t="s">
        <v>44</v>
      </c>
      <c r="R217" s="33" t="s">
        <v>68</v>
      </c>
      <c r="S217" s="40"/>
      <c r="T217" s="28"/>
      <c r="U217" s="34"/>
      <c r="V217" s="26">
        <v>5.0</v>
      </c>
    </row>
    <row r="218" hidden="1">
      <c r="A218" s="17">
        <v>217.0</v>
      </c>
      <c r="B218" s="71">
        <v>46037.0</v>
      </c>
      <c r="C218" s="22" t="s">
        <v>58</v>
      </c>
      <c r="D218" s="22" t="s">
        <v>84</v>
      </c>
      <c r="E218" s="17" t="s">
        <v>27</v>
      </c>
      <c r="F218" s="17">
        <v>5.91361707E8</v>
      </c>
      <c r="G218" s="109" t="s">
        <v>27</v>
      </c>
      <c r="H218" s="109" t="s">
        <v>27</v>
      </c>
      <c r="I218" s="39" t="s">
        <v>1994</v>
      </c>
      <c r="J218" s="31" t="s">
        <v>1978</v>
      </c>
      <c r="K218" s="22" t="s">
        <v>65</v>
      </c>
      <c r="L218" s="88"/>
      <c r="M218" s="25" t="s">
        <v>38</v>
      </c>
      <c r="N218" s="22" t="s">
        <v>56</v>
      </c>
      <c r="O218" s="22" t="s">
        <v>42</v>
      </c>
      <c r="P218" s="26"/>
      <c r="Q218" s="22" t="s">
        <v>44</v>
      </c>
      <c r="R218" s="33" t="s">
        <v>68</v>
      </c>
      <c r="S218" s="40"/>
      <c r="T218" s="28"/>
      <c r="U218" s="124"/>
      <c r="V218" s="26">
        <v>5.0</v>
      </c>
    </row>
    <row r="219" hidden="1">
      <c r="A219" s="17">
        <v>218.0</v>
      </c>
      <c r="B219" s="71">
        <v>46037.0</v>
      </c>
      <c r="C219" s="22" t="s">
        <v>58</v>
      </c>
      <c r="D219" s="22" t="s">
        <v>84</v>
      </c>
      <c r="E219" s="17" t="s">
        <v>2001</v>
      </c>
      <c r="F219" s="22" t="s">
        <v>27</v>
      </c>
      <c r="G219" s="109" t="s">
        <v>27</v>
      </c>
      <c r="H219" s="109" t="s">
        <v>239</v>
      </c>
      <c r="I219" s="39" t="s">
        <v>2004</v>
      </c>
      <c r="J219" s="22" t="s">
        <v>27</v>
      </c>
      <c r="K219" s="22" t="s">
        <v>78</v>
      </c>
      <c r="L219" s="35"/>
      <c r="M219" s="25" t="s">
        <v>38</v>
      </c>
      <c r="N219" s="22" t="s">
        <v>56</v>
      </c>
      <c r="O219" s="22" t="s">
        <v>42</v>
      </c>
      <c r="P219" s="26"/>
      <c r="Q219" s="22" t="s">
        <v>49</v>
      </c>
      <c r="R219" s="33" t="s">
        <v>68</v>
      </c>
      <c r="S219" s="40"/>
      <c r="T219" s="28"/>
      <c r="U219" s="34"/>
      <c r="V219" s="26">
        <v>5.0</v>
      </c>
    </row>
    <row r="220" hidden="1">
      <c r="A220" s="17">
        <v>219.0</v>
      </c>
      <c r="B220" s="71">
        <v>46037.0</v>
      </c>
      <c r="C220" s="22" t="s">
        <v>47</v>
      </c>
      <c r="D220" s="22" t="s">
        <v>251</v>
      </c>
      <c r="E220" s="17" t="s">
        <v>156</v>
      </c>
      <c r="F220" s="22">
        <v>5.47947088E8</v>
      </c>
      <c r="G220" s="113" t="s">
        <v>41</v>
      </c>
      <c r="H220" s="109" t="s">
        <v>52</v>
      </c>
      <c r="I220" s="30" t="s">
        <v>2008</v>
      </c>
      <c r="J220" s="31" t="s">
        <v>123</v>
      </c>
      <c r="K220" s="17" t="s">
        <v>148</v>
      </c>
      <c r="L220" s="35"/>
      <c r="M220" s="25" t="s">
        <v>1758</v>
      </c>
      <c r="N220" s="22" t="s">
        <v>56</v>
      </c>
      <c r="O220" s="22" t="s">
        <v>42</v>
      </c>
      <c r="P220" s="26"/>
      <c r="Q220" s="22" t="s">
        <v>44</v>
      </c>
      <c r="R220" s="33" t="s">
        <v>46</v>
      </c>
      <c r="S220" s="40"/>
      <c r="T220" s="28"/>
      <c r="U220" s="34"/>
      <c r="V220" s="26">
        <v>5.0</v>
      </c>
    </row>
    <row r="221">
      <c r="A221" s="17">
        <v>220.0</v>
      </c>
      <c r="B221" s="71">
        <v>46037.0</v>
      </c>
      <c r="C221" s="22" t="s">
        <v>47</v>
      </c>
      <c r="D221" s="22" t="s">
        <v>138</v>
      </c>
      <c r="E221" s="24" t="s">
        <v>2012</v>
      </c>
      <c r="F221" s="22">
        <v>5.34776346E8</v>
      </c>
      <c r="G221" s="113" t="s">
        <v>41</v>
      </c>
      <c r="H221" s="109" t="s">
        <v>146</v>
      </c>
      <c r="I221" s="30" t="s">
        <v>2013</v>
      </c>
      <c r="J221" s="24" t="s">
        <v>2014</v>
      </c>
      <c r="K221" s="17" t="s">
        <v>148</v>
      </c>
      <c r="L221" s="35"/>
      <c r="M221" s="27" t="s">
        <v>323</v>
      </c>
      <c r="N221" s="17" t="s">
        <v>56</v>
      </c>
      <c r="O221" s="22"/>
      <c r="P221" s="26"/>
      <c r="Q221" s="22" t="s">
        <v>44</v>
      </c>
      <c r="R221" s="33" t="s">
        <v>46</v>
      </c>
      <c r="S221" s="40"/>
      <c r="T221" s="28"/>
      <c r="U221" s="34"/>
      <c r="V221" s="26">
        <v>5.0</v>
      </c>
    </row>
    <row r="222">
      <c r="A222" s="17">
        <v>221.0</v>
      </c>
      <c r="B222" s="71">
        <v>46037.0</v>
      </c>
      <c r="C222" s="22" t="s">
        <v>47</v>
      </c>
      <c r="D222" s="22" t="s">
        <v>138</v>
      </c>
      <c r="E222" s="24" t="s">
        <v>2019</v>
      </c>
      <c r="F222" s="17">
        <v>5.35648671E8</v>
      </c>
      <c r="G222" s="24" t="s">
        <v>79</v>
      </c>
      <c r="H222" s="118" t="s">
        <v>80</v>
      </c>
      <c r="I222" s="30" t="s">
        <v>2020</v>
      </c>
      <c r="J222" s="24" t="s">
        <v>2021</v>
      </c>
      <c r="K222" s="17" t="s">
        <v>148</v>
      </c>
      <c r="L222" s="35"/>
      <c r="M222" s="27" t="s">
        <v>323</v>
      </c>
      <c r="N222" s="22" t="s">
        <v>56</v>
      </c>
      <c r="O222" s="22"/>
      <c r="P222" s="26"/>
      <c r="Q222" s="22" t="s">
        <v>44</v>
      </c>
      <c r="R222" s="33" t="s">
        <v>46</v>
      </c>
      <c r="S222" s="40"/>
      <c r="T222" s="28"/>
      <c r="U222" s="124"/>
      <c r="V222" s="26">
        <v>5.0</v>
      </c>
    </row>
    <row r="223" hidden="1">
      <c r="A223" s="17">
        <v>222.0</v>
      </c>
      <c r="B223" s="71">
        <v>46037.0</v>
      </c>
      <c r="C223" s="22" t="s">
        <v>58</v>
      </c>
      <c r="D223" s="22" t="s">
        <v>84</v>
      </c>
      <c r="E223" s="24" t="s">
        <v>449</v>
      </c>
      <c r="F223" s="22">
        <v>5.01230783E8</v>
      </c>
      <c r="G223" s="31" t="s">
        <v>71</v>
      </c>
      <c r="H223" s="22" t="s">
        <v>27</v>
      </c>
      <c r="I223" s="30" t="s">
        <v>2027</v>
      </c>
      <c r="J223" s="31" t="s">
        <v>123</v>
      </c>
      <c r="K223" s="22" t="s">
        <v>36</v>
      </c>
      <c r="L223" s="35"/>
      <c r="M223" s="42" t="s">
        <v>88</v>
      </c>
      <c r="N223" s="22" t="s">
        <v>56</v>
      </c>
      <c r="O223" s="22" t="s">
        <v>42</v>
      </c>
      <c r="P223" s="26"/>
      <c r="Q223" s="22" t="s">
        <v>49</v>
      </c>
      <c r="R223" s="33" t="s">
        <v>68</v>
      </c>
      <c r="S223" s="40"/>
      <c r="T223" s="28"/>
      <c r="U223" s="34"/>
      <c r="V223" s="26">
        <v>5.0</v>
      </c>
    </row>
    <row r="224" hidden="1">
      <c r="A224" s="17">
        <v>223.0</v>
      </c>
      <c r="B224" s="71">
        <v>46037.0</v>
      </c>
      <c r="C224" s="22" t="s">
        <v>21</v>
      </c>
      <c r="D224" s="22" t="s">
        <v>24</v>
      </c>
      <c r="E224" s="24" t="s">
        <v>2034</v>
      </c>
      <c r="F224" s="22">
        <v>5.99943776E8</v>
      </c>
      <c r="G224" s="31" t="s">
        <v>71</v>
      </c>
      <c r="H224" s="22" t="s">
        <v>27</v>
      </c>
      <c r="I224" s="39" t="s">
        <v>2036</v>
      </c>
      <c r="J224" s="31" t="s">
        <v>123</v>
      </c>
      <c r="K224" s="22" t="s">
        <v>36</v>
      </c>
      <c r="L224" s="35">
        <v>0.4097222222222222</v>
      </c>
      <c r="M224" s="25" t="s">
        <v>38</v>
      </c>
      <c r="N224" s="22" t="s">
        <v>56</v>
      </c>
      <c r="O224" s="22" t="s">
        <v>42</v>
      </c>
      <c r="P224" s="26"/>
      <c r="Q224" s="22" t="s">
        <v>49</v>
      </c>
      <c r="R224" s="33" t="s">
        <v>46</v>
      </c>
      <c r="S224" s="40"/>
      <c r="T224" s="28"/>
      <c r="U224" s="68" t="s">
        <v>44</v>
      </c>
      <c r="V224" s="26">
        <v>5.0</v>
      </c>
    </row>
    <row r="225">
      <c r="A225" s="17">
        <v>224.0</v>
      </c>
      <c r="B225" s="71">
        <v>46037.0</v>
      </c>
      <c r="C225" s="22" t="s">
        <v>47</v>
      </c>
      <c r="D225" s="22" t="s">
        <v>48</v>
      </c>
      <c r="E225" s="24" t="s">
        <v>2042</v>
      </c>
      <c r="F225" s="22">
        <v>5.31505456E8</v>
      </c>
      <c r="G225" s="113" t="s">
        <v>41</v>
      </c>
      <c r="H225" s="109" t="s">
        <v>188</v>
      </c>
      <c r="I225" s="30" t="s">
        <v>2044</v>
      </c>
      <c r="J225" s="24" t="s">
        <v>2046</v>
      </c>
      <c r="K225" s="22" t="s">
        <v>36</v>
      </c>
      <c r="L225" s="35"/>
      <c r="M225" s="25" t="s">
        <v>55</v>
      </c>
      <c r="N225" s="17" t="s">
        <v>56</v>
      </c>
      <c r="O225" s="22"/>
      <c r="P225" s="26"/>
      <c r="Q225" s="22" t="s">
        <v>44</v>
      </c>
      <c r="R225" s="33" t="s">
        <v>46</v>
      </c>
      <c r="S225" s="40"/>
      <c r="T225" s="28"/>
      <c r="U225" s="34"/>
      <c r="V225" s="26">
        <v>5.0</v>
      </c>
    </row>
    <row r="226" hidden="1">
      <c r="A226" s="17">
        <v>225.0</v>
      </c>
      <c r="B226" s="71">
        <v>46037.0</v>
      </c>
      <c r="C226" s="22" t="s">
        <v>58</v>
      </c>
      <c r="D226" s="22" t="s">
        <v>84</v>
      </c>
      <c r="E226" s="17" t="s">
        <v>27</v>
      </c>
      <c r="F226" s="22">
        <v>5.02200203E8</v>
      </c>
      <c r="G226" s="113" t="s">
        <v>2054</v>
      </c>
      <c r="H226" s="109" t="s">
        <v>27</v>
      </c>
      <c r="I226" s="30" t="s">
        <v>2056</v>
      </c>
      <c r="J226" s="31" t="s">
        <v>1207</v>
      </c>
      <c r="K226" s="22" t="s">
        <v>36</v>
      </c>
      <c r="L226" s="35"/>
      <c r="M226" s="42" t="s">
        <v>88</v>
      </c>
      <c r="N226" s="22" t="s">
        <v>56</v>
      </c>
      <c r="O226" s="22" t="s">
        <v>42</v>
      </c>
      <c r="P226" s="26"/>
      <c r="Q226" s="22" t="s">
        <v>44</v>
      </c>
      <c r="R226" s="33" t="s">
        <v>68</v>
      </c>
      <c r="S226" s="40"/>
      <c r="T226" s="28"/>
      <c r="U226" s="34"/>
      <c r="V226" s="26">
        <v>5.0</v>
      </c>
    </row>
    <row r="227" hidden="1">
      <c r="A227" s="17">
        <v>226.0</v>
      </c>
      <c r="B227" s="71">
        <v>46037.0</v>
      </c>
      <c r="C227" s="22" t="s">
        <v>58</v>
      </c>
      <c r="D227" s="22" t="s">
        <v>84</v>
      </c>
      <c r="E227" s="17" t="s">
        <v>27</v>
      </c>
      <c r="F227" s="22">
        <v>5.55415657E8</v>
      </c>
      <c r="G227" s="113" t="s">
        <v>112</v>
      </c>
      <c r="H227" s="109" t="s">
        <v>27</v>
      </c>
      <c r="I227" s="30" t="s">
        <v>484</v>
      </c>
      <c r="J227" s="31" t="s">
        <v>1207</v>
      </c>
      <c r="K227" s="22" t="s">
        <v>36</v>
      </c>
      <c r="L227" s="35"/>
      <c r="M227" s="42" t="s">
        <v>88</v>
      </c>
      <c r="N227" s="22" t="s">
        <v>56</v>
      </c>
      <c r="O227" s="22" t="s">
        <v>42</v>
      </c>
      <c r="P227" s="26"/>
      <c r="Q227" s="22" t="s">
        <v>44</v>
      </c>
      <c r="R227" s="33" t="s">
        <v>68</v>
      </c>
      <c r="S227" s="40"/>
      <c r="T227" s="28"/>
      <c r="U227" s="34"/>
      <c r="V227" s="26">
        <v>5.0</v>
      </c>
    </row>
    <row r="228">
      <c r="A228" s="17">
        <v>227.0</v>
      </c>
      <c r="B228" s="71">
        <v>46037.0</v>
      </c>
      <c r="C228" s="22" t="s">
        <v>47</v>
      </c>
      <c r="D228" s="22" t="s">
        <v>48</v>
      </c>
      <c r="E228" s="24" t="s">
        <v>2062</v>
      </c>
      <c r="F228" s="22">
        <v>5.36666696E8</v>
      </c>
      <c r="G228" s="113" t="s">
        <v>362</v>
      </c>
      <c r="H228" s="109" t="s">
        <v>1029</v>
      </c>
      <c r="I228" s="30" t="s">
        <v>2064</v>
      </c>
      <c r="J228" s="24" t="s">
        <v>2065</v>
      </c>
      <c r="K228" s="22" t="s">
        <v>36</v>
      </c>
      <c r="L228" s="35"/>
      <c r="M228" s="20" t="s">
        <v>101</v>
      </c>
      <c r="N228" s="17" t="s">
        <v>56</v>
      </c>
      <c r="O228" s="22"/>
      <c r="P228" s="26"/>
      <c r="Q228" s="22" t="s">
        <v>44</v>
      </c>
      <c r="R228" s="33" t="s">
        <v>46</v>
      </c>
      <c r="S228" s="40"/>
      <c r="T228" s="28"/>
      <c r="U228" s="34"/>
      <c r="V228" s="26">
        <v>5.0</v>
      </c>
    </row>
    <row r="229" hidden="1">
      <c r="A229" s="17">
        <v>228.0</v>
      </c>
      <c r="B229" s="71">
        <v>46037.0</v>
      </c>
      <c r="C229" s="22" t="s">
        <v>21</v>
      </c>
      <c r="D229" s="22" t="s">
        <v>34</v>
      </c>
      <c r="E229" s="17" t="s">
        <v>27</v>
      </c>
      <c r="F229" s="22">
        <v>5.01570125E8</v>
      </c>
      <c r="G229" s="113" t="s">
        <v>41</v>
      </c>
      <c r="H229" s="109" t="s">
        <v>27</v>
      </c>
      <c r="I229" s="30" t="s">
        <v>2074</v>
      </c>
      <c r="J229" s="31" t="s">
        <v>2075</v>
      </c>
      <c r="K229" s="22" t="s">
        <v>36</v>
      </c>
      <c r="L229" s="35"/>
      <c r="M229" s="38" t="s">
        <v>51</v>
      </c>
      <c r="N229" s="22" t="s">
        <v>56</v>
      </c>
      <c r="O229" s="22" t="s">
        <v>42</v>
      </c>
      <c r="P229" s="26"/>
      <c r="Q229" s="22" t="s">
        <v>44</v>
      </c>
      <c r="R229" s="33" t="s">
        <v>68</v>
      </c>
      <c r="S229" s="40"/>
      <c r="T229" s="28"/>
      <c r="U229" s="34"/>
      <c r="V229" s="26">
        <v>5.0</v>
      </c>
    </row>
    <row r="230" hidden="1">
      <c r="A230" s="17">
        <v>229.0</v>
      </c>
      <c r="B230" s="71">
        <v>46037.0</v>
      </c>
      <c r="C230" s="22" t="s">
        <v>58</v>
      </c>
      <c r="D230" s="22" t="s">
        <v>84</v>
      </c>
      <c r="E230" s="17" t="s">
        <v>27</v>
      </c>
      <c r="F230" s="22">
        <v>5.06661259E8</v>
      </c>
      <c r="G230" s="109" t="s">
        <v>27</v>
      </c>
      <c r="H230" s="109" t="s">
        <v>27</v>
      </c>
      <c r="I230" s="30" t="s">
        <v>2085</v>
      </c>
      <c r="J230" s="31" t="s">
        <v>2086</v>
      </c>
      <c r="K230" s="22" t="s">
        <v>36</v>
      </c>
      <c r="L230" s="35"/>
      <c r="M230" s="42" t="s">
        <v>88</v>
      </c>
      <c r="N230" s="22" t="s">
        <v>56</v>
      </c>
      <c r="O230" s="22" t="s">
        <v>42</v>
      </c>
      <c r="P230" s="26"/>
      <c r="Q230" s="22" t="s">
        <v>49</v>
      </c>
      <c r="R230" s="33" t="s">
        <v>68</v>
      </c>
      <c r="S230" s="40"/>
      <c r="T230" s="28"/>
      <c r="U230" s="34"/>
      <c r="V230" s="26">
        <v>5.0</v>
      </c>
    </row>
    <row r="231" hidden="1">
      <c r="A231" s="17">
        <v>230.0</v>
      </c>
      <c r="B231" s="71">
        <v>46037.0</v>
      </c>
      <c r="C231" s="22" t="s">
        <v>58</v>
      </c>
      <c r="D231" s="22" t="s">
        <v>84</v>
      </c>
      <c r="E231" s="17" t="s">
        <v>27</v>
      </c>
      <c r="F231" s="22">
        <v>5.68811791E8</v>
      </c>
      <c r="G231" s="31" t="s">
        <v>71</v>
      </c>
      <c r="H231" s="22" t="s">
        <v>27</v>
      </c>
      <c r="I231" s="30" t="s">
        <v>2092</v>
      </c>
      <c r="J231" s="31" t="s">
        <v>2094</v>
      </c>
      <c r="K231" s="22" t="s">
        <v>36</v>
      </c>
      <c r="L231" s="35"/>
      <c r="M231" s="42" t="s">
        <v>88</v>
      </c>
      <c r="N231" s="22" t="s">
        <v>56</v>
      </c>
      <c r="O231" s="22" t="s">
        <v>42</v>
      </c>
      <c r="P231" s="26"/>
      <c r="Q231" s="22" t="s">
        <v>49</v>
      </c>
      <c r="R231" s="33" t="s">
        <v>68</v>
      </c>
      <c r="S231" s="40"/>
      <c r="T231" s="28"/>
      <c r="U231" s="34"/>
      <c r="V231" s="26">
        <v>5.0</v>
      </c>
    </row>
    <row r="232" hidden="1">
      <c r="A232" s="17">
        <v>231.0</v>
      </c>
      <c r="B232" s="71">
        <v>46037.0</v>
      </c>
      <c r="C232" s="22" t="s">
        <v>58</v>
      </c>
      <c r="D232" s="22" t="s">
        <v>84</v>
      </c>
      <c r="E232" s="17" t="s">
        <v>27</v>
      </c>
      <c r="F232" s="22">
        <v>5.36841726E8</v>
      </c>
      <c r="G232" s="113" t="s">
        <v>112</v>
      </c>
      <c r="H232" s="109" t="s">
        <v>27</v>
      </c>
      <c r="I232" s="30" t="s">
        <v>484</v>
      </c>
      <c r="J232" s="31" t="s">
        <v>123</v>
      </c>
      <c r="K232" s="22" t="s">
        <v>36</v>
      </c>
      <c r="L232" s="35"/>
      <c r="M232" s="42" t="s">
        <v>88</v>
      </c>
      <c r="N232" s="22" t="s">
        <v>56</v>
      </c>
      <c r="O232" s="22" t="s">
        <v>42</v>
      </c>
      <c r="P232" s="26"/>
      <c r="Q232" s="22" t="s">
        <v>49</v>
      </c>
      <c r="R232" s="33" t="s">
        <v>68</v>
      </c>
      <c r="S232" s="40"/>
      <c r="T232" s="28"/>
      <c r="U232" s="34"/>
      <c r="V232" s="26">
        <v>5.0</v>
      </c>
    </row>
    <row r="233">
      <c r="A233" s="17">
        <v>232.0</v>
      </c>
      <c r="B233" s="71">
        <v>46037.0</v>
      </c>
      <c r="C233" s="22" t="s">
        <v>47</v>
      </c>
      <c r="D233" s="22" t="s">
        <v>48</v>
      </c>
      <c r="E233" s="24" t="s">
        <v>2105</v>
      </c>
      <c r="F233" s="22">
        <v>5.07931233E8</v>
      </c>
      <c r="G233" s="113" t="s">
        <v>41</v>
      </c>
      <c r="H233" s="109" t="s">
        <v>222</v>
      </c>
      <c r="I233" s="30" t="s">
        <v>2107</v>
      </c>
      <c r="J233" s="24" t="s">
        <v>2108</v>
      </c>
      <c r="K233" s="22" t="s">
        <v>36</v>
      </c>
      <c r="L233" s="35"/>
      <c r="M233" s="75" t="s">
        <v>555</v>
      </c>
      <c r="N233" s="17" t="s">
        <v>56</v>
      </c>
      <c r="O233" s="22"/>
      <c r="P233" s="26"/>
      <c r="Q233" s="22" t="s">
        <v>49</v>
      </c>
      <c r="R233" s="33" t="s">
        <v>46</v>
      </c>
      <c r="S233" s="40"/>
      <c r="T233" s="28"/>
      <c r="U233" s="34"/>
      <c r="V233" s="26">
        <v>5.0</v>
      </c>
    </row>
    <row r="234" hidden="1">
      <c r="A234" s="17">
        <v>233.0</v>
      </c>
      <c r="B234" s="71">
        <v>46037.0</v>
      </c>
      <c r="C234" s="22" t="s">
        <v>58</v>
      </c>
      <c r="D234" s="22" t="s">
        <v>84</v>
      </c>
      <c r="E234" s="17" t="s">
        <v>27</v>
      </c>
      <c r="F234" s="33">
        <v>5.6174753E8</v>
      </c>
      <c r="G234" s="98" t="s">
        <v>112</v>
      </c>
      <c r="H234" s="33" t="s">
        <v>27</v>
      </c>
      <c r="I234" s="30" t="s">
        <v>484</v>
      </c>
      <c r="J234" s="31" t="s">
        <v>123</v>
      </c>
      <c r="K234" s="22" t="s">
        <v>36</v>
      </c>
      <c r="L234" s="35"/>
      <c r="M234" s="42" t="s">
        <v>88</v>
      </c>
      <c r="N234" s="22" t="s">
        <v>56</v>
      </c>
      <c r="O234" s="22" t="s">
        <v>42</v>
      </c>
      <c r="P234" s="26"/>
      <c r="Q234" s="22" t="s">
        <v>49</v>
      </c>
      <c r="R234" s="33" t="s">
        <v>68</v>
      </c>
      <c r="S234" s="40"/>
      <c r="T234" s="28"/>
      <c r="U234" s="34"/>
      <c r="V234" s="26">
        <v>5.0</v>
      </c>
    </row>
    <row r="235" hidden="1">
      <c r="A235" s="17">
        <v>234.0</v>
      </c>
      <c r="B235" s="71">
        <v>46037.0</v>
      </c>
      <c r="C235" s="22" t="s">
        <v>58</v>
      </c>
      <c r="D235" s="22" t="s">
        <v>84</v>
      </c>
      <c r="E235" s="98" t="s">
        <v>2122</v>
      </c>
      <c r="F235" s="33">
        <v>5.09270792E8</v>
      </c>
      <c r="G235" s="24" t="s">
        <v>495</v>
      </c>
      <c r="H235" s="33" t="s">
        <v>27</v>
      </c>
      <c r="I235" s="30" t="s">
        <v>2123</v>
      </c>
      <c r="J235" s="31" t="s">
        <v>123</v>
      </c>
      <c r="K235" s="22" t="s">
        <v>36</v>
      </c>
      <c r="L235" s="35"/>
      <c r="M235" s="42" t="s">
        <v>88</v>
      </c>
      <c r="N235" s="22" t="s">
        <v>56</v>
      </c>
      <c r="O235" s="22" t="s">
        <v>42</v>
      </c>
      <c r="P235" s="26"/>
      <c r="Q235" s="22" t="s">
        <v>49</v>
      </c>
      <c r="R235" s="33" t="s">
        <v>68</v>
      </c>
      <c r="S235" s="40"/>
      <c r="T235" s="28"/>
      <c r="U235" s="34"/>
      <c r="V235" s="26">
        <v>5.0</v>
      </c>
    </row>
    <row r="236" hidden="1">
      <c r="A236" s="17">
        <v>235.0</v>
      </c>
      <c r="B236" s="71">
        <v>46037.0</v>
      </c>
      <c r="C236" s="22" t="s">
        <v>58</v>
      </c>
      <c r="D236" s="22" t="s">
        <v>84</v>
      </c>
      <c r="E236" s="98" t="s">
        <v>2131</v>
      </c>
      <c r="F236" s="33">
        <v>5.81191765E8</v>
      </c>
      <c r="G236" s="98" t="s">
        <v>426</v>
      </c>
      <c r="H236" s="33" t="s">
        <v>27</v>
      </c>
      <c r="I236" s="30" t="s">
        <v>2123</v>
      </c>
      <c r="J236" s="31" t="s">
        <v>123</v>
      </c>
      <c r="K236" s="22" t="s">
        <v>36</v>
      </c>
      <c r="L236" s="35">
        <v>0.3680555555555556</v>
      </c>
      <c r="M236" s="42" t="s">
        <v>88</v>
      </c>
      <c r="N236" s="22" t="s">
        <v>56</v>
      </c>
      <c r="O236" s="22" t="s">
        <v>42</v>
      </c>
      <c r="P236" s="26"/>
      <c r="Q236" s="22" t="s">
        <v>49</v>
      </c>
      <c r="R236" s="33" t="s">
        <v>68</v>
      </c>
      <c r="S236" s="40"/>
      <c r="T236" s="28"/>
      <c r="U236" s="68" t="s">
        <v>863</v>
      </c>
      <c r="V236" s="26">
        <v>5.0</v>
      </c>
    </row>
    <row r="237" hidden="1">
      <c r="A237" s="17">
        <v>236.0</v>
      </c>
      <c r="B237" s="71">
        <v>46037.0</v>
      </c>
      <c r="C237" s="22" t="s">
        <v>58</v>
      </c>
      <c r="D237" s="22" t="s">
        <v>84</v>
      </c>
      <c r="E237" s="98" t="s">
        <v>2139</v>
      </c>
      <c r="F237" s="33">
        <v>5.5029282E8</v>
      </c>
      <c r="G237" s="98" t="s">
        <v>41</v>
      </c>
      <c r="H237" s="33" t="s">
        <v>27</v>
      </c>
      <c r="I237" s="30" t="s">
        <v>2123</v>
      </c>
      <c r="J237" s="31" t="s">
        <v>123</v>
      </c>
      <c r="K237" s="22" t="s">
        <v>36</v>
      </c>
      <c r="L237" s="35"/>
      <c r="M237" s="42" t="s">
        <v>88</v>
      </c>
      <c r="N237" s="22" t="s">
        <v>56</v>
      </c>
      <c r="O237" s="22" t="s">
        <v>42</v>
      </c>
      <c r="P237" s="26"/>
      <c r="Q237" s="22" t="s">
        <v>49</v>
      </c>
      <c r="R237" s="33" t="s">
        <v>68</v>
      </c>
      <c r="S237" s="40"/>
      <c r="T237" s="28"/>
      <c r="U237" s="34"/>
      <c r="V237" s="26">
        <v>5.0</v>
      </c>
    </row>
    <row r="238" hidden="1">
      <c r="A238" s="17">
        <v>237.0</v>
      </c>
      <c r="B238" s="71">
        <v>46037.0</v>
      </c>
      <c r="C238" s="22" t="s">
        <v>58</v>
      </c>
      <c r="D238" s="22" t="s">
        <v>84</v>
      </c>
      <c r="E238" s="98" t="s">
        <v>2147</v>
      </c>
      <c r="F238" s="33">
        <v>5.01230783E8</v>
      </c>
      <c r="G238" s="31" t="s">
        <v>71</v>
      </c>
      <c r="H238" s="33" t="s">
        <v>27</v>
      </c>
      <c r="I238" s="30" t="s">
        <v>2123</v>
      </c>
      <c r="J238" s="31" t="s">
        <v>123</v>
      </c>
      <c r="K238" s="22" t="s">
        <v>36</v>
      </c>
      <c r="L238" s="35"/>
      <c r="M238" s="42" t="s">
        <v>88</v>
      </c>
      <c r="N238" s="22" t="s">
        <v>56</v>
      </c>
      <c r="O238" s="22" t="s">
        <v>42</v>
      </c>
      <c r="P238" s="26"/>
      <c r="Q238" s="22" t="s">
        <v>49</v>
      </c>
      <c r="R238" s="33" t="s">
        <v>68</v>
      </c>
      <c r="S238" s="40"/>
      <c r="T238" s="28"/>
      <c r="U238" s="34"/>
      <c r="V238" s="26">
        <v>5.0</v>
      </c>
    </row>
    <row r="239" hidden="1">
      <c r="A239" s="17">
        <v>238.0</v>
      </c>
      <c r="B239" s="71">
        <v>46037.0</v>
      </c>
      <c r="C239" s="22" t="s">
        <v>58</v>
      </c>
      <c r="D239" s="22" t="s">
        <v>84</v>
      </c>
      <c r="E239" s="98" t="s">
        <v>2156</v>
      </c>
      <c r="F239" s="33">
        <v>5.67421609E8</v>
      </c>
      <c r="G239" s="31" t="s">
        <v>71</v>
      </c>
      <c r="H239" s="33" t="s">
        <v>27</v>
      </c>
      <c r="I239" s="30" t="s">
        <v>2123</v>
      </c>
      <c r="J239" s="31" t="s">
        <v>123</v>
      </c>
      <c r="K239" s="22" t="s">
        <v>36</v>
      </c>
      <c r="L239" s="35"/>
      <c r="M239" s="42" t="s">
        <v>88</v>
      </c>
      <c r="N239" s="22" t="s">
        <v>56</v>
      </c>
      <c r="O239" s="22" t="s">
        <v>42</v>
      </c>
      <c r="P239" s="26"/>
      <c r="Q239" s="22" t="s">
        <v>49</v>
      </c>
      <c r="R239" s="33" t="s">
        <v>68</v>
      </c>
      <c r="S239" s="40"/>
      <c r="T239" s="28"/>
      <c r="U239" s="34"/>
      <c r="V239" s="26">
        <v>5.0</v>
      </c>
    </row>
    <row r="240" hidden="1">
      <c r="A240" s="17">
        <v>239.0</v>
      </c>
      <c r="B240" s="71">
        <v>46037.0</v>
      </c>
      <c r="C240" s="22" t="s">
        <v>58</v>
      </c>
      <c r="D240" s="22" t="s">
        <v>84</v>
      </c>
      <c r="E240" s="98" t="s">
        <v>2163</v>
      </c>
      <c r="F240" s="33">
        <v>5.66616114E8</v>
      </c>
      <c r="G240" s="31" t="s">
        <v>71</v>
      </c>
      <c r="H240" s="33" t="s">
        <v>27</v>
      </c>
      <c r="I240" s="30" t="s">
        <v>2123</v>
      </c>
      <c r="J240" s="31" t="s">
        <v>123</v>
      </c>
      <c r="K240" s="22" t="s">
        <v>36</v>
      </c>
      <c r="L240" s="35">
        <v>0.6527777777777778</v>
      </c>
      <c r="M240" s="42" t="s">
        <v>88</v>
      </c>
      <c r="N240" s="22" t="s">
        <v>56</v>
      </c>
      <c r="O240" s="22" t="s">
        <v>42</v>
      </c>
      <c r="P240" s="26"/>
      <c r="Q240" s="22" t="s">
        <v>49</v>
      </c>
      <c r="R240" s="33" t="s">
        <v>68</v>
      </c>
      <c r="S240" s="40"/>
      <c r="T240" s="28"/>
      <c r="U240" s="68" t="s">
        <v>44</v>
      </c>
      <c r="V240" s="26">
        <v>5.0</v>
      </c>
    </row>
    <row r="241" hidden="1">
      <c r="A241" s="17">
        <v>240.0</v>
      </c>
      <c r="B241" s="71">
        <v>46037.0</v>
      </c>
      <c r="C241" s="22" t="s">
        <v>58</v>
      </c>
      <c r="D241" s="22" t="s">
        <v>84</v>
      </c>
      <c r="E241" s="98" t="s">
        <v>2170</v>
      </c>
      <c r="F241" s="39">
        <v>5.51600326E8</v>
      </c>
      <c r="G241" s="98" t="s">
        <v>41</v>
      </c>
      <c r="H241" s="109" t="s">
        <v>783</v>
      </c>
      <c r="I241" s="30" t="s">
        <v>2171</v>
      </c>
      <c r="J241" s="98" t="s">
        <v>2172</v>
      </c>
      <c r="K241" s="22" t="s">
        <v>36</v>
      </c>
      <c r="L241" s="35"/>
      <c r="M241" s="42" t="s">
        <v>88</v>
      </c>
      <c r="N241" s="22" t="s">
        <v>56</v>
      </c>
      <c r="O241" s="22" t="s">
        <v>301</v>
      </c>
      <c r="P241" s="26"/>
      <c r="Q241" s="22" t="s">
        <v>49</v>
      </c>
      <c r="R241" s="33" t="s">
        <v>68</v>
      </c>
      <c r="S241" s="40"/>
      <c r="T241" s="28"/>
      <c r="U241" s="34"/>
      <c r="V241" s="26">
        <v>5.0</v>
      </c>
    </row>
    <row r="242" hidden="1">
      <c r="A242" s="17">
        <v>241.0</v>
      </c>
      <c r="B242" s="71">
        <v>46040.0</v>
      </c>
      <c r="C242" s="22" t="s">
        <v>58</v>
      </c>
      <c r="D242" s="22" t="s">
        <v>84</v>
      </c>
      <c r="E242" s="33" t="s">
        <v>27</v>
      </c>
      <c r="F242" s="33">
        <v>5.05761908E8</v>
      </c>
      <c r="G242" s="33" t="s">
        <v>27</v>
      </c>
      <c r="H242" s="33" t="s">
        <v>27</v>
      </c>
      <c r="I242" s="39" t="s">
        <v>2181</v>
      </c>
      <c r="J242" s="98" t="s">
        <v>124</v>
      </c>
      <c r="K242" s="22" t="s">
        <v>65</v>
      </c>
      <c r="L242" s="35"/>
      <c r="M242" s="25" t="s">
        <v>38</v>
      </c>
      <c r="N242" s="22" t="s">
        <v>56</v>
      </c>
      <c r="O242" s="22" t="s">
        <v>42</v>
      </c>
      <c r="P242" s="26"/>
      <c r="Q242" s="22" t="s">
        <v>44</v>
      </c>
      <c r="R242" s="33" t="s">
        <v>68</v>
      </c>
      <c r="S242" s="40"/>
      <c r="T242" s="28"/>
      <c r="U242" s="34"/>
      <c r="V242" s="26">
        <v>5.0</v>
      </c>
    </row>
    <row r="243" hidden="1">
      <c r="A243" s="17">
        <v>242.0</v>
      </c>
      <c r="B243" s="71">
        <v>46040.0</v>
      </c>
      <c r="C243" s="22" t="s">
        <v>58</v>
      </c>
      <c r="D243" s="22" t="s">
        <v>84</v>
      </c>
      <c r="E243" s="33" t="s">
        <v>27</v>
      </c>
      <c r="F243" s="33">
        <v>5.40560892E8</v>
      </c>
      <c r="G243" s="33" t="s">
        <v>27</v>
      </c>
      <c r="H243" s="33" t="s">
        <v>27</v>
      </c>
      <c r="I243" s="39" t="s">
        <v>2187</v>
      </c>
      <c r="J243" s="98" t="s">
        <v>124</v>
      </c>
      <c r="K243" s="22" t="s">
        <v>65</v>
      </c>
      <c r="L243" s="35"/>
      <c r="M243" s="25" t="s">
        <v>38</v>
      </c>
      <c r="N243" s="22" t="s">
        <v>56</v>
      </c>
      <c r="O243" s="22" t="s">
        <v>42</v>
      </c>
      <c r="P243" s="26"/>
      <c r="Q243" s="22" t="s">
        <v>44</v>
      </c>
      <c r="R243" s="33" t="s">
        <v>68</v>
      </c>
      <c r="S243" s="40"/>
      <c r="T243" s="28"/>
      <c r="U243" s="34"/>
      <c r="V243" s="26">
        <v>5.0</v>
      </c>
    </row>
    <row r="244" hidden="1">
      <c r="A244" s="17">
        <v>243.0</v>
      </c>
      <c r="B244" s="71">
        <v>46040.0</v>
      </c>
      <c r="C244" s="22" t="s">
        <v>58</v>
      </c>
      <c r="D244" s="22" t="s">
        <v>84</v>
      </c>
      <c r="E244" s="33" t="s">
        <v>27</v>
      </c>
      <c r="F244" s="33">
        <v>5.49264173E8</v>
      </c>
      <c r="G244" s="33" t="s">
        <v>27</v>
      </c>
      <c r="H244" s="33" t="s">
        <v>27</v>
      </c>
      <c r="I244" s="39" t="s">
        <v>2191</v>
      </c>
      <c r="J244" s="98" t="s">
        <v>124</v>
      </c>
      <c r="K244" s="22" t="s">
        <v>65</v>
      </c>
      <c r="L244" s="35"/>
      <c r="M244" s="25" t="s">
        <v>38</v>
      </c>
      <c r="N244" s="22" t="s">
        <v>56</v>
      </c>
      <c r="O244" s="22" t="s">
        <v>42</v>
      </c>
      <c r="P244" s="26"/>
      <c r="Q244" s="22" t="s">
        <v>44</v>
      </c>
      <c r="R244" s="33" t="s">
        <v>68</v>
      </c>
      <c r="S244" s="40"/>
      <c r="T244" s="28"/>
      <c r="U244" s="34"/>
      <c r="V244" s="26">
        <v>5.0</v>
      </c>
    </row>
    <row r="245" hidden="1">
      <c r="A245" s="17">
        <v>244.0</v>
      </c>
      <c r="B245" s="71">
        <v>46040.0</v>
      </c>
      <c r="C245" s="22" t="s">
        <v>58</v>
      </c>
      <c r="D245" s="22" t="s">
        <v>84</v>
      </c>
      <c r="E245" s="33" t="s">
        <v>27</v>
      </c>
      <c r="F245" s="33">
        <v>5.03335318E8</v>
      </c>
      <c r="G245" s="31" t="s">
        <v>71</v>
      </c>
      <c r="H245" s="33" t="s">
        <v>27</v>
      </c>
      <c r="I245" s="30" t="s">
        <v>1935</v>
      </c>
      <c r="J245" s="98" t="s">
        <v>1207</v>
      </c>
      <c r="K245" s="22" t="s">
        <v>36</v>
      </c>
      <c r="L245" s="35"/>
      <c r="M245" s="42" t="s">
        <v>88</v>
      </c>
      <c r="N245" s="22" t="s">
        <v>56</v>
      </c>
      <c r="O245" s="22" t="s">
        <v>42</v>
      </c>
      <c r="P245" s="26"/>
      <c r="Q245" s="22" t="s">
        <v>44</v>
      </c>
      <c r="R245" s="33" t="s">
        <v>68</v>
      </c>
      <c r="S245" s="40"/>
      <c r="T245" s="28"/>
      <c r="U245" s="34"/>
      <c r="V245" s="26">
        <v>5.0</v>
      </c>
    </row>
    <row r="246" hidden="1">
      <c r="A246" s="17">
        <v>245.0</v>
      </c>
      <c r="B246" s="71">
        <v>46040.0</v>
      </c>
      <c r="C246" s="22" t="s">
        <v>21</v>
      </c>
      <c r="D246" s="22" t="s">
        <v>24</v>
      </c>
      <c r="E246" s="98" t="s">
        <v>2200</v>
      </c>
      <c r="F246" s="33">
        <v>5.56613738E8</v>
      </c>
      <c r="G246" s="98" t="s">
        <v>41</v>
      </c>
      <c r="H246" s="109" t="s">
        <v>27</v>
      </c>
      <c r="I246" s="30" t="s">
        <v>2203</v>
      </c>
      <c r="J246" s="31" t="s">
        <v>123</v>
      </c>
      <c r="K246" s="22" t="s">
        <v>36</v>
      </c>
      <c r="L246" s="35"/>
      <c r="M246" s="25" t="s">
        <v>38</v>
      </c>
      <c r="N246" s="22" t="s">
        <v>56</v>
      </c>
      <c r="O246" s="22" t="s">
        <v>42</v>
      </c>
      <c r="P246" s="26"/>
      <c r="Q246" s="22" t="s">
        <v>44</v>
      </c>
      <c r="R246" s="33" t="s">
        <v>46</v>
      </c>
      <c r="S246" s="40"/>
      <c r="T246" s="28"/>
      <c r="U246" s="34"/>
      <c r="V246" s="26">
        <v>5.0</v>
      </c>
    </row>
    <row r="247" hidden="1">
      <c r="A247" s="17">
        <v>246.0</v>
      </c>
      <c r="B247" s="71">
        <v>46040.0</v>
      </c>
      <c r="C247" s="22" t="s">
        <v>58</v>
      </c>
      <c r="D247" s="22" t="s">
        <v>84</v>
      </c>
      <c r="E247" s="33" t="s">
        <v>27</v>
      </c>
      <c r="F247" s="33">
        <v>5.9750509E8</v>
      </c>
      <c r="G247" s="33" t="s">
        <v>27</v>
      </c>
      <c r="H247" s="109" t="s">
        <v>27</v>
      </c>
      <c r="I247" s="39" t="s">
        <v>2208</v>
      </c>
      <c r="J247" s="98" t="s">
        <v>124</v>
      </c>
      <c r="K247" s="22" t="s">
        <v>65</v>
      </c>
      <c r="L247" s="35"/>
      <c r="M247" s="25" t="s">
        <v>38</v>
      </c>
      <c r="N247" s="22" t="s">
        <v>56</v>
      </c>
      <c r="O247" s="22" t="s">
        <v>42</v>
      </c>
      <c r="P247" s="26"/>
      <c r="Q247" s="22" t="s">
        <v>44</v>
      </c>
      <c r="R247" s="33" t="s">
        <v>68</v>
      </c>
      <c r="S247" s="40"/>
      <c r="T247" s="28"/>
      <c r="U247" s="34"/>
      <c r="V247" s="26">
        <v>5.0</v>
      </c>
    </row>
    <row r="248" hidden="1">
      <c r="A248" s="17">
        <v>247.0</v>
      </c>
      <c r="B248" s="71">
        <v>46040.0</v>
      </c>
      <c r="C248" s="22" t="s">
        <v>21</v>
      </c>
      <c r="D248" s="22" t="s">
        <v>24</v>
      </c>
      <c r="E248" s="98" t="s">
        <v>2216</v>
      </c>
      <c r="F248" s="33">
        <v>5.95533369E8</v>
      </c>
      <c r="G248" s="98" t="s">
        <v>41</v>
      </c>
      <c r="H248" s="109" t="s">
        <v>27</v>
      </c>
      <c r="I248" s="30" t="s">
        <v>2217</v>
      </c>
      <c r="J248" s="31" t="s">
        <v>123</v>
      </c>
      <c r="K248" s="22" t="s">
        <v>36</v>
      </c>
      <c r="L248" s="35"/>
      <c r="M248" s="25" t="s">
        <v>38</v>
      </c>
      <c r="N248" s="22" t="s">
        <v>56</v>
      </c>
      <c r="O248" s="22" t="s">
        <v>42</v>
      </c>
      <c r="P248" s="26"/>
      <c r="Q248" s="22" t="s">
        <v>44</v>
      </c>
      <c r="R248" s="33" t="s">
        <v>46</v>
      </c>
      <c r="S248" s="40"/>
      <c r="T248" s="28"/>
      <c r="U248" s="34"/>
      <c r="V248" s="26">
        <v>5.0</v>
      </c>
    </row>
    <row r="249" hidden="1">
      <c r="A249" s="17">
        <v>248.0</v>
      </c>
      <c r="B249" s="71">
        <v>46040.0</v>
      </c>
      <c r="C249" s="22" t="s">
        <v>21</v>
      </c>
      <c r="D249" s="22" t="s">
        <v>57</v>
      </c>
      <c r="E249" s="98" t="s">
        <v>437</v>
      </c>
      <c r="F249" s="33">
        <v>5.95495332E8</v>
      </c>
      <c r="G249" s="98" t="s">
        <v>41</v>
      </c>
      <c r="H249" s="109" t="s">
        <v>27</v>
      </c>
      <c r="I249" s="30" t="s">
        <v>2223</v>
      </c>
      <c r="J249" s="31" t="s">
        <v>123</v>
      </c>
      <c r="K249" s="22" t="s">
        <v>36</v>
      </c>
      <c r="L249" s="35"/>
      <c r="M249" s="25" t="s">
        <v>38</v>
      </c>
      <c r="N249" s="22" t="s">
        <v>56</v>
      </c>
      <c r="O249" s="22" t="s">
        <v>42</v>
      </c>
      <c r="P249" s="26"/>
      <c r="Q249" s="22" t="s">
        <v>44</v>
      </c>
      <c r="R249" s="33" t="s">
        <v>68</v>
      </c>
      <c r="S249" s="40"/>
      <c r="T249" s="28"/>
      <c r="U249" s="34"/>
      <c r="V249" s="26">
        <v>5.0</v>
      </c>
    </row>
    <row r="250" hidden="1">
      <c r="A250" s="17">
        <v>249.0</v>
      </c>
      <c r="B250" s="71">
        <v>46040.0</v>
      </c>
      <c r="C250" s="22" t="s">
        <v>58</v>
      </c>
      <c r="D250" s="22" t="s">
        <v>84</v>
      </c>
      <c r="E250" s="98" t="s">
        <v>2228</v>
      </c>
      <c r="F250" s="33">
        <v>5.00474516E8</v>
      </c>
      <c r="G250" s="98" t="s">
        <v>41</v>
      </c>
      <c r="H250" s="109" t="s">
        <v>146</v>
      </c>
      <c r="I250" s="30" t="s">
        <v>2229</v>
      </c>
      <c r="J250" s="98" t="s">
        <v>2232</v>
      </c>
      <c r="K250" s="22" t="s">
        <v>36</v>
      </c>
      <c r="L250" s="35"/>
      <c r="M250" s="42" t="s">
        <v>88</v>
      </c>
      <c r="N250" s="22" t="s">
        <v>56</v>
      </c>
      <c r="O250" s="22" t="s">
        <v>42</v>
      </c>
      <c r="P250" s="26"/>
      <c r="Q250" s="22" t="s">
        <v>44</v>
      </c>
      <c r="R250" s="33" t="s">
        <v>68</v>
      </c>
      <c r="S250" s="40"/>
      <c r="T250" s="28"/>
      <c r="U250" s="34"/>
      <c r="V250" s="26">
        <v>5.0</v>
      </c>
    </row>
    <row r="251" hidden="1">
      <c r="A251" s="17">
        <v>250.0</v>
      </c>
      <c r="B251" s="71">
        <v>46040.0</v>
      </c>
      <c r="C251" s="22" t="s">
        <v>21</v>
      </c>
      <c r="D251" s="22" t="s">
        <v>22</v>
      </c>
      <c r="E251" s="98" t="s">
        <v>2234</v>
      </c>
      <c r="F251" s="33">
        <v>5.66333397E8</v>
      </c>
      <c r="G251" s="31" t="s">
        <v>120</v>
      </c>
      <c r="H251" s="109" t="s">
        <v>27</v>
      </c>
      <c r="I251" s="30" t="s">
        <v>2236</v>
      </c>
      <c r="J251" s="31" t="s">
        <v>123</v>
      </c>
      <c r="K251" s="22" t="s">
        <v>36</v>
      </c>
      <c r="L251" s="35"/>
      <c r="M251" s="38" t="s">
        <v>125</v>
      </c>
      <c r="N251" s="22" t="s">
        <v>40</v>
      </c>
      <c r="O251" s="22" t="s">
        <v>42</v>
      </c>
      <c r="P251" s="26"/>
      <c r="Q251" s="22" t="s">
        <v>44</v>
      </c>
      <c r="R251" s="33" t="s">
        <v>68</v>
      </c>
      <c r="S251" s="40"/>
      <c r="T251" s="28"/>
      <c r="U251" s="34"/>
      <c r="V251" s="26">
        <v>5.0</v>
      </c>
    </row>
    <row r="252" hidden="1">
      <c r="A252" s="17">
        <v>251.0</v>
      </c>
      <c r="B252" s="71">
        <v>46040.0</v>
      </c>
      <c r="C252" s="22" t="s">
        <v>58</v>
      </c>
      <c r="D252" s="22" t="s">
        <v>84</v>
      </c>
      <c r="E252" s="33" t="s">
        <v>27</v>
      </c>
      <c r="F252" s="33">
        <v>5.66722969E8</v>
      </c>
      <c r="G252" s="98" t="s">
        <v>112</v>
      </c>
      <c r="H252" s="109" t="s">
        <v>27</v>
      </c>
      <c r="I252" s="30" t="s">
        <v>554</v>
      </c>
      <c r="J252" s="98" t="s">
        <v>1207</v>
      </c>
      <c r="K252" s="22" t="s">
        <v>36</v>
      </c>
      <c r="L252" s="35"/>
      <c r="M252" s="42" t="s">
        <v>88</v>
      </c>
      <c r="N252" s="22" t="s">
        <v>56</v>
      </c>
      <c r="O252" s="22" t="s">
        <v>42</v>
      </c>
      <c r="P252" s="26"/>
      <c r="Q252" s="22" t="s">
        <v>44</v>
      </c>
      <c r="R252" s="33" t="s">
        <v>68</v>
      </c>
      <c r="S252" s="40"/>
      <c r="T252" s="28"/>
      <c r="U252" s="34"/>
      <c r="V252" s="26">
        <v>5.0</v>
      </c>
    </row>
    <row r="253" hidden="1">
      <c r="A253" s="17">
        <v>252.0</v>
      </c>
      <c r="B253" s="71">
        <v>46040.0</v>
      </c>
      <c r="C253" s="22" t="s">
        <v>58</v>
      </c>
      <c r="D253" s="22" t="s">
        <v>84</v>
      </c>
      <c r="E253" s="33" t="s">
        <v>27</v>
      </c>
      <c r="F253" s="33">
        <v>5.03172215E8</v>
      </c>
      <c r="G253" s="98" t="s">
        <v>112</v>
      </c>
      <c r="H253" s="109" t="s">
        <v>27</v>
      </c>
      <c r="I253" s="30" t="s">
        <v>554</v>
      </c>
      <c r="J253" s="98" t="s">
        <v>1207</v>
      </c>
      <c r="K253" s="22" t="s">
        <v>36</v>
      </c>
      <c r="L253" s="35"/>
      <c r="M253" s="42" t="s">
        <v>88</v>
      </c>
      <c r="N253" s="22" t="s">
        <v>56</v>
      </c>
      <c r="O253" s="22" t="s">
        <v>42</v>
      </c>
      <c r="P253" s="26"/>
      <c r="Q253" s="22" t="s">
        <v>44</v>
      </c>
      <c r="R253" s="33" t="s">
        <v>68</v>
      </c>
      <c r="S253" s="40"/>
      <c r="T253" s="28"/>
      <c r="U253" s="34"/>
      <c r="V253" s="26">
        <v>5.0</v>
      </c>
    </row>
    <row r="254">
      <c r="A254" s="17">
        <v>253.0</v>
      </c>
      <c r="B254" s="71">
        <v>46040.0</v>
      </c>
      <c r="C254" s="22" t="s">
        <v>47</v>
      </c>
      <c r="D254" s="22" t="s">
        <v>48</v>
      </c>
      <c r="E254" s="33" t="s">
        <v>2245</v>
      </c>
      <c r="F254" s="33" t="s">
        <v>27</v>
      </c>
      <c r="G254" s="98" t="s">
        <v>41</v>
      </c>
      <c r="H254" s="109" t="s">
        <v>705</v>
      </c>
      <c r="I254" s="30" t="s">
        <v>2246</v>
      </c>
      <c r="J254" s="30" t="s">
        <v>1176</v>
      </c>
      <c r="K254" s="22" t="s">
        <v>78</v>
      </c>
      <c r="L254" s="35">
        <v>0.6388888888888888</v>
      </c>
      <c r="M254" s="135" t="s">
        <v>2247</v>
      </c>
      <c r="N254" s="17" t="s">
        <v>56</v>
      </c>
      <c r="O254" s="22"/>
      <c r="P254" s="26"/>
      <c r="Q254" s="22" t="s">
        <v>49</v>
      </c>
      <c r="R254" s="33" t="s">
        <v>46</v>
      </c>
      <c r="S254" s="40"/>
      <c r="T254" s="28"/>
      <c r="U254" s="34"/>
      <c r="V254" s="26">
        <v>5.0</v>
      </c>
    </row>
    <row r="255">
      <c r="A255" s="17">
        <v>254.0</v>
      </c>
      <c r="B255" s="71">
        <v>46040.0</v>
      </c>
      <c r="C255" s="22" t="s">
        <v>47</v>
      </c>
      <c r="D255" s="22" t="s">
        <v>48</v>
      </c>
      <c r="E255" s="98" t="s">
        <v>2251</v>
      </c>
      <c r="F255" s="33" t="s">
        <v>27</v>
      </c>
      <c r="G255" s="98" t="s">
        <v>41</v>
      </c>
      <c r="H255" s="109" t="s">
        <v>222</v>
      </c>
      <c r="I255" s="30" t="s">
        <v>2252</v>
      </c>
      <c r="J255" s="30" t="s">
        <v>2253</v>
      </c>
      <c r="K255" s="22" t="s">
        <v>78</v>
      </c>
      <c r="L255" s="35"/>
      <c r="M255" s="75" t="s">
        <v>555</v>
      </c>
      <c r="N255" s="17" t="s">
        <v>56</v>
      </c>
      <c r="O255" s="22"/>
      <c r="P255" s="26"/>
      <c r="Q255" s="22" t="s">
        <v>49</v>
      </c>
      <c r="R255" s="33" t="s">
        <v>46</v>
      </c>
      <c r="S255" s="40"/>
      <c r="T255" s="28"/>
      <c r="U255" s="34"/>
      <c r="V255" s="26">
        <v>5.0</v>
      </c>
    </row>
    <row r="256" ht="40.5" customHeight="1">
      <c r="A256" s="17">
        <v>255.0</v>
      </c>
      <c r="B256" s="71">
        <v>46040.0</v>
      </c>
      <c r="C256" s="22" t="s">
        <v>47</v>
      </c>
      <c r="D256" s="22" t="s">
        <v>48</v>
      </c>
      <c r="E256" s="33" t="s">
        <v>2257</v>
      </c>
      <c r="F256" s="33" t="s">
        <v>27</v>
      </c>
      <c r="G256" s="24" t="s">
        <v>79</v>
      </c>
      <c r="H256" s="109" t="s">
        <v>239</v>
      </c>
      <c r="I256" s="30" t="s">
        <v>2261</v>
      </c>
      <c r="J256" s="30" t="s">
        <v>2263</v>
      </c>
      <c r="K256" s="22" t="s">
        <v>78</v>
      </c>
      <c r="L256" s="35"/>
      <c r="M256" s="20" t="s">
        <v>101</v>
      </c>
      <c r="N256" s="17" t="s">
        <v>56</v>
      </c>
      <c r="O256" s="22"/>
      <c r="P256" s="26"/>
      <c r="Q256" s="22" t="s">
        <v>49</v>
      </c>
      <c r="R256" s="33" t="s">
        <v>46</v>
      </c>
      <c r="S256" s="40"/>
      <c r="T256" s="28"/>
      <c r="U256" s="34"/>
      <c r="V256" s="26">
        <v>5.0</v>
      </c>
    </row>
    <row r="257" hidden="1">
      <c r="A257" s="17">
        <v>256.0</v>
      </c>
      <c r="B257" s="71">
        <v>46040.0</v>
      </c>
      <c r="C257" s="22" t="s">
        <v>58</v>
      </c>
      <c r="D257" s="22" t="s">
        <v>84</v>
      </c>
      <c r="E257" s="33" t="s">
        <v>27</v>
      </c>
      <c r="F257" s="39">
        <v>5.08453088E8</v>
      </c>
      <c r="G257" s="33" t="s">
        <v>27</v>
      </c>
      <c r="H257" s="109" t="s">
        <v>27</v>
      </c>
      <c r="I257" s="30" t="s">
        <v>2269</v>
      </c>
      <c r="J257" s="98" t="s">
        <v>2271</v>
      </c>
      <c r="K257" s="22" t="s">
        <v>321</v>
      </c>
      <c r="L257" s="35"/>
      <c r="M257" s="25" t="s">
        <v>38</v>
      </c>
      <c r="N257" s="22" t="s">
        <v>56</v>
      </c>
      <c r="O257" s="22" t="s">
        <v>42</v>
      </c>
      <c r="P257" s="26"/>
      <c r="Q257" s="22" t="s">
        <v>49</v>
      </c>
      <c r="R257" s="33" t="s">
        <v>68</v>
      </c>
      <c r="S257" s="40"/>
      <c r="T257" s="28"/>
      <c r="U257" s="34"/>
      <c r="V257" s="26">
        <v>5.0</v>
      </c>
    </row>
    <row r="258" ht="48.75" hidden="1" customHeight="1">
      <c r="A258" s="17">
        <v>257.0</v>
      </c>
      <c r="B258" s="71">
        <v>46040.0</v>
      </c>
      <c r="C258" s="22" t="s">
        <v>21</v>
      </c>
      <c r="D258" s="22" t="s">
        <v>24</v>
      </c>
      <c r="E258" s="98" t="s">
        <v>2274</v>
      </c>
      <c r="F258" s="33">
        <v>5.41786056E8</v>
      </c>
      <c r="G258" s="31" t="s">
        <v>71</v>
      </c>
      <c r="H258" s="109" t="s">
        <v>27</v>
      </c>
      <c r="I258" s="30" t="s">
        <v>2277</v>
      </c>
      <c r="J258" s="31" t="s">
        <v>123</v>
      </c>
      <c r="K258" s="22" t="s">
        <v>321</v>
      </c>
      <c r="L258" s="35"/>
      <c r="M258" s="25" t="s">
        <v>38</v>
      </c>
      <c r="N258" s="22" t="s">
        <v>56</v>
      </c>
      <c r="O258" s="22" t="s">
        <v>42</v>
      </c>
      <c r="P258" s="26"/>
      <c r="Q258" s="22" t="s">
        <v>49</v>
      </c>
      <c r="R258" s="33" t="s">
        <v>46</v>
      </c>
      <c r="S258" s="40"/>
      <c r="T258" s="28"/>
      <c r="U258" s="34"/>
      <c r="V258" s="26">
        <v>5.0</v>
      </c>
    </row>
    <row r="259" ht="27.75" hidden="1" customHeight="1">
      <c r="A259" s="17">
        <v>258.0</v>
      </c>
      <c r="B259" s="71">
        <v>46040.0</v>
      </c>
      <c r="C259" s="22" t="s">
        <v>21</v>
      </c>
      <c r="D259" s="22" t="s">
        <v>24</v>
      </c>
      <c r="E259" s="33" t="s">
        <v>2285</v>
      </c>
      <c r="F259" s="33">
        <v>5.49181129E8</v>
      </c>
      <c r="G259" s="31" t="s">
        <v>71</v>
      </c>
      <c r="H259" s="109" t="s">
        <v>27</v>
      </c>
      <c r="I259" s="30" t="s">
        <v>2287</v>
      </c>
      <c r="J259" s="31" t="s">
        <v>123</v>
      </c>
      <c r="K259" s="22" t="s">
        <v>39</v>
      </c>
      <c r="L259" s="35">
        <v>0.625</v>
      </c>
      <c r="M259" s="25" t="s">
        <v>38</v>
      </c>
      <c r="N259" s="22" t="s">
        <v>56</v>
      </c>
      <c r="O259" s="22" t="s">
        <v>42</v>
      </c>
      <c r="P259" s="26"/>
      <c r="Q259" s="22" t="s">
        <v>49</v>
      </c>
      <c r="R259" s="33" t="s">
        <v>46</v>
      </c>
      <c r="S259" s="40"/>
      <c r="T259" s="28"/>
      <c r="U259" s="68" t="s">
        <v>44</v>
      </c>
      <c r="V259" s="26">
        <v>5.0</v>
      </c>
    </row>
    <row r="260">
      <c r="A260" s="17">
        <v>259.0</v>
      </c>
      <c r="B260" s="71">
        <v>46040.0</v>
      </c>
      <c r="C260" s="22" t="s">
        <v>47</v>
      </c>
      <c r="D260" s="22" t="s">
        <v>48</v>
      </c>
      <c r="E260" s="98" t="s">
        <v>1828</v>
      </c>
      <c r="F260" s="33">
        <v>5.6439787E8</v>
      </c>
      <c r="G260" s="98" t="s">
        <v>41</v>
      </c>
      <c r="H260" s="109" t="s">
        <v>414</v>
      </c>
      <c r="I260" s="30" t="s">
        <v>2292</v>
      </c>
      <c r="J260" s="30" t="s">
        <v>2294</v>
      </c>
      <c r="K260" s="22" t="s">
        <v>36</v>
      </c>
      <c r="L260" s="35"/>
      <c r="M260" s="25" t="s">
        <v>55</v>
      </c>
      <c r="N260" s="17" t="s">
        <v>56</v>
      </c>
      <c r="O260" s="22"/>
      <c r="P260" s="26"/>
      <c r="Q260" s="22" t="s">
        <v>44</v>
      </c>
      <c r="R260" s="33" t="s">
        <v>46</v>
      </c>
      <c r="S260" s="40"/>
      <c r="T260" s="28"/>
      <c r="U260" s="34"/>
      <c r="V260" s="26">
        <v>5.0</v>
      </c>
    </row>
    <row r="261" hidden="1">
      <c r="A261" s="17">
        <v>260.0</v>
      </c>
      <c r="B261" s="71">
        <v>46040.0</v>
      </c>
      <c r="C261" s="22" t="s">
        <v>21</v>
      </c>
      <c r="D261" s="22" t="s">
        <v>92</v>
      </c>
      <c r="E261" s="98" t="s">
        <v>2296</v>
      </c>
      <c r="F261" s="33">
        <v>5.07895029E8</v>
      </c>
      <c r="G261" s="98" t="s">
        <v>41</v>
      </c>
      <c r="H261" s="109" t="s">
        <v>27</v>
      </c>
      <c r="I261" s="30" t="s">
        <v>2297</v>
      </c>
      <c r="J261" s="98" t="s">
        <v>205</v>
      </c>
      <c r="K261" s="22" t="s">
        <v>36</v>
      </c>
      <c r="L261" s="35"/>
      <c r="M261" s="82" t="s">
        <v>208</v>
      </c>
      <c r="N261" s="22" t="s">
        <v>56</v>
      </c>
      <c r="O261" s="22" t="s">
        <v>42</v>
      </c>
      <c r="P261" s="26"/>
      <c r="Q261" s="22" t="s">
        <v>44</v>
      </c>
      <c r="R261" s="33" t="s">
        <v>68</v>
      </c>
      <c r="S261" s="40"/>
      <c r="T261" s="28"/>
      <c r="U261" s="34"/>
      <c r="V261" s="26">
        <v>5.0</v>
      </c>
    </row>
    <row r="262" hidden="1">
      <c r="A262" s="17">
        <v>261.0</v>
      </c>
      <c r="B262" s="71">
        <v>46040.0</v>
      </c>
      <c r="C262" s="22" t="s">
        <v>21</v>
      </c>
      <c r="D262" s="22" t="s">
        <v>92</v>
      </c>
      <c r="E262" s="98" t="s">
        <v>2304</v>
      </c>
      <c r="F262" s="33">
        <v>1.25233111E8</v>
      </c>
      <c r="G262" s="98" t="s">
        <v>41</v>
      </c>
      <c r="H262" s="109" t="s">
        <v>27</v>
      </c>
      <c r="I262" s="30" t="s">
        <v>2305</v>
      </c>
      <c r="J262" s="98" t="s">
        <v>205</v>
      </c>
      <c r="K262" s="22" t="s">
        <v>36</v>
      </c>
      <c r="L262" s="35"/>
      <c r="M262" s="82" t="s">
        <v>208</v>
      </c>
      <c r="N262" s="22" t="s">
        <v>56</v>
      </c>
      <c r="O262" s="22" t="s">
        <v>42</v>
      </c>
      <c r="P262" s="26"/>
      <c r="Q262" s="22" t="s">
        <v>44</v>
      </c>
      <c r="R262" s="33" t="s">
        <v>68</v>
      </c>
      <c r="S262" s="40"/>
      <c r="T262" s="28"/>
      <c r="U262" s="34"/>
      <c r="V262" s="26">
        <v>5.0</v>
      </c>
    </row>
    <row r="263" hidden="1">
      <c r="A263" s="17">
        <v>262.0</v>
      </c>
      <c r="B263" s="71">
        <v>46040.0</v>
      </c>
      <c r="C263" s="22" t="s">
        <v>21</v>
      </c>
      <c r="D263" s="22" t="s">
        <v>24</v>
      </c>
      <c r="E263" s="98" t="s">
        <v>2310</v>
      </c>
      <c r="F263" s="33">
        <v>5.05720708E8</v>
      </c>
      <c r="G263" s="24" t="s">
        <v>79</v>
      </c>
      <c r="H263" s="109" t="s">
        <v>27</v>
      </c>
      <c r="I263" s="30" t="s">
        <v>2311</v>
      </c>
      <c r="J263" s="31" t="s">
        <v>123</v>
      </c>
      <c r="K263" s="22" t="s">
        <v>36</v>
      </c>
      <c r="L263" s="35"/>
      <c r="M263" s="25" t="s">
        <v>38</v>
      </c>
      <c r="N263" s="22" t="s">
        <v>56</v>
      </c>
      <c r="O263" s="22" t="s">
        <v>42</v>
      </c>
      <c r="P263" s="26"/>
      <c r="Q263" s="22" t="s">
        <v>44</v>
      </c>
      <c r="R263" s="33" t="s">
        <v>46</v>
      </c>
      <c r="S263" s="40"/>
      <c r="T263" s="28"/>
      <c r="U263" s="34"/>
      <c r="V263" s="26">
        <v>5.0</v>
      </c>
    </row>
    <row r="264" hidden="1">
      <c r="A264" s="17">
        <v>263.0</v>
      </c>
      <c r="B264" s="71">
        <v>46040.0</v>
      </c>
      <c r="C264" s="22" t="s">
        <v>58</v>
      </c>
      <c r="D264" s="22" t="s">
        <v>84</v>
      </c>
      <c r="E264" s="33" t="s">
        <v>27</v>
      </c>
      <c r="F264" s="33">
        <v>5.66553919E8</v>
      </c>
      <c r="G264" s="98" t="s">
        <v>112</v>
      </c>
      <c r="H264" s="109" t="s">
        <v>27</v>
      </c>
      <c r="I264" s="30" t="s">
        <v>554</v>
      </c>
      <c r="J264" s="31" t="s">
        <v>123</v>
      </c>
      <c r="K264" s="22" t="s">
        <v>36</v>
      </c>
      <c r="L264" s="35"/>
      <c r="M264" s="42" t="s">
        <v>88</v>
      </c>
      <c r="N264" s="22" t="s">
        <v>56</v>
      </c>
      <c r="O264" s="22" t="s">
        <v>42</v>
      </c>
      <c r="P264" s="26"/>
      <c r="Q264" s="22" t="s">
        <v>44</v>
      </c>
      <c r="R264" s="33" t="s">
        <v>68</v>
      </c>
      <c r="S264" s="40"/>
      <c r="T264" s="28"/>
      <c r="U264" s="34"/>
      <c r="V264" s="26">
        <v>5.0</v>
      </c>
    </row>
    <row r="265" hidden="1">
      <c r="A265" s="17">
        <v>264.0</v>
      </c>
      <c r="B265" s="71">
        <v>46040.0</v>
      </c>
      <c r="C265" s="22" t="s">
        <v>21</v>
      </c>
      <c r="D265" s="22" t="s">
        <v>22</v>
      </c>
      <c r="E265" s="98" t="s">
        <v>2320</v>
      </c>
      <c r="F265" s="33">
        <v>5.06781088E8</v>
      </c>
      <c r="G265" s="98" t="s">
        <v>41</v>
      </c>
      <c r="H265" s="109" t="s">
        <v>27</v>
      </c>
      <c r="I265" s="30" t="s">
        <v>2321</v>
      </c>
      <c r="J265" s="31" t="s">
        <v>123</v>
      </c>
      <c r="K265" s="22" t="s">
        <v>36</v>
      </c>
      <c r="L265" s="35"/>
      <c r="M265" s="38" t="s">
        <v>1389</v>
      </c>
      <c r="N265" s="22" t="s">
        <v>40</v>
      </c>
      <c r="O265" s="22" t="s">
        <v>42</v>
      </c>
      <c r="P265" s="26"/>
      <c r="Q265" s="22" t="s">
        <v>44</v>
      </c>
      <c r="R265" s="33" t="s">
        <v>68</v>
      </c>
      <c r="S265" s="40"/>
      <c r="T265" s="28"/>
      <c r="U265" s="34"/>
      <c r="V265" s="26">
        <v>5.0</v>
      </c>
    </row>
    <row r="266" hidden="1">
      <c r="A266" s="17">
        <v>265.0</v>
      </c>
      <c r="B266" s="71">
        <v>46040.0</v>
      </c>
      <c r="C266" s="22" t="s">
        <v>21</v>
      </c>
      <c r="D266" s="22" t="s">
        <v>24</v>
      </c>
      <c r="E266" s="98" t="s">
        <v>2326</v>
      </c>
      <c r="F266" s="33">
        <v>5.50068147E8</v>
      </c>
      <c r="G266" s="31" t="s">
        <v>71</v>
      </c>
      <c r="H266" s="109" t="s">
        <v>27</v>
      </c>
      <c r="I266" s="30" t="s">
        <v>2327</v>
      </c>
      <c r="J266" s="31" t="s">
        <v>123</v>
      </c>
      <c r="K266" s="22" t="s">
        <v>36</v>
      </c>
      <c r="L266" s="35"/>
      <c r="M266" s="25" t="s">
        <v>38</v>
      </c>
      <c r="N266" s="22" t="s">
        <v>56</v>
      </c>
      <c r="O266" s="22" t="s">
        <v>42</v>
      </c>
      <c r="P266" s="26"/>
      <c r="Q266" s="22" t="s">
        <v>44</v>
      </c>
      <c r="R266" s="33" t="s">
        <v>46</v>
      </c>
      <c r="S266" s="40"/>
      <c r="T266" s="28"/>
      <c r="U266" s="34"/>
      <c r="V266" s="26">
        <v>5.0</v>
      </c>
    </row>
    <row r="267" hidden="1">
      <c r="A267" s="17">
        <v>266.0</v>
      </c>
      <c r="B267" s="71">
        <v>46040.0</v>
      </c>
      <c r="C267" s="22" t="s">
        <v>58</v>
      </c>
      <c r="D267" s="22" t="s">
        <v>84</v>
      </c>
      <c r="E267" s="98" t="s">
        <v>2329</v>
      </c>
      <c r="F267" s="33">
        <v>5.0483547E8</v>
      </c>
      <c r="G267" s="98" t="s">
        <v>41</v>
      </c>
      <c r="H267" s="109" t="s">
        <v>222</v>
      </c>
      <c r="I267" s="30" t="s">
        <v>2332</v>
      </c>
      <c r="J267" s="98" t="s">
        <v>2333</v>
      </c>
      <c r="K267" s="22" t="s">
        <v>36</v>
      </c>
      <c r="L267" s="35"/>
      <c r="M267" s="42" t="s">
        <v>88</v>
      </c>
      <c r="N267" s="22" t="s">
        <v>56</v>
      </c>
      <c r="O267" s="22" t="s">
        <v>42</v>
      </c>
      <c r="P267" s="26"/>
      <c r="Q267" s="22" t="s">
        <v>44</v>
      </c>
      <c r="R267" s="33" t="s">
        <v>68</v>
      </c>
      <c r="S267" s="40"/>
      <c r="T267" s="28"/>
      <c r="U267" s="34"/>
      <c r="V267" s="26">
        <v>5.0</v>
      </c>
    </row>
    <row r="268" hidden="1">
      <c r="A268" s="17">
        <v>267.0</v>
      </c>
      <c r="B268" s="71">
        <v>46040.0</v>
      </c>
      <c r="C268" s="22" t="s">
        <v>58</v>
      </c>
      <c r="D268" s="22" t="s">
        <v>84</v>
      </c>
      <c r="E268" s="33" t="s">
        <v>27</v>
      </c>
      <c r="F268" s="33">
        <v>5.01826431E8</v>
      </c>
      <c r="G268" s="31" t="s">
        <v>120</v>
      </c>
      <c r="H268" s="109" t="s">
        <v>27</v>
      </c>
      <c r="I268" s="30" t="s">
        <v>233</v>
      </c>
      <c r="J268" s="31" t="s">
        <v>123</v>
      </c>
      <c r="K268" s="22" t="s">
        <v>36</v>
      </c>
      <c r="L268" s="35">
        <v>0.4444444444444444</v>
      </c>
      <c r="M268" s="42" t="s">
        <v>88</v>
      </c>
      <c r="N268" s="22" t="s">
        <v>56</v>
      </c>
      <c r="O268" s="22" t="s">
        <v>42</v>
      </c>
      <c r="P268" s="26"/>
      <c r="Q268" s="22" t="s">
        <v>44</v>
      </c>
      <c r="R268" s="33" t="s">
        <v>68</v>
      </c>
      <c r="S268" s="40"/>
      <c r="T268" s="28"/>
      <c r="U268" s="68" t="s">
        <v>44</v>
      </c>
      <c r="V268" s="26">
        <v>5.0</v>
      </c>
    </row>
    <row r="269" hidden="1">
      <c r="A269" s="17">
        <v>268.0</v>
      </c>
      <c r="B269" s="71">
        <v>46040.0</v>
      </c>
      <c r="C269" s="22" t="s">
        <v>21</v>
      </c>
      <c r="D269" s="22" t="s">
        <v>22</v>
      </c>
      <c r="E269" s="98" t="s">
        <v>2342</v>
      </c>
      <c r="F269" s="39">
        <v>5.0974919E8</v>
      </c>
      <c r="G269" s="98" t="s">
        <v>76</v>
      </c>
      <c r="H269" s="22" t="s">
        <v>27</v>
      </c>
      <c r="I269" s="30" t="s">
        <v>2343</v>
      </c>
      <c r="J269" s="31" t="s">
        <v>123</v>
      </c>
      <c r="K269" s="22" t="s">
        <v>36</v>
      </c>
      <c r="L269" s="35">
        <v>0.4444444444444444</v>
      </c>
      <c r="M269" s="38" t="s">
        <v>125</v>
      </c>
      <c r="N269" s="22" t="s">
        <v>56</v>
      </c>
      <c r="O269" s="22" t="s">
        <v>42</v>
      </c>
      <c r="P269" s="26"/>
      <c r="Q269" s="22" t="s">
        <v>49</v>
      </c>
      <c r="R269" s="33" t="s">
        <v>68</v>
      </c>
      <c r="S269" s="40"/>
      <c r="T269" s="28"/>
      <c r="U269" s="68" t="s">
        <v>44</v>
      </c>
      <c r="V269" s="26">
        <v>5.0</v>
      </c>
    </row>
    <row r="270">
      <c r="A270" s="17">
        <v>269.0</v>
      </c>
      <c r="B270" s="71">
        <v>46040.0</v>
      </c>
      <c r="C270" s="22" t="s">
        <v>47</v>
      </c>
      <c r="D270" s="22" t="s">
        <v>138</v>
      </c>
      <c r="E270" s="98" t="s">
        <v>2348</v>
      </c>
      <c r="F270" s="33">
        <v>5.53270809E8</v>
      </c>
      <c r="G270" s="98" t="s">
        <v>41</v>
      </c>
      <c r="H270" s="109" t="s">
        <v>146</v>
      </c>
      <c r="I270" s="30" t="s">
        <v>2352</v>
      </c>
      <c r="J270" s="24" t="s">
        <v>2353</v>
      </c>
      <c r="K270" s="17" t="s">
        <v>148</v>
      </c>
      <c r="L270" s="35"/>
      <c r="M270" s="27" t="s">
        <v>323</v>
      </c>
      <c r="N270" s="22" t="s">
        <v>56</v>
      </c>
      <c r="O270" s="22"/>
      <c r="P270" s="26"/>
      <c r="Q270" s="22" t="s">
        <v>44</v>
      </c>
      <c r="R270" s="33" t="s">
        <v>46</v>
      </c>
      <c r="S270" s="40"/>
      <c r="T270" s="28"/>
      <c r="U270" s="68" t="s">
        <v>44</v>
      </c>
      <c r="V270" s="26">
        <v>5.0</v>
      </c>
    </row>
    <row r="271">
      <c r="A271" s="17">
        <v>270.0</v>
      </c>
      <c r="B271" s="71">
        <v>46040.0</v>
      </c>
      <c r="C271" s="22" t="s">
        <v>47</v>
      </c>
      <c r="D271" s="22" t="s">
        <v>138</v>
      </c>
      <c r="E271" s="33" t="s">
        <v>2359</v>
      </c>
      <c r="F271" s="33">
        <v>5.68219912E8</v>
      </c>
      <c r="G271" s="98" t="s">
        <v>41</v>
      </c>
      <c r="H271" s="109" t="s">
        <v>1345</v>
      </c>
      <c r="I271" s="30" t="s">
        <v>2361</v>
      </c>
      <c r="J271" s="24" t="s">
        <v>2362</v>
      </c>
      <c r="K271" s="17" t="s">
        <v>148</v>
      </c>
      <c r="L271" s="35"/>
      <c r="M271" s="25" t="s">
        <v>150</v>
      </c>
      <c r="N271" s="17" t="s">
        <v>56</v>
      </c>
      <c r="O271" s="22"/>
      <c r="P271" s="26"/>
      <c r="Q271" s="22" t="s">
        <v>44</v>
      </c>
      <c r="R271" s="33" t="s">
        <v>46</v>
      </c>
      <c r="S271" s="40"/>
      <c r="T271" s="28"/>
      <c r="U271" s="68" t="s">
        <v>44</v>
      </c>
      <c r="V271" s="26">
        <v>5.0</v>
      </c>
    </row>
    <row r="272">
      <c r="A272" s="17">
        <v>271.0</v>
      </c>
      <c r="B272" s="71">
        <v>46040.0</v>
      </c>
      <c r="C272" s="22" t="s">
        <v>47</v>
      </c>
      <c r="D272" s="22" t="s">
        <v>138</v>
      </c>
      <c r="E272" s="98" t="s">
        <v>2367</v>
      </c>
      <c r="F272" s="33">
        <v>5.56280258E8</v>
      </c>
      <c r="G272" s="98" t="s">
        <v>41</v>
      </c>
      <c r="H272" s="109" t="s">
        <v>146</v>
      </c>
      <c r="I272" s="30" t="s">
        <v>2369</v>
      </c>
      <c r="J272" s="24" t="s">
        <v>2370</v>
      </c>
      <c r="K272" s="17" t="s">
        <v>148</v>
      </c>
      <c r="L272" s="35"/>
      <c r="M272" s="27" t="s">
        <v>323</v>
      </c>
      <c r="N272" s="22" t="s">
        <v>56</v>
      </c>
      <c r="O272" s="22"/>
      <c r="P272" s="26"/>
      <c r="Q272" s="22" t="s">
        <v>44</v>
      </c>
      <c r="R272" s="33" t="s">
        <v>46</v>
      </c>
      <c r="S272" s="40"/>
      <c r="T272" s="28"/>
      <c r="U272" s="68" t="s">
        <v>44</v>
      </c>
      <c r="V272" s="26">
        <v>5.0</v>
      </c>
    </row>
    <row r="273" hidden="1">
      <c r="A273" s="17">
        <v>272.0</v>
      </c>
      <c r="B273" s="71">
        <v>46040.0</v>
      </c>
      <c r="C273" s="22" t="s">
        <v>47</v>
      </c>
      <c r="D273" s="22" t="s">
        <v>251</v>
      </c>
      <c r="E273" s="98" t="s">
        <v>2373</v>
      </c>
      <c r="F273" s="33">
        <v>5.95560496E8</v>
      </c>
      <c r="G273" s="98" t="s">
        <v>41</v>
      </c>
      <c r="H273" s="109" t="s">
        <v>2375</v>
      </c>
      <c r="I273" s="30" t="s">
        <v>2377</v>
      </c>
      <c r="J273" s="31" t="s">
        <v>123</v>
      </c>
      <c r="K273" s="17" t="s">
        <v>148</v>
      </c>
      <c r="L273" s="114">
        <v>0.4791666666666667</v>
      </c>
      <c r="M273" s="25" t="s">
        <v>1758</v>
      </c>
      <c r="N273" s="22" t="s">
        <v>56</v>
      </c>
      <c r="O273" s="22" t="s">
        <v>42</v>
      </c>
      <c r="P273" s="26"/>
      <c r="Q273" s="22" t="s">
        <v>44</v>
      </c>
      <c r="R273" s="33" t="s">
        <v>46</v>
      </c>
      <c r="S273" s="40"/>
      <c r="T273" s="28"/>
      <c r="U273" s="34"/>
      <c r="V273" s="26">
        <v>5.0</v>
      </c>
    </row>
    <row r="274">
      <c r="A274" s="17">
        <v>273.0</v>
      </c>
      <c r="B274" s="143">
        <v>46040.0</v>
      </c>
      <c r="C274" s="144" t="s">
        <v>47</v>
      </c>
      <c r="D274" s="144" t="s">
        <v>367</v>
      </c>
      <c r="E274" s="145" t="s">
        <v>2382</v>
      </c>
      <c r="F274" s="144">
        <v>5.60350189E8</v>
      </c>
      <c r="G274" s="145" t="s">
        <v>41</v>
      </c>
      <c r="H274" s="144" t="s">
        <v>222</v>
      </c>
      <c r="I274" s="30" t="s">
        <v>2384</v>
      </c>
      <c r="J274" s="24" t="s">
        <v>2385</v>
      </c>
      <c r="K274" s="17" t="s">
        <v>148</v>
      </c>
      <c r="L274" s="35">
        <v>0.4444444444444444</v>
      </c>
      <c r="M274" s="25" t="s">
        <v>55</v>
      </c>
      <c r="N274" s="22" t="s">
        <v>56</v>
      </c>
      <c r="O274" s="144"/>
      <c r="P274" s="26"/>
      <c r="Q274" s="144" t="s">
        <v>44</v>
      </c>
      <c r="R274" s="144" t="s">
        <v>46</v>
      </c>
      <c r="S274" s="40"/>
      <c r="T274" s="28"/>
      <c r="U274" s="68" t="s">
        <v>44</v>
      </c>
      <c r="V274" s="26">
        <v>5.0</v>
      </c>
    </row>
    <row r="275">
      <c r="A275" s="17">
        <v>274.0</v>
      </c>
      <c r="B275" s="143">
        <v>46040.0</v>
      </c>
      <c r="C275" s="144" t="s">
        <v>47</v>
      </c>
      <c r="D275" s="144" t="s">
        <v>367</v>
      </c>
      <c r="E275" s="144" t="s">
        <v>2391</v>
      </c>
      <c r="F275" s="144" t="s">
        <v>27</v>
      </c>
      <c r="G275" s="145" t="s">
        <v>41</v>
      </c>
      <c r="H275" s="144" t="s">
        <v>146</v>
      </c>
      <c r="I275" s="30" t="s">
        <v>2394</v>
      </c>
      <c r="J275" s="24" t="s">
        <v>2395</v>
      </c>
      <c r="K275" s="17" t="s">
        <v>148</v>
      </c>
      <c r="L275" s="35">
        <v>0.4444444444444444</v>
      </c>
      <c r="M275" s="25" t="s">
        <v>55</v>
      </c>
      <c r="N275" s="22" t="s">
        <v>56</v>
      </c>
      <c r="O275" s="144"/>
      <c r="P275" s="26"/>
      <c r="Q275" s="144" t="s">
        <v>44</v>
      </c>
      <c r="R275" s="144" t="s">
        <v>46</v>
      </c>
      <c r="S275" s="40"/>
      <c r="T275" s="28"/>
      <c r="U275" s="68" t="s">
        <v>44</v>
      </c>
      <c r="V275" s="26">
        <v>5.0</v>
      </c>
    </row>
    <row r="276">
      <c r="A276" s="17">
        <v>275.0</v>
      </c>
      <c r="B276" s="71">
        <v>46040.0</v>
      </c>
      <c r="C276" s="22" t="s">
        <v>47</v>
      </c>
      <c r="D276" s="22" t="s">
        <v>138</v>
      </c>
      <c r="E276" s="98" t="s">
        <v>2403</v>
      </c>
      <c r="F276" s="33">
        <v>5.05366532E8</v>
      </c>
      <c r="G276" s="98" t="s">
        <v>41</v>
      </c>
      <c r="H276" s="109" t="s">
        <v>146</v>
      </c>
      <c r="I276" s="30" t="s">
        <v>2404</v>
      </c>
      <c r="J276" s="24" t="s">
        <v>2353</v>
      </c>
      <c r="K276" s="17" t="s">
        <v>148</v>
      </c>
      <c r="L276" s="35"/>
      <c r="M276" s="27" t="s">
        <v>323</v>
      </c>
      <c r="N276" s="22" t="s">
        <v>56</v>
      </c>
      <c r="O276" s="22"/>
      <c r="P276" s="26"/>
      <c r="Q276" s="22" t="s">
        <v>44</v>
      </c>
      <c r="R276" s="33" t="s">
        <v>46</v>
      </c>
      <c r="S276" s="40"/>
      <c r="T276" s="28"/>
      <c r="U276" s="34"/>
      <c r="V276" s="26">
        <v>5.0</v>
      </c>
    </row>
    <row r="277">
      <c r="A277" s="17">
        <v>276.0</v>
      </c>
      <c r="B277" s="71">
        <v>46040.0</v>
      </c>
      <c r="C277" s="22" t="s">
        <v>47</v>
      </c>
      <c r="D277" s="22" t="s">
        <v>138</v>
      </c>
      <c r="E277" s="33" t="s">
        <v>2408</v>
      </c>
      <c r="F277" s="33" t="s">
        <v>27</v>
      </c>
      <c r="G277" s="24" t="s">
        <v>79</v>
      </c>
      <c r="H277" s="109" t="s">
        <v>487</v>
      </c>
      <c r="I277" s="30" t="s">
        <v>2409</v>
      </c>
      <c r="J277" s="24" t="s">
        <v>2410</v>
      </c>
      <c r="K277" s="17" t="s">
        <v>148</v>
      </c>
      <c r="L277" s="35"/>
      <c r="M277" s="27" t="s">
        <v>323</v>
      </c>
      <c r="N277" s="22" t="s">
        <v>56</v>
      </c>
      <c r="O277" s="22"/>
      <c r="P277" s="26"/>
      <c r="Q277" s="22" t="s">
        <v>44</v>
      </c>
      <c r="R277" s="33" t="s">
        <v>46</v>
      </c>
      <c r="S277" s="40"/>
      <c r="T277" s="28"/>
      <c r="U277" s="68" t="s">
        <v>44</v>
      </c>
      <c r="V277" s="26">
        <v>5.0</v>
      </c>
    </row>
    <row r="278">
      <c r="A278" s="17">
        <v>277.0</v>
      </c>
      <c r="B278" s="71">
        <v>46040.0</v>
      </c>
      <c r="C278" s="22" t="s">
        <v>47</v>
      </c>
      <c r="D278" s="22" t="s">
        <v>138</v>
      </c>
      <c r="E278" s="98" t="s">
        <v>2418</v>
      </c>
      <c r="F278" s="33">
        <v>5.55553886E8</v>
      </c>
      <c r="G278" s="24" t="s">
        <v>79</v>
      </c>
      <c r="H278" s="109" t="s">
        <v>142</v>
      </c>
      <c r="I278" s="30" t="s">
        <v>2421</v>
      </c>
      <c r="J278" s="24" t="s">
        <v>2423</v>
      </c>
      <c r="K278" s="17" t="s">
        <v>148</v>
      </c>
      <c r="L278" s="35"/>
      <c r="M278" s="27" t="s">
        <v>323</v>
      </c>
      <c r="N278" s="22" t="s">
        <v>56</v>
      </c>
      <c r="O278" s="22"/>
      <c r="P278" s="26"/>
      <c r="Q278" s="22" t="s">
        <v>44</v>
      </c>
      <c r="R278" s="33" t="s">
        <v>46</v>
      </c>
      <c r="S278" s="40"/>
      <c r="T278" s="28"/>
      <c r="U278" s="68" t="s">
        <v>44</v>
      </c>
      <c r="V278" s="26">
        <v>5.0</v>
      </c>
    </row>
    <row r="279" hidden="1">
      <c r="A279" s="17">
        <v>278.0</v>
      </c>
      <c r="B279" s="71">
        <v>46040.0</v>
      </c>
      <c r="C279" s="22" t="s">
        <v>58</v>
      </c>
      <c r="D279" s="22" t="s">
        <v>84</v>
      </c>
      <c r="E279" s="33" t="s">
        <v>27</v>
      </c>
      <c r="F279" s="33">
        <v>5.44055975E8</v>
      </c>
      <c r="G279" s="31" t="s">
        <v>71</v>
      </c>
      <c r="H279" s="109" t="s">
        <v>27</v>
      </c>
      <c r="I279" s="30" t="s">
        <v>2430</v>
      </c>
      <c r="J279" s="98" t="s">
        <v>2431</v>
      </c>
      <c r="K279" s="22" t="s">
        <v>36</v>
      </c>
      <c r="L279" s="35">
        <v>0.4444444444444444</v>
      </c>
      <c r="M279" s="42" t="s">
        <v>88</v>
      </c>
      <c r="N279" s="22" t="s">
        <v>56</v>
      </c>
      <c r="O279" s="22" t="s">
        <v>42</v>
      </c>
      <c r="P279" s="26"/>
      <c r="Q279" s="22" t="s">
        <v>44</v>
      </c>
      <c r="R279" s="33" t="s">
        <v>68</v>
      </c>
      <c r="S279" s="40"/>
      <c r="T279" s="28"/>
      <c r="U279" s="68" t="s">
        <v>44</v>
      </c>
      <c r="V279" s="26">
        <v>5.0</v>
      </c>
    </row>
    <row r="280" hidden="1">
      <c r="A280" s="17">
        <v>279.0</v>
      </c>
      <c r="B280" s="71">
        <v>46040.0</v>
      </c>
      <c r="C280" s="22" t="s">
        <v>21</v>
      </c>
      <c r="D280" s="22" t="s">
        <v>22</v>
      </c>
      <c r="E280" s="98" t="s">
        <v>947</v>
      </c>
      <c r="F280" s="33">
        <v>5.46565611E8</v>
      </c>
      <c r="G280" s="24" t="s">
        <v>79</v>
      </c>
      <c r="H280" s="109" t="s">
        <v>27</v>
      </c>
      <c r="I280" s="30" t="s">
        <v>2435</v>
      </c>
      <c r="J280" s="98" t="s">
        <v>32</v>
      </c>
      <c r="K280" s="22" t="s">
        <v>36</v>
      </c>
      <c r="L280" s="114">
        <v>0.4791666666666667</v>
      </c>
      <c r="M280" s="38" t="s">
        <v>1389</v>
      </c>
      <c r="N280" s="22" t="s">
        <v>40</v>
      </c>
      <c r="O280" s="22" t="s">
        <v>42</v>
      </c>
      <c r="P280" s="26"/>
      <c r="Q280" s="22" t="s">
        <v>44</v>
      </c>
      <c r="R280" s="33" t="s">
        <v>68</v>
      </c>
      <c r="S280" s="40"/>
      <c r="T280" s="28"/>
      <c r="U280" s="34"/>
      <c r="V280" s="26">
        <v>5.0</v>
      </c>
    </row>
    <row r="281" hidden="1">
      <c r="A281" s="17">
        <v>280.0</v>
      </c>
      <c r="B281" s="71">
        <v>46041.0</v>
      </c>
      <c r="C281" s="22" t="s">
        <v>58</v>
      </c>
      <c r="D281" s="22" t="s">
        <v>84</v>
      </c>
      <c r="E281" s="33" t="s">
        <v>27</v>
      </c>
      <c r="F281" s="33">
        <v>5.09310233E8</v>
      </c>
      <c r="G281" s="33" t="s">
        <v>27</v>
      </c>
      <c r="H281" s="109" t="s">
        <v>27</v>
      </c>
      <c r="I281" s="39" t="s">
        <v>2443</v>
      </c>
      <c r="J281" s="98" t="s">
        <v>2444</v>
      </c>
      <c r="K281" s="22" t="s">
        <v>65</v>
      </c>
      <c r="L281" s="35">
        <v>0.4444444444444444</v>
      </c>
      <c r="M281" s="25" t="s">
        <v>38</v>
      </c>
      <c r="N281" s="22" t="s">
        <v>56</v>
      </c>
      <c r="O281" s="22" t="s">
        <v>42</v>
      </c>
      <c r="P281" s="26"/>
      <c r="Q281" s="22" t="s">
        <v>44</v>
      </c>
      <c r="R281" s="33" t="s">
        <v>68</v>
      </c>
      <c r="S281" s="40"/>
      <c r="T281" s="28"/>
      <c r="U281" s="68" t="s">
        <v>44</v>
      </c>
      <c r="V281" s="26">
        <v>5.0</v>
      </c>
    </row>
    <row r="282" hidden="1">
      <c r="A282" s="17">
        <v>281.0</v>
      </c>
      <c r="B282" s="71">
        <v>46041.0</v>
      </c>
      <c r="C282" s="22" t="s">
        <v>58</v>
      </c>
      <c r="D282" s="22" t="s">
        <v>84</v>
      </c>
      <c r="E282" s="33" t="s">
        <v>27</v>
      </c>
      <c r="F282" s="33">
        <v>5.43554999E8</v>
      </c>
      <c r="G282" s="33" t="s">
        <v>27</v>
      </c>
      <c r="H282" s="109" t="s">
        <v>27</v>
      </c>
      <c r="I282" s="30" t="s">
        <v>2450</v>
      </c>
      <c r="J282" s="31" t="s">
        <v>123</v>
      </c>
      <c r="K282" s="22" t="s">
        <v>36</v>
      </c>
      <c r="L282" s="35">
        <v>0.4444444444444444</v>
      </c>
      <c r="M282" s="42" t="s">
        <v>88</v>
      </c>
      <c r="N282" s="22" t="s">
        <v>56</v>
      </c>
      <c r="O282" s="22" t="s">
        <v>42</v>
      </c>
      <c r="P282" s="26"/>
      <c r="Q282" s="22" t="s">
        <v>49</v>
      </c>
      <c r="R282" s="33" t="s">
        <v>68</v>
      </c>
      <c r="S282" s="40"/>
      <c r="T282" s="28"/>
      <c r="U282" s="68" t="s">
        <v>44</v>
      </c>
      <c r="V282" s="26">
        <v>5.0</v>
      </c>
    </row>
    <row r="283" hidden="1">
      <c r="A283" s="17">
        <v>282.0</v>
      </c>
      <c r="B283" s="71">
        <v>46041.0</v>
      </c>
      <c r="C283" s="22" t="s">
        <v>21</v>
      </c>
      <c r="D283" s="22" t="s">
        <v>24</v>
      </c>
      <c r="E283" s="98" t="s">
        <v>2456</v>
      </c>
      <c r="F283" s="33">
        <v>5.08930269E8</v>
      </c>
      <c r="G283" s="31" t="s">
        <v>71</v>
      </c>
      <c r="H283" s="109" t="s">
        <v>27</v>
      </c>
      <c r="I283" s="30" t="s">
        <v>2458</v>
      </c>
      <c r="J283" s="31" t="s">
        <v>123</v>
      </c>
      <c r="K283" s="22" t="s">
        <v>36</v>
      </c>
      <c r="L283" s="35">
        <v>0.4444444444444444</v>
      </c>
      <c r="M283" s="25" t="s">
        <v>38</v>
      </c>
      <c r="N283" s="22" t="s">
        <v>56</v>
      </c>
      <c r="O283" s="22" t="s">
        <v>42</v>
      </c>
      <c r="P283" s="26"/>
      <c r="Q283" s="22" t="s">
        <v>44</v>
      </c>
      <c r="R283" s="33" t="s">
        <v>46</v>
      </c>
      <c r="S283" s="40"/>
      <c r="T283" s="28"/>
      <c r="U283" s="68" t="s">
        <v>44</v>
      </c>
      <c r="V283" s="26">
        <v>5.0</v>
      </c>
    </row>
    <row r="284" hidden="1">
      <c r="A284" s="17">
        <v>283.0</v>
      </c>
      <c r="B284" s="71">
        <v>46041.0</v>
      </c>
      <c r="C284" s="22" t="s">
        <v>58</v>
      </c>
      <c r="D284" s="22" t="s">
        <v>84</v>
      </c>
      <c r="E284" s="33" t="s">
        <v>27</v>
      </c>
      <c r="F284" s="33">
        <v>5.34566558E8</v>
      </c>
      <c r="G284" s="98" t="s">
        <v>112</v>
      </c>
      <c r="H284" s="109" t="s">
        <v>27</v>
      </c>
      <c r="I284" s="30" t="s">
        <v>484</v>
      </c>
      <c r="J284" s="31" t="s">
        <v>123</v>
      </c>
      <c r="K284" s="22" t="s">
        <v>36</v>
      </c>
      <c r="L284" s="114">
        <v>0.4791666666666667</v>
      </c>
      <c r="M284" s="42" t="s">
        <v>88</v>
      </c>
      <c r="N284" s="22" t="s">
        <v>56</v>
      </c>
      <c r="O284" s="22" t="s">
        <v>42</v>
      </c>
      <c r="P284" s="26"/>
      <c r="Q284" s="22" t="s">
        <v>44</v>
      </c>
      <c r="R284" s="33" t="s">
        <v>68</v>
      </c>
      <c r="S284" s="40"/>
      <c r="T284" s="28"/>
      <c r="U284" s="34"/>
      <c r="V284" s="26">
        <v>5.0</v>
      </c>
    </row>
    <row r="285" ht="50.25" hidden="1" customHeight="1">
      <c r="A285" s="17">
        <v>284.0</v>
      </c>
      <c r="B285" s="71">
        <v>46041.0</v>
      </c>
      <c r="C285" s="17" t="s">
        <v>21</v>
      </c>
      <c r="D285" s="17" t="s">
        <v>939</v>
      </c>
      <c r="E285" s="149" t="s">
        <v>2466</v>
      </c>
      <c r="F285" s="39">
        <v>5.55360222E8</v>
      </c>
      <c r="G285" s="24" t="s">
        <v>120</v>
      </c>
      <c r="H285" s="118" t="s">
        <v>27</v>
      </c>
      <c r="I285" s="30" t="s">
        <v>2469</v>
      </c>
      <c r="J285" s="30" t="s">
        <v>2470</v>
      </c>
      <c r="K285" s="17" t="s">
        <v>36</v>
      </c>
      <c r="L285" s="35">
        <v>0.4444444444444444</v>
      </c>
      <c r="M285" s="38" t="s">
        <v>208</v>
      </c>
      <c r="N285" s="17" t="s">
        <v>56</v>
      </c>
      <c r="O285" s="17" t="s">
        <v>42</v>
      </c>
      <c r="P285" s="26"/>
      <c r="Q285" s="17" t="s">
        <v>44</v>
      </c>
      <c r="R285" s="33" t="s">
        <v>68</v>
      </c>
      <c r="S285" s="40"/>
      <c r="T285" s="28"/>
      <c r="U285" s="68" t="s">
        <v>44</v>
      </c>
      <c r="V285" s="26">
        <v>5.0</v>
      </c>
    </row>
    <row r="286" hidden="1">
      <c r="A286" s="17">
        <v>285.0</v>
      </c>
      <c r="B286" s="71">
        <v>46041.0</v>
      </c>
      <c r="C286" s="22" t="s">
        <v>21</v>
      </c>
      <c r="D286" s="22" t="s">
        <v>66</v>
      </c>
      <c r="E286" s="98" t="s">
        <v>2476</v>
      </c>
      <c r="F286" s="33">
        <v>5.0247504E8</v>
      </c>
      <c r="G286" s="31" t="s">
        <v>120</v>
      </c>
      <c r="H286" s="109" t="s">
        <v>27</v>
      </c>
      <c r="I286" s="30" t="s">
        <v>2209</v>
      </c>
      <c r="J286" s="98" t="s">
        <v>2477</v>
      </c>
      <c r="K286" s="22" t="s">
        <v>36</v>
      </c>
      <c r="L286" s="114">
        <v>0.4791666666666667</v>
      </c>
      <c r="M286" s="25" t="s">
        <v>38</v>
      </c>
      <c r="N286" s="22" t="s">
        <v>56</v>
      </c>
      <c r="O286" s="22" t="s">
        <v>42</v>
      </c>
      <c r="P286" s="26"/>
      <c r="Q286" s="22" t="s">
        <v>44</v>
      </c>
      <c r="R286" s="33" t="s">
        <v>68</v>
      </c>
      <c r="S286" s="40"/>
      <c r="T286" s="28"/>
      <c r="U286" s="34"/>
      <c r="V286" s="26">
        <v>5.0</v>
      </c>
    </row>
    <row r="287" hidden="1">
      <c r="A287" s="17">
        <v>286.0</v>
      </c>
      <c r="B287" s="71">
        <v>46041.0</v>
      </c>
      <c r="C287" s="22" t="s">
        <v>58</v>
      </c>
      <c r="D287" s="22" t="s">
        <v>84</v>
      </c>
      <c r="E287" s="98" t="s">
        <v>2482</v>
      </c>
      <c r="F287" s="33">
        <v>5.65333089E8</v>
      </c>
      <c r="G287" s="24" t="s">
        <v>79</v>
      </c>
      <c r="H287" s="109" t="s">
        <v>27</v>
      </c>
      <c r="I287" s="30" t="s">
        <v>2484</v>
      </c>
      <c r="J287" s="98" t="s">
        <v>2486</v>
      </c>
      <c r="K287" s="22" t="s">
        <v>36</v>
      </c>
      <c r="L287" s="35">
        <v>0.4444444444444444</v>
      </c>
      <c r="M287" s="42" t="s">
        <v>88</v>
      </c>
      <c r="N287" s="22" t="s">
        <v>56</v>
      </c>
      <c r="O287" s="22" t="s">
        <v>42</v>
      </c>
      <c r="P287" s="26"/>
      <c r="Q287" s="22" t="s">
        <v>44</v>
      </c>
      <c r="R287" s="33" t="s">
        <v>68</v>
      </c>
      <c r="S287" s="40"/>
      <c r="T287" s="28"/>
      <c r="U287" s="68" t="s">
        <v>44</v>
      </c>
      <c r="V287" s="26">
        <v>5.0</v>
      </c>
    </row>
    <row r="288" hidden="1">
      <c r="A288" s="17">
        <v>287.0</v>
      </c>
      <c r="B288" s="71">
        <v>46041.0</v>
      </c>
      <c r="C288" s="22" t="s">
        <v>21</v>
      </c>
      <c r="D288" s="22" t="s">
        <v>24</v>
      </c>
      <c r="E288" s="98" t="s">
        <v>2491</v>
      </c>
      <c r="F288" s="33">
        <v>5.806666697E9</v>
      </c>
      <c r="G288" s="98" t="s">
        <v>41</v>
      </c>
      <c r="H288" s="109" t="s">
        <v>27</v>
      </c>
      <c r="I288" s="30" t="s">
        <v>2492</v>
      </c>
      <c r="J288" s="31" t="s">
        <v>123</v>
      </c>
      <c r="K288" s="22" t="s">
        <v>36</v>
      </c>
      <c r="L288" s="35">
        <v>0.4444444444444444</v>
      </c>
      <c r="M288" s="25" t="s">
        <v>38</v>
      </c>
      <c r="N288" s="22" t="s">
        <v>56</v>
      </c>
      <c r="O288" s="22" t="s">
        <v>42</v>
      </c>
      <c r="P288" s="26"/>
      <c r="Q288" s="22" t="s">
        <v>44</v>
      </c>
      <c r="R288" s="33" t="s">
        <v>46</v>
      </c>
      <c r="S288" s="40"/>
      <c r="T288" s="28"/>
      <c r="U288" s="68" t="s">
        <v>44</v>
      </c>
      <c r="V288" s="26">
        <v>5.0</v>
      </c>
    </row>
    <row r="289" hidden="1">
      <c r="A289" s="17">
        <v>288.0</v>
      </c>
      <c r="B289" s="71">
        <v>46041.0</v>
      </c>
      <c r="C289" s="22" t="s">
        <v>58</v>
      </c>
      <c r="D289" s="22" t="s">
        <v>84</v>
      </c>
      <c r="E289" s="98" t="s">
        <v>1055</v>
      </c>
      <c r="F289" s="33">
        <v>5.48504807E8</v>
      </c>
      <c r="G289" s="24" t="s">
        <v>79</v>
      </c>
      <c r="H289" s="109" t="s">
        <v>27</v>
      </c>
      <c r="I289" s="30" t="s">
        <v>2497</v>
      </c>
      <c r="J289" s="98" t="s">
        <v>2499</v>
      </c>
      <c r="K289" s="22" t="s">
        <v>36</v>
      </c>
      <c r="L289" s="35">
        <v>0.4444444444444444</v>
      </c>
      <c r="M289" s="42" t="s">
        <v>88</v>
      </c>
      <c r="N289" s="22" t="s">
        <v>56</v>
      </c>
      <c r="O289" s="22" t="s">
        <v>42</v>
      </c>
      <c r="P289" s="26"/>
      <c r="Q289" s="22" t="s">
        <v>49</v>
      </c>
      <c r="R289" s="33" t="s">
        <v>68</v>
      </c>
      <c r="S289" s="40"/>
      <c r="T289" s="28"/>
      <c r="U289" s="68" t="s">
        <v>44</v>
      </c>
      <c r="V289" s="26">
        <v>5.0</v>
      </c>
    </row>
    <row r="290" hidden="1">
      <c r="A290" s="17">
        <v>289.0</v>
      </c>
      <c r="B290" s="71">
        <v>46041.0</v>
      </c>
      <c r="C290" s="22" t="s">
        <v>21</v>
      </c>
      <c r="D290" s="22" t="s">
        <v>34</v>
      </c>
      <c r="E290" s="33" t="s">
        <v>27</v>
      </c>
      <c r="F290" s="33">
        <v>5.50702434E8</v>
      </c>
      <c r="G290" s="98" t="s">
        <v>41</v>
      </c>
      <c r="H290" s="109" t="s">
        <v>27</v>
      </c>
      <c r="I290" s="30" t="s">
        <v>2504</v>
      </c>
      <c r="J290" s="98" t="s">
        <v>2506</v>
      </c>
      <c r="K290" s="22" t="s">
        <v>36</v>
      </c>
      <c r="L290" s="35">
        <v>0.4444444444444444</v>
      </c>
      <c r="M290" s="38" t="s">
        <v>51</v>
      </c>
      <c r="N290" s="22" t="s">
        <v>56</v>
      </c>
      <c r="O290" s="22" t="s">
        <v>42</v>
      </c>
      <c r="P290" s="26"/>
      <c r="Q290" s="22" t="s">
        <v>44</v>
      </c>
      <c r="R290" s="33" t="s">
        <v>68</v>
      </c>
      <c r="S290" s="40"/>
      <c r="T290" s="28"/>
      <c r="U290" s="68" t="s">
        <v>44</v>
      </c>
      <c r="V290" s="26">
        <v>5.0</v>
      </c>
    </row>
    <row r="291">
      <c r="A291" s="17">
        <v>290.0</v>
      </c>
      <c r="B291" s="71">
        <v>46041.0</v>
      </c>
      <c r="C291" s="22" t="s">
        <v>47</v>
      </c>
      <c r="D291" s="22" t="s">
        <v>48</v>
      </c>
      <c r="E291" s="98" t="s">
        <v>2508</v>
      </c>
      <c r="F291" s="33">
        <v>5.58799198E8</v>
      </c>
      <c r="G291" s="98" t="s">
        <v>41</v>
      </c>
      <c r="H291" s="109" t="s">
        <v>52</v>
      </c>
      <c r="I291" s="30" t="s">
        <v>2511</v>
      </c>
      <c r="J291" s="30" t="s">
        <v>2512</v>
      </c>
      <c r="K291" s="22" t="s">
        <v>36</v>
      </c>
      <c r="L291" s="114">
        <v>0.4791666666666667</v>
      </c>
      <c r="M291" s="20" t="s">
        <v>611</v>
      </c>
      <c r="N291" s="17" t="s">
        <v>56</v>
      </c>
      <c r="O291" s="22"/>
      <c r="P291" s="26"/>
      <c r="Q291" s="22" t="s">
        <v>44</v>
      </c>
      <c r="R291" s="33" t="s">
        <v>46</v>
      </c>
      <c r="S291" s="40"/>
      <c r="T291" s="28"/>
      <c r="U291" s="34"/>
      <c r="V291" s="26">
        <v>5.0</v>
      </c>
    </row>
    <row r="292" hidden="1">
      <c r="A292" s="17">
        <v>291.0</v>
      </c>
      <c r="B292" s="71">
        <v>46041.0</v>
      </c>
      <c r="C292" s="22" t="s">
        <v>21</v>
      </c>
      <c r="D292" s="22" t="s">
        <v>66</v>
      </c>
      <c r="E292" s="98" t="s">
        <v>108</v>
      </c>
      <c r="F292" s="33">
        <v>5.30759373E8</v>
      </c>
      <c r="G292" s="98" t="s">
        <v>41</v>
      </c>
      <c r="H292" s="109" t="s">
        <v>27</v>
      </c>
      <c r="I292" s="30" t="s">
        <v>2516</v>
      </c>
      <c r="J292" s="113" t="s">
        <v>2517</v>
      </c>
      <c r="K292" s="22" t="s">
        <v>36</v>
      </c>
      <c r="L292" s="35">
        <v>0.4444444444444444</v>
      </c>
      <c r="M292" s="25" t="s">
        <v>38</v>
      </c>
      <c r="N292" s="22" t="s">
        <v>56</v>
      </c>
      <c r="O292" s="22" t="s">
        <v>42</v>
      </c>
      <c r="P292" s="26"/>
      <c r="Q292" s="22" t="s">
        <v>44</v>
      </c>
      <c r="R292" s="33" t="s">
        <v>68</v>
      </c>
      <c r="S292" s="40"/>
      <c r="T292" s="28"/>
      <c r="U292" s="68" t="s">
        <v>44</v>
      </c>
      <c r="V292" s="26">
        <v>5.0</v>
      </c>
    </row>
    <row r="293" hidden="1">
      <c r="A293" s="17">
        <v>292.0</v>
      </c>
      <c r="B293" s="71">
        <v>46041.0</v>
      </c>
      <c r="C293" s="22" t="s">
        <v>21</v>
      </c>
      <c r="D293" s="22" t="s">
        <v>24</v>
      </c>
      <c r="E293" s="98" t="s">
        <v>2523</v>
      </c>
      <c r="F293" s="33">
        <v>5.60650087E8</v>
      </c>
      <c r="G293" s="98" t="s">
        <v>41</v>
      </c>
      <c r="H293" s="109" t="s">
        <v>27</v>
      </c>
      <c r="I293" s="30" t="s">
        <v>2525</v>
      </c>
      <c r="J293" s="31" t="s">
        <v>123</v>
      </c>
      <c r="K293" s="22" t="s">
        <v>36</v>
      </c>
      <c r="L293" s="35">
        <v>0.4444444444444444</v>
      </c>
      <c r="M293" s="25" t="s">
        <v>38</v>
      </c>
      <c r="N293" s="22" t="s">
        <v>56</v>
      </c>
      <c r="O293" s="22" t="s">
        <v>42</v>
      </c>
      <c r="P293" s="26"/>
      <c r="Q293" s="22" t="s">
        <v>49</v>
      </c>
      <c r="R293" s="33" t="s">
        <v>46</v>
      </c>
      <c r="S293" s="40"/>
      <c r="T293" s="28"/>
      <c r="U293" s="68" t="s">
        <v>44</v>
      </c>
      <c r="V293" s="26">
        <v>5.0</v>
      </c>
    </row>
    <row r="294" hidden="1">
      <c r="A294" s="17">
        <v>293.0</v>
      </c>
      <c r="B294" s="71">
        <v>46041.0</v>
      </c>
      <c r="C294" s="22" t="s">
        <v>21</v>
      </c>
      <c r="D294" s="22" t="s">
        <v>22</v>
      </c>
      <c r="E294" s="33" t="s">
        <v>27</v>
      </c>
      <c r="F294" s="33">
        <v>5.51440416E8</v>
      </c>
      <c r="G294" s="98" t="s">
        <v>211</v>
      </c>
      <c r="H294" s="109" t="s">
        <v>27</v>
      </c>
      <c r="I294" s="30" t="s">
        <v>2525</v>
      </c>
      <c r="J294" s="31" t="s">
        <v>123</v>
      </c>
      <c r="K294" s="22" t="s">
        <v>36</v>
      </c>
      <c r="L294" s="114">
        <v>0.4791666666666667</v>
      </c>
      <c r="M294" s="38" t="s">
        <v>125</v>
      </c>
      <c r="N294" s="22" t="s">
        <v>56</v>
      </c>
      <c r="O294" s="22" t="s">
        <v>42</v>
      </c>
      <c r="P294" s="26"/>
      <c r="Q294" s="22" t="s">
        <v>49</v>
      </c>
      <c r="R294" s="33" t="s">
        <v>68</v>
      </c>
      <c r="S294" s="40"/>
      <c r="T294" s="28"/>
      <c r="U294" s="34"/>
      <c r="V294" s="26">
        <v>5.0</v>
      </c>
    </row>
    <row r="295">
      <c r="A295" s="17">
        <v>294.0</v>
      </c>
      <c r="B295" s="71">
        <v>46041.0</v>
      </c>
      <c r="C295" s="22" t="s">
        <v>47</v>
      </c>
      <c r="D295" s="22" t="s">
        <v>48</v>
      </c>
      <c r="E295" s="98" t="s">
        <v>1948</v>
      </c>
      <c r="F295" s="33">
        <v>5.60320592E8</v>
      </c>
      <c r="G295" s="31" t="s">
        <v>71</v>
      </c>
      <c r="H295" s="109" t="s">
        <v>72</v>
      </c>
      <c r="I295" s="30" t="s">
        <v>2540</v>
      </c>
      <c r="J295" s="30" t="s">
        <v>2541</v>
      </c>
      <c r="K295" s="22" t="s">
        <v>36</v>
      </c>
      <c r="L295" s="35">
        <v>0.4444444444444444</v>
      </c>
      <c r="M295" s="20" t="s">
        <v>662</v>
      </c>
      <c r="N295" s="17" t="s">
        <v>56</v>
      </c>
      <c r="O295" s="22"/>
      <c r="P295" s="26"/>
      <c r="Q295" s="22" t="s">
        <v>44</v>
      </c>
      <c r="R295" s="33" t="s">
        <v>46</v>
      </c>
      <c r="S295" s="40"/>
      <c r="T295" s="28"/>
      <c r="U295" s="68" t="s">
        <v>44</v>
      </c>
      <c r="V295" s="26">
        <v>5.0</v>
      </c>
    </row>
    <row r="296" hidden="1">
      <c r="A296" s="17">
        <v>295.0</v>
      </c>
      <c r="B296" s="71">
        <v>46041.0</v>
      </c>
      <c r="C296" s="22" t="s">
        <v>21</v>
      </c>
      <c r="D296" s="22" t="s">
        <v>24</v>
      </c>
      <c r="E296" s="98" t="s">
        <v>2547</v>
      </c>
      <c r="F296" s="33">
        <v>5.9750509E8</v>
      </c>
      <c r="G296" s="98" t="s">
        <v>41</v>
      </c>
      <c r="H296" s="109" t="s">
        <v>222</v>
      </c>
      <c r="I296" s="30" t="s">
        <v>2548</v>
      </c>
      <c r="J296" s="31" t="s">
        <v>123</v>
      </c>
      <c r="K296" s="22" t="s">
        <v>36</v>
      </c>
      <c r="L296" s="35">
        <v>0.4444444444444444</v>
      </c>
      <c r="M296" s="25" t="s">
        <v>38</v>
      </c>
      <c r="N296" s="22" t="s">
        <v>56</v>
      </c>
      <c r="O296" s="22" t="s">
        <v>42</v>
      </c>
      <c r="P296" s="26"/>
      <c r="Q296" s="22" t="s">
        <v>44</v>
      </c>
      <c r="R296" s="33" t="s">
        <v>46</v>
      </c>
      <c r="S296" s="40"/>
      <c r="T296" s="28"/>
      <c r="U296" s="68" t="s">
        <v>44</v>
      </c>
      <c r="V296" s="26">
        <v>5.0</v>
      </c>
    </row>
    <row r="297" hidden="1">
      <c r="A297" s="17">
        <v>296.0</v>
      </c>
      <c r="B297" s="71">
        <v>46041.0</v>
      </c>
      <c r="C297" s="22" t="s">
        <v>21</v>
      </c>
      <c r="D297" s="22" t="s">
        <v>66</v>
      </c>
      <c r="E297" s="98" t="s">
        <v>1103</v>
      </c>
      <c r="F297" s="33">
        <v>5.59938249E8</v>
      </c>
      <c r="G297" s="31" t="s">
        <v>71</v>
      </c>
      <c r="H297" s="109" t="s">
        <v>27</v>
      </c>
      <c r="I297" s="30" t="s">
        <v>2559</v>
      </c>
      <c r="J297" s="31" t="s">
        <v>123</v>
      </c>
      <c r="K297" s="22" t="s">
        <v>36</v>
      </c>
      <c r="L297" s="35">
        <v>0.4444444444444444</v>
      </c>
      <c r="M297" s="25" t="s">
        <v>38</v>
      </c>
      <c r="N297" s="22" t="s">
        <v>56</v>
      </c>
      <c r="O297" s="22" t="s">
        <v>42</v>
      </c>
      <c r="P297" s="26"/>
      <c r="Q297" s="22" t="s">
        <v>44</v>
      </c>
      <c r="R297" s="33" t="s">
        <v>68</v>
      </c>
      <c r="S297" s="40"/>
      <c r="T297" s="28"/>
      <c r="U297" s="68" t="s">
        <v>44</v>
      </c>
      <c r="V297" s="26">
        <v>5.0</v>
      </c>
    </row>
    <row r="298" hidden="1">
      <c r="A298" s="17">
        <v>297.0</v>
      </c>
      <c r="B298" s="71">
        <v>46041.0</v>
      </c>
      <c r="C298" s="22" t="s">
        <v>58</v>
      </c>
      <c r="D298" s="22" t="s">
        <v>84</v>
      </c>
      <c r="E298" s="33" t="s">
        <v>27</v>
      </c>
      <c r="F298" s="33">
        <v>5.097694E8</v>
      </c>
      <c r="G298" s="98" t="s">
        <v>41</v>
      </c>
      <c r="H298" s="109" t="s">
        <v>27</v>
      </c>
      <c r="I298" s="30" t="s">
        <v>2568</v>
      </c>
      <c r="J298" s="31" t="s">
        <v>123</v>
      </c>
      <c r="K298" s="22" t="s">
        <v>36</v>
      </c>
      <c r="L298" s="35">
        <v>0.4444444444444444</v>
      </c>
      <c r="M298" s="42" t="s">
        <v>88</v>
      </c>
      <c r="N298" s="22" t="s">
        <v>56</v>
      </c>
      <c r="O298" s="22" t="s">
        <v>42</v>
      </c>
      <c r="P298" s="26"/>
      <c r="Q298" s="22" t="s">
        <v>44</v>
      </c>
      <c r="R298" s="33" t="s">
        <v>68</v>
      </c>
      <c r="S298" s="40"/>
      <c r="T298" s="28"/>
      <c r="U298" s="68" t="s">
        <v>44</v>
      </c>
      <c r="V298" s="26">
        <v>5.0</v>
      </c>
    </row>
    <row r="299" hidden="1">
      <c r="A299" s="17">
        <v>298.0</v>
      </c>
      <c r="B299" s="71">
        <v>46041.0</v>
      </c>
      <c r="C299" s="22" t="s">
        <v>58</v>
      </c>
      <c r="D299" s="22" t="s">
        <v>84</v>
      </c>
      <c r="E299" s="33" t="s">
        <v>27</v>
      </c>
      <c r="F299" s="33">
        <v>5.65170666E8</v>
      </c>
      <c r="G299" s="31" t="s">
        <v>71</v>
      </c>
      <c r="H299" s="109" t="s">
        <v>27</v>
      </c>
      <c r="I299" s="30" t="s">
        <v>1935</v>
      </c>
      <c r="J299" s="31" t="s">
        <v>123</v>
      </c>
      <c r="K299" s="22" t="s">
        <v>36</v>
      </c>
      <c r="L299" s="35">
        <v>0.4444444444444444</v>
      </c>
      <c r="M299" s="42" t="s">
        <v>88</v>
      </c>
      <c r="N299" s="22" t="s">
        <v>56</v>
      </c>
      <c r="O299" s="22" t="s">
        <v>42</v>
      </c>
      <c r="P299" s="26"/>
      <c r="Q299" s="22" t="s">
        <v>44</v>
      </c>
      <c r="R299" s="33" t="s">
        <v>68</v>
      </c>
      <c r="S299" s="40"/>
      <c r="T299" s="28"/>
      <c r="U299" s="68" t="s">
        <v>44</v>
      </c>
      <c r="V299" s="26">
        <v>5.0</v>
      </c>
    </row>
    <row r="300">
      <c r="A300" s="17">
        <v>299.0</v>
      </c>
      <c r="B300" s="71">
        <v>46041.0</v>
      </c>
      <c r="C300" s="22" t="s">
        <v>47</v>
      </c>
      <c r="D300" s="22" t="s">
        <v>48</v>
      </c>
      <c r="E300" s="98" t="s">
        <v>2581</v>
      </c>
      <c r="F300" s="33">
        <v>5.55835443E8</v>
      </c>
      <c r="G300" s="98" t="s">
        <v>41</v>
      </c>
      <c r="H300" s="109" t="s">
        <v>253</v>
      </c>
      <c r="I300" s="30" t="s">
        <v>2584</v>
      </c>
      <c r="J300" s="30" t="s">
        <v>2585</v>
      </c>
      <c r="K300" s="22" t="s">
        <v>36</v>
      </c>
      <c r="L300" s="35">
        <v>0.4444444444444444</v>
      </c>
      <c r="M300" s="20" t="s">
        <v>101</v>
      </c>
      <c r="N300" s="17" t="s">
        <v>56</v>
      </c>
      <c r="O300" s="22"/>
      <c r="P300" s="26"/>
      <c r="Q300" s="22" t="s">
        <v>44</v>
      </c>
      <c r="R300" s="33" t="s">
        <v>46</v>
      </c>
      <c r="S300" s="40"/>
      <c r="T300" s="28"/>
      <c r="U300" s="68" t="s">
        <v>44</v>
      </c>
      <c r="V300" s="26">
        <v>5.0</v>
      </c>
    </row>
    <row r="301" hidden="1">
      <c r="A301" s="17">
        <v>300.0</v>
      </c>
      <c r="B301" s="71">
        <v>46041.0</v>
      </c>
      <c r="C301" s="22" t="s">
        <v>21</v>
      </c>
      <c r="D301" s="22" t="s">
        <v>24</v>
      </c>
      <c r="E301" s="98" t="s">
        <v>2594</v>
      </c>
      <c r="F301" s="33">
        <v>5.57768677E8</v>
      </c>
      <c r="G301" s="98" t="s">
        <v>2595</v>
      </c>
      <c r="H301" s="109" t="s">
        <v>27</v>
      </c>
      <c r="I301" s="30" t="s">
        <v>2596</v>
      </c>
      <c r="J301" s="31" t="s">
        <v>123</v>
      </c>
      <c r="K301" s="22" t="s">
        <v>62</v>
      </c>
      <c r="L301" s="114">
        <v>0.4791666666666667</v>
      </c>
      <c r="M301" s="25" t="s">
        <v>38</v>
      </c>
      <c r="N301" s="22" t="s">
        <v>56</v>
      </c>
      <c r="O301" s="22" t="s">
        <v>42</v>
      </c>
      <c r="P301" s="26"/>
      <c r="Q301" s="22" t="s">
        <v>44</v>
      </c>
      <c r="R301" s="33" t="s">
        <v>46</v>
      </c>
      <c r="S301" s="40"/>
      <c r="T301" s="28"/>
      <c r="U301" s="34"/>
      <c r="V301" s="26">
        <v>5.0</v>
      </c>
    </row>
    <row r="302" hidden="1">
      <c r="A302" s="17">
        <v>301.0</v>
      </c>
      <c r="B302" s="71">
        <v>46041.0</v>
      </c>
      <c r="C302" s="22" t="s">
        <v>58</v>
      </c>
      <c r="D302" s="22" t="s">
        <v>84</v>
      </c>
      <c r="E302" s="33" t="s">
        <v>27</v>
      </c>
      <c r="F302" s="33">
        <v>5.43702437E8</v>
      </c>
      <c r="G302" s="31" t="s">
        <v>120</v>
      </c>
      <c r="H302" s="109" t="s">
        <v>27</v>
      </c>
      <c r="I302" s="30" t="s">
        <v>2605</v>
      </c>
      <c r="J302" s="31" t="s">
        <v>123</v>
      </c>
      <c r="K302" s="22" t="s">
        <v>36</v>
      </c>
      <c r="L302" s="35">
        <v>0.4444444444444444</v>
      </c>
      <c r="M302" s="42" t="s">
        <v>88</v>
      </c>
      <c r="N302" s="22" t="s">
        <v>56</v>
      </c>
      <c r="O302" s="22" t="s">
        <v>42</v>
      </c>
      <c r="P302" s="26"/>
      <c r="Q302" s="22" t="s">
        <v>44</v>
      </c>
      <c r="R302" s="33" t="s">
        <v>68</v>
      </c>
      <c r="S302" s="40"/>
      <c r="T302" s="28"/>
      <c r="U302" s="68" t="s">
        <v>44</v>
      </c>
      <c r="V302" s="26">
        <v>5.0</v>
      </c>
    </row>
    <row r="303" ht="20.25" hidden="1" customHeight="1">
      <c r="A303" s="17">
        <v>302.0</v>
      </c>
      <c r="B303" s="71">
        <v>46041.0</v>
      </c>
      <c r="C303" s="22" t="s">
        <v>21</v>
      </c>
      <c r="D303" s="22" t="s">
        <v>22</v>
      </c>
      <c r="E303" s="98" t="s">
        <v>2606</v>
      </c>
      <c r="F303" s="33">
        <v>5.95444255E8</v>
      </c>
      <c r="G303" s="109" t="s">
        <v>27</v>
      </c>
      <c r="H303" s="109" t="s">
        <v>27</v>
      </c>
      <c r="I303" s="30" t="s">
        <v>2608</v>
      </c>
      <c r="J303" s="31" t="s">
        <v>123</v>
      </c>
      <c r="K303" s="22" t="s">
        <v>321</v>
      </c>
      <c r="L303" s="35">
        <v>0.4444444444444444</v>
      </c>
      <c r="M303" s="38" t="s">
        <v>125</v>
      </c>
      <c r="N303" s="22" t="s">
        <v>56</v>
      </c>
      <c r="O303" s="22" t="s">
        <v>42</v>
      </c>
      <c r="P303" s="26"/>
      <c r="Q303" s="22" t="s">
        <v>49</v>
      </c>
      <c r="R303" s="33" t="s">
        <v>68</v>
      </c>
      <c r="S303" s="40"/>
      <c r="T303" s="28"/>
      <c r="U303" s="68" t="s">
        <v>44</v>
      </c>
      <c r="V303" s="26">
        <v>5.0</v>
      </c>
    </row>
    <row r="304">
      <c r="A304" s="17">
        <v>303.0</v>
      </c>
      <c r="B304" s="71">
        <v>46041.0</v>
      </c>
      <c r="C304" s="22" t="s">
        <v>47</v>
      </c>
      <c r="D304" s="22" t="s">
        <v>48</v>
      </c>
      <c r="E304" s="33" t="s">
        <v>2613</v>
      </c>
      <c r="F304" s="33">
        <v>5.75883373E8</v>
      </c>
      <c r="G304" s="98" t="s">
        <v>41</v>
      </c>
      <c r="H304" s="109" t="s">
        <v>222</v>
      </c>
      <c r="I304" s="30" t="s">
        <v>2616</v>
      </c>
      <c r="J304" s="30" t="s">
        <v>2617</v>
      </c>
      <c r="K304" s="22" t="s">
        <v>62</v>
      </c>
      <c r="L304" s="35">
        <v>0.4444444444444444</v>
      </c>
      <c r="M304" s="153" t="s">
        <v>2618</v>
      </c>
      <c r="N304" s="17" t="s">
        <v>56</v>
      </c>
      <c r="O304" s="22"/>
      <c r="P304" s="26"/>
      <c r="Q304" s="22" t="s">
        <v>44</v>
      </c>
      <c r="R304" s="33" t="s">
        <v>46</v>
      </c>
      <c r="S304" s="40"/>
      <c r="T304" s="28"/>
      <c r="U304" s="68" t="s">
        <v>44</v>
      </c>
      <c r="V304" s="26">
        <v>5.0</v>
      </c>
    </row>
    <row r="305">
      <c r="A305" s="17">
        <v>304.0</v>
      </c>
      <c r="B305" s="71">
        <v>46041.0</v>
      </c>
      <c r="C305" s="22" t="s">
        <v>47</v>
      </c>
      <c r="D305" s="22" t="s">
        <v>48</v>
      </c>
      <c r="E305" s="98" t="s">
        <v>2625</v>
      </c>
      <c r="F305" s="33">
        <v>5.31909773E8</v>
      </c>
      <c r="G305" s="31" t="s">
        <v>120</v>
      </c>
      <c r="H305" s="109" t="s">
        <v>272</v>
      </c>
      <c r="I305" s="30" t="s">
        <v>2626</v>
      </c>
      <c r="J305" s="30" t="s">
        <v>2627</v>
      </c>
      <c r="K305" s="22" t="s">
        <v>36</v>
      </c>
      <c r="L305" s="35">
        <v>0.4444444444444444</v>
      </c>
      <c r="M305" s="20" t="s">
        <v>662</v>
      </c>
      <c r="N305" s="17" t="s">
        <v>56</v>
      </c>
      <c r="O305" s="22"/>
      <c r="P305" s="26"/>
      <c r="Q305" s="22" t="s">
        <v>44</v>
      </c>
      <c r="R305" s="33" t="s">
        <v>46</v>
      </c>
      <c r="S305" s="40"/>
      <c r="T305" s="28"/>
      <c r="U305" s="68" t="s">
        <v>44</v>
      </c>
      <c r="V305" s="26">
        <v>5.0</v>
      </c>
    </row>
    <row r="306" hidden="1">
      <c r="A306" s="17">
        <v>305.0</v>
      </c>
      <c r="B306" s="71">
        <v>46041.0</v>
      </c>
      <c r="C306" s="22" t="s">
        <v>21</v>
      </c>
      <c r="D306" s="22" t="s">
        <v>22</v>
      </c>
      <c r="E306" s="98" t="s">
        <v>2634</v>
      </c>
      <c r="F306" s="33">
        <v>5.99557177E8</v>
      </c>
      <c r="G306" s="98" t="s">
        <v>28</v>
      </c>
      <c r="H306" s="22" t="s">
        <v>27</v>
      </c>
      <c r="I306" s="30" t="s">
        <v>2637</v>
      </c>
      <c r="J306" s="31" t="s">
        <v>123</v>
      </c>
      <c r="K306" s="22" t="s">
        <v>62</v>
      </c>
      <c r="L306" s="35">
        <v>0.3958333333333333</v>
      </c>
      <c r="M306" s="38" t="s">
        <v>1389</v>
      </c>
      <c r="N306" s="22" t="s">
        <v>40</v>
      </c>
      <c r="O306" s="22" t="s">
        <v>42</v>
      </c>
      <c r="P306" s="26"/>
      <c r="Q306" s="22" t="s">
        <v>44</v>
      </c>
      <c r="R306" s="33" t="s">
        <v>68</v>
      </c>
      <c r="S306" s="40"/>
      <c r="T306" s="28"/>
      <c r="U306" s="68" t="s">
        <v>44</v>
      </c>
      <c r="V306" s="26">
        <v>5.0</v>
      </c>
    </row>
    <row r="307" hidden="1">
      <c r="A307" s="17">
        <v>306.0</v>
      </c>
      <c r="B307" s="71">
        <v>46041.0</v>
      </c>
      <c r="C307" s="22" t="s">
        <v>21</v>
      </c>
      <c r="D307" s="22" t="s">
        <v>22</v>
      </c>
      <c r="E307" s="33" t="s">
        <v>2645</v>
      </c>
      <c r="F307" s="33">
        <v>5.6570593E8</v>
      </c>
      <c r="G307" s="98" t="s">
        <v>28</v>
      </c>
      <c r="H307" s="109" t="s">
        <v>27</v>
      </c>
      <c r="I307" s="148" t="s">
        <v>2648</v>
      </c>
      <c r="J307" s="31" t="s">
        <v>123</v>
      </c>
      <c r="K307" s="22" t="s">
        <v>62</v>
      </c>
      <c r="L307" s="35">
        <v>0.4444444444444444</v>
      </c>
      <c r="M307" s="38" t="s">
        <v>1389</v>
      </c>
      <c r="N307" s="22" t="s">
        <v>40</v>
      </c>
      <c r="O307" s="22" t="s">
        <v>42</v>
      </c>
      <c r="P307" s="26"/>
      <c r="Q307" s="22" t="s">
        <v>44</v>
      </c>
      <c r="R307" s="33" t="s">
        <v>68</v>
      </c>
      <c r="S307" s="40"/>
      <c r="T307" s="28"/>
      <c r="U307" s="34"/>
      <c r="V307" s="26">
        <v>5.0</v>
      </c>
    </row>
    <row r="308" hidden="1">
      <c r="A308" s="17">
        <v>307.0</v>
      </c>
      <c r="B308" s="71">
        <v>46041.0</v>
      </c>
      <c r="C308" s="22" t="s">
        <v>21</v>
      </c>
      <c r="D308" s="22" t="s">
        <v>22</v>
      </c>
      <c r="E308" s="98" t="s">
        <v>2657</v>
      </c>
      <c r="F308" s="33">
        <v>5.36906066E8</v>
      </c>
      <c r="G308" s="98" t="s">
        <v>1107</v>
      </c>
      <c r="H308" s="109" t="s">
        <v>27</v>
      </c>
      <c r="I308" s="30" t="s">
        <v>2658</v>
      </c>
      <c r="J308" s="31" t="s">
        <v>123</v>
      </c>
      <c r="K308" s="22" t="s">
        <v>62</v>
      </c>
      <c r="L308" s="35">
        <v>0.4444444444444444</v>
      </c>
      <c r="M308" s="38" t="s">
        <v>125</v>
      </c>
      <c r="N308" s="22" t="s">
        <v>40</v>
      </c>
      <c r="O308" s="22" t="s">
        <v>42</v>
      </c>
      <c r="P308" s="26"/>
      <c r="Q308" s="22" t="s">
        <v>44</v>
      </c>
      <c r="R308" s="33" t="s">
        <v>68</v>
      </c>
      <c r="S308" s="40"/>
      <c r="T308" s="28"/>
      <c r="U308" s="34"/>
      <c r="V308" s="26">
        <v>5.0</v>
      </c>
    </row>
    <row r="309" hidden="1">
      <c r="A309" s="17">
        <v>308.0</v>
      </c>
      <c r="B309" s="71">
        <v>46041.0</v>
      </c>
      <c r="C309" s="22" t="s">
        <v>58</v>
      </c>
      <c r="D309" s="22" t="s">
        <v>84</v>
      </c>
      <c r="E309" s="33" t="s">
        <v>27</v>
      </c>
      <c r="F309" s="33">
        <v>5.0422515E8</v>
      </c>
      <c r="G309" s="31" t="s">
        <v>120</v>
      </c>
      <c r="H309" s="109" t="s">
        <v>27</v>
      </c>
      <c r="I309" s="30" t="s">
        <v>2666</v>
      </c>
      <c r="J309" s="31" t="s">
        <v>123</v>
      </c>
      <c r="K309" s="22" t="s">
        <v>36</v>
      </c>
      <c r="L309" s="35">
        <v>0.4652777777777778</v>
      </c>
      <c r="M309" s="42" t="s">
        <v>88</v>
      </c>
      <c r="N309" s="22" t="s">
        <v>56</v>
      </c>
      <c r="O309" s="22" t="s">
        <v>42</v>
      </c>
      <c r="P309" s="26"/>
      <c r="Q309" s="22" t="s">
        <v>49</v>
      </c>
      <c r="R309" s="33" t="s">
        <v>68</v>
      </c>
      <c r="S309" s="40"/>
      <c r="T309" s="28"/>
      <c r="U309" s="68" t="s">
        <v>44</v>
      </c>
      <c r="V309" s="26">
        <v>5.0</v>
      </c>
    </row>
    <row r="310" hidden="1">
      <c r="A310" s="17">
        <v>309.0</v>
      </c>
      <c r="B310" s="71">
        <v>46041.0</v>
      </c>
      <c r="C310" s="22" t="s">
        <v>21</v>
      </c>
      <c r="D310" s="22" t="s">
        <v>24</v>
      </c>
      <c r="E310" s="98" t="s">
        <v>2671</v>
      </c>
      <c r="F310" s="33">
        <v>5.06643766E8</v>
      </c>
      <c r="G310" s="31" t="s">
        <v>71</v>
      </c>
      <c r="H310" s="109" t="s">
        <v>27</v>
      </c>
      <c r="I310" s="30" t="s">
        <v>1832</v>
      </c>
      <c r="J310" s="31" t="s">
        <v>123</v>
      </c>
      <c r="K310" s="22" t="s">
        <v>36</v>
      </c>
      <c r="L310" s="35">
        <v>0.4652777777777778</v>
      </c>
      <c r="M310" s="25" t="s">
        <v>38</v>
      </c>
      <c r="N310" s="22" t="s">
        <v>56</v>
      </c>
      <c r="O310" s="22" t="s">
        <v>42</v>
      </c>
      <c r="P310" s="26"/>
      <c r="Q310" s="22" t="s">
        <v>44</v>
      </c>
      <c r="R310" s="33" t="s">
        <v>46</v>
      </c>
      <c r="S310" s="40"/>
      <c r="T310" s="28"/>
      <c r="U310" s="34"/>
      <c r="V310" s="26">
        <v>5.0</v>
      </c>
    </row>
    <row r="311" hidden="1">
      <c r="A311" s="17">
        <v>310.0</v>
      </c>
      <c r="B311" s="71">
        <v>46041.0</v>
      </c>
      <c r="C311" s="22" t="s">
        <v>58</v>
      </c>
      <c r="D311" s="22" t="s">
        <v>84</v>
      </c>
      <c r="E311" s="33" t="s">
        <v>27</v>
      </c>
      <c r="F311" s="33">
        <v>5.34119302E8</v>
      </c>
      <c r="G311" s="98" t="s">
        <v>112</v>
      </c>
      <c r="H311" s="109" t="s">
        <v>27</v>
      </c>
      <c r="I311" s="30" t="s">
        <v>554</v>
      </c>
      <c r="J311" s="31" t="s">
        <v>123</v>
      </c>
      <c r="K311" s="22" t="s">
        <v>36</v>
      </c>
      <c r="L311" s="35">
        <v>0.4652777777777778</v>
      </c>
      <c r="M311" s="42" t="s">
        <v>88</v>
      </c>
      <c r="N311" s="22" t="s">
        <v>56</v>
      </c>
      <c r="O311" s="22" t="s">
        <v>42</v>
      </c>
      <c r="P311" s="26"/>
      <c r="Q311" s="22" t="s">
        <v>44</v>
      </c>
      <c r="R311" s="33" t="s">
        <v>68</v>
      </c>
      <c r="S311" s="40"/>
      <c r="T311" s="28"/>
      <c r="U311" s="34"/>
      <c r="V311" s="26">
        <v>5.0</v>
      </c>
    </row>
    <row r="312" hidden="1">
      <c r="A312" s="17">
        <v>311.0</v>
      </c>
      <c r="B312" s="71">
        <v>46041.0</v>
      </c>
      <c r="C312" s="22" t="s">
        <v>21</v>
      </c>
      <c r="D312" s="22" t="s">
        <v>22</v>
      </c>
      <c r="E312" s="98" t="s">
        <v>2681</v>
      </c>
      <c r="F312" s="33">
        <v>5.5008019E8</v>
      </c>
      <c r="G312" s="24" t="s">
        <v>79</v>
      </c>
      <c r="H312" s="109" t="s">
        <v>27</v>
      </c>
      <c r="I312" s="30" t="s">
        <v>2683</v>
      </c>
      <c r="J312" s="31" t="s">
        <v>123</v>
      </c>
      <c r="K312" s="22" t="s">
        <v>36</v>
      </c>
      <c r="L312" s="35">
        <v>0.4652777777777778</v>
      </c>
      <c r="M312" s="38" t="s">
        <v>88</v>
      </c>
      <c r="N312" s="22" t="s">
        <v>40</v>
      </c>
      <c r="O312" s="22" t="s">
        <v>42</v>
      </c>
      <c r="P312" s="26"/>
      <c r="Q312" s="22" t="s">
        <v>44</v>
      </c>
      <c r="R312" s="33" t="s">
        <v>68</v>
      </c>
      <c r="S312" s="40"/>
      <c r="T312" s="28"/>
      <c r="U312" s="34"/>
      <c r="V312" s="26">
        <v>5.0</v>
      </c>
    </row>
    <row r="313" hidden="1">
      <c r="A313" s="17">
        <v>312.0</v>
      </c>
      <c r="B313" s="71">
        <v>46041.0</v>
      </c>
      <c r="C313" s="22" t="s">
        <v>58</v>
      </c>
      <c r="D313" s="22" t="s">
        <v>57</v>
      </c>
      <c r="E313" s="98" t="s">
        <v>2685</v>
      </c>
      <c r="F313" s="33">
        <v>5.59771399E8</v>
      </c>
      <c r="G313" s="98" t="s">
        <v>41</v>
      </c>
      <c r="H313" s="109" t="s">
        <v>146</v>
      </c>
      <c r="I313" s="30" t="s">
        <v>2688</v>
      </c>
      <c r="J313" s="98" t="s">
        <v>2690</v>
      </c>
      <c r="K313" s="22" t="s">
        <v>36</v>
      </c>
      <c r="L313" s="35"/>
      <c r="M313" s="25" t="s">
        <v>88</v>
      </c>
      <c r="N313" s="22" t="s">
        <v>56</v>
      </c>
      <c r="O313" s="22" t="s">
        <v>42</v>
      </c>
      <c r="P313" s="26"/>
      <c r="Q313" s="22" t="s">
        <v>44</v>
      </c>
      <c r="R313" s="33" t="s">
        <v>68</v>
      </c>
      <c r="S313" s="40"/>
      <c r="T313" s="28"/>
      <c r="U313" s="34"/>
      <c r="V313" s="26">
        <v>5.0</v>
      </c>
    </row>
    <row r="314" hidden="1">
      <c r="A314" s="17">
        <v>313.0</v>
      </c>
      <c r="B314" s="71">
        <v>46041.0</v>
      </c>
      <c r="C314" s="22" t="s">
        <v>58</v>
      </c>
      <c r="D314" s="22" t="s">
        <v>57</v>
      </c>
      <c r="E314" s="98" t="s">
        <v>2692</v>
      </c>
      <c r="F314" s="33">
        <v>5.41180564E8</v>
      </c>
      <c r="G314" s="98" t="s">
        <v>41</v>
      </c>
      <c r="H314" s="109" t="s">
        <v>146</v>
      </c>
      <c r="I314" s="30" t="s">
        <v>2693</v>
      </c>
      <c r="J314" s="98" t="s">
        <v>2694</v>
      </c>
      <c r="K314" s="22" t="s">
        <v>36</v>
      </c>
      <c r="L314" s="35">
        <v>0.4652777777777778</v>
      </c>
      <c r="M314" s="25" t="s">
        <v>88</v>
      </c>
      <c r="N314" s="22" t="s">
        <v>56</v>
      </c>
      <c r="O314" s="22" t="s">
        <v>42</v>
      </c>
      <c r="P314" s="26"/>
      <c r="Q314" s="22" t="s">
        <v>44</v>
      </c>
      <c r="R314" s="33" t="s">
        <v>68</v>
      </c>
      <c r="S314" s="40"/>
      <c r="T314" s="28"/>
      <c r="U314" s="34"/>
      <c r="V314" s="26">
        <v>5.0</v>
      </c>
    </row>
    <row r="315" hidden="1">
      <c r="A315" s="17">
        <v>314.0</v>
      </c>
      <c r="B315" s="71">
        <v>46041.0</v>
      </c>
      <c r="C315" s="22" t="s">
        <v>58</v>
      </c>
      <c r="D315" s="22" t="s">
        <v>57</v>
      </c>
      <c r="E315" s="98" t="s">
        <v>2702</v>
      </c>
      <c r="F315" s="33">
        <v>5.51686109E8</v>
      </c>
      <c r="G315" s="98" t="s">
        <v>267</v>
      </c>
      <c r="H315" s="109" t="s">
        <v>329</v>
      </c>
      <c r="I315" s="30" t="s">
        <v>2704</v>
      </c>
      <c r="J315" s="98" t="s">
        <v>2690</v>
      </c>
      <c r="K315" s="22" t="s">
        <v>36</v>
      </c>
      <c r="L315" s="35"/>
      <c r="M315" s="25" t="s">
        <v>88</v>
      </c>
      <c r="N315" s="22" t="s">
        <v>56</v>
      </c>
      <c r="O315" s="22" t="s">
        <v>42</v>
      </c>
      <c r="P315" s="26"/>
      <c r="Q315" s="22" t="s">
        <v>44</v>
      </c>
      <c r="R315" s="33" t="s">
        <v>68</v>
      </c>
      <c r="S315" s="40"/>
      <c r="T315" s="28"/>
      <c r="U315" s="34"/>
      <c r="V315" s="26">
        <v>5.0</v>
      </c>
    </row>
    <row r="316" hidden="1">
      <c r="A316" s="17">
        <v>315.0</v>
      </c>
      <c r="B316" s="71">
        <v>46041.0</v>
      </c>
      <c r="C316" s="22" t="s">
        <v>58</v>
      </c>
      <c r="D316" s="22" t="s">
        <v>57</v>
      </c>
      <c r="E316" s="98" t="s">
        <v>2712</v>
      </c>
      <c r="F316" s="33">
        <v>5.07588155E8</v>
      </c>
      <c r="G316" s="31" t="s">
        <v>71</v>
      </c>
      <c r="H316" s="109" t="s">
        <v>72</v>
      </c>
      <c r="I316" s="30" t="s">
        <v>2713</v>
      </c>
      <c r="J316" s="98" t="s">
        <v>2690</v>
      </c>
      <c r="K316" s="22" t="s">
        <v>36</v>
      </c>
      <c r="L316" s="35"/>
      <c r="M316" s="25" t="s">
        <v>88</v>
      </c>
      <c r="N316" s="22" t="s">
        <v>56</v>
      </c>
      <c r="O316" s="22" t="s">
        <v>42</v>
      </c>
      <c r="P316" s="26"/>
      <c r="Q316" s="22" t="s">
        <v>44</v>
      </c>
      <c r="R316" s="33" t="s">
        <v>68</v>
      </c>
      <c r="S316" s="40"/>
      <c r="T316" s="28"/>
      <c r="U316" s="34"/>
      <c r="V316" s="26">
        <v>5.0</v>
      </c>
    </row>
    <row r="317" hidden="1">
      <c r="A317" s="17">
        <v>316.0</v>
      </c>
      <c r="B317" s="71">
        <v>46042.0</v>
      </c>
      <c r="C317" s="22" t="s">
        <v>58</v>
      </c>
      <c r="D317" s="22" t="s">
        <v>84</v>
      </c>
      <c r="E317" s="33" t="s">
        <v>27</v>
      </c>
      <c r="F317" s="33">
        <v>5.35820366E8</v>
      </c>
      <c r="G317" s="33" t="s">
        <v>27</v>
      </c>
      <c r="H317" s="109" t="s">
        <v>27</v>
      </c>
      <c r="I317" s="39" t="s">
        <v>2725</v>
      </c>
      <c r="J317" s="98" t="s">
        <v>2727</v>
      </c>
      <c r="K317" s="22" t="s">
        <v>65</v>
      </c>
      <c r="L317" s="35"/>
      <c r="M317" s="25" t="s">
        <v>38</v>
      </c>
      <c r="N317" s="22" t="s">
        <v>56</v>
      </c>
      <c r="O317" s="22" t="s">
        <v>42</v>
      </c>
      <c r="P317" s="26"/>
      <c r="Q317" s="22" t="s">
        <v>44</v>
      </c>
      <c r="R317" s="33" t="s">
        <v>68</v>
      </c>
      <c r="S317" s="40"/>
      <c r="T317" s="28"/>
      <c r="U317" s="34"/>
      <c r="V317" s="26">
        <v>5.0</v>
      </c>
    </row>
    <row r="318" hidden="1">
      <c r="A318" s="17">
        <v>317.0</v>
      </c>
      <c r="B318" s="71">
        <v>46042.0</v>
      </c>
      <c r="C318" s="22" t="s">
        <v>21</v>
      </c>
      <c r="D318" s="22" t="s">
        <v>24</v>
      </c>
      <c r="E318" s="98" t="s">
        <v>2732</v>
      </c>
      <c r="F318" s="33">
        <v>5.5108393E8</v>
      </c>
      <c r="G318" s="98" t="s">
        <v>28</v>
      </c>
      <c r="H318" s="22" t="s">
        <v>27</v>
      </c>
      <c r="I318" s="30" t="s">
        <v>2734</v>
      </c>
      <c r="J318" s="31" t="s">
        <v>123</v>
      </c>
      <c r="K318" s="22" t="s">
        <v>36</v>
      </c>
      <c r="L318" s="35"/>
      <c r="M318" s="25" t="s">
        <v>38</v>
      </c>
      <c r="N318" s="22" t="s">
        <v>56</v>
      </c>
      <c r="O318" s="22" t="s">
        <v>42</v>
      </c>
      <c r="P318" s="26"/>
      <c r="Q318" s="22" t="s">
        <v>44</v>
      </c>
      <c r="R318" s="33" t="s">
        <v>46</v>
      </c>
      <c r="S318" s="40"/>
      <c r="T318" s="28"/>
      <c r="U318" s="34"/>
      <c r="V318" s="26">
        <v>5.0</v>
      </c>
    </row>
    <row r="319" hidden="1">
      <c r="A319" s="17">
        <v>318.0</v>
      </c>
      <c r="B319" s="71">
        <v>46042.0</v>
      </c>
      <c r="C319" s="22" t="s">
        <v>58</v>
      </c>
      <c r="D319" s="22" t="s">
        <v>84</v>
      </c>
      <c r="E319" s="33" t="s">
        <v>27</v>
      </c>
      <c r="F319" s="33">
        <v>5.07242701E8</v>
      </c>
      <c r="G319" s="31" t="s">
        <v>71</v>
      </c>
      <c r="H319" s="22" t="s">
        <v>27</v>
      </c>
      <c r="I319" s="30" t="s">
        <v>2741</v>
      </c>
      <c r="J319" s="31" t="s">
        <v>123</v>
      </c>
      <c r="K319" s="22" t="s">
        <v>36</v>
      </c>
      <c r="L319" s="35"/>
      <c r="M319" s="42" t="s">
        <v>88</v>
      </c>
      <c r="N319" s="22" t="s">
        <v>56</v>
      </c>
      <c r="O319" s="22" t="s">
        <v>42</v>
      </c>
      <c r="P319" s="26"/>
      <c r="Q319" s="22" t="s">
        <v>44</v>
      </c>
      <c r="R319" s="33" t="s">
        <v>68</v>
      </c>
      <c r="S319" s="40"/>
      <c r="T319" s="28"/>
      <c r="U319" s="34"/>
      <c r="V319" s="26">
        <v>5.0</v>
      </c>
    </row>
    <row r="320">
      <c r="A320" s="17">
        <v>319.0</v>
      </c>
      <c r="B320" s="71">
        <v>46042.0</v>
      </c>
      <c r="C320" s="22" t="s">
        <v>47</v>
      </c>
      <c r="D320" s="22" t="s">
        <v>138</v>
      </c>
      <c r="E320" s="33" t="s">
        <v>2749</v>
      </c>
      <c r="F320" s="33">
        <v>5.01646741E8</v>
      </c>
      <c r="G320" s="24" t="s">
        <v>79</v>
      </c>
      <c r="H320" s="109" t="s">
        <v>431</v>
      </c>
      <c r="I320" s="30" t="s">
        <v>2751</v>
      </c>
      <c r="J320" s="24" t="s">
        <v>2752</v>
      </c>
      <c r="K320" s="17" t="s">
        <v>148</v>
      </c>
      <c r="L320" s="35"/>
      <c r="M320" s="25" t="s">
        <v>674</v>
      </c>
      <c r="N320" s="22" t="s">
        <v>56</v>
      </c>
      <c r="O320" s="22"/>
      <c r="P320" s="26"/>
      <c r="Q320" s="22" t="s">
        <v>44</v>
      </c>
      <c r="R320" s="33" t="s">
        <v>46</v>
      </c>
      <c r="S320" s="40"/>
      <c r="T320" s="28"/>
      <c r="U320" s="34"/>
      <c r="V320" s="26">
        <v>5.0</v>
      </c>
    </row>
    <row r="321">
      <c r="A321" s="17">
        <v>320.0</v>
      </c>
      <c r="B321" s="71">
        <v>46042.0</v>
      </c>
      <c r="C321" s="22" t="s">
        <v>47</v>
      </c>
      <c r="D321" s="22" t="s">
        <v>138</v>
      </c>
      <c r="E321" s="98" t="s">
        <v>2761</v>
      </c>
      <c r="F321" s="33">
        <v>5.04141196E8</v>
      </c>
      <c r="G321" s="98" t="s">
        <v>41</v>
      </c>
      <c r="H321" s="109" t="s">
        <v>146</v>
      </c>
      <c r="I321" s="30" t="s">
        <v>2762</v>
      </c>
      <c r="J321" s="24" t="s">
        <v>2763</v>
      </c>
      <c r="K321" s="17" t="s">
        <v>148</v>
      </c>
      <c r="L321" s="35"/>
      <c r="M321" s="25" t="s">
        <v>674</v>
      </c>
      <c r="N321" s="22" t="s">
        <v>56</v>
      </c>
      <c r="O321" s="22"/>
      <c r="P321" s="26"/>
      <c r="Q321" s="22" t="s">
        <v>44</v>
      </c>
      <c r="R321" s="33" t="s">
        <v>46</v>
      </c>
      <c r="S321" s="40"/>
      <c r="T321" s="28"/>
      <c r="U321" s="34"/>
      <c r="V321" s="26">
        <v>5.0</v>
      </c>
    </row>
    <row r="322">
      <c r="A322" s="17">
        <v>321.0</v>
      </c>
      <c r="B322" s="71">
        <v>46042.0</v>
      </c>
      <c r="C322" s="22" t="s">
        <v>47</v>
      </c>
      <c r="D322" s="22" t="s">
        <v>48</v>
      </c>
      <c r="E322" s="33" t="s">
        <v>2770</v>
      </c>
      <c r="F322" s="33" t="s">
        <v>27</v>
      </c>
      <c r="G322" s="98" t="s">
        <v>41</v>
      </c>
      <c r="H322" s="109" t="s">
        <v>193</v>
      </c>
      <c r="I322" s="30" t="s">
        <v>2773</v>
      </c>
      <c r="J322" s="30" t="s">
        <v>2775</v>
      </c>
      <c r="K322" s="22" t="s">
        <v>78</v>
      </c>
      <c r="L322" s="35"/>
      <c r="M322" s="75" t="s">
        <v>300</v>
      </c>
      <c r="N322" s="17" t="s">
        <v>56</v>
      </c>
      <c r="O322" s="22"/>
      <c r="P322" s="26"/>
      <c r="Q322" s="22" t="s">
        <v>49</v>
      </c>
      <c r="R322" s="33" t="s">
        <v>46</v>
      </c>
      <c r="S322" s="40"/>
      <c r="T322" s="28"/>
      <c r="U322" s="34"/>
      <c r="V322" s="26">
        <v>5.0</v>
      </c>
    </row>
    <row r="323" hidden="1">
      <c r="A323" s="17">
        <v>322.0</v>
      </c>
      <c r="B323" s="71">
        <v>46042.0</v>
      </c>
      <c r="C323" s="22" t="s">
        <v>21</v>
      </c>
      <c r="D323" s="22" t="s">
        <v>66</v>
      </c>
      <c r="E323" s="98" t="s">
        <v>2782</v>
      </c>
      <c r="F323" s="33">
        <v>5.04586824E8</v>
      </c>
      <c r="G323" s="31" t="s">
        <v>71</v>
      </c>
      <c r="H323" s="109" t="s">
        <v>27</v>
      </c>
      <c r="I323" s="30" t="s">
        <v>2784</v>
      </c>
      <c r="J323" s="31" t="s">
        <v>123</v>
      </c>
      <c r="K323" s="22" t="s">
        <v>36</v>
      </c>
      <c r="L323" s="35"/>
      <c r="M323" s="25" t="s">
        <v>38</v>
      </c>
      <c r="N323" s="22" t="s">
        <v>56</v>
      </c>
      <c r="O323" s="22" t="s">
        <v>42</v>
      </c>
      <c r="P323" s="26"/>
      <c r="Q323" s="22" t="s">
        <v>49</v>
      </c>
      <c r="R323" s="33" t="s">
        <v>68</v>
      </c>
      <c r="S323" s="40"/>
      <c r="T323" s="28"/>
      <c r="U323" s="34"/>
      <c r="V323" s="26">
        <v>5.0</v>
      </c>
    </row>
    <row r="324" hidden="1">
      <c r="A324" s="17">
        <v>323.0</v>
      </c>
      <c r="B324" s="71">
        <v>46042.0</v>
      </c>
      <c r="C324" s="22" t="s">
        <v>58</v>
      </c>
      <c r="D324" s="22" t="s">
        <v>84</v>
      </c>
      <c r="E324" s="98" t="s">
        <v>1828</v>
      </c>
      <c r="F324" s="33">
        <v>5.6439787E8</v>
      </c>
      <c r="G324" s="98" t="s">
        <v>41</v>
      </c>
      <c r="H324" s="109" t="s">
        <v>414</v>
      </c>
      <c r="I324" s="30" t="s">
        <v>2793</v>
      </c>
      <c r="J324" s="98" t="s">
        <v>2794</v>
      </c>
      <c r="K324" s="22" t="s">
        <v>36</v>
      </c>
      <c r="L324" s="35"/>
      <c r="M324" s="42" t="s">
        <v>88</v>
      </c>
      <c r="N324" s="22" t="s">
        <v>56</v>
      </c>
      <c r="O324" s="22" t="s">
        <v>42</v>
      </c>
      <c r="P324" s="26"/>
      <c r="Q324" s="22" t="s">
        <v>44</v>
      </c>
      <c r="R324" s="33" t="s">
        <v>46</v>
      </c>
      <c r="S324" s="40"/>
      <c r="T324" s="28"/>
      <c r="U324" s="34"/>
      <c r="V324" s="26">
        <v>5.0</v>
      </c>
    </row>
    <row r="325" hidden="1">
      <c r="A325" s="17">
        <v>324.0</v>
      </c>
      <c r="B325" s="71">
        <v>46042.0</v>
      </c>
      <c r="C325" s="22" t="s">
        <v>21</v>
      </c>
      <c r="D325" s="22" t="s">
        <v>22</v>
      </c>
      <c r="E325" s="98" t="s">
        <v>2798</v>
      </c>
      <c r="F325" s="33">
        <v>5.5536146E8</v>
      </c>
      <c r="G325" s="98" t="s">
        <v>1318</v>
      </c>
      <c r="H325" s="109" t="s">
        <v>27</v>
      </c>
      <c r="I325" s="30" t="s">
        <v>2800</v>
      </c>
      <c r="J325" s="31" t="s">
        <v>123</v>
      </c>
      <c r="K325" s="22" t="s">
        <v>36</v>
      </c>
      <c r="L325" s="35"/>
      <c r="M325" s="38" t="s">
        <v>125</v>
      </c>
      <c r="N325" s="22" t="s">
        <v>40</v>
      </c>
      <c r="O325" s="22" t="s">
        <v>42</v>
      </c>
      <c r="P325" s="26"/>
      <c r="Q325" s="22" t="s">
        <v>44</v>
      </c>
      <c r="R325" s="33" t="s">
        <v>68</v>
      </c>
      <c r="S325" s="40"/>
      <c r="T325" s="28"/>
      <c r="U325" s="34"/>
      <c r="V325" s="26">
        <v>5.0</v>
      </c>
    </row>
    <row r="326" hidden="1">
      <c r="A326" s="17">
        <v>325.0</v>
      </c>
      <c r="B326" s="71">
        <v>46042.0</v>
      </c>
      <c r="C326" s="22" t="s">
        <v>21</v>
      </c>
      <c r="D326" s="22" t="s">
        <v>34</v>
      </c>
      <c r="E326" s="33" t="s">
        <v>27</v>
      </c>
      <c r="F326" s="33">
        <v>5.35065761E8</v>
      </c>
      <c r="G326" s="33" t="s">
        <v>27</v>
      </c>
      <c r="H326" s="109" t="s">
        <v>27</v>
      </c>
      <c r="I326" s="30" t="s">
        <v>643</v>
      </c>
      <c r="J326" s="98" t="s">
        <v>2806</v>
      </c>
      <c r="K326" s="22" t="s">
        <v>36</v>
      </c>
      <c r="L326" s="35"/>
      <c r="M326" s="38" t="s">
        <v>51</v>
      </c>
      <c r="N326" s="22" t="s">
        <v>56</v>
      </c>
      <c r="O326" s="22" t="s">
        <v>42</v>
      </c>
      <c r="P326" s="26"/>
      <c r="Q326" s="22" t="s">
        <v>44</v>
      </c>
      <c r="R326" s="33" t="s">
        <v>68</v>
      </c>
      <c r="S326" s="40"/>
      <c r="T326" s="28"/>
      <c r="U326" s="34"/>
      <c r="V326" s="26">
        <v>5.0</v>
      </c>
    </row>
    <row r="327" hidden="1">
      <c r="A327" s="17">
        <v>326.0</v>
      </c>
      <c r="B327" s="71">
        <v>46042.0</v>
      </c>
      <c r="C327" s="22" t="s">
        <v>21</v>
      </c>
      <c r="D327" s="22" t="s">
        <v>24</v>
      </c>
      <c r="E327" s="98" t="s">
        <v>2813</v>
      </c>
      <c r="F327" s="33">
        <v>5.62300444E8</v>
      </c>
      <c r="G327" s="98" t="s">
        <v>41</v>
      </c>
      <c r="H327" s="109" t="s">
        <v>222</v>
      </c>
      <c r="I327" s="30" t="s">
        <v>2815</v>
      </c>
      <c r="J327" s="31" t="s">
        <v>123</v>
      </c>
      <c r="K327" s="22" t="s">
        <v>36</v>
      </c>
      <c r="L327" s="35"/>
      <c r="M327" s="25" t="s">
        <v>38</v>
      </c>
      <c r="N327" s="22" t="s">
        <v>56</v>
      </c>
      <c r="O327" s="22" t="s">
        <v>42</v>
      </c>
      <c r="P327" s="26"/>
      <c r="Q327" s="22" t="s">
        <v>44</v>
      </c>
      <c r="R327" s="33" t="s">
        <v>46</v>
      </c>
      <c r="S327" s="40"/>
      <c r="T327" s="28"/>
      <c r="U327" s="34"/>
      <c r="V327" s="26">
        <v>5.0</v>
      </c>
    </row>
    <row r="328" hidden="1">
      <c r="A328" s="17">
        <v>327.0</v>
      </c>
      <c r="B328" s="71">
        <v>46042.0</v>
      </c>
      <c r="C328" s="22" t="s">
        <v>58</v>
      </c>
      <c r="D328" s="22" t="s">
        <v>84</v>
      </c>
      <c r="E328" s="98" t="s">
        <v>2822</v>
      </c>
      <c r="F328" s="33">
        <v>5.68042172E8</v>
      </c>
      <c r="G328" s="24" t="s">
        <v>79</v>
      </c>
      <c r="H328" s="109" t="s">
        <v>27</v>
      </c>
      <c r="I328" s="30" t="s">
        <v>2823</v>
      </c>
      <c r="J328" s="31" t="s">
        <v>123</v>
      </c>
      <c r="K328" s="22" t="s">
        <v>36</v>
      </c>
      <c r="L328" s="35"/>
      <c r="M328" s="42" t="s">
        <v>88</v>
      </c>
      <c r="N328" s="22" t="s">
        <v>56</v>
      </c>
      <c r="O328" s="22" t="s">
        <v>42</v>
      </c>
      <c r="P328" s="26"/>
      <c r="Q328" s="22" t="s">
        <v>49</v>
      </c>
      <c r="R328" s="33" t="s">
        <v>68</v>
      </c>
      <c r="S328" s="40"/>
      <c r="T328" s="28"/>
      <c r="U328" s="34"/>
      <c r="V328" s="26">
        <v>5.0</v>
      </c>
    </row>
    <row r="329" hidden="1">
      <c r="A329" s="17">
        <v>328.0</v>
      </c>
      <c r="B329" s="71">
        <v>46042.0</v>
      </c>
      <c r="C329" s="22" t="s">
        <v>58</v>
      </c>
      <c r="D329" s="22" t="s">
        <v>84</v>
      </c>
      <c r="E329" s="33" t="s">
        <v>27</v>
      </c>
      <c r="F329" s="33">
        <v>5.50005512E8</v>
      </c>
      <c r="G329" s="33" t="s">
        <v>27</v>
      </c>
      <c r="H329" s="109" t="s">
        <v>27</v>
      </c>
      <c r="I329" s="30" t="s">
        <v>2833</v>
      </c>
      <c r="J329" s="31" t="s">
        <v>123</v>
      </c>
      <c r="K329" s="22" t="s">
        <v>36</v>
      </c>
      <c r="L329" s="35"/>
      <c r="M329" s="42" t="s">
        <v>88</v>
      </c>
      <c r="N329" s="22" t="s">
        <v>56</v>
      </c>
      <c r="O329" s="22" t="s">
        <v>42</v>
      </c>
      <c r="P329" s="26"/>
      <c r="Q329" s="22" t="s">
        <v>44</v>
      </c>
      <c r="R329" s="33" t="s">
        <v>68</v>
      </c>
      <c r="S329" s="40"/>
      <c r="T329" s="28"/>
      <c r="U329" s="34"/>
      <c r="V329" s="26">
        <v>5.0</v>
      </c>
    </row>
    <row r="330" hidden="1">
      <c r="A330" s="17">
        <v>329.0</v>
      </c>
      <c r="B330" s="71">
        <v>46042.0</v>
      </c>
      <c r="C330" s="22" t="s">
        <v>21</v>
      </c>
      <c r="D330" s="22" t="s">
        <v>24</v>
      </c>
      <c r="E330" s="98" t="s">
        <v>2841</v>
      </c>
      <c r="F330" s="33">
        <v>5.5582669E8</v>
      </c>
      <c r="G330" s="31" t="s">
        <v>71</v>
      </c>
      <c r="H330" s="109" t="s">
        <v>27</v>
      </c>
      <c r="I330" s="30" t="s">
        <v>2844</v>
      </c>
      <c r="J330" s="31" t="s">
        <v>123</v>
      </c>
      <c r="K330" s="22" t="s">
        <v>36</v>
      </c>
      <c r="L330" s="35"/>
      <c r="M330" s="25" t="s">
        <v>38</v>
      </c>
      <c r="N330" s="22" t="s">
        <v>56</v>
      </c>
      <c r="O330" s="22" t="s">
        <v>42</v>
      </c>
      <c r="P330" s="26"/>
      <c r="Q330" s="22" t="s">
        <v>44</v>
      </c>
      <c r="R330" s="33" t="s">
        <v>46</v>
      </c>
      <c r="S330" s="40"/>
      <c r="T330" s="28"/>
      <c r="U330" s="34"/>
      <c r="V330" s="26">
        <v>5.0</v>
      </c>
    </row>
    <row r="331" hidden="1">
      <c r="A331" s="17">
        <v>330.0</v>
      </c>
      <c r="B331" s="71">
        <v>46042.0</v>
      </c>
      <c r="C331" s="22" t="s">
        <v>58</v>
      </c>
      <c r="D331" s="22" t="s">
        <v>84</v>
      </c>
      <c r="E331" s="33" t="s">
        <v>27</v>
      </c>
      <c r="F331" s="33">
        <v>5.70970722E8</v>
      </c>
      <c r="G331" s="33" t="s">
        <v>27</v>
      </c>
      <c r="H331" s="33" t="s">
        <v>27</v>
      </c>
      <c r="I331" s="30" t="s">
        <v>554</v>
      </c>
      <c r="J331" s="31" t="s">
        <v>123</v>
      </c>
      <c r="K331" s="22" t="s">
        <v>36</v>
      </c>
      <c r="L331" s="35"/>
      <c r="M331" s="42" t="s">
        <v>88</v>
      </c>
      <c r="N331" s="22" t="s">
        <v>56</v>
      </c>
      <c r="O331" s="22" t="s">
        <v>42</v>
      </c>
      <c r="P331" s="26"/>
      <c r="Q331" s="22" t="s">
        <v>44</v>
      </c>
      <c r="R331" s="33" t="s">
        <v>68</v>
      </c>
      <c r="S331" s="40"/>
      <c r="T331" s="28"/>
      <c r="U331" s="34"/>
      <c r="V331" s="26">
        <v>5.0</v>
      </c>
    </row>
    <row r="332" hidden="1">
      <c r="A332" s="17">
        <v>331.0</v>
      </c>
      <c r="B332" s="71">
        <v>46042.0</v>
      </c>
      <c r="C332" s="22" t="s">
        <v>21</v>
      </c>
      <c r="D332" s="22" t="s">
        <v>66</v>
      </c>
      <c r="E332" s="98" t="s">
        <v>2855</v>
      </c>
      <c r="F332" s="33">
        <v>5.01102536E8</v>
      </c>
      <c r="G332" s="31" t="s">
        <v>71</v>
      </c>
      <c r="H332" s="109" t="s">
        <v>27</v>
      </c>
      <c r="I332" s="30" t="s">
        <v>2858</v>
      </c>
      <c r="J332" s="98" t="s">
        <v>847</v>
      </c>
      <c r="K332" s="22" t="s">
        <v>36</v>
      </c>
      <c r="L332" s="35"/>
      <c r="M332" s="25" t="s">
        <v>38</v>
      </c>
      <c r="N332" s="22" t="s">
        <v>56</v>
      </c>
      <c r="O332" s="22" t="s">
        <v>42</v>
      </c>
      <c r="P332" s="26"/>
      <c r="Q332" s="22" t="s">
        <v>44</v>
      </c>
      <c r="R332" s="33" t="s">
        <v>68</v>
      </c>
      <c r="S332" s="40"/>
      <c r="T332" s="28"/>
      <c r="U332" s="34"/>
      <c r="V332" s="26">
        <v>5.0</v>
      </c>
    </row>
    <row r="333" hidden="1">
      <c r="A333" s="17">
        <v>332.0</v>
      </c>
      <c r="B333" s="71">
        <v>46042.0</v>
      </c>
      <c r="C333" s="22" t="s">
        <v>21</v>
      </c>
      <c r="D333" s="22" t="s">
        <v>22</v>
      </c>
      <c r="E333" s="98" t="s">
        <v>1260</v>
      </c>
      <c r="F333" s="33">
        <v>5.00588555E8</v>
      </c>
      <c r="G333" s="98" t="s">
        <v>112</v>
      </c>
      <c r="H333" s="109" t="s">
        <v>27</v>
      </c>
      <c r="I333" s="30" t="s">
        <v>2863</v>
      </c>
      <c r="J333" s="31" t="s">
        <v>123</v>
      </c>
      <c r="K333" s="22" t="s">
        <v>36</v>
      </c>
      <c r="L333" s="35"/>
      <c r="M333" s="38" t="s">
        <v>125</v>
      </c>
      <c r="N333" s="22" t="s">
        <v>40</v>
      </c>
      <c r="O333" s="22" t="s">
        <v>42</v>
      </c>
      <c r="P333" s="26"/>
      <c r="Q333" s="22" t="s">
        <v>44</v>
      </c>
      <c r="R333" s="33" t="s">
        <v>68</v>
      </c>
      <c r="S333" s="40"/>
      <c r="T333" s="28"/>
      <c r="U333" s="34"/>
      <c r="V333" s="26">
        <v>5.0</v>
      </c>
    </row>
    <row r="334" hidden="1">
      <c r="A334" s="17">
        <v>333.0</v>
      </c>
      <c r="B334" s="71">
        <v>46042.0</v>
      </c>
      <c r="C334" s="22" t="s">
        <v>58</v>
      </c>
      <c r="D334" s="22" t="s">
        <v>84</v>
      </c>
      <c r="E334" s="33" t="s">
        <v>27</v>
      </c>
      <c r="F334" s="33">
        <v>5.00578565E8</v>
      </c>
      <c r="G334" s="98" t="s">
        <v>41</v>
      </c>
      <c r="H334" s="109" t="s">
        <v>27</v>
      </c>
      <c r="I334" s="30" t="s">
        <v>1074</v>
      </c>
      <c r="J334" s="31" t="s">
        <v>123</v>
      </c>
      <c r="K334" s="22" t="s">
        <v>36</v>
      </c>
      <c r="L334" s="35"/>
      <c r="M334" s="42" t="s">
        <v>88</v>
      </c>
      <c r="N334" s="22" t="s">
        <v>56</v>
      </c>
      <c r="O334" s="22" t="s">
        <v>42</v>
      </c>
      <c r="P334" s="26"/>
      <c r="Q334" s="22" t="s">
        <v>44</v>
      </c>
      <c r="R334" s="33" t="s">
        <v>68</v>
      </c>
      <c r="S334" s="40"/>
      <c r="T334" s="28"/>
      <c r="U334" s="34"/>
      <c r="V334" s="26">
        <v>5.0</v>
      </c>
    </row>
    <row r="335" hidden="1">
      <c r="A335" s="17">
        <v>334.0</v>
      </c>
      <c r="B335" s="71">
        <v>46042.0</v>
      </c>
      <c r="C335" s="22" t="s">
        <v>21</v>
      </c>
      <c r="D335" s="22" t="s">
        <v>24</v>
      </c>
      <c r="E335" s="98" t="s">
        <v>665</v>
      </c>
      <c r="F335" s="33">
        <v>5.9179095E8</v>
      </c>
      <c r="G335" s="98" t="s">
        <v>874</v>
      </c>
      <c r="H335" s="109" t="s">
        <v>27</v>
      </c>
      <c r="I335" s="30" t="s">
        <v>2873</v>
      </c>
      <c r="J335" s="31" t="s">
        <v>123</v>
      </c>
      <c r="K335" s="22" t="s">
        <v>36</v>
      </c>
      <c r="L335" s="35"/>
      <c r="M335" s="25" t="s">
        <v>38</v>
      </c>
      <c r="N335" s="22" t="s">
        <v>56</v>
      </c>
      <c r="O335" s="22" t="s">
        <v>42</v>
      </c>
      <c r="P335" s="26"/>
      <c r="Q335" s="22" t="s">
        <v>49</v>
      </c>
      <c r="R335" s="33" t="s">
        <v>46</v>
      </c>
      <c r="S335" s="40"/>
      <c r="T335" s="28"/>
      <c r="U335" s="34"/>
      <c r="V335" s="26">
        <v>5.0</v>
      </c>
    </row>
    <row r="336">
      <c r="A336" s="17">
        <v>335.0</v>
      </c>
      <c r="B336" s="143">
        <v>46042.0</v>
      </c>
      <c r="C336" s="144" t="s">
        <v>47</v>
      </c>
      <c r="D336" s="144" t="s">
        <v>367</v>
      </c>
      <c r="E336" s="31" t="s">
        <v>2880</v>
      </c>
      <c r="F336" s="22" t="s">
        <v>27</v>
      </c>
      <c r="G336" s="31" t="s">
        <v>41</v>
      </c>
      <c r="H336" s="22" t="s">
        <v>253</v>
      </c>
      <c r="I336" s="30" t="s">
        <v>2882</v>
      </c>
      <c r="J336" s="167" t="s">
        <v>377</v>
      </c>
      <c r="K336" s="144" t="s">
        <v>78</v>
      </c>
      <c r="L336" s="35"/>
      <c r="M336" s="25" t="s">
        <v>1273</v>
      </c>
      <c r="N336" s="17" t="s">
        <v>56</v>
      </c>
      <c r="O336" s="144"/>
      <c r="P336" s="26"/>
      <c r="Q336" s="144" t="s">
        <v>49</v>
      </c>
      <c r="R336" s="144" t="s">
        <v>46</v>
      </c>
      <c r="S336" s="40"/>
      <c r="T336" s="28"/>
      <c r="U336" s="34"/>
      <c r="V336" s="26">
        <v>5.0</v>
      </c>
    </row>
    <row r="337" hidden="1">
      <c r="A337" s="17">
        <v>336.0</v>
      </c>
      <c r="B337" s="71">
        <v>46042.0</v>
      </c>
      <c r="C337" s="22" t="s">
        <v>21</v>
      </c>
      <c r="D337" s="22" t="s">
        <v>24</v>
      </c>
      <c r="E337" s="31" t="s">
        <v>2891</v>
      </c>
      <c r="F337" s="22">
        <v>5.55751164E8</v>
      </c>
      <c r="G337" s="31" t="s">
        <v>28</v>
      </c>
      <c r="H337" s="22" t="s">
        <v>27</v>
      </c>
      <c r="I337" s="30" t="s">
        <v>2893</v>
      </c>
      <c r="J337" s="31" t="s">
        <v>123</v>
      </c>
      <c r="K337" s="22" t="s">
        <v>36</v>
      </c>
      <c r="L337" s="35"/>
      <c r="M337" s="25" t="s">
        <v>38</v>
      </c>
      <c r="N337" s="22" t="s">
        <v>56</v>
      </c>
      <c r="O337" s="22" t="s">
        <v>42</v>
      </c>
      <c r="P337" s="26"/>
      <c r="Q337" s="22" t="s">
        <v>49</v>
      </c>
      <c r="R337" s="33" t="s">
        <v>46</v>
      </c>
      <c r="S337" s="40"/>
      <c r="T337" s="28"/>
      <c r="U337" s="34"/>
      <c r="V337" s="26">
        <v>5.0</v>
      </c>
    </row>
    <row r="338" hidden="1">
      <c r="A338" s="17">
        <v>337.0</v>
      </c>
      <c r="B338" s="71">
        <v>46042.0</v>
      </c>
      <c r="C338" s="22" t="s">
        <v>21</v>
      </c>
      <c r="D338" s="22" t="s">
        <v>57</v>
      </c>
      <c r="E338" s="98" t="s">
        <v>2900</v>
      </c>
      <c r="F338" s="33">
        <v>5.06833977E8</v>
      </c>
      <c r="G338" s="98" t="s">
        <v>28</v>
      </c>
      <c r="H338" s="109" t="s">
        <v>27</v>
      </c>
      <c r="I338" s="30" t="s">
        <v>2901</v>
      </c>
      <c r="J338" s="98" t="s">
        <v>2902</v>
      </c>
      <c r="K338" s="22" t="s">
        <v>36</v>
      </c>
      <c r="L338" s="35"/>
      <c r="M338" s="25" t="s">
        <v>38</v>
      </c>
      <c r="N338" s="22" t="s">
        <v>56</v>
      </c>
      <c r="O338" s="22" t="s">
        <v>42</v>
      </c>
      <c r="P338" s="26"/>
      <c r="Q338" s="22" t="s">
        <v>44</v>
      </c>
      <c r="R338" s="33" t="s">
        <v>68</v>
      </c>
      <c r="S338" s="40"/>
      <c r="T338" s="28"/>
      <c r="U338" s="34"/>
      <c r="V338" s="26">
        <v>5.0</v>
      </c>
    </row>
    <row r="339" hidden="1">
      <c r="A339" s="17">
        <v>338.0</v>
      </c>
      <c r="B339" s="71">
        <v>46042.0</v>
      </c>
      <c r="C339" s="22" t="s">
        <v>21</v>
      </c>
      <c r="D339" s="22" t="s">
        <v>92</v>
      </c>
      <c r="E339" s="98" t="s">
        <v>2905</v>
      </c>
      <c r="F339" s="33">
        <v>5.80582772E8</v>
      </c>
      <c r="G339" s="98" t="s">
        <v>41</v>
      </c>
      <c r="H339" s="109" t="s">
        <v>27</v>
      </c>
      <c r="I339" s="30" t="s">
        <v>2907</v>
      </c>
      <c r="J339" s="98" t="s">
        <v>205</v>
      </c>
      <c r="K339" s="22" t="s">
        <v>36</v>
      </c>
      <c r="L339" s="35"/>
      <c r="M339" s="82" t="s">
        <v>208</v>
      </c>
      <c r="N339" s="22" t="s">
        <v>56</v>
      </c>
      <c r="O339" s="22" t="s">
        <v>42</v>
      </c>
      <c r="P339" s="26"/>
      <c r="Q339" s="22" t="s">
        <v>44</v>
      </c>
      <c r="R339" s="33" t="s">
        <v>68</v>
      </c>
      <c r="S339" s="40"/>
      <c r="T339" s="28"/>
      <c r="U339" s="34"/>
      <c r="V339" s="26">
        <v>5.0</v>
      </c>
    </row>
    <row r="340" hidden="1">
      <c r="A340" s="17">
        <v>339.0</v>
      </c>
      <c r="B340" s="71">
        <v>46042.0</v>
      </c>
      <c r="C340" s="22" t="s">
        <v>58</v>
      </c>
      <c r="D340" s="22" t="s">
        <v>84</v>
      </c>
      <c r="E340" s="33" t="s">
        <v>27</v>
      </c>
      <c r="F340" s="33">
        <v>5.37116434E8</v>
      </c>
      <c r="G340" s="98" t="s">
        <v>112</v>
      </c>
      <c r="H340" s="109" t="s">
        <v>27</v>
      </c>
      <c r="I340" s="30" t="s">
        <v>554</v>
      </c>
      <c r="J340" s="31" t="s">
        <v>123</v>
      </c>
      <c r="K340" s="22" t="s">
        <v>36</v>
      </c>
      <c r="L340" s="35"/>
      <c r="M340" s="42" t="s">
        <v>88</v>
      </c>
      <c r="N340" s="22" t="s">
        <v>56</v>
      </c>
      <c r="O340" s="22" t="s">
        <v>42</v>
      </c>
      <c r="P340" s="26"/>
      <c r="Q340" s="22" t="s">
        <v>44</v>
      </c>
      <c r="R340" s="33" t="s">
        <v>68</v>
      </c>
      <c r="S340" s="40"/>
      <c r="T340" s="28"/>
      <c r="U340" s="34"/>
      <c r="V340" s="26">
        <v>5.0</v>
      </c>
    </row>
    <row r="341" hidden="1">
      <c r="A341" s="17">
        <v>340.0</v>
      </c>
      <c r="B341" s="71">
        <v>46042.0</v>
      </c>
      <c r="C341" s="22" t="s">
        <v>58</v>
      </c>
      <c r="D341" s="22" t="s">
        <v>84</v>
      </c>
      <c r="E341" s="98" t="s">
        <v>1828</v>
      </c>
      <c r="F341" s="33">
        <v>5.33772274E8</v>
      </c>
      <c r="G341" s="98" t="s">
        <v>41</v>
      </c>
      <c r="H341" s="22" t="s">
        <v>27</v>
      </c>
      <c r="I341" s="30" t="s">
        <v>2917</v>
      </c>
      <c r="J341" s="98" t="s">
        <v>2918</v>
      </c>
      <c r="K341" s="22" t="s">
        <v>36</v>
      </c>
      <c r="L341" s="35"/>
      <c r="M341" s="42" t="s">
        <v>88</v>
      </c>
      <c r="N341" s="22" t="s">
        <v>56</v>
      </c>
      <c r="O341" s="22" t="s">
        <v>42</v>
      </c>
      <c r="P341" s="26"/>
      <c r="Q341" s="22" t="s">
        <v>44</v>
      </c>
      <c r="R341" s="33" t="s">
        <v>68</v>
      </c>
      <c r="S341" s="40"/>
      <c r="T341" s="28"/>
      <c r="U341" s="34"/>
      <c r="V341" s="26">
        <v>5.0</v>
      </c>
    </row>
    <row r="342" hidden="1">
      <c r="A342" s="17">
        <v>341.0</v>
      </c>
      <c r="B342" s="71">
        <v>46043.0</v>
      </c>
      <c r="C342" s="22" t="s">
        <v>58</v>
      </c>
      <c r="D342" s="22" t="s">
        <v>84</v>
      </c>
      <c r="E342" s="33" t="s">
        <v>27</v>
      </c>
      <c r="F342" s="33">
        <v>5.46083055E8</v>
      </c>
      <c r="G342" s="33" t="s">
        <v>27</v>
      </c>
      <c r="H342" s="109" t="s">
        <v>27</v>
      </c>
      <c r="I342" s="30" t="s">
        <v>896</v>
      </c>
      <c r="J342" s="31" t="s">
        <v>123</v>
      </c>
      <c r="K342" s="22" t="s">
        <v>36</v>
      </c>
      <c r="L342" s="35"/>
      <c r="M342" s="42" t="s">
        <v>88</v>
      </c>
      <c r="N342" s="22" t="s">
        <v>56</v>
      </c>
      <c r="O342" s="22" t="s">
        <v>42</v>
      </c>
      <c r="P342" s="26"/>
      <c r="Q342" s="22" t="s">
        <v>44</v>
      </c>
      <c r="R342" s="33" t="s">
        <v>68</v>
      </c>
      <c r="S342" s="40"/>
      <c r="T342" s="28"/>
      <c r="U342" s="34"/>
      <c r="V342" s="26">
        <v>5.0</v>
      </c>
    </row>
    <row r="343" hidden="1">
      <c r="A343" s="17">
        <v>342.0</v>
      </c>
      <c r="B343" s="71">
        <v>46043.0</v>
      </c>
      <c r="C343" s="22" t="s">
        <v>21</v>
      </c>
      <c r="D343" s="22" t="s">
        <v>57</v>
      </c>
      <c r="E343" s="98" t="s">
        <v>2929</v>
      </c>
      <c r="F343" s="33">
        <v>5.55449192E8</v>
      </c>
      <c r="G343" s="98" t="s">
        <v>41</v>
      </c>
      <c r="H343" s="109" t="s">
        <v>222</v>
      </c>
      <c r="I343" s="30" t="s">
        <v>2931</v>
      </c>
      <c r="J343" s="31" t="s">
        <v>123</v>
      </c>
      <c r="K343" s="22" t="s">
        <v>36</v>
      </c>
      <c r="L343" s="35"/>
      <c r="M343" s="25" t="s">
        <v>38</v>
      </c>
      <c r="N343" s="22" t="s">
        <v>56</v>
      </c>
      <c r="O343" s="22" t="s">
        <v>42</v>
      </c>
      <c r="P343" s="26"/>
      <c r="Q343" s="22" t="s">
        <v>49</v>
      </c>
      <c r="R343" s="33" t="s">
        <v>68</v>
      </c>
      <c r="S343" s="40"/>
      <c r="T343" s="28"/>
      <c r="U343" s="34"/>
      <c r="V343" s="26">
        <v>5.0</v>
      </c>
    </row>
    <row r="344">
      <c r="A344" s="17">
        <v>343.0</v>
      </c>
      <c r="B344" s="87">
        <v>46043.0</v>
      </c>
      <c r="C344" s="22" t="s">
        <v>47</v>
      </c>
      <c r="D344" s="22" t="s">
        <v>92</v>
      </c>
      <c r="E344" s="98" t="s">
        <v>2935</v>
      </c>
      <c r="F344" s="33">
        <v>5.05185247E8</v>
      </c>
      <c r="G344" s="98" t="s">
        <v>132</v>
      </c>
      <c r="H344" s="109" t="s">
        <v>406</v>
      </c>
      <c r="I344" s="30" t="s">
        <v>2937</v>
      </c>
      <c r="J344" s="98" t="s">
        <v>2938</v>
      </c>
      <c r="K344" s="22" t="s">
        <v>36</v>
      </c>
      <c r="L344" s="35"/>
      <c r="M344" s="135" t="s">
        <v>2939</v>
      </c>
      <c r="N344" s="22" t="s">
        <v>56</v>
      </c>
      <c r="O344" s="22"/>
      <c r="P344" s="26"/>
      <c r="Q344" s="22" t="s">
        <v>44</v>
      </c>
      <c r="R344" s="33" t="s">
        <v>46</v>
      </c>
      <c r="S344" s="40"/>
      <c r="T344" s="28"/>
      <c r="U344" s="34"/>
      <c r="V344" s="26">
        <v>5.0</v>
      </c>
    </row>
    <row r="345" hidden="1">
      <c r="A345" s="17">
        <v>344.0</v>
      </c>
      <c r="B345" s="71">
        <v>46043.0</v>
      </c>
      <c r="C345" s="22" t="s">
        <v>21</v>
      </c>
      <c r="D345" s="22" t="s">
        <v>24</v>
      </c>
      <c r="E345" s="98" t="s">
        <v>2943</v>
      </c>
      <c r="F345" s="33">
        <v>5.33325259E8</v>
      </c>
      <c r="G345" s="98" t="s">
        <v>1452</v>
      </c>
      <c r="H345" s="22" t="s">
        <v>27</v>
      </c>
      <c r="I345" s="30" t="s">
        <v>2946</v>
      </c>
      <c r="J345" s="31" t="s">
        <v>123</v>
      </c>
      <c r="K345" s="22" t="s">
        <v>36</v>
      </c>
      <c r="L345" s="35"/>
      <c r="M345" s="25" t="s">
        <v>38</v>
      </c>
      <c r="N345" s="22" t="s">
        <v>56</v>
      </c>
      <c r="O345" s="22" t="s">
        <v>42</v>
      </c>
      <c r="P345" s="26"/>
      <c r="Q345" s="22" t="s">
        <v>44</v>
      </c>
      <c r="R345" s="33" t="s">
        <v>46</v>
      </c>
      <c r="S345" s="40"/>
      <c r="T345" s="28"/>
      <c r="U345" s="34"/>
      <c r="V345" s="26">
        <v>5.0</v>
      </c>
    </row>
    <row r="346" hidden="1">
      <c r="A346" s="17">
        <v>345.0</v>
      </c>
      <c r="B346" s="71">
        <v>46043.0</v>
      </c>
      <c r="C346" s="22" t="s">
        <v>58</v>
      </c>
      <c r="D346" s="22" t="s">
        <v>84</v>
      </c>
      <c r="E346" s="98" t="s">
        <v>2948</v>
      </c>
      <c r="F346" s="33">
        <v>5.70419942E8</v>
      </c>
      <c r="G346" s="31" t="s">
        <v>120</v>
      </c>
      <c r="H346" s="109" t="s">
        <v>27</v>
      </c>
      <c r="I346" s="30" t="s">
        <v>2949</v>
      </c>
      <c r="J346" s="98" t="s">
        <v>2951</v>
      </c>
      <c r="K346" s="22" t="s">
        <v>36</v>
      </c>
      <c r="L346" s="35"/>
      <c r="M346" s="42" t="s">
        <v>88</v>
      </c>
      <c r="N346" s="22" t="s">
        <v>56</v>
      </c>
      <c r="O346" s="22" t="s">
        <v>42</v>
      </c>
      <c r="P346" s="26"/>
      <c r="Q346" s="22" t="s">
        <v>44</v>
      </c>
      <c r="R346" s="33" t="s">
        <v>68</v>
      </c>
      <c r="S346" s="40"/>
      <c r="T346" s="28"/>
      <c r="U346" s="34"/>
      <c r="V346" s="26">
        <v>5.0</v>
      </c>
    </row>
    <row r="347" ht="36.75" customHeight="1">
      <c r="A347" s="17">
        <v>346.0</v>
      </c>
      <c r="B347" s="71">
        <v>46043.0</v>
      </c>
      <c r="C347" s="22" t="s">
        <v>47</v>
      </c>
      <c r="D347" s="22" t="s">
        <v>48</v>
      </c>
      <c r="E347" s="98" t="s">
        <v>1260</v>
      </c>
      <c r="F347" s="33">
        <v>5.5002452E8</v>
      </c>
      <c r="G347" s="98" t="s">
        <v>28</v>
      </c>
      <c r="H347" s="109" t="s">
        <v>830</v>
      </c>
      <c r="I347" s="30" t="s">
        <v>2954</v>
      </c>
      <c r="J347" s="30" t="s">
        <v>2955</v>
      </c>
      <c r="K347" s="22" t="s">
        <v>36</v>
      </c>
      <c r="L347" s="35"/>
      <c r="M347" s="25" t="s">
        <v>342</v>
      </c>
      <c r="N347" s="17" t="s">
        <v>56</v>
      </c>
      <c r="O347" s="22"/>
      <c r="P347" s="26"/>
      <c r="Q347" s="22" t="s">
        <v>49</v>
      </c>
      <c r="R347" s="33" t="s">
        <v>46</v>
      </c>
      <c r="S347" s="40"/>
      <c r="T347" s="28"/>
      <c r="U347" s="34"/>
      <c r="V347" s="26">
        <v>5.0</v>
      </c>
    </row>
    <row r="348" hidden="1">
      <c r="A348" s="17">
        <v>347.0</v>
      </c>
      <c r="B348" s="71">
        <v>46043.0</v>
      </c>
      <c r="C348" s="22" t="s">
        <v>58</v>
      </c>
      <c r="D348" s="22" t="s">
        <v>84</v>
      </c>
      <c r="E348" s="33" t="s">
        <v>27</v>
      </c>
      <c r="F348" s="33">
        <v>5.00113066E8</v>
      </c>
      <c r="G348" s="33" t="s">
        <v>27</v>
      </c>
      <c r="H348" s="109" t="s">
        <v>27</v>
      </c>
      <c r="I348" s="30" t="s">
        <v>2961</v>
      </c>
      <c r="J348" s="98" t="s">
        <v>2963</v>
      </c>
      <c r="K348" s="22" t="s">
        <v>36</v>
      </c>
      <c r="L348" s="35"/>
      <c r="M348" s="42" t="s">
        <v>88</v>
      </c>
      <c r="N348" s="22" t="s">
        <v>56</v>
      </c>
      <c r="O348" s="22" t="s">
        <v>42</v>
      </c>
      <c r="P348" s="26"/>
      <c r="Q348" s="22" t="s">
        <v>44</v>
      </c>
      <c r="R348" s="33" t="s">
        <v>68</v>
      </c>
      <c r="S348" s="40"/>
      <c r="T348" s="28"/>
      <c r="U348" s="34"/>
      <c r="V348" s="26">
        <v>5.0</v>
      </c>
    </row>
    <row r="349" hidden="1">
      <c r="A349" s="17">
        <v>348.0</v>
      </c>
      <c r="B349" s="71">
        <v>46043.0</v>
      </c>
      <c r="C349" s="22" t="s">
        <v>58</v>
      </c>
      <c r="D349" s="22" t="s">
        <v>84</v>
      </c>
      <c r="E349" s="33" t="s">
        <v>27</v>
      </c>
      <c r="F349" s="33">
        <v>5.07968788E8</v>
      </c>
      <c r="G349" s="33" t="s">
        <v>27</v>
      </c>
      <c r="H349" s="109" t="s">
        <v>27</v>
      </c>
      <c r="I349" s="30" t="s">
        <v>896</v>
      </c>
      <c r="J349" s="31" t="s">
        <v>123</v>
      </c>
      <c r="K349" s="22" t="s">
        <v>36</v>
      </c>
      <c r="L349" s="35"/>
      <c r="M349" s="42" t="s">
        <v>88</v>
      </c>
      <c r="N349" s="22" t="s">
        <v>56</v>
      </c>
      <c r="O349" s="22" t="s">
        <v>42</v>
      </c>
      <c r="P349" s="26"/>
      <c r="Q349" s="22" t="s">
        <v>44</v>
      </c>
      <c r="R349" s="33" t="s">
        <v>68</v>
      </c>
      <c r="S349" s="40"/>
      <c r="T349" s="28"/>
      <c r="U349" s="34"/>
      <c r="V349" s="26">
        <v>5.0</v>
      </c>
    </row>
    <row r="350" hidden="1">
      <c r="A350" s="17">
        <v>349.0</v>
      </c>
      <c r="B350" s="71">
        <v>46043.0</v>
      </c>
      <c r="C350" s="22" t="s">
        <v>21</v>
      </c>
      <c r="D350" s="22" t="s">
        <v>22</v>
      </c>
      <c r="E350" s="98" t="s">
        <v>2972</v>
      </c>
      <c r="F350" s="33">
        <v>5.54148277E8</v>
      </c>
      <c r="G350" s="98" t="s">
        <v>41</v>
      </c>
      <c r="H350" s="109" t="s">
        <v>27</v>
      </c>
      <c r="I350" s="30" t="s">
        <v>2976</v>
      </c>
      <c r="J350" s="31" t="s">
        <v>123</v>
      </c>
      <c r="K350" s="22" t="s">
        <v>36</v>
      </c>
      <c r="L350" s="35"/>
      <c r="M350" s="38" t="s">
        <v>88</v>
      </c>
      <c r="N350" s="22" t="s">
        <v>40</v>
      </c>
      <c r="O350" s="22" t="s">
        <v>42</v>
      </c>
      <c r="P350" s="26"/>
      <c r="Q350" s="22" t="s">
        <v>44</v>
      </c>
      <c r="R350" s="33" t="s">
        <v>68</v>
      </c>
      <c r="S350" s="40"/>
      <c r="T350" s="28"/>
      <c r="U350" s="34"/>
      <c r="V350" s="26">
        <v>5.0</v>
      </c>
    </row>
    <row r="351" hidden="1">
      <c r="A351" s="17">
        <v>350.0</v>
      </c>
      <c r="B351" s="71">
        <v>46043.0</v>
      </c>
      <c r="C351" s="22" t="s">
        <v>21</v>
      </c>
      <c r="D351" s="22" t="s">
        <v>34</v>
      </c>
      <c r="E351" s="33" t="s">
        <v>2980</v>
      </c>
      <c r="F351" s="33">
        <v>5.46028072E8</v>
      </c>
      <c r="G351" s="109" t="s">
        <v>27</v>
      </c>
      <c r="H351" s="109" t="s">
        <v>27</v>
      </c>
      <c r="I351" s="30" t="s">
        <v>2984</v>
      </c>
      <c r="J351" s="31" t="s">
        <v>123</v>
      </c>
      <c r="K351" s="22" t="s">
        <v>39</v>
      </c>
      <c r="L351" s="35"/>
      <c r="M351" s="25" t="s">
        <v>208</v>
      </c>
      <c r="N351" s="22" t="s">
        <v>56</v>
      </c>
      <c r="O351" s="22" t="s">
        <v>42</v>
      </c>
      <c r="P351" s="26"/>
      <c r="Q351" s="22" t="s">
        <v>49</v>
      </c>
      <c r="R351" s="33" t="s">
        <v>68</v>
      </c>
      <c r="S351" s="40"/>
      <c r="T351" s="28"/>
      <c r="U351" s="34"/>
      <c r="V351" s="26">
        <v>5.0</v>
      </c>
    </row>
    <row r="352">
      <c r="A352" s="17">
        <v>351.0</v>
      </c>
      <c r="B352" s="71">
        <v>46043.0</v>
      </c>
      <c r="C352" s="22" t="s">
        <v>47</v>
      </c>
      <c r="D352" s="22" t="s">
        <v>138</v>
      </c>
      <c r="E352" s="98" t="s">
        <v>2988</v>
      </c>
      <c r="F352" s="33">
        <v>5.98227637E8</v>
      </c>
      <c r="G352" s="98" t="s">
        <v>41</v>
      </c>
      <c r="H352" s="109" t="s">
        <v>52</v>
      </c>
      <c r="I352" s="30" t="s">
        <v>2990</v>
      </c>
      <c r="J352" s="24" t="s">
        <v>2991</v>
      </c>
      <c r="K352" s="22" t="s">
        <v>36</v>
      </c>
      <c r="L352" s="35"/>
      <c r="M352" s="27" t="s">
        <v>323</v>
      </c>
      <c r="N352" s="22" t="s">
        <v>56</v>
      </c>
      <c r="O352" s="22"/>
      <c r="P352" s="26"/>
      <c r="Q352" s="22" t="s">
        <v>44</v>
      </c>
      <c r="R352" s="33" t="s">
        <v>46</v>
      </c>
      <c r="S352" s="40"/>
      <c r="T352" s="28"/>
      <c r="U352" s="34"/>
      <c r="V352" s="26">
        <v>5.0</v>
      </c>
    </row>
    <row r="353" hidden="1">
      <c r="A353" s="17">
        <v>352.0</v>
      </c>
      <c r="B353" s="71">
        <v>46043.0</v>
      </c>
      <c r="C353" s="22" t="s">
        <v>21</v>
      </c>
      <c r="D353" s="22" t="s">
        <v>22</v>
      </c>
      <c r="E353" s="98" t="s">
        <v>2997</v>
      </c>
      <c r="F353" s="33">
        <v>5.54242494E8</v>
      </c>
      <c r="G353" s="31" t="s">
        <v>120</v>
      </c>
      <c r="H353" s="109" t="s">
        <v>27</v>
      </c>
      <c r="I353" s="30" t="s">
        <v>2998</v>
      </c>
      <c r="J353" s="31" t="s">
        <v>123</v>
      </c>
      <c r="K353" s="22" t="s">
        <v>62</v>
      </c>
      <c r="L353" s="35"/>
      <c r="M353" s="38" t="s">
        <v>1389</v>
      </c>
      <c r="N353" s="22" t="s">
        <v>40</v>
      </c>
      <c r="O353" s="22" t="s">
        <v>42</v>
      </c>
      <c r="P353" s="26"/>
      <c r="Q353" s="22" t="s">
        <v>44</v>
      </c>
      <c r="R353" s="33" t="s">
        <v>68</v>
      </c>
      <c r="S353" s="40"/>
      <c r="T353" s="28"/>
      <c r="U353" s="34"/>
      <c r="V353" s="26">
        <v>5.0</v>
      </c>
    </row>
    <row r="354" hidden="1">
      <c r="A354" s="17">
        <v>353.0</v>
      </c>
      <c r="B354" s="71">
        <v>46043.0</v>
      </c>
      <c r="C354" s="22" t="s">
        <v>21</v>
      </c>
      <c r="D354" s="22" t="s">
        <v>22</v>
      </c>
      <c r="E354" s="98" t="s">
        <v>3007</v>
      </c>
      <c r="F354" s="33">
        <v>5.90666545E8</v>
      </c>
      <c r="G354" s="24" t="s">
        <v>79</v>
      </c>
      <c r="H354" s="109" t="s">
        <v>27</v>
      </c>
      <c r="I354" s="30" t="s">
        <v>3008</v>
      </c>
      <c r="J354" s="31" t="s">
        <v>123</v>
      </c>
      <c r="K354" s="22" t="s">
        <v>62</v>
      </c>
      <c r="L354" s="35"/>
      <c r="M354" s="38" t="s">
        <v>1389</v>
      </c>
      <c r="N354" s="22" t="s">
        <v>40</v>
      </c>
      <c r="O354" s="22" t="s">
        <v>42</v>
      </c>
      <c r="P354" s="26"/>
      <c r="Q354" s="22" t="s">
        <v>44</v>
      </c>
      <c r="R354" s="33" t="s">
        <v>68</v>
      </c>
      <c r="S354" s="40"/>
      <c r="T354" s="28"/>
      <c r="U354" s="34"/>
      <c r="V354" s="26">
        <v>5.0</v>
      </c>
    </row>
    <row r="355" hidden="1">
      <c r="A355" s="17">
        <v>354.0</v>
      </c>
      <c r="B355" s="71">
        <v>46043.0</v>
      </c>
      <c r="C355" s="22" t="s">
        <v>21</v>
      </c>
      <c r="D355" s="22" t="s">
        <v>24</v>
      </c>
      <c r="E355" s="98" t="s">
        <v>1297</v>
      </c>
      <c r="F355" s="33">
        <v>5.50386219E8</v>
      </c>
      <c r="G355" s="98" t="s">
        <v>41</v>
      </c>
      <c r="H355" s="109" t="s">
        <v>27</v>
      </c>
      <c r="I355" s="30" t="s">
        <v>3015</v>
      </c>
      <c r="J355" s="31" t="s">
        <v>123</v>
      </c>
      <c r="K355" s="22" t="s">
        <v>36</v>
      </c>
      <c r="L355" s="35"/>
      <c r="M355" s="25" t="s">
        <v>38</v>
      </c>
      <c r="N355" s="22" t="s">
        <v>56</v>
      </c>
      <c r="O355" s="22" t="s">
        <v>42</v>
      </c>
      <c r="P355" s="26"/>
      <c r="Q355" s="22" t="s">
        <v>44</v>
      </c>
      <c r="R355" s="33" t="s">
        <v>46</v>
      </c>
      <c r="S355" s="40"/>
      <c r="T355" s="28"/>
      <c r="U355" s="34"/>
      <c r="V355" s="26">
        <v>5.0</v>
      </c>
    </row>
    <row r="356" hidden="1">
      <c r="A356" s="17">
        <v>355.0</v>
      </c>
      <c r="B356" s="71">
        <v>46043.0</v>
      </c>
      <c r="C356" s="22" t="s">
        <v>21</v>
      </c>
      <c r="D356" s="22" t="s">
        <v>24</v>
      </c>
      <c r="E356" s="98" t="s">
        <v>3020</v>
      </c>
      <c r="F356" s="33">
        <v>5.55500112E8</v>
      </c>
      <c r="G356" s="31" t="s">
        <v>71</v>
      </c>
      <c r="H356" s="109" t="s">
        <v>27</v>
      </c>
      <c r="I356" s="30" t="s">
        <v>3023</v>
      </c>
      <c r="J356" s="31" t="s">
        <v>123</v>
      </c>
      <c r="K356" s="22" t="s">
        <v>36</v>
      </c>
      <c r="L356" s="35"/>
      <c r="M356" s="25" t="s">
        <v>38</v>
      </c>
      <c r="N356" s="22" t="s">
        <v>56</v>
      </c>
      <c r="O356" s="22" t="s">
        <v>42</v>
      </c>
      <c r="P356" s="26"/>
      <c r="Q356" s="22" t="s">
        <v>44</v>
      </c>
      <c r="R356" s="33" t="s">
        <v>46</v>
      </c>
      <c r="S356" s="40"/>
      <c r="T356" s="28"/>
      <c r="U356" s="34"/>
      <c r="V356" s="26">
        <v>5.0</v>
      </c>
    </row>
    <row r="357" hidden="1">
      <c r="A357" s="17">
        <v>356.0</v>
      </c>
      <c r="B357" s="71">
        <v>46043.0</v>
      </c>
      <c r="C357" s="22" t="s">
        <v>21</v>
      </c>
      <c r="D357" s="22" t="s">
        <v>34</v>
      </c>
      <c r="E357" s="98" t="s">
        <v>3027</v>
      </c>
      <c r="F357" s="33">
        <v>5.57237187E8</v>
      </c>
      <c r="G357" s="98" t="s">
        <v>369</v>
      </c>
      <c r="H357" s="109" t="s">
        <v>27</v>
      </c>
      <c r="I357" s="30" t="s">
        <v>896</v>
      </c>
      <c r="J357" s="31" t="s">
        <v>123</v>
      </c>
      <c r="K357" s="22" t="s">
        <v>36</v>
      </c>
      <c r="L357" s="35"/>
      <c r="M357" s="38" t="s">
        <v>51</v>
      </c>
      <c r="N357" s="22" t="s">
        <v>56</v>
      </c>
      <c r="O357" s="22" t="s">
        <v>42</v>
      </c>
      <c r="P357" s="26"/>
      <c r="Q357" s="22" t="s">
        <v>44</v>
      </c>
      <c r="R357" s="33" t="s">
        <v>68</v>
      </c>
      <c r="S357" s="40"/>
      <c r="T357" s="28"/>
      <c r="U357" s="34"/>
      <c r="V357" s="26">
        <v>5.0</v>
      </c>
    </row>
    <row r="358" hidden="1">
      <c r="A358" s="17">
        <v>357.0</v>
      </c>
      <c r="B358" s="71">
        <v>46043.0</v>
      </c>
      <c r="C358" s="22" t="s">
        <v>21</v>
      </c>
      <c r="D358" s="22" t="s">
        <v>57</v>
      </c>
      <c r="E358" s="98" t="s">
        <v>3033</v>
      </c>
      <c r="F358" s="33">
        <v>5.64673728E8</v>
      </c>
      <c r="G358" s="98" t="s">
        <v>41</v>
      </c>
      <c r="H358" s="109" t="s">
        <v>27</v>
      </c>
      <c r="I358" s="30" t="s">
        <v>3034</v>
      </c>
      <c r="J358" s="31" t="s">
        <v>123</v>
      </c>
      <c r="K358" s="22" t="s">
        <v>36</v>
      </c>
      <c r="L358" s="35"/>
      <c r="M358" s="25" t="s">
        <v>38</v>
      </c>
      <c r="N358" s="22" t="s">
        <v>56</v>
      </c>
      <c r="O358" s="22" t="s">
        <v>42</v>
      </c>
      <c r="P358" s="26"/>
      <c r="Q358" s="22" t="s">
        <v>44</v>
      </c>
      <c r="R358" s="33" t="s">
        <v>68</v>
      </c>
      <c r="S358" s="40"/>
      <c r="T358" s="28"/>
      <c r="U358" s="34"/>
      <c r="V358" s="26">
        <v>5.0</v>
      </c>
    </row>
    <row r="359" hidden="1">
      <c r="A359" s="17">
        <v>358.0</v>
      </c>
      <c r="B359" s="71">
        <v>46043.0</v>
      </c>
      <c r="C359" s="22" t="s">
        <v>58</v>
      </c>
      <c r="D359" s="22" t="s">
        <v>84</v>
      </c>
      <c r="E359" s="33" t="s">
        <v>27</v>
      </c>
      <c r="F359" s="33">
        <v>5.06175824E8</v>
      </c>
      <c r="G359" s="33" t="s">
        <v>27</v>
      </c>
      <c r="H359" s="109" t="s">
        <v>27</v>
      </c>
      <c r="I359" s="30" t="s">
        <v>554</v>
      </c>
      <c r="J359" s="31" t="s">
        <v>123</v>
      </c>
      <c r="K359" s="22" t="s">
        <v>36</v>
      </c>
      <c r="L359" s="35">
        <v>0.5986111111111111</v>
      </c>
      <c r="M359" s="42" t="s">
        <v>88</v>
      </c>
      <c r="N359" s="22" t="s">
        <v>56</v>
      </c>
      <c r="O359" s="22" t="s">
        <v>42</v>
      </c>
      <c r="P359" s="26"/>
      <c r="Q359" s="22" t="s">
        <v>44</v>
      </c>
      <c r="R359" s="33" t="s">
        <v>68</v>
      </c>
      <c r="S359" s="40"/>
      <c r="T359" s="28"/>
      <c r="U359" s="68" t="s">
        <v>49</v>
      </c>
      <c r="V359" s="26">
        <v>5.0</v>
      </c>
    </row>
    <row r="360" hidden="1">
      <c r="A360" s="17">
        <v>359.0</v>
      </c>
      <c r="B360" s="71">
        <v>46043.0</v>
      </c>
      <c r="C360" s="22" t="s">
        <v>21</v>
      </c>
      <c r="D360" s="22" t="s">
        <v>24</v>
      </c>
      <c r="E360" s="33" t="s">
        <v>3045</v>
      </c>
      <c r="F360" s="33">
        <v>5.806572E8</v>
      </c>
      <c r="G360" s="109" t="s">
        <v>27</v>
      </c>
      <c r="H360" s="109" t="s">
        <v>27</v>
      </c>
      <c r="I360" s="30" t="s">
        <v>3047</v>
      </c>
      <c r="J360" s="31" t="s">
        <v>123</v>
      </c>
      <c r="K360" s="22" t="s">
        <v>39</v>
      </c>
      <c r="L360" s="35"/>
      <c r="M360" s="25" t="s">
        <v>38</v>
      </c>
      <c r="N360" s="22" t="s">
        <v>56</v>
      </c>
      <c r="O360" s="22" t="s">
        <v>42</v>
      </c>
      <c r="P360" s="26"/>
      <c r="Q360" s="22" t="s">
        <v>49</v>
      </c>
      <c r="R360" s="33" t="s">
        <v>46</v>
      </c>
      <c r="S360" s="40"/>
      <c r="T360" s="28"/>
      <c r="U360" s="34"/>
      <c r="V360" s="26">
        <v>5.0</v>
      </c>
    </row>
    <row r="361">
      <c r="A361" s="17">
        <v>360.0</v>
      </c>
      <c r="B361" s="71">
        <v>46044.0</v>
      </c>
      <c r="C361" s="22" t="s">
        <v>47</v>
      </c>
      <c r="D361" s="22" t="s">
        <v>92</v>
      </c>
      <c r="E361" s="98" t="s">
        <v>3053</v>
      </c>
      <c r="F361" s="33">
        <v>5.04294986E8</v>
      </c>
      <c r="G361" s="98" t="s">
        <v>132</v>
      </c>
      <c r="H361" s="109" t="s">
        <v>406</v>
      </c>
      <c r="I361" s="30" t="s">
        <v>3056</v>
      </c>
      <c r="J361" s="31" t="s">
        <v>123</v>
      </c>
      <c r="K361" s="22" t="s">
        <v>36</v>
      </c>
      <c r="L361" s="35"/>
      <c r="M361" s="20" t="s">
        <v>342</v>
      </c>
      <c r="N361" s="22" t="s">
        <v>40</v>
      </c>
      <c r="O361" s="22"/>
      <c r="P361" s="26"/>
      <c r="Q361" s="22" t="s">
        <v>44</v>
      </c>
      <c r="R361" s="33" t="s">
        <v>46</v>
      </c>
      <c r="S361" s="40"/>
      <c r="T361" s="28"/>
      <c r="U361" s="34"/>
      <c r="V361" s="26">
        <v>5.0</v>
      </c>
    </row>
    <row r="362" ht="61.5" customHeight="1">
      <c r="A362" s="17">
        <v>361.0</v>
      </c>
      <c r="B362" s="71">
        <v>46044.0</v>
      </c>
      <c r="C362" s="22" t="s">
        <v>47</v>
      </c>
      <c r="D362" s="22" t="s">
        <v>138</v>
      </c>
      <c r="E362" s="98" t="s">
        <v>3064</v>
      </c>
      <c r="F362" s="33">
        <v>5.65090386E8</v>
      </c>
      <c r="G362" s="98" t="s">
        <v>41</v>
      </c>
      <c r="H362" s="109" t="s">
        <v>2375</v>
      </c>
      <c r="I362" s="30" t="s">
        <v>3067</v>
      </c>
      <c r="J362" s="30" t="s">
        <v>3069</v>
      </c>
      <c r="K362" s="17" t="s">
        <v>148</v>
      </c>
      <c r="L362" s="35"/>
      <c r="M362" s="27" t="s">
        <v>323</v>
      </c>
      <c r="N362" s="17" t="s">
        <v>56</v>
      </c>
      <c r="O362" s="22"/>
      <c r="P362" s="26"/>
      <c r="Q362" s="22" t="s">
        <v>44</v>
      </c>
      <c r="R362" s="33" t="s">
        <v>46</v>
      </c>
      <c r="S362" s="40"/>
      <c r="T362" s="28"/>
      <c r="U362" s="34"/>
      <c r="V362" s="26">
        <v>5.0</v>
      </c>
    </row>
    <row r="363">
      <c r="A363" s="17">
        <v>362.0</v>
      </c>
      <c r="B363" s="71">
        <v>46044.0</v>
      </c>
      <c r="C363" s="22" t="s">
        <v>47</v>
      </c>
      <c r="D363" s="22" t="s">
        <v>367</v>
      </c>
      <c r="E363" s="98" t="s">
        <v>3074</v>
      </c>
      <c r="F363" s="33">
        <v>5.32438879E8</v>
      </c>
      <c r="G363" s="24" t="s">
        <v>79</v>
      </c>
      <c r="H363" s="109" t="s">
        <v>638</v>
      </c>
      <c r="I363" s="30" t="s">
        <v>3076</v>
      </c>
      <c r="J363" s="24" t="s">
        <v>3077</v>
      </c>
      <c r="K363" s="17" t="s">
        <v>148</v>
      </c>
      <c r="L363" s="35"/>
      <c r="M363" s="73" t="s">
        <v>3080</v>
      </c>
      <c r="N363" s="22" t="s">
        <v>56</v>
      </c>
      <c r="O363" s="22"/>
      <c r="P363" s="26"/>
      <c r="Q363" s="22" t="s">
        <v>44</v>
      </c>
      <c r="R363" s="33" t="s">
        <v>46</v>
      </c>
      <c r="S363" s="40"/>
      <c r="T363" s="28"/>
      <c r="U363" s="34"/>
      <c r="V363" s="26">
        <v>5.0</v>
      </c>
    </row>
    <row r="364" hidden="1">
      <c r="A364" s="17">
        <v>363.0</v>
      </c>
      <c r="B364" s="71">
        <v>46044.0</v>
      </c>
      <c r="C364" s="22" t="s">
        <v>21</v>
      </c>
      <c r="D364" s="22" t="s">
        <v>57</v>
      </c>
      <c r="E364" s="98" t="s">
        <v>3084</v>
      </c>
      <c r="F364" s="33">
        <v>5.60063612E8</v>
      </c>
      <c r="G364" s="98" t="s">
        <v>41</v>
      </c>
      <c r="H364" s="109" t="s">
        <v>222</v>
      </c>
      <c r="I364" s="30" t="s">
        <v>3088</v>
      </c>
      <c r="J364" s="31" t="s">
        <v>123</v>
      </c>
      <c r="K364" s="22" t="s">
        <v>36</v>
      </c>
      <c r="L364" s="35"/>
      <c r="M364" s="25" t="s">
        <v>38</v>
      </c>
      <c r="N364" s="22" t="s">
        <v>56</v>
      </c>
      <c r="O364" s="22" t="s">
        <v>42</v>
      </c>
      <c r="P364" s="26"/>
      <c r="Q364" s="22" t="s">
        <v>44</v>
      </c>
      <c r="R364" s="33" t="s">
        <v>68</v>
      </c>
      <c r="S364" s="40"/>
      <c r="T364" s="28"/>
      <c r="U364" s="34"/>
      <c r="V364" s="26">
        <v>5.0</v>
      </c>
    </row>
    <row r="365" hidden="1">
      <c r="A365" s="17">
        <v>364.0</v>
      </c>
      <c r="B365" s="71">
        <v>46044.0</v>
      </c>
      <c r="C365" s="22" t="s">
        <v>58</v>
      </c>
      <c r="D365" s="22" t="s">
        <v>84</v>
      </c>
      <c r="E365" s="33" t="s">
        <v>27</v>
      </c>
      <c r="F365" s="33">
        <v>5.07882017E8</v>
      </c>
      <c r="G365" s="33" t="s">
        <v>27</v>
      </c>
      <c r="H365" s="109" t="s">
        <v>27</v>
      </c>
      <c r="I365" s="30" t="s">
        <v>3095</v>
      </c>
      <c r="J365" s="98" t="s">
        <v>3096</v>
      </c>
      <c r="K365" s="22" t="s">
        <v>36</v>
      </c>
      <c r="L365" s="35"/>
      <c r="M365" s="42" t="s">
        <v>88</v>
      </c>
      <c r="N365" s="22" t="s">
        <v>56</v>
      </c>
      <c r="O365" s="22" t="s">
        <v>42</v>
      </c>
      <c r="P365" s="26"/>
      <c r="Q365" s="22" t="s">
        <v>44</v>
      </c>
      <c r="R365" s="33" t="s">
        <v>68</v>
      </c>
      <c r="S365" s="40"/>
      <c r="T365" s="28"/>
      <c r="U365" s="34"/>
      <c r="V365" s="26">
        <v>5.0</v>
      </c>
    </row>
    <row r="366" hidden="1">
      <c r="A366" s="17">
        <v>365.0</v>
      </c>
      <c r="B366" s="71">
        <v>46044.0</v>
      </c>
      <c r="C366" s="22" t="s">
        <v>58</v>
      </c>
      <c r="D366" s="22" t="s">
        <v>84</v>
      </c>
      <c r="E366" s="33" t="s">
        <v>27</v>
      </c>
      <c r="F366" s="33">
        <v>5.83533225E8</v>
      </c>
      <c r="G366" s="31" t="s">
        <v>120</v>
      </c>
      <c r="H366" s="109" t="s">
        <v>272</v>
      </c>
      <c r="I366" s="30" t="s">
        <v>3105</v>
      </c>
      <c r="J366" s="98" t="s">
        <v>3107</v>
      </c>
      <c r="K366" s="22" t="s">
        <v>36</v>
      </c>
      <c r="L366" s="35"/>
      <c r="M366" s="42" t="s">
        <v>88</v>
      </c>
      <c r="N366" s="22" t="s">
        <v>56</v>
      </c>
      <c r="O366" s="22" t="s">
        <v>42</v>
      </c>
      <c r="P366" s="26"/>
      <c r="Q366" s="22" t="s">
        <v>44</v>
      </c>
      <c r="R366" s="33" t="s">
        <v>68</v>
      </c>
      <c r="S366" s="40"/>
      <c r="T366" s="28"/>
      <c r="U366" s="34"/>
      <c r="V366" s="26">
        <v>5.0</v>
      </c>
    </row>
    <row r="367" hidden="1">
      <c r="A367" s="17">
        <v>366.0</v>
      </c>
      <c r="B367" s="71">
        <v>46044.0</v>
      </c>
      <c r="C367" s="22" t="s">
        <v>21</v>
      </c>
      <c r="D367" s="22" t="s">
        <v>22</v>
      </c>
      <c r="E367" s="98" t="s">
        <v>3114</v>
      </c>
      <c r="F367" s="33">
        <v>5.56347145E8</v>
      </c>
      <c r="G367" s="24" t="s">
        <v>79</v>
      </c>
      <c r="H367" s="109" t="s">
        <v>27</v>
      </c>
      <c r="I367" s="30" t="s">
        <v>3117</v>
      </c>
      <c r="J367" s="31" t="s">
        <v>123</v>
      </c>
      <c r="K367" s="22" t="s">
        <v>36</v>
      </c>
      <c r="L367" s="35"/>
      <c r="M367" s="38" t="s">
        <v>1389</v>
      </c>
      <c r="N367" s="22" t="s">
        <v>56</v>
      </c>
      <c r="O367" s="22" t="s">
        <v>42</v>
      </c>
      <c r="P367" s="26"/>
      <c r="Q367" s="22" t="s">
        <v>49</v>
      </c>
      <c r="R367" s="33" t="s">
        <v>68</v>
      </c>
      <c r="S367" s="40"/>
      <c r="T367" s="28"/>
      <c r="U367" s="34"/>
      <c r="V367" s="26">
        <v>5.0</v>
      </c>
    </row>
    <row r="368" hidden="1">
      <c r="A368" s="17">
        <v>367.0</v>
      </c>
      <c r="B368" s="71">
        <v>46044.0</v>
      </c>
      <c r="C368" s="22" t="s">
        <v>21</v>
      </c>
      <c r="D368" s="22" t="s">
        <v>22</v>
      </c>
      <c r="E368" s="98" t="s">
        <v>3125</v>
      </c>
      <c r="F368" s="33">
        <v>5.57308392E8</v>
      </c>
      <c r="G368" s="98" t="s">
        <v>41</v>
      </c>
      <c r="H368" s="109" t="s">
        <v>27</v>
      </c>
      <c r="I368" s="30" t="s">
        <v>3126</v>
      </c>
      <c r="J368" s="31" t="s">
        <v>123</v>
      </c>
      <c r="K368" s="22" t="s">
        <v>36</v>
      </c>
      <c r="L368" s="35">
        <v>0.3958333333333333</v>
      </c>
      <c r="M368" s="38" t="s">
        <v>88</v>
      </c>
      <c r="N368" s="22" t="s">
        <v>40</v>
      </c>
      <c r="O368" s="22" t="s">
        <v>42</v>
      </c>
      <c r="P368" s="26"/>
      <c r="Q368" s="22" t="s">
        <v>44</v>
      </c>
      <c r="R368" s="33" t="s">
        <v>68</v>
      </c>
      <c r="S368" s="40"/>
      <c r="T368" s="28"/>
      <c r="U368" s="68" t="s">
        <v>44</v>
      </c>
      <c r="V368" s="26">
        <v>5.0</v>
      </c>
    </row>
    <row r="369" hidden="1">
      <c r="A369" s="17">
        <v>368.0</v>
      </c>
      <c r="B369" s="71">
        <v>46044.0</v>
      </c>
      <c r="C369" s="22" t="s">
        <v>21</v>
      </c>
      <c r="D369" s="22" t="s">
        <v>57</v>
      </c>
      <c r="E369" s="98" t="s">
        <v>3132</v>
      </c>
      <c r="F369" s="33">
        <v>5.55887522E8</v>
      </c>
      <c r="G369" s="98" t="s">
        <v>41</v>
      </c>
      <c r="H369" s="109" t="s">
        <v>27</v>
      </c>
      <c r="I369" s="30" t="s">
        <v>3134</v>
      </c>
      <c r="J369" s="98" t="s">
        <v>3137</v>
      </c>
      <c r="K369" s="22" t="s">
        <v>36</v>
      </c>
      <c r="L369" s="35">
        <v>0.3958333333333333</v>
      </c>
      <c r="M369" s="25" t="s">
        <v>38</v>
      </c>
      <c r="N369" s="22" t="s">
        <v>56</v>
      </c>
      <c r="O369" s="22" t="s">
        <v>42</v>
      </c>
      <c r="P369" s="26"/>
      <c r="Q369" s="22" t="s">
        <v>44</v>
      </c>
      <c r="R369" s="33" t="s">
        <v>68</v>
      </c>
      <c r="S369" s="40"/>
      <c r="T369" s="28"/>
      <c r="U369" s="68" t="s">
        <v>44</v>
      </c>
      <c r="V369" s="26">
        <v>5.0</v>
      </c>
    </row>
    <row r="370" hidden="1">
      <c r="A370" s="17">
        <v>369.0</v>
      </c>
      <c r="B370" s="71">
        <v>46044.0</v>
      </c>
      <c r="C370" s="22" t="s">
        <v>21</v>
      </c>
      <c r="D370" s="22" t="s">
        <v>57</v>
      </c>
      <c r="E370" s="98" t="s">
        <v>3145</v>
      </c>
      <c r="F370" s="33">
        <v>5.44433639E8</v>
      </c>
      <c r="G370" s="31" t="s">
        <v>120</v>
      </c>
      <c r="H370" s="109" t="s">
        <v>27</v>
      </c>
      <c r="I370" s="30" t="s">
        <v>3149</v>
      </c>
      <c r="J370" s="31" t="s">
        <v>903</v>
      </c>
      <c r="K370" s="22" t="s">
        <v>36</v>
      </c>
      <c r="L370" s="35">
        <v>0.3958333333333333</v>
      </c>
      <c r="M370" s="25" t="s">
        <v>38</v>
      </c>
      <c r="N370" s="22" t="s">
        <v>56</v>
      </c>
      <c r="O370" s="22" t="s">
        <v>42</v>
      </c>
      <c r="P370" s="26"/>
      <c r="Q370" s="22" t="s">
        <v>44</v>
      </c>
      <c r="R370" s="33" t="s">
        <v>68</v>
      </c>
      <c r="S370" s="40"/>
      <c r="T370" s="28"/>
      <c r="U370" s="68" t="s">
        <v>44</v>
      </c>
      <c r="V370" s="26">
        <v>5.0</v>
      </c>
    </row>
    <row r="371" hidden="1">
      <c r="A371" s="17">
        <v>370.0</v>
      </c>
      <c r="B371" s="71">
        <v>46044.0</v>
      </c>
      <c r="C371" s="22" t="s">
        <v>21</v>
      </c>
      <c r="D371" s="22" t="s">
        <v>34</v>
      </c>
      <c r="E371" s="98" t="s">
        <v>3156</v>
      </c>
      <c r="F371" s="33">
        <v>5.50724109E8</v>
      </c>
      <c r="G371" s="33" t="s">
        <v>27</v>
      </c>
      <c r="H371" s="109" t="s">
        <v>27</v>
      </c>
      <c r="I371" s="30" t="s">
        <v>643</v>
      </c>
      <c r="J371" s="98" t="s">
        <v>500</v>
      </c>
      <c r="K371" s="22" t="s">
        <v>36</v>
      </c>
      <c r="L371" s="35">
        <v>0.3958333333333333</v>
      </c>
      <c r="M371" s="38" t="s">
        <v>51</v>
      </c>
      <c r="N371" s="22" t="s">
        <v>56</v>
      </c>
      <c r="O371" s="22" t="s">
        <v>42</v>
      </c>
      <c r="P371" s="26"/>
      <c r="Q371" s="22" t="s">
        <v>44</v>
      </c>
      <c r="R371" s="33" t="s">
        <v>68</v>
      </c>
      <c r="S371" s="40"/>
      <c r="T371" s="28"/>
      <c r="U371" s="68" t="s">
        <v>44</v>
      </c>
      <c r="V371" s="26">
        <v>5.0</v>
      </c>
    </row>
    <row r="372">
      <c r="A372" s="17">
        <v>371.0</v>
      </c>
      <c r="B372" s="71">
        <v>46044.0</v>
      </c>
      <c r="C372" s="22" t="s">
        <v>47</v>
      </c>
      <c r="D372" s="22" t="s">
        <v>48</v>
      </c>
      <c r="E372" s="98" t="s">
        <v>1297</v>
      </c>
      <c r="F372" s="33">
        <v>5.3050683E8</v>
      </c>
      <c r="G372" s="98" t="s">
        <v>41</v>
      </c>
      <c r="H372" s="109" t="s">
        <v>222</v>
      </c>
      <c r="I372" s="30" t="s">
        <v>3168</v>
      </c>
      <c r="J372" s="30" t="s">
        <v>3169</v>
      </c>
      <c r="K372" s="22" t="s">
        <v>36</v>
      </c>
      <c r="L372" s="35">
        <v>0.3958333333333333</v>
      </c>
      <c r="M372" s="75" t="s">
        <v>555</v>
      </c>
      <c r="N372" s="17" t="s">
        <v>56</v>
      </c>
      <c r="O372" s="22"/>
      <c r="P372" s="26"/>
      <c r="Q372" s="22" t="s">
        <v>49</v>
      </c>
      <c r="R372" s="33" t="s">
        <v>46</v>
      </c>
      <c r="S372" s="40"/>
      <c r="T372" s="28"/>
      <c r="U372" s="68" t="s">
        <v>44</v>
      </c>
      <c r="V372" s="26">
        <v>5.0</v>
      </c>
    </row>
    <row r="373" hidden="1">
      <c r="A373" s="17">
        <v>372.0</v>
      </c>
      <c r="B373" s="71">
        <v>46044.0</v>
      </c>
      <c r="C373" s="22" t="s">
        <v>21</v>
      </c>
      <c r="D373" s="22" t="s">
        <v>22</v>
      </c>
      <c r="E373" s="98" t="s">
        <v>3175</v>
      </c>
      <c r="F373" s="33">
        <v>5.548625E8</v>
      </c>
      <c r="G373" s="98" t="s">
        <v>3176</v>
      </c>
      <c r="H373" s="109" t="s">
        <v>27</v>
      </c>
      <c r="I373" s="30" t="s">
        <v>3177</v>
      </c>
      <c r="J373" s="31" t="s">
        <v>123</v>
      </c>
      <c r="K373" s="22" t="s">
        <v>321</v>
      </c>
      <c r="L373" s="35">
        <v>0.3958333333333333</v>
      </c>
      <c r="M373" s="38" t="s">
        <v>125</v>
      </c>
      <c r="N373" s="22" t="s">
        <v>56</v>
      </c>
      <c r="O373" s="22" t="s">
        <v>42</v>
      </c>
      <c r="P373" s="26"/>
      <c r="Q373" s="22" t="s">
        <v>49</v>
      </c>
      <c r="R373" s="33" t="s">
        <v>68</v>
      </c>
      <c r="S373" s="40"/>
      <c r="T373" s="28"/>
      <c r="U373" s="68" t="s">
        <v>44</v>
      </c>
      <c r="V373" s="26">
        <v>5.0</v>
      </c>
    </row>
    <row r="374" hidden="1">
      <c r="A374" s="17">
        <v>373.0</v>
      </c>
      <c r="B374" s="71">
        <v>46044.0</v>
      </c>
      <c r="C374" s="22" t="s">
        <v>58</v>
      </c>
      <c r="D374" s="22" t="s">
        <v>84</v>
      </c>
      <c r="E374" s="33" t="s">
        <v>27</v>
      </c>
      <c r="F374" s="33">
        <v>5.35957182E8</v>
      </c>
      <c r="G374" s="33" t="s">
        <v>27</v>
      </c>
      <c r="H374" s="109" t="s">
        <v>27</v>
      </c>
      <c r="I374" s="30" t="s">
        <v>554</v>
      </c>
      <c r="J374" s="31" t="s">
        <v>123</v>
      </c>
      <c r="K374" s="22" t="s">
        <v>36</v>
      </c>
      <c r="L374" s="35">
        <v>0.3958333333333333</v>
      </c>
      <c r="M374" s="42" t="s">
        <v>88</v>
      </c>
      <c r="N374" s="22" t="s">
        <v>56</v>
      </c>
      <c r="O374" s="22" t="s">
        <v>42</v>
      </c>
      <c r="P374" s="26"/>
      <c r="Q374" s="22" t="s">
        <v>44</v>
      </c>
      <c r="R374" s="33" t="s">
        <v>68</v>
      </c>
      <c r="S374" s="40"/>
      <c r="T374" s="28"/>
      <c r="U374" s="68" t="s">
        <v>44</v>
      </c>
      <c r="V374" s="26">
        <v>5.0</v>
      </c>
    </row>
    <row r="375" hidden="1">
      <c r="A375" s="17">
        <v>374.0</v>
      </c>
      <c r="B375" s="71">
        <v>46044.0</v>
      </c>
      <c r="C375" s="22" t="s">
        <v>58</v>
      </c>
      <c r="D375" s="22" t="s">
        <v>84</v>
      </c>
      <c r="E375" s="33" t="s">
        <v>27</v>
      </c>
      <c r="F375" s="33">
        <v>5.67388081E8</v>
      </c>
      <c r="G375" s="33" t="s">
        <v>27</v>
      </c>
      <c r="H375" s="109" t="s">
        <v>27</v>
      </c>
      <c r="I375" s="30" t="s">
        <v>1945</v>
      </c>
      <c r="J375" s="98" t="s">
        <v>500</v>
      </c>
      <c r="K375" s="22" t="s">
        <v>36</v>
      </c>
      <c r="L375" s="35">
        <v>0.3958333333333333</v>
      </c>
      <c r="M375" s="42" t="s">
        <v>88</v>
      </c>
      <c r="N375" s="22" t="s">
        <v>56</v>
      </c>
      <c r="O375" s="22" t="s">
        <v>42</v>
      </c>
      <c r="P375" s="26"/>
      <c r="Q375" s="22" t="s">
        <v>44</v>
      </c>
      <c r="R375" s="33" t="s">
        <v>68</v>
      </c>
      <c r="S375" s="40"/>
      <c r="T375" s="28"/>
      <c r="U375" s="68" t="s">
        <v>44</v>
      </c>
      <c r="V375" s="26">
        <v>5.0</v>
      </c>
    </row>
    <row r="376" hidden="1">
      <c r="A376" s="17">
        <v>375.0</v>
      </c>
      <c r="B376" s="71">
        <v>46047.0</v>
      </c>
      <c r="C376" s="22" t="s">
        <v>58</v>
      </c>
      <c r="D376" s="22" t="s">
        <v>84</v>
      </c>
      <c r="E376" s="33" t="s">
        <v>27</v>
      </c>
      <c r="F376" s="33">
        <v>5.63043146E8</v>
      </c>
      <c r="G376" s="109" t="s">
        <v>27</v>
      </c>
      <c r="H376" s="109" t="s">
        <v>27</v>
      </c>
      <c r="I376" s="30" t="s">
        <v>554</v>
      </c>
      <c r="J376" s="31" t="s">
        <v>123</v>
      </c>
      <c r="K376" s="22" t="s">
        <v>36</v>
      </c>
      <c r="L376" s="35">
        <v>0.3958333333333333</v>
      </c>
      <c r="M376" s="42" t="s">
        <v>88</v>
      </c>
      <c r="N376" s="22" t="s">
        <v>56</v>
      </c>
      <c r="O376" s="22" t="s">
        <v>42</v>
      </c>
      <c r="P376" s="26"/>
      <c r="Q376" s="22" t="s">
        <v>44</v>
      </c>
      <c r="R376" s="33" t="s">
        <v>68</v>
      </c>
      <c r="S376" s="40"/>
      <c r="T376" s="28"/>
      <c r="U376" s="68" t="s">
        <v>44</v>
      </c>
      <c r="V376" s="26">
        <v>5.0</v>
      </c>
    </row>
    <row r="377" hidden="1">
      <c r="A377" s="17">
        <v>376.0</v>
      </c>
      <c r="B377" s="71">
        <v>46047.0</v>
      </c>
      <c r="C377" s="22" t="s">
        <v>21</v>
      </c>
      <c r="D377" s="22" t="s">
        <v>24</v>
      </c>
      <c r="E377" s="98" t="s">
        <v>277</v>
      </c>
      <c r="F377" s="33">
        <v>5.55228074E8</v>
      </c>
      <c r="G377" s="98" t="s">
        <v>41</v>
      </c>
      <c r="H377" s="109" t="s">
        <v>222</v>
      </c>
      <c r="I377" s="30" t="s">
        <v>3214</v>
      </c>
      <c r="J377" s="31" t="s">
        <v>123</v>
      </c>
      <c r="K377" s="22" t="s">
        <v>36</v>
      </c>
      <c r="L377" s="35">
        <v>0.3958333333333333</v>
      </c>
      <c r="M377" s="25" t="s">
        <v>38</v>
      </c>
      <c r="N377" s="22" t="s">
        <v>56</v>
      </c>
      <c r="O377" s="22" t="s">
        <v>42</v>
      </c>
      <c r="P377" s="26"/>
      <c r="Q377" s="22" t="s">
        <v>44</v>
      </c>
      <c r="R377" s="33" t="s">
        <v>46</v>
      </c>
      <c r="S377" s="40"/>
      <c r="T377" s="28"/>
      <c r="U377" s="68" t="s">
        <v>44</v>
      </c>
      <c r="V377" s="26">
        <v>5.0</v>
      </c>
    </row>
    <row r="378" hidden="1">
      <c r="A378" s="17">
        <v>377.0</v>
      </c>
      <c r="B378" s="71">
        <v>46047.0</v>
      </c>
      <c r="C378" s="22" t="s">
        <v>58</v>
      </c>
      <c r="D378" s="22" t="s">
        <v>84</v>
      </c>
      <c r="E378" s="33" t="s">
        <v>27</v>
      </c>
      <c r="F378" s="33">
        <v>5.36076984E8</v>
      </c>
      <c r="G378" s="33" t="s">
        <v>27</v>
      </c>
      <c r="H378" s="109" t="s">
        <v>27</v>
      </c>
      <c r="I378" s="39" t="s">
        <v>3220</v>
      </c>
      <c r="J378" s="98" t="s">
        <v>2457</v>
      </c>
      <c r="K378" s="22" t="s">
        <v>65</v>
      </c>
      <c r="L378" s="35">
        <v>0.3958333333333333</v>
      </c>
      <c r="M378" s="25" t="s">
        <v>38</v>
      </c>
      <c r="N378" s="22" t="s">
        <v>56</v>
      </c>
      <c r="O378" s="22" t="s">
        <v>42</v>
      </c>
      <c r="P378" s="26"/>
      <c r="Q378" s="22" t="s">
        <v>44</v>
      </c>
      <c r="R378" s="33" t="s">
        <v>68</v>
      </c>
      <c r="S378" s="40"/>
      <c r="T378" s="28"/>
      <c r="U378" s="68" t="s">
        <v>44</v>
      </c>
      <c r="V378" s="26">
        <v>5.0</v>
      </c>
    </row>
    <row r="379" hidden="1">
      <c r="A379" s="17">
        <v>378.0</v>
      </c>
      <c r="B379" s="71">
        <v>46047.0</v>
      </c>
      <c r="C379" s="22" t="s">
        <v>21</v>
      </c>
      <c r="D379" s="22" t="s">
        <v>24</v>
      </c>
      <c r="E379" s="98" t="s">
        <v>3227</v>
      </c>
      <c r="F379" s="33">
        <v>5.69970179E8</v>
      </c>
      <c r="G379" s="98" t="s">
        <v>874</v>
      </c>
      <c r="H379" s="109" t="s">
        <v>27</v>
      </c>
      <c r="I379" s="30" t="s">
        <v>3229</v>
      </c>
      <c r="J379" s="31" t="s">
        <v>123</v>
      </c>
      <c r="K379" s="22" t="s">
        <v>36</v>
      </c>
      <c r="L379" s="35"/>
      <c r="M379" s="25" t="s">
        <v>38</v>
      </c>
      <c r="N379" s="22" t="s">
        <v>56</v>
      </c>
      <c r="O379" s="22" t="s">
        <v>42</v>
      </c>
      <c r="P379" s="26"/>
      <c r="Q379" s="22" t="s">
        <v>44</v>
      </c>
      <c r="R379" s="33" t="s">
        <v>46</v>
      </c>
      <c r="S379" s="40"/>
      <c r="T379" s="28"/>
      <c r="U379" s="34"/>
      <c r="V379" s="26">
        <v>5.0</v>
      </c>
    </row>
    <row r="380" hidden="1">
      <c r="A380" s="17">
        <v>379.0</v>
      </c>
      <c r="B380" s="71">
        <v>46047.0</v>
      </c>
      <c r="C380" s="22" t="s">
        <v>58</v>
      </c>
      <c r="D380" s="22" t="s">
        <v>84</v>
      </c>
      <c r="E380" s="33" t="s">
        <v>27</v>
      </c>
      <c r="F380" s="33">
        <v>5.95555429E8</v>
      </c>
      <c r="G380" s="109" t="s">
        <v>27</v>
      </c>
      <c r="H380" s="109" t="s">
        <v>27</v>
      </c>
      <c r="I380" s="39" t="s">
        <v>3236</v>
      </c>
      <c r="J380" s="98" t="s">
        <v>124</v>
      </c>
      <c r="K380" s="22" t="s">
        <v>65</v>
      </c>
      <c r="L380" s="35"/>
      <c r="M380" s="25" t="s">
        <v>38</v>
      </c>
      <c r="N380" s="22" t="s">
        <v>56</v>
      </c>
      <c r="O380" s="22" t="s">
        <v>42</v>
      </c>
      <c r="P380" s="26"/>
      <c r="Q380" s="22" t="s">
        <v>44</v>
      </c>
      <c r="R380" s="33" t="s">
        <v>68</v>
      </c>
      <c r="S380" s="40"/>
      <c r="T380" s="28"/>
      <c r="U380" s="34"/>
      <c r="V380" s="26">
        <v>5.0</v>
      </c>
    </row>
    <row r="381" hidden="1">
      <c r="A381" s="17">
        <v>380.0</v>
      </c>
      <c r="B381" s="71">
        <v>46047.0</v>
      </c>
      <c r="C381" s="22" t="s">
        <v>58</v>
      </c>
      <c r="D381" s="22" t="s">
        <v>84</v>
      </c>
      <c r="E381" s="98" t="s">
        <v>3243</v>
      </c>
      <c r="F381" s="33">
        <v>5.37595375E8</v>
      </c>
      <c r="G381" s="98" t="s">
        <v>41</v>
      </c>
      <c r="H381" s="109" t="s">
        <v>27</v>
      </c>
      <c r="I381" s="30" t="s">
        <v>3244</v>
      </c>
      <c r="J381" s="98" t="s">
        <v>3245</v>
      </c>
      <c r="K381" s="22" t="s">
        <v>36</v>
      </c>
      <c r="L381" s="35">
        <v>0.5138888888888888</v>
      </c>
      <c r="M381" s="42" t="s">
        <v>88</v>
      </c>
      <c r="N381" s="22" t="s">
        <v>56</v>
      </c>
      <c r="O381" s="22" t="s">
        <v>42</v>
      </c>
      <c r="P381" s="26"/>
      <c r="Q381" s="22" t="s">
        <v>44</v>
      </c>
      <c r="R381" s="33" t="s">
        <v>68</v>
      </c>
      <c r="S381" s="40"/>
      <c r="T381" s="28"/>
      <c r="U381" s="68" t="s">
        <v>44</v>
      </c>
      <c r="V381" s="26">
        <v>5.0</v>
      </c>
    </row>
    <row r="382" hidden="1">
      <c r="A382" s="17">
        <v>381.0</v>
      </c>
      <c r="B382" s="71">
        <v>46047.0</v>
      </c>
      <c r="C382" s="22" t="s">
        <v>58</v>
      </c>
      <c r="D382" s="22" t="s">
        <v>84</v>
      </c>
      <c r="E382" s="33" t="s">
        <v>27</v>
      </c>
      <c r="F382" s="33" t="s">
        <v>27</v>
      </c>
      <c r="G382" s="109" t="s">
        <v>27</v>
      </c>
      <c r="H382" s="109" t="s">
        <v>27</v>
      </c>
      <c r="I382" s="30" t="s">
        <v>3251</v>
      </c>
      <c r="J382" s="31" t="s">
        <v>123</v>
      </c>
      <c r="K382" s="22" t="s">
        <v>78</v>
      </c>
      <c r="L382" s="35"/>
      <c r="M382" s="25" t="s">
        <v>38</v>
      </c>
      <c r="N382" s="22" t="s">
        <v>56</v>
      </c>
      <c r="O382" s="22" t="s">
        <v>42</v>
      </c>
      <c r="P382" s="26"/>
      <c r="Q382" s="22" t="s">
        <v>49</v>
      </c>
      <c r="R382" s="33" t="s">
        <v>68</v>
      </c>
      <c r="S382" s="40"/>
      <c r="T382" s="28"/>
      <c r="U382" s="34"/>
      <c r="V382" s="26">
        <v>5.0</v>
      </c>
    </row>
    <row r="383">
      <c r="A383" s="17">
        <v>382.0</v>
      </c>
      <c r="B383" s="71">
        <v>46047.0</v>
      </c>
      <c r="C383" s="22" t="s">
        <v>47</v>
      </c>
      <c r="D383" s="22" t="s">
        <v>48</v>
      </c>
      <c r="E383" s="98" t="s">
        <v>3257</v>
      </c>
      <c r="F383" s="33" t="s">
        <v>27</v>
      </c>
      <c r="G383" s="169" t="s">
        <v>28</v>
      </c>
      <c r="H383" s="109" t="s">
        <v>587</v>
      </c>
      <c r="I383" s="30" t="s">
        <v>3260</v>
      </c>
      <c r="J383" s="30" t="s">
        <v>3261</v>
      </c>
      <c r="K383" s="22" t="s">
        <v>78</v>
      </c>
      <c r="L383" s="35"/>
      <c r="M383" s="20" t="s">
        <v>101</v>
      </c>
      <c r="N383" s="17" t="s">
        <v>56</v>
      </c>
      <c r="O383" s="22"/>
      <c r="P383" s="26"/>
      <c r="Q383" s="22" t="s">
        <v>49</v>
      </c>
      <c r="R383" s="33" t="s">
        <v>46</v>
      </c>
      <c r="S383" s="40"/>
      <c r="T383" s="28"/>
      <c r="U383" s="34"/>
      <c r="V383" s="26">
        <v>5.0</v>
      </c>
    </row>
    <row r="384">
      <c r="A384" s="17">
        <v>383.0</v>
      </c>
      <c r="B384" s="71">
        <v>46047.0</v>
      </c>
      <c r="C384" s="22" t="s">
        <v>47</v>
      </c>
      <c r="D384" s="22" t="s">
        <v>48</v>
      </c>
      <c r="E384" s="98" t="s">
        <v>3265</v>
      </c>
      <c r="F384" s="39">
        <v>5.04327688E8</v>
      </c>
      <c r="G384" s="31" t="s">
        <v>71</v>
      </c>
      <c r="H384" s="109" t="s">
        <v>72</v>
      </c>
      <c r="I384" s="30" t="s">
        <v>3267</v>
      </c>
      <c r="J384" s="30" t="s">
        <v>3268</v>
      </c>
      <c r="K384" s="22" t="s">
        <v>39</v>
      </c>
      <c r="L384" s="35"/>
      <c r="M384" s="20" t="s">
        <v>101</v>
      </c>
      <c r="N384" s="17" t="s">
        <v>56</v>
      </c>
      <c r="O384" s="22"/>
      <c r="P384" s="26"/>
      <c r="Q384" s="22" t="s">
        <v>49</v>
      </c>
      <c r="R384" s="33" t="s">
        <v>46</v>
      </c>
      <c r="S384" s="40"/>
      <c r="T384" s="28"/>
      <c r="U384" s="34"/>
      <c r="V384" s="26">
        <v>5.0</v>
      </c>
    </row>
    <row r="385" hidden="1">
      <c r="A385" s="17">
        <v>384.0</v>
      </c>
      <c r="B385" s="71">
        <v>46047.0</v>
      </c>
      <c r="C385" s="22" t="s">
        <v>21</v>
      </c>
      <c r="D385" s="22" t="s">
        <v>22</v>
      </c>
      <c r="E385" s="98" t="s">
        <v>3275</v>
      </c>
      <c r="F385" s="33">
        <v>5.64441263E8</v>
      </c>
      <c r="G385" s="98" t="s">
        <v>41</v>
      </c>
      <c r="H385" s="109" t="s">
        <v>27</v>
      </c>
      <c r="I385" s="30" t="s">
        <v>3277</v>
      </c>
      <c r="J385" s="98" t="s">
        <v>32</v>
      </c>
      <c r="K385" s="22" t="s">
        <v>62</v>
      </c>
      <c r="L385" s="35"/>
      <c r="M385" s="38" t="s">
        <v>1389</v>
      </c>
      <c r="N385" s="22" t="s">
        <v>40</v>
      </c>
      <c r="O385" s="22" t="s">
        <v>42</v>
      </c>
      <c r="P385" s="26"/>
      <c r="Q385" s="22" t="s">
        <v>44</v>
      </c>
      <c r="R385" s="33" t="s">
        <v>68</v>
      </c>
      <c r="S385" s="40"/>
      <c r="T385" s="28"/>
      <c r="U385" s="34"/>
      <c r="V385" s="26">
        <v>5.0</v>
      </c>
    </row>
    <row r="386" hidden="1">
      <c r="A386" s="17">
        <v>385.0</v>
      </c>
      <c r="B386" s="71">
        <v>46047.0</v>
      </c>
      <c r="C386" s="22" t="s">
        <v>21</v>
      </c>
      <c r="D386" s="22" t="s">
        <v>24</v>
      </c>
      <c r="E386" s="98" t="s">
        <v>3284</v>
      </c>
      <c r="F386" s="33">
        <v>5.044373E8</v>
      </c>
      <c r="G386" s="98" t="s">
        <v>41</v>
      </c>
      <c r="H386" s="109" t="s">
        <v>27</v>
      </c>
      <c r="I386" s="30" t="s">
        <v>3285</v>
      </c>
      <c r="J386" s="31" t="s">
        <v>123</v>
      </c>
      <c r="K386" s="22" t="s">
        <v>36</v>
      </c>
      <c r="L386" s="35"/>
      <c r="M386" s="25" t="s">
        <v>38</v>
      </c>
      <c r="N386" s="22" t="s">
        <v>56</v>
      </c>
      <c r="O386" s="22" t="s">
        <v>42</v>
      </c>
      <c r="P386" s="26"/>
      <c r="Q386" s="22" t="s">
        <v>49</v>
      </c>
      <c r="R386" s="33" t="s">
        <v>46</v>
      </c>
      <c r="S386" s="40"/>
      <c r="T386" s="28"/>
      <c r="U386" s="34"/>
      <c r="V386" s="26">
        <v>5.0</v>
      </c>
    </row>
    <row r="387" hidden="1">
      <c r="A387" s="17">
        <v>386.0</v>
      </c>
      <c r="B387" s="71">
        <v>46047.0</v>
      </c>
      <c r="C387" s="22" t="s">
        <v>58</v>
      </c>
      <c r="D387" s="22" t="s">
        <v>84</v>
      </c>
      <c r="E387" s="33" t="s">
        <v>27</v>
      </c>
      <c r="F387" s="33">
        <v>5.33756567E8</v>
      </c>
      <c r="G387" s="31" t="s">
        <v>71</v>
      </c>
      <c r="H387" s="109" t="s">
        <v>27</v>
      </c>
      <c r="I387" s="30" t="s">
        <v>2833</v>
      </c>
      <c r="J387" s="98" t="s">
        <v>3297</v>
      </c>
      <c r="K387" s="22" t="s">
        <v>36</v>
      </c>
      <c r="L387" s="35">
        <v>0.4791666666666667</v>
      </c>
      <c r="M387" s="42" t="s">
        <v>88</v>
      </c>
      <c r="N387" s="22" t="s">
        <v>56</v>
      </c>
      <c r="O387" s="22" t="s">
        <v>42</v>
      </c>
      <c r="P387" s="26"/>
      <c r="Q387" s="22" t="s">
        <v>44</v>
      </c>
      <c r="R387" s="33" t="s">
        <v>68</v>
      </c>
      <c r="S387" s="40"/>
      <c r="T387" s="28"/>
      <c r="U387" s="68" t="s">
        <v>44</v>
      </c>
      <c r="V387" s="26">
        <v>5.0</v>
      </c>
    </row>
    <row r="388">
      <c r="A388" s="17">
        <v>387.0</v>
      </c>
      <c r="B388" s="71">
        <v>46047.0</v>
      </c>
      <c r="C388" s="22" t="s">
        <v>47</v>
      </c>
      <c r="D388" s="22" t="s">
        <v>367</v>
      </c>
      <c r="E388" s="98" t="s">
        <v>3300</v>
      </c>
      <c r="F388" s="33">
        <v>5.70783584E8</v>
      </c>
      <c r="G388" s="24" t="s">
        <v>79</v>
      </c>
      <c r="H388" s="109" t="s">
        <v>487</v>
      </c>
      <c r="I388" s="30" t="s">
        <v>3302</v>
      </c>
      <c r="J388" s="24" t="s">
        <v>3303</v>
      </c>
      <c r="K388" s="17" t="s">
        <v>148</v>
      </c>
      <c r="L388" s="35"/>
      <c r="M388" s="25" t="s">
        <v>602</v>
      </c>
      <c r="N388" s="22" t="s">
        <v>56</v>
      </c>
      <c r="O388" s="22"/>
      <c r="P388" s="26"/>
      <c r="Q388" s="22" t="s">
        <v>44</v>
      </c>
      <c r="R388" s="33" t="s">
        <v>46</v>
      </c>
      <c r="S388" s="40"/>
      <c r="T388" s="28"/>
      <c r="U388" s="34"/>
      <c r="V388" s="26">
        <v>5.0</v>
      </c>
    </row>
    <row r="389">
      <c r="A389" s="17">
        <v>388.0</v>
      </c>
      <c r="B389" s="71">
        <v>46047.0</v>
      </c>
      <c r="C389" s="22" t="s">
        <v>47</v>
      </c>
      <c r="D389" s="22" t="s">
        <v>138</v>
      </c>
      <c r="E389" s="98" t="s">
        <v>3310</v>
      </c>
      <c r="F389" s="33">
        <v>5.44323447E8</v>
      </c>
      <c r="G389" s="98" t="s">
        <v>41</v>
      </c>
      <c r="H389" s="109" t="s">
        <v>193</v>
      </c>
      <c r="I389" s="30" t="s">
        <v>3311</v>
      </c>
      <c r="J389" s="24" t="s">
        <v>3312</v>
      </c>
      <c r="K389" s="17" t="s">
        <v>148</v>
      </c>
      <c r="L389" s="35"/>
      <c r="M389" s="27" t="s">
        <v>323</v>
      </c>
      <c r="N389" s="22" t="s">
        <v>56</v>
      </c>
      <c r="O389" s="22"/>
      <c r="P389" s="26"/>
      <c r="Q389" s="22" t="s">
        <v>44</v>
      </c>
      <c r="R389" s="33" t="s">
        <v>46</v>
      </c>
      <c r="S389" s="40"/>
      <c r="T389" s="28"/>
      <c r="U389" s="34"/>
      <c r="V389" s="26">
        <v>5.0</v>
      </c>
    </row>
    <row r="390" ht="71.25" customHeight="1">
      <c r="A390" s="17">
        <v>389.0</v>
      </c>
      <c r="B390" s="87">
        <v>46047.0</v>
      </c>
      <c r="C390" s="22" t="s">
        <v>47</v>
      </c>
      <c r="D390" s="22" t="s">
        <v>48</v>
      </c>
      <c r="E390" s="98" t="s">
        <v>1197</v>
      </c>
      <c r="F390" s="33">
        <v>5.59903353E8</v>
      </c>
      <c r="G390" s="98" t="s">
        <v>41</v>
      </c>
      <c r="H390" s="109" t="s">
        <v>956</v>
      </c>
      <c r="I390" s="30" t="s">
        <v>3318</v>
      </c>
      <c r="J390" s="30" t="s">
        <v>3319</v>
      </c>
      <c r="K390" s="22" t="s">
        <v>36</v>
      </c>
      <c r="L390" s="35"/>
      <c r="M390" s="73" t="s">
        <v>662</v>
      </c>
      <c r="N390" s="22" t="s">
        <v>56</v>
      </c>
      <c r="O390" s="22"/>
      <c r="P390" s="26"/>
      <c r="Q390" s="22" t="s">
        <v>44</v>
      </c>
      <c r="R390" s="33" t="s">
        <v>46</v>
      </c>
      <c r="S390" s="40"/>
      <c r="T390" s="28"/>
      <c r="U390" s="34"/>
      <c r="V390" s="26">
        <v>5.0</v>
      </c>
    </row>
    <row r="391" hidden="1">
      <c r="A391" s="17">
        <v>390.0</v>
      </c>
      <c r="B391" s="71">
        <v>46047.0</v>
      </c>
      <c r="C391" s="22" t="s">
        <v>21</v>
      </c>
      <c r="D391" s="22" t="s">
        <v>22</v>
      </c>
      <c r="E391" s="98" t="s">
        <v>3325</v>
      </c>
      <c r="F391" s="33">
        <v>5.57655521E8</v>
      </c>
      <c r="G391" s="31" t="s">
        <v>120</v>
      </c>
      <c r="H391" s="109" t="s">
        <v>27</v>
      </c>
      <c r="I391" s="30" t="s">
        <v>3327</v>
      </c>
      <c r="J391" s="98" t="s">
        <v>32</v>
      </c>
      <c r="K391" s="22" t="s">
        <v>36</v>
      </c>
      <c r="L391" s="35"/>
      <c r="M391" s="38" t="s">
        <v>1389</v>
      </c>
      <c r="N391" s="22" t="s">
        <v>40</v>
      </c>
      <c r="O391" s="22" t="s">
        <v>42</v>
      </c>
      <c r="P391" s="26"/>
      <c r="Q391" s="22" t="s">
        <v>44</v>
      </c>
      <c r="R391" s="33" t="s">
        <v>68</v>
      </c>
      <c r="S391" s="40"/>
      <c r="T391" s="28"/>
      <c r="U391" s="34"/>
      <c r="V391" s="26">
        <v>5.0</v>
      </c>
    </row>
    <row r="392">
      <c r="A392" s="17">
        <v>391.0</v>
      </c>
      <c r="B392" s="71">
        <v>46047.0</v>
      </c>
      <c r="C392" s="22" t="s">
        <v>47</v>
      </c>
      <c r="D392" s="22" t="s">
        <v>138</v>
      </c>
      <c r="E392" s="33" t="s">
        <v>3332</v>
      </c>
      <c r="F392" s="33">
        <v>5.67877006E8</v>
      </c>
      <c r="G392" s="98" t="s">
        <v>41</v>
      </c>
      <c r="H392" s="109" t="s">
        <v>146</v>
      </c>
      <c r="I392" s="30" t="s">
        <v>3335</v>
      </c>
      <c r="J392" s="24" t="s">
        <v>3336</v>
      </c>
      <c r="K392" s="17" t="s">
        <v>148</v>
      </c>
      <c r="L392" s="35"/>
      <c r="M392" s="27" t="s">
        <v>323</v>
      </c>
      <c r="N392" s="17" t="s">
        <v>56</v>
      </c>
      <c r="O392" s="22"/>
      <c r="P392" s="26"/>
      <c r="Q392" s="22" t="s">
        <v>44</v>
      </c>
      <c r="R392" s="33" t="s">
        <v>46</v>
      </c>
      <c r="S392" s="40"/>
      <c r="T392" s="28"/>
      <c r="U392" s="34"/>
      <c r="V392" s="26">
        <v>5.0</v>
      </c>
    </row>
    <row r="393">
      <c r="A393" s="17">
        <v>392.0</v>
      </c>
      <c r="B393" s="71">
        <v>46047.0</v>
      </c>
      <c r="C393" s="22" t="s">
        <v>47</v>
      </c>
      <c r="D393" s="22" t="s">
        <v>367</v>
      </c>
      <c r="E393" s="98" t="s">
        <v>3340</v>
      </c>
      <c r="F393" s="33">
        <v>5.66642544E8</v>
      </c>
      <c r="G393" s="98" t="s">
        <v>41</v>
      </c>
      <c r="H393" s="109" t="s">
        <v>146</v>
      </c>
      <c r="I393" s="30" t="s">
        <v>3341</v>
      </c>
      <c r="J393" s="170" t="s">
        <v>3342</v>
      </c>
      <c r="K393" s="17" t="s">
        <v>148</v>
      </c>
      <c r="L393" s="35"/>
      <c r="M393" s="25" t="s">
        <v>55</v>
      </c>
      <c r="N393" s="22" t="s">
        <v>56</v>
      </c>
      <c r="O393" s="22"/>
      <c r="P393" s="26"/>
      <c r="Q393" s="22" t="s">
        <v>44</v>
      </c>
      <c r="R393" s="33" t="s">
        <v>46</v>
      </c>
      <c r="S393" s="40"/>
      <c r="T393" s="28"/>
      <c r="U393" s="34"/>
      <c r="V393" s="26">
        <v>5.0</v>
      </c>
    </row>
    <row r="394">
      <c r="A394" s="17">
        <v>393.0</v>
      </c>
      <c r="B394" s="71">
        <v>46047.0</v>
      </c>
      <c r="C394" s="22" t="s">
        <v>47</v>
      </c>
      <c r="D394" s="22" t="s">
        <v>138</v>
      </c>
      <c r="E394" s="98" t="s">
        <v>476</v>
      </c>
      <c r="F394" s="33">
        <v>5.30305767E8</v>
      </c>
      <c r="G394" s="98" t="s">
        <v>41</v>
      </c>
      <c r="H394" s="109" t="s">
        <v>146</v>
      </c>
      <c r="I394" s="30" t="s">
        <v>3347</v>
      </c>
      <c r="J394" s="24" t="s">
        <v>3348</v>
      </c>
      <c r="K394" s="17" t="s">
        <v>148</v>
      </c>
      <c r="L394" s="35"/>
      <c r="M394" s="20" t="s">
        <v>346</v>
      </c>
      <c r="N394" s="22" t="s">
        <v>56</v>
      </c>
      <c r="O394" s="22"/>
      <c r="P394" s="26"/>
      <c r="Q394" s="22" t="s">
        <v>44</v>
      </c>
      <c r="R394" s="33" t="s">
        <v>46</v>
      </c>
      <c r="S394" s="40"/>
      <c r="T394" s="28"/>
      <c r="U394" s="34"/>
      <c r="V394" s="26">
        <v>5.0</v>
      </c>
    </row>
    <row r="395">
      <c r="A395" s="17">
        <v>394.0</v>
      </c>
      <c r="B395" s="71">
        <v>46047.0</v>
      </c>
      <c r="C395" s="22" t="s">
        <v>47</v>
      </c>
      <c r="D395" s="22" t="s">
        <v>138</v>
      </c>
      <c r="E395" s="33" t="s">
        <v>1800</v>
      </c>
      <c r="F395" s="33">
        <v>5.49246826E8</v>
      </c>
      <c r="G395" s="98" t="s">
        <v>41</v>
      </c>
      <c r="H395" s="109" t="s">
        <v>146</v>
      </c>
      <c r="I395" s="30" t="s">
        <v>3357</v>
      </c>
      <c r="J395" s="24" t="s">
        <v>3359</v>
      </c>
      <c r="K395" s="17" t="s">
        <v>148</v>
      </c>
      <c r="L395" s="35"/>
      <c r="M395" s="20" t="s">
        <v>346</v>
      </c>
      <c r="N395" s="22" t="s">
        <v>56</v>
      </c>
      <c r="O395" s="22"/>
      <c r="P395" s="26"/>
      <c r="Q395" s="22" t="s">
        <v>44</v>
      </c>
      <c r="R395" s="33" t="s">
        <v>46</v>
      </c>
      <c r="S395" s="40"/>
      <c r="T395" s="28"/>
      <c r="U395" s="68" t="s">
        <v>44</v>
      </c>
      <c r="V395" s="26">
        <v>5.0</v>
      </c>
    </row>
    <row r="396" ht="126.75" customHeight="1">
      <c r="A396" s="17">
        <v>395.0</v>
      </c>
      <c r="B396" s="87">
        <v>46047.0</v>
      </c>
      <c r="C396" s="22" t="s">
        <v>47</v>
      </c>
      <c r="D396" s="22" t="s">
        <v>48</v>
      </c>
      <c r="E396" s="98" t="s">
        <v>3363</v>
      </c>
      <c r="F396" s="33">
        <v>5.98925095E8</v>
      </c>
      <c r="G396" s="98" t="s">
        <v>41</v>
      </c>
      <c r="H396" s="109" t="s">
        <v>222</v>
      </c>
      <c r="I396" s="172" t="s">
        <v>3365</v>
      </c>
      <c r="J396" s="30" t="s">
        <v>3368</v>
      </c>
      <c r="K396" s="22" t="s">
        <v>36</v>
      </c>
      <c r="L396" s="35">
        <v>0.3819444444444444</v>
      </c>
      <c r="M396" s="75" t="s">
        <v>3370</v>
      </c>
      <c r="N396" s="22" t="s">
        <v>56</v>
      </c>
      <c r="O396" s="22"/>
      <c r="P396" s="26"/>
      <c r="Q396" s="22" t="s">
        <v>44</v>
      </c>
      <c r="R396" s="33" t="s">
        <v>46</v>
      </c>
      <c r="S396" s="40"/>
      <c r="T396" s="28"/>
      <c r="U396" s="68" t="s">
        <v>44</v>
      </c>
      <c r="V396" s="26">
        <v>5.0</v>
      </c>
    </row>
    <row r="397">
      <c r="A397" s="17">
        <v>396.0</v>
      </c>
      <c r="B397" s="71">
        <v>46047.0</v>
      </c>
      <c r="C397" s="22" t="s">
        <v>47</v>
      </c>
      <c r="D397" s="22" t="s">
        <v>48</v>
      </c>
      <c r="E397" s="98" t="s">
        <v>3382</v>
      </c>
      <c r="F397" s="33" t="s">
        <v>27</v>
      </c>
      <c r="G397" s="98" t="s">
        <v>41</v>
      </c>
      <c r="H397" s="109" t="s">
        <v>52</v>
      </c>
      <c r="I397" s="30" t="s">
        <v>3386</v>
      </c>
      <c r="J397" s="30" t="s">
        <v>3388</v>
      </c>
      <c r="K397" s="22" t="s">
        <v>78</v>
      </c>
      <c r="L397" s="35">
        <v>0.3819444444444444</v>
      </c>
      <c r="M397" s="73" t="s">
        <v>101</v>
      </c>
      <c r="N397" s="22" t="s">
        <v>56</v>
      </c>
      <c r="O397" s="22"/>
      <c r="P397" s="26"/>
      <c r="Q397" s="22" t="s">
        <v>49</v>
      </c>
      <c r="R397" s="33" t="s">
        <v>46</v>
      </c>
      <c r="S397" s="40"/>
      <c r="T397" s="28"/>
      <c r="U397" s="68" t="s">
        <v>44</v>
      </c>
      <c r="V397" s="26">
        <v>5.0</v>
      </c>
    </row>
    <row r="398" hidden="1">
      <c r="A398" s="17">
        <v>397.0</v>
      </c>
      <c r="B398" s="71">
        <v>46047.0</v>
      </c>
      <c r="C398" s="22" t="s">
        <v>58</v>
      </c>
      <c r="D398" s="22" t="s">
        <v>84</v>
      </c>
      <c r="E398" s="98" t="s">
        <v>3397</v>
      </c>
      <c r="F398" s="33" t="s">
        <v>27</v>
      </c>
      <c r="G398" s="98" t="s">
        <v>41</v>
      </c>
      <c r="H398" s="109" t="s">
        <v>705</v>
      </c>
      <c r="I398" s="30" t="s">
        <v>3398</v>
      </c>
      <c r="J398" s="31" t="s">
        <v>123</v>
      </c>
      <c r="K398" s="22" t="s">
        <v>78</v>
      </c>
      <c r="L398" s="35">
        <v>0.3819444444444444</v>
      </c>
      <c r="M398" s="25" t="s">
        <v>38</v>
      </c>
      <c r="N398" s="22" t="s">
        <v>56</v>
      </c>
      <c r="O398" s="22" t="s">
        <v>42</v>
      </c>
      <c r="P398" s="26"/>
      <c r="Q398" s="22" t="s">
        <v>49</v>
      </c>
      <c r="R398" s="33" t="s">
        <v>68</v>
      </c>
      <c r="S398" s="40"/>
      <c r="T398" s="28"/>
      <c r="U398" s="68" t="s">
        <v>44</v>
      </c>
      <c r="V398" s="26">
        <v>5.0</v>
      </c>
    </row>
    <row r="399" hidden="1">
      <c r="A399" s="17">
        <v>398.0</v>
      </c>
      <c r="B399" s="71">
        <v>46047.0</v>
      </c>
      <c r="C399" s="22" t="s">
        <v>21</v>
      </c>
      <c r="D399" s="22" t="s">
        <v>24</v>
      </c>
      <c r="E399" s="98" t="s">
        <v>1103</v>
      </c>
      <c r="F399" s="39">
        <v>5.00905333E8</v>
      </c>
      <c r="G399" s="98" t="s">
        <v>874</v>
      </c>
      <c r="H399" s="109" t="s">
        <v>27</v>
      </c>
      <c r="I399" s="174" t="s">
        <v>3404</v>
      </c>
      <c r="J399" s="31" t="s">
        <v>123</v>
      </c>
      <c r="K399" s="22" t="s">
        <v>36</v>
      </c>
      <c r="L399" s="35">
        <v>0.3819444444444444</v>
      </c>
      <c r="M399" s="25" t="s">
        <v>38</v>
      </c>
      <c r="N399" s="22" t="s">
        <v>56</v>
      </c>
      <c r="O399" s="22" t="s">
        <v>42</v>
      </c>
      <c r="P399" s="26"/>
      <c r="Q399" s="22" t="s">
        <v>49</v>
      </c>
      <c r="R399" s="33" t="s">
        <v>46</v>
      </c>
      <c r="S399" s="40"/>
      <c r="T399" s="28"/>
      <c r="U399" s="68" t="s">
        <v>44</v>
      </c>
      <c r="V399" s="26">
        <v>5.0</v>
      </c>
    </row>
    <row r="400" hidden="1">
      <c r="A400" s="17">
        <v>399.0</v>
      </c>
      <c r="B400" s="71">
        <v>46047.0</v>
      </c>
      <c r="C400" s="22" t="s">
        <v>21</v>
      </c>
      <c r="D400" s="22" t="s">
        <v>22</v>
      </c>
      <c r="E400" s="98" t="s">
        <v>3410</v>
      </c>
      <c r="F400" s="33">
        <v>5.58620336E8</v>
      </c>
      <c r="G400" s="24" t="s">
        <v>79</v>
      </c>
      <c r="H400" s="109" t="s">
        <v>27</v>
      </c>
      <c r="I400" s="30" t="s">
        <v>3412</v>
      </c>
      <c r="J400" s="31" t="s">
        <v>123</v>
      </c>
      <c r="K400" s="22" t="s">
        <v>39</v>
      </c>
      <c r="L400" s="114">
        <v>0.4791666666666667</v>
      </c>
      <c r="M400" s="38" t="s">
        <v>1389</v>
      </c>
      <c r="N400" s="22" t="s">
        <v>56</v>
      </c>
      <c r="O400" s="22" t="s">
        <v>42</v>
      </c>
      <c r="P400" s="26"/>
      <c r="Q400" s="22" t="s">
        <v>49</v>
      </c>
      <c r="R400" s="33" t="s">
        <v>68</v>
      </c>
      <c r="S400" s="40"/>
      <c r="T400" s="28"/>
      <c r="U400" s="34"/>
      <c r="V400" s="26">
        <v>5.0</v>
      </c>
    </row>
    <row r="401" hidden="1">
      <c r="A401" s="17">
        <v>400.0</v>
      </c>
      <c r="B401" s="71">
        <v>46047.0</v>
      </c>
      <c r="C401" s="22" t="s">
        <v>21</v>
      </c>
      <c r="D401" s="22" t="s">
        <v>22</v>
      </c>
      <c r="E401" s="98" t="s">
        <v>3422</v>
      </c>
      <c r="F401" s="33">
        <v>5.46441171E8</v>
      </c>
      <c r="G401" s="24" t="s">
        <v>495</v>
      </c>
      <c r="H401" s="109" t="s">
        <v>27</v>
      </c>
      <c r="I401" s="30" t="s">
        <v>3425</v>
      </c>
      <c r="J401" s="31" t="s">
        <v>123</v>
      </c>
      <c r="K401" s="22" t="s">
        <v>36</v>
      </c>
      <c r="L401" s="114">
        <v>0.4791666666666667</v>
      </c>
      <c r="M401" s="38" t="s">
        <v>1389</v>
      </c>
      <c r="N401" s="22" t="s">
        <v>40</v>
      </c>
      <c r="O401" s="22" t="s">
        <v>42</v>
      </c>
      <c r="P401" s="26"/>
      <c r="Q401" s="22" t="s">
        <v>44</v>
      </c>
      <c r="R401" s="33" t="s">
        <v>68</v>
      </c>
      <c r="S401" s="40"/>
      <c r="T401" s="28"/>
      <c r="U401" s="34"/>
      <c r="V401" s="26">
        <v>5.0</v>
      </c>
    </row>
    <row r="402" hidden="1">
      <c r="A402" s="17">
        <v>401.0</v>
      </c>
      <c r="B402" s="71">
        <v>46047.0</v>
      </c>
      <c r="C402" s="22" t="s">
        <v>21</v>
      </c>
      <c r="D402" s="22" t="s">
        <v>24</v>
      </c>
      <c r="E402" s="98" t="s">
        <v>3429</v>
      </c>
      <c r="F402" s="33">
        <v>5.63449994E8</v>
      </c>
      <c r="G402" s="31" t="s">
        <v>120</v>
      </c>
      <c r="H402" s="109" t="s">
        <v>27</v>
      </c>
      <c r="I402" s="30" t="s">
        <v>3431</v>
      </c>
      <c r="J402" s="31" t="s">
        <v>123</v>
      </c>
      <c r="K402" s="22" t="s">
        <v>36</v>
      </c>
      <c r="L402" s="35"/>
      <c r="M402" s="25" t="s">
        <v>38</v>
      </c>
      <c r="N402" s="22" t="s">
        <v>56</v>
      </c>
      <c r="O402" s="22" t="s">
        <v>42</v>
      </c>
      <c r="P402" s="26"/>
      <c r="Q402" s="22" t="s">
        <v>44</v>
      </c>
      <c r="R402" s="33" t="s">
        <v>46</v>
      </c>
      <c r="S402" s="40"/>
      <c r="T402" s="28"/>
      <c r="U402" s="34"/>
      <c r="V402" s="26">
        <v>5.0</v>
      </c>
    </row>
    <row r="403" hidden="1">
      <c r="A403" s="17">
        <v>402.0</v>
      </c>
      <c r="B403" s="71">
        <v>46047.0</v>
      </c>
      <c r="C403" s="22" t="s">
        <v>21</v>
      </c>
      <c r="D403" s="22" t="s">
        <v>22</v>
      </c>
      <c r="E403" s="98" t="s">
        <v>3437</v>
      </c>
      <c r="F403" s="33">
        <v>5.80031444E8</v>
      </c>
      <c r="G403" s="98" t="s">
        <v>198</v>
      </c>
      <c r="H403" s="109" t="s">
        <v>27</v>
      </c>
      <c r="I403" s="30" t="s">
        <v>3438</v>
      </c>
      <c r="J403" s="31" t="s">
        <v>123</v>
      </c>
      <c r="K403" s="22" t="s">
        <v>36</v>
      </c>
      <c r="L403" s="35"/>
      <c r="M403" s="38" t="s">
        <v>125</v>
      </c>
      <c r="N403" s="22" t="s">
        <v>40</v>
      </c>
      <c r="O403" s="22" t="s">
        <v>42</v>
      </c>
      <c r="P403" s="26"/>
      <c r="Q403" s="22" t="s">
        <v>44</v>
      </c>
      <c r="R403" s="33" t="s">
        <v>68</v>
      </c>
      <c r="S403" s="40"/>
      <c r="T403" s="28"/>
      <c r="U403" s="34"/>
      <c r="V403" s="26">
        <v>5.0</v>
      </c>
    </row>
    <row r="404" hidden="1">
      <c r="A404" s="17">
        <v>403.0</v>
      </c>
      <c r="B404" s="71">
        <v>46047.0</v>
      </c>
      <c r="C404" s="22" t="s">
        <v>21</v>
      </c>
      <c r="D404" s="22" t="s">
        <v>34</v>
      </c>
      <c r="E404" s="33" t="s">
        <v>27</v>
      </c>
      <c r="F404" s="33">
        <v>5.70318345E8</v>
      </c>
      <c r="G404" s="33" t="s">
        <v>27</v>
      </c>
      <c r="H404" s="33" t="s">
        <v>27</v>
      </c>
      <c r="I404" s="30" t="s">
        <v>643</v>
      </c>
      <c r="J404" s="98" t="s">
        <v>500</v>
      </c>
      <c r="K404" s="22" t="s">
        <v>36</v>
      </c>
      <c r="L404" s="35"/>
      <c r="M404" s="38" t="s">
        <v>51</v>
      </c>
      <c r="N404" s="22" t="s">
        <v>56</v>
      </c>
      <c r="O404" s="22" t="s">
        <v>42</v>
      </c>
      <c r="P404" s="26"/>
      <c r="Q404" s="22" t="s">
        <v>44</v>
      </c>
      <c r="R404" s="33" t="s">
        <v>68</v>
      </c>
      <c r="S404" s="40"/>
      <c r="T404" s="28"/>
      <c r="U404" s="34"/>
      <c r="V404" s="26">
        <v>5.0</v>
      </c>
    </row>
    <row r="405">
      <c r="A405" s="17">
        <v>404.0</v>
      </c>
      <c r="B405" s="71">
        <v>46047.0</v>
      </c>
      <c r="C405" s="22" t="s">
        <v>47</v>
      </c>
      <c r="D405" s="22" t="s">
        <v>48</v>
      </c>
      <c r="E405" s="98" t="s">
        <v>3448</v>
      </c>
      <c r="F405" s="33">
        <v>5.66662683E8</v>
      </c>
      <c r="G405" s="98" t="s">
        <v>41</v>
      </c>
      <c r="H405" s="109" t="s">
        <v>222</v>
      </c>
      <c r="I405" s="30" t="s">
        <v>3449</v>
      </c>
      <c r="J405" s="30" t="s">
        <v>3450</v>
      </c>
      <c r="K405" s="22" t="s">
        <v>457</v>
      </c>
      <c r="L405" s="35"/>
      <c r="M405" s="75" t="s">
        <v>101</v>
      </c>
      <c r="N405" s="22" t="s">
        <v>56</v>
      </c>
      <c r="O405" s="22"/>
      <c r="P405" s="26"/>
      <c r="Q405" s="22" t="s">
        <v>44</v>
      </c>
      <c r="R405" s="33" t="s">
        <v>46</v>
      </c>
      <c r="S405" s="40"/>
      <c r="T405" s="28"/>
      <c r="U405" s="34"/>
      <c r="V405" s="26">
        <v>5.0</v>
      </c>
    </row>
    <row r="406" hidden="1">
      <c r="A406" s="17">
        <v>405.0</v>
      </c>
      <c r="B406" s="71">
        <v>46047.0</v>
      </c>
      <c r="C406" s="22" t="s">
        <v>21</v>
      </c>
      <c r="D406" s="22" t="s">
        <v>22</v>
      </c>
      <c r="E406" s="98" t="s">
        <v>3456</v>
      </c>
      <c r="F406" s="33">
        <v>5.56347145E8</v>
      </c>
      <c r="G406" s="24" t="s">
        <v>79</v>
      </c>
      <c r="H406" s="109" t="s">
        <v>27</v>
      </c>
      <c r="I406" s="30" t="s">
        <v>3460</v>
      </c>
      <c r="J406" s="31" t="s">
        <v>123</v>
      </c>
      <c r="K406" s="22" t="s">
        <v>36</v>
      </c>
      <c r="L406" s="35">
        <v>0.5708333333333333</v>
      </c>
      <c r="M406" s="38" t="s">
        <v>1389</v>
      </c>
      <c r="N406" s="22" t="s">
        <v>40</v>
      </c>
      <c r="O406" s="22" t="s">
        <v>42</v>
      </c>
      <c r="P406" s="26"/>
      <c r="Q406" s="22" t="s">
        <v>44</v>
      </c>
      <c r="R406" s="33" t="s">
        <v>68</v>
      </c>
      <c r="S406" s="40"/>
      <c r="T406" s="28"/>
      <c r="U406" s="68" t="s">
        <v>49</v>
      </c>
      <c r="V406" s="26">
        <v>5.0</v>
      </c>
    </row>
    <row r="407" hidden="1">
      <c r="A407" s="17">
        <v>406.0</v>
      </c>
      <c r="B407" s="71">
        <v>46047.0</v>
      </c>
      <c r="C407" s="22" t="s">
        <v>58</v>
      </c>
      <c r="D407" s="22" t="s">
        <v>57</v>
      </c>
      <c r="E407" s="24" t="s">
        <v>812</v>
      </c>
      <c r="F407" s="17">
        <v>5.53442065E8</v>
      </c>
      <c r="G407" s="24" t="s">
        <v>815</v>
      </c>
      <c r="H407" s="109" t="s">
        <v>27</v>
      </c>
      <c r="I407" s="30" t="s">
        <v>3467</v>
      </c>
      <c r="J407" s="31" t="s">
        <v>123</v>
      </c>
      <c r="K407" s="22" t="s">
        <v>36</v>
      </c>
      <c r="L407" s="35"/>
      <c r="M407" s="25" t="s">
        <v>88</v>
      </c>
      <c r="N407" s="22" t="s">
        <v>56</v>
      </c>
      <c r="O407" s="22" t="s">
        <v>42</v>
      </c>
      <c r="P407" s="26"/>
      <c r="Q407" s="22" t="s">
        <v>49</v>
      </c>
      <c r="R407" s="33" t="s">
        <v>68</v>
      </c>
      <c r="S407" s="40"/>
      <c r="T407" s="28"/>
      <c r="U407" s="34"/>
      <c r="V407" s="26">
        <v>5.0</v>
      </c>
    </row>
    <row r="408" hidden="1">
      <c r="A408" s="17">
        <v>407.0</v>
      </c>
      <c r="B408" s="71">
        <v>46047.0</v>
      </c>
      <c r="C408" s="22" t="s">
        <v>58</v>
      </c>
      <c r="D408" s="22" t="s">
        <v>84</v>
      </c>
      <c r="E408" s="33" t="s">
        <v>27</v>
      </c>
      <c r="F408" s="33">
        <v>5.9537627E8</v>
      </c>
      <c r="G408" s="31" t="s">
        <v>71</v>
      </c>
      <c r="H408" s="109" t="s">
        <v>27</v>
      </c>
      <c r="I408" s="30" t="s">
        <v>1935</v>
      </c>
      <c r="J408" s="31" t="s">
        <v>123</v>
      </c>
      <c r="K408" s="22" t="s">
        <v>36</v>
      </c>
      <c r="L408" s="35"/>
      <c r="M408" s="42" t="s">
        <v>88</v>
      </c>
      <c r="N408" s="22" t="s">
        <v>56</v>
      </c>
      <c r="O408" s="22" t="s">
        <v>42</v>
      </c>
      <c r="P408" s="26"/>
      <c r="Q408" s="22" t="s">
        <v>49</v>
      </c>
      <c r="R408" s="33" t="s">
        <v>68</v>
      </c>
      <c r="S408" s="40"/>
      <c r="T408" s="28"/>
      <c r="U408" s="34"/>
      <c r="V408" s="26">
        <v>5.0</v>
      </c>
    </row>
    <row r="409" ht="63.0" customHeight="1">
      <c r="A409" s="17">
        <v>408.0</v>
      </c>
      <c r="B409" s="71">
        <v>46047.0</v>
      </c>
      <c r="C409" s="22" t="s">
        <v>47</v>
      </c>
      <c r="D409" s="22" t="s">
        <v>48</v>
      </c>
      <c r="E409" s="98" t="s">
        <v>3361</v>
      </c>
      <c r="F409" s="33">
        <v>5.80532323E8</v>
      </c>
      <c r="G409" s="98" t="s">
        <v>28</v>
      </c>
      <c r="H409" s="109" t="s">
        <v>830</v>
      </c>
      <c r="I409" s="30" t="s">
        <v>3483</v>
      </c>
      <c r="J409" s="30" t="s">
        <v>3484</v>
      </c>
      <c r="K409" s="22" t="s">
        <v>36</v>
      </c>
      <c r="L409" s="35"/>
      <c r="M409" s="75" t="s">
        <v>555</v>
      </c>
      <c r="N409" s="22" t="s">
        <v>56</v>
      </c>
      <c r="O409" s="22"/>
      <c r="P409" s="26"/>
      <c r="Q409" s="22" t="s">
        <v>44</v>
      </c>
      <c r="R409" s="33" t="s">
        <v>46</v>
      </c>
      <c r="S409" s="40"/>
      <c r="T409" s="28"/>
      <c r="U409" s="34"/>
      <c r="V409" s="26">
        <v>5.0</v>
      </c>
    </row>
    <row r="410" hidden="1">
      <c r="A410" s="17">
        <v>409.0</v>
      </c>
      <c r="B410" s="71">
        <v>46048.0</v>
      </c>
      <c r="C410" s="22" t="s">
        <v>21</v>
      </c>
      <c r="D410" s="22" t="s">
        <v>57</v>
      </c>
      <c r="E410" s="98" t="s">
        <v>3487</v>
      </c>
      <c r="F410" s="33">
        <v>5.70267785E8</v>
      </c>
      <c r="G410" s="33" t="s">
        <v>27</v>
      </c>
      <c r="H410" s="109" t="s">
        <v>27</v>
      </c>
      <c r="I410" s="30" t="s">
        <v>3490</v>
      </c>
      <c r="J410" s="31" t="s">
        <v>123</v>
      </c>
      <c r="K410" s="22" t="s">
        <v>39</v>
      </c>
      <c r="L410" s="35"/>
      <c r="M410" s="25" t="s">
        <v>208</v>
      </c>
      <c r="N410" s="22" t="s">
        <v>56</v>
      </c>
      <c r="O410" s="22" t="s">
        <v>42</v>
      </c>
      <c r="P410" s="26"/>
      <c r="Q410" s="22" t="s">
        <v>49</v>
      </c>
      <c r="R410" s="33" t="s">
        <v>68</v>
      </c>
      <c r="S410" s="40"/>
      <c r="T410" s="28"/>
      <c r="U410" s="34"/>
      <c r="V410" s="26">
        <v>5.0</v>
      </c>
    </row>
    <row r="411">
      <c r="A411" s="17">
        <v>410.0</v>
      </c>
      <c r="B411" s="71">
        <v>46048.0</v>
      </c>
      <c r="C411" s="22" t="s">
        <v>47</v>
      </c>
      <c r="D411" s="22" t="s">
        <v>48</v>
      </c>
      <c r="E411" s="33" t="s">
        <v>3493</v>
      </c>
      <c r="F411" s="33" t="s">
        <v>27</v>
      </c>
      <c r="G411" s="98" t="s">
        <v>41</v>
      </c>
      <c r="H411" s="109" t="s">
        <v>97</v>
      </c>
      <c r="I411" s="30" t="s">
        <v>3499</v>
      </c>
      <c r="J411" s="30" t="s">
        <v>3500</v>
      </c>
      <c r="K411" s="22" t="s">
        <v>78</v>
      </c>
      <c r="L411" s="35"/>
      <c r="M411" s="25" t="s">
        <v>55</v>
      </c>
      <c r="N411" s="22" t="s">
        <v>56</v>
      </c>
      <c r="O411" s="22"/>
      <c r="P411" s="26"/>
      <c r="Q411" s="22" t="s">
        <v>49</v>
      </c>
      <c r="R411" s="33" t="s">
        <v>46</v>
      </c>
      <c r="S411" s="40"/>
      <c r="T411" s="28"/>
      <c r="U411" s="34"/>
      <c r="V411" s="26">
        <v>5.0</v>
      </c>
    </row>
    <row r="412" hidden="1">
      <c r="A412" s="17">
        <v>411.0</v>
      </c>
      <c r="B412" s="71">
        <v>46048.0</v>
      </c>
      <c r="C412" s="22" t="s">
        <v>21</v>
      </c>
      <c r="D412" s="22" t="s">
        <v>24</v>
      </c>
      <c r="E412" s="98" t="s">
        <v>3507</v>
      </c>
      <c r="F412" s="33">
        <v>5.3217544E8</v>
      </c>
      <c r="G412" s="24" t="s">
        <v>495</v>
      </c>
      <c r="H412" s="109" t="s">
        <v>27</v>
      </c>
      <c r="I412" s="30" t="s">
        <v>3509</v>
      </c>
      <c r="J412" s="31" t="s">
        <v>123</v>
      </c>
      <c r="K412" s="22" t="s">
        <v>36</v>
      </c>
      <c r="L412" s="35"/>
      <c r="M412" s="25" t="s">
        <v>38</v>
      </c>
      <c r="N412" s="22" t="s">
        <v>56</v>
      </c>
      <c r="O412" s="22" t="s">
        <v>42</v>
      </c>
      <c r="P412" s="26"/>
      <c r="Q412" s="22" t="s">
        <v>44</v>
      </c>
      <c r="R412" s="33" t="s">
        <v>46</v>
      </c>
      <c r="S412" s="40"/>
      <c r="T412" s="28"/>
      <c r="U412" s="34"/>
      <c r="V412" s="26">
        <v>5.0</v>
      </c>
    </row>
    <row r="413" hidden="1">
      <c r="A413" s="17">
        <v>412.0</v>
      </c>
      <c r="B413" s="71">
        <v>46048.0</v>
      </c>
      <c r="C413" s="22" t="s">
        <v>58</v>
      </c>
      <c r="D413" s="22" t="s">
        <v>84</v>
      </c>
      <c r="E413" s="98" t="s">
        <v>3517</v>
      </c>
      <c r="F413" s="33">
        <v>5.5800655E8</v>
      </c>
      <c r="G413" s="31" t="s">
        <v>71</v>
      </c>
      <c r="H413" s="109" t="s">
        <v>27</v>
      </c>
      <c r="I413" s="30" t="s">
        <v>3520</v>
      </c>
      <c r="J413" s="98" t="s">
        <v>3521</v>
      </c>
      <c r="K413" s="22" t="s">
        <v>36</v>
      </c>
      <c r="L413" s="35">
        <v>0.6666666666666666</v>
      </c>
      <c r="M413" s="42" t="s">
        <v>88</v>
      </c>
      <c r="N413" s="22" t="s">
        <v>56</v>
      </c>
      <c r="O413" s="22" t="s">
        <v>42</v>
      </c>
      <c r="P413" s="26"/>
      <c r="Q413" s="22" t="s">
        <v>44</v>
      </c>
      <c r="R413" s="33" t="s">
        <v>68</v>
      </c>
      <c r="S413" s="40"/>
      <c r="T413" s="28"/>
      <c r="U413" s="68" t="s">
        <v>44</v>
      </c>
      <c r="V413" s="26">
        <v>5.0</v>
      </c>
    </row>
    <row r="414" hidden="1">
      <c r="A414" s="17">
        <v>413.0</v>
      </c>
      <c r="B414" s="71">
        <v>46048.0</v>
      </c>
      <c r="C414" s="22" t="s">
        <v>21</v>
      </c>
      <c r="D414" s="22" t="s">
        <v>92</v>
      </c>
      <c r="E414" s="98" t="s">
        <v>405</v>
      </c>
      <c r="F414" s="33">
        <v>5.67323468E8</v>
      </c>
      <c r="G414" s="98" t="s">
        <v>41</v>
      </c>
      <c r="H414" s="109" t="s">
        <v>27</v>
      </c>
      <c r="I414" s="30" t="s">
        <v>3528</v>
      </c>
      <c r="J414" s="98" t="s">
        <v>3530</v>
      </c>
      <c r="K414" s="22" t="s">
        <v>36</v>
      </c>
      <c r="L414" s="35">
        <v>0.6944444444444444</v>
      </c>
      <c r="M414" s="82" t="s">
        <v>208</v>
      </c>
      <c r="N414" s="22" t="s">
        <v>56</v>
      </c>
      <c r="O414" s="22" t="s">
        <v>42</v>
      </c>
      <c r="P414" s="26"/>
      <c r="Q414" s="22" t="s">
        <v>44</v>
      </c>
      <c r="R414" s="33" t="s">
        <v>68</v>
      </c>
      <c r="S414" s="40"/>
      <c r="T414" s="28"/>
      <c r="U414" s="68" t="s">
        <v>44</v>
      </c>
      <c r="V414" s="26">
        <v>5.0</v>
      </c>
    </row>
    <row r="415">
      <c r="A415" s="17">
        <v>414.0</v>
      </c>
      <c r="B415" s="71">
        <v>46048.0</v>
      </c>
      <c r="C415" s="17" t="s">
        <v>47</v>
      </c>
      <c r="D415" s="17" t="s">
        <v>48</v>
      </c>
      <c r="E415" s="30" t="s">
        <v>3535</v>
      </c>
      <c r="F415" s="39">
        <v>5.52401026E8</v>
      </c>
      <c r="G415" s="30" t="s">
        <v>41</v>
      </c>
      <c r="H415" s="118" t="s">
        <v>791</v>
      </c>
      <c r="I415" s="30" t="s">
        <v>3536</v>
      </c>
      <c r="J415" s="30" t="s">
        <v>2926</v>
      </c>
      <c r="K415" s="17" t="s">
        <v>36</v>
      </c>
      <c r="L415" s="35">
        <v>0.669224537037037</v>
      </c>
      <c r="M415" s="25" t="s">
        <v>55</v>
      </c>
      <c r="N415" s="17" t="s">
        <v>56</v>
      </c>
      <c r="O415" s="17"/>
      <c r="P415" s="26"/>
      <c r="Q415" s="17" t="s">
        <v>44</v>
      </c>
      <c r="R415" s="39" t="s">
        <v>46</v>
      </c>
      <c r="S415" s="40"/>
      <c r="T415" s="28"/>
      <c r="U415" s="68" t="s">
        <v>44</v>
      </c>
      <c r="V415" s="26">
        <v>5.0</v>
      </c>
    </row>
    <row r="416" hidden="1">
      <c r="A416" s="17">
        <v>415.0</v>
      </c>
      <c r="B416" s="71">
        <v>46048.0</v>
      </c>
      <c r="C416" s="22" t="s">
        <v>58</v>
      </c>
      <c r="D416" s="22" t="s">
        <v>57</v>
      </c>
      <c r="E416" s="98" t="s">
        <v>3542</v>
      </c>
      <c r="F416" s="33">
        <v>5.94249258E8</v>
      </c>
      <c r="G416" s="31" t="s">
        <v>71</v>
      </c>
      <c r="H416" s="109" t="s">
        <v>72</v>
      </c>
      <c r="I416" s="30" t="s">
        <v>3544</v>
      </c>
      <c r="J416" s="98" t="s">
        <v>3547</v>
      </c>
      <c r="K416" s="22" t="s">
        <v>36</v>
      </c>
      <c r="L416" s="35">
        <v>0.6747453703703704</v>
      </c>
      <c r="M416" s="25" t="s">
        <v>88</v>
      </c>
      <c r="N416" s="22" t="s">
        <v>56</v>
      </c>
      <c r="O416" s="22" t="s">
        <v>42</v>
      </c>
      <c r="P416" s="26"/>
      <c r="Q416" s="22" t="s">
        <v>44</v>
      </c>
      <c r="R416" s="33" t="s">
        <v>68</v>
      </c>
      <c r="S416" s="40"/>
      <c r="T416" s="28"/>
      <c r="U416" s="68" t="s">
        <v>44</v>
      </c>
      <c r="V416" s="26">
        <v>5.0</v>
      </c>
    </row>
    <row r="417" hidden="1">
      <c r="A417" s="17">
        <v>416.0</v>
      </c>
      <c r="B417" s="71">
        <v>46048.0</v>
      </c>
      <c r="C417" s="22" t="s">
        <v>58</v>
      </c>
      <c r="D417" s="22" t="s">
        <v>57</v>
      </c>
      <c r="E417" s="98" t="s">
        <v>3551</v>
      </c>
      <c r="F417" s="33">
        <v>5.40420951E8</v>
      </c>
      <c r="G417" s="31" t="s">
        <v>71</v>
      </c>
      <c r="H417" s="109" t="s">
        <v>72</v>
      </c>
      <c r="I417" s="30" t="s">
        <v>3553</v>
      </c>
      <c r="J417" s="98" t="s">
        <v>3547</v>
      </c>
      <c r="K417" s="22" t="s">
        <v>36</v>
      </c>
      <c r="L417" s="114">
        <v>0.4791666666666667</v>
      </c>
      <c r="M417" s="25" t="s">
        <v>88</v>
      </c>
      <c r="N417" s="22" t="s">
        <v>56</v>
      </c>
      <c r="O417" s="22" t="s">
        <v>42</v>
      </c>
      <c r="P417" s="26"/>
      <c r="Q417" s="22" t="s">
        <v>44</v>
      </c>
      <c r="R417" s="33" t="s">
        <v>68</v>
      </c>
      <c r="S417" s="40"/>
      <c r="T417" s="28"/>
      <c r="U417" s="34"/>
      <c r="V417" s="26">
        <v>5.0</v>
      </c>
    </row>
    <row r="418" hidden="1">
      <c r="A418" s="17">
        <v>417.0</v>
      </c>
      <c r="B418" s="71">
        <v>46048.0</v>
      </c>
      <c r="C418" s="22" t="s">
        <v>58</v>
      </c>
      <c r="D418" s="22" t="s">
        <v>57</v>
      </c>
      <c r="E418" s="98" t="s">
        <v>3556</v>
      </c>
      <c r="F418" s="33">
        <v>5.90033007E8</v>
      </c>
      <c r="G418" s="31" t="s">
        <v>120</v>
      </c>
      <c r="H418" s="109" t="s">
        <v>272</v>
      </c>
      <c r="I418" s="30" t="s">
        <v>3558</v>
      </c>
      <c r="J418" s="98" t="s">
        <v>1307</v>
      </c>
      <c r="K418" s="22" t="s">
        <v>36</v>
      </c>
      <c r="L418" s="35"/>
      <c r="M418" s="25" t="s">
        <v>88</v>
      </c>
      <c r="N418" s="22" t="s">
        <v>56</v>
      </c>
      <c r="O418" s="22" t="s">
        <v>42</v>
      </c>
      <c r="P418" s="26"/>
      <c r="Q418" s="22" t="s">
        <v>44</v>
      </c>
      <c r="R418" s="33" t="s">
        <v>68</v>
      </c>
      <c r="S418" s="40"/>
      <c r="T418" s="28"/>
      <c r="U418" s="34"/>
      <c r="V418" s="26">
        <v>5.0</v>
      </c>
    </row>
    <row r="419" hidden="1">
      <c r="A419" s="17">
        <v>418.0</v>
      </c>
      <c r="B419" s="71">
        <v>46048.0</v>
      </c>
      <c r="C419" s="22" t="s">
        <v>58</v>
      </c>
      <c r="D419" s="22" t="s">
        <v>84</v>
      </c>
      <c r="E419" s="33" t="s">
        <v>27</v>
      </c>
      <c r="F419" s="33" t="s">
        <v>27</v>
      </c>
      <c r="G419" s="98" t="s">
        <v>41</v>
      </c>
      <c r="H419" s="109" t="s">
        <v>3569</v>
      </c>
      <c r="I419" s="30" t="s">
        <v>3572</v>
      </c>
      <c r="J419" s="31" t="s">
        <v>123</v>
      </c>
      <c r="K419" s="22" t="s">
        <v>36</v>
      </c>
      <c r="L419" s="35"/>
      <c r="M419" s="42" t="s">
        <v>88</v>
      </c>
      <c r="N419" s="22" t="s">
        <v>56</v>
      </c>
      <c r="O419" s="22" t="s">
        <v>42</v>
      </c>
      <c r="P419" s="26"/>
      <c r="Q419" s="22" t="s">
        <v>49</v>
      </c>
      <c r="R419" s="33" t="s">
        <v>68</v>
      </c>
      <c r="S419" s="40"/>
      <c r="T419" s="28"/>
      <c r="U419" s="34"/>
      <c r="V419" s="26">
        <v>5.0</v>
      </c>
    </row>
    <row r="420" hidden="1">
      <c r="A420" s="17">
        <v>419.0</v>
      </c>
      <c r="B420" s="71">
        <v>46048.0</v>
      </c>
      <c r="C420" s="22" t="s">
        <v>21</v>
      </c>
      <c r="D420" s="22" t="s">
        <v>34</v>
      </c>
      <c r="E420" s="33" t="s">
        <v>27</v>
      </c>
      <c r="F420" s="33">
        <v>5.05564454E8</v>
      </c>
      <c r="G420" s="33" t="s">
        <v>27</v>
      </c>
      <c r="H420" s="109" t="s">
        <v>27</v>
      </c>
      <c r="I420" s="30" t="s">
        <v>2235</v>
      </c>
      <c r="J420" s="98" t="s">
        <v>1207</v>
      </c>
      <c r="K420" s="22" t="s">
        <v>36</v>
      </c>
      <c r="L420" s="35"/>
      <c r="M420" s="38" t="s">
        <v>51</v>
      </c>
      <c r="N420" s="22" t="s">
        <v>56</v>
      </c>
      <c r="O420" s="22" t="s">
        <v>42</v>
      </c>
      <c r="P420" s="26"/>
      <c r="Q420" s="22" t="s">
        <v>44</v>
      </c>
      <c r="R420" s="33" t="s">
        <v>68</v>
      </c>
      <c r="S420" s="40"/>
      <c r="T420" s="28"/>
      <c r="U420" s="34"/>
      <c r="V420" s="26">
        <v>5.0</v>
      </c>
    </row>
    <row r="421" hidden="1">
      <c r="A421" s="17">
        <v>420.0</v>
      </c>
      <c r="B421" s="71">
        <v>46048.0</v>
      </c>
      <c r="C421" s="22" t="s">
        <v>21</v>
      </c>
      <c r="D421" s="22" t="s">
        <v>24</v>
      </c>
      <c r="E421" s="98" t="s">
        <v>3581</v>
      </c>
      <c r="F421" s="33">
        <v>5.94997553E8</v>
      </c>
      <c r="G421" s="31" t="s">
        <v>71</v>
      </c>
      <c r="H421" s="109" t="s">
        <v>27</v>
      </c>
      <c r="I421" s="30" t="s">
        <v>3583</v>
      </c>
      <c r="J421" s="31" t="s">
        <v>123</v>
      </c>
      <c r="K421" s="22" t="s">
        <v>36</v>
      </c>
      <c r="L421" s="35"/>
      <c r="M421" s="25" t="s">
        <v>38</v>
      </c>
      <c r="N421" s="22" t="s">
        <v>56</v>
      </c>
      <c r="O421" s="22" t="s">
        <v>42</v>
      </c>
      <c r="P421" s="26"/>
      <c r="Q421" s="22" t="s">
        <v>44</v>
      </c>
      <c r="R421" s="33" t="s">
        <v>46</v>
      </c>
      <c r="S421" s="40"/>
      <c r="T421" s="28"/>
      <c r="U421" s="34"/>
      <c r="V421" s="26">
        <v>5.0</v>
      </c>
    </row>
    <row r="422" hidden="1">
      <c r="A422" s="17">
        <v>421.0</v>
      </c>
      <c r="B422" s="71">
        <v>46048.0</v>
      </c>
      <c r="C422" s="22" t="s">
        <v>21</v>
      </c>
      <c r="D422" s="22" t="s">
        <v>24</v>
      </c>
      <c r="E422" s="98" t="s">
        <v>23</v>
      </c>
      <c r="F422" s="33">
        <v>5.36360637E8</v>
      </c>
      <c r="G422" s="98" t="s">
        <v>41</v>
      </c>
      <c r="H422" s="109" t="s">
        <v>27</v>
      </c>
      <c r="I422" s="30" t="s">
        <v>3588</v>
      </c>
      <c r="J422" s="31" t="s">
        <v>123</v>
      </c>
      <c r="K422" s="22" t="s">
        <v>36</v>
      </c>
      <c r="L422" s="35">
        <v>0.4375</v>
      </c>
      <c r="M422" s="25" t="s">
        <v>38</v>
      </c>
      <c r="N422" s="22" t="s">
        <v>56</v>
      </c>
      <c r="O422" s="22" t="s">
        <v>42</v>
      </c>
      <c r="P422" s="26"/>
      <c r="Q422" s="22" t="s">
        <v>44</v>
      </c>
      <c r="R422" s="33" t="s">
        <v>46</v>
      </c>
      <c r="S422" s="40"/>
      <c r="T422" s="28"/>
      <c r="U422" s="34"/>
      <c r="V422" s="26">
        <v>5.0</v>
      </c>
    </row>
    <row r="423" hidden="1">
      <c r="A423" s="17">
        <v>422.0</v>
      </c>
      <c r="B423" s="71">
        <v>46049.0</v>
      </c>
      <c r="C423" s="22" t="s">
        <v>58</v>
      </c>
      <c r="D423" s="22" t="s">
        <v>84</v>
      </c>
      <c r="E423" s="33" t="s">
        <v>27</v>
      </c>
      <c r="F423" s="33">
        <v>5.07128038E8</v>
      </c>
      <c r="G423" s="33" t="s">
        <v>27</v>
      </c>
      <c r="H423" s="109" t="s">
        <v>27</v>
      </c>
      <c r="I423" s="30" t="s">
        <v>554</v>
      </c>
      <c r="J423" s="31" t="s">
        <v>123</v>
      </c>
      <c r="K423" s="22" t="s">
        <v>36</v>
      </c>
      <c r="L423" s="35">
        <v>0.3680555555555556</v>
      </c>
      <c r="M423" s="42" t="s">
        <v>88</v>
      </c>
      <c r="N423" s="22" t="s">
        <v>56</v>
      </c>
      <c r="O423" s="22" t="s">
        <v>42</v>
      </c>
      <c r="P423" s="26"/>
      <c r="Q423" s="22" t="s">
        <v>49</v>
      </c>
      <c r="R423" s="33" t="s">
        <v>68</v>
      </c>
      <c r="S423" s="40"/>
      <c r="T423" s="28"/>
      <c r="U423" s="34"/>
      <c r="V423" s="26">
        <v>5.0</v>
      </c>
    </row>
    <row r="424">
      <c r="A424" s="17">
        <v>423.0</v>
      </c>
      <c r="B424" s="71">
        <v>46049.0</v>
      </c>
      <c r="C424" s="22" t="s">
        <v>47</v>
      </c>
      <c r="D424" s="22" t="s">
        <v>48</v>
      </c>
      <c r="E424" s="98" t="s">
        <v>463</v>
      </c>
      <c r="F424" s="33">
        <v>5.80460781E8</v>
      </c>
      <c r="G424" s="98" t="s">
        <v>41</v>
      </c>
      <c r="H424" s="109" t="s">
        <v>227</v>
      </c>
      <c r="I424" s="30" t="s">
        <v>3597</v>
      </c>
      <c r="J424" s="30" t="s">
        <v>3598</v>
      </c>
      <c r="K424" s="22" t="s">
        <v>36</v>
      </c>
      <c r="L424" s="35">
        <v>0.4027777777777778</v>
      </c>
      <c r="M424" s="25" t="s">
        <v>55</v>
      </c>
      <c r="N424" s="22" t="s">
        <v>56</v>
      </c>
      <c r="O424" s="22"/>
      <c r="P424" s="26"/>
      <c r="Q424" s="22" t="s">
        <v>49</v>
      </c>
      <c r="R424" s="33" t="s">
        <v>46</v>
      </c>
      <c r="S424" s="40"/>
      <c r="T424" s="28"/>
      <c r="U424" s="34"/>
      <c r="V424" s="26">
        <v>5.0</v>
      </c>
    </row>
    <row r="425" hidden="1">
      <c r="A425" s="17">
        <v>424.0</v>
      </c>
      <c r="B425" s="71">
        <v>46049.0</v>
      </c>
      <c r="C425" s="22" t="s">
        <v>58</v>
      </c>
      <c r="D425" s="22" t="s">
        <v>84</v>
      </c>
      <c r="E425" s="33" t="s">
        <v>27</v>
      </c>
      <c r="F425" s="39">
        <v>5.03637209E8</v>
      </c>
      <c r="G425" s="31" t="s">
        <v>71</v>
      </c>
      <c r="H425" s="109" t="s">
        <v>27</v>
      </c>
      <c r="I425" s="30" t="s">
        <v>3603</v>
      </c>
      <c r="J425" s="31" t="s">
        <v>123</v>
      </c>
      <c r="K425" s="22" t="s">
        <v>321</v>
      </c>
      <c r="L425" s="35">
        <v>0.4375</v>
      </c>
      <c r="M425" s="25" t="s">
        <v>88</v>
      </c>
      <c r="N425" s="22" t="s">
        <v>56</v>
      </c>
      <c r="O425" s="22" t="s">
        <v>42</v>
      </c>
      <c r="P425" s="26"/>
      <c r="Q425" s="22" t="s">
        <v>49</v>
      </c>
      <c r="R425" s="33" t="s">
        <v>68</v>
      </c>
      <c r="S425" s="40"/>
      <c r="T425" s="28"/>
      <c r="U425" s="34"/>
      <c r="V425" s="26">
        <v>5.0</v>
      </c>
    </row>
    <row r="426" hidden="1">
      <c r="A426" s="17">
        <v>425.0</v>
      </c>
      <c r="B426" s="71">
        <v>46049.0</v>
      </c>
      <c r="C426" s="22" t="s">
        <v>21</v>
      </c>
      <c r="D426" s="22" t="s">
        <v>22</v>
      </c>
      <c r="E426" s="98" t="s">
        <v>3610</v>
      </c>
      <c r="F426" s="33">
        <v>5.61463332E8</v>
      </c>
      <c r="G426" s="98" t="s">
        <v>3612</v>
      </c>
      <c r="H426" s="109" t="s">
        <v>27</v>
      </c>
      <c r="I426" s="30" t="s">
        <v>3613</v>
      </c>
      <c r="J426" s="31" t="s">
        <v>123</v>
      </c>
      <c r="K426" s="22" t="s">
        <v>36</v>
      </c>
      <c r="L426" s="114">
        <v>0.4791666666666667</v>
      </c>
      <c r="M426" s="38" t="s">
        <v>125</v>
      </c>
      <c r="N426" s="22" t="s">
        <v>56</v>
      </c>
      <c r="O426" s="22" t="s">
        <v>42</v>
      </c>
      <c r="P426" s="26"/>
      <c r="Q426" s="22" t="s">
        <v>49</v>
      </c>
      <c r="R426" s="33" t="s">
        <v>68</v>
      </c>
      <c r="S426" s="40"/>
      <c r="T426" s="28"/>
      <c r="U426" s="34"/>
      <c r="V426" s="26">
        <v>5.0</v>
      </c>
    </row>
    <row r="427" hidden="1">
      <c r="A427" s="17">
        <v>426.0</v>
      </c>
      <c r="B427" s="71">
        <v>46049.0</v>
      </c>
      <c r="C427" s="22" t="s">
        <v>58</v>
      </c>
      <c r="D427" s="22" t="s">
        <v>84</v>
      </c>
      <c r="E427" s="33" t="s">
        <v>27</v>
      </c>
      <c r="F427" s="33">
        <v>5.36769416E8</v>
      </c>
      <c r="G427" s="33" t="s">
        <v>27</v>
      </c>
      <c r="H427" s="109" t="s">
        <v>27</v>
      </c>
      <c r="I427" s="30" t="s">
        <v>3619</v>
      </c>
      <c r="J427" s="31" t="s">
        <v>123</v>
      </c>
      <c r="K427" s="22" t="s">
        <v>36</v>
      </c>
      <c r="L427" s="35"/>
      <c r="M427" s="42" t="s">
        <v>88</v>
      </c>
      <c r="N427" s="22" t="s">
        <v>56</v>
      </c>
      <c r="O427" s="22" t="s">
        <v>42</v>
      </c>
      <c r="P427" s="26"/>
      <c r="Q427" s="22" t="s">
        <v>49</v>
      </c>
      <c r="R427" s="33" t="s">
        <v>68</v>
      </c>
      <c r="S427" s="40"/>
      <c r="T427" s="28"/>
      <c r="U427" s="34"/>
      <c r="V427" s="26">
        <v>5.0</v>
      </c>
    </row>
    <row r="428" hidden="1">
      <c r="A428" s="17">
        <v>427.0</v>
      </c>
      <c r="B428" s="71">
        <v>46049.0</v>
      </c>
      <c r="C428" s="22" t="s">
        <v>21</v>
      </c>
      <c r="D428" s="22" t="s">
        <v>24</v>
      </c>
      <c r="E428" s="98" t="s">
        <v>3627</v>
      </c>
      <c r="F428" s="33">
        <v>5.55344577E8</v>
      </c>
      <c r="G428" s="98" t="s">
        <v>319</v>
      </c>
      <c r="H428" s="22" t="s">
        <v>27</v>
      </c>
      <c r="I428" s="30" t="s">
        <v>3629</v>
      </c>
      <c r="J428" s="31" t="s">
        <v>123</v>
      </c>
      <c r="K428" s="22" t="s">
        <v>36</v>
      </c>
      <c r="L428" s="35"/>
      <c r="M428" s="25" t="s">
        <v>38</v>
      </c>
      <c r="N428" s="22" t="s">
        <v>56</v>
      </c>
      <c r="O428" s="22" t="s">
        <v>42</v>
      </c>
      <c r="P428" s="26"/>
      <c r="Q428" s="22" t="s">
        <v>49</v>
      </c>
      <c r="R428" s="33" t="s">
        <v>46</v>
      </c>
      <c r="S428" s="40"/>
      <c r="T428" s="28"/>
      <c r="U428" s="34"/>
      <c r="V428" s="26">
        <v>5.0</v>
      </c>
    </row>
    <row r="429">
      <c r="A429" s="17">
        <v>428.0</v>
      </c>
      <c r="B429" s="71">
        <v>46049.0</v>
      </c>
      <c r="C429" s="22" t="s">
        <v>47</v>
      </c>
      <c r="D429" s="22" t="s">
        <v>48</v>
      </c>
      <c r="E429" s="183" t="s">
        <v>3635</v>
      </c>
      <c r="F429" s="33" t="s">
        <v>27</v>
      </c>
      <c r="G429" s="98" t="s">
        <v>41</v>
      </c>
      <c r="H429" s="109" t="s">
        <v>294</v>
      </c>
      <c r="I429" s="30" t="s">
        <v>3636</v>
      </c>
      <c r="J429" s="30" t="s">
        <v>3637</v>
      </c>
      <c r="K429" s="22" t="s">
        <v>78</v>
      </c>
      <c r="L429" s="35"/>
      <c r="M429" s="25" t="s">
        <v>55</v>
      </c>
      <c r="N429" s="22" t="s">
        <v>56</v>
      </c>
      <c r="O429" s="22"/>
      <c r="P429" s="26"/>
      <c r="Q429" s="22" t="s">
        <v>49</v>
      </c>
      <c r="R429" s="33" t="s">
        <v>46</v>
      </c>
      <c r="S429" s="40"/>
      <c r="T429" s="28"/>
      <c r="U429" s="34"/>
      <c r="V429" s="26">
        <v>5.0</v>
      </c>
    </row>
    <row r="430">
      <c r="A430" s="17">
        <v>429.0</v>
      </c>
      <c r="B430" s="71">
        <v>46049.0</v>
      </c>
      <c r="C430" s="22" t="s">
        <v>47</v>
      </c>
      <c r="D430" s="22" t="s">
        <v>48</v>
      </c>
      <c r="E430" s="33" t="s">
        <v>3644</v>
      </c>
      <c r="F430" s="33" t="s">
        <v>27</v>
      </c>
      <c r="G430" s="24" t="s">
        <v>79</v>
      </c>
      <c r="H430" s="109" t="s">
        <v>451</v>
      </c>
      <c r="I430" s="30" t="s">
        <v>3645</v>
      </c>
      <c r="J430" s="30" t="s">
        <v>3646</v>
      </c>
      <c r="K430" s="22" t="s">
        <v>78</v>
      </c>
      <c r="L430" s="35"/>
      <c r="M430" s="25" t="s">
        <v>55</v>
      </c>
      <c r="N430" s="22" t="s">
        <v>56</v>
      </c>
      <c r="O430" s="22"/>
      <c r="P430" s="26"/>
      <c r="Q430" s="22" t="s">
        <v>49</v>
      </c>
      <c r="R430" s="33" t="s">
        <v>46</v>
      </c>
      <c r="S430" s="40"/>
      <c r="T430" s="28"/>
      <c r="U430" s="34"/>
      <c r="V430" s="26">
        <v>5.0</v>
      </c>
    </row>
    <row r="431" hidden="1">
      <c r="A431" s="17">
        <v>430.0</v>
      </c>
      <c r="B431" s="71">
        <v>46049.0</v>
      </c>
      <c r="C431" s="22" t="s">
        <v>58</v>
      </c>
      <c r="D431" s="22" t="s">
        <v>84</v>
      </c>
      <c r="E431" s="98" t="s">
        <v>845</v>
      </c>
      <c r="F431" s="39">
        <v>5.03032293E8</v>
      </c>
      <c r="G431" s="24" t="s">
        <v>267</v>
      </c>
      <c r="H431" s="109" t="s">
        <v>329</v>
      </c>
      <c r="I431" s="30" t="s">
        <v>3653</v>
      </c>
      <c r="J431" s="98" t="s">
        <v>3655</v>
      </c>
      <c r="K431" s="22" t="s">
        <v>36</v>
      </c>
      <c r="L431" s="35"/>
      <c r="M431" s="42" t="s">
        <v>88</v>
      </c>
      <c r="N431" s="22" t="s">
        <v>56</v>
      </c>
      <c r="O431" s="22" t="s">
        <v>42</v>
      </c>
      <c r="P431" s="26"/>
      <c r="Q431" s="22" t="s">
        <v>49</v>
      </c>
      <c r="R431" s="33" t="s">
        <v>68</v>
      </c>
      <c r="S431" s="40"/>
      <c r="T431" s="28"/>
      <c r="U431" s="34"/>
      <c r="V431" s="26">
        <v>5.0</v>
      </c>
    </row>
    <row r="432" hidden="1">
      <c r="A432" s="17">
        <v>431.0</v>
      </c>
      <c r="B432" s="71">
        <v>46049.0</v>
      </c>
      <c r="C432" s="22" t="s">
        <v>21</v>
      </c>
      <c r="D432" s="22" t="s">
        <v>34</v>
      </c>
      <c r="E432" s="98" t="s">
        <v>3663</v>
      </c>
      <c r="F432" s="33">
        <v>5.75758914E8</v>
      </c>
      <c r="G432" s="98" t="s">
        <v>41</v>
      </c>
      <c r="H432" s="33" t="s">
        <v>27</v>
      </c>
      <c r="I432" s="30" t="s">
        <v>3666</v>
      </c>
      <c r="J432" s="98" t="s">
        <v>500</v>
      </c>
      <c r="K432" s="22" t="s">
        <v>36</v>
      </c>
      <c r="L432" s="35"/>
      <c r="M432" s="38" t="s">
        <v>51</v>
      </c>
      <c r="N432" s="22" t="s">
        <v>56</v>
      </c>
      <c r="O432" s="22" t="s">
        <v>42</v>
      </c>
      <c r="P432" s="26"/>
      <c r="Q432" s="22" t="s">
        <v>49</v>
      </c>
      <c r="R432" s="33" t="s">
        <v>68</v>
      </c>
      <c r="S432" s="40"/>
      <c r="T432" s="28"/>
      <c r="U432" s="34"/>
      <c r="V432" s="26">
        <v>5.0</v>
      </c>
    </row>
    <row r="433" hidden="1">
      <c r="A433" s="17">
        <v>432.0</v>
      </c>
      <c r="B433" s="71">
        <v>46049.0</v>
      </c>
      <c r="C433" s="22" t="s">
        <v>21</v>
      </c>
      <c r="D433" s="22" t="s">
        <v>22</v>
      </c>
      <c r="E433" s="98" t="s">
        <v>3675</v>
      </c>
      <c r="F433" s="33">
        <v>5.5115726E7</v>
      </c>
      <c r="G433" s="98" t="s">
        <v>3676</v>
      </c>
      <c r="H433" s="33" t="s">
        <v>27</v>
      </c>
      <c r="I433" s="30" t="s">
        <v>3679</v>
      </c>
      <c r="J433" s="31" t="s">
        <v>123</v>
      </c>
      <c r="K433" s="22" t="s">
        <v>36</v>
      </c>
      <c r="L433" s="35">
        <v>0.4861111111111111</v>
      </c>
      <c r="M433" s="38" t="s">
        <v>125</v>
      </c>
      <c r="N433" s="22" t="s">
        <v>56</v>
      </c>
      <c r="O433" s="22" t="s">
        <v>42</v>
      </c>
      <c r="P433" s="26"/>
      <c r="Q433" s="22" t="s">
        <v>49</v>
      </c>
      <c r="R433" s="33" t="s">
        <v>68</v>
      </c>
      <c r="S433" s="40"/>
      <c r="T433" s="28"/>
      <c r="U433" s="34"/>
      <c r="V433" s="26">
        <v>5.0</v>
      </c>
    </row>
    <row r="434" hidden="1">
      <c r="A434" s="17">
        <v>433.0</v>
      </c>
      <c r="B434" s="71">
        <v>46049.0</v>
      </c>
      <c r="C434" s="22" t="s">
        <v>21</v>
      </c>
      <c r="D434" s="22" t="s">
        <v>57</v>
      </c>
      <c r="E434" s="98" t="s">
        <v>3686</v>
      </c>
      <c r="F434" s="33">
        <v>5.63045622E8</v>
      </c>
      <c r="G434" s="109" t="s">
        <v>27</v>
      </c>
      <c r="H434" s="109" t="s">
        <v>27</v>
      </c>
      <c r="I434" s="30" t="s">
        <v>3690</v>
      </c>
      <c r="J434" s="31" t="s">
        <v>123</v>
      </c>
      <c r="K434" s="22" t="s">
        <v>36</v>
      </c>
      <c r="L434" s="35">
        <v>0.48194444444444445</v>
      </c>
      <c r="M434" s="25" t="s">
        <v>38</v>
      </c>
      <c r="N434" s="22" t="s">
        <v>56</v>
      </c>
      <c r="O434" s="22" t="s">
        <v>42</v>
      </c>
      <c r="P434" s="26"/>
      <c r="Q434" s="22" t="s">
        <v>49</v>
      </c>
      <c r="R434" s="33" t="s">
        <v>68</v>
      </c>
      <c r="S434" s="40"/>
      <c r="T434" s="28"/>
      <c r="U434" s="68" t="s">
        <v>44</v>
      </c>
      <c r="V434" s="26">
        <v>5.0</v>
      </c>
    </row>
    <row r="435" hidden="1">
      <c r="A435" s="17">
        <v>434.0</v>
      </c>
      <c r="B435" s="71">
        <v>46049.0</v>
      </c>
      <c r="C435" s="22" t="s">
        <v>21</v>
      </c>
      <c r="D435" s="22" t="s">
        <v>34</v>
      </c>
      <c r="E435" s="98" t="s">
        <v>3700</v>
      </c>
      <c r="F435" s="33">
        <v>5.55550719E8</v>
      </c>
      <c r="G435" s="98" t="s">
        <v>41</v>
      </c>
      <c r="H435" s="33" t="s">
        <v>27</v>
      </c>
      <c r="I435" s="30" t="s">
        <v>3702</v>
      </c>
      <c r="J435" s="98" t="s">
        <v>500</v>
      </c>
      <c r="K435" s="22" t="s">
        <v>36</v>
      </c>
      <c r="L435" s="35">
        <v>0.4930555555555556</v>
      </c>
      <c r="M435" s="38" t="s">
        <v>51</v>
      </c>
      <c r="N435" s="22" t="s">
        <v>56</v>
      </c>
      <c r="O435" s="22" t="s">
        <v>42</v>
      </c>
      <c r="P435" s="26"/>
      <c r="Q435" s="22" t="s">
        <v>49</v>
      </c>
      <c r="R435" s="33" t="s">
        <v>68</v>
      </c>
      <c r="S435" s="40"/>
      <c r="T435" s="28"/>
      <c r="U435" s="34"/>
      <c r="V435" s="26">
        <v>5.0</v>
      </c>
    </row>
    <row r="436" hidden="1">
      <c r="A436" s="17">
        <v>435.0</v>
      </c>
      <c r="B436" s="71">
        <v>46049.0</v>
      </c>
      <c r="C436" s="22" t="s">
        <v>21</v>
      </c>
      <c r="D436" s="22" t="s">
        <v>24</v>
      </c>
      <c r="E436" s="98" t="s">
        <v>1339</v>
      </c>
      <c r="F436" s="33">
        <v>5.44533116E8</v>
      </c>
      <c r="G436" s="98" t="s">
        <v>41</v>
      </c>
      <c r="H436" s="33" t="s">
        <v>27</v>
      </c>
      <c r="I436" s="30" t="s">
        <v>3712</v>
      </c>
      <c r="J436" s="31" t="s">
        <v>123</v>
      </c>
      <c r="K436" s="22" t="s">
        <v>36</v>
      </c>
      <c r="L436" s="35"/>
      <c r="M436" s="25" t="s">
        <v>38</v>
      </c>
      <c r="N436" s="22" t="s">
        <v>56</v>
      </c>
      <c r="O436" s="22" t="s">
        <v>42</v>
      </c>
      <c r="P436" s="26"/>
      <c r="Q436" s="22" t="s">
        <v>49</v>
      </c>
      <c r="R436" s="33" t="s">
        <v>46</v>
      </c>
      <c r="S436" s="40"/>
      <c r="T436" s="28"/>
      <c r="U436" s="34"/>
      <c r="V436" s="26">
        <v>5.0</v>
      </c>
    </row>
    <row r="437" hidden="1">
      <c r="A437" s="17">
        <v>436.0</v>
      </c>
      <c r="B437" s="71">
        <v>46049.0</v>
      </c>
      <c r="C437" s="22" t="s">
        <v>21</v>
      </c>
      <c r="D437" s="22" t="s">
        <v>22</v>
      </c>
      <c r="E437" s="98" t="s">
        <v>3716</v>
      </c>
      <c r="F437" s="33">
        <v>5.04827345E8</v>
      </c>
      <c r="G437" s="98" t="s">
        <v>2083</v>
      </c>
      <c r="H437" s="22" t="s">
        <v>27</v>
      </c>
      <c r="I437" s="30" t="s">
        <v>3717</v>
      </c>
      <c r="J437" s="31" t="s">
        <v>123</v>
      </c>
      <c r="K437" s="22" t="s">
        <v>36</v>
      </c>
      <c r="L437" s="35">
        <v>0.5479166666666667</v>
      </c>
      <c r="M437" s="38" t="s">
        <v>1389</v>
      </c>
      <c r="N437" s="22" t="s">
        <v>56</v>
      </c>
      <c r="O437" s="22" t="s">
        <v>42</v>
      </c>
      <c r="P437" s="26"/>
      <c r="Q437" s="22" t="s">
        <v>49</v>
      </c>
      <c r="R437" s="33" t="s">
        <v>68</v>
      </c>
      <c r="S437" s="40"/>
      <c r="T437" s="28"/>
      <c r="U437" s="68" t="s">
        <v>49</v>
      </c>
      <c r="V437" s="26">
        <v>5.0</v>
      </c>
    </row>
    <row r="438" hidden="1">
      <c r="A438" s="17">
        <v>437.0</v>
      </c>
      <c r="B438" s="71">
        <v>46049.0</v>
      </c>
      <c r="C438" s="22" t="s">
        <v>58</v>
      </c>
      <c r="D438" s="22" t="s">
        <v>84</v>
      </c>
      <c r="E438" s="33" t="s">
        <v>27</v>
      </c>
      <c r="F438" s="33">
        <v>5.71693365E8</v>
      </c>
      <c r="G438" s="33" t="s">
        <v>27</v>
      </c>
      <c r="H438" s="33" t="s">
        <v>27</v>
      </c>
      <c r="I438" s="30" t="s">
        <v>3725</v>
      </c>
      <c r="J438" s="98" t="s">
        <v>3726</v>
      </c>
      <c r="K438" s="22" t="s">
        <v>36</v>
      </c>
      <c r="L438" s="88">
        <v>0.4361111111111111</v>
      </c>
      <c r="M438" s="42" t="s">
        <v>88</v>
      </c>
      <c r="N438" s="22" t="s">
        <v>56</v>
      </c>
      <c r="O438" s="22" t="s">
        <v>42</v>
      </c>
      <c r="P438" s="26"/>
      <c r="Q438" s="22" t="s">
        <v>49</v>
      </c>
      <c r="R438" s="33" t="s">
        <v>68</v>
      </c>
      <c r="S438" s="40"/>
      <c r="T438" s="28"/>
      <c r="U438" s="89" t="s">
        <v>44</v>
      </c>
      <c r="V438" s="26">
        <v>5.0</v>
      </c>
    </row>
    <row r="439" hidden="1">
      <c r="A439" s="17">
        <v>438.0</v>
      </c>
      <c r="B439" s="71">
        <v>46049.0</v>
      </c>
      <c r="C439" s="22" t="s">
        <v>58</v>
      </c>
      <c r="D439" s="22" t="s">
        <v>84</v>
      </c>
      <c r="E439" s="33" t="s">
        <v>27</v>
      </c>
      <c r="F439" s="33">
        <v>5.5166984E8</v>
      </c>
      <c r="G439" s="33" t="s">
        <v>27</v>
      </c>
      <c r="H439" s="33" t="s">
        <v>27</v>
      </c>
      <c r="I439" s="30" t="s">
        <v>554</v>
      </c>
      <c r="J439" s="31" t="s">
        <v>123</v>
      </c>
      <c r="K439" s="22" t="s">
        <v>36</v>
      </c>
      <c r="L439" s="35"/>
      <c r="M439" s="42" t="s">
        <v>88</v>
      </c>
      <c r="N439" s="22" t="s">
        <v>56</v>
      </c>
      <c r="O439" s="22" t="s">
        <v>42</v>
      </c>
      <c r="P439" s="26"/>
      <c r="Q439" s="22" t="s">
        <v>49</v>
      </c>
      <c r="R439" s="33" t="s">
        <v>68</v>
      </c>
      <c r="S439" s="40"/>
      <c r="T439" s="28"/>
      <c r="U439" s="34"/>
      <c r="V439" s="26">
        <v>5.0</v>
      </c>
    </row>
    <row r="440" hidden="1">
      <c r="A440" s="17">
        <v>439.0</v>
      </c>
      <c r="B440" s="71">
        <v>46049.0</v>
      </c>
      <c r="C440" s="22" t="s">
        <v>21</v>
      </c>
      <c r="D440" s="22" t="s">
        <v>22</v>
      </c>
      <c r="E440" s="33" t="s">
        <v>27</v>
      </c>
      <c r="F440" s="33">
        <v>5.48890937E8</v>
      </c>
      <c r="G440" s="98" t="s">
        <v>3738</v>
      </c>
      <c r="H440" s="33" t="s">
        <v>27</v>
      </c>
      <c r="I440" s="30" t="s">
        <v>3739</v>
      </c>
      <c r="J440" s="31" t="s">
        <v>123</v>
      </c>
      <c r="K440" s="22" t="s">
        <v>36</v>
      </c>
      <c r="L440" s="35">
        <v>0.6208333333333333</v>
      </c>
      <c r="M440" s="38" t="s">
        <v>125</v>
      </c>
      <c r="N440" s="22" t="s">
        <v>56</v>
      </c>
      <c r="O440" s="22" t="s">
        <v>42</v>
      </c>
      <c r="P440" s="26"/>
      <c r="Q440" s="22" t="s">
        <v>49</v>
      </c>
      <c r="R440" s="33" t="s">
        <v>68</v>
      </c>
      <c r="S440" s="40"/>
      <c r="T440" s="28"/>
      <c r="U440" s="68" t="s">
        <v>44</v>
      </c>
      <c r="V440" s="26">
        <v>5.0</v>
      </c>
    </row>
    <row r="441">
      <c r="A441" s="17">
        <v>440.0</v>
      </c>
      <c r="B441" s="71">
        <v>46049.0</v>
      </c>
      <c r="C441" s="22" t="s">
        <v>47</v>
      </c>
      <c r="D441" s="22" t="s">
        <v>138</v>
      </c>
      <c r="E441" s="98" t="s">
        <v>3742</v>
      </c>
      <c r="F441" s="33">
        <v>5.34198888E8</v>
      </c>
      <c r="G441" s="31" t="s">
        <v>71</v>
      </c>
      <c r="H441" s="33" t="s">
        <v>163</v>
      </c>
      <c r="I441" s="185" t="s">
        <v>3743</v>
      </c>
      <c r="J441" s="24" t="s">
        <v>3745</v>
      </c>
      <c r="K441" s="22" t="s">
        <v>148</v>
      </c>
      <c r="L441" s="35"/>
      <c r="M441" s="20" t="s">
        <v>183</v>
      </c>
      <c r="N441" s="17" t="s">
        <v>56</v>
      </c>
      <c r="O441" s="22"/>
      <c r="P441" s="26"/>
      <c r="Q441" s="22" t="s">
        <v>49</v>
      </c>
      <c r="R441" s="33" t="s">
        <v>46</v>
      </c>
      <c r="S441" s="40"/>
      <c r="T441" s="28"/>
      <c r="U441" s="34"/>
      <c r="V441" s="26">
        <v>5.0</v>
      </c>
    </row>
    <row r="442">
      <c r="A442" s="17">
        <v>441.0</v>
      </c>
      <c r="B442" s="71">
        <v>46049.0</v>
      </c>
      <c r="C442" s="22" t="s">
        <v>47</v>
      </c>
      <c r="D442" s="22" t="s">
        <v>138</v>
      </c>
      <c r="E442" s="98" t="s">
        <v>3752</v>
      </c>
      <c r="F442" s="33">
        <v>5.65635296E8</v>
      </c>
      <c r="G442" s="98" t="s">
        <v>41</v>
      </c>
      <c r="H442" s="33" t="s">
        <v>3753</v>
      </c>
      <c r="I442" s="30" t="s">
        <v>3754</v>
      </c>
      <c r="J442" s="24" t="s">
        <v>3757</v>
      </c>
      <c r="K442" s="22" t="s">
        <v>148</v>
      </c>
      <c r="L442" s="35"/>
      <c r="M442" s="20" t="s">
        <v>3759</v>
      </c>
      <c r="N442" s="17" t="s">
        <v>56</v>
      </c>
      <c r="O442" s="22"/>
      <c r="P442" s="26"/>
      <c r="Q442" s="22" t="s">
        <v>49</v>
      </c>
      <c r="R442" s="33" t="s">
        <v>46</v>
      </c>
      <c r="S442" s="40"/>
      <c r="T442" s="28"/>
      <c r="U442" s="34"/>
      <c r="V442" s="26">
        <v>5.0</v>
      </c>
    </row>
    <row r="443">
      <c r="A443" s="17">
        <v>442.0</v>
      </c>
      <c r="B443" s="71">
        <v>46049.0</v>
      </c>
      <c r="C443" s="22" t="s">
        <v>47</v>
      </c>
      <c r="D443" s="22" t="s">
        <v>138</v>
      </c>
      <c r="E443" s="33" t="s">
        <v>3097</v>
      </c>
      <c r="F443" s="33">
        <v>5.58546777E8</v>
      </c>
      <c r="G443" s="24" t="s">
        <v>79</v>
      </c>
      <c r="H443" s="33" t="s">
        <v>3767</v>
      </c>
      <c r="I443" s="30" t="s">
        <v>3768</v>
      </c>
      <c r="J443" s="24" t="s">
        <v>3770</v>
      </c>
      <c r="K443" s="22" t="s">
        <v>148</v>
      </c>
      <c r="L443" s="35"/>
      <c r="M443" s="20" t="s">
        <v>713</v>
      </c>
      <c r="N443" s="22" t="s">
        <v>56</v>
      </c>
      <c r="O443" s="22"/>
      <c r="P443" s="26"/>
      <c r="Q443" s="22" t="s">
        <v>49</v>
      </c>
      <c r="R443" s="33" t="s">
        <v>46</v>
      </c>
      <c r="S443" s="40"/>
      <c r="T443" s="28"/>
      <c r="U443" s="68" t="s">
        <v>44</v>
      </c>
      <c r="V443" s="26">
        <v>5.0</v>
      </c>
    </row>
    <row r="444">
      <c r="A444" s="17">
        <v>443.0</v>
      </c>
      <c r="B444" s="71">
        <v>46049.0</v>
      </c>
      <c r="C444" s="22" t="s">
        <v>47</v>
      </c>
      <c r="D444" s="22" t="s">
        <v>138</v>
      </c>
      <c r="E444" s="33" t="s">
        <v>3777</v>
      </c>
      <c r="F444" s="33">
        <v>5.95043461E8</v>
      </c>
      <c r="G444" s="98" t="s">
        <v>41</v>
      </c>
      <c r="H444" s="39" t="s">
        <v>3778</v>
      </c>
      <c r="I444" s="30" t="s">
        <v>3779</v>
      </c>
      <c r="J444" s="24" t="s">
        <v>3780</v>
      </c>
      <c r="K444" s="22" t="s">
        <v>148</v>
      </c>
      <c r="L444" s="35"/>
      <c r="M444" s="20" t="s">
        <v>346</v>
      </c>
      <c r="N444" s="17" t="s">
        <v>56</v>
      </c>
      <c r="O444" s="22"/>
      <c r="P444" s="26"/>
      <c r="Q444" s="22" t="s">
        <v>49</v>
      </c>
      <c r="R444" s="33" t="s">
        <v>46</v>
      </c>
      <c r="S444" s="40"/>
      <c r="T444" s="28"/>
      <c r="U444" s="34"/>
      <c r="V444" s="26">
        <v>5.0</v>
      </c>
    </row>
    <row r="445" hidden="1">
      <c r="A445" s="17">
        <v>444.0</v>
      </c>
      <c r="B445" s="71">
        <v>46050.0</v>
      </c>
      <c r="C445" s="22" t="s">
        <v>58</v>
      </c>
      <c r="D445" s="22" t="s">
        <v>84</v>
      </c>
      <c r="E445" s="33" t="s">
        <v>27</v>
      </c>
      <c r="F445" s="33">
        <v>5.49658016E8</v>
      </c>
      <c r="G445" s="33" t="s">
        <v>27</v>
      </c>
      <c r="H445" s="33" t="s">
        <v>27</v>
      </c>
      <c r="I445" s="30" t="s">
        <v>554</v>
      </c>
      <c r="J445" s="31" t="s">
        <v>123</v>
      </c>
      <c r="K445" s="22" t="s">
        <v>36</v>
      </c>
      <c r="L445" s="35">
        <v>0.625</v>
      </c>
      <c r="M445" s="42" t="s">
        <v>88</v>
      </c>
      <c r="N445" s="22" t="s">
        <v>56</v>
      </c>
      <c r="O445" s="22" t="s">
        <v>42</v>
      </c>
      <c r="P445" s="26"/>
      <c r="Q445" s="22" t="s">
        <v>44</v>
      </c>
      <c r="R445" s="33" t="s">
        <v>68</v>
      </c>
      <c r="S445" s="40"/>
      <c r="T445" s="28"/>
      <c r="U445" s="34"/>
      <c r="V445" s="26">
        <v>5.0</v>
      </c>
    </row>
    <row r="446" hidden="1">
      <c r="A446" s="17">
        <v>445.0</v>
      </c>
      <c r="B446" s="71">
        <v>46050.0</v>
      </c>
      <c r="C446" s="22" t="s">
        <v>58</v>
      </c>
      <c r="D446" s="22" t="s">
        <v>84</v>
      </c>
      <c r="E446" s="33" t="s">
        <v>27</v>
      </c>
      <c r="F446" s="33">
        <v>5.92258999E8</v>
      </c>
      <c r="G446" s="33" t="s">
        <v>27</v>
      </c>
      <c r="H446" s="33" t="s">
        <v>27</v>
      </c>
      <c r="I446" s="39" t="s">
        <v>3788</v>
      </c>
      <c r="J446" s="31" t="s">
        <v>123</v>
      </c>
      <c r="K446" s="22" t="s">
        <v>65</v>
      </c>
      <c r="L446" s="35">
        <v>0.6666666666666666</v>
      </c>
      <c r="M446" s="25" t="s">
        <v>38</v>
      </c>
      <c r="N446" s="22" t="s">
        <v>56</v>
      </c>
      <c r="O446" s="22" t="s">
        <v>42</v>
      </c>
      <c r="P446" s="26"/>
      <c r="Q446" s="22" t="s">
        <v>44</v>
      </c>
      <c r="R446" s="33" t="s">
        <v>68</v>
      </c>
      <c r="S446" s="40"/>
      <c r="T446" s="28"/>
      <c r="U446" s="68" t="s">
        <v>44</v>
      </c>
      <c r="V446" s="26">
        <v>5.0</v>
      </c>
    </row>
    <row r="447" hidden="1">
      <c r="A447" s="17">
        <v>446.0</v>
      </c>
      <c r="B447" s="71">
        <v>46050.0</v>
      </c>
      <c r="C447" s="22" t="s">
        <v>58</v>
      </c>
      <c r="D447" s="22" t="s">
        <v>84</v>
      </c>
      <c r="E447" s="33" t="s">
        <v>27</v>
      </c>
      <c r="F447" s="33">
        <v>5.67535632E8</v>
      </c>
      <c r="G447" s="33" t="s">
        <v>27</v>
      </c>
      <c r="H447" s="33" t="s">
        <v>27</v>
      </c>
      <c r="I447" s="30" t="s">
        <v>554</v>
      </c>
      <c r="J447" s="31" t="s">
        <v>123</v>
      </c>
      <c r="K447" s="22" t="s">
        <v>36</v>
      </c>
      <c r="L447" s="35"/>
      <c r="M447" s="42" t="s">
        <v>88</v>
      </c>
      <c r="N447" s="22" t="s">
        <v>56</v>
      </c>
      <c r="O447" s="22" t="s">
        <v>42</v>
      </c>
      <c r="P447" s="26"/>
      <c r="Q447" s="22" t="s">
        <v>44</v>
      </c>
      <c r="R447" s="33" t="s">
        <v>68</v>
      </c>
      <c r="S447" s="40"/>
      <c r="T447" s="28"/>
      <c r="U447" s="34"/>
      <c r="V447" s="26">
        <v>5.0</v>
      </c>
    </row>
    <row r="448">
      <c r="A448" s="17">
        <v>447.0</v>
      </c>
      <c r="B448" s="71">
        <v>46050.0</v>
      </c>
      <c r="C448" s="22" t="s">
        <v>47</v>
      </c>
      <c r="D448" s="22" t="s">
        <v>48</v>
      </c>
      <c r="E448" s="98" t="s">
        <v>3793</v>
      </c>
      <c r="F448" s="33">
        <v>5.59295511E8</v>
      </c>
      <c r="G448" s="24" t="s">
        <v>79</v>
      </c>
      <c r="H448" s="33" t="s">
        <v>2109</v>
      </c>
      <c r="I448" s="30" t="s">
        <v>3794</v>
      </c>
      <c r="J448" s="30" t="s">
        <v>3795</v>
      </c>
      <c r="K448" s="22" t="s">
        <v>36</v>
      </c>
      <c r="L448" s="35"/>
      <c r="M448" s="25" t="s">
        <v>55</v>
      </c>
      <c r="N448" s="22" t="s">
        <v>56</v>
      </c>
      <c r="O448" s="22"/>
      <c r="P448" s="26"/>
      <c r="Q448" s="22" t="s">
        <v>44</v>
      </c>
      <c r="R448" s="33" t="s">
        <v>46</v>
      </c>
      <c r="S448" s="40"/>
      <c r="T448" s="28"/>
      <c r="U448" s="34"/>
      <c r="V448" s="26">
        <v>5.0</v>
      </c>
    </row>
    <row r="449" hidden="1">
      <c r="A449" s="17">
        <v>448.0</v>
      </c>
      <c r="B449" s="71">
        <v>46050.0</v>
      </c>
      <c r="C449" s="22" t="s">
        <v>21</v>
      </c>
      <c r="D449" s="22" t="s">
        <v>22</v>
      </c>
      <c r="E449" s="98" t="s">
        <v>3801</v>
      </c>
      <c r="F449" s="33">
        <v>5.0833301E8</v>
      </c>
      <c r="G449" s="109" t="s">
        <v>27</v>
      </c>
      <c r="H449" s="109" t="s">
        <v>27</v>
      </c>
      <c r="I449" s="30" t="s">
        <v>3802</v>
      </c>
      <c r="J449" s="31" t="s">
        <v>123</v>
      </c>
      <c r="K449" s="22" t="s">
        <v>39</v>
      </c>
      <c r="L449" s="35"/>
      <c r="M449" s="38" t="s">
        <v>1389</v>
      </c>
      <c r="N449" s="22" t="s">
        <v>56</v>
      </c>
      <c r="O449" s="22" t="s">
        <v>42</v>
      </c>
      <c r="P449" s="26"/>
      <c r="Q449" s="22" t="s">
        <v>49</v>
      </c>
      <c r="R449" s="33" t="s">
        <v>68</v>
      </c>
      <c r="S449" s="40"/>
      <c r="T449" s="28"/>
      <c r="U449" s="34"/>
      <c r="V449" s="26">
        <v>5.0</v>
      </c>
    </row>
    <row r="450" hidden="1">
      <c r="A450" s="17">
        <v>449.0</v>
      </c>
      <c r="B450" s="71">
        <v>46050.0</v>
      </c>
      <c r="C450" s="22" t="s">
        <v>21</v>
      </c>
      <c r="D450" s="22" t="s">
        <v>24</v>
      </c>
      <c r="E450" s="98" t="s">
        <v>3805</v>
      </c>
      <c r="F450" s="33">
        <v>5.83123329E8</v>
      </c>
      <c r="G450" s="31" t="s">
        <v>71</v>
      </c>
      <c r="H450" s="33" t="s">
        <v>27</v>
      </c>
      <c r="I450" s="30" t="s">
        <v>3807</v>
      </c>
      <c r="J450" s="31" t="s">
        <v>123</v>
      </c>
      <c r="K450" s="22" t="s">
        <v>36</v>
      </c>
      <c r="L450" s="35"/>
      <c r="M450" s="25" t="s">
        <v>38</v>
      </c>
      <c r="N450" s="22" t="s">
        <v>40</v>
      </c>
      <c r="O450" s="22" t="s">
        <v>42</v>
      </c>
      <c r="P450" s="26"/>
      <c r="Q450" s="22" t="s">
        <v>44</v>
      </c>
      <c r="R450" s="33" t="s">
        <v>46</v>
      </c>
      <c r="S450" s="40"/>
      <c r="T450" s="28"/>
      <c r="U450" s="34"/>
      <c r="V450" s="26">
        <v>5.0</v>
      </c>
    </row>
    <row r="451" hidden="1">
      <c r="A451" s="17">
        <v>450.0</v>
      </c>
      <c r="B451" s="71">
        <v>46050.0</v>
      </c>
      <c r="C451" s="22" t="s">
        <v>58</v>
      </c>
      <c r="D451" s="22" t="s">
        <v>84</v>
      </c>
      <c r="E451" s="33" t="s">
        <v>3812</v>
      </c>
      <c r="F451" s="33">
        <v>8.618327672886E12</v>
      </c>
      <c r="G451" s="31" t="s">
        <v>120</v>
      </c>
      <c r="H451" s="33" t="s">
        <v>27</v>
      </c>
      <c r="I451" s="30" t="s">
        <v>3814</v>
      </c>
      <c r="J451" s="98" t="s">
        <v>205</v>
      </c>
      <c r="K451" s="22" t="s">
        <v>36</v>
      </c>
      <c r="L451" s="35">
        <v>0.3611111111111111</v>
      </c>
      <c r="M451" s="42" t="s">
        <v>88</v>
      </c>
      <c r="N451" s="22" t="s">
        <v>56</v>
      </c>
      <c r="O451" s="22" t="s">
        <v>42</v>
      </c>
      <c r="P451" s="26"/>
      <c r="Q451" s="22" t="s">
        <v>44</v>
      </c>
      <c r="R451" s="33" t="s">
        <v>68</v>
      </c>
      <c r="S451" s="40"/>
      <c r="T451" s="28"/>
      <c r="U451" s="34"/>
      <c r="V451" s="26">
        <v>5.0</v>
      </c>
    </row>
    <row r="452">
      <c r="A452" s="17">
        <v>451.0</v>
      </c>
      <c r="B452" s="71">
        <v>46050.0</v>
      </c>
      <c r="C452" s="22" t="s">
        <v>47</v>
      </c>
      <c r="D452" s="22" t="s">
        <v>48</v>
      </c>
      <c r="E452" s="98" t="s">
        <v>3822</v>
      </c>
      <c r="F452" s="33">
        <v>5.50433633E8</v>
      </c>
      <c r="G452" s="24" t="s">
        <v>79</v>
      </c>
      <c r="H452" s="33" t="s">
        <v>239</v>
      </c>
      <c r="I452" s="30" t="s">
        <v>3824</v>
      </c>
      <c r="J452" s="30" t="s">
        <v>3825</v>
      </c>
      <c r="K452" s="22" t="s">
        <v>36</v>
      </c>
      <c r="L452" s="35">
        <v>0.36041666666666666</v>
      </c>
      <c r="M452" s="25" t="s">
        <v>221</v>
      </c>
      <c r="N452" s="22" t="s">
        <v>56</v>
      </c>
      <c r="O452" s="22"/>
      <c r="P452" s="26"/>
      <c r="Q452" s="22" t="s">
        <v>44</v>
      </c>
      <c r="R452" s="33" t="s">
        <v>46</v>
      </c>
      <c r="S452" s="40"/>
      <c r="T452" s="28"/>
      <c r="U452" s="68" t="s">
        <v>44</v>
      </c>
      <c r="V452" s="26">
        <v>5.0</v>
      </c>
    </row>
    <row r="453">
      <c r="A453" s="17">
        <v>452.0</v>
      </c>
      <c r="B453" s="71">
        <v>46050.0</v>
      </c>
      <c r="C453" s="22" t="s">
        <v>47</v>
      </c>
      <c r="D453" s="22" t="s">
        <v>48</v>
      </c>
      <c r="E453" s="98" t="s">
        <v>3832</v>
      </c>
      <c r="F453" s="33" t="s">
        <v>27</v>
      </c>
      <c r="G453" s="98" t="s">
        <v>28</v>
      </c>
      <c r="H453" s="33" t="s">
        <v>1708</v>
      </c>
      <c r="I453" s="30" t="s">
        <v>3833</v>
      </c>
      <c r="J453" s="30" t="s">
        <v>3834</v>
      </c>
      <c r="K453" s="22" t="s">
        <v>78</v>
      </c>
      <c r="L453" s="35"/>
      <c r="M453" s="25" t="s">
        <v>55</v>
      </c>
      <c r="N453" s="22" t="s">
        <v>56</v>
      </c>
      <c r="O453" s="22"/>
      <c r="P453" s="26"/>
      <c r="Q453" s="22" t="s">
        <v>49</v>
      </c>
      <c r="R453" s="33" t="s">
        <v>46</v>
      </c>
      <c r="S453" s="40"/>
      <c r="T453" s="28"/>
      <c r="U453" s="34"/>
      <c r="V453" s="26">
        <v>5.0</v>
      </c>
    </row>
    <row r="454" hidden="1">
      <c r="A454" s="17">
        <v>453.0</v>
      </c>
      <c r="B454" s="71">
        <v>46050.0</v>
      </c>
      <c r="C454" s="22" t="s">
        <v>21</v>
      </c>
      <c r="D454" s="22" t="s">
        <v>22</v>
      </c>
      <c r="E454" s="98" t="s">
        <v>3840</v>
      </c>
      <c r="F454" s="33">
        <v>5.60035533E8</v>
      </c>
      <c r="G454" s="98" t="s">
        <v>3841</v>
      </c>
      <c r="H454" s="33" t="s">
        <v>27</v>
      </c>
      <c r="I454" s="30" t="s">
        <v>3842</v>
      </c>
      <c r="J454" s="31" t="s">
        <v>123</v>
      </c>
      <c r="K454" s="22" t="s">
        <v>36</v>
      </c>
      <c r="L454" s="35">
        <v>0.3736111111111111</v>
      </c>
      <c r="M454" s="38" t="s">
        <v>1389</v>
      </c>
      <c r="N454" s="22" t="s">
        <v>40</v>
      </c>
      <c r="O454" s="22" t="s">
        <v>42</v>
      </c>
      <c r="P454" s="26"/>
      <c r="Q454" s="22" t="s">
        <v>44</v>
      </c>
      <c r="R454" s="33" t="s">
        <v>68</v>
      </c>
      <c r="S454" s="40"/>
      <c r="T454" s="28"/>
      <c r="U454" s="68" t="s">
        <v>44</v>
      </c>
      <c r="V454" s="26">
        <v>5.0</v>
      </c>
    </row>
    <row r="455" hidden="1">
      <c r="A455" s="17">
        <v>454.0</v>
      </c>
      <c r="B455" s="71">
        <v>46050.0</v>
      </c>
      <c r="C455" s="22" t="s">
        <v>21</v>
      </c>
      <c r="D455" s="22" t="s">
        <v>34</v>
      </c>
      <c r="E455" s="33" t="s">
        <v>27</v>
      </c>
      <c r="F455" s="33">
        <v>5.67078977E8</v>
      </c>
      <c r="G455" s="33" t="s">
        <v>27</v>
      </c>
      <c r="H455" s="33" t="s">
        <v>27</v>
      </c>
      <c r="I455" s="30" t="s">
        <v>298</v>
      </c>
      <c r="J455" s="98" t="s">
        <v>500</v>
      </c>
      <c r="K455" s="22" t="s">
        <v>36</v>
      </c>
      <c r="L455" s="35">
        <v>0.3736111111111111</v>
      </c>
      <c r="M455" s="38" t="s">
        <v>51</v>
      </c>
      <c r="N455" s="22" t="s">
        <v>56</v>
      </c>
      <c r="O455" s="22" t="s">
        <v>42</v>
      </c>
      <c r="P455" s="26"/>
      <c r="Q455" s="22" t="s">
        <v>44</v>
      </c>
      <c r="R455" s="33" t="s">
        <v>68</v>
      </c>
      <c r="S455" s="40"/>
      <c r="T455" s="28"/>
      <c r="U455" s="68" t="s">
        <v>44</v>
      </c>
      <c r="V455" s="26">
        <v>5.0</v>
      </c>
    </row>
    <row r="456" hidden="1">
      <c r="A456" s="17">
        <v>455.0</v>
      </c>
      <c r="B456" s="71">
        <v>46050.0</v>
      </c>
      <c r="C456" s="22" t="s">
        <v>58</v>
      </c>
      <c r="D456" s="22" t="s">
        <v>84</v>
      </c>
      <c r="E456" s="98" t="s">
        <v>3851</v>
      </c>
      <c r="F456" s="33">
        <v>5.54386719E8</v>
      </c>
      <c r="G456" s="98" t="s">
        <v>28</v>
      </c>
      <c r="H456" s="33" t="s">
        <v>27</v>
      </c>
      <c r="I456" s="30" t="s">
        <v>3854</v>
      </c>
      <c r="J456" s="98" t="s">
        <v>3855</v>
      </c>
      <c r="K456" s="22" t="s">
        <v>36</v>
      </c>
      <c r="L456" s="35">
        <v>0.3736111111111111</v>
      </c>
      <c r="M456" s="42" t="s">
        <v>88</v>
      </c>
      <c r="N456" s="22" t="s">
        <v>56</v>
      </c>
      <c r="O456" s="22" t="s">
        <v>42</v>
      </c>
      <c r="P456" s="26"/>
      <c r="Q456" s="22" t="s">
        <v>44</v>
      </c>
      <c r="R456" s="33" t="s">
        <v>68</v>
      </c>
      <c r="S456" s="40"/>
      <c r="T456" s="28"/>
      <c r="U456" s="34"/>
      <c r="V456" s="26">
        <v>5.0</v>
      </c>
    </row>
    <row r="457" hidden="1">
      <c r="A457" s="17">
        <v>456.0</v>
      </c>
      <c r="B457" s="71">
        <v>46050.0</v>
      </c>
      <c r="C457" s="22" t="s">
        <v>58</v>
      </c>
      <c r="D457" s="22" t="s">
        <v>84</v>
      </c>
      <c r="E457" s="33" t="s">
        <v>27</v>
      </c>
      <c r="F457" s="33">
        <v>5.52329339E8</v>
      </c>
      <c r="G457" s="31" t="s">
        <v>71</v>
      </c>
      <c r="H457" s="33" t="s">
        <v>27</v>
      </c>
      <c r="I457" s="30" t="s">
        <v>554</v>
      </c>
      <c r="J457" s="31" t="s">
        <v>123</v>
      </c>
      <c r="K457" s="22" t="s">
        <v>36</v>
      </c>
      <c r="L457" s="35">
        <v>0.375</v>
      </c>
      <c r="M457" s="42" t="s">
        <v>88</v>
      </c>
      <c r="N457" s="22" t="s">
        <v>56</v>
      </c>
      <c r="O457" s="22" t="s">
        <v>42</v>
      </c>
      <c r="P457" s="26"/>
      <c r="Q457" s="22" t="s">
        <v>44</v>
      </c>
      <c r="R457" s="33" t="s">
        <v>68</v>
      </c>
      <c r="S457" s="40"/>
      <c r="T457" s="28"/>
      <c r="U457" s="34"/>
      <c r="V457" s="26">
        <v>5.0</v>
      </c>
    </row>
    <row r="458" hidden="1">
      <c r="A458" s="17">
        <v>457.0</v>
      </c>
      <c r="B458" s="71">
        <v>46050.0</v>
      </c>
      <c r="C458" s="22" t="s">
        <v>58</v>
      </c>
      <c r="D458" s="22" t="s">
        <v>84</v>
      </c>
      <c r="E458" s="33" t="s">
        <v>27</v>
      </c>
      <c r="F458" s="33">
        <v>5.37101052E8</v>
      </c>
      <c r="G458" s="33" t="s">
        <v>27</v>
      </c>
      <c r="H458" s="33" t="s">
        <v>27</v>
      </c>
      <c r="I458" s="30" t="s">
        <v>554</v>
      </c>
      <c r="J458" s="31" t="s">
        <v>123</v>
      </c>
      <c r="K458" s="22" t="s">
        <v>36</v>
      </c>
      <c r="L458" s="35"/>
      <c r="M458" s="42" t="s">
        <v>88</v>
      </c>
      <c r="N458" s="22" t="s">
        <v>56</v>
      </c>
      <c r="O458" s="22" t="s">
        <v>42</v>
      </c>
      <c r="P458" s="26"/>
      <c r="Q458" s="22" t="s">
        <v>44</v>
      </c>
      <c r="R458" s="33" t="s">
        <v>68</v>
      </c>
      <c r="S458" s="40"/>
      <c r="T458" s="28"/>
      <c r="U458" s="34"/>
      <c r="V458" s="26">
        <v>5.0</v>
      </c>
    </row>
    <row r="459" hidden="1">
      <c r="A459" s="17">
        <v>458.0</v>
      </c>
      <c r="B459" s="71">
        <v>46050.0</v>
      </c>
      <c r="C459" s="22" t="s">
        <v>21</v>
      </c>
      <c r="D459" s="22" t="s">
        <v>22</v>
      </c>
      <c r="E459" s="98" t="s">
        <v>1663</v>
      </c>
      <c r="F459" s="33">
        <v>5.62474808E8</v>
      </c>
      <c r="G459" s="98" t="s">
        <v>2537</v>
      </c>
      <c r="H459" s="33" t="s">
        <v>27</v>
      </c>
      <c r="I459" s="30" t="s">
        <v>3873</v>
      </c>
      <c r="J459" s="31" t="s">
        <v>123</v>
      </c>
      <c r="K459" s="22" t="s">
        <v>36</v>
      </c>
      <c r="L459" s="35">
        <v>0.3784722222222222</v>
      </c>
      <c r="M459" s="38" t="s">
        <v>125</v>
      </c>
      <c r="N459" s="22" t="s">
        <v>56</v>
      </c>
      <c r="O459" s="22" t="s">
        <v>42</v>
      </c>
      <c r="P459" s="26"/>
      <c r="Q459" s="22" t="s">
        <v>44</v>
      </c>
      <c r="R459" s="33" t="s">
        <v>68</v>
      </c>
      <c r="S459" s="40"/>
      <c r="T459" s="28"/>
      <c r="U459" s="68" t="s">
        <v>44</v>
      </c>
      <c r="V459" s="26">
        <v>5.0</v>
      </c>
    </row>
    <row r="460" hidden="1">
      <c r="A460" s="17">
        <v>459.0</v>
      </c>
      <c r="B460" s="71">
        <v>46050.0</v>
      </c>
      <c r="C460" s="22" t="s">
        <v>58</v>
      </c>
      <c r="D460" s="22" t="s">
        <v>84</v>
      </c>
      <c r="E460" s="98" t="s">
        <v>3879</v>
      </c>
      <c r="F460" s="33">
        <v>5.40000704E8</v>
      </c>
      <c r="G460" s="33" t="s">
        <v>27</v>
      </c>
      <c r="H460" s="22" t="s">
        <v>27</v>
      </c>
      <c r="I460" s="30" t="s">
        <v>3882</v>
      </c>
      <c r="J460" s="31" t="s">
        <v>123</v>
      </c>
      <c r="K460" s="22" t="s">
        <v>36</v>
      </c>
      <c r="L460" s="35"/>
      <c r="M460" s="42" t="s">
        <v>88</v>
      </c>
      <c r="N460" s="22" t="s">
        <v>56</v>
      </c>
      <c r="O460" s="22" t="s">
        <v>42</v>
      </c>
      <c r="P460" s="26"/>
      <c r="Q460" s="22" t="s">
        <v>49</v>
      </c>
      <c r="R460" s="33" t="s">
        <v>68</v>
      </c>
      <c r="S460" s="40"/>
      <c r="T460" s="28"/>
      <c r="U460" s="34"/>
      <c r="V460" s="26">
        <v>5.0</v>
      </c>
    </row>
    <row r="461" hidden="1">
      <c r="A461" s="17">
        <v>460.0</v>
      </c>
      <c r="B461" s="71">
        <v>46050.0</v>
      </c>
      <c r="C461" s="22" t="s">
        <v>58</v>
      </c>
      <c r="D461" s="22" t="s">
        <v>84</v>
      </c>
      <c r="E461" s="98" t="s">
        <v>3879</v>
      </c>
      <c r="F461" s="33">
        <v>5.02229211E8</v>
      </c>
      <c r="G461" s="33" t="s">
        <v>27</v>
      </c>
      <c r="H461" s="22" t="s">
        <v>27</v>
      </c>
      <c r="I461" s="30" t="s">
        <v>3882</v>
      </c>
      <c r="J461" s="31" t="s">
        <v>123</v>
      </c>
      <c r="K461" s="22" t="s">
        <v>36</v>
      </c>
      <c r="L461" s="35"/>
      <c r="M461" s="42" t="s">
        <v>88</v>
      </c>
      <c r="N461" s="22" t="s">
        <v>56</v>
      </c>
      <c r="O461" s="22" t="s">
        <v>42</v>
      </c>
      <c r="P461" s="26"/>
      <c r="Q461" s="22" t="s">
        <v>49</v>
      </c>
      <c r="R461" s="33" t="s">
        <v>68</v>
      </c>
      <c r="S461" s="40"/>
      <c r="T461" s="28"/>
      <c r="U461" s="34"/>
      <c r="V461" s="26">
        <v>5.0</v>
      </c>
    </row>
    <row r="462" hidden="1">
      <c r="A462" s="17">
        <v>461.0</v>
      </c>
      <c r="B462" s="71">
        <v>46050.0</v>
      </c>
      <c r="C462" s="22" t="s">
        <v>58</v>
      </c>
      <c r="D462" s="22" t="s">
        <v>84</v>
      </c>
      <c r="E462" s="33" t="s">
        <v>27</v>
      </c>
      <c r="F462" s="33">
        <v>5.92159991E8</v>
      </c>
      <c r="G462" s="98" t="s">
        <v>333</v>
      </c>
      <c r="H462" s="33" t="s">
        <v>27</v>
      </c>
      <c r="I462" s="30" t="s">
        <v>3894</v>
      </c>
      <c r="J462" s="31" t="s">
        <v>123</v>
      </c>
      <c r="K462" s="22" t="s">
        <v>36</v>
      </c>
      <c r="L462" s="35"/>
      <c r="M462" s="42" t="s">
        <v>88</v>
      </c>
      <c r="N462" s="22" t="s">
        <v>56</v>
      </c>
      <c r="O462" s="22" t="s">
        <v>42</v>
      </c>
      <c r="P462" s="26"/>
      <c r="Q462" s="22" t="s">
        <v>49</v>
      </c>
      <c r="R462" s="33" t="s">
        <v>68</v>
      </c>
      <c r="S462" s="40"/>
      <c r="T462" s="28"/>
      <c r="U462" s="34"/>
      <c r="V462" s="26">
        <v>5.0</v>
      </c>
    </row>
    <row r="463" hidden="1">
      <c r="A463" s="17">
        <v>462.0</v>
      </c>
      <c r="B463" s="71">
        <v>46050.0</v>
      </c>
      <c r="C463" s="22" t="s">
        <v>21</v>
      </c>
      <c r="D463" s="22" t="s">
        <v>24</v>
      </c>
      <c r="E463" s="98" t="s">
        <v>3898</v>
      </c>
      <c r="F463" s="33">
        <v>5.60076885E8</v>
      </c>
      <c r="G463" s="98" t="s">
        <v>3899</v>
      </c>
      <c r="H463" s="33" t="s">
        <v>27</v>
      </c>
      <c r="I463" s="30" t="s">
        <v>1832</v>
      </c>
      <c r="J463" s="31" t="s">
        <v>123</v>
      </c>
      <c r="K463" s="22" t="s">
        <v>36</v>
      </c>
      <c r="L463" s="35">
        <v>0.3784722222222222</v>
      </c>
      <c r="M463" s="25" t="s">
        <v>38</v>
      </c>
      <c r="N463" s="22" t="s">
        <v>40</v>
      </c>
      <c r="O463" s="22" t="s">
        <v>42</v>
      </c>
      <c r="P463" s="26"/>
      <c r="Q463" s="22" t="s">
        <v>44</v>
      </c>
      <c r="R463" s="33" t="s">
        <v>46</v>
      </c>
      <c r="S463" s="40"/>
      <c r="T463" s="28"/>
      <c r="U463" s="68" t="s">
        <v>49</v>
      </c>
      <c r="V463" s="26">
        <v>5.0</v>
      </c>
    </row>
    <row r="464" hidden="1">
      <c r="A464" s="17">
        <v>463.0</v>
      </c>
      <c r="B464" s="71">
        <v>46051.0</v>
      </c>
      <c r="C464" s="22" t="s">
        <v>58</v>
      </c>
      <c r="D464" s="22" t="s">
        <v>84</v>
      </c>
      <c r="E464" s="33" t="s">
        <v>27</v>
      </c>
      <c r="F464" s="33">
        <v>5.5090002E8</v>
      </c>
      <c r="G464" s="33" t="s">
        <v>27</v>
      </c>
      <c r="H464" s="33" t="s">
        <v>27</v>
      </c>
      <c r="I464" s="30" t="s">
        <v>124</v>
      </c>
      <c r="J464" s="31" t="s">
        <v>123</v>
      </c>
      <c r="K464" s="22" t="s">
        <v>65</v>
      </c>
      <c r="L464" s="35">
        <v>0.4076388888888889</v>
      </c>
      <c r="M464" s="25" t="s">
        <v>38</v>
      </c>
      <c r="N464" s="22" t="s">
        <v>56</v>
      </c>
      <c r="O464" s="22" t="s">
        <v>42</v>
      </c>
      <c r="P464" s="26"/>
      <c r="Q464" s="22" t="s">
        <v>44</v>
      </c>
      <c r="R464" s="33" t="s">
        <v>68</v>
      </c>
      <c r="S464" s="40"/>
      <c r="T464" s="28"/>
      <c r="U464" s="34"/>
      <c r="V464" s="26">
        <v>5.0</v>
      </c>
    </row>
    <row r="465" hidden="1">
      <c r="A465" s="17">
        <v>464.0</v>
      </c>
      <c r="B465" s="71">
        <v>46051.0</v>
      </c>
      <c r="C465" s="22" t="s">
        <v>58</v>
      </c>
      <c r="D465" s="22" t="s">
        <v>84</v>
      </c>
      <c r="E465" s="33" t="s">
        <v>27</v>
      </c>
      <c r="F465" s="33">
        <v>5.98972126E8</v>
      </c>
      <c r="G465" s="33" t="s">
        <v>27</v>
      </c>
      <c r="H465" s="33" t="s">
        <v>27</v>
      </c>
      <c r="I465" s="30" t="s">
        <v>484</v>
      </c>
      <c r="J465" s="31" t="s">
        <v>123</v>
      </c>
      <c r="K465" s="22" t="s">
        <v>36</v>
      </c>
      <c r="L465" s="35"/>
      <c r="M465" s="42" t="s">
        <v>88</v>
      </c>
      <c r="N465" s="22" t="s">
        <v>56</v>
      </c>
      <c r="O465" s="22" t="s">
        <v>42</v>
      </c>
      <c r="P465" s="26"/>
      <c r="Q465" s="22" t="s">
        <v>44</v>
      </c>
      <c r="R465" s="33" t="s">
        <v>68</v>
      </c>
      <c r="S465" s="40"/>
      <c r="T465" s="28"/>
      <c r="U465" s="34"/>
      <c r="V465" s="26">
        <v>5.0</v>
      </c>
    </row>
    <row r="466" hidden="1">
      <c r="A466" s="17">
        <v>465.0</v>
      </c>
      <c r="B466" s="71">
        <v>46051.0</v>
      </c>
      <c r="C466" s="22" t="s">
        <v>21</v>
      </c>
      <c r="D466" s="22" t="s">
        <v>24</v>
      </c>
      <c r="E466" s="98" t="s">
        <v>3917</v>
      </c>
      <c r="F466" s="33">
        <v>5.93586731E8</v>
      </c>
      <c r="G466" s="109" t="s">
        <v>27</v>
      </c>
      <c r="H466" s="109" t="s">
        <v>27</v>
      </c>
      <c r="I466" s="30" t="s">
        <v>3919</v>
      </c>
      <c r="J466" s="31" t="s">
        <v>123</v>
      </c>
      <c r="K466" s="22" t="s">
        <v>36</v>
      </c>
      <c r="L466" s="35"/>
      <c r="M466" s="25" t="s">
        <v>38</v>
      </c>
      <c r="N466" s="22" t="s">
        <v>40</v>
      </c>
      <c r="O466" s="22" t="s">
        <v>42</v>
      </c>
      <c r="P466" s="26"/>
      <c r="Q466" s="22" t="s">
        <v>44</v>
      </c>
      <c r="R466" s="33" t="s">
        <v>46</v>
      </c>
      <c r="S466" s="40"/>
      <c r="T466" s="28"/>
      <c r="U466" s="34"/>
      <c r="V466" s="26">
        <v>5.0</v>
      </c>
    </row>
    <row r="467" hidden="1">
      <c r="A467" s="17">
        <v>466.0</v>
      </c>
      <c r="B467" s="71">
        <v>46051.0</v>
      </c>
      <c r="C467" s="22" t="s">
        <v>58</v>
      </c>
      <c r="D467" s="22" t="s">
        <v>84</v>
      </c>
      <c r="E467" s="33" t="s">
        <v>27</v>
      </c>
      <c r="F467" s="33">
        <v>5.08073961E8</v>
      </c>
      <c r="G467" s="33" t="s">
        <v>27</v>
      </c>
      <c r="H467" s="33" t="s">
        <v>27</v>
      </c>
      <c r="I467" s="30" t="s">
        <v>484</v>
      </c>
      <c r="J467" s="31" t="s">
        <v>123</v>
      </c>
      <c r="K467" s="22" t="s">
        <v>36</v>
      </c>
      <c r="L467" s="35"/>
      <c r="M467" s="42" t="s">
        <v>88</v>
      </c>
      <c r="N467" s="22" t="s">
        <v>56</v>
      </c>
      <c r="O467" s="22" t="s">
        <v>42</v>
      </c>
      <c r="P467" s="26"/>
      <c r="Q467" s="22" t="s">
        <v>44</v>
      </c>
      <c r="R467" s="33" t="s">
        <v>68</v>
      </c>
      <c r="S467" s="40"/>
      <c r="T467" s="28"/>
      <c r="U467" s="34"/>
      <c r="V467" s="26">
        <v>5.0</v>
      </c>
    </row>
    <row r="468" hidden="1">
      <c r="A468" s="17">
        <v>467.0</v>
      </c>
      <c r="B468" s="71">
        <v>46051.0</v>
      </c>
      <c r="C468" s="22" t="s">
        <v>58</v>
      </c>
      <c r="D468" s="22" t="s">
        <v>84</v>
      </c>
      <c r="E468" s="33" t="s">
        <v>27</v>
      </c>
      <c r="F468" s="33">
        <v>5.04586102E8</v>
      </c>
      <c r="G468" s="33" t="s">
        <v>27</v>
      </c>
      <c r="H468" s="33" t="s">
        <v>27</v>
      </c>
      <c r="I468" s="30" t="s">
        <v>3933</v>
      </c>
      <c r="J468" s="31" t="s">
        <v>123</v>
      </c>
      <c r="K468" s="22" t="s">
        <v>36</v>
      </c>
      <c r="L468" s="35"/>
      <c r="M468" s="42" t="s">
        <v>88</v>
      </c>
      <c r="N468" s="22" t="s">
        <v>56</v>
      </c>
      <c r="O468" s="22" t="s">
        <v>42</v>
      </c>
      <c r="P468" s="26"/>
      <c r="Q468" s="22" t="s">
        <v>44</v>
      </c>
      <c r="R468" s="33" t="s">
        <v>68</v>
      </c>
      <c r="S468" s="40"/>
      <c r="T468" s="28"/>
      <c r="U468" s="34"/>
      <c r="V468" s="26">
        <v>5.0</v>
      </c>
    </row>
    <row r="469" hidden="1">
      <c r="A469" s="17">
        <v>468.0</v>
      </c>
      <c r="B469" s="71">
        <v>46051.0</v>
      </c>
      <c r="C469" s="22" t="s">
        <v>58</v>
      </c>
      <c r="D469" s="22" t="s">
        <v>84</v>
      </c>
      <c r="E469" s="33" t="s">
        <v>27</v>
      </c>
      <c r="F469" s="33">
        <v>5.545518E8</v>
      </c>
      <c r="G469" s="33" t="s">
        <v>27</v>
      </c>
      <c r="H469" s="33" t="s">
        <v>27</v>
      </c>
      <c r="I469" s="30" t="s">
        <v>3944</v>
      </c>
      <c r="J469" s="31" t="s">
        <v>123</v>
      </c>
      <c r="K469" s="22" t="s">
        <v>36</v>
      </c>
      <c r="L469" s="35"/>
      <c r="M469" s="42" t="s">
        <v>88</v>
      </c>
      <c r="N469" s="22" t="s">
        <v>56</v>
      </c>
      <c r="O469" s="22" t="s">
        <v>42</v>
      </c>
      <c r="P469" s="26"/>
      <c r="Q469" s="22" t="s">
        <v>44</v>
      </c>
      <c r="R469" s="33" t="s">
        <v>68</v>
      </c>
      <c r="S469" s="40"/>
      <c r="T469" s="28"/>
      <c r="U469" s="34"/>
      <c r="V469" s="26">
        <v>5.0</v>
      </c>
    </row>
    <row r="470" hidden="1">
      <c r="A470" s="17">
        <v>469.0</v>
      </c>
      <c r="B470" s="71">
        <v>46051.0</v>
      </c>
      <c r="C470" s="22" t="s">
        <v>21</v>
      </c>
      <c r="D470" s="22" t="s">
        <v>24</v>
      </c>
      <c r="E470" s="33" t="s">
        <v>27</v>
      </c>
      <c r="F470" s="33">
        <v>5.44484482E8</v>
      </c>
      <c r="G470" s="31" t="s">
        <v>71</v>
      </c>
      <c r="H470" s="33" t="s">
        <v>27</v>
      </c>
      <c r="I470" s="30" t="s">
        <v>3954</v>
      </c>
      <c r="J470" s="31" t="s">
        <v>123</v>
      </c>
      <c r="K470" s="22" t="s">
        <v>36</v>
      </c>
      <c r="L470" s="35">
        <v>0.6111111111111112</v>
      </c>
      <c r="M470" s="25" t="s">
        <v>38</v>
      </c>
      <c r="N470" s="22" t="s">
        <v>40</v>
      </c>
      <c r="O470" s="22" t="s">
        <v>42</v>
      </c>
      <c r="P470" s="26"/>
      <c r="Q470" s="22" t="s">
        <v>44</v>
      </c>
      <c r="R470" s="33" t="s">
        <v>46</v>
      </c>
      <c r="S470" s="40"/>
      <c r="T470" s="28"/>
      <c r="U470" s="34"/>
      <c r="V470" s="26">
        <v>5.0</v>
      </c>
    </row>
    <row r="471" hidden="1">
      <c r="A471" s="17">
        <v>470.0</v>
      </c>
      <c r="B471" s="71">
        <v>46051.0</v>
      </c>
      <c r="C471" s="22" t="s">
        <v>58</v>
      </c>
      <c r="D471" s="22" t="s">
        <v>84</v>
      </c>
      <c r="E471" s="33" t="s">
        <v>27</v>
      </c>
      <c r="F471" s="33">
        <v>5.61887553E8</v>
      </c>
      <c r="G471" s="98" t="s">
        <v>1452</v>
      </c>
      <c r="H471" s="33" t="s">
        <v>27</v>
      </c>
      <c r="I471" s="30" t="s">
        <v>3960</v>
      </c>
      <c r="J471" s="98" t="s">
        <v>3961</v>
      </c>
      <c r="K471" s="22" t="s">
        <v>36</v>
      </c>
      <c r="L471" s="35"/>
      <c r="M471" s="42" t="s">
        <v>88</v>
      </c>
      <c r="N471" s="22" t="s">
        <v>56</v>
      </c>
      <c r="O471" s="22" t="s">
        <v>42</v>
      </c>
      <c r="P471" s="26"/>
      <c r="Q471" s="22" t="s">
        <v>44</v>
      </c>
      <c r="R471" s="33" t="s">
        <v>68</v>
      </c>
      <c r="S471" s="40"/>
      <c r="T471" s="28"/>
      <c r="U471" s="34"/>
      <c r="V471" s="26">
        <v>5.0</v>
      </c>
    </row>
    <row r="472" hidden="1">
      <c r="A472" s="17">
        <v>471.0</v>
      </c>
      <c r="B472" s="71">
        <v>46051.0</v>
      </c>
      <c r="C472" s="22" t="s">
        <v>21</v>
      </c>
      <c r="D472" s="22" t="s">
        <v>24</v>
      </c>
      <c r="E472" s="98" t="s">
        <v>3966</v>
      </c>
      <c r="F472" s="33">
        <v>5.48169824E8</v>
      </c>
      <c r="G472" s="24" t="s">
        <v>79</v>
      </c>
      <c r="H472" s="33" t="s">
        <v>27</v>
      </c>
      <c r="I472" s="30" t="s">
        <v>3968</v>
      </c>
      <c r="J472" s="31" t="s">
        <v>123</v>
      </c>
      <c r="K472" s="22" t="s">
        <v>36</v>
      </c>
      <c r="L472" s="35"/>
      <c r="M472" s="25" t="s">
        <v>38</v>
      </c>
      <c r="N472" s="22" t="s">
        <v>40</v>
      </c>
      <c r="O472" s="22" t="s">
        <v>42</v>
      </c>
      <c r="P472" s="26"/>
      <c r="Q472" s="22" t="s">
        <v>44</v>
      </c>
      <c r="R472" s="33" t="s">
        <v>46</v>
      </c>
      <c r="S472" s="40"/>
      <c r="T472" s="28"/>
      <c r="U472" s="34"/>
      <c r="V472" s="26">
        <v>5.0</v>
      </c>
    </row>
    <row r="473" hidden="1">
      <c r="A473" s="17">
        <v>472.0</v>
      </c>
      <c r="B473" s="71">
        <v>46051.0</v>
      </c>
      <c r="C473" s="22" t="s">
        <v>21</v>
      </c>
      <c r="D473" s="22" t="s">
        <v>34</v>
      </c>
      <c r="E473" s="33" t="s">
        <v>27</v>
      </c>
      <c r="F473" s="33">
        <v>5.61510286E8</v>
      </c>
      <c r="G473" s="33" t="s">
        <v>27</v>
      </c>
      <c r="H473" s="33" t="s">
        <v>27</v>
      </c>
      <c r="I473" s="30" t="s">
        <v>2074</v>
      </c>
      <c r="J473" s="98" t="s">
        <v>500</v>
      </c>
      <c r="K473" s="22" t="s">
        <v>36</v>
      </c>
      <c r="L473" s="35"/>
      <c r="M473" s="38" t="s">
        <v>51</v>
      </c>
      <c r="N473" s="22" t="s">
        <v>56</v>
      </c>
      <c r="O473" s="22" t="s">
        <v>42</v>
      </c>
      <c r="P473" s="26"/>
      <c r="Q473" s="22" t="s">
        <v>44</v>
      </c>
      <c r="R473" s="33" t="s">
        <v>68</v>
      </c>
      <c r="S473" s="40"/>
      <c r="T473" s="28"/>
      <c r="U473" s="34"/>
      <c r="V473" s="26">
        <v>5.0</v>
      </c>
    </row>
    <row r="474" hidden="1">
      <c r="A474" s="17">
        <v>473.0</v>
      </c>
      <c r="B474" s="71">
        <v>46051.0</v>
      </c>
      <c r="C474" s="22" t="s">
        <v>58</v>
      </c>
      <c r="D474" s="22" t="s">
        <v>84</v>
      </c>
      <c r="E474" s="33" t="s">
        <v>27</v>
      </c>
      <c r="F474" s="33">
        <v>5.46827932E8</v>
      </c>
      <c r="G474" s="31" t="s">
        <v>71</v>
      </c>
      <c r="H474" s="33" t="s">
        <v>27</v>
      </c>
      <c r="I474" s="30" t="s">
        <v>2833</v>
      </c>
      <c r="J474" s="31" t="s">
        <v>123</v>
      </c>
      <c r="K474" s="22" t="s">
        <v>36</v>
      </c>
      <c r="L474" s="35"/>
      <c r="M474" s="42" t="s">
        <v>88</v>
      </c>
      <c r="N474" s="22" t="s">
        <v>56</v>
      </c>
      <c r="O474" s="22" t="s">
        <v>42</v>
      </c>
      <c r="P474" s="26"/>
      <c r="Q474" s="22" t="s">
        <v>44</v>
      </c>
      <c r="R474" s="33" t="s">
        <v>68</v>
      </c>
      <c r="S474" s="40"/>
      <c r="T474" s="28"/>
      <c r="U474" s="34"/>
      <c r="V474" s="26">
        <v>5.0</v>
      </c>
    </row>
    <row r="475" ht="51.75" customHeight="1">
      <c r="A475" s="17">
        <v>474.0</v>
      </c>
      <c r="B475" s="71">
        <v>46051.0</v>
      </c>
      <c r="C475" s="22" t="s">
        <v>47</v>
      </c>
      <c r="D475" s="22" t="s">
        <v>48</v>
      </c>
      <c r="E475" s="98" t="s">
        <v>3989</v>
      </c>
      <c r="F475" s="33">
        <v>5.53110309E8</v>
      </c>
      <c r="G475" s="98" t="s">
        <v>41</v>
      </c>
      <c r="H475" s="33" t="s">
        <v>329</v>
      </c>
      <c r="I475" s="30" t="s">
        <v>3990</v>
      </c>
      <c r="J475" s="30" t="s">
        <v>2899</v>
      </c>
      <c r="K475" s="22" t="s">
        <v>36</v>
      </c>
      <c r="L475" s="35"/>
      <c r="M475" s="25" t="s">
        <v>55</v>
      </c>
      <c r="N475" s="22" t="s">
        <v>56</v>
      </c>
      <c r="O475" s="22"/>
      <c r="P475" s="26"/>
      <c r="Q475" s="22" t="s">
        <v>44</v>
      </c>
      <c r="R475" s="33" t="s">
        <v>46</v>
      </c>
      <c r="S475" s="40"/>
      <c r="T475" s="28"/>
      <c r="U475" s="34"/>
      <c r="V475" s="26">
        <v>5.0</v>
      </c>
    </row>
    <row r="476" ht="48.75" hidden="1" customHeight="1">
      <c r="A476" s="17">
        <v>475.0</v>
      </c>
      <c r="B476" s="71">
        <v>46051.0</v>
      </c>
      <c r="C476" s="17" t="s">
        <v>21</v>
      </c>
      <c r="D476" s="17" t="s">
        <v>84</v>
      </c>
      <c r="E476" s="30" t="s">
        <v>540</v>
      </c>
      <c r="F476" s="39">
        <v>5.6336115E7</v>
      </c>
      <c r="G476" s="24" t="s">
        <v>79</v>
      </c>
      <c r="H476" s="39" t="s">
        <v>27</v>
      </c>
      <c r="I476" s="30" t="s">
        <v>4000</v>
      </c>
      <c r="J476" s="30" t="s">
        <v>4002</v>
      </c>
      <c r="K476" s="17" t="s">
        <v>36</v>
      </c>
      <c r="L476" s="35"/>
      <c r="M476" s="42" t="s">
        <v>88</v>
      </c>
      <c r="N476" s="22" t="s">
        <v>56</v>
      </c>
      <c r="O476" s="17" t="s">
        <v>42</v>
      </c>
      <c r="P476" s="26"/>
      <c r="Q476" s="17" t="s">
        <v>44</v>
      </c>
      <c r="R476" s="33" t="s">
        <v>68</v>
      </c>
      <c r="S476" s="40"/>
      <c r="T476" s="28"/>
      <c r="U476" s="34"/>
      <c r="V476" s="26">
        <v>5.0</v>
      </c>
    </row>
    <row r="477" hidden="1">
      <c r="A477" s="17">
        <v>476.0</v>
      </c>
      <c r="B477" s="71">
        <v>46051.0</v>
      </c>
      <c r="C477" s="22" t="s">
        <v>58</v>
      </c>
      <c r="D477" s="22" t="s">
        <v>84</v>
      </c>
      <c r="E477" s="33" t="s">
        <v>27</v>
      </c>
      <c r="F477" s="33">
        <v>5.46778656E8</v>
      </c>
      <c r="G477" s="33" t="s">
        <v>27</v>
      </c>
      <c r="H477" s="33" t="s">
        <v>27</v>
      </c>
      <c r="I477" s="30" t="s">
        <v>233</v>
      </c>
      <c r="J477" s="31" t="s">
        <v>123</v>
      </c>
      <c r="K477" s="22" t="s">
        <v>36</v>
      </c>
      <c r="L477" s="35"/>
      <c r="M477" s="42" t="s">
        <v>88</v>
      </c>
      <c r="N477" s="22" t="s">
        <v>56</v>
      </c>
      <c r="O477" s="22" t="s">
        <v>42</v>
      </c>
      <c r="P477" s="26"/>
      <c r="Q477" s="22" t="s">
        <v>44</v>
      </c>
      <c r="R477" s="33" t="s">
        <v>68</v>
      </c>
      <c r="S477" s="40"/>
      <c r="T477" s="28"/>
      <c r="U477" s="34"/>
      <c r="V477" s="26">
        <v>5.0</v>
      </c>
    </row>
    <row r="478" hidden="1">
      <c r="A478" s="17">
        <v>477.0</v>
      </c>
      <c r="B478" s="71">
        <v>46051.0</v>
      </c>
      <c r="C478" s="22" t="s">
        <v>21</v>
      </c>
      <c r="D478" s="22" t="s">
        <v>24</v>
      </c>
      <c r="E478" s="98" t="s">
        <v>1232</v>
      </c>
      <c r="F478" s="33">
        <v>5.03637209E8</v>
      </c>
      <c r="G478" s="31" t="s">
        <v>71</v>
      </c>
      <c r="H478" s="33" t="s">
        <v>27</v>
      </c>
      <c r="I478" s="30" t="s">
        <v>4013</v>
      </c>
      <c r="J478" s="31" t="s">
        <v>123</v>
      </c>
      <c r="K478" s="22" t="s">
        <v>36</v>
      </c>
      <c r="L478" s="35"/>
      <c r="M478" s="25" t="s">
        <v>38</v>
      </c>
      <c r="N478" s="22" t="s">
        <v>40</v>
      </c>
      <c r="O478" s="22" t="s">
        <v>42</v>
      </c>
      <c r="P478" s="26"/>
      <c r="Q478" s="22" t="s">
        <v>44</v>
      </c>
      <c r="R478" s="33" t="s">
        <v>46</v>
      </c>
      <c r="S478" s="40"/>
      <c r="T478" s="28"/>
      <c r="U478" s="34"/>
      <c r="V478" s="26">
        <v>5.0</v>
      </c>
    </row>
    <row r="479" hidden="1">
      <c r="A479" s="17">
        <v>478.0</v>
      </c>
      <c r="B479" s="71">
        <v>46051.0</v>
      </c>
      <c r="C479" s="22" t="s">
        <v>58</v>
      </c>
      <c r="D479" s="22" t="s">
        <v>84</v>
      </c>
      <c r="E479" s="33" t="s">
        <v>27</v>
      </c>
      <c r="F479" s="33">
        <v>5.34787127E8</v>
      </c>
      <c r="G479" s="33" t="s">
        <v>27</v>
      </c>
      <c r="H479" s="33" t="s">
        <v>27</v>
      </c>
      <c r="I479" s="30" t="s">
        <v>554</v>
      </c>
      <c r="J479" s="31" t="s">
        <v>123</v>
      </c>
      <c r="K479" s="22" t="s">
        <v>36</v>
      </c>
      <c r="L479" s="35"/>
      <c r="M479" s="42" t="s">
        <v>88</v>
      </c>
      <c r="N479" s="22" t="s">
        <v>56</v>
      </c>
      <c r="O479" s="22" t="s">
        <v>42</v>
      </c>
      <c r="P479" s="26"/>
      <c r="Q479" s="22" t="s">
        <v>44</v>
      </c>
      <c r="R479" s="33" t="s">
        <v>68</v>
      </c>
      <c r="S479" s="40"/>
      <c r="T479" s="28"/>
      <c r="U479" s="34"/>
      <c r="V479" s="26">
        <v>5.0</v>
      </c>
    </row>
    <row r="480" hidden="1">
      <c r="A480" s="17">
        <v>479.0</v>
      </c>
      <c r="B480" s="71">
        <v>46051.0</v>
      </c>
      <c r="C480" s="22" t="s">
        <v>21</v>
      </c>
      <c r="D480" s="22" t="s">
        <v>24</v>
      </c>
      <c r="E480" s="98" t="s">
        <v>1164</v>
      </c>
      <c r="F480" s="33">
        <v>5.5090002E8</v>
      </c>
      <c r="G480" s="31" t="s">
        <v>71</v>
      </c>
      <c r="H480" s="33" t="s">
        <v>27</v>
      </c>
      <c r="I480" s="30" t="s">
        <v>4025</v>
      </c>
      <c r="J480" s="31" t="s">
        <v>123</v>
      </c>
      <c r="K480" s="22" t="s">
        <v>36</v>
      </c>
      <c r="L480" s="35"/>
      <c r="M480" s="25" t="s">
        <v>38</v>
      </c>
      <c r="N480" s="22" t="s">
        <v>40</v>
      </c>
      <c r="O480" s="22" t="s">
        <v>42</v>
      </c>
      <c r="P480" s="26"/>
      <c r="Q480" s="22" t="s">
        <v>44</v>
      </c>
      <c r="R480" s="33" t="s">
        <v>46</v>
      </c>
      <c r="S480" s="40"/>
      <c r="T480" s="28"/>
      <c r="U480" s="34"/>
      <c r="V480" s="26">
        <v>5.0</v>
      </c>
    </row>
    <row r="481" hidden="1">
      <c r="A481" s="17">
        <v>480.0</v>
      </c>
      <c r="B481" s="71">
        <v>46051.0</v>
      </c>
      <c r="C481" s="22" t="s">
        <v>58</v>
      </c>
      <c r="D481" s="22" t="s">
        <v>84</v>
      </c>
      <c r="E481" s="33" t="s">
        <v>27</v>
      </c>
      <c r="F481" s="33">
        <v>5.32639532E8</v>
      </c>
      <c r="G481" s="33" t="s">
        <v>27</v>
      </c>
      <c r="H481" s="33" t="s">
        <v>27</v>
      </c>
      <c r="I481" s="30" t="s">
        <v>554</v>
      </c>
      <c r="J481" s="31" t="s">
        <v>123</v>
      </c>
      <c r="K481" s="22" t="s">
        <v>36</v>
      </c>
      <c r="L481" s="35">
        <v>0.6111111111111112</v>
      </c>
      <c r="M481" s="42" t="s">
        <v>88</v>
      </c>
      <c r="N481" s="22" t="s">
        <v>56</v>
      </c>
      <c r="O481" s="22" t="s">
        <v>42</v>
      </c>
      <c r="P481" s="26"/>
      <c r="Q481" s="22" t="s">
        <v>44</v>
      </c>
      <c r="R481" s="33" t="s">
        <v>68</v>
      </c>
      <c r="S481" s="40"/>
      <c r="T481" s="28"/>
      <c r="U481" s="68" t="s">
        <v>44</v>
      </c>
      <c r="V481" s="26">
        <v>5.0</v>
      </c>
    </row>
  </sheetData>
  <autoFilter ref="$A$1:$V$481">
    <filterColumn colId="3">
      <filters>
        <filter val="Environment"/>
        <filter val="Maintenance"/>
        <filter val="Franchise"/>
        <filter val="Operations"/>
      </filters>
    </filterColumn>
    <filterColumn colId="2">
      <filters>
        <filter val="inquiries"/>
        <filter val="Complaint"/>
      </filters>
    </filterColumn>
  </autoFilter>
  <dataValidations>
    <dataValidation type="list" allowBlank="1" showErrorMessage="1" sqref="C2:C481">
      <formula1>"Complaint,Requests,inquiries"</formula1>
    </dataValidation>
    <dataValidation type="list" allowBlank="1" showErrorMessage="1" sqref="O2:O481">
      <formula1>"High,Medium,Low,Urgent"</formula1>
    </dataValidation>
    <dataValidation type="list" allowBlank="1" showErrorMessage="1" sqref="N2:N481">
      <formula1>"In process,Closed"</formula1>
    </dataValidation>
    <dataValidation type="list" allowBlank="1" showErrorMessage="1" sqref="Q2:Q481">
      <formula1>"Samia,Amani"</formula1>
    </dataValidation>
    <dataValidation type="list" allowBlank="1" showErrorMessage="1" sqref="R2:R481 T2:T481">
      <formula1>"Uploaded,Non"</formula1>
    </dataValidation>
    <dataValidation type="list" allowBlank="1" showErrorMessage="1" sqref="U2:U481">
      <formula1>"Samia,Amani,Dania"</formula1>
    </dataValidation>
    <dataValidation type="list" allowBlank="1" showErrorMessage="1" sqref="K2:K15 K17:K481">
      <formula1>"Call,Google maps,X,Tiktok,SurveyApp,Email,Website,Instgram,Voicemaill,WhatsApp"</formula1>
    </dataValidation>
    <dataValidation type="list" allowBlank="1" showErrorMessage="1" sqref="V2:V481">
      <formula1>"0,1,2,3,4,5"</formula1>
    </dataValidation>
    <dataValidation type="list" allowBlank="1" showErrorMessage="1" sqref="K16">
      <formula1>"Call,Google maps,X,Tiktok,SurvyApp,Email,Website,Instgram,Voicemaill"</formula1>
    </dataValidation>
    <dataValidation type="list" allowBlank="1" showErrorMessage="1" sqref="D16">
      <formula1>"Customer Service,Operations ,Investment,Real Estate,Franchise ,HR,Project M,Marketing ,Procurement,IT"</formula1>
    </dataValidation>
    <dataValidation type="list" allowBlank="1" showErrorMessage="1" sqref="S2:S481">
      <formula1>"خلال 24 ساعة عمل ,خلال 2-5 ايام عمل ,خلال 7 ايام عمل "</formula1>
    </dataValidation>
    <dataValidation type="list" allowBlank="1" showErrorMessage="1" sqref="D2:D15 D17:D481">
      <formula1>"Customer Service,Operations ,Investment,Real Estate,Franchise ,Marketing ,Maintenance,Environment,Project M,HR,Procurement,Finance"</formula1>
    </dataValidation>
  </dataValidations>
  <hyperlinks>
    <hyperlink r:id="rId1" ref="I307"/>
  </hyperlinks>
  <printOptions horizontalCentered="1" verticalCentered="1"/>
  <pageMargins bottom="0.75" footer="0.0" header="0.0" left="0.25" right="0.25" top="0.75"/>
  <pageSetup fitToHeight="0" paperSize="5"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pane xSplit="4.0" topLeftCell="E1" activePane="topRight" state="frozen"/>
      <selection activeCell="F2" sqref="F2" pane="topRight"/>
    </sheetView>
  </sheetViews>
  <sheetFormatPr customHeight="1" defaultColWidth="12.63" defaultRowHeight="15.75"/>
  <cols>
    <col customWidth="1" min="1" max="1" width="2.88"/>
    <col customWidth="1" min="2" max="2" width="7.88"/>
    <col customWidth="1" min="3" max="3" width="13.88"/>
    <col customWidth="1" min="4" max="4" width="16.63"/>
    <col customWidth="1" min="5" max="5" width="11.25"/>
    <col customWidth="1" min="6" max="6" width="11.63"/>
    <col customWidth="1" min="7" max="7" width="8.0"/>
    <col customWidth="1" min="8" max="8" width="9.13"/>
    <col customWidth="1" min="9" max="9" width="39.75"/>
    <col customWidth="1" min="10" max="10" width="35.88"/>
    <col customWidth="1" min="11" max="11" width="21.63"/>
    <col customWidth="1" min="12" max="12" width="21.88"/>
    <col customWidth="1" min="13" max="13" width="11.25"/>
    <col customWidth="1" min="14" max="14" width="14.88"/>
    <col customWidth="1" min="15" max="15" width="12.38"/>
    <col customWidth="1" min="16" max="16" width="11.63"/>
    <col customWidth="1" min="17" max="17" width="11.0"/>
    <col customWidth="1" min="18" max="18" width="14.75"/>
    <col customWidth="1" min="19" max="22" width="11.63"/>
  </cols>
  <sheetData>
    <row r="1">
      <c r="A1" s="1"/>
      <c r="B1" s="2" t="s">
        <v>0</v>
      </c>
      <c r="C1" s="2" t="s">
        <v>1</v>
      </c>
      <c r="D1" s="3" t="s">
        <v>2</v>
      </c>
      <c r="E1" s="2" t="s">
        <v>4</v>
      </c>
      <c r="F1" s="2" t="s">
        <v>5</v>
      </c>
      <c r="G1" s="4" t="s">
        <v>6</v>
      </c>
      <c r="H1" s="4" t="s">
        <v>7</v>
      </c>
      <c r="I1" s="5" t="s">
        <v>8</v>
      </c>
      <c r="J1" s="4" t="s">
        <v>9</v>
      </c>
      <c r="K1" s="2" t="s">
        <v>10</v>
      </c>
      <c r="L1" s="3" t="s">
        <v>11</v>
      </c>
      <c r="M1" s="8" t="s">
        <v>12</v>
      </c>
      <c r="N1" s="9" t="s">
        <v>13</v>
      </c>
      <c r="O1" s="10" t="s">
        <v>14</v>
      </c>
      <c r="P1" s="7" t="s">
        <v>15</v>
      </c>
      <c r="Q1" s="3" t="s">
        <v>16</v>
      </c>
      <c r="R1" s="4" t="s">
        <v>17</v>
      </c>
      <c r="S1" s="5" t="s">
        <v>15</v>
      </c>
      <c r="T1" s="5" t="s">
        <v>18</v>
      </c>
      <c r="U1" s="5" t="s">
        <v>19</v>
      </c>
      <c r="V1" s="5" t="s">
        <v>20</v>
      </c>
    </row>
    <row r="2">
      <c r="A2" s="12">
        <v>1.0</v>
      </c>
      <c r="B2" s="14">
        <v>46054.0</v>
      </c>
      <c r="C2" s="16" t="s">
        <v>21</v>
      </c>
      <c r="D2" s="16" t="s">
        <v>22</v>
      </c>
      <c r="E2" s="19" t="s">
        <v>23</v>
      </c>
      <c r="F2" s="21">
        <v>5.60005306E8</v>
      </c>
      <c r="G2" s="21" t="s">
        <v>27</v>
      </c>
      <c r="H2" s="21" t="s">
        <v>27</v>
      </c>
      <c r="I2" s="23" t="s">
        <v>30</v>
      </c>
      <c r="J2" s="19" t="s">
        <v>32</v>
      </c>
      <c r="K2" s="22" t="s">
        <v>36</v>
      </c>
      <c r="L2" s="22"/>
      <c r="M2" s="25" t="s">
        <v>38</v>
      </c>
      <c r="N2" s="22" t="s">
        <v>40</v>
      </c>
      <c r="O2" s="22" t="s">
        <v>42</v>
      </c>
      <c r="P2" s="29"/>
      <c r="Q2" s="22" t="s">
        <v>44</v>
      </c>
      <c r="R2" s="33" t="s">
        <v>46</v>
      </c>
      <c r="S2" s="29"/>
      <c r="T2" s="29"/>
      <c r="U2" s="29"/>
      <c r="V2" s="26">
        <v>5.0</v>
      </c>
    </row>
    <row r="3">
      <c r="A3" s="12">
        <v>2.0</v>
      </c>
      <c r="B3" s="14">
        <v>46054.0</v>
      </c>
      <c r="C3" s="12" t="s">
        <v>47</v>
      </c>
      <c r="D3" s="12" t="s">
        <v>48</v>
      </c>
      <c r="E3" s="23" t="s">
        <v>50</v>
      </c>
      <c r="F3" s="36">
        <v>5.59955436E8</v>
      </c>
      <c r="G3" s="23" t="s">
        <v>41</v>
      </c>
      <c r="H3" s="36" t="s">
        <v>52</v>
      </c>
      <c r="I3" s="23" t="s">
        <v>53</v>
      </c>
      <c r="J3" s="23" t="s">
        <v>54</v>
      </c>
      <c r="K3" s="17" t="s">
        <v>36</v>
      </c>
      <c r="L3" s="22"/>
      <c r="M3" s="27" t="s">
        <v>55</v>
      </c>
      <c r="N3" s="17" t="s">
        <v>56</v>
      </c>
      <c r="O3" s="17" t="s">
        <v>42</v>
      </c>
      <c r="P3" s="29"/>
      <c r="Q3" s="17" t="s">
        <v>44</v>
      </c>
      <c r="R3" s="39" t="s">
        <v>46</v>
      </c>
      <c r="S3" s="29"/>
      <c r="T3" s="29"/>
      <c r="U3" s="29"/>
      <c r="V3" s="26">
        <v>5.0</v>
      </c>
    </row>
    <row r="4" ht="36.0" customHeight="1">
      <c r="A4" s="12">
        <v>3.0</v>
      </c>
      <c r="B4" s="14">
        <v>46054.0</v>
      </c>
      <c r="C4" s="12" t="s">
        <v>21</v>
      </c>
      <c r="D4" s="12" t="s">
        <v>66</v>
      </c>
      <c r="E4" s="23" t="s">
        <v>67</v>
      </c>
      <c r="F4" s="36">
        <v>5.80030899E8</v>
      </c>
      <c r="G4" s="23" t="s">
        <v>41</v>
      </c>
      <c r="H4" s="36" t="s">
        <v>27</v>
      </c>
      <c r="I4" s="23" t="s">
        <v>69</v>
      </c>
      <c r="J4" s="23"/>
      <c r="K4" s="17" t="s">
        <v>36</v>
      </c>
      <c r="L4" s="22"/>
      <c r="M4" s="27" t="s">
        <v>38</v>
      </c>
      <c r="N4" s="17" t="s">
        <v>56</v>
      </c>
      <c r="O4" s="17" t="s">
        <v>42</v>
      </c>
      <c r="P4" s="29"/>
      <c r="Q4" s="17" t="s">
        <v>44</v>
      </c>
      <c r="R4" s="39" t="s">
        <v>68</v>
      </c>
      <c r="S4" s="29"/>
      <c r="T4" s="29"/>
      <c r="U4" s="29"/>
      <c r="V4" s="26">
        <v>5.0</v>
      </c>
    </row>
    <row r="5" ht="64.5" customHeight="1">
      <c r="A5" s="12">
        <v>4.0</v>
      </c>
      <c r="B5" s="14">
        <v>46054.0</v>
      </c>
      <c r="C5" s="12" t="s">
        <v>47</v>
      </c>
      <c r="D5" s="12" t="s">
        <v>48</v>
      </c>
      <c r="E5" s="19" t="s">
        <v>77</v>
      </c>
      <c r="F5" s="21">
        <v>5.66198883E8</v>
      </c>
      <c r="G5" s="19" t="s">
        <v>79</v>
      </c>
      <c r="H5" s="21" t="s">
        <v>80</v>
      </c>
      <c r="I5" s="23" t="s">
        <v>82</v>
      </c>
      <c r="J5" s="23" t="s">
        <v>83</v>
      </c>
      <c r="K5" s="22" t="s">
        <v>36</v>
      </c>
      <c r="L5" s="22"/>
      <c r="M5" s="27" t="s">
        <v>55</v>
      </c>
      <c r="N5" s="22" t="s">
        <v>56</v>
      </c>
      <c r="O5" s="22" t="s">
        <v>42</v>
      </c>
      <c r="P5" s="29"/>
      <c r="Q5" s="22" t="s">
        <v>44</v>
      </c>
      <c r="R5" s="33" t="s">
        <v>46</v>
      </c>
      <c r="S5" s="29"/>
      <c r="T5" s="29"/>
      <c r="U5" s="29"/>
      <c r="V5" s="26">
        <v>5.0</v>
      </c>
    </row>
    <row r="6">
      <c r="A6" s="12">
        <v>5.0</v>
      </c>
      <c r="B6" s="14">
        <v>46054.0</v>
      </c>
      <c r="C6" s="16" t="s">
        <v>58</v>
      </c>
      <c r="D6" s="16" t="s">
        <v>60</v>
      </c>
      <c r="E6" s="21" t="s">
        <v>27</v>
      </c>
      <c r="F6" s="21">
        <v>5.54270743E8</v>
      </c>
      <c r="G6" s="21" t="s">
        <v>27</v>
      </c>
      <c r="H6" s="21" t="s">
        <v>27</v>
      </c>
      <c r="I6" s="36" t="s">
        <v>89</v>
      </c>
      <c r="J6" s="19" t="s">
        <v>90</v>
      </c>
      <c r="K6" s="22" t="s">
        <v>65</v>
      </c>
      <c r="L6" s="22"/>
      <c r="M6" s="27" t="s">
        <v>88</v>
      </c>
      <c r="N6" s="17" t="s">
        <v>56</v>
      </c>
      <c r="O6" s="22" t="s">
        <v>42</v>
      </c>
      <c r="P6" s="29"/>
      <c r="Q6" s="22" t="s">
        <v>44</v>
      </c>
      <c r="R6" s="39" t="s">
        <v>68</v>
      </c>
      <c r="S6" s="29"/>
      <c r="T6" s="29"/>
      <c r="U6" s="29"/>
      <c r="V6" s="26">
        <v>5.0</v>
      </c>
    </row>
    <row r="7">
      <c r="A7" s="12">
        <v>6.0</v>
      </c>
      <c r="B7" s="14">
        <v>46054.0</v>
      </c>
      <c r="C7" s="12" t="s">
        <v>58</v>
      </c>
      <c r="D7" s="16" t="s">
        <v>60</v>
      </c>
      <c r="E7" s="21" t="s">
        <v>27</v>
      </c>
      <c r="F7" s="21">
        <v>5.32061433E8</v>
      </c>
      <c r="G7" s="21" t="s">
        <v>27</v>
      </c>
      <c r="H7" s="21" t="s">
        <v>27</v>
      </c>
      <c r="I7" s="36" t="s">
        <v>102</v>
      </c>
      <c r="J7" s="19" t="s">
        <v>104</v>
      </c>
      <c r="K7" s="22" t="s">
        <v>36</v>
      </c>
      <c r="L7" s="22"/>
      <c r="M7" s="27" t="s">
        <v>88</v>
      </c>
      <c r="N7" s="17" t="s">
        <v>56</v>
      </c>
      <c r="O7" s="22" t="s">
        <v>42</v>
      </c>
      <c r="P7" s="29"/>
      <c r="Q7" s="22" t="s">
        <v>44</v>
      </c>
      <c r="R7" s="39" t="s">
        <v>68</v>
      </c>
      <c r="S7" s="29"/>
      <c r="T7" s="29"/>
      <c r="U7" s="29"/>
      <c r="V7" s="26">
        <v>5.0</v>
      </c>
    </row>
    <row r="8" ht="99.0" customHeight="1">
      <c r="A8" s="12">
        <v>7.0</v>
      </c>
      <c r="B8" s="14">
        <v>46054.0</v>
      </c>
      <c r="C8" s="12" t="s">
        <v>47</v>
      </c>
      <c r="D8" s="12" t="s">
        <v>48</v>
      </c>
      <c r="E8" s="19" t="s">
        <v>111</v>
      </c>
      <c r="F8" s="21">
        <v>5.54274527E8</v>
      </c>
      <c r="G8" s="19" t="s">
        <v>112</v>
      </c>
      <c r="H8" s="21" t="s">
        <v>113</v>
      </c>
      <c r="I8" s="23" t="s">
        <v>114</v>
      </c>
      <c r="J8" s="23" t="s">
        <v>115</v>
      </c>
      <c r="K8" s="22" t="s">
        <v>36</v>
      </c>
      <c r="L8" s="22"/>
      <c r="M8" s="27" t="s">
        <v>55</v>
      </c>
      <c r="N8" s="22" t="s">
        <v>56</v>
      </c>
      <c r="O8" s="22" t="s">
        <v>42</v>
      </c>
      <c r="P8" s="29"/>
      <c r="Q8" s="22" t="s">
        <v>44</v>
      </c>
      <c r="R8" s="33" t="s">
        <v>46</v>
      </c>
      <c r="S8" s="29"/>
      <c r="T8" s="29"/>
      <c r="U8" s="29"/>
      <c r="V8" s="26">
        <v>5.0</v>
      </c>
    </row>
    <row r="9">
      <c r="A9" s="12">
        <v>8.0</v>
      </c>
      <c r="B9" s="14">
        <v>46054.0</v>
      </c>
      <c r="C9" s="12" t="s">
        <v>58</v>
      </c>
      <c r="D9" s="16" t="s">
        <v>60</v>
      </c>
      <c r="E9" s="21" t="s">
        <v>27</v>
      </c>
      <c r="F9" s="21">
        <v>5.04586102E8</v>
      </c>
      <c r="G9" s="21" t="s">
        <v>27</v>
      </c>
      <c r="H9" s="21" t="s">
        <v>27</v>
      </c>
      <c r="I9" s="36" t="s">
        <v>122</v>
      </c>
      <c r="J9" s="19" t="s">
        <v>124</v>
      </c>
      <c r="K9" s="22" t="s">
        <v>65</v>
      </c>
      <c r="L9" s="22"/>
      <c r="M9" s="27" t="s">
        <v>88</v>
      </c>
      <c r="N9" s="17" t="s">
        <v>56</v>
      </c>
      <c r="O9" s="22" t="s">
        <v>42</v>
      </c>
      <c r="P9" s="29"/>
      <c r="Q9" s="22" t="s">
        <v>44</v>
      </c>
      <c r="R9" s="39" t="s">
        <v>68</v>
      </c>
      <c r="S9" s="29"/>
      <c r="T9" s="29"/>
      <c r="U9" s="29"/>
      <c r="V9" s="26">
        <v>5.0</v>
      </c>
    </row>
    <row r="10">
      <c r="A10" s="12">
        <v>9.0</v>
      </c>
      <c r="B10" s="14">
        <v>46054.0</v>
      </c>
      <c r="C10" s="12" t="s">
        <v>58</v>
      </c>
      <c r="D10" s="16" t="s">
        <v>60</v>
      </c>
      <c r="E10" s="21" t="s">
        <v>27</v>
      </c>
      <c r="F10" s="21">
        <v>5.94897111E8</v>
      </c>
      <c r="G10" s="21" t="s">
        <v>27</v>
      </c>
      <c r="H10" s="21" t="s">
        <v>27</v>
      </c>
      <c r="I10" s="36" t="s">
        <v>129</v>
      </c>
      <c r="J10" s="19" t="s">
        <v>124</v>
      </c>
      <c r="K10" s="22" t="s">
        <v>65</v>
      </c>
      <c r="L10" s="22"/>
      <c r="M10" s="27" t="s">
        <v>88</v>
      </c>
      <c r="N10" s="17" t="s">
        <v>56</v>
      </c>
      <c r="O10" s="22" t="s">
        <v>42</v>
      </c>
      <c r="P10" s="29"/>
      <c r="Q10" s="22" t="s">
        <v>44</v>
      </c>
      <c r="R10" s="39" t="s">
        <v>68</v>
      </c>
      <c r="S10" s="29"/>
      <c r="T10" s="29"/>
      <c r="U10" s="29"/>
      <c r="V10" s="26">
        <v>5.0</v>
      </c>
    </row>
    <row r="11">
      <c r="A11" s="12">
        <v>10.0</v>
      </c>
      <c r="B11" s="14">
        <v>46054.0</v>
      </c>
      <c r="C11" s="12" t="s">
        <v>47</v>
      </c>
      <c r="D11" s="16" t="s">
        <v>138</v>
      </c>
      <c r="E11" s="19" t="s">
        <v>139</v>
      </c>
      <c r="F11" s="21" t="s">
        <v>27</v>
      </c>
      <c r="G11" s="19" t="s">
        <v>79</v>
      </c>
      <c r="H11" s="21" t="s">
        <v>142</v>
      </c>
      <c r="I11" s="23" t="s">
        <v>144</v>
      </c>
      <c r="J11" s="19" t="s">
        <v>145</v>
      </c>
      <c r="K11" s="22" t="s">
        <v>148</v>
      </c>
      <c r="L11" s="22"/>
      <c r="M11" s="27" t="s">
        <v>55</v>
      </c>
      <c r="N11" s="22" t="s">
        <v>56</v>
      </c>
      <c r="O11" s="22" t="s">
        <v>42</v>
      </c>
      <c r="P11" s="29"/>
      <c r="Q11" s="22" t="s">
        <v>44</v>
      </c>
      <c r="R11" s="33" t="s">
        <v>46</v>
      </c>
      <c r="S11" s="29"/>
      <c r="T11" s="29"/>
      <c r="U11" s="29"/>
      <c r="V11" s="26">
        <v>5.0</v>
      </c>
    </row>
    <row r="12">
      <c r="A12" s="12">
        <v>11.0</v>
      </c>
      <c r="B12" s="14">
        <v>46054.0</v>
      </c>
      <c r="C12" s="12" t="s">
        <v>47</v>
      </c>
      <c r="D12" s="16" t="s">
        <v>138</v>
      </c>
      <c r="E12" s="21" t="s">
        <v>156</v>
      </c>
      <c r="F12" s="21">
        <v>5.00582839E8</v>
      </c>
      <c r="G12" s="19" t="s">
        <v>71</v>
      </c>
      <c r="H12" s="21" t="s">
        <v>163</v>
      </c>
      <c r="I12" s="23" t="s">
        <v>166</v>
      </c>
      <c r="J12" s="19" t="s">
        <v>167</v>
      </c>
      <c r="K12" s="22" t="s">
        <v>148</v>
      </c>
      <c r="L12" s="22"/>
      <c r="M12" s="27" t="s">
        <v>55</v>
      </c>
      <c r="N12" s="22" t="s">
        <v>56</v>
      </c>
      <c r="O12" s="22" t="s">
        <v>42</v>
      </c>
      <c r="P12" s="29"/>
      <c r="Q12" s="22" t="s">
        <v>44</v>
      </c>
      <c r="R12" s="33" t="s">
        <v>46</v>
      </c>
      <c r="S12" s="29"/>
      <c r="T12" s="29"/>
      <c r="U12" s="29"/>
      <c r="V12" s="26">
        <v>5.0</v>
      </c>
    </row>
    <row r="13">
      <c r="A13" s="12">
        <v>12.0</v>
      </c>
      <c r="B13" s="14">
        <v>46054.0</v>
      </c>
      <c r="C13" s="12" t="s">
        <v>47</v>
      </c>
      <c r="D13" s="16" t="s">
        <v>138</v>
      </c>
      <c r="E13" s="19" t="s">
        <v>174</v>
      </c>
      <c r="F13" s="21">
        <v>5.53523269E8</v>
      </c>
      <c r="G13" s="19" t="s">
        <v>28</v>
      </c>
      <c r="H13" s="21" t="s">
        <v>177</v>
      </c>
      <c r="I13" s="23" t="s">
        <v>179</v>
      </c>
      <c r="J13" s="19" t="s">
        <v>181</v>
      </c>
      <c r="K13" s="22" t="s">
        <v>148</v>
      </c>
      <c r="L13" s="22"/>
      <c r="M13" s="27" t="s">
        <v>183</v>
      </c>
      <c r="N13" s="22" t="s">
        <v>56</v>
      </c>
      <c r="O13" s="22" t="s">
        <v>42</v>
      </c>
      <c r="P13" s="29"/>
      <c r="Q13" s="22" t="s">
        <v>44</v>
      </c>
      <c r="R13" s="33" t="s">
        <v>46</v>
      </c>
      <c r="S13" s="29"/>
      <c r="T13" s="29"/>
      <c r="U13" s="29"/>
      <c r="V13" s="26">
        <v>5.0</v>
      </c>
    </row>
    <row r="14">
      <c r="A14" s="12">
        <v>13.0</v>
      </c>
      <c r="B14" s="14">
        <v>46054.0</v>
      </c>
      <c r="C14" s="12" t="s">
        <v>47</v>
      </c>
      <c r="D14" s="12" t="s">
        <v>48</v>
      </c>
      <c r="E14" s="23" t="s">
        <v>192</v>
      </c>
      <c r="F14" s="36">
        <v>5.67880623E8</v>
      </c>
      <c r="G14" s="23" t="s">
        <v>41</v>
      </c>
      <c r="H14" s="36" t="s">
        <v>193</v>
      </c>
      <c r="I14" s="23" t="s">
        <v>195</v>
      </c>
      <c r="J14" s="23" t="s">
        <v>196</v>
      </c>
      <c r="K14" s="17" t="s">
        <v>36</v>
      </c>
      <c r="L14" s="22"/>
      <c r="M14" s="27" t="s">
        <v>55</v>
      </c>
      <c r="N14" s="17" t="s">
        <v>56</v>
      </c>
      <c r="O14" s="17" t="s">
        <v>42</v>
      </c>
      <c r="P14" s="29"/>
      <c r="Q14" s="17" t="s">
        <v>49</v>
      </c>
      <c r="R14" s="39" t="s">
        <v>46</v>
      </c>
      <c r="S14" s="29"/>
      <c r="T14" s="29"/>
      <c r="U14" s="29"/>
      <c r="V14" s="26">
        <v>5.0</v>
      </c>
    </row>
    <row r="15">
      <c r="A15" s="12">
        <v>14.0</v>
      </c>
      <c r="B15" s="14">
        <v>46054.0</v>
      </c>
      <c r="C15" s="16" t="s">
        <v>21</v>
      </c>
      <c r="D15" s="16" t="s">
        <v>34</v>
      </c>
      <c r="E15" s="19" t="s">
        <v>202</v>
      </c>
      <c r="F15" s="21">
        <v>5.50235939E8</v>
      </c>
      <c r="G15" s="19" t="s">
        <v>41</v>
      </c>
      <c r="H15" s="21" t="s">
        <v>27</v>
      </c>
      <c r="I15" s="23" t="s">
        <v>206</v>
      </c>
      <c r="J15" s="19" t="s">
        <v>35</v>
      </c>
      <c r="K15" s="22" t="s">
        <v>36</v>
      </c>
      <c r="L15" s="22"/>
      <c r="M15" s="27" t="s">
        <v>38</v>
      </c>
      <c r="N15" s="17" t="s">
        <v>56</v>
      </c>
      <c r="O15" s="22" t="s">
        <v>42</v>
      </c>
      <c r="P15" s="29"/>
      <c r="Q15" s="22" t="s">
        <v>49</v>
      </c>
      <c r="R15" s="33" t="s">
        <v>68</v>
      </c>
      <c r="S15" s="29"/>
      <c r="T15" s="29"/>
      <c r="U15" s="29"/>
      <c r="V15" s="26">
        <v>5.0</v>
      </c>
    </row>
    <row r="16">
      <c r="A16" s="12">
        <v>15.0</v>
      </c>
      <c r="B16" s="14">
        <v>46054.0</v>
      </c>
      <c r="C16" s="47" t="s">
        <v>21</v>
      </c>
      <c r="D16" s="47" t="s">
        <v>66</v>
      </c>
      <c r="E16" s="21" t="s">
        <v>216</v>
      </c>
      <c r="F16" s="21">
        <v>5.68268573E8</v>
      </c>
      <c r="G16" s="21" t="s">
        <v>27</v>
      </c>
      <c r="H16" s="21" t="s">
        <v>27</v>
      </c>
      <c r="I16" s="23" t="s">
        <v>219</v>
      </c>
      <c r="J16" s="19" t="s">
        <v>35</v>
      </c>
      <c r="K16" s="22" t="s">
        <v>39</v>
      </c>
      <c r="L16" s="22"/>
      <c r="M16" s="27" t="s">
        <v>38</v>
      </c>
      <c r="N16" s="17" t="s">
        <v>56</v>
      </c>
      <c r="O16" s="22" t="s">
        <v>42</v>
      </c>
      <c r="P16" s="29"/>
      <c r="Q16" s="22" t="s">
        <v>49</v>
      </c>
      <c r="R16" s="33" t="s">
        <v>68</v>
      </c>
      <c r="S16" s="29"/>
      <c r="T16" s="29"/>
      <c r="U16" s="29"/>
      <c r="V16" s="26">
        <v>5.0</v>
      </c>
    </row>
    <row r="17" ht="29.25" customHeight="1">
      <c r="A17" s="12">
        <v>16.0</v>
      </c>
      <c r="B17" s="14">
        <v>46054.0</v>
      </c>
      <c r="C17" s="16" t="s">
        <v>47</v>
      </c>
      <c r="D17" s="16" t="s">
        <v>48</v>
      </c>
      <c r="E17" s="19" t="s">
        <v>225</v>
      </c>
      <c r="F17" s="21" t="s">
        <v>27</v>
      </c>
      <c r="G17" s="23" t="s">
        <v>41</v>
      </c>
      <c r="H17" s="12" t="s">
        <v>227</v>
      </c>
      <c r="I17" s="23" t="s">
        <v>229</v>
      </c>
      <c r="J17" s="19" t="s">
        <v>230</v>
      </c>
      <c r="K17" s="22" t="s">
        <v>78</v>
      </c>
      <c r="L17" s="22"/>
      <c r="M17" s="27" t="s">
        <v>55</v>
      </c>
      <c r="N17" s="22" t="s">
        <v>56</v>
      </c>
      <c r="O17" s="22" t="s">
        <v>42</v>
      </c>
      <c r="P17" s="29"/>
      <c r="Q17" s="22" t="s">
        <v>49</v>
      </c>
      <c r="R17" s="33" t="s">
        <v>46</v>
      </c>
      <c r="S17" s="29"/>
      <c r="T17" s="29"/>
      <c r="U17" s="29"/>
      <c r="V17" s="26">
        <v>5.0</v>
      </c>
    </row>
    <row r="18">
      <c r="A18" s="12">
        <v>17.0</v>
      </c>
      <c r="B18" s="14">
        <v>46054.0</v>
      </c>
      <c r="C18" s="16" t="s">
        <v>47</v>
      </c>
      <c r="D18" s="16" t="s">
        <v>48</v>
      </c>
      <c r="E18" s="19" t="s">
        <v>234</v>
      </c>
      <c r="F18" s="21" t="s">
        <v>27</v>
      </c>
      <c r="G18" s="19" t="s">
        <v>79</v>
      </c>
      <c r="H18" s="21" t="s">
        <v>239</v>
      </c>
      <c r="I18" s="23" t="s">
        <v>241</v>
      </c>
      <c r="J18" s="19" t="s">
        <v>243</v>
      </c>
      <c r="K18" s="22" t="s">
        <v>78</v>
      </c>
      <c r="L18" s="22"/>
      <c r="M18" s="27" t="s">
        <v>55</v>
      </c>
      <c r="N18" s="22" t="s">
        <v>56</v>
      </c>
      <c r="O18" s="22" t="s">
        <v>42</v>
      </c>
      <c r="P18" s="29"/>
      <c r="Q18" s="22" t="s">
        <v>49</v>
      </c>
      <c r="R18" s="33" t="s">
        <v>46</v>
      </c>
      <c r="S18" s="29"/>
      <c r="T18" s="29"/>
      <c r="U18" s="29"/>
      <c r="V18" s="26">
        <v>5.0</v>
      </c>
    </row>
    <row r="19">
      <c r="A19" s="12">
        <v>18.0</v>
      </c>
      <c r="B19" s="14">
        <v>46054.0</v>
      </c>
      <c r="C19" s="16" t="s">
        <v>47</v>
      </c>
      <c r="D19" s="16" t="s">
        <v>138</v>
      </c>
      <c r="E19" s="19" t="s">
        <v>249</v>
      </c>
      <c r="F19" s="21" t="s">
        <v>27</v>
      </c>
      <c r="G19" s="23" t="s">
        <v>41</v>
      </c>
      <c r="H19" s="21" t="s">
        <v>253</v>
      </c>
      <c r="I19" s="23" t="s">
        <v>254</v>
      </c>
      <c r="J19" s="56" t="s">
        <v>255</v>
      </c>
      <c r="K19" s="22" t="s">
        <v>78</v>
      </c>
      <c r="L19" s="22"/>
      <c r="M19" s="27" t="s">
        <v>55</v>
      </c>
      <c r="N19" s="22" t="s">
        <v>56</v>
      </c>
      <c r="O19" s="22" t="s">
        <v>42</v>
      </c>
      <c r="P19" s="29"/>
      <c r="Q19" s="22" t="s">
        <v>49</v>
      </c>
      <c r="R19" s="33" t="s">
        <v>46</v>
      </c>
      <c r="S19" s="29"/>
      <c r="T19" s="29"/>
      <c r="U19" s="29"/>
      <c r="V19" s="26">
        <v>5.0</v>
      </c>
    </row>
    <row r="20">
      <c r="A20" s="12">
        <v>19.0</v>
      </c>
      <c r="B20" s="14">
        <v>46054.0</v>
      </c>
      <c r="C20" s="16" t="s">
        <v>47</v>
      </c>
      <c r="D20" s="16" t="s">
        <v>48</v>
      </c>
      <c r="E20" s="19" t="s">
        <v>262</v>
      </c>
      <c r="F20" s="21" t="s">
        <v>27</v>
      </c>
      <c r="G20" s="23" t="s">
        <v>41</v>
      </c>
      <c r="H20" s="21" t="s">
        <v>263</v>
      </c>
      <c r="I20" s="23" t="s">
        <v>265</v>
      </c>
      <c r="J20" s="19" t="s">
        <v>268</v>
      </c>
      <c r="K20" s="22" t="s">
        <v>78</v>
      </c>
      <c r="L20" s="22"/>
      <c r="M20" s="27" t="s">
        <v>221</v>
      </c>
      <c r="N20" s="22" t="s">
        <v>56</v>
      </c>
      <c r="O20" s="22" t="s">
        <v>42</v>
      </c>
      <c r="P20" s="29"/>
      <c r="Q20" s="22" t="s">
        <v>49</v>
      </c>
      <c r="R20" s="33" t="s">
        <v>46</v>
      </c>
      <c r="S20" s="29"/>
      <c r="T20" s="29"/>
      <c r="U20" s="29"/>
      <c r="V20" s="26">
        <v>5.0</v>
      </c>
    </row>
    <row r="21">
      <c r="A21" s="12">
        <v>20.0</v>
      </c>
      <c r="B21" s="14">
        <v>46054.0</v>
      </c>
      <c r="C21" s="16" t="s">
        <v>47</v>
      </c>
      <c r="D21" s="16" t="s">
        <v>48</v>
      </c>
      <c r="E21" s="19" t="s">
        <v>275</v>
      </c>
      <c r="F21" s="21" t="s">
        <v>27</v>
      </c>
      <c r="G21" s="19" t="s">
        <v>71</v>
      </c>
      <c r="H21" s="21" t="s">
        <v>72</v>
      </c>
      <c r="I21" s="23" t="s">
        <v>278</v>
      </c>
      <c r="J21" s="19" t="s">
        <v>281</v>
      </c>
      <c r="K21" s="22" t="s">
        <v>78</v>
      </c>
      <c r="L21" s="22"/>
      <c r="M21" s="27" t="s">
        <v>55</v>
      </c>
      <c r="N21" s="22" t="s">
        <v>56</v>
      </c>
      <c r="O21" s="22" t="s">
        <v>42</v>
      </c>
      <c r="P21" s="29"/>
      <c r="Q21" s="22" t="s">
        <v>49</v>
      </c>
      <c r="R21" s="33" t="s">
        <v>46</v>
      </c>
      <c r="S21" s="29"/>
      <c r="T21" s="29"/>
      <c r="U21" s="29"/>
      <c r="V21" s="26">
        <v>5.0</v>
      </c>
    </row>
    <row r="22">
      <c r="A22" s="12">
        <v>21.0</v>
      </c>
      <c r="B22" s="14">
        <v>46054.0</v>
      </c>
      <c r="C22" s="12" t="s">
        <v>47</v>
      </c>
      <c r="D22" s="16" t="s">
        <v>24</v>
      </c>
      <c r="E22" s="36" t="s">
        <v>288</v>
      </c>
      <c r="F22" s="36" t="s">
        <v>27</v>
      </c>
      <c r="G22" s="36" t="s">
        <v>27</v>
      </c>
      <c r="H22" s="36" t="s">
        <v>291</v>
      </c>
      <c r="I22" s="23" t="s">
        <v>292</v>
      </c>
      <c r="J22" s="19" t="s">
        <v>35</v>
      </c>
      <c r="K22" s="17" t="s">
        <v>78</v>
      </c>
      <c r="L22" s="22"/>
      <c r="M22" s="27" t="s">
        <v>55</v>
      </c>
      <c r="N22" s="17" t="s">
        <v>56</v>
      </c>
      <c r="O22" s="17" t="s">
        <v>42</v>
      </c>
      <c r="P22" s="29"/>
      <c r="Q22" s="17" t="s">
        <v>49</v>
      </c>
      <c r="R22" s="33" t="s">
        <v>68</v>
      </c>
      <c r="S22" s="29"/>
      <c r="T22" s="29"/>
      <c r="U22" s="29"/>
      <c r="V22" s="26">
        <v>5.0</v>
      </c>
    </row>
    <row r="23">
      <c r="A23" s="12">
        <v>22.0</v>
      </c>
      <c r="B23" s="14">
        <v>46054.0</v>
      </c>
      <c r="C23" s="16" t="s">
        <v>21</v>
      </c>
      <c r="D23" s="16" t="s">
        <v>34</v>
      </c>
      <c r="E23" s="19" t="s">
        <v>302</v>
      </c>
      <c r="F23" s="21">
        <v>5.79225011E8</v>
      </c>
      <c r="G23" s="21" t="s">
        <v>27</v>
      </c>
      <c r="H23" s="21" t="s">
        <v>27</v>
      </c>
      <c r="I23" s="23" t="s">
        <v>303</v>
      </c>
      <c r="J23" s="19" t="s">
        <v>304</v>
      </c>
      <c r="K23" s="22" t="s">
        <v>36</v>
      </c>
      <c r="L23" s="22"/>
      <c r="M23" s="27" t="s">
        <v>38</v>
      </c>
      <c r="N23" s="17" t="s">
        <v>56</v>
      </c>
      <c r="O23" s="22" t="s">
        <v>42</v>
      </c>
      <c r="P23" s="29"/>
      <c r="Q23" s="22" t="s">
        <v>49</v>
      </c>
      <c r="R23" s="33" t="s">
        <v>68</v>
      </c>
      <c r="S23" s="29"/>
      <c r="T23" s="29"/>
      <c r="U23" s="29"/>
      <c r="V23" s="26">
        <v>5.0</v>
      </c>
    </row>
    <row r="24">
      <c r="A24" s="12">
        <v>23.0</v>
      </c>
      <c r="B24" s="14">
        <v>46054.0</v>
      </c>
      <c r="C24" s="16" t="s">
        <v>21</v>
      </c>
      <c r="D24" s="16" t="s">
        <v>153</v>
      </c>
      <c r="E24" s="19" t="s">
        <v>310</v>
      </c>
      <c r="F24" s="21">
        <v>5.5908202E8</v>
      </c>
      <c r="G24" s="21" t="s">
        <v>27</v>
      </c>
      <c r="H24" s="21" t="s">
        <v>27</v>
      </c>
      <c r="I24" s="23" t="s">
        <v>312</v>
      </c>
      <c r="J24" s="19" t="s">
        <v>313</v>
      </c>
      <c r="K24" s="22" t="s">
        <v>36</v>
      </c>
      <c r="L24" s="22"/>
      <c r="M24" s="27" t="s">
        <v>38</v>
      </c>
      <c r="N24" s="17" t="s">
        <v>56</v>
      </c>
      <c r="O24" s="22" t="s">
        <v>42</v>
      </c>
      <c r="P24" s="29"/>
      <c r="Q24" s="22" t="s">
        <v>49</v>
      </c>
      <c r="R24" s="33" t="s">
        <v>68</v>
      </c>
      <c r="S24" s="29"/>
      <c r="T24" s="29"/>
      <c r="U24" s="29"/>
      <c r="V24" s="26">
        <v>5.0</v>
      </c>
    </row>
    <row r="25">
      <c r="A25" s="12">
        <v>24.0</v>
      </c>
      <c r="B25" s="14">
        <v>46054.0</v>
      </c>
      <c r="C25" s="16" t="s">
        <v>21</v>
      </c>
      <c r="D25" s="16" t="s">
        <v>22</v>
      </c>
      <c r="E25" s="19" t="s">
        <v>324</v>
      </c>
      <c r="F25" s="21">
        <v>5.57781146E8</v>
      </c>
      <c r="G25" s="19" t="s">
        <v>120</v>
      </c>
      <c r="H25" s="21" t="s">
        <v>27</v>
      </c>
      <c r="I25" s="23" t="s">
        <v>326</v>
      </c>
      <c r="J25" s="19" t="s">
        <v>32</v>
      </c>
      <c r="K25" s="22" t="s">
        <v>36</v>
      </c>
      <c r="L25" s="22"/>
      <c r="M25" s="27" t="s">
        <v>38</v>
      </c>
      <c r="N25" s="22" t="s">
        <v>40</v>
      </c>
      <c r="O25" s="22" t="s">
        <v>42</v>
      </c>
      <c r="P25" s="29"/>
      <c r="Q25" s="22" t="s">
        <v>44</v>
      </c>
      <c r="R25" s="33" t="s">
        <v>46</v>
      </c>
      <c r="S25" s="29"/>
      <c r="T25" s="29"/>
      <c r="U25" s="29"/>
      <c r="V25" s="26">
        <v>5.0</v>
      </c>
    </row>
    <row r="26">
      <c r="A26" s="12">
        <v>25.0</v>
      </c>
      <c r="B26" s="14">
        <v>46054.0</v>
      </c>
      <c r="C26" s="16" t="s">
        <v>58</v>
      </c>
      <c r="D26" s="16" t="s">
        <v>60</v>
      </c>
      <c r="E26" s="21" t="s">
        <v>27</v>
      </c>
      <c r="F26" s="21">
        <v>5.05495515E8</v>
      </c>
      <c r="G26" s="21" t="s">
        <v>27</v>
      </c>
      <c r="H26" s="21" t="s">
        <v>27</v>
      </c>
      <c r="I26" s="23" t="s">
        <v>336</v>
      </c>
      <c r="J26" s="64"/>
      <c r="K26" s="22" t="s">
        <v>65</v>
      </c>
      <c r="L26" s="22"/>
      <c r="M26" s="27" t="s">
        <v>38</v>
      </c>
      <c r="N26" s="17" t="s">
        <v>56</v>
      </c>
      <c r="O26" s="22" t="s">
        <v>42</v>
      </c>
      <c r="P26" s="29"/>
      <c r="Q26" s="22" t="s">
        <v>44</v>
      </c>
      <c r="R26" s="39" t="s">
        <v>68</v>
      </c>
      <c r="S26" s="29"/>
      <c r="T26" s="29"/>
      <c r="U26" s="29"/>
      <c r="V26" s="26">
        <v>5.0</v>
      </c>
    </row>
    <row r="27">
      <c r="A27" s="12">
        <v>26.0</v>
      </c>
      <c r="B27" s="14">
        <v>46054.0</v>
      </c>
      <c r="C27" s="12" t="s">
        <v>58</v>
      </c>
      <c r="D27" s="16" t="s">
        <v>60</v>
      </c>
      <c r="E27" s="19" t="s">
        <v>348</v>
      </c>
      <c r="F27" s="21">
        <v>5.4232606E8</v>
      </c>
      <c r="G27" s="19" t="s">
        <v>79</v>
      </c>
      <c r="H27" s="21" t="s">
        <v>80</v>
      </c>
      <c r="I27" s="23" t="s">
        <v>352</v>
      </c>
      <c r="J27" s="19" t="s">
        <v>353</v>
      </c>
      <c r="K27" s="22" t="s">
        <v>36</v>
      </c>
      <c r="L27" s="22"/>
      <c r="M27" s="27" t="s">
        <v>88</v>
      </c>
      <c r="N27" s="17" t="s">
        <v>56</v>
      </c>
      <c r="O27" s="22" t="s">
        <v>42</v>
      </c>
      <c r="P27" s="29"/>
      <c r="Q27" s="22" t="s">
        <v>44</v>
      </c>
      <c r="R27" s="39" t="s">
        <v>68</v>
      </c>
      <c r="S27" s="29"/>
      <c r="T27" s="29"/>
      <c r="U27" s="29"/>
      <c r="V27" s="26">
        <v>5.0</v>
      </c>
    </row>
    <row r="28">
      <c r="A28" s="12">
        <v>27.0</v>
      </c>
      <c r="B28" s="14">
        <v>46054.0</v>
      </c>
      <c r="C28" s="16" t="s">
        <v>21</v>
      </c>
      <c r="D28" s="16" t="s">
        <v>22</v>
      </c>
      <c r="E28" s="19" t="s">
        <v>361</v>
      </c>
      <c r="F28" s="21">
        <v>5.09444933E8</v>
      </c>
      <c r="G28" s="19" t="s">
        <v>362</v>
      </c>
      <c r="H28" s="21" t="s">
        <v>27</v>
      </c>
      <c r="I28" s="23" t="s">
        <v>364</v>
      </c>
      <c r="J28" s="19" t="s">
        <v>32</v>
      </c>
      <c r="K28" s="22" t="s">
        <v>36</v>
      </c>
      <c r="L28" s="22"/>
      <c r="M28" s="27" t="s">
        <v>38</v>
      </c>
      <c r="N28" s="22" t="s">
        <v>40</v>
      </c>
      <c r="O28" s="22" t="s">
        <v>42</v>
      </c>
      <c r="P28" s="29"/>
      <c r="Q28" s="22" t="s">
        <v>44</v>
      </c>
      <c r="R28" s="33" t="s">
        <v>46</v>
      </c>
      <c r="S28" s="29"/>
      <c r="T28" s="29"/>
      <c r="U28" s="29"/>
      <c r="V28" s="26">
        <v>5.0</v>
      </c>
    </row>
    <row r="29">
      <c r="A29" s="12">
        <v>28.0</v>
      </c>
      <c r="B29" s="14">
        <v>46055.0</v>
      </c>
      <c r="C29" s="12" t="s">
        <v>58</v>
      </c>
      <c r="D29" s="16" t="s">
        <v>60</v>
      </c>
      <c r="E29" s="21" t="s">
        <v>27</v>
      </c>
      <c r="F29" s="21">
        <v>5.63972218E8</v>
      </c>
      <c r="G29" s="21" t="s">
        <v>27</v>
      </c>
      <c r="H29" s="21" t="s">
        <v>27</v>
      </c>
      <c r="I29" s="36" t="s">
        <v>375</v>
      </c>
      <c r="J29" s="64"/>
      <c r="K29" s="22" t="s">
        <v>65</v>
      </c>
      <c r="L29" s="22"/>
      <c r="M29" s="27" t="s">
        <v>38</v>
      </c>
      <c r="N29" s="17" t="s">
        <v>56</v>
      </c>
      <c r="O29" s="22" t="s">
        <v>42</v>
      </c>
      <c r="P29" s="29"/>
      <c r="Q29" s="22" t="s">
        <v>44</v>
      </c>
      <c r="R29" s="39" t="s">
        <v>68</v>
      </c>
      <c r="S29" s="29"/>
      <c r="T29" s="29"/>
      <c r="U29" s="29"/>
      <c r="V29" s="26">
        <v>5.0</v>
      </c>
    </row>
    <row r="30">
      <c r="A30" s="12">
        <v>29.0</v>
      </c>
      <c r="B30" s="67">
        <v>46055.0</v>
      </c>
      <c r="C30" s="16" t="s">
        <v>47</v>
      </c>
      <c r="D30" s="16" t="s">
        <v>48</v>
      </c>
      <c r="E30" s="19" t="s">
        <v>382</v>
      </c>
      <c r="F30" s="21">
        <v>5.49110217E8</v>
      </c>
      <c r="G30" s="23" t="s">
        <v>41</v>
      </c>
      <c r="H30" s="36" t="s">
        <v>294</v>
      </c>
      <c r="I30" s="23" t="s">
        <v>385</v>
      </c>
      <c r="J30" s="23" t="s">
        <v>386</v>
      </c>
      <c r="K30" s="22" t="s">
        <v>36</v>
      </c>
      <c r="L30" s="22"/>
      <c r="M30" s="27" t="s">
        <v>55</v>
      </c>
      <c r="N30" s="22" t="s">
        <v>56</v>
      </c>
      <c r="O30" s="22" t="s">
        <v>42</v>
      </c>
      <c r="P30" s="29"/>
      <c r="Q30" s="22" t="s">
        <v>44</v>
      </c>
      <c r="R30" s="33" t="s">
        <v>46</v>
      </c>
      <c r="S30" s="29"/>
      <c r="T30" s="29"/>
      <c r="U30" s="29"/>
      <c r="V30" s="26">
        <v>5.0</v>
      </c>
    </row>
    <row r="31">
      <c r="A31" s="12">
        <v>30.0</v>
      </c>
      <c r="B31" s="14">
        <v>46055.0</v>
      </c>
      <c r="C31" s="16" t="s">
        <v>21</v>
      </c>
      <c r="D31" s="16" t="s">
        <v>24</v>
      </c>
      <c r="E31" s="19" t="s">
        <v>392</v>
      </c>
      <c r="F31" s="21">
        <v>5.5766226E8</v>
      </c>
      <c r="G31" s="19" t="s">
        <v>152</v>
      </c>
      <c r="H31" s="21" t="s">
        <v>27</v>
      </c>
      <c r="I31" s="23" t="s">
        <v>397</v>
      </c>
      <c r="J31" s="64"/>
      <c r="K31" s="22" t="s">
        <v>36</v>
      </c>
      <c r="L31" s="22"/>
      <c r="M31" s="27" t="s">
        <v>38</v>
      </c>
      <c r="N31" s="22" t="s">
        <v>40</v>
      </c>
      <c r="O31" s="22" t="s">
        <v>42</v>
      </c>
      <c r="P31" s="29"/>
      <c r="Q31" s="22" t="s">
        <v>44</v>
      </c>
      <c r="R31" s="33" t="s">
        <v>46</v>
      </c>
      <c r="S31" s="29"/>
      <c r="T31" s="29"/>
      <c r="U31" s="29"/>
      <c r="V31" s="26">
        <v>5.0</v>
      </c>
    </row>
    <row r="32">
      <c r="A32" s="12">
        <v>31.0</v>
      </c>
      <c r="B32" s="14">
        <v>46055.0</v>
      </c>
      <c r="C32" s="16" t="s">
        <v>47</v>
      </c>
      <c r="D32" s="16" t="s">
        <v>138</v>
      </c>
      <c r="E32" s="19" t="s">
        <v>404</v>
      </c>
      <c r="F32" s="21">
        <v>5.03542254E8</v>
      </c>
      <c r="G32" s="23" t="s">
        <v>41</v>
      </c>
      <c r="H32" s="21" t="s">
        <v>222</v>
      </c>
      <c r="I32" s="23" t="s">
        <v>409</v>
      </c>
      <c r="J32" s="19" t="s">
        <v>411</v>
      </c>
      <c r="K32" s="22" t="s">
        <v>148</v>
      </c>
      <c r="L32" s="22"/>
      <c r="M32" s="27" t="s">
        <v>55</v>
      </c>
      <c r="N32" s="22" t="s">
        <v>56</v>
      </c>
      <c r="O32" s="22" t="s">
        <v>42</v>
      </c>
      <c r="P32" s="29"/>
      <c r="Q32" s="22" t="s">
        <v>44</v>
      </c>
      <c r="R32" s="33" t="s">
        <v>46</v>
      </c>
      <c r="S32" s="29"/>
      <c r="T32" s="29"/>
      <c r="U32" s="29"/>
      <c r="V32" s="26">
        <v>5.0</v>
      </c>
    </row>
    <row r="33">
      <c r="A33" s="12">
        <v>32.0</v>
      </c>
      <c r="B33" s="14">
        <v>46055.0</v>
      </c>
      <c r="C33" s="16" t="s">
        <v>21</v>
      </c>
      <c r="D33" s="16" t="s">
        <v>66</v>
      </c>
      <c r="E33" s="19" t="s">
        <v>417</v>
      </c>
      <c r="F33" s="21">
        <v>5.90094825E8</v>
      </c>
      <c r="G33" s="19" t="s">
        <v>152</v>
      </c>
      <c r="H33" s="21" t="s">
        <v>27</v>
      </c>
      <c r="I33" s="23" t="s">
        <v>419</v>
      </c>
      <c r="J33" s="64"/>
      <c r="K33" s="22" t="s">
        <v>36</v>
      </c>
      <c r="L33" s="22"/>
      <c r="M33" s="27" t="s">
        <v>38</v>
      </c>
      <c r="N33" s="17" t="s">
        <v>56</v>
      </c>
      <c r="O33" s="22" t="s">
        <v>42</v>
      </c>
      <c r="P33" s="29"/>
      <c r="Q33" s="22" t="s">
        <v>44</v>
      </c>
      <c r="R33" s="39" t="s">
        <v>68</v>
      </c>
      <c r="S33" s="29"/>
      <c r="T33" s="29"/>
      <c r="U33" s="29"/>
      <c r="V33" s="26">
        <v>5.0</v>
      </c>
    </row>
    <row r="34">
      <c r="A34" s="12">
        <v>33.0</v>
      </c>
      <c r="B34" s="14">
        <v>46055.0</v>
      </c>
      <c r="C34" s="16" t="s">
        <v>21</v>
      </c>
      <c r="D34" s="16" t="s">
        <v>24</v>
      </c>
      <c r="E34" s="69" t="s">
        <v>430</v>
      </c>
      <c r="F34" s="16">
        <v>5.5558296E7</v>
      </c>
      <c r="G34" s="70" t="s">
        <v>71</v>
      </c>
      <c r="H34" s="16" t="s">
        <v>27</v>
      </c>
      <c r="I34" s="23" t="s">
        <v>434</v>
      </c>
      <c r="J34" s="69"/>
      <c r="K34" s="22" t="s">
        <v>36</v>
      </c>
      <c r="L34" s="22"/>
      <c r="M34" s="27" t="s">
        <v>38</v>
      </c>
      <c r="N34" s="22" t="s">
        <v>40</v>
      </c>
      <c r="O34" s="22" t="s">
        <v>42</v>
      </c>
      <c r="P34" s="29"/>
      <c r="Q34" s="22" t="s">
        <v>44</v>
      </c>
      <c r="R34" s="33" t="s">
        <v>46</v>
      </c>
      <c r="S34" s="29"/>
      <c r="T34" s="29"/>
      <c r="U34" s="29"/>
      <c r="V34" s="26">
        <v>5.0</v>
      </c>
    </row>
    <row r="35">
      <c r="A35" s="12">
        <v>34.0</v>
      </c>
      <c r="B35" s="14">
        <v>46055.0</v>
      </c>
      <c r="C35" s="16" t="s">
        <v>21</v>
      </c>
      <c r="D35" s="16" t="s">
        <v>24</v>
      </c>
      <c r="E35" s="69" t="s">
        <v>440</v>
      </c>
      <c r="F35" s="16">
        <v>5.00283376E8</v>
      </c>
      <c r="G35" s="70" t="s">
        <v>172</v>
      </c>
      <c r="H35" s="16" t="s">
        <v>27</v>
      </c>
      <c r="I35" s="23" t="s">
        <v>93</v>
      </c>
      <c r="J35" s="72"/>
      <c r="K35" s="22" t="s">
        <v>36</v>
      </c>
      <c r="L35" s="22"/>
      <c r="M35" s="27" t="s">
        <v>38</v>
      </c>
      <c r="N35" s="22" t="s">
        <v>40</v>
      </c>
      <c r="O35" s="22" t="s">
        <v>42</v>
      </c>
      <c r="P35" s="29"/>
      <c r="Q35" s="22" t="s">
        <v>44</v>
      </c>
      <c r="R35" s="33" t="s">
        <v>46</v>
      </c>
      <c r="S35" s="29"/>
      <c r="T35" s="29"/>
      <c r="U35" s="29"/>
      <c r="V35" s="26">
        <v>5.0</v>
      </c>
    </row>
    <row r="36">
      <c r="A36" s="12">
        <v>35.0</v>
      </c>
      <c r="B36" s="14">
        <v>46055.0</v>
      </c>
      <c r="C36" s="16" t="s">
        <v>21</v>
      </c>
      <c r="D36" s="16" t="s">
        <v>66</v>
      </c>
      <c r="E36" s="69" t="s">
        <v>450</v>
      </c>
      <c r="F36" s="16">
        <v>5.45541282E8</v>
      </c>
      <c r="G36" s="70" t="s">
        <v>71</v>
      </c>
      <c r="H36" s="12" t="s">
        <v>27</v>
      </c>
      <c r="I36" s="23" t="s">
        <v>452</v>
      </c>
      <c r="J36" s="69"/>
      <c r="K36" s="22" t="s">
        <v>36</v>
      </c>
      <c r="L36" s="22"/>
      <c r="M36" s="27" t="s">
        <v>38</v>
      </c>
      <c r="N36" s="17" t="s">
        <v>56</v>
      </c>
      <c r="O36" s="22" t="s">
        <v>42</v>
      </c>
      <c r="P36" s="29"/>
      <c r="Q36" s="22" t="s">
        <v>44</v>
      </c>
      <c r="R36" s="39" t="s">
        <v>68</v>
      </c>
      <c r="S36" s="29"/>
      <c r="T36" s="29"/>
      <c r="U36" s="29"/>
      <c r="V36" s="26">
        <v>5.0</v>
      </c>
    </row>
    <row r="37">
      <c r="A37" s="12">
        <v>36.0</v>
      </c>
      <c r="B37" s="14">
        <v>46055.0</v>
      </c>
      <c r="C37" s="16" t="s">
        <v>47</v>
      </c>
      <c r="D37" s="16" t="s">
        <v>48</v>
      </c>
      <c r="E37" s="69" t="s">
        <v>459</v>
      </c>
      <c r="F37" s="16">
        <v>5.63345627E8</v>
      </c>
      <c r="G37" s="69" t="s">
        <v>79</v>
      </c>
      <c r="H37" s="16" t="s">
        <v>178</v>
      </c>
      <c r="I37" s="23" t="s">
        <v>461</v>
      </c>
      <c r="J37" s="73" t="s">
        <v>462</v>
      </c>
      <c r="K37" s="22" t="s">
        <v>36</v>
      </c>
      <c r="L37" s="22"/>
      <c r="M37" s="27" t="s">
        <v>221</v>
      </c>
      <c r="N37" s="22" t="s">
        <v>56</v>
      </c>
      <c r="O37" s="22" t="s">
        <v>42</v>
      </c>
      <c r="P37" s="29"/>
      <c r="Q37" s="22" t="s">
        <v>44</v>
      </c>
      <c r="R37" s="33" t="s">
        <v>46</v>
      </c>
      <c r="S37" s="29"/>
      <c r="T37" s="29"/>
      <c r="U37" s="29"/>
      <c r="V37" s="26">
        <v>5.0</v>
      </c>
    </row>
    <row r="38">
      <c r="A38" s="12">
        <v>37.0</v>
      </c>
      <c r="B38" s="14">
        <v>46055.0</v>
      </c>
      <c r="C38" s="16" t="s">
        <v>58</v>
      </c>
      <c r="D38" s="16" t="s">
        <v>34</v>
      </c>
      <c r="E38" s="69" t="s">
        <v>466</v>
      </c>
      <c r="F38" s="16">
        <v>5.00418417E8</v>
      </c>
      <c r="G38" s="70" t="s">
        <v>71</v>
      </c>
      <c r="H38" s="16" t="s">
        <v>27</v>
      </c>
      <c r="I38" s="23" t="s">
        <v>469</v>
      </c>
      <c r="J38" s="70" t="s">
        <v>470</v>
      </c>
      <c r="K38" s="22" t="s">
        <v>36</v>
      </c>
      <c r="L38" s="22"/>
      <c r="M38" s="27" t="s">
        <v>88</v>
      </c>
      <c r="N38" s="17" t="s">
        <v>56</v>
      </c>
      <c r="O38" s="22" t="s">
        <v>42</v>
      </c>
      <c r="P38" s="29"/>
      <c r="Q38" s="22" t="s">
        <v>44</v>
      </c>
      <c r="R38" s="39" t="s">
        <v>68</v>
      </c>
      <c r="S38" s="29"/>
      <c r="T38" s="29"/>
      <c r="U38" s="29"/>
      <c r="V38" s="26">
        <v>5.0</v>
      </c>
    </row>
    <row r="39">
      <c r="A39" s="12">
        <v>38.0</v>
      </c>
      <c r="B39" s="14">
        <v>46055.0</v>
      </c>
      <c r="C39" s="16" t="s">
        <v>21</v>
      </c>
      <c r="D39" s="16" t="s">
        <v>24</v>
      </c>
      <c r="E39" s="69" t="s">
        <v>477</v>
      </c>
      <c r="F39" s="16">
        <v>5.33027717E8</v>
      </c>
      <c r="G39" s="70" t="s">
        <v>41</v>
      </c>
      <c r="H39" s="16" t="s">
        <v>27</v>
      </c>
      <c r="I39" s="23" t="s">
        <v>479</v>
      </c>
      <c r="J39" s="70"/>
      <c r="K39" s="22" t="s">
        <v>36</v>
      </c>
      <c r="L39" s="22"/>
      <c r="M39" s="27" t="s">
        <v>38</v>
      </c>
      <c r="N39" s="22" t="s">
        <v>40</v>
      </c>
      <c r="O39" s="22" t="s">
        <v>42</v>
      </c>
      <c r="P39" s="29"/>
      <c r="Q39" s="22" t="s">
        <v>44</v>
      </c>
      <c r="R39" s="33" t="s">
        <v>46</v>
      </c>
      <c r="S39" s="29"/>
      <c r="T39" s="29"/>
      <c r="U39" s="29"/>
      <c r="V39" s="26">
        <v>5.0</v>
      </c>
    </row>
    <row r="40">
      <c r="A40" s="12">
        <v>39.0</v>
      </c>
      <c r="B40" s="14">
        <v>46055.0</v>
      </c>
      <c r="C40" s="16" t="s">
        <v>58</v>
      </c>
      <c r="D40" s="16" t="s">
        <v>60</v>
      </c>
      <c r="E40" s="12" t="s">
        <v>27</v>
      </c>
      <c r="F40" s="16">
        <v>5.78331043E8</v>
      </c>
      <c r="G40" s="69" t="s">
        <v>112</v>
      </c>
      <c r="H40" s="16" t="s">
        <v>27</v>
      </c>
      <c r="I40" s="23" t="s">
        <v>484</v>
      </c>
      <c r="J40" s="70"/>
      <c r="K40" s="22" t="s">
        <v>36</v>
      </c>
      <c r="L40" s="22"/>
      <c r="M40" s="27" t="s">
        <v>88</v>
      </c>
      <c r="N40" s="17" t="s">
        <v>56</v>
      </c>
      <c r="O40" s="22" t="s">
        <v>42</v>
      </c>
      <c r="P40" s="29"/>
      <c r="Q40" s="22" t="s">
        <v>44</v>
      </c>
      <c r="R40" s="39" t="s">
        <v>68</v>
      </c>
      <c r="S40" s="29"/>
      <c r="T40" s="29"/>
      <c r="U40" s="29"/>
      <c r="V40" s="26">
        <v>5.0</v>
      </c>
    </row>
    <row r="41">
      <c r="A41" s="12">
        <v>40.0</v>
      </c>
      <c r="B41" s="14">
        <v>46055.0</v>
      </c>
      <c r="C41" s="12" t="s">
        <v>21</v>
      </c>
      <c r="D41" s="12" t="s">
        <v>22</v>
      </c>
      <c r="E41" s="69" t="s">
        <v>494</v>
      </c>
      <c r="F41" s="12">
        <v>5.59444772E8</v>
      </c>
      <c r="G41" s="69" t="s">
        <v>495</v>
      </c>
      <c r="H41" s="21" t="s">
        <v>27</v>
      </c>
      <c r="I41" s="23" t="s">
        <v>496</v>
      </c>
      <c r="J41" s="69" t="s">
        <v>35</v>
      </c>
      <c r="K41" s="17" t="s">
        <v>36</v>
      </c>
      <c r="L41" s="22"/>
      <c r="M41" s="27" t="s">
        <v>38</v>
      </c>
      <c r="N41" s="22" t="s">
        <v>56</v>
      </c>
      <c r="O41" s="22" t="s">
        <v>42</v>
      </c>
      <c r="P41" s="29"/>
      <c r="Q41" s="17" t="s">
        <v>49</v>
      </c>
      <c r="R41" s="39" t="s">
        <v>46</v>
      </c>
      <c r="S41" s="29"/>
      <c r="T41" s="29"/>
      <c r="U41" s="29"/>
      <c r="V41" s="26">
        <v>5.0</v>
      </c>
    </row>
    <row r="42">
      <c r="A42" s="12">
        <v>41.0</v>
      </c>
      <c r="B42" s="67">
        <v>46055.0</v>
      </c>
      <c r="C42" s="16" t="s">
        <v>58</v>
      </c>
      <c r="D42" s="16" t="s">
        <v>57</v>
      </c>
      <c r="E42" s="70" t="s">
        <v>501</v>
      </c>
      <c r="F42" s="16">
        <v>5.33122826E8</v>
      </c>
      <c r="G42" s="16" t="s">
        <v>27</v>
      </c>
      <c r="H42" s="16" t="s">
        <v>27</v>
      </c>
      <c r="I42" s="23" t="s">
        <v>502</v>
      </c>
      <c r="J42" s="19" t="s">
        <v>35</v>
      </c>
      <c r="K42" s="22" t="s">
        <v>36</v>
      </c>
      <c r="L42" s="22"/>
      <c r="M42" s="27" t="s">
        <v>88</v>
      </c>
      <c r="N42" s="17" t="s">
        <v>56</v>
      </c>
      <c r="O42" s="22" t="s">
        <v>42</v>
      </c>
      <c r="P42" s="29"/>
      <c r="Q42" s="22" t="s">
        <v>49</v>
      </c>
      <c r="R42" s="33" t="s">
        <v>68</v>
      </c>
      <c r="S42" s="29"/>
      <c r="T42" s="29"/>
      <c r="U42" s="29"/>
      <c r="V42" s="26">
        <v>5.0</v>
      </c>
    </row>
    <row r="43">
      <c r="A43" s="12">
        <v>42.0</v>
      </c>
      <c r="B43" s="14">
        <v>46055.0</v>
      </c>
      <c r="C43" s="12" t="s">
        <v>21</v>
      </c>
      <c r="D43" s="16" t="s">
        <v>92</v>
      </c>
      <c r="E43" s="69" t="s">
        <v>508</v>
      </c>
      <c r="F43" s="12">
        <v>5.46862678E8</v>
      </c>
      <c r="G43" s="12" t="s">
        <v>27</v>
      </c>
      <c r="H43" s="12" t="s">
        <v>27</v>
      </c>
      <c r="I43" s="23" t="s">
        <v>510</v>
      </c>
      <c r="J43" s="69" t="s">
        <v>511</v>
      </c>
      <c r="K43" s="17" t="s">
        <v>36</v>
      </c>
      <c r="L43" s="22"/>
      <c r="M43" s="27" t="s">
        <v>38</v>
      </c>
      <c r="N43" s="17" t="s">
        <v>56</v>
      </c>
      <c r="O43" s="22" t="s">
        <v>42</v>
      </c>
      <c r="P43" s="29"/>
      <c r="Q43" s="17" t="s">
        <v>44</v>
      </c>
      <c r="R43" s="39" t="s">
        <v>68</v>
      </c>
      <c r="S43" s="29"/>
      <c r="T43" s="29"/>
      <c r="U43" s="29"/>
      <c r="V43" s="26">
        <v>5.0</v>
      </c>
    </row>
    <row r="44">
      <c r="A44" s="12">
        <v>43.0</v>
      </c>
      <c r="B44" s="14">
        <v>46055.0</v>
      </c>
      <c r="C44" s="12" t="s">
        <v>58</v>
      </c>
      <c r="D44" s="16" t="s">
        <v>60</v>
      </c>
      <c r="E44" s="12" t="s">
        <v>27</v>
      </c>
      <c r="F44" s="12">
        <v>5.05163589E8</v>
      </c>
      <c r="G44" s="12" t="s">
        <v>27</v>
      </c>
      <c r="H44" s="12" t="s">
        <v>27</v>
      </c>
      <c r="I44" s="23" t="s">
        <v>484</v>
      </c>
      <c r="J44" s="69"/>
      <c r="K44" s="17" t="s">
        <v>36</v>
      </c>
      <c r="L44" s="22"/>
      <c r="M44" s="27" t="s">
        <v>88</v>
      </c>
      <c r="N44" s="17" t="s">
        <v>56</v>
      </c>
      <c r="O44" s="22" t="s">
        <v>42</v>
      </c>
      <c r="P44" s="29"/>
      <c r="Q44" s="17" t="s">
        <v>44</v>
      </c>
      <c r="R44" s="39" t="s">
        <v>68</v>
      </c>
      <c r="S44" s="29"/>
      <c r="T44" s="29"/>
      <c r="U44" s="29"/>
      <c r="V44" s="26">
        <v>5.0</v>
      </c>
    </row>
    <row r="45">
      <c r="A45" s="12">
        <v>44.0</v>
      </c>
      <c r="B45" s="14">
        <v>46055.0</v>
      </c>
      <c r="C45" s="12" t="s">
        <v>47</v>
      </c>
      <c r="D45" s="12" t="s">
        <v>367</v>
      </c>
      <c r="E45" s="69" t="s">
        <v>525</v>
      </c>
      <c r="F45" s="21" t="s">
        <v>27</v>
      </c>
      <c r="G45" s="23" t="s">
        <v>41</v>
      </c>
      <c r="H45" s="12" t="s">
        <v>222</v>
      </c>
      <c r="I45" s="23" t="s">
        <v>527</v>
      </c>
      <c r="J45" s="69" t="s">
        <v>528</v>
      </c>
      <c r="K45" s="17" t="s">
        <v>78</v>
      </c>
      <c r="L45" s="22"/>
      <c r="M45" s="27" t="s">
        <v>55</v>
      </c>
      <c r="N45" s="17" t="s">
        <v>56</v>
      </c>
      <c r="O45" s="17" t="s">
        <v>42</v>
      </c>
      <c r="P45" s="29"/>
      <c r="Q45" s="17" t="s">
        <v>49</v>
      </c>
      <c r="R45" s="39" t="s">
        <v>46</v>
      </c>
      <c r="S45" s="29"/>
      <c r="T45" s="29"/>
      <c r="U45" s="29"/>
      <c r="V45" s="26">
        <v>5.0</v>
      </c>
    </row>
    <row r="46">
      <c r="A46" s="12">
        <v>45.0</v>
      </c>
      <c r="B46" s="14">
        <v>46055.0</v>
      </c>
      <c r="C46" s="12" t="s">
        <v>47</v>
      </c>
      <c r="D46" s="16" t="s">
        <v>60</v>
      </c>
      <c r="E46" s="69" t="s">
        <v>534</v>
      </c>
      <c r="F46" s="12" t="s">
        <v>27</v>
      </c>
      <c r="G46" s="69" t="s">
        <v>79</v>
      </c>
      <c r="H46" s="12" t="s">
        <v>431</v>
      </c>
      <c r="I46" s="76" t="s">
        <v>538</v>
      </c>
      <c r="J46" s="19" t="s">
        <v>35</v>
      </c>
      <c r="K46" s="17" t="s">
        <v>78</v>
      </c>
      <c r="L46" s="22"/>
      <c r="M46" s="27" t="s">
        <v>55</v>
      </c>
      <c r="N46" s="17" t="s">
        <v>56</v>
      </c>
      <c r="O46" s="17" t="s">
        <v>42</v>
      </c>
      <c r="P46" s="29"/>
      <c r="Q46" s="17" t="s">
        <v>49</v>
      </c>
      <c r="R46" s="39" t="s">
        <v>68</v>
      </c>
      <c r="S46" s="29"/>
      <c r="T46" s="29"/>
      <c r="U46" s="29"/>
      <c r="V46" s="26">
        <v>5.0</v>
      </c>
    </row>
    <row r="47">
      <c r="A47" s="12">
        <v>46.0</v>
      </c>
      <c r="B47" s="14">
        <v>46055.0</v>
      </c>
      <c r="C47" s="12" t="s">
        <v>47</v>
      </c>
      <c r="D47" s="12" t="s">
        <v>48</v>
      </c>
      <c r="E47" s="77" t="s">
        <v>547</v>
      </c>
      <c r="F47" s="21" t="s">
        <v>27</v>
      </c>
      <c r="G47" s="69" t="s">
        <v>28</v>
      </c>
      <c r="H47" s="12" t="s">
        <v>548</v>
      </c>
      <c r="I47" s="23" t="s">
        <v>549</v>
      </c>
      <c r="J47" s="69" t="s">
        <v>551</v>
      </c>
      <c r="K47" s="17" t="s">
        <v>78</v>
      </c>
      <c r="L47" s="22"/>
      <c r="M47" s="27" t="s">
        <v>55</v>
      </c>
      <c r="N47" s="22" t="s">
        <v>56</v>
      </c>
      <c r="O47" s="17" t="s">
        <v>42</v>
      </c>
      <c r="P47" s="29"/>
      <c r="Q47" s="17" t="s">
        <v>49</v>
      </c>
      <c r="R47" s="39" t="s">
        <v>46</v>
      </c>
      <c r="S47" s="29"/>
      <c r="T47" s="29"/>
      <c r="U47" s="29"/>
      <c r="V47" s="26">
        <v>5.0</v>
      </c>
    </row>
    <row r="48">
      <c r="A48" s="12">
        <v>47.0</v>
      </c>
      <c r="B48" s="14">
        <v>46056.0</v>
      </c>
      <c r="C48" s="12" t="s">
        <v>58</v>
      </c>
      <c r="D48" s="16" t="s">
        <v>60</v>
      </c>
      <c r="E48" s="12" t="s">
        <v>27</v>
      </c>
      <c r="F48" s="12">
        <v>5.02006605E8</v>
      </c>
      <c r="G48" s="12" t="s">
        <v>27</v>
      </c>
      <c r="H48" s="12" t="s">
        <v>27</v>
      </c>
      <c r="I48" s="23" t="s">
        <v>484</v>
      </c>
      <c r="J48" s="69"/>
      <c r="K48" s="17" t="s">
        <v>36</v>
      </c>
      <c r="L48" s="22"/>
      <c r="M48" s="27" t="s">
        <v>88</v>
      </c>
      <c r="N48" s="17" t="s">
        <v>56</v>
      </c>
      <c r="O48" s="22" t="s">
        <v>42</v>
      </c>
      <c r="P48" s="29"/>
      <c r="Q48" s="17" t="s">
        <v>44</v>
      </c>
      <c r="R48" s="39" t="s">
        <v>68</v>
      </c>
      <c r="S48" s="29"/>
      <c r="T48" s="29"/>
      <c r="U48" s="29"/>
      <c r="V48" s="26">
        <v>5.0</v>
      </c>
    </row>
    <row r="49">
      <c r="A49" s="12">
        <v>48.0</v>
      </c>
      <c r="B49" s="14">
        <v>46056.0</v>
      </c>
      <c r="C49" s="16" t="s">
        <v>47</v>
      </c>
      <c r="D49" s="16" t="s">
        <v>251</v>
      </c>
      <c r="E49" s="21" t="s">
        <v>565</v>
      </c>
      <c r="F49" s="21" t="s">
        <v>27</v>
      </c>
      <c r="G49" s="19" t="s">
        <v>41</v>
      </c>
      <c r="H49" s="47" t="s">
        <v>567</v>
      </c>
      <c r="I49" s="23" t="s">
        <v>568</v>
      </c>
      <c r="J49" s="19" t="s">
        <v>35</v>
      </c>
      <c r="K49" s="22" t="s">
        <v>78</v>
      </c>
      <c r="L49" s="22"/>
      <c r="M49" s="27" t="s">
        <v>55</v>
      </c>
      <c r="N49" s="17" t="s">
        <v>56</v>
      </c>
      <c r="O49" s="22" t="s">
        <v>42</v>
      </c>
      <c r="P49" s="29"/>
      <c r="Q49" s="22" t="s">
        <v>49</v>
      </c>
      <c r="R49" s="39" t="s">
        <v>68</v>
      </c>
      <c r="S49" s="29"/>
      <c r="T49" s="29"/>
      <c r="U49" s="29"/>
      <c r="V49" s="26">
        <v>5.0</v>
      </c>
    </row>
    <row r="50">
      <c r="A50" s="12">
        <v>49.0</v>
      </c>
      <c r="B50" s="14">
        <v>46056.0</v>
      </c>
      <c r="C50" s="16" t="s">
        <v>47</v>
      </c>
      <c r="D50" s="16" t="s">
        <v>251</v>
      </c>
      <c r="E50" s="21" t="s">
        <v>572</v>
      </c>
      <c r="F50" s="21" t="s">
        <v>27</v>
      </c>
      <c r="G50" s="69" t="s">
        <v>79</v>
      </c>
      <c r="H50" s="47" t="s">
        <v>142</v>
      </c>
      <c r="I50" s="23" t="s">
        <v>579</v>
      </c>
      <c r="J50" s="19" t="s">
        <v>35</v>
      </c>
      <c r="K50" s="22" t="s">
        <v>78</v>
      </c>
      <c r="L50" s="22"/>
      <c r="M50" s="27" t="s">
        <v>55</v>
      </c>
      <c r="N50" s="17" t="s">
        <v>56</v>
      </c>
      <c r="O50" s="22" t="s">
        <v>42</v>
      </c>
      <c r="P50" s="29"/>
      <c r="Q50" s="22" t="s">
        <v>49</v>
      </c>
      <c r="R50" s="39" t="s">
        <v>68</v>
      </c>
      <c r="S50" s="29"/>
      <c r="T50" s="29"/>
      <c r="U50" s="29"/>
      <c r="V50" s="26">
        <v>5.0</v>
      </c>
    </row>
    <row r="51" ht="48.75" customHeight="1">
      <c r="A51" s="12">
        <v>50.0</v>
      </c>
      <c r="B51" s="14">
        <v>46056.0</v>
      </c>
      <c r="C51" s="12" t="s">
        <v>47</v>
      </c>
      <c r="D51" s="12" t="s">
        <v>48</v>
      </c>
      <c r="E51" s="12" t="s">
        <v>583</v>
      </c>
      <c r="F51" s="21" t="s">
        <v>27</v>
      </c>
      <c r="G51" s="23" t="s">
        <v>41</v>
      </c>
      <c r="H51" s="12" t="s">
        <v>263</v>
      </c>
      <c r="I51" s="23" t="s">
        <v>588</v>
      </c>
      <c r="J51" s="69" t="s">
        <v>590</v>
      </c>
      <c r="K51" s="17" t="s">
        <v>78</v>
      </c>
      <c r="L51" s="22"/>
      <c r="M51" s="27" t="s">
        <v>55</v>
      </c>
      <c r="N51" s="22" t="s">
        <v>56</v>
      </c>
      <c r="O51" s="17" t="s">
        <v>42</v>
      </c>
      <c r="P51" s="29"/>
      <c r="Q51" s="17" t="s">
        <v>49</v>
      </c>
      <c r="R51" s="39" t="s">
        <v>46</v>
      </c>
      <c r="S51" s="29"/>
      <c r="T51" s="29"/>
      <c r="U51" s="29"/>
      <c r="V51" s="26">
        <v>5.0</v>
      </c>
    </row>
    <row r="52">
      <c r="A52" s="12">
        <v>51.0</v>
      </c>
      <c r="B52" s="14">
        <v>46056.0</v>
      </c>
      <c r="C52" s="12" t="s">
        <v>58</v>
      </c>
      <c r="D52" s="16" t="s">
        <v>60</v>
      </c>
      <c r="E52" s="69" t="s">
        <v>596</v>
      </c>
      <c r="F52" s="12">
        <v>5.55054728E8</v>
      </c>
      <c r="G52" s="69" t="s">
        <v>152</v>
      </c>
      <c r="H52" s="21" t="s">
        <v>27</v>
      </c>
      <c r="I52" s="23" t="s">
        <v>598</v>
      </c>
      <c r="J52" s="69" t="s">
        <v>600</v>
      </c>
      <c r="K52" s="17" t="s">
        <v>36</v>
      </c>
      <c r="L52" s="22"/>
      <c r="M52" s="27" t="s">
        <v>88</v>
      </c>
      <c r="N52" s="17" t="s">
        <v>56</v>
      </c>
      <c r="O52" s="22" t="s">
        <v>42</v>
      </c>
      <c r="P52" s="29"/>
      <c r="Q52" s="17" t="s">
        <v>44</v>
      </c>
      <c r="R52" s="39" t="s">
        <v>68</v>
      </c>
      <c r="S52" s="29"/>
      <c r="T52" s="29"/>
      <c r="U52" s="29"/>
      <c r="V52" s="26">
        <v>5.0</v>
      </c>
    </row>
    <row r="53">
      <c r="A53" s="12">
        <v>52.0</v>
      </c>
      <c r="B53" s="14">
        <v>46056.0</v>
      </c>
      <c r="C53" s="12" t="s">
        <v>21</v>
      </c>
      <c r="D53" s="12" t="s">
        <v>92</v>
      </c>
      <c r="E53" s="69" t="s">
        <v>606</v>
      </c>
      <c r="F53" s="12">
        <v>5.51616252E8</v>
      </c>
      <c r="G53" s="69" t="s">
        <v>41</v>
      </c>
      <c r="H53" s="21" t="s">
        <v>27</v>
      </c>
      <c r="I53" s="23" t="s">
        <v>609</v>
      </c>
      <c r="J53" s="69" t="s">
        <v>205</v>
      </c>
      <c r="K53" s="17" t="s">
        <v>36</v>
      </c>
      <c r="L53" s="22"/>
      <c r="M53" s="27" t="s">
        <v>38</v>
      </c>
      <c r="N53" s="22" t="s">
        <v>56</v>
      </c>
      <c r="O53" s="22" t="s">
        <v>42</v>
      </c>
      <c r="P53" s="29"/>
      <c r="Q53" s="17" t="s">
        <v>44</v>
      </c>
      <c r="R53" s="39" t="s">
        <v>68</v>
      </c>
      <c r="S53" s="29"/>
      <c r="T53" s="29"/>
      <c r="U53" s="29"/>
      <c r="V53" s="26">
        <v>5.0</v>
      </c>
    </row>
    <row r="54">
      <c r="A54" s="12">
        <v>53.0</v>
      </c>
      <c r="B54" s="14">
        <v>46056.0</v>
      </c>
      <c r="C54" s="12" t="s">
        <v>58</v>
      </c>
      <c r="D54" s="16" t="s">
        <v>60</v>
      </c>
      <c r="E54" s="12" t="s">
        <v>27</v>
      </c>
      <c r="F54" s="12">
        <v>5.01016282E8</v>
      </c>
      <c r="G54" s="12" t="s">
        <v>27</v>
      </c>
      <c r="H54" s="12" t="s">
        <v>27</v>
      </c>
      <c r="I54" s="23" t="s">
        <v>618</v>
      </c>
      <c r="J54" s="69"/>
      <c r="K54" s="17" t="s">
        <v>36</v>
      </c>
      <c r="L54" s="22"/>
      <c r="M54" s="27" t="s">
        <v>88</v>
      </c>
      <c r="N54" s="17" t="s">
        <v>56</v>
      </c>
      <c r="O54" s="22" t="s">
        <v>42</v>
      </c>
      <c r="P54" s="29"/>
      <c r="Q54" s="17" t="s">
        <v>44</v>
      </c>
      <c r="R54" s="39" t="s">
        <v>68</v>
      </c>
      <c r="S54" s="29"/>
      <c r="T54" s="29"/>
      <c r="U54" s="29"/>
      <c r="V54" s="26">
        <v>5.0</v>
      </c>
    </row>
    <row r="55">
      <c r="A55" s="12">
        <v>54.0</v>
      </c>
      <c r="B55" s="14">
        <v>46056.0</v>
      </c>
      <c r="C55" s="12" t="s">
        <v>58</v>
      </c>
      <c r="D55" s="16" t="s">
        <v>60</v>
      </c>
      <c r="E55" s="12" t="s">
        <v>27</v>
      </c>
      <c r="F55" s="12">
        <v>5.05481957E8</v>
      </c>
      <c r="G55" s="12" t="s">
        <v>27</v>
      </c>
      <c r="H55" s="12" t="s">
        <v>27</v>
      </c>
      <c r="I55" s="23" t="s">
        <v>554</v>
      </c>
      <c r="J55" s="69"/>
      <c r="K55" s="17" t="s">
        <v>36</v>
      </c>
      <c r="L55" s="22"/>
      <c r="M55" s="27" t="s">
        <v>88</v>
      </c>
      <c r="N55" s="17" t="s">
        <v>56</v>
      </c>
      <c r="O55" s="22" t="s">
        <v>42</v>
      </c>
      <c r="P55" s="29"/>
      <c r="Q55" s="17" t="s">
        <v>44</v>
      </c>
      <c r="R55" s="39" t="s">
        <v>68</v>
      </c>
      <c r="S55" s="29"/>
      <c r="T55" s="29"/>
      <c r="U55" s="29"/>
      <c r="V55" s="26">
        <v>5.0</v>
      </c>
    </row>
    <row r="56">
      <c r="A56" s="12">
        <v>55.0</v>
      </c>
      <c r="B56" s="14">
        <v>46056.0</v>
      </c>
      <c r="C56" s="12" t="s">
        <v>58</v>
      </c>
      <c r="D56" s="16" t="s">
        <v>60</v>
      </c>
      <c r="E56" s="12" t="s">
        <v>27</v>
      </c>
      <c r="F56" s="12">
        <v>5.08229327E8</v>
      </c>
      <c r="G56" s="12" t="s">
        <v>27</v>
      </c>
      <c r="H56" s="12" t="s">
        <v>27</v>
      </c>
      <c r="I56" s="23" t="s">
        <v>635</v>
      </c>
      <c r="J56" s="69"/>
      <c r="K56" s="17" t="s">
        <v>36</v>
      </c>
      <c r="L56" s="22"/>
      <c r="M56" s="27" t="s">
        <v>88</v>
      </c>
      <c r="N56" s="17" t="s">
        <v>56</v>
      </c>
      <c r="O56" s="22" t="s">
        <v>42</v>
      </c>
      <c r="P56" s="29"/>
      <c r="Q56" s="17" t="s">
        <v>44</v>
      </c>
      <c r="R56" s="39" t="s">
        <v>68</v>
      </c>
      <c r="S56" s="29"/>
      <c r="T56" s="29"/>
      <c r="U56" s="29"/>
      <c r="V56" s="26">
        <v>5.0</v>
      </c>
    </row>
    <row r="57">
      <c r="A57" s="12">
        <v>56.0</v>
      </c>
      <c r="B57" s="14">
        <v>46056.0</v>
      </c>
      <c r="C57" s="12" t="s">
        <v>21</v>
      </c>
      <c r="D57" s="12" t="s">
        <v>34</v>
      </c>
      <c r="E57" s="12" t="s">
        <v>27</v>
      </c>
      <c r="F57" s="12">
        <v>5.07074433E8</v>
      </c>
      <c r="G57" s="69" t="s">
        <v>152</v>
      </c>
      <c r="H57" s="12" t="s">
        <v>27</v>
      </c>
      <c r="I57" s="23" t="s">
        <v>642</v>
      </c>
      <c r="J57" s="69"/>
      <c r="K57" s="17" t="s">
        <v>36</v>
      </c>
      <c r="L57" s="22"/>
      <c r="M57" s="27" t="s">
        <v>38</v>
      </c>
      <c r="N57" s="17" t="s">
        <v>56</v>
      </c>
      <c r="O57" s="22" t="s">
        <v>42</v>
      </c>
      <c r="P57" s="29"/>
      <c r="Q57" s="17" t="s">
        <v>44</v>
      </c>
      <c r="R57" s="39" t="s">
        <v>68</v>
      </c>
      <c r="S57" s="29"/>
      <c r="T57" s="29"/>
      <c r="U57" s="29"/>
      <c r="V57" s="26">
        <v>5.0</v>
      </c>
    </row>
    <row r="58">
      <c r="A58" s="12">
        <v>57.0</v>
      </c>
      <c r="B58" s="14">
        <v>46056.0</v>
      </c>
      <c r="C58" s="12" t="s">
        <v>47</v>
      </c>
      <c r="D58" s="12" t="s">
        <v>48</v>
      </c>
      <c r="E58" s="69" t="s">
        <v>645</v>
      </c>
      <c r="F58" s="12">
        <v>5.01515163E8</v>
      </c>
      <c r="G58" s="23" t="s">
        <v>41</v>
      </c>
      <c r="H58" s="12" t="s">
        <v>146</v>
      </c>
      <c r="I58" s="23" t="s">
        <v>647</v>
      </c>
      <c r="J58" s="69" t="s">
        <v>648</v>
      </c>
      <c r="K58" s="17" t="s">
        <v>36</v>
      </c>
      <c r="L58" s="22"/>
      <c r="M58" s="27" t="s">
        <v>55</v>
      </c>
      <c r="N58" s="22" t="s">
        <v>56</v>
      </c>
      <c r="O58" s="22" t="s">
        <v>42</v>
      </c>
      <c r="P58" s="29"/>
      <c r="Q58" s="17" t="s">
        <v>44</v>
      </c>
      <c r="R58" s="39" t="s">
        <v>46</v>
      </c>
      <c r="S58" s="29"/>
      <c r="T58" s="29"/>
      <c r="U58" s="29"/>
      <c r="V58" s="26">
        <v>5.0</v>
      </c>
    </row>
    <row r="59">
      <c r="A59" s="12">
        <v>58.0</v>
      </c>
      <c r="B59" s="14">
        <v>46056.0</v>
      </c>
      <c r="C59" s="12" t="s">
        <v>58</v>
      </c>
      <c r="D59" s="16" t="s">
        <v>60</v>
      </c>
      <c r="E59" s="69" t="s">
        <v>655</v>
      </c>
      <c r="F59" s="16">
        <v>5.31333102E8</v>
      </c>
      <c r="G59" s="69" t="s">
        <v>41</v>
      </c>
      <c r="H59" s="12" t="s">
        <v>513</v>
      </c>
      <c r="I59" s="23" t="s">
        <v>657</v>
      </c>
      <c r="J59" s="69"/>
      <c r="K59" s="17" t="s">
        <v>36</v>
      </c>
      <c r="L59" s="22"/>
      <c r="M59" s="27" t="s">
        <v>88</v>
      </c>
      <c r="N59" s="17" t="s">
        <v>56</v>
      </c>
      <c r="O59" s="22" t="s">
        <v>42</v>
      </c>
      <c r="P59" s="29"/>
      <c r="Q59" s="17" t="s">
        <v>44</v>
      </c>
      <c r="R59" s="39" t="s">
        <v>68</v>
      </c>
      <c r="S59" s="29"/>
      <c r="T59" s="29"/>
      <c r="U59" s="29"/>
      <c r="V59" s="26">
        <v>5.0</v>
      </c>
    </row>
    <row r="60">
      <c r="A60" s="12">
        <v>59.0</v>
      </c>
      <c r="B60" s="14">
        <v>46056.0</v>
      </c>
      <c r="C60" s="12" t="s">
        <v>21</v>
      </c>
      <c r="D60" s="12" t="s">
        <v>34</v>
      </c>
      <c r="E60" s="69" t="s">
        <v>665</v>
      </c>
      <c r="F60" s="12">
        <v>5.66302826E8</v>
      </c>
      <c r="G60" s="69" t="s">
        <v>41</v>
      </c>
      <c r="H60" s="12" t="s">
        <v>27</v>
      </c>
      <c r="I60" s="23" t="s">
        <v>666</v>
      </c>
      <c r="J60" s="69"/>
      <c r="K60" s="17" t="s">
        <v>36</v>
      </c>
      <c r="L60" s="22"/>
      <c r="M60" s="27" t="s">
        <v>51</v>
      </c>
      <c r="N60" s="17" t="s">
        <v>56</v>
      </c>
      <c r="O60" s="22" t="s">
        <v>42</v>
      </c>
      <c r="P60" s="29"/>
      <c r="Q60" s="17" t="s">
        <v>44</v>
      </c>
      <c r="R60" s="39" t="s">
        <v>68</v>
      </c>
      <c r="S60" s="29"/>
      <c r="T60" s="29"/>
      <c r="U60" s="29"/>
      <c r="V60" s="26">
        <v>5.0</v>
      </c>
    </row>
    <row r="61">
      <c r="A61" s="12">
        <v>60.0</v>
      </c>
      <c r="B61" s="14">
        <v>46056.0</v>
      </c>
      <c r="C61" s="12" t="s">
        <v>21</v>
      </c>
      <c r="D61" s="12" t="s">
        <v>34</v>
      </c>
      <c r="E61" s="12" t="s">
        <v>27</v>
      </c>
      <c r="F61" s="12">
        <v>5.06039303E8</v>
      </c>
      <c r="G61" s="69" t="s">
        <v>41</v>
      </c>
      <c r="H61" s="12" t="s">
        <v>27</v>
      </c>
      <c r="I61" s="23" t="s">
        <v>666</v>
      </c>
      <c r="J61" s="69"/>
      <c r="K61" s="17" t="s">
        <v>36</v>
      </c>
      <c r="L61" s="22"/>
      <c r="M61" s="27" t="s">
        <v>51</v>
      </c>
      <c r="N61" s="17" t="s">
        <v>56</v>
      </c>
      <c r="O61" s="22" t="s">
        <v>42</v>
      </c>
      <c r="P61" s="29"/>
      <c r="Q61" s="17" t="s">
        <v>44</v>
      </c>
      <c r="R61" s="39" t="s">
        <v>68</v>
      </c>
      <c r="S61" s="29"/>
      <c r="T61" s="29"/>
      <c r="U61" s="29"/>
      <c r="V61" s="26">
        <v>5.0</v>
      </c>
    </row>
    <row r="62">
      <c r="A62" s="12">
        <v>61.0</v>
      </c>
      <c r="B62" s="14">
        <v>46056.0</v>
      </c>
      <c r="C62" s="12" t="s">
        <v>58</v>
      </c>
      <c r="D62" s="16" t="s">
        <v>60</v>
      </c>
      <c r="E62" s="69" t="s">
        <v>118</v>
      </c>
      <c r="F62" s="12">
        <v>5.10253883E8</v>
      </c>
      <c r="G62" s="69" t="s">
        <v>333</v>
      </c>
      <c r="H62" s="12" t="s">
        <v>27</v>
      </c>
      <c r="I62" s="23" t="s">
        <v>678</v>
      </c>
      <c r="J62" s="69" t="s">
        <v>680</v>
      </c>
      <c r="K62" s="17" t="s">
        <v>36</v>
      </c>
      <c r="L62" s="22"/>
      <c r="M62" s="27" t="s">
        <v>88</v>
      </c>
      <c r="N62" s="17" t="s">
        <v>56</v>
      </c>
      <c r="O62" s="22" t="s">
        <v>42</v>
      </c>
      <c r="P62" s="29"/>
      <c r="Q62" s="17" t="s">
        <v>44</v>
      </c>
      <c r="R62" s="39" t="s">
        <v>68</v>
      </c>
      <c r="S62" s="29"/>
      <c r="T62" s="29"/>
      <c r="U62" s="29"/>
      <c r="V62" s="26">
        <v>5.0</v>
      </c>
    </row>
    <row r="63">
      <c r="A63" s="12">
        <v>62.0</v>
      </c>
      <c r="B63" s="14">
        <v>46056.0</v>
      </c>
      <c r="C63" s="12" t="s">
        <v>58</v>
      </c>
      <c r="D63" s="16" t="s">
        <v>60</v>
      </c>
      <c r="E63" s="12" t="s">
        <v>27</v>
      </c>
      <c r="F63" s="12">
        <v>5.58109832E8</v>
      </c>
      <c r="G63" s="12" t="s">
        <v>27</v>
      </c>
      <c r="H63" s="12" t="s">
        <v>27</v>
      </c>
      <c r="I63" s="23" t="s">
        <v>554</v>
      </c>
      <c r="J63" s="69"/>
      <c r="K63" s="17" t="s">
        <v>36</v>
      </c>
      <c r="L63" s="22"/>
      <c r="M63" s="27" t="s">
        <v>88</v>
      </c>
      <c r="N63" s="17" t="s">
        <v>56</v>
      </c>
      <c r="O63" s="22" t="s">
        <v>42</v>
      </c>
      <c r="P63" s="29"/>
      <c r="Q63" s="17" t="s">
        <v>44</v>
      </c>
      <c r="R63" s="39" t="s">
        <v>68</v>
      </c>
      <c r="S63" s="29"/>
      <c r="T63" s="29"/>
      <c r="U63" s="29"/>
      <c r="V63" s="26">
        <v>5.0</v>
      </c>
    </row>
    <row r="64">
      <c r="A64" s="12">
        <v>63.0</v>
      </c>
      <c r="B64" s="14">
        <v>46057.0</v>
      </c>
      <c r="C64" s="12" t="s">
        <v>47</v>
      </c>
      <c r="D64" s="12" t="s">
        <v>48</v>
      </c>
      <c r="E64" s="69" t="s">
        <v>690</v>
      </c>
      <c r="F64" s="21" t="s">
        <v>27</v>
      </c>
      <c r="G64" s="23" t="s">
        <v>41</v>
      </c>
      <c r="H64" s="12" t="s">
        <v>222</v>
      </c>
      <c r="I64" s="23" t="s">
        <v>691</v>
      </c>
      <c r="J64" s="69" t="s">
        <v>693</v>
      </c>
      <c r="K64" s="17" t="s">
        <v>78</v>
      </c>
      <c r="L64" s="22"/>
      <c r="M64" s="75" t="s">
        <v>555</v>
      </c>
      <c r="N64" s="22" t="s">
        <v>56</v>
      </c>
      <c r="O64" s="22" t="s">
        <v>42</v>
      </c>
      <c r="P64" s="29"/>
      <c r="Q64" s="17" t="s">
        <v>49</v>
      </c>
      <c r="R64" s="39" t="s">
        <v>46</v>
      </c>
      <c r="S64" s="29"/>
      <c r="T64" s="29"/>
      <c r="U64" s="29"/>
      <c r="V64" s="26">
        <v>5.0</v>
      </c>
    </row>
    <row r="65">
      <c r="A65" s="12">
        <v>64.0</v>
      </c>
      <c r="B65" s="14">
        <v>46057.0</v>
      </c>
      <c r="C65" s="12" t="s">
        <v>58</v>
      </c>
      <c r="D65" s="16" t="s">
        <v>60</v>
      </c>
      <c r="E65" s="12" t="s">
        <v>27</v>
      </c>
      <c r="F65" s="12">
        <v>5.014632E8</v>
      </c>
      <c r="G65" s="12" t="s">
        <v>27</v>
      </c>
      <c r="H65" s="21" t="s">
        <v>27</v>
      </c>
      <c r="I65" s="23" t="s">
        <v>554</v>
      </c>
      <c r="J65" s="69"/>
      <c r="K65" s="17" t="s">
        <v>36</v>
      </c>
      <c r="L65" s="22"/>
      <c r="M65" s="27" t="s">
        <v>88</v>
      </c>
      <c r="N65" s="17" t="s">
        <v>56</v>
      </c>
      <c r="O65" s="22" t="s">
        <v>42</v>
      </c>
      <c r="P65" s="29"/>
      <c r="Q65" s="17" t="s">
        <v>44</v>
      </c>
      <c r="R65" s="39" t="s">
        <v>68</v>
      </c>
      <c r="S65" s="29"/>
      <c r="T65" s="29"/>
      <c r="U65" s="29"/>
      <c r="V65" s="26">
        <v>5.0</v>
      </c>
    </row>
    <row r="66">
      <c r="A66" s="12">
        <v>65.0</v>
      </c>
      <c r="B66" s="14">
        <v>46057.0</v>
      </c>
      <c r="C66" s="12" t="s">
        <v>21</v>
      </c>
      <c r="D66" s="12" t="s">
        <v>22</v>
      </c>
      <c r="E66" s="69" t="s">
        <v>707</v>
      </c>
      <c r="F66" s="12">
        <v>5.35957054E8</v>
      </c>
      <c r="G66" s="12" t="s">
        <v>27</v>
      </c>
      <c r="H66" s="12" t="s">
        <v>27</v>
      </c>
      <c r="I66" s="23" t="s">
        <v>709</v>
      </c>
      <c r="J66" s="69" t="s">
        <v>35</v>
      </c>
      <c r="K66" s="17" t="s">
        <v>39</v>
      </c>
      <c r="L66" s="22"/>
      <c r="M66" s="27" t="s">
        <v>38</v>
      </c>
      <c r="N66" s="22" t="s">
        <v>56</v>
      </c>
      <c r="O66" s="22" t="s">
        <v>42</v>
      </c>
      <c r="P66" s="29"/>
      <c r="Q66" s="17" t="s">
        <v>49</v>
      </c>
      <c r="R66" s="39" t="s">
        <v>46</v>
      </c>
      <c r="S66" s="29"/>
      <c r="T66" s="29"/>
      <c r="U66" s="29"/>
      <c r="V66" s="26">
        <v>5.0</v>
      </c>
    </row>
    <row r="67">
      <c r="A67" s="12">
        <v>66.0</v>
      </c>
      <c r="B67" s="14">
        <v>46057.0</v>
      </c>
      <c r="C67" s="12" t="s">
        <v>58</v>
      </c>
      <c r="D67" s="16" t="s">
        <v>60</v>
      </c>
      <c r="E67" s="12" t="s">
        <v>27</v>
      </c>
      <c r="F67" s="12">
        <v>5.54403115E8</v>
      </c>
      <c r="G67" s="12" t="s">
        <v>27</v>
      </c>
      <c r="H67" s="12" t="s">
        <v>27</v>
      </c>
      <c r="I67" s="23" t="s">
        <v>718</v>
      </c>
      <c r="J67" s="69"/>
      <c r="K67" s="17" t="s">
        <v>36</v>
      </c>
      <c r="L67" s="22"/>
      <c r="M67" s="27" t="s">
        <v>88</v>
      </c>
      <c r="N67" s="17" t="s">
        <v>56</v>
      </c>
      <c r="O67" s="22" t="s">
        <v>42</v>
      </c>
      <c r="P67" s="29"/>
      <c r="Q67" s="17" t="s">
        <v>44</v>
      </c>
      <c r="R67" s="39" t="s">
        <v>68</v>
      </c>
      <c r="S67" s="29"/>
      <c r="T67" s="29"/>
      <c r="U67" s="29"/>
      <c r="V67" s="26">
        <v>5.0</v>
      </c>
    </row>
    <row r="68">
      <c r="A68" s="12">
        <v>67.0</v>
      </c>
      <c r="B68" s="14">
        <v>46057.0</v>
      </c>
      <c r="C68" s="12" t="s">
        <v>21</v>
      </c>
      <c r="D68" s="12" t="s">
        <v>24</v>
      </c>
      <c r="E68" s="69" t="s">
        <v>725</v>
      </c>
      <c r="F68" s="12">
        <v>5.99410197E8</v>
      </c>
      <c r="G68" s="69" t="s">
        <v>28</v>
      </c>
      <c r="H68" s="12" t="s">
        <v>27</v>
      </c>
      <c r="I68" s="23" t="s">
        <v>728</v>
      </c>
      <c r="J68" s="69"/>
      <c r="K68" s="17" t="s">
        <v>36</v>
      </c>
      <c r="L68" s="22"/>
      <c r="M68" s="27" t="s">
        <v>38</v>
      </c>
      <c r="N68" s="22" t="s">
        <v>40</v>
      </c>
      <c r="O68" s="22" t="s">
        <v>42</v>
      </c>
      <c r="P68" s="29"/>
      <c r="Q68" s="17" t="s">
        <v>44</v>
      </c>
      <c r="R68" s="39" t="s">
        <v>46</v>
      </c>
      <c r="S68" s="29"/>
      <c r="T68" s="29"/>
      <c r="U68" s="29"/>
      <c r="V68" s="26">
        <v>5.0</v>
      </c>
    </row>
    <row r="69">
      <c r="A69" s="12">
        <v>68.0</v>
      </c>
      <c r="B69" s="14">
        <v>46057.0</v>
      </c>
      <c r="C69" s="12" t="s">
        <v>21</v>
      </c>
      <c r="D69" s="12" t="s">
        <v>22</v>
      </c>
      <c r="E69" s="69" t="s">
        <v>734</v>
      </c>
      <c r="F69" s="12">
        <v>5.97156635E8</v>
      </c>
      <c r="G69" s="69" t="s">
        <v>41</v>
      </c>
      <c r="H69" s="12" t="s">
        <v>27</v>
      </c>
      <c r="I69" s="23" t="s">
        <v>740</v>
      </c>
      <c r="J69" s="19" t="s">
        <v>32</v>
      </c>
      <c r="K69" s="17" t="s">
        <v>36</v>
      </c>
      <c r="L69" s="22"/>
      <c r="M69" s="27" t="s">
        <v>38</v>
      </c>
      <c r="N69" s="22" t="s">
        <v>40</v>
      </c>
      <c r="O69" s="22" t="s">
        <v>42</v>
      </c>
      <c r="P69" s="29"/>
      <c r="Q69" s="17" t="s">
        <v>44</v>
      </c>
      <c r="R69" s="39" t="s">
        <v>46</v>
      </c>
      <c r="S69" s="29"/>
      <c r="T69" s="29"/>
      <c r="U69" s="29"/>
      <c r="V69" s="26">
        <v>5.0</v>
      </c>
    </row>
    <row r="70">
      <c r="A70" s="12">
        <v>69.0</v>
      </c>
      <c r="B70" s="14">
        <v>46057.0</v>
      </c>
      <c r="C70" s="12" t="s">
        <v>21</v>
      </c>
      <c r="D70" s="12" t="s">
        <v>57</v>
      </c>
      <c r="E70" s="69" t="s">
        <v>743</v>
      </c>
      <c r="F70" s="12">
        <v>5.65312124E8</v>
      </c>
      <c r="G70" s="69" t="s">
        <v>41</v>
      </c>
      <c r="H70" s="12" t="s">
        <v>27</v>
      </c>
      <c r="I70" s="23" t="s">
        <v>744</v>
      </c>
      <c r="J70" s="69"/>
      <c r="K70" s="17" t="s">
        <v>36</v>
      </c>
      <c r="L70" s="22"/>
      <c r="M70" s="27" t="s">
        <v>38</v>
      </c>
      <c r="N70" s="17" t="s">
        <v>56</v>
      </c>
      <c r="O70" s="22" t="s">
        <v>42</v>
      </c>
      <c r="P70" s="29"/>
      <c r="Q70" s="17" t="s">
        <v>44</v>
      </c>
      <c r="R70" s="39" t="s">
        <v>68</v>
      </c>
      <c r="S70" s="29"/>
      <c r="T70" s="29"/>
      <c r="U70" s="29"/>
      <c r="V70" s="26">
        <v>5.0</v>
      </c>
    </row>
    <row r="71">
      <c r="A71" s="12">
        <v>70.0</v>
      </c>
      <c r="B71" s="14">
        <v>46057.0</v>
      </c>
      <c r="C71" s="12" t="s">
        <v>58</v>
      </c>
      <c r="D71" s="16" t="s">
        <v>60</v>
      </c>
      <c r="E71" s="69" t="s">
        <v>750</v>
      </c>
      <c r="F71" s="12">
        <v>5.39522307E8</v>
      </c>
      <c r="G71" s="69" t="s">
        <v>41</v>
      </c>
      <c r="H71" s="21" t="s">
        <v>294</v>
      </c>
      <c r="I71" s="23" t="s">
        <v>754</v>
      </c>
      <c r="J71" s="69" t="s">
        <v>755</v>
      </c>
      <c r="K71" s="17" t="s">
        <v>36</v>
      </c>
      <c r="L71" s="22"/>
      <c r="M71" s="27" t="s">
        <v>88</v>
      </c>
      <c r="N71" s="17" t="s">
        <v>56</v>
      </c>
      <c r="O71" s="22" t="s">
        <v>42</v>
      </c>
      <c r="P71" s="29"/>
      <c r="Q71" s="17" t="s">
        <v>44</v>
      </c>
      <c r="R71" s="39" t="s">
        <v>68</v>
      </c>
      <c r="S71" s="29"/>
      <c r="T71" s="29"/>
      <c r="U71" s="29"/>
      <c r="V71" s="26">
        <v>5.0</v>
      </c>
    </row>
    <row r="72">
      <c r="A72" s="12">
        <v>71.0</v>
      </c>
      <c r="B72" s="14">
        <v>46057.0</v>
      </c>
      <c r="C72" s="12" t="s">
        <v>21</v>
      </c>
      <c r="D72" s="12" t="s">
        <v>57</v>
      </c>
      <c r="E72" s="69" t="s">
        <v>757</v>
      </c>
      <c r="F72" s="12">
        <v>1.25118732E8</v>
      </c>
      <c r="G72" s="69" t="s">
        <v>71</v>
      </c>
      <c r="H72" s="12" t="s">
        <v>27</v>
      </c>
      <c r="I72" s="23" t="s">
        <v>760</v>
      </c>
      <c r="J72" s="69" t="s">
        <v>761</v>
      </c>
      <c r="K72" s="17" t="s">
        <v>36</v>
      </c>
      <c r="L72" s="22"/>
      <c r="M72" s="27" t="s">
        <v>38</v>
      </c>
      <c r="N72" s="17" t="s">
        <v>56</v>
      </c>
      <c r="O72" s="22" t="s">
        <v>42</v>
      </c>
      <c r="P72" s="29"/>
      <c r="Q72" s="17" t="s">
        <v>44</v>
      </c>
      <c r="R72" s="39" t="s">
        <v>68</v>
      </c>
      <c r="S72" s="29"/>
      <c r="T72" s="29"/>
      <c r="U72" s="29"/>
      <c r="V72" s="26">
        <v>5.0</v>
      </c>
    </row>
    <row r="73">
      <c r="A73" s="12">
        <v>72.0</v>
      </c>
      <c r="B73" s="14">
        <v>46057.0</v>
      </c>
      <c r="C73" s="12" t="s">
        <v>21</v>
      </c>
      <c r="D73" s="12" t="s">
        <v>22</v>
      </c>
      <c r="E73" s="69" t="s">
        <v>768</v>
      </c>
      <c r="F73" s="12">
        <v>5.40222044E8</v>
      </c>
      <c r="G73" s="69" t="s">
        <v>71</v>
      </c>
      <c r="H73" s="12" t="s">
        <v>27</v>
      </c>
      <c r="I73" s="23" t="s">
        <v>771</v>
      </c>
      <c r="K73" s="17" t="s">
        <v>36</v>
      </c>
      <c r="L73" s="22"/>
      <c r="M73" s="27" t="s">
        <v>38</v>
      </c>
      <c r="N73" s="22" t="s">
        <v>40</v>
      </c>
      <c r="O73" s="22" t="s">
        <v>42</v>
      </c>
      <c r="P73" s="29"/>
      <c r="Q73" s="17" t="s">
        <v>44</v>
      </c>
      <c r="R73" s="39" t="s">
        <v>46</v>
      </c>
      <c r="S73" s="29"/>
      <c r="T73" s="29"/>
      <c r="U73" s="29"/>
      <c r="V73" s="26">
        <v>5.0</v>
      </c>
    </row>
    <row r="74">
      <c r="A74" s="12">
        <v>73.0</v>
      </c>
      <c r="B74" s="14">
        <v>46057.0</v>
      </c>
      <c r="C74" s="12" t="s">
        <v>47</v>
      </c>
      <c r="D74" s="12" t="s">
        <v>138</v>
      </c>
      <c r="E74" s="69" t="s">
        <v>776</v>
      </c>
      <c r="F74" s="12">
        <v>5.04726234E8</v>
      </c>
      <c r="G74" s="23" t="s">
        <v>41</v>
      </c>
      <c r="H74" s="12" t="s">
        <v>577</v>
      </c>
      <c r="I74" s="23" t="s">
        <v>781</v>
      </c>
      <c r="J74" s="69" t="s">
        <v>782</v>
      </c>
      <c r="K74" s="17" t="s">
        <v>148</v>
      </c>
      <c r="L74" s="22"/>
      <c r="M74" s="27" t="s">
        <v>55</v>
      </c>
      <c r="N74" s="22" t="s">
        <v>56</v>
      </c>
      <c r="O74" s="22" t="s">
        <v>42</v>
      </c>
      <c r="P74" s="29"/>
      <c r="Q74" s="17" t="s">
        <v>44</v>
      </c>
      <c r="R74" s="39" t="s">
        <v>46</v>
      </c>
      <c r="S74" s="29"/>
      <c r="T74" s="29"/>
      <c r="U74" s="29"/>
      <c r="V74" s="26">
        <v>5.0</v>
      </c>
    </row>
    <row r="75">
      <c r="A75" s="12">
        <v>74.0</v>
      </c>
      <c r="B75" s="67">
        <v>46057.0</v>
      </c>
      <c r="C75" s="16" t="s">
        <v>47</v>
      </c>
      <c r="D75" s="16" t="s">
        <v>48</v>
      </c>
      <c r="E75" s="70" t="s">
        <v>794</v>
      </c>
      <c r="F75" s="16">
        <v>5.34956523E8</v>
      </c>
      <c r="G75" s="23" t="s">
        <v>41</v>
      </c>
      <c r="H75" s="16" t="s">
        <v>193</v>
      </c>
      <c r="I75" s="23" t="s">
        <v>796</v>
      </c>
      <c r="J75" s="70" t="s">
        <v>797</v>
      </c>
      <c r="K75" s="22" t="s">
        <v>148</v>
      </c>
      <c r="L75" s="22"/>
      <c r="M75" s="27" t="s">
        <v>55</v>
      </c>
      <c r="N75" s="22" t="s">
        <v>56</v>
      </c>
      <c r="O75" s="22" t="s">
        <v>42</v>
      </c>
      <c r="P75" s="29"/>
      <c r="Q75" s="22" t="s">
        <v>44</v>
      </c>
      <c r="R75" s="33" t="s">
        <v>46</v>
      </c>
      <c r="S75" s="29"/>
      <c r="T75" s="29"/>
      <c r="U75" s="29"/>
      <c r="V75" s="26">
        <v>5.0</v>
      </c>
    </row>
    <row r="76">
      <c r="A76" s="12">
        <v>75.0</v>
      </c>
      <c r="B76" s="14">
        <v>46057.0</v>
      </c>
      <c r="C76" s="12" t="s">
        <v>47</v>
      </c>
      <c r="D76" s="12" t="s">
        <v>138</v>
      </c>
      <c r="E76" s="69" t="s">
        <v>801</v>
      </c>
      <c r="F76" s="12">
        <v>5.55643093E8</v>
      </c>
      <c r="G76" s="23" t="s">
        <v>41</v>
      </c>
      <c r="H76" s="12" t="s">
        <v>513</v>
      </c>
      <c r="I76" s="23" t="s">
        <v>804</v>
      </c>
      <c r="J76" s="69" t="s">
        <v>806</v>
      </c>
      <c r="K76" s="17" t="s">
        <v>148</v>
      </c>
      <c r="L76" s="22"/>
      <c r="M76" s="27" t="s">
        <v>55</v>
      </c>
      <c r="N76" s="22" t="s">
        <v>56</v>
      </c>
      <c r="O76" s="22" t="s">
        <v>42</v>
      </c>
      <c r="P76" s="29"/>
      <c r="Q76" s="17" t="s">
        <v>44</v>
      </c>
      <c r="R76" s="39" t="s">
        <v>46</v>
      </c>
      <c r="S76" s="29"/>
      <c r="T76" s="29"/>
      <c r="U76" s="29"/>
      <c r="V76" s="26">
        <v>5.0</v>
      </c>
    </row>
    <row r="77">
      <c r="A77" s="12">
        <v>76.0</v>
      </c>
      <c r="B77" s="14">
        <v>46057.0</v>
      </c>
      <c r="C77" s="12" t="s">
        <v>21</v>
      </c>
      <c r="D77" s="12" t="s">
        <v>22</v>
      </c>
      <c r="E77" s="69" t="s">
        <v>818</v>
      </c>
      <c r="F77" s="12">
        <v>5.60008157E8</v>
      </c>
      <c r="G77" s="69" t="s">
        <v>41</v>
      </c>
      <c r="H77" s="12" t="s">
        <v>27</v>
      </c>
      <c r="I77" s="23" t="s">
        <v>819</v>
      </c>
      <c r="J77" s="19" t="s">
        <v>32</v>
      </c>
      <c r="K77" s="17" t="s">
        <v>36</v>
      </c>
      <c r="L77" s="22"/>
      <c r="M77" s="27" t="s">
        <v>38</v>
      </c>
      <c r="N77" s="22" t="s">
        <v>40</v>
      </c>
      <c r="O77" s="22" t="s">
        <v>42</v>
      </c>
      <c r="P77" s="29"/>
      <c r="Q77" s="17" t="s">
        <v>44</v>
      </c>
      <c r="R77" s="39" t="s">
        <v>46</v>
      </c>
      <c r="S77" s="29"/>
      <c r="T77" s="29"/>
      <c r="U77" s="29"/>
      <c r="V77" s="26">
        <v>5.0</v>
      </c>
    </row>
    <row r="78">
      <c r="A78" s="12">
        <v>77.0</v>
      </c>
      <c r="B78" s="67">
        <v>46057.0</v>
      </c>
      <c r="C78" s="16" t="s">
        <v>47</v>
      </c>
      <c r="D78" s="16" t="s">
        <v>48</v>
      </c>
      <c r="E78" s="70" t="s">
        <v>825</v>
      </c>
      <c r="F78" s="16">
        <v>5.5555287E8</v>
      </c>
      <c r="G78" s="23" t="s">
        <v>41</v>
      </c>
      <c r="H78" s="16" t="s">
        <v>222</v>
      </c>
      <c r="I78" s="23" t="s">
        <v>826</v>
      </c>
      <c r="J78" s="70" t="s">
        <v>827</v>
      </c>
      <c r="K78" s="22" t="s">
        <v>36</v>
      </c>
      <c r="L78" s="22"/>
      <c r="M78" s="75" t="s">
        <v>101</v>
      </c>
      <c r="N78" s="22" t="s">
        <v>56</v>
      </c>
      <c r="O78" s="22" t="s">
        <v>42</v>
      </c>
      <c r="P78" s="29"/>
      <c r="Q78" s="22" t="s">
        <v>44</v>
      </c>
      <c r="R78" s="33" t="s">
        <v>46</v>
      </c>
      <c r="S78" s="29"/>
      <c r="T78" s="29"/>
      <c r="U78" s="29"/>
      <c r="V78" s="26">
        <v>5.0</v>
      </c>
    </row>
    <row r="79">
      <c r="A79" s="12">
        <v>78.0</v>
      </c>
      <c r="B79" s="14">
        <v>46057.0</v>
      </c>
      <c r="C79" s="12" t="s">
        <v>58</v>
      </c>
      <c r="D79" s="16" t="s">
        <v>60</v>
      </c>
      <c r="E79" s="12" t="s">
        <v>27</v>
      </c>
      <c r="F79" s="12">
        <v>5.33876679E8</v>
      </c>
      <c r="G79" s="12" t="s">
        <v>27</v>
      </c>
      <c r="H79" s="12" t="s">
        <v>27</v>
      </c>
      <c r="I79" s="23" t="s">
        <v>554</v>
      </c>
      <c r="J79" s="69"/>
      <c r="K79" s="17" t="s">
        <v>36</v>
      </c>
      <c r="L79" s="22"/>
      <c r="M79" s="27" t="s">
        <v>88</v>
      </c>
      <c r="N79" s="17" t="s">
        <v>56</v>
      </c>
      <c r="O79" s="22" t="s">
        <v>42</v>
      </c>
      <c r="P79" s="29"/>
      <c r="Q79" s="17" t="s">
        <v>44</v>
      </c>
      <c r="R79" s="39" t="s">
        <v>68</v>
      </c>
      <c r="S79" s="29"/>
      <c r="T79" s="29"/>
      <c r="U79" s="29"/>
      <c r="V79" s="26">
        <v>5.0</v>
      </c>
    </row>
    <row r="80">
      <c r="A80" s="12">
        <v>79.0</v>
      </c>
      <c r="B80" s="14">
        <v>46057.0</v>
      </c>
      <c r="C80" s="12" t="s">
        <v>58</v>
      </c>
      <c r="D80" s="16" t="s">
        <v>60</v>
      </c>
      <c r="E80" s="12" t="s">
        <v>27</v>
      </c>
      <c r="F80" s="12">
        <v>5.61549072E8</v>
      </c>
      <c r="G80" s="12" t="s">
        <v>27</v>
      </c>
      <c r="H80" s="12" t="s">
        <v>27</v>
      </c>
      <c r="I80" s="23" t="s">
        <v>554</v>
      </c>
      <c r="J80" s="69"/>
      <c r="K80" s="17" t="s">
        <v>36</v>
      </c>
      <c r="L80" s="22"/>
      <c r="M80" s="27" t="s">
        <v>88</v>
      </c>
      <c r="N80" s="17" t="s">
        <v>56</v>
      </c>
      <c r="O80" s="22" t="s">
        <v>42</v>
      </c>
      <c r="P80" s="29"/>
      <c r="Q80" s="17" t="s">
        <v>44</v>
      </c>
      <c r="R80" s="39" t="s">
        <v>68</v>
      </c>
      <c r="S80" s="29"/>
      <c r="T80" s="29"/>
      <c r="U80" s="29"/>
      <c r="V80" s="26">
        <v>5.0</v>
      </c>
    </row>
    <row r="81">
      <c r="A81" s="12">
        <v>80.0</v>
      </c>
      <c r="B81" s="14">
        <v>46057.0</v>
      </c>
      <c r="C81" s="12" t="s">
        <v>58</v>
      </c>
      <c r="D81" s="16" t="s">
        <v>60</v>
      </c>
      <c r="E81" s="12" t="s">
        <v>27</v>
      </c>
      <c r="F81" s="12">
        <v>5.59093492E8</v>
      </c>
      <c r="G81" s="12" t="s">
        <v>27</v>
      </c>
      <c r="H81" s="12" t="s">
        <v>27</v>
      </c>
      <c r="I81" s="23" t="s">
        <v>554</v>
      </c>
      <c r="J81" s="69"/>
      <c r="K81" s="17" t="s">
        <v>36</v>
      </c>
      <c r="L81" s="22"/>
      <c r="M81" s="27" t="s">
        <v>88</v>
      </c>
      <c r="N81" s="17" t="s">
        <v>56</v>
      </c>
      <c r="O81" s="22" t="s">
        <v>42</v>
      </c>
      <c r="P81" s="29"/>
      <c r="Q81" s="17" t="s">
        <v>44</v>
      </c>
      <c r="R81" s="39" t="s">
        <v>68</v>
      </c>
      <c r="S81" s="29"/>
      <c r="T81" s="29"/>
      <c r="U81" s="29"/>
      <c r="V81" s="26">
        <v>5.0</v>
      </c>
    </row>
    <row r="82">
      <c r="A82" s="12">
        <v>81.0</v>
      </c>
      <c r="B82" s="14">
        <v>46057.0</v>
      </c>
      <c r="C82" s="12" t="s">
        <v>21</v>
      </c>
      <c r="D82" s="12" t="s">
        <v>24</v>
      </c>
      <c r="E82" s="69" t="s">
        <v>858</v>
      </c>
      <c r="F82" s="12">
        <v>5.50344627E8</v>
      </c>
      <c r="G82" s="12" t="s">
        <v>27</v>
      </c>
      <c r="H82" s="21" t="s">
        <v>27</v>
      </c>
      <c r="I82" s="23" t="s">
        <v>860</v>
      </c>
      <c r="J82" s="69" t="s">
        <v>35</v>
      </c>
      <c r="K82" s="17" t="s">
        <v>39</v>
      </c>
      <c r="L82" s="22"/>
      <c r="M82" s="27" t="s">
        <v>38</v>
      </c>
      <c r="N82" s="22" t="s">
        <v>56</v>
      </c>
      <c r="O82" s="22" t="s">
        <v>42</v>
      </c>
      <c r="P82" s="29"/>
      <c r="Q82" s="17" t="s">
        <v>49</v>
      </c>
      <c r="R82" s="39" t="s">
        <v>46</v>
      </c>
      <c r="S82" s="29"/>
      <c r="T82" s="29"/>
      <c r="U82" s="29"/>
      <c r="V82" s="26">
        <v>5.0</v>
      </c>
    </row>
    <row r="83">
      <c r="A83" s="12">
        <v>82.0</v>
      </c>
      <c r="B83" s="14">
        <v>46057.0</v>
      </c>
      <c r="C83" s="12" t="s">
        <v>21</v>
      </c>
      <c r="D83" s="12" t="s">
        <v>22</v>
      </c>
      <c r="E83" s="69" t="s">
        <v>865</v>
      </c>
      <c r="F83" s="12">
        <v>5.53535451E8</v>
      </c>
      <c r="G83" s="69" t="s">
        <v>152</v>
      </c>
      <c r="H83" s="12" t="s">
        <v>27</v>
      </c>
      <c r="I83" s="23" t="s">
        <v>868</v>
      </c>
      <c r="J83" s="69" t="s">
        <v>35</v>
      </c>
      <c r="K83" s="17" t="s">
        <v>36</v>
      </c>
      <c r="L83" s="22"/>
      <c r="M83" s="27" t="s">
        <v>38</v>
      </c>
      <c r="N83" s="22" t="s">
        <v>56</v>
      </c>
      <c r="O83" s="22" t="s">
        <v>42</v>
      </c>
      <c r="P83" s="29"/>
      <c r="Q83" s="17" t="s">
        <v>49</v>
      </c>
      <c r="R83" s="39" t="s">
        <v>46</v>
      </c>
      <c r="S83" s="29"/>
      <c r="T83" s="29"/>
      <c r="U83" s="29"/>
      <c r="V83" s="26">
        <v>5.0</v>
      </c>
    </row>
    <row r="84">
      <c r="A84" s="12">
        <v>83.0</v>
      </c>
      <c r="B84" s="14">
        <v>46058.0</v>
      </c>
      <c r="C84" s="12" t="s">
        <v>47</v>
      </c>
      <c r="D84" s="12" t="s">
        <v>48</v>
      </c>
      <c r="E84" s="69" t="s">
        <v>872</v>
      </c>
      <c r="F84" s="21" t="s">
        <v>27</v>
      </c>
      <c r="G84" s="69" t="s">
        <v>874</v>
      </c>
      <c r="H84" s="12" t="s">
        <v>876</v>
      </c>
      <c r="I84" s="23" t="s">
        <v>879</v>
      </c>
      <c r="J84" s="69" t="s">
        <v>881</v>
      </c>
      <c r="K84" s="17" t="s">
        <v>78</v>
      </c>
      <c r="L84" s="22"/>
      <c r="M84" s="27" t="s">
        <v>55</v>
      </c>
      <c r="N84" s="22" t="s">
        <v>56</v>
      </c>
      <c r="O84" s="17" t="s">
        <v>42</v>
      </c>
      <c r="P84" s="29"/>
      <c r="Q84" s="17" t="s">
        <v>49</v>
      </c>
      <c r="R84" s="39" t="s">
        <v>46</v>
      </c>
      <c r="S84" s="29"/>
      <c r="T84" s="29"/>
      <c r="U84" s="29"/>
      <c r="V84" s="26">
        <v>5.0</v>
      </c>
    </row>
    <row r="85">
      <c r="A85" s="12">
        <v>84.0</v>
      </c>
      <c r="B85" s="14">
        <v>46058.0</v>
      </c>
      <c r="C85" s="12" t="s">
        <v>58</v>
      </c>
      <c r="D85" s="16" t="s">
        <v>60</v>
      </c>
      <c r="E85" s="12" t="s">
        <v>27</v>
      </c>
      <c r="F85" s="12">
        <v>5.81657339E8</v>
      </c>
      <c r="G85" s="12" t="s">
        <v>27</v>
      </c>
      <c r="H85" s="12" t="s">
        <v>27</v>
      </c>
      <c r="I85" s="23" t="s">
        <v>554</v>
      </c>
      <c r="J85" s="19" t="s">
        <v>35</v>
      </c>
      <c r="K85" s="17" t="s">
        <v>36</v>
      </c>
      <c r="L85" s="22"/>
      <c r="M85" s="27" t="s">
        <v>88</v>
      </c>
      <c r="N85" s="17" t="s">
        <v>56</v>
      </c>
      <c r="O85" s="22" t="s">
        <v>42</v>
      </c>
      <c r="P85" s="29"/>
      <c r="Q85" s="17" t="s">
        <v>49</v>
      </c>
      <c r="R85" s="39" t="s">
        <v>68</v>
      </c>
      <c r="S85" s="29"/>
      <c r="T85" s="29"/>
      <c r="U85" s="29"/>
      <c r="V85" s="26">
        <v>5.0</v>
      </c>
    </row>
    <row r="86">
      <c r="A86" s="12">
        <v>85.0</v>
      </c>
      <c r="B86" s="14">
        <v>46058.0</v>
      </c>
      <c r="C86" s="12" t="s">
        <v>21</v>
      </c>
      <c r="D86" s="12" t="s">
        <v>24</v>
      </c>
      <c r="E86" s="69" t="s">
        <v>893</v>
      </c>
      <c r="F86" s="12">
        <v>5.50632684E8</v>
      </c>
      <c r="G86" s="69" t="s">
        <v>71</v>
      </c>
      <c r="H86" s="12" t="s">
        <v>27</v>
      </c>
      <c r="I86" s="23" t="s">
        <v>894</v>
      </c>
      <c r="J86" s="69" t="s">
        <v>35</v>
      </c>
      <c r="K86" s="17" t="s">
        <v>36</v>
      </c>
      <c r="L86" s="22"/>
      <c r="M86" s="27" t="s">
        <v>38</v>
      </c>
      <c r="N86" s="22" t="s">
        <v>56</v>
      </c>
      <c r="O86" s="22" t="s">
        <v>42</v>
      </c>
      <c r="P86" s="29"/>
      <c r="Q86" s="17" t="s">
        <v>49</v>
      </c>
      <c r="R86" s="39" t="s">
        <v>46</v>
      </c>
      <c r="S86" s="29"/>
      <c r="T86" s="29"/>
      <c r="U86" s="29"/>
      <c r="V86" s="26">
        <v>5.0</v>
      </c>
    </row>
    <row r="87">
      <c r="A87" s="12">
        <v>86.0</v>
      </c>
      <c r="B87" s="14">
        <v>46058.0</v>
      </c>
      <c r="C87" s="12" t="s">
        <v>58</v>
      </c>
      <c r="D87" s="12" t="s">
        <v>66</v>
      </c>
      <c r="E87" s="69" t="s">
        <v>108</v>
      </c>
      <c r="F87" s="12">
        <v>5.54955973E8</v>
      </c>
      <c r="G87" s="69" t="s">
        <v>71</v>
      </c>
      <c r="H87" s="12" t="s">
        <v>27</v>
      </c>
      <c r="I87" s="23" t="s">
        <v>900</v>
      </c>
      <c r="J87" s="19" t="s">
        <v>35</v>
      </c>
      <c r="K87" s="17" t="s">
        <v>36</v>
      </c>
      <c r="L87" s="22"/>
      <c r="M87" s="27" t="s">
        <v>88</v>
      </c>
      <c r="N87" s="17" t="s">
        <v>56</v>
      </c>
      <c r="O87" s="22" t="s">
        <v>42</v>
      </c>
      <c r="P87" s="29"/>
      <c r="Q87" s="17" t="s">
        <v>49</v>
      </c>
      <c r="R87" s="39" t="s">
        <v>68</v>
      </c>
      <c r="S87" s="29"/>
      <c r="T87" s="29"/>
      <c r="U87" s="29"/>
      <c r="V87" s="26">
        <v>5.0</v>
      </c>
    </row>
    <row r="88">
      <c r="A88" s="12">
        <v>87.0</v>
      </c>
      <c r="B88" s="14">
        <v>46058.0</v>
      </c>
      <c r="C88" s="12" t="s">
        <v>58</v>
      </c>
      <c r="D88" s="16" t="s">
        <v>60</v>
      </c>
      <c r="E88" s="69" t="s">
        <v>906</v>
      </c>
      <c r="F88" s="12">
        <v>5.07302099E8</v>
      </c>
      <c r="G88" s="69" t="s">
        <v>908</v>
      </c>
      <c r="H88" s="12" t="s">
        <v>909</v>
      </c>
      <c r="I88" s="23" t="s">
        <v>910</v>
      </c>
      <c r="J88" s="69" t="s">
        <v>911</v>
      </c>
      <c r="K88" s="17" t="s">
        <v>36</v>
      </c>
      <c r="L88" s="22"/>
      <c r="M88" s="27" t="s">
        <v>88</v>
      </c>
      <c r="N88" s="17" t="s">
        <v>56</v>
      </c>
      <c r="O88" s="22" t="s">
        <v>42</v>
      </c>
      <c r="P88" s="29"/>
      <c r="Q88" s="17" t="s">
        <v>49</v>
      </c>
      <c r="R88" s="39" t="s">
        <v>68</v>
      </c>
      <c r="S88" s="29"/>
      <c r="T88" s="29"/>
      <c r="U88" s="29"/>
      <c r="V88" s="26">
        <v>5.0</v>
      </c>
    </row>
    <row r="89">
      <c r="A89" s="12">
        <v>88.0</v>
      </c>
      <c r="B89" s="14">
        <v>46058.0</v>
      </c>
      <c r="C89" s="12" t="s">
        <v>21</v>
      </c>
      <c r="D89" s="12" t="s">
        <v>24</v>
      </c>
      <c r="E89" s="69" t="s">
        <v>917</v>
      </c>
      <c r="F89" s="12">
        <v>5.71938601E8</v>
      </c>
      <c r="G89" s="69" t="s">
        <v>211</v>
      </c>
      <c r="H89" s="21" t="s">
        <v>27</v>
      </c>
      <c r="I89" s="23" t="s">
        <v>919</v>
      </c>
      <c r="J89" s="69" t="s">
        <v>35</v>
      </c>
      <c r="K89" s="17" t="s">
        <v>36</v>
      </c>
      <c r="L89" s="22"/>
      <c r="M89" s="27" t="s">
        <v>38</v>
      </c>
      <c r="N89" s="22" t="s">
        <v>56</v>
      </c>
      <c r="O89" s="22" t="s">
        <v>42</v>
      </c>
      <c r="P89" s="29"/>
      <c r="Q89" s="17" t="s">
        <v>49</v>
      </c>
      <c r="R89" s="39" t="s">
        <v>46</v>
      </c>
      <c r="S89" s="29"/>
      <c r="T89" s="29"/>
      <c r="U89" s="29"/>
      <c r="V89" s="26">
        <v>5.0</v>
      </c>
    </row>
    <row r="90">
      <c r="A90" s="12">
        <v>89.0</v>
      </c>
      <c r="B90" s="14">
        <v>46058.0</v>
      </c>
      <c r="C90" s="12" t="s">
        <v>21</v>
      </c>
      <c r="D90" s="12" t="s">
        <v>22</v>
      </c>
      <c r="E90" s="69" t="s">
        <v>931</v>
      </c>
      <c r="F90" s="12">
        <v>5.53773939E8</v>
      </c>
      <c r="G90" s="69" t="s">
        <v>932</v>
      </c>
      <c r="H90" s="21" t="s">
        <v>27</v>
      </c>
      <c r="I90" s="23" t="s">
        <v>933</v>
      </c>
      <c r="J90" s="69" t="s">
        <v>35</v>
      </c>
      <c r="K90" s="17" t="s">
        <v>36</v>
      </c>
      <c r="L90" s="22"/>
      <c r="M90" s="27" t="s">
        <v>125</v>
      </c>
      <c r="N90" s="22" t="s">
        <v>56</v>
      </c>
      <c r="O90" s="22" t="s">
        <v>42</v>
      </c>
      <c r="P90" s="29"/>
      <c r="Q90" s="17" t="s">
        <v>49</v>
      </c>
      <c r="R90" s="39" t="s">
        <v>46</v>
      </c>
      <c r="S90" s="29"/>
      <c r="T90" s="29"/>
      <c r="U90" s="29"/>
      <c r="V90" s="26">
        <v>5.0</v>
      </c>
    </row>
    <row r="91">
      <c r="A91" s="12">
        <v>90.0</v>
      </c>
      <c r="B91" s="14">
        <v>46058.0</v>
      </c>
      <c r="C91" s="12" t="s">
        <v>58</v>
      </c>
      <c r="D91" s="12" t="s">
        <v>66</v>
      </c>
      <c r="E91" s="69" t="s">
        <v>937</v>
      </c>
      <c r="F91" s="12">
        <v>5.09937804E8</v>
      </c>
      <c r="G91" s="69" t="s">
        <v>152</v>
      </c>
      <c r="H91" s="21" t="s">
        <v>27</v>
      </c>
      <c r="I91" s="23" t="s">
        <v>938</v>
      </c>
      <c r="J91" s="19" t="s">
        <v>35</v>
      </c>
      <c r="K91" s="17" t="s">
        <v>36</v>
      </c>
      <c r="L91" s="22"/>
      <c r="M91" s="27" t="s">
        <v>88</v>
      </c>
      <c r="N91" s="17" t="s">
        <v>56</v>
      </c>
      <c r="O91" s="22" t="s">
        <v>42</v>
      </c>
      <c r="P91" s="29"/>
      <c r="Q91" s="17" t="s">
        <v>49</v>
      </c>
      <c r="R91" s="39" t="s">
        <v>68</v>
      </c>
      <c r="S91" s="29"/>
      <c r="T91" s="29"/>
      <c r="U91" s="29"/>
      <c r="V91" s="26">
        <v>5.0</v>
      </c>
    </row>
    <row r="92">
      <c r="A92" s="12">
        <v>91.0</v>
      </c>
      <c r="B92" s="14">
        <v>46058.0</v>
      </c>
      <c r="C92" s="12" t="s">
        <v>47</v>
      </c>
      <c r="D92" s="12" t="s">
        <v>48</v>
      </c>
      <c r="E92" s="69" t="s">
        <v>948</v>
      </c>
      <c r="F92" s="12">
        <v>5.33924189E8</v>
      </c>
      <c r="G92" s="23" t="s">
        <v>41</v>
      </c>
      <c r="H92" s="12" t="s">
        <v>952</v>
      </c>
      <c r="I92" s="23" t="s">
        <v>954</v>
      </c>
      <c r="J92" s="69" t="s">
        <v>955</v>
      </c>
      <c r="K92" s="17" t="s">
        <v>36</v>
      </c>
      <c r="L92" s="22"/>
      <c r="M92" s="27" t="s">
        <v>55</v>
      </c>
      <c r="N92" s="22" t="s">
        <v>56</v>
      </c>
      <c r="O92" s="22" t="s">
        <v>42</v>
      </c>
      <c r="P92" s="29"/>
      <c r="Q92" s="17" t="s">
        <v>49</v>
      </c>
      <c r="R92" s="39" t="s">
        <v>46</v>
      </c>
      <c r="S92" s="29"/>
      <c r="T92" s="29"/>
      <c r="U92" s="29"/>
      <c r="V92" s="26">
        <v>5.0</v>
      </c>
    </row>
    <row r="93">
      <c r="A93" s="12">
        <v>92.0</v>
      </c>
      <c r="B93" s="14">
        <v>46058.0</v>
      </c>
      <c r="C93" s="12" t="s">
        <v>21</v>
      </c>
      <c r="D93" s="12" t="s">
        <v>24</v>
      </c>
      <c r="E93" s="69" t="s">
        <v>965</v>
      </c>
      <c r="F93" s="12">
        <v>5.5094708E8</v>
      </c>
      <c r="G93" s="69" t="s">
        <v>71</v>
      </c>
      <c r="H93" s="12" t="s">
        <v>27</v>
      </c>
      <c r="I93" s="23" t="s">
        <v>967</v>
      </c>
      <c r="J93" s="69" t="s">
        <v>35</v>
      </c>
      <c r="K93" s="17" t="s">
        <v>36</v>
      </c>
      <c r="L93" s="22"/>
      <c r="M93" s="27" t="s">
        <v>38</v>
      </c>
      <c r="N93" s="22" t="s">
        <v>56</v>
      </c>
      <c r="O93" s="22" t="s">
        <v>42</v>
      </c>
      <c r="P93" s="29"/>
      <c r="Q93" s="17" t="s">
        <v>49</v>
      </c>
      <c r="R93" s="39" t="s">
        <v>46</v>
      </c>
      <c r="S93" s="29"/>
      <c r="T93" s="29"/>
      <c r="U93" s="29"/>
      <c r="V93" s="26">
        <v>5.0</v>
      </c>
    </row>
    <row r="94">
      <c r="A94" s="12">
        <v>93.0</v>
      </c>
      <c r="B94" s="14">
        <v>46058.0</v>
      </c>
      <c r="C94" s="12" t="s">
        <v>21</v>
      </c>
      <c r="D94" s="12" t="s">
        <v>22</v>
      </c>
      <c r="E94" s="69" t="s">
        <v>974</v>
      </c>
      <c r="F94" s="12">
        <v>5.35607864E8</v>
      </c>
      <c r="G94" s="69" t="s">
        <v>211</v>
      </c>
      <c r="H94" s="12" t="s">
        <v>27</v>
      </c>
      <c r="I94" s="23" t="s">
        <v>978</v>
      </c>
      <c r="J94" s="69" t="s">
        <v>35</v>
      </c>
      <c r="K94" s="17" t="s">
        <v>36</v>
      </c>
      <c r="L94" s="22"/>
      <c r="M94" s="27" t="s">
        <v>38</v>
      </c>
      <c r="N94" s="22" t="s">
        <v>56</v>
      </c>
      <c r="O94" s="22" t="s">
        <v>42</v>
      </c>
      <c r="P94" s="29"/>
      <c r="Q94" s="17" t="s">
        <v>49</v>
      </c>
      <c r="R94" s="39" t="s">
        <v>46</v>
      </c>
      <c r="S94" s="29"/>
      <c r="T94" s="29"/>
      <c r="U94" s="29"/>
      <c r="V94" s="26">
        <v>5.0</v>
      </c>
    </row>
    <row r="95">
      <c r="A95" s="12">
        <v>94.0</v>
      </c>
      <c r="B95" s="14">
        <v>46061.0</v>
      </c>
      <c r="C95" s="12" t="s">
        <v>21</v>
      </c>
      <c r="D95" s="12" t="s">
        <v>22</v>
      </c>
      <c r="E95" s="69" t="s">
        <v>984</v>
      </c>
      <c r="F95" s="16">
        <v>5.54615609E8</v>
      </c>
      <c r="G95" s="69" t="s">
        <v>198</v>
      </c>
      <c r="H95" s="12" t="s">
        <v>27</v>
      </c>
      <c r="I95" s="23" t="s">
        <v>987</v>
      </c>
      <c r="J95" s="69"/>
      <c r="K95" s="17" t="s">
        <v>36</v>
      </c>
      <c r="L95" s="22"/>
      <c r="M95" s="27" t="s">
        <v>38</v>
      </c>
      <c r="N95" s="22" t="s">
        <v>40</v>
      </c>
      <c r="O95" s="22" t="s">
        <v>42</v>
      </c>
      <c r="P95" s="29"/>
      <c r="Q95" s="17" t="s">
        <v>44</v>
      </c>
      <c r="R95" s="39" t="s">
        <v>46</v>
      </c>
      <c r="S95" s="29"/>
      <c r="T95" s="29"/>
      <c r="U95" s="29"/>
      <c r="V95" s="26">
        <v>5.0</v>
      </c>
    </row>
    <row r="96">
      <c r="A96" s="12">
        <v>95.0</v>
      </c>
      <c r="B96" s="14">
        <v>46061.0</v>
      </c>
      <c r="C96" s="12" t="s">
        <v>58</v>
      </c>
      <c r="D96" s="16" t="s">
        <v>60</v>
      </c>
      <c r="E96" s="12" t="s">
        <v>27</v>
      </c>
      <c r="F96" s="16">
        <v>5.92138782E8</v>
      </c>
      <c r="G96" s="12" t="s">
        <v>27</v>
      </c>
      <c r="H96" s="12" t="s">
        <v>27</v>
      </c>
      <c r="I96" s="36" t="s">
        <v>993</v>
      </c>
      <c r="J96" s="69" t="s">
        <v>124</v>
      </c>
      <c r="K96" s="17" t="s">
        <v>65</v>
      </c>
      <c r="L96" s="22"/>
      <c r="M96" s="27" t="s">
        <v>88</v>
      </c>
      <c r="N96" s="17" t="s">
        <v>56</v>
      </c>
      <c r="O96" s="22" t="s">
        <v>42</v>
      </c>
      <c r="P96" s="29"/>
      <c r="Q96" s="17" t="s">
        <v>44</v>
      </c>
      <c r="R96" s="39" t="s">
        <v>68</v>
      </c>
      <c r="S96" s="29"/>
      <c r="T96" s="29"/>
      <c r="U96" s="29"/>
      <c r="V96" s="26">
        <v>5.0</v>
      </c>
    </row>
    <row r="97">
      <c r="A97" s="12">
        <v>96.0</v>
      </c>
      <c r="B97" s="14">
        <v>46061.0</v>
      </c>
      <c r="C97" s="12" t="s">
        <v>58</v>
      </c>
      <c r="D97" s="16" t="s">
        <v>60</v>
      </c>
      <c r="E97" s="12" t="s">
        <v>27</v>
      </c>
      <c r="F97" s="16">
        <v>5.07220222E8</v>
      </c>
      <c r="G97" s="12" t="s">
        <v>27</v>
      </c>
      <c r="H97" s="12" t="s">
        <v>27</v>
      </c>
      <c r="I97" s="36" t="s">
        <v>1003</v>
      </c>
      <c r="J97" s="69" t="s">
        <v>124</v>
      </c>
      <c r="K97" s="17" t="s">
        <v>65</v>
      </c>
      <c r="L97" s="22"/>
      <c r="M97" s="27" t="s">
        <v>88</v>
      </c>
      <c r="N97" s="17" t="s">
        <v>56</v>
      </c>
      <c r="O97" s="22" t="s">
        <v>42</v>
      </c>
      <c r="P97" s="29"/>
      <c r="Q97" s="17" t="s">
        <v>44</v>
      </c>
      <c r="R97" s="39" t="s">
        <v>68</v>
      </c>
      <c r="S97" s="29"/>
      <c r="T97" s="29"/>
      <c r="U97" s="29"/>
      <c r="V97" s="26">
        <v>5.0</v>
      </c>
    </row>
    <row r="98">
      <c r="A98" s="12">
        <v>97.0</v>
      </c>
      <c r="B98" s="14">
        <v>46061.0</v>
      </c>
      <c r="C98" s="12" t="s">
        <v>47</v>
      </c>
      <c r="D98" s="12" t="s">
        <v>48</v>
      </c>
      <c r="E98" s="69" t="s">
        <v>1010</v>
      </c>
      <c r="F98" s="16">
        <v>5.33143547E8</v>
      </c>
      <c r="G98" s="23" t="s">
        <v>41</v>
      </c>
      <c r="H98" s="12" t="s">
        <v>1011</v>
      </c>
      <c r="I98" s="23" t="s">
        <v>1013</v>
      </c>
      <c r="J98" s="69" t="s">
        <v>1014</v>
      </c>
      <c r="K98" s="17" t="s">
        <v>36</v>
      </c>
      <c r="L98" s="22"/>
      <c r="M98" s="27" t="s">
        <v>55</v>
      </c>
      <c r="N98" s="22" t="s">
        <v>56</v>
      </c>
      <c r="O98" s="22" t="s">
        <v>42</v>
      </c>
      <c r="P98" s="29"/>
      <c r="Q98" s="17" t="s">
        <v>44</v>
      </c>
      <c r="R98" s="39" t="s">
        <v>46</v>
      </c>
      <c r="S98" s="29"/>
      <c r="T98" s="29"/>
      <c r="U98" s="29"/>
      <c r="V98" s="26">
        <v>5.0</v>
      </c>
    </row>
    <row r="99">
      <c r="A99" s="12">
        <v>98.0</v>
      </c>
      <c r="B99" s="14">
        <v>46061.0</v>
      </c>
      <c r="C99" s="12" t="s">
        <v>21</v>
      </c>
      <c r="D99" s="12" t="s">
        <v>22</v>
      </c>
      <c r="E99" s="12" t="s">
        <v>1019</v>
      </c>
      <c r="F99" s="12">
        <v>5.66818959E8</v>
      </c>
      <c r="G99" s="69" t="s">
        <v>495</v>
      </c>
      <c r="H99" s="12" t="s">
        <v>27</v>
      </c>
      <c r="I99" s="91" t="s">
        <v>1021</v>
      </c>
      <c r="J99" s="69"/>
      <c r="K99" s="17" t="s">
        <v>62</v>
      </c>
      <c r="L99" s="22"/>
      <c r="M99" s="27" t="s">
        <v>38</v>
      </c>
      <c r="N99" s="22" t="s">
        <v>40</v>
      </c>
      <c r="O99" s="22" t="s">
        <v>42</v>
      </c>
      <c r="P99" s="29"/>
      <c r="Q99" s="17" t="s">
        <v>44</v>
      </c>
      <c r="R99" s="39" t="s">
        <v>46</v>
      </c>
      <c r="S99" s="29"/>
      <c r="T99" s="29"/>
      <c r="U99" s="29"/>
      <c r="V99" s="26">
        <v>5.0</v>
      </c>
    </row>
    <row r="100">
      <c r="A100" s="12">
        <v>99.0</v>
      </c>
      <c r="B100" s="14">
        <v>46061.0</v>
      </c>
      <c r="C100" s="12" t="s">
        <v>47</v>
      </c>
      <c r="D100" s="12" t="s">
        <v>138</v>
      </c>
      <c r="E100" s="12" t="s">
        <v>1026</v>
      </c>
      <c r="F100" s="12">
        <v>5.04105794E8</v>
      </c>
      <c r="G100" s="23" t="s">
        <v>41</v>
      </c>
      <c r="H100" s="12" t="s">
        <v>329</v>
      </c>
      <c r="I100" s="23" t="s">
        <v>1027</v>
      </c>
      <c r="J100" s="69" t="s">
        <v>1028</v>
      </c>
      <c r="K100" s="17" t="s">
        <v>148</v>
      </c>
      <c r="L100" s="22"/>
      <c r="M100" s="27" t="s">
        <v>323</v>
      </c>
      <c r="N100" s="22" t="s">
        <v>56</v>
      </c>
      <c r="O100" s="22" t="s">
        <v>42</v>
      </c>
      <c r="P100" s="29"/>
      <c r="Q100" s="17" t="s">
        <v>44</v>
      </c>
      <c r="R100" s="39" t="s">
        <v>46</v>
      </c>
      <c r="S100" s="29"/>
      <c r="T100" s="29"/>
      <c r="U100" s="29"/>
      <c r="V100" s="26">
        <v>5.0</v>
      </c>
    </row>
    <row r="101">
      <c r="A101" s="12">
        <v>100.0</v>
      </c>
      <c r="B101" s="14">
        <v>46061.0</v>
      </c>
      <c r="C101" s="12" t="s">
        <v>47</v>
      </c>
      <c r="D101" s="12" t="s">
        <v>138</v>
      </c>
      <c r="E101" s="69" t="s">
        <v>1033</v>
      </c>
      <c r="F101" s="12">
        <v>5.52204112E8</v>
      </c>
      <c r="G101" s="23" t="s">
        <v>41</v>
      </c>
      <c r="H101" s="12" t="s">
        <v>577</v>
      </c>
      <c r="I101" s="23" t="s">
        <v>1035</v>
      </c>
      <c r="J101" s="69" t="s">
        <v>1036</v>
      </c>
      <c r="K101" s="17" t="s">
        <v>148</v>
      </c>
      <c r="L101" s="22"/>
      <c r="M101" s="27" t="s">
        <v>55</v>
      </c>
      <c r="N101" s="22" t="s">
        <v>56</v>
      </c>
      <c r="O101" s="22" t="s">
        <v>42</v>
      </c>
      <c r="P101" s="29"/>
      <c r="Q101" s="17" t="s">
        <v>44</v>
      </c>
      <c r="R101" s="39" t="s">
        <v>46</v>
      </c>
      <c r="S101" s="29"/>
      <c r="T101" s="29"/>
      <c r="U101" s="29"/>
      <c r="V101" s="26">
        <v>5.0</v>
      </c>
    </row>
    <row r="102">
      <c r="A102" s="12">
        <v>101.0</v>
      </c>
      <c r="B102" s="14">
        <v>46061.0</v>
      </c>
      <c r="C102" s="12" t="s">
        <v>47</v>
      </c>
      <c r="D102" s="12" t="s">
        <v>138</v>
      </c>
      <c r="E102" s="69" t="s">
        <v>1041</v>
      </c>
      <c r="F102" s="12">
        <v>5.59933173E8</v>
      </c>
      <c r="G102" s="23" t="s">
        <v>41</v>
      </c>
      <c r="H102" s="12" t="s">
        <v>193</v>
      </c>
      <c r="I102" s="23" t="s">
        <v>1044</v>
      </c>
      <c r="J102" s="69" t="s">
        <v>1045</v>
      </c>
      <c r="K102" s="17" t="s">
        <v>148</v>
      </c>
      <c r="L102" s="22"/>
      <c r="M102" s="27" t="s">
        <v>55</v>
      </c>
      <c r="N102" s="22" t="s">
        <v>56</v>
      </c>
      <c r="O102" s="22" t="s">
        <v>42</v>
      </c>
      <c r="P102" s="29"/>
      <c r="Q102" s="17" t="s">
        <v>44</v>
      </c>
      <c r="R102" s="39" t="s">
        <v>46</v>
      </c>
      <c r="S102" s="29"/>
      <c r="T102" s="29"/>
      <c r="U102" s="29"/>
      <c r="V102" s="26">
        <v>5.0</v>
      </c>
    </row>
    <row r="103">
      <c r="A103" s="12">
        <v>102.0</v>
      </c>
      <c r="B103" s="14">
        <v>46061.0</v>
      </c>
      <c r="C103" s="12" t="s">
        <v>47</v>
      </c>
      <c r="D103" s="12" t="s">
        <v>138</v>
      </c>
      <c r="E103" s="69" t="s">
        <v>384</v>
      </c>
      <c r="F103" s="12">
        <v>5.09091171E8</v>
      </c>
      <c r="G103" s="23" t="s">
        <v>41</v>
      </c>
      <c r="H103" s="12" t="s">
        <v>193</v>
      </c>
      <c r="I103" s="23" t="s">
        <v>1052</v>
      </c>
      <c r="J103" s="69" t="s">
        <v>1054</v>
      </c>
      <c r="K103" s="17" t="s">
        <v>148</v>
      </c>
      <c r="L103" s="22"/>
      <c r="M103" s="27" t="s">
        <v>795</v>
      </c>
      <c r="N103" s="22" t="s">
        <v>56</v>
      </c>
      <c r="O103" s="22" t="s">
        <v>42</v>
      </c>
      <c r="P103" s="29"/>
      <c r="Q103" s="17" t="s">
        <v>44</v>
      </c>
      <c r="R103" s="39" t="s">
        <v>46</v>
      </c>
      <c r="S103" s="29"/>
      <c r="T103" s="29"/>
      <c r="U103" s="29"/>
      <c r="V103" s="26">
        <v>5.0</v>
      </c>
    </row>
    <row r="104">
      <c r="A104" s="12">
        <v>103.0</v>
      </c>
      <c r="B104" s="14">
        <v>46061.0</v>
      </c>
      <c r="C104" s="12" t="s">
        <v>47</v>
      </c>
      <c r="D104" s="12" t="s">
        <v>367</v>
      </c>
      <c r="E104" s="69" t="s">
        <v>1059</v>
      </c>
      <c r="F104" s="12">
        <v>5.44145241E8</v>
      </c>
      <c r="G104" s="23" t="s">
        <v>41</v>
      </c>
      <c r="H104" s="12" t="s">
        <v>329</v>
      </c>
      <c r="I104" s="23" t="s">
        <v>1062</v>
      </c>
      <c r="J104" s="69" t="s">
        <v>1063</v>
      </c>
      <c r="K104" s="17" t="s">
        <v>148</v>
      </c>
      <c r="L104" s="22"/>
      <c r="M104" s="27" t="s">
        <v>55</v>
      </c>
      <c r="N104" s="22" t="s">
        <v>40</v>
      </c>
      <c r="O104" s="22" t="s">
        <v>42</v>
      </c>
      <c r="P104" s="29"/>
      <c r="Q104" s="17" t="s">
        <v>44</v>
      </c>
      <c r="R104" s="39" t="s">
        <v>46</v>
      </c>
      <c r="S104" s="29"/>
      <c r="T104" s="29"/>
      <c r="U104" s="29"/>
      <c r="V104" s="26">
        <v>5.0</v>
      </c>
    </row>
    <row r="105">
      <c r="A105" s="12">
        <v>104.0</v>
      </c>
      <c r="B105" s="14">
        <v>46061.0</v>
      </c>
      <c r="C105" s="12" t="s">
        <v>47</v>
      </c>
      <c r="D105" s="12" t="s">
        <v>367</v>
      </c>
      <c r="E105" s="69" t="s">
        <v>1068</v>
      </c>
      <c r="F105" s="12">
        <v>5.50797991E8</v>
      </c>
      <c r="G105" s="23" t="s">
        <v>41</v>
      </c>
      <c r="H105" s="12" t="s">
        <v>577</v>
      </c>
      <c r="I105" s="23" t="s">
        <v>1070</v>
      </c>
      <c r="J105" s="69" t="s">
        <v>1071</v>
      </c>
      <c r="K105" s="17" t="s">
        <v>148</v>
      </c>
      <c r="L105" s="22"/>
      <c r="M105" s="27" t="s">
        <v>1073</v>
      </c>
      <c r="N105" s="22" t="s">
        <v>56</v>
      </c>
      <c r="O105" s="22" t="s">
        <v>42</v>
      </c>
      <c r="P105" s="29"/>
      <c r="Q105" s="17" t="s">
        <v>44</v>
      </c>
      <c r="R105" s="39" t="s">
        <v>46</v>
      </c>
      <c r="S105" s="29"/>
      <c r="T105" s="29"/>
      <c r="U105" s="29"/>
      <c r="V105" s="26">
        <v>5.0</v>
      </c>
    </row>
    <row r="106">
      <c r="A106" s="12">
        <v>105.0</v>
      </c>
      <c r="B106" s="14">
        <v>46061.0</v>
      </c>
      <c r="C106" s="12" t="s">
        <v>47</v>
      </c>
      <c r="D106" s="12" t="s">
        <v>367</v>
      </c>
      <c r="E106" s="69" t="s">
        <v>1075</v>
      </c>
      <c r="F106" s="12">
        <v>5.56893447E8</v>
      </c>
      <c r="G106" s="69" t="s">
        <v>28</v>
      </c>
      <c r="H106" s="12" t="s">
        <v>177</v>
      </c>
      <c r="I106" s="23" t="s">
        <v>1077</v>
      </c>
      <c r="J106" s="93" t="s">
        <v>1078</v>
      </c>
      <c r="K106" s="17" t="s">
        <v>148</v>
      </c>
      <c r="L106" s="22"/>
      <c r="M106" s="27" t="s">
        <v>55</v>
      </c>
      <c r="N106" s="22" t="s">
        <v>56</v>
      </c>
      <c r="O106" s="22" t="s">
        <v>42</v>
      </c>
      <c r="P106" s="29"/>
      <c r="Q106" s="17" t="s">
        <v>44</v>
      </c>
      <c r="R106" s="39" t="s">
        <v>46</v>
      </c>
      <c r="S106" s="29"/>
      <c r="T106" s="29"/>
      <c r="U106" s="29"/>
      <c r="V106" s="26">
        <v>5.0</v>
      </c>
    </row>
    <row r="107">
      <c r="A107" s="12">
        <v>106.0</v>
      </c>
      <c r="B107" s="14">
        <v>46061.0</v>
      </c>
      <c r="C107" s="12" t="s">
        <v>47</v>
      </c>
      <c r="D107" s="12" t="s">
        <v>138</v>
      </c>
      <c r="E107" s="69" t="s">
        <v>1085</v>
      </c>
      <c r="F107" s="12">
        <v>5.02057462E8</v>
      </c>
      <c r="G107" s="69" t="s">
        <v>28</v>
      </c>
      <c r="H107" s="12" t="s">
        <v>1087</v>
      </c>
      <c r="I107" s="23" t="s">
        <v>1088</v>
      </c>
      <c r="J107" s="69" t="s">
        <v>1090</v>
      </c>
      <c r="K107" s="17" t="s">
        <v>148</v>
      </c>
      <c r="L107" s="22"/>
      <c r="M107" s="27" t="s">
        <v>55</v>
      </c>
      <c r="N107" s="22" t="s">
        <v>56</v>
      </c>
      <c r="O107" s="22" t="s">
        <v>42</v>
      </c>
      <c r="P107" s="29"/>
      <c r="Q107" s="17" t="s">
        <v>44</v>
      </c>
      <c r="R107" s="39" t="s">
        <v>46</v>
      </c>
      <c r="S107" s="29"/>
      <c r="T107" s="29"/>
      <c r="U107" s="29"/>
      <c r="V107" s="26">
        <v>5.0</v>
      </c>
    </row>
    <row r="108">
      <c r="A108" s="12">
        <v>107.0</v>
      </c>
      <c r="B108" s="14">
        <v>46061.0</v>
      </c>
      <c r="C108" s="12" t="s">
        <v>47</v>
      </c>
      <c r="D108" s="12" t="s">
        <v>138</v>
      </c>
      <c r="E108" s="69" t="s">
        <v>1097</v>
      </c>
      <c r="F108" s="12">
        <v>5.02828498E8</v>
      </c>
      <c r="G108" s="69" t="s">
        <v>28</v>
      </c>
      <c r="H108" s="12" t="s">
        <v>177</v>
      </c>
      <c r="I108" s="23" t="s">
        <v>1098</v>
      </c>
      <c r="J108" s="69" t="s">
        <v>1099</v>
      </c>
      <c r="K108" s="17" t="s">
        <v>148</v>
      </c>
      <c r="L108" s="22"/>
      <c r="M108" s="27" t="s">
        <v>55</v>
      </c>
      <c r="N108" s="22" t="s">
        <v>56</v>
      </c>
      <c r="O108" s="22" t="s">
        <v>42</v>
      </c>
      <c r="P108" s="29"/>
      <c r="Q108" s="17" t="s">
        <v>44</v>
      </c>
      <c r="R108" s="39" t="s">
        <v>46</v>
      </c>
      <c r="S108" s="29"/>
      <c r="T108" s="29"/>
      <c r="U108" s="29"/>
      <c r="V108" s="26">
        <v>5.0</v>
      </c>
    </row>
    <row r="109">
      <c r="A109" s="12">
        <v>108.0</v>
      </c>
      <c r="B109" s="14">
        <v>46061.0</v>
      </c>
      <c r="C109" s="12" t="s">
        <v>47</v>
      </c>
      <c r="D109" s="12" t="s">
        <v>138</v>
      </c>
      <c r="E109" s="69" t="s">
        <v>1109</v>
      </c>
      <c r="F109" s="12">
        <v>5.04702415E8</v>
      </c>
      <c r="G109" s="69" t="s">
        <v>79</v>
      </c>
      <c r="H109" s="12" t="s">
        <v>451</v>
      </c>
      <c r="I109" s="23" t="s">
        <v>1110</v>
      </c>
      <c r="J109" s="69" t="s">
        <v>1111</v>
      </c>
      <c r="K109" s="17" t="s">
        <v>148</v>
      </c>
      <c r="L109" s="22"/>
      <c r="M109" s="27" t="s">
        <v>602</v>
      </c>
      <c r="N109" s="22" t="s">
        <v>56</v>
      </c>
      <c r="O109" s="22" t="s">
        <v>42</v>
      </c>
      <c r="P109" s="29"/>
      <c r="Q109" s="17" t="s">
        <v>44</v>
      </c>
      <c r="R109" s="39" t="s">
        <v>46</v>
      </c>
      <c r="S109" s="29"/>
      <c r="T109" s="29"/>
      <c r="U109" s="29"/>
      <c r="V109" s="26">
        <v>5.0</v>
      </c>
    </row>
    <row r="110">
      <c r="A110" s="12">
        <v>109.0</v>
      </c>
      <c r="B110" s="14">
        <v>46061.0</v>
      </c>
      <c r="C110" s="12" t="s">
        <v>58</v>
      </c>
      <c r="D110" s="16" t="s">
        <v>60</v>
      </c>
      <c r="E110" s="69" t="s">
        <v>763</v>
      </c>
      <c r="F110" s="16">
        <v>5.01511878E8</v>
      </c>
      <c r="G110" s="69" t="s">
        <v>495</v>
      </c>
      <c r="H110" s="12" t="s">
        <v>1029</v>
      </c>
      <c r="I110" s="23" t="s">
        <v>1120</v>
      </c>
      <c r="J110" s="69" t="s">
        <v>1121</v>
      </c>
      <c r="K110" s="17" t="s">
        <v>148</v>
      </c>
      <c r="L110" s="22"/>
      <c r="M110" s="27" t="s">
        <v>88</v>
      </c>
      <c r="N110" s="17" t="s">
        <v>56</v>
      </c>
      <c r="O110" s="22" t="s">
        <v>42</v>
      </c>
      <c r="P110" s="29"/>
      <c r="Q110" s="17" t="s">
        <v>44</v>
      </c>
      <c r="R110" s="39" t="s">
        <v>68</v>
      </c>
      <c r="S110" s="29"/>
      <c r="T110" s="29"/>
      <c r="U110" s="29"/>
      <c r="V110" s="26">
        <v>5.0</v>
      </c>
    </row>
    <row r="111">
      <c r="A111" s="12">
        <v>110.0</v>
      </c>
      <c r="B111" s="14">
        <v>46061.0</v>
      </c>
      <c r="C111" s="12" t="s">
        <v>47</v>
      </c>
      <c r="D111" s="12" t="s">
        <v>92</v>
      </c>
      <c r="E111" s="69" t="s">
        <v>1127</v>
      </c>
      <c r="F111" s="16">
        <v>5.04670911E8</v>
      </c>
      <c r="G111" s="69" t="s">
        <v>71</v>
      </c>
      <c r="H111" s="12" t="s">
        <v>337</v>
      </c>
      <c r="I111" s="23" t="s">
        <v>1133</v>
      </c>
      <c r="J111" s="69" t="s">
        <v>1136</v>
      </c>
      <c r="K111" s="17" t="s">
        <v>36</v>
      </c>
      <c r="L111" s="22"/>
      <c r="M111" s="27" t="s">
        <v>953</v>
      </c>
      <c r="N111" s="22" t="s">
        <v>56</v>
      </c>
      <c r="O111" s="22" t="s">
        <v>42</v>
      </c>
      <c r="P111" s="29"/>
      <c r="Q111" s="17" t="s">
        <v>44</v>
      </c>
      <c r="R111" s="39" t="s">
        <v>46</v>
      </c>
      <c r="S111" s="29"/>
      <c r="T111" s="29"/>
      <c r="U111" s="29"/>
      <c r="V111" s="26">
        <v>5.0</v>
      </c>
    </row>
    <row r="112" ht="48.75" customHeight="1">
      <c r="A112" s="12">
        <v>111.0</v>
      </c>
      <c r="B112" s="14">
        <v>46061.0</v>
      </c>
      <c r="C112" s="12" t="s">
        <v>21</v>
      </c>
      <c r="D112" s="12" t="s">
        <v>48</v>
      </c>
      <c r="E112" s="69" t="s">
        <v>1144</v>
      </c>
      <c r="F112" s="12">
        <v>5.46390678E8</v>
      </c>
      <c r="G112" s="69" t="s">
        <v>71</v>
      </c>
      <c r="H112" s="12" t="s">
        <v>27</v>
      </c>
      <c r="I112" s="23" t="s">
        <v>1146</v>
      </c>
      <c r="J112" s="69" t="s">
        <v>1147</v>
      </c>
      <c r="K112" s="17" t="s">
        <v>36</v>
      </c>
      <c r="L112" s="22"/>
      <c r="M112" s="27" t="s">
        <v>38</v>
      </c>
      <c r="N112" s="17" t="s">
        <v>56</v>
      </c>
      <c r="O112" s="17" t="s">
        <v>42</v>
      </c>
      <c r="P112" s="29"/>
      <c r="Q112" s="17" t="s">
        <v>44</v>
      </c>
      <c r="R112" s="39" t="s">
        <v>68</v>
      </c>
      <c r="S112" s="29"/>
      <c r="T112" s="29"/>
      <c r="U112" s="29"/>
      <c r="V112" s="26">
        <v>5.0</v>
      </c>
    </row>
    <row r="113">
      <c r="A113" s="12">
        <v>112.0</v>
      </c>
      <c r="B113" s="14">
        <v>46061.0</v>
      </c>
      <c r="C113" s="12" t="s">
        <v>47</v>
      </c>
      <c r="D113" s="12" t="s">
        <v>48</v>
      </c>
      <c r="E113" s="69" t="s">
        <v>1156</v>
      </c>
      <c r="F113" s="16">
        <v>5.53568066E8</v>
      </c>
      <c r="G113" s="23" t="s">
        <v>41</v>
      </c>
      <c r="H113" s="12" t="s">
        <v>222</v>
      </c>
      <c r="I113" s="23" t="s">
        <v>1158</v>
      </c>
      <c r="J113" s="69" t="s">
        <v>1160</v>
      </c>
      <c r="K113" s="17" t="s">
        <v>39</v>
      </c>
      <c r="L113" s="22"/>
      <c r="M113" s="27" t="s">
        <v>101</v>
      </c>
      <c r="N113" s="22" t="s">
        <v>56</v>
      </c>
      <c r="O113" s="22" t="s">
        <v>42</v>
      </c>
      <c r="P113" s="29"/>
      <c r="Q113" s="17" t="s">
        <v>44</v>
      </c>
      <c r="R113" s="39" t="s">
        <v>46</v>
      </c>
      <c r="S113" s="29"/>
      <c r="T113" s="29"/>
      <c r="U113" s="29"/>
      <c r="V113" s="26">
        <v>5.0</v>
      </c>
    </row>
    <row r="114">
      <c r="A114" s="12">
        <v>113.0</v>
      </c>
      <c r="B114" s="14">
        <v>46061.0</v>
      </c>
      <c r="C114" s="12" t="s">
        <v>21</v>
      </c>
      <c r="D114" s="12" t="s">
        <v>22</v>
      </c>
      <c r="E114" s="69" t="s">
        <v>845</v>
      </c>
      <c r="F114" s="12">
        <v>5.53339898E8</v>
      </c>
      <c r="G114" s="69" t="s">
        <v>319</v>
      </c>
      <c r="H114" s="12" t="s">
        <v>27</v>
      </c>
      <c r="I114" s="23" t="s">
        <v>1171</v>
      </c>
      <c r="J114" s="69"/>
      <c r="K114" s="17" t="s">
        <v>36</v>
      </c>
      <c r="L114" s="22"/>
      <c r="M114" s="27" t="s">
        <v>38</v>
      </c>
      <c r="N114" s="22" t="s">
        <v>40</v>
      </c>
      <c r="O114" s="22" t="s">
        <v>42</v>
      </c>
      <c r="P114" s="29"/>
      <c r="Q114" s="17" t="s">
        <v>44</v>
      </c>
      <c r="R114" s="39" t="s">
        <v>46</v>
      </c>
      <c r="S114" s="29"/>
      <c r="T114" s="29"/>
      <c r="U114" s="29"/>
      <c r="V114" s="26">
        <v>5.0</v>
      </c>
    </row>
    <row r="115">
      <c r="A115" s="12">
        <v>114.0</v>
      </c>
      <c r="B115" s="14">
        <v>46061.0</v>
      </c>
      <c r="C115" s="12" t="s">
        <v>47</v>
      </c>
      <c r="D115" s="12" t="s">
        <v>48</v>
      </c>
      <c r="E115" s="69" t="s">
        <v>1179</v>
      </c>
      <c r="F115" s="12">
        <v>5.00661487E8</v>
      </c>
      <c r="G115" s="69" t="s">
        <v>71</v>
      </c>
      <c r="H115" s="12" t="s">
        <v>163</v>
      </c>
      <c r="I115" s="23" t="s">
        <v>1181</v>
      </c>
      <c r="J115" s="69" t="s">
        <v>1182</v>
      </c>
      <c r="K115" s="17" t="s">
        <v>36</v>
      </c>
      <c r="L115" s="22"/>
      <c r="M115" s="27" t="s">
        <v>55</v>
      </c>
      <c r="N115" s="22" t="s">
        <v>56</v>
      </c>
      <c r="O115" s="22" t="s">
        <v>42</v>
      </c>
      <c r="P115" s="29"/>
      <c r="Q115" s="17" t="s">
        <v>44</v>
      </c>
      <c r="R115" s="39" t="s">
        <v>46</v>
      </c>
      <c r="S115" s="29"/>
      <c r="T115" s="29"/>
      <c r="U115" s="29"/>
      <c r="V115" s="26">
        <v>5.0</v>
      </c>
    </row>
    <row r="116">
      <c r="A116" s="12">
        <v>115.0</v>
      </c>
      <c r="B116" s="14">
        <v>46061.0</v>
      </c>
      <c r="C116" s="12" t="s">
        <v>21</v>
      </c>
      <c r="D116" s="12" t="s">
        <v>66</v>
      </c>
      <c r="E116" s="69" t="s">
        <v>1189</v>
      </c>
      <c r="F116" s="12">
        <v>5.01004496E8</v>
      </c>
      <c r="G116" s="69" t="s">
        <v>152</v>
      </c>
      <c r="H116" s="12" t="s">
        <v>27</v>
      </c>
      <c r="I116" s="23" t="s">
        <v>1193</v>
      </c>
      <c r="J116" s="69" t="s">
        <v>1195</v>
      </c>
      <c r="K116" s="17" t="s">
        <v>36</v>
      </c>
      <c r="L116" s="22"/>
      <c r="M116" s="27" t="s">
        <v>38</v>
      </c>
      <c r="N116" s="17" t="s">
        <v>56</v>
      </c>
      <c r="O116" s="22" t="s">
        <v>42</v>
      </c>
      <c r="P116" s="29"/>
      <c r="Q116" s="17" t="s">
        <v>44</v>
      </c>
      <c r="R116" s="39" t="s">
        <v>68</v>
      </c>
      <c r="S116" s="29"/>
      <c r="T116" s="29"/>
      <c r="U116" s="29"/>
      <c r="V116" s="26">
        <v>5.0</v>
      </c>
    </row>
    <row r="117">
      <c r="A117" s="12">
        <v>116.0</v>
      </c>
      <c r="B117" s="14">
        <v>46061.0</v>
      </c>
      <c r="C117" s="12" t="s">
        <v>21</v>
      </c>
      <c r="D117" s="12" t="s">
        <v>48</v>
      </c>
      <c r="E117" s="69" t="s">
        <v>1199</v>
      </c>
      <c r="F117" s="12">
        <v>5.55735098E8</v>
      </c>
      <c r="G117" s="69" t="s">
        <v>79</v>
      </c>
      <c r="H117" s="12" t="s">
        <v>27</v>
      </c>
      <c r="I117" s="23" t="s">
        <v>1206</v>
      </c>
      <c r="J117" s="69" t="s">
        <v>1207</v>
      </c>
      <c r="K117" s="17" t="s">
        <v>36</v>
      </c>
      <c r="L117" s="22"/>
      <c r="M117" s="27" t="s">
        <v>38</v>
      </c>
      <c r="N117" s="22" t="s">
        <v>56</v>
      </c>
      <c r="O117" s="22" t="s">
        <v>42</v>
      </c>
      <c r="P117" s="29"/>
      <c r="Q117" s="17" t="s">
        <v>44</v>
      </c>
      <c r="R117" s="39" t="s">
        <v>68</v>
      </c>
      <c r="S117" s="29"/>
      <c r="T117" s="29"/>
      <c r="U117" s="29"/>
      <c r="V117" s="26">
        <v>5.0</v>
      </c>
    </row>
    <row r="118">
      <c r="A118" s="12">
        <v>117.0</v>
      </c>
      <c r="B118" s="14">
        <v>46061.0</v>
      </c>
      <c r="C118" s="12" t="s">
        <v>47</v>
      </c>
      <c r="D118" s="12" t="s">
        <v>48</v>
      </c>
      <c r="E118" s="69" t="s">
        <v>1213</v>
      </c>
      <c r="F118" s="12">
        <v>5.05103531E8</v>
      </c>
      <c r="G118" s="69" t="s">
        <v>333</v>
      </c>
      <c r="H118" s="12" t="s">
        <v>1114</v>
      </c>
      <c r="I118" s="23" t="s">
        <v>1215</v>
      </c>
      <c r="J118" s="69" t="s">
        <v>1216</v>
      </c>
      <c r="K118" s="17" t="s">
        <v>36</v>
      </c>
      <c r="L118" s="22"/>
      <c r="M118" s="27" t="s">
        <v>611</v>
      </c>
      <c r="N118" s="22" t="s">
        <v>56</v>
      </c>
      <c r="O118" s="22" t="s">
        <v>42</v>
      </c>
      <c r="P118" s="29"/>
      <c r="Q118" s="17" t="s">
        <v>44</v>
      </c>
      <c r="R118" s="39" t="s">
        <v>46</v>
      </c>
      <c r="S118" s="29"/>
      <c r="T118" s="29"/>
      <c r="U118" s="29"/>
      <c r="V118" s="26">
        <v>5.0</v>
      </c>
    </row>
    <row r="119">
      <c r="A119" s="12">
        <v>118.0</v>
      </c>
      <c r="B119" s="14">
        <v>46061.0</v>
      </c>
      <c r="C119" s="12" t="s">
        <v>21</v>
      </c>
      <c r="D119" s="12" t="s">
        <v>24</v>
      </c>
      <c r="E119" s="69" t="s">
        <v>1224</v>
      </c>
      <c r="F119" s="12">
        <v>5.55644493E8</v>
      </c>
      <c r="G119" s="69" t="s">
        <v>71</v>
      </c>
      <c r="H119" s="12" t="s">
        <v>27</v>
      </c>
      <c r="I119" s="23" t="s">
        <v>1226</v>
      </c>
      <c r="J119" s="69"/>
      <c r="K119" s="17" t="s">
        <v>36</v>
      </c>
      <c r="L119" s="22"/>
      <c r="M119" s="27" t="s">
        <v>38</v>
      </c>
      <c r="N119" s="22" t="s">
        <v>40</v>
      </c>
      <c r="O119" s="22" t="s">
        <v>42</v>
      </c>
      <c r="P119" s="29"/>
      <c r="Q119" s="17" t="s">
        <v>44</v>
      </c>
      <c r="R119" s="39" t="s">
        <v>46</v>
      </c>
      <c r="S119" s="29"/>
      <c r="T119" s="29"/>
      <c r="U119" s="29"/>
      <c r="V119" s="26">
        <v>5.0</v>
      </c>
    </row>
    <row r="120">
      <c r="A120" s="12">
        <v>119.0</v>
      </c>
      <c r="B120" s="14">
        <v>46061.0</v>
      </c>
      <c r="C120" s="12" t="s">
        <v>21</v>
      </c>
      <c r="D120" s="12" t="s">
        <v>22</v>
      </c>
      <c r="E120" s="69" t="s">
        <v>1232</v>
      </c>
      <c r="F120" s="12">
        <v>5.35383338E8</v>
      </c>
      <c r="G120" s="69" t="s">
        <v>237</v>
      </c>
      <c r="H120" s="12" t="s">
        <v>27</v>
      </c>
      <c r="I120" s="23" t="s">
        <v>1238</v>
      </c>
      <c r="J120" s="69" t="s">
        <v>32</v>
      </c>
      <c r="K120" s="17" t="s">
        <v>36</v>
      </c>
      <c r="L120" s="22"/>
      <c r="M120" s="27" t="s">
        <v>38</v>
      </c>
      <c r="N120" s="22" t="s">
        <v>40</v>
      </c>
      <c r="O120" s="22" t="s">
        <v>42</v>
      </c>
      <c r="P120" s="29"/>
      <c r="Q120" s="17" t="s">
        <v>44</v>
      </c>
      <c r="R120" s="39" t="s">
        <v>46</v>
      </c>
      <c r="S120" s="29"/>
      <c r="T120" s="29"/>
      <c r="U120" s="29"/>
      <c r="V120" s="26">
        <v>5.0</v>
      </c>
    </row>
    <row r="121">
      <c r="A121" s="12">
        <v>120.0</v>
      </c>
      <c r="B121" s="14">
        <v>46061.0</v>
      </c>
      <c r="C121" s="12" t="s">
        <v>47</v>
      </c>
      <c r="D121" s="12" t="s">
        <v>48</v>
      </c>
      <c r="E121" s="69" t="s">
        <v>1246</v>
      </c>
      <c r="F121" s="12">
        <v>5.4131687E8</v>
      </c>
      <c r="G121" s="23" t="s">
        <v>41</v>
      </c>
      <c r="H121" s="12" t="s">
        <v>146</v>
      </c>
      <c r="I121" s="23" t="s">
        <v>1247</v>
      </c>
      <c r="J121" s="23"/>
      <c r="K121" s="17" t="s">
        <v>36</v>
      </c>
      <c r="L121" s="22"/>
      <c r="M121" s="27" t="s">
        <v>221</v>
      </c>
      <c r="N121" s="22" t="s">
        <v>40</v>
      </c>
      <c r="O121" s="22" t="s">
        <v>42</v>
      </c>
      <c r="P121" s="29"/>
      <c r="Q121" s="17" t="s">
        <v>44</v>
      </c>
      <c r="R121" s="39" t="s">
        <v>46</v>
      </c>
      <c r="S121" s="29"/>
      <c r="T121" s="29"/>
      <c r="U121" s="29"/>
      <c r="V121" s="26">
        <v>5.0</v>
      </c>
    </row>
    <row r="122">
      <c r="A122" s="12">
        <v>121.0</v>
      </c>
      <c r="B122" s="14">
        <v>46061.0</v>
      </c>
      <c r="C122" s="12" t="s">
        <v>47</v>
      </c>
      <c r="D122" s="12" t="s">
        <v>48</v>
      </c>
      <c r="E122" s="69" t="s">
        <v>1256</v>
      </c>
      <c r="F122" s="21" t="s">
        <v>27</v>
      </c>
      <c r="G122" s="23" t="s">
        <v>41</v>
      </c>
      <c r="H122" s="12" t="s">
        <v>222</v>
      </c>
      <c r="I122" s="23" t="s">
        <v>1258</v>
      </c>
      <c r="J122" s="69" t="s">
        <v>1259</v>
      </c>
      <c r="K122" s="17" t="s">
        <v>78</v>
      </c>
      <c r="L122" s="22"/>
      <c r="M122" s="27" t="s">
        <v>101</v>
      </c>
      <c r="N122" s="22" t="s">
        <v>56</v>
      </c>
      <c r="O122" s="22" t="s">
        <v>42</v>
      </c>
      <c r="P122" s="29"/>
      <c r="Q122" s="17" t="s">
        <v>49</v>
      </c>
      <c r="R122" s="39" t="s">
        <v>46</v>
      </c>
      <c r="S122" s="29"/>
      <c r="T122" s="29"/>
      <c r="U122" s="29"/>
      <c r="V122" s="26">
        <v>5.0</v>
      </c>
    </row>
    <row r="123">
      <c r="A123" s="12">
        <v>122.0</v>
      </c>
      <c r="B123" s="14">
        <v>46061.0</v>
      </c>
      <c r="C123" s="12" t="s">
        <v>47</v>
      </c>
      <c r="D123" s="12" t="s">
        <v>138</v>
      </c>
      <c r="E123" s="12" t="s">
        <v>1265</v>
      </c>
      <c r="F123" s="21" t="s">
        <v>27</v>
      </c>
      <c r="G123" s="23" t="s">
        <v>41</v>
      </c>
      <c r="H123" s="12" t="s">
        <v>329</v>
      </c>
      <c r="I123" s="23" t="s">
        <v>1267</v>
      </c>
      <c r="J123" s="69" t="s">
        <v>1268</v>
      </c>
      <c r="K123" s="17" t="s">
        <v>78</v>
      </c>
      <c r="L123" s="22"/>
      <c r="M123" s="27" t="s">
        <v>55</v>
      </c>
      <c r="N123" s="22" t="s">
        <v>56</v>
      </c>
      <c r="O123" s="22" t="s">
        <v>42</v>
      </c>
      <c r="P123" s="29"/>
      <c r="Q123" s="17" t="s">
        <v>49</v>
      </c>
      <c r="R123" s="39" t="s">
        <v>46</v>
      </c>
      <c r="S123" s="29"/>
      <c r="T123" s="29"/>
      <c r="U123" s="29"/>
      <c r="V123" s="26">
        <v>5.0</v>
      </c>
    </row>
    <row r="124">
      <c r="A124" s="12">
        <v>123.0</v>
      </c>
      <c r="B124" s="14">
        <v>46061.0</v>
      </c>
      <c r="C124" s="12" t="s">
        <v>47</v>
      </c>
      <c r="D124" s="12" t="s">
        <v>92</v>
      </c>
      <c r="E124" s="69" t="s">
        <v>626</v>
      </c>
      <c r="F124" s="12" t="s">
        <v>27</v>
      </c>
      <c r="G124" s="102" t="s">
        <v>132</v>
      </c>
      <c r="H124" s="103" t="s">
        <v>406</v>
      </c>
      <c r="I124" s="23" t="s">
        <v>1275</v>
      </c>
      <c r="J124" s="69" t="s">
        <v>1277</v>
      </c>
      <c r="K124" s="17" t="s">
        <v>78</v>
      </c>
      <c r="L124" s="22"/>
      <c r="M124" s="27" t="s">
        <v>55</v>
      </c>
      <c r="N124" s="17" t="s">
        <v>56</v>
      </c>
      <c r="O124" s="17" t="s">
        <v>42</v>
      </c>
      <c r="P124" s="29"/>
      <c r="Q124" s="17" t="s">
        <v>49</v>
      </c>
      <c r="R124" s="39" t="s">
        <v>46</v>
      </c>
      <c r="S124" s="29"/>
      <c r="T124" s="29"/>
      <c r="U124" s="29"/>
      <c r="V124" s="26">
        <v>5.0</v>
      </c>
    </row>
    <row r="125">
      <c r="A125" s="12">
        <v>124.0</v>
      </c>
      <c r="B125" s="14">
        <v>46061.0</v>
      </c>
      <c r="C125" s="12" t="s">
        <v>47</v>
      </c>
      <c r="D125" s="12" t="s">
        <v>48</v>
      </c>
      <c r="E125" s="104" t="s">
        <v>1282</v>
      </c>
      <c r="F125" s="21" t="s">
        <v>27</v>
      </c>
      <c r="G125" s="23" t="s">
        <v>41</v>
      </c>
      <c r="H125" s="12" t="s">
        <v>263</v>
      </c>
      <c r="I125" s="23" t="s">
        <v>1284</v>
      </c>
      <c r="J125" s="69" t="s">
        <v>1286</v>
      </c>
      <c r="K125" s="17" t="s">
        <v>78</v>
      </c>
      <c r="L125" s="22"/>
      <c r="M125" s="27" t="s">
        <v>221</v>
      </c>
      <c r="N125" s="22" t="s">
        <v>56</v>
      </c>
      <c r="O125" s="22" t="s">
        <v>42</v>
      </c>
      <c r="P125" s="29"/>
      <c r="Q125" s="17" t="s">
        <v>49</v>
      </c>
      <c r="R125" s="39" t="s">
        <v>46</v>
      </c>
      <c r="S125" s="29"/>
      <c r="T125" s="29"/>
      <c r="U125" s="29"/>
      <c r="V125" s="26">
        <v>5.0</v>
      </c>
    </row>
    <row r="126">
      <c r="A126" s="12">
        <v>125.0</v>
      </c>
      <c r="B126" s="14">
        <v>46061.0</v>
      </c>
      <c r="C126" s="12" t="s">
        <v>58</v>
      </c>
      <c r="D126" s="16" t="s">
        <v>60</v>
      </c>
      <c r="E126" s="12" t="s">
        <v>27</v>
      </c>
      <c r="F126" s="12">
        <v>5.46980802E8</v>
      </c>
      <c r="G126" s="12" t="s">
        <v>27</v>
      </c>
      <c r="H126" s="12" t="s">
        <v>27</v>
      </c>
      <c r="I126" s="23" t="s">
        <v>1293</v>
      </c>
      <c r="J126" s="19" t="s">
        <v>35</v>
      </c>
      <c r="K126" s="17" t="s">
        <v>36</v>
      </c>
      <c r="L126" s="22"/>
      <c r="M126" s="27" t="s">
        <v>88</v>
      </c>
      <c r="N126" s="17" t="s">
        <v>56</v>
      </c>
      <c r="O126" s="22" t="s">
        <v>42</v>
      </c>
      <c r="P126" s="29"/>
      <c r="Q126" s="17" t="s">
        <v>49</v>
      </c>
      <c r="R126" s="39" t="s">
        <v>68</v>
      </c>
      <c r="S126" s="29"/>
      <c r="T126" s="29"/>
      <c r="U126" s="29"/>
      <c r="V126" s="26">
        <v>5.0</v>
      </c>
    </row>
    <row r="127">
      <c r="A127" s="12">
        <v>126.0</v>
      </c>
      <c r="B127" s="14">
        <v>46061.0</v>
      </c>
      <c r="C127" s="12" t="s">
        <v>47</v>
      </c>
      <c r="D127" s="12" t="s">
        <v>48</v>
      </c>
      <c r="E127" s="69" t="s">
        <v>1304</v>
      </c>
      <c r="F127" s="12">
        <v>5.75924772E8</v>
      </c>
      <c r="G127" s="23" t="s">
        <v>41</v>
      </c>
      <c r="H127" s="12" t="s">
        <v>52</v>
      </c>
      <c r="I127" s="23" t="s">
        <v>1305</v>
      </c>
      <c r="J127" s="69" t="s">
        <v>1308</v>
      </c>
      <c r="K127" s="17" t="s">
        <v>36</v>
      </c>
      <c r="L127" s="22"/>
      <c r="M127" s="27" t="s">
        <v>611</v>
      </c>
      <c r="N127" s="22" t="s">
        <v>56</v>
      </c>
      <c r="O127" s="22" t="s">
        <v>42</v>
      </c>
      <c r="P127" s="29"/>
      <c r="Q127" s="17" t="s">
        <v>44</v>
      </c>
      <c r="R127" s="39" t="s">
        <v>46</v>
      </c>
      <c r="S127" s="29"/>
      <c r="T127" s="29"/>
      <c r="U127" s="29"/>
      <c r="V127" s="26">
        <v>5.0</v>
      </c>
    </row>
    <row r="128">
      <c r="A128" s="12">
        <v>127.0</v>
      </c>
      <c r="B128" s="14">
        <v>46061.0</v>
      </c>
      <c r="C128" s="12" t="s">
        <v>21</v>
      </c>
      <c r="D128" s="12" t="s">
        <v>57</v>
      </c>
      <c r="E128" s="69" t="s">
        <v>1317</v>
      </c>
      <c r="F128" s="12">
        <v>5.00820194E8</v>
      </c>
      <c r="G128" s="69" t="s">
        <v>333</v>
      </c>
      <c r="H128" s="12" t="s">
        <v>27</v>
      </c>
      <c r="I128" s="23" t="s">
        <v>1321</v>
      </c>
      <c r="J128" s="69"/>
      <c r="K128" s="17" t="s">
        <v>36</v>
      </c>
      <c r="L128" s="22"/>
      <c r="M128" s="27" t="s">
        <v>38</v>
      </c>
      <c r="N128" s="17" t="s">
        <v>56</v>
      </c>
      <c r="O128" s="22" t="s">
        <v>42</v>
      </c>
      <c r="P128" s="29"/>
      <c r="Q128" s="17" t="s">
        <v>44</v>
      </c>
      <c r="R128" s="39" t="s">
        <v>68</v>
      </c>
      <c r="S128" s="29"/>
      <c r="T128" s="29"/>
      <c r="U128" s="29"/>
      <c r="V128" s="26">
        <v>5.0</v>
      </c>
    </row>
    <row r="129">
      <c r="A129" s="12">
        <v>128.0</v>
      </c>
      <c r="B129" s="14">
        <v>46061.0</v>
      </c>
      <c r="C129" s="12" t="s">
        <v>21</v>
      </c>
      <c r="D129" s="12" t="s">
        <v>22</v>
      </c>
      <c r="E129" s="69" t="s">
        <v>1330</v>
      </c>
      <c r="F129" s="12">
        <v>5.80731825E8</v>
      </c>
      <c r="G129" s="69" t="s">
        <v>1332</v>
      </c>
      <c r="H129" s="12" t="s">
        <v>27</v>
      </c>
      <c r="I129" s="23" t="s">
        <v>1333</v>
      </c>
      <c r="J129" s="69" t="s">
        <v>35</v>
      </c>
      <c r="K129" s="17" t="s">
        <v>39</v>
      </c>
      <c r="L129" s="22"/>
      <c r="M129" s="27" t="s">
        <v>38</v>
      </c>
      <c r="N129" s="22" t="s">
        <v>56</v>
      </c>
      <c r="O129" s="22" t="s">
        <v>42</v>
      </c>
      <c r="P129" s="29"/>
      <c r="Q129" s="17" t="s">
        <v>49</v>
      </c>
      <c r="R129" s="39" t="s">
        <v>46</v>
      </c>
      <c r="S129" s="29"/>
      <c r="T129" s="29"/>
      <c r="U129" s="29"/>
      <c r="V129" s="26">
        <v>5.0</v>
      </c>
    </row>
    <row r="130">
      <c r="A130" s="12">
        <v>129.0</v>
      </c>
      <c r="B130" s="14">
        <v>46062.0</v>
      </c>
      <c r="C130" s="12" t="s">
        <v>21</v>
      </c>
      <c r="D130" s="12" t="s">
        <v>22</v>
      </c>
      <c r="E130" s="69" t="s">
        <v>1339</v>
      </c>
      <c r="F130" s="12">
        <v>1.15413654E8</v>
      </c>
      <c r="G130" s="69" t="s">
        <v>1341</v>
      </c>
      <c r="H130" s="12" t="s">
        <v>27</v>
      </c>
      <c r="I130" s="23" t="s">
        <v>326</v>
      </c>
      <c r="J130" s="69"/>
      <c r="K130" s="17" t="s">
        <v>36</v>
      </c>
      <c r="L130" s="22"/>
      <c r="M130" s="27" t="s">
        <v>38</v>
      </c>
      <c r="N130" s="22" t="s">
        <v>40</v>
      </c>
      <c r="O130" s="22" t="s">
        <v>42</v>
      </c>
      <c r="P130" s="29"/>
      <c r="Q130" s="17" t="s">
        <v>44</v>
      </c>
      <c r="R130" s="39" t="s">
        <v>46</v>
      </c>
      <c r="S130" s="29"/>
      <c r="T130" s="29"/>
      <c r="U130" s="29"/>
      <c r="V130" s="26">
        <v>5.0</v>
      </c>
    </row>
    <row r="131">
      <c r="A131" s="12">
        <v>130.0</v>
      </c>
      <c r="B131" s="14">
        <v>46062.0</v>
      </c>
      <c r="C131" s="12" t="s">
        <v>21</v>
      </c>
      <c r="D131" s="12" t="s">
        <v>66</v>
      </c>
      <c r="E131" s="69" t="s">
        <v>1348</v>
      </c>
      <c r="F131" s="12">
        <v>5.01038002E8</v>
      </c>
      <c r="G131" s="12" t="s">
        <v>27</v>
      </c>
      <c r="H131" s="12" t="s">
        <v>27</v>
      </c>
      <c r="I131" s="23" t="s">
        <v>1349</v>
      </c>
      <c r="J131" s="19" t="s">
        <v>35</v>
      </c>
      <c r="K131" s="17" t="s">
        <v>39</v>
      </c>
      <c r="L131" s="22"/>
      <c r="M131" s="27" t="s">
        <v>38</v>
      </c>
      <c r="N131" s="17" t="s">
        <v>56</v>
      </c>
      <c r="O131" s="22" t="s">
        <v>42</v>
      </c>
      <c r="P131" s="29"/>
      <c r="Q131" s="17" t="s">
        <v>49</v>
      </c>
      <c r="R131" s="39" t="s">
        <v>68</v>
      </c>
      <c r="S131" s="29"/>
      <c r="T131" s="29"/>
      <c r="U131" s="29"/>
      <c r="V131" s="26">
        <v>5.0</v>
      </c>
    </row>
    <row r="132">
      <c r="A132" s="12">
        <v>131.0</v>
      </c>
      <c r="B132" s="14">
        <v>46062.0</v>
      </c>
      <c r="C132" s="12" t="s">
        <v>21</v>
      </c>
      <c r="D132" s="12" t="s">
        <v>22</v>
      </c>
      <c r="E132" s="69" t="s">
        <v>1357</v>
      </c>
      <c r="F132" s="12">
        <v>5.07763753E8</v>
      </c>
      <c r="G132" s="69" t="s">
        <v>28</v>
      </c>
      <c r="H132" s="21" t="s">
        <v>27</v>
      </c>
      <c r="I132" s="23" t="s">
        <v>1358</v>
      </c>
      <c r="J132" s="69"/>
      <c r="K132" s="17" t="s">
        <v>36</v>
      </c>
      <c r="L132" s="22"/>
      <c r="M132" s="27" t="s">
        <v>38</v>
      </c>
      <c r="N132" s="22" t="s">
        <v>40</v>
      </c>
      <c r="O132" s="22" t="s">
        <v>42</v>
      </c>
      <c r="P132" s="29"/>
      <c r="Q132" s="17" t="s">
        <v>44</v>
      </c>
      <c r="R132" s="39" t="s">
        <v>46</v>
      </c>
      <c r="S132" s="29"/>
      <c r="T132" s="29"/>
      <c r="U132" s="29"/>
      <c r="V132" s="26">
        <v>5.0</v>
      </c>
    </row>
    <row r="133">
      <c r="A133" s="12">
        <v>132.0</v>
      </c>
      <c r="B133" s="14">
        <v>46062.0</v>
      </c>
      <c r="C133" s="12" t="s">
        <v>21</v>
      </c>
      <c r="D133" s="12" t="s">
        <v>57</v>
      </c>
      <c r="E133" s="69" t="s">
        <v>1365</v>
      </c>
      <c r="F133" s="12">
        <v>5.63211439E8</v>
      </c>
      <c r="G133" s="69" t="s">
        <v>41</v>
      </c>
      <c r="H133" s="12" t="s">
        <v>222</v>
      </c>
      <c r="I133" s="23" t="s">
        <v>1366</v>
      </c>
      <c r="J133" s="69"/>
      <c r="K133" s="17" t="s">
        <v>36</v>
      </c>
      <c r="L133" s="22"/>
      <c r="M133" s="27" t="s">
        <v>38</v>
      </c>
      <c r="N133" s="17" t="s">
        <v>56</v>
      </c>
      <c r="O133" s="22" t="s">
        <v>42</v>
      </c>
      <c r="P133" s="29"/>
      <c r="Q133" s="17" t="s">
        <v>44</v>
      </c>
      <c r="R133" s="39" t="s">
        <v>68</v>
      </c>
      <c r="S133" s="29"/>
      <c r="T133" s="29"/>
      <c r="U133" s="29"/>
      <c r="V133" s="26">
        <v>5.0</v>
      </c>
    </row>
    <row r="134">
      <c r="A134" s="12">
        <v>133.0</v>
      </c>
      <c r="B134" s="14">
        <v>46062.0</v>
      </c>
      <c r="C134" s="12" t="s">
        <v>21</v>
      </c>
      <c r="D134" s="12" t="s">
        <v>66</v>
      </c>
      <c r="E134" s="69" t="s">
        <v>873</v>
      </c>
      <c r="F134" s="12">
        <v>5.90491335E8</v>
      </c>
      <c r="G134" s="69" t="s">
        <v>71</v>
      </c>
      <c r="H134" s="12" t="s">
        <v>27</v>
      </c>
      <c r="I134" s="23" t="s">
        <v>1372</v>
      </c>
      <c r="J134" s="69" t="s">
        <v>1373</v>
      </c>
      <c r="K134" s="17" t="s">
        <v>36</v>
      </c>
      <c r="L134" s="22"/>
      <c r="M134" s="27" t="s">
        <v>38</v>
      </c>
      <c r="N134" s="17" t="s">
        <v>56</v>
      </c>
      <c r="O134" s="22" t="s">
        <v>42</v>
      </c>
      <c r="P134" s="29"/>
      <c r="Q134" s="17" t="s">
        <v>44</v>
      </c>
      <c r="R134" s="39" t="s">
        <v>68</v>
      </c>
      <c r="S134" s="29"/>
      <c r="T134" s="29"/>
      <c r="U134" s="29"/>
      <c r="V134" s="26">
        <v>5.0</v>
      </c>
    </row>
    <row r="135">
      <c r="A135" s="12">
        <v>134.0</v>
      </c>
      <c r="B135" s="14">
        <v>46062.0</v>
      </c>
      <c r="C135" s="12" t="s">
        <v>58</v>
      </c>
      <c r="D135" s="16" t="s">
        <v>60</v>
      </c>
      <c r="E135" s="12" t="s">
        <v>27</v>
      </c>
      <c r="F135" s="12">
        <v>5.42730973E8</v>
      </c>
      <c r="G135" s="69" t="s">
        <v>41</v>
      </c>
      <c r="H135" s="12" t="s">
        <v>27</v>
      </c>
      <c r="I135" s="23" t="s">
        <v>1381</v>
      </c>
      <c r="J135" s="69" t="s">
        <v>1382</v>
      </c>
      <c r="K135" s="17" t="s">
        <v>36</v>
      </c>
      <c r="L135" s="22"/>
      <c r="M135" s="27" t="s">
        <v>88</v>
      </c>
      <c r="N135" s="17" t="s">
        <v>56</v>
      </c>
      <c r="O135" s="22" t="s">
        <v>42</v>
      </c>
      <c r="P135" s="29"/>
      <c r="Q135" s="17" t="s">
        <v>44</v>
      </c>
      <c r="R135" s="39" t="s">
        <v>68</v>
      </c>
      <c r="S135" s="29"/>
      <c r="T135" s="29"/>
      <c r="U135" s="29"/>
      <c r="V135" s="26">
        <v>5.0</v>
      </c>
    </row>
    <row r="136">
      <c r="A136" s="12">
        <v>135.0</v>
      </c>
      <c r="B136" s="14">
        <v>46062.0</v>
      </c>
      <c r="C136" s="12" t="s">
        <v>21</v>
      </c>
      <c r="D136" s="12" t="s">
        <v>22</v>
      </c>
      <c r="E136" s="69" t="s">
        <v>1391</v>
      </c>
      <c r="F136" s="12">
        <v>5.55908844E8</v>
      </c>
      <c r="G136" s="69" t="s">
        <v>319</v>
      </c>
      <c r="H136" s="12" t="s">
        <v>27</v>
      </c>
      <c r="I136" s="23" t="s">
        <v>1392</v>
      </c>
      <c r="J136" s="69" t="s">
        <v>35</v>
      </c>
      <c r="K136" s="17" t="s">
        <v>36</v>
      </c>
      <c r="L136" s="22"/>
      <c r="M136" s="27" t="s">
        <v>38</v>
      </c>
      <c r="N136" s="22" t="s">
        <v>56</v>
      </c>
      <c r="O136" s="22" t="s">
        <v>42</v>
      </c>
      <c r="P136" s="29"/>
      <c r="Q136" s="17" t="s">
        <v>49</v>
      </c>
      <c r="R136" s="39" t="s">
        <v>46</v>
      </c>
      <c r="S136" s="29"/>
      <c r="T136" s="29"/>
      <c r="U136" s="29"/>
      <c r="V136" s="26">
        <v>5.0</v>
      </c>
    </row>
    <row r="137">
      <c r="A137" s="12">
        <v>136.0</v>
      </c>
      <c r="B137" s="14">
        <v>46062.0</v>
      </c>
      <c r="C137" s="12" t="s">
        <v>58</v>
      </c>
      <c r="D137" s="16" t="s">
        <v>60</v>
      </c>
      <c r="E137" s="12" t="s">
        <v>27</v>
      </c>
      <c r="F137" s="12">
        <v>5.53928639E8</v>
      </c>
      <c r="G137" s="12" t="s">
        <v>27</v>
      </c>
      <c r="H137" s="12" t="s">
        <v>27</v>
      </c>
      <c r="I137" s="23" t="s">
        <v>1399</v>
      </c>
      <c r="J137" s="69"/>
      <c r="K137" s="17" t="s">
        <v>36</v>
      </c>
      <c r="L137" s="22"/>
      <c r="M137" s="27" t="s">
        <v>88</v>
      </c>
      <c r="N137" s="17" t="s">
        <v>56</v>
      </c>
      <c r="O137" s="22" t="s">
        <v>42</v>
      </c>
      <c r="P137" s="29"/>
      <c r="Q137" s="17" t="s">
        <v>44</v>
      </c>
      <c r="R137" s="39" t="s">
        <v>68</v>
      </c>
      <c r="S137" s="29"/>
      <c r="T137" s="29"/>
      <c r="U137" s="29"/>
      <c r="V137" s="26">
        <v>5.0</v>
      </c>
    </row>
    <row r="138">
      <c r="A138" s="12">
        <v>137.0</v>
      </c>
      <c r="B138" s="14">
        <v>46062.0</v>
      </c>
      <c r="C138" s="12" t="s">
        <v>58</v>
      </c>
      <c r="D138" s="16" t="s">
        <v>60</v>
      </c>
      <c r="E138" s="12" t="s">
        <v>27</v>
      </c>
      <c r="F138" s="12">
        <v>5.01448821E8</v>
      </c>
      <c r="G138" s="12" t="s">
        <v>27</v>
      </c>
      <c r="H138" s="12" t="s">
        <v>27</v>
      </c>
      <c r="I138" s="23" t="s">
        <v>1409</v>
      </c>
      <c r="J138" s="69"/>
      <c r="K138" s="17" t="s">
        <v>36</v>
      </c>
      <c r="L138" s="22"/>
      <c r="M138" s="27" t="s">
        <v>88</v>
      </c>
      <c r="N138" s="17" t="s">
        <v>56</v>
      </c>
      <c r="O138" s="22" t="s">
        <v>42</v>
      </c>
      <c r="P138" s="29"/>
      <c r="Q138" s="17" t="s">
        <v>44</v>
      </c>
      <c r="R138" s="39" t="s">
        <v>68</v>
      </c>
      <c r="S138" s="29"/>
      <c r="T138" s="29"/>
      <c r="U138" s="29"/>
      <c r="V138" s="26">
        <v>5.0</v>
      </c>
    </row>
    <row r="139">
      <c r="A139" s="12">
        <v>138.0</v>
      </c>
      <c r="B139" s="14">
        <v>46062.0</v>
      </c>
      <c r="C139" s="12" t="s">
        <v>47</v>
      </c>
      <c r="D139" s="12" t="s">
        <v>48</v>
      </c>
      <c r="E139" s="69" t="s">
        <v>1415</v>
      </c>
      <c r="F139" s="12">
        <v>5.0410882E8</v>
      </c>
      <c r="G139" s="69" t="s">
        <v>152</v>
      </c>
      <c r="H139" s="12" t="s">
        <v>272</v>
      </c>
      <c r="I139" s="23" t="s">
        <v>1416</v>
      </c>
      <c r="J139" s="69" t="s">
        <v>1417</v>
      </c>
      <c r="K139" s="17" t="s">
        <v>36</v>
      </c>
      <c r="L139" s="22"/>
      <c r="M139" s="27" t="s">
        <v>221</v>
      </c>
      <c r="N139" s="22" t="s">
        <v>56</v>
      </c>
      <c r="O139" s="22" t="s">
        <v>42</v>
      </c>
      <c r="P139" s="29"/>
      <c r="Q139" s="17" t="s">
        <v>44</v>
      </c>
      <c r="R139" s="39" t="s">
        <v>46</v>
      </c>
      <c r="S139" s="29"/>
      <c r="T139" s="29"/>
      <c r="U139" s="29"/>
      <c r="V139" s="26">
        <v>5.0</v>
      </c>
    </row>
    <row r="140">
      <c r="A140" s="12">
        <v>139.0</v>
      </c>
      <c r="B140" s="14">
        <v>46062.0</v>
      </c>
      <c r="C140" s="12" t="s">
        <v>21</v>
      </c>
      <c r="D140" s="12" t="s">
        <v>24</v>
      </c>
      <c r="E140" s="69" t="s">
        <v>1422</v>
      </c>
      <c r="F140" s="12">
        <v>5.66601177E8</v>
      </c>
      <c r="G140" s="69" t="s">
        <v>71</v>
      </c>
      <c r="H140" s="12" t="s">
        <v>27</v>
      </c>
      <c r="I140" s="23" t="s">
        <v>1423</v>
      </c>
      <c r="J140" s="69"/>
      <c r="K140" s="17" t="s">
        <v>36</v>
      </c>
      <c r="L140" s="22"/>
      <c r="M140" s="27" t="s">
        <v>38</v>
      </c>
      <c r="N140" s="22" t="s">
        <v>40</v>
      </c>
      <c r="O140" s="22" t="s">
        <v>42</v>
      </c>
      <c r="P140" s="29"/>
      <c r="Q140" s="17" t="s">
        <v>44</v>
      </c>
      <c r="R140" s="39" t="s">
        <v>46</v>
      </c>
      <c r="S140" s="29"/>
      <c r="T140" s="29"/>
      <c r="U140" s="29"/>
      <c r="V140" s="26">
        <v>5.0</v>
      </c>
    </row>
    <row r="141">
      <c r="A141" s="12">
        <v>140.0</v>
      </c>
      <c r="B141" s="14">
        <v>46062.0</v>
      </c>
      <c r="C141" s="12" t="s">
        <v>21</v>
      </c>
      <c r="D141" s="12" t="s">
        <v>57</v>
      </c>
      <c r="E141" s="69" t="s">
        <v>1430</v>
      </c>
      <c r="F141" s="12">
        <v>5.52216887E8</v>
      </c>
      <c r="G141" s="69" t="s">
        <v>41</v>
      </c>
      <c r="H141" s="12" t="s">
        <v>27</v>
      </c>
      <c r="I141" s="91" t="s">
        <v>1433</v>
      </c>
      <c r="J141" s="69"/>
      <c r="K141" s="17" t="s">
        <v>62</v>
      </c>
      <c r="L141" s="22"/>
      <c r="M141" s="27" t="s">
        <v>38</v>
      </c>
      <c r="N141" s="17" t="s">
        <v>56</v>
      </c>
      <c r="O141" s="22" t="s">
        <v>42</v>
      </c>
      <c r="P141" s="29"/>
      <c r="Q141" s="17" t="s">
        <v>44</v>
      </c>
      <c r="R141" s="39" t="s">
        <v>68</v>
      </c>
      <c r="S141" s="29"/>
      <c r="T141" s="29"/>
      <c r="U141" s="29"/>
      <c r="V141" s="26">
        <v>5.0</v>
      </c>
    </row>
    <row r="142" ht="59.25" customHeight="1">
      <c r="A142" s="12">
        <v>141.0</v>
      </c>
      <c r="B142" s="14">
        <v>46063.0</v>
      </c>
      <c r="C142" s="12" t="s">
        <v>21</v>
      </c>
      <c r="D142" s="12" t="s">
        <v>22</v>
      </c>
      <c r="E142" s="69" t="s">
        <v>1446</v>
      </c>
      <c r="F142" s="12">
        <v>5.56508691E8</v>
      </c>
      <c r="G142" s="69" t="s">
        <v>41</v>
      </c>
      <c r="H142" s="12" t="s">
        <v>27</v>
      </c>
      <c r="I142" s="23" t="s">
        <v>1447</v>
      </c>
      <c r="J142" s="69" t="s">
        <v>35</v>
      </c>
      <c r="K142" s="17" t="s">
        <v>321</v>
      </c>
      <c r="L142" s="22"/>
      <c r="M142" s="27" t="s">
        <v>38</v>
      </c>
      <c r="N142" s="22" t="s">
        <v>56</v>
      </c>
      <c r="O142" s="17" t="s">
        <v>42</v>
      </c>
      <c r="P142" s="29"/>
      <c r="Q142" s="17" t="s">
        <v>49</v>
      </c>
      <c r="R142" s="39" t="s">
        <v>46</v>
      </c>
      <c r="S142" s="29"/>
      <c r="T142" s="29"/>
      <c r="U142" s="29"/>
      <c r="V142" s="26">
        <v>5.0</v>
      </c>
    </row>
    <row r="143">
      <c r="A143" s="12">
        <v>142.0</v>
      </c>
      <c r="B143" s="14">
        <v>46063.0</v>
      </c>
      <c r="C143" s="12" t="s">
        <v>58</v>
      </c>
      <c r="D143" s="16" t="s">
        <v>60</v>
      </c>
      <c r="E143" s="12" t="s">
        <v>27</v>
      </c>
      <c r="F143" s="16">
        <v>5.55504003E8</v>
      </c>
      <c r="G143" s="12" t="s">
        <v>27</v>
      </c>
      <c r="H143" s="12" t="s">
        <v>27</v>
      </c>
      <c r="I143" s="23" t="s">
        <v>554</v>
      </c>
      <c r="J143" s="69"/>
      <c r="K143" s="17" t="s">
        <v>36</v>
      </c>
      <c r="L143" s="22"/>
      <c r="M143" s="27" t="s">
        <v>88</v>
      </c>
      <c r="N143" s="17" t="s">
        <v>56</v>
      </c>
      <c r="O143" s="22" t="s">
        <v>42</v>
      </c>
      <c r="P143" s="29"/>
      <c r="Q143" s="17" t="s">
        <v>44</v>
      </c>
      <c r="R143" s="39" t="s">
        <v>68</v>
      </c>
      <c r="S143" s="29"/>
      <c r="T143" s="29"/>
      <c r="U143" s="29"/>
      <c r="V143" s="26">
        <v>5.0</v>
      </c>
    </row>
    <row r="144">
      <c r="A144" s="12">
        <v>143.0</v>
      </c>
      <c r="B144" s="14">
        <v>46063.0</v>
      </c>
      <c r="C144" s="12" t="s">
        <v>21</v>
      </c>
      <c r="D144" s="12" t="s">
        <v>24</v>
      </c>
      <c r="E144" s="69" t="s">
        <v>1463</v>
      </c>
      <c r="F144" s="12">
        <v>5.73988341E8</v>
      </c>
      <c r="G144" s="69" t="s">
        <v>152</v>
      </c>
      <c r="H144" s="12" t="s">
        <v>27</v>
      </c>
      <c r="I144" s="23" t="s">
        <v>1465</v>
      </c>
      <c r="J144" s="69"/>
      <c r="K144" s="17" t="s">
        <v>36</v>
      </c>
      <c r="L144" s="22"/>
      <c r="M144" s="27" t="s">
        <v>38</v>
      </c>
      <c r="N144" s="22" t="s">
        <v>40</v>
      </c>
      <c r="O144" s="22" t="s">
        <v>42</v>
      </c>
      <c r="P144" s="29"/>
      <c r="Q144" s="17" t="s">
        <v>44</v>
      </c>
      <c r="R144" s="39" t="s">
        <v>46</v>
      </c>
      <c r="S144" s="29"/>
      <c r="T144" s="29"/>
      <c r="U144" s="29"/>
      <c r="V144" s="26">
        <v>5.0</v>
      </c>
    </row>
    <row r="145">
      <c r="A145" s="12">
        <v>144.0</v>
      </c>
      <c r="B145" s="14">
        <v>46063.0</v>
      </c>
      <c r="C145" s="12" t="s">
        <v>47</v>
      </c>
      <c r="D145" s="12" t="s">
        <v>48</v>
      </c>
      <c r="E145" s="12" t="s">
        <v>1475</v>
      </c>
      <c r="F145" s="21" t="s">
        <v>27</v>
      </c>
      <c r="G145" s="69" t="s">
        <v>28</v>
      </c>
      <c r="H145" s="12" t="s">
        <v>830</v>
      </c>
      <c r="I145" s="23" t="s">
        <v>1477</v>
      </c>
      <c r="J145" s="69" t="s">
        <v>1478</v>
      </c>
      <c r="K145" s="17" t="s">
        <v>78</v>
      </c>
      <c r="L145" s="22"/>
      <c r="M145" s="27" t="s">
        <v>55</v>
      </c>
      <c r="N145" s="22" t="s">
        <v>56</v>
      </c>
      <c r="O145" s="17" t="s">
        <v>42</v>
      </c>
      <c r="P145" s="29"/>
      <c r="Q145" s="17" t="s">
        <v>49</v>
      </c>
      <c r="R145" s="39" t="s">
        <v>46</v>
      </c>
      <c r="S145" s="29"/>
      <c r="T145" s="29"/>
      <c r="U145" s="29"/>
      <c r="V145" s="26">
        <v>5.0</v>
      </c>
    </row>
    <row r="146">
      <c r="A146" s="12">
        <v>145.0</v>
      </c>
      <c r="B146" s="14">
        <v>46063.0</v>
      </c>
      <c r="C146" s="12" t="s">
        <v>47</v>
      </c>
      <c r="D146" s="12" t="s">
        <v>48</v>
      </c>
      <c r="E146" s="69" t="s">
        <v>1487</v>
      </c>
      <c r="F146" s="12">
        <v>5.00070641E8</v>
      </c>
      <c r="G146" s="69" t="s">
        <v>333</v>
      </c>
      <c r="H146" s="12" t="s">
        <v>516</v>
      </c>
      <c r="I146" s="23" t="s">
        <v>1489</v>
      </c>
      <c r="J146" s="69" t="s">
        <v>1490</v>
      </c>
      <c r="K146" s="17" t="s">
        <v>36</v>
      </c>
      <c r="L146" s="22"/>
      <c r="M146" s="27" t="s">
        <v>55</v>
      </c>
      <c r="N146" s="22" t="s">
        <v>56</v>
      </c>
      <c r="O146" s="22" t="s">
        <v>42</v>
      </c>
      <c r="P146" s="29"/>
      <c r="Q146" s="17" t="s">
        <v>44</v>
      </c>
      <c r="R146" s="39" t="s">
        <v>46</v>
      </c>
      <c r="S146" s="29"/>
      <c r="T146" s="29"/>
      <c r="U146" s="29"/>
      <c r="V146" s="26">
        <v>5.0</v>
      </c>
    </row>
    <row r="147">
      <c r="A147" s="12">
        <v>146.0</v>
      </c>
      <c r="B147" s="14">
        <v>46063.0</v>
      </c>
      <c r="C147" s="12" t="s">
        <v>58</v>
      </c>
      <c r="D147" s="16" t="s">
        <v>60</v>
      </c>
      <c r="E147" s="12" t="s">
        <v>27</v>
      </c>
      <c r="F147" s="12">
        <v>5.32209458E8</v>
      </c>
      <c r="G147" s="12" t="s">
        <v>27</v>
      </c>
      <c r="H147" s="12" t="s">
        <v>27</v>
      </c>
      <c r="I147" s="23" t="s">
        <v>554</v>
      </c>
      <c r="J147" s="19" t="s">
        <v>35</v>
      </c>
      <c r="K147" s="17" t="s">
        <v>36</v>
      </c>
      <c r="L147" s="22"/>
      <c r="M147" s="27" t="s">
        <v>88</v>
      </c>
      <c r="N147" s="17" t="s">
        <v>56</v>
      </c>
      <c r="O147" s="22" t="s">
        <v>42</v>
      </c>
      <c r="P147" s="29"/>
      <c r="Q147" s="17" t="s">
        <v>49</v>
      </c>
      <c r="R147" s="39" t="s">
        <v>68</v>
      </c>
      <c r="S147" s="29"/>
      <c r="T147" s="29"/>
      <c r="U147" s="29"/>
      <c r="V147" s="26">
        <v>5.0</v>
      </c>
    </row>
    <row r="148">
      <c r="A148" s="12">
        <v>147.0</v>
      </c>
      <c r="B148" s="14">
        <v>46063.0</v>
      </c>
      <c r="C148" s="12" t="s">
        <v>47</v>
      </c>
      <c r="D148" s="12" t="s">
        <v>48</v>
      </c>
      <c r="E148" s="69" t="s">
        <v>1506</v>
      </c>
      <c r="F148" s="12">
        <v>5.31418018E8</v>
      </c>
      <c r="G148" s="69" t="s">
        <v>79</v>
      </c>
      <c r="H148" s="12" t="s">
        <v>451</v>
      </c>
      <c r="I148" s="23" t="s">
        <v>1508</v>
      </c>
      <c r="J148" s="69" t="s">
        <v>1509</v>
      </c>
      <c r="K148" s="17" t="s">
        <v>36</v>
      </c>
      <c r="L148" s="22"/>
      <c r="M148" s="27" t="s">
        <v>611</v>
      </c>
      <c r="N148" s="22" t="s">
        <v>56</v>
      </c>
      <c r="O148" s="22" t="s">
        <v>42</v>
      </c>
      <c r="P148" s="29"/>
      <c r="Q148" s="17" t="s">
        <v>44</v>
      </c>
      <c r="R148" s="39" t="s">
        <v>46</v>
      </c>
      <c r="S148" s="29"/>
      <c r="T148" s="29"/>
      <c r="U148" s="29"/>
      <c r="V148" s="26">
        <v>5.0</v>
      </c>
    </row>
    <row r="149">
      <c r="A149" s="12">
        <v>148.0</v>
      </c>
      <c r="B149" s="14">
        <v>46063.0</v>
      </c>
      <c r="C149" s="12" t="s">
        <v>21</v>
      </c>
      <c r="D149" s="12" t="s">
        <v>22</v>
      </c>
      <c r="E149" s="69" t="s">
        <v>118</v>
      </c>
      <c r="F149" s="12">
        <v>5.39988995E8</v>
      </c>
      <c r="G149" s="69" t="s">
        <v>71</v>
      </c>
      <c r="H149" s="12" t="s">
        <v>27</v>
      </c>
      <c r="I149" s="23" t="s">
        <v>1518</v>
      </c>
      <c r="J149" s="69"/>
      <c r="K149" s="17" t="s">
        <v>36</v>
      </c>
      <c r="L149" s="22"/>
      <c r="M149" s="27" t="s">
        <v>38</v>
      </c>
      <c r="N149" s="22" t="s">
        <v>40</v>
      </c>
      <c r="O149" s="22" t="s">
        <v>42</v>
      </c>
      <c r="P149" s="29"/>
      <c r="Q149" s="17" t="s">
        <v>44</v>
      </c>
      <c r="R149" s="39" t="s">
        <v>46</v>
      </c>
      <c r="S149" s="29"/>
      <c r="T149" s="29"/>
      <c r="U149" s="29"/>
      <c r="V149" s="26">
        <v>5.0</v>
      </c>
    </row>
    <row r="150">
      <c r="A150" s="12">
        <v>149.0</v>
      </c>
      <c r="B150" s="14">
        <v>46063.0</v>
      </c>
      <c r="C150" s="12" t="s">
        <v>21</v>
      </c>
      <c r="D150" s="12" t="s">
        <v>34</v>
      </c>
      <c r="E150" s="12" t="s">
        <v>27</v>
      </c>
      <c r="F150" s="12">
        <v>5.42728326E8</v>
      </c>
      <c r="G150" s="69" t="s">
        <v>41</v>
      </c>
      <c r="H150" s="12" t="s">
        <v>27</v>
      </c>
      <c r="I150" s="23" t="s">
        <v>1526</v>
      </c>
      <c r="J150" s="69"/>
      <c r="K150" s="17" t="s">
        <v>36</v>
      </c>
      <c r="L150" s="22"/>
      <c r="M150" s="27" t="s">
        <v>38</v>
      </c>
      <c r="N150" s="17" t="s">
        <v>56</v>
      </c>
      <c r="O150" s="22" t="s">
        <v>42</v>
      </c>
      <c r="P150" s="29"/>
      <c r="Q150" s="17" t="s">
        <v>44</v>
      </c>
      <c r="R150" s="39" t="s">
        <v>68</v>
      </c>
      <c r="S150" s="29"/>
      <c r="T150" s="29"/>
      <c r="U150" s="29"/>
      <c r="V150" s="26">
        <v>5.0</v>
      </c>
    </row>
    <row r="151">
      <c r="A151" s="12">
        <v>150.0</v>
      </c>
      <c r="B151" s="14">
        <v>46063.0</v>
      </c>
      <c r="C151" s="12" t="s">
        <v>21</v>
      </c>
      <c r="D151" s="12" t="s">
        <v>24</v>
      </c>
      <c r="E151" s="69" t="s">
        <v>1532</v>
      </c>
      <c r="F151" s="12">
        <v>5.47482189E8</v>
      </c>
      <c r="G151" s="69" t="s">
        <v>79</v>
      </c>
      <c r="H151" s="12" t="s">
        <v>27</v>
      </c>
      <c r="I151" s="23" t="s">
        <v>1534</v>
      </c>
      <c r="J151" s="69"/>
      <c r="K151" s="17" t="s">
        <v>36</v>
      </c>
      <c r="L151" s="22"/>
      <c r="M151" s="27" t="s">
        <v>38</v>
      </c>
      <c r="N151" s="22" t="s">
        <v>40</v>
      </c>
      <c r="O151" s="22" t="s">
        <v>42</v>
      </c>
      <c r="P151" s="29"/>
      <c r="Q151" s="17" t="s">
        <v>44</v>
      </c>
      <c r="R151" s="39" t="s">
        <v>46</v>
      </c>
      <c r="S151" s="29"/>
      <c r="T151" s="29"/>
      <c r="U151" s="29"/>
      <c r="V151" s="26">
        <v>5.0</v>
      </c>
    </row>
    <row r="152">
      <c r="A152" s="12">
        <v>151.0</v>
      </c>
      <c r="B152" s="14">
        <v>46063.0</v>
      </c>
      <c r="C152" s="12" t="s">
        <v>58</v>
      </c>
      <c r="D152" s="16" t="s">
        <v>60</v>
      </c>
      <c r="E152" s="12" t="s">
        <v>27</v>
      </c>
      <c r="F152" s="12">
        <v>5.02181338E8</v>
      </c>
      <c r="G152" s="12" t="s">
        <v>27</v>
      </c>
      <c r="H152" s="12" t="s">
        <v>27</v>
      </c>
      <c r="I152" s="23" t="s">
        <v>1074</v>
      </c>
      <c r="J152" s="69"/>
      <c r="K152" s="17" t="s">
        <v>36</v>
      </c>
      <c r="L152" s="22"/>
      <c r="M152" s="27" t="s">
        <v>88</v>
      </c>
      <c r="N152" s="17" t="s">
        <v>56</v>
      </c>
      <c r="O152" s="22" t="s">
        <v>42</v>
      </c>
      <c r="P152" s="29"/>
      <c r="Q152" s="17" t="s">
        <v>44</v>
      </c>
      <c r="R152" s="39" t="s">
        <v>68</v>
      </c>
      <c r="S152" s="29"/>
      <c r="T152" s="29"/>
      <c r="U152" s="29"/>
      <c r="V152" s="26">
        <v>5.0</v>
      </c>
    </row>
    <row r="153">
      <c r="A153" s="12">
        <v>152.0</v>
      </c>
      <c r="B153" s="14">
        <v>46064.0</v>
      </c>
      <c r="C153" s="12" t="s">
        <v>58</v>
      </c>
      <c r="D153" s="16" t="s">
        <v>60</v>
      </c>
      <c r="E153" s="12" t="s">
        <v>27</v>
      </c>
      <c r="F153" s="12">
        <v>5.69017226E8</v>
      </c>
      <c r="G153" s="12" t="s">
        <v>27</v>
      </c>
      <c r="H153" s="12" t="s">
        <v>27</v>
      </c>
      <c r="I153" s="23" t="s">
        <v>484</v>
      </c>
      <c r="J153" s="69"/>
      <c r="K153" s="17" t="s">
        <v>36</v>
      </c>
      <c r="L153" s="22"/>
      <c r="M153" s="27" t="s">
        <v>88</v>
      </c>
      <c r="N153" s="17" t="s">
        <v>56</v>
      </c>
      <c r="O153" s="22" t="s">
        <v>42</v>
      </c>
      <c r="P153" s="29"/>
      <c r="Q153" s="17" t="s">
        <v>44</v>
      </c>
      <c r="R153" s="39" t="s">
        <v>68</v>
      </c>
      <c r="S153" s="29"/>
      <c r="T153" s="29"/>
      <c r="U153" s="29"/>
      <c r="V153" s="26">
        <v>5.0</v>
      </c>
    </row>
    <row r="154" ht="27.75" customHeight="1">
      <c r="A154" s="12">
        <v>153.0</v>
      </c>
      <c r="B154" s="14">
        <v>46064.0</v>
      </c>
      <c r="C154" s="12" t="s">
        <v>58</v>
      </c>
      <c r="D154" s="16" t="s">
        <v>60</v>
      </c>
      <c r="E154" s="12" t="s">
        <v>27</v>
      </c>
      <c r="F154" s="16">
        <v>5.54423203E8</v>
      </c>
      <c r="G154" s="69" t="s">
        <v>152</v>
      </c>
      <c r="H154" s="12" t="s">
        <v>27</v>
      </c>
      <c r="I154" s="23" t="s">
        <v>718</v>
      </c>
      <c r="J154" s="69"/>
      <c r="K154" s="17" t="s">
        <v>36</v>
      </c>
      <c r="L154" s="22"/>
      <c r="M154" s="27" t="s">
        <v>88</v>
      </c>
      <c r="N154" s="17" t="s">
        <v>56</v>
      </c>
      <c r="O154" s="22" t="s">
        <v>42</v>
      </c>
      <c r="P154" s="29"/>
      <c r="Q154" s="17" t="s">
        <v>44</v>
      </c>
      <c r="R154" s="39" t="s">
        <v>68</v>
      </c>
      <c r="S154" s="29"/>
      <c r="T154" s="29"/>
      <c r="U154" s="29"/>
      <c r="V154" s="26">
        <v>5.0</v>
      </c>
    </row>
    <row r="155" ht="39.0" customHeight="1">
      <c r="A155" s="12">
        <v>154.0</v>
      </c>
      <c r="B155" s="14">
        <v>46064.0</v>
      </c>
      <c r="C155" s="12" t="s">
        <v>47</v>
      </c>
      <c r="D155" s="12" t="s">
        <v>48</v>
      </c>
      <c r="E155" s="12" t="s">
        <v>1559</v>
      </c>
      <c r="F155" s="21" t="s">
        <v>27</v>
      </c>
      <c r="G155" s="23" t="s">
        <v>41</v>
      </c>
      <c r="H155" s="12" t="s">
        <v>52</v>
      </c>
      <c r="I155" s="23" t="s">
        <v>1560</v>
      </c>
      <c r="J155" s="69" t="s">
        <v>1561</v>
      </c>
      <c r="K155" s="17" t="s">
        <v>78</v>
      </c>
      <c r="L155" s="22"/>
      <c r="M155" s="27" t="s">
        <v>55</v>
      </c>
      <c r="N155" s="22" t="s">
        <v>56</v>
      </c>
      <c r="O155" s="22" t="s">
        <v>42</v>
      </c>
      <c r="P155" s="29"/>
      <c r="Q155" s="17" t="s">
        <v>44</v>
      </c>
      <c r="R155" s="39" t="s">
        <v>46</v>
      </c>
      <c r="S155" s="29"/>
      <c r="T155" s="29"/>
      <c r="U155" s="29"/>
      <c r="V155" s="26">
        <v>5.0</v>
      </c>
    </row>
    <row r="156">
      <c r="A156" s="12">
        <v>155.0</v>
      </c>
      <c r="B156" s="14">
        <v>46064.0</v>
      </c>
      <c r="C156" s="12" t="s">
        <v>47</v>
      </c>
      <c r="D156" s="16" t="s">
        <v>24</v>
      </c>
      <c r="E156" s="69" t="s">
        <v>1566</v>
      </c>
      <c r="F156" s="12" t="s">
        <v>27</v>
      </c>
      <c r="G156" s="69" t="s">
        <v>41</v>
      </c>
      <c r="H156" s="12" t="s">
        <v>97</v>
      </c>
      <c r="I156" s="23" t="s">
        <v>1569</v>
      </c>
      <c r="J156" s="69"/>
      <c r="K156" s="17" t="s">
        <v>78</v>
      </c>
      <c r="L156" s="22"/>
      <c r="M156" s="27" t="s">
        <v>55</v>
      </c>
      <c r="N156" s="17" t="s">
        <v>56</v>
      </c>
      <c r="O156" s="22" t="s">
        <v>42</v>
      </c>
      <c r="P156" s="29"/>
      <c r="Q156" s="17" t="s">
        <v>44</v>
      </c>
      <c r="R156" s="39" t="s">
        <v>68</v>
      </c>
      <c r="S156" s="29"/>
      <c r="T156" s="29"/>
      <c r="U156" s="29"/>
      <c r="V156" s="26">
        <v>5.0</v>
      </c>
    </row>
    <row r="157">
      <c r="A157" s="12">
        <v>156.0</v>
      </c>
      <c r="B157" s="14">
        <v>46064.0</v>
      </c>
      <c r="C157" s="12" t="s">
        <v>21</v>
      </c>
      <c r="D157" s="12" t="s">
        <v>24</v>
      </c>
      <c r="E157" s="69" t="s">
        <v>1573</v>
      </c>
      <c r="F157" s="12">
        <v>5.54351176E8</v>
      </c>
      <c r="G157" s="69" t="s">
        <v>71</v>
      </c>
      <c r="H157" s="12" t="s">
        <v>27</v>
      </c>
      <c r="I157" s="23" t="s">
        <v>1576</v>
      </c>
      <c r="J157" s="69"/>
      <c r="K157" s="17" t="s">
        <v>36</v>
      </c>
      <c r="L157" s="22"/>
      <c r="M157" s="27" t="s">
        <v>38</v>
      </c>
      <c r="N157" s="22" t="s">
        <v>40</v>
      </c>
      <c r="O157" s="22" t="s">
        <v>42</v>
      </c>
      <c r="P157" s="29"/>
      <c r="Q157" s="17" t="s">
        <v>44</v>
      </c>
      <c r="R157" s="39" t="s">
        <v>46</v>
      </c>
      <c r="S157" s="29"/>
      <c r="T157" s="29"/>
      <c r="U157" s="29"/>
      <c r="V157" s="26">
        <v>5.0</v>
      </c>
    </row>
    <row r="158">
      <c r="A158" s="12">
        <v>157.0</v>
      </c>
      <c r="B158" s="14">
        <v>46064.0</v>
      </c>
      <c r="C158" s="12" t="s">
        <v>21</v>
      </c>
      <c r="D158" s="12" t="s">
        <v>22</v>
      </c>
      <c r="E158" s="69" t="s">
        <v>1446</v>
      </c>
      <c r="F158" s="12">
        <v>5.56508691E8</v>
      </c>
      <c r="G158" s="69" t="s">
        <v>71</v>
      </c>
      <c r="H158" s="12" t="s">
        <v>27</v>
      </c>
      <c r="I158" s="23" t="s">
        <v>1581</v>
      </c>
      <c r="J158" s="12" t="s">
        <v>1582</v>
      </c>
      <c r="K158" s="17" t="s">
        <v>39</v>
      </c>
      <c r="L158" s="22"/>
      <c r="M158" s="27" t="s">
        <v>38</v>
      </c>
      <c r="N158" s="22" t="s">
        <v>40</v>
      </c>
      <c r="O158" s="22" t="s">
        <v>42</v>
      </c>
      <c r="P158" s="29"/>
      <c r="Q158" s="17" t="s">
        <v>44</v>
      </c>
      <c r="R158" s="39" t="s">
        <v>46</v>
      </c>
      <c r="S158" s="29"/>
      <c r="T158" s="29"/>
      <c r="U158" s="29"/>
      <c r="V158" s="26">
        <v>5.0</v>
      </c>
    </row>
    <row r="159">
      <c r="A159" s="12">
        <v>158.0</v>
      </c>
      <c r="B159" s="14">
        <v>46064.0</v>
      </c>
      <c r="C159" s="12" t="s">
        <v>21</v>
      </c>
      <c r="D159" s="12" t="s">
        <v>22</v>
      </c>
      <c r="E159" s="69" t="s">
        <v>1587</v>
      </c>
      <c r="F159" s="12">
        <v>5.55582695E8</v>
      </c>
      <c r="G159" s="69" t="s">
        <v>71</v>
      </c>
      <c r="H159" s="12" t="s">
        <v>27</v>
      </c>
      <c r="I159" s="23" t="s">
        <v>1588</v>
      </c>
      <c r="J159" s="69"/>
      <c r="K159" s="17" t="s">
        <v>39</v>
      </c>
      <c r="L159" s="22"/>
      <c r="M159" s="27" t="s">
        <v>125</v>
      </c>
      <c r="N159" s="22" t="s">
        <v>40</v>
      </c>
      <c r="O159" s="22" t="s">
        <v>42</v>
      </c>
      <c r="P159" s="29"/>
      <c r="Q159" s="17" t="s">
        <v>44</v>
      </c>
      <c r="R159" s="39" t="s">
        <v>46</v>
      </c>
      <c r="S159" s="29"/>
      <c r="T159" s="29"/>
      <c r="U159" s="29"/>
      <c r="V159" s="26">
        <v>5.0</v>
      </c>
    </row>
    <row r="160">
      <c r="A160" s="12">
        <v>159.0</v>
      </c>
      <c r="B160" s="14">
        <v>46064.0</v>
      </c>
      <c r="C160" s="12" t="s">
        <v>21</v>
      </c>
      <c r="D160" s="12" t="s">
        <v>24</v>
      </c>
      <c r="E160" s="69" t="s">
        <v>1595</v>
      </c>
      <c r="F160" s="12">
        <v>5.32001426E8</v>
      </c>
      <c r="G160" s="69" t="s">
        <v>28</v>
      </c>
      <c r="H160" s="12" t="s">
        <v>27</v>
      </c>
      <c r="I160" s="23" t="s">
        <v>1596</v>
      </c>
      <c r="J160" s="69"/>
      <c r="K160" s="17" t="s">
        <v>39</v>
      </c>
      <c r="L160" s="22"/>
      <c r="M160" s="27" t="s">
        <v>38</v>
      </c>
      <c r="N160" s="22" t="s">
        <v>40</v>
      </c>
      <c r="O160" s="22" t="s">
        <v>42</v>
      </c>
      <c r="P160" s="29"/>
      <c r="Q160" s="17" t="s">
        <v>44</v>
      </c>
      <c r="R160" s="39" t="s">
        <v>46</v>
      </c>
      <c r="S160" s="29"/>
      <c r="T160" s="29"/>
      <c r="U160" s="29"/>
      <c r="V160" s="26">
        <v>5.0</v>
      </c>
    </row>
    <row r="161">
      <c r="A161" s="12">
        <v>160.0</v>
      </c>
      <c r="B161" s="14">
        <v>46064.0</v>
      </c>
      <c r="C161" s="12" t="s">
        <v>58</v>
      </c>
      <c r="D161" s="16" t="s">
        <v>60</v>
      </c>
      <c r="E161" s="12" t="s">
        <v>27</v>
      </c>
      <c r="F161" s="12">
        <v>5.51163671E8</v>
      </c>
      <c r="G161" s="12" t="s">
        <v>27</v>
      </c>
      <c r="H161" s="12" t="s">
        <v>27</v>
      </c>
      <c r="I161" s="23" t="s">
        <v>554</v>
      </c>
      <c r="J161" s="69"/>
      <c r="K161" s="17" t="s">
        <v>36</v>
      </c>
      <c r="L161" s="22"/>
      <c r="M161" s="27" t="s">
        <v>88</v>
      </c>
      <c r="N161" s="17" t="s">
        <v>56</v>
      </c>
      <c r="O161" s="22" t="s">
        <v>42</v>
      </c>
      <c r="P161" s="29"/>
      <c r="Q161" s="17" t="s">
        <v>44</v>
      </c>
      <c r="R161" s="39" t="s">
        <v>68</v>
      </c>
      <c r="S161" s="29"/>
      <c r="T161" s="29"/>
      <c r="U161" s="29"/>
      <c r="V161" s="26">
        <v>5.0</v>
      </c>
    </row>
    <row r="162">
      <c r="A162" s="12">
        <v>161.0</v>
      </c>
      <c r="B162" s="14">
        <v>46064.0</v>
      </c>
      <c r="C162" s="12" t="s">
        <v>21</v>
      </c>
      <c r="D162" s="12" t="s">
        <v>34</v>
      </c>
      <c r="E162" s="12" t="s">
        <v>27</v>
      </c>
      <c r="F162" s="12">
        <v>5.44063981E8</v>
      </c>
      <c r="G162" s="69" t="s">
        <v>41</v>
      </c>
      <c r="H162" s="12" t="s">
        <v>27</v>
      </c>
      <c r="I162" s="23" t="s">
        <v>1605</v>
      </c>
      <c r="J162" s="69"/>
      <c r="K162" s="17" t="s">
        <v>36</v>
      </c>
      <c r="L162" s="22"/>
      <c r="M162" s="27" t="s">
        <v>38</v>
      </c>
      <c r="N162" s="17" t="s">
        <v>56</v>
      </c>
      <c r="O162" s="22" t="s">
        <v>42</v>
      </c>
      <c r="P162" s="29"/>
      <c r="Q162" s="17" t="s">
        <v>44</v>
      </c>
      <c r="R162" s="39" t="s">
        <v>68</v>
      </c>
      <c r="S162" s="29"/>
      <c r="T162" s="29"/>
      <c r="U162" s="29"/>
      <c r="V162" s="26">
        <v>5.0</v>
      </c>
    </row>
    <row r="163">
      <c r="A163" s="12">
        <v>162.0</v>
      </c>
      <c r="B163" s="14">
        <v>46064.0</v>
      </c>
      <c r="C163" s="12" t="s">
        <v>58</v>
      </c>
      <c r="D163" s="16" t="s">
        <v>60</v>
      </c>
      <c r="E163" s="12" t="s">
        <v>27</v>
      </c>
      <c r="F163" s="12">
        <v>5.09854247E8</v>
      </c>
      <c r="G163" s="69" t="s">
        <v>41</v>
      </c>
      <c r="H163" s="12" t="s">
        <v>27</v>
      </c>
      <c r="I163" s="23" t="s">
        <v>1611</v>
      </c>
      <c r="J163" s="69" t="s">
        <v>1612</v>
      </c>
      <c r="K163" s="17" t="s">
        <v>36</v>
      </c>
      <c r="L163" s="22"/>
      <c r="M163" s="27" t="s">
        <v>88</v>
      </c>
      <c r="N163" s="17" t="s">
        <v>56</v>
      </c>
      <c r="O163" s="22" t="s">
        <v>42</v>
      </c>
      <c r="P163" s="29"/>
      <c r="Q163" s="17" t="s">
        <v>44</v>
      </c>
      <c r="R163" s="39" t="s">
        <v>68</v>
      </c>
      <c r="S163" s="29"/>
      <c r="T163" s="29"/>
      <c r="U163" s="29"/>
      <c r="V163" s="26">
        <v>5.0</v>
      </c>
    </row>
    <row r="164">
      <c r="A164" s="12">
        <v>163.0</v>
      </c>
      <c r="B164" s="14">
        <v>46064.0</v>
      </c>
      <c r="C164" s="12" t="s">
        <v>58</v>
      </c>
      <c r="D164" s="16" t="s">
        <v>60</v>
      </c>
      <c r="E164" s="12" t="s">
        <v>27</v>
      </c>
      <c r="F164" s="12">
        <v>5.69339424E8</v>
      </c>
      <c r="G164" s="69" t="s">
        <v>41</v>
      </c>
      <c r="H164" s="12" t="s">
        <v>27</v>
      </c>
      <c r="I164" s="23" t="s">
        <v>1614</v>
      </c>
      <c r="J164" s="69" t="s">
        <v>1612</v>
      </c>
      <c r="K164" s="17" t="s">
        <v>36</v>
      </c>
      <c r="L164" s="22"/>
      <c r="M164" s="27" t="s">
        <v>88</v>
      </c>
      <c r="N164" s="17" t="s">
        <v>56</v>
      </c>
      <c r="O164" s="22" t="s">
        <v>42</v>
      </c>
      <c r="P164" s="29"/>
      <c r="Q164" s="17" t="s">
        <v>44</v>
      </c>
      <c r="R164" s="39" t="s">
        <v>68</v>
      </c>
      <c r="S164" s="29"/>
      <c r="T164" s="29"/>
      <c r="U164" s="29"/>
      <c r="V164" s="26">
        <v>5.0</v>
      </c>
    </row>
    <row r="165">
      <c r="A165" s="12">
        <v>164.0</v>
      </c>
      <c r="B165" s="14">
        <v>46064.0</v>
      </c>
      <c r="C165" s="12" t="s">
        <v>21</v>
      </c>
      <c r="D165" s="12" t="s">
        <v>34</v>
      </c>
      <c r="E165" s="12" t="s">
        <v>27</v>
      </c>
      <c r="F165" s="12">
        <v>5.32415628E8</v>
      </c>
      <c r="G165" s="69" t="s">
        <v>41</v>
      </c>
      <c r="H165" s="12" t="s">
        <v>27</v>
      </c>
      <c r="I165" s="23" t="s">
        <v>298</v>
      </c>
      <c r="J165" s="69"/>
      <c r="K165" s="17" t="s">
        <v>36</v>
      </c>
      <c r="L165" s="22"/>
      <c r="M165" s="27" t="s">
        <v>51</v>
      </c>
      <c r="N165" s="17" t="s">
        <v>56</v>
      </c>
      <c r="O165" s="22" t="s">
        <v>42</v>
      </c>
      <c r="P165" s="29"/>
      <c r="Q165" s="17" t="s">
        <v>44</v>
      </c>
      <c r="R165" s="39" t="s">
        <v>68</v>
      </c>
      <c r="S165" s="29"/>
      <c r="T165" s="29"/>
      <c r="U165" s="29"/>
      <c r="V165" s="26">
        <v>5.0</v>
      </c>
    </row>
    <row r="166">
      <c r="A166" s="12">
        <v>165.0</v>
      </c>
      <c r="B166" s="14">
        <v>46064.0</v>
      </c>
      <c r="C166" s="12" t="s">
        <v>47</v>
      </c>
      <c r="D166" s="12" t="s">
        <v>48</v>
      </c>
      <c r="E166" s="12" t="s">
        <v>27</v>
      </c>
      <c r="F166" s="16">
        <v>5.02388292E8</v>
      </c>
      <c r="G166" s="23" t="s">
        <v>41</v>
      </c>
      <c r="H166" s="12" t="s">
        <v>227</v>
      </c>
      <c r="I166" s="23" t="s">
        <v>1621</v>
      </c>
      <c r="J166" s="69" t="s">
        <v>1622</v>
      </c>
      <c r="K166" s="17" t="s">
        <v>36</v>
      </c>
      <c r="L166" s="22"/>
      <c r="M166" s="27" t="s">
        <v>55</v>
      </c>
      <c r="N166" s="22" t="s">
        <v>56</v>
      </c>
      <c r="O166" s="22" t="s">
        <v>42</v>
      </c>
      <c r="P166" s="29"/>
      <c r="Q166" s="17" t="s">
        <v>44</v>
      </c>
      <c r="R166" s="39" t="s">
        <v>46</v>
      </c>
      <c r="S166" s="29"/>
      <c r="T166" s="29"/>
      <c r="U166" s="29"/>
      <c r="V166" s="26">
        <v>5.0</v>
      </c>
    </row>
    <row r="167">
      <c r="A167" s="12">
        <v>166.0</v>
      </c>
      <c r="B167" s="14">
        <v>46064.0</v>
      </c>
      <c r="C167" s="12" t="s">
        <v>58</v>
      </c>
      <c r="D167" s="16" t="s">
        <v>60</v>
      </c>
      <c r="E167" s="12" t="s">
        <v>27</v>
      </c>
      <c r="F167" s="12">
        <v>5.54003999E8</v>
      </c>
      <c r="G167" s="69" t="s">
        <v>1626</v>
      </c>
      <c r="H167" s="12" t="s">
        <v>1627</v>
      </c>
      <c r="I167" s="23" t="s">
        <v>1628</v>
      </c>
      <c r="J167" s="69" t="s">
        <v>1629</v>
      </c>
      <c r="K167" s="17" t="s">
        <v>36</v>
      </c>
      <c r="L167" s="22"/>
      <c r="M167" s="27" t="s">
        <v>88</v>
      </c>
      <c r="N167" s="17" t="s">
        <v>56</v>
      </c>
      <c r="O167" s="22" t="s">
        <v>42</v>
      </c>
      <c r="P167" s="29"/>
      <c r="Q167" s="17" t="s">
        <v>44</v>
      </c>
      <c r="R167" s="39" t="s">
        <v>68</v>
      </c>
      <c r="S167" s="29"/>
      <c r="T167" s="29"/>
      <c r="U167" s="29"/>
      <c r="V167" s="26">
        <v>5.0</v>
      </c>
    </row>
    <row r="168">
      <c r="A168" s="12">
        <v>167.0</v>
      </c>
      <c r="B168" s="14">
        <v>46064.0</v>
      </c>
      <c r="C168" s="12" t="s">
        <v>58</v>
      </c>
      <c r="D168" s="16" t="s">
        <v>60</v>
      </c>
      <c r="E168" s="12" t="s">
        <v>27</v>
      </c>
      <c r="F168" s="12">
        <v>5.05339933E8</v>
      </c>
      <c r="G168" s="69" t="s">
        <v>1626</v>
      </c>
      <c r="H168" s="12" t="s">
        <v>1627</v>
      </c>
      <c r="I168" s="23" t="s">
        <v>1628</v>
      </c>
      <c r="J168" s="69" t="s">
        <v>1629</v>
      </c>
      <c r="K168" s="17" t="s">
        <v>36</v>
      </c>
      <c r="L168" s="22"/>
      <c r="M168" s="27" t="s">
        <v>88</v>
      </c>
      <c r="N168" s="17" t="s">
        <v>56</v>
      </c>
      <c r="O168" s="22" t="s">
        <v>42</v>
      </c>
      <c r="P168" s="29"/>
      <c r="Q168" s="17" t="s">
        <v>44</v>
      </c>
      <c r="R168" s="39" t="s">
        <v>68</v>
      </c>
      <c r="S168" s="29"/>
      <c r="T168" s="29"/>
      <c r="U168" s="29"/>
      <c r="V168" s="26">
        <v>5.0</v>
      </c>
    </row>
    <row r="169">
      <c r="A169" s="12">
        <v>168.0</v>
      </c>
      <c r="B169" s="14">
        <v>46064.0</v>
      </c>
      <c r="C169" s="12" t="s">
        <v>58</v>
      </c>
      <c r="D169" s="16" t="s">
        <v>60</v>
      </c>
      <c r="E169" s="12" t="s">
        <v>27</v>
      </c>
      <c r="F169" s="12">
        <v>5.58473916E8</v>
      </c>
      <c r="G169" s="69" t="s">
        <v>71</v>
      </c>
      <c r="H169" s="12"/>
      <c r="I169" s="23" t="s">
        <v>1634</v>
      </c>
      <c r="J169" s="69" t="s">
        <v>1635</v>
      </c>
      <c r="K169" s="17" t="s">
        <v>36</v>
      </c>
      <c r="L169" s="22"/>
      <c r="M169" s="27" t="s">
        <v>88</v>
      </c>
      <c r="N169" s="17" t="s">
        <v>56</v>
      </c>
      <c r="O169" s="22" t="s">
        <v>42</v>
      </c>
      <c r="P169" s="29"/>
      <c r="Q169" s="17" t="s">
        <v>44</v>
      </c>
      <c r="R169" s="39" t="s">
        <v>68</v>
      </c>
      <c r="S169" s="29"/>
      <c r="T169" s="29"/>
      <c r="U169" s="29"/>
      <c r="V169" s="26">
        <v>5.0</v>
      </c>
    </row>
    <row r="170">
      <c r="A170" s="12">
        <v>169.0</v>
      </c>
      <c r="B170" s="14">
        <v>46065.0</v>
      </c>
      <c r="C170" s="12" t="s">
        <v>21</v>
      </c>
      <c r="D170" s="12" t="s">
        <v>22</v>
      </c>
      <c r="E170" s="69" t="s">
        <v>1636</v>
      </c>
      <c r="F170" s="12">
        <v>5.05125978E8</v>
      </c>
      <c r="G170" s="69" t="s">
        <v>1637</v>
      </c>
      <c r="H170" s="12" t="s">
        <v>27</v>
      </c>
      <c r="I170" s="23" t="s">
        <v>1638</v>
      </c>
      <c r="J170" s="69" t="s">
        <v>35</v>
      </c>
      <c r="K170" s="17" t="s">
        <v>39</v>
      </c>
      <c r="L170" s="22"/>
      <c r="M170" s="27" t="s">
        <v>38</v>
      </c>
      <c r="N170" s="22" t="s">
        <v>56</v>
      </c>
      <c r="O170" s="22" t="s">
        <v>42</v>
      </c>
      <c r="P170" s="29"/>
      <c r="Q170" s="17" t="s">
        <v>49</v>
      </c>
      <c r="R170" s="39" t="s">
        <v>46</v>
      </c>
      <c r="S170" s="29"/>
      <c r="T170" s="29"/>
      <c r="U170" s="29"/>
      <c r="V170" s="26">
        <v>5.0</v>
      </c>
    </row>
    <row r="171">
      <c r="A171" s="12">
        <v>170.0</v>
      </c>
      <c r="B171" s="14">
        <v>46065.0</v>
      </c>
      <c r="C171" s="12" t="s">
        <v>21</v>
      </c>
      <c r="D171" s="12" t="s">
        <v>22</v>
      </c>
      <c r="E171" s="69" t="s">
        <v>1641</v>
      </c>
      <c r="F171" s="12">
        <v>5.53169331E8</v>
      </c>
      <c r="G171" s="69" t="s">
        <v>237</v>
      </c>
      <c r="H171" s="12" t="s">
        <v>27</v>
      </c>
      <c r="I171" s="23" t="s">
        <v>1643</v>
      </c>
      <c r="J171" s="69" t="s">
        <v>35</v>
      </c>
      <c r="K171" s="17" t="s">
        <v>39</v>
      </c>
      <c r="L171" s="22"/>
      <c r="M171" s="27" t="s">
        <v>38</v>
      </c>
      <c r="N171" s="22" t="s">
        <v>56</v>
      </c>
      <c r="O171" s="22" t="s">
        <v>42</v>
      </c>
      <c r="P171" s="29"/>
      <c r="Q171" s="17" t="s">
        <v>49</v>
      </c>
      <c r="R171" s="39" t="s">
        <v>46</v>
      </c>
      <c r="S171" s="29"/>
      <c r="T171" s="29"/>
      <c r="U171" s="29"/>
      <c r="V171" s="26">
        <v>5.0</v>
      </c>
    </row>
    <row r="172">
      <c r="A172" s="12">
        <v>171.0</v>
      </c>
      <c r="B172" s="14">
        <v>46065.0</v>
      </c>
      <c r="C172" s="12" t="s">
        <v>47</v>
      </c>
      <c r="D172" s="12" t="s">
        <v>48</v>
      </c>
      <c r="E172" s="69" t="s">
        <v>1647</v>
      </c>
      <c r="F172" s="12">
        <v>5.36655679E8</v>
      </c>
      <c r="G172" s="69" t="s">
        <v>333</v>
      </c>
      <c r="H172" s="12" t="s">
        <v>650</v>
      </c>
      <c r="I172" s="23" t="s">
        <v>1650</v>
      </c>
      <c r="J172" s="69" t="s">
        <v>1652</v>
      </c>
      <c r="K172" s="17" t="s">
        <v>36</v>
      </c>
      <c r="L172" s="22"/>
      <c r="M172" s="27" t="s">
        <v>55</v>
      </c>
      <c r="N172" s="22" t="s">
        <v>56</v>
      </c>
      <c r="O172" s="22" t="s">
        <v>42</v>
      </c>
      <c r="P172" s="29"/>
      <c r="Q172" s="17" t="s">
        <v>44</v>
      </c>
      <c r="R172" s="39" t="s">
        <v>46</v>
      </c>
      <c r="S172" s="29"/>
      <c r="T172" s="29"/>
      <c r="U172" s="29"/>
      <c r="V172" s="26">
        <v>5.0</v>
      </c>
    </row>
    <row r="173">
      <c r="A173" s="12">
        <v>172.0</v>
      </c>
      <c r="B173" s="14">
        <v>46065.0</v>
      </c>
      <c r="C173" s="12" t="s">
        <v>21</v>
      </c>
      <c r="D173" s="12" t="s">
        <v>22</v>
      </c>
      <c r="E173" s="69" t="s">
        <v>1657</v>
      </c>
      <c r="F173" s="12">
        <v>5.5655549E8</v>
      </c>
      <c r="G173" s="69" t="s">
        <v>41</v>
      </c>
      <c r="H173" s="12"/>
      <c r="I173" s="23" t="s">
        <v>1661</v>
      </c>
      <c r="J173" s="19" t="s">
        <v>32</v>
      </c>
      <c r="K173" s="17" t="s">
        <v>36</v>
      </c>
      <c r="L173" s="22"/>
      <c r="M173" s="27" t="s">
        <v>38</v>
      </c>
      <c r="N173" s="22" t="s">
        <v>40</v>
      </c>
      <c r="O173" s="22" t="s">
        <v>42</v>
      </c>
      <c r="P173" s="29"/>
      <c r="Q173" s="17" t="s">
        <v>44</v>
      </c>
      <c r="R173" s="39" t="s">
        <v>46</v>
      </c>
      <c r="S173" s="29"/>
      <c r="T173" s="29"/>
      <c r="U173" s="29"/>
      <c r="V173" s="26">
        <v>5.0</v>
      </c>
    </row>
    <row r="174">
      <c r="A174" s="12">
        <v>173.0</v>
      </c>
      <c r="B174" s="14">
        <v>46065.0</v>
      </c>
      <c r="C174" s="12" t="s">
        <v>47</v>
      </c>
      <c r="D174" s="12" t="s">
        <v>138</v>
      </c>
      <c r="E174" s="12" t="s">
        <v>1667</v>
      </c>
      <c r="F174" s="12">
        <v>5.62137151E8</v>
      </c>
      <c r="G174" s="23" t="s">
        <v>41</v>
      </c>
      <c r="H174" s="12" t="s">
        <v>193</v>
      </c>
      <c r="I174" s="23" t="s">
        <v>1669</v>
      </c>
      <c r="J174" s="69" t="s">
        <v>1670</v>
      </c>
      <c r="K174" s="17" t="s">
        <v>148</v>
      </c>
      <c r="L174" s="22"/>
      <c r="M174" s="27" t="s">
        <v>150</v>
      </c>
      <c r="N174" s="22" t="s">
        <v>56</v>
      </c>
      <c r="O174" s="22" t="s">
        <v>42</v>
      </c>
      <c r="P174" s="29"/>
      <c r="Q174" s="17" t="s">
        <v>44</v>
      </c>
      <c r="R174" s="39" t="s">
        <v>46</v>
      </c>
      <c r="S174" s="29"/>
      <c r="T174" s="29"/>
      <c r="U174" s="29"/>
      <c r="V174" s="26">
        <v>5.0</v>
      </c>
    </row>
    <row r="175">
      <c r="A175" s="12">
        <v>174.0</v>
      </c>
      <c r="B175" s="14">
        <v>46065.0</v>
      </c>
      <c r="C175" s="12" t="s">
        <v>47</v>
      </c>
      <c r="D175" s="12" t="s">
        <v>251</v>
      </c>
      <c r="E175" s="12" t="s">
        <v>1676</v>
      </c>
      <c r="F175" s="12">
        <v>5.99818969E8</v>
      </c>
      <c r="G175" s="69" t="s">
        <v>41</v>
      </c>
      <c r="H175" s="12" t="s">
        <v>193</v>
      </c>
      <c r="I175" s="23" t="s">
        <v>1679</v>
      </c>
      <c r="J175" s="69"/>
      <c r="K175" s="17" t="s">
        <v>148</v>
      </c>
      <c r="L175" s="22"/>
      <c r="M175" s="27" t="s">
        <v>55</v>
      </c>
      <c r="N175" s="17" t="s">
        <v>56</v>
      </c>
      <c r="O175" s="22" t="s">
        <v>42</v>
      </c>
      <c r="P175" s="29"/>
      <c r="Q175" s="17" t="s">
        <v>44</v>
      </c>
      <c r="R175" s="39" t="s">
        <v>46</v>
      </c>
      <c r="S175" s="29"/>
      <c r="T175" s="29"/>
      <c r="U175" s="29"/>
      <c r="V175" s="26">
        <v>5.0</v>
      </c>
    </row>
    <row r="176">
      <c r="A176" s="12">
        <v>175.0</v>
      </c>
      <c r="B176" s="14">
        <v>46065.0</v>
      </c>
      <c r="C176" s="12" t="s">
        <v>47</v>
      </c>
      <c r="D176" s="12" t="s">
        <v>138</v>
      </c>
      <c r="E176" s="69" t="s">
        <v>190</v>
      </c>
      <c r="F176" s="12">
        <v>5.50558125E8</v>
      </c>
      <c r="G176" s="23" t="s">
        <v>41</v>
      </c>
      <c r="H176" s="12" t="s">
        <v>146</v>
      </c>
      <c r="I176" s="23" t="s">
        <v>1683</v>
      </c>
      <c r="J176" s="69" t="s">
        <v>1684</v>
      </c>
      <c r="K176" s="17" t="s">
        <v>148</v>
      </c>
      <c r="L176" s="22"/>
      <c r="M176" s="27" t="s">
        <v>55</v>
      </c>
      <c r="N176" s="22" t="s">
        <v>56</v>
      </c>
      <c r="O176" s="22" t="s">
        <v>42</v>
      </c>
      <c r="P176" s="29"/>
      <c r="Q176" s="17" t="s">
        <v>44</v>
      </c>
      <c r="R176" s="39" t="s">
        <v>46</v>
      </c>
      <c r="S176" s="29"/>
      <c r="T176" s="29"/>
      <c r="U176" s="29"/>
      <c r="V176" s="26">
        <v>5.0</v>
      </c>
    </row>
    <row r="177">
      <c r="A177" s="12">
        <v>176.0</v>
      </c>
      <c r="B177" s="14">
        <v>46065.0</v>
      </c>
      <c r="C177" s="12" t="s">
        <v>47</v>
      </c>
      <c r="D177" s="12" t="s">
        <v>367</v>
      </c>
      <c r="E177" s="12" t="s">
        <v>1689</v>
      </c>
      <c r="F177" s="12">
        <v>5.0817386E8</v>
      </c>
      <c r="G177" s="23" t="s">
        <v>41</v>
      </c>
      <c r="H177" s="12" t="s">
        <v>222</v>
      </c>
      <c r="I177" s="23" t="s">
        <v>1690</v>
      </c>
      <c r="J177" s="69" t="s">
        <v>1691</v>
      </c>
      <c r="K177" s="17" t="s">
        <v>148</v>
      </c>
      <c r="L177" s="22"/>
      <c r="M177" s="27" t="s">
        <v>55</v>
      </c>
      <c r="N177" s="22" t="s">
        <v>56</v>
      </c>
      <c r="O177" s="22" t="s">
        <v>42</v>
      </c>
      <c r="P177" s="29"/>
      <c r="Q177" s="17" t="s">
        <v>44</v>
      </c>
      <c r="R177" s="39" t="s">
        <v>46</v>
      </c>
      <c r="S177" s="29"/>
      <c r="T177" s="29"/>
      <c r="U177" s="29"/>
      <c r="V177" s="26">
        <v>5.0</v>
      </c>
    </row>
    <row r="178">
      <c r="A178" s="12">
        <v>177.0</v>
      </c>
      <c r="B178" s="14">
        <v>46065.0</v>
      </c>
      <c r="C178" s="12" t="s">
        <v>47</v>
      </c>
      <c r="D178" s="12" t="s">
        <v>138</v>
      </c>
      <c r="E178" s="69" t="s">
        <v>494</v>
      </c>
      <c r="F178" s="12">
        <v>5.66525829E8</v>
      </c>
      <c r="G178" s="23" t="s">
        <v>41</v>
      </c>
      <c r="H178" s="12" t="s">
        <v>222</v>
      </c>
      <c r="I178" s="23" t="s">
        <v>1697</v>
      </c>
      <c r="J178" s="69" t="s">
        <v>1698</v>
      </c>
      <c r="K178" s="17" t="s">
        <v>148</v>
      </c>
      <c r="L178" s="22"/>
      <c r="M178" s="27" t="s">
        <v>55</v>
      </c>
      <c r="N178" s="22" t="s">
        <v>56</v>
      </c>
      <c r="O178" s="22" t="s">
        <v>42</v>
      </c>
      <c r="P178" s="29"/>
      <c r="Q178" s="17" t="s">
        <v>44</v>
      </c>
      <c r="R178" s="39" t="s">
        <v>46</v>
      </c>
      <c r="S178" s="29"/>
      <c r="T178" s="29"/>
      <c r="U178" s="29"/>
      <c r="V178" s="26">
        <v>5.0</v>
      </c>
    </row>
    <row r="179">
      <c r="A179" s="12">
        <v>178.0</v>
      </c>
      <c r="B179" s="14">
        <v>46065.0</v>
      </c>
      <c r="C179" s="12" t="s">
        <v>47</v>
      </c>
      <c r="D179" s="12" t="s">
        <v>251</v>
      </c>
      <c r="E179" s="69" t="s">
        <v>1705</v>
      </c>
      <c r="F179" s="12">
        <v>5.54747818E8</v>
      </c>
      <c r="G179" s="69" t="s">
        <v>28</v>
      </c>
      <c r="H179" s="12" t="s">
        <v>177</v>
      </c>
      <c r="I179" s="23" t="s">
        <v>1706</v>
      </c>
      <c r="J179" s="69"/>
      <c r="K179" s="17" t="s">
        <v>148</v>
      </c>
      <c r="L179" s="22"/>
      <c r="M179" s="27" t="s">
        <v>55</v>
      </c>
      <c r="N179" s="17" t="s">
        <v>56</v>
      </c>
      <c r="O179" s="22" t="s">
        <v>42</v>
      </c>
      <c r="P179" s="29"/>
      <c r="Q179" s="17" t="s">
        <v>44</v>
      </c>
      <c r="R179" s="39" t="s">
        <v>46</v>
      </c>
      <c r="S179" s="29"/>
      <c r="T179" s="29"/>
      <c r="U179" s="29"/>
      <c r="V179" s="26">
        <v>5.0</v>
      </c>
    </row>
    <row r="180">
      <c r="A180" s="12">
        <v>179.0</v>
      </c>
      <c r="B180" s="14">
        <v>46065.0</v>
      </c>
      <c r="C180" s="12" t="s">
        <v>47</v>
      </c>
      <c r="D180" s="12" t="s">
        <v>57</v>
      </c>
      <c r="E180" s="69" t="s">
        <v>1705</v>
      </c>
      <c r="F180" s="12">
        <v>5.54747818E8</v>
      </c>
      <c r="G180" s="69" t="s">
        <v>28</v>
      </c>
      <c r="H180" s="12" t="s">
        <v>177</v>
      </c>
      <c r="I180" s="23" t="s">
        <v>1714</v>
      </c>
      <c r="J180" s="69"/>
      <c r="K180" s="17" t="s">
        <v>148</v>
      </c>
      <c r="L180" s="22"/>
      <c r="M180" s="27" t="s">
        <v>55</v>
      </c>
      <c r="N180" s="17" t="s">
        <v>56</v>
      </c>
      <c r="O180" s="22" t="s">
        <v>42</v>
      </c>
      <c r="P180" s="29"/>
      <c r="Q180" s="17" t="s">
        <v>44</v>
      </c>
      <c r="R180" s="39" t="s">
        <v>68</v>
      </c>
      <c r="S180" s="29"/>
      <c r="T180" s="29"/>
      <c r="U180" s="29"/>
      <c r="V180" s="26">
        <v>5.0</v>
      </c>
    </row>
    <row r="181">
      <c r="A181" s="12">
        <v>180.0</v>
      </c>
      <c r="B181" s="14">
        <v>46065.0</v>
      </c>
      <c r="C181" s="12" t="s">
        <v>21</v>
      </c>
      <c r="D181" s="12" t="s">
        <v>22</v>
      </c>
      <c r="E181" s="69" t="s">
        <v>1718</v>
      </c>
      <c r="F181" s="12">
        <v>5.31110242E8</v>
      </c>
      <c r="G181" s="69" t="s">
        <v>319</v>
      </c>
      <c r="H181" s="12" t="s">
        <v>27</v>
      </c>
      <c r="I181" s="23" t="s">
        <v>1719</v>
      </c>
      <c r="J181" s="69"/>
      <c r="K181" s="17" t="s">
        <v>36</v>
      </c>
      <c r="L181" s="22"/>
      <c r="M181" s="27" t="s">
        <v>38</v>
      </c>
      <c r="N181" s="22" t="s">
        <v>40</v>
      </c>
      <c r="O181" s="22" t="s">
        <v>42</v>
      </c>
      <c r="P181" s="29"/>
      <c r="Q181" s="17" t="s">
        <v>44</v>
      </c>
      <c r="R181" s="39" t="s">
        <v>46</v>
      </c>
      <c r="S181" s="29"/>
      <c r="T181" s="29"/>
      <c r="U181" s="29"/>
      <c r="V181" s="26">
        <v>5.0</v>
      </c>
    </row>
    <row r="182">
      <c r="A182" s="12">
        <v>181.0</v>
      </c>
      <c r="B182" s="14">
        <v>46065.0</v>
      </c>
      <c r="C182" s="12" t="s">
        <v>47</v>
      </c>
      <c r="D182" s="12" t="s">
        <v>48</v>
      </c>
      <c r="E182" s="69" t="s">
        <v>1727</v>
      </c>
      <c r="F182" s="12">
        <v>5.0470169E8</v>
      </c>
      <c r="G182" s="23" t="s">
        <v>41</v>
      </c>
      <c r="H182" s="12" t="s">
        <v>193</v>
      </c>
      <c r="I182" s="23" t="s">
        <v>1729</v>
      </c>
      <c r="J182" s="69" t="s">
        <v>1730</v>
      </c>
      <c r="K182" s="17" t="s">
        <v>36</v>
      </c>
      <c r="L182" s="22"/>
      <c r="M182" s="27" t="s">
        <v>55</v>
      </c>
      <c r="N182" s="22" t="s">
        <v>56</v>
      </c>
      <c r="O182" s="22" t="s">
        <v>42</v>
      </c>
      <c r="P182" s="29"/>
      <c r="Q182" s="17" t="s">
        <v>44</v>
      </c>
      <c r="R182" s="39" t="s">
        <v>46</v>
      </c>
      <c r="S182" s="29"/>
      <c r="T182" s="29"/>
      <c r="U182" s="29"/>
      <c r="V182" s="26">
        <v>5.0</v>
      </c>
    </row>
    <row r="183">
      <c r="A183" s="12">
        <v>182.0</v>
      </c>
      <c r="B183" s="14">
        <v>46065.0</v>
      </c>
      <c r="C183" s="12" t="s">
        <v>21</v>
      </c>
      <c r="D183" s="12" t="s">
        <v>24</v>
      </c>
      <c r="E183" s="69" t="s">
        <v>1732</v>
      </c>
      <c r="F183" s="12">
        <v>5.93401736E8</v>
      </c>
      <c r="G183" s="69" t="s">
        <v>28</v>
      </c>
      <c r="H183" s="12" t="s">
        <v>27</v>
      </c>
      <c r="I183" s="23" t="s">
        <v>1733</v>
      </c>
      <c r="J183" s="69"/>
      <c r="K183" s="17" t="s">
        <v>36</v>
      </c>
      <c r="L183" s="22"/>
      <c r="M183" s="27" t="s">
        <v>38</v>
      </c>
      <c r="N183" s="22" t="s">
        <v>40</v>
      </c>
      <c r="O183" s="22" t="s">
        <v>42</v>
      </c>
      <c r="P183" s="29"/>
      <c r="Q183" s="17" t="s">
        <v>44</v>
      </c>
      <c r="R183" s="39" t="s">
        <v>46</v>
      </c>
      <c r="S183" s="29"/>
      <c r="T183" s="29"/>
      <c r="U183" s="29"/>
      <c r="V183" s="26">
        <v>5.0</v>
      </c>
    </row>
    <row r="184">
      <c r="A184" s="12">
        <v>183.0</v>
      </c>
      <c r="B184" s="14">
        <v>46065.0</v>
      </c>
      <c r="C184" s="12" t="s">
        <v>21</v>
      </c>
      <c r="D184" s="12" t="s">
        <v>22</v>
      </c>
      <c r="E184" s="69" t="s">
        <v>1741</v>
      </c>
      <c r="F184" s="12">
        <v>5.56219014E8</v>
      </c>
      <c r="G184" s="69" t="s">
        <v>71</v>
      </c>
      <c r="H184" s="12" t="s">
        <v>27</v>
      </c>
      <c r="I184" s="23" t="s">
        <v>1742</v>
      </c>
      <c r="J184" s="69"/>
      <c r="K184" s="17" t="s">
        <v>36</v>
      </c>
      <c r="L184" s="22"/>
      <c r="M184" s="27" t="s">
        <v>38</v>
      </c>
      <c r="N184" s="22" t="s">
        <v>40</v>
      </c>
      <c r="O184" s="22" t="s">
        <v>42</v>
      </c>
      <c r="P184" s="29"/>
      <c r="Q184" s="17" t="s">
        <v>44</v>
      </c>
      <c r="R184" s="39" t="s">
        <v>46</v>
      </c>
      <c r="S184" s="29"/>
      <c r="T184" s="29"/>
      <c r="U184" s="29"/>
      <c r="V184" s="26">
        <v>5.0</v>
      </c>
    </row>
    <row r="185">
      <c r="A185" s="12">
        <v>184.0</v>
      </c>
      <c r="B185" s="14">
        <v>46065.0</v>
      </c>
      <c r="C185" s="12" t="s">
        <v>21</v>
      </c>
      <c r="D185" s="12" t="s">
        <v>22</v>
      </c>
      <c r="E185" s="69" t="s">
        <v>1748</v>
      </c>
      <c r="F185" s="12">
        <v>5.00282256E8</v>
      </c>
      <c r="G185" s="69" t="s">
        <v>28</v>
      </c>
      <c r="H185" s="12"/>
      <c r="I185" s="23" t="s">
        <v>1749</v>
      </c>
      <c r="J185" s="19" t="s">
        <v>32</v>
      </c>
      <c r="K185" s="17" t="s">
        <v>36</v>
      </c>
      <c r="L185" s="22"/>
      <c r="M185" s="27" t="s">
        <v>38</v>
      </c>
      <c r="N185" s="22" t="s">
        <v>40</v>
      </c>
      <c r="O185" s="22" t="s">
        <v>42</v>
      </c>
      <c r="P185" s="29"/>
      <c r="Q185" s="17" t="s">
        <v>44</v>
      </c>
      <c r="R185" s="39" t="s">
        <v>46</v>
      </c>
      <c r="S185" s="29"/>
      <c r="T185" s="29"/>
      <c r="U185" s="29"/>
      <c r="V185" s="26">
        <v>5.0</v>
      </c>
    </row>
    <row r="186">
      <c r="A186" s="12">
        <v>185.0</v>
      </c>
      <c r="B186" s="14">
        <v>46065.0</v>
      </c>
      <c r="C186" s="12" t="s">
        <v>47</v>
      </c>
      <c r="D186" s="12" t="s">
        <v>367</v>
      </c>
      <c r="E186" s="12" t="s">
        <v>1754</v>
      </c>
      <c r="F186" s="21" t="s">
        <v>27</v>
      </c>
      <c r="G186" s="69" t="s">
        <v>874</v>
      </c>
      <c r="H186" s="12" t="s">
        <v>876</v>
      </c>
      <c r="I186" s="23" t="s">
        <v>1757</v>
      </c>
      <c r="J186" s="74" t="s">
        <v>787</v>
      </c>
      <c r="K186" s="17" t="s">
        <v>78</v>
      </c>
      <c r="L186" s="22"/>
      <c r="M186" s="27" t="s">
        <v>55</v>
      </c>
      <c r="N186" s="22" t="s">
        <v>56</v>
      </c>
      <c r="O186" s="22" t="s">
        <v>42</v>
      </c>
      <c r="P186" s="29"/>
      <c r="Q186" s="17" t="s">
        <v>49</v>
      </c>
      <c r="R186" s="39" t="s">
        <v>46</v>
      </c>
      <c r="S186" s="29"/>
      <c r="T186" s="29"/>
      <c r="U186" s="29"/>
      <c r="V186" s="26">
        <v>5.0</v>
      </c>
    </row>
    <row r="187" ht="27.75" customHeight="1">
      <c r="A187" s="12">
        <v>186.0</v>
      </c>
      <c r="B187" s="14">
        <v>46065.0</v>
      </c>
      <c r="C187" s="12" t="s">
        <v>47</v>
      </c>
      <c r="D187" s="12" t="s">
        <v>367</v>
      </c>
      <c r="E187" s="79" t="s">
        <v>1765</v>
      </c>
      <c r="F187" s="21" t="s">
        <v>27</v>
      </c>
      <c r="G187" s="23" t="s">
        <v>41</v>
      </c>
      <c r="H187" s="12" t="s">
        <v>52</v>
      </c>
      <c r="I187" s="23" t="s">
        <v>1767</v>
      </c>
      <c r="J187" s="69" t="s">
        <v>1769</v>
      </c>
      <c r="K187" s="17" t="s">
        <v>78</v>
      </c>
      <c r="L187" s="22"/>
      <c r="M187" s="27" t="s">
        <v>55</v>
      </c>
      <c r="N187" s="22" t="s">
        <v>56</v>
      </c>
      <c r="O187" s="22" t="s">
        <v>42</v>
      </c>
      <c r="P187" s="29"/>
      <c r="Q187" s="17" t="s">
        <v>49</v>
      </c>
      <c r="R187" s="39" t="s">
        <v>46</v>
      </c>
      <c r="S187" s="29"/>
      <c r="T187" s="29"/>
      <c r="U187" s="29"/>
      <c r="V187" s="26">
        <v>5.0</v>
      </c>
    </row>
    <row r="188">
      <c r="A188" s="12">
        <v>187.0</v>
      </c>
      <c r="B188" s="14">
        <v>46065.0</v>
      </c>
      <c r="C188" s="12" t="s">
        <v>21</v>
      </c>
      <c r="D188" s="12" t="s">
        <v>24</v>
      </c>
      <c r="E188" s="69" t="s">
        <v>1773</v>
      </c>
      <c r="F188" s="12">
        <v>5.55950515E8</v>
      </c>
      <c r="G188" s="69" t="s">
        <v>71</v>
      </c>
      <c r="H188" s="12" t="s">
        <v>27</v>
      </c>
      <c r="I188" s="23" t="s">
        <v>1775</v>
      </c>
      <c r="J188" s="69"/>
      <c r="K188" s="17" t="s">
        <v>36</v>
      </c>
      <c r="L188" s="22"/>
      <c r="M188" s="27" t="s">
        <v>38</v>
      </c>
      <c r="N188" s="22" t="s">
        <v>40</v>
      </c>
      <c r="O188" s="22" t="s">
        <v>42</v>
      </c>
      <c r="P188" s="29"/>
      <c r="Q188" s="17" t="s">
        <v>44</v>
      </c>
      <c r="R188" s="39" t="s">
        <v>46</v>
      </c>
      <c r="S188" s="29"/>
      <c r="T188" s="29"/>
      <c r="U188" s="29"/>
      <c r="V188" s="26">
        <v>5.0</v>
      </c>
    </row>
    <row r="189">
      <c r="A189" s="12">
        <v>188.0</v>
      </c>
      <c r="B189" s="14">
        <v>46065.0</v>
      </c>
      <c r="C189" s="12" t="s">
        <v>58</v>
      </c>
      <c r="D189" s="16" t="s">
        <v>60</v>
      </c>
      <c r="E189" s="69" t="s">
        <v>1781</v>
      </c>
      <c r="F189" s="12">
        <v>5.00058673E8</v>
      </c>
      <c r="G189" s="12" t="s">
        <v>27</v>
      </c>
      <c r="H189" s="12" t="s">
        <v>27</v>
      </c>
      <c r="I189" s="23" t="s">
        <v>1782</v>
      </c>
      <c r="J189" s="19" t="s">
        <v>35</v>
      </c>
      <c r="K189" s="17" t="s">
        <v>36</v>
      </c>
      <c r="L189" s="22"/>
      <c r="M189" s="27" t="s">
        <v>88</v>
      </c>
      <c r="N189" s="17" t="s">
        <v>56</v>
      </c>
      <c r="O189" s="22" t="s">
        <v>42</v>
      </c>
      <c r="P189" s="29"/>
      <c r="Q189" s="17" t="s">
        <v>49</v>
      </c>
      <c r="R189" s="39" t="s">
        <v>68</v>
      </c>
      <c r="S189" s="29"/>
      <c r="T189" s="29"/>
      <c r="U189" s="29"/>
      <c r="V189" s="26">
        <v>5.0</v>
      </c>
    </row>
    <row r="190">
      <c r="A190" s="12">
        <v>189.0</v>
      </c>
      <c r="B190" s="14">
        <v>46065.0</v>
      </c>
      <c r="C190" s="12" t="s">
        <v>58</v>
      </c>
      <c r="D190" s="16" t="s">
        <v>60</v>
      </c>
      <c r="E190" s="12" t="s">
        <v>27</v>
      </c>
      <c r="F190" s="12">
        <v>5.55507443E8</v>
      </c>
      <c r="G190" s="12" t="s">
        <v>27</v>
      </c>
      <c r="H190" s="12" t="s">
        <v>27</v>
      </c>
      <c r="I190" s="23" t="s">
        <v>1789</v>
      </c>
      <c r="J190" s="19" t="s">
        <v>35</v>
      </c>
      <c r="K190" s="17" t="s">
        <v>36</v>
      </c>
      <c r="L190" s="22"/>
      <c r="M190" s="27" t="s">
        <v>88</v>
      </c>
      <c r="N190" s="17" t="s">
        <v>56</v>
      </c>
      <c r="O190" s="22" t="s">
        <v>42</v>
      </c>
      <c r="P190" s="29"/>
      <c r="Q190" s="17" t="s">
        <v>49</v>
      </c>
      <c r="R190" s="39" t="s">
        <v>68</v>
      </c>
      <c r="S190" s="29"/>
      <c r="T190" s="29"/>
      <c r="U190" s="29"/>
      <c r="V190" s="26">
        <v>5.0</v>
      </c>
    </row>
    <row r="191">
      <c r="A191" s="12">
        <v>190.0</v>
      </c>
      <c r="B191" s="14">
        <v>46065.0</v>
      </c>
      <c r="C191" s="12" t="s">
        <v>58</v>
      </c>
      <c r="D191" s="16" t="s">
        <v>60</v>
      </c>
      <c r="E191" s="12" t="s">
        <v>27</v>
      </c>
      <c r="F191" s="16">
        <v>5.68805978E8</v>
      </c>
      <c r="G191" s="12" t="s">
        <v>27</v>
      </c>
      <c r="H191" s="12" t="s">
        <v>27</v>
      </c>
      <c r="I191" s="23" t="s">
        <v>618</v>
      </c>
      <c r="J191" s="69"/>
      <c r="K191" s="17" t="s">
        <v>36</v>
      </c>
      <c r="L191" s="22"/>
      <c r="M191" s="27" t="s">
        <v>88</v>
      </c>
      <c r="N191" s="17" t="s">
        <v>56</v>
      </c>
      <c r="O191" s="22" t="s">
        <v>42</v>
      </c>
      <c r="P191" s="29"/>
      <c r="Q191" s="17" t="s">
        <v>44</v>
      </c>
      <c r="R191" s="39" t="s">
        <v>68</v>
      </c>
      <c r="S191" s="29"/>
      <c r="T191" s="29"/>
      <c r="U191" s="29"/>
      <c r="V191" s="26">
        <v>5.0</v>
      </c>
    </row>
    <row r="192">
      <c r="A192" s="12">
        <v>191.0</v>
      </c>
      <c r="B192" s="14">
        <v>46065.0</v>
      </c>
      <c r="C192" s="16" t="s">
        <v>58</v>
      </c>
      <c r="D192" s="16" t="s">
        <v>60</v>
      </c>
      <c r="E192" s="12" t="s">
        <v>27</v>
      </c>
      <c r="F192" s="16">
        <v>5.48542876E8</v>
      </c>
      <c r="G192" s="69" t="s">
        <v>41</v>
      </c>
      <c r="H192" s="12" t="s">
        <v>27</v>
      </c>
      <c r="I192" s="23" t="s">
        <v>1799</v>
      </c>
      <c r="J192" s="70" t="s">
        <v>500</v>
      </c>
      <c r="K192" s="22" t="s">
        <v>36</v>
      </c>
      <c r="L192" s="22"/>
      <c r="M192" s="27" t="s">
        <v>88</v>
      </c>
      <c r="N192" s="17" t="s">
        <v>56</v>
      </c>
      <c r="O192" s="22" t="s">
        <v>42</v>
      </c>
      <c r="P192" s="29"/>
      <c r="Q192" s="22" t="s">
        <v>44</v>
      </c>
      <c r="R192" s="39" t="s">
        <v>68</v>
      </c>
      <c r="S192" s="29"/>
      <c r="T192" s="29"/>
      <c r="U192" s="29"/>
      <c r="V192" s="26">
        <v>5.0</v>
      </c>
    </row>
    <row r="193">
      <c r="A193" s="12">
        <v>192.0</v>
      </c>
      <c r="B193" s="14">
        <v>46065.0</v>
      </c>
      <c r="C193" s="16" t="s">
        <v>58</v>
      </c>
      <c r="D193" s="16" t="s">
        <v>60</v>
      </c>
      <c r="E193" s="16" t="s">
        <v>27</v>
      </c>
      <c r="F193" s="16">
        <v>5.01669945E8</v>
      </c>
      <c r="G193" s="69" t="s">
        <v>41</v>
      </c>
      <c r="H193" s="16" t="s">
        <v>27</v>
      </c>
      <c r="I193" s="121" t="s">
        <v>1807</v>
      </c>
      <c r="J193" s="19" t="s">
        <v>35</v>
      </c>
      <c r="K193" s="22" t="s">
        <v>36</v>
      </c>
      <c r="L193" s="22"/>
      <c r="M193" s="27" t="s">
        <v>88</v>
      </c>
      <c r="N193" s="17" t="s">
        <v>56</v>
      </c>
      <c r="O193" s="22" t="s">
        <v>42</v>
      </c>
      <c r="P193" s="29"/>
      <c r="Q193" s="22" t="s">
        <v>49</v>
      </c>
      <c r="R193" s="39" t="s">
        <v>68</v>
      </c>
      <c r="S193" s="29"/>
      <c r="T193" s="29"/>
      <c r="U193" s="29"/>
      <c r="V193" s="26">
        <v>5.0</v>
      </c>
    </row>
    <row r="194">
      <c r="A194" s="12">
        <v>193.0</v>
      </c>
      <c r="B194" s="14">
        <v>46068.0</v>
      </c>
      <c r="C194" s="16" t="s">
        <v>21</v>
      </c>
      <c r="D194" s="16" t="s">
        <v>57</v>
      </c>
      <c r="E194" s="70" t="s">
        <v>1809</v>
      </c>
      <c r="F194" s="16">
        <v>5.91910116E8</v>
      </c>
      <c r="G194" s="70" t="s">
        <v>319</v>
      </c>
      <c r="H194" s="16" t="s">
        <v>27</v>
      </c>
      <c r="I194" s="23" t="s">
        <v>1813</v>
      </c>
      <c r="J194" s="70" t="s">
        <v>1814</v>
      </c>
      <c r="K194" s="22" t="s">
        <v>36</v>
      </c>
      <c r="L194" s="22"/>
      <c r="M194" s="27" t="s">
        <v>38</v>
      </c>
      <c r="N194" s="17" t="s">
        <v>56</v>
      </c>
      <c r="O194" s="22" t="s">
        <v>42</v>
      </c>
      <c r="P194" s="29"/>
      <c r="Q194" s="22" t="s">
        <v>44</v>
      </c>
      <c r="R194" s="39" t="s">
        <v>68</v>
      </c>
      <c r="S194" s="29"/>
      <c r="T194" s="29"/>
      <c r="U194" s="29"/>
      <c r="V194" s="26">
        <v>5.0</v>
      </c>
    </row>
    <row r="195">
      <c r="A195" s="12">
        <v>194.0</v>
      </c>
      <c r="B195" s="14">
        <v>46068.0</v>
      </c>
      <c r="C195" s="16" t="s">
        <v>58</v>
      </c>
      <c r="D195" s="16" t="s">
        <v>60</v>
      </c>
      <c r="E195" s="16" t="s">
        <v>27</v>
      </c>
      <c r="F195" s="16">
        <v>5.49763412E8</v>
      </c>
      <c r="G195" s="16" t="s">
        <v>27</v>
      </c>
      <c r="H195" s="16" t="s">
        <v>27</v>
      </c>
      <c r="I195" s="23" t="s">
        <v>1817</v>
      </c>
      <c r="J195" s="70" t="s">
        <v>1818</v>
      </c>
      <c r="K195" s="22" t="s">
        <v>36</v>
      </c>
      <c r="L195" s="22"/>
      <c r="M195" s="27" t="s">
        <v>88</v>
      </c>
      <c r="N195" s="17" t="s">
        <v>56</v>
      </c>
      <c r="O195" s="22" t="s">
        <v>42</v>
      </c>
      <c r="P195" s="29"/>
      <c r="Q195" s="22" t="s">
        <v>44</v>
      </c>
      <c r="R195" s="39" t="s">
        <v>68</v>
      </c>
      <c r="S195" s="29"/>
      <c r="T195" s="29"/>
      <c r="U195" s="29"/>
      <c r="V195" s="26">
        <v>5.0</v>
      </c>
    </row>
    <row r="196">
      <c r="A196" s="12">
        <v>195.0</v>
      </c>
      <c r="B196" s="14">
        <v>46068.0</v>
      </c>
      <c r="C196" s="16" t="s">
        <v>47</v>
      </c>
      <c r="D196" s="16" t="s">
        <v>48</v>
      </c>
      <c r="E196" s="70" t="s">
        <v>1823</v>
      </c>
      <c r="F196" s="16">
        <v>5.55503132E8</v>
      </c>
      <c r="G196" s="23" t="s">
        <v>41</v>
      </c>
      <c r="H196" s="16" t="s">
        <v>222</v>
      </c>
      <c r="I196" s="23" t="s">
        <v>1826</v>
      </c>
      <c r="J196" s="70" t="s">
        <v>1827</v>
      </c>
      <c r="K196" s="22" t="s">
        <v>36</v>
      </c>
      <c r="L196" s="22"/>
      <c r="M196" s="27" t="s">
        <v>55</v>
      </c>
      <c r="N196" s="22" t="s">
        <v>56</v>
      </c>
      <c r="O196" s="22" t="s">
        <v>42</v>
      </c>
      <c r="P196" s="29"/>
      <c r="Q196" s="22" t="s">
        <v>44</v>
      </c>
      <c r="R196" s="33" t="s">
        <v>46</v>
      </c>
      <c r="S196" s="29"/>
      <c r="T196" s="29"/>
      <c r="U196" s="29"/>
      <c r="V196" s="26">
        <v>5.0</v>
      </c>
    </row>
    <row r="197">
      <c r="A197" s="12">
        <v>196.0</v>
      </c>
      <c r="B197" s="14">
        <v>46068.0</v>
      </c>
      <c r="C197" s="16" t="s">
        <v>58</v>
      </c>
      <c r="D197" s="16" t="s">
        <v>60</v>
      </c>
      <c r="E197" s="16" t="s">
        <v>27</v>
      </c>
      <c r="F197" s="16">
        <v>5.30399738E8</v>
      </c>
      <c r="G197" s="16" t="s">
        <v>27</v>
      </c>
      <c r="H197" s="16" t="s">
        <v>27</v>
      </c>
      <c r="I197" s="23" t="s">
        <v>554</v>
      </c>
      <c r="J197" s="70"/>
      <c r="K197" s="22" t="s">
        <v>36</v>
      </c>
      <c r="L197" s="22"/>
      <c r="M197" s="27" t="s">
        <v>88</v>
      </c>
      <c r="N197" s="17" t="s">
        <v>56</v>
      </c>
      <c r="O197" s="22" t="s">
        <v>42</v>
      </c>
      <c r="P197" s="29"/>
      <c r="Q197" s="22" t="s">
        <v>44</v>
      </c>
      <c r="R197" s="39" t="s">
        <v>68</v>
      </c>
      <c r="S197" s="29"/>
      <c r="T197" s="29"/>
      <c r="U197" s="29"/>
      <c r="V197" s="26">
        <v>5.0</v>
      </c>
    </row>
    <row r="198">
      <c r="A198" s="12">
        <v>197.0</v>
      </c>
      <c r="B198" s="14">
        <v>46068.0</v>
      </c>
      <c r="C198" s="16" t="s">
        <v>58</v>
      </c>
      <c r="D198" s="16" t="s">
        <v>60</v>
      </c>
      <c r="E198" s="16" t="s">
        <v>27</v>
      </c>
      <c r="F198" s="16">
        <v>5.3003235E8</v>
      </c>
      <c r="G198" s="16" t="s">
        <v>27</v>
      </c>
      <c r="H198" s="16" t="s">
        <v>27</v>
      </c>
      <c r="I198" s="36" t="s">
        <v>1836</v>
      </c>
      <c r="J198" s="70" t="s">
        <v>124</v>
      </c>
      <c r="K198" s="22" t="s">
        <v>65</v>
      </c>
      <c r="L198" s="22"/>
      <c r="M198" s="27" t="s">
        <v>88</v>
      </c>
      <c r="N198" s="17" t="s">
        <v>56</v>
      </c>
      <c r="O198" s="22" t="s">
        <v>42</v>
      </c>
      <c r="P198" s="29"/>
      <c r="Q198" s="22" t="s">
        <v>44</v>
      </c>
      <c r="R198" s="39" t="s">
        <v>68</v>
      </c>
      <c r="S198" s="29"/>
      <c r="T198" s="29"/>
      <c r="U198" s="29"/>
      <c r="V198" s="26">
        <v>5.0</v>
      </c>
    </row>
    <row r="199">
      <c r="A199" s="12">
        <v>198.0</v>
      </c>
      <c r="B199" s="14">
        <v>46068.0</v>
      </c>
      <c r="C199" s="16" t="s">
        <v>21</v>
      </c>
      <c r="D199" s="16" t="s">
        <v>24</v>
      </c>
      <c r="E199" s="70" t="s">
        <v>1838</v>
      </c>
      <c r="F199" s="16">
        <v>5.39228126E8</v>
      </c>
      <c r="G199" s="70" t="s">
        <v>71</v>
      </c>
      <c r="H199" s="16" t="s">
        <v>27</v>
      </c>
      <c r="I199" s="23" t="s">
        <v>1841</v>
      </c>
      <c r="J199" s="70"/>
      <c r="K199" s="22" t="s">
        <v>36</v>
      </c>
      <c r="L199" s="22"/>
      <c r="M199" s="27" t="s">
        <v>38</v>
      </c>
      <c r="N199" s="22" t="s">
        <v>40</v>
      </c>
      <c r="O199" s="22" t="s">
        <v>42</v>
      </c>
      <c r="P199" s="29"/>
      <c r="Q199" s="22" t="s">
        <v>44</v>
      </c>
      <c r="R199" s="33" t="s">
        <v>46</v>
      </c>
      <c r="S199" s="29"/>
      <c r="T199" s="29"/>
      <c r="U199" s="29"/>
      <c r="V199" s="26">
        <v>5.0</v>
      </c>
    </row>
    <row r="200">
      <c r="A200" s="12">
        <v>199.0</v>
      </c>
      <c r="B200" s="14">
        <v>46068.0</v>
      </c>
      <c r="C200" s="16" t="s">
        <v>58</v>
      </c>
      <c r="D200" s="16" t="s">
        <v>60</v>
      </c>
      <c r="E200" s="16" t="s">
        <v>27</v>
      </c>
      <c r="F200" s="16">
        <v>5.53697624E8</v>
      </c>
      <c r="G200" s="16" t="s">
        <v>27</v>
      </c>
      <c r="H200" s="16" t="s">
        <v>27</v>
      </c>
      <c r="I200" s="36" t="s">
        <v>1843</v>
      </c>
      <c r="J200" s="70" t="s">
        <v>124</v>
      </c>
      <c r="K200" s="22" t="s">
        <v>65</v>
      </c>
      <c r="L200" s="22"/>
      <c r="M200" s="27" t="s">
        <v>88</v>
      </c>
      <c r="N200" s="17" t="s">
        <v>56</v>
      </c>
      <c r="O200" s="22" t="s">
        <v>42</v>
      </c>
      <c r="P200" s="29"/>
      <c r="Q200" s="22" t="s">
        <v>44</v>
      </c>
      <c r="R200" s="39" t="s">
        <v>68</v>
      </c>
      <c r="S200" s="29"/>
      <c r="T200" s="29"/>
      <c r="U200" s="29"/>
      <c r="V200" s="26">
        <v>5.0</v>
      </c>
    </row>
    <row r="201">
      <c r="A201" s="12">
        <v>200.0</v>
      </c>
      <c r="B201" s="14">
        <v>46068.0</v>
      </c>
      <c r="C201" s="16" t="s">
        <v>21</v>
      </c>
      <c r="D201" s="16" t="s">
        <v>22</v>
      </c>
      <c r="E201" s="70" t="s">
        <v>1847</v>
      </c>
      <c r="F201" s="16">
        <v>5.80998198E8</v>
      </c>
      <c r="G201" s="70" t="s">
        <v>1849</v>
      </c>
      <c r="H201" s="16" t="s">
        <v>27</v>
      </c>
      <c r="I201" s="23" t="s">
        <v>1852</v>
      </c>
      <c r="J201" s="70"/>
      <c r="K201" s="22" t="s">
        <v>36</v>
      </c>
      <c r="L201" s="22"/>
      <c r="M201" s="27" t="s">
        <v>38</v>
      </c>
      <c r="N201" s="22" t="s">
        <v>40</v>
      </c>
      <c r="O201" s="22" t="s">
        <v>42</v>
      </c>
      <c r="P201" s="29"/>
      <c r="Q201" s="22" t="s">
        <v>44</v>
      </c>
      <c r="R201" s="33" t="s">
        <v>46</v>
      </c>
      <c r="S201" s="29"/>
      <c r="T201" s="29"/>
      <c r="U201" s="29"/>
      <c r="V201" s="26">
        <v>5.0</v>
      </c>
    </row>
    <row r="202">
      <c r="A202" s="12">
        <v>201.0</v>
      </c>
      <c r="B202" s="14">
        <v>46068.0</v>
      </c>
      <c r="C202" s="16" t="s">
        <v>58</v>
      </c>
      <c r="D202" s="16" t="s">
        <v>60</v>
      </c>
      <c r="E202" s="16" t="s">
        <v>27</v>
      </c>
      <c r="F202" s="16">
        <v>5.40669569E8</v>
      </c>
      <c r="G202" s="16" t="s">
        <v>27</v>
      </c>
      <c r="H202" s="16" t="s">
        <v>27</v>
      </c>
      <c r="I202" s="23" t="s">
        <v>1858</v>
      </c>
      <c r="J202" s="70" t="s">
        <v>1207</v>
      </c>
      <c r="K202" s="22" t="s">
        <v>36</v>
      </c>
      <c r="L202" s="22"/>
      <c r="M202" s="27" t="s">
        <v>88</v>
      </c>
      <c r="N202" s="17" t="s">
        <v>56</v>
      </c>
      <c r="O202" s="22" t="s">
        <v>42</v>
      </c>
      <c r="P202" s="29"/>
      <c r="Q202" s="22" t="s">
        <v>44</v>
      </c>
      <c r="R202" s="39" t="s">
        <v>68</v>
      </c>
      <c r="S202" s="29"/>
      <c r="T202" s="29"/>
      <c r="U202" s="29"/>
      <c r="V202" s="26">
        <v>5.0</v>
      </c>
    </row>
    <row r="203">
      <c r="A203" s="12">
        <v>202.0</v>
      </c>
      <c r="B203" s="14">
        <v>46068.0</v>
      </c>
      <c r="C203" s="16" t="s">
        <v>58</v>
      </c>
      <c r="D203" s="16" t="s">
        <v>60</v>
      </c>
      <c r="E203" s="16" t="s">
        <v>27</v>
      </c>
      <c r="F203" s="16">
        <v>5.68328955E8</v>
      </c>
      <c r="G203" s="16" t="s">
        <v>27</v>
      </c>
      <c r="H203" s="16" t="s">
        <v>27</v>
      </c>
      <c r="I203" s="23" t="s">
        <v>1862</v>
      </c>
      <c r="J203" s="70" t="s">
        <v>1864</v>
      </c>
      <c r="K203" s="22" t="s">
        <v>36</v>
      </c>
      <c r="L203" s="22"/>
      <c r="M203" s="27" t="s">
        <v>88</v>
      </c>
      <c r="N203" s="17" t="s">
        <v>56</v>
      </c>
      <c r="O203" s="22" t="s">
        <v>42</v>
      </c>
      <c r="P203" s="29"/>
      <c r="Q203" s="22" t="s">
        <v>44</v>
      </c>
      <c r="R203" s="39" t="s">
        <v>68</v>
      </c>
      <c r="S203" s="29"/>
      <c r="T203" s="29"/>
      <c r="U203" s="29"/>
      <c r="V203" s="26">
        <v>5.0</v>
      </c>
    </row>
    <row r="204">
      <c r="A204" s="12">
        <v>203.0</v>
      </c>
      <c r="B204" s="14">
        <v>46068.0</v>
      </c>
      <c r="C204" s="16" t="s">
        <v>21</v>
      </c>
      <c r="D204" s="16" t="s">
        <v>24</v>
      </c>
      <c r="E204" s="70" t="s">
        <v>1867</v>
      </c>
      <c r="F204" s="16">
        <v>5.47978102E8</v>
      </c>
      <c r="G204" s="70" t="s">
        <v>71</v>
      </c>
      <c r="H204" s="16" t="s">
        <v>27</v>
      </c>
      <c r="I204" s="23" t="s">
        <v>1868</v>
      </c>
      <c r="J204" s="70"/>
      <c r="K204" s="22" t="s">
        <v>36</v>
      </c>
      <c r="L204" s="22"/>
      <c r="M204" s="27" t="s">
        <v>38</v>
      </c>
      <c r="N204" s="22" t="s">
        <v>40</v>
      </c>
      <c r="O204" s="22" t="s">
        <v>42</v>
      </c>
      <c r="P204" s="29"/>
      <c r="Q204" s="22" t="s">
        <v>44</v>
      </c>
      <c r="R204" s="33" t="s">
        <v>46</v>
      </c>
      <c r="S204" s="29"/>
      <c r="T204" s="29"/>
      <c r="U204" s="29"/>
      <c r="V204" s="26">
        <v>5.0</v>
      </c>
    </row>
    <row r="205">
      <c r="A205" s="12">
        <v>204.0</v>
      </c>
      <c r="B205" s="14">
        <v>46068.0</v>
      </c>
      <c r="C205" s="16" t="s">
        <v>47</v>
      </c>
      <c r="D205" s="16" t="s">
        <v>48</v>
      </c>
      <c r="E205" s="70" t="s">
        <v>1873</v>
      </c>
      <c r="F205" s="16">
        <v>5.56077479E8</v>
      </c>
      <c r="G205" s="70" t="s">
        <v>28</v>
      </c>
      <c r="H205" s="16" t="s">
        <v>830</v>
      </c>
      <c r="I205" s="23" t="s">
        <v>1875</v>
      </c>
      <c r="J205" s="70" t="s">
        <v>1876</v>
      </c>
      <c r="K205" s="22" t="s">
        <v>36</v>
      </c>
      <c r="L205" s="22"/>
      <c r="M205" s="27" t="s">
        <v>55</v>
      </c>
      <c r="N205" s="22" t="s">
        <v>56</v>
      </c>
      <c r="O205" s="22" t="s">
        <v>42</v>
      </c>
      <c r="P205" s="29"/>
      <c r="Q205" s="22" t="s">
        <v>44</v>
      </c>
      <c r="R205" s="33" t="s">
        <v>46</v>
      </c>
      <c r="S205" s="29"/>
      <c r="T205" s="29"/>
      <c r="U205" s="29"/>
      <c r="V205" s="26">
        <v>5.0</v>
      </c>
    </row>
    <row r="206">
      <c r="A206" s="12">
        <v>205.0</v>
      </c>
      <c r="B206" s="14">
        <v>46068.0</v>
      </c>
      <c r="C206" s="16" t="s">
        <v>58</v>
      </c>
      <c r="D206" s="16" t="s">
        <v>60</v>
      </c>
      <c r="E206" s="16" t="s">
        <v>27</v>
      </c>
      <c r="F206" s="16">
        <v>5.09177191E8</v>
      </c>
      <c r="G206" s="16" t="s">
        <v>27</v>
      </c>
      <c r="H206" s="16" t="s">
        <v>27</v>
      </c>
      <c r="I206" s="23" t="s">
        <v>554</v>
      </c>
      <c r="J206" s="70"/>
      <c r="K206" s="22" t="s">
        <v>36</v>
      </c>
      <c r="L206" s="22"/>
      <c r="M206" s="27" t="s">
        <v>88</v>
      </c>
      <c r="N206" s="17" t="s">
        <v>56</v>
      </c>
      <c r="O206" s="22" t="s">
        <v>42</v>
      </c>
      <c r="P206" s="29"/>
      <c r="Q206" s="22" t="s">
        <v>44</v>
      </c>
      <c r="R206" s="39" t="s">
        <v>68</v>
      </c>
      <c r="S206" s="29"/>
      <c r="T206" s="29"/>
      <c r="U206" s="29"/>
      <c r="V206" s="26">
        <v>5.0</v>
      </c>
    </row>
    <row r="207">
      <c r="A207" s="12">
        <v>206.0</v>
      </c>
      <c r="B207" s="14">
        <v>46068.0</v>
      </c>
      <c r="C207" s="16" t="s">
        <v>47</v>
      </c>
      <c r="D207" s="16" t="s">
        <v>48</v>
      </c>
      <c r="E207" s="70" t="s">
        <v>1885</v>
      </c>
      <c r="F207" s="12">
        <v>5.69102518E8</v>
      </c>
      <c r="G207" s="70" t="s">
        <v>71</v>
      </c>
      <c r="H207" s="16" t="s">
        <v>163</v>
      </c>
      <c r="I207" s="23" t="s">
        <v>1890</v>
      </c>
      <c r="J207" s="70" t="s">
        <v>1892</v>
      </c>
      <c r="K207" s="22" t="s">
        <v>36</v>
      </c>
      <c r="L207" s="22"/>
      <c r="M207" s="27" t="s">
        <v>1894</v>
      </c>
      <c r="N207" s="22" t="s">
        <v>56</v>
      </c>
      <c r="O207" s="22" t="s">
        <v>42</v>
      </c>
      <c r="P207" s="29"/>
      <c r="Q207" s="22" t="s">
        <v>49</v>
      </c>
      <c r="R207" s="39" t="s">
        <v>46</v>
      </c>
      <c r="S207" s="29"/>
      <c r="T207" s="29"/>
      <c r="U207" s="29"/>
      <c r="V207" s="26">
        <v>5.0</v>
      </c>
    </row>
    <row r="208">
      <c r="A208" s="12">
        <v>207.0</v>
      </c>
      <c r="B208" s="14">
        <v>46068.0</v>
      </c>
      <c r="C208" s="16" t="s">
        <v>58</v>
      </c>
      <c r="D208" s="16" t="s">
        <v>66</v>
      </c>
      <c r="E208" s="70" t="s">
        <v>1898</v>
      </c>
      <c r="F208" s="16">
        <v>5.90246464E8</v>
      </c>
      <c r="G208" s="16" t="s">
        <v>27</v>
      </c>
      <c r="H208" s="16" t="s">
        <v>27</v>
      </c>
      <c r="I208" s="23" t="s">
        <v>1900</v>
      </c>
      <c r="J208" s="19" t="s">
        <v>35</v>
      </c>
      <c r="K208" s="22" t="s">
        <v>39</v>
      </c>
      <c r="L208" s="22"/>
      <c r="M208" s="27" t="s">
        <v>88</v>
      </c>
      <c r="N208" s="17" t="s">
        <v>56</v>
      </c>
      <c r="O208" s="22" t="s">
        <v>42</v>
      </c>
      <c r="P208" s="29"/>
      <c r="Q208" s="22" t="s">
        <v>49</v>
      </c>
      <c r="R208" s="39" t="s">
        <v>68</v>
      </c>
      <c r="S208" s="29"/>
      <c r="T208" s="29"/>
      <c r="U208" s="29"/>
      <c r="V208" s="26">
        <v>5.0</v>
      </c>
    </row>
    <row r="209">
      <c r="A209" s="12">
        <v>208.0</v>
      </c>
      <c r="B209" s="14">
        <v>46068.0</v>
      </c>
      <c r="C209" s="16" t="s">
        <v>21</v>
      </c>
      <c r="D209" s="16" t="s">
        <v>24</v>
      </c>
      <c r="E209" s="70" t="s">
        <v>1905</v>
      </c>
      <c r="F209" s="16">
        <v>5.6909091E8</v>
      </c>
      <c r="G209" s="70" t="s">
        <v>71</v>
      </c>
      <c r="H209" s="16" t="s">
        <v>1906</v>
      </c>
      <c r="I209" s="23" t="s">
        <v>1907</v>
      </c>
      <c r="J209" s="69" t="s">
        <v>35</v>
      </c>
      <c r="K209" s="22" t="s">
        <v>36</v>
      </c>
      <c r="L209" s="22"/>
      <c r="M209" s="27" t="s">
        <v>38</v>
      </c>
      <c r="N209" s="22" t="s">
        <v>56</v>
      </c>
      <c r="O209" s="22" t="s">
        <v>42</v>
      </c>
      <c r="P209" s="29"/>
      <c r="Q209" s="22" t="s">
        <v>49</v>
      </c>
      <c r="R209" s="39" t="s">
        <v>46</v>
      </c>
      <c r="S209" s="29"/>
      <c r="T209" s="29"/>
      <c r="U209" s="29"/>
      <c r="V209" s="26">
        <v>5.0</v>
      </c>
    </row>
    <row r="210">
      <c r="A210" s="12">
        <v>209.0</v>
      </c>
      <c r="B210" s="14">
        <v>46068.0</v>
      </c>
      <c r="C210" s="16" t="s">
        <v>47</v>
      </c>
      <c r="D210" s="16" t="s">
        <v>48</v>
      </c>
      <c r="E210" s="70" t="s">
        <v>1910</v>
      </c>
      <c r="F210" s="16">
        <v>5.65157472E8</v>
      </c>
      <c r="G210" s="23" t="s">
        <v>41</v>
      </c>
      <c r="H210" s="16" t="s">
        <v>193</v>
      </c>
      <c r="I210" s="23" t="s">
        <v>1915</v>
      </c>
      <c r="J210" s="70" t="s">
        <v>1917</v>
      </c>
      <c r="K210" s="22" t="s">
        <v>78</v>
      </c>
      <c r="L210" s="22"/>
      <c r="M210" s="27" t="s">
        <v>1918</v>
      </c>
      <c r="N210" s="22" t="s">
        <v>56</v>
      </c>
      <c r="O210" s="22" t="s">
        <v>42</v>
      </c>
      <c r="P210" s="29"/>
      <c r="Q210" s="22" t="s">
        <v>49</v>
      </c>
      <c r="R210" s="39" t="s">
        <v>46</v>
      </c>
      <c r="S210" s="29"/>
      <c r="T210" s="29"/>
      <c r="U210" s="29"/>
      <c r="V210" s="26">
        <v>5.0</v>
      </c>
    </row>
    <row r="211">
      <c r="A211" s="12">
        <v>210.0</v>
      </c>
      <c r="B211" s="14">
        <v>46068.0</v>
      </c>
      <c r="C211" s="16" t="s">
        <v>21</v>
      </c>
      <c r="D211" s="16" t="s">
        <v>22</v>
      </c>
      <c r="E211" s="70" t="s">
        <v>1920</v>
      </c>
      <c r="F211" s="16">
        <v>5.67760943E8</v>
      </c>
      <c r="G211" s="70" t="s">
        <v>211</v>
      </c>
      <c r="H211" s="16" t="s">
        <v>27</v>
      </c>
      <c r="I211" s="23" t="s">
        <v>1922</v>
      </c>
      <c r="J211" s="70"/>
      <c r="K211" s="22" t="s">
        <v>36</v>
      </c>
      <c r="L211" s="22"/>
      <c r="M211" s="27" t="s">
        <v>38</v>
      </c>
      <c r="N211" s="22" t="s">
        <v>40</v>
      </c>
      <c r="O211" s="22" t="s">
        <v>42</v>
      </c>
      <c r="P211" s="29"/>
      <c r="Q211" s="22" t="s">
        <v>44</v>
      </c>
      <c r="R211" s="33" t="s">
        <v>46</v>
      </c>
      <c r="S211" s="29"/>
      <c r="T211" s="29"/>
      <c r="U211" s="29"/>
      <c r="V211" s="26">
        <v>5.0</v>
      </c>
    </row>
    <row r="212">
      <c r="A212" s="12">
        <v>211.0</v>
      </c>
      <c r="B212" s="14">
        <v>46068.0</v>
      </c>
      <c r="C212" s="16" t="s">
        <v>47</v>
      </c>
      <c r="D212" s="16" t="s">
        <v>251</v>
      </c>
      <c r="E212" s="16" t="s">
        <v>1925</v>
      </c>
      <c r="F212" s="16">
        <v>5.57045957E8</v>
      </c>
      <c r="G212" s="70" t="s">
        <v>211</v>
      </c>
      <c r="H212" s="16" t="s">
        <v>329</v>
      </c>
      <c r="I212" s="23" t="s">
        <v>1928</v>
      </c>
      <c r="J212" s="70"/>
      <c r="K212" s="22" t="s">
        <v>148</v>
      </c>
      <c r="L212" s="22"/>
      <c r="M212" s="27" t="s">
        <v>55</v>
      </c>
      <c r="N212" s="17" t="s">
        <v>56</v>
      </c>
      <c r="O212" s="22" t="s">
        <v>42</v>
      </c>
      <c r="P212" s="29"/>
      <c r="Q212" s="22" t="s">
        <v>44</v>
      </c>
      <c r="R212" s="33" t="s">
        <v>46</v>
      </c>
      <c r="S212" s="29"/>
      <c r="T212" s="29"/>
      <c r="U212" s="29"/>
      <c r="V212" s="26">
        <v>5.0</v>
      </c>
    </row>
    <row r="213">
      <c r="A213" s="12">
        <v>212.0</v>
      </c>
      <c r="B213" s="14">
        <v>46068.0</v>
      </c>
      <c r="C213" s="16" t="s">
        <v>47</v>
      </c>
      <c r="D213" s="16" t="s">
        <v>367</v>
      </c>
      <c r="E213" s="16" t="s">
        <v>1932</v>
      </c>
      <c r="F213" s="16">
        <v>5.53900729E8</v>
      </c>
      <c r="G213" s="23" t="s">
        <v>41</v>
      </c>
      <c r="H213" s="16" t="s">
        <v>146</v>
      </c>
      <c r="I213" s="23" t="s">
        <v>1933</v>
      </c>
      <c r="J213" s="69" t="s">
        <v>1934</v>
      </c>
      <c r="K213" s="22" t="s">
        <v>148</v>
      </c>
      <c r="L213" s="22"/>
      <c r="M213" s="27" t="s">
        <v>55</v>
      </c>
      <c r="N213" s="22" t="s">
        <v>56</v>
      </c>
      <c r="O213" s="22" t="s">
        <v>42</v>
      </c>
      <c r="P213" s="29"/>
      <c r="Q213" s="22" t="s">
        <v>44</v>
      </c>
      <c r="R213" s="33" t="s">
        <v>46</v>
      </c>
      <c r="S213" s="29"/>
      <c r="T213" s="29"/>
      <c r="U213" s="29"/>
      <c r="V213" s="26">
        <v>5.0</v>
      </c>
    </row>
    <row r="214">
      <c r="A214" s="12">
        <v>213.0</v>
      </c>
      <c r="B214" s="14">
        <v>46068.0</v>
      </c>
      <c r="C214" s="16" t="s">
        <v>47</v>
      </c>
      <c r="D214" s="16" t="s">
        <v>138</v>
      </c>
      <c r="E214" s="70" t="s">
        <v>1936</v>
      </c>
      <c r="F214" s="16">
        <v>5.55979663E8</v>
      </c>
      <c r="G214" s="70" t="s">
        <v>28</v>
      </c>
      <c r="H214" s="16" t="s">
        <v>177</v>
      </c>
      <c r="I214" s="23" t="s">
        <v>1937</v>
      </c>
      <c r="J214" s="70" t="s">
        <v>1938</v>
      </c>
      <c r="K214" s="22" t="s">
        <v>148</v>
      </c>
      <c r="L214" s="22"/>
      <c r="M214" s="27" t="s">
        <v>55</v>
      </c>
      <c r="N214" s="22" t="s">
        <v>56</v>
      </c>
      <c r="O214" s="22" t="s">
        <v>42</v>
      </c>
      <c r="P214" s="29"/>
      <c r="Q214" s="22" t="s">
        <v>44</v>
      </c>
      <c r="R214" s="33" t="s">
        <v>46</v>
      </c>
      <c r="S214" s="29"/>
      <c r="T214" s="29"/>
      <c r="U214" s="29"/>
      <c r="V214" s="26">
        <v>5.0</v>
      </c>
    </row>
    <row r="215">
      <c r="A215" s="12">
        <v>214.0</v>
      </c>
      <c r="B215" s="14">
        <v>46068.0</v>
      </c>
      <c r="C215" s="16" t="s">
        <v>58</v>
      </c>
      <c r="D215" s="16" t="s">
        <v>60</v>
      </c>
      <c r="E215" s="70" t="s">
        <v>1941</v>
      </c>
      <c r="F215" s="16">
        <v>5.02448229E8</v>
      </c>
      <c r="G215" s="70" t="s">
        <v>152</v>
      </c>
      <c r="H215" s="12" t="s">
        <v>1942</v>
      </c>
      <c r="I215" s="23" t="s">
        <v>1943</v>
      </c>
      <c r="J215" s="70" t="s">
        <v>1944</v>
      </c>
      <c r="K215" s="22" t="s">
        <v>148</v>
      </c>
      <c r="L215" s="22"/>
      <c r="M215" s="27" t="s">
        <v>88</v>
      </c>
      <c r="N215" s="17" t="s">
        <v>56</v>
      </c>
      <c r="O215" s="22" t="s">
        <v>42</v>
      </c>
      <c r="P215" s="29"/>
      <c r="Q215" s="22" t="s">
        <v>44</v>
      </c>
      <c r="R215" s="39" t="s">
        <v>68</v>
      </c>
      <c r="S215" s="29"/>
      <c r="T215" s="29"/>
      <c r="U215" s="29"/>
      <c r="V215" s="26">
        <v>5.0</v>
      </c>
    </row>
    <row r="216">
      <c r="A216" s="12">
        <v>215.0</v>
      </c>
      <c r="B216" s="14">
        <v>46068.0</v>
      </c>
      <c r="C216" s="16" t="s">
        <v>58</v>
      </c>
      <c r="D216" s="16" t="s">
        <v>60</v>
      </c>
      <c r="E216" s="70" t="s">
        <v>1948</v>
      </c>
      <c r="F216" s="16">
        <v>5.57133707E8</v>
      </c>
      <c r="G216" s="70" t="s">
        <v>28</v>
      </c>
      <c r="H216" s="16" t="s">
        <v>830</v>
      </c>
      <c r="I216" s="23" t="s">
        <v>1949</v>
      </c>
      <c r="J216" s="70" t="s">
        <v>1951</v>
      </c>
      <c r="K216" s="22" t="s">
        <v>36</v>
      </c>
      <c r="L216" s="22"/>
      <c r="M216" s="27" t="s">
        <v>88</v>
      </c>
      <c r="N216" s="17" t="s">
        <v>56</v>
      </c>
      <c r="O216" s="22" t="s">
        <v>42</v>
      </c>
      <c r="P216" s="29"/>
      <c r="Q216" s="22" t="s">
        <v>44</v>
      </c>
      <c r="R216" s="39" t="s">
        <v>68</v>
      </c>
      <c r="S216" s="29"/>
      <c r="T216" s="29"/>
      <c r="U216" s="29"/>
      <c r="V216" s="26">
        <v>5.0</v>
      </c>
    </row>
    <row r="217">
      <c r="A217" s="12">
        <v>216.0</v>
      </c>
      <c r="B217" s="14">
        <v>46068.0</v>
      </c>
      <c r="C217" s="16" t="s">
        <v>21</v>
      </c>
      <c r="D217" s="16" t="s">
        <v>22</v>
      </c>
      <c r="E217" s="70" t="s">
        <v>1956</v>
      </c>
      <c r="F217" s="16">
        <v>5.55503707E8</v>
      </c>
      <c r="G217" s="70" t="s">
        <v>71</v>
      </c>
      <c r="H217" s="16" t="s">
        <v>27</v>
      </c>
      <c r="I217" s="23" t="s">
        <v>1957</v>
      </c>
      <c r="J217" s="70"/>
      <c r="K217" s="22" t="s">
        <v>36</v>
      </c>
      <c r="L217" s="22"/>
      <c r="M217" s="27" t="s">
        <v>38</v>
      </c>
      <c r="N217" s="22" t="s">
        <v>40</v>
      </c>
      <c r="O217" s="22" t="s">
        <v>42</v>
      </c>
      <c r="P217" s="29"/>
      <c r="Q217" s="22" t="s">
        <v>44</v>
      </c>
      <c r="R217" s="33" t="s">
        <v>46</v>
      </c>
      <c r="S217" s="29"/>
      <c r="T217" s="29"/>
      <c r="U217" s="29"/>
      <c r="V217" s="26">
        <v>5.0</v>
      </c>
    </row>
    <row r="218">
      <c r="A218" s="12">
        <v>217.0</v>
      </c>
      <c r="B218" s="14">
        <v>46068.0</v>
      </c>
      <c r="C218" s="16" t="s">
        <v>21</v>
      </c>
      <c r="D218" s="16" t="s">
        <v>24</v>
      </c>
      <c r="E218" s="70" t="s">
        <v>1112</v>
      </c>
      <c r="F218" s="16">
        <v>5.67766221E8</v>
      </c>
      <c r="G218" s="70" t="s">
        <v>71</v>
      </c>
      <c r="H218" s="16" t="s">
        <v>27</v>
      </c>
      <c r="I218" s="23" t="s">
        <v>1963</v>
      </c>
      <c r="J218" s="70"/>
      <c r="K218" s="22" t="s">
        <v>36</v>
      </c>
      <c r="L218" s="22"/>
      <c r="M218" s="27" t="s">
        <v>38</v>
      </c>
      <c r="N218" s="22" t="s">
        <v>40</v>
      </c>
      <c r="O218" s="22" t="s">
        <v>42</v>
      </c>
      <c r="P218" s="29"/>
      <c r="Q218" s="22" t="s">
        <v>44</v>
      </c>
      <c r="R218" s="33" t="s">
        <v>46</v>
      </c>
      <c r="S218" s="29"/>
      <c r="T218" s="29"/>
      <c r="U218" s="29"/>
      <c r="V218" s="26">
        <v>5.0</v>
      </c>
    </row>
    <row r="219">
      <c r="A219" s="12">
        <v>218.0</v>
      </c>
      <c r="B219" s="14">
        <v>46068.0</v>
      </c>
      <c r="C219" s="16" t="s">
        <v>47</v>
      </c>
      <c r="D219" s="16" t="s">
        <v>24</v>
      </c>
      <c r="E219" s="16" t="s">
        <v>27</v>
      </c>
      <c r="F219" s="16">
        <v>5.56022644E8</v>
      </c>
      <c r="G219" s="70" t="s">
        <v>28</v>
      </c>
      <c r="H219" s="16" t="s">
        <v>830</v>
      </c>
      <c r="I219" s="23" t="s">
        <v>1970</v>
      </c>
      <c r="J219" s="70" t="s">
        <v>1971</v>
      </c>
      <c r="K219" s="22" t="s">
        <v>36</v>
      </c>
      <c r="L219" s="22"/>
      <c r="M219" s="27" t="s">
        <v>55</v>
      </c>
      <c r="N219" s="17" t="s">
        <v>56</v>
      </c>
      <c r="O219" s="22" t="s">
        <v>42</v>
      </c>
      <c r="P219" s="29"/>
      <c r="Q219" s="22" t="s">
        <v>44</v>
      </c>
      <c r="R219" s="39" t="s">
        <v>68</v>
      </c>
      <c r="S219" s="29"/>
      <c r="T219" s="29"/>
      <c r="U219" s="29"/>
      <c r="V219" s="26">
        <v>5.0</v>
      </c>
    </row>
    <row r="220">
      <c r="A220" s="12">
        <v>219.0</v>
      </c>
      <c r="B220" s="14">
        <v>46068.0</v>
      </c>
      <c r="C220" s="16" t="s">
        <v>21</v>
      </c>
      <c r="D220" s="16" t="s">
        <v>24</v>
      </c>
      <c r="E220" s="70" t="s">
        <v>1974</v>
      </c>
      <c r="F220" s="16">
        <v>5.37369465E8</v>
      </c>
      <c r="G220" s="70" t="s">
        <v>172</v>
      </c>
      <c r="H220" s="16" t="s">
        <v>27</v>
      </c>
      <c r="I220" s="23" t="s">
        <v>1977</v>
      </c>
      <c r="J220" s="70"/>
      <c r="K220" s="22" t="s">
        <v>36</v>
      </c>
      <c r="L220" s="22"/>
      <c r="M220" s="27" t="s">
        <v>38</v>
      </c>
      <c r="N220" s="22" t="s">
        <v>40</v>
      </c>
      <c r="O220" s="22" t="s">
        <v>42</v>
      </c>
      <c r="P220" s="29"/>
      <c r="Q220" s="22" t="s">
        <v>44</v>
      </c>
      <c r="R220" s="33" t="s">
        <v>46</v>
      </c>
      <c r="S220" s="29"/>
      <c r="T220" s="29"/>
      <c r="U220" s="29"/>
      <c r="V220" s="26">
        <v>5.0</v>
      </c>
    </row>
    <row r="221">
      <c r="A221" s="12">
        <v>220.0</v>
      </c>
      <c r="B221" s="14">
        <v>46068.0</v>
      </c>
      <c r="C221" s="16" t="s">
        <v>21</v>
      </c>
      <c r="D221" s="16" t="s">
        <v>24</v>
      </c>
      <c r="E221" s="70" t="s">
        <v>1982</v>
      </c>
      <c r="F221" s="16">
        <v>5.54333568E8</v>
      </c>
      <c r="G221" s="70" t="s">
        <v>71</v>
      </c>
      <c r="H221" s="16" t="s">
        <v>27</v>
      </c>
      <c r="I221" s="23" t="s">
        <v>1984</v>
      </c>
      <c r="J221" s="69" t="s">
        <v>35</v>
      </c>
      <c r="K221" s="22" t="s">
        <v>36</v>
      </c>
      <c r="L221" s="22"/>
      <c r="M221" s="27" t="s">
        <v>38</v>
      </c>
      <c r="N221" s="22" t="s">
        <v>56</v>
      </c>
      <c r="O221" s="22" t="s">
        <v>42</v>
      </c>
      <c r="P221" s="29"/>
      <c r="Q221" s="22" t="s">
        <v>49</v>
      </c>
      <c r="R221" s="39" t="s">
        <v>46</v>
      </c>
      <c r="S221" s="29"/>
      <c r="T221" s="29"/>
      <c r="U221" s="29"/>
      <c r="V221" s="26">
        <v>5.0</v>
      </c>
    </row>
    <row r="222">
      <c r="A222" s="12">
        <v>221.0</v>
      </c>
      <c r="B222" s="14">
        <v>46068.0</v>
      </c>
      <c r="C222" s="16" t="s">
        <v>58</v>
      </c>
      <c r="D222" s="16" t="s">
        <v>57</v>
      </c>
      <c r="E222" s="70" t="s">
        <v>1990</v>
      </c>
      <c r="F222" s="16">
        <v>5.34495585E8</v>
      </c>
      <c r="G222" s="70" t="s">
        <v>28</v>
      </c>
      <c r="H222" s="16" t="s">
        <v>27</v>
      </c>
      <c r="I222" s="23" t="s">
        <v>1992</v>
      </c>
      <c r="J222" s="70" t="s">
        <v>1993</v>
      </c>
      <c r="K222" s="22" t="s">
        <v>457</v>
      </c>
      <c r="L222" s="22"/>
      <c r="M222" s="27" t="s">
        <v>88</v>
      </c>
      <c r="N222" s="17" t="s">
        <v>56</v>
      </c>
      <c r="O222" s="22" t="s">
        <v>42</v>
      </c>
      <c r="P222" s="29"/>
      <c r="Q222" s="22" t="s">
        <v>44</v>
      </c>
      <c r="R222" s="39" t="s">
        <v>68</v>
      </c>
      <c r="S222" s="29"/>
      <c r="T222" s="29"/>
      <c r="U222" s="29"/>
      <c r="V222" s="26">
        <v>5.0</v>
      </c>
    </row>
    <row r="223">
      <c r="A223" s="12">
        <v>222.0</v>
      </c>
      <c r="B223" s="14">
        <v>46068.0</v>
      </c>
      <c r="C223" s="16" t="s">
        <v>58</v>
      </c>
      <c r="D223" s="16" t="s">
        <v>57</v>
      </c>
      <c r="E223" s="70" t="s">
        <v>1997</v>
      </c>
      <c r="F223" s="16">
        <v>5.0262202E8</v>
      </c>
      <c r="G223" s="70" t="s">
        <v>112</v>
      </c>
      <c r="H223" s="16" t="s">
        <v>27</v>
      </c>
      <c r="I223" s="23" t="s">
        <v>2002</v>
      </c>
      <c r="J223" s="70" t="s">
        <v>2003</v>
      </c>
      <c r="K223" s="22" t="s">
        <v>457</v>
      </c>
      <c r="L223" s="22"/>
      <c r="M223" s="27" t="s">
        <v>88</v>
      </c>
      <c r="N223" s="17" t="s">
        <v>56</v>
      </c>
      <c r="O223" s="22" t="s">
        <v>42</v>
      </c>
      <c r="P223" s="29"/>
      <c r="Q223" s="22" t="s">
        <v>44</v>
      </c>
      <c r="R223" s="39" t="s">
        <v>68</v>
      </c>
      <c r="S223" s="29"/>
      <c r="T223" s="29"/>
      <c r="U223" s="29"/>
      <c r="V223" s="26">
        <v>5.0</v>
      </c>
    </row>
    <row r="224">
      <c r="A224" s="12">
        <v>223.0</v>
      </c>
      <c r="B224" s="14">
        <v>46068.0</v>
      </c>
      <c r="C224" s="16" t="s">
        <v>58</v>
      </c>
      <c r="D224" s="16" t="s">
        <v>57</v>
      </c>
      <c r="E224" s="70" t="s">
        <v>2005</v>
      </c>
      <c r="F224" s="16">
        <v>5.38456892E8</v>
      </c>
      <c r="G224" s="70" t="s">
        <v>209</v>
      </c>
      <c r="H224" s="16" t="s">
        <v>27</v>
      </c>
      <c r="I224" s="23" t="s">
        <v>2006</v>
      </c>
      <c r="J224" s="70" t="s">
        <v>2003</v>
      </c>
      <c r="K224" s="22" t="s">
        <v>457</v>
      </c>
      <c r="L224" s="22"/>
      <c r="M224" s="27" t="s">
        <v>88</v>
      </c>
      <c r="N224" s="17" t="s">
        <v>56</v>
      </c>
      <c r="O224" s="22" t="s">
        <v>42</v>
      </c>
      <c r="P224" s="29"/>
      <c r="Q224" s="22" t="s">
        <v>44</v>
      </c>
      <c r="R224" s="39" t="s">
        <v>68</v>
      </c>
      <c r="S224" s="29"/>
      <c r="T224" s="29"/>
      <c r="U224" s="29"/>
      <c r="V224" s="26">
        <v>5.0</v>
      </c>
    </row>
    <row r="225">
      <c r="A225" s="12">
        <v>224.0</v>
      </c>
      <c r="B225" s="14">
        <v>46068.0</v>
      </c>
      <c r="C225" s="16" t="s">
        <v>58</v>
      </c>
      <c r="D225" s="16" t="s">
        <v>57</v>
      </c>
      <c r="E225" s="70" t="s">
        <v>2015</v>
      </c>
      <c r="F225" s="16">
        <v>5.02353451E8</v>
      </c>
      <c r="G225" s="70" t="s">
        <v>152</v>
      </c>
      <c r="H225" s="16" t="s">
        <v>27</v>
      </c>
      <c r="I225" s="23" t="s">
        <v>2017</v>
      </c>
      <c r="J225" s="70" t="s">
        <v>124</v>
      </c>
      <c r="K225" s="22" t="s">
        <v>457</v>
      </c>
      <c r="L225" s="22"/>
      <c r="M225" s="27" t="s">
        <v>88</v>
      </c>
      <c r="N225" s="17" t="s">
        <v>56</v>
      </c>
      <c r="O225" s="22" t="s">
        <v>42</v>
      </c>
      <c r="P225" s="29"/>
      <c r="Q225" s="22" t="s">
        <v>44</v>
      </c>
      <c r="R225" s="39" t="s">
        <v>68</v>
      </c>
      <c r="S225" s="29"/>
      <c r="T225" s="29"/>
      <c r="U225" s="29"/>
      <c r="V225" s="26">
        <v>5.0</v>
      </c>
    </row>
    <row r="226">
      <c r="A226" s="12">
        <v>225.0</v>
      </c>
      <c r="B226" s="14">
        <v>46068.0</v>
      </c>
      <c r="C226" s="16" t="s">
        <v>58</v>
      </c>
      <c r="D226" s="16" t="s">
        <v>57</v>
      </c>
      <c r="E226" s="70" t="s">
        <v>2022</v>
      </c>
      <c r="F226" s="16">
        <v>5.55030852E8</v>
      </c>
      <c r="G226" s="70" t="s">
        <v>41</v>
      </c>
      <c r="H226" s="16" t="s">
        <v>27</v>
      </c>
      <c r="I226" s="23" t="s">
        <v>2023</v>
      </c>
      <c r="J226" s="70" t="s">
        <v>124</v>
      </c>
      <c r="K226" s="22" t="s">
        <v>457</v>
      </c>
      <c r="L226" s="22"/>
      <c r="M226" s="27" t="s">
        <v>88</v>
      </c>
      <c r="N226" s="17" t="s">
        <v>56</v>
      </c>
      <c r="O226" s="22" t="s">
        <v>42</v>
      </c>
      <c r="P226" s="29"/>
      <c r="Q226" s="22" t="s">
        <v>44</v>
      </c>
      <c r="R226" s="39" t="s">
        <v>68</v>
      </c>
      <c r="S226" s="29"/>
      <c r="T226" s="29"/>
      <c r="U226" s="29"/>
      <c r="V226" s="26">
        <v>5.0</v>
      </c>
    </row>
    <row r="227">
      <c r="A227" s="12">
        <v>226.0</v>
      </c>
      <c r="B227" s="14">
        <v>46068.0</v>
      </c>
      <c r="C227" s="16" t="s">
        <v>58</v>
      </c>
      <c r="D227" s="16" t="s">
        <v>57</v>
      </c>
      <c r="E227" s="70" t="s">
        <v>2028</v>
      </c>
      <c r="F227" s="16">
        <v>5.61926501E8</v>
      </c>
      <c r="G227" s="70" t="s">
        <v>211</v>
      </c>
      <c r="H227" s="16" t="s">
        <v>27</v>
      </c>
      <c r="I227" s="23" t="s">
        <v>2030</v>
      </c>
      <c r="J227" s="70" t="s">
        <v>2031</v>
      </c>
      <c r="K227" s="22" t="s">
        <v>36</v>
      </c>
      <c r="L227" s="22"/>
      <c r="M227" s="27" t="s">
        <v>88</v>
      </c>
      <c r="N227" s="17" t="s">
        <v>56</v>
      </c>
      <c r="O227" s="22" t="s">
        <v>42</v>
      </c>
      <c r="P227" s="29"/>
      <c r="Q227" s="22" t="s">
        <v>49</v>
      </c>
      <c r="R227" s="39" t="s">
        <v>68</v>
      </c>
      <c r="S227" s="29"/>
      <c r="T227" s="29"/>
      <c r="U227" s="29"/>
      <c r="V227" s="26">
        <v>5.0</v>
      </c>
    </row>
    <row r="228">
      <c r="A228" s="12">
        <v>227.0</v>
      </c>
      <c r="B228" s="14">
        <v>46068.0</v>
      </c>
      <c r="C228" s="16" t="s">
        <v>21</v>
      </c>
      <c r="D228" s="16" t="s">
        <v>24</v>
      </c>
      <c r="E228" s="70" t="s">
        <v>2039</v>
      </c>
      <c r="F228" s="16">
        <v>5.50050117E8</v>
      </c>
      <c r="G228" s="70" t="s">
        <v>211</v>
      </c>
      <c r="H228" s="16" t="s">
        <v>27</v>
      </c>
      <c r="I228" s="23" t="s">
        <v>2040</v>
      </c>
      <c r="J228" s="69" t="s">
        <v>35</v>
      </c>
      <c r="K228" s="22" t="s">
        <v>321</v>
      </c>
      <c r="L228" s="22"/>
      <c r="M228" s="27" t="s">
        <v>38</v>
      </c>
      <c r="N228" s="22" t="s">
        <v>56</v>
      </c>
      <c r="O228" s="22" t="s">
        <v>42</v>
      </c>
      <c r="P228" s="29"/>
      <c r="Q228" s="22" t="s">
        <v>49</v>
      </c>
      <c r="R228" s="39" t="s">
        <v>46</v>
      </c>
      <c r="S228" s="29"/>
      <c r="T228" s="29"/>
      <c r="U228" s="29"/>
      <c r="V228" s="26">
        <v>5.0</v>
      </c>
    </row>
    <row r="229">
      <c r="A229" s="12">
        <v>228.0</v>
      </c>
      <c r="B229" s="14">
        <v>46069.0</v>
      </c>
      <c r="C229" s="16" t="s">
        <v>21</v>
      </c>
      <c r="D229" s="16" t="s">
        <v>92</v>
      </c>
      <c r="E229" s="70" t="s">
        <v>2048</v>
      </c>
      <c r="F229" s="16">
        <v>5.34593258E8</v>
      </c>
      <c r="G229" s="70" t="s">
        <v>79</v>
      </c>
      <c r="H229" s="16" t="s">
        <v>27</v>
      </c>
      <c r="I229" s="23" t="s">
        <v>2050</v>
      </c>
      <c r="J229" s="70" t="s">
        <v>205</v>
      </c>
      <c r="K229" s="22" t="s">
        <v>36</v>
      </c>
      <c r="L229" s="22"/>
      <c r="M229" s="27" t="s">
        <v>38</v>
      </c>
      <c r="N229" s="22" t="s">
        <v>40</v>
      </c>
      <c r="O229" s="22" t="s">
        <v>42</v>
      </c>
      <c r="P229" s="29"/>
      <c r="Q229" s="22" t="s">
        <v>44</v>
      </c>
      <c r="R229" s="39" t="s">
        <v>68</v>
      </c>
      <c r="S229" s="29"/>
      <c r="T229" s="29"/>
      <c r="U229" s="29"/>
      <c r="V229" s="26">
        <v>5.0</v>
      </c>
    </row>
    <row r="230">
      <c r="A230" s="12">
        <v>229.0</v>
      </c>
      <c r="B230" s="14">
        <v>46069.0</v>
      </c>
      <c r="C230" s="16" t="s">
        <v>21</v>
      </c>
      <c r="D230" s="16" t="s">
        <v>24</v>
      </c>
      <c r="E230" s="70" t="s">
        <v>316</v>
      </c>
      <c r="F230" s="16">
        <v>5.91288815E8</v>
      </c>
      <c r="G230" s="70" t="s">
        <v>318</v>
      </c>
      <c r="H230" s="16"/>
      <c r="I230" s="23" t="s">
        <v>2059</v>
      </c>
      <c r="J230" s="70"/>
      <c r="K230" s="22" t="s">
        <v>36</v>
      </c>
      <c r="L230" s="22"/>
      <c r="M230" s="27" t="s">
        <v>38</v>
      </c>
      <c r="N230" s="22" t="s">
        <v>40</v>
      </c>
      <c r="O230" s="22" t="s">
        <v>42</v>
      </c>
      <c r="P230" s="29"/>
      <c r="Q230" s="22" t="s">
        <v>44</v>
      </c>
      <c r="R230" s="33" t="s">
        <v>46</v>
      </c>
      <c r="S230" s="29"/>
      <c r="T230" s="29"/>
      <c r="U230" s="29"/>
      <c r="V230" s="26">
        <v>5.0</v>
      </c>
    </row>
    <row r="231">
      <c r="A231" s="12">
        <v>230.0</v>
      </c>
      <c r="B231" s="14">
        <v>46069.0</v>
      </c>
      <c r="C231" s="16" t="s">
        <v>21</v>
      </c>
      <c r="D231" s="16" t="s">
        <v>24</v>
      </c>
      <c r="E231" s="70" t="s">
        <v>2061</v>
      </c>
      <c r="F231" s="16">
        <v>5.78579097E8</v>
      </c>
      <c r="G231" s="70" t="s">
        <v>28</v>
      </c>
      <c r="H231" s="16"/>
      <c r="I231" s="23" t="s">
        <v>2063</v>
      </c>
      <c r="J231" s="70"/>
      <c r="K231" s="22" t="s">
        <v>36</v>
      </c>
      <c r="L231" s="22"/>
      <c r="M231" s="27" t="s">
        <v>38</v>
      </c>
      <c r="N231" s="22" t="s">
        <v>40</v>
      </c>
      <c r="O231" s="22" t="s">
        <v>42</v>
      </c>
      <c r="P231" s="29"/>
      <c r="Q231" s="22" t="s">
        <v>44</v>
      </c>
      <c r="R231" s="33" t="s">
        <v>46</v>
      </c>
      <c r="S231" s="29"/>
      <c r="T231" s="29"/>
      <c r="U231" s="29"/>
      <c r="V231" s="26">
        <v>5.0</v>
      </c>
    </row>
    <row r="232">
      <c r="A232" s="12">
        <v>231.0</v>
      </c>
      <c r="B232" s="14">
        <v>46069.0</v>
      </c>
      <c r="C232" s="16" t="s">
        <v>47</v>
      </c>
      <c r="D232" s="16" t="s">
        <v>48</v>
      </c>
      <c r="E232" s="70" t="s">
        <v>2069</v>
      </c>
      <c r="F232" s="22">
        <v>5.4131115E8</v>
      </c>
      <c r="G232" s="23" t="s">
        <v>41</v>
      </c>
      <c r="H232" s="12" t="s">
        <v>227</v>
      </c>
      <c r="I232" s="23" t="s">
        <v>2070</v>
      </c>
      <c r="J232" s="70" t="s">
        <v>2071</v>
      </c>
      <c r="K232" s="22" t="s">
        <v>36</v>
      </c>
      <c r="L232" s="22"/>
      <c r="M232" s="27" t="s">
        <v>55</v>
      </c>
      <c r="N232" s="22" t="s">
        <v>56</v>
      </c>
      <c r="O232" s="22" t="s">
        <v>42</v>
      </c>
      <c r="P232" s="29"/>
      <c r="Q232" s="22" t="s">
        <v>44</v>
      </c>
      <c r="R232" s="33" t="s">
        <v>46</v>
      </c>
      <c r="S232" s="29"/>
      <c r="T232" s="29"/>
      <c r="U232" s="29"/>
      <c r="V232" s="26">
        <v>5.0</v>
      </c>
    </row>
    <row r="233">
      <c r="A233" s="12">
        <v>232.0</v>
      </c>
      <c r="B233" s="14">
        <v>46069.0</v>
      </c>
      <c r="C233" s="16" t="s">
        <v>47</v>
      </c>
      <c r="D233" s="16" t="s">
        <v>48</v>
      </c>
      <c r="E233" s="16" t="s">
        <v>2077</v>
      </c>
      <c r="F233" s="21" t="s">
        <v>27</v>
      </c>
      <c r="G233" s="23" t="s">
        <v>41</v>
      </c>
      <c r="H233" s="12" t="s">
        <v>52</v>
      </c>
      <c r="I233" s="23" t="s">
        <v>2079</v>
      </c>
      <c r="J233" s="70" t="s">
        <v>2080</v>
      </c>
      <c r="K233" s="22" t="s">
        <v>78</v>
      </c>
      <c r="L233" s="22"/>
      <c r="M233" s="27" t="s">
        <v>55</v>
      </c>
      <c r="N233" s="22" t="s">
        <v>56</v>
      </c>
      <c r="O233" s="22" t="s">
        <v>42</v>
      </c>
      <c r="P233" s="29"/>
      <c r="Q233" s="22" t="s">
        <v>49</v>
      </c>
      <c r="R233" s="33" t="s">
        <v>46</v>
      </c>
      <c r="S233" s="29"/>
      <c r="T233" s="29"/>
      <c r="U233" s="29"/>
      <c r="V233" s="26">
        <v>5.0</v>
      </c>
    </row>
    <row r="234">
      <c r="A234" s="12">
        <v>233.0</v>
      </c>
      <c r="B234" s="14">
        <v>46069.0</v>
      </c>
      <c r="C234" s="16" t="s">
        <v>21</v>
      </c>
      <c r="D234" s="16" t="s">
        <v>22</v>
      </c>
      <c r="E234" s="70" t="s">
        <v>2087</v>
      </c>
      <c r="F234" s="16">
        <v>5.55230237E8</v>
      </c>
      <c r="G234" s="70" t="s">
        <v>132</v>
      </c>
      <c r="H234" s="16"/>
      <c r="I234" s="23" t="s">
        <v>2088</v>
      </c>
      <c r="J234" s="70"/>
      <c r="K234" s="22" t="s">
        <v>36</v>
      </c>
      <c r="L234" s="22"/>
      <c r="M234" s="27" t="s">
        <v>38</v>
      </c>
      <c r="N234" s="22" t="s">
        <v>40</v>
      </c>
      <c r="O234" s="22" t="s">
        <v>42</v>
      </c>
      <c r="P234" s="29"/>
      <c r="Q234" s="22" t="s">
        <v>44</v>
      </c>
      <c r="R234" s="33" t="s">
        <v>46</v>
      </c>
      <c r="S234" s="29"/>
      <c r="T234" s="29"/>
      <c r="U234" s="29"/>
      <c r="V234" s="26">
        <v>5.0</v>
      </c>
    </row>
    <row r="235">
      <c r="A235" s="12">
        <v>234.0</v>
      </c>
      <c r="B235" s="14">
        <v>46069.0</v>
      </c>
      <c r="C235" s="16" t="s">
        <v>58</v>
      </c>
      <c r="D235" s="16" t="s">
        <v>60</v>
      </c>
      <c r="E235" s="16" t="s">
        <v>27</v>
      </c>
      <c r="F235" s="16">
        <v>5.06253315E8</v>
      </c>
      <c r="G235" s="16" t="s">
        <v>27</v>
      </c>
      <c r="H235" s="16" t="s">
        <v>27</v>
      </c>
      <c r="I235" s="23" t="s">
        <v>718</v>
      </c>
      <c r="J235" s="70"/>
      <c r="K235" s="22" t="s">
        <v>36</v>
      </c>
      <c r="L235" s="22"/>
      <c r="M235" s="27" t="s">
        <v>88</v>
      </c>
      <c r="N235" s="17" t="s">
        <v>56</v>
      </c>
      <c r="O235" s="22" t="s">
        <v>42</v>
      </c>
      <c r="P235" s="29"/>
      <c r="Q235" s="22" t="s">
        <v>44</v>
      </c>
      <c r="R235" s="39" t="s">
        <v>68</v>
      </c>
      <c r="S235" s="29"/>
      <c r="T235" s="29"/>
      <c r="U235" s="29"/>
      <c r="V235" s="26">
        <v>5.0</v>
      </c>
    </row>
    <row r="236">
      <c r="A236" s="12">
        <v>235.0</v>
      </c>
      <c r="B236" s="14">
        <v>46069.0</v>
      </c>
      <c r="C236" s="16" t="s">
        <v>21</v>
      </c>
      <c r="D236" s="16" t="s">
        <v>66</v>
      </c>
      <c r="E236" s="16" t="s">
        <v>27</v>
      </c>
      <c r="F236" s="16">
        <v>5.44688373E8</v>
      </c>
      <c r="G236" s="16" t="s">
        <v>27</v>
      </c>
      <c r="H236" s="16" t="s">
        <v>27</v>
      </c>
      <c r="I236" s="23" t="s">
        <v>2103</v>
      </c>
      <c r="J236" s="70" t="s">
        <v>847</v>
      </c>
      <c r="K236" s="22" t="s">
        <v>36</v>
      </c>
      <c r="L236" s="22"/>
      <c r="M236" s="27" t="s">
        <v>38</v>
      </c>
      <c r="N236" s="17" t="s">
        <v>56</v>
      </c>
      <c r="O236" s="22" t="s">
        <v>42</v>
      </c>
      <c r="P236" s="29"/>
      <c r="Q236" s="22" t="s">
        <v>44</v>
      </c>
      <c r="R236" s="39" t="s">
        <v>68</v>
      </c>
      <c r="S236" s="29"/>
      <c r="T236" s="29"/>
      <c r="U236" s="29"/>
      <c r="V236" s="26">
        <v>5.0</v>
      </c>
    </row>
    <row r="237">
      <c r="A237" s="12">
        <v>236.0</v>
      </c>
      <c r="B237" s="14">
        <v>46069.0</v>
      </c>
      <c r="C237" s="16" t="s">
        <v>21</v>
      </c>
      <c r="D237" s="16" t="s">
        <v>24</v>
      </c>
      <c r="E237" s="70" t="s">
        <v>1647</v>
      </c>
      <c r="F237" s="16">
        <v>5.64886639E8</v>
      </c>
      <c r="G237" s="70" t="s">
        <v>71</v>
      </c>
      <c r="H237" s="16" t="s">
        <v>27</v>
      </c>
      <c r="I237" s="23" t="s">
        <v>2114</v>
      </c>
      <c r="J237" s="70"/>
      <c r="K237" s="22" t="s">
        <v>36</v>
      </c>
      <c r="L237" s="22"/>
      <c r="M237" s="27" t="s">
        <v>38</v>
      </c>
      <c r="N237" s="22" t="s">
        <v>40</v>
      </c>
      <c r="O237" s="22" t="s">
        <v>42</v>
      </c>
      <c r="P237" s="29"/>
      <c r="Q237" s="22" t="s">
        <v>44</v>
      </c>
      <c r="R237" s="33" t="s">
        <v>46</v>
      </c>
      <c r="S237" s="29"/>
      <c r="T237" s="29"/>
      <c r="U237" s="29"/>
      <c r="V237" s="26">
        <v>5.0</v>
      </c>
    </row>
    <row r="238">
      <c r="A238" s="12">
        <v>237.0</v>
      </c>
      <c r="B238" s="14">
        <v>46069.0</v>
      </c>
      <c r="C238" s="16" t="s">
        <v>21</v>
      </c>
      <c r="D238" s="16" t="s">
        <v>66</v>
      </c>
      <c r="E238" s="70" t="s">
        <v>2117</v>
      </c>
      <c r="F238" s="16">
        <v>5.63552174E8</v>
      </c>
      <c r="G238" s="70" t="s">
        <v>152</v>
      </c>
      <c r="H238" s="16"/>
      <c r="I238" s="23" t="s">
        <v>2119</v>
      </c>
      <c r="J238" s="70" t="s">
        <v>1195</v>
      </c>
      <c r="K238" s="22" t="s">
        <v>36</v>
      </c>
      <c r="L238" s="22"/>
      <c r="M238" s="27" t="s">
        <v>38</v>
      </c>
      <c r="N238" s="17" t="s">
        <v>56</v>
      </c>
      <c r="O238" s="22" t="s">
        <v>42</v>
      </c>
      <c r="P238" s="29"/>
      <c r="Q238" s="22" t="s">
        <v>44</v>
      </c>
      <c r="R238" s="39" t="s">
        <v>68</v>
      </c>
      <c r="S238" s="29"/>
      <c r="T238" s="29"/>
      <c r="U238" s="29"/>
      <c r="V238" s="26">
        <v>5.0</v>
      </c>
    </row>
    <row r="239">
      <c r="A239" s="12">
        <v>238.0</v>
      </c>
      <c r="B239" s="14">
        <v>46069.0</v>
      </c>
      <c r="C239" s="16" t="s">
        <v>47</v>
      </c>
      <c r="D239" s="16" t="s">
        <v>92</v>
      </c>
      <c r="E239" s="70" t="s">
        <v>2124</v>
      </c>
      <c r="F239" s="16">
        <v>5.58555814E8</v>
      </c>
      <c r="G239" s="70" t="s">
        <v>132</v>
      </c>
      <c r="H239" s="16" t="s">
        <v>2125</v>
      </c>
      <c r="I239" s="23" t="s">
        <v>2127</v>
      </c>
      <c r="J239" s="69"/>
      <c r="K239" s="22" t="s">
        <v>36</v>
      </c>
      <c r="L239" s="22"/>
      <c r="M239" s="27" t="s">
        <v>55</v>
      </c>
      <c r="N239" s="22" t="s">
        <v>40</v>
      </c>
      <c r="O239" s="22" t="s">
        <v>42</v>
      </c>
      <c r="P239" s="29"/>
      <c r="Q239" s="22" t="s">
        <v>44</v>
      </c>
      <c r="R239" s="33" t="s">
        <v>46</v>
      </c>
      <c r="S239" s="29"/>
      <c r="T239" s="29"/>
      <c r="U239" s="29"/>
      <c r="V239" s="26">
        <v>5.0</v>
      </c>
    </row>
    <row r="240">
      <c r="A240" s="12">
        <v>239.0</v>
      </c>
      <c r="B240" s="14">
        <v>46069.0</v>
      </c>
      <c r="C240" s="16" t="s">
        <v>21</v>
      </c>
      <c r="D240" s="16" t="s">
        <v>66</v>
      </c>
      <c r="E240" s="70" t="s">
        <v>2132</v>
      </c>
      <c r="F240" s="16">
        <v>5.5913768E8</v>
      </c>
      <c r="G240" s="70" t="s">
        <v>71</v>
      </c>
      <c r="H240" s="16" t="s">
        <v>27</v>
      </c>
      <c r="I240" s="23" t="s">
        <v>2134</v>
      </c>
      <c r="J240" s="70" t="s">
        <v>2135</v>
      </c>
      <c r="K240" s="22" t="s">
        <v>36</v>
      </c>
      <c r="L240" s="22"/>
      <c r="M240" s="27" t="s">
        <v>38</v>
      </c>
      <c r="N240" s="17" t="s">
        <v>56</v>
      </c>
      <c r="O240" s="22" t="s">
        <v>42</v>
      </c>
      <c r="P240" s="29"/>
      <c r="Q240" s="22" t="s">
        <v>44</v>
      </c>
      <c r="R240" s="39" t="s">
        <v>68</v>
      </c>
      <c r="S240" s="29"/>
      <c r="T240" s="29"/>
      <c r="U240" s="29"/>
      <c r="V240" s="26">
        <v>5.0</v>
      </c>
    </row>
    <row r="241">
      <c r="A241" s="12">
        <v>240.0</v>
      </c>
      <c r="B241" s="14">
        <v>46069.0</v>
      </c>
      <c r="C241" s="16" t="s">
        <v>21</v>
      </c>
      <c r="D241" s="16" t="s">
        <v>24</v>
      </c>
      <c r="E241" s="70" t="s">
        <v>449</v>
      </c>
      <c r="F241" s="16">
        <v>5.628218E8</v>
      </c>
      <c r="G241" s="70" t="s">
        <v>71</v>
      </c>
      <c r="H241" s="16" t="s">
        <v>27</v>
      </c>
      <c r="I241" s="23" t="s">
        <v>2145</v>
      </c>
      <c r="J241" s="70"/>
      <c r="K241" s="22" t="s">
        <v>36</v>
      </c>
      <c r="L241" s="22"/>
      <c r="M241" s="27" t="s">
        <v>38</v>
      </c>
      <c r="N241" s="22" t="s">
        <v>40</v>
      </c>
      <c r="O241" s="22" t="s">
        <v>42</v>
      </c>
      <c r="P241" s="29"/>
      <c r="Q241" s="22" t="s">
        <v>44</v>
      </c>
      <c r="R241" s="33" t="s">
        <v>46</v>
      </c>
      <c r="S241" s="29"/>
      <c r="T241" s="29"/>
      <c r="U241" s="29"/>
      <c r="V241" s="26">
        <v>5.0</v>
      </c>
    </row>
    <row r="242">
      <c r="A242" s="12">
        <v>241.0</v>
      </c>
      <c r="B242" s="14">
        <v>46069.0</v>
      </c>
      <c r="C242" s="16" t="s">
        <v>47</v>
      </c>
      <c r="D242" s="16" t="s">
        <v>48</v>
      </c>
      <c r="E242" s="70" t="s">
        <v>2152</v>
      </c>
      <c r="F242" s="16">
        <v>5.56663373E8</v>
      </c>
      <c r="G242" s="23" t="s">
        <v>41</v>
      </c>
      <c r="H242" s="12" t="s">
        <v>253</v>
      </c>
      <c r="I242" s="23" t="s">
        <v>2154</v>
      </c>
      <c r="J242" s="70" t="s">
        <v>2155</v>
      </c>
      <c r="K242" s="22" t="s">
        <v>36</v>
      </c>
      <c r="L242" s="22"/>
      <c r="M242" s="27" t="s">
        <v>55</v>
      </c>
      <c r="N242" s="22" t="s">
        <v>56</v>
      </c>
      <c r="O242" s="22" t="s">
        <v>42</v>
      </c>
      <c r="P242" s="29"/>
      <c r="Q242" s="22" t="s">
        <v>44</v>
      </c>
      <c r="R242" s="33" t="s">
        <v>46</v>
      </c>
      <c r="S242" s="29"/>
      <c r="T242" s="29"/>
      <c r="U242" s="29"/>
      <c r="V242" s="26">
        <v>5.0</v>
      </c>
    </row>
    <row r="243">
      <c r="A243" s="12">
        <v>242.0</v>
      </c>
      <c r="B243" s="14">
        <v>46070.0</v>
      </c>
      <c r="C243" s="16" t="s">
        <v>21</v>
      </c>
      <c r="D243" s="16" t="s">
        <v>22</v>
      </c>
      <c r="E243" s="70" t="s">
        <v>2158</v>
      </c>
      <c r="F243" s="16">
        <v>5.03355269E8</v>
      </c>
      <c r="G243" s="70" t="s">
        <v>152</v>
      </c>
      <c r="H243" s="16"/>
      <c r="I243" s="23" t="s">
        <v>2160</v>
      </c>
      <c r="J243" s="70"/>
      <c r="K243" s="22" t="s">
        <v>36</v>
      </c>
      <c r="L243" s="22"/>
      <c r="M243" s="27" t="s">
        <v>38</v>
      </c>
      <c r="N243" s="22" t="s">
        <v>40</v>
      </c>
      <c r="O243" s="22" t="s">
        <v>42</v>
      </c>
      <c r="P243" s="29"/>
      <c r="Q243" s="22" t="s">
        <v>44</v>
      </c>
      <c r="R243" s="33" t="s">
        <v>46</v>
      </c>
      <c r="S243" s="29"/>
      <c r="T243" s="29"/>
      <c r="U243" s="29"/>
      <c r="V243" s="26">
        <v>5.0</v>
      </c>
    </row>
    <row r="244" ht="78.75" customHeight="1">
      <c r="A244" s="12">
        <v>243.0</v>
      </c>
      <c r="B244" s="14">
        <v>46070.0</v>
      </c>
      <c r="C244" s="16" t="s">
        <v>47</v>
      </c>
      <c r="D244" s="16" t="s">
        <v>48</v>
      </c>
      <c r="E244" s="70" t="s">
        <v>2165</v>
      </c>
      <c r="F244" s="16">
        <v>5.75671173E8</v>
      </c>
      <c r="G244" s="23" t="s">
        <v>41</v>
      </c>
      <c r="H244" s="12" t="s">
        <v>52</v>
      </c>
      <c r="I244" s="23" t="s">
        <v>2166</v>
      </c>
      <c r="J244" s="70"/>
      <c r="K244" s="22" t="s">
        <v>36</v>
      </c>
      <c r="L244" s="22"/>
      <c r="M244" s="27" t="s">
        <v>55</v>
      </c>
      <c r="N244" s="22" t="s">
        <v>40</v>
      </c>
      <c r="O244" s="22" t="s">
        <v>42</v>
      </c>
      <c r="P244" s="29"/>
      <c r="Q244" s="22" t="s">
        <v>44</v>
      </c>
      <c r="R244" s="33" t="s">
        <v>46</v>
      </c>
      <c r="S244" s="29"/>
      <c r="T244" s="29"/>
      <c r="U244" s="29"/>
      <c r="V244" s="26">
        <v>5.0</v>
      </c>
    </row>
    <row r="245">
      <c r="A245" s="12">
        <v>244.0</v>
      </c>
      <c r="B245" s="14">
        <v>46070.0</v>
      </c>
      <c r="C245" s="12" t="s">
        <v>58</v>
      </c>
      <c r="D245" s="16" t="s">
        <v>60</v>
      </c>
      <c r="E245" s="69" t="s">
        <v>2173</v>
      </c>
      <c r="F245" s="12">
        <v>5.48094029E8</v>
      </c>
      <c r="G245" s="69" t="s">
        <v>2174</v>
      </c>
      <c r="H245" s="12" t="s">
        <v>27</v>
      </c>
      <c r="I245" s="23" t="s">
        <v>2175</v>
      </c>
      <c r="J245" s="69" t="s">
        <v>2176</v>
      </c>
      <c r="K245" s="17" t="s">
        <v>36</v>
      </c>
      <c r="L245" s="22"/>
      <c r="M245" s="27" t="s">
        <v>88</v>
      </c>
      <c r="N245" s="17" t="s">
        <v>56</v>
      </c>
      <c r="O245" s="17" t="s">
        <v>42</v>
      </c>
      <c r="P245" s="29"/>
      <c r="Q245" s="17" t="s">
        <v>44</v>
      </c>
      <c r="R245" s="39" t="s">
        <v>68</v>
      </c>
      <c r="S245" s="29"/>
      <c r="T245" s="29"/>
      <c r="U245" s="29"/>
      <c r="V245" s="26">
        <v>5.0</v>
      </c>
    </row>
    <row r="246">
      <c r="A246" s="12">
        <v>245.0</v>
      </c>
      <c r="B246" s="14">
        <v>46070.0</v>
      </c>
      <c r="C246" s="16" t="s">
        <v>47</v>
      </c>
      <c r="D246" s="16" t="s">
        <v>92</v>
      </c>
      <c r="E246" s="70" t="s">
        <v>2180</v>
      </c>
      <c r="F246" s="16">
        <v>5.55509055E8</v>
      </c>
      <c r="G246" s="70" t="s">
        <v>41</v>
      </c>
      <c r="H246" s="16" t="s">
        <v>133</v>
      </c>
      <c r="I246" s="23" t="s">
        <v>2182</v>
      </c>
      <c r="J246" s="70" t="s">
        <v>2184</v>
      </c>
      <c r="K246" s="22" t="s">
        <v>36</v>
      </c>
      <c r="L246" s="22"/>
      <c r="M246" s="27" t="s">
        <v>55</v>
      </c>
      <c r="N246" s="22" t="s">
        <v>56</v>
      </c>
      <c r="O246" s="22" t="s">
        <v>42</v>
      </c>
      <c r="P246" s="29"/>
      <c r="Q246" s="22" t="s">
        <v>44</v>
      </c>
      <c r="R246" s="33" t="s">
        <v>46</v>
      </c>
      <c r="S246" s="29"/>
      <c r="T246" s="29"/>
      <c r="U246" s="29"/>
      <c r="V246" s="26">
        <v>5.0</v>
      </c>
    </row>
    <row r="247">
      <c r="A247" s="12">
        <v>246.0</v>
      </c>
      <c r="B247" s="14">
        <v>46070.0</v>
      </c>
      <c r="C247" s="16" t="s">
        <v>21</v>
      </c>
      <c r="D247" s="16" t="s">
        <v>24</v>
      </c>
      <c r="E247" s="70" t="s">
        <v>1732</v>
      </c>
      <c r="F247" s="16">
        <v>5.41202811E8</v>
      </c>
      <c r="G247" s="16" t="s">
        <v>27</v>
      </c>
      <c r="H247" s="16" t="s">
        <v>27</v>
      </c>
      <c r="I247" s="19" t="s">
        <v>2186</v>
      </c>
      <c r="J247" s="69" t="s">
        <v>35</v>
      </c>
      <c r="K247" s="22" t="s">
        <v>36</v>
      </c>
      <c r="L247" s="22"/>
      <c r="M247" s="27" t="s">
        <v>38</v>
      </c>
      <c r="N247" s="22" t="s">
        <v>56</v>
      </c>
      <c r="O247" s="22" t="s">
        <v>42</v>
      </c>
      <c r="P247" s="29"/>
      <c r="Q247" s="22" t="s">
        <v>49</v>
      </c>
      <c r="R247" s="33" t="s">
        <v>46</v>
      </c>
      <c r="S247" s="29"/>
      <c r="T247" s="29"/>
      <c r="U247" s="29"/>
      <c r="V247" s="26">
        <v>5.0</v>
      </c>
    </row>
    <row r="248">
      <c r="A248" s="12">
        <v>247.0</v>
      </c>
      <c r="B248" s="14">
        <v>46070.0</v>
      </c>
      <c r="C248" s="16" t="s">
        <v>58</v>
      </c>
      <c r="D248" s="16" t="s">
        <v>60</v>
      </c>
      <c r="E248" s="16" t="s">
        <v>27</v>
      </c>
      <c r="F248" s="16">
        <v>5.38404887E8</v>
      </c>
      <c r="G248" s="16" t="s">
        <v>27</v>
      </c>
      <c r="H248" s="16" t="s">
        <v>27</v>
      </c>
      <c r="I248" s="19" t="s">
        <v>1307</v>
      </c>
      <c r="J248" s="70"/>
      <c r="K248" s="22" t="s">
        <v>65</v>
      </c>
      <c r="L248" s="22"/>
      <c r="M248" s="27" t="s">
        <v>38</v>
      </c>
      <c r="N248" s="17" t="s">
        <v>56</v>
      </c>
      <c r="O248" s="22" t="s">
        <v>42</v>
      </c>
      <c r="P248" s="29"/>
      <c r="Q248" s="22" t="s">
        <v>44</v>
      </c>
      <c r="R248" s="39" t="s">
        <v>68</v>
      </c>
      <c r="S248" s="29"/>
      <c r="T248" s="29"/>
      <c r="U248" s="29"/>
      <c r="V248" s="26">
        <v>5.0</v>
      </c>
    </row>
    <row r="249">
      <c r="A249" s="12">
        <v>248.0</v>
      </c>
      <c r="B249" s="14">
        <v>46070.0</v>
      </c>
      <c r="C249" s="16" t="s">
        <v>21</v>
      </c>
      <c r="D249" s="16" t="s">
        <v>24</v>
      </c>
      <c r="E249" s="70" t="s">
        <v>2192</v>
      </c>
      <c r="F249" s="16">
        <v>5.64582111E8</v>
      </c>
      <c r="G249" s="70" t="s">
        <v>1452</v>
      </c>
      <c r="H249" s="16" t="s">
        <v>27</v>
      </c>
      <c r="I249" s="19" t="s">
        <v>2193</v>
      </c>
      <c r="J249" s="70"/>
      <c r="K249" s="22" t="s">
        <v>36</v>
      </c>
      <c r="L249" s="22"/>
      <c r="M249" s="27" t="s">
        <v>38</v>
      </c>
      <c r="N249" s="22" t="s">
        <v>40</v>
      </c>
      <c r="O249" s="22" t="s">
        <v>42</v>
      </c>
      <c r="P249" s="29"/>
      <c r="Q249" s="22" t="s">
        <v>44</v>
      </c>
      <c r="R249" s="33" t="s">
        <v>46</v>
      </c>
      <c r="S249" s="29"/>
      <c r="T249" s="29"/>
      <c r="U249" s="29"/>
      <c r="V249" s="26">
        <v>5.0</v>
      </c>
    </row>
    <row r="250">
      <c r="A250" s="12">
        <v>249.0</v>
      </c>
      <c r="B250" s="14">
        <v>46070.0</v>
      </c>
      <c r="C250" s="16" t="s">
        <v>21</v>
      </c>
      <c r="D250" s="16" t="s">
        <v>22</v>
      </c>
      <c r="E250" s="70" t="s">
        <v>2197</v>
      </c>
      <c r="F250" s="16">
        <v>5.30052599E8</v>
      </c>
      <c r="G250" s="70" t="s">
        <v>28</v>
      </c>
      <c r="H250" s="16" t="s">
        <v>27</v>
      </c>
      <c r="I250" s="19" t="s">
        <v>2199</v>
      </c>
      <c r="J250" s="70"/>
      <c r="K250" s="22" t="s">
        <v>36</v>
      </c>
      <c r="L250" s="22"/>
      <c r="M250" s="27" t="s">
        <v>38</v>
      </c>
      <c r="N250" s="22" t="s">
        <v>40</v>
      </c>
      <c r="O250" s="22" t="s">
        <v>42</v>
      </c>
      <c r="P250" s="29"/>
      <c r="Q250" s="22" t="s">
        <v>44</v>
      </c>
      <c r="R250" s="33" t="s">
        <v>46</v>
      </c>
      <c r="S250" s="29"/>
      <c r="T250" s="29"/>
      <c r="U250" s="29"/>
      <c r="V250" s="26">
        <v>5.0</v>
      </c>
    </row>
    <row r="251">
      <c r="A251" s="12">
        <v>250.0</v>
      </c>
      <c r="B251" s="14">
        <v>46070.0</v>
      </c>
      <c r="C251" s="16" t="s">
        <v>21</v>
      </c>
      <c r="D251" s="16" t="s">
        <v>24</v>
      </c>
      <c r="E251" s="70" t="s">
        <v>2204</v>
      </c>
      <c r="F251" s="16">
        <v>5.46501972E8</v>
      </c>
      <c r="G251" s="70" t="s">
        <v>71</v>
      </c>
      <c r="H251" s="16" t="s">
        <v>27</v>
      </c>
      <c r="I251" s="19" t="s">
        <v>2205</v>
      </c>
      <c r="J251" s="70"/>
      <c r="K251" s="22" t="s">
        <v>36</v>
      </c>
      <c r="L251" s="22"/>
      <c r="M251" s="27" t="s">
        <v>38</v>
      </c>
      <c r="N251" s="22" t="s">
        <v>40</v>
      </c>
      <c r="O251" s="22" t="s">
        <v>42</v>
      </c>
      <c r="P251" s="29"/>
      <c r="Q251" s="22" t="s">
        <v>44</v>
      </c>
      <c r="R251" s="33" t="s">
        <v>46</v>
      </c>
      <c r="S251" s="29"/>
      <c r="T251" s="29"/>
      <c r="U251" s="29"/>
      <c r="V251" s="26">
        <v>5.0</v>
      </c>
    </row>
    <row r="252">
      <c r="A252" s="12">
        <v>251.0</v>
      </c>
      <c r="B252" s="14">
        <v>46070.0</v>
      </c>
      <c r="C252" s="16" t="s">
        <v>21</v>
      </c>
      <c r="D252" s="16" t="s">
        <v>66</v>
      </c>
      <c r="E252" s="70" t="s">
        <v>2207</v>
      </c>
      <c r="F252" s="16">
        <v>5.70273469E8</v>
      </c>
      <c r="G252" s="70" t="s">
        <v>152</v>
      </c>
      <c r="H252" s="16" t="s">
        <v>27</v>
      </c>
      <c r="I252" s="19" t="s">
        <v>2209</v>
      </c>
      <c r="J252" s="70" t="s">
        <v>1195</v>
      </c>
      <c r="K252" s="22" t="s">
        <v>36</v>
      </c>
      <c r="L252" s="22"/>
      <c r="M252" s="27" t="s">
        <v>38</v>
      </c>
      <c r="N252" s="17" t="s">
        <v>56</v>
      </c>
      <c r="O252" s="22" t="s">
        <v>42</v>
      </c>
      <c r="P252" s="29"/>
      <c r="Q252" s="22" t="s">
        <v>44</v>
      </c>
      <c r="R252" s="39" t="s">
        <v>68</v>
      </c>
      <c r="S252" s="29"/>
      <c r="T252" s="29"/>
      <c r="U252" s="29"/>
      <c r="V252" s="26">
        <v>5.0</v>
      </c>
    </row>
    <row r="253">
      <c r="A253" s="12">
        <v>252.0</v>
      </c>
      <c r="B253" s="14">
        <v>46070.0</v>
      </c>
      <c r="C253" s="16" t="s">
        <v>21</v>
      </c>
      <c r="D253" s="16" t="s">
        <v>22</v>
      </c>
      <c r="E253" s="70" t="s">
        <v>2214</v>
      </c>
      <c r="F253" s="16">
        <v>5.64325938E8</v>
      </c>
      <c r="G253" s="70" t="s">
        <v>874</v>
      </c>
      <c r="H253" s="16"/>
      <c r="I253" s="19" t="s">
        <v>2215</v>
      </c>
      <c r="J253" s="70"/>
      <c r="K253" s="22" t="s">
        <v>36</v>
      </c>
      <c r="L253" s="22"/>
      <c r="M253" s="27" t="s">
        <v>38</v>
      </c>
      <c r="N253" s="22" t="s">
        <v>40</v>
      </c>
      <c r="O253" s="22" t="s">
        <v>42</v>
      </c>
      <c r="P253" s="29"/>
      <c r="Q253" s="22" t="s">
        <v>44</v>
      </c>
      <c r="R253" s="33" t="s">
        <v>46</v>
      </c>
      <c r="S253" s="29"/>
      <c r="T253" s="29"/>
      <c r="U253" s="29"/>
      <c r="V253" s="26">
        <v>5.0</v>
      </c>
    </row>
    <row r="254">
      <c r="A254" s="12">
        <v>253.0</v>
      </c>
      <c r="B254" s="14">
        <v>46070.0</v>
      </c>
      <c r="C254" s="16" t="s">
        <v>58</v>
      </c>
      <c r="D254" s="16" t="s">
        <v>60</v>
      </c>
      <c r="E254" s="70" t="s">
        <v>2220</v>
      </c>
      <c r="F254" s="16">
        <v>5.79543686E8</v>
      </c>
      <c r="G254" s="70" t="s">
        <v>41</v>
      </c>
      <c r="H254" s="16" t="s">
        <v>329</v>
      </c>
      <c r="I254" s="19" t="s">
        <v>2221</v>
      </c>
      <c r="J254" s="70" t="s">
        <v>2222</v>
      </c>
      <c r="K254" s="22" t="s">
        <v>36</v>
      </c>
      <c r="L254" s="22"/>
      <c r="M254" s="27" t="s">
        <v>88</v>
      </c>
      <c r="N254" s="17" t="s">
        <v>56</v>
      </c>
      <c r="O254" s="22" t="s">
        <v>42</v>
      </c>
      <c r="P254" s="29"/>
      <c r="Q254" s="22" t="s">
        <v>44</v>
      </c>
      <c r="R254" s="39" t="s">
        <v>68</v>
      </c>
      <c r="S254" s="29"/>
      <c r="T254" s="29"/>
      <c r="U254" s="29"/>
      <c r="V254" s="26">
        <v>5.0</v>
      </c>
    </row>
    <row r="255">
      <c r="A255" s="12">
        <v>254.0</v>
      </c>
      <c r="B255" s="14">
        <v>46070.0</v>
      </c>
      <c r="C255" s="16" t="s">
        <v>21</v>
      </c>
      <c r="D255" s="16" t="s">
        <v>24</v>
      </c>
      <c r="E255" s="70" t="s">
        <v>2226</v>
      </c>
      <c r="F255" s="16">
        <v>5.42835783E8</v>
      </c>
      <c r="G255" s="70" t="s">
        <v>41</v>
      </c>
      <c r="H255" s="16" t="s">
        <v>27</v>
      </c>
      <c r="I255" s="19" t="s">
        <v>2227</v>
      </c>
      <c r="J255" s="70"/>
      <c r="K255" s="22" t="s">
        <v>36</v>
      </c>
      <c r="L255" s="22"/>
      <c r="M255" s="27" t="s">
        <v>38</v>
      </c>
      <c r="N255" s="22" t="s">
        <v>40</v>
      </c>
      <c r="O255" s="22" t="s">
        <v>42</v>
      </c>
      <c r="P255" s="29"/>
      <c r="Q255" s="22" t="s">
        <v>44</v>
      </c>
      <c r="R255" s="33" t="s">
        <v>46</v>
      </c>
      <c r="S255" s="29"/>
      <c r="T255" s="29"/>
      <c r="U255" s="29"/>
      <c r="V255" s="26">
        <v>5.0</v>
      </c>
    </row>
    <row r="256">
      <c r="A256" s="12">
        <v>255.0</v>
      </c>
      <c r="B256" s="14">
        <v>46070.0</v>
      </c>
      <c r="C256" s="16" t="s">
        <v>58</v>
      </c>
      <c r="D256" s="16" t="s">
        <v>34</v>
      </c>
      <c r="E256" s="16" t="s">
        <v>27</v>
      </c>
      <c r="F256" s="16">
        <v>5.53367595E8</v>
      </c>
      <c r="G256" s="16" t="s">
        <v>27</v>
      </c>
      <c r="H256" s="16" t="s">
        <v>27</v>
      </c>
      <c r="I256" s="19" t="s">
        <v>2235</v>
      </c>
      <c r="J256" s="70"/>
      <c r="K256" s="22" t="s">
        <v>36</v>
      </c>
      <c r="L256" s="22"/>
      <c r="M256" s="27" t="s">
        <v>88</v>
      </c>
      <c r="N256" s="17" t="s">
        <v>56</v>
      </c>
      <c r="O256" s="22" t="s">
        <v>42</v>
      </c>
      <c r="P256" s="29"/>
      <c r="Q256" s="22" t="s">
        <v>44</v>
      </c>
      <c r="R256" s="39" t="s">
        <v>68</v>
      </c>
      <c r="S256" s="29"/>
      <c r="T256" s="29"/>
      <c r="U256" s="29"/>
      <c r="V256" s="26">
        <v>5.0</v>
      </c>
    </row>
    <row r="257">
      <c r="A257" s="12">
        <v>256.0</v>
      </c>
      <c r="B257" s="14">
        <v>46070.0</v>
      </c>
      <c r="C257" s="16" t="s">
        <v>58</v>
      </c>
      <c r="D257" s="16" t="s">
        <v>60</v>
      </c>
      <c r="E257" s="16" t="s">
        <v>27</v>
      </c>
      <c r="F257" s="16">
        <v>5.53304324E8</v>
      </c>
      <c r="G257" s="16" t="s">
        <v>27</v>
      </c>
      <c r="H257" s="16" t="s">
        <v>27</v>
      </c>
      <c r="I257" s="19" t="s">
        <v>718</v>
      </c>
      <c r="J257" s="70"/>
      <c r="K257" s="22" t="s">
        <v>36</v>
      </c>
      <c r="L257" s="22"/>
      <c r="M257" s="27" t="s">
        <v>88</v>
      </c>
      <c r="N257" s="17" t="s">
        <v>56</v>
      </c>
      <c r="O257" s="22" t="s">
        <v>42</v>
      </c>
      <c r="P257" s="29"/>
      <c r="Q257" s="22" t="s">
        <v>44</v>
      </c>
      <c r="R257" s="39" t="s">
        <v>68</v>
      </c>
      <c r="S257" s="29"/>
      <c r="T257" s="29"/>
      <c r="U257" s="29"/>
      <c r="V257" s="26">
        <v>5.0</v>
      </c>
    </row>
    <row r="258">
      <c r="A258" s="12">
        <v>257.0</v>
      </c>
      <c r="B258" s="14">
        <v>46070.0</v>
      </c>
      <c r="C258" s="16" t="s">
        <v>47</v>
      </c>
      <c r="D258" s="16" t="s">
        <v>138</v>
      </c>
      <c r="E258" s="70" t="s">
        <v>1033</v>
      </c>
      <c r="F258" s="16">
        <v>5.59782982E8</v>
      </c>
      <c r="G258" s="70" t="s">
        <v>79</v>
      </c>
      <c r="H258" s="16" t="s">
        <v>178</v>
      </c>
      <c r="I258" s="19" t="s">
        <v>441</v>
      </c>
      <c r="J258" s="70" t="s">
        <v>442</v>
      </c>
      <c r="K258" s="22" t="s">
        <v>148</v>
      </c>
      <c r="L258" s="22"/>
      <c r="M258" s="27" t="s">
        <v>55</v>
      </c>
      <c r="N258" s="22" t="s">
        <v>56</v>
      </c>
      <c r="O258" s="22" t="s">
        <v>42</v>
      </c>
      <c r="P258" s="29"/>
      <c r="Q258" s="22" t="s">
        <v>44</v>
      </c>
      <c r="R258" s="33" t="s">
        <v>46</v>
      </c>
      <c r="S258" s="29"/>
      <c r="T258" s="29"/>
      <c r="U258" s="29"/>
      <c r="V258" s="26">
        <v>5.0</v>
      </c>
    </row>
    <row r="259">
      <c r="A259" s="12">
        <v>258.0</v>
      </c>
      <c r="B259" s="14">
        <v>46070.0</v>
      </c>
      <c r="C259" s="16" t="s">
        <v>47</v>
      </c>
      <c r="D259" s="16" t="s">
        <v>138</v>
      </c>
      <c r="E259" s="16" t="s">
        <v>429</v>
      </c>
      <c r="F259" s="16">
        <v>5.6595816E8</v>
      </c>
      <c r="G259" s="70" t="s">
        <v>79</v>
      </c>
      <c r="H259" s="16" t="s">
        <v>431</v>
      </c>
      <c r="I259" s="19" t="s">
        <v>432</v>
      </c>
      <c r="J259" s="70" t="s">
        <v>433</v>
      </c>
      <c r="K259" s="22" t="s">
        <v>148</v>
      </c>
      <c r="L259" s="22"/>
      <c r="M259" s="27" t="s">
        <v>55</v>
      </c>
      <c r="N259" s="22" t="s">
        <v>56</v>
      </c>
      <c r="O259" s="22" t="s">
        <v>42</v>
      </c>
      <c r="P259" s="29"/>
      <c r="Q259" s="22" t="s">
        <v>44</v>
      </c>
      <c r="R259" s="33" t="s">
        <v>46</v>
      </c>
      <c r="S259" s="29"/>
      <c r="T259" s="29"/>
      <c r="U259" s="29"/>
      <c r="V259" s="26">
        <v>5.0</v>
      </c>
    </row>
    <row r="260">
      <c r="A260" s="12">
        <v>259.0</v>
      </c>
      <c r="B260" s="136">
        <v>46071.0</v>
      </c>
      <c r="C260" s="16" t="s">
        <v>47</v>
      </c>
      <c r="D260" s="16" t="s">
        <v>367</v>
      </c>
      <c r="E260" s="16" t="s">
        <v>2256</v>
      </c>
      <c r="F260" s="21" t="s">
        <v>27</v>
      </c>
      <c r="G260" s="23" t="s">
        <v>41</v>
      </c>
      <c r="H260" s="16" t="s">
        <v>1345</v>
      </c>
      <c r="I260" s="23" t="s">
        <v>2258</v>
      </c>
      <c r="J260" s="70" t="s">
        <v>2260</v>
      </c>
      <c r="K260" s="22" t="s">
        <v>78</v>
      </c>
      <c r="L260" s="22"/>
      <c r="M260" s="27" t="s">
        <v>55</v>
      </c>
      <c r="N260" s="22" t="s">
        <v>56</v>
      </c>
      <c r="O260" s="22" t="s">
        <v>42</v>
      </c>
      <c r="P260" s="29"/>
      <c r="Q260" s="22" t="s">
        <v>49</v>
      </c>
      <c r="R260" s="33" t="s">
        <v>46</v>
      </c>
      <c r="S260" s="29"/>
      <c r="T260" s="29"/>
      <c r="U260" s="29"/>
      <c r="V260" s="26">
        <v>5.0</v>
      </c>
    </row>
    <row r="261">
      <c r="A261" s="12">
        <v>260.0</v>
      </c>
      <c r="B261" s="136">
        <v>46071.0</v>
      </c>
      <c r="C261" s="16" t="s">
        <v>47</v>
      </c>
      <c r="D261" s="16" t="s">
        <v>367</v>
      </c>
      <c r="E261" s="70" t="s">
        <v>2265</v>
      </c>
      <c r="F261" s="21" t="s">
        <v>27</v>
      </c>
      <c r="G261" s="23" t="s">
        <v>41</v>
      </c>
      <c r="H261" s="109" t="s">
        <v>329</v>
      </c>
      <c r="I261" s="23" t="s">
        <v>2267</v>
      </c>
      <c r="J261" s="70" t="s">
        <v>2268</v>
      </c>
      <c r="K261" s="22" t="s">
        <v>78</v>
      </c>
      <c r="L261" s="22"/>
      <c r="M261" s="27" t="s">
        <v>1273</v>
      </c>
      <c r="N261" s="22" t="s">
        <v>56</v>
      </c>
      <c r="O261" s="22" t="s">
        <v>42</v>
      </c>
      <c r="P261" s="29"/>
      <c r="Q261" s="22" t="s">
        <v>49</v>
      </c>
      <c r="R261" s="33" t="s">
        <v>46</v>
      </c>
      <c r="S261" s="29"/>
      <c r="T261" s="29"/>
      <c r="U261" s="29"/>
      <c r="V261" s="26">
        <v>5.0</v>
      </c>
    </row>
    <row r="262">
      <c r="A262" s="12">
        <v>261.0</v>
      </c>
      <c r="B262" s="136">
        <v>46071.0</v>
      </c>
      <c r="C262" s="16" t="s">
        <v>21</v>
      </c>
      <c r="D262" s="16" t="s">
        <v>57</v>
      </c>
      <c r="E262" s="16" t="s">
        <v>2273</v>
      </c>
      <c r="F262" s="16">
        <v>5.22970237E8</v>
      </c>
      <c r="G262" s="70" t="s">
        <v>152</v>
      </c>
      <c r="H262" s="16" t="s">
        <v>27</v>
      </c>
      <c r="I262" s="19" t="s">
        <v>2276</v>
      </c>
      <c r="J262" s="70" t="s">
        <v>2278</v>
      </c>
      <c r="K262" s="22" t="s">
        <v>39</v>
      </c>
      <c r="L262" s="22"/>
      <c r="M262" s="27" t="s">
        <v>38</v>
      </c>
      <c r="N262" s="17" t="s">
        <v>56</v>
      </c>
      <c r="O262" s="22" t="s">
        <v>42</v>
      </c>
      <c r="P262" s="29"/>
      <c r="Q262" s="22" t="s">
        <v>49</v>
      </c>
      <c r="R262" s="39" t="s">
        <v>68</v>
      </c>
      <c r="S262" s="29"/>
      <c r="T262" s="29"/>
      <c r="U262" s="29"/>
      <c r="V262" s="26">
        <v>5.0</v>
      </c>
    </row>
    <row r="263">
      <c r="A263" s="12">
        <v>262.0</v>
      </c>
      <c r="B263" s="136">
        <v>46071.0</v>
      </c>
      <c r="C263" s="16" t="s">
        <v>58</v>
      </c>
      <c r="D263" s="16" t="s">
        <v>60</v>
      </c>
      <c r="E263" s="70" t="s">
        <v>974</v>
      </c>
      <c r="F263" s="12">
        <v>5.38334438E8</v>
      </c>
      <c r="G263" s="70" t="s">
        <v>152</v>
      </c>
      <c r="H263" s="16" t="s">
        <v>27</v>
      </c>
      <c r="I263" s="19" t="s">
        <v>2282</v>
      </c>
      <c r="J263" s="70" t="s">
        <v>2284</v>
      </c>
      <c r="K263" s="22" t="s">
        <v>36</v>
      </c>
      <c r="L263" s="22"/>
      <c r="M263" s="27" t="s">
        <v>88</v>
      </c>
      <c r="N263" s="17" t="s">
        <v>56</v>
      </c>
      <c r="O263" s="22" t="s">
        <v>42</v>
      </c>
      <c r="P263" s="29"/>
      <c r="Q263" s="22" t="s">
        <v>49</v>
      </c>
      <c r="R263" s="39" t="s">
        <v>68</v>
      </c>
      <c r="S263" s="29"/>
      <c r="T263" s="29"/>
      <c r="U263" s="29"/>
      <c r="V263" s="26">
        <v>5.0</v>
      </c>
    </row>
    <row r="264">
      <c r="A264" s="12">
        <v>263.0</v>
      </c>
      <c r="B264" s="136">
        <v>46071.0</v>
      </c>
      <c r="C264" s="16" t="s">
        <v>58</v>
      </c>
      <c r="D264" s="16" t="s">
        <v>60</v>
      </c>
      <c r="E264" s="16" t="s">
        <v>27</v>
      </c>
      <c r="F264" s="16">
        <v>5.54333568E8</v>
      </c>
      <c r="G264" s="16" t="s">
        <v>27</v>
      </c>
      <c r="H264" s="16" t="s">
        <v>27</v>
      </c>
      <c r="I264" s="19" t="s">
        <v>2290</v>
      </c>
      <c r="J264" s="19" t="s">
        <v>35</v>
      </c>
      <c r="K264" s="22" t="s">
        <v>78</v>
      </c>
      <c r="L264" s="22"/>
      <c r="M264" s="27" t="s">
        <v>88</v>
      </c>
      <c r="N264" s="17" t="s">
        <v>56</v>
      </c>
      <c r="O264" s="22" t="s">
        <v>42</v>
      </c>
      <c r="P264" s="29"/>
      <c r="Q264" s="22" t="s">
        <v>49</v>
      </c>
      <c r="R264" s="39" t="s">
        <v>68</v>
      </c>
      <c r="S264" s="29"/>
      <c r="T264" s="29"/>
      <c r="U264" s="29"/>
      <c r="V264" s="26">
        <v>5.0</v>
      </c>
    </row>
    <row r="265">
      <c r="A265" s="12">
        <v>264.0</v>
      </c>
      <c r="B265" s="136">
        <v>46072.0</v>
      </c>
      <c r="C265" s="16" t="s">
        <v>58</v>
      </c>
      <c r="D265" s="16" t="s">
        <v>60</v>
      </c>
      <c r="E265" s="16" t="s">
        <v>27</v>
      </c>
      <c r="F265" s="12">
        <v>5.73089217E8</v>
      </c>
      <c r="G265" s="16" t="s">
        <v>27</v>
      </c>
      <c r="H265" s="16" t="s">
        <v>27</v>
      </c>
      <c r="I265" s="19" t="s">
        <v>554</v>
      </c>
      <c r="J265" s="19" t="s">
        <v>35</v>
      </c>
      <c r="K265" s="22" t="s">
        <v>36</v>
      </c>
      <c r="L265" s="22"/>
      <c r="M265" s="27" t="s">
        <v>88</v>
      </c>
      <c r="N265" s="17" t="s">
        <v>56</v>
      </c>
      <c r="O265" s="22" t="s">
        <v>42</v>
      </c>
      <c r="P265" s="29"/>
      <c r="Q265" s="22" t="s">
        <v>49</v>
      </c>
      <c r="R265" s="39" t="s">
        <v>68</v>
      </c>
      <c r="S265" s="29"/>
      <c r="T265" s="29"/>
      <c r="U265" s="29"/>
      <c r="V265" s="26">
        <v>5.0</v>
      </c>
    </row>
    <row r="266">
      <c r="A266" s="12">
        <v>265.0</v>
      </c>
      <c r="B266" s="136">
        <v>46072.0</v>
      </c>
      <c r="C266" s="108" t="s">
        <v>47</v>
      </c>
      <c r="D266" s="137" t="s">
        <v>48</v>
      </c>
      <c r="E266" s="108" t="s">
        <v>2301</v>
      </c>
      <c r="F266" s="21" t="s">
        <v>27</v>
      </c>
      <c r="G266" s="108" t="s">
        <v>71</v>
      </c>
      <c r="H266" s="110" t="s">
        <v>1906</v>
      </c>
      <c r="I266" s="111" t="s">
        <v>2302</v>
      </c>
      <c r="J266" s="138" t="s">
        <v>2303</v>
      </c>
      <c r="K266" s="108" t="s">
        <v>78</v>
      </c>
      <c r="L266" s="22"/>
      <c r="M266" s="27" t="s">
        <v>55</v>
      </c>
      <c r="N266" s="22" t="s">
        <v>56</v>
      </c>
      <c r="O266" s="108" t="s">
        <v>42</v>
      </c>
      <c r="P266" s="29"/>
      <c r="Q266" s="108" t="s">
        <v>49</v>
      </c>
      <c r="R266" s="139" t="s">
        <v>46</v>
      </c>
      <c r="S266" s="29"/>
      <c r="T266" s="29"/>
      <c r="U266" s="29"/>
      <c r="V266" s="26">
        <v>5.0</v>
      </c>
    </row>
    <row r="267">
      <c r="A267" s="12">
        <v>266.0</v>
      </c>
      <c r="B267" s="136">
        <v>46072.0</v>
      </c>
      <c r="C267" s="109" t="s">
        <v>21</v>
      </c>
      <c r="D267" s="137" t="s">
        <v>34</v>
      </c>
      <c r="E267" s="113" t="s">
        <v>2307</v>
      </c>
      <c r="F267" s="109">
        <v>5.79843309E8</v>
      </c>
      <c r="G267" s="113" t="s">
        <v>71</v>
      </c>
      <c r="H267" s="109" t="s">
        <v>27</v>
      </c>
      <c r="I267" s="30" t="s">
        <v>2309</v>
      </c>
      <c r="J267" s="140"/>
      <c r="K267" s="109" t="s">
        <v>36</v>
      </c>
      <c r="L267" s="22"/>
      <c r="M267" s="27" t="s">
        <v>38</v>
      </c>
      <c r="N267" s="17" t="s">
        <v>56</v>
      </c>
      <c r="O267" s="108" t="s">
        <v>42</v>
      </c>
      <c r="P267" s="29"/>
      <c r="Q267" s="109" t="s">
        <v>44</v>
      </c>
      <c r="R267" s="39" t="s">
        <v>68</v>
      </c>
      <c r="S267" s="29"/>
      <c r="T267" s="29"/>
      <c r="U267" s="29"/>
      <c r="V267" s="26">
        <v>5.0</v>
      </c>
    </row>
    <row r="268">
      <c r="A268" s="12">
        <v>267.0</v>
      </c>
      <c r="B268" s="136">
        <v>46072.0</v>
      </c>
      <c r="C268" s="109" t="s">
        <v>21</v>
      </c>
      <c r="D268" s="137" t="s">
        <v>22</v>
      </c>
      <c r="E268" s="113" t="s">
        <v>1125</v>
      </c>
      <c r="F268" s="109">
        <v>5.65775886E8</v>
      </c>
      <c r="G268" s="113" t="s">
        <v>71</v>
      </c>
      <c r="H268" s="109" t="s">
        <v>27</v>
      </c>
      <c r="I268" s="30" t="s">
        <v>2313</v>
      </c>
      <c r="J268" s="140"/>
      <c r="K268" s="109" t="s">
        <v>36</v>
      </c>
      <c r="L268" s="22"/>
      <c r="M268" s="27" t="s">
        <v>38</v>
      </c>
      <c r="N268" s="22" t="s">
        <v>40</v>
      </c>
      <c r="O268" s="108" t="s">
        <v>42</v>
      </c>
      <c r="P268" s="29"/>
      <c r="Q268" s="109" t="s">
        <v>44</v>
      </c>
      <c r="R268" s="139" t="s">
        <v>46</v>
      </c>
      <c r="S268" s="29"/>
      <c r="T268" s="29"/>
      <c r="U268" s="29"/>
      <c r="V268" s="26">
        <v>5.0</v>
      </c>
    </row>
    <row r="269">
      <c r="A269" s="12">
        <v>268.0</v>
      </c>
      <c r="B269" s="136">
        <v>46072.0</v>
      </c>
      <c r="C269" s="109" t="s">
        <v>58</v>
      </c>
      <c r="D269" s="16" t="s">
        <v>60</v>
      </c>
      <c r="E269" s="109" t="s">
        <v>27</v>
      </c>
      <c r="F269" s="109">
        <v>5.96044443E8</v>
      </c>
      <c r="G269" s="113" t="s">
        <v>71</v>
      </c>
      <c r="H269" s="109" t="s">
        <v>27</v>
      </c>
      <c r="I269" s="30" t="s">
        <v>1342</v>
      </c>
      <c r="J269" s="140"/>
      <c r="K269" s="109" t="s">
        <v>36</v>
      </c>
      <c r="L269" s="22"/>
      <c r="M269" s="27" t="s">
        <v>88</v>
      </c>
      <c r="N269" s="17" t="s">
        <v>56</v>
      </c>
      <c r="O269" s="108" t="s">
        <v>42</v>
      </c>
      <c r="P269" s="29"/>
      <c r="Q269" s="109" t="s">
        <v>44</v>
      </c>
      <c r="R269" s="39" t="s">
        <v>68</v>
      </c>
      <c r="S269" s="29"/>
      <c r="T269" s="29"/>
      <c r="U269" s="29"/>
      <c r="V269" s="26">
        <v>5.0</v>
      </c>
    </row>
    <row r="270">
      <c r="A270" s="12">
        <v>269.0</v>
      </c>
      <c r="B270" s="136">
        <v>46072.0</v>
      </c>
      <c r="C270" s="109" t="s">
        <v>58</v>
      </c>
      <c r="D270" s="137" t="s">
        <v>60</v>
      </c>
      <c r="E270" s="109" t="s">
        <v>27</v>
      </c>
      <c r="F270" s="109">
        <v>5.54166125E8</v>
      </c>
      <c r="G270" s="109" t="s">
        <v>27</v>
      </c>
      <c r="H270" s="109" t="s">
        <v>27</v>
      </c>
      <c r="I270" s="39" t="s">
        <v>2322</v>
      </c>
      <c r="J270" s="138" t="s">
        <v>124</v>
      </c>
      <c r="K270" s="109" t="s">
        <v>65</v>
      </c>
      <c r="L270" s="22"/>
      <c r="M270" s="27" t="s">
        <v>88</v>
      </c>
      <c r="N270" s="17" t="s">
        <v>56</v>
      </c>
      <c r="O270" s="108" t="s">
        <v>42</v>
      </c>
      <c r="P270" s="29"/>
      <c r="Q270" s="109" t="s">
        <v>44</v>
      </c>
      <c r="R270" s="39" t="s">
        <v>68</v>
      </c>
      <c r="S270" s="29"/>
      <c r="T270" s="29"/>
      <c r="U270" s="29"/>
      <c r="V270" s="26">
        <v>5.0</v>
      </c>
    </row>
    <row r="271">
      <c r="A271" s="12">
        <v>270.0</v>
      </c>
      <c r="B271" s="136">
        <v>46072.0</v>
      </c>
      <c r="C271" s="109" t="s">
        <v>58</v>
      </c>
      <c r="D271" s="16" t="s">
        <v>60</v>
      </c>
      <c r="E271" s="109" t="s">
        <v>27</v>
      </c>
      <c r="F271" s="109">
        <v>5.07080822E8</v>
      </c>
      <c r="G271" s="109" t="s">
        <v>27</v>
      </c>
      <c r="H271" s="109" t="s">
        <v>27</v>
      </c>
      <c r="I271" s="30" t="s">
        <v>1074</v>
      </c>
      <c r="J271" s="140"/>
      <c r="K271" s="109" t="s">
        <v>36</v>
      </c>
      <c r="L271" s="22"/>
      <c r="M271" s="27" t="s">
        <v>88</v>
      </c>
      <c r="N271" s="17" t="s">
        <v>56</v>
      </c>
      <c r="O271" s="108" t="s">
        <v>42</v>
      </c>
      <c r="P271" s="29"/>
      <c r="Q271" s="109" t="s">
        <v>44</v>
      </c>
      <c r="R271" s="39" t="s">
        <v>68</v>
      </c>
      <c r="S271" s="29"/>
      <c r="T271" s="29"/>
      <c r="U271" s="29"/>
      <c r="V271" s="26">
        <v>5.0</v>
      </c>
    </row>
    <row r="272">
      <c r="A272" s="12">
        <v>271.0</v>
      </c>
      <c r="B272" s="136">
        <v>46072.0</v>
      </c>
      <c r="C272" s="109" t="s">
        <v>47</v>
      </c>
      <c r="D272" s="16" t="s">
        <v>60</v>
      </c>
      <c r="E272" s="109" t="s">
        <v>2330</v>
      </c>
      <c r="F272" s="109" t="s">
        <v>27</v>
      </c>
      <c r="G272" s="113" t="s">
        <v>41</v>
      </c>
      <c r="H272" s="109" t="s">
        <v>914</v>
      </c>
      <c r="I272" s="30" t="s">
        <v>2331</v>
      </c>
      <c r="J272" s="141" t="s">
        <v>2334</v>
      </c>
      <c r="K272" s="109" t="s">
        <v>78</v>
      </c>
      <c r="L272" s="22"/>
      <c r="M272" s="27" t="s">
        <v>55</v>
      </c>
      <c r="N272" s="17" t="s">
        <v>56</v>
      </c>
      <c r="O272" s="108" t="s">
        <v>42</v>
      </c>
      <c r="P272" s="29"/>
      <c r="Q272" s="109" t="s">
        <v>49</v>
      </c>
      <c r="R272" s="39" t="s">
        <v>68</v>
      </c>
      <c r="S272" s="29"/>
      <c r="T272" s="29"/>
      <c r="U272" s="29"/>
      <c r="V272" s="26">
        <v>5.0</v>
      </c>
    </row>
    <row r="273">
      <c r="A273" s="12">
        <v>272.0</v>
      </c>
      <c r="B273" s="136">
        <v>46072.0</v>
      </c>
      <c r="C273" s="109" t="s">
        <v>47</v>
      </c>
      <c r="D273" s="137" t="s">
        <v>48</v>
      </c>
      <c r="E273" s="113" t="s">
        <v>2338</v>
      </c>
      <c r="F273" s="21" t="s">
        <v>27</v>
      </c>
      <c r="G273" s="23" t="s">
        <v>41</v>
      </c>
      <c r="H273" s="109" t="s">
        <v>193</v>
      </c>
      <c r="I273" s="30" t="s">
        <v>2339</v>
      </c>
      <c r="J273" s="81" t="s">
        <v>2340</v>
      </c>
      <c r="K273" s="109" t="s">
        <v>78</v>
      </c>
      <c r="L273" s="22"/>
      <c r="M273" s="27" t="s">
        <v>55</v>
      </c>
      <c r="N273" s="22" t="s">
        <v>56</v>
      </c>
      <c r="O273" s="108" t="s">
        <v>42</v>
      </c>
      <c r="P273" s="29"/>
      <c r="Q273" s="109" t="s">
        <v>49</v>
      </c>
      <c r="R273" s="139" t="s">
        <v>46</v>
      </c>
      <c r="S273" s="29"/>
      <c r="T273" s="29"/>
      <c r="U273" s="29"/>
      <c r="V273" s="26">
        <v>5.0</v>
      </c>
    </row>
    <row r="274">
      <c r="A274" s="12">
        <v>273.0</v>
      </c>
      <c r="B274" s="136">
        <v>46072.0</v>
      </c>
      <c r="C274" s="109" t="s">
        <v>58</v>
      </c>
      <c r="D274" s="16" t="s">
        <v>60</v>
      </c>
      <c r="E274" s="109" t="s">
        <v>27</v>
      </c>
      <c r="F274" s="109">
        <v>5.00038602E8</v>
      </c>
      <c r="G274" s="109" t="s">
        <v>27</v>
      </c>
      <c r="H274" s="109" t="s">
        <v>27</v>
      </c>
      <c r="I274" s="30" t="s">
        <v>2345</v>
      </c>
      <c r="J274" s="138" t="s">
        <v>500</v>
      </c>
      <c r="K274" s="109" t="s">
        <v>36</v>
      </c>
      <c r="L274" s="22"/>
      <c r="M274" s="27" t="s">
        <v>88</v>
      </c>
      <c r="N274" s="17" t="s">
        <v>56</v>
      </c>
      <c r="O274" s="108" t="s">
        <v>42</v>
      </c>
      <c r="P274" s="29"/>
      <c r="Q274" s="109" t="s">
        <v>44</v>
      </c>
      <c r="R274" s="39" t="s">
        <v>68</v>
      </c>
      <c r="S274" s="29"/>
      <c r="T274" s="29"/>
      <c r="U274" s="29"/>
      <c r="V274" s="26">
        <v>5.0</v>
      </c>
    </row>
    <row r="275">
      <c r="A275" s="12">
        <v>274.0</v>
      </c>
      <c r="B275" s="136">
        <v>46072.0</v>
      </c>
      <c r="C275" s="109" t="s">
        <v>47</v>
      </c>
      <c r="D275" s="137" t="s">
        <v>92</v>
      </c>
      <c r="E275" s="113" t="s">
        <v>2316</v>
      </c>
      <c r="F275" s="109">
        <v>5.37035803E8</v>
      </c>
      <c r="G275" s="113" t="s">
        <v>2347</v>
      </c>
      <c r="H275" s="109" t="s">
        <v>1150</v>
      </c>
      <c r="I275" s="30" t="s">
        <v>2349</v>
      </c>
      <c r="J275" s="138" t="s">
        <v>2350</v>
      </c>
      <c r="K275" s="109" t="s">
        <v>36</v>
      </c>
      <c r="L275" s="22"/>
      <c r="M275" s="27" t="s">
        <v>55</v>
      </c>
      <c r="N275" s="109" t="s">
        <v>56</v>
      </c>
      <c r="O275" s="108" t="s">
        <v>42</v>
      </c>
      <c r="P275" s="29"/>
      <c r="Q275" s="109" t="s">
        <v>44</v>
      </c>
      <c r="R275" s="139" t="s">
        <v>46</v>
      </c>
      <c r="S275" s="29"/>
      <c r="T275" s="29"/>
      <c r="U275" s="29"/>
      <c r="V275" s="26">
        <v>5.0</v>
      </c>
    </row>
    <row r="276">
      <c r="A276" s="12">
        <v>275.0</v>
      </c>
      <c r="B276" s="136">
        <v>46072.0</v>
      </c>
      <c r="C276" s="109" t="s">
        <v>21</v>
      </c>
      <c r="D276" s="137" t="s">
        <v>22</v>
      </c>
      <c r="E276" s="113" t="s">
        <v>2356</v>
      </c>
      <c r="F276" s="109">
        <v>5.0602601E8</v>
      </c>
      <c r="G276" s="113" t="s">
        <v>198</v>
      </c>
      <c r="H276" s="109" t="s">
        <v>27</v>
      </c>
      <c r="I276" s="30" t="s">
        <v>2357</v>
      </c>
      <c r="J276" s="138" t="s">
        <v>32</v>
      </c>
      <c r="K276" s="109" t="s">
        <v>36</v>
      </c>
      <c r="L276" s="22"/>
      <c r="M276" s="27" t="s">
        <v>38</v>
      </c>
      <c r="N276" s="22" t="s">
        <v>40</v>
      </c>
      <c r="O276" s="108" t="s">
        <v>42</v>
      </c>
      <c r="P276" s="29"/>
      <c r="Q276" s="109" t="s">
        <v>44</v>
      </c>
      <c r="R276" s="139" t="s">
        <v>46</v>
      </c>
      <c r="S276" s="29"/>
      <c r="T276" s="29"/>
      <c r="U276" s="29"/>
      <c r="V276" s="26">
        <v>5.0</v>
      </c>
    </row>
    <row r="277">
      <c r="A277" s="12">
        <v>276.0</v>
      </c>
      <c r="B277" s="136">
        <v>46072.0</v>
      </c>
      <c r="C277" s="109" t="s">
        <v>47</v>
      </c>
      <c r="D277" s="137" t="s">
        <v>48</v>
      </c>
      <c r="E277" s="113" t="s">
        <v>2363</v>
      </c>
      <c r="F277" s="109">
        <v>5.74581618E8</v>
      </c>
      <c r="G277" s="23" t="s">
        <v>41</v>
      </c>
      <c r="H277" s="109" t="s">
        <v>705</v>
      </c>
      <c r="I277" s="30" t="s">
        <v>2364</v>
      </c>
      <c r="J277" s="142" t="s">
        <v>2366</v>
      </c>
      <c r="K277" s="109" t="s">
        <v>36</v>
      </c>
      <c r="L277" s="22"/>
      <c r="M277" s="27" t="s">
        <v>55</v>
      </c>
      <c r="N277" s="22" t="s">
        <v>56</v>
      </c>
      <c r="O277" s="108" t="s">
        <v>42</v>
      </c>
      <c r="P277" s="29"/>
      <c r="Q277" s="109" t="s">
        <v>49</v>
      </c>
      <c r="R277" s="139" t="s">
        <v>46</v>
      </c>
      <c r="S277" s="29"/>
      <c r="T277" s="29"/>
      <c r="U277" s="29"/>
      <c r="V277" s="26">
        <v>5.0</v>
      </c>
    </row>
    <row r="278">
      <c r="A278" s="12">
        <v>277.0</v>
      </c>
      <c r="B278" s="136">
        <v>46076.0</v>
      </c>
      <c r="C278" s="109" t="s">
        <v>58</v>
      </c>
      <c r="D278" s="137" t="s">
        <v>34</v>
      </c>
      <c r="E278" s="109" t="s">
        <v>27</v>
      </c>
      <c r="F278" s="109">
        <v>5.54957066E8</v>
      </c>
      <c r="G278" s="109" t="s">
        <v>27</v>
      </c>
      <c r="H278" s="109" t="s">
        <v>27</v>
      </c>
      <c r="I278" s="30" t="s">
        <v>2371</v>
      </c>
      <c r="J278" s="138"/>
      <c r="K278" s="109" t="s">
        <v>36</v>
      </c>
      <c r="L278" s="22"/>
      <c r="M278" s="27" t="s">
        <v>88</v>
      </c>
      <c r="N278" s="17" t="s">
        <v>56</v>
      </c>
      <c r="O278" s="108" t="s">
        <v>42</v>
      </c>
      <c r="P278" s="29"/>
      <c r="Q278" s="109" t="s">
        <v>44</v>
      </c>
      <c r="R278" s="39" t="s">
        <v>68</v>
      </c>
      <c r="S278" s="29"/>
      <c r="T278" s="29"/>
      <c r="U278" s="29"/>
      <c r="V278" s="26">
        <v>5.0</v>
      </c>
    </row>
    <row r="279">
      <c r="A279" s="12">
        <v>278.0</v>
      </c>
      <c r="B279" s="136">
        <v>46076.0</v>
      </c>
      <c r="C279" s="109" t="s">
        <v>58</v>
      </c>
      <c r="D279" s="137" t="s">
        <v>57</v>
      </c>
      <c r="E279" s="113" t="s">
        <v>2378</v>
      </c>
      <c r="F279" s="109">
        <v>5.67025255E8</v>
      </c>
      <c r="G279" s="113" t="s">
        <v>41</v>
      </c>
      <c r="H279" s="109" t="s">
        <v>27</v>
      </c>
      <c r="I279" s="30" t="s">
        <v>2379</v>
      </c>
      <c r="J279" s="141" t="s">
        <v>2380</v>
      </c>
      <c r="K279" s="109" t="s">
        <v>36</v>
      </c>
      <c r="L279" s="22"/>
      <c r="M279" s="27" t="s">
        <v>88</v>
      </c>
      <c r="N279" s="17" t="s">
        <v>56</v>
      </c>
      <c r="O279" s="108" t="s">
        <v>42</v>
      </c>
      <c r="P279" s="29"/>
      <c r="Q279" s="109" t="s">
        <v>44</v>
      </c>
      <c r="R279" s="39" t="s">
        <v>68</v>
      </c>
      <c r="S279" s="29"/>
      <c r="T279" s="29"/>
      <c r="U279" s="29"/>
      <c r="V279" s="26">
        <v>5.0</v>
      </c>
    </row>
    <row r="280">
      <c r="A280" s="12">
        <v>279.0</v>
      </c>
      <c r="B280" s="136">
        <v>46076.0</v>
      </c>
      <c r="C280" s="109" t="s">
        <v>47</v>
      </c>
      <c r="D280" s="16" t="s">
        <v>48</v>
      </c>
      <c r="E280" s="113" t="s">
        <v>2383</v>
      </c>
      <c r="F280" s="109">
        <v>5.40769624E8</v>
      </c>
      <c r="G280" s="23" t="s">
        <v>41</v>
      </c>
      <c r="H280" s="109" t="s">
        <v>222</v>
      </c>
      <c r="I280" s="30" t="s">
        <v>2386</v>
      </c>
      <c r="J280" s="141" t="s">
        <v>2387</v>
      </c>
      <c r="K280" s="109" t="s">
        <v>36</v>
      </c>
      <c r="L280" s="22"/>
      <c r="M280" s="27" t="s">
        <v>55</v>
      </c>
      <c r="N280" s="22" t="s">
        <v>56</v>
      </c>
      <c r="O280" s="108" t="s">
        <v>42</v>
      </c>
      <c r="P280" s="29"/>
      <c r="Q280" s="109" t="s">
        <v>44</v>
      </c>
      <c r="R280" s="139" t="s">
        <v>46</v>
      </c>
      <c r="S280" s="29"/>
      <c r="T280" s="29"/>
      <c r="U280" s="29"/>
      <c r="V280" s="26">
        <v>5.0</v>
      </c>
    </row>
    <row r="281">
      <c r="A281" s="12">
        <v>280.0</v>
      </c>
      <c r="B281" s="136">
        <v>46076.0</v>
      </c>
      <c r="C281" s="109" t="s">
        <v>58</v>
      </c>
      <c r="D281" s="16" t="s">
        <v>60</v>
      </c>
      <c r="E281" s="109" t="s">
        <v>27</v>
      </c>
      <c r="F281" s="109">
        <v>5.00461914E8</v>
      </c>
      <c r="G281" s="109" t="s">
        <v>27</v>
      </c>
      <c r="H281" s="109" t="s">
        <v>27</v>
      </c>
      <c r="I281" s="39" t="s">
        <v>2392</v>
      </c>
      <c r="J281" s="141" t="s">
        <v>2393</v>
      </c>
      <c r="K281" s="109" t="s">
        <v>65</v>
      </c>
      <c r="L281" s="22"/>
      <c r="M281" s="27" t="s">
        <v>88</v>
      </c>
      <c r="N281" s="17" t="s">
        <v>56</v>
      </c>
      <c r="O281" s="108" t="s">
        <v>42</v>
      </c>
      <c r="P281" s="29"/>
      <c r="Q281" s="109" t="s">
        <v>44</v>
      </c>
      <c r="R281" s="39" t="s">
        <v>68</v>
      </c>
      <c r="S281" s="29"/>
      <c r="T281" s="29"/>
      <c r="U281" s="29"/>
      <c r="V281" s="26">
        <v>5.0</v>
      </c>
    </row>
    <row r="282" ht="26.25" customHeight="1">
      <c r="A282" s="12">
        <v>281.0</v>
      </c>
      <c r="B282" s="136">
        <v>46076.0</v>
      </c>
      <c r="C282" s="109" t="s">
        <v>47</v>
      </c>
      <c r="D282" s="137" t="s">
        <v>48</v>
      </c>
      <c r="E282" s="113" t="s">
        <v>2397</v>
      </c>
      <c r="F282" s="21" t="s">
        <v>27</v>
      </c>
      <c r="G282" s="117" t="s">
        <v>28</v>
      </c>
      <c r="H282" s="109" t="s">
        <v>587</v>
      </c>
      <c r="I282" s="30" t="s">
        <v>2398</v>
      </c>
      <c r="J282" s="141" t="s">
        <v>2401</v>
      </c>
      <c r="K282" s="109" t="s">
        <v>78</v>
      </c>
      <c r="L282" s="22"/>
      <c r="M282" s="27" t="s">
        <v>55</v>
      </c>
      <c r="N282" s="22" t="s">
        <v>56</v>
      </c>
      <c r="O282" s="108" t="s">
        <v>42</v>
      </c>
      <c r="P282" s="29"/>
      <c r="Q282" s="109" t="s">
        <v>49</v>
      </c>
      <c r="R282" s="139" t="s">
        <v>46</v>
      </c>
      <c r="S282" s="29"/>
      <c r="T282" s="29"/>
      <c r="U282" s="29"/>
      <c r="V282" s="26">
        <v>5.0</v>
      </c>
    </row>
    <row r="283" ht="29.25" customHeight="1">
      <c r="A283" s="12">
        <v>282.0</v>
      </c>
      <c r="B283" s="136">
        <v>46076.0</v>
      </c>
      <c r="C283" s="109" t="s">
        <v>21</v>
      </c>
      <c r="D283" s="16" t="s">
        <v>24</v>
      </c>
      <c r="E283" s="113" t="s">
        <v>2405</v>
      </c>
      <c r="F283" s="109">
        <v>5.65686497E8</v>
      </c>
      <c r="G283" s="113" t="s">
        <v>71</v>
      </c>
      <c r="H283" s="109" t="s">
        <v>27</v>
      </c>
      <c r="I283" s="30" t="s">
        <v>2406</v>
      </c>
      <c r="J283" s="141" t="s">
        <v>124</v>
      </c>
      <c r="K283" s="109" t="s">
        <v>321</v>
      </c>
      <c r="L283" s="22"/>
      <c r="M283" s="27" t="s">
        <v>38</v>
      </c>
      <c r="N283" s="22" t="s">
        <v>56</v>
      </c>
      <c r="O283" s="108" t="s">
        <v>42</v>
      </c>
      <c r="P283" s="29"/>
      <c r="Q283" s="109" t="s">
        <v>49</v>
      </c>
      <c r="R283" s="139" t="s">
        <v>46</v>
      </c>
      <c r="S283" s="29"/>
      <c r="T283" s="29"/>
      <c r="U283" s="29"/>
      <c r="V283" s="26">
        <v>5.0</v>
      </c>
    </row>
    <row r="284">
      <c r="A284" s="12">
        <v>283.0</v>
      </c>
      <c r="B284" s="136">
        <v>46076.0</v>
      </c>
      <c r="C284" s="109" t="s">
        <v>21</v>
      </c>
      <c r="D284" s="137" t="s">
        <v>24</v>
      </c>
      <c r="E284" s="113" t="s">
        <v>2412</v>
      </c>
      <c r="F284" s="109">
        <v>5.5764523E8</v>
      </c>
      <c r="G284" s="113" t="s">
        <v>2413</v>
      </c>
      <c r="H284" s="109" t="s">
        <v>27</v>
      </c>
      <c r="I284" s="30" t="s">
        <v>2414</v>
      </c>
      <c r="J284" s="141" t="s">
        <v>124</v>
      </c>
      <c r="K284" s="109" t="s">
        <v>39</v>
      </c>
      <c r="L284" s="22"/>
      <c r="M284" s="27" t="s">
        <v>38</v>
      </c>
      <c r="N284" s="22" t="s">
        <v>56</v>
      </c>
      <c r="O284" s="108" t="s">
        <v>42</v>
      </c>
      <c r="P284" s="29"/>
      <c r="Q284" s="109" t="s">
        <v>49</v>
      </c>
      <c r="R284" s="139" t="s">
        <v>46</v>
      </c>
      <c r="S284" s="29"/>
      <c r="T284" s="29"/>
      <c r="U284" s="29"/>
      <c r="V284" s="26">
        <v>5.0</v>
      </c>
    </row>
    <row r="285">
      <c r="A285" s="12">
        <v>284.0</v>
      </c>
      <c r="B285" s="136">
        <v>46076.0</v>
      </c>
      <c r="C285" s="109" t="s">
        <v>58</v>
      </c>
      <c r="D285" s="137" t="s">
        <v>60</v>
      </c>
      <c r="E285" s="113" t="s">
        <v>2419</v>
      </c>
      <c r="F285" s="109">
        <v>5.53904442E8</v>
      </c>
      <c r="G285" s="113" t="s">
        <v>71</v>
      </c>
      <c r="H285" s="109" t="s">
        <v>291</v>
      </c>
      <c r="I285" s="30" t="s">
        <v>2420</v>
      </c>
      <c r="J285" s="141" t="s">
        <v>2422</v>
      </c>
      <c r="K285" s="109" t="s">
        <v>321</v>
      </c>
      <c r="L285" s="22"/>
      <c r="M285" s="27" t="s">
        <v>88</v>
      </c>
      <c r="N285" s="17" t="s">
        <v>56</v>
      </c>
      <c r="O285" s="108" t="s">
        <v>42</v>
      </c>
      <c r="P285" s="29"/>
      <c r="Q285" s="109" t="s">
        <v>49</v>
      </c>
      <c r="R285" s="39" t="s">
        <v>68</v>
      </c>
      <c r="S285" s="29"/>
      <c r="T285" s="29"/>
      <c r="U285" s="29"/>
      <c r="V285" s="26">
        <v>5.0</v>
      </c>
    </row>
    <row r="286">
      <c r="A286" s="12">
        <v>285.0</v>
      </c>
      <c r="B286" s="136">
        <v>46076.0</v>
      </c>
      <c r="C286" s="109" t="s">
        <v>21</v>
      </c>
      <c r="D286" s="137" t="s">
        <v>24</v>
      </c>
      <c r="E286" s="113" t="s">
        <v>2427</v>
      </c>
      <c r="F286" s="109">
        <v>5.50704052E8</v>
      </c>
      <c r="G286" s="113" t="s">
        <v>71</v>
      </c>
      <c r="H286" s="109" t="s">
        <v>27</v>
      </c>
      <c r="I286" s="30" t="s">
        <v>2428</v>
      </c>
      <c r="J286" s="69" t="s">
        <v>35</v>
      </c>
      <c r="K286" s="109" t="s">
        <v>39</v>
      </c>
      <c r="L286" s="22"/>
      <c r="M286" s="27" t="s">
        <v>38</v>
      </c>
      <c r="N286" s="22" t="s">
        <v>56</v>
      </c>
      <c r="O286" s="108" t="s">
        <v>42</v>
      </c>
      <c r="P286" s="29"/>
      <c r="Q286" s="109" t="s">
        <v>49</v>
      </c>
      <c r="R286" s="139" t="s">
        <v>46</v>
      </c>
      <c r="S286" s="29"/>
      <c r="T286" s="29"/>
      <c r="U286" s="29"/>
      <c r="V286" s="26">
        <v>5.0</v>
      </c>
    </row>
    <row r="287">
      <c r="A287" s="12">
        <v>286.0</v>
      </c>
      <c r="B287" s="136">
        <v>46076.0</v>
      </c>
      <c r="C287" s="109" t="s">
        <v>21</v>
      </c>
      <c r="D287" s="137" t="s">
        <v>22</v>
      </c>
      <c r="E287" s="113" t="s">
        <v>1197</v>
      </c>
      <c r="F287" s="109">
        <v>5.5962632E8</v>
      </c>
      <c r="G287" s="109" t="s">
        <v>27</v>
      </c>
      <c r="H287" s="109" t="s">
        <v>27</v>
      </c>
      <c r="I287" s="30" t="s">
        <v>2434</v>
      </c>
      <c r="J287" s="69" t="s">
        <v>35</v>
      </c>
      <c r="K287" s="109" t="s">
        <v>39</v>
      </c>
      <c r="L287" s="22"/>
      <c r="M287" s="27" t="s">
        <v>38</v>
      </c>
      <c r="N287" s="22" t="s">
        <v>56</v>
      </c>
      <c r="O287" s="108" t="s">
        <v>42</v>
      </c>
      <c r="P287" s="29"/>
      <c r="Q287" s="109" t="s">
        <v>49</v>
      </c>
      <c r="R287" s="139" t="s">
        <v>46</v>
      </c>
      <c r="S287" s="29"/>
      <c r="T287" s="29"/>
      <c r="U287" s="29"/>
      <c r="V287" s="26">
        <v>5.0</v>
      </c>
    </row>
    <row r="288">
      <c r="A288" s="12">
        <v>287.0</v>
      </c>
      <c r="B288" s="136">
        <v>46076.0</v>
      </c>
      <c r="C288" s="109" t="s">
        <v>47</v>
      </c>
      <c r="D288" s="137" t="s">
        <v>138</v>
      </c>
      <c r="E288" s="109" t="s">
        <v>2439</v>
      </c>
      <c r="F288" s="21" t="s">
        <v>27</v>
      </c>
      <c r="G288" s="23" t="s">
        <v>41</v>
      </c>
      <c r="H288" s="109" t="s">
        <v>567</v>
      </c>
      <c r="I288" s="30" t="s">
        <v>2440</v>
      </c>
      <c r="J288" s="138" t="s">
        <v>2441</v>
      </c>
      <c r="K288" s="109" t="s">
        <v>78</v>
      </c>
      <c r="L288" s="22"/>
      <c r="M288" s="27" t="s">
        <v>55</v>
      </c>
      <c r="N288" s="22" t="s">
        <v>56</v>
      </c>
      <c r="O288" s="108" t="s">
        <v>42</v>
      </c>
      <c r="P288" s="29"/>
      <c r="Q288" s="109" t="s">
        <v>49</v>
      </c>
      <c r="R288" s="139" t="s">
        <v>46</v>
      </c>
      <c r="S288" s="29"/>
      <c r="T288" s="29"/>
      <c r="U288" s="29"/>
      <c r="V288" s="26">
        <v>5.0</v>
      </c>
    </row>
    <row r="289">
      <c r="A289" s="12">
        <v>288.0</v>
      </c>
      <c r="B289" s="136">
        <v>46076.0</v>
      </c>
      <c r="C289" s="118" t="s">
        <v>47</v>
      </c>
      <c r="D289" s="147" t="s">
        <v>24</v>
      </c>
      <c r="E289" s="118" t="s">
        <v>526</v>
      </c>
      <c r="F289" s="118" t="s">
        <v>27</v>
      </c>
      <c r="G289" s="117" t="s">
        <v>28</v>
      </c>
      <c r="H289" s="118" t="s">
        <v>548</v>
      </c>
      <c r="I289" s="30" t="s">
        <v>2446</v>
      </c>
      <c r="J289" s="142" t="s">
        <v>2447</v>
      </c>
      <c r="K289" s="118" t="s">
        <v>78</v>
      </c>
      <c r="L289" s="22"/>
      <c r="M289" s="27" t="s">
        <v>55</v>
      </c>
      <c r="N289" s="17" t="s">
        <v>56</v>
      </c>
      <c r="O289" s="110" t="s">
        <v>42</v>
      </c>
      <c r="P289" s="29"/>
      <c r="Q289" s="118" t="s">
        <v>44</v>
      </c>
      <c r="R289" s="39" t="s">
        <v>68</v>
      </c>
      <c r="S289" s="29"/>
      <c r="T289" s="29"/>
      <c r="U289" s="29"/>
      <c r="V289" s="26">
        <v>5.0</v>
      </c>
    </row>
    <row r="290">
      <c r="A290" s="12">
        <v>289.0</v>
      </c>
      <c r="B290" s="136">
        <v>46076.0</v>
      </c>
      <c r="C290" s="118" t="s">
        <v>47</v>
      </c>
      <c r="D290" s="147" t="s">
        <v>24</v>
      </c>
      <c r="E290" s="117" t="s">
        <v>2451</v>
      </c>
      <c r="F290" s="118">
        <v>5.01149434E8</v>
      </c>
      <c r="G290" s="117" t="s">
        <v>28</v>
      </c>
      <c r="H290" s="118" t="s">
        <v>548</v>
      </c>
      <c r="I290" s="148" t="s">
        <v>2453</v>
      </c>
      <c r="J290" s="142" t="s">
        <v>2447</v>
      </c>
      <c r="K290" s="118" t="s">
        <v>62</v>
      </c>
      <c r="L290" s="22"/>
      <c r="M290" s="27" t="s">
        <v>630</v>
      </c>
      <c r="N290" s="17" t="s">
        <v>56</v>
      </c>
      <c r="O290" s="110" t="s">
        <v>42</v>
      </c>
      <c r="P290" s="29"/>
      <c r="Q290" s="118" t="s">
        <v>44</v>
      </c>
      <c r="R290" s="39" t="s">
        <v>68</v>
      </c>
      <c r="S290" s="29"/>
      <c r="T290" s="29"/>
      <c r="U290" s="29"/>
      <c r="V290" s="26">
        <v>5.0</v>
      </c>
    </row>
    <row r="291">
      <c r="A291" s="12">
        <v>290.0</v>
      </c>
      <c r="B291" s="136">
        <v>46076.0</v>
      </c>
      <c r="C291" s="109" t="s">
        <v>21</v>
      </c>
      <c r="D291" s="137" t="s">
        <v>24</v>
      </c>
      <c r="E291" s="113" t="s">
        <v>316</v>
      </c>
      <c r="F291" s="109">
        <v>5.522908E8</v>
      </c>
      <c r="G291" s="113" t="s">
        <v>71</v>
      </c>
      <c r="H291" s="109" t="s">
        <v>27</v>
      </c>
      <c r="I291" s="30" t="s">
        <v>2460</v>
      </c>
      <c r="J291" s="140"/>
      <c r="K291" s="109" t="s">
        <v>36</v>
      </c>
      <c r="L291" s="22"/>
      <c r="M291" s="27" t="s">
        <v>38</v>
      </c>
      <c r="N291" s="22" t="s">
        <v>40</v>
      </c>
      <c r="O291" s="108" t="s">
        <v>42</v>
      </c>
      <c r="P291" s="29"/>
      <c r="Q291" s="109" t="s">
        <v>44</v>
      </c>
      <c r="R291" s="139" t="s">
        <v>46</v>
      </c>
      <c r="S291" s="29"/>
      <c r="T291" s="29"/>
      <c r="U291" s="29"/>
      <c r="V291" s="26">
        <v>5.0</v>
      </c>
    </row>
    <row r="292">
      <c r="A292" s="12">
        <v>291.0</v>
      </c>
      <c r="B292" s="136">
        <v>46077.0</v>
      </c>
      <c r="C292" s="109" t="s">
        <v>47</v>
      </c>
      <c r="D292" s="137" t="s">
        <v>48</v>
      </c>
      <c r="E292" s="113" t="s">
        <v>2462</v>
      </c>
      <c r="F292" s="21" t="s">
        <v>27</v>
      </c>
      <c r="G292" s="23" t="s">
        <v>41</v>
      </c>
      <c r="H292" s="109" t="s">
        <v>956</v>
      </c>
      <c r="I292" s="30" t="s">
        <v>2463</v>
      </c>
      <c r="J292" s="138" t="s">
        <v>2464</v>
      </c>
      <c r="K292" s="109" t="s">
        <v>36</v>
      </c>
      <c r="L292" s="22"/>
      <c r="M292" s="27" t="s">
        <v>55</v>
      </c>
      <c r="N292" s="22" t="s">
        <v>56</v>
      </c>
      <c r="O292" s="108" t="s">
        <v>42</v>
      </c>
      <c r="P292" s="29"/>
      <c r="Q292" s="109" t="s">
        <v>49</v>
      </c>
      <c r="R292" s="139" t="s">
        <v>46</v>
      </c>
      <c r="S292" s="29"/>
      <c r="T292" s="29"/>
      <c r="U292" s="29"/>
      <c r="V292" s="26">
        <v>5.0</v>
      </c>
    </row>
    <row r="293">
      <c r="A293" s="12">
        <v>292.0</v>
      </c>
      <c r="B293" s="136">
        <v>46077.0</v>
      </c>
      <c r="C293" s="109" t="s">
        <v>58</v>
      </c>
      <c r="D293" s="16" t="s">
        <v>60</v>
      </c>
      <c r="E293" s="109" t="s">
        <v>27</v>
      </c>
      <c r="F293" s="118">
        <v>5.455395E8</v>
      </c>
      <c r="G293" s="109" t="s">
        <v>27</v>
      </c>
      <c r="H293" s="109" t="s">
        <v>27</v>
      </c>
      <c r="I293" s="30" t="s">
        <v>2473</v>
      </c>
      <c r="J293" s="19" t="s">
        <v>35</v>
      </c>
      <c r="K293" s="109" t="s">
        <v>36</v>
      </c>
      <c r="L293" s="22"/>
      <c r="M293" s="27" t="s">
        <v>88</v>
      </c>
      <c r="N293" s="17" t="s">
        <v>56</v>
      </c>
      <c r="O293" s="108" t="s">
        <v>42</v>
      </c>
      <c r="P293" s="29"/>
      <c r="Q293" s="109" t="s">
        <v>49</v>
      </c>
      <c r="R293" s="39" t="s">
        <v>68</v>
      </c>
      <c r="S293" s="29"/>
      <c r="T293" s="29"/>
      <c r="U293" s="29"/>
      <c r="V293" s="26">
        <v>5.0</v>
      </c>
    </row>
    <row r="294">
      <c r="A294" s="12">
        <v>293.0</v>
      </c>
      <c r="B294" s="136">
        <v>46077.0</v>
      </c>
      <c r="C294" s="109" t="s">
        <v>58</v>
      </c>
      <c r="D294" s="16" t="s">
        <v>60</v>
      </c>
      <c r="E294" s="109" t="s">
        <v>27</v>
      </c>
      <c r="F294" s="118">
        <v>5.46963758E8</v>
      </c>
      <c r="G294" s="109" t="s">
        <v>27</v>
      </c>
      <c r="H294" s="109" t="s">
        <v>27</v>
      </c>
      <c r="I294" s="30" t="s">
        <v>554</v>
      </c>
      <c r="J294" s="19" t="s">
        <v>35</v>
      </c>
      <c r="K294" s="109" t="s">
        <v>36</v>
      </c>
      <c r="L294" s="22"/>
      <c r="M294" s="27" t="s">
        <v>88</v>
      </c>
      <c r="N294" s="17" t="s">
        <v>56</v>
      </c>
      <c r="O294" s="108" t="s">
        <v>42</v>
      </c>
      <c r="P294" s="29"/>
      <c r="Q294" s="109" t="s">
        <v>49</v>
      </c>
      <c r="R294" s="39" t="s">
        <v>68</v>
      </c>
      <c r="S294" s="29"/>
      <c r="T294" s="29"/>
      <c r="U294" s="29"/>
      <c r="V294" s="26">
        <v>5.0</v>
      </c>
    </row>
    <row r="295">
      <c r="A295" s="12">
        <v>294.0</v>
      </c>
      <c r="B295" s="136">
        <v>46077.0</v>
      </c>
      <c r="C295" s="109" t="s">
        <v>58</v>
      </c>
      <c r="D295" s="16" t="s">
        <v>60</v>
      </c>
      <c r="E295" s="109" t="s">
        <v>27</v>
      </c>
      <c r="F295" s="118">
        <v>5.91288815E8</v>
      </c>
      <c r="G295" s="109" t="s">
        <v>27</v>
      </c>
      <c r="H295" s="109" t="s">
        <v>27</v>
      </c>
      <c r="I295" s="30" t="s">
        <v>2481</v>
      </c>
      <c r="J295" s="19" t="s">
        <v>35</v>
      </c>
      <c r="K295" s="109" t="s">
        <v>65</v>
      </c>
      <c r="L295" s="22"/>
      <c r="M295" s="27" t="s">
        <v>88</v>
      </c>
      <c r="N295" s="17" t="s">
        <v>56</v>
      </c>
      <c r="O295" s="108" t="s">
        <v>42</v>
      </c>
      <c r="P295" s="29"/>
      <c r="Q295" s="109" t="s">
        <v>49</v>
      </c>
      <c r="R295" s="39" t="s">
        <v>68</v>
      </c>
      <c r="S295" s="29"/>
      <c r="T295" s="29"/>
      <c r="U295" s="29"/>
      <c r="V295" s="26">
        <v>5.0</v>
      </c>
    </row>
    <row r="296">
      <c r="A296" s="12">
        <v>295.0</v>
      </c>
      <c r="B296" s="136">
        <v>46077.0</v>
      </c>
      <c r="C296" s="109" t="s">
        <v>58</v>
      </c>
      <c r="D296" s="16" t="s">
        <v>60</v>
      </c>
      <c r="E296" s="109" t="s">
        <v>27</v>
      </c>
      <c r="F296" s="118">
        <v>5.51750025E8</v>
      </c>
      <c r="G296" s="109" t="s">
        <v>27</v>
      </c>
      <c r="H296" s="109" t="s">
        <v>27</v>
      </c>
      <c r="I296" s="30" t="s">
        <v>2487</v>
      </c>
      <c r="J296" s="19" t="s">
        <v>35</v>
      </c>
      <c r="K296" s="109" t="s">
        <v>36</v>
      </c>
      <c r="L296" s="22"/>
      <c r="M296" s="27" t="s">
        <v>88</v>
      </c>
      <c r="N296" s="17" t="s">
        <v>56</v>
      </c>
      <c r="O296" s="108" t="s">
        <v>42</v>
      </c>
      <c r="P296" s="29"/>
      <c r="Q296" s="109" t="s">
        <v>49</v>
      </c>
      <c r="R296" s="39" t="s">
        <v>68</v>
      </c>
      <c r="S296" s="29"/>
      <c r="T296" s="29"/>
      <c r="U296" s="29"/>
      <c r="V296" s="26">
        <v>5.0</v>
      </c>
    </row>
    <row r="297" ht="42.75" customHeight="1">
      <c r="A297" s="12">
        <v>296.0</v>
      </c>
      <c r="B297" s="136">
        <v>46077.0</v>
      </c>
      <c r="C297" s="109" t="s">
        <v>21</v>
      </c>
      <c r="D297" s="16" t="s">
        <v>22</v>
      </c>
      <c r="E297" s="113" t="s">
        <v>2493</v>
      </c>
      <c r="F297" s="118">
        <v>5.07653247E8</v>
      </c>
      <c r="G297" s="113" t="s">
        <v>1648</v>
      </c>
      <c r="H297" s="109" t="s">
        <v>27</v>
      </c>
      <c r="I297" s="30" t="s">
        <v>2494</v>
      </c>
      <c r="J297" s="69" t="s">
        <v>35</v>
      </c>
      <c r="K297" s="109" t="s">
        <v>36</v>
      </c>
      <c r="L297" s="22"/>
      <c r="M297" s="27" t="s">
        <v>38</v>
      </c>
      <c r="N297" s="22" t="s">
        <v>56</v>
      </c>
      <c r="O297" s="108" t="s">
        <v>42</v>
      </c>
      <c r="P297" s="29"/>
      <c r="Q297" s="109" t="s">
        <v>49</v>
      </c>
      <c r="R297" s="139" t="s">
        <v>46</v>
      </c>
      <c r="S297" s="29"/>
      <c r="T297" s="29"/>
      <c r="U297" s="29"/>
      <c r="V297" s="26">
        <v>5.0</v>
      </c>
    </row>
    <row r="298">
      <c r="A298" s="12">
        <v>297.0</v>
      </c>
      <c r="B298" s="136">
        <v>46077.0</v>
      </c>
      <c r="C298" s="109" t="s">
        <v>58</v>
      </c>
      <c r="D298" s="16" t="s">
        <v>60</v>
      </c>
      <c r="E298" s="109" t="s">
        <v>27</v>
      </c>
      <c r="F298" s="118">
        <v>5.31505456E8</v>
      </c>
      <c r="G298" s="109" t="s">
        <v>27</v>
      </c>
      <c r="H298" s="109" t="s">
        <v>27</v>
      </c>
      <c r="I298" s="30" t="s">
        <v>2496</v>
      </c>
      <c r="J298" s="138"/>
      <c r="K298" s="109" t="s">
        <v>65</v>
      </c>
      <c r="L298" s="22"/>
      <c r="M298" s="27" t="s">
        <v>88</v>
      </c>
      <c r="N298" s="17" t="s">
        <v>56</v>
      </c>
      <c r="O298" s="108" t="s">
        <v>42</v>
      </c>
      <c r="P298" s="29"/>
      <c r="Q298" s="109" t="s">
        <v>44</v>
      </c>
      <c r="R298" s="39" t="s">
        <v>68</v>
      </c>
      <c r="S298" s="29"/>
      <c r="T298" s="29"/>
      <c r="U298" s="29"/>
      <c r="V298" s="26">
        <v>5.0</v>
      </c>
    </row>
    <row r="299">
      <c r="A299" s="12">
        <v>298.0</v>
      </c>
      <c r="B299" s="136">
        <v>46077.0</v>
      </c>
      <c r="C299" s="109" t="s">
        <v>58</v>
      </c>
      <c r="D299" s="16" t="s">
        <v>60</v>
      </c>
      <c r="E299" s="109" t="s">
        <v>27</v>
      </c>
      <c r="F299" s="118">
        <v>5.04439263E8</v>
      </c>
      <c r="G299" s="109" t="s">
        <v>27</v>
      </c>
      <c r="H299" s="109" t="s">
        <v>27</v>
      </c>
      <c r="I299" s="30" t="s">
        <v>2501</v>
      </c>
      <c r="J299" s="138"/>
      <c r="K299" s="109" t="s">
        <v>36</v>
      </c>
      <c r="L299" s="22"/>
      <c r="M299" s="27" t="s">
        <v>88</v>
      </c>
      <c r="N299" s="17" t="s">
        <v>56</v>
      </c>
      <c r="O299" s="108" t="s">
        <v>42</v>
      </c>
      <c r="P299" s="29"/>
      <c r="Q299" s="109" t="s">
        <v>44</v>
      </c>
      <c r="R299" s="39" t="s">
        <v>68</v>
      </c>
      <c r="S299" s="29"/>
      <c r="T299" s="29"/>
      <c r="U299" s="29"/>
      <c r="V299" s="26">
        <v>5.0</v>
      </c>
    </row>
    <row r="300">
      <c r="A300" s="12">
        <v>299.0</v>
      </c>
      <c r="B300" s="136">
        <v>46077.0</v>
      </c>
      <c r="C300" s="109" t="s">
        <v>58</v>
      </c>
      <c r="D300" s="16" t="s">
        <v>60</v>
      </c>
      <c r="E300" s="109" t="s">
        <v>27</v>
      </c>
      <c r="F300" s="118">
        <v>5.47280624E8</v>
      </c>
      <c r="G300" s="109" t="s">
        <v>27</v>
      </c>
      <c r="H300" s="109" t="s">
        <v>27</v>
      </c>
      <c r="I300" s="30" t="s">
        <v>554</v>
      </c>
      <c r="J300" s="140"/>
      <c r="K300" s="109" t="s">
        <v>36</v>
      </c>
      <c r="L300" s="22"/>
      <c r="M300" s="27" t="s">
        <v>88</v>
      </c>
      <c r="N300" s="17" t="s">
        <v>56</v>
      </c>
      <c r="O300" s="108" t="s">
        <v>42</v>
      </c>
      <c r="P300" s="29"/>
      <c r="Q300" s="109" t="s">
        <v>44</v>
      </c>
      <c r="R300" s="39" t="s">
        <v>68</v>
      </c>
      <c r="S300" s="29"/>
      <c r="T300" s="29"/>
      <c r="U300" s="29"/>
      <c r="V300" s="26">
        <v>5.0</v>
      </c>
    </row>
    <row r="301">
      <c r="A301" s="12">
        <v>300.0</v>
      </c>
      <c r="B301" s="136">
        <v>46077.0</v>
      </c>
      <c r="C301" s="109" t="s">
        <v>58</v>
      </c>
      <c r="D301" s="16" t="s">
        <v>60</v>
      </c>
      <c r="E301" s="109" t="s">
        <v>27</v>
      </c>
      <c r="F301" s="118">
        <v>5.46622263E8</v>
      </c>
      <c r="G301" s="109" t="s">
        <v>27</v>
      </c>
      <c r="H301" s="109" t="s">
        <v>27</v>
      </c>
      <c r="I301" s="30" t="s">
        <v>2496</v>
      </c>
      <c r="J301" s="138"/>
      <c r="K301" s="109" t="s">
        <v>65</v>
      </c>
      <c r="L301" s="22"/>
      <c r="M301" s="27" t="s">
        <v>88</v>
      </c>
      <c r="N301" s="17" t="s">
        <v>56</v>
      </c>
      <c r="O301" s="108" t="s">
        <v>42</v>
      </c>
      <c r="P301" s="29"/>
      <c r="Q301" s="109" t="s">
        <v>44</v>
      </c>
      <c r="R301" s="39" t="s">
        <v>68</v>
      </c>
      <c r="S301" s="29"/>
      <c r="T301" s="29"/>
      <c r="U301" s="29"/>
      <c r="V301" s="26">
        <v>5.0</v>
      </c>
    </row>
    <row r="302">
      <c r="A302" s="12">
        <v>301.0</v>
      </c>
      <c r="B302" s="136">
        <v>46077.0</v>
      </c>
      <c r="C302" s="109" t="s">
        <v>58</v>
      </c>
      <c r="D302" s="16" t="s">
        <v>60</v>
      </c>
      <c r="E302" s="109" t="s">
        <v>27</v>
      </c>
      <c r="F302" s="118">
        <v>5.46669173E8</v>
      </c>
      <c r="G302" s="109" t="s">
        <v>27</v>
      </c>
      <c r="H302" s="109" t="s">
        <v>27</v>
      </c>
      <c r="I302" s="30" t="s">
        <v>2496</v>
      </c>
      <c r="J302" s="138"/>
      <c r="K302" s="109" t="s">
        <v>65</v>
      </c>
      <c r="L302" s="22"/>
      <c r="M302" s="27" t="s">
        <v>88</v>
      </c>
      <c r="N302" s="17" t="s">
        <v>56</v>
      </c>
      <c r="O302" s="108" t="s">
        <v>42</v>
      </c>
      <c r="P302" s="29"/>
      <c r="Q302" s="109" t="s">
        <v>44</v>
      </c>
      <c r="R302" s="39" t="s">
        <v>68</v>
      </c>
      <c r="S302" s="29"/>
      <c r="T302" s="29"/>
      <c r="U302" s="29"/>
      <c r="V302" s="26">
        <v>5.0</v>
      </c>
    </row>
    <row r="303">
      <c r="A303" s="12">
        <v>302.0</v>
      </c>
      <c r="B303" s="136">
        <v>46077.0</v>
      </c>
      <c r="C303" s="109" t="s">
        <v>47</v>
      </c>
      <c r="D303" s="16" t="s">
        <v>48</v>
      </c>
      <c r="E303" s="113" t="s">
        <v>2177</v>
      </c>
      <c r="F303" s="118">
        <v>5.53030313E8</v>
      </c>
      <c r="G303" s="23" t="s">
        <v>41</v>
      </c>
      <c r="H303" s="109" t="s">
        <v>329</v>
      </c>
      <c r="I303" s="150" t="s">
        <v>2519</v>
      </c>
      <c r="J303" s="138" t="s">
        <v>2520</v>
      </c>
      <c r="K303" s="109" t="s">
        <v>36</v>
      </c>
      <c r="L303" s="22"/>
      <c r="M303" s="27" t="s">
        <v>55</v>
      </c>
      <c r="N303" s="22" t="s">
        <v>56</v>
      </c>
      <c r="O303" s="108" t="s">
        <v>42</v>
      </c>
      <c r="P303" s="29"/>
      <c r="Q303" s="109" t="s">
        <v>44</v>
      </c>
      <c r="R303" s="139" t="s">
        <v>46</v>
      </c>
      <c r="S303" s="29"/>
      <c r="T303" s="29"/>
      <c r="U303" s="29"/>
      <c r="V303" s="26">
        <v>5.0</v>
      </c>
    </row>
    <row r="304">
      <c r="A304" s="12">
        <v>303.0</v>
      </c>
      <c r="B304" s="136">
        <v>46077.0</v>
      </c>
      <c r="C304" s="109" t="s">
        <v>58</v>
      </c>
      <c r="D304" s="16" t="s">
        <v>60</v>
      </c>
      <c r="E304" s="109" t="s">
        <v>27</v>
      </c>
      <c r="F304" s="118">
        <v>5.02067276E8</v>
      </c>
      <c r="G304" s="109" t="s">
        <v>27</v>
      </c>
      <c r="H304" s="109" t="s">
        <v>27</v>
      </c>
      <c r="I304" s="150" t="s">
        <v>2524</v>
      </c>
      <c r="J304" s="138"/>
      <c r="K304" s="109" t="s">
        <v>36</v>
      </c>
      <c r="L304" s="22"/>
      <c r="M304" s="27" t="s">
        <v>88</v>
      </c>
      <c r="N304" s="17" t="s">
        <v>56</v>
      </c>
      <c r="O304" s="108" t="s">
        <v>42</v>
      </c>
      <c r="P304" s="29"/>
      <c r="Q304" s="109" t="s">
        <v>44</v>
      </c>
      <c r="R304" s="39" t="s">
        <v>68</v>
      </c>
      <c r="S304" s="29"/>
      <c r="T304" s="29"/>
      <c r="U304" s="29"/>
      <c r="V304" s="26">
        <v>5.0</v>
      </c>
    </row>
    <row r="305">
      <c r="A305" s="12">
        <v>304.0</v>
      </c>
      <c r="B305" s="136">
        <v>46077.0</v>
      </c>
      <c r="C305" s="109" t="s">
        <v>58</v>
      </c>
      <c r="D305" s="16" t="s">
        <v>60</v>
      </c>
      <c r="E305" s="109" t="s">
        <v>27</v>
      </c>
      <c r="F305" s="118">
        <v>1.14797399E8</v>
      </c>
      <c r="G305" s="109" t="s">
        <v>27</v>
      </c>
      <c r="H305" s="109" t="s">
        <v>27</v>
      </c>
      <c r="I305" s="30" t="s">
        <v>2528</v>
      </c>
      <c r="J305" s="19" t="s">
        <v>35</v>
      </c>
      <c r="K305" s="109" t="s">
        <v>36</v>
      </c>
      <c r="L305" s="22"/>
      <c r="M305" s="27" t="s">
        <v>88</v>
      </c>
      <c r="N305" s="17" t="s">
        <v>56</v>
      </c>
      <c r="O305" s="108" t="s">
        <v>42</v>
      </c>
      <c r="P305" s="29"/>
      <c r="Q305" s="109" t="s">
        <v>49</v>
      </c>
      <c r="R305" s="39" t="s">
        <v>68</v>
      </c>
      <c r="S305" s="29"/>
      <c r="T305" s="29"/>
      <c r="U305" s="29"/>
      <c r="V305" s="26">
        <v>5.0</v>
      </c>
    </row>
    <row r="306">
      <c r="A306" s="12">
        <v>305.0</v>
      </c>
      <c r="B306" s="136">
        <v>46077.0</v>
      </c>
      <c r="C306" s="109" t="s">
        <v>21</v>
      </c>
      <c r="D306" s="16" t="s">
        <v>34</v>
      </c>
      <c r="E306" s="113" t="s">
        <v>2529</v>
      </c>
      <c r="F306" s="118">
        <v>5.5922146E8</v>
      </c>
      <c r="G306" s="113" t="s">
        <v>1452</v>
      </c>
      <c r="H306" s="109" t="s">
        <v>27</v>
      </c>
      <c r="I306" s="30" t="s">
        <v>2532</v>
      </c>
      <c r="J306" s="141" t="s">
        <v>2533</v>
      </c>
      <c r="K306" s="109" t="s">
        <v>36</v>
      </c>
      <c r="L306" s="22"/>
      <c r="M306" s="27" t="s">
        <v>38</v>
      </c>
      <c r="N306" s="17" t="s">
        <v>56</v>
      </c>
      <c r="O306" s="108" t="s">
        <v>42</v>
      </c>
      <c r="P306" s="29"/>
      <c r="Q306" s="109" t="s">
        <v>49</v>
      </c>
      <c r="R306" s="39" t="s">
        <v>68</v>
      </c>
      <c r="S306" s="29"/>
      <c r="T306" s="29"/>
      <c r="U306" s="29"/>
      <c r="V306" s="26">
        <v>5.0</v>
      </c>
    </row>
    <row r="307">
      <c r="A307" s="12">
        <v>306.0</v>
      </c>
      <c r="B307" s="136">
        <v>46077.0</v>
      </c>
      <c r="C307" s="109" t="s">
        <v>58</v>
      </c>
      <c r="D307" s="16" t="s">
        <v>60</v>
      </c>
      <c r="E307" s="113" t="s">
        <v>922</v>
      </c>
      <c r="F307" s="118">
        <v>5.03032293E8</v>
      </c>
      <c r="G307" s="113" t="s">
        <v>2537</v>
      </c>
      <c r="H307" s="109" t="s">
        <v>27</v>
      </c>
      <c r="I307" s="30" t="s">
        <v>2539</v>
      </c>
      <c r="J307" s="19" t="s">
        <v>35</v>
      </c>
      <c r="K307" s="109" t="s">
        <v>36</v>
      </c>
      <c r="L307" s="22"/>
      <c r="M307" s="27" t="s">
        <v>88</v>
      </c>
      <c r="N307" s="17" t="s">
        <v>56</v>
      </c>
      <c r="O307" s="108" t="s">
        <v>42</v>
      </c>
      <c r="P307" s="29"/>
      <c r="Q307" s="109" t="s">
        <v>49</v>
      </c>
      <c r="R307" s="39" t="s">
        <v>68</v>
      </c>
      <c r="S307" s="29"/>
      <c r="T307" s="29"/>
      <c r="U307" s="29"/>
      <c r="V307" s="26">
        <v>5.0</v>
      </c>
    </row>
    <row r="308">
      <c r="A308" s="12">
        <v>307.0</v>
      </c>
      <c r="B308" s="136">
        <v>46077.0</v>
      </c>
      <c r="C308" s="109" t="s">
        <v>21</v>
      </c>
      <c r="D308" s="16" t="s">
        <v>24</v>
      </c>
      <c r="E308" s="113" t="s">
        <v>118</v>
      </c>
      <c r="F308" s="118">
        <v>5.59105953E8</v>
      </c>
      <c r="G308" s="113" t="s">
        <v>41</v>
      </c>
      <c r="H308" s="109" t="s">
        <v>27</v>
      </c>
      <c r="I308" s="30" t="s">
        <v>2546</v>
      </c>
      <c r="J308" s="69" t="s">
        <v>35</v>
      </c>
      <c r="K308" s="109" t="s">
        <v>36</v>
      </c>
      <c r="L308" s="22"/>
      <c r="M308" s="27" t="s">
        <v>38</v>
      </c>
      <c r="N308" s="22" t="s">
        <v>56</v>
      </c>
      <c r="O308" s="109" t="s">
        <v>42</v>
      </c>
      <c r="P308" s="29"/>
      <c r="Q308" s="109" t="s">
        <v>49</v>
      </c>
      <c r="R308" s="139" t="s">
        <v>46</v>
      </c>
      <c r="S308" s="29"/>
      <c r="T308" s="29"/>
      <c r="U308" s="29"/>
      <c r="V308" s="26">
        <v>5.0</v>
      </c>
    </row>
    <row r="309">
      <c r="A309" s="12">
        <v>308.0</v>
      </c>
      <c r="B309" s="136">
        <v>46077.0</v>
      </c>
      <c r="C309" s="109" t="s">
        <v>21</v>
      </c>
      <c r="D309" s="16" t="s">
        <v>22</v>
      </c>
      <c r="E309" s="113" t="s">
        <v>1339</v>
      </c>
      <c r="F309" s="118">
        <v>5.55244271E8</v>
      </c>
      <c r="G309" s="113" t="s">
        <v>333</v>
      </c>
      <c r="H309" s="109" t="s">
        <v>27</v>
      </c>
      <c r="I309" s="30" t="s">
        <v>2554</v>
      </c>
      <c r="J309" s="69" t="s">
        <v>35</v>
      </c>
      <c r="K309" s="109" t="s">
        <v>36</v>
      </c>
      <c r="L309" s="22"/>
      <c r="M309" s="27" t="s">
        <v>38</v>
      </c>
      <c r="N309" s="22" t="s">
        <v>56</v>
      </c>
      <c r="O309" s="109" t="s">
        <v>42</v>
      </c>
      <c r="P309" s="29"/>
      <c r="Q309" s="109" t="s">
        <v>49</v>
      </c>
      <c r="R309" s="139" t="s">
        <v>46</v>
      </c>
      <c r="S309" s="29"/>
      <c r="T309" s="29"/>
      <c r="U309" s="29"/>
      <c r="V309" s="26">
        <v>5.0</v>
      </c>
    </row>
    <row r="310">
      <c r="A310" s="12">
        <v>309.0</v>
      </c>
      <c r="B310" s="136">
        <v>46077.0</v>
      </c>
      <c r="C310" s="109" t="s">
        <v>58</v>
      </c>
      <c r="D310" s="16" t="s">
        <v>60</v>
      </c>
      <c r="E310" s="109" t="s">
        <v>27</v>
      </c>
      <c r="F310" s="118">
        <v>5.3479267E8</v>
      </c>
      <c r="G310" s="109" t="s">
        <v>27</v>
      </c>
      <c r="H310" s="109" t="s">
        <v>27</v>
      </c>
      <c r="I310" s="30" t="s">
        <v>2558</v>
      </c>
      <c r="J310" s="19" t="s">
        <v>35</v>
      </c>
      <c r="K310" s="109" t="s">
        <v>36</v>
      </c>
      <c r="L310" s="22"/>
      <c r="M310" s="27" t="s">
        <v>88</v>
      </c>
      <c r="N310" s="17" t="s">
        <v>56</v>
      </c>
      <c r="O310" s="108" t="s">
        <v>42</v>
      </c>
      <c r="P310" s="29"/>
      <c r="Q310" s="109" t="s">
        <v>49</v>
      </c>
      <c r="R310" s="39" t="s">
        <v>68</v>
      </c>
      <c r="S310" s="29"/>
      <c r="T310" s="29"/>
      <c r="U310" s="29"/>
      <c r="V310" s="26">
        <v>5.0</v>
      </c>
    </row>
    <row r="311">
      <c r="A311" s="12">
        <v>310.0</v>
      </c>
      <c r="B311" s="136">
        <v>46077.0</v>
      </c>
      <c r="C311" s="109" t="s">
        <v>21</v>
      </c>
      <c r="D311" s="16" t="s">
        <v>22</v>
      </c>
      <c r="E311" s="113" t="s">
        <v>2563</v>
      </c>
      <c r="F311" s="109">
        <v>5.50855026E8</v>
      </c>
      <c r="G311" s="113" t="s">
        <v>2537</v>
      </c>
      <c r="H311" s="109" t="s">
        <v>27</v>
      </c>
      <c r="I311" s="30" t="s">
        <v>2565</v>
      </c>
      <c r="J311" s="19" t="s">
        <v>32</v>
      </c>
      <c r="K311" s="109" t="s">
        <v>321</v>
      </c>
      <c r="L311" s="22"/>
      <c r="M311" s="27" t="s">
        <v>38</v>
      </c>
      <c r="N311" s="22" t="s">
        <v>56</v>
      </c>
      <c r="O311" s="108" t="s">
        <v>42</v>
      </c>
      <c r="P311" s="29"/>
      <c r="Q311" s="109" t="s">
        <v>49</v>
      </c>
      <c r="R311" s="139" t="s">
        <v>46</v>
      </c>
      <c r="S311" s="29"/>
      <c r="T311" s="29"/>
      <c r="U311" s="29"/>
      <c r="V311" s="26">
        <v>5.0</v>
      </c>
    </row>
    <row r="312">
      <c r="A312" s="12">
        <v>311.0</v>
      </c>
      <c r="B312" s="136">
        <v>46077.0</v>
      </c>
      <c r="C312" s="109" t="s">
        <v>58</v>
      </c>
      <c r="D312" s="16" t="s">
        <v>60</v>
      </c>
      <c r="E312" s="109" t="s">
        <v>27</v>
      </c>
      <c r="F312" s="118">
        <v>5.98176921E8</v>
      </c>
      <c r="G312" s="109" t="s">
        <v>27</v>
      </c>
      <c r="H312" s="109" t="s">
        <v>27</v>
      </c>
      <c r="I312" s="30" t="s">
        <v>2481</v>
      </c>
      <c r="J312" s="19" t="s">
        <v>35</v>
      </c>
      <c r="K312" s="109" t="s">
        <v>36</v>
      </c>
      <c r="L312" s="22"/>
      <c r="M312" s="27" t="s">
        <v>88</v>
      </c>
      <c r="N312" s="17" t="s">
        <v>56</v>
      </c>
      <c r="O312" s="108" t="s">
        <v>42</v>
      </c>
      <c r="P312" s="29"/>
      <c r="Q312" s="109" t="s">
        <v>49</v>
      </c>
      <c r="R312" s="39" t="s">
        <v>68</v>
      </c>
      <c r="S312" s="29"/>
      <c r="T312" s="29"/>
      <c r="U312" s="29"/>
      <c r="V312" s="26">
        <v>5.0</v>
      </c>
    </row>
    <row r="313">
      <c r="A313" s="12">
        <v>312.0</v>
      </c>
      <c r="B313" s="136">
        <v>46077.0</v>
      </c>
      <c r="C313" s="109" t="s">
        <v>21</v>
      </c>
      <c r="D313" s="16" t="s">
        <v>66</v>
      </c>
      <c r="E313" s="113" t="s">
        <v>2573</v>
      </c>
      <c r="F313" s="118">
        <v>5.9909147E8</v>
      </c>
      <c r="G313" s="113" t="s">
        <v>71</v>
      </c>
      <c r="H313" s="109" t="s">
        <v>27</v>
      </c>
      <c r="I313" s="30" t="s">
        <v>2574</v>
      </c>
      <c r="J313" s="19" t="s">
        <v>35</v>
      </c>
      <c r="K313" s="109" t="s">
        <v>36</v>
      </c>
      <c r="L313" s="22"/>
      <c r="M313" s="27" t="s">
        <v>38</v>
      </c>
      <c r="N313" s="17" t="s">
        <v>56</v>
      </c>
      <c r="O313" s="108" t="s">
        <v>42</v>
      </c>
      <c r="P313" s="29"/>
      <c r="Q313" s="109" t="s">
        <v>49</v>
      </c>
      <c r="R313" s="39" t="s">
        <v>68</v>
      </c>
      <c r="S313" s="29"/>
      <c r="T313" s="29"/>
      <c r="U313" s="29"/>
      <c r="V313" s="26">
        <v>5.0</v>
      </c>
    </row>
    <row r="314">
      <c r="A314" s="12">
        <v>313.0</v>
      </c>
      <c r="B314" s="136">
        <v>46077.0</v>
      </c>
      <c r="C314" s="109" t="s">
        <v>47</v>
      </c>
      <c r="D314" s="16" t="s">
        <v>48</v>
      </c>
      <c r="E314" s="113" t="s">
        <v>2578</v>
      </c>
      <c r="F314" s="118">
        <v>5.55579271E8</v>
      </c>
      <c r="G314" s="113" t="s">
        <v>2580</v>
      </c>
      <c r="H314" s="109" t="s">
        <v>1114</v>
      </c>
      <c r="I314" s="30" t="s">
        <v>2582</v>
      </c>
      <c r="J314" s="138" t="s">
        <v>2583</v>
      </c>
      <c r="K314" s="109" t="s">
        <v>36</v>
      </c>
      <c r="L314" s="22"/>
      <c r="M314" s="27" t="s">
        <v>221</v>
      </c>
      <c r="N314" s="22" t="s">
        <v>56</v>
      </c>
      <c r="O314" s="108" t="s">
        <v>42</v>
      </c>
      <c r="P314" s="29"/>
      <c r="Q314" s="109" t="s">
        <v>49</v>
      </c>
      <c r="R314" s="139" t="s">
        <v>46</v>
      </c>
      <c r="S314" s="29"/>
      <c r="T314" s="29"/>
      <c r="U314" s="29"/>
      <c r="V314" s="26">
        <v>5.0</v>
      </c>
    </row>
    <row r="315">
      <c r="A315" s="12">
        <v>314.0</v>
      </c>
      <c r="B315" s="136">
        <v>46077.0</v>
      </c>
      <c r="C315" s="109" t="s">
        <v>47</v>
      </c>
      <c r="D315" s="16" t="s">
        <v>48</v>
      </c>
      <c r="E315" s="113" t="s">
        <v>284</v>
      </c>
      <c r="F315" s="21" t="s">
        <v>27</v>
      </c>
      <c r="G315" s="23" t="s">
        <v>41</v>
      </c>
      <c r="H315" s="109" t="s">
        <v>222</v>
      </c>
      <c r="I315" s="30" t="s">
        <v>2591</v>
      </c>
      <c r="J315" s="138" t="s">
        <v>2592</v>
      </c>
      <c r="K315" s="109" t="s">
        <v>78</v>
      </c>
      <c r="L315" s="22"/>
      <c r="M315" s="27" t="s">
        <v>55</v>
      </c>
      <c r="N315" s="22" t="s">
        <v>56</v>
      </c>
      <c r="O315" s="108" t="s">
        <v>42</v>
      </c>
      <c r="P315" s="29"/>
      <c r="Q315" s="109" t="s">
        <v>49</v>
      </c>
      <c r="R315" s="139" t="s">
        <v>46</v>
      </c>
      <c r="S315" s="29"/>
      <c r="T315" s="29"/>
      <c r="U315" s="29"/>
      <c r="V315" s="26">
        <v>5.0</v>
      </c>
    </row>
    <row r="316" ht="57.0" customHeight="1">
      <c r="A316" s="12">
        <v>315.0</v>
      </c>
      <c r="B316" s="136">
        <v>46077.0</v>
      </c>
      <c r="C316" s="109" t="s">
        <v>47</v>
      </c>
      <c r="D316" s="16" t="s">
        <v>48</v>
      </c>
      <c r="E316" s="113" t="s">
        <v>2599</v>
      </c>
      <c r="F316" s="21" t="s">
        <v>27</v>
      </c>
      <c r="G316" s="23" t="s">
        <v>41</v>
      </c>
      <c r="H316" s="109" t="s">
        <v>222</v>
      </c>
      <c r="I316" s="30" t="s">
        <v>2600</v>
      </c>
      <c r="J316" s="138" t="s">
        <v>2601</v>
      </c>
      <c r="K316" s="109" t="s">
        <v>78</v>
      </c>
      <c r="L316" s="22"/>
      <c r="M316" s="27" t="s">
        <v>2143</v>
      </c>
      <c r="N316" s="22" t="s">
        <v>56</v>
      </c>
      <c r="O316" s="108" t="s">
        <v>42</v>
      </c>
      <c r="P316" s="29"/>
      <c r="Q316" s="109" t="s">
        <v>49</v>
      </c>
      <c r="R316" s="139" t="s">
        <v>46</v>
      </c>
      <c r="S316" s="29"/>
      <c r="T316" s="29"/>
      <c r="U316" s="29"/>
      <c r="V316" s="26">
        <v>5.0</v>
      </c>
    </row>
  </sheetData>
  <autoFilter ref="$A$1:$V$316"/>
  <dataValidations>
    <dataValidation type="list" allowBlank="1" showErrorMessage="1" sqref="C2:C316">
      <formula1>"Complaint,Requests,inquiries"</formula1>
    </dataValidation>
    <dataValidation type="list" allowBlank="1" showErrorMessage="1" sqref="O2:O316">
      <formula1>"High,Medium,Low,Urgent"</formula1>
    </dataValidation>
    <dataValidation type="list" allowBlank="1" showErrorMessage="1" sqref="N2:N316">
      <formula1>"In process,Closed"</formula1>
    </dataValidation>
    <dataValidation type="list" allowBlank="1" showErrorMessage="1" sqref="Q2:Q316">
      <formula1>"Samia,Amani"</formula1>
    </dataValidation>
    <dataValidation type="list" allowBlank="1" showErrorMessage="1" sqref="R2:R316">
      <formula1>"Uploaded,Non"</formula1>
    </dataValidation>
    <dataValidation type="list" allowBlank="1" showErrorMessage="1" sqref="K2:K316">
      <formula1>"Call,Google maps,X,Tiktok,SurveyApp,Email,Website,Instgram,Voicemaill,WhatsApp"</formula1>
    </dataValidation>
    <dataValidation type="list" allowBlank="1" showErrorMessage="1" sqref="V2:V316">
      <formula1>"0,1,2,3,4,5"</formula1>
    </dataValidation>
    <dataValidation type="list" allowBlank="1" showErrorMessage="1" sqref="D2:D15 D17:D48 D52:D316">
      <formula1>"Customer S,Operations ,Investment,Real Estate,Franchise ,Marketing ,Maintenance,Environment,Project M,HR,Procurement,Finance,IT"</formula1>
    </dataValidation>
    <dataValidation type="list" allowBlank="1" showErrorMessage="1" sqref="D16">
      <formula1>"Customer Service,Operations ,Investment,Real Estate,Franchise ,HR,Project M,Marketing ,Procurement,IT"</formula1>
    </dataValidation>
    <dataValidation type="list" allowBlank="1" showErrorMessage="1" sqref="D49:D51">
      <formula1>"Customer Service,Operations ,Investment,Real Estate,Franchise ,Marketing ,Maintenance,Environment,Project M,HR,Procurement,Finance"</formula1>
    </dataValidation>
  </dataValidations>
  <hyperlinks>
    <hyperlink r:id="rId1" ref="I99"/>
    <hyperlink r:id="rId2" ref="I141"/>
    <hyperlink r:id="rId3" ref="I290"/>
  </hyperlinks>
  <printOptions gridLines="1" horizontalCentered="1"/>
  <pageMargins bottom="0.75" footer="0.0" header="0.0" left="0.7" right="0.7" top="0.75"/>
  <pageSetup fitToHeight="0" paperSize="13" cellComments="atEnd" orientation="landscape" pageOrder="overThenDown"/>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pane xSplit="4.0" topLeftCell="E1" activePane="topRight" state="frozen"/>
      <selection activeCell="F2" sqref="F2" pane="topRight"/>
    </sheetView>
  </sheetViews>
  <sheetFormatPr customHeight="1" defaultColWidth="12.63" defaultRowHeight="15.75"/>
  <cols>
    <col customWidth="1" min="1" max="1" width="2.88"/>
    <col customWidth="1" min="2" max="2" width="7.0"/>
    <col customWidth="1" min="3" max="3" width="13.63"/>
    <col customWidth="1" min="4" max="4" width="13.5"/>
    <col customWidth="1" min="5" max="5" width="10.5"/>
    <col customWidth="1" min="6" max="6" width="10.25"/>
    <col customWidth="1" min="7" max="7" width="6.25"/>
    <col customWidth="1" min="8" max="8" width="8.5"/>
    <col customWidth="1" min="9" max="9" width="40.63"/>
    <col customWidth="1" min="10" max="10" width="26.25"/>
    <col customWidth="1" min="11" max="11" width="31.63"/>
    <col customWidth="1" min="12" max="12" width="30.38"/>
    <col customWidth="1" min="13" max="13" width="9.13"/>
    <col customWidth="1" min="14" max="14" width="15.13"/>
    <col customWidth="1" min="15" max="15" width="17.88"/>
    <col customWidth="1" min="16" max="16" width="9.5"/>
    <col customWidth="1" min="17" max="17" width="16.25"/>
    <col customWidth="1" min="18" max="18" width="14.75"/>
    <col customWidth="1" min="19" max="22" width="9.5"/>
  </cols>
  <sheetData>
    <row r="1" ht="37.5" customHeight="1">
      <c r="A1" s="2"/>
      <c r="B1" s="2" t="s">
        <v>0</v>
      </c>
      <c r="C1" s="2" t="s">
        <v>1</v>
      </c>
      <c r="D1" s="2" t="s">
        <v>3</v>
      </c>
      <c r="E1" s="2" t="s">
        <v>4</v>
      </c>
      <c r="F1" s="2" t="s">
        <v>4</v>
      </c>
      <c r="G1" s="4" t="s">
        <v>6</v>
      </c>
      <c r="H1" s="4" t="s">
        <v>7</v>
      </c>
      <c r="I1" s="2" t="s">
        <v>8</v>
      </c>
      <c r="J1" s="4" t="s">
        <v>9</v>
      </c>
      <c r="K1" s="2" t="s">
        <v>10</v>
      </c>
      <c r="L1" s="6" t="s">
        <v>11</v>
      </c>
      <c r="M1" s="7" t="s">
        <v>12</v>
      </c>
      <c r="N1" s="9" t="s">
        <v>13</v>
      </c>
      <c r="O1" s="10" t="s">
        <v>14</v>
      </c>
      <c r="P1" s="11" t="s">
        <v>15</v>
      </c>
      <c r="Q1" s="3" t="s">
        <v>16</v>
      </c>
      <c r="R1" s="4" t="s">
        <v>17</v>
      </c>
      <c r="S1" s="5" t="s">
        <v>15</v>
      </c>
      <c r="T1" s="5" t="s">
        <v>18</v>
      </c>
      <c r="U1" s="5" t="s">
        <v>19</v>
      </c>
      <c r="V1" s="2" t="s">
        <v>20</v>
      </c>
    </row>
    <row r="2" hidden="1">
      <c r="A2" s="13">
        <v>1.0</v>
      </c>
      <c r="B2" s="15">
        <v>46082.0</v>
      </c>
      <c r="C2" s="13" t="s">
        <v>21</v>
      </c>
      <c r="D2" s="13" t="s">
        <v>24</v>
      </c>
      <c r="E2" s="20" t="s">
        <v>26</v>
      </c>
      <c r="F2" s="13">
        <v>5.56343205E8</v>
      </c>
      <c r="G2" s="20" t="s">
        <v>29</v>
      </c>
      <c r="H2" s="13" t="s">
        <v>27</v>
      </c>
      <c r="I2" s="20" t="s">
        <v>33</v>
      </c>
      <c r="J2" s="20" t="s">
        <v>35</v>
      </c>
      <c r="K2" s="13" t="s">
        <v>39</v>
      </c>
      <c r="L2" s="28"/>
      <c r="M2" s="27" t="s">
        <v>38</v>
      </c>
      <c r="N2" s="13" t="s">
        <v>40</v>
      </c>
      <c r="O2" s="13" t="s">
        <v>42</v>
      </c>
      <c r="P2" s="34"/>
      <c r="Q2" s="13" t="s">
        <v>49</v>
      </c>
      <c r="R2" s="13" t="s">
        <v>46</v>
      </c>
      <c r="S2" s="37"/>
      <c r="T2" s="37"/>
      <c r="U2" s="26"/>
      <c r="V2" s="37">
        <v>5.0</v>
      </c>
    </row>
    <row r="3" hidden="1">
      <c r="A3" s="13">
        <v>2.0</v>
      </c>
      <c r="B3" s="15">
        <v>46082.0</v>
      </c>
      <c r="C3" s="13" t="s">
        <v>58</v>
      </c>
      <c r="D3" s="13" t="s">
        <v>60</v>
      </c>
      <c r="E3" s="13" t="s">
        <v>27</v>
      </c>
      <c r="F3" s="13">
        <v>5.65375764E8</v>
      </c>
      <c r="G3" s="13" t="s">
        <v>27</v>
      </c>
      <c r="H3" s="13" t="s">
        <v>27</v>
      </c>
      <c r="I3" s="20" t="s">
        <v>63</v>
      </c>
      <c r="J3" s="20" t="s">
        <v>64</v>
      </c>
      <c r="K3" s="13" t="s">
        <v>65</v>
      </c>
      <c r="L3" s="26"/>
      <c r="M3" s="27" t="s">
        <v>38</v>
      </c>
      <c r="N3" s="13" t="s">
        <v>56</v>
      </c>
      <c r="O3" s="13" t="s">
        <v>42</v>
      </c>
      <c r="P3" s="34"/>
      <c r="Q3" s="13" t="s">
        <v>44</v>
      </c>
      <c r="R3" s="13" t="s">
        <v>68</v>
      </c>
      <c r="S3" s="37"/>
      <c r="T3" s="37"/>
      <c r="U3" s="26"/>
      <c r="V3" s="37">
        <v>5.0</v>
      </c>
    </row>
    <row r="4" hidden="1">
      <c r="A4" s="13">
        <v>3.0</v>
      </c>
      <c r="B4" s="15">
        <v>46082.0</v>
      </c>
      <c r="C4" s="13" t="s">
        <v>21</v>
      </c>
      <c r="D4" s="13" t="s">
        <v>22</v>
      </c>
      <c r="E4" s="20" t="s">
        <v>73</v>
      </c>
      <c r="F4" s="13">
        <v>5.04735732E8</v>
      </c>
      <c r="G4" s="20" t="s">
        <v>76</v>
      </c>
      <c r="H4" s="13" t="s">
        <v>27</v>
      </c>
      <c r="I4" s="20" t="s">
        <v>81</v>
      </c>
      <c r="J4" s="20" t="s">
        <v>35</v>
      </c>
      <c r="K4" s="13" t="s">
        <v>36</v>
      </c>
      <c r="L4" s="26"/>
      <c r="M4" s="27" t="s">
        <v>38</v>
      </c>
      <c r="N4" s="13" t="s">
        <v>40</v>
      </c>
      <c r="O4" s="13" t="s">
        <v>42</v>
      </c>
      <c r="P4" s="34"/>
      <c r="Q4" s="13" t="s">
        <v>44</v>
      </c>
      <c r="R4" s="13" t="s">
        <v>46</v>
      </c>
      <c r="S4" s="37"/>
      <c r="T4" s="37"/>
      <c r="U4" s="26"/>
      <c r="V4" s="37">
        <v>5.0</v>
      </c>
    </row>
    <row r="5" hidden="1">
      <c r="A5" s="13">
        <v>4.0</v>
      </c>
      <c r="B5" s="15">
        <v>46082.0</v>
      </c>
      <c r="C5" s="13" t="s">
        <v>21</v>
      </c>
      <c r="D5" s="13" t="s">
        <v>24</v>
      </c>
      <c r="E5" s="20" t="s">
        <v>91</v>
      </c>
      <c r="F5" s="13">
        <v>5.46622263E8</v>
      </c>
      <c r="G5" s="20" t="s">
        <v>71</v>
      </c>
      <c r="H5" s="13" t="s">
        <v>27</v>
      </c>
      <c r="I5" s="20" t="s">
        <v>93</v>
      </c>
      <c r="J5" s="20" t="s">
        <v>35</v>
      </c>
      <c r="K5" s="13" t="s">
        <v>36</v>
      </c>
      <c r="L5" s="26"/>
      <c r="M5" s="27" t="s">
        <v>38</v>
      </c>
      <c r="N5" s="13" t="s">
        <v>40</v>
      </c>
      <c r="O5" s="13" t="s">
        <v>42</v>
      </c>
      <c r="P5" s="34"/>
      <c r="Q5" s="13" t="s">
        <v>44</v>
      </c>
      <c r="R5" s="13" t="s">
        <v>46</v>
      </c>
      <c r="S5" s="37"/>
      <c r="T5" s="37"/>
      <c r="U5" s="26"/>
      <c r="V5" s="37">
        <v>5.0</v>
      </c>
    </row>
    <row r="6" hidden="1">
      <c r="A6" s="13">
        <v>5.0</v>
      </c>
      <c r="B6" s="15">
        <v>46082.0</v>
      </c>
      <c r="C6" s="13" t="s">
        <v>21</v>
      </c>
      <c r="D6" s="13" t="s">
        <v>22</v>
      </c>
      <c r="E6" s="20" t="s">
        <v>103</v>
      </c>
      <c r="F6" s="13">
        <v>5.32896679E8</v>
      </c>
      <c r="G6" s="20" t="s">
        <v>79</v>
      </c>
      <c r="H6" s="13" t="s">
        <v>27</v>
      </c>
      <c r="I6" s="20" t="s">
        <v>105</v>
      </c>
      <c r="J6" s="20" t="s">
        <v>35</v>
      </c>
      <c r="K6" s="13" t="s">
        <v>36</v>
      </c>
      <c r="L6" s="26"/>
      <c r="M6" s="27" t="s">
        <v>38</v>
      </c>
      <c r="N6" s="13" t="s">
        <v>40</v>
      </c>
      <c r="O6" s="13" t="s">
        <v>42</v>
      </c>
      <c r="P6" s="34"/>
      <c r="Q6" s="13" t="s">
        <v>44</v>
      </c>
      <c r="R6" s="13" t="s">
        <v>46</v>
      </c>
      <c r="S6" s="37"/>
      <c r="T6" s="37"/>
      <c r="U6" s="26"/>
      <c r="V6" s="37">
        <v>5.0</v>
      </c>
    </row>
    <row r="7" hidden="1">
      <c r="A7" s="13">
        <v>6.0</v>
      </c>
      <c r="B7" s="15">
        <v>46082.0</v>
      </c>
      <c r="C7" s="13" t="s">
        <v>58</v>
      </c>
      <c r="D7" s="13" t="s">
        <v>60</v>
      </c>
      <c r="E7" s="13" t="s">
        <v>27</v>
      </c>
      <c r="F7" s="13">
        <v>5.70610049E8</v>
      </c>
      <c r="G7" s="13" t="s">
        <v>27</v>
      </c>
      <c r="H7" s="13" t="s">
        <v>27</v>
      </c>
      <c r="I7" s="20" t="s">
        <v>116</v>
      </c>
      <c r="J7" s="20" t="s">
        <v>35</v>
      </c>
      <c r="K7" s="13" t="s">
        <v>36</v>
      </c>
      <c r="L7" s="26"/>
      <c r="M7" s="27" t="s">
        <v>88</v>
      </c>
      <c r="N7" s="13" t="s">
        <v>56</v>
      </c>
      <c r="O7" s="13" t="s">
        <v>42</v>
      </c>
      <c r="P7" s="34"/>
      <c r="Q7" s="13" t="s">
        <v>49</v>
      </c>
      <c r="R7" s="13" t="s">
        <v>68</v>
      </c>
      <c r="S7" s="37"/>
      <c r="T7" s="37"/>
      <c r="U7" s="26"/>
      <c r="V7" s="37">
        <v>5.0</v>
      </c>
    </row>
    <row r="8">
      <c r="A8" s="13">
        <v>7.0</v>
      </c>
      <c r="B8" s="15">
        <v>46082.0</v>
      </c>
      <c r="C8" s="13" t="s">
        <v>47</v>
      </c>
      <c r="D8" s="13" t="s">
        <v>48</v>
      </c>
      <c r="E8" s="20" t="s">
        <v>126</v>
      </c>
      <c r="F8" s="13">
        <v>5.000506E8</v>
      </c>
      <c r="G8" s="20" t="s">
        <v>79</v>
      </c>
      <c r="H8" s="13" t="s">
        <v>80</v>
      </c>
      <c r="I8" s="20" t="s">
        <v>127</v>
      </c>
      <c r="J8" s="20" t="s">
        <v>128</v>
      </c>
      <c r="K8" s="13" t="s">
        <v>36</v>
      </c>
      <c r="L8" s="26"/>
      <c r="M8" s="27" t="s">
        <v>55</v>
      </c>
      <c r="N8" s="13" t="s">
        <v>56</v>
      </c>
      <c r="O8" s="13" t="s">
        <v>42</v>
      </c>
      <c r="P8" s="34"/>
      <c r="Q8" s="13" t="s">
        <v>44</v>
      </c>
      <c r="R8" s="13" t="s">
        <v>46</v>
      </c>
      <c r="S8" s="37"/>
      <c r="T8" s="37"/>
      <c r="U8" s="26"/>
      <c r="V8" s="37">
        <v>5.0</v>
      </c>
    </row>
    <row r="9" hidden="1">
      <c r="A9" s="13">
        <v>8.0</v>
      </c>
      <c r="B9" s="15">
        <v>46082.0</v>
      </c>
      <c r="C9" s="13" t="s">
        <v>21</v>
      </c>
      <c r="D9" s="13" t="s">
        <v>22</v>
      </c>
      <c r="E9" s="20" t="s">
        <v>136</v>
      </c>
      <c r="F9" s="13">
        <v>5.67635998E8</v>
      </c>
      <c r="G9" s="20" t="s">
        <v>79</v>
      </c>
      <c r="H9" s="13" t="s">
        <v>27</v>
      </c>
      <c r="I9" s="20" t="s">
        <v>137</v>
      </c>
      <c r="J9" s="20" t="s">
        <v>35</v>
      </c>
      <c r="K9" s="13" t="s">
        <v>36</v>
      </c>
      <c r="L9" s="26"/>
      <c r="M9" s="27" t="s">
        <v>38</v>
      </c>
      <c r="N9" s="13" t="s">
        <v>40</v>
      </c>
      <c r="O9" s="13" t="s">
        <v>42</v>
      </c>
      <c r="P9" s="34"/>
      <c r="Q9" s="13" t="s">
        <v>44</v>
      </c>
      <c r="R9" s="13" t="s">
        <v>46</v>
      </c>
      <c r="S9" s="37"/>
      <c r="T9" s="37"/>
      <c r="U9" s="26"/>
      <c r="V9" s="37">
        <v>5.0</v>
      </c>
    </row>
    <row r="10" hidden="1">
      <c r="A10" s="13">
        <v>9.0</v>
      </c>
      <c r="B10" s="15">
        <v>46082.0</v>
      </c>
      <c r="C10" s="13" t="s">
        <v>21</v>
      </c>
      <c r="D10" s="13" t="s">
        <v>57</v>
      </c>
      <c r="E10" s="20" t="s">
        <v>151</v>
      </c>
      <c r="F10" s="13">
        <v>5.40282925E8</v>
      </c>
      <c r="G10" s="20" t="s">
        <v>152</v>
      </c>
      <c r="H10" s="13" t="s">
        <v>27</v>
      </c>
      <c r="I10" s="20" t="s">
        <v>155</v>
      </c>
      <c r="J10" s="20" t="s">
        <v>35</v>
      </c>
      <c r="K10" s="13" t="s">
        <v>65</v>
      </c>
      <c r="L10" s="26"/>
      <c r="M10" s="27" t="s">
        <v>38</v>
      </c>
      <c r="N10" s="13" t="s">
        <v>56</v>
      </c>
      <c r="O10" s="13" t="s">
        <v>42</v>
      </c>
      <c r="P10" s="34"/>
      <c r="Q10" s="13" t="s">
        <v>44</v>
      </c>
      <c r="R10" s="13" t="s">
        <v>68</v>
      </c>
      <c r="S10" s="37"/>
      <c r="T10" s="37"/>
      <c r="U10" s="26"/>
      <c r="V10" s="37">
        <v>5.0</v>
      </c>
    </row>
    <row r="11" hidden="1">
      <c r="A11" s="13">
        <v>10.0</v>
      </c>
      <c r="B11" s="15">
        <v>46082.0</v>
      </c>
      <c r="C11" s="13" t="s">
        <v>58</v>
      </c>
      <c r="D11" s="13" t="s">
        <v>60</v>
      </c>
      <c r="E11" s="13" t="s">
        <v>27</v>
      </c>
      <c r="F11" s="13">
        <v>5.65553663E8</v>
      </c>
      <c r="G11" s="13" t="s">
        <v>27</v>
      </c>
      <c r="H11" s="13" t="s">
        <v>27</v>
      </c>
      <c r="I11" s="13" t="s">
        <v>164</v>
      </c>
      <c r="J11" s="20" t="s">
        <v>64</v>
      </c>
      <c r="K11" s="13" t="s">
        <v>65</v>
      </c>
      <c r="L11" s="26"/>
      <c r="M11" s="27" t="s">
        <v>88</v>
      </c>
      <c r="N11" s="13" t="s">
        <v>56</v>
      </c>
      <c r="O11" s="13" t="s">
        <v>42</v>
      </c>
      <c r="P11" s="34"/>
      <c r="Q11" s="13" t="s">
        <v>44</v>
      </c>
      <c r="R11" s="13" t="s">
        <v>68</v>
      </c>
      <c r="S11" s="37"/>
      <c r="T11" s="37"/>
      <c r="U11" s="26"/>
      <c r="V11" s="37">
        <v>5.0</v>
      </c>
    </row>
    <row r="12" hidden="1">
      <c r="A12" s="13">
        <v>11.0</v>
      </c>
      <c r="B12" s="15">
        <v>46082.0</v>
      </c>
      <c r="C12" s="13" t="s">
        <v>58</v>
      </c>
      <c r="D12" s="13" t="s">
        <v>60</v>
      </c>
      <c r="E12" s="13" t="s">
        <v>27</v>
      </c>
      <c r="F12" s="13">
        <v>5.08717279E8</v>
      </c>
      <c r="G12" s="13" t="s">
        <v>27</v>
      </c>
      <c r="H12" s="13" t="s">
        <v>27</v>
      </c>
      <c r="I12" s="20" t="s">
        <v>175</v>
      </c>
      <c r="J12" s="20" t="s">
        <v>64</v>
      </c>
      <c r="K12" s="13" t="s">
        <v>65</v>
      </c>
      <c r="L12" s="26"/>
      <c r="M12" s="27" t="s">
        <v>88</v>
      </c>
      <c r="N12" s="13" t="s">
        <v>56</v>
      </c>
      <c r="O12" s="13" t="s">
        <v>42</v>
      </c>
      <c r="P12" s="34"/>
      <c r="Q12" s="13" t="s">
        <v>44</v>
      </c>
      <c r="R12" s="13" t="s">
        <v>68</v>
      </c>
      <c r="S12" s="37"/>
      <c r="T12" s="37"/>
      <c r="U12" s="26"/>
      <c r="V12" s="37">
        <v>5.0</v>
      </c>
    </row>
    <row r="13">
      <c r="A13" s="13">
        <v>12.0</v>
      </c>
      <c r="B13" s="15">
        <v>46082.0</v>
      </c>
      <c r="C13" s="13" t="s">
        <v>47</v>
      </c>
      <c r="D13" s="13" t="s">
        <v>48</v>
      </c>
      <c r="E13" s="20" t="s">
        <v>187</v>
      </c>
      <c r="F13" s="13">
        <v>5.94451651E8</v>
      </c>
      <c r="G13" s="20" t="s">
        <v>41</v>
      </c>
      <c r="H13" s="13" t="s">
        <v>188</v>
      </c>
      <c r="I13" s="20" t="s">
        <v>189</v>
      </c>
      <c r="J13" s="45" t="s">
        <v>191</v>
      </c>
      <c r="K13" s="13" t="s">
        <v>36</v>
      </c>
      <c r="L13" s="26"/>
      <c r="M13" s="27" t="s">
        <v>101</v>
      </c>
      <c r="N13" s="13" t="s">
        <v>56</v>
      </c>
      <c r="O13" s="13" t="s">
        <v>42</v>
      </c>
      <c r="P13" s="34"/>
      <c r="Q13" s="13" t="s">
        <v>44</v>
      </c>
      <c r="R13" s="13" t="s">
        <v>46</v>
      </c>
      <c r="S13" s="37"/>
      <c r="T13" s="37"/>
      <c r="U13" s="26"/>
      <c r="V13" s="37">
        <v>5.0</v>
      </c>
    </row>
    <row r="14" hidden="1">
      <c r="A14" s="13">
        <v>13.0</v>
      </c>
      <c r="B14" s="15">
        <v>46082.0</v>
      </c>
      <c r="C14" s="13" t="s">
        <v>21</v>
      </c>
      <c r="D14" s="13" t="s">
        <v>92</v>
      </c>
      <c r="E14" s="20" t="s">
        <v>200</v>
      </c>
      <c r="F14" s="13">
        <v>5.63418261E8</v>
      </c>
      <c r="G14" s="20" t="s">
        <v>71</v>
      </c>
      <c r="H14" s="13" t="s">
        <v>27</v>
      </c>
      <c r="I14" s="20" t="s">
        <v>203</v>
      </c>
      <c r="J14" s="20" t="s">
        <v>205</v>
      </c>
      <c r="K14" s="13" t="s">
        <v>36</v>
      </c>
      <c r="L14" s="26"/>
      <c r="M14" s="27" t="s">
        <v>208</v>
      </c>
      <c r="N14" s="13" t="s">
        <v>40</v>
      </c>
      <c r="O14" s="13" t="s">
        <v>42</v>
      </c>
      <c r="P14" s="34"/>
      <c r="Q14" s="13" t="s">
        <v>44</v>
      </c>
      <c r="R14" s="13" t="s">
        <v>68</v>
      </c>
      <c r="S14" s="37"/>
      <c r="T14" s="37"/>
      <c r="U14" s="26"/>
      <c r="V14" s="37">
        <v>5.0</v>
      </c>
    </row>
    <row r="15">
      <c r="A15" s="13">
        <v>14.0</v>
      </c>
      <c r="B15" s="15">
        <v>46082.0</v>
      </c>
      <c r="C15" s="13" t="s">
        <v>47</v>
      </c>
      <c r="D15" s="13" t="s">
        <v>92</v>
      </c>
      <c r="E15" s="20" t="s">
        <v>214</v>
      </c>
      <c r="F15" s="13">
        <v>5.31643411E8</v>
      </c>
      <c r="G15" s="20" t="s">
        <v>71</v>
      </c>
      <c r="H15" s="13" t="s">
        <v>94</v>
      </c>
      <c r="I15" s="20" t="s">
        <v>218</v>
      </c>
      <c r="J15" s="20" t="s">
        <v>35</v>
      </c>
      <c r="K15" s="13" t="s">
        <v>36</v>
      </c>
      <c r="L15" s="26"/>
      <c r="M15" s="27" t="s">
        <v>221</v>
      </c>
      <c r="N15" s="13" t="s">
        <v>40</v>
      </c>
      <c r="O15" s="13" t="s">
        <v>42</v>
      </c>
      <c r="P15" s="34"/>
      <c r="Q15" s="13" t="s">
        <v>44</v>
      </c>
      <c r="R15" s="13" t="s">
        <v>46</v>
      </c>
      <c r="S15" s="37"/>
      <c r="T15" s="37"/>
      <c r="U15" s="26"/>
      <c r="V15" s="37">
        <v>5.0</v>
      </c>
    </row>
    <row r="16" hidden="1">
      <c r="A16" s="13">
        <v>15.0</v>
      </c>
      <c r="B16" s="15">
        <v>46082.0</v>
      </c>
      <c r="C16" s="13" t="s">
        <v>58</v>
      </c>
      <c r="D16" s="13" t="s">
        <v>60</v>
      </c>
      <c r="E16" s="13" t="s">
        <v>27</v>
      </c>
      <c r="F16" s="13">
        <v>5.59646563E8</v>
      </c>
      <c r="G16" s="13" t="s">
        <v>27</v>
      </c>
      <c r="H16" s="13" t="s">
        <v>27</v>
      </c>
      <c r="I16" s="20" t="s">
        <v>228</v>
      </c>
      <c r="J16" s="20" t="s">
        <v>64</v>
      </c>
      <c r="K16" s="13" t="s">
        <v>65</v>
      </c>
      <c r="L16" s="26"/>
      <c r="M16" s="27" t="s">
        <v>88</v>
      </c>
      <c r="N16" s="13" t="s">
        <v>56</v>
      </c>
      <c r="O16" s="13" t="s">
        <v>42</v>
      </c>
      <c r="P16" s="34"/>
      <c r="Q16" s="13" t="s">
        <v>44</v>
      </c>
      <c r="R16" s="13" t="s">
        <v>68</v>
      </c>
      <c r="S16" s="37"/>
      <c r="T16" s="37"/>
      <c r="U16" s="26"/>
      <c r="V16" s="37">
        <v>5.0</v>
      </c>
    </row>
    <row r="17">
      <c r="A17" s="13">
        <v>16.0</v>
      </c>
      <c r="B17" s="15">
        <v>46082.0</v>
      </c>
      <c r="C17" s="13" t="s">
        <v>47</v>
      </c>
      <c r="D17" s="13" t="s">
        <v>92</v>
      </c>
      <c r="E17" s="20" t="s">
        <v>238</v>
      </c>
      <c r="F17" s="13">
        <v>5.44043799E8</v>
      </c>
      <c r="G17" s="20" t="s">
        <v>71</v>
      </c>
      <c r="H17" s="13" t="s">
        <v>242</v>
      </c>
      <c r="I17" s="20" t="s">
        <v>244</v>
      </c>
      <c r="J17" s="20" t="s">
        <v>245</v>
      </c>
      <c r="K17" s="13" t="s">
        <v>62</v>
      </c>
      <c r="L17" s="26"/>
      <c r="M17" s="27" t="s">
        <v>55</v>
      </c>
      <c r="N17" s="13" t="s">
        <v>56</v>
      </c>
      <c r="O17" s="13" t="s">
        <v>42</v>
      </c>
      <c r="P17" s="34"/>
      <c r="Q17" s="13" t="s">
        <v>44</v>
      </c>
      <c r="R17" s="13" t="s">
        <v>46</v>
      </c>
      <c r="S17" s="37"/>
      <c r="T17" s="37"/>
      <c r="U17" s="26"/>
      <c r="V17" s="37">
        <v>5.0</v>
      </c>
    </row>
    <row r="18" hidden="1">
      <c r="A18" s="13">
        <v>17.0</v>
      </c>
      <c r="B18" s="15">
        <v>46082.0</v>
      </c>
      <c r="C18" s="13" t="s">
        <v>47</v>
      </c>
      <c r="D18" s="13" t="s">
        <v>251</v>
      </c>
      <c r="E18" s="20" t="s">
        <v>85</v>
      </c>
      <c r="F18" s="13">
        <v>5.44001634E8</v>
      </c>
      <c r="G18" s="20" t="s">
        <v>41</v>
      </c>
      <c r="H18" s="13" t="s">
        <v>193</v>
      </c>
      <c r="I18" s="20" t="s">
        <v>256</v>
      </c>
      <c r="J18" s="20" t="s">
        <v>35</v>
      </c>
      <c r="K18" s="13" t="s">
        <v>148</v>
      </c>
      <c r="L18" s="26"/>
      <c r="M18" s="27" t="s">
        <v>55</v>
      </c>
      <c r="N18" s="13" t="s">
        <v>40</v>
      </c>
      <c r="O18" s="13" t="s">
        <v>42</v>
      </c>
      <c r="P18" s="34"/>
      <c r="Q18" s="13" t="s">
        <v>44</v>
      </c>
      <c r="R18" s="13" t="s">
        <v>46</v>
      </c>
      <c r="S18" s="37"/>
      <c r="T18" s="37"/>
      <c r="U18" s="26"/>
      <c r="V18" s="37">
        <v>5.0</v>
      </c>
    </row>
    <row r="19">
      <c r="A19" s="13">
        <v>18.0</v>
      </c>
      <c r="B19" s="15">
        <v>46082.0</v>
      </c>
      <c r="C19" s="13" t="s">
        <v>47</v>
      </c>
      <c r="D19" s="13" t="s">
        <v>138</v>
      </c>
      <c r="E19" s="13" t="s">
        <v>261</v>
      </c>
      <c r="F19" s="13">
        <v>5.09348729E8</v>
      </c>
      <c r="G19" s="20" t="s">
        <v>41</v>
      </c>
      <c r="H19" s="13" t="s">
        <v>146</v>
      </c>
      <c r="I19" s="20" t="s">
        <v>266</v>
      </c>
      <c r="J19" s="20" t="s">
        <v>269</v>
      </c>
      <c r="K19" s="13" t="s">
        <v>148</v>
      </c>
      <c r="L19" s="26"/>
      <c r="M19" s="27" t="s">
        <v>55</v>
      </c>
      <c r="N19" s="13" t="s">
        <v>56</v>
      </c>
      <c r="O19" s="13" t="s">
        <v>42</v>
      </c>
      <c r="P19" s="34"/>
      <c r="Q19" s="13" t="s">
        <v>44</v>
      </c>
      <c r="R19" s="13" t="s">
        <v>46</v>
      </c>
      <c r="S19" s="37"/>
      <c r="T19" s="37"/>
      <c r="U19" s="26"/>
      <c r="V19" s="37">
        <v>5.0</v>
      </c>
    </row>
    <row r="20">
      <c r="A20" s="13">
        <v>19.0</v>
      </c>
      <c r="B20" s="15">
        <v>46082.0</v>
      </c>
      <c r="C20" s="13" t="s">
        <v>47</v>
      </c>
      <c r="D20" s="13" t="s">
        <v>138</v>
      </c>
      <c r="E20" s="20" t="s">
        <v>276</v>
      </c>
      <c r="F20" s="13">
        <v>5.80500278E8</v>
      </c>
      <c r="G20" s="20" t="s">
        <v>41</v>
      </c>
      <c r="H20" s="13" t="s">
        <v>52</v>
      </c>
      <c r="I20" s="60" t="s">
        <v>280</v>
      </c>
      <c r="J20" s="20" t="s">
        <v>283</v>
      </c>
      <c r="K20" s="13" t="s">
        <v>148</v>
      </c>
      <c r="L20" s="26"/>
      <c r="M20" s="27" t="s">
        <v>55</v>
      </c>
      <c r="N20" s="13" t="s">
        <v>56</v>
      </c>
      <c r="O20" s="13" t="s">
        <v>42</v>
      </c>
      <c r="P20" s="34"/>
      <c r="Q20" s="13" t="s">
        <v>44</v>
      </c>
      <c r="R20" s="13" t="s">
        <v>46</v>
      </c>
      <c r="S20" s="37"/>
      <c r="T20" s="37"/>
      <c r="U20" s="26"/>
      <c r="V20" s="37">
        <v>5.0</v>
      </c>
    </row>
    <row r="21">
      <c r="A21" s="13">
        <v>20.0</v>
      </c>
      <c r="B21" s="15">
        <v>46082.0</v>
      </c>
      <c r="C21" s="13" t="s">
        <v>47</v>
      </c>
      <c r="D21" s="13" t="s">
        <v>138</v>
      </c>
      <c r="E21" s="13" t="s">
        <v>293</v>
      </c>
      <c r="F21" s="13">
        <v>5.37998523E8</v>
      </c>
      <c r="G21" s="20" t="s">
        <v>41</v>
      </c>
      <c r="H21" s="13" t="s">
        <v>294</v>
      </c>
      <c r="I21" s="20" t="s">
        <v>295</v>
      </c>
      <c r="J21" s="20" t="s">
        <v>296</v>
      </c>
      <c r="K21" s="13" t="s">
        <v>148</v>
      </c>
      <c r="L21" s="26"/>
      <c r="M21" s="27" t="s">
        <v>55</v>
      </c>
      <c r="N21" s="13" t="s">
        <v>56</v>
      </c>
      <c r="O21" s="13" t="s">
        <v>42</v>
      </c>
      <c r="P21" s="34"/>
      <c r="Q21" s="13" t="s">
        <v>44</v>
      </c>
      <c r="R21" s="13" t="s">
        <v>46</v>
      </c>
      <c r="S21" s="37"/>
      <c r="T21" s="37"/>
      <c r="U21" s="26"/>
      <c r="V21" s="37">
        <v>5.0</v>
      </c>
    </row>
    <row r="22" ht="35.25" hidden="1" customHeight="1">
      <c r="A22" s="13">
        <v>21.0</v>
      </c>
      <c r="B22" s="15">
        <v>46082.0</v>
      </c>
      <c r="C22" s="13" t="s">
        <v>21</v>
      </c>
      <c r="D22" s="13" t="s">
        <v>22</v>
      </c>
      <c r="E22" s="20" t="s">
        <v>307</v>
      </c>
      <c r="F22" s="13">
        <v>5.5554067E8</v>
      </c>
      <c r="G22" s="20" t="s">
        <v>76</v>
      </c>
      <c r="H22" s="13" t="s">
        <v>27</v>
      </c>
      <c r="I22" s="20" t="s">
        <v>309</v>
      </c>
      <c r="J22" s="20" t="s">
        <v>35</v>
      </c>
      <c r="K22" s="13" t="s">
        <v>39</v>
      </c>
      <c r="L22" s="26"/>
      <c r="M22" s="27" t="s">
        <v>38</v>
      </c>
      <c r="N22" s="13" t="s">
        <v>40</v>
      </c>
      <c r="O22" s="13" t="s">
        <v>42</v>
      </c>
      <c r="P22" s="34"/>
      <c r="Q22" s="13" t="s">
        <v>49</v>
      </c>
      <c r="R22" s="13" t="s">
        <v>46</v>
      </c>
      <c r="S22" s="37"/>
      <c r="T22" s="37"/>
      <c r="U22" s="26"/>
      <c r="V22" s="37">
        <v>5.0</v>
      </c>
    </row>
    <row r="23" hidden="1">
      <c r="A23" s="13">
        <v>22.0</v>
      </c>
      <c r="B23" s="15">
        <v>46082.0</v>
      </c>
      <c r="C23" s="13" t="s">
        <v>21</v>
      </c>
      <c r="D23" s="13" t="s">
        <v>24</v>
      </c>
      <c r="E23" s="20" t="s">
        <v>316</v>
      </c>
      <c r="F23" s="13">
        <v>5.91288815E8</v>
      </c>
      <c r="G23" s="20" t="s">
        <v>318</v>
      </c>
      <c r="H23" s="13" t="s">
        <v>27</v>
      </c>
      <c r="I23" s="20" t="s">
        <v>320</v>
      </c>
      <c r="J23" s="20" t="s">
        <v>35</v>
      </c>
      <c r="K23" s="13" t="s">
        <v>321</v>
      </c>
      <c r="L23" s="27"/>
      <c r="M23" s="27" t="s">
        <v>323</v>
      </c>
      <c r="N23" s="13" t="s">
        <v>40</v>
      </c>
      <c r="O23" s="13" t="s">
        <v>42</v>
      </c>
      <c r="P23" s="34"/>
      <c r="Q23" s="13" t="s">
        <v>49</v>
      </c>
      <c r="R23" s="13" t="s">
        <v>46</v>
      </c>
      <c r="S23" s="37"/>
      <c r="T23" s="37"/>
      <c r="U23" s="26"/>
      <c r="V23" s="37">
        <v>5.0</v>
      </c>
    </row>
    <row r="24">
      <c r="A24" s="13">
        <v>23.0</v>
      </c>
      <c r="B24" s="15">
        <v>46082.0</v>
      </c>
      <c r="C24" s="13" t="s">
        <v>47</v>
      </c>
      <c r="D24" s="13" t="s">
        <v>138</v>
      </c>
      <c r="E24" s="20" t="s">
        <v>328</v>
      </c>
      <c r="F24" s="13">
        <v>5.01234552E8</v>
      </c>
      <c r="G24" s="20" t="s">
        <v>41</v>
      </c>
      <c r="H24" s="13" t="s">
        <v>329</v>
      </c>
      <c r="I24" s="20" t="s">
        <v>331</v>
      </c>
      <c r="J24" s="20" t="s">
        <v>332</v>
      </c>
      <c r="K24" s="13" t="s">
        <v>148</v>
      </c>
      <c r="L24" s="26"/>
      <c r="M24" s="27" t="s">
        <v>55</v>
      </c>
      <c r="N24" s="13" t="s">
        <v>56</v>
      </c>
      <c r="O24" s="13" t="s">
        <v>42</v>
      </c>
      <c r="P24" s="34"/>
      <c r="Q24" s="13" t="s">
        <v>44</v>
      </c>
      <c r="R24" s="13" t="s">
        <v>46</v>
      </c>
      <c r="S24" s="37"/>
      <c r="T24" s="37"/>
      <c r="U24" s="26"/>
      <c r="V24" s="37">
        <v>5.0</v>
      </c>
    </row>
    <row r="25">
      <c r="A25" s="13">
        <v>24.0</v>
      </c>
      <c r="B25" s="15">
        <v>46082.0</v>
      </c>
      <c r="C25" s="13" t="s">
        <v>47</v>
      </c>
      <c r="D25" s="13" t="s">
        <v>138</v>
      </c>
      <c r="E25" s="13" t="s">
        <v>340</v>
      </c>
      <c r="F25" s="13">
        <v>5.37675828E8</v>
      </c>
      <c r="G25" s="20" t="s">
        <v>41</v>
      </c>
      <c r="H25" s="13" t="s">
        <v>146</v>
      </c>
      <c r="I25" s="20" t="s">
        <v>343</v>
      </c>
      <c r="J25" s="20" t="s">
        <v>344</v>
      </c>
      <c r="K25" s="13" t="s">
        <v>148</v>
      </c>
      <c r="L25" s="26"/>
      <c r="M25" s="27" t="s">
        <v>346</v>
      </c>
      <c r="N25" s="13" t="s">
        <v>56</v>
      </c>
      <c r="O25" s="13" t="s">
        <v>42</v>
      </c>
      <c r="P25" s="34"/>
      <c r="Q25" s="13" t="s">
        <v>44</v>
      </c>
      <c r="R25" s="13" t="s">
        <v>46</v>
      </c>
      <c r="S25" s="37"/>
      <c r="T25" s="37"/>
      <c r="U25" s="26"/>
      <c r="V25" s="37">
        <v>5.0</v>
      </c>
    </row>
    <row r="26">
      <c r="A26" s="13">
        <v>25.0</v>
      </c>
      <c r="B26" s="15">
        <v>46082.0</v>
      </c>
      <c r="C26" s="13" t="s">
        <v>47</v>
      </c>
      <c r="D26" s="13" t="s">
        <v>138</v>
      </c>
      <c r="E26" s="13" t="s">
        <v>351</v>
      </c>
      <c r="F26" s="13">
        <v>5.00213405E8</v>
      </c>
      <c r="G26" s="20" t="s">
        <v>41</v>
      </c>
      <c r="H26" s="13" t="s">
        <v>329</v>
      </c>
      <c r="I26" s="20" t="s">
        <v>355</v>
      </c>
      <c r="J26" s="20" t="s">
        <v>356</v>
      </c>
      <c r="K26" s="13" t="s">
        <v>148</v>
      </c>
      <c r="L26" s="26"/>
      <c r="M26" s="27" t="s">
        <v>55</v>
      </c>
      <c r="N26" s="13" t="s">
        <v>56</v>
      </c>
      <c r="O26" s="13" t="s">
        <v>42</v>
      </c>
      <c r="P26" s="34"/>
      <c r="Q26" s="13" t="s">
        <v>44</v>
      </c>
      <c r="R26" s="13" t="s">
        <v>46</v>
      </c>
      <c r="S26" s="37"/>
      <c r="T26" s="37"/>
      <c r="U26" s="26"/>
      <c r="V26" s="37">
        <v>5.0</v>
      </c>
    </row>
    <row r="27">
      <c r="A27" s="13">
        <v>26.0</v>
      </c>
      <c r="B27" s="15">
        <v>46082.0</v>
      </c>
      <c r="C27" s="13" t="s">
        <v>47</v>
      </c>
      <c r="D27" s="13" t="s">
        <v>138</v>
      </c>
      <c r="E27" s="20" t="s">
        <v>363</v>
      </c>
      <c r="F27" s="13">
        <v>5.39300486E8</v>
      </c>
      <c r="G27" s="20" t="s">
        <v>41</v>
      </c>
      <c r="H27" s="13" t="s">
        <v>146</v>
      </c>
      <c r="I27" s="20" t="s">
        <v>365</v>
      </c>
      <c r="J27" s="20" t="s">
        <v>366</v>
      </c>
      <c r="K27" s="13" t="s">
        <v>148</v>
      </c>
      <c r="L27" s="26"/>
      <c r="M27" s="27" t="s">
        <v>55</v>
      </c>
      <c r="N27" s="13" t="s">
        <v>56</v>
      </c>
      <c r="O27" s="13" t="s">
        <v>42</v>
      </c>
      <c r="P27" s="34"/>
      <c r="Q27" s="13" t="s">
        <v>44</v>
      </c>
      <c r="R27" s="13" t="s">
        <v>46</v>
      </c>
      <c r="S27" s="37"/>
      <c r="T27" s="37"/>
      <c r="U27" s="26"/>
      <c r="V27" s="37">
        <v>5.0</v>
      </c>
    </row>
    <row r="28">
      <c r="A28" s="13">
        <v>27.0</v>
      </c>
      <c r="B28" s="15">
        <v>46082.0</v>
      </c>
      <c r="C28" s="13" t="s">
        <v>47</v>
      </c>
      <c r="D28" s="13" t="s">
        <v>367</v>
      </c>
      <c r="E28" s="20" t="s">
        <v>374</v>
      </c>
      <c r="F28" s="13">
        <v>5.55066833E8</v>
      </c>
      <c r="G28" s="20" t="s">
        <v>41</v>
      </c>
      <c r="H28" s="13" t="s">
        <v>97</v>
      </c>
      <c r="I28" s="60" t="s">
        <v>376</v>
      </c>
      <c r="J28" s="20" t="s">
        <v>377</v>
      </c>
      <c r="K28" s="13" t="s">
        <v>148</v>
      </c>
      <c r="L28" s="26"/>
      <c r="M28" s="27" t="s">
        <v>150</v>
      </c>
      <c r="N28" s="13" t="s">
        <v>56</v>
      </c>
      <c r="O28" s="13" t="s">
        <v>42</v>
      </c>
      <c r="P28" s="34"/>
      <c r="Q28" s="13" t="s">
        <v>44</v>
      </c>
      <c r="R28" s="13" t="s">
        <v>46</v>
      </c>
      <c r="S28" s="37"/>
      <c r="T28" s="37"/>
      <c r="U28" s="26"/>
      <c r="V28" s="37">
        <v>5.0</v>
      </c>
    </row>
    <row r="29" hidden="1">
      <c r="A29" s="13">
        <v>28.0</v>
      </c>
      <c r="B29" s="15">
        <v>46082.0</v>
      </c>
      <c r="C29" s="13" t="s">
        <v>47</v>
      </c>
      <c r="D29" s="13" t="s">
        <v>251</v>
      </c>
      <c r="E29" s="13" t="s">
        <v>27</v>
      </c>
      <c r="F29" s="13">
        <v>5.65373138E8</v>
      </c>
      <c r="G29" s="20" t="s">
        <v>41</v>
      </c>
      <c r="H29" s="13" t="s">
        <v>294</v>
      </c>
      <c r="I29" s="20" t="s">
        <v>383</v>
      </c>
      <c r="J29" s="20" t="s">
        <v>35</v>
      </c>
      <c r="K29" s="13" t="s">
        <v>148</v>
      </c>
      <c r="L29" s="26"/>
      <c r="M29" s="27" t="s">
        <v>55</v>
      </c>
      <c r="N29" s="13" t="s">
        <v>40</v>
      </c>
      <c r="O29" s="13" t="s">
        <v>42</v>
      </c>
      <c r="P29" s="34"/>
      <c r="Q29" s="13" t="s">
        <v>44</v>
      </c>
      <c r="R29" s="13" t="s">
        <v>46</v>
      </c>
      <c r="S29" s="37"/>
      <c r="T29" s="37"/>
      <c r="U29" s="26"/>
      <c r="V29" s="37">
        <v>5.0</v>
      </c>
    </row>
    <row r="30">
      <c r="A30" s="13">
        <v>29.0</v>
      </c>
      <c r="B30" s="15">
        <v>46082.0</v>
      </c>
      <c r="C30" s="13" t="s">
        <v>47</v>
      </c>
      <c r="D30" s="13" t="s">
        <v>138</v>
      </c>
      <c r="E30" s="20" t="s">
        <v>391</v>
      </c>
      <c r="F30" s="13">
        <v>5.78028504E8</v>
      </c>
      <c r="G30" s="20" t="s">
        <v>41</v>
      </c>
      <c r="H30" s="13" t="s">
        <v>146</v>
      </c>
      <c r="I30" s="20" t="s">
        <v>395</v>
      </c>
      <c r="J30" s="20" t="s">
        <v>400</v>
      </c>
      <c r="K30" s="13" t="s">
        <v>148</v>
      </c>
      <c r="L30" s="26"/>
      <c r="M30" s="27" t="s">
        <v>55</v>
      </c>
      <c r="N30" s="13" t="s">
        <v>56</v>
      </c>
      <c r="O30" s="13" t="s">
        <v>42</v>
      </c>
      <c r="P30" s="34"/>
      <c r="Q30" s="13" t="s">
        <v>44</v>
      </c>
      <c r="R30" s="13" t="s">
        <v>46</v>
      </c>
      <c r="S30" s="37"/>
      <c r="T30" s="37"/>
      <c r="U30" s="26"/>
      <c r="V30" s="37">
        <v>5.0</v>
      </c>
    </row>
    <row r="31">
      <c r="A31" s="13">
        <v>30.0</v>
      </c>
      <c r="B31" s="15">
        <v>46082.0</v>
      </c>
      <c r="C31" s="13" t="s">
        <v>47</v>
      </c>
      <c r="D31" s="13" t="s">
        <v>92</v>
      </c>
      <c r="E31" s="13" t="s">
        <v>403</v>
      </c>
      <c r="F31" s="13">
        <v>5.58783324E8</v>
      </c>
      <c r="G31" s="20" t="s">
        <v>132</v>
      </c>
      <c r="H31" s="13" t="s">
        <v>406</v>
      </c>
      <c r="I31" s="20" t="s">
        <v>407</v>
      </c>
      <c r="J31" s="20" t="s">
        <v>412</v>
      </c>
      <c r="K31" s="13" t="s">
        <v>148</v>
      </c>
      <c r="L31" s="26"/>
      <c r="M31" s="27" t="s">
        <v>55</v>
      </c>
      <c r="N31" s="13" t="s">
        <v>56</v>
      </c>
      <c r="O31" s="13" t="s">
        <v>42</v>
      </c>
      <c r="P31" s="34"/>
      <c r="Q31" s="13" t="s">
        <v>44</v>
      </c>
      <c r="R31" s="13" t="s">
        <v>46</v>
      </c>
      <c r="S31" s="37"/>
      <c r="T31" s="37"/>
      <c r="U31" s="26"/>
      <c r="V31" s="37">
        <v>5.0</v>
      </c>
    </row>
    <row r="32">
      <c r="A32" s="13">
        <v>31.0</v>
      </c>
      <c r="B32" s="15">
        <v>46082.0</v>
      </c>
      <c r="C32" s="13" t="s">
        <v>47</v>
      </c>
      <c r="D32" s="13" t="s">
        <v>138</v>
      </c>
      <c r="E32" s="13" t="s">
        <v>416</v>
      </c>
      <c r="F32" s="13">
        <v>5.34198222E8</v>
      </c>
      <c r="G32" s="20" t="s">
        <v>41</v>
      </c>
      <c r="H32" s="13" t="s">
        <v>163</v>
      </c>
      <c r="I32" s="20" t="s">
        <v>418</v>
      </c>
      <c r="J32" s="20" t="s">
        <v>420</v>
      </c>
      <c r="K32" s="13" t="s">
        <v>148</v>
      </c>
      <c r="L32" s="27"/>
      <c r="M32" s="27" t="s">
        <v>421</v>
      </c>
      <c r="N32" s="13" t="s">
        <v>56</v>
      </c>
      <c r="O32" s="13" t="s">
        <v>42</v>
      </c>
      <c r="P32" s="34"/>
      <c r="Q32" s="13" t="s">
        <v>44</v>
      </c>
      <c r="R32" s="13" t="s">
        <v>46</v>
      </c>
      <c r="S32" s="37"/>
      <c r="T32" s="37"/>
      <c r="U32" s="26"/>
      <c r="V32" s="37">
        <v>5.0</v>
      </c>
    </row>
    <row r="33">
      <c r="A33" s="13">
        <v>32.0</v>
      </c>
      <c r="B33" s="15">
        <v>46082.0</v>
      </c>
      <c r="C33" s="13" t="s">
        <v>47</v>
      </c>
      <c r="D33" s="13" t="s">
        <v>138</v>
      </c>
      <c r="E33" s="13" t="s">
        <v>429</v>
      </c>
      <c r="F33" s="13">
        <v>5.6595816E8</v>
      </c>
      <c r="G33" s="20" t="s">
        <v>79</v>
      </c>
      <c r="H33" s="13" t="s">
        <v>431</v>
      </c>
      <c r="I33" s="20" t="s">
        <v>432</v>
      </c>
      <c r="J33" s="20" t="s">
        <v>433</v>
      </c>
      <c r="K33" s="13" t="s">
        <v>148</v>
      </c>
      <c r="L33" s="26"/>
      <c r="M33" s="27" t="s">
        <v>55</v>
      </c>
      <c r="N33" s="13" t="s">
        <v>56</v>
      </c>
      <c r="O33" s="13" t="s">
        <v>42</v>
      </c>
      <c r="P33" s="34"/>
      <c r="Q33" s="13" t="s">
        <v>44</v>
      </c>
      <c r="R33" s="13" t="s">
        <v>46</v>
      </c>
      <c r="S33" s="37"/>
      <c r="T33" s="37"/>
      <c r="U33" s="26"/>
      <c r="V33" s="37">
        <v>5.0</v>
      </c>
    </row>
    <row r="34">
      <c r="A34" s="13">
        <v>33.0</v>
      </c>
      <c r="B34" s="15">
        <v>46082.0</v>
      </c>
      <c r="C34" s="13" t="s">
        <v>47</v>
      </c>
      <c r="D34" s="13" t="s">
        <v>138</v>
      </c>
      <c r="E34" s="13" t="s">
        <v>439</v>
      </c>
      <c r="F34" s="13">
        <v>5.59782982E8</v>
      </c>
      <c r="G34" s="20" t="s">
        <v>79</v>
      </c>
      <c r="H34" s="13" t="s">
        <v>178</v>
      </c>
      <c r="I34" s="20" t="s">
        <v>441</v>
      </c>
      <c r="J34" s="20" t="s">
        <v>442</v>
      </c>
      <c r="K34" s="13" t="s">
        <v>148</v>
      </c>
      <c r="L34" s="26"/>
      <c r="M34" s="27" t="s">
        <v>55</v>
      </c>
      <c r="N34" s="13" t="s">
        <v>56</v>
      </c>
      <c r="O34" s="13" t="s">
        <v>42</v>
      </c>
      <c r="P34" s="34"/>
      <c r="Q34" s="13" t="s">
        <v>44</v>
      </c>
      <c r="R34" s="13" t="s">
        <v>46</v>
      </c>
      <c r="S34" s="37"/>
      <c r="T34" s="37"/>
      <c r="U34" s="26"/>
      <c r="V34" s="37">
        <v>5.0</v>
      </c>
    </row>
    <row r="35">
      <c r="A35" s="13">
        <v>34.0</v>
      </c>
      <c r="B35" s="15">
        <v>46082.0</v>
      </c>
      <c r="C35" s="13" t="s">
        <v>47</v>
      </c>
      <c r="D35" s="13" t="s">
        <v>138</v>
      </c>
      <c r="E35" s="20" t="s">
        <v>449</v>
      </c>
      <c r="F35" s="13">
        <v>5.322277E8</v>
      </c>
      <c r="G35" s="20" t="s">
        <v>79</v>
      </c>
      <c r="H35" s="13" t="s">
        <v>451</v>
      </c>
      <c r="I35" s="20" t="s">
        <v>453</v>
      </c>
      <c r="J35" s="20" t="s">
        <v>454</v>
      </c>
      <c r="K35" s="13" t="s">
        <v>148</v>
      </c>
      <c r="L35" s="26"/>
      <c r="M35" s="27" t="s">
        <v>55</v>
      </c>
      <c r="N35" s="13" t="s">
        <v>56</v>
      </c>
      <c r="O35" s="13" t="s">
        <v>42</v>
      </c>
      <c r="P35" s="34"/>
      <c r="Q35" s="13" t="s">
        <v>44</v>
      </c>
      <c r="R35" s="13" t="s">
        <v>46</v>
      </c>
      <c r="S35" s="37"/>
      <c r="T35" s="37"/>
      <c r="U35" s="26"/>
      <c r="V35" s="37">
        <v>5.0</v>
      </c>
    </row>
    <row r="36">
      <c r="A36" s="13">
        <v>35.0</v>
      </c>
      <c r="B36" s="15">
        <v>46082.0</v>
      </c>
      <c r="C36" s="13" t="s">
        <v>47</v>
      </c>
      <c r="D36" s="13" t="s">
        <v>367</v>
      </c>
      <c r="E36" s="20" t="s">
        <v>424</v>
      </c>
      <c r="F36" s="13">
        <v>5.05202591E8</v>
      </c>
      <c r="G36" s="20" t="s">
        <v>79</v>
      </c>
      <c r="H36" s="13" t="s">
        <v>451</v>
      </c>
      <c r="I36" s="20" t="s">
        <v>464</v>
      </c>
      <c r="J36" s="20" t="s">
        <v>377</v>
      </c>
      <c r="K36" s="13" t="s">
        <v>148</v>
      </c>
      <c r="L36" s="27"/>
      <c r="M36" s="27" t="s">
        <v>101</v>
      </c>
      <c r="N36" s="13" t="s">
        <v>56</v>
      </c>
      <c r="O36" s="13" t="s">
        <v>42</v>
      </c>
      <c r="P36" s="34"/>
      <c r="Q36" s="13" t="s">
        <v>44</v>
      </c>
      <c r="R36" s="13" t="s">
        <v>46</v>
      </c>
      <c r="S36" s="37"/>
      <c r="T36" s="37"/>
      <c r="U36" s="26"/>
      <c r="V36" s="37">
        <v>5.0</v>
      </c>
    </row>
    <row r="37">
      <c r="A37" s="13">
        <v>36.0</v>
      </c>
      <c r="B37" s="15">
        <v>46082.0</v>
      </c>
      <c r="C37" s="13" t="s">
        <v>47</v>
      </c>
      <c r="D37" s="13" t="s">
        <v>138</v>
      </c>
      <c r="E37" s="13" t="s">
        <v>472</v>
      </c>
      <c r="F37" s="13">
        <v>5.8268636E8</v>
      </c>
      <c r="G37" s="20" t="s">
        <v>79</v>
      </c>
      <c r="H37" s="13" t="s">
        <v>451</v>
      </c>
      <c r="I37" s="20" t="s">
        <v>474</v>
      </c>
      <c r="J37" s="20" t="s">
        <v>475</v>
      </c>
      <c r="K37" s="13" t="s">
        <v>148</v>
      </c>
      <c r="L37" s="26"/>
      <c r="M37" s="27" t="s">
        <v>55</v>
      </c>
      <c r="N37" s="13" t="s">
        <v>56</v>
      </c>
      <c r="O37" s="13" t="s">
        <v>42</v>
      </c>
      <c r="P37" s="34"/>
      <c r="Q37" s="13" t="s">
        <v>44</v>
      </c>
      <c r="R37" s="13" t="s">
        <v>46</v>
      </c>
      <c r="S37" s="37"/>
      <c r="T37" s="37"/>
      <c r="U37" s="26"/>
      <c r="V37" s="37">
        <v>5.0</v>
      </c>
    </row>
    <row r="38" hidden="1">
      <c r="A38" s="13">
        <v>37.0</v>
      </c>
      <c r="B38" s="15">
        <v>46082.0</v>
      </c>
      <c r="C38" s="13" t="s">
        <v>47</v>
      </c>
      <c r="D38" s="13" t="s">
        <v>251</v>
      </c>
      <c r="E38" s="20" t="s">
        <v>482</v>
      </c>
      <c r="F38" s="13">
        <v>5.37875062E8</v>
      </c>
      <c r="G38" s="20" t="s">
        <v>79</v>
      </c>
      <c r="H38" s="13" t="s">
        <v>451</v>
      </c>
      <c r="I38" s="20" t="s">
        <v>483</v>
      </c>
      <c r="J38" s="20" t="s">
        <v>35</v>
      </c>
      <c r="K38" s="13" t="s">
        <v>148</v>
      </c>
      <c r="L38" s="27"/>
      <c r="M38" s="27" t="s">
        <v>421</v>
      </c>
      <c r="N38" s="13" t="s">
        <v>40</v>
      </c>
      <c r="O38" s="13" t="s">
        <v>42</v>
      </c>
      <c r="P38" s="34"/>
      <c r="Q38" s="13" t="s">
        <v>44</v>
      </c>
      <c r="R38" s="13" t="s">
        <v>46</v>
      </c>
      <c r="S38" s="37"/>
      <c r="T38" s="37"/>
      <c r="U38" s="26"/>
      <c r="V38" s="37">
        <v>5.0</v>
      </c>
    </row>
    <row r="39" hidden="1">
      <c r="A39" s="13">
        <v>38.0</v>
      </c>
      <c r="B39" s="15">
        <v>46082.0</v>
      </c>
      <c r="C39" s="13" t="s">
        <v>21</v>
      </c>
      <c r="D39" s="13" t="s">
        <v>22</v>
      </c>
      <c r="E39" s="20" t="s">
        <v>489</v>
      </c>
      <c r="F39" s="13">
        <v>5.99995446E8</v>
      </c>
      <c r="G39" s="20" t="s">
        <v>71</v>
      </c>
      <c r="H39" s="13" t="s">
        <v>27</v>
      </c>
      <c r="I39" s="20" t="s">
        <v>492</v>
      </c>
      <c r="J39" s="20" t="s">
        <v>35</v>
      </c>
      <c r="K39" s="13" t="s">
        <v>36</v>
      </c>
      <c r="L39" s="27"/>
      <c r="M39" s="27" t="s">
        <v>493</v>
      </c>
      <c r="N39" s="13" t="s">
        <v>40</v>
      </c>
      <c r="O39" s="13" t="s">
        <v>42</v>
      </c>
      <c r="P39" s="34"/>
      <c r="Q39" s="13" t="s">
        <v>44</v>
      </c>
      <c r="R39" s="13" t="s">
        <v>46</v>
      </c>
      <c r="S39" s="37"/>
      <c r="T39" s="37"/>
      <c r="U39" s="26"/>
      <c r="V39" s="37">
        <v>5.0</v>
      </c>
    </row>
    <row r="40" hidden="1">
      <c r="A40" s="13">
        <v>39.0</v>
      </c>
      <c r="B40" s="15">
        <v>46082.0</v>
      </c>
      <c r="C40" s="13" t="s">
        <v>21</v>
      </c>
      <c r="D40" s="13" t="s">
        <v>34</v>
      </c>
      <c r="E40" s="13" t="s">
        <v>27</v>
      </c>
      <c r="F40" s="13">
        <v>5.55649513E8</v>
      </c>
      <c r="G40" s="13" t="s">
        <v>27</v>
      </c>
      <c r="H40" s="13" t="s">
        <v>27</v>
      </c>
      <c r="I40" s="20" t="s">
        <v>499</v>
      </c>
      <c r="J40" s="20" t="s">
        <v>500</v>
      </c>
      <c r="K40" s="13" t="s">
        <v>36</v>
      </c>
      <c r="L40" s="27"/>
      <c r="M40" s="27" t="s">
        <v>101</v>
      </c>
      <c r="N40" s="13" t="s">
        <v>40</v>
      </c>
      <c r="O40" s="13" t="s">
        <v>42</v>
      </c>
      <c r="P40" s="34"/>
      <c r="Q40" s="13" t="s">
        <v>44</v>
      </c>
      <c r="R40" s="13" t="s">
        <v>68</v>
      </c>
      <c r="S40" s="37"/>
      <c r="T40" s="37"/>
      <c r="U40" s="26"/>
      <c r="V40" s="37">
        <v>5.0</v>
      </c>
    </row>
    <row r="41" hidden="1">
      <c r="A41" s="13">
        <v>40.0</v>
      </c>
      <c r="B41" s="15">
        <v>46082.0</v>
      </c>
      <c r="C41" s="13" t="s">
        <v>21</v>
      </c>
      <c r="D41" s="13" t="s">
        <v>22</v>
      </c>
      <c r="E41" s="20" t="s">
        <v>507</v>
      </c>
      <c r="F41" s="13">
        <v>5.97601173E8</v>
      </c>
      <c r="G41" s="20" t="s">
        <v>71</v>
      </c>
      <c r="H41" s="13" t="s">
        <v>27</v>
      </c>
      <c r="I41" s="20" t="s">
        <v>509</v>
      </c>
      <c r="J41" s="20" t="s">
        <v>35</v>
      </c>
      <c r="K41" s="13" t="s">
        <v>36</v>
      </c>
      <c r="L41" s="26"/>
      <c r="M41" s="27" t="s">
        <v>38</v>
      </c>
      <c r="N41" s="13" t="s">
        <v>40</v>
      </c>
      <c r="O41" s="13" t="s">
        <v>42</v>
      </c>
      <c r="P41" s="34"/>
      <c r="Q41" s="13" t="s">
        <v>44</v>
      </c>
      <c r="R41" s="13" t="s">
        <v>46</v>
      </c>
      <c r="S41" s="37"/>
      <c r="T41" s="37"/>
      <c r="U41" s="26"/>
      <c r="V41" s="37">
        <v>5.0</v>
      </c>
    </row>
    <row r="42" ht="18.75" hidden="1" customHeight="1">
      <c r="A42" s="13">
        <v>41.0</v>
      </c>
      <c r="B42" s="15">
        <v>46082.0</v>
      </c>
      <c r="C42" s="13" t="s">
        <v>21</v>
      </c>
      <c r="D42" s="13" t="s">
        <v>24</v>
      </c>
      <c r="E42" s="20" t="s">
        <v>519</v>
      </c>
      <c r="F42" s="13">
        <v>5.38130703E8</v>
      </c>
      <c r="G42" s="20" t="s">
        <v>71</v>
      </c>
      <c r="H42" s="13" t="s">
        <v>27</v>
      </c>
      <c r="I42" s="20" t="s">
        <v>93</v>
      </c>
      <c r="J42" s="20" t="s">
        <v>35</v>
      </c>
      <c r="K42" s="13" t="s">
        <v>36</v>
      </c>
      <c r="L42" s="26"/>
      <c r="M42" s="27" t="s">
        <v>38</v>
      </c>
      <c r="N42" s="13" t="s">
        <v>40</v>
      </c>
      <c r="O42" s="13" t="s">
        <v>42</v>
      </c>
      <c r="P42" s="34"/>
      <c r="Q42" s="13" t="s">
        <v>44</v>
      </c>
      <c r="R42" s="13" t="s">
        <v>46</v>
      </c>
      <c r="S42" s="37"/>
      <c r="T42" s="37"/>
      <c r="U42" s="26"/>
      <c r="V42" s="37">
        <v>5.0</v>
      </c>
    </row>
    <row r="43" hidden="1">
      <c r="A43" s="13">
        <v>42.0</v>
      </c>
      <c r="B43" s="15">
        <v>46082.0</v>
      </c>
      <c r="C43" s="13" t="s">
        <v>47</v>
      </c>
      <c r="D43" s="13" t="s">
        <v>24</v>
      </c>
      <c r="E43" s="13" t="s">
        <v>526</v>
      </c>
      <c r="F43" s="13" t="s">
        <v>27</v>
      </c>
      <c r="G43" s="13" t="s">
        <v>27</v>
      </c>
      <c r="H43" s="13" t="s">
        <v>27</v>
      </c>
      <c r="I43" s="20" t="s">
        <v>530</v>
      </c>
      <c r="J43" s="20" t="s">
        <v>532</v>
      </c>
      <c r="K43" s="13" t="s">
        <v>78</v>
      </c>
      <c r="L43" s="26"/>
      <c r="M43" s="27" t="s">
        <v>55</v>
      </c>
      <c r="N43" s="13" t="s">
        <v>56</v>
      </c>
      <c r="O43" s="13" t="s">
        <v>42</v>
      </c>
      <c r="P43" s="34"/>
      <c r="Q43" s="13" t="s">
        <v>49</v>
      </c>
      <c r="R43" s="13" t="s">
        <v>68</v>
      </c>
      <c r="S43" s="37"/>
      <c r="T43" s="37"/>
      <c r="U43" s="26"/>
      <c r="V43" s="37">
        <v>5.0</v>
      </c>
    </row>
    <row r="44">
      <c r="A44" s="13">
        <v>43.0</v>
      </c>
      <c r="B44" s="15">
        <v>46082.0</v>
      </c>
      <c r="C44" s="13" t="s">
        <v>47</v>
      </c>
      <c r="D44" s="13" t="s">
        <v>48</v>
      </c>
      <c r="E44" s="20" t="s">
        <v>536</v>
      </c>
      <c r="F44" s="13" t="s">
        <v>27</v>
      </c>
      <c r="G44" s="20" t="s">
        <v>41</v>
      </c>
      <c r="H44" s="13" t="s">
        <v>52</v>
      </c>
      <c r="I44" s="20" t="s">
        <v>539</v>
      </c>
      <c r="J44" s="20" t="s">
        <v>541</v>
      </c>
      <c r="K44" s="13" t="s">
        <v>78</v>
      </c>
      <c r="L44" s="26"/>
      <c r="M44" s="27" t="s">
        <v>55</v>
      </c>
      <c r="N44" s="13" t="s">
        <v>56</v>
      </c>
      <c r="O44" s="13" t="s">
        <v>42</v>
      </c>
      <c r="P44" s="34"/>
      <c r="Q44" s="13" t="s">
        <v>49</v>
      </c>
      <c r="R44" s="13" t="s">
        <v>46</v>
      </c>
      <c r="S44" s="37"/>
      <c r="T44" s="37"/>
      <c r="U44" s="26"/>
      <c r="V44" s="37">
        <v>5.0</v>
      </c>
    </row>
    <row r="45" ht="29.25" customHeight="1">
      <c r="A45" s="13">
        <v>44.0</v>
      </c>
      <c r="B45" s="15">
        <v>46082.0</v>
      </c>
      <c r="C45" s="13" t="s">
        <v>47</v>
      </c>
      <c r="D45" s="13" t="s">
        <v>48</v>
      </c>
      <c r="E45" s="20" t="s">
        <v>550</v>
      </c>
      <c r="F45" s="13" t="s">
        <v>27</v>
      </c>
      <c r="G45" s="20" t="s">
        <v>41</v>
      </c>
      <c r="H45" s="13" t="s">
        <v>222</v>
      </c>
      <c r="I45" s="20" t="s">
        <v>552</v>
      </c>
      <c r="J45" s="45" t="s">
        <v>553</v>
      </c>
      <c r="K45" s="13" t="s">
        <v>78</v>
      </c>
      <c r="L45" s="26"/>
      <c r="M45" s="75" t="s">
        <v>555</v>
      </c>
      <c r="N45" s="13" t="s">
        <v>56</v>
      </c>
      <c r="O45" s="13" t="s">
        <v>42</v>
      </c>
      <c r="P45" s="34"/>
      <c r="Q45" s="13" t="s">
        <v>49</v>
      </c>
      <c r="R45" s="13" t="s">
        <v>46</v>
      </c>
      <c r="S45" s="37"/>
      <c r="T45" s="37"/>
      <c r="U45" s="26"/>
      <c r="V45" s="37">
        <v>5.0</v>
      </c>
    </row>
    <row r="46" ht="32.25" hidden="1" customHeight="1">
      <c r="A46" s="13">
        <v>45.0</v>
      </c>
      <c r="B46" s="15">
        <v>46082.0</v>
      </c>
      <c r="C46" s="13" t="s">
        <v>21</v>
      </c>
      <c r="D46" s="13" t="s">
        <v>66</v>
      </c>
      <c r="E46" s="20" t="s">
        <v>558</v>
      </c>
      <c r="F46" s="13">
        <v>5.46361371E8</v>
      </c>
      <c r="G46" s="13" t="s">
        <v>27</v>
      </c>
      <c r="H46" s="13" t="s">
        <v>27</v>
      </c>
      <c r="I46" s="20" t="s">
        <v>560</v>
      </c>
      <c r="J46" s="20" t="s">
        <v>35</v>
      </c>
      <c r="K46" s="13" t="s">
        <v>36</v>
      </c>
      <c r="L46" s="27"/>
      <c r="M46" s="27" t="s">
        <v>421</v>
      </c>
      <c r="N46" s="13" t="s">
        <v>40</v>
      </c>
      <c r="O46" s="13" t="s">
        <v>42</v>
      </c>
      <c r="P46" s="34"/>
      <c r="Q46" s="13" t="s">
        <v>44</v>
      </c>
      <c r="R46" s="13" t="s">
        <v>68</v>
      </c>
      <c r="S46" s="37"/>
      <c r="T46" s="37"/>
      <c r="U46" s="26"/>
      <c r="V46" s="37">
        <v>5.0</v>
      </c>
    </row>
    <row r="47" hidden="1">
      <c r="A47" s="13">
        <v>46.0</v>
      </c>
      <c r="B47" s="15">
        <v>46083.0</v>
      </c>
      <c r="C47" s="13" t="s">
        <v>21</v>
      </c>
      <c r="D47" s="13" t="s">
        <v>24</v>
      </c>
      <c r="E47" s="20" t="s">
        <v>566</v>
      </c>
      <c r="F47" s="13">
        <v>5.73731208E8</v>
      </c>
      <c r="G47" s="20" t="s">
        <v>71</v>
      </c>
      <c r="H47" s="13" t="s">
        <v>27</v>
      </c>
      <c r="I47" s="20" t="s">
        <v>93</v>
      </c>
      <c r="J47" s="20" t="s">
        <v>35</v>
      </c>
      <c r="K47" s="13" t="s">
        <v>36</v>
      </c>
      <c r="L47" s="26"/>
      <c r="M47" s="27" t="s">
        <v>38</v>
      </c>
      <c r="N47" s="13" t="s">
        <v>40</v>
      </c>
      <c r="O47" s="13" t="s">
        <v>42</v>
      </c>
      <c r="P47" s="34"/>
      <c r="Q47" s="13" t="s">
        <v>44</v>
      </c>
      <c r="R47" s="13" t="s">
        <v>46</v>
      </c>
      <c r="S47" s="37"/>
      <c r="T47" s="37"/>
      <c r="U47" s="26"/>
      <c r="V47" s="37">
        <v>5.0</v>
      </c>
    </row>
    <row r="48">
      <c r="A48" s="13">
        <v>47.0</v>
      </c>
      <c r="B48" s="15">
        <v>46083.0</v>
      </c>
      <c r="C48" s="13" t="s">
        <v>47</v>
      </c>
      <c r="D48" s="13" t="s">
        <v>138</v>
      </c>
      <c r="E48" s="20" t="s">
        <v>574</v>
      </c>
      <c r="F48" s="13">
        <v>5.40403558E8</v>
      </c>
      <c r="G48" s="20" t="s">
        <v>41</v>
      </c>
      <c r="H48" s="13" t="s">
        <v>577</v>
      </c>
      <c r="I48" s="20" t="s">
        <v>578</v>
      </c>
      <c r="J48" s="20" t="s">
        <v>580</v>
      </c>
      <c r="K48" s="13" t="s">
        <v>148</v>
      </c>
      <c r="L48" s="26"/>
      <c r="M48" s="27" t="s">
        <v>55</v>
      </c>
      <c r="N48" s="13" t="s">
        <v>56</v>
      </c>
      <c r="O48" s="13" t="s">
        <v>42</v>
      </c>
      <c r="P48" s="34"/>
      <c r="Q48" s="13" t="s">
        <v>44</v>
      </c>
      <c r="R48" s="13" t="s">
        <v>46</v>
      </c>
      <c r="S48" s="37"/>
      <c r="T48" s="37"/>
      <c r="U48" s="26"/>
      <c r="V48" s="37">
        <v>5.0</v>
      </c>
    </row>
    <row r="49">
      <c r="A49" s="13">
        <v>48.0</v>
      </c>
      <c r="B49" s="15">
        <v>46083.0</v>
      </c>
      <c r="C49" s="13" t="s">
        <v>47</v>
      </c>
      <c r="D49" s="13" t="s">
        <v>138</v>
      </c>
      <c r="E49" s="20" t="s">
        <v>584</v>
      </c>
      <c r="F49" s="13">
        <v>5.59630554E8</v>
      </c>
      <c r="G49" s="20" t="s">
        <v>28</v>
      </c>
      <c r="H49" s="13" t="s">
        <v>587</v>
      </c>
      <c r="I49" s="20" t="s">
        <v>589</v>
      </c>
      <c r="J49" s="20" t="s">
        <v>591</v>
      </c>
      <c r="K49" s="13" t="s">
        <v>148</v>
      </c>
      <c r="L49" s="26"/>
      <c r="M49" s="27" t="s">
        <v>55</v>
      </c>
      <c r="N49" s="13" t="s">
        <v>56</v>
      </c>
      <c r="O49" s="13" t="s">
        <v>42</v>
      </c>
      <c r="P49" s="34"/>
      <c r="Q49" s="13" t="s">
        <v>44</v>
      </c>
      <c r="R49" s="13" t="s">
        <v>46</v>
      </c>
      <c r="S49" s="37"/>
      <c r="T49" s="37"/>
      <c r="U49" s="26"/>
      <c r="V49" s="37">
        <v>5.0</v>
      </c>
    </row>
    <row r="50">
      <c r="A50" s="13">
        <v>49.0</v>
      </c>
      <c r="B50" s="15">
        <v>46083.0</v>
      </c>
      <c r="C50" s="13" t="s">
        <v>47</v>
      </c>
      <c r="D50" s="13" t="s">
        <v>92</v>
      </c>
      <c r="E50" s="20" t="s">
        <v>463</v>
      </c>
      <c r="F50" s="13">
        <v>5.66672107E8</v>
      </c>
      <c r="G50" s="20" t="s">
        <v>71</v>
      </c>
      <c r="H50" s="13" t="s">
        <v>94</v>
      </c>
      <c r="I50" s="20" t="s">
        <v>601</v>
      </c>
      <c r="J50" s="20" t="s">
        <v>35</v>
      </c>
      <c r="K50" s="13" t="s">
        <v>148</v>
      </c>
      <c r="L50" s="26"/>
      <c r="M50" s="27" t="s">
        <v>602</v>
      </c>
      <c r="N50" s="13" t="s">
        <v>40</v>
      </c>
      <c r="O50" s="13" t="s">
        <v>42</v>
      </c>
      <c r="P50" s="34"/>
      <c r="Q50" s="13" t="s">
        <v>44</v>
      </c>
      <c r="R50" s="13" t="s">
        <v>46</v>
      </c>
      <c r="S50" s="37"/>
      <c r="T50" s="37"/>
      <c r="U50" s="26"/>
      <c r="V50" s="37">
        <v>5.0</v>
      </c>
    </row>
    <row r="51" hidden="1">
      <c r="A51" s="13">
        <v>50.0</v>
      </c>
      <c r="B51" s="15">
        <v>46083.0</v>
      </c>
      <c r="C51" s="13" t="s">
        <v>47</v>
      </c>
      <c r="D51" s="13" t="s">
        <v>251</v>
      </c>
      <c r="E51" s="20" t="s">
        <v>607</v>
      </c>
      <c r="F51" s="13">
        <v>5.43805403E8</v>
      </c>
      <c r="G51" s="20" t="s">
        <v>79</v>
      </c>
      <c r="H51" s="13" t="s">
        <v>239</v>
      </c>
      <c r="I51" s="20" t="s">
        <v>612</v>
      </c>
      <c r="J51" s="20" t="s">
        <v>35</v>
      </c>
      <c r="K51" s="13" t="s">
        <v>148</v>
      </c>
      <c r="L51" s="26"/>
      <c r="M51" s="27" t="s">
        <v>55</v>
      </c>
      <c r="N51" s="13" t="s">
        <v>40</v>
      </c>
      <c r="O51" s="13" t="s">
        <v>42</v>
      </c>
      <c r="P51" s="34"/>
      <c r="Q51" s="13" t="s">
        <v>44</v>
      </c>
      <c r="R51" s="13" t="s">
        <v>46</v>
      </c>
      <c r="S51" s="37"/>
      <c r="T51" s="37"/>
      <c r="U51" s="26"/>
      <c r="V51" s="37">
        <v>5.0</v>
      </c>
    </row>
    <row r="52">
      <c r="A52" s="13">
        <v>51.0</v>
      </c>
      <c r="B52" s="15">
        <v>46083.0</v>
      </c>
      <c r="C52" s="13" t="s">
        <v>47</v>
      </c>
      <c r="D52" s="13" t="s">
        <v>48</v>
      </c>
      <c r="E52" s="20" t="s">
        <v>619</v>
      </c>
      <c r="F52" s="13">
        <v>5.61242253E8</v>
      </c>
      <c r="G52" s="20" t="s">
        <v>41</v>
      </c>
      <c r="H52" s="13" t="s">
        <v>222</v>
      </c>
      <c r="I52" s="20" t="s">
        <v>621</v>
      </c>
      <c r="J52" s="20" t="s">
        <v>622</v>
      </c>
      <c r="K52" s="13" t="s">
        <v>62</v>
      </c>
      <c r="L52" s="26"/>
      <c r="M52" s="75" t="s">
        <v>101</v>
      </c>
      <c r="N52" s="13" t="s">
        <v>56</v>
      </c>
      <c r="O52" s="13" t="s">
        <v>42</v>
      </c>
      <c r="P52" s="34"/>
      <c r="Q52" s="13" t="s">
        <v>44</v>
      </c>
      <c r="R52" s="13" t="s">
        <v>46</v>
      </c>
      <c r="S52" s="37"/>
      <c r="T52" s="37"/>
      <c r="U52" s="26"/>
      <c r="V52" s="37">
        <v>5.0</v>
      </c>
    </row>
    <row r="53" hidden="1">
      <c r="A53" s="13">
        <v>52.0</v>
      </c>
      <c r="B53" s="15">
        <v>46083.0</v>
      </c>
      <c r="C53" s="13" t="s">
        <v>47</v>
      </c>
      <c r="D53" s="13" t="s">
        <v>24</v>
      </c>
      <c r="E53" s="20" t="s">
        <v>626</v>
      </c>
      <c r="F53" s="13">
        <v>5.52948501E8</v>
      </c>
      <c r="G53" s="20" t="s">
        <v>41</v>
      </c>
      <c r="H53" s="13" t="s">
        <v>627</v>
      </c>
      <c r="I53" s="78" t="s">
        <v>628</v>
      </c>
      <c r="J53" s="20" t="s">
        <v>35</v>
      </c>
      <c r="K53" s="13" t="s">
        <v>36</v>
      </c>
      <c r="L53" s="26"/>
      <c r="M53" s="27" t="s">
        <v>630</v>
      </c>
      <c r="N53" s="13" t="s">
        <v>40</v>
      </c>
      <c r="O53" s="13" t="s">
        <v>42</v>
      </c>
      <c r="P53" s="34"/>
      <c r="Q53" s="13" t="s">
        <v>44</v>
      </c>
      <c r="R53" s="13" t="s">
        <v>68</v>
      </c>
      <c r="S53" s="37"/>
      <c r="T53" s="37"/>
      <c r="U53" s="26"/>
      <c r="V53" s="37">
        <v>5.0</v>
      </c>
    </row>
    <row r="54" hidden="1">
      <c r="A54" s="13">
        <v>53.0</v>
      </c>
      <c r="B54" s="15">
        <v>46083.0</v>
      </c>
      <c r="C54" s="13" t="s">
        <v>21</v>
      </c>
      <c r="D54" s="13" t="s">
        <v>24</v>
      </c>
      <c r="E54" s="20" t="s">
        <v>118</v>
      </c>
      <c r="F54" s="13">
        <v>5.50009604E8</v>
      </c>
      <c r="G54" s="20" t="s">
        <v>319</v>
      </c>
      <c r="H54" s="13" t="s">
        <v>27</v>
      </c>
      <c r="I54" s="20" t="s">
        <v>636</v>
      </c>
      <c r="J54" s="20" t="s">
        <v>35</v>
      </c>
      <c r="K54" s="13" t="s">
        <v>36</v>
      </c>
      <c r="L54" s="27"/>
      <c r="M54" s="27" t="s">
        <v>101</v>
      </c>
      <c r="N54" s="13" t="s">
        <v>40</v>
      </c>
      <c r="O54" s="13" t="s">
        <v>42</v>
      </c>
      <c r="P54" s="34"/>
      <c r="Q54" s="13" t="s">
        <v>49</v>
      </c>
      <c r="R54" s="13" t="s">
        <v>46</v>
      </c>
      <c r="S54" s="37"/>
      <c r="T54" s="37"/>
      <c r="U54" s="26"/>
      <c r="V54" s="37">
        <v>5.0</v>
      </c>
    </row>
    <row r="55" hidden="1">
      <c r="A55" s="13">
        <v>54.0</v>
      </c>
      <c r="B55" s="15">
        <v>46083.0</v>
      </c>
      <c r="C55" s="13" t="s">
        <v>21</v>
      </c>
      <c r="D55" s="13" t="s">
        <v>34</v>
      </c>
      <c r="E55" s="13" t="s">
        <v>27</v>
      </c>
      <c r="F55" s="13">
        <v>5.40211191E8</v>
      </c>
      <c r="G55" s="13" t="s">
        <v>27</v>
      </c>
      <c r="H55" s="13" t="s">
        <v>27</v>
      </c>
      <c r="I55" s="20" t="s">
        <v>643</v>
      </c>
      <c r="J55" s="20" t="s">
        <v>35</v>
      </c>
      <c r="K55" s="13" t="s">
        <v>36</v>
      </c>
      <c r="L55" s="27"/>
      <c r="M55" s="27" t="s">
        <v>421</v>
      </c>
      <c r="N55" s="13" t="s">
        <v>40</v>
      </c>
      <c r="O55" s="13" t="s">
        <v>42</v>
      </c>
      <c r="P55" s="34"/>
      <c r="Q55" s="13" t="s">
        <v>44</v>
      </c>
      <c r="R55" s="13" t="s">
        <v>68</v>
      </c>
      <c r="S55" s="37"/>
      <c r="T55" s="37"/>
      <c r="U55" s="26"/>
      <c r="V55" s="37">
        <v>5.0</v>
      </c>
    </row>
    <row r="56">
      <c r="A56" s="13">
        <v>55.0</v>
      </c>
      <c r="B56" s="15">
        <v>46083.0</v>
      </c>
      <c r="C56" s="13" t="s">
        <v>47</v>
      </c>
      <c r="D56" s="13" t="s">
        <v>48</v>
      </c>
      <c r="E56" s="20" t="s">
        <v>649</v>
      </c>
      <c r="F56" s="13">
        <v>5.90051541E8</v>
      </c>
      <c r="G56" s="20" t="s">
        <v>333</v>
      </c>
      <c r="H56" s="13" t="s">
        <v>650</v>
      </c>
      <c r="I56" s="20" t="s">
        <v>651</v>
      </c>
      <c r="J56" s="20" t="s">
        <v>652</v>
      </c>
      <c r="K56" s="13" t="s">
        <v>36</v>
      </c>
      <c r="L56" s="27"/>
      <c r="M56" s="27" t="s">
        <v>653</v>
      </c>
      <c r="N56" s="13" t="s">
        <v>56</v>
      </c>
      <c r="O56" s="13" t="s">
        <v>42</v>
      </c>
      <c r="P56" s="34"/>
      <c r="Q56" s="13" t="s">
        <v>44</v>
      </c>
      <c r="R56" s="13" t="s">
        <v>46</v>
      </c>
      <c r="S56" s="37"/>
      <c r="T56" s="37"/>
      <c r="U56" s="26"/>
      <c r="V56" s="37">
        <v>5.0</v>
      </c>
    </row>
    <row r="57" hidden="1">
      <c r="A57" s="13">
        <v>56.0</v>
      </c>
      <c r="B57" s="15">
        <v>46083.0</v>
      </c>
      <c r="C57" s="13" t="s">
        <v>58</v>
      </c>
      <c r="D57" s="13" t="s">
        <v>60</v>
      </c>
      <c r="E57" s="13" t="s">
        <v>27</v>
      </c>
      <c r="F57" s="13">
        <v>5.55599848E8</v>
      </c>
      <c r="G57" s="13" t="s">
        <v>27</v>
      </c>
      <c r="H57" s="13" t="s">
        <v>27</v>
      </c>
      <c r="I57" s="13" t="s">
        <v>661</v>
      </c>
      <c r="J57" s="20" t="s">
        <v>663</v>
      </c>
      <c r="K57" s="13" t="s">
        <v>65</v>
      </c>
      <c r="L57" s="27"/>
      <c r="M57" s="27" t="s">
        <v>323</v>
      </c>
      <c r="N57" s="13" t="s">
        <v>56</v>
      </c>
      <c r="O57" s="13" t="s">
        <v>42</v>
      </c>
      <c r="P57" s="34"/>
      <c r="Q57" s="13" t="s">
        <v>44</v>
      </c>
      <c r="R57" s="13" t="s">
        <v>68</v>
      </c>
      <c r="S57" s="37"/>
      <c r="T57" s="37"/>
      <c r="U57" s="26"/>
      <c r="V57" s="37">
        <v>5.0</v>
      </c>
    </row>
    <row r="58" hidden="1">
      <c r="A58" s="13">
        <v>57.0</v>
      </c>
      <c r="B58" s="15">
        <v>46083.0</v>
      </c>
      <c r="C58" s="13" t="s">
        <v>58</v>
      </c>
      <c r="D58" s="13" t="s">
        <v>60</v>
      </c>
      <c r="E58" s="13" t="s">
        <v>27</v>
      </c>
      <c r="F58" s="13">
        <v>5.3795568E8</v>
      </c>
      <c r="G58" s="13" t="s">
        <v>27</v>
      </c>
      <c r="H58" s="13" t="s">
        <v>27</v>
      </c>
      <c r="I58" s="13" t="s">
        <v>668</v>
      </c>
      <c r="J58" s="20" t="s">
        <v>669</v>
      </c>
      <c r="K58" s="13" t="s">
        <v>65</v>
      </c>
      <c r="L58" s="27"/>
      <c r="M58" s="27" t="s">
        <v>323</v>
      </c>
      <c r="N58" s="13" t="s">
        <v>56</v>
      </c>
      <c r="O58" s="13" t="s">
        <v>42</v>
      </c>
      <c r="P58" s="34"/>
      <c r="Q58" s="13" t="s">
        <v>44</v>
      </c>
      <c r="R58" s="13" t="s">
        <v>68</v>
      </c>
      <c r="S58" s="37"/>
      <c r="T58" s="37"/>
      <c r="U58" s="26"/>
      <c r="V58" s="37">
        <v>5.0</v>
      </c>
    </row>
    <row r="59" hidden="1">
      <c r="A59" s="13">
        <v>58.0</v>
      </c>
      <c r="B59" s="15">
        <v>46083.0</v>
      </c>
      <c r="C59" s="13" t="s">
        <v>58</v>
      </c>
      <c r="D59" s="13" t="s">
        <v>60</v>
      </c>
      <c r="E59" s="13" t="s">
        <v>27</v>
      </c>
      <c r="F59" s="13">
        <v>5.42324323E8</v>
      </c>
      <c r="G59" s="13" t="s">
        <v>27</v>
      </c>
      <c r="H59" s="13" t="s">
        <v>27</v>
      </c>
      <c r="I59" s="13" t="s">
        <v>675</v>
      </c>
      <c r="J59" s="20" t="s">
        <v>676</v>
      </c>
      <c r="K59" s="13" t="s">
        <v>65</v>
      </c>
      <c r="L59" s="27"/>
      <c r="M59" s="27" t="s">
        <v>101</v>
      </c>
      <c r="N59" s="13" t="s">
        <v>56</v>
      </c>
      <c r="O59" s="13" t="s">
        <v>42</v>
      </c>
      <c r="P59" s="34"/>
      <c r="Q59" s="13" t="s">
        <v>44</v>
      </c>
      <c r="R59" s="13" t="s">
        <v>68</v>
      </c>
      <c r="S59" s="37"/>
      <c r="T59" s="37"/>
      <c r="U59" s="26"/>
      <c r="V59" s="37">
        <v>5.0</v>
      </c>
    </row>
    <row r="60" hidden="1">
      <c r="A60" s="13">
        <v>59.0</v>
      </c>
      <c r="B60" s="15">
        <v>46083.0</v>
      </c>
      <c r="C60" s="13" t="s">
        <v>58</v>
      </c>
      <c r="D60" s="13" t="s">
        <v>60</v>
      </c>
      <c r="E60" s="13" t="s">
        <v>27</v>
      </c>
      <c r="F60" s="13">
        <v>5.43178441E8</v>
      </c>
      <c r="G60" s="13" t="s">
        <v>27</v>
      </c>
      <c r="H60" s="13" t="s">
        <v>27</v>
      </c>
      <c r="I60" s="13" t="s">
        <v>682</v>
      </c>
      <c r="J60" s="20" t="s">
        <v>676</v>
      </c>
      <c r="K60" s="13" t="s">
        <v>65</v>
      </c>
      <c r="L60" s="27"/>
      <c r="M60" s="27" t="s">
        <v>323</v>
      </c>
      <c r="N60" s="13" t="s">
        <v>56</v>
      </c>
      <c r="O60" s="13" t="s">
        <v>42</v>
      </c>
      <c r="P60" s="34"/>
      <c r="Q60" s="13" t="s">
        <v>44</v>
      </c>
      <c r="R60" s="13" t="s">
        <v>68</v>
      </c>
      <c r="S60" s="37"/>
      <c r="T60" s="37"/>
      <c r="U60" s="26"/>
      <c r="V60" s="37">
        <v>5.0</v>
      </c>
    </row>
    <row r="61" hidden="1">
      <c r="A61" s="13">
        <v>60.0</v>
      </c>
      <c r="B61" s="15">
        <v>46083.0</v>
      </c>
      <c r="C61" s="13" t="s">
        <v>58</v>
      </c>
      <c r="D61" s="13" t="s">
        <v>60</v>
      </c>
      <c r="E61" s="13" t="s">
        <v>27</v>
      </c>
      <c r="F61" s="13">
        <v>5.55495669E8</v>
      </c>
      <c r="G61" s="13" t="s">
        <v>27</v>
      </c>
      <c r="H61" s="13" t="s">
        <v>27</v>
      </c>
      <c r="I61" s="13" t="s">
        <v>689</v>
      </c>
      <c r="J61" s="20" t="s">
        <v>676</v>
      </c>
      <c r="K61" s="13" t="s">
        <v>65</v>
      </c>
      <c r="L61" s="27"/>
      <c r="M61" s="27" t="s">
        <v>323</v>
      </c>
      <c r="N61" s="13" t="s">
        <v>56</v>
      </c>
      <c r="O61" s="13" t="s">
        <v>42</v>
      </c>
      <c r="P61" s="34"/>
      <c r="Q61" s="13" t="s">
        <v>44</v>
      </c>
      <c r="R61" s="13" t="s">
        <v>68</v>
      </c>
      <c r="S61" s="37"/>
      <c r="T61" s="37"/>
      <c r="U61" s="26"/>
      <c r="V61" s="37">
        <v>5.0</v>
      </c>
    </row>
    <row r="62" hidden="1">
      <c r="A62" s="13">
        <v>61.0</v>
      </c>
      <c r="B62" s="15">
        <v>46083.0</v>
      </c>
      <c r="C62" s="13" t="s">
        <v>21</v>
      </c>
      <c r="D62" s="13" t="s">
        <v>22</v>
      </c>
      <c r="E62" s="20" t="s">
        <v>697</v>
      </c>
      <c r="F62" s="13">
        <v>5.333333403E9</v>
      </c>
      <c r="G62" s="20" t="s">
        <v>152</v>
      </c>
      <c r="H62" s="13" t="s">
        <v>27</v>
      </c>
      <c r="I62" s="20" t="s">
        <v>699</v>
      </c>
      <c r="J62" s="20" t="s">
        <v>35</v>
      </c>
      <c r="K62" s="13" t="s">
        <v>36</v>
      </c>
      <c r="L62" s="27"/>
      <c r="M62" s="27" t="s">
        <v>323</v>
      </c>
      <c r="N62" s="13" t="s">
        <v>40</v>
      </c>
      <c r="O62" s="13" t="s">
        <v>42</v>
      </c>
      <c r="P62" s="34"/>
      <c r="Q62" s="13" t="s">
        <v>44</v>
      </c>
      <c r="R62" s="13" t="s">
        <v>46</v>
      </c>
      <c r="S62" s="37"/>
      <c r="T62" s="37"/>
      <c r="U62" s="26"/>
      <c r="V62" s="37">
        <v>5.0</v>
      </c>
    </row>
    <row r="63" hidden="1">
      <c r="A63" s="13">
        <v>62.0</v>
      </c>
      <c r="B63" s="15">
        <v>46083.0</v>
      </c>
      <c r="C63" s="13" t="s">
        <v>21</v>
      </c>
      <c r="D63" s="13" t="s">
        <v>24</v>
      </c>
      <c r="E63" s="20" t="s">
        <v>316</v>
      </c>
      <c r="F63" s="13">
        <v>5.522908E8</v>
      </c>
      <c r="G63" s="20" t="s">
        <v>71</v>
      </c>
      <c r="H63" s="13" t="s">
        <v>27</v>
      </c>
      <c r="I63" s="20" t="s">
        <v>711</v>
      </c>
      <c r="J63" s="20" t="s">
        <v>35</v>
      </c>
      <c r="K63" s="13" t="s">
        <v>62</v>
      </c>
      <c r="L63" s="27"/>
      <c r="M63" s="27" t="s">
        <v>713</v>
      </c>
      <c r="N63" s="13" t="s">
        <v>40</v>
      </c>
      <c r="O63" s="13" t="s">
        <v>42</v>
      </c>
      <c r="P63" s="34"/>
      <c r="Q63" s="13" t="s">
        <v>44</v>
      </c>
      <c r="R63" s="13" t="s">
        <v>46</v>
      </c>
      <c r="S63" s="37"/>
      <c r="T63" s="37"/>
      <c r="U63" s="26"/>
      <c r="V63" s="37">
        <v>5.0</v>
      </c>
    </row>
    <row r="64" hidden="1">
      <c r="A64" s="13">
        <v>63.0</v>
      </c>
      <c r="B64" s="15">
        <v>46084.0</v>
      </c>
      <c r="C64" s="13" t="s">
        <v>58</v>
      </c>
      <c r="D64" s="13" t="s">
        <v>60</v>
      </c>
      <c r="E64" s="13" t="s">
        <v>27</v>
      </c>
      <c r="F64" s="13">
        <v>5.99032296E8</v>
      </c>
      <c r="G64" s="13" t="s">
        <v>27</v>
      </c>
      <c r="H64" s="13" t="s">
        <v>27</v>
      </c>
      <c r="I64" s="20" t="s">
        <v>719</v>
      </c>
      <c r="J64" s="20" t="s">
        <v>721</v>
      </c>
      <c r="K64" s="13" t="s">
        <v>65</v>
      </c>
      <c r="L64" s="27"/>
      <c r="M64" s="27" t="s">
        <v>150</v>
      </c>
      <c r="N64" s="13" t="s">
        <v>56</v>
      </c>
      <c r="O64" s="13" t="s">
        <v>42</v>
      </c>
      <c r="P64" s="34"/>
      <c r="Q64" s="13" t="s">
        <v>44</v>
      </c>
      <c r="R64" s="13" t="s">
        <v>68</v>
      </c>
      <c r="S64" s="37"/>
      <c r="T64" s="37"/>
      <c r="U64" s="26"/>
      <c r="V64" s="37">
        <v>5.0</v>
      </c>
    </row>
    <row r="65" hidden="1">
      <c r="A65" s="13">
        <v>64.0</v>
      </c>
      <c r="B65" s="15">
        <v>46084.0</v>
      </c>
      <c r="C65" s="13" t="s">
        <v>58</v>
      </c>
      <c r="D65" s="13" t="s">
        <v>60</v>
      </c>
      <c r="E65" s="13" t="s">
        <v>27</v>
      </c>
      <c r="F65" s="13">
        <v>5.02582939E8</v>
      </c>
      <c r="G65" s="13" t="s">
        <v>27</v>
      </c>
      <c r="H65" s="13" t="s">
        <v>27</v>
      </c>
      <c r="I65" s="20" t="s">
        <v>726</v>
      </c>
      <c r="J65" s="20" t="s">
        <v>727</v>
      </c>
      <c r="K65" s="13" t="s">
        <v>36</v>
      </c>
      <c r="L65" s="27"/>
      <c r="M65" s="27" t="s">
        <v>150</v>
      </c>
      <c r="N65" s="13" t="s">
        <v>56</v>
      </c>
      <c r="O65" s="13" t="s">
        <v>42</v>
      </c>
      <c r="P65" s="34"/>
      <c r="Q65" s="13" t="s">
        <v>44</v>
      </c>
      <c r="R65" s="13" t="s">
        <v>68</v>
      </c>
      <c r="S65" s="37"/>
      <c r="T65" s="37"/>
      <c r="U65" s="26"/>
      <c r="V65" s="37">
        <v>5.0</v>
      </c>
    </row>
    <row r="66">
      <c r="A66" s="13">
        <v>65.0</v>
      </c>
      <c r="B66" s="15">
        <v>46084.0</v>
      </c>
      <c r="C66" s="13" t="s">
        <v>47</v>
      </c>
      <c r="D66" s="13" t="s">
        <v>48</v>
      </c>
      <c r="E66" s="20" t="s">
        <v>732</v>
      </c>
      <c r="F66" s="13">
        <v>5.0609392E8</v>
      </c>
      <c r="G66" s="20" t="s">
        <v>41</v>
      </c>
      <c r="H66" s="13" t="s">
        <v>222</v>
      </c>
      <c r="I66" s="20" t="s">
        <v>737</v>
      </c>
      <c r="J66" s="20" t="s">
        <v>739</v>
      </c>
      <c r="K66" s="13" t="s">
        <v>65</v>
      </c>
      <c r="L66" s="27"/>
      <c r="M66" s="75" t="s">
        <v>101</v>
      </c>
      <c r="N66" s="13" t="s">
        <v>56</v>
      </c>
      <c r="O66" s="13" t="s">
        <v>42</v>
      </c>
      <c r="P66" s="34"/>
      <c r="Q66" s="13" t="s">
        <v>44</v>
      </c>
      <c r="R66" s="13" t="s">
        <v>46</v>
      </c>
      <c r="S66" s="37"/>
      <c r="T66" s="37"/>
      <c r="U66" s="26"/>
      <c r="V66" s="37">
        <v>5.0</v>
      </c>
    </row>
    <row r="67" hidden="1">
      <c r="A67" s="13">
        <v>66.0</v>
      </c>
      <c r="B67" s="15">
        <v>46084.0</v>
      </c>
      <c r="C67" s="13" t="s">
        <v>58</v>
      </c>
      <c r="D67" s="13" t="s">
        <v>60</v>
      </c>
      <c r="E67" s="13" t="s">
        <v>27</v>
      </c>
      <c r="F67" s="13">
        <v>5.10939682E8</v>
      </c>
      <c r="G67" s="13" t="s">
        <v>27</v>
      </c>
      <c r="H67" s="13" t="s">
        <v>27</v>
      </c>
      <c r="I67" s="20" t="s">
        <v>554</v>
      </c>
      <c r="J67" s="20" t="s">
        <v>35</v>
      </c>
      <c r="K67" s="13" t="s">
        <v>36</v>
      </c>
      <c r="L67" s="27"/>
      <c r="M67" s="27" t="s">
        <v>323</v>
      </c>
      <c r="N67" s="13" t="s">
        <v>56</v>
      </c>
      <c r="O67" s="13" t="s">
        <v>42</v>
      </c>
      <c r="P67" s="34"/>
      <c r="Q67" s="13" t="s">
        <v>44</v>
      </c>
      <c r="R67" s="13" t="s">
        <v>68</v>
      </c>
      <c r="S67" s="37"/>
      <c r="T67" s="37"/>
      <c r="U67" s="26"/>
      <c r="V67" s="37">
        <v>5.0</v>
      </c>
    </row>
    <row r="68">
      <c r="A68" s="13">
        <v>67.0</v>
      </c>
      <c r="B68" s="15">
        <v>46084.0</v>
      </c>
      <c r="C68" s="13" t="s">
        <v>47</v>
      </c>
      <c r="D68" s="13" t="s">
        <v>92</v>
      </c>
      <c r="E68" s="20" t="s">
        <v>747</v>
      </c>
      <c r="F68" s="13">
        <v>5.05654655E8</v>
      </c>
      <c r="G68" s="20" t="s">
        <v>41</v>
      </c>
      <c r="H68" s="13" t="s">
        <v>133</v>
      </c>
      <c r="I68" s="20" t="s">
        <v>749</v>
      </c>
      <c r="J68" s="20" t="s">
        <v>35</v>
      </c>
      <c r="K68" s="13" t="s">
        <v>36</v>
      </c>
      <c r="L68" s="27"/>
      <c r="M68" s="27" t="s">
        <v>150</v>
      </c>
      <c r="N68" s="13" t="s">
        <v>40</v>
      </c>
      <c r="O68" s="13" t="s">
        <v>42</v>
      </c>
      <c r="P68" s="34"/>
      <c r="Q68" s="13" t="s">
        <v>44</v>
      </c>
      <c r="R68" s="13" t="s">
        <v>46</v>
      </c>
      <c r="S68" s="37"/>
      <c r="T68" s="37"/>
      <c r="U68" s="26"/>
      <c r="V68" s="37">
        <v>5.0</v>
      </c>
    </row>
    <row r="69" hidden="1">
      <c r="A69" s="13">
        <v>68.0</v>
      </c>
      <c r="B69" s="15">
        <v>46084.0</v>
      </c>
      <c r="C69" s="13" t="s">
        <v>58</v>
      </c>
      <c r="D69" s="13" t="s">
        <v>60</v>
      </c>
      <c r="E69" s="13" t="s">
        <v>27</v>
      </c>
      <c r="F69" s="13">
        <v>5.05515365E8</v>
      </c>
      <c r="G69" s="13" t="s">
        <v>27</v>
      </c>
      <c r="H69" s="13" t="s">
        <v>27</v>
      </c>
      <c r="I69" s="20" t="s">
        <v>756</v>
      </c>
      <c r="J69" s="20" t="s">
        <v>758</v>
      </c>
      <c r="K69" s="13" t="s">
        <v>36</v>
      </c>
      <c r="L69" s="27"/>
      <c r="M69" s="27" t="s">
        <v>323</v>
      </c>
      <c r="N69" s="13" t="s">
        <v>56</v>
      </c>
      <c r="O69" s="13" t="s">
        <v>42</v>
      </c>
      <c r="P69" s="34"/>
      <c r="Q69" s="13" t="s">
        <v>44</v>
      </c>
      <c r="R69" s="13" t="s">
        <v>68</v>
      </c>
      <c r="S69" s="37"/>
      <c r="T69" s="37"/>
      <c r="U69" s="26"/>
      <c r="V69" s="37">
        <v>5.0</v>
      </c>
    </row>
    <row r="70" hidden="1">
      <c r="A70" s="13">
        <v>69.0</v>
      </c>
      <c r="B70" s="15">
        <v>46084.0</v>
      </c>
      <c r="C70" s="13" t="s">
        <v>47</v>
      </c>
      <c r="D70" s="13" t="s">
        <v>251</v>
      </c>
      <c r="E70" s="13" t="s">
        <v>766</v>
      </c>
      <c r="F70" s="13" t="s">
        <v>27</v>
      </c>
      <c r="G70" s="20" t="s">
        <v>267</v>
      </c>
      <c r="H70" s="13" t="s">
        <v>329</v>
      </c>
      <c r="I70" s="20" t="s">
        <v>767</v>
      </c>
      <c r="J70" s="20" t="s">
        <v>35</v>
      </c>
      <c r="K70" s="13" t="s">
        <v>78</v>
      </c>
      <c r="L70" s="27"/>
      <c r="M70" s="27" t="s">
        <v>323</v>
      </c>
      <c r="N70" s="13" t="s">
        <v>40</v>
      </c>
      <c r="O70" s="13" t="s">
        <v>42</v>
      </c>
      <c r="P70" s="34"/>
      <c r="Q70" s="13" t="s">
        <v>44</v>
      </c>
      <c r="R70" s="13" t="s">
        <v>46</v>
      </c>
      <c r="S70" s="37"/>
      <c r="T70" s="37"/>
      <c r="U70" s="26"/>
      <c r="V70" s="37">
        <v>5.0</v>
      </c>
    </row>
    <row r="71" hidden="1">
      <c r="A71" s="13">
        <v>70.0</v>
      </c>
      <c r="B71" s="15">
        <v>46084.0</v>
      </c>
      <c r="C71" s="13" t="s">
        <v>58</v>
      </c>
      <c r="D71" s="13" t="s">
        <v>60</v>
      </c>
      <c r="E71" s="20" t="s">
        <v>778</v>
      </c>
      <c r="F71" s="13" t="s">
        <v>27</v>
      </c>
      <c r="G71" s="20" t="s">
        <v>71</v>
      </c>
      <c r="H71" s="13" t="s">
        <v>291</v>
      </c>
      <c r="I71" s="20" t="s">
        <v>785</v>
      </c>
      <c r="J71" s="20" t="s">
        <v>786</v>
      </c>
      <c r="K71" s="13" t="s">
        <v>78</v>
      </c>
      <c r="L71" s="26"/>
      <c r="M71" s="27" t="s">
        <v>88</v>
      </c>
      <c r="N71" s="13" t="s">
        <v>56</v>
      </c>
      <c r="O71" s="13" t="s">
        <v>42</v>
      </c>
      <c r="P71" s="34"/>
      <c r="Q71" s="13" t="s">
        <v>44</v>
      </c>
      <c r="R71" s="13" t="s">
        <v>68</v>
      </c>
      <c r="S71" s="37"/>
      <c r="T71" s="37"/>
      <c r="U71" s="26"/>
      <c r="V71" s="37">
        <v>5.0</v>
      </c>
    </row>
    <row r="72" hidden="1">
      <c r="A72" s="13">
        <v>71.0</v>
      </c>
      <c r="B72" s="15">
        <v>46084.0</v>
      </c>
      <c r="C72" s="13" t="s">
        <v>47</v>
      </c>
      <c r="D72" s="13" t="s">
        <v>24</v>
      </c>
      <c r="E72" s="20" t="s">
        <v>789</v>
      </c>
      <c r="F72" s="13" t="s">
        <v>27</v>
      </c>
      <c r="G72" s="20" t="s">
        <v>41</v>
      </c>
      <c r="H72" s="13" t="s">
        <v>791</v>
      </c>
      <c r="I72" s="78" t="s">
        <v>793</v>
      </c>
      <c r="J72" s="20" t="s">
        <v>35</v>
      </c>
      <c r="K72" s="13" t="s">
        <v>78</v>
      </c>
      <c r="L72" s="26"/>
      <c r="M72" s="27" t="s">
        <v>55</v>
      </c>
      <c r="N72" s="13" t="s">
        <v>40</v>
      </c>
      <c r="O72" s="13" t="s">
        <v>42</v>
      </c>
      <c r="P72" s="34"/>
      <c r="Q72" s="13" t="s">
        <v>44</v>
      </c>
      <c r="R72" s="13" t="s">
        <v>68</v>
      </c>
      <c r="S72" s="37"/>
      <c r="T72" s="37"/>
      <c r="U72" s="26"/>
      <c r="V72" s="37">
        <v>5.0</v>
      </c>
    </row>
    <row r="73">
      <c r="A73" s="13">
        <v>72.0</v>
      </c>
      <c r="B73" s="15">
        <v>46084.0</v>
      </c>
      <c r="C73" s="13" t="s">
        <v>47</v>
      </c>
      <c r="D73" s="13" t="s">
        <v>48</v>
      </c>
      <c r="E73" s="13" t="s">
        <v>800</v>
      </c>
      <c r="F73" s="13" t="s">
        <v>27</v>
      </c>
      <c r="G73" s="20" t="s">
        <v>28</v>
      </c>
      <c r="H73" s="13" t="s">
        <v>177</v>
      </c>
      <c r="I73" s="13" t="s">
        <v>802</v>
      </c>
      <c r="J73" s="20" t="s">
        <v>803</v>
      </c>
      <c r="K73" s="13" t="s">
        <v>78</v>
      </c>
      <c r="L73" s="26"/>
      <c r="M73" s="27" t="s">
        <v>55</v>
      </c>
      <c r="N73" s="13" t="s">
        <v>56</v>
      </c>
      <c r="O73" s="13" t="s">
        <v>42</v>
      </c>
      <c r="P73" s="34"/>
      <c r="Q73" s="13" t="s">
        <v>44</v>
      </c>
      <c r="R73" s="13" t="s">
        <v>46</v>
      </c>
      <c r="S73" s="37"/>
      <c r="T73" s="37"/>
      <c r="U73" s="26"/>
      <c r="V73" s="37">
        <v>5.0</v>
      </c>
    </row>
    <row r="74">
      <c r="A74" s="13">
        <v>73.0</v>
      </c>
      <c r="B74" s="15">
        <v>46084.0</v>
      </c>
      <c r="C74" s="13" t="s">
        <v>47</v>
      </c>
      <c r="D74" s="13" t="s">
        <v>48</v>
      </c>
      <c r="E74" s="13" t="s">
        <v>811</v>
      </c>
      <c r="F74" s="13" t="s">
        <v>27</v>
      </c>
      <c r="G74" s="20" t="s">
        <v>41</v>
      </c>
      <c r="H74" s="13" t="s">
        <v>222</v>
      </c>
      <c r="I74" s="20" t="s">
        <v>813</v>
      </c>
      <c r="J74" s="20" t="s">
        <v>814</v>
      </c>
      <c r="K74" s="13" t="s">
        <v>78</v>
      </c>
      <c r="L74" s="26"/>
      <c r="M74" s="75" t="s">
        <v>101</v>
      </c>
      <c r="N74" s="13" t="s">
        <v>56</v>
      </c>
      <c r="O74" s="13" t="s">
        <v>42</v>
      </c>
      <c r="P74" s="34"/>
      <c r="Q74" s="13" t="s">
        <v>44</v>
      </c>
      <c r="R74" s="13" t="s">
        <v>46</v>
      </c>
      <c r="S74" s="37"/>
      <c r="T74" s="37"/>
      <c r="U74" s="26"/>
      <c r="V74" s="37">
        <v>5.0</v>
      </c>
    </row>
    <row r="75" hidden="1">
      <c r="A75" s="13">
        <v>74.0</v>
      </c>
      <c r="B75" s="15">
        <v>46084.0</v>
      </c>
      <c r="C75" s="13" t="s">
        <v>21</v>
      </c>
      <c r="D75" s="13" t="s">
        <v>66</v>
      </c>
      <c r="E75" s="20" t="s">
        <v>822</v>
      </c>
      <c r="F75" s="13">
        <v>5.59561049E8</v>
      </c>
      <c r="G75" s="13" t="s">
        <v>27</v>
      </c>
      <c r="H75" s="13" t="s">
        <v>27</v>
      </c>
      <c r="I75" s="20" t="s">
        <v>823</v>
      </c>
      <c r="J75" s="20" t="s">
        <v>824</v>
      </c>
      <c r="K75" s="13" t="s">
        <v>36</v>
      </c>
      <c r="L75" s="26"/>
      <c r="M75" s="27" t="s">
        <v>38</v>
      </c>
      <c r="N75" s="13" t="s">
        <v>40</v>
      </c>
      <c r="O75" s="13" t="s">
        <v>42</v>
      </c>
      <c r="P75" s="34"/>
      <c r="Q75" s="13" t="s">
        <v>44</v>
      </c>
      <c r="R75" s="13" t="s">
        <v>68</v>
      </c>
      <c r="S75" s="37"/>
      <c r="T75" s="37"/>
      <c r="U75" s="26"/>
      <c r="V75" s="37">
        <v>5.0</v>
      </c>
    </row>
    <row r="76" hidden="1">
      <c r="A76" s="13">
        <v>75.0</v>
      </c>
      <c r="B76" s="15">
        <v>46084.0</v>
      </c>
      <c r="C76" s="13" t="s">
        <v>21</v>
      </c>
      <c r="D76" s="13" t="s">
        <v>24</v>
      </c>
      <c r="E76" s="20" t="s">
        <v>829</v>
      </c>
      <c r="F76" s="13">
        <v>5.54508808E8</v>
      </c>
      <c r="G76" s="20" t="s">
        <v>71</v>
      </c>
      <c r="H76" s="13" t="s">
        <v>27</v>
      </c>
      <c r="I76" s="20" t="s">
        <v>832</v>
      </c>
      <c r="J76" s="20" t="s">
        <v>35</v>
      </c>
      <c r="K76" s="13" t="s">
        <v>36</v>
      </c>
      <c r="L76" s="27"/>
      <c r="M76" s="27" t="s">
        <v>101</v>
      </c>
      <c r="N76" s="13" t="s">
        <v>40</v>
      </c>
      <c r="O76" s="13" t="s">
        <v>42</v>
      </c>
      <c r="P76" s="34"/>
      <c r="Q76" s="13" t="s">
        <v>44</v>
      </c>
      <c r="R76" s="13" t="s">
        <v>46</v>
      </c>
      <c r="S76" s="37"/>
      <c r="T76" s="37"/>
      <c r="U76" s="26"/>
      <c r="V76" s="37">
        <v>5.0</v>
      </c>
    </row>
    <row r="77">
      <c r="A77" s="13">
        <v>76.0</v>
      </c>
      <c r="B77" s="15">
        <v>46084.0</v>
      </c>
      <c r="C77" s="13" t="s">
        <v>47</v>
      </c>
      <c r="D77" s="13" t="s">
        <v>48</v>
      </c>
      <c r="E77" s="20" t="s">
        <v>836</v>
      </c>
      <c r="F77" s="13">
        <v>5.3377903E8</v>
      </c>
      <c r="G77" s="20" t="s">
        <v>152</v>
      </c>
      <c r="H77" s="13" t="s">
        <v>272</v>
      </c>
      <c r="I77" s="20" t="s">
        <v>838</v>
      </c>
      <c r="J77" s="20" t="s">
        <v>839</v>
      </c>
      <c r="K77" s="13" t="s">
        <v>36</v>
      </c>
      <c r="L77" s="26"/>
      <c r="M77" s="27" t="s">
        <v>55</v>
      </c>
      <c r="N77" s="13" t="s">
        <v>56</v>
      </c>
      <c r="O77" s="13" t="s">
        <v>42</v>
      </c>
      <c r="P77" s="34"/>
      <c r="Q77" s="13" t="s">
        <v>44</v>
      </c>
      <c r="R77" s="13" t="s">
        <v>46</v>
      </c>
      <c r="S77" s="37"/>
      <c r="T77" s="37"/>
      <c r="U77" s="26"/>
      <c r="V77" s="37">
        <v>5.0</v>
      </c>
    </row>
    <row r="78" hidden="1">
      <c r="A78" s="13">
        <v>77.0</v>
      </c>
      <c r="B78" s="15">
        <v>46084.0</v>
      </c>
      <c r="C78" s="13" t="s">
        <v>21</v>
      </c>
      <c r="D78" s="13" t="s">
        <v>24</v>
      </c>
      <c r="E78" s="20" t="s">
        <v>841</v>
      </c>
      <c r="F78" s="13">
        <v>5.39742285E8</v>
      </c>
      <c r="G78" s="20" t="s">
        <v>41</v>
      </c>
      <c r="H78" s="13" t="s">
        <v>27</v>
      </c>
      <c r="I78" s="20" t="s">
        <v>843</v>
      </c>
      <c r="J78" s="20" t="s">
        <v>35</v>
      </c>
      <c r="K78" s="13" t="s">
        <v>36</v>
      </c>
      <c r="L78" s="26"/>
      <c r="M78" s="27" t="s">
        <v>38</v>
      </c>
      <c r="N78" s="13" t="s">
        <v>40</v>
      </c>
      <c r="O78" s="13" t="s">
        <v>42</v>
      </c>
      <c r="P78" s="34"/>
      <c r="Q78" s="13" t="s">
        <v>44</v>
      </c>
      <c r="R78" s="13" t="s">
        <v>46</v>
      </c>
      <c r="S78" s="37"/>
      <c r="T78" s="37"/>
      <c r="U78" s="26"/>
      <c r="V78" s="37">
        <v>5.0</v>
      </c>
    </row>
    <row r="79" hidden="1">
      <c r="A79" s="13">
        <v>78.0</v>
      </c>
      <c r="B79" s="15">
        <v>46084.0</v>
      </c>
      <c r="C79" s="13" t="s">
        <v>58</v>
      </c>
      <c r="D79" s="13" t="s">
        <v>60</v>
      </c>
      <c r="E79" s="13" t="s">
        <v>27</v>
      </c>
      <c r="F79" s="13">
        <v>1.1500768E8</v>
      </c>
      <c r="G79" s="13" t="s">
        <v>27</v>
      </c>
      <c r="H79" s="13" t="s">
        <v>27</v>
      </c>
      <c r="I79" s="20" t="s">
        <v>846</v>
      </c>
      <c r="J79" s="20" t="s">
        <v>847</v>
      </c>
      <c r="K79" s="13" t="s">
        <v>65</v>
      </c>
      <c r="L79" s="26"/>
      <c r="M79" s="27" t="s">
        <v>88</v>
      </c>
      <c r="N79" s="13" t="s">
        <v>56</v>
      </c>
      <c r="O79" s="13" t="s">
        <v>42</v>
      </c>
      <c r="P79" s="34"/>
      <c r="Q79" s="13" t="s">
        <v>44</v>
      </c>
      <c r="R79" s="13" t="s">
        <v>68</v>
      </c>
      <c r="S79" s="37"/>
      <c r="T79" s="37"/>
      <c r="U79" s="26"/>
      <c r="V79" s="37">
        <v>5.0</v>
      </c>
    </row>
    <row r="80" hidden="1">
      <c r="A80" s="13">
        <v>79.0</v>
      </c>
      <c r="B80" s="15">
        <v>46085.0</v>
      </c>
      <c r="C80" s="13" t="s">
        <v>58</v>
      </c>
      <c r="D80" s="13" t="s">
        <v>60</v>
      </c>
      <c r="E80" s="13" t="s">
        <v>27</v>
      </c>
      <c r="F80" s="13">
        <v>5.07034445E8</v>
      </c>
      <c r="G80" s="13" t="s">
        <v>27</v>
      </c>
      <c r="H80" s="13" t="s">
        <v>27</v>
      </c>
      <c r="I80" s="20" t="s">
        <v>856</v>
      </c>
      <c r="J80" s="20" t="s">
        <v>857</v>
      </c>
      <c r="K80" s="13" t="s">
        <v>321</v>
      </c>
      <c r="L80" s="26"/>
      <c r="M80" s="27" t="s">
        <v>88</v>
      </c>
      <c r="N80" s="13" t="s">
        <v>56</v>
      </c>
      <c r="O80" s="13" t="s">
        <v>42</v>
      </c>
      <c r="P80" s="34"/>
      <c r="Q80" s="13" t="s">
        <v>49</v>
      </c>
      <c r="R80" s="13" t="s">
        <v>68</v>
      </c>
      <c r="S80" s="37"/>
      <c r="T80" s="37"/>
      <c r="U80" s="26"/>
      <c r="V80" s="37">
        <v>5.0</v>
      </c>
    </row>
    <row r="81" hidden="1">
      <c r="A81" s="13">
        <v>80.0</v>
      </c>
      <c r="B81" s="15">
        <v>46085.0</v>
      </c>
      <c r="C81" s="13" t="s">
        <v>21</v>
      </c>
      <c r="D81" s="13" t="s">
        <v>66</v>
      </c>
      <c r="E81" s="20" t="s">
        <v>861</v>
      </c>
      <c r="F81" s="13">
        <v>5.96812759E8</v>
      </c>
      <c r="G81" s="13" t="s">
        <v>27</v>
      </c>
      <c r="H81" s="13" t="s">
        <v>27</v>
      </c>
      <c r="I81" s="20" t="s">
        <v>862</v>
      </c>
      <c r="J81" s="20" t="s">
        <v>35</v>
      </c>
      <c r="K81" s="13" t="s">
        <v>39</v>
      </c>
      <c r="L81" s="26"/>
      <c r="M81" s="27" t="s">
        <v>38</v>
      </c>
      <c r="N81" s="13" t="s">
        <v>40</v>
      </c>
      <c r="O81" s="13" t="s">
        <v>42</v>
      </c>
      <c r="P81" s="34"/>
      <c r="Q81" s="13" t="s">
        <v>49</v>
      </c>
      <c r="R81" s="13" t="s">
        <v>68</v>
      </c>
      <c r="S81" s="37"/>
      <c r="T81" s="37"/>
      <c r="U81" s="26"/>
      <c r="V81" s="37">
        <v>5.0</v>
      </c>
    </row>
    <row r="82" ht="87.75" customHeight="1">
      <c r="A82" s="13">
        <v>81.0</v>
      </c>
      <c r="B82" s="15">
        <v>46085.0</v>
      </c>
      <c r="C82" s="13" t="s">
        <v>47</v>
      </c>
      <c r="D82" s="13" t="s">
        <v>92</v>
      </c>
      <c r="E82" s="20" t="s">
        <v>867</v>
      </c>
      <c r="F82" s="13">
        <v>5.93275805E8</v>
      </c>
      <c r="G82" s="20" t="s">
        <v>71</v>
      </c>
      <c r="H82" s="13" t="s">
        <v>94</v>
      </c>
      <c r="I82" s="20" t="s">
        <v>869</v>
      </c>
      <c r="J82" s="20" t="s">
        <v>870</v>
      </c>
      <c r="K82" s="13" t="s">
        <v>36</v>
      </c>
      <c r="L82" s="26"/>
      <c r="M82" s="27" t="s">
        <v>55</v>
      </c>
      <c r="N82" s="13" t="s">
        <v>56</v>
      </c>
      <c r="O82" s="13" t="s">
        <v>42</v>
      </c>
      <c r="P82" s="34"/>
      <c r="Q82" s="13" t="s">
        <v>49</v>
      </c>
      <c r="R82" s="13" t="s">
        <v>46</v>
      </c>
      <c r="S82" s="37"/>
      <c r="T82" s="37"/>
      <c r="U82" s="26"/>
      <c r="V82" s="37">
        <v>5.0</v>
      </c>
    </row>
    <row r="83" hidden="1">
      <c r="A83" s="13">
        <v>82.0</v>
      </c>
      <c r="B83" s="15">
        <v>46085.0</v>
      </c>
      <c r="C83" s="13" t="s">
        <v>58</v>
      </c>
      <c r="D83" s="13" t="s">
        <v>60</v>
      </c>
      <c r="E83" s="13" t="s">
        <v>27</v>
      </c>
      <c r="F83" s="13">
        <v>5.0146392E8</v>
      </c>
      <c r="G83" s="13" t="s">
        <v>27</v>
      </c>
      <c r="H83" s="13" t="s">
        <v>27</v>
      </c>
      <c r="I83" s="20" t="s">
        <v>554</v>
      </c>
      <c r="J83" s="20" t="s">
        <v>500</v>
      </c>
      <c r="K83" s="13" t="s">
        <v>36</v>
      </c>
      <c r="L83" s="26"/>
      <c r="M83" s="27" t="s">
        <v>88</v>
      </c>
      <c r="N83" s="13" t="s">
        <v>56</v>
      </c>
      <c r="O83" s="13" t="s">
        <v>42</v>
      </c>
      <c r="P83" s="34"/>
      <c r="Q83" s="13" t="s">
        <v>44</v>
      </c>
      <c r="R83" s="13" t="s">
        <v>68</v>
      </c>
      <c r="S83" s="37"/>
      <c r="T83" s="37"/>
      <c r="U83" s="26"/>
      <c r="V83" s="37">
        <v>5.0</v>
      </c>
    </row>
    <row r="84">
      <c r="A84" s="13">
        <v>83.0</v>
      </c>
      <c r="B84" s="15">
        <v>46085.0</v>
      </c>
      <c r="C84" s="13" t="s">
        <v>47</v>
      </c>
      <c r="D84" s="13" t="s">
        <v>48</v>
      </c>
      <c r="E84" s="20" t="s">
        <v>882</v>
      </c>
      <c r="F84" s="13">
        <v>5.3285482E8</v>
      </c>
      <c r="G84" s="20" t="s">
        <v>41</v>
      </c>
      <c r="H84" s="13" t="s">
        <v>222</v>
      </c>
      <c r="I84" s="20" t="s">
        <v>884</v>
      </c>
      <c r="J84" s="20" t="s">
        <v>885</v>
      </c>
      <c r="K84" s="13" t="s">
        <v>36</v>
      </c>
      <c r="L84" s="26"/>
      <c r="M84" s="75" t="s">
        <v>101</v>
      </c>
      <c r="N84" s="13" t="s">
        <v>56</v>
      </c>
      <c r="O84" s="13" t="s">
        <v>42</v>
      </c>
      <c r="P84" s="34"/>
      <c r="Q84" s="13" t="s">
        <v>44</v>
      </c>
      <c r="R84" s="13" t="s">
        <v>46</v>
      </c>
      <c r="S84" s="37"/>
      <c r="T84" s="37"/>
      <c r="U84" s="26"/>
      <c r="V84" s="37">
        <v>5.0</v>
      </c>
    </row>
    <row r="85">
      <c r="A85" s="13">
        <v>84.0</v>
      </c>
      <c r="B85" s="15">
        <v>46086.0</v>
      </c>
      <c r="C85" s="13" t="s">
        <v>47</v>
      </c>
      <c r="D85" s="13" t="s">
        <v>138</v>
      </c>
      <c r="E85" s="13" t="s">
        <v>890</v>
      </c>
      <c r="F85" s="13" t="s">
        <v>27</v>
      </c>
      <c r="G85" s="20" t="s">
        <v>41</v>
      </c>
      <c r="H85" s="13" t="s">
        <v>638</v>
      </c>
      <c r="I85" s="20" t="s">
        <v>891</v>
      </c>
      <c r="J85" s="20" t="s">
        <v>892</v>
      </c>
      <c r="K85" s="13" t="s">
        <v>78</v>
      </c>
      <c r="L85" s="26"/>
      <c r="M85" s="27" t="s">
        <v>55</v>
      </c>
      <c r="N85" s="13" t="s">
        <v>56</v>
      </c>
      <c r="O85" s="13" t="s">
        <v>42</v>
      </c>
      <c r="P85" s="34"/>
      <c r="Q85" s="13" t="s">
        <v>49</v>
      </c>
      <c r="R85" s="13" t="s">
        <v>46</v>
      </c>
      <c r="S85" s="37"/>
      <c r="T85" s="37"/>
      <c r="U85" s="26"/>
      <c r="V85" s="37">
        <v>5.0</v>
      </c>
    </row>
    <row r="86" hidden="1">
      <c r="A86" s="13">
        <v>85.0</v>
      </c>
      <c r="B86" s="15">
        <v>46086.0</v>
      </c>
      <c r="C86" s="13" t="s">
        <v>58</v>
      </c>
      <c r="D86" s="13" t="s">
        <v>60</v>
      </c>
      <c r="E86" s="13" t="s">
        <v>27</v>
      </c>
      <c r="F86" s="13">
        <v>5.09111115E8</v>
      </c>
      <c r="G86" s="13" t="s">
        <v>27</v>
      </c>
      <c r="H86" s="13" t="s">
        <v>27</v>
      </c>
      <c r="I86" s="20" t="s">
        <v>233</v>
      </c>
      <c r="J86" s="20" t="s">
        <v>35</v>
      </c>
      <c r="K86" s="13" t="s">
        <v>36</v>
      </c>
      <c r="L86" s="26"/>
      <c r="M86" s="27" t="s">
        <v>88</v>
      </c>
      <c r="N86" s="13" t="s">
        <v>56</v>
      </c>
      <c r="O86" s="13" t="s">
        <v>42</v>
      </c>
      <c r="P86" s="34"/>
      <c r="Q86" s="13" t="s">
        <v>49</v>
      </c>
      <c r="R86" s="13" t="s">
        <v>68</v>
      </c>
      <c r="S86" s="37"/>
      <c r="T86" s="37"/>
      <c r="U86" s="26"/>
      <c r="V86" s="37">
        <v>5.0</v>
      </c>
    </row>
    <row r="87" hidden="1">
      <c r="A87" s="13">
        <v>86.0</v>
      </c>
      <c r="B87" s="15">
        <v>46086.0</v>
      </c>
      <c r="C87" s="13" t="s">
        <v>21</v>
      </c>
      <c r="D87" s="13" t="s">
        <v>34</v>
      </c>
      <c r="E87" s="20" t="s">
        <v>463</v>
      </c>
      <c r="F87" s="13">
        <v>5.5511986E8</v>
      </c>
      <c r="G87" s="20" t="s">
        <v>41</v>
      </c>
      <c r="H87" s="13" t="s">
        <v>27</v>
      </c>
      <c r="I87" s="20" t="s">
        <v>912</v>
      </c>
      <c r="J87" s="20" t="s">
        <v>500</v>
      </c>
      <c r="K87" s="13" t="s">
        <v>36</v>
      </c>
      <c r="L87" s="26"/>
      <c r="M87" s="27" t="s">
        <v>51</v>
      </c>
      <c r="N87" s="13" t="s">
        <v>40</v>
      </c>
      <c r="O87" s="13" t="s">
        <v>42</v>
      </c>
      <c r="P87" s="34"/>
      <c r="Q87" s="13" t="s">
        <v>49</v>
      </c>
      <c r="R87" s="13" t="s">
        <v>68</v>
      </c>
      <c r="S87" s="37"/>
      <c r="T87" s="37"/>
      <c r="U87" s="26"/>
      <c r="V87" s="37">
        <v>5.0</v>
      </c>
    </row>
    <row r="88" hidden="1">
      <c r="A88" s="13">
        <v>87.0</v>
      </c>
      <c r="B88" s="15">
        <v>46086.0</v>
      </c>
      <c r="C88" s="13" t="s">
        <v>58</v>
      </c>
      <c r="D88" s="13" t="s">
        <v>60</v>
      </c>
      <c r="E88" s="13" t="s">
        <v>27</v>
      </c>
      <c r="F88" s="13">
        <v>5.45284089E8</v>
      </c>
      <c r="G88" s="20" t="s">
        <v>41</v>
      </c>
      <c r="H88" s="13" t="s">
        <v>97</v>
      </c>
      <c r="I88" s="20" t="s">
        <v>920</v>
      </c>
      <c r="J88" s="20" t="s">
        <v>921</v>
      </c>
      <c r="K88" s="13" t="s">
        <v>36</v>
      </c>
      <c r="L88" s="27"/>
      <c r="M88" s="27" t="s">
        <v>653</v>
      </c>
      <c r="N88" s="13" t="s">
        <v>56</v>
      </c>
      <c r="O88" s="13" t="s">
        <v>42</v>
      </c>
      <c r="P88" s="34"/>
      <c r="Q88" s="13" t="s">
        <v>49</v>
      </c>
      <c r="R88" s="13" t="s">
        <v>68</v>
      </c>
      <c r="S88" s="37"/>
      <c r="T88" s="37"/>
      <c r="U88" s="26"/>
      <c r="V88" s="37">
        <v>5.0</v>
      </c>
    </row>
    <row r="89">
      <c r="A89" s="13">
        <v>88.0</v>
      </c>
      <c r="B89" s="15">
        <v>46086.0</v>
      </c>
      <c r="C89" s="13" t="s">
        <v>47</v>
      </c>
      <c r="D89" s="13" t="s">
        <v>48</v>
      </c>
      <c r="E89" s="20" t="s">
        <v>926</v>
      </c>
      <c r="F89" s="13">
        <v>5.4992E8</v>
      </c>
      <c r="G89" s="20" t="s">
        <v>41</v>
      </c>
      <c r="H89" s="13" t="s">
        <v>294</v>
      </c>
      <c r="I89" s="60" t="s">
        <v>929</v>
      </c>
      <c r="J89" s="20" t="s">
        <v>930</v>
      </c>
      <c r="K89" s="13" t="s">
        <v>36</v>
      </c>
      <c r="L89" s="26"/>
      <c r="M89" s="27" t="s">
        <v>55</v>
      </c>
      <c r="N89" s="13" t="s">
        <v>56</v>
      </c>
      <c r="O89" s="13" t="s">
        <v>42</v>
      </c>
      <c r="P89" s="34"/>
      <c r="Q89" s="13" t="s">
        <v>49</v>
      </c>
      <c r="R89" s="13" t="s">
        <v>46</v>
      </c>
      <c r="S89" s="37"/>
      <c r="T89" s="37"/>
      <c r="U89" s="26"/>
      <c r="V89" s="37">
        <v>5.0</v>
      </c>
    </row>
    <row r="90" ht="18.75" hidden="1" customHeight="1">
      <c r="A90" s="13">
        <v>89.0</v>
      </c>
      <c r="B90" s="15">
        <v>46086.0</v>
      </c>
      <c r="C90" s="13" t="s">
        <v>58</v>
      </c>
      <c r="D90" s="13" t="s">
        <v>60</v>
      </c>
      <c r="E90" s="13" t="s">
        <v>27</v>
      </c>
      <c r="F90" s="13">
        <v>5.32247179E8</v>
      </c>
      <c r="G90" s="13" t="s">
        <v>27</v>
      </c>
      <c r="H90" s="13" t="s">
        <v>27</v>
      </c>
      <c r="I90" s="20" t="s">
        <v>936</v>
      </c>
      <c r="J90" s="20" t="s">
        <v>35</v>
      </c>
      <c r="K90" s="13" t="s">
        <v>65</v>
      </c>
      <c r="L90" s="26"/>
      <c r="M90" s="27" t="s">
        <v>88</v>
      </c>
      <c r="N90" s="13" t="s">
        <v>56</v>
      </c>
      <c r="O90" s="13" t="s">
        <v>42</v>
      </c>
      <c r="P90" s="34"/>
      <c r="Q90" s="13" t="s">
        <v>49</v>
      </c>
      <c r="R90" s="13" t="s">
        <v>68</v>
      </c>
      <c r="S90" s="37"/>
      <c r="T90" s="37"/>
      <c r="U90" s="26"/>
      <c r="V90" s="37">
        <v>5.0</v>
      </c>
    </row>
    <row r="91" hidden="1">
      <c r="A91" s="13">
        <v>90.0</v>
      </c>
      <c r="B91" s="15">
        <v>46086.0</v>
      </c>
      <c r="C91" s="13" t="s">
        <v>21</v>
      </c>
      <c r="D91" s="13" t="s">
        <v>939</v>
      </c>
      <c r="E91" s="20" t="s">
        <v>940</v>
      </c>
      <c r="F91" s="13">
        <v>5.0281319E8</v>
      </c>
      <c r="G91" s="20" t="s">
        <v>41</v>
      </c>
      <c r="H91" s="13" t="s">
        <v>27</v>
      </c>
      <c r="I91" s="20" t="s">
        <v>941</v>
      </c>
      <c r="J91" s="20" t="s">
        <v>943</v>
      </c>
      <c r="K91" s="13" t="s">
        <v>65</v>
      </c>
      <c r="L91" s="27"/>
      <c r="M91" s="27" t="s">
        <v>150</v>
      </c>
      <c r="N91" s="13" t="s">
        <v>56</v>
      </c>
      <c r="O91" s="13" t="s">
        <v>42</v>
      </c>
      <c r="P91" s="34"/>
      <c r="Q91" s="13" t="s">
        <v>49</v>
      </c>
      <c r="R91" s="13" t="s">
        <v>68</v>
      </c>
      <c r="S91" s="37"/>
      <c r="T91" s="37"/>
      <c r="U91" s="26"/>
      <c r="V91" s="37">
        <v>5.0</v>
      </c>
    </row>
    <row r="92" hidden="1">
      <c r="A92" s="13">
        <v>91.0</v>
      </c>
      <c r="B92" s="15">
        <v>46086.0</v>
      </c>
      <c r="C92" s="13" t="s">
        <v>21</v>
      </c>
      <c r="D92" s="13" t="s">
        <v>57</v>
      </c>
      <c r="E92" s="20" t="s">
        <v>947</v>
      </c>
      <c r="F92" s="13">
        <v>5.30004367E8</v>
      </c>
      <c r="G92" s="13" t="s">
        <v>27</v>
      </c>
      <c r="H92" s="13" t="s">
        <v>27</v>
      </c>
      <c r="I92" s="20" t="s">
        <v>949</v>
      </c>
      <c r="J92" s="20" t="s">
        <v>950</v>
      </c>
      <c r="K92" s="13" t="s">
        <v>39</v>
      </c>
      <c r="L92" s="27"/>
      <c r="M92" s="27" t="s">
        <v>953</v>
      </c>
      <c r="N92" s="13" t="s">
        <v>56</v>
      </c>
      <c r="O92" s="13" t="s">
        <v>42</v>
      </c>
      <c r="P92" s="34"/>
      <c r="Q92" s="13" t="s">
        <v>49</v>
      </c>
      <c r="R92" s="13" t="s">
        <v>68</v>
      </c>
      <c r="S92" s="37"/>
      <c r="T92" s="37"/>
      <c r="U92" s="26"/>
      <c r="V92" s="37">
        <v>5.0</v>
      </c>
    </row>
    <row r="93">
      <c r="A93" s="13">
        <v>92.0</v>
      </c>
      <c r="B93" s="15">
        <v>46086.0</v>
      </c>
      <c r="C93" s="13" t="s">
        <v>47</v>
      </c>
      <c r="D93" s="13" t="s">
        <v>48</v>
      </c>
      <c r="E93" s="13" t="s">
        <v>961</v>
      </c>
      <c r="F93" s="13" t="s">
        <v>27</v>
      </c>
      <c r="G93" s="20" t="s">
        <v>71</v>
      </c>
      <c r="H93" s="13" t="s">
        <v>163</v>
      </c>
      <c r="I93" s="20" t="s">
        <v>962</v>
      </c>
      <c r="J93" s="20" t="s">
        <v>963</v>
      </c>
      <c r="K93" s="13" t="s">
        <v>78</v>
      </c>
      <c r="L93" s="27"/>
      <c r="M93" s="27" t="s">
        <v>323</v>
      </c>
      <c r="N93" s="13" t="s">
        <v>56</v>
      </c>
      <c r="O93" s="13" t="s">
        <v>42</v>
      </c>
      <c r="P93" s="34"/>
      <c r="Q93" s="13" t="s">
        <v>49</v>
      </c>
      <c r="R93" s="13" t="s">
        <v>46</v>
      </c>
      <c r="S93" s="37"/>
      <c r="T93" s="37"/>
      <c r="U93" s="26"/>
      <c r="V93" s="37">
        <v>5.0</v>
      </c>
    </row>
    <row r="94">
      <c r="A94" s="13">
        <v>93.0</v>
      </c>
      <c r="B94" s="15">
        <v>46086.0</v>
      </c>
      <c r="C94" s="13" t="s">
        <v>47</v>
      </c>
      <c r="D94" s="13" t="s">
        <v>48</v>
      </c>
      <c r="E94" s="13" t="s">
        <v>970</v>
      </c>
      <c r="F94" s="13" t="s">
        <v>27</v>
      </c>
      <c r="G94" s="20" t="s">
        <v>71</v>
      </c>
      <c r="H94" s="13" t="s">
        <v>163</v>
      </c>
      <c r="I94" s="20" t="s">
        <v>971</v>
      </c>
      <c r="J94" s="20" t="s">
        <v>972</v>
      </c>
      <c r="K94" s="13" t="s">
        <v>78</v>
      </c>
      <c r="L94" s="27"/>
      <c r="M94" s="27" t="s">
        <v>975</v>
      </c>
      <c r="N94" s="13" t="s">
        <v>56</v>
      </c>
      <c r="O94" s="13" t="s">
        <v>42</v>
      </c>
      <c r="P94" s="34"/>
      <c r="Q94" s="13" t="s">
        <v>49</v>
      </c>
      <c r="R94" s="13" t="s">
        <v>46</v>
      </c>
      <c r="S94" s="37"/>
      <c r="T94" s="37"/>
      <c r="U94" s="26"/>
      <c r="V94" s="37">
        <v>5.0</v>
      </c>
    </row>
    <row r="95" hidden="1">
      <c r="A95" s="13">
        <v>94.0</v>
      </c>
      <c r="B95" s="15">
        <v>46086.0</v>
      </c>
      <c r="C95" s="13" t="s">
        <v>58</v>
      </c>
      <c r="D95" s="13" t="s">
        <v>60</v>
      </c>
      <c r="E95" s="13" t="s">
        <v>980</v>
      </c>
      <c r="F95" s="13" t="s">
        <v>27</v>
      </c>
      <c r="G95" s="20" t="s">
        <v>28</v>
      </c>
      <c r="H95" s="13" t="s">
        <v>177</v>
      </c>
      <c r="I95" s="20" t="s">
        <v>981</v>
      </c>
      <c r="J95" s="20" t="s">
        <v>982</v>
      </c>
      <c r="K95" s="13" t="s">
        <v>78</v>
      </c>
      <c r="L95" s="26"/>
      <c r="M95" s="27" t="s">
        <v>88</v>
      </c>
      <c r="N95" s="13" t="s">
        <v>56</v>
      </c>
      <c r="O95" s="13" t="s">
        <v>42</v>
      </c>
      <c r="P95" s="34"/>
      <c r="Q95" s="13" t="s">
        <v>49</v>
      </c>
      <c r="R95" s="13" t="s">
        <v>68</v>
      </c>
      <c r="S95" s="37"/>
      <c r="T95" s="37"/>
      <c r="U95" s="26"/>
      <c r="V95" s="37">
        <v>5.0</v>
      </c>
    </row>
    <row r="96" ht="30.0" hidden="1" customHeight="1">
      <c r="A96" s="13">
        <v>95.0</v>
      </c>
      <c r="B96" s="15">
        <v>46086.0</v>
      </c>
      <c r="C96" s="13" t="s">
        <v>21</v>
      </c>
      <c r="D96" s="13" t="s">
        <v>22</v>
      </c>
      <c r="E96" s="20" t="s">
        <v>988</v>
      </c>
      <c r="F96" s="13">
        <v>5.65692911E8</v>
      </c>
      <c r="G96" s="13" t="s">
        <v>27</v>
      </c>
      <c r="H96" s="13" t="s">
        <v>27</v>
      </c>
      <c r="I96" s="20" t="s">
        <v>989</v>
      </c>
      <c r="J96" s="13" t="s">
        <v>27</v>
      </c>
      <c r="K96" s="13" t="s">
        <v>321</v>
      </c>
      <c r="L96" s="26"/>
      <c r="M96" s="27" t="s">
        <v>38</v>
      </c>
      <c r="N96" s="13" t="s">
        <v>40</v>
      </c>
      <c r="O96" s="13" t="s">
        <v>42</v>
      </c>
      <c r="P96" s="34"/>
      <c r="Q96" s="13" t="s">
        <v>49</v>
      </c>
      <c r="R96" s="13" t="s">
        <v>46</v>
      </c>
      <c r="S96" s="37"/>
      <c r="T96" s="37"/>
      <c r="U96" s="26"/>
      <c r="V96" s="37">
        <v>5.0</v>
      </c>
    </row>
    <row r="97" hidden="1">
      <c r="A97" s="13">
        <v>96.0</v>
      </c>
      <c r="B97" s="15">
        <v>46086.0</v>
      </c>
      <c r="C97" s="13" t="s">
        <v>21</v>
      </c>
      <c r="D97" s="13" t="s">
        <v>92</v>
      </c>
      <c r="E97" s="20" t="s">
        <v>994</v>
      </c>
      <c r="F97" s="13">
        <v>5.57510007E8</v>
      </c>
      <c r="G97" s="20" t="s">
        <v>172</v>
      </c>
      <c r="H97" s="13" t="s">
        <v>27</v>
      </c>
      <c r="I97" s="20" t="s">
        <v>996</v>
      </c>
      <c r="J97" s="20" t="s">
        <v>998</v>
      </c>
      <c r="K97" s="13" t="s">
        <v>36</v>
      </c>
      <c r="L97" s="27"/>
      <c r="M97" s="27" t="s">
        <v>208</v>
      </c>
      <c r="N97" s="13" t="s">
        <v>56</v>
      </c>
      <c r="O97" s="13" t="s">
        <v>42</v>
      </c>
      <c r="P97" s="34"/>
      <c r="Q97" s="13" t="s">
        <v>49</v>
      </c>
      <c r="R97" s="13" t="s">
        <v>68</v>
      </c>
      <c r="S97" s="37"/>
      <c r="T97" s="37"/>
      <c r="U97" s="26"/>
      <c r="V97" s="37">
        <v>5.0</v>
      </c>
    </row>
    <row r="98" hidden="1">
      <c r="A98" s="13">
        <v>97.0</v>
      </c>
      <c r="B98" s="15">
        <v>46086.0</v>
      </c>
      <c r="C98" s="13" t="s">
        <v>58</v>
      </c>
      <c r="D98" s="13" t="s">
        <v>60</v>
      </c>
      <c r="E98" s="13" t="s">
        <v>27</v>
      </c>
      <c r="F98" s="13">
        <v>5.62180964E8</v>
      </c>
      <c r="G98" s="13" t="s">
        <v>27</v>
      </c>
      <c r="H98" s="13" t="s">
        <v>27</v>
      </c>
      <c r="I98" s="20" t="s">
        <v>1005</v>
      </c>
      <c r="J98" s="20" t="s">
        <v>35</v>
      </c>
      <c r="K98" s="13" t="s">
        <v>36</v>
      </c>
      <c r="L98" s="27"/>
      <c r="M98" s="27" t="s">
        <v>1008</v>
      </c>
      <c r="N98" s="13" t="s">
        <v>56</v>
      </c>
      <c r="O98" s="13" t="s">
        <v>42</v>
      </c>
      <c r="P98" s="34"/>
      <c r="Q98" s="13" t="s">
        <v>49</v>
      </c>
      <c r="R98" s="13" t="s">
        <v>68</v>
      </c>
      <c r="S98" s="37"/>
      <c r="T98" s="37"/>
      <c r="U98" s="26"/>
      <c r="V98" s="37">
        <v>5.0</v>
      </c>
    </row>
    <row r="99" hidden="1">
      <c r="A99" s="13">
        <v>98.0</v>
      </c>
      <c r="B99" s="15">
        <v>46086.0</v>
      </c>
      <c r="C99" s="13" t="s">
        <v>21</v>
      </c>
      <c r="D99" s="13" t="s">
        <v>24</v>
      </c>
      <c r="E99" s="20" t="s">
        <v>1012</v>
      </c>
      <c r="F99" s="13">
        <v>5.03547896E8</v>
      </c>
      <c r="G99" s="20" t="s">
        <v>41</v>
      </c>
      <c r="H99" s="13" t="s">
        <v>27</v>
      </c>
      <c r="I99" s="20" t="s">
        <v>1015</v>
      </c>
      <c r="J99" s="20" t="s">
        <v>35</v>
      </c>
      <c r="K99" s="13" t="s">
        <v>62</v>
      </c>
      <c r="L99" s="27"/>
      <c r="M99" s="27" t="s">
        <v>101</v>
      </c>
      <c r="N99" s="13" t="s">
        <v>40</v>
      </c>
      <c r="O99" s="13" t="s">
        <v>42</v>
      </c>
      <c r="P99" s="34"/>
      <c r="Q99" s="13" t="s">
        <v>49</v>
      </c>
      <c r="R99" s="13" t="s">
        <v>46</v>
      </c>
      <c r="S99" s="37"/>
      <c r="T99" s="37"/>
      <c r="U99" s="26"/>
      <c r="V99" s="37">
        <v>5.0</v>
      </c>
    </row>
    <row r="100">
      <c r="A100" s="13">
        <v>99.0</v>
      </c>
      <c r="B100" s="15">
        <v>46089.0</v>
      </c>
      <c r="C100" s="13" t="s">
        <v>47</v>
      </c>
      <c r="D100" s="13" t="s">
        <v>92</v>
      </c>
      <c r="E100" s="20" t="s">
        <v>1017</v>
      </c>
      <c r="F100" s="13">
        <v>5.453535E8</v>
      </c>
      <c r="G100" s="20" t="s">
        <v>71</v>
      </c>
      <c r="H100" s="13" t="s">
        <v>94</v>
      </c>
      <c r="I100" s="90" t="s">
        <v>1020</v>
      </c>
      <c r="J100" s="20"/>
      <c r="K100" s="13" t="s">
        <v>65</v>
      </c>
      <c r="L100" s="27"/>
      <c r="M100" s="27" t="s">
        <v>98</v>
      </c>
      <c r="N100" s="13" t="s">
        <v>40</v>
      </c>
      <c r="O100" s="13" t="s">
        <v>42</v>
      </c>
      <c r="P100" s="34"/>
      <c r="Q100" s="13" t="s">
        <v>44</v>
      </c>
      <c r="R100" s="13" t="s">
        <v>46</v>
      </c>
      <c r="S100" s="37"/>
      <c r="T100" s="37"/>
      <c r="U100" s="26"/>
      <c r="V100" s="37">
        <v>5.0</v>
      </c>
    </row>
    <row r="101" hidden="1">
      <c r="A101" s="13">
        <v>100.0</v>
      </c>
      <c r="B101" s="15">
        <v>46089.0</v>
      </c>
      <c r="C101" s="13" t="s">
        <v>58</v>
      </c>
      <c r="D101" s="13" t="s">
        <v>60</v>
      </c>
      <c r="E101" s="13" t="s">
        <v>27</v>
      </c>
      <c r="F101" s="13">
        <v>5.5193074E8</v>
      </c>
      <c r="G101" s="13" t="s">
        <v>27</v>
      </c>
      <c r="H101" s="13" t="s">
        <v>27</v>
      </c>
      <c r="I101" s="20" t="s">
        <v>1022</v>
      </c>
      <c r="J101" s="20" t="s">
        <v>64</v>
      </c>
      <c r="K101" s="13" t="s">
        <v>65</v>
      </c>
      <c r="L101" s="27"/>
      <c r="M101" s="27" t="s">
        <v>101</v>
      </c>
      <c r="N101" s="13" t="s">
        <v>56</v>
      </c>
      <c r="O101" s="13" t="s">
        <v>42</v>
      </c>
      <c r="P101" s="34"/>
      <c r="Q101" s="13" t="s">
        <v>44</v>
      </c>
      <c r="R101" s="13" t="s">
        <v>68</v>
      </c>
      <c r="S101" s="37"/>
      <c r="T101" s="37"/>
      <c r="U101" s="26"/>
      <c r="V101" s="37">
        <v>5.0</v>
      </c>
    </row>
    <row r="102" hidden="1">
      <c r="A102" s="13">
        <v>101.0</v>
      </c>
      <c r="B102" s="15">
        <v>46089.0</v>
      </c>
      <c r="C102" s="13" t="s">
        <v>58</v>
      </c>
      <c r="D102" s="13" t="s">
        <v>60</v>
      </c>
      <c r="E102" s="13" t="s">
        <v>27</v>
      </c>
      <c r="F102" s="13">
        <v>5.76037682E8</v>
      </c>
      <c r="G102" s="13" t="s">
        <v>27</v>
      </c>
      <c r="H102" s="13" t="s">
        <v>27</v>
      </c>
      <c r="I102" s="20" t="s">
        <v>1025</v>
      </c>
      <c r="J102" s="20" t="s">
        <v>64</v>
      </c>
      <c r="K102" s="13" t="s">
        <v>65</v>
      </c>
      <c r="L102" s="26"/>
      <c r="M102" s="27" t="s">
        <v>88</v>
      </c>
      <c r="N102" s="13" t="s">
        <v>56</v>
      </c>
      <c r="O102" s="13" t="s">
        <v>42</v>
      </c>
      <c r="P102" s="34"/>
      <c r="Q102" s="13" t="s">
        <v>44</v>
      </c>
      <c r="R102" s="13" t="s">
        <v>68</v>
      </c>
      <c r="S102" s="37"/>
      <c r="T102" s="37"/>
      <c r="U102" s="26"/>
      <c r="V102" s="37">
        <v>5.0</v>
      </c>
    </row>
    <row r="103" hidden="1">
      <c r="A103" s="13">
        <v>102.0</v>
      </c>
      <c r="B103" s="15">
        <v>46089.0</v>
      </c>
      <c r="C103" s="13" t="s">
        <v>58</v>
      </c>
      <c r="D103" s="13" t="s">
        <v>60</v>
      </c>
      <c r="E103" s="13" t="s">
        <v>27</v>
      </c>
      <c r="F103" s="13">
        <v>5.64765468E8</v>
      </c>
      <c r="G103" s="13" t="s">
        <v>27</v>
      </c>
      <c r="H103" s="13" t="s">
        <v>27</v>
      </c>
      <c r="I103" s="20" t="s">
        <v>554</v>
      </c>
      <c r="J103" s="20" t="s">
        <v>500</v>
      </c>
      <c r="K103" s="13" t="s">
        <v>65</v>
      </c>
      <c r="L103" s="26"/>
      <c r="M103" s="27" t="s">
        <v>88</v>
      </c>
      <c r="N103" s="13" t="s">
        <v>56</v>
      </c>
      <c r="O103" s="13" t="s">
        <v>42</v>
      </c>
      <c r="P103" s="34"/>
      <c r="Q103" s="13" t="s">
        <v>44</v>
      </c>
      <c r="R103" s="13" t="s">
        <v>68</v>
      </c>
      <c r="S103" s="37"/>
      <c r="T103" s="37"/>
      <c r="U103" s="26"/>
      <c r="V103" s="37">
        <v>5.0</v>
      </c>
    </row>
    <row r="104" hidden="1">
      <c r="A104" s="13">
        <v>103.0</v>
      </c>
      <c r="B104" s="15">
        <v>46089.0</v>
      </c>
      <c r="C104" s="13" t="s">
        <v>58</v>
      </c>
      <c r="D104" s="13" t="s">
        <v>60</v>
      </c>
      <c r="E104" s="13" t="s">
        <v>27</v>
      </c>
      <c r="F104" s="13">
        <v>5.61491764E8</v>
      </c>
      <c r="G104" s="13" t="s">
        <v>27</v>
      </c>
      <c r="H104" s="13" t="s">
        <v>27</v>
      </c>
      <c r="I104" s="20" t="s">
        <v>1037</v>
      </c>
      <c r="J104" s="20" t="s">
        <v>64</v>
      </c>
      <c r="K104" s="13" t="s">
        <v>65</v>
      </c>
      <c r="L104" s="27"/>
      <c r="M104" s="27" t="s">
        <v>101</v>
      </c>
      <c r="N104" s="13" t="s">
        <v>56</v>
      </c>
      <c r="O104" s="13" t="s">
        <v>42</v>
      </c>
      <c r="P104" s="34"/>
      <c r="Q104" s="13" t="s">
        <v>44</v>
      </c>
      <c r="R104" s="13" t="s">
        <v>68</v>
      </c>
      <c r="S104" s="37"/>
      <c r="T104" s="37"/>
      <c r="U104" s="26"/>
      <c r="V104" s="37">
        <v>5.0</v>
      </c>
    </row>
    <row r="105" hidden="1">
      <c r="A105" s="13">
        <v>104.0</v>
      </c>
      <c r="B105" s="15">
        <v>46089.0</v>
      </c>
      <c r="C105" s="13" t="s">
        <v>58</v>
      </c>
      <c r="D105" s="13" t="s">
        <v>60</v>
      </c>
      <c r="E105" s="13" t="s">
        <v>27</v>
      </c>
      <c r="F105" s="13">
        <v>5.3100691E8</v>
      </c>
      <c r="G105" s="13" t="s">
        <v>27</v>
      </c>
      <c r="H105" s="13" t="s">
        <v>27</v>
      </c>
      <c r="I105" s="20" t="s">
        <v>1040</v>
      </c>
      <c r="J105" s="20" t="s">
        <v>64</v>
      </c>
      <c r="K105" s="13" t="s">
        <v>65</v>
      </c>
      <c r="L105" s="26"/>
      <c r="M105" s="27" t="s">
        <v>88</v>
      </c>
      <c r="N105" s="13" t="s">
        <v>56</v>
      </c>
      <c r="O105" s="13" t="s">
        <v>42</v>
      </c>
      <c r="P105" s="34"/>
      <c r="Q105" s="13" t="s">
        <v>44</v>
      </c>
      <c r="R105" s="13" t="s">
        <v>68</v>
      </c>
      <c r="S105" s="37"/>
      <c r="T105" s="37"/>
      <c r="U105" s="26"/>
      <c r="V105" s="37">
        <v>5.0</v>
      </c>
    </row>
    <row r="106" hidden="1">
      <c r="A106" s="13">
        <v>105.0</v>
      </c>
      <c r="B106" s="15">
        <v>46089.0</v>
      </c>
      <c r="C106" s="13" t="s">
        <v>58</v>
      </c>
      <c r="D106" s="13" t="s">
        <v>60</v>
      </c>
      <c r="E106" s="13" t="s">
        <v>27</v>
      </c>
      <c r="F106" s="13">
        <v>5.37050059E8</v>
      </c>
      <c r="G106" s="13" t="s">
        <v>27</v>
      </c>
      <c r="H106" s="13" t="s">
        <v>27</v>
      </c>
      <c r="I106" s="20" t="s">
        <v>554</v>
      </c>
      <c r="J106" s="20" t="s">
        <v>500</v>
      </c>
      <c r="K106" s="13" t="s">
        <v>65</v>
      </c>
      <c r="L106" s="26"/>
      <c r="M106" s="27" t="s">
        <v>88</v>
      </c>
      <c r="N106" s="13" t="s">
        <v>56</v>
      </c>
      <c r="O106" s="13" t="s">
        <v>42</v>
      </c>
      <c r="P106" s="34"/>
      <c r="Q106" s="13" t="s">
        <v>44</v>
      </c>
      <c r="R106" s="13" t="s">
        <v>68</v>
      </c>
      <c r="S106" s="37"/>
      <c r="T106" s="37"/>
      <c r="U106" s="26"/>
      <c r="V106" s="37">
        <v>5.0</v>
      </c>
    </row>
    <row r="107">
      <c r="A107" s="13">
        <v>106.0</v>
      </c>
      <c r="B107" s="15">
        <v>46089.0</v>
      </c>
      <c r="C107" s="13" t="s">
        <v>47</v>
      </c>
      <c r="D107" s="13" t="s">
        <v>367</v>
      </c>
      <c r="E107" s="20" t="s">
        <v>1053</v>
      </c>
      <c r="F107" s="13">
        <v>5.30913099E8</v>
      </c>
      <c r="G107" s="20" t="s">
        <v>41</v>
      </c>
      <c r="H107" s="13" t="s">
        <v>329</v>
      </c>
      <c r="I107" s="20" t="s">
        <v>1056</v>
      </c>
      <c r="J107" s="20" t="s">
        <v>1057</v>
      </c>
      <c r="K107" s="13" t="s">
        <v>148</v>
      </c>
      <c r="L107" s="26"/>
      <c r="M107" s="27" t="s">
        <v>55</v>
      </c>
      <c r="N107" s="13" t="s">
        <v>40</v>
      </c>
      <c r="O107" s="13" t="s">
        <v>42</v>
      </c>
      <c r="P107" s="34"/>
      <c r="Q107" s="13" t="s">
        <v>44</v>
      </c>
      <c r="R107" s="13" t="s">
        <v>46</v>
      </c>
      <c r="S107" s="37"/>
      <c r="T107" s="37"/>
      <c r="U107" s="26"/>
      <c r="V107" s="37">
        <v>5.0</v>
      </c>
    </row>
    <row r="108">
      <c r="A108" s="13">
        <v>107.0</v>
      </c>
      <c r="B108" s="15">
        <v>46089.0</v>
      </c>
      <c r="C108" s="13" t="s">
        <v>47</v>
      </c>
      <c r="D108" s="13" t="s">
        <v>367</v>
      </c>
      <c r="E108" s="20" t="s">
        <v>108</v>
      </c>
      <c r="F108" s="13">
        <v>5.59177662E8</v>
      </c>
      <c r="G108" s="20" t="s">
        <v>41</v>
      </c>
      <c r="H108" s="13" t="s">
        <v>705</v>
      </c>
      <c r="I108" s="20" t="s">
        <v>1060</v>
      </c>
      <c r="J108" s="20" t="s">
        <v>377</v>
      </c>
      <c r="K108" s="13" t="s">
        <v>148</v>
      </c>
      <c r="L108" s="26"/>
      <c r="M108" s="27" t="s">
        <v>55</v>
      </c>
      <c r="N108" s="13" t="s">
        <v>56</v>
      </c>
      <c r="O108" s="13" t="s">
        <v>42</v>
      </c>
      <c r="P108" s="34"/>
      <c r="Q108" s="13" t="s">
        <v>44</v>
      </c>
      <c r="R108" s="13" t="s">
        <v>46</v>
      </c>
      <c r="S108" s="37"/>
      <c r="T108" s="37"/>
      <c r="U108" s="26"/>
      <c r="V108" s="37">
        <v>5.0</v>
      </c>
    </row>
    <row r="109">
      <c r="A109" s="13">
        <v>108.0</v>
      </c>
      <c r="B109" s="15">
        <v>46089.0</v>
      </c>
      <c r="C109" s="13" t="s">
        <v>47</v>
      </c>
      <c r="D109" s="13" t="s">
        <v>138</v>
      </c>
      <c r="E109" s="13" t="s">
        <v>1067</v>
      </c>
      <c r="F109" s="13">
        <v>5.44820708E8</v>
      </c>
      <c r="G109" s="20" t="s">
        <v>41</v>
      </c>
      <c r="H109" s="13" t="s">
        <v>146</v>
      </c>
      <c r="I109" s="20" t="s">
        <v>1069</v>
      </c>
      <c r="J109" s="20" t="s">
        <v>580</v>
      </c>
      <c r="K109" s="13" t="s">
        <v>148</v>
      </c>
      <c r="L109" s="26"/>
      <c r="M109" s="27" t="s">
        <v>55</v>
      </c>
      <c r="N109" s="13" t="s">
        <v>56</v>
      </c>
      <c r="O109" s="13" t="s">
        <v>42</v>
      </c>
      <c r="P109" s="34"/>
      <c r="Q109" s="13" t="s">
        <v>44</v>
      </c>
      <c r="R109" s="13" t="s">
        <v>46</v>
      </c>
      <c r="S109" s="37"/>
      <c r="T109" s="37"/>
      <c r="U109" s="26"/>
      <c r="V109" s="37">
        <v>5.0</v>
      </c>
    </row>
    <row r="110">
      <c r="A110" s="13">
        <v>109.0</v>
      </c>
      <c r="B110" s="15">
        <v>46089.0</v>
      </c>
      <c r="C110" s="13" t="s">
        <v>47</v>
      </c>
      <c r="D110" s="13" t="s">
        <v>367</v>
      </c>
      <c r="E110" s="20" t="s">
        <v>1076</v>
      </c>
      <c r="F110" s="13">
        <v>5.69979015E8</v>
      </c>
      <c r="G110" s="20" t="s">
        <v>41</v>
      </c>
      <c r="H110" s="13" t="s">
        <v>329</v>
      </c>
      <c r="I110" s="20" t="s">
        <v>1080</v>
      </c>
      <c r="J110" s="20" t="s">
        <v>1081</v>
      </c>
      <c r="K110" s="13" t="s">
        <v>148</v>
      </c>
      <c r="L110" s="26"/>
      <c r="M110" s="27" t="s">
        <v>55</v>
      </c>
      <c r="N110" s="13" t="s">
        <v>56</v>
      </c>
      <c r="O110" s="13" t="s">
        <v>42</v>
      </c>
      <c r="P110" s="34"/>
      <c r="Q110" s="13" t="s">
        <v>44</v>
      </c>
      <c r="R110" s="13" t="s">
        <v>46</v>
      </c>
      <c r="S110" s="37"/>
      <c r="T110" s="37"/>
      <c r="U110" s="26"/>
      <c r="V110" s="37">
        <v>5.0</v>
      </c>
    </row>
    <row r="111">
      <c r="A111" s="13">
        <v>110.0</v>
      </c>
      <c r="B111" s="15">
        <v>46089.0</v>
      </c>
      <c r="C111" s="13" t="s">
        <v>47</v>
      </c>
      <c r="D111" s="13" t="s">
        <v>138</v>
      </c>
      <c r="E111" s="20" t="s">
        <v>1089</v>
      </c>
      <c r="F111" s="13">
        <v>5.37774615E8</v>
      </c>
      <c r="G111" s="20" t="s">
        <v>362</v>
      </c>
      <c r="H111" s="13" t="s">
        <v>1029</v>
      </c>
      <c r="I111" s="20" t="s">
        <v>1091</v>
      </c>
      <c r="J111" s="20" t="s">
        <v>1092</v>
      </c>
      <c r="K111" s="13" t="s">
        <v>148</v>
      </c>
      <c r="L111" s="26"/>
      <c r="M111" s="27" t="s">
        <v>55</v>
      </c>
      <c r="N111" s="13" t="s">
        <v>56</v>
      </c>
      <c r="O111" s="13" t="s">
        <v>42</v>
      </c>
      <c r="P111" s="34"/>
      <c r="Q111" s="13" t="s">
        <v>44</v>
      </c>
      <c r="R111" s="13" t="s">
        <v>46</v>
      </c>
      <c r="S111" s="37"/>
      <c r="T111" s="37"/>
      <c r="U111" s="26"/>
      <c r="V111" s="37">
        <v>5.0</v>
      </c>
    </row>
    <row r="112">
      <c r="A112" s="13">
        <v>111.0</v>
      </c>
      <c r="B112" s="15">
        <v>46089.0</v>
      </c>
      <c r="C112" s="13" t="s">
        <v>47</v>
      </c>
      <c r="D112" s="13" t="s">
        <v>138</v>
      </c>
      <c r="E112" s="20" t="s">
        <v>1100</v>
      </c>
      <c r="F112" s="13">
        <v>5.33043466E8</v>
      </c>
      <c r="G112" s="20" t="s">
        <v>79</v>
      </c>
      <c r="H112" s="13" t="s">
        <v>80</v>
      </c>
      <c r="I112" s="20" t="s">
        <v>1101</v>
      </c>
      <c r="J112" s="20" t="s">
        <v>1102</v>
      </c>
      <c r="K112" s="13" t="s">
        <v>148</v>
      </c>
      <c r="L112" s="26"/>
      <c r="M112" s="27" t="s">
        <v>150</v>
      </c>
      <c r="N112" s="13" t="s">
        <v>56</v>
      </c>
      <c r="O112" s="13" t="s">
        <v>42</v>
      </c>
      <c r="P112" s="34"/>
      <c r="Q112" s="13" t="s">
        <v>44</v>
      </c>
      <c r="R112" s="13" t="s">
        <v>46</v>
      </c>
      <c r="S112" s="37"/>
      <c r="T112" s="37"/>
      <c r="U112" s="26"/>
      <c r="V112" s="37">
        <v>5.0</v>
      </c>
    </row>
    <row r="113" hidden="1">
      <c r="A113" s="13">
        <v>112.0</v>
      </c>
      <c r="B113" s="15">
        <v>46089.0</v>
      </c>
      <c r="C113" s="13" t="s">
        <v>58</v>
      </c>
      <c r="D113" s="13" t="s">
        <v>60</v>
      </c>
      <c r="E113" s="13" t="s">
        <v>27</v>
      </c>
      <c r="F113" s="13">
        <v>5.69726136E8</v>
      </c>
      <c r="G113" s="13" t="s">
        <v>27</v>
      </c>
      <c r="H113" s="13" t="s">
        <v>27</v>
      </c>
      <c r="I113" s="20" t="s">
        <v>554</v>
      </c>
      <c r="J113" s="20" t="s">
        <v>500</v>
      </c>
      <c r="K113" s="13" t="s">
        <v>36</v>
      </c>
      <c r="L113" s="26"/>
      <c r="M113" s="27" t="s">
        <v>88</v>
      </c>
      <c r="N113" s="13" t="s">
        <v>56</v>
      </c>
      <c r="O113" s="13" t="s">
        <v>42</v>
      </c>
      <c r="P113" s="34"/>
      <c r="Q113" s="13" t="s">
        <v>44</v>
      </c>
      <c r="R113" s="13" t="s">
        <v>68</v>
      </c>
      <c r="S113" s="37"/>
      <c r="T113" s="37"/>
      <c r="U113" s="26"/>
      <c r="V113" s="37">
        <v>5.0</v>
      </c>
    </row>
    <row r="114" hidden="1">
      <c r="A114" s="13">
        <v>113.0</v>
      </c>
      <c r="B114" s="15">
        <v>46089.0</v>
      </c>
      <c r="C114" s="13" t="s">
        <v>21</v>
      </c>
      <c r="D114" s="13" t="s">
        <v>24</v>
      </c>
      <c r="E114" s="20" t="s">
        <v>1118</v>
      </c>
      <c r="F114" s="13">
        <v>5.30462688E8</v>
      </c>
      <c r="G114" s="20" t="s">
        <v>319</v>
      </c>
      <c r="H114" s="13" t="s">
        <v>27</v>
      </c>
      <c r="I114" s="20" t="s">
        <v>1119</v>
      </c>
      <c r="J114" s="20" t="s">
        <v>35</v>
      </c>
      <c r="K114" s="13" t="s">
        <v>36</v>
      </c>
      <c r="L114" s="26"/>
      <c r="M114" s="27" t="s">
        <v>38</v>
      </c>
      <c r="N114" s="13" t="s">
        <v>40</v>
      </c>
      <c r="O114" s="13" t="s">
        <v>42</v>
      </c>
      <c r="P114" s="34"/>
      <c r="Q114" s="13" t="s">
        <v>44</v>
      </c>
      <c r="R114" s="13" t="s">
        <v>46</v>
      </c>
      <c r="S114" s="37"/>
      <c r="T114" s="37"/>
      <c r="U114" s="26"/>
      <c r="V114" s="37">
        <v>5.0</v>
      </c>
    </row>
    <row r="115" hidden="1">
      <c r="A115" s="13">
        <v>114.0</v>
      </c>
      <c r="B115" s="15">
        <v>46089.0</v>
      </c>
      <c r="C115" s="13" t="s">
        <v>58</v>
      </c>
      <c r="D115" s="13" t="s">
        <v>60</v>
      </c>
      <c r="E115" s="20" t="s">
        <v>1125</v>
      </c>
      <c r="F115" s="13">
        <v>5.65775886E8</v>
      </c>
      <c r="G115" s="20" t="s">
        <v>71</v>
      </c>
      <c r="H115" s="13" t="s">
        <v>27</v>
      </c>
      <c r="I115" s="20" t="s">
        <v>1126</v>
      </c>
      <c r="J115" s="20" t="s">
        <v>500</v>
      </c>
      <c r="K115" s="13" t="s">
        <v>36</v>
      </c>
      <c r="L115" s="26"/>
      <c r="M115" s="27" t="s">
        <v>88</v>
      </c>
      <c r="N115" s="13" t="s">
        <v>56</v>
      </c>
      <c r="O115" s="13" t="s">
        <v>42</v>
      </c>
      <c r="P115" s="34"/>
      <c r="Q115" s="13" t="s">
        <v>44</v>
      </c>
      <c r="R115" s="13" t="s">
        <v>68</v>
      </c>
      <c r="S115" s="37"/>
      <c r="T115" s="37"/>
      <c r="U115" s="26"/>
      <c r="V115" s="37">
        <v>5.0</v>
      </c>
    </row>
    <row r="116" hidden="1">
      <c r="A116" s="13">
        <v>115.0</v>
      </c>
      <c r="B116" s="15">
        <v>46089.0</v>
      </c>
      <c r="C116" s="13" t="s">
        <v>21</v>
      </c>
      <c r="D116" s="13" t="s">
        <v>22</v>
      </c>
      <c r="E116" s="20" t="s">
        <v>1137</v>
      </c>
      <c r="F116" s="13">
        <v>5.70789341E8</v>
      </c>
      <c r="G116" s="20" t="s">
        <v>71</v>
      </c>
      <c r="H116" s="13" t="s">
        <v>27</v>
      </c>
      <c r="I116" s="20" t="s">
        <v>1138</v>
      </c>
      <c r="J116" s="20" t="s">
        <v>35</v>
      </c>
      <c r="K116" s="13" t="s">
        <v>36</v>
      </c>
      <c r="L116" s="26"/>
      <c r="M116" s="27" t="s">
        <v>38</v>
      </c>
      <c r="N116" s="13" t="s">
        <v>40</v>
      </c>
      <c r="O116" s="13" t="s">
        <v>42</v>
      </c>
      <c r="P116" s="34"/>
      <c r="Q116" s="13" t="s">
        <v>44</v>
      </c>
      <c r="R116" s="13" t="s">
        <v>46</v>
      </c>
      <c r="S116" s="37"/>
      <c r="T116" s="37"/>
      <c r="U116" s="26"/>
      <c r="V116" s="37">
        <v>5.0</v>
      </c>
    </row>
    <row r="117" hidden="1">
      <c r="A117" s="13">
        <v>116.0</v>
      </c>
      <c r="B117" s="15">
        <v>46089.0</v>
      </c>
      <c r="C117" s="13" t="s">
        <v>21</v>
      </c>
      <c r="D117" s="13" t="s">
        <v>34</v>
      </c>
      <c r="E117" s="20" t="s">
        <v>1145</v>
      </c>
      <c r="F117" s="13">
        <v>5.037548E8</v>
      </c>
      <c r="G117" s="20" t="s">
        <v>152</v>
      </c>
      <c r="H117" s="13" t="s">
        <v>27</v>
      </c>
      <c r="I117" s="20" t="s">
        <v>643</v>
      </c>
      <c r="J117" s="20" t="s">
        <v>35</v>
      </c>
      <c r="K117" s="13" t="s">
        <v>36</v>
      </c>
      <c r="L117" s="27"/>
      <c r="M117" s="27" t="s">
        <v>1148</v>
      </c>
      <c r="N117" s="13" t="s">
        <v>40</v>
      </c>
      <c r="O117" s="13" t="s">
        <v>42</v>
      </c>
      <c r="P117" s="34"/>
      <c r="Q117" s="13" t="s">
        <v>44</v>
      </c>
      <c r="R117" s="13" t="s">
        <v>68</v>
      </c>
      <c r="S117" s="37"/>
      <c r="T117" s="37"/>
      <c r="U117" s="26"/>
      <c r="V117" s="37">
        <v>5.0</v>
      </c>
    </row>
    <row r="118" hidden="1">
      <c r="A118" s="13">
        <v>117.0</v>
      </c>
      <c r="B118" s="15">
        <v>46090.0</v>
      </c>
      <c r="C118" s="13" t="s">
        <v>58</v>
      </c>
      <c r="D118" s="13" t="s">
        <v>60</v>
      </c>
      <c r="E118" s="13" t="s">
        <v>1152</v>
      </c>
      <c r="F118" s="13">
        <v>5.70273469E8</v>
      </c>
      <c r="G118" s="20" t="s">
        <v>71</v>
      </c>
      <c r="H118" s="13" t="s">
        <v>27</v>
      </c>
      <c r="I118" s="20" t="s">
        <v>1154</v>
      </c>
      <c r="J118" s="20" t="s">
        <v>847</v>
      </c>
      <c r="K118" s="13" t="s">
        <v>62</v>
      </c>
      <c r="L118" s="27"/>
      <c r="M118" s="27" t="s">
        <v>101</v>
      </c>
      <c r="N118" s="13" t="s">
        <v>56</v>
      </c>
      <c r="O118" s="13" t="s">
        <v>42</v>
      </c>
      <c r="P118" s="34"/>
      <c r="Q118" s="13" t="s">
        <v>44</v>
      </c>
      <c r="R118" s="13" t="s">
        <v>68</v>
      </c>
      <c r="S118" s="37"/>
      <c r="T118" s="37"/>
      <c r="U118" s="26"/>
      <c r="V118" s="37">
        <v>5.0</v>
      </c>
    </row>
    <row r="119" hidden="1">
      <c r="A119" s="13">
        <v>118.0</v>
      </c>
      <c r="B119" s="15">
        <v>46090.0</v>
      </c>
      <c r="C119" s="13" t="s">
        <v>58</v>
      </c>
      <c r="D119" s="13" t="s">
        <v>60</v>
      </c>
      <c r="E119" s="13" t="s">
        <v>27</v>
      </c>
      <c r="F119" s="13">
        <v>5.55854594E8</v>
      </c>
      <c r="G119" s="13" t="s">
        <v>27</v>
      </c>
      <c r="H119" s="13" t="s">
        <v>27</v>
      </c>
      <c r="I119" s="20" t="s">
        <v>1162</v>
      </c>
      <c r="J119" s="20" t="s">
        <v>500</v>
      </c>
      <c r="K119" s="13" t="s">
        <v>65</v>
      </c>
      <c r="L119" s="26"/>
      <c r="M119" s="27" t="s">
        <v>88</v>
      </c>
      <c r="N119" s="13" t="s">
        <v>56</v>
      </c>
      <c r="O119" s="13" t="s">
        <v>42</v>
      </c>
      <c r="P119" s="34"/>
      <c r="Q119" s="13" t="s">
        <v>44</v>
      </c>
      <c r="R119" s="13" t="s">
        <v>68</v>
      </c>
      <c r="S119" s="37"/>
      <c r="T119" s="37"/>
      <c r="U119" s="26"/>
      <c r="V119" s="37">
        <v>5.0</v>
      </c>
    </row>
    <row r="120" hidden="1">
      <c r="A120" s="13">
        <v>119.0</v>
      </c>
      <c r="B120" s="15">
        <v>46090.0</v>
      </c>
      <c r="C120" s="13" t="s">
        <v>21</v>
      </c>
      <c r="D120" s="13" t="s">
        <v>24</v>
      </c>
      <c r="E120" s="20" t="s">
        <v>1166</v>
      </c>
      <c r="F120" s="13">
        <v>5.99136321E8</v>
      </c>
      <c r="G120" s="20" t="s">
        <v>28</v>
      </c>
      <c r="H120" s="13" t="s">
        <v>27</v>
      </c>
      <c r="I120" s="20" t="s">
        <v>1172</v>
      </c>
      <c r="J120" s="20" t="s">
        <v>35</v>
      </c>
      <c r="K120" s="13" t="s">
        <v>65</v>
      </c>
      <c r="L120" s="26"/>
      <c r="M120" s="27" t="s">
        <v>38</v>
      </c>
      <c r="N120" s="13" t="s">
        <v>40</v>
      </c>
      <c r="O120" s="13" t="s">
        <v>42</v>
      </c>
      <c r="P120" s="34"/>
      <c r="Q120" s="13" t="s">
        <v>44</v>
      </c>
      <c r="R120" s="13" t="s">
        <v>46</v>
      </c>
      <c r="S120" s="37"/>
      <c r="T120" s="37"/>
      <c r="U120" s="26"/>
      <c r="V120" s="37">
        <v>5.0</v>
      </c>
    </row>
    <row r="121" ht="51.0" customHeight="1">
      <c r="A121" s="13">
        <v>120.0</v>
      </c>
      <c r="B121" s="15">
        <v>46090.0</v>
      </c>
      <c r="C121" s="13" t="s">
        <v>47</v>
      </c>
      <c r="D121" s="13" t="s">
        <v>92</v>
      </c>
      <c r="E121" s="20" t="s">
        <v>1178</v>
      </c>
      <c r="F121" s="13" t="s">
        <v>27</v>
      </c>
      <c r="G121" s="20" t="s">
        <v>28</v>
      </c>
      <c r="H121" s="13" t="s">
        <v>777</v>
      </c>
      <c r="I121" s="20" t="s">
        <v>1180</v>
      </c>
      <c r="J121" s="20" t="s">
        <v>35</v>
      </c>
      <c r="K121" s="13" t="s">
        <v>78</v>
      </c>
      <c r="L121" s="26"/>
      <c r="M121" s="27" t="s">
        <v>55</v>
      </c>
      <c r="N121" s="13" t="s">
        <v>40</v>
      </c>
      <c r="O121" s="13" t="s">
        <v>42</v>
      </c>
      <c r="P121" s="34"/>
      <c r="Q121" s="13" t="s">
        <v>49</v>
      </c>
      <c r="R121" s="13" t="s">
        <v>46</v>
      </c>
      <c r="S121" s="37"/>
      <c r="T121" s="37"/>
      <c r="U121" s="26"/>
      <c r="V121" s="37">
        <v>5.0</v>
      </c>
    </row>
    <row r="122">
      <c r="A122" s="13">
        <v>121.0</v>
      </c>
      <c r="B122" s="15">
        <v>46090.0</v>
      </c>
      <c r="C122" s="13" t="s">
        <v>47</v>
      </c>
      <c r="D122" s="13" t="s">
        <v>138</v>
      </c>
      <c r="E122" s="20" t="s">
        <v>1188</v>
      </c>
      <c r="F122" s="13" t="s">
        <v>27</v>
      </c>
      <c r="G122" s="20" t="s">
        <v>41</v>
      </c>
      <c r="H122" s="13" t="s">
        <v>329</v>
      </c>
      <c r="I122" s="20" t="s">
        <v>1191</v>
      </c>
      <c r="J122" s="45" t="s">
        <v>1192</v>
      </c>
      <c r="K122" s="13" t="s">
        <v>78</v>
      </c>
      <c r="L122" s="26"/>
      <c r="M122" s="27" t="s">
        <v>55</v>
      </c>
      <c r="N122" s="13" t="s">
        <v>56</v>
      </c>
      <c r="O122" s="13" t="s">
        <v>42</v>
      </c>
      <c r="P122" s="34"/>
      <c r="Q122" s="13" t="s">
        <v>49</v>
      </c>
      <c r="R122" s="13" t="s">
        <v>46</v>
      </c>
      <c r="S122" s="37"/>
      <c r="T122" s="37"/>
      <c r="U122" s="26"/>
      <c r="V122" s="37">
        <v>5.0</v>
      </c>
    </row>
    <row r="123" ht="60.75" customHeight="1">
      <c r="A123" s="13">
        <v>122.0</v>
      </c>
      <c r="B123" s="15">
        <v>46090.0</v>
      </c>
      <c r="C123" s="13" t="s">
        <v>47</v>
      </c>
      <c r="D123" s="13" t="s">
        <v>48</v>
      </c>
      <c r="E123" s="13" t="s">
        <v>1196</v>
      </c>
      <c r="F123" s="13" t="s">
        <v>27</v>
      </c>
      <c r="G123" s="20" t="s">
        <v>41</v>
      </c>
      <c r="H123" s="13" t="s">
        <v>222</v>
      </c>
      <c r="I123" s="20" t="s">
        <v>1198</v>
      </c>
      <c r="J123" s="20" t="s">
        <v>1200</v>
      </c>
      <c r="K123" s="13" t="s">
        <v>78</v>
      </c>
      <c r="L123" s="26"/>
      <c r="M123" s="75" t="s">
        <v>555</v>
      </c>
      <c r="N123" s="13" t="s">
        <v>56</v>
      </c>
      <c r="O123" s="13" t="s">
        <v>42</v>
      </c>
      <c r="P123" s="34"/>
      <c r="Q123" s="13" t="s">
        <v>49</v>
      </c>
      <c r="R123" s="13" t="s">
        <v>46</v>
      </c>
      <c r="S123" s="37"/>
      <c r="T123" s="37"/>
      <c r="U123" s="26"/>
      <c r="V123" s="37">
        <v>5.0</v>
      </c>
    </row>
    <row r="124" ht="25.5" hidden="1" customHeight="1">
      <c r="A124" s="13">
        <v>123.0</v>
      </c>
      <c r="B124" s="15">
        <v>46090.0</v>
      </c>
      <c r="C124" s="13" t="s">
        <v>21</v>
      </c>
      <c r="D124" s="13" t="s">
        <v>57</v>
      </c>
      <c r="E124" s="20" t="s">
        <v>1211</v>
      </c>
      <c r="F124" s="13" t="s">
        <v>27</v>
      </c>
      <c r="G124" s="20" t="s">
        <v>79</v>
      </c>
      <c r="H124" s="13" t="s">
        <v>142</v>
      </c>
      <c r="I124" s="20" t="s">
        <v>1212</v>
      </c>
      <c r="J124" s="20" t="s">
        <v>1214</v>
      </c>
      <c r="K124" s="13" t="s">
        <v>78</v>
      </c>
      <c r="L124" s="26"/>
      <c r="M124" s="27" t="s">
        <v>38</v>
      </c>
      <c r="N124" s="13" t="s">
        <v>56</v>
      </c>
      <c r="O124" s="13" t="s">
        <v>42</v>
      </c>
      <c r="P124" s="34"/>
      <c r="Q124" s="13" t="s">
        <v>49</v>
      </c>
      <c r="R124" s="13" t="s">
        <v>68</v>
      </c>
      <c r="S124" s="37"/>
      <c r="T124" s="37"/>
      <c r="U124" s="26"/>
      <c r="V124" s="37">
        <v>5.0</v>
      </c>
    </row>
    <row r="125">
      <c r="A125" s="13">
        <v>124.0</v>
      </c>
      <c r="B125" s="15">
        <v>46090.0</v>
      </c>
      <c r="C125" s="13" t="s">
        <v>47</v>
      </c>
      <c r="D125" s="13" t="s">
        <v>48</v>
      </c>
      <c r="E125" s="13" t="s">
        <v>1221</v>
      </c>
      <c r="F125" s="13" t="s">
        <v>27</v>
      </c>
      <c r="G125" s="20" t="s">
        <v>41</v>
      </c>
      <c r="H125" s="13" t="s">
        <v>294</v>
      </c>
      <c r="I125" s="20" t="s">
        <v>1223</v>
      </c>
      <c r="J125" s="20" t="s">
        <v>972</v>
      </c>
      <c r="K125" s="13" t="s">
        <v>78</v>
      </c>
      <c r="L125" s="26"/>
      <c r="M125" s="27" t="s">
        <v>55</v>
      </c>
      <c r="N125" s="13" t="s">
        <v>56</v>
      </c>
      <c r="O125" s="13" t="s">
        <v>42</v>
      </c>
      <c r="P125" s="34"/>
      <c r="Q125" s="13" t="s">
        <v>49</v>
      </c>
      <c r="R125" s="13" t="s">
        <v>46</v>
      </c>
      <c r="S125" s="37"/>
      <c r="T125" s="37"/>
      <c r="U125" s="26"/>
      <c r="V125" s="37">
        <v>5.0</v>
      </c>
    </row>
    <row r="126" hidden="1">
      <c r="A126" s="13">
        <v>125.0</v>
      </c>
      <c r="B126" s="15">
        <v>46090.0</v>
      </c>
      <c r="C126" s="13" t="s">
        <v>21</v>
      </c>
      <c r="D126" s="13" t="s">
        <v>24</v>
      </c>
      <c r="E126" s="20" t="s">
        <v>1229</v>
      </c>
      <c r="F126" s="13">
        <v>5.99564844E8</v>
      </c>
      <c r="G126" s="20" t="s">
        <v>71</v>
      </c>
      <c r="H126" s="13" t="s">
        <v>27</v>
      </c>
      <c r="I126" s="20" t="s">
        <v>1230</v>
      </c>
      <c r="J126" s="20" t="s">
        <v>35</v>
      </c>
      <c r="K126" s="13" t="s">
        <v>36</v>
      </c>
      <c r="L126" s="26"/>
      <c r="M126" s="27" t="s">
        <v>38</v>
      </c>
      <c r="N126" s="13" t="s">
        <v>40</v>
      </c>
      <c r="O126" s="13" t="s">
        <v>42</v>
      </c>
      <c r="P126" s="34"/>
      <c r="Q126" s="13" t="s">
        <v>44</v>
      </c>
      <c r="R126" s="13" t="s">
        <v>46</v>
      </c>
      <c r="S126" s="37"/>
      <c r="T126" s="37"/>
      <c r="U126" s="26"/>
      <c r="V126" s="37">
        <v>5.0</v>
      </c>
    </row>
    <row r="127" hidden="1">
      <c r="A127" s="13">
        <v>126.0</v>
      </c>
      <c r="B127" s="15">
        <v>46090.0</v>
      </c>
      <c r="C127" s="13" t="s">
        <v>21</v>
      </c>
      <c r="D127" s="13" t="s">
        <v>22</v>
      </c>
      <c r="E127" s="20" t="s">
        <v>1234</v>
      </c>
      <c r="F127" s="13">
        <v>5.69979265E8</v>
      </c>
      <c r="G127" s="13" t="s">
        <v>27</v>
      </c>
      <c r="H127" s="13" t="s">
        <v>27</v>
      </c>
      <c r="I127" s="20" t="s">
        <v>1237</v>
      </c>
      <c r="J127" s="20" t="s">
        <v>35</v>
      </c>
      <c r="K127" s="13" t="s">
        <v>39</v>
      </c>
      <c r="L127" s="26"/>
      <c r="M127" s="27" t="s">
        <v>38</v>
      </c>
      <c r="N127" s="13" t="s">
        <v>40</v>
      </c>
      <c r="O127" s="13" t="s">
        <v>42</v>
      </c>
      <c r="P127" s="34"/>
      <c r="Q127" s="13" t="s">
        <v>49</v>
      </c>
      <c r="R127" s="13" t="s">
        <v>46</v>
      </c>
      <c r="S127" s="37"/>
      <c r="T127" s="37"/>
      <c r="U127" s="26"/>
      <c r="V127" s="37">
        <v>5.0</v>
      </c>
    </row>
    <row r="128" ht="49.5" hidden="1" customHeight="1">
      <c r="A128" s="13">
        <v>127.0</v>
      </c>
      <c r="B128" s="15">
        <v>46090.0</v>
      </c>
      <c r="C128" s="13" t="s">
        <v>21</v>
      </c>
      <c r="D128" s="13" t="s">
        <v>22</v>
      </c>
      <c r="E128" s="13" t="s">
        <v>27</v>
      </c>
      <c r="F128" s="13" t="s">
        <v>27</v>
      </c>
      <c r="G128" s="13" t="s">
        <v>27</v>
      </c>
      <c r="H128" s="13" t="s">
        <v>27</v>
      </c>
      <c r="I128" s="20" t="s">
        <v>1244</v>
      </c>
      <c r="J128" s="20" t="s">
        <v>35</v>
      </c>
      <c r="K128" s="13" t="s">
        <v>321</v>
      </c>
      <c r="L128" s="26"/>
      <c r="M128" s="27" t="s">
        <v>38</v>
      </c>
      <c r="N128" s="13" t="s">
        <v>40</v>
      </c>
      <c r="O128" s="13" t="s">
        <v>42</v>
      </c>
      <c r="P128" s="34"/>
      <c r="Q128" s="13" t="s">
        <v>49</v>
      </c>
      <c r="R128" s="13" t="s">
        <v>46</v>
      </c>
      <c r="S128" s="37"/>
      <c r="T128" s="37"/>
      <c r="U128" s="26"/>
      <c r="V128" s="37">
        <v>5.0</v>
      </c>
    </row>
    <row r="129" hidden="1">
      <c r="A129" s="13">
        <v>128.0</v>
      </c>
      <c r="B129" s="15">
        <v>46090.0</v>
      </c>
      <c r="C129" s="13" t="s">
        <v>21</v>
      </c>
      <c r="D129" s="13" t="s">
        <v>24</v>
      </c>
      <c r="E129" s="20" t="s">
        <v>1250</v>
      </c>
      <c r="F129" s="13">
        <v>5.42801443E8</v>
      </c>
      <c r="G129" s="20" t="s">
        <v>41</v>
      </c>
      <c r="H129" s="13" t="s">
        <v>27</v>
      </c>
      <c r="I129" s="20" t="s">
        <v>1252</v>
      </c>
      <c r="J129" s="20" t="s">
        <v>35</v>
      </c>
      <c r="K129" s="13" t="s">
        <v>36</v>
      </c>
      <c r="L129" s="26"/>
      <c r="M129" s="27" t="s">
        <v>38</v>
      </c>
      <c r="N129" s="13" t="s">
        <v>40</v>
      </c>
      <c r="O129" s="13" t="s">
        <v>42</v>
      </c>
      <c r="P129" s="34"/>
      <c r="Q129" s="13" t="s">
        <v>49</v>
      </c>
      <c r="R129" s="13" t="s">
        <v>46</v>
      </c>
      <c r="S129" s="37"/>
      <c r="T129" s="37"/>
      <c r="U129" s="26"/>
      <c r="V129" s="37">
        <v>5.0</v>
      </c>
    </row>
    <row r="130" hidden="1">
      <c r="A130" s="13">
        <v>129.0</v>
      </c>
      <c r="B130" s="15">
        <v>46090.0</v>
      </c>
      <c r="C130" s="13" t="s">
        <v>21</v>
      </c>
      <c r="D130" s="13" t="s">
        <v>22</v>
      </c>
      <c r="E130" s="20" t="s">
        <v>1260</v>
      </c>
      <c r="F130" s="13">
        <v>5.55508567E8</v>
      </c>
      <c r="G130" s="20" t="s">
        <v>41</v>
      </c>
      <c r="H130" s="13" t="s">
        <v>27</v>
      </c>
      <c r="I130" s="20" t="s">
        <v>1261</v>
      </c>
      <c r="J130" s="20" t="s">
        <v>35</v>
      </c>
      <c r="K130" s="13" t="s">
        <v>36</v>
      </c>
      <c r="L130" s="26"/>
      <c r="M130" s="27" t="s">
        <v>38</v>
      </c>
      <c r="N130" s="13" t="s">
        <v>40</v>
      </c>
      <c r="O130" s="13" t="s">
        <v>42</v>
      </c>
      <c r="P130" s="34"/>
      <c r="Q130" s="13" t="s">
        <v>49</v>
      </c>
      <c r="R130" s="13" t="s">
        <v>46</v>
      </c>
      <c r="S130" s="37"/>
      <c r="T130" s="37"/>
      <c r="U130" s="26"/>
      <c r="V130" s="37">
        <v>5.0</v>
      </c>
    </row>
    <row r="131">
      <c r="A131" s="13">
        <v>130.0</v>
      </c>
      <c r="B131" s="15">
        <v>46090.0</v>
      </c>
      <c r="C131" s="13" t="s">
        <v>47</v>
      </c>
      <c r="D131" s="13" t="s">
        <v>92</v>
      </c>
      <c r="E131" s="13" t="s">
        <v>1266</v>
      </c>
      <c r="F131" s="13" t="s">
        <v>27</v>
      </c>
      <c r="G131" s="20" t="s">
        <v>28</v>
      </c>
      <c r="H131" s="13" t="s">
        <v>777</v>
      </c>
      <c r="I131" s="20" t="s">
        <v>1269</v>
      </c>
      <c r="J131" s="20" t="s">
        <v>35</v>
      </c>
      <c r="K131" s="13" t="s">
        <v>78</v>
      </c>
      <c r="L131" s="26"/>
      <c r="M131" s="27" t="s">
        <v>55</v>
      </c>
      <c r="N131" s="13" t="s">
        <v>40</v>
      </c>
      <c r="O131" s="13" t="s">
        <v>42</v>
      </c>
      <c r="P131" s="34"/>
      <c r="Q131" s="13" t="s">
        <v>49</v>
      </c>
      <c r="R131" s="13" t="s">
        <v>46</v>
      </c>
      <c r="S131" s="37"/>
      <c r="T131" s="37"/>
      <c r="U131" s="26"/>
      <c r="V131" s="37">
        <v>5.0</v>
      </c>
    </row>
    <row r="132">
      <c r="A132" s="13">
        <v>131.0</v>
      </c>
      <c r="B132" s="15">
        <v>46090.0</v>
      </c>
      <c r="C132" s="13" t="s">
        <v>47</v>
      </c>
      <c r="D132" s="13" t="s">
        <v>48</v>
      </c>
      <c r="E132" s="13" t="s">
        <v>1274</v>
      </c>
      <c r="F132" s="13" t="s">
        <v>27</v>
      </c>
      <c r="G132" s="20" t="s">
        <v>41</v>
      </c>
      <c r="H132" s="13" t="s">
        <v>227</v>
      </c>
      <c r="I132" s="20" t="s">
        <v>1276</v>
      </c>
      <c r="J132" s="45" t="s">
        <v>1278</v>
      </c>
      <c r="K132" s="13" t="s">
        <v>78</v>
      </c>
      <c r="L132" s="26"/>
      <c r="M132" s="27" t="s">
        <v>55</v>
      </c>
      <c r="N132" s="13" t="s">
        <v>56</v>
      </c>
      <c r="O132" s="13" t="s">
        <v>42</v>
      </c>
      <c r="P132" s="34"/>
      <c r="Q132" s="13" t="s">
        <v>49</v>
      </c>
      <c r="R132" s="13" t="s">
        <v>46</v>
      </c>
      <c r="S132" s="37"/>
      <c r="T132" s="37"/>
      <c r="U132" s="26"/>
      <c r="V132" s="37">
        <v>5.0</v>
      </c>
    </row>
    <row r="133">
      <c r="A133" s="13">
        <v>132.0</v>
      </c>
      <c r="B133" s="15">
        <v>46090.0</v>
      </c>
      <c r="C133" s="13" t="s">
        <v>47</v>
      </c>
      <c r="D133" s="13" t="s">
        <v>48</v>
      </c>
      <c r="E133" s="20" t="s">
        <v>1283</v>
      </c>
      <c r="F133" s="13" t="s">
        <v>27</v>
      </c>
      <c r="G133" s="20" t="s">
        <v>41</v>
      </c>
      <c r="H133" s="13" t="s">
        <v>956</v>
      </c>
      <c r="I133" s="20" t="s">
        <v>1287</v>
      </c>
      <c r="J133" s="20" t="s">
        <v>1289</v>
      </c>
      <c r="K133" s="13" t="s">
        <v>78</v>
      </c>
      <c r="L133" s="26"/>
      <c r="M133" s="27" t="s">
        <v>55</v>
      </c>
      <c r="N133" s="13" t="s">
        <v>56</v>
      </c>
      <c r="O133" s="13" t="s">
        <v>42</v>
      </c>
      <c r="P133" s="34"/>
      <c r="Q133" s="13" t="s">
        <v>49</v>
      </c>
      <c r="R133" s="13" t="s">
        <v>46</v>
      </c>
      <c r="S133" s="37"/>
      <c r="T133" s="37"/>
      <c r="U133" s="26"/>
      <c r="V133" s="37">
        <v>5.0</v>
      </c>
    </row>
    <row r="134" ht="34.5" customHeight="1">
      <c r="A134" s="13">
        <v>133.0</v>
      </c>
      <c r="B134" s="15">
        <v>46090.0</v>
      </c>
      <c r="C134" s="13" t="s">
        <v>47</v>
      </c>
      <c r="D134" s="13" t="s">
        <v>48</v>
      </c>
      <c r="E134" s="20" t="s">
        <v>1294</v>
      </c>
      <c r="F134" s="13" t="s">
        <v>27</v>
      </c>
      <c r="G134" s="20" t="s">
        <v>41</v>
      </c>
      <c r="H134" s="13" t="s">
        <v>146</v>
      </c>
      <c r="I134" s="20" t="s">
        <v>1296</v>
      </c>
      <c r="J134" s="20" t="s">
        <v>1298</v>
      </c>
      <c r="K134" s="13" t="s">
        <v>78</v>
      </c>
      <c r="L134" s="26"/>
      <c r="M134" s="27" t="s">
        <v>55</v>
      </c>
      <c r="N134" s="13" t="s">
        <v>56</v>
      </c>
      <c r="O134" s="13" t="s">
        <v>42</v>
      </c>
      <c r="P134" s="34"/>
      <c r="Q134" s="13" t="s">
        <v>49</v>
      </c>
      <c r="R134" s="13" t="s">
        <v>46</v>
      </c>
      <c r="S134" s="37"/>
      <c r="T134" s="37"/>
      <c r="U134" s="26"/>
      <c r="V134" s="37">
        <v>5.0</v>
      </c>
    </row>
    <row r="135" hidden="1">
      <c r="A135" s="13">
        <v>134.0</v>
      </c>
      <c r="B135" s="15">
        <v>46092.0</v>
      </c>
      <c r="C135" s="13" t="s">
        <v>58</v>
      </c>
      <c r="D135" s="13" t="s">
        <v>60</v>
      </c>
      <c r="E135" s="20" t="s">
        <v>1301</v>
      </c>
      <c r="F135" s="13">
        <v>5.57510007E8</v>
      </c>
      <c r="G135" s="20" t="s">
        <v>172</v>
      </c>
      <c r="H135" s="13" t="s">
        <v>27</v>
      </c>
      <c r="I135" s="20" t="s">
        <v>1303</v>
      </c>
      <c r="J135" s="20" t="s">
        <v>35</v>
      </c>
      <c r="K135" s="13" t="s">
        <v>65</v>
      </c>
      <c r="L135" s="26"/>
      <c r="M135" s="27" t="s">
        <v>88</v>
      </c>
      <c r="N135" s="13" t="s">
        <v>56</v>
      </c>
      <c r="O135" s="13" t="s">
        <v>42</v>
      </c>
      <c r="P135" s="34"/>
      <c r="Q135" s="13" t="s">
        <v>49</v>
      </c>
      <c r="R135" s="13" t="s">
        <v>68</v>
      </c>
      <c r="S135" s="37"/>
      <c r="T135" s="37"/>
      <c r="U135" s="26"/>
      <c r="V135" s="37">
        <v>5.0</v>
      </c>
    </row>
    <row r="136" hidden="1">
      <c r="A136" s="13">
        <v>135.0</v>
      </c>
      <c r="B136" s="15">
        <v>46092.0</v>
      </c>
      <c r="C136" s="13" t="s">
        <v>21</v>
      </c>
      <c r="D136" s="13" t="s">
        <v>24</v>
      </c>
      <c r="E136" s="20" t="s">
        <v>1310</v>
      </c>
      <c r="F136" s="13">
        <v>5.37282087E8</v>
      </c>
      <c r="G136" s="20" t="s">
        <v>71</v>
      </c>
      <c r="H136" s="13" t="s">
        <v>27</v>
      </c>
      <c r="I136" s="20" t="s">
        <v>1312</v>
      </c>
      <c r="J136" s="20" t="s">
        <v>35</v>
      </c>
      <c r="K136" s="13" t="s">
        <v>36</v>
      </c>
      <c r="L136" s="26"/>
      <c r="M136" s="27" t="s">
        <v>38</v>
      </c>
      <c r="N136" s="13" t="s">
        <v>40</v>
      </c>
      <c r="O136" s="13" t="s">
        <v>42</v>
      </c>
      <c r="P136" s="34"/>
      <c r="Q136" s="13" t="s">
        <v>49</v>
      </c>
      <c r="R136" s="13" t="s">
        <v>46</v>
      </c>
      <c r="S136" s="37"/>
      <c r="T136" s="37"/>
      <c r="U136" s="26"/>
      <c r="V136" s="37">
        <v>5.0</v>
      </c>
    </row>
    <row r="137" hidden="1">
      <c r="A137" s="13">
        <v>136.0</v>
      </c>
      <c r="B137" s="15">
        <v>46092.0</v>
      </c>
      <c r="C137" s="13" t="s">
        <v>21</v>
      </c>
      <c r="D137" s="13" t="s">
        <v>24</v>
      </c>
      <c r="E137" s="20" t="s">
        <v>1320</v>
      </c>
      <c r="F137" s="13">
        <v>5.55993751E8</v>
      </c>
      <c r="G137" s="20" t="s">
        <v>71</v>
      </c>
      <c r="H137" s="13" t="s">
        <v>27</v>
      </c>
      <c r="I137" s="20" t="s">
        <v>1322</v>
      </c>
      <c r="J137" s="20" t="s">
        <v>35</v>
      </c>
      <c r="K137" s="13" t="s">
        <v>36</v>
      </c>
      <c r="L137" s="26"/>
      <c r="M137" s="27" t="s">
        <v>38</v>
      </c>
      <c r="N137" s="13" t="s">
        <v>40</v>
      </c>
      <c r="O137" s="13" t="s">
        <v>42</v>
      </c>
      <c r="P137" s="34"/>
      <c r="Q137" s="13" t="s">
        <v>49</v>
      </c>
      <c r="R137" s="13" t="s">
        <v>46</v>
      </c>
      <c r="S137" s="37"/>
      <c r="T137" s="37"/>
      <c r="U137" s="26"/>
      <c r="V137" s="37">
        <v>5.0</v>
      </c>
    </row>
    <row r="138">
      <c r="A138" s="13">
        <v>137.0</v>
      </c>
      <c r="B138" s="15">
        <v>46092.0</v>
      </c>
      <c r="C138" s="13" t="s">
        <v>47</v>
      </c>
      <c r="D138" s="13" t="s">
        <v>48</v>
      </c>
      <c r="E138" s="20" t="s">
        <v>1328</v>
      </c>
      <c r="F138" s="13">
        <v>5.34092021E8</v>
      </c>
      <c r="G138" s="20" t="s">
        <v>41</v>
      </c>
      <c r="H138" s="13" t="s">
        <v>222</v>
      </c>
      <c r="I138" s="20" t="s">
        <v>1329</v>
      </c>
      <c r="J138" s="20" t="s">
        <v>1331</v>
      </c>
      <c r="K138" s="13" t="s">
        <v>36</v>
      </c>
      <c r="L138" s="26"/>
      <c r="M138" s="75" t="s">
        <v>555</v>
      </c>
      <c r="N138" s="13" t="s">
        <v>56</v>
      </c>
      <c r="O138" s="13" t="s">
        <v>42</v>
      </c>
      <c r="P138" s="34"/>
      <c r="Q138" s="13" t="s">
        <v>49</v>
      </c>
      <c r="R138" s="13" t="s">
        <v>46</v>
      </c>
      <c r="S138" s="37"/>
      <c r="T138" s="37"/>
      <c r="U138" s="26"/>
      <c r="V138" s="37">
        <v>5.0</v>
      </c>
    </row>
    <row r="139">
      <c r="A139" s="13">
        <v>138.0</v>
      </c>
      <c r="B139" s="15">
        <v>46092.0</v>
      </c>
      <c r="C139" s="13" t="s">
        <v>47</v>
      </c>
      <c r="D139" s="13" t="s">
        <v>92</v>
      </c>
      <c r="E139" s="20" t="s">
        <v>1336</v>
      </c>
      <c r="F139" s="13">
        <v>5.49690359E8</v>
      </c>
      <c r="G139" s="20" t="s">
        <v>71</v>
      </c>
      <c r="H139" s="13" t="s">
        <v>94</v>
      </c>
      <c r="I139" s="20" t="s">
        <v>1337</v>
      </c>
      <c r="J139" s="20" t="s">
        <v>35</v>
      </c>
      <c r="K139" s="13" t="s">
        <v>36</v>
      </c>
      <c r="L139" s="26"/>
      <c r="M139" s="27" t="s">
        <v>953</v>
      </c>
      <c r="N139" s="13" t="s">
        <v>40</v>
      </c>
      <c r="O139" s="13" t="s">
        <v>42</v>
      </c>
      <c r="P139" s="34"/>
      <c r="Q139" s="13" t="s">
        <v>49</v>
      </c>
      <c r="R139" s="13" t="s">
        <v>46</v>
      </c>
      <c r="S139" s="37"/>
      <c r="T139" s="37"/>
      <c r="U139" s="26"/>
      <c r="V139" s="37">
        <v>5.0</v>
      </c>
    </row>
    <row r="140" ht="39.0" customHeight="1">
      <c r="A140" s="13">
        <v>139.0</v>
      </c>
      <c r="B140" s="15">
        <v>46092.0</v>
      </c>
      <c r="C140" s="13" t="s">
        <v>47</v>
      </c>
      <c r="D140" s="13" t="s">
        <v>48</v>
      </c>
      <c r="E140" s="13" t="s">
        <v>1344</v>
      </c>
      <c r="F140" s="13" t="s">
        <v>27</v>
      </c>
      <c r="G140" s="20" t="s">
        <v>41</v>
      </c>
      <c r="H140" s="13" t="s">
        <v>1345</v>
      </c>
      <c r="I140" s="20" t="s">
        <v>1346</v>
      </c>
      <c r="J140" s="20" t="s">
        <v>1347</v>
      </c>
      <c r="K140" s="13" t="s">
        <v>78</v>
      </c>
      <c r="L140" s="26"/>
      <c r="M140" s="27" t="s">
        <v>953</v>
      </c>
      <c r="N140" s="13" t="s">
        <v>56</v>
      </c>
      <c r="O140" s="13" t="s">
        <v>42</v>
      </c>
      <c r="P140" s="34"/>
      <c r="Q140" s="13" t="s">
        <v>49</v>
      </c>
      <c r="R140" s="13" t="s">
        <v>46</v>
      </c>
      <c r="S140" s="37"/>
      <c r="T140" s="37"/>
      <c r="U140" s="26"/>
      <c r="V140" s="37">
        <v>5.0</v>
      </c>
    </row>
    <row r="141" ht="28.5" customHeight="1">
      <c r="A141" s="13">
        <v>140.0</v>
      </c>
      <c r="B141" s="15">
        <v>46092.0</v>
      </c>
      <c r="C141" s="13" t="s">
        <v>47</v>
      </c>
      <c r="D141" s="13" t="s">
        <v>48</v>
      </c>
      <c r="E141" s="13" t="s">
        <v>1352</v>
      </c>
      <c r="F141" s="13" t="s">
        <v>27</v>
      </c>
      <c r="G141" s="20" t="s">
        <v>41</v>
      </c>
      <c r="H141" s="13" t="s">
        <v>705</v>
      </c>
      <c r="I141" s="20" t="s">
        <v>1355</v>
      </c>
      <c r="J141" s="20" t="s">
        <v>1356</v>
      </c>
      <c r="K141" s="13" t="s">
        <v>78</v>
      </c>
      <c r="L141" s="26"/>
      <c r="M141" s="27" t="s">
        <v>55</v>
      </c>
      <c r="N141" s="13" t="s">
        <v>56</v>
      </c>
      <c r="O141" s="13" t="s">
        <v>42</v>
      </c>
      <c r="P141" s="34"/>
      <c r="Q141" s="13" t="s">
        <v>49</v>
      </c>
      <c r="R141" s="13" t="s">
        <v>46</v>
      </c>
      <c r="S141" s="37"/>
      <c r="T141" s="37"/>
      <c r="U141" s="26"/>
      <c r="V141" s="37">
        <v>5.0</v>
      </c>
    </row>
    <row r="142" ht="42.0" customHeight="1">
      <c r="A142" s="13">
        <v>141.0</v>
      </c>
      <c r="B142" s="15">
        <v>46092.0</v>
      </c>
      <c r="C142" s="13" t="s">
        <v>47</v>
      </c>
      <c r="D142" s="13" t="s">
        <v>48</v>
      </c>
      <c r="E142" s="13" t="s">
        <v>27</v>
      </c>
      <c r="F142" s="13" t="s">
        <v>27</v>
      </c>
      <c r="G142" s="20" t="s">
        <v>41</v>
      </c>
      <c r="H142" s="13" t="s">
        <v>188</v>
      </c>
      <c r="I142" s="20" t="s">
        <v>1364</v>
      </c>
      <c r="J142" s="20" t="s">
        <v>972</v>
      </c>
      <c r="K142" s="13" t="s">
        <v>78</v>
      </c>
      <c r="L142" s="26"/>
      <c r="M142" s="27" t="s">
        <v>55</v>
      </c>
      <c r="N142" s="13" t="s">
        <v>56</v>
      </c>
      <c r="O142" s="13" t="s">
        <v>42</v>
      </c>
      <c r="P142" s="34"/>
      <c r="Q142" s="13" t="s">
        <v>49</v>
      </c>
      <c r="R142" s="13" t="s">
        <v>46</v>
      </c>
      <c r="S142" s="37"/>
      <c r="T142" s="37"/>
      <c r="U142" s="26"/>
      <c r="V142" s="37">
        <v>5.0</v>
      </c>
    </row>
    <row r="143">
      <c r="A143" s="13">
        <v>142.0</v>
      </c>
      <c r="B143" s="15">
        <v>46092.0</v>
      </c>
      <c r="C143" s="13" t="s">
        <v>47</v>
      </c>
      <c r="D143" s="13" t="s">
        <v>367</v>
      </c>
      <c r="E143" s="20" t="s">
        <v>118</v>
      </c>
      <c r="F143" s="13">
        <v>5.04777479E8</v>
      </c>
      <c r="G143" s="20" t="s">
        <v>41</v>
      </c>
      <c r="H143" s="13" t="s">
        <v>783</v>
      </c>
      <c r="I143" s="20" t="s">
        <v>1370</v>
      </c>
      <c r="J143" s="20" t="s">
        <v>1371</v>
      </c>
      <c r="K143" s="13" t="s">
        <v>36</v>
      </c>
      <c r="L143" s="26"/>
      <c r="M143" s="27" t="s">
        <v>55</v>
      </c>
      <c r="N143" s="13" t="s">
        <v>56</v>
      </c>
      <c r="O143" s="13" t="s">
        <v>42</v>
      </c>
      <c r="P143" s="34"/>
      <c r="Q143" s="13" t="s">
        <v>49</v>
      </c>
      <c r="R143" s="13" t="s">
        <v>46</v>
      </c>
      <c r="S143" s="37"/>
      <c r="T143" s="37"/>
      <c r="U143" s="26"/>
      <c r="V143" s="37">
        <v>5.0</v>
      </c>
    </row>
    <row r="144">
      <c r="A144" s="13">
        <v>143.0</v>
      </c>
      <c r="B144" s="15">
        <v>46092.0</v>
      </c>
      <c r="C144" s="13" t="s">
        <v>47</v>
      </c>
      <c r="D144" s="13" t="s">
        <v>48</v>
      </c>
      <c r="E144" s="20" t="s">
        <v>1378</v>
      </c>
      <c r="F144" s="13">
        <v>5.04160689E8</v>
      </c>
      <c r="G144" s="20" t="s">
        <v>28</v>
      </c>
      <c r="H144" s="106" t="s">
        <v>587</v>
      </c>
      <c r="I144" s="20" t="s">
        <v>1379</v>
      </c>
      <c r="J144" s="20" t="s">
        <v>1380</v>
      </c>
      <c r="K144" s="13" t="s">
        <v>36</v>
      </c>
      <c r="L144" s="26"/>
      <c r="M144" s="27" t="s">
        <v>611</v>
      </c>
      <c r="N144" s="13" t="s">
        <v>56</v>
      </c>
      <c r="O144" s="13" t="s">
        <v>42</v>
      </c>
      <c r="P144" s="34"/>
      <c r="Q144" s="13" t="s">
        <v>49</v>
      </c>
      <c r="R144" s="13" t="s">
        <v>46</v>
      </c>
      <c r="S144" s="37"/>
      <c r="T144" s="37"/>
      <c r="U144" s="26"/>
      <c r="V144" s="37">
        <v>5.0</v>
      </c>
    </row>
    <row r="145" hidden="1">
      <c r="A145" s="13">
        <v>144.0</v>
      </c>
      <c r="B145" s="15">
        <v>46090.0</v>
      </c>
      <c r="C145" s="13" t="s">
        <v>21</v>
      </c>
      <c r="D145" s="13" t="s">
        <v>22</v>
      </c>
      <c r="E145" s="20" t="s">
        <v>1388</v>
      </c>
      <c r="F145" s="13">
        <v>5.05800357E8</v>
      </c>
      <c r="G145" s="13" t="s">
        <v>27</v>
      </c>
      <c r="H145" s="13" t="s">
        <v>27</v>
      </c>
      <c r="I145" s="20" t="s">
        <v>1390</v>
      </c>
      <c r="J145" s="20" t="s">
        <v>35</v>
      </c>
      <c r="K145" s="13" t="s">
        <v>36</v>
      </c>
      <c r="L145" s="26"/>
      <c r="M145" s="27" t="s">
        <v>38</v>
      </c>
      <c r="N145" s="13" t="s">
        <v>40</v>
      </c>
      <c r="O145" s="13" t="s">
        <v>42</v>
      </c>
      <c r="P145" s="34"/>
      <c r="Q145" s="13" t="s">
        <v>49</v>
      </c>
      <c r="R145" s="13" t="s">
        <v>46</v>
      </c>
      <c r="S145" s="37"/>
      <c r="T145" s="37"/>
      <c r="U145" s="26"/>
      <c r="V145" s="37">
        <v>5.0</v>
      </c>
    </row>
    <row r="146" hidden="1">
      <c r="A146" s="13">
        <v>145.0</v>
      </c>
      <c r="B146" s="15">
        <v>46093.0</v>
      </c>
      <c r="C146" s="13" t="s">
        <v>58</v>
      </c>
      <c r="D146" s="13" t="s">
        <v>60</v>
      </c>
      <c r="E146" s="13" t="s">
        <v>27</v>
      </c>
      <c r="F146" s="13">
        <v>5.32303389E8</v>
      </c>
      <c r="G146" s="13" t="s">
        <v>27</v>
      </c>
      <c r="H146" s="13" t="s">
        <v>27</v>
      </c>
      <c r="I146" s="20" t="s">
        <v>1397</v>
      </c>
      <c r="J146" s="20" t="s">
        <v>64</v>
      </c>
      <c r="K146" s="13" t="s">
        <v>65</v>
      </c>
      <c r="L146" s="26"/>
      <c r="M146" s="27" t="s">
        <v>88</v>
      </c>
      <c r="N146" s="13" t="s">
        <v>56</v>
      </c>
      <c r="O146" s="13" t="s">
        <v>42</v>
      </c>
      <c r="P146" s="34"/>
      <c r="Q146" s="13" t="s">
        <v>44</v>
      </c>
      <c r="R146" s="13" t="s">
        <v>68</v>
      </c>
      <c r="S146" s="37"/>
      <c r="T146" s="37"/>
      <c r="U146" s="26"/>
      <c r="V146" s="37">
        <v>5.0</v>
      </c>
    </row>
    <row r="147" hidden="1">
      <c r="A147" s="13">
        <v>146.0</v>
      </c>
      <c r="B147" s="15">
        <v>46093.0</v>
      </c>
      <c r="C147" s="13" t="s">
        <v>58</v>
      </c>
      <c r="D147" s="13" t="s">
        <v>60</v>
      </c>
      <c r="E147" s="13" t="s">
        <v>27</v>
      </c>
      <c r="F147" s="13">
        <v>5.53916039E8</v>
      </c>
      <c r="G147" s="13" t="s">
        <v>27</v>
      </c>
      <c r="H147" s="13" t="s">
        <v>27</v>
      </c>
      <c r="I147" s="20" t="s">
        <v>1402</v>
      </c>
      <c r="J147" s="20" t="s">
        <v>500</v>
      </c>
      <c r="K147" s="13" t="s">
        <v>65</v>
      </c>
      <c r="L147" s="26"/>
      <c r="M147" s="27" t="s">
        <v>88</v>
      </c>
      <c r="N147" s="13" t="s">
        <v>56</v>
      </c>
      <c r="O147" s="13" t="s">
        <v>42</v>
      </c>
      <c r="P147" s="34"/>
      <c r="Q147" s="13" t="s">
        <v>44</v>
      </c>
      <c r="R147" s="13" t="s">
        <v>68</v>
      </c>
      <c r="S147" s="37"/>
      <c r="T147" s="37"/>
      <c r="U147" s="26"/>
      <c r="V147" s="37">
        <v>5.0</v>
      </c>
    </row>
    <row r="148" hidden="1">
      <c r="A148" s="13">
        <v>147.0</v>
      </c>
      <c r="B148" s="15">
        <v>46093.0</v>
      </c>
      <c r="C148" s="13" t="s">
        <v>21</v>
      </c>
      <c r="D148" s="13" t="s">
        <v>24</v>
      </c>
      <c r="E148" s="20" t="s">
        <v>1408</v>
      </c>
      <c r="F148" s="13">
        <v>1.12603864E8</v>
      </c>
      <c r="G148" s="20" t="s">
        <v>152</v>
      </c>
      <c r="H148" s="13" t="s">
        <v>27</v>
      </c>
      <c r="I148" s="20" t="s">
        <v>1410</v>
      </c>
      <c r="J148" s="20" t="s">
        <v>35</v>
      </c>
      <c r="K148" s="13" t="s">
        <v>65</v>
      </c>
      <c r="L148" s="26"/>
      <c r="M148" s="27" t="s">
        <v>38</v>
      </c>
      <c r="N148" s="13" t="s">
        <v>40</v>
      </c>
      <c r="O148" s="13" t="s">
        <v>42</v>
      </c>
      <c r="P148" s="34"/>
      <c r="Q148" s="13" t="s">
        <v>44</v>
      </c>
      <c r="R148" s="13" t="s">
        <v>46</v>
      </c>
      <c r="S148" s="37"/>
      <c r="T148" s="37"/>
      <c r="U148" s="26"/>
      <c r="V148" s="37">
        <v>5.0</v>
      </c>
    </row>
    <row r="149" hidden="1">
      <c r="A149" s="13">
        <v>148.0</v>
      </c>
      <c r="B149" s="15">
        <v>46093.0</v>
      </c>
      <c r="C149" s="13" t="s">
        <v>58</v>
      </c>
      <c r="D149" s="13" t="s">
        <v>60</v>
      </c>
      <c r="E149" s="13" t="s">
        <v>27</v>
      </c>
      <c r="F149" s="13">
        <v>5.99941341E8</v>
      </c>
      <c r="G149" s="13" t="s">
        <v>27</v>
      </c>
      <c r="H149" s="13" t="s">
        <v>27</v>
      </c>
      <c r="I149" s="20" t="s">
        <v>233</v>
      </c>
      <c r="J149" s="20" t="s">
        <v>500</v>
      </c>
      <c r="K149" s="13" t="s">
        <v>65</v>
      </c>
      <c r="L149" s="26"/>
      <c r="M149" s="27" t="s">
        <v>88</v>
      </c>
      <c r="N149" s="13" t="s">
        <v>56</v>
      </c>
      <c r="O149" s="13" t="s">
        <v>42</v>
      </c>
      <c r="P149" s="34"/>
      <c r="Q149" s="13" t="s">
        <v>44</v>
      </c>
      <c r="R149" s="13" t="s">
        <v>68</v>
      </c>
      <c r="S149" s="37"/>
      <c r="T149" s="37"/>
      <c r="U149" s="26"/>
      <c r="V149" s="37">
        <v>5.0</v>
      </c>
    </row>
    <row r="150" hidden="1">
      <c r="A150" s="13">
        <v>149.0</v>
      </c>
      <c r="B150" s="15">
        <v>46093.0</v>
      </c>
      <c r="C150" s="13" t="s">
        <v>58</v>
      </c>
      <c r="D150" s="13" t="s">
        <v>60</v>
      </c>
      <c r="E150" s="13" t="s">
        <v>27</v>
      </c>
      <c r="F150" s="13">
        <v>5.91861175E8</v>
      </c>
      <c r="G150" s="13" t="s">
        <v>27</v>
      </c>
      <c r="H150" s="13" t="s">
        <v>27</v>
      </c>
      <c r="I150" s="20" t="s">
        <v>1425</v>
      </c>
      <c r="J150" s="20" t="s">
        <v>500</v>
      </c>
      <c r="K150" s="13" t="s">
        <v>65</v>
      </c>
      <c r="L150" s="26"/>
      <c r="M150" s="27" t="s">
        <v>88</v>
      </c>
      <c r="N150" s="13" t="s">
        <v>56</v>
      </c>
      <c r="O150" s="13" t="s">
        <v>42</v>
      </c>
      <c r="P150" s="34"/>
      <c r="Q150" s="13" t="s">
        <v>44</v>
      </c>
      <c r="R150" s="13" t="s">
        <v>68</v>
      </c>
      <c r="S150" s="37"/>
      <c r="T150" s="37"/>
      <c r="U150" s="26"/>
      <c r="V150" s="37">
        <v>5.0</v>
      </c>
    </row>
    <row r="151">
      <c r="A151" s="13">
        <v>150.0</v>
      </c>
      <c r="B151" s="15">
        <v>46093.0</v>
      </c>
      <c r="C151" s="13" t="s">
        <v>47</v>
      </c>
      <c r="D151" s="13" t="s">
        <v>48</v>
      </c>
      <c r="E151" s="20" t="s">
        <v>1431</v>
      </c>
      <c r="F151" s="13">
        <v>5.05500774E8</v>
      </c>
      <c r="G151" s="20" t="s">
        <v>333</v>
      </c>
      <c r="H151" s="13" t="s">
        <v>516</v>
      </c>
      <c r="I151" s="20" t="s">
        <v>1435</v>
      </c>
      <c r="J151" s="20" t="s">
        <v>1436</v>
      </c>
      <c r="K151" s="13" t="s">
        <v>65</v>
      </c>
      <c r="L151" s="26"/>
      <c r="M151" s="27" t="s">
        <v>55</v>
      </c>
      <c r="N151" s="13" t="s">
        <v>56</v>
      </c>
      <c r="O151" s="13" t="s">
        <v>42</v>
      </c>
      <c r="P151" s="34"/>
      <c r="Q151" s="13" t="s">
        <v>44</v>
      </c>
      <c r="R151" s="13" t="s">
        <v>46</v>
      </c>
      <c r="S151" s="37"/>
      <c r="T151" s="37"/>
      <c r="U151" s="26"/>
      <c r="V151" s="37">
        <v>5.0</v>
      </c>
    </row>
    <row r="152" hidden="1">
      <c r="A152" s="13">
        <v>151.0</v>
      </c>
      <c r="B152" s="15">
        <v>46093.0</v>
      </c>
      <c r="C152" s="13" t="s">
        <v>58</v>
      </c>
      <c r="D152" s="13" t="s">
        <v>60</v>
      </c>
      <c r="E152" s="13" t="s">
        <v>27</v>
      </c>
      <c r="F152" s="13">
        <v>5.55158135E8</v>
      </c>
      <c r="G152" s="13" t="s">
        <v>27</v>
      </c>
      <c r="H152" s="13" t="s">
        <v>27</v>
      </c>
      <c r="I152" s="20" t="s">
        <v>1445</v>
      </c>
      <c r="J152" s="20" t="s">
        <v>64</v>
      </c>
      <c r="K152" s="13" t="s">
        <v>65</v>
      </c>
      <c r="L152" s="27"/>
      <c r="M152" s="27" t="s">
        <v>421</v>
      </c>
      <c r="N152" s="13" t="s">
        <v>56</v>
      </c>
      <c r="O152" s="13" t="s">
        <v>42</v>
      </c>
      <c r="P152" s="34"/>
      <c r="Q152" s="13" t="s">
        <v>44</v>
      </c>
      <c r="R152" s="13" t="s">
        <v>68</v>
      </c>
      <c r="S152" s="37"/>
      <c r="T152" s="37"/>
      <c r="U152" s="26"/>
      <c r="V152" s="37">
        <v>5.0</v>
      </c>
    </row>
    <row r="153" hidden="1">
      <c r="A153" s="13">
        <v>152.0</v>
      </c>
      <c r="B153" s="15">
        <v>46093.0</v>
      </c>
      <c r="C153" s="13" t="s">
        <v>21</v>
      </c>
      <c r="D153" s="13" t="s">
        <v>22</v>
      </c>
      <c r="E153" s="20" t="s">
        <v>1451</v>
      </c>
      <c r="F153" s="13">
        <v>5.02284017E8</v>
      </c>
      <c r="G153" s="20" t="s">
        <v>1452</v>
      </c>
      <c r="H153" s="13" t="s">
        <v>27</v>
      </c>
      <c r="I153" s="20" t="s">
        <v>1454</v>
      </c>
      <c r="J153" s="20" t="s">
        <v>35</v>
      </c>
      <c r="K153" s="13" t="s">
        <v>321</v>
      </c>
      <c r="L153" s="27"/>
      <c r="M153" s="27" t="s">
        <v>611</v>
      </c>
      <c r="N153" s="13" t="s">
        <v>40</v>
      </c>
      <c r="O153" s="13" t="s">
        <v>42</v>
      </c>
      <c r="P153" s="34"/>
      <c r="Q153" s="13" t="s">
        <v>49</v>
      </c>
      <c r="R153" s="13" t="s">
        <v>46</v>
      </c>
      <c r="S153" s="37"/>
      <c r="T153" s="37"/>
      <c r="U153" s="26"/>
      <c r="V153" s="37">
        <v>5.0</v>
      </c>
    </row>
    <row r="154">
      <c r="A154" s="13">
        <v>153.0</v>
      </c>
      <c r="B154" s="15">
        <v>46093.0</v>
      </c>
      <c r="C154" s="13" t="s">
        <v>47</v>
      </c>
      <c r="D154" s="13" t="s">
        <v>138</v>
      </c>
      <c r="E154" s="13" t="s">
        <v>1457</v>
      </c>
      <c r="F154" s="13">
        <v>5.82358172E8</v>
      </c>
      <c r="G154" s="20" t="s">
        <v>41</v>
      </c>
      <c r="H154" s="13" t="s">
        <v>329</v>
      </c>
      <c r="I154" s="20" t="s">
        <v>1458</v>
      </c>
      <c r="J154" s="20" t="s">
        <v>1459</v>
      </c>
      <c r="K154" s="13" t="s">
        <v>148</v>
      </c>
      <c r="L154" s="26"/>
      <c r="M154" s="27" t="s">
        <v>55</v>
      </c>
      <c r="N154" s="13" t="s">
        <v>56</v>
      </c>
      <c r="O154" s="13" t="s">
        <v>42</v>
      </c>
      <c r="P154" s="34"/>
      <c r="Q154" s="13" t="s">
        <v>44</v>
      </c>
      <c r="R154" s="13" t="s">
        <v>46</v>
      </c>
      <c r="S154" s="37"/>
      <c r="T154" s="37"/>
      <c r="U154" s="26"/>
      <c r="V154" s="37">
        <v>5.0</v>
      </c>
    </row>
    <row r="155">
      <c r="A155" s="13">
        <v>154.0</v>
      </c>
      <c r="B155" s="15">
        <v>46093.0</v>
      </c>
      <c r="C155" s="13" t="s">
        <v>47</v>
      </c>
      <c r="D155" s="13" t="s">
        <v>138</v>
      </c>
      <c r="E155" s="13" t="s">
        <v>1468</v>
      </c>
      <c r="F155" s="13">
        <v>5.40464076E8</v>
      </c>
      <c r="G155" s="20" t="s">
        <v>41</v>
      </c>
      <c r="H155" s="13" t="s">
        <v>222</v>
      </c>
      <c r="I155" s="20" t="s">
        <v>1469</v>
      </c>
      <c r="J155" s="20" t="s">
        <v>1470</v>
      </c>
      <c r="K155" s="13" t="s">
        <v>148</v>
      </c>
      <c r="L155" s="27"/>
      <c r="M155" s="27" t="s">
        <v>1473</v>
      </c>
      <c r="N155" s="13" t="s">
        <v>56</v>
      </c>
      <c r="O155" s="13" t="s">
        <v>42</v>
      </c>
      <c r="P155" s="34"/>
      <c r="Q155" s="13" t="s">
        <v>44</v>
      </c>
      <c r="R155" s="13" t="s">
        <v>46</v>
      </c>
      <c r="S155" s="37"/>
      <c r="T155" s="37"/>
      <c r="U155" s="26"/>
      <c r="V155" s="37">
        <v>5.0</v>
      </c>
    </row>
    <row r="156">
      <c r="A156" s="13">
        <v>155.0</v>
      </c>
      <c r="B156" s="15">
        <v>46093.0</v>
      </c>
      <c r="C156" s="13" t="s">
        <v>47</v>
      </c>
      <c r="D156" s="13" t="s">
        <v>367</v>
      </c>
      <c r="E156" s="20" t="s">
        <v>1480</v>
      </c>
      <c r="F156" s="13">
        <v>5.50227239E8</v>
      </c>
      <c r="G156" s="20" t="s">
        <v>41</v>
      </c>
      <c r="H156" s="13" t="s">
        <v>705</v>
      </c>
      <c r="I156" s="20" t="s">
        <v>1484</v>
      </c>
      <c r="J156" s="20" t="s">
        <v>1485</v>
      </c>
      <c r="K156" s="13" t="s">
        <v>148</v>
      </c>
      <c r="L156" s="26"/>
      <c r="M156" s="27" t="s">
        <v>55</v>
      </c>
      <c r="N156" s="13" t="s">
        <v>56</v>
      </c>
      <c r="O156" s="13" t="s">
        <v>42</v>
      </c>
      <c r="P156" s="34"/>
      <c r="Q156" s="13" t="s">
        <v>44</v>
      </c>
      <c r="R156" s="13" t="s">
        <v>46</v>
      </c>
      <c r="S156" s="37"/>
      <c r="T156" s="37"/>
      <c r="U156" s="26"/>
      <c r="V156" s="37">
        <v>5.0</v>
      </c>
    </row>
    <row r="157">
      <c r="A157" s="13">
        <v>156.0</v>
      </c>
      <c r="B157" s="15">
        <v>46093.0</v>
      </c>
      <c r="C157" s="13" t="s">
        <v>47</v>
      </c>
      <c r="D157" s="13" t="s">
        <v>138</v>
      </c>
      <c r="E157" s="20" t="s">
        <v>1493</v>
      </c>
      <c r="F157" s="13">
        <v>5.92335929E8</v>
      </c>
      <c r="G157" s="20" t="s">
        <v>41</v>
      </c>
      <c r="H157" s="13" t="s">
        <v>227</v>
      </c>
      <c r="I157" s="20" t="s">
        <v>1495</v>
      </c>
      <c r="J157" s="20" t="s">
        <v>1496</v>
      </c>
      <c r="K157" s="13" t="s">
        <v>148</v>
      </c>
      <c r="L157" s="26"/>
      <c r="M157" s="27" t="s">
        <v>55</v>
      </c>
      <c r="N157" s="13" t="s">
        <v>56</v>
      </c>
      <c r="O157" s="13" t="s">
        <v>42</v>
      </c>
      <c r="P157" s="34"/>
      <c r="Q157" s="13" t="s">
        <v>44</v>
      </c>
      <c r="R157" s="13" t="s">
        <v>46</v>
      </c>
      <c r="S157" s="37"/>
      <c r="T157" s="37"/>
      <c r="U157" s="26"/>
      <c r="V157" s="37">
        <v>5.0</v>
      </c>
    </row>
    <row r="158" ht="36.0" hidden="1" customHeight="1">
      <c r="A158" s="13">
        <v>157.0</v>
      </c>
      <c r="B158" s="15">
        <v>46093.0</v>
      </c>
      <c r="C158" s="13" t="s">
        <v>47</v>
      </c>
      <c r="D158" s="13" t="s">
        <v>251</v>
      </c>
      <c r="E158" s="20" t="s">
        <v>1500</v>
      </c>
      <c r="F158" s="13">
        <v>5.34008894E8</v>
      </c>
      <c r="G158" s="20" t="s">
        <v>41</v>
      </c>
      <c r="H158" s="13" t="s">
        <v>329</v>
      </c>
      <c r="I158" s="20" t="s">
        <v>1501</v>
      </c>
      <c r="J158" s="20" t="s">
        <v>35</v>
      </c>
      <c r="K158" s="13" t="s">
        <v>148</v>
      </c>
      <c r="L158" s="26"/>
      <c r="M158" s="27" t="s">
        <v>55</v>
      </c>
      <c r="N158" s="13" t="s">
        <v>40</v>
      </c>
      <c r="O158" s="13" t="s">
        <v>42</v>
      </c>
      <c r="P158" s="34"/>
      <c r="Q158" s="13" t="s">
        <v>44</v>
      </c>
      <c r="R158" s="13" t="s">
        <v>46</v>
      </c>
      <c r="S158" s="37"/>
      <c r="T158" s="37"/>
      <c r="U158" s="26"/>
      <c r="V158" s="37">
        <v>5.0</v>
      </c>
    </row>
    <row r="159">
      <c r="A159" s="13">
        <v>158.0</v>
      </c>
      <c r="B159" s="15">
        <v>46093.0</v>
      </c>
      <c r="C159" s="13" t="s">
        <v>47</v>
      </c>
      <c r="D159" s="13" t="s">
        <v>367</v>
      </c>
      <c r="E159" s="13" t="s">
        <v>1507</v>
      </c>
      <c r="F159" s="13">
        <v>5.50879778E8</v>
      </c>
      <c r="G159" s="20" t="s">
        <v>41</v>
      </c>
      <c r="H159" s="13" t="s">
        <v>146</v>
      </c>
      <c r="I159" s="20" t="s">
        <v>1510</v>
      </c>
      <c r="J159" s="20" t="s">
        <v>377</v>
      </c>
      <c r="K159" s="13" t="s">
        <v>148</v>
      </c>
      <c r="L159" s="26"/>
      <c r="M159" s="27" t="s">
        <v>55</v>
      </c>
      <c r="N159" s="13" t="s">
        <v>56</v>
      </c>
      <c r="O159" s="13" t="s">
        <v>42</v>
      </c>
      <c r="P159" s="34"/>
      <c r="Q159" s="13" t="s">
        <v>44</v>
      </c>
      <c r="R159" s="13" t="s">
        <v>46</v>
      </c>
      <c r="S159" s="37"/>
      <c r="T159" s="37"/>
      <c r="U159" s="26"/>
      <c r="V159" s="37">
        <v>5.0</v>
      </c>
    </row>
    <row r="160">
      <c r="A160" s="13">
        <v>159.0</v>
      </c>
      <c r="B160" s="15">
        <v>46093.0</v>
      </c>
      <c r="C160" s="13" t="s">
        <v>47</v>
      </c>
      <c r="D160" s="13" t="s">
        <v>367</v>
      </c>
      <c r="E160" s="13" t="s">
        <v>1514</v>
      </c>
      <c r="F160" s="13">
        <v>5.39478882E8</v>
      </c>
      <c r="G160" s="20" t="s">
        <v>28</v>
      </c>
      <c r="H160" s="13" t="s">
        <v>548</v>
      </c>
      <c r="I160" s="20" t="s">
        <v>1516</v>
      </c>
      <c r="J160" s="20" t="s">
        <v>1517</v>
      </c>
      <c r="K160" s="13" t="s">
        <v>148</v>
      </c>
      <c r="L160" s="26"/>
      <c r="M160" s="27" t="s">
        <v>55</v>
      </c>
      <c r="N160" s="13" t="s">
        <v>40</v>
      </c>
      <c r="O160" s="13" t="s">
        <v>42</v>
      </c>
      <c r="P160" s="34"/>
      <c r="Q160" s="13" t="s">
        <v>44</v>
      </c>
      <c r="R160" s="13" t="s">
        <v>46</v>
      </c>
      <c r="S160" s="37"/>
      <c r="T160" s="37"/>
      <c r="U160" s="26"/>
      <c r="V160" s="37">
        <v>5.0</v>
      </c>
    </row>
    <row r="161">
      <c r="A161" s="13">
        <v>160.0</v>
      </c>
      <c r="B161" s="15">
        <v>46093.0</v>
      </c>
      <c r="C161" s="13" t="s">
        <v>47</v>
      </c>
      <c r="D161" s="13" t="s">
        <v>92</v>
      </c>
      <c r="E161" s="13" t="s">
        <v>1521</v>
      </c>
      <c r="F161" s="13">
        <v>5.69797807E8</v>
      </c>
      <c r="G161" s="20" t="s">
        <v>41</v>
      </c>
      <c r="H161" s="13" t="s">
        <v>94</v>
      </c>
      <c r="I161" s="20" t="s">
        <v>1522</v>
      </c>
      <c r="J161" s="20" t="s">
        <v>35</v>
      </c>
      <c r="K161" s="13" t="s">
        <v>148</v>
      </c>
      <c r="L161" s="26"/>
      <c r="M161" s="27" t="s">
        <v>55</v>
      </c>
      <c r="N161" s="13" t="s">
        <v>40</v>
      </c>
      <c r="O161" s="13" t="s">
        <v>42</v>
      </c>
      <c r="P161" s="34"/>
      <c r="Q161" s="13" t="s">
        <v>44</v>
      </c>
      <c r="R161" s="13" t="s">
        <v>46</v>
      </c>
      <c r="S161" s="37"/>
      <c r="T161" s="37"/>
      <c r="U161" s="26"/>
      <c r="V161" s="37">
        <v>5.0</v>
      </c>
    </row>
    <row r="162">
      <c r="A162" s="13">
        <v>161.0</v>
      </c>
      <c r="B162" s="15">
        <v>46093.0</v>
      </c>
      <c r="C162" s="13" t="s">
        <v>47</v>
      </c>
      <c r="D162" s="13" t="s">
        <v>138</v>
      </c>
      <c r="E162" s="13" t="s">
        <v>1528</v>
      </c>
      <c r="F162" s="13">
        <v>5.37166582E8</v>
      </c>
      <c r="G162" s="20" t="s">
        <v>41</v>
      </c>
      <c r="H162" s="13" t="s">
        <v>638</v>
      </c>
      <c r="I162" s="20" t="s">
        <v>1531</v>
      </c>
      <c r="J162" s="20" t="s">
        <v>1533</v>
      </c>
      <c r="K162" s="13" t="s">
        <v>148</v>
      </c>
      <c r="L162" s="26"/>
      <c r="M162" s="27" t="s">
        <v>713</v>
      </c>
      <c r="N162" s="13" t="s">
        <v>56</v>
      </c>
      <c r="O162" s="13" t="s">
        <v>42</v>
      </c>
      <c r="P162" s="34"/>
      <c r="Q162" s="13" t="s">
        <v>44</v>
      </c>
      <c r="R162" s="13" t="s">
        <v>46</v>
      </c>
      <c r="S162" s="37"/>
      <c r="T162" s="37"/>
      <c r="U162" s="26"/>
      <c r="V162" s="37">
        <v>5.0</v>
      </c>
    </row>
    <row r="163" hidden="1">
      <c r="A163" s="13">
        <v>162.0</v>
      </c>
      <c r="B163" s="15">
        <v>46096.0</v>
      </c>
      <c r="C163" s="13" t="s">
        <v>21</v>
      </c>
      <c r="D163" s="13" t="s">
        <v>24</v>
      </c>
      <c r="E163" s="20" t="s">
        <v>1539</v>
      </c>
      <c r="F163" s="13">
        <v>5.97275305E8</v>
      </c>
      <c r="G163" s="20" t="s">
        <v>152</v>
      </c>
      <c r="H163" s="13" t="s">
        <v>27</v>
      </c>
      <c r="I163" s="20" t="s">
        <v>1542</v>
      </c>
      <c r="J163" s="20" t="s">
        <v>35</v>
      </c>
      <c r="K163" s="13" t="s">
        <v>65</v>
      </c>
      <c r="L163" s="26"/>
      <c r="M163" s="27" t="s">
        <v>38</v>
      </c>
      <c r="N163" s="13" t="s">
        <v>40</v>
      </c>
      <c r="O163" s="13" t="s">
        <v>42</v>
      </c>
      <c r="P163" s="34"/>
      <c r="Q163" s="13" t="s">
        <v>44</v>
      </c>
      <c r="R163" s="13" t="s">
        <v>46</v>
      </c>
      <c r="S163" s="37"/>
      <c r="T163" s="37"/>
      <c r="U163" s="26"/>
      <c r="V163" s="37">
        <v>5.0</v>
      </c>
    </row>
    <row r="164">
      <c r="A164" s="13">
        <v>163.0</v>
      </c>
      <c r="B164" s="15">
        <v>46096.0</v>
      </c>
      <c r="C164" s="13" t="s">
        <v>47</v>
      </c>
      <c r="D164" s="13" t="s">
        <v>48</v>
      </c>
      <c r="E164" s="20" t="s">
        <v>1547</v>
      </c>
      <c r="F164" s="13">
        <v>5.66639981E8</v>
      </c>
      <c r="G164" s="20" t="s">
        <v>41</v>
      </c>
      <c r="H164" s="13" t="s">
        <v>914</v>
      </c>
      <c r="I164" s="20" t="s">
        <v>1550</v>
      </c>
      <c r="J164" s="45" t="s">
        <v>1551</v>
      </c>
      <c r="K164" s="13" t="s">
        <v>65</v>
      </c>
      <c r="L164" s="26"/>
      <c r="M164" s="27" t="s">
        <v>55</v>
      </c>
      <c r="N164" s="13" t="s">
        <v>56</v>
      </c>
      <c r="O164" s="13" t="s">
        <v>42</v>
      </c>
      <c r="P164" s="34"/>
      <c r="Q164" s="13" t="s">
        <v>44</v>
      </c>
      <c r="R164" s="13" t="s">
        <v>46</v>
      </c>
      <c r="S164" s="37"/>
      <c r="T164" s="37"/>
      <c r="U164" s="26"/>
      <c r="V164" s="37">
        <v>5.0</v>
      </c>
    </row>
    <row r="165" hidden="1">
      <c r="A165" s="13">
        <v>164.0</v>
      </c>
      <c r="B165" s="15">
        <v>46096.0</v>
      </c>
      <c r="C165" s="13" t="s">
        <v>58</v>
      </c>
      <c r="D165" s="13" t="s">
        <v>60</v>
      </c>
      <c r="E165" s="13" t="s">
        <v>27</v>
      </c>
      <c r="F165" s="13">
        <v>5.32303389E8</v>
      </c>
      <c r="G165" s="13" t="s">
        <v>27</v>
      </c>
      <c r="H165" s="13" t="s">
        <v>27</v>
      </c>
      <c r="I165" s="20" t="s">
        <v>1397</v>
      </c>
      <c r="J165" s="20" t="s">
        <v>64</v>
      </c>
      <c r="K165" s="13" t="s">
        <v>65</v>
      </c>
      <c r="L165" s="26"/>
      <c r="M165" s="27" t="s">
        <v>88</v>
      </c>
      <c r="N165" s="13" t="s">
        <v>56</v>
      </c>
      <c r="O165" s="13" t="s">
        <v>42</v>
      </c>
      <c r="P165" s="34"/>
      <c r="Q165" s="13" t="s">
        <v>44</v>
      </c>
      <c r="R165" s="13" t="s">
        <v>68</v>
      </c>
      <c r="S165" s="37"/>
      <c r="T165" s="37"/>
      <c r="U165" s="26"/>
      <c r="V165" s="37">
        <v>5.0</v>
      </c>
    </row>
    <row r="166" hidden="1">
      <c r="A166" s="13">
        <v>165.0</v>
      </c>
      <c r="B166" s="15">
        <v>46096.0</v>
      </c>
      <c r="C166" s="13" t="s">
        <v>58</v>
      </c>
      <c r="D166" s="13" t="s">
        <v>60</v>
      </c>
      <c r="E166" s="13" t="s">
        <v>27</v>
      </c>
      <c r="F166" s="13">
        <v>5.53916039E8</v>
      </c>
      <c r="G166" s="13" t="s">
        <v>27</v>
      </c>
      <c r="H166" s="13" t="s">
        <v>27</v>
      </c>
      <c r="I166" s="20" t="s">
        <v>1565</v>
      </c>
      <c r="J166" s="20" t="s">
        <v>500</v>
      </c>
      <c r="K166" s="13" t="s">
        <v>65</v>
      </c>
      <c r="L166" s="26"/>
      <c r="M166" s="27" t="s">
        <v>88</v>
      </c>
      <c r="N166" s="13" t="s">
        <v>56</v>
      </c>
      <c r="O166" s="13" t="s">
        <v>42</v>
      </c>
      <c r="P166" s="34"/>
      <c r="Q166" s="13" t="s">
        <v>44</v>
      </c>
      <c r="R166" s="13" t="s">
        <v>68</v>
      </c>
      <c r="S166" s="37"/>
      <c r="T166" s="37"/>
      <c r="U166" s="26"/>
      <c r="V166" s="37">
        <v>5.0</v>
      </c>
    </row>
    <row r="167" hidden="1">
      <c r="A167" s="13">
        <v>166.0</v>
      </c>
      <c r="B167" s="15">
        <v>46096.0</v>
      </c>
      <c r="C167" s="13" t="s">
        <v>21</v>
      </c>
      <c r="D167" s="13" t="s">
        <v>24</v>
      </c>
      <c r="E167" s="20" t="s">
        <v>494</v>
      </c>
      <c r="F167" s="13">
        <v>1.12603864E8</v>
      </c>
      <c r="G167" s="20" t="s">
        <v>41</v>
      </c>
      <c r="H167" s="13" t="s">
        <v>27</v>
      </c>
      <c r="I167" s="20" t="s">
        <v>1575</v>
      </c>
      <c r="J167" s="20" t="s">
        <v>35</v>
      </c>
      <c r="K167" s="13" t="s">
        <v>65</v>
      </c>
      <c r="L167" s="26"/>
      <c r="M167" s="27" t="s">
        <v>38</v>
      </c>
      <c r="N167" s="13" t="s">
        <v>40</v>
      </c>
      <c r="O167" s="13" t="s">
        <v>42</v>
      </c>
      <c r="P167" s="34"/>
      <c r="Q167" s="13" t="s">
        <v>44</v>
      </c>
      <c r="R167" s="13" t="s">
        <v>46</v>
      </c>
      <c r="S167" s="37"/>
      <c r="T167" s="37"/>
      <c r="U167" s="26"/>
      <c r="V167" s="37">
        <v>5.0</v>
      </c>
    </row>
    <row r="168" hidden="1">
      <c r="A168" s="13">
        <v>167.0</v>
      </c>
      <c r="B168" s="15">
        <v>46096.0</v>
      </c>
      <c r="C168" s="13" t="s">
        <v>58</v>
      </c>
      <c r="D168" s="13" t="s">
        <v>60</v>
      </c>
      <c r="E168" s="13" t="s">
        <v>27</v>
      </c>
      <c r="F168" s="13">
        <v>5.99941341E8</v>
      </c>
      <c r="G168" s="13" t="s">
        <v>27</v>
      </c>
      <c r="H168" s="13" t="s">
        <v>27</v>
      </c>
      <c r="I168" s="20" t="s">
        <v>233</v>
      </c>
      <c r="J168" s="20" t="s">
        <v>500</v>
      </c>
      <c r="K168" s="13" t="s">
        <v>65</v>
      </c>
      <c r="L168" s="26"/>
      <c r="M168" s="27" t="s">
        <v>88</v>
      </c>
      <c r="N168" s="13" t="s">
        <v>56</v>
      </c>
      <c r="O168" s="13" t="s">
        <v>42</v>
      </c>
      <c r="P168" s="34"/>
      <c r="Q168" s="13" t="s">
        <v>44</v>
      </c>
      <c r="R168" s="13" t="s">
        <v>68</v>
      </c>
      <c r="S168" s="37"/>
      <c r="T168" s="37"/>
      <c r="U168" s="26"/>
      <c r="V168" s="37">
        <v>5.0</v>
      </c>
    </row>
    <row r="169" hidden="1">
      <c r="A169" s="13">
        <v>168.0</v>
      </c>
      <c r="B169" s="15">
        <v>46096.0</v>
      </c>
      <c r="C169" s="13" t="s">
        <v>58</v>
      </c>
      <c r="D169" s="13" t="s">
        <v>60</v>
      </c>
      <c r="E169" s="13" t="s">
        <v>27</v>
      </c>
      <c r="F169" s="13">
        <v>5.67083872E8</v>
      </c>
      <c r="G169" s="13" t="s">
        <v>27</v>
      </c>
      <c r="H169" s="13" t="s">
        <v>27</v>
      </c>
      <c r="I169" s="20" t="s">
        <v>1589</v>
      </c>
      <c r="J169" s="20" t="s">
        <v>500</v>
      </c>
      <c r="K169" s="13" t="s">
        <v>65</v>
      </c>
      <c r="L169" s="26"/>
      <c r="M169" s="27" t="s">
        <v>88</v>
      </c>
      <c r="N169" s="13" t="s">
        <v>56</v>
      </c>
      <c r="O169" s="13" t="s">
        <v>42</v>
      </c>
      <c r="P169" s="34"/>
      <c r="Q169" s="13" t="s">
        <v>44</v>
      </c>
      <c r="R169" s="13" t="s">
        <v>68</v>
      </c>
      <c r="S169" s="37"/>
      <c r="T169" s="37"/>
      <c r="U169" s="26"/>
      <c r="V169" s="37">
        <v>5.0</v>
      </c>
    </row>
    <row r="170" hidden="1">
      <c r="A170" s="13">
        <v>169.0</v>
      </c>
      <c r="B170" s="15">
        <v>46096.0</v>
      </c>
      <c r="C170" s="13" t="s">
        <v>58</v>
      </c>
      <c r="D170" s="13" t="s">
        <v>60</v>
      </c>
      <c r="E170" s="13" t="s">
        <v>27</v>
      </c>
      <c r="F170" s="13">
        <v>5.35174665E8</v>
      </c>
      <c r="G170" s="13" t="s">
        <v>27</v>
      </c>
      <c r="H170" s="13" t="s">
        <v>27</v>
      </c>
      <c r="I170" s="20" t="s">
        <v>1397</v>
      </c>
      <c r="J170" s="20" t="s">
        <v>64</v>
      </c>
      <c r="K170" s="13" t="s">
        <v>65</v>
      </c>
      <c r="L170" s="26"/>
      <c r="M170" s="27" t="s">
        <v>88</v>
      </c>
      <c r="N170" s="13" t="s">
        <v>56</v>
      </c>
      <c r="O170" s="13" t="s">
        <v>42</v>
      </c>
      <c r="P170" s="34"/>
      <c r="Q170" s="13" t="s">
        <v>44</v>
      </c>
      <c r="R170" s="13" t="s">
        <v>68</v>
      </c>
      <c r="S170" s="37"/>
      <c r="T170" s="37"/>
      <c r="U170" s="26"/>
      <c r="V170" s="37">
        <v>5.0</v>
      </c>
    </row>
    <row r="171" hidden="1">
      <c r="A171" s="13">
        <v>170.0</v>
      </c>
      <c r="B171" s="15">
        <v>46096.0</v>
      </c>
      <c r="C171" s="13" t="s">
        <v>58</v>
      </c>
      <c r="D171" s="13" t="s">
        <v>60</v>
      </c>
      <c r="E171" s="13" t="s">
        <v>27</v>
      </c>
      <c r="F171" s="13">
        <v>5.32712537E8</v>
      </c>
      <c r="G171" s="13" t="s">
        <v>27</v>
      </c>
      <c r="H171" s="13" t="s">
        <v>27</v>
      </c>
      <c r="I171" s="20" t="s">
        <v>1607</v>
      </c>
      <c r="J171" s="20" t="s">
        <v>1207</v>
      </c>
      <c r="K171" s="13" t="s">
        <v>65</v>
      </c>
      <c r="L171" s="26"/>
      <c r="M171" s="27" t="s">
        <v>88</v>
      </c>
      <c r="N171" s="13" t="s">
        <v>56</v>
      </c>
      <c r="O171" s="13" t="s">
        <v>42</v>
      </c>
      <c r="P171" s="34"/>
      <c r="Q171" s="13" t="s">
        <v>44</v>
      </c>
      <c r="R171" s="13" t="s">
        <v>68</v>
      </c>
      <c r="S171" s="37"/>
      <c r="T171" s="37"/>
      <c r="U171" s="26"/>
      <c r="V171" s="37">
        <v>5.0</v>
      </c>
    </row>
    <row r="172" hidden="1">
      <c r="A172" s="13">
        <v>171.0</v>
      </c>
      <c r="B172" s="15">
        <v>46096.0</v>
      </c>
      <c r="C172" s="13" t="s">
        <v>58</v>
      </c>
      <c r="D172" s="13" t="s">
        <v>60</v>
      </c>
      <c r="E172" s="13" t="s">
        <v>27</v>
      </c>
      <c r="F172" s="13">
        <v>5.59473792E8</v>
      </c>
      <c r="G172" s="13" t="s">
        <v>27</v>
      </c>
      <c r="H172" s="13" t="s">
        <v>27</v>
      </c>
      <c r="I172" s="20" t="s">
        <v>1615</v>
      </c>
      <c r="J172" s="20" t="s">
        <v>500</v>
      </c>
      <c r="K172" s="13" t="s">
        <v>65</v>
      </c>
      <c r="L172" s="26"/>
      <c r="M172" s="27" t="s">
        <v>88</v>
      </c>
      <c r="N172" s="13" t="s">
        <v>56</v>
      </c>
      <c r="O172" s="13" t="s">
        <v>42</v>
      </c>
      <c r="P172" s="34"/>
      <c r="Q172" s="13" t="s">
        <v>44</v>
      </c>
      <c r="R172" s="13" t="s">
        <v>68</v>
      </c>
      <c r="S172" s="37"/>
      <c r="T172" s="37"/>
      <c r="U172" s="26"/>
      <c r="V172" s="37">
        <v>5.0</v>
      </c>
    </row>
    <row r="173" hidden="1">
      <c r="A173" s="13">
        <v>172.0</v>
      </c>
      <c r="B173" s="15">
        <v>46096.0</v>
      </c>
      <c r="C173" s="13" t="s">
        <v>58</v>
      </c>
      <c r="D173" s="13" t="s">
        <v>60</v>
      </c>
      <c r="E173" s="13" t="s">
        <v>27</v>
      </c>
      <c r="F173" s="13">
        <v>5.44260869E8</v>
      </c>
      <c r="G173" s="13" t="s">
        <v>27</v>
      </c>
      <c r="H173" s="13" t="s">
        <v>27</v>
      </c>
      <c r="I173" s="20" t="s">
        <v>1620</v>
      </c>
      <c r="J173" s="20" t="s">
        <v>1207</v>
      </c>
      <c r="K173" s="13" t="s">
        <v>65</v>
      </c>
      <c r="L173" s="26"/>
      <c r="M173" s="27" t="s">
        <v>88</v>
      </c>
      <c r="N173" s="13" t="s">
        <v>56</v>
      </c>
      <c r="O173" s="13" t="s">
        <v>42</v>
      </c>
      <c r="P173" s="34"/>
      <c r="Q173" s="13" t="s">
        <v>44</v>
      </c>
      <c r="R173" s="13" t="s">
        <v>68</v>
      </c>
      <c r="S173" s="37"/>
      <c r="T173" s="37"/>
      <c r="U173" s="26"/>
      <c r="V173" s="37">
        <v>5.0</v>
      </c>
    </row>
    <row r="174" hidden="1">
      <c r="A174" s="13">
        <v>173.0</v>
      </c>
      <c r="B174" s="15">
        <v>46096.0</v>
      </c>
      <c r="C174" s="13" t="s">
        <v>58</v>
      </c>
      <c r="D174" s="13" t="s">
        <v>60</v>
      </c>
      <c r="E174" s="13" t="s">
        <v>27</v>
      </c>
      <c r="F174" s="13">
        <v>5.38980305E8</v>
      </c>
      <c r="G174" s="13" t="s">
        <v>27</v>
      </c>
      <c r="H174" s="13" t="s">
        <v>27</v>
      </c>
      <c r="I174" s="20" t="s">
        <v>1397</v>
      </c>
      <c r="J174" s="20" t="s">
        <v>64</v>
      </c>
      <c r="K174" s="13" t="s">
        <v>65</v>
      </c>
      <c r="L174" s="26"/>
      <c r="M174" s="27" t="s">
        <v>88</v>
      </c>
      <c r="N174" s="13" t="s">
        <v>56</v>
      </c>
      <c r="O174" s="13" t="s">
        <v>42</v>
      </c>
      <c r="P174" s="34"/>
      <c r="Q174" s="13" t="s">
        <v>44</v>
      </c>
      <c r="R174" s="13" t="s">
        <v>68</v>
      </c>
      <c r="S174" s="37"/>
      <c r="T174" s="37"/>
      <c r="U174" s="26"/>
      <c r="V174" s="37">
        <v>5.0</v>
      </c>
    </row>
    <row r="175" hidden="1">
      <c r="A175" s="13">
        <v>174.0</v>
      </c>
      <c r="B175" s="15">
        <v>46096.0</v>
      </c>
      <c r="C175" s="13" t="s">
        <v>58</v>
      </c>
      <c r="D175" s="13" t="s">
        <v>60</v>
      </c>
      <c r="E175" s="13" t="s">
        <v>27</v>
      </c>
      <c r="F175" s="13">
        <v>5.51985914E8</v>
      </c>
      <c r="G175" s="13" t="s">
        <v>27</v>
      </c>
      <c r="H175" s="13" t="s">
        <v>27</v>
      </c>
      <c r="I175" s="20" t="s">
        <v>1620</v>
      </c>
      <c r="J175" s="20" t="s">
        <v>1207</v>
      </c>
      <c r="K175" s="13" t="s">
        <v>65</v>
      </c>
      <c r="L175" s="27"/>
      <c r="M175" s="27" t="s">
        <v>101</v>
      </c>
      <c r="N175" s="13" t="s">
        <v>56</v>
      </c>
      <c r="O175" s="13" t="s">
        <v>42</v>
      </c>
      <c r="P175" s="34"/>
      <c r="Q175" s="13" t="s">
        <v>44</v>
      </c>
      <c r="R175" s="13" t="s">
        <v>68</v>
      </c>
      <c r="S175" s="37"/>
      <c r="T175" s="37"/>
      <c r="U175" s="26"/>
      <c r="V175" s="37">
        <v>5.0</v>
      </c>
    </row>
    <row r="176" hidden="1">
      <c r="A176" s="13">
        <v>175.0</v>
      </c>
      <c r="B176" s="15">
        <v>46096.0</v>
      </c>
      <c r="C176" s="13" t="s">
        <v>58</v>
      </c>
      <c r="D176" s="13" t="s">
        <v>60</v>
      </c>
      <c r="E176" s="13" t="s">
        <v>27</v>
      </c>
      <c r="F176" s="13">
        <v>5.659609E8</v>
      </c>
      <c r="G176" s="13" t="s">
        <v>27</v>
      </c>
      <c r="H176" s="13" t="s">
        <v>27</v>
      </c>
      <c r="I176" s="20" t="s">
        <v>1397</v>
      </c>
      <c r="J176" s="20" t="s">
        <v>64</v>
      </c>
      <c r="K176" s="13" t="s">
        <v>65</v>
      </c>
      <c r="L176" s="27"/>
      <c r="M176" s="27" t="s">
        <v>1640</v>
      </c>
      <c r="N176" s="13" t="s">
        <v>56</v>
      </c>
      <c r="O176" s="13" t="s">
        <v>42</v>
      </c>
      <c r="P176" s="34"/>
      <c r="Q176" s="13" t="s">
        <v>44</v>
      </c>
      <c r="R176" s="13" t="s">
        <v>68</v>
      </c>
      <c r="S176" s="37"/>
      <c r="T176" s="37"/>
      <c r="U176" s="26"/>
      <c r="V176" s="37">
        <v>5.0</v>
      </c>
    </row>
    <row r="177" hidden="1">
      <c r="A177" s="13">
        <v>176.0</v>
      </c>
      <c r="B177" s="15">
        <v>46096.0</v>
      </c>
      <c r="C177" s="13" t="s">
        <v>21</v>
      </c>
      <c r="D177" s="13" t="s">
        <v>22</v>
      </c>
      <c r="E177" s="20" t="s">
        <v>1642</v>
      </c>
      <c r="F177" s="13">
        <v>5.00548696E8</v>
      </c>
      <c r="G177" s="20" t="s">
        <v>79</v>
      </c>
      <c r="H177" s="13" t="s">
        <v>27</v>
      </c>
      <c r="I177" s="20" t="s">
        <v>1645</v>
      </c>
      <c r="J177" s="20" t="s">
        <v>35</v>
      </c>
      <c r="K177" s="13" t="s">
        <v>36</v>
      </c>
      <c r="L177" s="27"/>
      <c r="M177" s="27" t="s">
        <v>150</v>
      </c>
      <c r="N177" s="13" t="s">
        <v>40</v>
      </c>
      <c r="O177" s="13" t="s">
        <v>42</v>
      </c>
      <c r="P177" s="34"/>
      <c r="Q177" s="13" t="s">
        <v>44</v>
      </c>
      <c r="R177" s="13" t="s">
        <v>46</v>
      </c>
      <c r="S177" s="37"/>
      <c r="T177" s="37"/>
      <c r="U177" s="26"/>
      <c r="V177" s="37">
        <v>5.0</v>
      </c>
    </row>
    <row r="178" hidden="1">
      <c r="A178" s="13">
        <v>177.0</v>
      </c>
      <c r="B178" s="15">
        <v>46096.0</v>
      </c>
      <c r="C178" s="13" t="s">
        <v>58</v>
      </c>
      <c r="D178" s="13" t="s">
        <v>60</v>
      </c>
      <c r="E178" s="20" t="s">
        <v>1654</v>
      </c>
      <c r="F178" s="13">
        <v>5.65662884E8</v>
      </c>
      <c r="G178" s="13" t="s">
        <v>27</v>
      </c>
      <c r="H178" s="13" t="s">
        <v>27</v>
      </c>
      <c r="I178" s="20" t="s">
        <v>1655</v>
      </c>
      <c r="J178" s="20" t="s">
        <v>35</v>
      </c>
      <c r="K178" s="13" t="s">
        <v>39</v>
      </c>
      <c r="L178" s="27"/>
      <c r="M178" s="27" t="s">
        <v>795</v>
      </c>
      <c r="N178" s="13" t="s">
        <v>56</v>
      </c>
      <c r="O178" s="13" t="s">
        <v>42</v>
      </c>
      <c r="P178" s="34"/>
      <c r="Q178" s="13" t="s">
        <v>49</v>
      </c>
      <c r="R178" s="13" t="s">
        <v>68</v>
      </c>
      <c r="S178" s="37"/>
      <c r="T178" s="37"/>
      <c r="U178" s="26"/>
      <c r="V178" s="37">
        <v>5.0</v>
      </c>
    </row>
    <row r="179" hidden="1">
      <c r="A179" s="13">
        <v>178.0</v>
      </c>
      <c r="B179" s="15">
        <v>46096.0</v>
      </c>
      <c r="C179" s="13" t="s">
        <v>21</v>
      </c>
      <c r="D179" s="13" t="s">
        <v>22</v>
      </c>
      <c r="E179" s="20" t="s">
        <v>1662</v>
      </c>
      <c r="F179" s="13">
        <v>5.55372699E8</v>
      </c>
      <c r="G179" s="13" t="s">
        <v>27</v>
      </c>
      <c r="H179" s="13" t="s">
        <v>27</v>
      </c>
      <c r="I179" s="20" t="s">
        <v>1666</v>
      </c>
      <c r="J179" s="20" t="s">
        <v>35</v>
      </c>
      <c r="K179" s="13" t="s">
        <v>321</v>
      </c>
      <c r="L179" s="27"/>
      <c r="M179" s="27" t="s">
        <v>150</v>
      </c>
      <c r="N179" s="13" t="s">
        <v>40</v>
      </c>
      <c r="O179" s="13" t="s">
        <v>42</v>
      </c>
      <c r="P179" s="34"/>
      <c r="Q179" s="13" t="s">
        <v>49</v>
      </c>
      <c r="R179" s="13" t="s">
        <v>46</v>
      </c>
      <c r="S179" s="37"/>
      <c r="T179" s="37"/>
      <c r="U179" s="26"/>
      <c r="V179" s="37">
        <v>5.0</v>
      </c>
    </row>
    <row r="180" hidden="1">
      <c r="A180" s="13">
        <v>179.0</v>
      </c>
      <c r="B180" s="15">
        <v>46096.0</v>
      </c>
      <c r="C180" s="13" t="s">
        <v>21</v>
      </c>
      <c r="D180" s="13" t="s">
        <v>34</v>
      </c>
      <c r="E180" s="13" t="s">
        <v>27</v>
      </c>
      <c r="F180" s="13">
        <v>5.41667827E8</v>
      </c>
      <c r="G180" s="13" t="s">
        <v>27</v>
      </c>
      <c r="H180" s="13" t="s">
        <v>27</v>
      </c>
      <c r="I180" s="13" t="s">
        <v>1678</v>
      </c>
      <c r="J180" s="20" t="s">
        <v>35</v>
      </c>
      <c r="K180" s="13" t="s">
        <v>39</v>
      </c>
      <c r="L180" s="27"/>
      <c r="M180" s="27" t="s">
        <v>101</v>
      </c>
      <c r="N180" s="13" t="s">
        <v>40</v>
      </c>
      <c r="O180" s="13" t="s">
        <v>42</v>
      </c>
      <c r="P180" s="34"/>
      <c r="Q180" s="13" t="s">
        <v>49</v>
      </c>
      <c r="R180" s="13" t="s">
        <v>68</v>
      </c>
      <c r="S180" s="37"/>
      <c r="T180" s="37"/>
      <c r="U180" s="26"/>
      <c r="V180" s="37">
        <v>5.0</v>
      </c>
    </row>
    <row r="181" ht="51.0" customHeight="1">
      <c r="A181" s="13">
        <v>180.0</v>
      </c>
      <c r="B181" s="15">
        <v>46096.0</v>
      </c>
      <c r="C181" s="13" t="s">
        <v>47</v>
      </c>
      <c r="D181" s="13" t="s">
        <v>48</v>
      </c>
      <c r="E181" s="13" t="s">
        <v>1682</v>
      </c>
      <c r="F181" s="13" t="s">
        <v>27</v>
      </c>
      <c r="G181" s="20" t="s">
        <v>41</v>
      </c>
      <c r="H181" s="13" t="s">
        <v>146</v>
      </c>
      <c r="I181" s="13" t="s">
        <v>1686</v>
      </c>
      <c r="J181" s="20" t="s">
        <v>1688</v>
      </c>
      <c r="K181" s="13" t="s">
        <v>78</v>
      </c>
      <c r="L181" s="27"/>
      <c r="M181" s="27" t="s">
        <v>602</v>
      </c>
      <c r="N181" s="13" t="s">
        <v>56</v>
      </c>
      <c r="O181" s="13" t="s">
        <v>42</v>
      </c>
      <c r="P181" s="34"/>
      <c r="Q181" s="13" t="s">
        <v>49</v>
      </c>
      <c r="R181" s="13" t="s">
        <v>46</v>
      </c>
      <c r="S181" s="37"/>
      <c r="T181" s="37"/>
      <c r="U181" s="26"/>
      <c r="V181" s="37">
        <v>5.0</v>
      </c>
    </row>
    <row r="182" ht="50.25" customHeight="1">
      <c r="A182" s="13">
        <v>181.0</v>
      </c>
      <c r="B182" s="15">
        <v>46096.0</v>
      </c>
      <c r="C182" s="13" t="s">
        <v>47</v>
      </c>
      <c r="D182" s="13" t="s">
        <v>138</v>
      </c>
      <c r="E182" s="13" t="s">
        <v>1695</v>
      </c>
      <c r="F182" s="13" t="s">
        <v>27</v>
      </c>
      <c r="G182" s="20" t="s">
        <v>41</v>
      </c>
      <c r="H182" s="13" t="s">
        <v>146</v>
      </c>
      <c r="I182" s="13" t="s">
        <v>1696</v>
      </c>
      <c r="J182" s="20" t="s">
        <v>1699</v>
      </c>
      <c r="K182" s="13" t="s">
        <v>78</v>
      </c>
      <c r="L182" s="27"/>
      <c r="M182" s="27" t="s">
        <v>150</v>
      </c>
      <c r="N182" s="13" t="s">
        <v>56</v>
      </c>
      <c r="O182" s="13" t="s">
        <v>42</v>
      </c>
      <c r="P182" s="34"/>
      <c r="Q182" s="13" t="s">
        <v>49</v>
      </c>
      <c r="R182" s="13" t="s">
        <v>46</v>
      </c>
      <c r="S182" s="37"/>
      <c r="T182" s="37"/>
      <c r="U182" s="26"/>
      <c r="V182" s="37">
        <v>5.0</v>
      </c>
    </row>
    <row r="183" hidden="1">
      <c r="A183" s="13">
        <v>182.0</v>
      </c>
      <c r="B183" s="15">
        <v>46097.0</v>
      </c>
      <c r="C183" s="13" t="s">
        <v>58</v>
      </c>
      <c r="D183" s="13" t="s">
        <v>60</v>
      </c>
      <c r="E183" s="13" t="s">
        <v>27</v>
      </c>
      <c r="F183" s="13">
        <v>5.08509762E8</v>
      </c>
      <c r="G183" s="13" t="s">
        <v>27</v>
      </c>
      <c r="H183" s="13" t="s">
        <v>27</v>
      </c>
      <c r="I183" s="20" t="s">
        <v>1715</v>
      </c>
      <c r="J183" s="20" t="s">
        <v>500</v>
      </c>
      <c r="K183" s="13" t="s">
        <v>65</v>
      </c>
      <c r="L183" s="27"/>
      <c r="M183" s="27" t="s">
        <v>150</v>
      </c>
      <c r="N183" s="13" t="s">
        <v>56</v>
      </c>
      <c r="O183" s="13" t="s">
        <v>42</v>
      </c>
      <c r="P183" s="34"/>
      <c r="Q183" s="13" t="s">
        <v>44</v>
      </c>
      <c r="R183" s="13" t="s">
        <v>68</v>
      </c>
      <c r="S183" s="37"/>
      <c r="T183" s="37"/>
      <c r="U183" s="26"/>
      <c r="V183" s="37">
        <v>5.0</v>
      </c>
    </row>
    <row r="184">
      <c r="A184" s="13">
        <v>183.0</v>
      </c>
      <c r="B184" s="15">
        <v>46097.0</v>
      </c>
      <c r="C184" s="13" t="s">
        <v>47</v>
      </c>
      <c r="D184" s="13" t="s">
        <v>138</v>
      </c>
      <c r="E184" s="20" t="s">
        <v>1721</v>
      </c>
      <c r="F184" s="13">
        <v>5.43221888E8</v>
      </c>
      <c r="G184" s="20" t="s">
        <v>41</v>
      </c>
      <c r="H184" s="13" t="s">
        <v>329</v>
      </c>
      <c r="I184" s="20" t="s">
        <v>1725</v>
      </c>
      <c r="J184" s="20" t="s">
        <v>1728</v>
      </c>
      <c r="K184" s="13" t="s">
        <v>148</v>
      </c>
      <c r="L184" s="27"/>
      <c r="M184" s="27" t="s">
        <v>323</v>
      </c>
      <c r="N184" s="13" t="s">
        <v>56</v>
      </c>
      <c r="O184" s="13" t="s">
        <v>42</v>
      </c>
      <c r="P184" s="34"/>
      <c r="Q184" s="13" t="s">
        <v>44</v>
      </c>
      <c r="R184" s="13" t="s">
        <v>46</v>
      </c>
      <c r="S184" s="37"/>
      <c r="T184" s="37"/>
      <c r="U184" s="26"/>
      <c r="V184" s="37">
        <v>5.0</v>
      </c>
    </row>
    <row r="185">
      <c r="A185" s="13">
        <v>184.0</v>
      </c>
      <c r="B185" s="15">
        <v>46097.0</v>
      </c>
      <c r="C185" s="13" t="s">
        <v>47</v>
      </c>
      <c r="D185" s="13" t="s">
        <v>138</v>
      </c>
      <c r="E185" s="20" t="s">
        <v>1112</v>
      </c>
      <c r="F185" s="13">
        <v>5.33045569E8</v>
      </c>
      <c r="G185" s="20" t="s">
        <v>41</v>
      </c>
      <c r="H185" s="13" t="s">
        <v>705</v>
      </c>
      <c r="I185" s="20" t="s">
        <v>1734</v>
      </c>
      <c r="J185" s="20" t="s">
        <v>1735</v>
      </c>
      <c r="K185" s="13" t="s">
        <v>148</v>
      </c>
      <c r="L185" s="27"/>
      <c r="M185" s="27" t="s">
        <v>323</v>
      </c>
      <c r="N185" s="13" t="s">
        <v>56</v>
      </c>
      <c r="O185" s="13" t="s">
        <v>42</v>
      </c>
      <c r="P185" s="34"/>
      <c r="Q185" s="13" t="s">
        <v>44</v>
      </c>
      <c r="R185" s="13" t="s">
        <v>46</v>
      </c>
      <c r="S185" s="37"/>
      <c r="T185" s="37"/>
      <c r="U185" s="26"/>
      <c r="V185" s="37">
        <v>5.0</v>
      </c>
    </row>
    <row r="186">
      <c r="A186" s="13">
        <v>185.0</v>
      </c>
      <c r="B186" s="15">
        <v>46097.0</v>
      </c>
      <c r="C186" s="13" t="s">
        <v>47</v>
      </c>
      <c r="D186" s="13" t="s">
        <v>367</v>
      </c>
      <c r="E186" s="20" t="s">
        <v>275</v>
      </c>
      <c r="F186" s="13">
        <v>5.4669995E8</v>
      </c>
      <c r="G186" s="20" t="s">
        <v>41</v>
      </c>
      <c r="H186" s="13" t="s">
        <v>294</v>
      </c>
      <c r="I186" s="20" t="s">
        <v>1743</v>
      </c>
      <c r="J186" s="20" t="s">
        <v>1744</v>
      </c>
      <c r="K186" s="13" t="s">
        <v>148</v>
      </c>
      <c r="L186" s="27"/>
      <c r="M186" s="27" t="s">
        <v>150</v>
      </c>
      <c r="N186" s="13" t="s">
        <v>56</v>
      </c>
      <c r="O186" s="13" t="s">
        <v>42</v>
      </c>
      <c r="P186" s="34"/>
      <c r="Q186" s="13" t="s">
        <v>44</v>
      </c>
      <c r="R186" s="13" t="s">
        <v>46</v>
      </c>
      <c r="S186" s="37"/>
      <c r="T186" s="37"/>
      <c r="U186" s="26"/>
      <c r="V186" s="37">
        <v>5.0</v>
      </c>
    </row>
    <row r="187">
      <c r="A187" s="13">
        <v>186.0</v>
      </c>
      <c r="B187" s="15">
        <v>46097.0</v>
      </c>
      <c r="C187" s="13" t="s">
        <v>47</v>
      </c>
      <c r="D187" s="13" t="s">
        <v>138</v>
      </c>
      <c r="E187" s="20" t="s">
        <v>118</v>
      </c>
      <c r="F187" s="13">
        <v>5.09366088E8</v>
      </c>
      <c r="G187" s="20" t="s">
        <v>41</v>
      </c>
      <c r="H187" s="13" t="s">
        <v>294</v>
      </c>
      <c r="I187" s="20" t="s">
        <v>1755</v>
      </c>
      <c r="J187" s="20" t="s">
        <v>1756</v>
      </c>
      <c r="K187" s="13" t="s">
        <v>148</v>
      </c>
      <c r="L187" s="27"/>
      <c r="M187" s="27" t="s">
        <v>1758</v>
      </c>
      <c r="N187" s="13" t="s">
        <v>56</v>
      </c>
      <c r="O187" s="13" t="s">
        <v>42</v>
      </c>
      <c r="P187" s="34"/>
      <c r="Q187" s="13" t="s">
        <v>44</v>
      </c>
      <c r="R187" s="13" t="s">
        <v>46</v>
      </c>
      <c r="S187" s="37"/>
      <c r="T187" s="37"/>
      <c r="U187" s="26"/>
      <c r="V187" s="37">
        <v>5.0</v>
      </c>
    </row>
    <row r="188">
      <c r="A188" s="13">
        <v>187.0</v>
      </c>
      <c r="B188" s="15">
        <v>46097.0</v>
      </c>
      <c r="C188" s="13" t="s">
        <v>47</v>
      </c>
      <c r="D188" s="13" t="s">
        <v>138</v>
      </c>
      <c r="E188" s="13" t="s">
        <v>1762</v>
      </c>
      <c r="F188" s="13">
        <v>5.55031554E8</v>
      </c>
      <c r="G188" s="20" t="s">
        <v>41</v>
      </c>
      <c r="H188" s="13" t="s">
        <v>146</v>
      </c>
      <c r="I188" s="20" t="s">
        <v>1766</v>
      </c>
      <c r="J188" s="20" t="s">
        <v>1768</v>
      </c>
      <c r="K188" s="13" t="s">
        <v>148</v>
      </c>
      <c r="L188" s="26"/>
      <c r="M188" s="27" t="s">
        <v>55</v>
      </c>
      <c r="N188" s="13" t="s">
        <v>56</v>
      </c>
      <c r="O188" s="13" t="s">
        <v>42</v>
      </c>
      <c r="P188" s="34"/>
      <c r="Q188" s="13" t="s">
        <v>44</v>
      </c>
      <c r="R188" s="13" t="s">
        <v>46</v>
      </c>
      <c r="S188" s="37"/>
      <c r="T188" s="37"/>
      <c r="U188" s="26"/>
      <c r="V188" s="37">
        <v>5.0</v>
      </c>
    </row>
    <row r="189" ht="80.25" hidden="1" customHeight="1">
      <c r="A189" s="13">
        <v>188.0</v>
      </c>
      <c r="B189" s="15">
        <v>46097.0</v>
      </c>
      <c r="C189" s="13" t="s">
        <v>47</v>
      </c>
      <c r="D189" s="13" t="s">
        <v>251</v>
      </c>
      <c r="E189" s="20" t="s">
        <v>1772</v>
      </c>
      <c r="F189" s="13">
        <v>5.55522012E8</v>
      </c>
      <c r="G189" s="20" t="s">
        <v>41</v>
      </c>
      <c r="H189" s="13" t="s">
        <v>222</v>
      </c>
      <c r="I189" s="20" t="s">
        <v>1776</v>
      </c>
      <c r="J189" s="20" t="s">
        <v>35</v>
      </c>
      <c r="K189" s="13" t="s">
        <v>148</v>
      </c>
      <c r="L189" s="26"/>
      <c r="M189" s="27" t="s">
        <v>55</v>
      </c>
      <c r="N189" s="13" t="s">
        <v>40</v>
      </c>
      <c r="O189" s="13" t="s">
        <v>42</v>
      </c>
      <c r="P189" s="34"/>
      <c r="Q189" s="13" t="s">
        <v>44</v>
      </c>
      <c r="R189" s="13" t="s">
        <v>46</v>
      </c>
      <c r="S189" s="37"/>
      <c r="T189" s="37"/>
      <c r="U189" s="26"/>
      <c r="V189" s="37">
        <v>5.0</v>
      </c>
    </row>
    <row r="190">
      <c r="A190" s="13">
        <v>189.0</v>
      </c>
      <c r="B190" s="15">
        <v>46097.0</v>
      </c>
      <c r="C190" s="13" t="s">
        <v>47</v>
      </c>
      <c r="D190" s="13" t="s">
        <v>138</v>
      </c>
      <c r="E190" s="20" t="s">
        <v>1783</v>
      </c>
      <c r="F190" s="13">
        <v>5.33936339E8</v>
      </c>
      <c r="G190" s="20" t="s">
        <v>41</v>
      </c>
      <c r="H190" s="13" t="s">
        <v>146</v>
      </c>
      <c r="I190" s="20" t="s">
        <v>1785</v>
      </c>
      <c r="J190" s="20" t="s">
        <v>1787</v>
      </c>
      <c r="K190" s="13" t="s">
        <v>148</v>
      </c>
      <c r="L190" s="27"/>
      <c r="M190" s="27" t="s">
        <v>421</v>
      </c>
      <c r="N190" s="13" t="s">
        <v>56</v>
      </c>
      <c r="O190" s="13" t="s">
        <v>42</v>
      </c>
      <c r="P190" s="34"/>
      <c r="Q190" s="13" t="s">
        <v>44</v>
      </c>
      <c r="R190" s="13" t="s">
        <v>46</v>
      </c>
      <c r="S190" s="37"/>
      <c r="T190" s="37"/>
      <c r="U190" s="26"/>
      <c r="V190" s="37">
        <v>5.0</v>
      </c>
    </row>
    <row r="191">
      <c r="A191" s="13">
        <v>190.0</v>
      </c>
      <c r="B191" s="15">
        <v>46097.0</v>
      </c>
      <c r="C191" s="13" t="s">
        <v>47</v>
      </c>
      <c r="D191" s="13" t="s">
        <v>138</v>
      </c>
      <c r="E191" s="20" t="s">
        <v>494</v>
      </c>
      <c r="F191" s="13">
        <v>5.66582883E8</v>
      </c>
      <c r="G191" s="20" t="s">
        <v>41</v>
      </c>
      <c r="H191" s="13" t="s">
        <v>146</v>
      </c>
      <c r="I191" s="20" t="s">
        <v>1794</v>
      </c>
      <c r="J191" s="20" t="s">
        <v>1795</v>
      </c>
      <c r="K191" s="13" t="s">
        <v>148</v>
      </c>
      <c r="L191" s="27"/>
      <c r="M191" s="27" t="s">
        <v>323</v>
      </c>
      <c r="N191" s="13" t="s">
        <v>56</v>
      </c>
      <c r="O191" s="13" t="s">
        <v>42</v>
      </c>
      <c r="P191" s="34"/>
      <c r="Q191" s="13" t="s">
        <v>44</v>
      </c>
      <c r="R191" s="13" t="s">
        <v>46</v>
      </c>
      <c r="S191" s="37"/>
      <c r="T191" s="37"/>
      <c r="U191" s="26"/>
      <c r="V191" s="37">
        <v>5.0</v>
      </c>
    </row>
    <row r="192">
      <c r="A192" s="13">
        <v>191.0</v>
      </c>
      <c r="B192" s="15">
        <v>46097.0</v>
      </c>
      <c r="C192" s="13" t="s">
        <v>47</v>
      </c>
      <c r="D192" s="13" t="s">
        <v>92</v>
      </c>
      <c r="E192" s="13" t="s">
        <v>1800</v>
      </c>
      <c r="F192" s="13">
        <v>5.03954091E8</v>
      </c>
      <c r="G192" s="20" t="s">
        <v>71</v>
      </c>
      <c r="H192" s="13" t="s">
        <v>1801</v>
      </c>
      <c r="I192" s="20" t="s">
        <v>1803</v>
      </c>
      <c r="J192" s="20" t="s">
        <v>35</v>
      </c>
      <c r="K192" s="13" t="s">
        <v>148</v>
      </c>
      <c r="L192" s="26"/>
      <c r="M192" s="27" t="s">
        <v>55</v>
      </c>
      <c r="N192" s="13" t="s">
        <v>40</v>
      </c>
      <c r="O192" s="13" t="s">
        <v>42</v>
      </c>
      <c r="P192" s="34"/>
      <c r="Q192" s="13" t="s">
        <v>44</v>
      </c>
      <c r="R192" s="13" t="s">
        <v>46</v>
      </c>
      <c r="S192" s="37"/>
      <c r="T192" s="37"/>
      <c r="U192" s="26"/>
      <c r="V192" s="37">
        <v>5.0</v>
      </c>
    </row>
    <row r="193">
      <c r="A193" s="13">
        <v>192.0</v>
      </c>
      <c r="B193" s="15">
        <v>46097.0</v>
      </c>
      <c r="C193" s="13" t="s">
        <v>47</v>
      </c>
      <c r="D193" s="13" t="s">
        <v>138</v>
      </c>
      <c r="E193" s="20" t="s">
        <v>297</v>
      </c>
      <c r="F193" s="13">
        <v>5.06884848E8</v>
      </c>
      <c r="G193" s="20" t="s">
        <v>79</v>
      </c>
      <c r="H193" s="13" t="s">
        <v>487</v>
      </c>
      <c r="I193" s="20" t="s">
        <v>1808</v>
      </c>
      <c r="J193" s="20" t="s">
        <v>1810</v>
      </c>
      <c r="K193" s="13" t="s">
        <v>148</v>
      </c>
      <c r="L193" s="26"/>
      <c r="M193" s="27" t="s">
        <v>183</v>
      </c>
      <c r="N193" s="13" t="s">
        <v>56</v>
      </c>
      <c r="O193" s="13" t="s">
        <v>42</v>
      </c>
      <c r="P193" s="34"/>
      <c r="Q193" s="13" t="s">
        <v>44</v>
      </c>
      <c r="R193" s="13" t="s">
        <v>46</v>
      </c>
      <c r="S193" s="37"/>
      <c r="T193" s="37"/>
      <c r="U193" s="26"/>
      <c r="V193" s="37">
        <v>5.0</v>
      </c>
    </row>
    <row r="194">
      <c r="A194" s="13">
        <v>193.0</v>
      </c>
      <c r="B194" s="15">
        <v>46097.0</v>
      </c>
      <c r="C194" s="13" t="s">
        <v>47</v>
      </c>
      <c r="D194" s="13" t="s">
        <v>138</v>
      </c>
      <c r="E194" s="20" t="s">
        <v>190</v>
      </c>
      <c r="F194" s="13">
        <v>5.43811378E8</v>
      </c>
      <c r="G194" s="20" t="s">
        <v>79</v>
      </c>
      <c r="H194" s="13" t="s">
        <v>80</v>
      </c>
      <c r="I194" s="20" t="s">
        <v>1819</v>
      </c>
      <c r="J194" s="20" t="s">
        <v>1821</v>
      </c>
      <c r="K194" s="13" t="s">
        <v>148</v>
      </c>
      <c r="L194" s="26"/>
      <c r="M194" s="27" t="s">
        <v>55</v>
      </c>
      <c r="N194" s="13" t="s">
        <v>56</v>
      </c>
      <c r="O194" s="13" t="s">
        <v>42</v>
      </c>
      <c r="P194" s="34"/>
      <c r="Q194" s="13" t="s">
        <v>44</v>
      </c>
      <c r="R194" s="13" t="s">
        <v>46</v>
      </c>
      <c r="S194" s="37"/>
      <c r="T194" s="37"/>
      <c r="U194" s="26"/>
      <c r="V194" s="37">
        <v>5.0</v>
      </c>
    </row>
    <row r="195" hidden="1">
      <c r="A195" s="13">
        <v>194.0</v>
      </c>
      <c r="B195" s="15">
        <v>46097.0</v>
      </c>
      <c r="C195" s="13" t="s">
        <v>21</v>
      </c>
      <c r="D195" s="13" t="s">
        <v>24</v>
      </c>
      <c r="E195" s="20" t="s">
        <v>1828</v>
      </c>
      <c r="F195" s="13">
        <v>5.98602077E8</v>
      </c>
      <c r="G195" s="20" t="s">
        <v>41</v>
      </c>
      <c r="H195" s="13" t="s">
        <v>27</v>
      </c>
      <c r="I195" s="20" t="s">
        <v>1829</v>
      </c>
      <c r="J195" s="20" t="s">
        <v>35</v>
      </c>
      <c r="K195" s="13" t="s">
        <v>36</v>
      </c>
      <c r="L195" s="26"/>
      <c r="M195" s="27" t="s">
        <v>38</v>
      </c>
      <c r="N195" s="13" t="s">
        <v>40</v>
      </c>
      <c r="O195" s="13" t="s">
        <v>42</v>
      </c>
      <c r="P195" s="34"/>
      <c r="Q195" s="13" t="s">
        <v>44</v>
      </c>
      <c r="R195" s="13" t="s">
        <v>46</v>
      </c>
      <c r="S195" s="37"/>
      <c r="T195" s="37"/>
      <c r="U195" s="26"/>
      <c r="V195" s="37">
        <v>5.0</v>
      </c>
    </row>
    <row r="196">
      <c r="A196" s="13">
        <v>195.0</v>
      </c>
      <c r="B196" s="15">
        <v>46097.0</v>
      </c>
      <c r="C196" s="13" t="s">
        <v>47</v>
      </c>
      <c r="D196" s="13" t="s">
        <v>92</v>
      </c>
      <c r="E196" s="20" t="s">
        <v>1833</v>
      </c>
      <c r="F196" s="13">
        <v>5.65390946E8</v>
      </c>
      <c r="G196" s="20" t="s">
        <v>71</v>
      </c>
      <c r="H196" s="13" t="s">
        <v>94</v>
      </c>
      <c r="I196" s="20" t="s">
        <v>1834</v>
      </c>
      <c r="J196" s="20" t="s">
        <v>35</v>
      </c>
      <c r="K196" s="13" t="s">
        <v>36</v>
      </c>
      <c r="L196" s="26"/>
      <c r="M196" s="27" t="s">
        <v>55</v>
      </c>
      <c r="N196" s="13" t="s">
        <v>40</v>
      </c>
      <c r="O196" s="13" t="s">
        <v>42</v>
      </c>
      <c r="P196" s="34"/>
      <c r="Q196" s="13" t="s">
        <v>44</v>
      </c>
      <c r="R196" s="13" t="s">
        <v>46</v>
      </c>
      <c r="S196" s="37"/>
      <c r="T196" s="37"/>
      <c r="U196" s="26"/>
      <c r="V196" s="37">
        <v>5.0</v>
      </c>
    </row>
    <row r="197" hidden="1">
      <c r="A197" s="13">
        <v>196.0</v>
      </c>
      <c r="B197" s="15">
        <v>46097.0</v>
      </c>
      <c r="C197" s="13" t="s">
        <v>21</v>
      </c>
      <c r="D197" s="13" t="s">
        <v>24</v>
      </c>
      <c r="E197" s="20" t="s">
        <v>1839</v>
      </c>
      <c r="F197" s="13">
        <v>5.05282543E8</v>
      </c>
      <c r="G197" s="20" t="s">
        <v>41</v>
      </c>
      <c r="H197" s="13" t="s">
        <v>27</v>
      </c>
      <c r="I197" s="20" t="s">
        <v>1842</v>
      </c>
      <c r="J197" s="20" t="s">
        <v>35</v>
      </c>
      <c r="K197" s="13" t="s">
        <v>36</v>
      </c>
      <c r="L197" s="27"/>
      <c r="M197" s="27" t="s">
        <v>421</v>
      </c>
      <c r="N197" s="13" t="s">
        <v>40</v>
      </c>
      <c r="O197" s="13" t="s">
        <v>42</v>
      </c>
      <c r="P197" s="34"/>
      <c r="Q197" s="13" t="s">
        <v>44</v>
      </c>
      <c r="R197" s="13" t="s">
        <v>46</v>
      </c>
      <c r="S197" s="37"/>
      <c r="T197" s="37"/>
      <c r="U197" s="26"/>
      <c r="V197" s="37">
        <v>5.0</v>
      </c>
    </row>
    <row r="198">
      <c r="A198" s="13">
        <v>197.0</v>
      </c>
      <c r="B198" s="15">
        <v>46097.0</v>
      </c>
      <c r="C198" s="13" t="s">
        <v>47</v>
      </c>
      <c r="D198" s="13" t="s">
        <v>48</v>
      </c>
      <c r="E198" s="20" t="s">
        <v>1845</v>
      </c>
      <c r="F198" s="13">
        <v>5.03574624E8</v>
      </c>
      <c r="G198" s="20" t="s">
        <v>152</v>
      </c>
      <c r="H198" s="13" t="s">
        <v>272</v>
      </c>
      <c r="I198" s="20" t="s">
        <v>1848</v>
      </c>
      <c r="J198" s="20" t="s">
        <v>1850</v>
      </c>
      <c r="K198" s="13" t="s">
        <v>36</v>
      </c>
      <c r="L198" s="26"/>
      <c r="M198" s="27" t="s">
        <v>55</v>
      </c>
      <c r="N198" s="13" t="s">
        <v>56</v>
      </c>
      <c r="O198" s="13" t="s">
        <v>42</v>
      </c>
      <c r="P198" s="34"/>
      <c r="Q198" s="13" t="s">
        <v>44</v>
      </c>
      <c r="R198" s="13" t="s">
        <v>46</v>
      </c>
      <c r="S198" s="37"/>
      <c r="T198" s="37"/>
      <c r="U198" s="26"/>
      <c r="V198" s="37">
        <v>5.0</v>
      </c>
    </row>
    <row r="199" hidden="1">
      <c r="A199" s="13">
        <v>198.0</v>
      </c>
      <c r="B199" s="15">
        <v>46097.0</v>
      </c>
      <c r="C199" s="13" t="s">
        <v>21</v>
      </c>
      <c r="D199" s="13" t="s">
        <v>24</v>
      </c>
      <c r="E199" s="20" t="s">
        <v>1859</v>
      </c>
      <c r="F199" s="13">
        <v>5.69015772E8</v>
      </c>
      <c r="G199" s="20" t="s">
        <v>41</v>
      </c>
      <c r="H199" s="13" t="s">
        <v>27</v>
      </c>
      <c r="I199" s="20" t="s">
        <v>1860</v>
      </c>
      <c r="J199" s="20" t="s">
        <v>35</v>
      </c>
      <c r="K199" s="13" t="s">
        <v>36</v>
      </c>
      <c r="L199" s="27"/>
      <c r="M199" s="27" t="s">
        <v>101</v>
      </c>
      <c r="N199" s="13" t="s">
        <v>40</v>
      </c>
      <c r="O199" s="13" t="s">
        <v>42</v>
      </c>
      <c r="P199" s="34"/>
      <c r="Q199" s="13" t="s">
        <v>44</v>
      </c>
      <c r="R199" s="13" t="s">
        <v>46</v>
      </c>
      <c r="S199" s="37"/>
      <c r="T199" s="37"/>
      <c r="U199" s="26"/>
      <c r="V199" s="37">
        <v>5.0</v>
      </c>
    </row>
    <row r="200" hidden="1">
      <c r="A200" s="13">
        <v>199.0</v>
      </c>
      <c r="B200" s="15">
        <v>46098.0</v>
      </c>
      <c r="C200" s="13" t="s">
        <v>58</v>
      </c>
      <c r="D200" s="13" t="s">
        <v>60</v>
      </c>
      <c r="E200" s="13" t="s">
        <v>27</v>
      </c>
      <c r="F200" s="13">
        <v>5.06506493E8</v>
      </c>
      <c r="G200" s="13" t="s">
        <v>27</v>
      </c>
      <c r="H200" s="13" t="s">
        <v>27</v>
      </c>
      <c r="I200" s="13" t="s">
        <v>944</v>
      </c>
      <c r="J200" s="13" t="s">
        <v>604</v>
      </c>
      <c r="K200" s="13" t="s">
        <v>65</v>
      </c>
      <c r="L200" s="26"/>
      <c r="M200" s="27" t="s">
        <v>88</v>
      </c>
      <c r="N200" s="13" t="s">
        <v>56</v>
      </c>
      <c r="O200" s="13" t="s">
        <v>42</v>
      </c>
      <c r="P200" s="34"/>
      <c r="Q200" s="13" t="s">
        <v>44</v>
      </c>
      <c r="R200" s="13" t="s">
        <v>68</v>
      </c>
      <c r="S200" s="37"/>
      <c r="T200" s="37"/>
      <c r="U200" s="26"/>
      <c r="V200" s="37">
        <v>5.0</v>
      </c>
    </row>
    <row r="201" hidden="1">
      <c r="A201" s="13">
        <v>200.0</v>
      </c>
      <c r="B201" s="15">
        <v>46098.0</v>
      </c>
      <c r="C201" s="13" t="s">
        <v>58</v>
      </c>
      <c r="D201" s="13" t="s">
        <v>60</v>
      </c>
      <c r="E201" s="13" t="s">
        <v>27</v>
      </c>
      <c r="F201" s="13">
        <v>5.01956853E8</v>
      </c>
      <c r="G201" s="13" t="s">
        <v>27</v>
      </c>
      <c r="H201" s="13" t="s">
        <v>27</v>
      </c>
      <c r="I201" s="13" t="s">
        <v>1878</v>
      </c>
      <c r="J201" s="13" t="s">
        <v>124</v>
      </c>
      <c r="K201" s="13" t="s">
        <v>65</v>
      </c>
      <c r="L201" s="27"/>
      <c r="M201" s="27" t="s">
        <v>101</v>
      </c>
      <c r="N201" s="13" t="s">
        <v>56</v>
      </c>
      <c r="O201" s="13" t="s">
        <v>42</v>
      </c>
      <c r="P201" s="34"/>
      <c r="Q201" s="13" t="s">
        <v>44</v>
      </c>
      <c r="R201" s="13" t="s">
        <v>68</v>
      </c>
      <c r="S201" s="37"/>
      <c r="T201" s="37"/>
      <c r="U201" s="26"/>
      <c r="V201" s="37">
        <v>5.0</v>
      </c>
    </row>
    <row r="202" hidden="1">
      <c r="A202" s="13">
        <v>201.0</v>
      </c>
      <c r="B202" s="15">
        <v>46098.0</v>
      </c>
      <c r="C202" s="13" t="s">
        <v>58</v>
      </c>
      <c r="D202" s="13" t="s">
        <v>60</v>
      </c>
      <c r="E202" s="13" t="s">
        <v>27</v>
      </c>
      <c r="F202" s="13">
        <v>5.50555735E8</v>
      </c>
      <c r="G202" s="13" t="s">
        <v>27</v>
      </c>
      <c r="H202" s="13" t="s">
        <v>27</v>
      </c>
      <c r="I202" s="13" t="s">
        <v>27</v>
      </c>
      <c r="J202" s="13" t="s">
        <v>124</v>
      </c>
      <c r="K202" s="13" t="s">
        <v>65</v>
      </c>
      <c r="L202" s="27"/>
      <c r="M202" s="27" t="s">
        <v>1883</v>
      </c>
      <c r="N202" s="13" t="s">
        <v>56</v>
      </c>
      <c r="O202" s="13" t="s">
        <v>42</v>
      </c>
      <c r="P202" s="34"/>
      <c r="Q202" s="13" t="s">
        <v>44</v>
      </c>
      <c r="R202" s="13" t="s">
        <v>68</v>
      </c>
      <c r="S202" s="37"/>
      <c r="T202" s="37"/>
      <c r="U202" s="26"/>
      <c r="V202" s="37">
        <v>5.0</v>
      </c>
    </row>
    <row r="203">
      <c r="A203" s="13">
        <v>202.0</v>
      </c>
      <c r="B203" s="15">
        <v>46098.0</v>
      </c>
      <c r="C203" s="13" t="s">
        <v>47</v>
      </c>
      <c r="D203" s="13" t="s">
        <v>92</v>
      </c>
      <c r="E203" s="13" t="s">
        <v>1893</v>
      </c>
      <c r="F203" s="13">
        <v>5.57914424E8</v>
      </c>
      <c r="G203" s="13" t="s">
        <v>28</v>
      </c>
      <c r="H203" s="123" t="s">
        <v>692</v>
      </c>
      <c r="I203" s="13" t="s">
        <v>1895</v>
      </c>
      <c r="J203" s="20" t="s">
        <v>1896</v>
      </c>
      <c r="K203" s="13" t="s">
        <v>65</v>
      </c>
      <c r="L203" s="26"/>
      <c r="M203" s="27" t="s">
        <v>55</v>
      </c>
      <c r="N203" s="13" t="s">
        <v>40</v>
      </c>
      <c r="O203" s="13" t="s">
        <v>42</v>
      </c>
      <c r="P203" s="34"/>
      <c r="Q203" s="13" t="s">
        <v>44</v>
      </c>
      <c r="R203" s="13" t="s">
        <v>46</v>
      </c>
      <c r="S203" s="37"/>
      <c r="T203" s="37"/>
      <c r="U203" s="26"/>
      <c r="V203" s="37">
        <v>5.0</v>
      </c>
    </row>
    <row r="204" hidden="1">
      <c r="A204" s="13">
        <v>203.0</v>
      </c>
      <c r="B204" s="15">
        <v>46098.0</v>
      </c>
      <c r="C204" s="13" t="s">
        <v>58</v>
      </c>
      <c r="D204" s="13" t="s">
        <v>60</v>
      </c>
      <c r="E204" s="13" t="s">
        <v>27</v>
      </c>
      <c r="F204" s="13">
        <v>5.09998736E8</v>
      </c>
      <c r="G204" s="13" t="s">
        <v>27</v>
      </c>
      <c r="H204" s="13" t="s">
        <v>27</v>
      </c>
      <c r="I204" s="13" t="s">
        <v>554</v>
      </c>
      <c r="J204" s="20" t="s">
        <v>500</v>
      </c>
      <c r="K204" s="13" t="s">
        <v>36</v>
      </c>
      <c r="L204" s="27"/>
      <c r="M204" s="27" t="s">
        <v>101</v>
      </c>
      <c r="N204" s="13" t="s">
        <v>56</v>
      </c>
      <c r="O204" s="13" t="s">
        <v>42</v>
      </c>
      <c r="P204" s="34"/>
      <c r="Q204" s="13" t="s">
        <v>44</v>
      </c>
      <c r="R204" s="13" t="s">
        <v>68</v>
      </c>
      <c r="S204" s="37"/>
      <c r="T204" s="37"/>
      <c r="U204" s="26"/>
      <c r="V204" s="37">
        <v>5.0</v>
      </c>
    </row>
    <row r="205" hidden="1">
      <c r="A205" s="13">
        <v>204.0</v>
      </c>
      <c r="B205" s="15">
        <v>46098.0</v>
      </c>
      <c r="C205" s="13" t="s">
        <v>58</v>
      </c>
      <c r="D205" s="13" t="s">
        <v>60</v>
      </c>
      <c r="E205" s="13" t="s">
        <v>27</v>
      </c>
      <c r="F205" s="13">
        <v>5.59138598E8</v>
      </c>
      <c r="G205" s="13" t="s">
        <v>27</v>
      </c>
      <c r="H205" s="13" t="s">
        <v>27</v>
      </c>
      <c r="I205" s="13" t="s">
        <v>484</v>
      </c>
      <c r="J205" s="20" t="s">
        <v>500</v>
      </c>
      <c r="K205" s="13" t="s">
        <v>36</v>
      </c>
      <c r="L205" s="27"/>
      <c r="M205" s="27" t="s">
        <v>101</v>
      </c>
      <c r="N205" s="13" t="s">
        <v>56</v>
      </c>
      <c r="O205" s="13" t="s">
        <v>42</v>
      </c>
      <c r="P205" s="34"/>
      <c r="Q205" s="13" t="s">
        <v>44</v>
      </c>
      <c r="R205" s="13" t="s">
        <v>68</v>
      </c>
      <c r="S205" s="37"/>
      <c r="T205" s="37"/>
      <c r="U205" s="26"/>
      <c r="V205" s="37">
        <v>5.0</v>
      </c>
    </row>
    <row r="206" hidden="1">
      <c r="A206" s="13">
        <v>205.0</v>
      </c>
      <c r="B206" s="15">
        <v>46098.0</v>
      </c>
      <c r="C206" s="13" t="s">
        <v>21</v>
      </c>
      <c r="D206" s="13" t="s">
        <v>22</v>
      </c>
      <c r="E206" s="20" t="s">
        <v>1923</v>
      </c>
      <c r="F206" s="13">
        <v>5.53508561E8</v>
      </c>
      <c r="G206" s="13" t="s">
        <v>27</v>
      </c>
      <c r="H206" s="13" t="s">
        <v>27</v>
      </c>
      <c r="I206" s="20" t="s">
        <v>1924</v>
      </c>
      <c r="J206" s="20" t="s">
        <v>35</v>
      </c>
      <c r="K206" s="13" t="s">
        <v>39</v>
      </c>
      <c r="L206" s="27"/>
      <c r="M206" s="27" t="s">
        <v>101</v>
      </c>
      <c r="N206" s="13" t="s">
        <v>40</v>
      </c>
      <c r="O206" s="13" t="s">
        <v>42</v>
      </c>
      <c r="P206" s="34"/>
      <c r="Q206" s="13" t="s">
        <v>49</v>
      </c>
      <c r="R206" s="13" t="s">
        <v>46</v>
      </c>
      <c r="S206" s="37"/>
      <c r="T206" s="37"/>
      <c r="U206" s="26"/>
      <c r="V206" s="37">
        <v>5.0</v>
      </c>
    </row>
    <row r="207" hidden="1">
      <c r="A207" s="13">
        <v>206.0</v>
      </c>
      <c r="B207" s="15">
        <v>46099.0</v>
      </c>
      <c r="C207" s="13" t="s">
        <v>58</v>
      </c>
      <c r="D207" s="13" t="s">
        <v>60</v>
      </c>
      <c r="E207" s="13" t="s">
        <v>27</v>
      </c>
      <c r="F207" s="13">
        <v>5.42947454E8</v>
      </c>
      <c r="G207" s="13" t="s">
        <v>27</v>
      </c>
      <c r="H207" s="13" t="s">
        <v>27</v>
      </c>
      <c r="I207" s="20" t="s">
        <v>124</v>
      </c>
      <c r="J207" s="20" t="s">
        <v>500</v>
      </c>
      <c r="K207" s="13" t="s">
        <v>65</v>
      </c>
      <c r="L207" s="26"/>
      <c r="M207" s="27" t="s">
        <v>38</v>
      </c>
      <c r="N207" s="13" t="s">
        <v>56</v>
      </c>
      <c r="O207" s="13" t="s">
        <v>42</v>
      </c>
      <c r="P207" s="34"/>
      <c r="Q207" s="13" t="s">
        <v>44</v>
      </c>
      <c r="R207" s="13" t="s">
        <v>68</v>
      </c>
      <c r="S207" s="37"/>
      <c r="T207" s="37"/>
      <c r="U207" s="26"/>
      <c r="V207" s="37">
        <v>5.0</v>
      </c>
    </row>
    <row r="208" hidden="1">
      <c r="A208" s="13">
        <v>207.0</v>
      </c>
      <c r="B208" s="15">
        <v>46099.0</v>
      </c>
      <c r="C208" s="13" t="s">
        <v>58</v>
      </c>
      <c r="D208" s="13" t="s">
        <v>60</v>
      </c>
      <c r="E208" s="13" t="s">
        <v>27</v>
      </c>
      <c r="F208" s="13">
        <v>5.31505415E8</v>
      </c>
      <c r="G208" s="13" t="s">
        <v>27</v>
      </c>
      <c r="H208" s="13" t="s">
        <v>27</v>
      </c>
      <c r="I208" s="20" t="s">
        <v>124</v>
      </c>
      <c r="J208" s="20" t="s">
        <v>500</v>
      </c>
      <c r="K208" s="13" t="s">
        <v>65</v>
      </c>
      <c r="L208" s="26"/>
      <c r="M208" s="27" t="s">
        <v>38</v>
      </c>
      <c r="N208" s="13" t="s">
        <v>56</v>
      </c>
      <c r="O208" s="13" t="s">
        <v>42</v>
      </c>
      <c r="P208" s="34"/>
      <c r="Q208" s="13" t="s">
        <v>44</v>
      </c>
      <c r="R208" s="13" t="s">
        <v>68</v>
      </c>
      <c r="S208" s="37"/>
      <c r="T208" s="37"/>
      <c r="U208" s="26"/>
      <c r="V208" s="37">
        <v>5.0</v>
      </c>
    </row>
    <row r="209" hidden="1">
      <c r="A209" s="13">
        <v>208.0</v>
      </c>
      <c r="B209" s="15">
        <v>46099.0</v>
      </c>
      <c r="C209" s="13" t="s">
        <v>58</v>
      </c>
      <c r="D209" s="13" t="s">
        <v>60</v>
      </c>
      <c r="E209" s="13" t="s">
        <v>27</v>
      </c>
      <c r="F209" s="13">
        <v>5.7034219E8</v>
      </c>
      <c r="G209" s="13" t="s">
        <v>27</v>
      </c>
      <c r="H209" s="13" t="s">
        <v>27</v>
      </c>
      <c r="I209" s="20" t="s">
        <v>1945</v>
      </c>
      <c r="J209" s="20" t="s">
        <v>500</v>
      </c>
      <c r="K209" s="13" t="s">
        <v>36</v>
      </c>
      <c r="L209" s="27"/>
      <c r="M209" s="27" t="s">
        <v>421</v>
      </c>
      <c r="N209" s="13" t="s">
        <v>56</v>
      </c>
      <c r="O209" s="13" t="s">
        <v>42</v>
      </c>
      <c r="P209" s="34"/>
      <c r="Q209" s="13" t="s">
        <v>44</v>
      </c>
      <c r="R209" s="13" t="s">
        <v>68</v>
      </c>
      <c r="S209" s="37"/>
      <c r="T209" s="37"/>
      <c r="U209" s="26"/>
      <c r="V209" s="37">
        <v>5.0</v>
      </c>
    </row>
    <row r="210">
      <c r="A210" s="13">
        <v>209.0</v>
      </c>
      <c r="B210" s="15">
        <v>46099.0</v>
      </c>
      <c r="C210" s="13" t="s">
        <v>47</v>
      </c>
      <c r="D210" s="13" t="s">
        <v>48</v>
      </c>
      <c r="E210" s="20" t="s">
        <v>1950</v>
      </c>
      <c r="F210" s="13">
        <v>5.5369574E8</v>
      </c>
      <c r="G210" s="20" t="s">
        <v>120</v>
      </c>
      <c r="H210" s="13" t="s">
        <v>272</v>
      </c>
      <c r="I210" s="20" t="s">
        <v>1952</v>
      </c>
      <c r="J210" s="20" t="s">
        <v>1953</v>
      </c>
      <c r="K210" s="13" t="s">
        <v>36</v>
      </c>
      <c r="L210" s="26"/>
      <c r="M210" s="27" t="s">
        <v>55</v>
      </c>
      <c r="N210" s="13" t="s">
        <v>56</v>
      </c>
      <c r="O210" s="13" t="s">
        <v>42</v>
      </c>
      <c r="P210" s="34"/>
      <c r="Q210" s="13" t="s">
        <v>44</v>
      </c>
      <c r="R210" s="13" t="s">
        <v>46</v>
      </c>
      <c r="S210" s="37"/>
      <c r="T210" s="37"/>
      <c r="U210" s="26"/>
      <c r="V210" s="37">
        <v>5.0</v>
      </c>
    </row>
    <row r="211" hidden="1">
      <c r="A211" s="13">
        <v>210.0</v>
      </c>
      <c r="B211" s="15">
        <v>46099.0</v>
      </c>
      <c r="C211" s="13" t="s">
        <v>58</v>
      </c>
      <c r="D211" s="13" t="s">
        <v>60</v>
      </c>
      <c r="E211" s="20" t="s">
        <v>1959</v>
      </c>
      <c r="F211" s="13">
        <v>5.58445383E8</v>
      </c>
      <c r="G211" s="13" t="s">
        <v>27</v>
      </c>
      <c r="H211" s="13" t="s">
        <v>27</v>
      </c>
      <c r="I211" s="20" t="s">
        <v>1962</v>
      </c>
      <c r="J211" s="20" t="s">
        <v>500</v>
      </c>
      <c r="K211" s="13" t="s">
        <v>36</v>
      </c>
      <c r="L211" s="26"/>
      <c r="M211" s="27" t="s">
        <v>88</v>
      </c>
      <c r="N211" s="13" t="s">
        <v>56</v>
      </c>
      <c r="O211" s="13" t="s">
        <v>42</v>
      </c>
      <c r="P211" s="34"/>
      <c r="Q211" s="13" t="s">
        <v>44</v>
      </c>
      <c r="R211" s="13" t="s">
        <v>68</v>
      </c>
      <c r="S211" s="37"/>
      <c r="T211" s="37"/>
      <c r="U211" s="26"/>
      <c r="V211" s="37">
        <v>5.0</v>
      </c>
    </row>
    <row r="212" hidden="1">
      <c r="A212" s="13">
        <v>211.0</v>
      </c>
      <c r="B212" s="15">
        <v>46099.0</v>
      </c>
      <c r="C212" s="13" t="s">
        <v>58</v>
      </c>
      <c r="D212" s="13" t="s">
        <v>60</v>
      </c>
      <c r="E212" s="13" t="s">
        <v>27</v>
      </c>
      <c r="F212" s="13">
        <v>5.60475552E8</v>
      </c>
      <c r="G212" s="13" t="s">
        <v>27</v>
      </c>
      <c r="H212" s="13" t="s">
        <v>27</v>
      </c>
      <c r="I212" s="20" t="s">
        <v>1967</v>
      </c>
      <c r="J212" s="20" t="s">
        <v>1969</v>
      </c>
      <c r="K212" s="13" t="s">
        <v>36</v>
      </c>
      <c r="L212" s="26"/>
      <c r="M212" s="27" t="s">
        <v>88</v>
      </c>
      <c r="N212" s="13" t="s">
        <v>56</v>
      </c>
      <c r="O212" s="13" t="s">
        <v>42</v>
      </c>
      <c r="P212" s="34"/>
      <c r="Q212" s="13" t="s">
        <v>44</v>
      </c>
      <c r="R212" s="13" t="s">
        <v>68</v>
      </c>
      <c r="S212" s="37"/>
      <c r="T212" s="37"/>
      <c r="U212" s="26"/>
      <c r="V212" s="37">
        <v>5.0</v>
      </c>
    </row>
    <row r="213">
      <c r="A213" s="13">
        <v>212.0</v>
      </c>
      <c r="B213" s="15">
        <v>46099.0</v>
      </c>
      <c r="C213" s="13" t="s">
        <v>47</v>
      </c>
      <c r="D213" s="13" t="s">
        <v>138</v>
      </c>
      <c r="E213" s="13" t="s">
        <v>1973</v>
      </c>
      <c r="F213" s="13">
        <v>5.5577913E8</v>
      </c>
      <c r="G213" s="20" t="s">
        <v>41</v>
      </c>
      <c r="H213" s="13" t="s">
        <v>513</v>
      </c>
      <c r="I213" s="20" t="s">
        <v>1979</v>
      </c>
      <c r="J213" s="20" t="s">
        <v>1980</v>
      </c>
      <c r="K213" s="13" t="s">
        <v>148</v>
      </c>
      <c r="L213" s="26"/>
      <c r="M213" s="27" t="s">
        <v>55</v>
      </c>
      <c r="N213" s="13" t="s">
        <v>56</v>
      </c>
      <c r="O213" s="13" t="s">
        <v>42</v>
      </c>
      <c r="P213" s="34"/>
      <c r="Q213" s="13" t="s">
        <v>44</v>
      </c>
      <c r="R213" s="13" t="s">
        <v>46</v>
      </c>
      <c r="S213" s="37"/>
      <c r="T213" s="37"/>
      <c r="U213" s="26"/>
      <c r="V213" s="37">
        <v>5.0</v>
      </c>
    </row>
    <row r="214">
      <c r="A214" s="13">
        <v>213.0</v>
      </c>
      <c r="B214" s="15">
        <v>46099.0</v>
      </c>
      <c r="C214" s="13" t="s">
        <v>47</v>
      </c>
      <c r="D214" s="13" t="s">
        <v>138</v>
      </c>
      <c r="E214" s="20" t="s">
        <v>1986</v>
      </c>
      <c r="F214" s="13">
        <v>5.51334589E8</v>
      </c>
      <c r="G214" s="20" t="s">
        <v>41</v>
      </c>
      <c r="H214" s="13" t="s">
        <v>146</v>
      </c>
      <c r="I214" s="20" t="s">
        <v>1987</v>
      </c>
      <c r="J214" s="20" t="s">
        <v>580</v>
      </c>
      <c r="K214" s="13" t="s">
        <v>148</v>
      </c>
      <c r="L214" s="26"/>
      <c r="M214" s="27" t="s">
        <v>183</v>
      </c>
      <c r="N214" s="13" t="s">
        <v>56</v>
      </c>
      <c r="O214" s="13" t="s">
        <v>42</v>
      </c>
      <c r="P214" s="34"/>
      <c r="Q214" s="13" t="s">
        <v>44</v>
      </c>
      <c r="R214" s="13" t="s">
        <v>46</v>
      </c>
      <c r="S214" s="37"/>
      <c r="T214" s="37"/>
      <c r="U214" s="26"/>
      <c r="V214" s="37">
        <v>5.0</v>
      </c>
    </row>
    <row r="215">
      <c r="A215" s="13">
        <v>214.0</v>
      </c>
      <c r="B215" s="15">
        <v>46099.0</v>
      </c>
      <c r="C215" s="13" t="s">
        <v>47</v>
      </c>
      <c r="D215" s="13" t="s">
        <v>138</v>
      </c>
      <c r="E215" s="20" t="s">
        <v>1996</v>
      </c>
      <c r="F215" s="13">
        <v>5.10176724E8</v>
      </c>
      <c r="G215" s="20" t="s">
        <v>41</v>
      </c>
      <c r="H215" s="13" t="s">
        <v>705</v>
      </c>
      <c r="I215" s="20" t="s">
        <v>1998</v>
      </c>
      <c r="J215" s="20" t="s">
        <v>2000</v>
      </c>
      <c r="K215" s="13" t="s">
        <v>148</v>
      </c>
      <c r="L215" s="26"/>
      <c r="M215" s="27" t="s">
        <v>55</v>
      </c>
      <c r="N215" s="13" t="s">
        <v>56</v>
      </c>
      <c r="O215" s="13" t="s">
        <v>42</v>
      </c>
      <c r="P215" s="34"/>
      <c r="Q215" s="13" t="s">
        <v>44</v>
      </c>
      <c r="R215" s="13" t="s">
        <v>46</v>
      </c>
      <c r="S215" s="37"/>
      <c r="T215" s="37"/>
      <c r="U215" s="26"/>
      <c r="V215" s="37">
        <v>5.0</v>
      </c>
    </row>
    <row r="216">
      <c r="A216" s="13">
        <v>215.0</v>
      </c>
      <c r="B216" s="15">
        <v>46099.0</v>
      </c>
      <c r="C216" s="13" t="s">
        <v>47</v>
      </c>
      <c r="D216" s="13" t="s">
        <v>367</v>
      </c>
      <c r="E216" s="20" t="s">
        <v>2007</v>
      </c>
      <c r="F216" s="13">
        <v>5.0615164E8</v>
      </c>
      <c r="G216" s="20" t="s">
        <v>41</v>
      </c>
      <c r="H216" s="13" t="s">
        <v>97</v>
      </c>
      <c r="I216" s="20" t="s">
        <v>2009</v>
      </c>
      <c r="J216" s="20" t="s">
        <v>377</v>
      </c>
      <c r="K216" s="13" t="s">
        <v>148</v>
      </c>
      <c r="L216" s="26"/>
      <c r="M216" s="27" t="s">
        <v>55</v>
      </c>
      <c r="N216" s="13" t="s">
        <v>56</v>
      </c>
      <c r="O216" s="13" t="s">
        <v>42</v>
      </c>
      <c r="P216" s="34"/>
      <c r="Q216" s="13" t="s">
        <v>44</v>
      </c>
      <c r="R216" s="13" t="s">
        <v>46</v>
      </c>
      <c r="S216" s="37"/>
      <c r="T216" s="37"/>
      <c r="U216" s="26"/>
      <c r="V216" s="37">
        <v>5.0</v>
      </c>
    </row>
    <row r="217">
      <c r="A217" s="13">
        <v>216.0</v>
      </c>
      <c r="B217" s="15">
        <v>46099.0</v>
      </c>
      <c r="C217" s="13" t="s">
        <v>47</v>
      </c>
      <c r="D217" s="13" t="s">
        <v>138</v>
      </c>
      <c r="E217" s="13" t="s">
        <v>2016</v>
      </c>
      <c r="F217" s="13">
        <v>5.53373995E8</v>
      </c>
      <c r="G217" s="20" t="s">
        <v>41</v>
      </c>
      <c r="H217" s="13" t="s">
        <v>146</v>
      </c>
      <c r="I217" s="20" t="s">
        <v>2018</v>
      </c>
      <c r="J217" s="20" t="s">
        <v>580</v>
      </c>
      <c r="K217" s="13" t="s">
        <v>148</v>
      </c>
      <c r="L217" s="26"/>
      <c r="M217" s="27" t="s">
        <v>55</v>
      </c>
      <c r="N217" s="13" t="s">
        <v>56</v>
      </c>
      <c r="O217" s="13" t="s">
        <v>42</v>
      </c>
      <c r="P217" s="34"/>
      <c r="Q217" s="13" t="s">
        <v>44</v>
      </c>
      <c r="R217" s="13" t="s">
        <v>46</v>
      </c>
      <c r="S217" s="37"/>
      <c r="T217" s="37"/>
      <c r="U217" s="26"/>
      <c r="V217" s="37">
        <v>5.0</v>
      </c>
    </row>
    <row r="218">
      <c r="A218" s="13">
        <v>217.0</v>
      </c>
      <c r="B218" s="15">
        <v>46099.0</v>
      </c>
      <c r="C218" s="13" t="s">
        <v>47</v>
      </c>
      <c r="D218" s="13" t="s">
        <v>138</v>
      </c>
      <c r="E218" s="20" t="s">
        <v>2024</v>
      </c>
      <c r="F218" s="13">
        <v>5.05711211E8</v>
      </c>
      <c r="G218" s="20" t="s">
        <v>41</v>
      </c>
      <c r="H218" s="13" t="s">
        <v>146</v>
      </c>
      <c r="I218" s="20" t="s">
        <v>2025</v>
      </c>
      <c r="J218" s="20" t="s">
        <v>2026</v>
      </c>
      <c r="K218" s="13" t="s">
        <v>148</v>
      </c>
      <c r="L218" s="126"/>
      <c r="M218" s="128" t="s">
        <v>55</v>
      </c>
      <c r="N218" s="13" t="s">
        <v>56</v>
      </c>
      <c r="O218" s="13" t="s">
        <v>42</v>
      </c>
      <c r="P218" s="34"/>
      <c r="Q218" s="13" t="s">
        <v>44</v>
      </c>
      <c r="R218" s="13" t="s">
        <v>46</v>
      </c>
      <c r="S218" s="37"/>
      <c r="T218" s="37"/>
      <c r="U218" s="26"/>
      <c r="V218" s="37">
        <v>5.0</v>
      </c>
    </row>
    <row r="219">
      <c r="A219" s="13">
        <v>218.0</v>
      </c>
      <c r="B219" s="15">
        <v>46099.0</v>
      </c>
      <c r="C219" s="13" t="s">
        <v>47</v>
      </c>
      <c r="D219" s="13" t="s">
        <v>138</v>
      </c>
      <c r="E219" s="20" t="s">
        <v>2032</v>
      </c>
      <c r="F219" s="13">
        <v>5.0185868E8</v>
      </c>
      <c r="G219" s="20" t="s">
        <v>333</v>
      </c>
      <c r="H219" s="13" t="s">
        <v>516</v>
      </c>
      <c r="I219" s="20" t="s">
        <v>2033</v>
      </c>
      <c r="J219" s="20" t="s">
        <v>2035</v>
      </c>
      <c r="K219" s="13" t="s">
        <v>148</v>
      </c>
      <c r="L219" s="26"/>
      <c r="M219" s="27" t="s">
        <v>150</v>
      </c>
      <c r="N219" s="13" t="s">
        <v>56</v>
      </c>
      <c r="O219" s="13" t="s">
        <v>42</v>
      </c>
      <c r="P219" s="34"/>
      <c r="Q219" s="13" t="s">
        <v>44</v>
      </c>
      <c r="R219" s="13" t="s">
        <v>46</v>
      </c>
      <c r="S219" s="37"/>
      <c r="T219" s="37"/>
      <c r="U219" s="26"/>
      <c r="V219" s="37">
        <v>5.0</v>
      </c>
    </row>
    <row r="220">
      <c r="A220" s="13">
        <v>219.0</v>
      </c>
      <c r="B220" s="15">
        <v>46099.0</v>
      </c>
      <c r="C220" s="13" t="s">
        <v>47</v>
      </c>
      <c r="D220" s="13" t="s">
        <v>92</v>
      </c>
      <c r="E220" s="20" t="s">
        <v>437</v>
      </c>
      <c r="F220" s="13">
        <v>5.40777061E8</v>
      </c>
      <c r="G220" s="20" t="s">
        <v>28</v>
      </c>
      <c r="H220" s="13" t="s">
        <v>2041</v>
      </c>
      <c r="I220" s="20" t="s">
        <v>2043</v>
      </c>
      <c r="J220" s="20" t="s">
        <v>35</v>
      </c>
      <c r="K220" s="13" t="s">
        <v>36</v>
      </c>
      <c r="L220" s="26"/>
      <c r="M220" s="27" t="s">
        <v>221</v>
      </c>
      <c r="N220" s="13" t="s">
        <v>40</v>
      </c>
      <c r="O220" s="13" t="s">
        <v>42</v>
      </c>
      <c r="P220" s="34"/>
      <c r="Q220" s="13" t="s">
        <v>44</v>
      </c>
      <c r="R220" s="13" t="s">
        <v>46</v>
      </c>
      <c r="S220" s="37"/>
      <c r="T220" s="37"/>
      <c r="U220" s="26"/>
      <c r="V220" s="37">
        <v>5.0</v>
      </c>
    </row>
    <row r="221" ht="66.75" customHeight="1">
      <c r="A221" s="13">
        <v>220.0</v>
      </c>
      <c r="B221" s="15">
        <v>46099.0</v>
      </c>
      <c r="C221" s="13" t="s">
        <v>47</v>
      </c>
      <c r="D221" s="13" t="s">
        <v>48</v>
      </c>
      <c r="E221" s="20" t="s">
        <v>2049</v>
      </c>
      <c r="F221" s="13">
        <v>5.55555524E8</v>
      </c>
      <c r="G221" s="20" t="s">
        <v>41</v>
      </c>
      <c r="H221" s="13" t="s">
        <v>222</v>
      </c>
      <c r="I221" s="20" t="s">
        <v>2051</v>
      </c>
      <c r="J221" s="20" t="s">
        <v>2052</v>
      </c>
      <c r="K221" s="13" t="s">
        <v>36</v>
      </c>
      <c r="L221" s="26"/>
      <c r="M221" s="27" t="s">
        <v>611</v>
      </c>
      <c r="N221" s="13" t="s">
        <v>56</v>
      </c>
      <c r="O221" s="13" t="s">
        <v>42</v>
      </c>
      <c r="P221" s="34"/>
      <c r="Q221" s="13" t="s">
        <v>44</v>
      </c>
      <c r="R221" s="13" t="s">
        <v>46</v>
      </c>
      <c r="S221" s="37"/>
      <c r="T221" s="37"/>
      <c r="U221" s="26"/>
      <c r="V221" s="37">
        <v>5.0</v>
      </c>
    </row>
    <row r="222" hidden="1">
      <c r="A222" s="13">
        <v>221.0</v>
      </c>
      <c r="B222" s="15">
        <v>46100.0</v>
      </c>
      <c r="C222" s="13" t="s">
        <v>21</v>
      </c>
      <c r="D222" s="13" t="s">
        <v>24</v>
      </c>
      <c r="E222" s="20" t="s">
        <v>2058</v>
      </c>
      <c r="F222" s="13">
        <v>5.54578713E8</v>
      </c>
      <c r="G222" s="20" t="s">
        <v>172</v>
      </c>
      <c r="H222" s="13" t="s">
        <v>27</v>
      </c>
      <c r="I222" s="20" t="s">
        <v>2060</v>
      </c>
      <c r="J222" s="20" t="s">
        <v>35</v>
      </c>
      <c r="K222" s="13" t="s">
        <v>62</v>
      </c>
      <c r="L222" s="126"/>
      <c r="M222" s="128" t="s">
        <v>38</v>
      </c>
      <c r="N222" s="13" t="s">
        <v>40</v>
      </c>
      <c r="O222" s="13" t="s">
        <v>42</v>
      </c>
      <c r="P222" s="34"/>
      <c r="Q222" s="13" t="s">
        <v>44</v>
      </c>
      <c r="R222" s="13" t="s">
        <v>46</v>
      </c>
      <c r="S222" s="37"/>
      <c r="T222" s="37"/>
      <c r="U222" s="26"/>
      <c r="V222" s="37">
        <v>5.0</v>
      </c>
    </row>
    <row r="223" hidden="1">
      <c r="A223" s="13">
        <v>222.0</v>
      </c>
      <c r="B223" s="15">
        <v>46100.0</v>
      </c>
      <c r="C223" s="13" t="s">
        <v>21</v>
      </c>
      <c r="D223" s="13" t="s">
        <v>24</v>
      </c>
      <c r="E223" s="13" t="s">
        <v>27</v>
      </c>
      <c r="F223" s="13">
        <v>5.51887372E8</v>
      </c>
      <c r="G223" s="20" t="s">
        <v>152</v>
      </c>
      <c r="H223" s="13" t="s">
        <v>27</v>
      </c>
      <c r="I223" s="61" t="s">
        <v>2066</v>
      </c>
      <c r="J223" s="20" t="s">
        <v>35</v>
      </c>
      <c r="K223" s="13" t="s">
        <v>62</v>
      </c>
      <c r="L223" s="26"/>
      <c r="M223" s="27" t="s">
        <v>38</v>
      </c>
      <c r="N223" s="13" t="s">
        <v>40</v>
      </c>
      <c r="O223" s="13" t="s">
        <v>42</v>
      </c>
      <c r="P223" s="34"/>
      <c r="Q223" s="13" t="s">
        <v>44</v>
      </c>
      <c r="R223" s="13" t="s">
        <v>46</v>
      </c>
      <c r="S223" s="37"/>
      <c r="T223" s="37"/>
      <c r="U223" s="26"/>
      <c r="V223" s="37">
        <v>5.0</v>
      </c>
    </row>
    <row r="224" hidden="1">
      <c r="A224" s="13">
        <v>223.0</v>
      </c>
      <c r="B224" s="15">
        <v>46106.0</v>
      </c>
      <c r="C224" s="13" t="s">
        <v>21</v>
      </c>
      <c r="D224" s="13" t="s">
        <v>24</v>
      </c>
      <c r="E224" s="20" t="s">
        <v>2073</v>
      </c>
      <c r="F224" s="13">
        <v>5.46910777E8</v>
      </c>
      <c r="G224" s="13" t="s">
        <v>27</v>
      </c>
      <c r="H224" s="13" t="s">
        <v>27</v>
      </c>
      <c r="I224" s="20" t="s">
        <v>2076</v>
      </c>
      <c r="J224" s="20" t="s">
        <v>35</v>
      </c>
      <c r="K224" s="13" t="s">
        <v>39</v>
      </c>
      <c r="L224" s="27"/>
      <c r="M224" s="27" t="s">
        <v>421</v>
      </c>
      <c r="N224" s="13" t="s">
        <v>40</v>
      </c>
      <c r="O224" s="13" t="s">
        <v>42</v>
      </c>
      <c r="P224" s="34"/>
      <c r="Q224" s="13" t="s">
        <v>49</v>
      </c>
      <c r="R224" s="13" t="s">
        <v>46</v>
      </c>
      <c r="S224" s="37"/>
      <c r="T224" s="37"/>
      <c r="U224" s="26"/>
      <c r="V224" s="37">
        <v>5.0</v>
      </c>
    </row>
    <row r="225" hidden="1">
      <c r="A225" s="13">
        <v>224.0</v>
      </c>
      <c r="B225" s="15">
        <v>46106.0</v>
      </c>
      <c r="C225" s="13" t="s">
        <v>21</v>
      </c>
      <c r="D225" s="13" t="s">
        <v>22</v>
      </c>
      <c r="E225" s="20" t="s">
        <v>2082</v>
      </c>
      <c r="F225" s="13">
        <v>5.0015043E7</v>
      </c>
      <c r="G225" s="20" t="s">
        <v>2083</v>
      </c>
      <c r="H225" s="13" t="s">
        <v>27</v>
      </c>
      <c r="I225" s="20" t="s">
        <v>2084</v>
      </c>
      <c r="J225" s="20" t="s">
        <v>35</v>
      </c>
      <c r="K225" s="13" t="s">
        <v>321</v>
      </c>
      <c r="L225" s="26"/>
      <c r="M225" s="27" t="s">
        <v>38</v>
      </c>
      <c r="N225" s="13" t="s">
        <v>40</v>
      </c>
      <c r="O225" s="13" t="s">
        <v>42</v>
      </c>
      <c r="P225" s="34"/>
      <c r="Q225" s="13" t="s">
        <v>49</v>
      </c>
      <c r="R225" s="13" t="s">
        <v>46</v>
      </c>
      <c r="S225" s="37"/>
      <c r="T225" s="37"/>
      <c r="U225" s="26"/>
      <c r="V225" s="37">
        <v>5.0</v>
      </c>
    </row>
    <row r="226" hidden="1">
      <c r="A226" s="13">
        <v>225.0</v>
      </c>
      <c r="B226" s="15">
        <v>46106.0</v>
      </c>
      <c r="C226" s="13" t="s">
        <v>58</v>
      </c>
      <c r="D226" s="13" t="s">
        <v>60</v>
      </c>
      <c r="E226" s="20" t="s">
        <v>2089</v>
      </c>
      <c r="F226" s="13">
        <v>5.55897399E8</v>
      </c>
      <c r="G226" s="20" t="s">
        <v>79</v>
      </c>
      <c r="H226" s="13" t="s">
        <v>431</v>
      </c>
      <c r="I226" s="20" t="s">
        <v>2090</v>
      </c>
      <c r="J226" s="20" t="s">
        <v>2091</v>
      </c>
      <c r="K226" s="13" t="s">
        <v>36</v>
      </c>
      <c r="L226" s="26"/>
      <c r="M226" s="27" t="s">
        <v>88</v>
      </c>
      <c r="N226" s="13" t="s">
        <v>56</v>
      </c>
      <c r="O226" s="13" t="s">
        <v>42</v>
      </c>
      <c r="P226" s="34"/>
      <c r="Q226" s="13" t="s">
        <v>49</v>
      </c>
      <c r="R226" s="13" t="s">
        <v>68</v>
      </c>
      <c r="S226" s="37"/>
      <c r="T226" s="37"/>
      <c r="U226" s="26"/>
      <c r="V226" s="37">
        <v>5.0</v>
      </c>
    </row>
    <row r="227" hidden="1">
      <c r="A227" s="13">
        <v>226.0</v>
      </c>
      <c r="B227" s="15">
        <v>46106.0</v>
      </c>
      <c r="C227" s="13" t="s">
        <v>21</v>
      </c>
      <c r="D227" s="13" t="s">
        <v>66</v>
      </c>
      <c r="E227" s="20" t="s">
        <v>2095</v>
      </c>
      <c r="F227" s="13">
        <v>5.60665207E8</v>
      </c>
      <c r="G227" s="20" t="s">
        <v>172</v>
      </c>
      <c r="H227" s="13" t="s">
        <v>27</v>
      </c>
      <c r="I227" s="20" t="s">
        <v>2096</v>
      </c>
      <c r="J227" s="20" t="s">
        <v>35</v>
      </c>
      <c r="K227" s="13" t="s">
        <v>36</v>
      </c>
      <c r="L227" s="26"/>
      <c r="M227" s="27" t="s">
        <v>38</v>
      </c>
      <c r="N227" s="13" t="s">
        <v>40</v>
      </c>
      <c r="O227" s="13" t="s">
        <v>42</v>
      </c>
      <c r="P227" s="34"/>
      <c r="Q227" s="13" t="s">
        <v>49</v>
      </c>
      <c r="R227" s="13" t="s">
        <v>68</v>
      </c>
      <c r="S227" s="37"/>
      <c r="T227" s="37"/>
      <c r="U227" s="26"/>
      <c r="V227" s="37">
        <v>5.0</v>
      </c>
    </row>
    <row r="228">
      <c r="A228" s="13">
        <v>227.0</v>
      </c>
      <c r="B228" s="15">
        <v>46106.0</v>
      </c>
      <c r="C228" s="13" t="s">
        <v>47</v>
      </c>
      <c r="D228" s="13" t="s">
        <v>138</v>
      </c>
      <c r="E228" s="13" t="s">
        <v>2100</v>
      </c>
      <c r="F228" s="13" t="s">
        <v>27</v>
      </c>
      <c r="G228" s="20" t="s">
        <v>41</v>
      </c>
      <c r="H228" s="13" t="s">
        <v>329</v>
      </c>
      <c r="I228" s="20" t="s">
        <v>2101</v>
      </c>
      <c r="J228" s="20" t="s">
        <v>2102</v>
      </c>
      <c r="K228" s="13" t="s">
        <v>78</v>
      </c>
      <c r="L228" s="26"/>
      <c r="M228" s="27" t="s">
        <v>1758</v>
      </c>
      <c r="N228" s="13" t="s">
        <v>56</v>
      </c>
      <c r="O228" s="13" t="s">
        <v>42</v>
      </c>
      <c r="P228" s="34"/>
      <c r="Q228" s="13" t="s">
        <v>49</v>
      </c>
      <c r="R228" s="13" t="s">
        <v>46</v>
      </c>
      <c r="S228" s="37"/>
      <c r="T228" s="37"/>
      <c r="U228" s="26"/>
      <c r="V228" s="37">
        <v>5.0</v>
      </c>
    </row>
    <row r="229">
      <c r="A229" s="13">
        <v>228.0</v>
      </c>
      <c r="B229" s="15">
        <v>46106.0</v>
      </c>
      <c r="C229" s="13" t="s">
        <v>47</v>
      </c>
      <c r="D229" s="13" t="s">
        <v>138</v>
      </c>
      <c r="E229" s="13" t="s">
        <v>2106</v>
      </c>
      <c r="F229" s="13" t="s">
        <v>27</v>
      </c>
      <c r="G229" s="20" t="s">
        <v>79</v>
      </c>
      <c r="H229" s="13" t="s">
        <v>2109</v>
      </c>
      <c r="I229" s="20" t="s">
        <v>2111</v>
      </c>
      <c r="J229" s="20" t="s">
        <v>2112</v>
      </c>
      <c r="K229" s="13" t="s">
        <v>78</v>
      </c>
      <c r="L229" s="27"/>
      <c r="M229" s="27" t="s">
        <v>975</v>
      </c>
      <c r="N229" s="13" t="s">
        <v>56</v>
      </c>
      <c r="O229" s="13" t="s">
        <v>42</v>
      </c>
      <c r="P229" s="34"/>
      <c r="Q229" s="13" t="s">
        <v>49</v>
      </c>
      <c r="R229" s="13" t="s">
        <v>46</v>
      </c>
      <c r="S229" s="37"/>
      <c r="T229" s="37"/>
      <c r="U229" s="26"/>
      <c r="V229" s="37">
        <v>5.0</v>
      </c>
    </row>
    <row r="230">
      <c r="A230" s="13">
        <v>229.0</v>
      </c>
      <c r="B230" s="15">
        <v>46106.0</v>
      </c>
      <c r="C230" s="13" t="s">
        <v>47</v>
      </c>
      <c r="D230" s="13" t="s">
        <v>48</v>
      </c>
      <c r="E230" s="13" t="s">
        <v>2116</v>
      </c>
      <c r="F230" s="13" t="s">
        <v>27</v>
      </c>
      <c r="G230" s="20" t="s">
        <v>41</v>
      </c>
      <c r="H230" s="13" t="s">
        <v>1220</v>
      </c>
      <c r="I230" s="20" t="s">
        <v>2120</v>
      </c>
      <c r="J230" s="20" t="s">
        <v>2121</v>
      </c>
      <c r="K230" s="13" t="s">
        <v>78</v>
      </c>
      <c r="L230" s="27"/>
      <c r="M230" s="27" t="s">
        <v>1883</v>
      </c>
      <c r="N230" s="13" t="s">
        <v>56</v>
      </c>
      <c r="O230" s="13" t="s">
        <v>42</v>
      </c>
      <c r="P230" s="34"/>
      <c r="Q230" s="13" t="s">
        <v>49</v>
      </c>
      <c r="R230" s="13" t="s">
        <v>46</v>
      </c>
      <c r="S230" s="37"/>
      <c r="T230" s="37"/>
      <c r="U230" s="26"/>
      <c r="V230" s="37">
        <v>5.0</v>
      </c>
    </row>
    <row r="231">
      <c r="A231" s="13">
        <v>230.0</v>
      </c>
      <c r="B231" s="15">
        <v>46106.0</v>
      </c>
      <c r="C231" s="13" t="s">
        <v>47</v>
      </c>
      <c r="D231" s="13" t="s">
        <v>48</v>
      </c>
      <c r="E231" s="20" t="s">
        <v>2129</v>
      </c>
      <c r="F231" s="13" t="s">
        <v>27</v>
      </c>
      <c r="G231" s="20" t="s">
        <v>41</v>
      </c>
      <c r="H231" s="13" t="s">
        <v>1220</v>
      </c>
      <c r="I231" s="20" t="s">
        <v>2130</v>
      </c>
      <c r="J231" s="20" t="s">
        <v>2121</v>
      </c>
      <c r="K231" s="13" t="s">
        <v>78</v>
      </c>
      <c r="L231" s="26"/>
      <c r="M231" s="27" t="s">
        <v>55</v>
      </c>
      <c r="N231" s="13" t="s">
        <v>56</v>
      </c>
      <c r="O231" s="13" t="s">
        <v>42</v>
      </c>
      <c r="P231" s="34"/>
      <c r="Q231" s="13" t="s">
        <v>49</v>
      </c>
      <c r="R231" s="13" t="s">
        <v>46</v>
      </c>
      <c r="S231" s="37"/>
      <c r="T231" s="37"/>
      <c r="U231" s="26"/>
      <c r="V231" s="37">
        <v>5.0</v>
      </c>
    </row>
    <row r="232">
      <c r="A232" s="13">
        <v>231.0</v>
      </c>
      <c r="B232" s="15">
        <v>46106.0</v>
      </c>
      <c r="C232" s="13" t="s">
        <v>47</v>
      </c>
      <c r="D232" s="13" t="s">
        <v>92</v>
      </c>
      <c r="E232" s="131" t="s">
        <v>2138</v>
      </c>
      <c r="F232" s="13" t="s">
        <v>27</v>
      </c>
      <c r="G232" s="20" t="s">
        <v>28</v>
      </c>
      <c r="H232" s="13" t="s">
        <v>777</v>
      </c>
      <c r="I232" s="20" t="s">
        <v>2140</v>
      </c>
      <c r="J232" s="20" t="s">
        <v>35</v>
      </c>
      <c r="K232" s="13" t="s">
        <v>78</v>
      </c>
      <c r="L232" s="26"/>
      <c r="M232" s="27" t="s">
        <v>2143</v>
      </c>
      <c r="N232" s="13" t="s">
        <v>40</v>
      </c>
      <c r="O232" s="13" t="s">
        <v>42</v>
      </c>
      <c r="P232" s="34"/>
      <c r="Q232" s="13" t="s">
        <v>49</v>
      </c>
      <c r="R232" s="13" t="s">
        <v>46</v>
      </c>
      <c r="S232" s="37"/>
      <c r="T232" s="37"/>
      <c r="U232" s="26"/>
      <c r="V232" s="37">
        <v>5.0</v>
      </c>
    </row>
    <row r="233">
      <c r="A233" s="13">
        <v>232.0</v>
      </c>
      <c r="B233" s="15">
        <v>46106.0</v>
      </c>
      <c r="C233" s="13" t="s">
        <v>47</v>
      </c>
      <c r="D233" s="13" t="s">
        <v>48</v>
      </c>
      <c r="E233" s="13" t="s">
        <v>2146</v>
      </c>
      <c r="F233" s="13" t="s">
        <v>27</v>
      </c>
      <c r="G233" s="20" t="s">
        <v>41</v>
      </c>
      <c r="H233" s="13" t="s">
        <v>52</v>
      </c>
      <c r="I233" s="20" t="s">
        <v>2148</v>
      </c>
      <c r="J233" s="20" t="s">
        <v>2149</v>
      </c>
      <c r="K233" s="13" t="s">
        <v>78</v>
      </c>
      <c r="L233" s="26"/>
      <c r="M233" s="27" t="s">
        <v>55</v>
      </c>
      <c r="N233" s="13" t="s">
        <v>56</v>
      </c>
      <c r="O233" s="13" t="s">
        <v>42</v>
      </c>
      <c r="P233" s="34"/>
      <c r="Q233" s="13" t="s">
        <v>49</v>
      </c>
      <c r="R233" s="13" t="s">
        <v>46</v>
      </c>
      <c r="S233" s="37"/>
      <c r="T233" s="37"/>
      <c r="U233" s="26"/>
      <c r="V233" s="37">
        <v>5.0</v>
      </c>
    </row>
    <row r="234">
      <c r="A234" s="13">
        <v>233.0</v>
      </c>
      <c r="B234" s="15">
        <v>46106.0</v>
      </c>
      <c r="C234" s="13" t="s">
        <v>47</v>
      </c>
      <c r="D234" s="13" t="s">
        <v>48</v>
      </c>
      <c r="E234" s="13" t="s">
        <v>2157</v>
      </c>
      <c r="F234" s="13" t="s">
        <v>27</v>
      </c>
      <c r="G234" s="20" t="s">
        <v>41</v>
      </c>
      <c r="H234" s="13" t="s">
        <v>52</v>
      </c>
      <c r="I234" s="132" t="s">
        <v>2159</v>
      </c>
      <c r="J234" s="20" t="s">
        <v>2149</v>
      </c>
      <c r="K234" s="13" t="s">
        <v>78</v>
      </c>
      <c r="L234" s="26"/>
      <c r="M234" s="27" t="s">
        <v>55</v>
      </c>
      <c r="N234" s="13" t="s">
        <v>56</v>
      </c>
      <c r="O234" s="13" t="s">
        <v>42</v>
      </c>
      <c r="P234" s="34"/>
      <c r="Q234" s="13" t="s">
        <v>49</v>
      </c>
      <c r="R234" s="13" t="s">
        <v>46</v>
      </c>
      <c r="S234" s="37"/>
      <c r="T234" s="37"/>
      <c r="U234" s="26"/>
      <c r="V234" s="37">
        <v>5.0</v>
      </c>
    </row>
    <row r="235">
      <c r="A235" s="13">
        <v>234.0</v>
      </c>
      <c r="B235" s="15">
        <v>46106.0</v>
      </c>
      <c r="C235" s="13" t="s">
        <v>47</v>
      </c>
      <c r="D235" s="13" t="s">
        <v>48</v>
      </c>
      <c r="E235" s="13" t="s">
        <v>2164</v>
      </c>
      <c r="F235" s="13" t="s">
        <v>27</v>
      </c>
      <c r="G235" s="20" t="s">
        <v>79</v>
      </c>
      <c r="H235" s="13" t="s">
        <v>638</v>
      </c>
      <c r="I235" s="132" t="s">
        <v>2167</v>
      </c>
      <c r="J235" s="20" t="s">
        <v>2168</v>
      </c>
      <c r="K235" s="13" t="s">
        <v>78</v>
      </c>
      <c r="L235" s="26"/>
      <c r="M235" s="27" t="s">
        <v>55</v>
      </c>
      <c r="N235" s="13" t="s">
        <v>56</v>
      </c>
      <c r="O235" s="13" t="s">
        <v>42</v>
      </c>
      <c r="P235" s="34"/>
      <c r="Q235" s="13" t="s">
        <v>49</v>
      </c>
      <c r="R235" s="13" t="s">
        <v>46</v>
      </c>
      <c r="S235" s="37"/>
      <c r="T235" s="37"/>
      <c r="U235" s="26"/>
      <c r="V235" s="37">
        <v>5.0</v>
      </c>
    </row>
    <row r="236">
      <c r="A236" s="13">
        <v>235.0</v>
      </c>
      <c r="B236" s="15">
        <v>46106.0</v>
      </c>
      <c r="C236" s="13" t="s">
        <v>47</v>
      </c>
      <c r="D236" s="13" t="s">
        <v>48</v>
      </c>
      <c r="E236" s="13" t="s">
        <v>2178</v>
      </c>
      <c r="F236" s="13" t="s">
        <v>27</v>
      </c>
      <c r="G236" s="20" t="s">
        <v>41</v>
      </c>
      <c r="H236" s="13" t="s">
        <v>513</v>
      </c>
      <c r="I236" s="133" t="s">
        <v>2183</v>
      </c>
      <c r="J236" s="20" t="s">
        <v>2185</v>
      </c>
      <c r="K236" s="13" t="s">
        <v>78</v>
      </c>
      <c r="L236" s="27"/>
      <c r="M236" s="27" t="s">
        <v>1473</v>
      </c>
      <c r="N236" s="13" t="s">
        <v>56</v>
      </c>
      <c r="O236" s="13" t="s">
        <v>42</v>
      </c>
      <c r="P236" s="34"/>
      <c r="Q236" s="13" t="s">
        <v>49</v>
      </c>
      <c r="R236" s="13" t="s">
        <v>46</v>
      </c>
      <c r="S236" s="37"/>
      <c r="T236" s="37"/>
      <c r="U236" s="26"/>
      <c r="V236" s="37">
        <v>5.0</v>
      </c>
    </row>
    <row r="237">
      <c r="A237" s="13">
        <v>236.0</v>
      </c>
      <c r="B237" s="15">
        <v>46106.0</v>
      </c>
      <c r="C237" s="13" t="s">
        <v>47</v>
      </c>
      <c r="D237" s="13" t="s">
        <v>48</v>
      </c>
      <c r="E237" s="13" t="s">
        <v>2188</v>
      </c>
      <c r="F237" s="13" t="s">
        <v>27</v>
      </c>
      <c r="G237" s="20" t="s">
        <v>41</v>
      </c>
      <c r="H237" s="13" t="s">
        <v>914</v>
      </c>
      <c r="I237" s="20" t="s">
        <v>2189</v>
      </c>
      <c r="J237" s="20" t="s">
        <v>2190</v>
      </c>
      <c r="K237" s="13" t="s">
        <v>78</v>
      </c>
      <c r="L237" s="26"/>
      <c r="M237" s="27" t="s">
        <v>55</v>
      </c>
      <c r="N237" s="13" t="s">
        <v>56</v>
      </c>
      <c r="O237" s="13" t="s">
        <v>42</v>
      </c>
      <c r="P237" s="34"/>
      <c r="Q237" s="13" t="s">
        <v>49</v>
      </c>
      <c r="R237" s="13" t="s">
        <v>46</v>
      </c>
      <c r="S237" s="37"/>
      <c r="T237" s="37"/>
      <c r="U237" s="26"/>
      <c r="V237" s="37">
        <v>5.0</v>
      </c>
    </row>
    <row r="238">
      <c r="A238" s="13">
        <v>237.0</v>
      </c>
      <c r="B238" s="15">
        <v>46106.0</v>
      </c>
      <c r="C238" s="13" t="s">
        <v>47</v>
      </c>
      <c r="D238" s="13" t="s">
        <v>48</v>
      </c>
      <c r="E238" s="134" t="s">
        <v>2195</v>
      </c>
      <c r="F238" s="13" t="s">
        <v>27</v>
      </c>
      <c r="G238" s="20" t="s">
        <v>41</v>
      </c>
      <c r="H238" s="13" t="s">
        <v>791</v>
      </c>
      <c r="I238" s="20" t="s">
        <v>2196</v>
      </c>
      <c r="J238" s="20" t="s">
        <v>2198</v>
      </c>
      <c r="K238" s="13" t="s">
        <v>78</v>
      </c>
      <c r="L238" s="26"/>
      <c r="M238" s="27" t="s">
        <v>55</v>
      </c>
      <c r="N238" s="13" t="s">
        <v>56</v>
      </c>
      <c r="O238" s="13" t="s">
        <v>42</v>
      </c>
      <c r="P238" s="34"/>
      <c r="Q238" s="13" t="s">
        <v>49</v>
      </c>
      <c r="R238" s="13" t="s">
        <v>46</v>
      </c>
      <c r="S238" s="37"/>
      <c r="T238" s="37"/>
      <c r="U238" s="26"/>
      <c r="V238" s="37">
        <v>5.0</v>
      </c>
    </row>
    <row r="239" hidden="1">
      <c r="A239" s="13">
        <v>238.0</v>
      </c>
      <c r="B239" s="15">
        <v>46106.0</v>
      </c>
      <c r="C239" s="13" t="s">
        <v>58</v>
      </c>
      <c r="D239" s="13" t="s">
        <v>60</v>
      </c>
      <c r="E239" s="20" t="s">
        <v>349</v>
      </c>
      <c r="F239" s="13">
        <v>5.35857548E8</v>
      </c>
      <c r="G239" s="20" t="s">
        <v>41</v>
      </c>
      <c r="H239" s="13" t="s">
        <v>27</v>
      </c>
      <c r="I239" s="20" t="s">
        <v>2206</v>
      </c>
      <c r="J239" s="20" t="s">
        <v>35</v>
      </c>
      <c r="K239" s="13" t="s">
        <v>36</v>
      </c>
      <c r="L239" s="27"/>
      <c r="M239" s="27" t="s">
        <v>101</v>
      </c>
      <c r="N239" s="13" t="s">
        <v>56</v>
      </c>
      <c r="O239" s="13" t="s">
        <v>42</v>
      </c>
      <c r="P239" s="34"/>
      <c r="Q239" s="13" t="s">
        <v>49</v>
      </c>
      <c r="R239" s="13" t="s">
        <v>68</v>
      </c>
      <c r="S239" s="37"/>
      <c r="T239" s="37"/>
      <c r="U239" s="26"/>
      <c r="V239" s="37">
        <v>5.0</v>
      </c>
    </row>
    <row r="240" hidden="1">
      <c r="A240" s="13">
        <v>239.0</v>
      </c>
      <c r="B240" s="15">
        <v>46106.0</v>
      </c>
      <c r="C240" s="13" t="s">
        <v>21</v>
      </c>
      <c r="D240" s="13" t="s">
        <v>22</v>
      </c>
      <c r="E240" s="20" t="s">
        <v>2211</v>
      </c>
      <c r="F240" s="13">
        <v>5.6374777E8</v>
      </c>
      <c r="G240" s="20" t="s">
        <v>112</v>
      </c>
      <c r="H240" s="13" t="s">
        <v>27</v>
      </c>
      <c r="I240" s="20" t="s">
        <v>2213</v>
      </c>
      <c r="J240" s="20" t="s">
        <v>35</v>
      </c>
      <c r="K240" s="13" t="s">
        <v>36</v>
      </c>
      <c r="L240" s="27"/>
      <c r="M240" s="27" t="s">
        <v>1148</v>
      </c>
      <c r="N240" s="13" t="s">
        <v>40</v>
      </c>
      <c r="O240" s="13" t="s">
        <v>42</v>
      </c>
      <c r="P240" s="34"/>
      <c r="Q240" s="13" t="s">
        <v>49</v>
      </c>
      <c r="R240" s="13" t="s">
        <v>46</v>
      </c>
      <c r="S240" s="37"/>
      <c r="T240" s="37"/>
      <c r="U240" s="26"/>
      <c r="V240" s="37">
        <v>5.0</v>
      </c>
    </row>
    <row r="241" hidden="1">
      <c r="A241" s="13">
        <v>240.0</v>
      </c>
      <c r="B241" s="15">
        <v>46106.0</v>
      </c>
      <c r="C241" s="13" t="s">
        <v>58</v>
      </c>
      <c r="D241" s="13" t="s">
        <v>60</v>
      </c>
      <c r="E241" s="13" t="s">
        <v>27</v>
      </c>
      <c r="F241" s="13">
        <v>5.00398065E8</v>
      </c>
      <c r="G241" s="13" t="s">
        <v>27</v>
      </c>
      <c r="H241" s="13" t="s">
        <v>27</v>
      </c>
      <c r="I241" s="20" t="s">
        <v>554</v>
      </c>
      <c r="J241" s="20" t="s">
        <v>35</v>
      </c>
      <c r="K241" s="13" t="s">
        <v>36</v>
      </c>
      <c r="L241" s="26"/>
      <c r="M241" s="27" t="s">
        <v>88</v>
      </c>
      <c r="N241" s="13" t="s">
        <v>56</v>
      </c>
      <c r="O241" s="13" t="s">
        <v>42</v>
      </c>
      <c r="P241" s="34"/>
      <c r="Q241" s="13" t="s">
        <v>49</v>
      </c>
      <c r="R241" s="13" t="s">
        <v>68</v>
      </c>
      <c r="S241" s="37"/>
      <c r="T241" s="37"/>
      <c r="U241" s="26"/>
      <c r="V241" s="37">
        <v>5.0</v>
      </c>
    </row>
    <row r="242" hidden="1">
      <c r="A242" s="13">
        <v>241.0</v>
      </c>
      <c r="B242" s="15">
        <v>46106.0</v>
      </c>
      <c r="C242" s="13" t="s">
        <v>21</v>
      </c>
      <c r="D242" s="13" t="s">
        <v>24</v>
      </c>
      <c r="E242" s="20" t="s">
        <v>873</v>
      </c>
      <c r="F242" s="13">
        <v>5.81222038E8</v>
      </c>
      <c r="G242" s="20" t="s">
        <v>41</v>
      </c>
      <c r="H242" s="13" t="s">
        <v>27</v>
      </c>
      <c r="I242" s="20" t="s">
        <v>2230</v>
      </c>
      <c r="J242" s="20" t="s">
        <v>35</v>
      </c>
      <c r="K242" s="13" t="s">
        <v>36</v>
      </c>
      <c r="L242" s="26"/>
      <c r="M242" s="27" t="s">
        <v>38</v>
      </c>
      <c r="N242" s="13" t="s">
        <v>40</v>
      </c>
      <c r="O242" s="13" t="s">
        <v>42</v>
      </c>
      <c r="P242" s="34"/>
      <c r="Q242" s="13" t="s">
        <v>49</v>
      </c>
      <c r="R242" s="13" t="s">
        <v>46</v>
      </c>
      <c r="S242" s="37"/>
      <c r="T242" s="37"/>
      <c r="U242" s="26"/>
      <c r="V242" s="37">
        <v>5.0</v>
      </c>
    </row>
    <row r="243" hidden="1">
      <c r="A243" s="13">
        <v>242.0</v>
      </c>
      <c r="B243" s="15">
        <v>46106.0</v>
      </c>
      <c r="C243" s="13" t="s">
        <v>21</v>
      </c>
      <c r="D243" s="13" t="s">
        <v>24</v>
      </c>
      <c r="E243" s="20" t="s">
        <v>2238</v>
      </c>
      <c r="F243" s="13">
        <v>5.02088579E8</v>
      </c>
      <c r="G243" s="20" t="s">
        <v>29</v>
      </c>
      <c r="H243" s="13" t="s">
        <v>27</v>
      </c>
      <c r="I243" s="20" t="s">
        <v>2239</v>
      </c>
      <c r="J243" s="20" t="s">
        <v>35</v>
      </c>
      <c r="K243" s="13" t="s">
        <v>36</v>
      </c>
      <c r="L243" s="26"/>
      <c r="M243" s="27" t="s">
        <v>38</v>
      </c>
      <c r="N243" s="13" t="s">
        <v>40</v>
      </c>
      <c r="O243" s="13" t="s">
        <v>42</v>
      </c>
      <c r="P243" s="34"/>
      <c r="Q243" s="13" t="s">
        <v>49</v>
      </c>
      <c r="R243" s="13" t="s">
        <v>46</v>
      </c>
      <c r="S243" s="37"/>
      <c r="T243" s="37"/>
      <c r="U243" s="26"/>
      <c r="V243" s="37">
        <v>5.0</v>
      </c>
    </row>
    <row r="244" hidden="1">
      <c r="A244" s="13">
        <v>243.0</v>
      </c>
      <c r="B244" s="15">
        <v>46106.0</v>
      </c>
      <c r="C244" s="13" t="s">
        <v>21</v>
      </c>
      <c r="D244" s="13" t="s">
        <v>24</v>
      </c>
      <c r="E244" s="20" t="s">
        <v>2242</v>
      </c>
      <c r="F244" s="13">
        <v>5.36359206E8</v>
      </c>
      <c r="G244" s="20" t="s">
        <v>237</v>
      </c>
      <c r="H244" s="13" t="s">
        <v>27</v>
      </c>
      <c r="I244" s="20" t="s">
        <v>2244</v>
      </c>
      <c r="J244" s="20" t="s">
        <v>35</v>
      </c>
      <c r="K244" s="13" t="s">
        <v>36</v>
      </c>
      <c r="L244" s="26"/>
      <c r="M244" s="27" t="s">
        <v>38</v>
      </c>
      <c r="N244" s="13" t="s">
        <v>40</v>
      </c>
      <c r="O244" s="13" t="s">
        <v>42</v>
      </c>
      <c r="P244" s="34"/>
      <c r="Q244" s="13" t="s">
        <v>49</v>
      </c>
      <c r="R244" s="13" t="s">
        <v>46</v>
      </c>
      <c r="S244" s="37"/>
      <c r="T244" s="37"/>
      <c r="U244" s="26"/>
      <c r="V244" s="37">
        <v>5.0</v>
      </c>
    </row>
    <row r="245" hidden="1">
      <c r="A245" s="13">
        <v>244.0</v>
      </c>
      <c r="B245" s="15">
        <v>46106.0</v>
      </c>
      <c r="C245" s="13" t="s">
        <v>21</v>
      </c>
      <c r="D245" s="13" t="s">
        <v>34</v>
      </c>
      <c r="E245" s="20" t="s">
        <v>287</v>
      </c>
      <c r="F245" s="13">
        <v>5.49680065E8</v>
      </c>
      <c r="G245" s="13" t="s">
        <v>27</v>
      </c>
      <c r="H245" s="13" t="s">
        <v>27</v>
      </c>
      <c r="I245" s="20" t="s">
        <v>2250</v>
      </c>
      <c r="J245" s="20" t="s">
        <v>500</v>
      </c>
      <c r="K245" s="13" t="s">
        <v>36</v>
      </c>
      <c r="L245" s="26"/>
      <c r="M245" s="27" t="s">
        <v>38</v>
      </c>
      <c r="N245" s="13" t="s">
        <v>40</v>
      </c>
      <c r="O245" s="13" t="s">
        <v>42</v>
      </c>
      <c r="P245" s="34"/>
      <c r="Q245" s="13" t="s">
        <v>49</v>
      </c>
      <c r="R245" s="13" t="s">
        <v>68</v>
      </c>
      <c r="S245" s="37"/>
      <c r="T245" s="37"/>
      <c r="U245" s="26"/>
      <c r="V245" s="37">
        <v>5.0</v>
      </c>
    </row>
    <row r="246" hidden="1">
      <c r="A246" s="13">
        <v>245.0</v>
      </c>
      <c r="B246" s="15">
        <v>46106.0</v>
      </c>
      <c r="C246" s="13" t="s">
        <v>21</v>
      </c>
      <c r="D246" s="13" t="s">
        <v>92</v>
      </c>
      <c r="E246" s="20" t="s">
        <v>2255</v>
      </c>
      <c r="F246" s="13">
        <v>5.53410092E8</v>
      </c>
      <c r="G246" s="20" t="s">
        <v>71</v>
      </c>
      <c r="H246" s="13" t="s">
        <v>27</v>
      </c>
      <c r="I246" s="20" t="s">
        <v>2259</v>
      </c>
      <c r="J246" s="20" t="s">
        <v>2262</v>
      </c>
      <c r="K246" s="13" t="s">
        <v>36</v>
      </c>
      <c r="L246" s="26"/>
      <c r="M246" s="27" t="s">
        <v>208</v>
      </c>
      <c r="N246" s="13" t="s">
        <v>56</v>
      </c>
      <c r="O246" s="13" t="s">
        <v>42</v>
      </c>
      <c r="P246" s="34"/>
      <c r="Q246" s="13" t="s">
        <v>49</v>
      </c>
      <c r="R246" s="13" t="s">
        <v>68</v>
      </c>
      <c r="S246" s="37"/>
      <c r="T246" s="37"/>
      <c r="U246" s="26"/>
      <c r="V246" s="37">
        <v>5.0</v>
      </c>
    </row>
    <row r="247" hidden="1">
      <c r="A247" s="13">
        <v>246.0</v>
      </c>
      <c r="B247" s="15">
        <v>46106.0</v>
      </c>
      <c r="C247" s="13" t="s">
        <v>21</v>
      </c>
      <c r="D247" s="13" t="s">
        <v>22</v>
      </c>
      <c r="E247" s="20" t="s">
        <v>2266</v>
      </c>
      <c r="F247" s="13">
        <v>5.62478479E8</v>
      </c>
      <c r="G247" s="20" t="s">
        <v>237</v>
      </c>
      <c r="H247" s="13" t="s">
        <v>27</v>
      </c>
      <c r="I247" s="20" t="s">
        <v>2270</v>
      </c>
      <c r="J247" s="20" t="s">
        <v>35</v>
      </c>
      <c r="K247" s="13" t="s">
        <v>36</v>
      </c>
      <c r="L247" s="26"/>
      <c r="M247" s="27" t="s">
        <v>38</v>
      </c>
      <c r="N247" s="13" t="s">
        <v>40</v>
      </c>
      <c r="O247" s="13" t="s">
        <v>42</v>
      </c>
      <c r="P247" s="34"/>
      <c r="Q247" s="13" t="s">
        <v>49</v>
      </c>
      <c r="R247" s="13" t="s">
        <v>46</v>
      </c>
      <c r="S247" s="37"/>
      <c r="T247" s="37"/>
      <c r="U247" s="26"/>
      <c r="V247" s="37">
        <v>5.0</v>
      </c>
    </row>
    <row r="248" hidden="1">
      <c r="A248" s="13">
        <v>247.0</v>
      </c>
      <c r="B248" s="15">
        <v>46106.0</v>
      </c>
      <c r="C248" s="13" t="s">
        <v>21</v>
      </c>
      <c r="D248" s="13" t="s">
        <v>66</v>
      </c>
      <c r="E248" s="20" t="s">
        <v>2275</v>
      </c>
      <c r="F248" s="13">
        <v>5.01669995E8</v>
      </c>
      <c r="G248" s="20" t="s">
        <v>29</v>
      </c>
      <c r="H248" s="13" t="s">
        <v>27</v>
      </c>
      <c r="I248" s="20" t="s">
        <v>2279</v>
      </c>
      <c r="J248" s="20" t="s">
        <v>35</v>
      </c>
      <c r="K248" s="13" t="s">
        <v>36</v>
      </c>
      <c r="L248" s="26"/>
      <c r="M248" s="27" t="s">
        <v>38</v>
      </c>
      <c r="N248" s="13" t="s">
        <v>56</v>
      </c>
      <c r="O248" s="13" t="s">
        <v>42</v>
      </c>
      <c r="P248" s="34"/>
      <c r="Q248" s="13" t="s">
        <v>49</v>
      </c>
      <c r="R248" s="13" t="s">
        <v>68</v>
      </c>
      <c r="S248" s="37"/>
      <c r="T248" s="37"/>
      <c r="U248" s="26"/>
      <c r="V248" s="37">
        <v>5.0</v>
      </c>
    </row>
    <row r="249" hidden="1">
      <c r="A249" s="13">
        <v>248.0</v>
      </c>
      <c r="B249" s="15">
        <v>46106.0</v>
      </c>
      <c r="C249" s="13" t="s">
        <v>21</v>
      </c>
      <c r="D249" s="13" t="s">
        <v>22</v>
      </c>
      <c r="E249" s="20" t="s">
        <v>2283</v>
      </c>
      <c r="F249" s="13">
        <v>5.66992379E8</v>
      </c>
      <c r="G249" s="20" t="s">
        <v>41</v>
      </c>
      <c r="H249" s="13" t="s">
        <v>27</v>
      </c>
      <c r="I249" s="20" t="s">
        <v>2286</v>
      </c>
      <c r="J249" s="20" t="s">
        <v>35</v>
      </c>
      <c r="K249" s="13" t="s">
        <v>36</v>
      </c>
      <c r="L249" s="26"/>
      <c r="M249" s="27" t="s">
        <v>38</v>
      </c>
      <c r="N249" s="13" t="s">
        <v>40</v>
      </c>
      <c r="O249" s="13" t="s">
        <v>42</v>
      </c>
      <c r="P249" s="34"/>
      <c r="Q249" s="13" t="s">
        <v>49</v>
      </c>
      <c r="R249" s="13" t="s">
        <v>46</v>
      </c>
      <c r="S249" s="37"/>
      <c r="T249" s="37"/>
      <c r="U249" s="26"/>
      <c r="V249" s="37">
        <v>5.0</v>
      </c>
    </row>
    <row r="250" ht="58.5" customHeight="1">
      <c r="A250" s="13">
        <v>249.0</v>
      </c>
      <c r="B250" s="15">
        <v>46106.0</v>
      </c>
      <c r="C250" s="13" t="s">
        <v>47</v>
      </c>
      <c r="D250" s="13" t="s">
        <v>92</v>
      </c>
      <c r="E250" s="20" t="s">
        <v>2291</v>
      </c>
      <c r="F250" s="13">
        <v>5.06735966E8</v>
      </c>
      <c r="G250" s="20" t="s">
        <v>2293</v>
      </c>
      <c r="H250" s="13" t="s">
        <v>735</v>
      </c>
      <c r="I250" s="20" t="s">
        <v>2295</v>
      </c>
      <c r="J250" s="20" t="s">
        <v>35</v>
      </c>
      <c r="K250" s="13" t="s">
        <v>36</v>
      </c>
      <c r="L250" s="26"/>
      <c r="M250" s="27" t="s">
        <v>55</v>
      </c>
      <c r="N250" s="13" t="s">
        <v>40</v>
      </c>
      <c r="O250" s="13" t="s">
        <v>42</v>
      </c>
      <c r="P250" s="34"/>
      <c r="Q250" s="13" t="s">
        <v>49</v>
      </c>
      <c r="R250" s="13" t="s">
        <v>46</v>
      </c>
      <c r="S250" s="37"/>
      <c r="T250" s="37"/>
      <c r="U250" s="26"/>
      <c r="V250" s="37">
        <v>5.0</v>
      </c>
    </row>
    <row r="251" ht="18.0" hidden="1" customHeight="1">
      <c r="A251" s="13">
        <v>250.0</v>
      </c>
      <c r="B251" s="15">
        <v>46106.0</v>
      </c>
      <c r="C251" s="13" t="s">
        <v>58</v>
      </c>
      <c r="D251" s="13" t="s">
        <v>60</v>
      </c>
      <c r="E251" s="13" t="s">
        <v>27</v>
      </c>
      <c r="F251" s="13">
        <v>5.54186496E8</v>
      </c>
      <c r="G251" s="13" t="s">
        <v>27</v>
      </c>
      <c r="H251" s="13" t="s">
        <v>27</v>
      </c>
      <c r="I251" s="20" t="s">
        <v>2300</v>
      </c>
      <c r="J251" s="20" t="s">
        <v>35</v>
      </c>
      <c r="K251" s="13" t="s">
        <v>36</v>
      </c>
      <c r="L251" s="26"/>
      <c r="M251" s="27" t="s">
        <v>88</v>
      </c>
      <c r="N251" s="13" t="s">
        <v>56</v>
      </c>
      <c r="O251" s="13" t="s">
        <v>42</v>
      </c>
      <c r="P251" s="34"/>
      <c r="Q251" s="13" t="s">
        <v>49</v>
      </c>
      <c r="R251" s="13" t="s">
        <v>68</v>
      </c>
      <c r="S251" s="37"/>
      <c r="T251" s="37"/>
      <c r="U251" s="26"/>
      <c r="V251" s="37">
        <v>5.0</v>
      </c>
    </row>
    <row r="252" ht="15.75" hidden="1" customHeight="1">
      <c r="A252" s="13">
        <v>251.0</v>
      </c>
      <c r="B252" s="15">
        <v>46106.0</v>
      </c>
      <c r="C252" s="13" t="s">
        <v>21</v>
      </c>
      <c r="D252" s="13" t="s">
        <v>24</v>
      </c>
      <c r="E252" s="20" t="s">
        <v>2306</v>
      </c>
      <c r="F252" s="13">
        <v>5.02934023E8</v>
      </c>
      <c r="G252" s="20" t="s">
        <v>71</v>
      </c>
      <c r="H252" s="13" t="s">
        <v>27</v>
      </c>
      <c r="I252" s="20" t="s">
        <v>2308</v>
      </c>
      <c r="J252" s="20" t="s">
        <v>35</v>
      </c>
      <c r="K252" s="13" t="s">
        <v>36</v>
      </c>
      <c r="L252" s="26"/>
      <c r="M252" s="27" t="s">
        <v>38</v>
      </c>
      <c r="N252" s="13" t="s">
        <v>40</v>
      </c>
      <c r="O252" s="13" t="s">
        <v>42</v>
      </c>
      <c r="P252" s="34"/>
      <c r="Q252" s="13" t="s">
        <v>49</v>
      </c>
      <c r="R252" s="13" t="s">
        <v>46</v>
      </c>
      <c r="S252" s="37"/>
      <c r="T252" s="37"/>
      <c r="U252" s="26"/>
      <c r="V252" s="37">
        <v>5.0</v>
      </c>
    </row>
    <row r="253" ht="38.25" hidden="1" customHeight="1">
      <c r="A253" s="13">
        <v>252.0</v>
      </c>
      <c r="B253" s="15">
        <v>46106.0</v>
      </c>
      <c r="C253" s="13" t="s">
        <v>58</v>
      </c>
      <c r="D253" s="13" t="s">
        <v>60</v>
      </c>
      <c r="E253" s="13" t="s">
        <v>27</v>
      </c>
      <c r="F253" s="13">
        <v>5.81416771E8</v>
      </c>
      <c r="G253" s="13" t="s">
        <v>27</v>
      </c>
      <c r="H253" s="13" t="s">
        <v>27</v>
      </c>
      <c r="I253" s="20" t="s">
        <v>2314</v>
      </c>
      <c r="J253" s="20" t="s">
        <v>35</v>
      </c>
      <c r="K253" s="13" t="s">
        <v>36</v>
      </c>
      <c r="L253" s="26"/>
      <c r="M253" s="27" t="s">
        <v>88</v>
      </c>
      <c r="N253" s="13" t="s">
        <v>56</v>
      </c>
      <c r="O253" s="13" t="s">
        <v>42</v>
      </c>
      <c r="P253" s="34"/>
      <c r="Q253" s="13" t="s">
        <v>49</v>
      </c>
      <c r="R253" s="13" t="s">
        <v>68</v>
      </c>
      <c r="S253" s="37"/>
      <c r="T253" s="37"/>
      <c r="U253" s="26"/>
      <c r="V253" s="37">
        <v>5.0</v>
      </c>
    </row>
    <row r="254" ht="37.5" hidden="1" customHeight="1">
      <c r="A254" s="13">
        <v>253.0</v>
      </c>
      <c r="B254" s="15">
        <v>46106.0</v>
      </c>
      <c r="C254" s="13" t="s">
        <v>21</v>
      </c>
      <c r="D254" s="13" t="s">
        <v>24</v>
      </c>
      <c r="E254" s="20" t="s">
        <v>2316</v>
      </c>
      <c r="F254" s="127">
        <v>5.49279114E8</v>
      </c>
      <c r="G254" s="20" t="s">
        <v>71</v>
      </c>
      <c r="H254" s="13" t="s">
        <v>27</v>
      </c>
      <c r="I254" s="127" t="s">
        <v>2319</v>
      </c>
      <c r="J254" s="20" t="s">
        <v>35</v>
      </c>
      <c r="K254" s="13" t="s">
        <v>36</v>
      </c>
      <c r="L254" s="27"/>
      <c r="M254" s="27" t="s">
        <v>101</v>
      </c>
      <c r="N254" s="13" t="s">
        <v>40</v>
      </c>
      <c r="O254" s="13" t="s">
        <v>42</v>
      </c>
      <c r="P254" s="34"/>
      <c r="Q254" s="13" t="s">
        <v>49</v>
      </c>
      <c r="R254" s="13" t="s">
        <v>46</v>
      </c>
      <c r="S254" s="37"/>
      <c r="T254" s="37"/>
      <c r="U254" s="26"/>
      <c r="V254" s="37">
        <v>5.0</v>
      </c>
    </row>
    <row r="255" ht="37.5" hidden="1" customHeight="1">
      <c r="A255" s="13">
        <v>254.0</v>
      </c>
      <c r="B255" s="15">
        <v>46106.0</v>
      </c>
      <c r="C255" s="13" t="s">
        <v>58</v>
      </c>
      <c r="D255" s="13" t="s">
        <v>60</v>
      </c>
      <c r="E255" s="13" t="s">
        <v>27</v>
      </c>
      <c r="F255" s="127">
        <v>5.59150482E8</v>
      </c>
      <c r="G255" s="13" t="s">
        <v>27</v>
      </c>
      <c r="H255" s="13" t="s">
        <v>27</v>
      </c>
      <c r="I255" s="127" t="s">
        <v>554</v>
      </c>
      <c r="J255" s="20" t="s">
        <v>35</v>
      </c>
      <c r="K255" s="13" t="s">
        <v>36</v>
      </c>
      <c r="L255" s="26"/>
      <c r="M255" s="27" t="s">
        <v>88</v>
      </c>
      <c r="N255" s="13" t="s">
        <v>56</v>
      </c>
      <c r="O255" s="13" t="s">
        <v>42</v>
      </c>
      <c r="P255" s="34"/>
      <c r="Q255" s="13" t="s">
        <v>49</v>
      </c>
      <c r="R255" s="13" t="s">
        <v>68</v>
      </c>
      <c r="S255" s="37"/>
      <c r="T255" s="37"/>
      <c r="U255" s="26"/>
      <c r="V255" s="37">
        <v>5.0</v>
      </c>
    </row>
    <row r="256" ht="37.5" hidden="1" customHeight="1">
      <c r="A256" s="13">
        <v>255.0</v>
      </c>
      <c r="B256" s="15">
        <v>46106.0</v>
      </c>
      <c r="C256" s="13" t="s">
        <v>58</v>
      </c>
      <c r="D256" s="13" t="s">
        <v>60</v>
      </c>
      <c r="E256" s="13" t="s">
        <v>27</v>
      </c>
      <c r="F256" s="127">
        <v>5.56579124E8</v>
      </c>
      <c r="G256" s="13" t="s">
        <v>27</v>
      </c>
      <c r="H256" s="13" t="s">
        <v>27</v>
      </c>
      <c r="I256" s="127" t="s">
        <v>554</v>
      </c>
      <c r="J256" s="20" t="s">
        <v>35</v>
      </c>
      <c r="K256" s="13" t="s">
        <v>36</v>
      </c>
      <c r="L256" s="26"/>
      <c r="M256" s="27" t="s">
        <v>88</v>
      </c>
      <c r="N256" s="13" t="s">
        <v>56</v>
      </c>
      <c r="O256" s="13" t="s">
        <v>42</v>
      </c>
      <c r="P256" s="34"/>
      <c r="Q256" s="13" t="s">
        <v>49</v>
      </c>
      <c r="R256" s="13" t="s">
        <v>68</v>
      </c>
      <c r="S256" s="37"/>
      <c r="T256" s="37"/>
      <c r="U256" s="26"/>
      <c r="V256" s="37">
        <v>5.0</v>
      </c>
    </row>
    <row r="257" ht="37.5" hidden="1" customHeight="1">
      <c r="A257" s="13">
        <v>256.0</v>
      </c>
      <c r="B257" s="15">
        <v>46106.0</v>
      </c>
      <c r="C257" s="13" t="s">
        <v>58</v>
      </c>
      <c r="D257" s="13" t="s">
        <v>60</v>
      </c>
      <c r="E257" s="13" t="s">
        <v>27</v>
      </c>
      <c r="F257" s="127">
        <v>5.32441726E8</v>
      </c>
      <c r="G257" s="13" t="s">
        <v>27</v>
      </c>
      <c r="H257" s="13" t="s">
        <v>27</v>
      </c>
      <c r="I257" s="127" t="s">
        <v>2344</v>
      </c>
      <c r="J257" s="20" t="s">
        <v>35</v>
      </c>
      <c r="K257" s="13" t="s">
        <v>36</v>
      </c>
      <c r="L257" s="26"/>
      <c r="M257" s="27" t="s">
        <v>88</v>
      </c>
      <c r="N257" s="13" t="s">
        <v>56</v>
      </c>
      <c r="O257" s="13" t="s">
        <v>42</v>
      </c>
      <c r="P257" s="34"/>
      <c r="Q257" s="13" t="s">
        <v>49</v>
      </c>
      <c r="R257" s="13" t="s">
        <v>68</v>
      </c>
      <c r="S257" s="37"/>
      <c r="T257" s="37"/>
      <c r="U257" s="26"/>
      <c r="V257" s="37">
        <v>5.0</v>
      </c>
    </row>
    <row r="258" ht="37.5" hidden="1" customHeight="1">
      <c r="A258" s="13">
        <v>257.0</v>
      </c>
      <c r="B258" s="15">
        <v>46106.0</v>
      </c>
      <c r="C258" s="13" t="s">
        <v>58</v>
      </c>
      <c r="D258" s="13" t="s">
        <v>60</v>
      </c>
      <c r="E258" s="13" t="s">
        <v>27</v>
      </c>
      <c r="F258" s="13">
        <v>5.34111673E8</v>
      </c>
      <c r="G258" s="13" t="s">
        <v>27</v>
      </c>
      <c r="H258" s="13" t="s">
        <v>27</v>
      </c>
      <c r="I258" s="20" t="s">
        <v>2351</v>
      </c>
      <c r="J258" s="20" t="s">
        <v>35</v>
      </c>
      <c r="K258" s="13" t="s">
        <v>65</v>
      </c>
      <c r="L258" s="26"/>
      <c r="M258" s="27" t="s">
        <v>88</v>
      </c>
      <c r="N258" s="13" t="s">
        <v>56</v>
      </c>
      <c r="O258" s="13" t="s">
        <v>42</v>
      </c>
      <c r="P258" s="34"/>
      <c r="Q258" s="13" t="s">
        <v>49</v>
      </c>
      <c r="R258" s="13" t="s">
        <v>68</v>
      </c>
      <c r="S258" s="37"/>
      <c r="T258" s="37"/>
      <c r="U258" s="26"/>
      <c r="V258" s="37">
        <v>5.0</v>
      </c>
    </row>
    <row r="259" ht="37.5" hidden="1" customHeight="1">
      <c r="A259" s="13">
        <v>258.0</v>
      </c>
      <c r="B259" s="15">
        <v>46106.0</v>
      </c>
      <c r="C259" s="13" t="s">
        <v>58</v>
      </c>
      <c r="D259" s="13" t="s">
        <v>60</v>
      </c>
      <c r="E259" s="13" t="s">
        <v>27</v>
      </c>
      <c r="F259" s="13">
        <v>5.42606008E8</v>
      </c>
      <c r="G259" s="13" t="s">
        <v>27</v>
      </c>
      <c r="H259" s="13" t="s">
        <v>27</v>
      </c>
      <c r="I259" s="20" t="s">
        <v>641</v>
      </c>
      <c r="J259" s="20" t="s">
        <v>35</v>
      </c>
      <c r="K259" s="13" t="s">
        <v>65</v>
      </c>
      <c r="L259" s="27"/>
      <c r="M259" s="27" t="s">
        <v>101</v>
      </c>
      <c r="N259" s="13" t="s">
        <v>56</v>
      </c>
      <c r="O259" s="13" t="s">
        <v>42</v>
      </c>
      <c r="P259" s="34"/>
      <c r="Q259" s="13" t="s">
        <v>49</v>
      </c>
      <c r="R259" s="13" t="s">
        <v>68</v>
      </c>
      <c r="S259" s="37"/>
      <c r="T259" s="37"/>
      <c r="U259" s="26"/>
      <c r="V259" s="37">
        <v>5.0</v>
      </c>
    </row>
    <row r="260" ht="37.5" hidden="1" customHeight="1">
      <c r="A260" s="13">
        <v>259.0</v>
      </c>
      <c r="B260" s="15">
        <v>46106.0</v>
      </c>
      <c r="C260" s="13" t="s">
        <v>58</v>
      </c>
      <c r="D260" s="13" t="s">
        <v>60</v>
      </c>
      <c r="E260" s="13" t="s">
        <v>27</v>
      </c>
      <c r="F260" s="106">
        <v>5.39956149E8</v>
      </c>
      <c r="G260" s="13" t="s">
        <v>27</v>
      </c>
      <c r="H260" s="13" t="s">
        <v>27</v>
      </c>
      <c r="I260" s="20" t="s">
        <v>2300</v>
      </c>
      <c r="J260" s="20" t="s">
        <v>35</v>
      </c>
      <c r="K260" s="13" t="s">
        <v>36</v>
      </c>
      <c r="L260" s="26"/>
      <c r="M260" s="27" t="s">
        <v>88</v>
      </c>
      <c r="N260" s="13" t="s">
        <v>56</v>
      </c>
      <c r="O260" s="13" t="s">
        <v>42</v>
      </c>
      <c r="P260" s="34"/>
      <c r="Q260" s="13" t="s">
        <v>49</v>
      </c>
      <c r="R260" s="13" t="s">
        <v>68</v>
      </c>
      <c r="S260" s="37"/>
      <c r="T260" s="37"/>
      <c r="U260" s="26"/>
      <c r="V260" s="37">
        <v>5.0</v>
      </c>
    </row>
    <row r="261" ht="37.5" hidden="1" customHeight="1">
      <c r="A261" s="13">
        <v>260.0</v>
      </c>
      <c r="B261" s="15">
        <v>46106.0</v>
      </c>
      <c r="C261" s="13" t="s">
        <v>58</v>
      </c>
      <c r="D261" s="13" t="s">
        <v>60</v>
      </c>
      <c r="E261" s="13" t="s">
        <v>27</v>
      </c>
      <c r="F261" s="106">
        <v>5.80179685E8</v>
      </c>
      <c r="G261" s="13" t="s">
        <v>27</v>
      </c>
      <c r="H261" s="13" t="s">
        <v>27</v>
      </c>
      <c r="I261" s="20" t="s">
        <v>2351</v>
      </c>
      <c r="J261" s="20" t="s">
        <v>35</v>
      </c>
      <c r="K261" s="13" t="s">
        <v>36</v>
      </c>
      <c r="L261" s="26"/>
      <c r="M261" s="27" t="s">
        <v>88</v>
      </c>
      <c r="N261" s="13" t="s">
        <v>56</v>
      </c>
      <c r="O261" s="13" t="s">
        <v>42</v>
      </c>
      <c r="P261" s="34"/>
      <c r="Q261" s="13" t="s">
        <v>49</v>
      </c>
      <c r="R261" s="13" t="s">
        <v>68</v>
      </c>
      <c r="S261" s="37"/>
      <c r="T261" s="37"/>
      <c r="U261" s="26"/>
      <c r="V261" s="37">
        <v>5.0</v>
      </c>
    </row>
    <row r="262" ht="37.5" hidden="1" customHeight="1">
      <c r="A262" s="13">
        <v>261.0</v>
      </c>
      <c r="B262" s="15">
        <v>46106.0</v>
      </c>
      <c r="C262" s="13" t="s">
        <v>58</v>
      </c>
      <c r="D262" s="13" t="s">
        <v>60</v>
      </c>
      <c r="E262" s="13" t="s">
        <v>27</v>
      </c>
      <c r="F262" s="106">
        <v>5.48931547E8</v>
      </c>
      <c r="G262" s="13" t="s">
        <v>27</v>
      </c>
      <c r="H262" s="13" t="s">
        <v>27</v>
      </c>
      <c r="I262" s="20" t="s">
        <v>2389</v>
      </c>
      <c r="J262" s="20" t="s">
        <v>35</v>
      </c>
      <c r="K262" s="13" t="s">
        <v>65</v>
      </c>
      <c r="L262" s="26"/>
      <c r="M262" s="27" t="s">
        <v>88</v>
      </c>
      <c r="N262" s="13" t="s">
        <v>56</v>
      </c>
      <c r="O262" s="13" t="s">
        <v>42</v>
      </c>
      <c r="P262" s="34"/>
      <c r="Q262" s="13" t="s">
        <v>49</v>
      </c>
      <c r="R262" s="13" t="s">
        <v>68</v>
      </c>
      <c r="S262" s="37"/>
      <c r="T262" s="37"/>
      <c r="U262" s="26"/>
      <c r="V262" s="37">
        <v>5.0</v>
      </c>
    </row>
    <row r="263" ht="30.75" hidden="1" customHeight="1">
      <c r="A263" s="13">
        <v>262.0</v>
      </c>
      <c r="B263" s="15">
        <v>46106.0</v>
      </c>
      <c r="C263" s="13" t="s">
        <v>58</v>
      </c>
      <c r="D263" s="13" t="s">
        <v>60</v>
      </c>
      <c r="E263" s="20" t="s">
        <v>2396</v>
      </c>
      <c r="F263" s="106">
        <v>5.30778884E8</v>
      </c>
      <c r="G263" s="13" t="s">
        <v>27</v>
      </c>
      <c r="H263" s="13" t="s">
        <v>956</v>
      </c>
      <c r="I263" s="20" t="s">
        <v>2399</v>
      </c>
      <c r="J263" s="20" t="s">
        <v>35</v>
      </c>
      <c r="K263" s="13" t="s">
        <v>65</v>
      </c>
      <c r="L263" s="26"/>
      <c r="M263" s="27" t="s">
        <v>88</v>
      </c>
      <c r="N263" s="13" t="s">
        <v>56</v>
      </c>
      <c r="O263" s="13" t="s">
        <v>42</v>
      </c>
      <c r="P263" s="34"/>
      <c r="Q263" s="13" t="s">
        <v>49</v>
      </c>
      <c r="R263" s="13" t="s">
        <v>68</v>
      </c>
      <c r="S263" s="37"/>
      <c r="T263" s="37"/>
      <c r="U263" s="26"/>
      <c r="V263" s="37">
        <v>5.0</v>
      </c>
    </row>
    <row r="264" ht="21.0" hidden="1" customHeight="1">
      <c r="A264" s="13">
        <v>263.0</v>
      </c>
      <c r="B264" s="15">
        <v>46106.0</v>
      </c>
      <c r="C264" s="13" t="s">
        <v>58</v>
      </c>
      <c r="D264" s="13" t="s">
        <v>60</v>
      </c>
      <c r="E264" s="13" t="s">
        <v>27</v>
      </c>
      <c r="F264" s="106">
        <v>5.53550008E8</v>
      </c>
      <c r="G264" s="20" t="s">
        <v>41</v>
      </c>
      <c r="H264" s="13" t="s">
        <v>27</v>
      </c>
      <c r="I264" s="20" t="s">
        <v>2407</v>
      </c>
      <c r="J264" s="20" t="s">
        <v>35</v>
      </c>
      <c r="K264" s="13" t="s">
        <v>36</v>
      </c>
      <c r="L264" s="26"/>
      <c r="M264" s="27" t="s">
        <v>88</v>
      </c>
      <c r="N264" s="13" t="s">
        <v>56</v>
      </c>
      <c r="O264" s="13" t="s">
        <v>42</v>
      </c>
      <c r="P264" s="34"/>
      <c r="Q264" s="13" t="s">
        <v>49</v>
      </c>
      <c r="R264" s="13" t="s">
        <v>68</v>
      </c>
      <c r="S264" s="37"/>
      <c r="T264" s="37"/>
      <c r="U264" s="26"/>
      <c r="V264" s="37">
        <v>5.0</v>
      </c>
    </row>
    <row r="265" ht="25.5" hidden="1" customHeight="1">
      <c r="A265" s="13">
        <v>264.0</v>
      </c>
      <c r="B265" s="15">
        <v>46106.0</v>
      </c>
      <c r="C265" s="13" t="s">
        <v>58</v>
      </c>
      <c r="D265" s="13" t="s">
        <v>60</v>
      </c>
      <c r="E265" s="13" t="s">
        <v>27</v>
      </c>
      <c r="F265" s="106">
        <v>5.00113066E8</v>
      </c>
      <c r="G265" s="13" t="s">
        <v>27</v>
      </c>
      <c r="H265" s="13" t="s">
        <v>27</v>
      </c>
      <c r="I265" s="20" t="s">
        <v>2417</v>
      </c>
      <c r="J265" s="20" t="s">
        <v>35</v>
      </c>
      <c r="K265" s="13" t="s">
        <v>36</v>
      </c>
      <c r="L265" s="26"/>
      <c r="M265" s="27" t="s">
        <v>88</v>
      </c>
      <c r="N265" s="13" t="s">
        <v>56</v>
      </c>
      <c r="O265" s="13" t="s">
        <v>42</v>
      </c>
      <c r="P265" s="34"/>
      <c r="Q265" s="13" t="s">
        <v>49</v>
      </c>
      <c r="R265" s="13" t="s">
        <v>68</v>
      </c>
      <c r="S265" s="37"/>
      <c r="T265" s="37"/>
      <c r="U265" s="26"/>
      <c r="V265" s="37">
        <v>5.0</v>
      </c>
    </row>
    <row r="266" ht="29.25" customHeight="1">
      <c r="A266" s="13">
        <v>265.0</v>
      </c>
      <c r="B266" s="15">
        <v>46106.0</v>
      </c>
      <c r="C266" s="13" t="s">
        <v>47</v>
      </c>
      <c r="D266" s="13" t="s">
        <v>48</v>
      </c>
      <c r="E266" s="13" t="s">
        <v>27</v>
      </c>
      <c r="F266" s="106">
        <v>5.07881188E8</v>
      </c>
      <c r="G266" s="20" t="s">
        <v>41</v>
      </c>
      <c r="H266" s="13" t="s">
        <v>222</v>
      </c>
      <c r="I266" s="146" t="s">
        <v>2425</v>
      </c>
      <c r="J266" s="20" t="s">
        <v>2426</v>
      </c>
      <c r="K266" s="13" t="s">
        <v>36</v>
      </c>
      <c r="L266" s="26"/>
      <c r="M266" s="75" t="s">
        <v>555</v>
      </c>
      <c r="N266" s="13" t="s">
        <v>56</v>
      </c>
      <c r="O266" s="13" t="s">
        <v>42</v>
      </c>
      <c r="P266" s="34"/>
      <c r="Q266" s="13" t="s">
        <v>49</v>
      </c>
      <c r="R266" s="13" t="s">
        <v>46</v>
      </c>
      <c r="S266" s="37"/>
      <c r="T266" s="37"/>
      <c r="U266" s="26"/>
      <c r="V266" s="37">
        <v>5.0</v>
      </c>
    </row>
    <row r="267" ht="15.0" hidden="1" customHeight="1">
      <c r="A267" s="13">
        <v>266.0</v>
      </c>
      <c r="B267" s="15">
        <v>46106.0</v>
      </c>
      <c r="C267" s="13" t="s">
        <v>58</v>
      </c>
      <c r="D267" s="13" t="s">
        <v>60</v>
      </c>
      <c r="E267" s="13" t="s">
        <v>27</v>
      </c>
      <c r="F267" s="106">
        <v>5.5001103E8</v>
      </c>
      <c r="G267" s="13" t="s">
        <v>27</v>
      </c>
      <c r="H267" s="13" t="s">
        <v>27</v>
      </c>
      <c r="I267" s="20" t="s">
        <v>2433</v>
      </c>
      <c r="J267" s="20" t="s">
        <v>35</v>
      </c>
      <c r="K267" s="13" t="s">
        <v>36</v>
      </c>
      <c r="L267" s="26"/>
      <c r="M267" s="27" t="s">
        <v>88</v>
      </c>
      <c r="N267" s="13" t="s">
        <v>56</v>
      </c>
      <c r="O267" s="13" t="s">
        <v>42</v>
      </c>
      <c r="P267" s="34"/>
      <c r="Q267" s="13" t="s">
        <v>49</v>
      </c>
      <c r="R267" s="13" t="s">
        <v>68</v>
      </c>
      <c r="S267" s="37"/>
      <c r="T267" s="37"/>
      <c r="U267" s="26"/>
      <c r="V267" s="37">
        <v>5.0</v>
      </c>
    </row>
    <row r="268" ht="16.5" hidden="1" customHeight="1">
      <c r="A268" s="13">
        <v>267.0</v>
      </c>
      <c r="B268" s="15">
        <v>46106.0</v>
      </c>
      <c r="C268" s="13" t="s">
        <v>58</v>
      </c>
      <c r="D268" s="13" t="s">
        <v>60</v>
      </c>
      <c r="E268" s="13" t="s">
        <v>27</v>
      </c>
      <c r="F268" s="106">
        <v>5.55007053E8</v>
      </c>
      <c r="G268" s="13" t="s">
        <v>27</v>
      </c>
      <c r="H268" s="13" t="s">
        <v>27</v>
      </c>
      <c r="I268" s="20" t="s">
        <v>2438</v>
      </c>
      <c r="J268" s="20" t="s">
        <v>35</v>
      </c>
      <c r="K268" s="13" t="s">
        <v>36</v>
      </c>
      <c r="L268" s="26"/>
      <c r="M268" s="27" t="s">
        <v>88</v>
      </c>
      <c r="N268" s="13" t="s">
        <v>56</v>
      </c>
      <c r="O268" s="13" t="s">
        <v>42</v>
      </c>
      <c r="P268" s="34"/>
      <c r="Q268" s="13" t="s">
        <v>49</v>
      </c>
      <c r="R268" s="13" t="s">
        <v>68</v>
      </c>
      <c r="S268" s="37"/>
      <c r="T268" s="37"/>
      <c r="U268" s="26"/>
      <c r="V268" s="37">
        <v>5.0</v>
      </c>
    </row>
    <row r="269" ht="16.5" hidden="1" customHeight="1">
      <c r="A269" s="13">
        <v>268.0</v>
      </c>
      <c r="B269" s="15">
        <v>46106.0</v>
      </c>
      <c r="C269" s="13" t="s">
        <v>58</v>
      </c>
      <c r="D269" s="13" t="s">
        <v>60</v>
      </c>
      <c r="E269" s="13" t="s">
        <v>27</v>
      </c>
      <c r="F269" s="106">
        <v>5.35578334E8</v>
      </c>
      <c r="G269" s="13" t="s">
        <v>27</v>
      </c>
      <c r="H269" s="13" t="s">
        <v>27</v>
      </c>
      <c r="I269" s="20" t="s">
        <v>2445</v>
      </c>
      <c r="J269" s="20" t="s">
        <v>35</v>
      </c>
      <c r="K269" s="13" t="s">
        <v>36</v>
      </c>
      <c r="L269" s="26"/>
      <c r="M269" s="27" t="s">
        <v>88</v>
      </c>
      <c r="N269" s="13" t="s">
        <v>56</v>
      </c>
      <c r="O269" s="13" t="s">
        <v>42</v>
      </c>
      <c r="P269" s="34"/>
      <c r="Q269" s="13" t="s">
        <v>49</v>
      </c>
      <c r="R269" s="13" t="s">
        <v>68</v>
      </c>
      <c r="S269" s="37"/>
      <c r="T269" s="37"/>
      <c r="U269" s="26"/>
      <c r="V269" s="37">
        <v>5.0</v>
      </c>
    </row>
    <row r="270" ht="27.75" hidden="1" customHeight="1">
      <c r="A270" s="13">
        <v>269.0</v>
      </c>
      <c r="B270" s="15">
        <v>46106.0</v>
      </c>
      <c r="C270" s="13" t="s">
        <v>58</v>
      </c>
      <c r="D270" s="13" t="s">
        <v>60</v>
      </c>
      <c r="E270" s="13" t="s">
        <v>27</v>
      </c>
      <c r="F270" s="106">
        <v>5.5285967E8</v>
      </c>
      <c r="G270" s="13" t="s">
        <v>27</v>
      </c>
      <c r="H270" s="13" t="s">
        <v>27</v>
      </c>
      <c r="I270" s="20" t="s">
        <v>2452</v>
      </c>
      <c r="J270" s="20" t="s">
        <v>35</v>
      </c>
      <c r="K270" s="13" t="s">
        <v>36</v>
      </c>
      <c r="L270" s="26"/>
      <c r="M270" s="27" t="s">
        <v>88</v>
      </c>
      <c r="N270" s="13" t="s">
        <v>56</v>
      </c>
      <c r="O270" s="13" t="s">
        <v>42</v>
      </c>
      <c r="P270" s="34"/>
      <c r="Q270" s="13" t="s">
        <v>49</v>
      </c>
      <c r="R270" s="13" t="s">
        <v>68</v>
      </c>
      <c r="S270" s="37"/>
      <c r="T270" s="37"/>
      <c r="U270" s="26"/>
      <c r="V270" s="37">
        <v>5.0</v>
      </c>
    </row>
    <row r="271" ht="16.5" hidden="1" customHeight="1">
      <c r="A271" s="13">
        <v>270.0</v>
      </c>
      <c r="B271" s="15">
        <v>46106.0</v>
      </c>
      <c r="C271" s="13" t="s">
        <v>58</v>
      </c>
      <c r="D271" s="13" t="s">
        <v>60</v>
      </c>
      <c r="E271" s="13" t="s">
        <v>27</v>
      </c>
      <c r="F271" s="106">
        <v>5.49043353E8</v>
      </c>
      <c r="G271" s="13" t="s">
        <v>27</v>
      </c>
      <c r="H271" s="13" t="s">
        <v>27</v>
      </c>
      <c r="I271" s="20" t="s">
        <v>2457</v>
      </c>
      <c r="J271" s="20" t="s">
        <v>35</v>
      </c>
      <c r="K271" s="13" t="s">
        <v>65</v>
      </c>
      <c r="L271" s="26"/>
      <c r="M271" s="27" t="s">
        <v>38</v>
      </c>
      <c r="N271" s="13" t="s">
        <v>56</v>
      </c>
      <c r="O271" s="13" t="s">
        <v>42</v>
      </c>
      <c r="P271" s="34"/>
      <c r="Q271" s="13" t="s">
        <v>49</v>
      </c>
      <c r="R271" s="13" t="s">
        <v>68</v>
      </c>
      <c r="S271" s="37"/>
      <c r="T271" s="37"/>
      <c r="U271" s="26"/>
      <c r="V271" s="37">
        <v>5.0</v>
      </c>
    </row>
    <row r="272" ht="16.5" hidden="1" customHeight="1">
      <c r="A272" s="13">
        <v>271.0</v>
      </c>
      <c r="B272" s="15">
        <v>46106.0</v>
      </c>
      <c r="C272" s="13" t="s">
        <v>58</v>
      </c>
      <c r="D272" s="13" t="s">
        <v>60</v>
      </c>
      <c r="E272" s="13" t="s">
        <v>27</v>
      </c>
      <c r="F272" s="106">
        <v>5.57149183E8</v>
      </c>
      <c r="G272" s="13" t="s">
        <v>27</v>
      </c>
      <c r="H272" s="13" t="s">
        <v>27</v>
      </c>
      <c r="I272" s="20" t="s">
        <v>554</v>
      </c>
      <c r="J272" s="20" t="s">
        <v>35</v>
      </c>
      <c r="K272" s="13" t="s">
        <v>65</v>
      </c>
      <c r="L272" s="26"/>
      <c r="M272" s="27" t="s">
        <v>88</v>
      </c>
      <c r="N272" s="13" t="s">
        <v>56</v>
      </c>
      <c r="O272" s="13" t="s">
        <v>42</v>
      </c>
      <c r="P272" s="34"/>
      <c r="Q272" s="13" t="s">
        <v>49</v>
      </c>
      <c r="R272" s="13" t="s">
        <v>68</v>
      </c>
      <c r="S272" s="37"/>
      <c r="T272" s="37"/>
      <c r="U272" s="26"/>
      <c r="V272" s="37">
        <v>5.0</v>
      </c>
    </row>
    <row r="273" ht="52.5" customHeight="1">
      <c r="A273" s="13">
        <v>272.0</v>
      </c>
      <c r="B273" s="15">
        <v>46106.0</v>
      </c>
      <c r="C273" s="13" t="s">
        <v>47</v>
      </c>
      <c r="D273" s="13" t="s">
        <v>48</v>
      </c>
      <c r="E273" s="20" t="s">
        <v>2468</v>
      </c>
      <c r="F273" s="13">
        <v>5.55525453E8</v>
      </c>
      <c r="G273" s="20" t="s">
        <v>41</v>
      </c>
      <c r="H273" s="13" t="s">
        <v>52</v>
      </c>
      <c r="I273" s="20" t="s">
        <v>2471</v>
      </c>
      <c r="J273" s="45" t="s">
        <v>2472</v>
      </c>
      <c r="K273" s="13" t="s">
        <v>36</v>
      </c>
      <c r="L273" s="26"/>
      <c r="M273" s="27" t="s">
        <v>55</v>
      </c>
      <c r="N273" s="13" t="s">
        <v>56</v>
      </c>
      <c r="O273" s="13" t="s">
        <v>42</v>
      </c>
      <c r="P273" s="34"/>
      <c r="Q273" s="13" t="s">
        <v>49</v>
      </c>
      <c r="R273" s="13" t="s">
        <v>46</v>
      </c>
      <c r="S273" s="37"/>
      <c r="T273" s="37"/>
      <c r="U273" s="26"/>
      <c r="V273" s="37">
        <v>5.0</v>
      </c>
    </row>
    <row r="274" ht="16.5" hidden="1" customHeight="1">
      <c r="A274" s="13">
        <v>273.0</v>
      </c>
      <c r="B274" s="15">
        <v>46106.0</v>
      </c>
      <c r="C274" s="13" t="s">
        <v>58</v>
      </c>
      <c r="D274" s="13" t="s">
        <v>60</v>
      </c>
      <c r="E274" s="13" t="s">
        <v>27</v>
      </c>
      <c r="F274" s="13">
        <v>5.62794233E8</v>
      </c>
      <c r="G274" s="13" t="s">
        <v>27</v>
      </c>
      <c r="H274" s="13" t="s">
        <v>27</v>
      </c>
      <c r="I274" s="20" t="s">
        <v>2478</v>
      </c>
      <c r="J274" s="20" t="s">
        <v>35</v>
      </c>
      <c r="K274" s="13" t="s">
        <v>36</v>
      </c>
      <c r="L274" s="26"/>
      <c r="M274" s="27" t="s">
        <v>88</v>
      </c>
      <c r="N274" s="13" t="s">
        <v>56</v>
      </c>
      <c r="O274" s="13" t="s">
        <v>42</v>
      </c>
      <c r="P274" s="34"/>
      <c r="Q274" s="13" t="s">
        <v>49</v>
      </c>
      <c r="R274" s="13" t="s">
        <v>68</v>
      </c>
      <c r="S274" s="37"/>
      <c r="T274" s="37"/>
      <c r="U274" s="26"/>
      <c r="V274" s="37">
        <v>5.0</v>
      </c>
    </row>
    <row r="275" ht="16.5" hidden="1" customHeight="1">
      <c r="A275" s="13">
        <v>274.0</v>
      </c>
      <c r="B275" s="15">
        <v>46106.0</v>
      </c>
      <c r="C275" s="13" t="s">
        <v>58</v>
      </c>
      <c r="D275" s="13" t="s">
        <v>60</v>
      </c>
      <c r="E275" s="13" t="s">
        <v>27</v>
      </c>
      <c r="F275" s="13">
        <v>5.02728616E8</v>
      </c>
      <c r="G275" s="13" t="s">
        <v>27</v>
      </c>
      <c r="H275" s="13" t="s">
        <v>27</v>
      </c>
      <c r="I275" s="20" t="s">
        <v>2483</v>
      </c>
      <c r="J275" s="20" t="s">
        <v>35</v>
      </c>
      <c r="K275" s="13" t="s">
        <v>36</v>
      </c>
      <c r="L275" s="26"/>
      <c r="M275" s="27" t="s">
        <v>88</v>
      </c>
      <c r="N275" s="13" t="s">
        <v>56</v>
      </c>
      <c r="O275" s="13" t="s">
        <v>42</v>
      </c>
      <c r="P275" s="34"/>
      <c r="Q275" s="13" t="s">
        <v>49</v>
      </c>
      <c r="R275" s="13" t="s">
        <v>68</v>
      </c>
      <c r="S275" s="37"/>
      <c r="T275" s="37"/>
      <c r="U275" s="26"/>
      <c r="V275" s="37">
        <v>5.0</v>
      </c>
    </row>
    <row r="276" ht="16.5" hidden="1" customHeight="1">
      <c r="A276" s="13">
        <v>275.0</v>
      </c>
      <c r="B276" s="15">
        <v>46106.0</v>
      </c>
      <c r="C276" s="13" t="s">
        <v>21</v>
      </c>
      <c r="D276" s="13" t="s">
        <v>22</v>
      </c>
      <c r="E276" s="20" t="s">
        <v>275</v>
      </c>
      <c r="F276" s="13">
        <v>5.50250888E8</v>
      </c>
      <c r="G276" s="20" t="s">
        <v>71</v>
      </c>
      <c r="H276" s="13" t="s">
        <v>27</v>
      </c>
      <c r="I276" s="20" t="s">
        <v>2490</v>
      </c>
      <c r="J276" s="20" t="s">
        <v>35</v>
      </c>
      <c r="K276" s="13" t="s">
        <v>36</v>
      </c>
      <c r="L276" s="26"/>
      <c r="M276" s="27" t="s">
        <v>38</v>
      </c>
      <c r="N276" s="13" t="s">
        <v>40</v>
      </c>
      <c r="O276" s="13" t="s">
        <v>42</v>
      </c>
      <c r="P276" s="34"/>
      <c r="Q276" s="13" t="s">
        <v>49</v>
      </c>
      <c r="R276" s="13" t="s">
        <v>46</v>
      </c>
      <c r="S276" s="37"/>
      <c r="T276" s="37"/>
      <c r="U276" s="26"/>
      <c r="V276" s="37">
        <v>5.0</v>
      </c>
    </row>
    <row r="277" ht="16.5" hidden="1" customHeight="1">
      <c r="A277" s="13">
        <v>276.0</v>
      </c>
      <c r="B277" s="15">
        <v>46106.0</v>
      </c>
      <c r="C277" s="13" t="s">
        <v>21</v>
      </c>
      <c r="D277" s="13" t="s">
        <v>24</v>
      </c>
      <c r="E277" s="20" t="s">
        <v>437</v>
      </c>
      <c r="F277" s="13">
        <v>5.5037128E8</v>
      </c>
      <c r="G277" s="20" t="s">
        <v>319</v>
      </c>
      <c r="H277" s="13" t="s">
        <v>27</v>
      </c>
      <c r="I277" s="20" t="s">
        <v>2495</v>
      </c>
      <c r="J277" s="20" t="s">
        <v>35</v>
      </c>
      <c r="K277" s="13" t="s">
        <v>36</v>
      </c>
      <c r="L277" s="26"/>
      <c r="M277" s="27" t="s">
        <v>38</v>
      </c>
      <c r="N277" s="13" t="s">
        <v>40</v>
      </c>
      <c r="O277" s="13" t="s">
        <v>42</v>
      </c>
      <c r="P277" s="34"/>
      <c r="Q277" s="13" t="s">
        <v>49</v>
      </c>
      <c r="R277" s="13" t="s">
        <v>46</v>
      </c>
      <c r="S277" s="37"/>
      <c r="T277" s="37"/>
      <c r="U277" s="26"/>
      <c r="V277" s="37">
        <v>5.0</v>
      </c>
    </row>
    <row r="278" ht="16.5" hidden="1" customHeight="1">
      <c r="A278" s="13">
        <v>277.0</v>
      </c>
      <c r="B278" s="15">
        <v>46106.0</v>
      </c>
      <c r="C278" s="13" t="s">
        <v>58</v>
      </c>
      <c r="D278" s="13" t="s">
        <v>60</v>
      </c>
      <c r="E278" s="13" t="s">
        <v>27</v>
      </c>
      <c r="F278" s="13">
        <v>5.35703797E8</v>
      </c>
      <c r="G278" s="13" t="s">
        <v>27</v>
      </c>
      <c r="H278" s="13" t="s">
        <v>27</v>
      </c>
      <c r="I278" s="20" t="s">
        <v>2483</v>
      </c>
      <c r="J278" s="20" t="s">
        <v>35</v>
      </c>
      <c r="K278" s="13" t="s">
        <v>36</v>
      </c>
      <c r="L278" s="26"/>
      <c r="M278" s="27" t="s">
        <v>88</v>
      </c>
      <c r="N278" s="13" t="s">
        <v>56</v>
      </c>
      <c r="O278" s="13" t="s">
        <v>42</v>
      </c>
      <c r="P278" s="34"/>
      <c r="Q278" s="13" t="s">
        <v>49</v>
      </c>
      <c r="R278" s="13" t="s">
        <v>68</v>
      </c>
      <c r="S278" s="37"/>
      <c r="T278" s="37"/>
      <c r="U278" s="26"/>
      <c r="V278" s="37">
        <v>5.0</v>
      </c>
    </row>
    <row r="279" ht="16.5" hidden="1" customHeight="1">
      <c r="A279" s="13">
        <v>278.0</v>
      </c>
      <c r="B279" s="15">
        <v>46106.0</v>
      </c>
      <c r="C279" s="13" t="s">
        <v>58</v>
      </c>
      <c r="D279" s="13" t="s">
        <v>60</v>
      </c>
      <c r="E279" s="13" t="s">
        <v>27</v>
      </c>
      <c r="F279" s="13">
        <v>5.52239312E8</v>
      </c>
      <c r="G279" s="13" t="s">
        <v>27</v>
      </c>
      <c r="H279" s="13" t="s">
        <v>27</v>
      </c>
      <c r="I279" s="20" t="s">
        <v>2507</v>
      </c>
      <c r="J279" s="20" t="s">
        <v>35</v>
      </c>
      <c r="K279" s="13" t="s">
        <v>65</v>
      </c>
      <c r="L279" s="26"/>
      <c r="M279" s="27" t="s">
        <v>88</v>
      </c>
      <c r="N279" s="13" t="s">
        <v>56</v>
      </c>
      <c r="O279" s="13" t="s">
        <v>42</v>
      </c>
      <c r="P279" s="34"/>
      <c r="Q279" s="13" t="s">
        <v>49</v>
      </c>
      <c r="R279" s="13" t="s">
        <v>68</v>
      </c>
      <c r="S279" s="37"/>
      <c r="T279" s="37"/>
      <c r="U279" s="26"/>
      <c r="V279" s="37">
        <v>5.0</v>
      </c>
    </row>
    <row r="280" ht="16.5" hidden="1" customHeight="1">
      <c r="A280" s="13">
        <v>279.0</v>
      </c>
      <c r="B280" s="15">
        <v>46106.0</v>
      </c>
      <c r="C280" s="13" t="s">
        <v>58</v>
      </c>
      <c r="D280" s="13" t="s">
        <v>60</v>
      </c>
      <c r="E280" s="13" t="s">
        <v>27</v>
      </c>
      <c r="F280" s="13">
        <v>5.08902394E8</v>
      </c>
      <c r="G280" s="13" t="s">
        <v>27</v>
      </c>
      <c r="H280" s="13" t="s">
        <v>27</v>
      </c>
      <c r="I280" s="20" t="s">
        <v>2514</v>
      </c>
      <c r="J280" s="20" t="s">
        <v>35</v>
      </c>
      <c r="K280" s="13" t="s">
        <v>36</v>
      </c>
      <c r="L280" s="26"/>
      <c r="M280" s="27" t="s">
        <v>88</v>
      </c>
      <c r="N280" s="13" t="s">
        <v>56</v>
      </c>
      <c r="O280" s="13" t="s">
        <v>42</v>
      </c>
      <c r="P280" s="34"/>
      <c r="Q280" s="13" t="s">
        <v>49</v>
      </c>
      <c r="R280" s="13" t="s">
        <v>68</v>
      </c>
      <c r="S280" s="37"/>
      <c r="T280" s="37"/>
      <c r="U280" s="26"/>
      <c r="V280" s="37">
        <v>5.0</v>
      </c>
    </row>
    <row r="281" ht="16.5" hidden="1" customHeight="1">
      <c r="A281" s="13">
        <v>280.0</v>
      </c>
      <c r="B281" s="15">
        <v>46106.0</v>
      </c>
      <c r="C281" s="13" t="s">
        <v>58</v>
      </c>
      <c r="D281" s="13" t="s">
        <v>60</v>
      </c>
      <c r="E281" s="13" t="s">
        <v>27</v>
      </c>
      <c r="F281" s="13">
        <v>5.30002342E8</v>
      </c>
      <c r="G281" s="13" t="s">
        <v>27</v>
      </c>
      <c r="H281" s="13" t="s">
        <v>27</v>
      </c>
      <c r="I281" s="20" t="s">
        <v>2522</v>
      </c>
      <c r="J281" s="20" t="s">
        <v>35</v>
      </c>
      <c r="K281" s="13" t="s">
        <v>36</v>
      </c>
      <c r="L281" s="26"/>
      <c r="M281" s="27" t="s">
        <v>88</v>
      </c>
      <c r="N281" s="13" t="s">
        <v>56</v>
      </c>
      <c r="O281" s="13" t="s">
        <v>42</v>
      </c>
      <c r="P281" s="34"/>
      <c r="Q281" s="13" t="s">
        <v>49</v>
      </c>
      <c r="R281" s="13" t="s">
        <v>68</v>
      </c>
      <c r="S281" s="37"/>
      <c r="T281" s="37"/>
      <c r="U281" s="26"/>
      <c r="V281" s="37">
        <v>5.0</v>
      </c>
    </row>
    <row r="282" ht="16.5" hidden="1" customHeight="1">
      <c r="A282" s="13">
        <v>281.0</v>
      </c>
      <c r="B282" s="15">
        <v>46106.0</v>
      </c>
      <c r="C282" s="13" t="s">
        <v>58</v>
      </c>
      <c r="D282" s="13" t="s">
        <v>60</v>
      </c>
      <c r="E282" s="13" t="s">
        <v>27</v>
      </c>
      <c r="F282" s="13">
        <v>5.80738122E8</v>
      </c>
      <c r="G282" s="13" t="s">
        <v>27</v>
      </c>
      <c r="H282" s="13" t="s">
        <v>27</v>
      </c>
      <c r="I282" s="20" t="s">
        <v>554</v>
      </c>
      <c r="J282" s="20" t="s">
        <v>35</v>
      </c>
      <c r="K282" s="13" t="s">
        <v>36</v>
      </c>
      <c r="L282" s="26"/>
      <c r="M282" s="27" t="s">
        <v>88</v>
      </c>
      <c r="N282" s="13" t="s">
        <v>56</v>
      </c>
      <c r="O282" s="13" t="s">
        <v>42</v>
      </c>
      <c r="P282" s="34"/>
      <c r="Q282" s="13" t="s">
        <v>49</v>
      </c>
      <c r="R282" s="13" t="s">
        <v>68</v>
      </c>
      <c r="S282" s="37"/>
      <c r="T282" s="37"/>
      <c r="U282" s="26"/>
      <c r="V282" s="37">
        <v>5.0</v>
      </c>
    </row>
    <row r="283" ht="16.5" hidden="1" customHeight="1">
      <c r="A283" s="13">
        <v>282.0</v>
      </c>
      <c r="B283" s="15">
        <v>46106.0</v>
      </c>
      <c r="C283" s="13" t="s">
        <v>21</v>
      </c>
      <c r="D283" s="13" t="s">
        <v>24</v>
      </c>
      <c r="E283" s="20" t="s">
        <v>2534</v>
      </c>
      <c r="F283" s="13">
        <v>5.41434565E8</v>
      </c>
      <c r="G283" s="20" t="s">
        <v>41</v>
      </c>
      <c r="H283" s="13" t="s">
        <v>27</v>
      </c>
      <c r="I283" s="20" t="s">
        <v>2535</v>
      </c>
      <c r="J283" s="20" t="s">
        <v>35</v>
      </c>
      <c r="K283" s="13" t="s">
        <v>36</v>
      </c>
      <c r="L283" s="26"/>
      <c r="M283" s="27" t="s">
        <v>38</v>
      </c>
      <c r="N283" s="13" t="s">
        <v>40</v>
      </c>
      <c r="O283" s="13" t="s">
        <v>42</v>
      </c>
      <c r="P283" s="34"/>
      <c r="Q283" s="13" t="s">
        <v>49</v>
      </c>
      <c r="R283" s="13" t="s">
        <v>46</v>
      </c>
      <c r="S283" s="37"/>
      <c r="T283" s="37"/>
      <c r="U283" s="26"/>
      <c r="V283" s="37">
        <v>5.0</v>
      </c>
    </row>
    <row r="284" ht="16.5" hidden="1" customHeight="1">
      <c r="A284" s="13">
        <v>283.0</v>
      </c>
      <c r="B284" s="15">
        <v>46106.0</v>
      </c>
      <c r="C284" s="13" t="s">
        <v>58</v>
      </c>
      <c r="D284" s="13" t="s">
        <v>60</v>
      </c>
      <c r="E284" s="13" t="s">
        <v>27</v>
      </c>
      <c r="F284" s="13">
        <v>5.55371769E8</v>
      </c>
      <c r="G284" s="13" t="s">
        <v>27</v>
      </c>
      <c r="H284" s="13" t="s">
        <v>27</v>
      </c>
      <c r="I284" s="20" t="s">
        <v>2544</v>
      </c>
      <c r="J284" s="20" t="s">
        <v>35</v>
      </c>
      <c r="K284" s="13" t="s">
        <v>36</v>
      </c>
      <c r="L284" s="26"/>
      <c r="M284" s="27" t="s">
        <v>88</v>
      </c>
      <c r="N284" s="13" t="s">
        <v>56</v>
      </c>
      <c r="O284" s="13" t="s">
        <v>42</v>
      </c>
      <c r="P284" s="34"/>
      <c r="Q284" s="13" t="s">
        <v>49</v>
      </c>
      <c r="R284" s="13" t="s">
        <v>68</v>
      </c>
      <c r="S284" s="37"/>
      <c r="T284" s="37"/>
      <c r="U284" s="26"/>
      <c r="V284" s="37">
        <v>5.0</v>
      </c>
    </row>
    <row r="285" ht="16.5" hidden="1" customHeight="1">
      <c r="A285" s="13">
        <v>284.0</v>
      </c>
      <c r="B285" s="15">
        <v>46106.0</v>
      </c>
      <c r="C285" s="13" t="s">
        <v>21</v>
      </c>
      <c r="D285" s="13" t="s">
        <v>24</v>
      </c>
      <c r="E285" s="20" t="s">
        <v>2551</v>
      </c>
      <c r="F285" s="13">
        <v>5.36660631E8</v>
      </c>
      <c r="G285" s="20" t="s">
        <v>333</v>
      </c>
      <c r="H285" s="13" t="s">
        <v>27</v>
      </c>
      <c r="I285" s="20" t="s">
        <v>2553</v>
      </c>
      <c r="J285" s="20" t="s">
        <v>35</v>
      </c>
      <c r="K285" s="13" t="s">
        <v>36</v>
      </c>
      <c r="L285" s="26"/>
      <c r="M285" s="27" t="s">
        <v>38</v>
      </c>
      <c r="N285" s="13" t="s">
        <v>40</v>
      </c>
      <c r="O285" s="13" t="s">
        <v>42</v>
      </c>
      <c r="P285" s="34"/>
      <c r="Q285" s="13" t="s">
        <v>49</v>
      </c>
      <c r="R285" s="13" t="s">
        <v>46</v>
      </c>
      <c r="S285" s="37"/>
      <c r="T285" s="37"/>
      <c r="U285" s="26"/>
      <c r="V285" s="37">
        <v>5.0</v>
      </c>
    </row>
    <row r="286" ht="16.5" hidden="1" customHeight="1">
      <c r="A286" s="13">
        <v>285.0</v>
      </c>
      <c r="B286" s="15">
        <v>46106.0</v>
      </c>
      <c r="C286" s="13" t="s">
        <v>21</v>
      </c>
      <c r="D286" s="13" t="s">
        <v>24</v>
      </c>
      <c r="E286" s="20" t="s">
        <v>2557</v>
      </c>
      <c r="F286" s="13">
        <v>5.4669586E8</v>
      </c>
      <c r="G286" s="20" t="s">
        <v>71</v>
      </c>
      <c r="H286" s="13" t="s">
        <v>27</v>
      </c>
      <c r="I286" s="20" t="s">
        <v>2560</v>
      </c>
      <c r="J286" s="20" t="s">
        <v>35</v>
      </c>
      <c r="K286" s="13" t="s">
        <v>36</v>
      </c>
      <c r="L286" s="26"/>
      <c r="M286" s="27" t="s">
        <v>38</v>
      </c>
      <c r="N286" s="13" t="s">
        <v>40</v>
      </c>
      <c r="O286" s="13" t="s">
        <v>42</v>
      </c>
      <c r="P286" s="34"/>
      <c r="Q286" s="13" t="s">
        <v>49</v>
      </c>
      <c r="R286" s="13" t="s">
        <v>46</v>
      </c>
      <c r="S286" s="37"/>
      <c r="T286" s="37"/>
      <c r="U286" s="26"/>
      <c r="V286" s="37">
        <v>5.0</v>
      </c>
    </row>
    <row r="287" ht="16.5" hidden="1" customHeight="1">
      <c r="A287" s="13">
        <v>286.0</v>
      </c>
      <c r="B287" s="15">
        <v>46106.0</v>
      </c>
      <c r="C287" s="13" t="s">
        <v>58</v>
      </c>
      <c r="D287" s="13" t="s">
        <v>60</v>
      </c>
      <c r="E287" s="13" t="s">
        <v>27</v>
      </c>
      <c r="F287" s="13">
        <v>5.37211933E8</v>
      </c>
      <c r="G287" s="13" t="s">
        <v>27</v>
      </c>
      <c r="H287" s="13" t="s">
        <v>27</v>
      </c>
      <c r="I287" s="20" t="s">
        <v>2566</v>
      </c>
      <c r="J287" s="20" t="s">
        <v>35</v>
      </c>
      <c r="K287" s="13" t="s">
        <v>36</v>
      </c>
      <c r="L287" s="26"/>
      <c r="M287" s="27" t="s">
        <v>88</v>
      </c>
      <c r="N287" s="13" t="s">
        <v>56</v>
      </c>
      <c r="O287" s="13" t="s">
        <v>42</v>
      </c>
      <c r="P287" s="34"/>
      <c r="Q287" s="13" t="s">
        <v>49</v>
      </c>
      <c r="R287" s="13" t="s">
        <v>68</v>
      </c>
      <c r="S287" s="37"/>
      <c r="T287" s="37"/>
      <c r="U287" s="26"/>
      <c r="V287" s="37">
        <v>5.0</v>
      </c>
    </row>
    <row r="288" ht="16.5" hidden="1" customHeight="1">
      <c r="A288" s="13">
        <v>287.0</v>
      </c>
      <c r="B288" s="15">
        <v>46106.0</v>
      </c>
      <c r="C288" s="13" t="s">
        <v>58</v>
      </c>
      <c r="D288" s="13" t="s">
        <v>60</v>
      </c>
      <c r="E288" s="13" t="s">
        <v>27</v>
      </c>
      <c r="F288" s="13">
        <v>5.50288163E8</v>
      </c>
      <c r="G288" s="13" t="s">
        <v>27</v>
      </c>
      <c r="H288" s="13" t="s">
        <v>27</v>
      </c>
      <c r="I288" s="127" t="s">
        <v>554</v>
      </c>
      <c r="J288" s="20" t="s">
        <v>35</v>
      </c>
      <c r="K288" s="13" t="s">
        <v>36</v>
      </c>
      <c r="L288" s="26"/>
      <c r="M288" s="27" t="s">
        <v>88</v>
      </c>
      <c r="N288" s="13" t="s">
        <v>56</v>
      </c>
      <c r="O288" s="13" t="s">
        <v>42</v>
      </c>
      <c r="P288" s="34"/>
      <c r="Q288" s="13" t="s">
        <v>49</v>
      </c>
      <c r="R288" s="13" t="s">
        <v>68</v>
      </c>
      <c r="S288" s="37"/>
      <c r="T288" s="37"/>
      <c r="U288" s="26"/>
      <c r="V288" s="37">
        <v>5.0</v>
      </c>
    </row>
    <row r="289">
      <c r="A289" s="13">
        <v>288.0</v>
      </c>
      <c r="B289" s="15">
        <v>46106.0</v>
      </c>
      <c r="C289" s="13" t="s">
        <v>47</v>
      </c>
      <c r="D289" s="13" t="s">
        <v>92</v>
      </c>
      <c r="E289" s="20" t="s">
        <v>2577</v>
      </c>
      <c r="F289" s="13">
        <v>5.36623477E8</v>
      </c>
      <c r="G289" s="20" t="s">
        <v>71</v>
      </c>
      <c r="H289" s="123" t="s">
        <v>337</v>
      </c>
      <c r="I289" s="20" t="s">
        <v>2579</v>
      </c>
      <c r="J289" s="20" t="s">
        <v>35</v>
      </c>
      <c r="K289" s="13" t="s">
        <v>36</v>
      </c>
      <c r="L289" s="26"/>
      <c r="M289" s="27" t="s">
        <v>55</v>
      </c>
      <c r="N289" s="13" t="s">
        <v>40</v>
      </c>
      <c r="O289" s="13" t="s">
        <v>42</v>
      </c>
      <c r="P289" s="34"/>
      <c r="Q289" s="13" t="s">
        <v>49</v>
      </c>
      <c r="R289" s="13" t="s">
        <v>46</v>
      </c>
      <c r="S289" s="37"/>
      <c r="T289" s="37"/>
      <c r="U289" s="26"/>
      <c r="V289" s="37">
        <v>5.0</v>
      </c>
    </row>
    <row r="290" hidden="1">
      <c r="A290" s="13">
        <v>289.0</v>
      </c>
      <c r="B290" s="15">
        <v>46106.0</v>
      </c>
      <c r="C290" s="13" t="s">
        <v>21</v>
      </c>
      <c r="D290" s="13" t="s">
        <v>57</v>
      </c>
      <c r="E290" s="106" t="s">
        <v>2589</v>
      </c>
      <c r="F290" s="151" t="s">
        <v>2590</v>
      </c>
      <c r="G290" s="13" t="s">
        <v>27</v>
      </c>
      <c r="H290" s="13" t="s">
        <v>27</v>
      </c>
      <c r="I290" s="20" t="s">
        <v>2593</v>
      </c>
      <c r="J290" s="20" t="s">
        <v>35</v>
      </c>
      <c r="K290" s="13" t="s">
        <v>36</v>
      </c>
      <c r="L290" s="26"/>
      <c r="M290" s="27" t="s">
        <v>38</v>
      </c>
      <c r="N290" s="13" t="s">
        <v>56</v>
      </c>
      <c r="O290" s="13" t="s">
        <v>42</v>
      </c>
      <c r="P290" s="34"/>
      <c r="Q290" s="13" t="s">
        <v>49</v>
      </c>
      <c r="R290" s="13" t="s">
        <v>68</v>
      </c>
      <c r="S290" s="37"/>
      <c r="T290" s="37"/>
      <c r="U290" s="26"/>
      <c r="V290" s="37">
        <v>5.0</v>
      </c>
    </row>
    <row r="291" hidden="1">
      <c r="A291" s="13">
        <v>290.0</v>
      </c>
      <c r="B291" s="15">
        <v>46106.0</v>
      </c>
      <c r="C291" s="13" t="s">
        <v>21</v>
      </c>
      <c r="D291" s="13" t="s">
        <v>24</v>
      </c>
      <c r="E291" s="106" t="s">
        <v>2602</v>
      </c>
      <c r="F291" s="151" t="s">
        <v>2603</v>
      </c>
      <c r="G291" s="20" t="s">
        <v>79</v>
      </c>
      <c r="H291" s="13" t="s">
        <v>27</v>
      </c>
      <c r="I291" s="106" t="s">
        <v>2604</v>
      </c>
      <c r="J291" s="20" t="s">
        <v>35</v>
      </c>
      <c r="K291" s="13" t="s">
        <v>36</v>
      </c>
      <c r="L291" s="26"/>
      <c r="M291" s="27" t="s">
        <v>38</v>
      </c>
      <c r="N291" s="13" t="s">
        <v>40</v>
      </c>
      <c r="O291" s="13" t="s">
        <v>42</v>
      </c>
      <c r="P291" s="34"/>
      <c r="Q291" s="13" t="s">
        <v>49</v>
      </c>
      <c r="R291" s="13" t="s">
        <v>46</v>
      </c>
      <c r="S291" s="37"/>
      <c r="T291" s="37"/>
      <c r="U291" s="26"/>
      <c r="V291" s="37">
        <v>5.0</v>
      </c>
    </row>
    <row r="292" hidden="1">
      <c r="A292" s="13">
        <v>291.0</v>
      </c>
      <c r="B292" s="15">
        <v>46106.0</v>
      </c>
      <c r="C292" s="13" t="s">
        <v>21</v>
      </c>
      <c r="D292" s="13" t="s">
        <v>24</v>
      </c>
      <c r="E292" s="106" t="s">
        <v>2609</v>
      </c>
      <c r="F292" s="106">
        <v>5.03022703E8</v>
      </c>
      <c r="G292" s="20" t="s">
        <v>79</v>
      </c>
      <c r="H292" s="13" t="s">
        <v>27</v>
      </c>
      <c r="I292" s="106" t="s">
        <v>2611</v>
      </c>
      <c r="J292" s="20" t="s">
        <v>35</v>
      </c>
      <c r="K292" s="13" t="s">
        <v>36</v>
      </c>
      <c r="L292" s="26"/>
      <c r="M292" s="27" t="s">
        <v>38</v>
      </c>
      <c r="N292" s="13" t="s">
        <v>40</v>
      </c>
      <c r="O292" s="13" t="s">
        <v>42</v>
      </c>
      <c r="P292" s="34"/>
      <c r="Q292" s="13" t="s">
        <v>49</v>
      </c>
      <c r="R292" s="13" t="s">
        <v>46</v>
      </c>
      <c r="S292" s="37"/>
      <c r="T292" s="37"/>
      <c r="U292" s="26"/>
      <c r="V292" s="37">
        <v>5.0</v>
      </c>
    </row>
    <row r="293" hidden="1">
      <c r="A293" s="13">
        <v>292.0</v>
      </c>
      <c r="B293" s="15">
        <v>46106.0</v>
      </c>
      <c r="C293" s="13" t="s">
        <v>21</v>
      </c>
      <c r="D293" s="13" t="s">
        <v>57</v>
      </c>
      <c r="E293" s="106" t="s">
        <v>751</v>
      </c>
      <c r="F293" s="151" t="s">
        <v>2619</v>
      </c>
      <c r="G293" s="13" t="s">
        <v>27</v>
      </c>
      <c r="H293" s="13" t="s">
        <v>27</v>
      </c>
      <c r="I293" s="20" t="s">
        <v>2593</v>
      </c>
      <c r="J293" s="20" t="s">
        <v>35</v>
      </c>
      <c r="K293" s="13" t="s">
        <v>36</v>
      </c>
      <c r="L293" s="26"/>
      <c r="M293" s="27" t="s">
        <v>38</v>
      </c>
      <c r="N293" s="13" t="s">
        <v>56</v>
      </c>
      <c r="O293" s="13" t="s">
        <v>42</v>
      </c>
      <c r="P293" s="34"/>
      <c r="Q293" s="13" t="s">
        <v>49</v>
      </c>
      <c r="R293" s="13" t="s">
        <v>68</v>
      </c>
      <c r="S293" s="37"/>
      <c r="T293" s="37"/>
      <c r="U293" s="26"/>
      <c r="V293" s="37">
        <v>5.0</v>
      </c>
    </row>
    <row r="294" hidden="1">
      <c r="A294" s="13">
        <v>293.0</v>
      </c>
      <c r="B294" s="15">
        <v>46106.0</v>
      </c>
      <c r="C294" s="13" t="s">
        <v>21</v>
      </c>
      <c r="D294" s="13" t="s">
        <v>57</v>
      </c>
      <c r="E294" s="106" t="s">
        <v>2631</v>
      </c>
      <c r="F294" s="151" t="s">
        <v>2633</v>
      </c>
      <c r="G294" s="13" t="s">
        <v>27</v>
      </c>
      <c r="H294" s="13" t="s">
        <v>27</v>
      </c>
      <c r="I294" s="20" t="s">
        <v>2593</v>
      </c>
      <c r="J294" s="20" t="s">
        <v>35</v>
      </c>
      <c r="K294" s="13" t="s">
        <v>36</v>
      </c>
      <c r="L294" s="26"/>
      <c r="M294" s="27" t="s">
        <v>38</v>
      </c>
      <c r="N294" s="13" t="s">
        <v>56</v>
      </c>
      <c r="O294" s="13" t="s">
        <v>42</v>
      </c>
      <c r="P294" s="34"/>
      <c r="Q294" s="13" t="s">
        <v>49</v>
      </c>
      <c r="R294" s="13" t="s">
        <v>68</v>
      </c>
      <c r="S294" s="37"/>
      <c r="T294" s="37"/>
      <c r="U294" s="26"/>
      <c r="V294" s="37">
        <v>5.0</v>
      </c>
    </row>
    <row r="295" hidden="1">
      <c r="A295" s="13">
        <v>294.0</v>
      </c>
      <c r="B295" s="15">
        <v>46106.0</v>
      </c>
      <c r="C295" s="13" t="s">
        <v>21</v>
      </c>
      <c r="D295" s="13" t="s">
        <v>57</v>
      </c>
      <c r="E295" s="106" t="s">
        <v>2641</v>
      </c>
      <c r="F295" s="151" t="s">
        <v>2642</v>
      </c>
      <c r="G295" s="13" t="s">
        <v>27</v>
      </c>
      <c r="H295" s="13" t="s">
        <v>27</v>
      </c>
      <c r="I295" s="20" t="s">
        <v>2593</v>
      </c>
      <c r="J295" s="20" t="s">
        <v>35</v>
      </c>
      <c r="K295" s="13" t="s">
        <v>36</v>
      </c>
      <c r="L295" s="26"/>
      <c r="M295" s="27" t="s">
        <v>38</v>
      </c>
      <c r="N295" s="13" t="s">
        <v>56</v>
      </c>
      <c r="O295" s="13" t="s">
        <v>42</v>
      </c>
      <c r="P295" s="34"/>
      <c r="Q295" s="13" t="s">
        <v>49</v>
      </c>
      <c r="R295" s="13" t="s">
        <v>68</v>
      </c>
      <c r="S295" s="37"/>
      <c r="T295" s="37"/>
      <c r="U295" s="26"/>
      <c r="V295" s="37">
        <v>5.0</v>
      </c>
    </row>
    <row r="296" hidden="1">
      <c r="A296" s="13">
        <v>295.0</v>
      </c>
      <c r="B296" s="15">
        <v>46106.0</v>
      </c>
      <c r="C296" s="13" t="s">
        <v>21</v>
      </c>
      <c r="D296" s="13" t="s">
        <v>57</v>
      </c>
      <c r="E296" s="106" t="s">
        <v>2649</v>
      </c>
      <c r="F296" s="151" t="s">
        <v>2650</v>
      </c>
      <c r="G296" s="13" t="s">
        <v>27</v>
      </c>
      <c r="H296" s="13" t="s">
        <v>27</v>
      </c>
      <c r="I296" s="20" t="s">
        <v>2593</v>
      </c>
      <c r="J296" s="20" t="s">
        <v>35</v>
      </c>
      <c r="K296" s="13" t="s">
        <v>36</v>
      </c>
      <c r="L296" s="26"/>
      <c r="M296" s="27" t="s">
        <v>38</v>
      </c>
      <c r="N296" s="13" t="s">
        <v>56</v>
      </c>
      <c r="O296" s="13" t="s">
        <v>42</v>
      </c>
      <c r="P296" s="34"/>
      <c r="Q296" s="13" t="s">
        <v>49</v>
      </c>
      <c r="R296" s="13" t="s">
        <v>68</v>
      </c>
      <c r="S296" s="37"/>
      <c r="T296" s="37"/>
      <c r="U296" s="26"/>
      <c r="V296" s="37">
        <v>5.0</v>
      </c>
    </row>
    <row r="297" hidden="1">
      <c r="A297" s="13">
        <v>296.0</v>
      </c>
      <c r="B297" s="15">
        <v>46106.0</v>
      </c>
      <c r="C297" s="13" t="s">
        <v>21</v>
      </c>
      <c r="D297" s="13" t="s">
        <v>57</v>
      </c>
      <c r="E297" s="106" t="s">
        <v>2662</v>
      </c>
      <c r="F297" s="151" t="s">
        <v>2663</v>
      </c>
      <c r="G297" s="13" t="s">
        <v>27</v>
      </c>
      <c r="H297" s="13" t="s">
        <v>27</v>
      </c>
      <c r="I297" s="20" t="s">
        <v>2593</v>
      </c>
      <c r="J297" s="20" t="s">
        <v>35</v>
      </c>
      <c r="K297" s="13" t="s">
        <v>36</v>
      </c>
      <c r="L297" s="26"/>
      <c r="M297" s="27" t="s">
        <v>38</v>
      </c>
      <c r="N297" s="13" t="s">
        <v>56</v>
      </c>
      <c r="O297" s="13" t="s">
        <v>42</v>
      </c>
      <c r="P297" s="34"/>
      <c r="Q297" s="13" t="s">
        <v>49</v>
      </c>
      <c r="R297" s="13" t="s">
        <v>68</v>
      </c>
      <c r="S297" s="37"/>
      <c r="T297" s="37"/>
      <c r="U297" s="26"/>
      <c r="V297" s="37">
        <v>5.0</v>
      </c>
    </row>
    <row r="298" hidden="1">
      <c r="A298" s="13">
        <v>297.0</v>
      </c>
      <c r="B298" s="15">
        <v>46106.0</v>
      </c>
      <c r="C298" s="13" t="s">
        <v>21</v>
      </c>
      <c r="D298" s="13" t="s">
        <v>57</v>
      </c>
      <c r="E298" s="106" t="s">
        <v>2670</v>
      </c>
      <c r="F298" s="151" t="s">
        <v>2672</v>
      </c>
      <c r="G298" s="13" t="s">
        <v>27</v>
      </c>
      <c r="H298" s="13" t="s">
        <v>27</v>
      </c>
      <c r="I298" s="20" t="s">
        <v>2593</v>
      </c>
      <c r="J298" s="20" t="s">
        <v>35</v>
      </c>
      <c r="K298" s="13" t="s">
        <v>36</v>
      </c>
      <c r="L298" s="26"/>
      <c r="M298" s="27" t="s">
        <v>38</v>
      </c>
      <c r="N298" s="13" t="s">
        <v>56</v>
      </c>
      <c r="O298" s="13" t="s">
        <v>42</v>
      </c>
      <c r="P298" s="34"/>
      <c r="Q298" s="13" t="s">
        <v>49</v>
      </c>
      <c r="R298" s="13" t="s">
        <v>68</v>
      </c>
      <c r="S298" s="37"/>
      <c r="T298" s="37"/>
      <c r="U298" s="26"/>
      <c r="V298" s="37">
        <v>5.0</v>
      </c>
    </row>
    <row r="299" hidden="1">
      <c r="A299" s="13">
        <v>298.0</v>
      </c>
      <c r="B299" s="15">
        <v>46106.0</v>
      </c>
      <c r="C299" s="13" t="s">
        <v>58</v>
      </c>
      <c r="D299" s="13" t="s">
        <v>60</v>
      </c>
      <c r="E299" s="106" t="s">
        <v>2676</v>
      </c>
      <c r="F299" s="151" t="s">
        <v>2677</v>
      </c>
      <c r="G299" s="13" t="s">
        <v>27</v>
      </c>
      <c r="H299" s="13" t="s">
        <v>27</v>
      </c>
      <c r="I299" s="20" t="s">
        <v>2679</v>
      </c>
      <c r="J299" s="20" t="s">
        <v>35</v>
      </c>
      <c r="K299" s="13" t="s">
        <v>36</v>
      </c>
      <c r="L299" s="26"/>
      <c r="M299" s="27" t="s">
        <v>88</v>
      </c>
      <c r="N299" s="13" t="s">
        <v>56</v>
      </c>
      <c r="O299" s="13" t="s">
        <v>42</v>
      </c>
      <c r="P299" s="34"/>
      <c r="Q299" s="13" t="s">
        <v>49</v>
      </c>
      <c r="R299" s="13" t="s">
        <v>68</v>
      </c>
      <c r="S299" s="37"/>
      <c r="T299" s="37"/>
      <c r="U299" s="26"/>
      <c r="V299" s="37">
        <v>5.0</v>
      </c>
    </row>
    <row r="300" hidden="1">
      <c r="A300" s="13">
        <v>299.0</v>
      </c>
      <c r="B300" s="15">
        <v>46106.0</v>
      </c>
      <c r="C300" s="13" t="s">
        <v>21</v>
      </c>
      <c r="D300" s="13" t="s">
        <v>57</v>
      </c>
      <c r="E300" s="106" t="s">
        <v>2686</v>
      </c>
      <c r="F300" s="151" t="s">
        <v>2687</v>
      </c>
      <c r="G300" s="13" t="s">
        <v>27</v>
      </c>
      <c r="H300" s="13" t="s">
        <v>27</v>
      </c>
      <c r="I300" s="20" t="s">
        <v>2593</v>
      </c>
      <c r="J300" s="20" t="s">
        <v>35</v>
      </c>
      <c r="K300" s="13" t="s">
        <v>36</v>
      </c>
      <c r="L300" s="26"/>
      <c r="M300" s="27" t="s">
        <v>38</v>
      </c>
      <c r="N300" s="13" t="s">
        <v>56</v>
      </c>
      <c r="O300" s="13" t="s">
        <v>42</v>
      </c>
      <c r="P300" s="34"/>
      <c r="Q300" s="13" t="s">
        <v>49</v>
      </c>
      <c r="R300" s="13" t="s">
        <v>68</v>
      </c>
      <c r="S300" s="37"/>
      <c r="T300" s="37"/>
      <c r="U300" s="26"/>
      <c r="V300" s="37">
        <v>5.0</v>
      </c>
    </row>
    <row r="301" hidden="1">
      <c r="A301" s="13">
        <v>300.0</v>
      </c>
      <c r="B301" s="15">
        <v>46106.0</v>
      </c>
      <c r="C301" s="13" t="s">
        <v>21</v>
      </c>
      <c r="D301" s="13" t="s">
        <v>57</v>
      </c>
      <c r="E301" s="106" t="s">
        <v>2698</v>
      </c>
      <c r="F301" s="151" t="s">
        <v>2701</v>
      </c>
      <c r="G301" s="13" t="s">
        <v>27</v>
      </c>
      <c r="H301" s="13" t="s">
        <v>27</v>
      </c>
      <c r="I301" s="20" t="s">
        <v>2593</v>
      </c>
      <c r="J301" s="20" t="s">
        <v>35</v>
      </c>
      <c r="K301" s="13" t="s">
        <v>36</v>
      </c>
      <c r="L301" s="26"/>
      <c r="M301" s="27" t="s">
        <v>38</v>
      </c>
      <c r="N301" s="13" t="s">
        <v>56</v>
      </c>
      <c r="O301" s="13" t="s">
        <v>42</v>
      </c>
      <c r="P301" s="34"/>
      <c r="Q301" s="13" t="s">
        <v>49</v>
      </c>
      <c r="R301" s="13" t="s">
        <v>68</v>
      </c>
      <c r="S301" s="37"/>
      <c r="T301" s="37"/>
      <c r="U301" s="26"/>
      <c r="V301" s="37">
        <v>5.0</v>
      </c>
    </row>
    <row r="302" hidden="1">
      <c r="A302" s="13">
        <v>301.0</v>
      </c>
      <c r="B302" s="15">
        <v>46106.0</v>
      </c>
      <c r="C302" s="13" t="s">
        <v>21</v>
      </c>
      <c r="D302" s="13" t="s">
        <v>57</v>
      </c>
      <c r="E302" s="106" t="s">
        <v>2708</v>
      </c>
      <c r="F302" s="13">
        <v>5.43003377E8</v>
      </c>
      <c r="G302" s="13" t="s">
        <v>27</v>
      </c>
      <c r="H302" s="13" t="s">
        <v>27</v>
      </c>
      <c r="I302" s="20" t="s">
        <v>2593</v>
      </c>
      <c r="J302" s="20" t="s">
        <v>35</v>
      </c>
      <c r="K302" s="13" t="s">
        <v>36</v>
      </c>
      <c r="L302" s="26"/>
      <c r="M302" s="27" t="s">
        <v>38</v>
      </c>
      <c r="N302" s="13" t="s">
        <v>56</v>
      </c>
      <c r="O302" s="13" t="s">
        <v>42</v>
      </c>
      <c r="P302" s="34"/>
      <c r="Q302" s="13" t="s">
        <v>49</v>
      </c>
      <c r="R302" s="13" t="s">
        <v>68</v>
      </c>
      <c r="S302" s="37"/>
      <c r="T302" s="37"/>
      <c r="U302" s="26"/>
      <c r="V302" s="37">
        <v>5.0</v>
      </c>
    </row>
    <row r="303" ht="144.75" customHeight="1">
      <c r="A303" s="13">
        <v>302.0</v>
      </c>
      <c r="B303" s="15">
        <v>46107.0</v>
      </c>
      <c r="C303" s="13" t="s">
        <v>47</v>
      </c>
      <c r="D303" s="13" t="s">
        <v>48</v>
      </c>
      <c r="E303" s="20" t="s">
        <v>2721</v>
      </c>
      <c r="F303" s="13">
        <v>5.70816668E8</v>
      </c>
      <c r="G303" s="20" t="s">
        <v>79</v>
      </c>
      <c r="H303" s="13" t="s">
        <v>2109</v>
      </c>
      <c r="I303" s="20" t="s">
        <v>2722</v>
      </c>
      <c r="J303" s="20" t="s">
        <v>2723</v>
      </c>
      <c r="K303" s="13" t="s">
        <v>36</v>
      </c>
      <c r="L303" s="26"/>
      <c r="M303" s="27" t="s">
        <v>55</v>
      </c>
      <c r="N303" s="13" t="s">
        <v>56</v>
      </c>
      <c r="O303" s="13" t="s">
        <v>42</v>
      </c>
      <c r="P303" s="34"/>
      <c r="Q303" s="13" t="s">
        <v>49</v>
      </c>
      <c r="R303" s="13" t="s">
        <v>46</v>
      </c>
      <c r="S303" s="37"/>
      <c r="T303" s="37"/>
      <c r="U303" s="26"/>
      <c r="V303" s="37">
        <v>5.0</v>
      </c>
    </row>
    <row r="304" ht="19.5" hidden="1" customHeight="1">
      <c r="A304" s="13">
        <v>303.0</v>
      </c>
      <c r="B304" s="15">
        <v>46107.0</v>
      </c>
      <c r="C304" s="13" t="s">
        <v>21</v>
      </c>
      <c r="D304" s="13" t="s">
        <v>24</v>
      </c>
      <c r="E304" s="20" t="s">
        <v>2730</v>
      </c>
      <c r="F304" s="13">
        <v>5.40201138E8</v>
      </c>
      <c r="G304" s="20" t="s">
        <v>71</v>
      </c>
      <c r="H304" s="13" t="s">
        <v>27</v>
      </c>
      <c r="I304" s="20" t="s">
        <v>2735</v>
      </c>
      <c r="J304" s="20" t="s">
        <v>35</v>
      </c>
      <c r="K304" s="13" t="s">
        <v>36</v>
      </c>
      <c r="L304" s="26"/>
      <c r="M304" s="27" t="s">
        <v>38</v>
      </c>
      <c r="N304" s="13" t="s">
        <v>40</v>
      </c>
      <c r="O304" s="13" t="s">
        <v>42</v>
      </c>
      <c r="P304" s="34"/>
      <c r="Q304" s="13" t="s">
        <v>49</v>
      </c>
      <c r="R304" s="13" t="s">
        <v>46</v>
      </c>
      <c r="S304" s="37"/>
      <c r="T304" s="37"/>
      <c r="U304" s="26"/>
      <c r="V304" s="37">
        <v>5.0</v>
      </c>
    </row>
    <row r="305" ht="45.75" customHeight="1">
      <c r="A305" s="13">
        <v>304.0</v>
      </c>
      <c r="B305" s="15">
        <v>46107.0</v>
      </c>
      <c r="C305" s="13" t="s">
        <v>47</v>
      </c>
      <c r="D305" s="13" t="s">
        <v>48</v>
      </c>
      <c r="E305" s="20" t="s">
        <v>2743</v>
      </c>
      <c r="F305" s="13">
        <v>5.66616114E8</v>
      </c>
      <c r="G305" s="20" t="s">
        <v>28</v>
      </c>
      <c r="H305" s="13" t="s">
        <v>177</v>
      </c>
      <c r="I305" s="20" t="s">
        <v>2744</v>
      </c>
      <c r="J305" s="20" t="s">
        <v>2745</v>
      </c>
      <c r="K305" s="13" t="s">
        <v>36</v>
      </c>
      <c r="L305" s="26"/>
      <c r="M305" s="27" t="s">
        <v>55</v>
      </c>
      <c r="N305" s="13" t="s">
        <v>56</v>
      </c>
      <c r="O305" s="13" t="s">
        <v>42</v>
      </c>
      <c r="P305" s="34"/>
      <c r="Q305" s="13" t="s">
        <v>49</v>
      </c>
      <c r="R305" s="13" t="s">
        <v>46</v>
      </c>
      <c r="S305" s="37"/>
      <c r="T305" s="37"/>
      <c r="U305" s="26"/>
      <c r="V305" s="37">
        <v>5.0</v>
      </c>
    </row>
    <row r="306">
      <c r="A306" s="13">
        <v>305.0</v>
      </c>
      <c r="B306" s="15">
        <v>46107.0</v>
      </c>
      <c r="C306" s="13" t="s">
        <v>47</v>
      </c>
      <c r="D306" s="13" t="s">
        <v>48</v>
      </c>
      <c r="E306" s="20" t="s">
        <v>2753</v>
      </c>
      <c r="F306" s="13">
        <v>5.08462253E8</v>
      </c>
      <c r="G306" s="20" t="s">
        <v>28</v>
      </c>
      <c r="H306" s="13" t="s">
        <v>177</v>
      </c>
      <c r="I306" s="20" t="s">
        <v>2755</v>
      </c>
      <c r="J306" s="20" t="s">
        <v>2757</v>
      </c>
      <c r="K306" s="13" t="s">
        <v>36</v>
      </c>
      <c r="L306" s="27"/>
      <c r="M306" s="27" t="s">
        <v>101</v>
      </c>
      <c r="N306" s="13" t="s">
        <v>56</v>
      </c>
      <c r="O306" s="13" t="s">
        <v>42</v>
      </c>
      <c r="P306" s="34"/>
      <c r="Q306" s="13" t="s">
        <v>49</v>
      </c>
      <c r="R306" s="13" t="s">
        <v>46</v>
      </c>
      <c r="S306" s="37"/>
      <c r="T306" s="37"/>
      <c r="U306" s="26"/>
      <c r="V306" s="37">
        <v>5.0</v>
      </c>
    </row>
    <row r="307" hidden="1">
      <c r="A307" s="13">
        <v>306.0</v>
      </c>
      <c r="B307" s="15">
        <v>46107.0</v>
      </c>
      <c r="C307" s="13" t="s">
        <v>21</v>
      </c>
      <c r="D307" s="13" t="s">
        <v>22</v>
      </c>
      <c r="E307" s="20" t="s">
        <v>2768</v>
      </c>
      <c r="F307" s="13">
        <v>5.30044105E8</v>
      </c>
      <c r="G307" s="20" t="s">
        <v>71</v>
      </c>
      <c r="H307" s="13" t="s">
        <v>27</v>
      </c>
      <c r="I307" s="20" t="s">
        <v>2769</v>
      </c>
      <c r="J307" s="20" t="s">
        <v>35</v>
      </c>
      <c r="K307" s="13" t="s">
        <v>36</v>
      </c>
      <c r="L307" s="27"/>
      <c r="M307" s="27" t="s">
        <v>101</v>
      </c>
      <c r="N307" s="13" t="s">
        <v>40</v>
      </c>
      <c r="O307" s="13" t="s">
        <v>42</v>
      </c>
      <c r="P307" s="34"/>
      <c r="Q307" s="13" t="s">
        <v>49</v>
      </c>
      <c r="R307" s="13" t="s">
        <v>46</v>
      </c>
      <c r="S307" s="37"/>
      <c r="T307" s="37"/>
      <c r="U307" s="26"/>
      <c r="V307" s="37">
        <v>5.0</v>
      </c>
    </row>
    <row r="308" hidden="1">
      <c r="A308" s="13">
        <v>307.0</v>
      </c>
      <c r="B308" s="15">
        <v>46107.0</v>
      </c>
      <c r="C308" s="13" t="s">
        <v>21</v>
      </c>
      <c r="D308" s="13" t="s">
        <v>24</v>
      </c>
      <c r="E308" s="20" t="s">
        <v>2768</v>
      </c>
      <c r="F308" s="13">
        <v>5.30044105E8</v>
      </c>
      <c r="G308" s="163" t="s">
        <v>71</v>
      </c>
      <c r="H308" s="13" t="s">
        <v>27</v>
      </c>
      <c r="I308" s="20" t="s">
        <v>2781</v>
      </c>
      <c r="J308" s="20" t="s">
        <v>35</v>
      </c>
      <c r="K308" s="13" t="s">
        <v>36</v>
      </c>
      <c r="L308" s="27"/>
      <c r="M308" s="27" t="s">
        <v>1640</v>
      </c>
      <c r="N308" s="13" t="s">
        <v>40</v>
      </c>
      <c r="O308" s="13" t="s">
        <v>42</v>
      </c>
      <c r="P308" s="34"/>
      <c r="Q308" s="13" t="s">
        <v>49</v>
      </c>
      <c r="R308" s="13" t="s">
        <v>46</v>
      </c>
      <c r="S308" s="37"/>
      <c r="T308" s="37"/>
      <c r="U308" s="26"/>
      <c r="V308" s="37">
        <v>5.0</v>
      </c>
    </row>
    <row r="309">
      <c r="A309" s="13">
        <v>308.0</v>
      </c>
      <c r="B309" s="15">
        <v>46107.0</v>
      </c>
      <c r="C309" s="13" t="s">
        <v>47</v>
      </c>
      <c r="D309" s="13" t="s">
        <v>367</v>
      </c>
      <c r="E309" s="13" t="s">
        <v>27</v>
      </c>
      <c r="F309" s="13" t="s">
        <v>27</v>
      </c>
      <c r="G309" s="20" t="s">
        <v>41</v>
      </c>
      <c r="H309" s="13" t="s">
        <v>513</v>
      </c>
      <c r="I309" s="20" t="s">
        <v>2790</v>
      </c>
      <c r="J309" s="20" t="s">
        <v>2791</v>
      </c>
      <c r="K309" s="13" t="s">
        <v>78</v>
      </c>
      <c r="L309" s="27"/>
      <c r="M309" s="27" t="s">
        <v>101</v>
      </c>
      <c r="N309" s="13" t="s">
        <v>40</v>
      </c>
      <c r="O309" s="13" t="s">
        <v>42</v>
      </c>
      <c r="P309" s="34"/>
      <c r="Q309" s="13" t="s">
        <v>49</v>
      </c>
      <c r="R309" s="13" t="s">
        <v>46</v>
      </c>
      <c r="S309" s="37"/>
      <c r="T309" s="37"/>
      <c r="U309" s="26"/>
      <c r="V309" s="37">
        <v>5.0</v>
      </c>
    </row>
    <row r="310" hidden="1">
      <c r="A310" s="13">
        <v>309.0</v>
      </c>
      <c r="B310" s="15">
        <v>46107.0</v>
      </c>
      <c r="C310" s="13" t="s">
        <v>58</v>
      </c>
      <c r="D310" s="13" t="s">
        <v>60</v>
      </c>
      <c r="E310" s="13" t="s">
        <v>27</v>
      </c>
      <c r="F310" s="13">
        <v>5.36885257E8</v>
      </c>
      <c r="G310" s="13" t="s">
        <v>27</v>
      </c>
      <c r="H310" s="13" t="s">
        <v>27</v>
      </c>
      <c r="I310" s="20" t="s">
        <v>554</v>
      </c>
      <c r="J310" s="20" t="s">
        <v>35</v>
      </c>
      <c r="K310" s="13" t="s">
        <v>36</v>
      </c>
      <c r="L310" s="157"/>
      <c r="M310" s="157" t="s">
        <v>2796</v>
      </c>
      <c r="N310" s="13" t="s">
        <v>56</v>
      </c>
      <c r="O310" s="13" t="s">
        <v>42</v>
      </c>
      <c r="P310" s="34"/>
      <c r="Q310" s="13" t="s">
        <v>49</v>
      </c>
      <c r="R310" s="13" t="s">
        <v>68</v>
      </c>
      <c r="S310" s="37"/>
      <c r="T310" s="37"/>
      <c r="U310" s="26"/>
      <c r="V310" s="37">
        <v>5.0</v>
      </c>
    </row>
    <row r="311" hidden="1">
      <c r="A311" s="13">
        <v>310.0</v>
      </c>
      <c r="B311" s="15">
        <v>46107.0</v>
      </c>
      <c r="C311" s="13" t="s">
        <v>21</v>
      </c>
      <c r="D311" s="13" t="s">
        <v>24</v>
      </c>
      <c r="E311" s="20" t="s">
        <v>2802</v>
      </c>
      <c r="F311" s="13">
        <v>5.56488328E8</v>
      </c>
      <c r="G311" s="13" t="s">
        <v>27</v>
      </c>
      <c r="H311" s="13" t="s">
        <v>27</v>
      </c>
      <c r="I311" s="20" t="s">
        <v>2803</v>
      </c>
      <c r="J311" s="20" t="s">
        <v>35</v>
      </c>
      <c r="K311" s="13" t="s">
        <v>36</v>
      </c>
      <c r="L311" s="27"/>
      <c r="M311" s="27" t="s">
        <v>795</v>
      </c>
      <c r="N311" s="13" t="s">
        <v>40</v>
      </c>
      <c r="O311" s="13" t="s">
        <v>42</v>
      </c>
      <c r="P311" s="34"/>
      <c r="Q311" s="13" t="s">
        <v>49</v>
      </c>
      <c r="R311" s="13" t="s">
        <v>46</v>
      </c>
      <c r="S311" s="37"/>
      <c r="T311" s="37"/>
      <c r="U311" s="26"/>
      <c r="V311" s="37">
        <v>5.0</v>
      </c>
    </row>
    <row r="312" hidden="1">
      <c r="A312" s="13">
        <v>311.0</v>
      </c>
      <c r="B312" s="15">
        <v>46107.0</v>
      </c>
      <c r="C312" s="13" t="s">
        <v>21</v>
      </c>
      <c r="D312" s="13" t="s">
        <v>66</v>
      </c>
      <c r="E312" s="13" t="s">
        <v>27</v>
      </c>
      <c r="F312" s="13">
        <v>5.01669995E8</v>
      </c>
      <c r="G312" s="20" t="s">
        <v>41</v>
      </c>
      <c r="H312" s="13" t="s">
        <v>27</v>
      </c>
      <c r="I312" s="20" t="s">
        <v>2809</v>
      </c>
      <c r="J312" s="20" t="s">
        <v>35</v>
      </c>
      <c r="K312" s="13" t="s">
        <v>36</v>
      </c>
      <c r="L312" s="27"/>
      <c r="M312" s="27" t="s">
        <v>602</v>
      </c>
      <c r="N312" s="13" t="s">
        <v>56</v>
      </c>
      <c r="O312" s="13" t="s">
        <v>42</v>
      </c>
      <c r="P312" s="34"/>
      <c r="Q312" s="13" t="s">
        <v>49</v>
      </c>
      <c r="R312" s="13" t="s">
        <v>68</v>
      </c>
      <c r="S312" s="37"/>
      <c r="T312" s="37"/>
      <c r="U312" s="26"/>
      <c r="V312" s="37">
        <v>5.0</v>
      </c>
    </row>
    <row r="313" hidden="1">
      <c r="A313" s="13">
        <v>312.0</v>
      </c>
      <c r="B313" s="15">
        <v>46107.0</v>
      </c>
      <c r="C313" s="13" t="s">
        <v>21</v>
      </c>
      <c r="D313" s="13" t="s">
        <v>24</v>
      </c>
      <c r="E313" s="20" t="s">
        <v>118</v>
      </c>
      <c r="F313" s="13">
        <v>5.53579132E8</v>
      </c>
      <c r="G313" s="20" t="s">
        <v>71</v>
      </c>
      <c r="H313" s="13" t="s">
        <v>27</v>
      </c>
      <c r="I313" s="20" t="s">
        <v>2819</v>
      </c>
      <c r="J313" s="20" t="s">
        <v>35</v>
      </c>
      <c r="K313" s="13" t="s">
        <v>36</v>
      </c>
      <c r="L313" s="26"/>
      <c r="M313" s="27" t="s">
        <v>38</v>
      </c>
      <c r="N313" s="13" t="s">
        <v>40</v>
      </c>
      <c r="O313" s="13" t="s">
        <v>42</v>
      </c>
      <c r="P313" s="34"/>
      <c r="Q313" s="13" t="s">
        <v>49</v>
      </c>
      <c r="R313" s="13" t="s">
        <v>46</v>
      </c>
      <c r="S313" s="37"/>
      <c r="T313" s="37"/>
      <c r="U313" s="26"/>
      <c r="V313" s="37">
        <v>5.0</v>
      </c>
    </row>
    <row r="314" ht="21.75" hidden="1" customHeight="1">
      <c r="A314" s="13">
        <v>313.0</v>
      </c>
      <c r="B314" s="15">
        <v>46107.0</v>
      </c>
      <c r="C314" s="13" t="s">
        <v>21</v>
      </c>
      <c r="D314" s="13" t="s">
        <v>22</v>
      </c>
      <c r="E314" s="20" t="s">
        <v>2827</v>
      </c>
      <c r="F314" s="13">
        <v>5.50265119E8</v>
      </c>
      <c r="G314" s="13" t="s">
        <v>27</v>
      </c>
      <c r="H314" s="13" t="s">
        <v>27</v>
      </c>
      <c r="I314" s="20" t="s">
        <v>2830</v>
      </c>
      <c r="J314" s="20" t="s">
        <v>35</v>
      </c>
      <c r="K314" s="13" t="s">
        <v>62</v>
      </c>
      <c r="L314" s="27"/>
      <c r="M314" s="27" t="s">
        <v>323</v>
      </c>
      <c r="N314" s="13" t="s">
        <v>40</v>
      </c>
      <c r="O314" s="13" t="s">
        <v>42</v>
      </c>
      <c r="P314" s="34"/>
      <c r="Q314" s="13" t="s">
        <v>49</v>
      </c>
      <c r="R314" s="13" t="s">
        <v>46</v>
      </c>
      <c r="S314" s="37"/>
      <c r="T314" s="37"/>
      <c r="U314" s="26"/>
      <c r="V314" s="37">
        <v>5.0</v>
      </c>
    </row>
    <row r="315" hidden="1">
      <c r="A315" s="13">
        <v>314.0</v>
      </c>
      <c r="B315" s="15">
        <v>46107.0</v>
      </c>
      <c r="C315" s="13" t="s">
        <v>21</v>
      </c>
      <c r="D315" s="13" t="s">
        <v>24</v>
      </c>
      <c r="E315" s="20" t="s">
        <v>2838</v>
      </c>
      <c r="F315" s="13">
        <v>5.57229007E8</v>
      </c>
      <c r="G315" s="20" t="s">
        <v>41</v>
      </c>
      <c r="H315" s="13" t="s">
        <v>27</v>
      </c>
      <c r="I315" s="20" t="s">
        <v>2840</v>
      </c>
      <c r="J315" s="20" t="s">
        <v>35</v>
      </c>
      <c r="K315" s="13" t="s">
        <v>62</v>
      </c>
      <c r="L315" s="26"/>
      <c r="M315" s="27" t="s">
        <v>38</v>
      </c>
      <c r="N315" s="13" t="s">
        <v>40</v>
      </c>
      <c r="O315" s="13" t="s">
        <v>42</v>
      </c>
      <c r="P315" s="34"/>
      <c r="Q315" s="13" t="s">
        <v>49</v>
      </c>
      <c r="R315" s="13" t="s">
        <v>46</v>
      </c>
      <c r="S315" s="37"/>
      <c r="T315" s="37"/>
      <c r="U315" s="26"/>
      <c r="V315" s="37">
        <v>5.0</v>
      </c>
    </row>
    <row r="316" hidden="1">
      <c r="A316" s="13">
        <v>315.0</v>
      </c>
      <c r="B316" s="15">
        <v>46107.0</v>
      </c>
      <c r="C316" s="13" t="s">
        <v>21</v>
      </c>
      <c r="D316" s="13" t="s">
        <v>57</v>
      </c>
      <c r="E316" s="20" t="s">
        <v>2850</v>
      </c>
      <c r="F316" s="13">
        <v>5.66616114E8</v>
      </c>
      <c r="G316" s="20" t="s">
        <v>71</v>
      </c>
      <c r="H316" s="13" t="s">
        <v>27</v>
      </c>
      <c r="I316" s="20" t="s">
        <v>2853</v>
      </c>
      <c r="J316" s="20" t="s">
        <v>35</v>
      </c>
      <c r="K316" s="13" t="s">
        <v>36</v>
      </c>
      <c r="L316" s="26"/>
      <c r="M316" s="27" t="s">
        <v>810</v>
      </c>
      <c r="N316" s="13" t="s">
        <v>40</v>
      </c>
      <c r="O316" s="13" t="s">
        <v>42</v>
      </c>
      <c r="P316" s="34"/>
      <c r="Q316" s="13" t="s">
        <v>49</v>
      </c>
      <c r="R316" s="13" t="s">
        <v>68</v>
      </c>
      <c r="S316" s="37"/>
      <c r="T316" s="37"/>
      <c r="U316" s="26"/>
      <c r="V316" s="37">
        <v>5.0</v>
      </c>
    </row>
    <row r="317">
      <c r="A317" s="13">
        <v>316.0</v>
      </c>
      <c r="B317" s="164">
        <v>46107.0</v>
      </c>
      <c r="C317" s="110" t="s">
        <v>47</v>
      </c>
      <c r="D317" s="127" t="s">
        <v>92</v>
      </c>
      <c r="E317" s="127" t="s">
        <v>2859</v>
      </c>
      <c r="F317" s="127" t="s">
        <v>27</v>
      </c>
      <c r="G317" s="127" t="s">
        <v>132</v>
      </c>
      <c r="H317" s="127" t="s">
        <v>406</v>
      </c>
      <c r="I317" s="127" t="s">
        <v>2861</v>
      </c>
      <c r="J317" s="165" t="s">
        <v>2862</v>
      </c>
      <c r="K317" s="127" t="s">
        <v>36</v>
      </c>
      <c r="L317" s="26"/>
      <c r="M317" s="27" t="s">
        <v>55</v>
      </c>
      <c r="N317" s="13" t="s">
        <v>56</v>
      </c>
      <c r="O317" s="110" t="s">
        <v>42</v>
      </c>
      <c r="P317" s="34"/>
      <c r="Q317" s="127" t="s">
        <v>49</v>
      </c>
      <c r="R317" s="13" t="s">
        <v>46</v>
      </c>
      <c r="S317" s="37"/>
      <c r="T317" s="37"/>
      <c r="U317" s="26"/>
      <c r="V317" s="37">
        <v>5.0</v>
      </c>
    </row>
    <row r="318" hidden="1">
      <c r="A318" s="13">
        <v>317.0</v>
      </c>
      <c r="B318" s="164">
        <v>46107.0</v>
      </c>
      <c r="C318" s="13" t="s">
        <v>21</v>
      </c>
      <c r="D318" s="13" t="s">
        <v>24</v>
      </c>
      <c r="E318" s="20" t="s">
        <v>2870</v>
      </c>
      <c r="F318" s="13">
        <v>5.55505738E8</v>
      </c>
      <c r="G318" s="20" t="s">
        <v>41</v>
      </c>
      <c r="H318" s="13" t="s">
        <v>27</v>
      </c>
      <c r="I318" s="20" t="s">
        <v>2871</v>
      </c>
      <c r="J318" s="20" t="s">
        <v>35</v>
      </c>
      <c r="K318" s="127" t="s">
        <v>36</v>
      </c>
      <c r="L318" s="26"/>
      <c r="M318" s="27" t="s">
        <v>38</v>
      </c>
      <c r="N318" s="13" t="s">
        <v>40</v>
      </c>
      <c r="O318" s="110" t="s">
        <v>42</v>
      </c>
      <c r="P318" s="34"/>
      <c r="Q318" s="127" t="s">
        <v>49</v>
      </c>
      <c r="R318" s="13" t="s">
        <v>46</v>
      </c>
      <c r="S318" s="37"/>
      <c r="T318" s="37"/>
      <c r="U318" s="26"/>
      <c r="V318" s="37">
        <v>5.0</v>
      </c>
    </row>
    <row r="319" hidden="1">
      <c r="A319" s="13">
        <v>318.0</v>
      </c>
      <c r="B319" s="164">
        <v>46107.0</v>
      </c>
      <c r="C319" s="13" t="s">
        <v>58</v>
      </c>
      <c r="D319" s="13" t="s">
        <v>60</v>
      </c>
      <c r="E319" s="13" t="s">
        <v>27</v>
      </c>
      <c r="F319" s="13">
        <v>5.97275305E8</v>
      </c>
      <c r="G319" s="13" t="s">
        <v>27</v>
      </c>
      <c r="H319" s="13" t="s">
        <v>27</v>
      </c>
      <c r="I319" s="20" t="s">
        <v>554</v>
      </c>
      <c r="J319" s="20" t="s">
        <v>35</v>
      </c>
      <c r="K319" s="127" t="s">
        <v>36</v>
      </c>
      <c r="L319" s="26"/>
      <c r="M319" s="27" t="s">
        <v>88</v>
      </c>
      <c r="N319" s="13" t="s">
        <v>56</v>
      </c>
      <c r="O319" s="110" t="s">
        <v>42</v>
      </c>
      <c r="P319" s="34"/>
      <c r="Q319" s="127" t="s">
        <v>49</v>
      </c>
      <c r="R319" s="13" t="s">
        <v>68</v>
      </c>
      <c r="S319" s="37"/>
      <c r="T319" s="37"/>
      <c r="U319" s="26"/>
      <c r="V319" s="37">
        <v>5.0</v>
      </c>
    </row>
    <row r="320" ht="55.5" customHeight="1">
      <c r="A320" s="13">
        <v>319.0</v>
      </c>
      <c r="B320" s="164">
        <v>46107.0</v>
      </c>
      <c r="C320" s="13" t="s">
        <v>47</v>
      </c>
      <c r="D320" s="13" t="s">
        <v>48</v>
      </c>
      <c r="E320" s="20" t="s">
        <v>2886</v>
      </c>
      <c r="F320" s="13">
        <v>5.50013389E8</v>
      </c>
      <c r="G320" s="20" t="s">
        <v>41</v>
      </c>
      <c r="H320" s="13" t="s">
        <v>705</v>
      </c>
      <c r="I320" s="20" t="s">
        <v>2889</v>
      </c>
      <c r="J320" s="20" t="s">
        <v>2890</v>
      </c>
      <c r="K320" s="127" t="s">
        <v>36</v>
      </c>
      <c r="L320" s="26"/>
      <c r="M320" s="27" t="s">
        <v>55</v>
      </c>
      <c r="N320" s="13" t="s">
        <v>56</v>
      </c>
      <c r="O320" s="110" t="s">
        <v>42</v>
      </c>
      <c r="P320" s="34"/>
      <c r="Q320" s="127" t="s">
        <v>49</v>
      </c>
      <c r="R320" s="13" t="s">
        <v>46</v>
      </c>
      <c r="S320" s="37"/>
      <c r="T320" s="37"/>
      <c r="U320" s="26"/>
      <c r="V320" s="37">
        <v>5.0</v>
      </c>
    </row>
    <row r="321" hidden="1">
      <c r="A321" s="13">
        <v>320.0</v>
      </c>
      <c r="B321" s="15">
        <v>46107.0</v>
      </c>
      <c r="C321" s="13" t="s">
        <v>58</v>
      </c>
      <c r="D321" s="13" t="s">
        <v>60</v>
      </c>
      <c r="E321" s="13" t="s">
        <v>27</v>
      </c>
      <c r="F321" s="13">
        <v>5.57479587E8</v>
      </c>
      <c r="G321" s="13" t="s">
        <v>27</v>
      </c>
      <c r="H321" s="13" t="s">
        <v>27</v>
      </c>
      <c r="I321" s="20" t="s">
        <v>124</v>
      </c>
      <c r="J321" s="20" t="s">
        <v>35</v>
      </c>
      <c r="K321" s="127" t="s">
        <v>36</v>
      </c>
      <c r="L321" s="26"/>
      <c r="M321" s="27" t="s">
        <v>38</v>
      </c>
      <c r="N321" s="13" t="s">
        <v>56</v>
      </c>
      <c r="O321" s="110" t="s">
        <v>42</v>
      </c>
      <c r="P321" s="34"/>
      <c r="Q321" s="127" t="s">
        <v>49</v>
      </c>
      <c r="R321" s="13" t="s">
        <v>68</v>
      </c>
      <c r="S321" s="37"/>
      <c r="T321" s="37"/>
      <c r="U321" s="26"/>
      <c r="V321" s="37">
        <v>5.0</v>
      </c>
    </row>
    <row r="322" hidden="1">
      <c r="A322" s="13">
        <v>321.0</v>
      </c>
      <c r="B322" s="15">
        <v>46107.0</v>
      </c>
      <c r="C322" s="13" t="s">
        <v>58</v>
      </c>
      <c r="D322" s="13" t="s">
        <v>60</v>
      </c>
      <c r="E322" s="13" t="s">
        <v>27</v>
      </c>
      <c r="F322" s="13">
        <v>5.7016668E7</v>
      </c>
      <c r="G322" s="13" t="s">
        <v>27</v>
      </c>
      <c r="H322" s="13" t="s">
        <v>27</v>
      </c>
      <c r="I322" s="20" t="s">
        <v>2909</v>
      </c>
      <c r="J322" s="20" t="s">
        <v>35</v>
      </c>
      <c r="K322" s="13" t="s">
        <v>36</v>
      </c>
      <c r="L322" s="26"/>
      <c r="M322" s="27" t="s">
        <v>88</v>
      </c>
      <c r="N322" s="13" t="s">
        <v>56</v>
      </c>
      <c r="O322" s="13" t="s">
        <v>42</v>
      </c>
      <c r="P322" s="34"/>
      <c r="Q322" s="13" t="s">
        <v>49</v>
      </c>
      <c r="R322" s="13" t="s">
        <v>68</v>
      </c>
      <c r="S322" s="37"/>
      <c r="T322" s="37"/>
      <c r="U322" s="26"/>
      <c r="V322" s="37">
        <v>5.0</v>
      </c>
    </row>
    <row r="323">
      <c r="A323" s="13">
        <v>322.0</v>
      </c>
      <c r="B323" s="15">
        <v>46110.0</v>
      </c>
      <c r="C323" s="13" t="s">
        <v>47</v>
      </c>
      <c r="D323" s="13" t="s">
        <v>48</v>
      </c>
      <c r="E323" s="20" t="s">
        <v>2913</v>
      </c>
      <c r="F323" s="13">
        <v>5.50560108E8</v>
      </c>
      <c r="G323" s="20" t="s">
        <v>41</v>
      </c>
      <c r="H323" s="13" t="s">
        <v>227</v>
      </c>
      <c r="I323" s="20" t="s">
        <v>2915</v>
      </c>
      <c r="J323" s="20" t="s">
        <v>2916</v>
      </c>
      <c r="K323" s="13" t="s">
        <v>36</v>
      </c>
      <c r="L323" s="26"/>
      <c r="M323" s="27" t="s">
        <v>55</v>
      </c>
      <c r="N323" s="13" t="s">
        <v>56</v>
      </c>
      <c r="O323" s="13" t="s">
        <v>42</v>
      </c>
      <c r="P323" s="34"/>
      <c r="Q323" s="13" t="s">
        <v>44</v>
      </c>
      <c r="R323" s="13" t="s">
        <v>46</v>
      </c>
      <c r="S323" s="37"/>
      <c r="T323" s="37"/>
      <c r="U323" s="26"/>
      <c r="V323" s="37">
        <v>5.0</v>
      </c>
    </row>
    <row r="324" hidden="1">
      <c r="A324" s="13">
        <v>323.0</v>
      </c>
      <c r="B324" s="15">
        <v>46110.0</v>
      </c>
      <c r="C324" s="13" t="s">
        <v>58</v>
      </c>
      <c r="D324" s="13" t="s">
        <v>60</v>
      </c>
      <c r="E324" s="13" t="s">
        <v>27</v>
      </c>
      <c r="F324" s="13">
        <v>5.44410274E8</v>
      </c>
      <c r="G324" s="13" t="s">
        <v>27</v>
      </c>
      <c r="H324" s="13" t="s">
        <v>27</v>
      </c>
      <c r="I324" s="20" t="s">
        <v>2923</v>
      </c>
      <c r="J324" s="20" t="s">
        <v>500</v>
      </c>
      <c r="K324" s="13" t="s">
        <v>65</v>
      </c>
      <c r="L324" s="26"/>
      <c r="M324" s="27" t="s">
        <v>88</v>
      </c>
      <c r="N324" s="13" t="s">
        <v>56</v>
      </c>
      <c r="O324" s="13" t="s">
        <v>42</v>
      </c>
      <c r="P324" s="34"/>
      <c r="Q324" s="13" t="s">
        <v>44</v>
      </c>
      <c r="R324" s="13" t="s">
        <v>68</v>
      </c>
      <c r="S324" s="37"/>
      <c r="T324" s="37"/>
      <c r="U324" s="26"/>
      <c r="V324" s="37">
        <v>5.0</v>
      </c>
    </row>
    <row r="325" hidden="1">
      <c r="A325" s="13">
        <v>324.0</v>
      </c>
      <c r="B325" s="15">
        <v>46110.0</v>
      </c>
      <c r="C325" s="13" t="s">
        <v>58</v>
      </c>
      <c r="D325" s="13" t="s">
        <v>60</v>
      </c>
      <c r="E325" s="13" t="s">
        <v>27</v>
      </c>
      <c r="F325" s="13">
        <v>5.55340608E8</v>
      </c>
      <c r="G325" s="13" t="s">
        <v>27</v>
      </c>
      <c r="H325" s="13" t="s">
        <v>27</v>
      </c>
      <c r="I325" s="13" t="s">
        <v>2933</v>
      </c>
      <c r="J325" s="20" t="s">
        <v>124</v>
      </c>
      <c r="K325" s="13" t="s">
        <v>65</v>
      </c>
      <c r="L325" s="26"/>
      <c r="M325" s="27" t="s">
        <v>88</v>
      </c>
      <c r="N325" s="13" t="s">
        <v>56</v>
      </c>
      <c r="O325" s="13" t="s">
        <v>42</v>
      </c>
      <c r="P325" s="34"/>
      <c r="Q325" s="13" t="s">
        <v>44</v>
      </c>
      <c r="R325" s="13" t="s">
        <v>68</v>
      </c>
      <c r="S325" s="37"/>
      <c r="T325" s="37"/>
      <c r="U325" s="26"/>
      <c r="V325" s="37">
        <v>5.0</v>
      </c>
    </row>
    <row r="326">
      <c r="A326" s="13">
        <v>325.0</v>
      </c>
      <c r="B326" s="15">
        <v>46110.0</v>
      </c>
      <c r="C326" s="13" t="s">
        <v>47</v>
      </c>
      <c r="D326" s="13" t="s">
        <v>48</v>
      </c>
      <c r="E326" s="20" t="s">
        <v>2940</v>
      </c>
      <c r="F326" s="13">
        <v>5.0671005E8</v>
      </c>
      <c r="G326" s="20" t="s">
        <v>79</v>
      </c>
      <c r="H326" s="13" t="s">
        <v>431</v>
      </c>
      <c r="I326" s="20" t="s">
        <v>2942</v>
      </c>
      <c r="J326" s="20" t="s">
        <v>2944</v>
      </c>
      <c r="K326" s="13" t="s">
        <v>65</v>
      </c>
      <c r="L326" s="26"/>
      <c r="M326" s="27" t="s">
        <v>611</v>
      </c>
      <c r="N326" s="13" t="s">
        <v>56</v>
      </c>
      <c r="O326" s="13" t="s">
        <v>42</v>
      </c>
      <c r="P326" s="34"/>
      <c r="Q326" s="13" t="s">
        <v>44</v>
      </c>
      <c r="R326" s="13" t="s">
        <v>46</v>
      </c>
      <c r="S326" s="37"/>
      <c r="T326" s="37"/>
      <c r="U326" s="26"/>
      <c r="V326" s="37">
        <v>5.0</v>
      </c>
    </row>
    <row r="327" hidden="1">
      <c r="A327" s="13">
        <v>326.0</v>
      </c>
      <c r="B327" s="15">
        <v>46110.0</v>
      </c>
      <c r="C327" s="13" t="s">
        <v>58</v>
      </c>
      <c r="D327" s="13" t="s">
        <v>60</v>
      </c>
      <c r="E327" s="13" t="s">
        <v>27</v>
      </c>
      <c r="F327" s="13">
        <v>5.42057871E8</v>
      </c>
      <c r="G327" s="13" t="s">
        <v>27</v>
      </c>
      <c r="H327" s="13" t="s">
        <v>27</v>
      </c>
      <c r="I327" s="20" t="s">
        <v>554</v>
      </c>
      <c r="J327" s="20" t="s">
        <v>500</v>
      </c>
      <c r="K327" s="13" t="s">
        <v>65</v>
      </c>
      <c r="L327" s="26"/>
      <c r="M327" s="27" t="s">
        <v>88</v>
      </c>
      <c r="N327" s="13" t="s">
        <v>56</v>
      </c>
      <c r="O327" s="13" t="s">
        <v>42</v>
      </c>
      <c r="P327" s="34"/>
      <c r="Q327" s="13" t="s">
        <v>44</v>
      </c>
      <c r="R327" s="13" t="s">
        <v>68</v>
      </c>
      <c r="S327" s="37"/>
      <c r="T327" s="37"/>
      <c r="U327" s="26"/>
      <c r="V327" s="37">
        <v>5.0</v>
      </c>
    </row>
    <row r="328" hidden="1">
      <c r="A328" s="13">
        <v>327.0</v>
      </c>
      <c r="B328" s="15">
        <v>46110.0</v>
      </c>
      <c r="C328" s="13" t="s">
        <v>58</v>
      </c>
      <c r="D328" s="13" t="s">
        <v>60</v>
      </c>
      <c r="E328" s="13" t="s">
        <v>27</v>
      </c>
      <c r="F328" s="13">
        <v>5.80863949E8</v>
      </c>
      <c r="G328" s="13" t="s">
        <v>27</v>
      </c>
      <c r="H328" s="13" t="s">
        <v>27</v>
      </c>
      <c r="I328" s="20" t="s">
        <v>554</v>
      </c>
      <c r="J328" s="20" t="s">
        <v>500</v>
      </c>
      <c r="K328" s="13" t="s">
        <v>65</v>
      </c>
      <c r="L328" s="26"/>
      <c r="M328" s="27" t="s">
        <v>88</v>
      </c>
      <c r="N328" s="13" t="s">
        <v>56</v>
      </c>
      <c r="O328" s="13" t="s">
        <v>42</v>
      </c>
      <c r="P328" s="34"/>
      <c r="Q328" s="13" t="s">
        <v>44</v>
      </c>
      <c r="R328" s="13" t="s">
        <v>68</v>
      </c>
      <c r="S328" s="37"/>
      <c r="T328" s="37"/>
      <c r="U328" s="26"/>
      <c r="V328" s="37">
        <v>5.0</v>
      </c>
    </row>
    <row r="329" hidden="1">
      <c r="A329" s="13">
        <v>328.0</v>
      </c>
      <c r="B329" s="15">
        <v>46110.0</v>
      </c>
      <c r="C329" s="13" t="s">
        <v>58</v>
      </c>
      <c r="D329" s="13" t="s">
        <v>60</v>
      </c>
      <c r="E329" s="13" t="s">
        <v>27</v>
      </c>
      <c r="F329" s="13">
        <v>5.31215711E8</v>
      </c>
      <c r="G329" s="13" t="s">
        <v>27</v>
      </c>
      <c r="H329" s="13" t="s">
        <v>27</v>
      </c>
      <c r="I329" s="13" t="s">
        <v>2968</v>
      </c>
      <c r="J329" s="20" t="s">
        <v>124</v>
      </c>
      <c r="K329" s="13" t="s">
        <v>65</v>
      </c>
      <c r="L329" s="26"/>
      <c r="M329" s="27" t="s">
        <v>88</v>
      </c>
      <c r="N329" s="13" t="s">
        <v>56</v>
      </c>
      <c r="O329" s="13" t="s">
        <v>42</v>
      </c>
      <c r="P329" s="34"/>
      <c r="Q329" s="13" t="s">
        <v>44</v>
      </c>
      <c r="R329" s="13" t="s">
        <v>68</v>
      </c>
      <c r="S329" s="37"/>
      <c r="T329" s="37"/>
      <c r="U329" s="26"/>
      <c r="V329" s="37">
        <v>5.0</v>
      </c>
    </row>
    <row r="330" hidden="1">
      <c r="A330" s="13">
        <v>329.0</v>
      </c>
      <c r="B330" s="15">
        <v>46110.0</v>
      </c>
      <c r="C330" s="13" t="s">
        <v>58</v>
      </c>
      <c r="D330" s="13" t="s">
        <v>60</v>
      </c>
      <c r="E330" s="13" t="s">
        <v>27</v>
      </c>
      <c r="F330" s="13">
        <v>5.31418018E8</v>
      </c>
      <c r="G330" s="13" t="s">
        <v>27</v>
      </c>
      <c r="H330" s="13" t="s">
        <v>27</v>
      </c>
      <c r="I330" s="13" t="s">
        <v>2977</v>
      </c>
      <c r="J330" s="20" t="s">
        <v>124</v>
      </c>
      <c r="K330" s="13" t="s">
        <v>65</v>
      </c>
      <c r="L330" s="26"/>
      <c r="M330" s="27" t="s">
        <v>88</v>
      </c>
      <c r="N330" s="13" t="s">
        <v>56</v>
      </c>
      <c r="O330" s="13" t="s">
        <v>42</v>
      </c>
      <c r="P330" s="34"/>
      <c r="Q330" s="13" t="s">
        <v>44</v>
      </c>
      <c r="R330" s="13" t="s">
        <v>68</v>
      </c>
      <c r="S330" s="37"/>
      <c r="T330" s="37"/>
      <c r="U330" s="26"/>
      <c r="V330" s="37">
        <v>5.0</v>
      </c>
    </row>
    <row r="331" hidden="1">
      <c r="A331" s="13">
        <v>330.0</v>
      </c>
      <c r="B331" s="15">
        <v>46110.0</v>
      </c>
      <c r="C331" s="13" t="s">
        <v>21</v>
      </c>
      <c r="D331" s="13" t="s">
        <v>22</v>
      </c>
      <c r="E331" s="20" t="s">
        <v>2987</v>
      </c>
      <c r="F331" s="13">
        <v>5.41207772E8</v>
      </c>
      <c r="G331" s="20" t="s">
        <v>362</v>
      </c>
      <c r="H331" s="13" t="s">
        <v>27</v>
      </c>
      <c r="I331" s="20" t="s">
        <v>2989</v>
      </c>
      <c r="J331" s="20" t="s">
        <v>35</v>
      </c>
      <c r="K331" s="13" t="s">
        <v>65</v>
      </c>
      <c r="L331" s="26"/>
      <c r="M331" s="27" t="s">
        <v>38</v>
      </c>
      <c r="N331" s="13" t="s">
        <v>40</v>
      </c>
      <c r="O331" s="13" t="s">
        <v>42</v>
      </c>
      <c r="P331" s="34"/>
      <c r="Q331" s="13" t="s">
        <v>44</v>
      </c>
      <c r="R331" s="13" t="s">
        <v>46</v>
      </c>
      <c r="S331" s="37"/>
      <c r="T331" s="37"/>
      <c r="U331" s="26"/>
      <c r="V331" s="37">
        <v>5.0</v>
      </c>
    </row>
    <row r="332" hidden="1">
      <c r="A332" s="13">
        <v>331.0</v>
      </c>
      <c r="B332" s="15">
        <v>46110.0</v>
      </c>
      <c r="C332" s="13" t="s">
        <v>58</v>
      </c>
      <c r="D332" s="13" t="s">
        <v>60</v>
      </c>
      <c r="E332" s="13" t="s">
        <v>27</v>
      </c>
      <c r="F332" s="13">
        <v>5.01901454E8</v>
      </c>
      <c r="G332" s="13" t="s">
        <v>27</v>
      </c>
      <c r="H332" s="13" t="s">
        <v>27</v>
      </c>
      <c r="I332" s="13" t="s">
        <v>3002</v>
      </c>
      <c r="J332" s="20" t="s">
        <v>3003</v>
      </c>
      <c r="K332" s="13" t="s">
        <v>65</v>
      </c>
      <c r="L332" s="26"/>
      <c r="M332" s="27" t="s">
        <v>88</v>
      </c>
      <c r="N332" s="13" t="s">
        <v>56</v>
      </c>
      <c r="O332" s="13" t="s">
        <v>42</v>
      </c>
      <c r="P332" s="34"/>
      <c r="Q332" s="13" t="s">
        <v>44</v>
      </c>
      <c r="R332" s="13" t="s">
        <v>68</v>
      </c>
      <c r="S332" s="37"/>
      <c r="T332" s="37"/>
      <c r="U332" s="26"/>
      <c r="V332" s="37">
        <v>5.0</v>
      </c>
    </row>
    <row r="333" hidden="1">
      <c r="A333" s="13">
        <v>332.0</v>
      </c>
      <c r="B333" s="15">
        <v>46110.0</v>
      </c>
      <c r="C333" s="13" t="s">
        <v>58</v>
      </c>
      <c r="D333" s="13" t="s">
        <v>60</v>
      </c>
      <c r="E333" s="13" t="s">
        <v>27</v>
      </c>
      <c r="F333" s="13">
        <v>5.44516319E8</v>
      </c>
      <c r="G333" s="20" t="s">
        <v>41</v>
      </c>
      <c r="H333" s="13" t="s">
        <v>146</v>
      </c>
      <c r="I333" s="20" t="s">
        <v>3013</v>
      </c>
      <c r="J333" s="20" t="s">
        <v>500</v>
      </c>
      <c r="K333" s="13" t="s">
        <v>65</v>
      </c>
      <c r="L333" s="27"/>
      <c r="M333" s="27" t="s">
        <v>713</v>
      </c>
      <c r="N333" s="13" t="s">
        <v>56</v>
      </c>
      <c r="O333" s="13" t="s">
        <v>42</v>
      </c>
      <c r="P333" s="34"/>
      <c r="Q333" s="13" t="s">
        <v>44</v>
      </c>
      <c r="R333" s="13" t="s">
        <v>68</v>
      </c>
      <c r="S333" s="37"/>
      <c r="T333" s="37"/>
      <c r="U333" s="26"/>
      <c r="V333" s="37">
        <v>5.0</v>
      </c>
    </row>
    <row r="334" ht="29.25" hidden="1" customHeight="1">
      <c r="A334" s="13">
        <v>333.0</v>
      </c>
      <c r="B334" s="15">
        <v>46110.0</v>
      </c>
      <c r="C334" s="13" t="s">
        <v>21</v>
      </c>
      <c r="D334" s="13" t="s">
        <v>22</v>
      </c>
      <c r="E334" s="20" t="s">
        <v>3019</v>
      </c>
      <c r="F334" s="13">
        <v>5.55550094E8</v>
      </c>
      <c r="G334" s="20" t="s">
        <v>41</v>
      </c>
      <c r="H334" s="13" t="s">
        <v>27</v>
      </c>
      <c r="I334" s="20" t="s">
        <v>3022</v>
      </c>
      <c r="J334" s="20" t="s">
        <v>35</v>
      </c>
      <c r="K334" s="13" t="s">
        <v>39</v>
      </c>
      <c r="L334" s="27"/>
      <c r="M334" s="27"/>
      <c r="N334" s="13" t="s">
        <v>40</v>
      </c>
      <c r="O334" s="13" t="s">
        <v>42</v>
      </c>
      <c r="P334" s="34"/>
      <c r="Q334" s="13" t="s">
        <v>49</v>
      </c>
      <c r="R334" s="13" t="s">
        <v>46</v>
      </c>
      <c r="S334" s="37"/>
      <c r="T334" s="37"/>
      <c r="U334" s="26"/>
      <c r="V334" s="37">
        <v>5.0</v>
      </c>
    </row>
    <row r="335" ht="54.0" hidden="1" customHeight="1">
      <c r="A335" s="13">
        <v>334.0</v>
      </c>
      <c r="B335" s="15">
        <v>46110.0</v>
      </c>
      <c r="C335" s="13" t="s">
        <v>21</v>
      </c>
      <c r="D335" s="13" t="s">
        <v>24</v>
      </c>
      <c r="E335" s="13" t="s">
        <v>3026</v>
      </c>
      <c r="F335" s="13">
        <v>5.3899593E8</v>
      </c>
      <c r="G335" s="20" t="s">
        <v>3028</v>
      </c>
      <c r="H335" s="13" t="s">
        <v>27</v>
      </c>
      <c r="I335" s="20" t="s">
        <v>3030</v>
      </c>
      <c r="J335" s="20" t="s">
        <v>35</v>
      </c>
      <c r="K335" s="13" t="s">
        <v>39</v>
      </c>
      <c r="L335" s="27"/>
      <c r="M335" s="27" t="s">
        <v>101</v>
      </c>
      <c r="N335" s="13" t="s">
        <v>40</v>
      </c>
      <c r="O335" s="13" t="s">
        <v>42</v>
      </c>
      <c r="P335" s="34"/>
      <c r="Q335" s="13" t="s">
        <v>49</v>
      </c>
      <c r="R335" s="13" t="s">
        <v>46</v>
      </c>
      <c r="S335" s="37"/>
      <c r="T335" s="37"/>
      <c r="U335" s="26"/>
      <c r="V335" s="37">
        <v>5.0</v>
      </c>
    </row>
    <row r="336" hidden="1">
      <c r="A336" s="13">
        <v>335.0</v>
      </c>
      <c r="B336" s="15">
        <v>46110.0</v>
      </c>
      <c r="C336" s="13" t="s">
        <v>58</v>
      </c>
      <c r="D336" s="13" t="s">
        <v>60</v>
      </c>
      <c r="E336" s="13" t="s">
        <v>27</v>
      </c>
      <c r="F336" s="13">
        <v>5.33191519E8</v>
      </c>
      <c r="G336" s="13" t="s">
        <v>27</v>
      </c>
      <c r="H336" s="13" t="s">
        <v>27</v>
      </c>
      <c r="I336" s="20" t="s">
        <v>233</v>
      </c>
      <c r="J336" s="20" t="s">
        <v>500</v>
      </c>
      <c r="K336" s="13" t="s">
        <v>36</v>
      </c>
      <c r="L336" s="27"/>
      <c r="M336" s="27" t="s">
        <v>101</v>
      </c>
      <c r="N336" s="13" t="s">
        <v>56</v>
      </c>
      <c r="O336" s="13" t="s">
        <v>42</v>
      </c>
      <c r="P336" s="34"/>
      <c r="Q336" s="13" t="s">
        <v>44</v>
      </c>
      <c r="R336" s="13" t="s">
        <v>68</v>
      </c>
      <c r="S336" s="37"/>
      <c r="T336" s="37"/>
      <c r="U336" s="26"/>
      <c r="V336" s="37">
        <v>5.0</v>
      </c>
    </row>
    <row r="337" hidden="1">
      <c r="A337" s="13">
        <v>336.0</v>
      </c>
      <c r="B337" s="15">
        <v>46110.0</v>
      </c>
      <c r="C337" s="13" t="s">
        <v>21</v>
      </c>
      <c r="D337" s="13" t="s">
        <v>24</v>
      </c>
      <c r="E337" s="20" t="s">
        <v>435</v>
      </c>
      <c r="F337" s="13">
        <v>5.09870982E8</v>
      </c>
      <c r="G337" s="20" t="s">
        <v>318</v>
      </c>
      <c r="H337" s="13" t="s">
        <v>27</v>
      </c>
      <c r="I337" s="20" t="s">
        <v>3044</v>
      </c>
      <c r="J337" s="20" t="s">
        <v>35</v>
      </c>
      <c r="K337" s="13" t="s">
        <v>36</v>
      </c>
      <c r="L337" s="26"/>
      <c r="M337" s="27" t="s">
        <v>38</v>
      </c>
      <c r="N337" s="13" t="s">
        <v>40</v>
      </c>
      <c r="O337" s="13" t="s">
        <v>42</v>
      </c>
      <c r="P337" s="34"/>
      <c r="Q337" s="13" t="s">
        <v>44</v>
      </c>
      <c r="R337" s="13" t="s">
        <v>46</v>
      </c>
      <c r="S337" s="37"/>
      <c r="T337" s="37"/>
      <c r="U337" s="26"/>
      <c r="V337" s="37">
        <v>5.0</v>
      </c>
    </row>
    <row r="338" hidden="1">
      <c r="A338" s="13">
        <v>337.0</v>
      </c>
      <c r="B338" s="15">
        <v>46110.0</v>
      </c>
      <c r="C338" s="13" t="s">
        <v>21</v>
      </c>
      <c r="D338" s="13" t="s">
        <v>66</v>
      </c>
      <c r="E338" s="20" t="s">
        <v>3051</v>
      </c>
      <c r="F338" s="13">
        <v>5.05715646E8</v>
      </c>
      <c r="G338" s="20" t="s">
        <v>152</v>
      </c>
      <c r="H338" s="13" t="s">
        <v>27</v>
      </c>
      <c r="I338" s="20" t="s">
        <v>3055</v>
      </c>
      <c r="J338" s="20" t="s">
        <v>35</v>
      </c>
      <c r="K338" s="13" t="s">
        <v>36</v>
      </c>
      <c r="L338" s="27"/>
      <c r="M338" s="27" t="s">
        <v>101</v>
      </c>
      <c r="N338" s="13" t="s">
        <v>40</v>
      </c>
      <c r="O338" s="13" t="s">
        <v>42</v>
      </c>
      <c r="P338" s="34"/>
      <c r="Q338" s="13" t="s">
        <v>49</v>
      </c>
      <c r="R338" s="13" t="s">
        <v>68</v>
      </c>
      <c r="S338" s="37"/>
      <c r="T338" s="37"/>
      <c r="U338" s="26"/>
      <c r="V338" s="37">
        <v>5.0</v>
      </c>
    </row>
    <row r="339" hidden="1">
      <c r="A339" s="13">
        <v>338.0</v>
      </c>
      <c r="B339" s="15">
        <v>46110.0</v>
      </c>
      <c r="C339" s="13" t="s">
        <v>21</v>
      </c>
      <c r="D339" s="13" t="s">
        <v>66</v>
      </c>
      <c r="E339" s="20" t="s">
        <v>3061</v>
      </c>
      <c r="F339" s="13">
        <v>5.41425472E8</v>
      </c>
      <c r="G339" s="13" t="s">
        <v>27</v>
      </c>
      <c r="H339" s="13" t="s">
        <v>27</v>
      </c>
      <c r="I339" s="20" t="s">
        <v>3068</v>
      </c>
      <c r="J339" s="20" t="s">
        <v>2135</v>
      </c>
      <c r="K339" s="13" t="s">
        <v>3070</v>
      </c>
      <c r="L339" s="27"/>
      <c r="M339" s="27" t="s">
        <v>101</v>
      </c>
      <c r="N339" s="13" t="s">
        <v>40</v>
      </c>
      <c r="O339" s="13" t="s">
        <v>42</v>
      </c>
      <c r="P339" s="34"/>
      <c r="Q339" s="13" t="s">
        <v>44</v>
      </c>
      <c r="R339" s="13" t="s">
        <v>68</v>
      </c>
      <c r="S339" s="37"/>
      <c r="T339" s="37"/>
      <c r="U339" s="26"/>
      <c r="V339" s="37">
        <v>5.0</v>
      </c>
    </row>
    <row r="340">
      <c r="A340" s="13">
        <v>339.0</v>
      </c>
      <c r="B340" s="15">
        <v>46110.0</v>
      </c>
      <c r="C340" s="13" t="s">
        <v>47</v>
      </c>
      <c r="D340" s="13" t="s">
        <v>138</v>
      </c>
      <c r="E340" s="20" t="s">
        <v>3075</v>
      </c>
      <c r="F340" s="13">
        <v>5.05893808E8</v>
      </c>
      <c r="G340" s="20" t="s">
        <v>41</v>
      </c>
      <c r="H340" s="13" t="s">
        <v>146</v>
      </c>
      <c r="I340" s="20" t="s">
        <v>3078</v>
      </c>
      <c r="J340" s="20" t="s">
        <v>3079</v>
      </c>
      <c r="K340" s="13" t="s">
        <v>148</v>
      </c>
      <c r="L340" s="26"/>
      <c r="M340" s="27" t="s">
        <v>55</v>
      </c>
      <c r="N340" s="13" t="s">
        <v>56</v>
      </c>
      <c r="O340" s="13" t="s">
        <v>42</v>
      </c>
      <c r="P340" s="34"/>
      <c r="Q340" s="13" t="s">
        <v>44</v>
      </c>
      <c r="R340" s="13" t="s">
        <v>46</v>
      </c>
      <c r="S340" s="37"/>
      <c r="T340" s="37"/>
      <c r="U340" s="26"/>
      <c r="V340" s="37">
        <v>5.0</v>
      </c>
    </row>
    <row r="341">
      <c r="A341" s="13">
        <v>340.0</v>
      </c>
      <c r="B341" s="15">
        <v>46110.0</v>
      </c>
      <c r="C341" s="13" t="s">
        <v>47</v>
      </c>
      <c r="D341" s="13" t="s">
        <v>138</v>
      </c>
      <c r="E341" s="20" t="s">
        <v>3083</v>
      </c>
      <c r="F341" s="13">
        <v>5.63002273E8</v>
      </c>
      <c r="G341" s="20" t="s">
        <v>41</v>
      </c>
      <c r="H341" s="13" t="s">
        <v>146</v>
      </c>
      <c r="I341" s="20" t="s">
        <v>3085</v>
      </c>
      <c r="J341" s="20" t="s">
        <v>3087</v>
      </c>
      <c r="K341" s="13" t="s">
        <v>148</v>
      </c>
      <c r="L341" s="27"/>
      <c r="M341" s="27" t="s">
        <v>953</v>
      </c>
      <c r="N341" s="13" t="s">
        <v>56</v>
      </c>
      <c r="O341" s="13" t="s">
        <v>42</v>
      </c>
      <c r="P341" s="34"/>
      <c r="Q341" s="13" t="s">
        <v>44</v>
      </c>
      <c r="R341" s="13" t="s">
        <v>46</v>
      </c>
      <c r="S341" s="37"/>
      <c r="T341" s="37"/>
      <c r="U341" s="26"/>
      <c r="V341" s="37">
        <v>5.0</v>
      </c>
    </row>
    <row r="342">
      <c r="A342" s="13">
        <v>341.0</v>
      </c>
      <c r="B342" s="15">
        <v>46110.0</v>
      </c>
      <c r="C342" s="13" t="s">
        <v>47</v>
      </c>
      <c r="D342" s="13" t="s">
        <v>138</v>
      </c>
      <c r="E342" s="20" t="s">
        <v>3091</v>
      </c>
      <c r="F342" s="13">
        <v>5.92882264E8</v>
      </c>
      <c r="G342" s="20" t="s">
        <v>41</v>
      </c>
      <c r="H342" s="13" t="s">
        <v>253</v>
      </c>
      <c r="I342" s="20" t="s">
        <v>3092</v>
      </c>
      <c r="J342" s="20" t="s">
        <v>3093</v>
      </c>
      <c r="K342" s="13" t="s">
        <v>148</v>
      </c>
      <c r="L342" s="26"/>
      <c r="M342" s="27" t="s">
        <v>55</v>
      </c>
      <c r="N342" s="13" t="s">
        <v>56</v>
      </c>
      <c r="O342" s="13" t="s">
        <v>42</v>
      </c>
      <c r="P342" s="34"/>
      <c r="Q342" s="13" t="s">
        <v>44</v>
      </c>
      <c r="R342" s="13" t="s">
        <v>46</v>
      </c>
      <c r="S342" s="37"/>
      <c r="T342" s="37"/>
      <c r="U342" s="26"/>
      <c r="V342" s="37">
        <v>5.0</v>
      </c>
    </row>
    <row r="343">
      <c r="A343" s="13">
        <v>342.0</v>
      </c>
      <c r="B343" s="15">
        <v>46110.0</v>
      </c>
      <c r="C343" s="13" t="s">
        <v>47</v>
      </c>
      <c r="D343" s="13" t="s">
        <v>138</v>
      </c>
      <c r="E343" s="20" t="s">
        <v>437</v>
      </c>
      <c r="F343" s="13">
        <v>5.51214014E8</v>
      </c>
      <c r="G343" s="20" t="s">
        <v>41</v>
      </c>
      <c r="H343" s="13" t="s">
        <v>253</v>
      </c>
      <c r="I343" s="20" t="s">
        <v>3100</v>
      </c>
      <c r="J343" s="20" t="s">
        <v>3093</v>
      </c>
      <c r="K343" s="13" t="s">
        <v>148</v>
      </c>
      <c r="L343" s="26"/>
      <c r="M343" s="27" t="s">
        <v>55</v>
      </c>
      <c r="N343" s="13" t="s">
        <v>56</v>
      </c>
      <c r="O343" s="13" t="s">
        <v>42</v>
      </c>
      <c r="P343" s="34"/>
      <c r="Q343" s="13" t="s">
        <v>44</v>
      </c>
      <c r="R343" s="13" t="s">
        <v>46</v>
      </c>
      <c r="S343" s="37"/>
      <c r="T343" s="37"/>
      <c r="U343" s="26"/>
      <c r="V343" s="37">
        <v>5.0</v>
      </c>
    </row>
    <row r="344">
      <c r="A344" s="13">
        <v>343.0</v>
      </c>
      <c r="B344" s="15">
        <v>46110.0</v>
      </c>
      <c r="C344" s="13" t="s">
        <v>47</v>
      </c>
      <c r="D344" s="13" t="s">
        <v>138</v>
      </c>
      <c r="E344" s="20" t="s">
        <v>463</v>
      </c>
      <c r="F344" s="13">
        <v>5.55192932E8</v>
      </c>
      <c r="G344" s="20" t="s">
        <v>41</v>
      </c>
      <c r="H344" s="13" t="s">
        <v>193</v>
      </c>
      <c r="I344" s="20" t="s">
        <v>3108</v>
      </c>
      <c r="J344" s="20" t="s">
        <v>3109</v>
      </c>
      <c r="K344" s="13" t="s">
        <v>148</v>
      </c>
      <c r="L344" s="26"/>
      <c r="M344" s="27" t="s">
        <v>55</v>
      </c>
      <c r="N344" s="13" t="s">
        <v>56</v>
      </c>
      <c r="O344" s="13" t="s">
        <v>42</v>
      </c>
      <c r="P344" s="34"/>
      <c r="Q344" s="13" t="s">
        <v>44</v>
      </c>
      <c r="R344" s="13" t="s">
        <v>46</v>
      </c>
      <c r="S344" s="37"/>
      <c r="T344" s="37"/>
      <c r="U344" s="26"/>
      <c r="V344" s="37">
        <v>5.0</v>
      </c>
    </row>
    <row r="345">
      <c r="A345" s="13">
        <v>344.0</v>
      </c>
      <c r="B345" s="15">
        <v>46110.0</v>
      </c>
      <c r="C345" s="13" t="s">
        <v>47</v>
      </c>
      <c r="D345" s="13" t="s">
        <v>367</v>
      </c>
      <c r="E345" s="13" t="s">
        <v>1973</v>
      </c>
      <c r="F345" s="13">
        <v>5.34129152E8</v>
      </c>
      <c r="G345" s="20" t="s">
        <v>28</v>
      </c>
      <c r="H345" s="13" t="s">
        <v>830</v>
      </c>
      <c r="I345" s="20" t="s">
        <v>3115</v>
      </c>
      <c r="J345" s="20" t="s">
        <v>3116</v>
      </c>
      <c r="K345" s="13" t="s">
        <v>148</v>
      </c>
      <c r="L345" s="26"/>
      <c r="M345" s="27" t="s">
        <v>55</v>
      </c>
      <c r="N345" s="13" t="s">
        <v>56</v>
      </c>
      <c r="O345" s="13" t="s">
        <v>42</v>
      </c>
      <c r="P345" s="34"/>
      <c r="Q345" s="13" t="s">
        <v>44</v>
      </c>
      <c r="R345" s="13" t="s">
        <v>46</v>
      </c>
      <c r="S345" s="37"/>
      <c r="T345" s="37"/>
      <c r="U345" s="26"/>
      <c r="V345" s="37">
        <v>5.0</v>
      </c>
    </row>
    <row r="346">
      <c r="A346" s="13">
        <v>345.0</v>
      </c>
      <c r="B346" s="15">
        <v>46110.0</v>
      </c>
      <c r="C346" s="13" t="s">
        <v>47</v>
      </c>
      <c r="D346" s="13" t="s">
        <v>367</v>
      </c>
      <c r="E346" s="20" t="s">
        <v>276</v>
      </c>
      <c r="F346" s="13">
        <v>5.32115494E8</v>
      </c>
      <c r="G346" s="20" t="s">
        <v>28</v>
      </c>
      <c r="H346" s="13" t="s">
        <v>548</v>
      </c>
      <c r="I346" s="20" t="s">
        <v>3122</v>
      </c>
      <c r="J346" s="20" t="s">
        <v>377</v>
      </c>
      <c r="K346" s="13" t="s">
        <v>148</v>
      </c>
      <c r="L346" s="27"/>
      <c r="M346" s="27" t="s">
        <v>3124</v>
      </c>
      <c r="N346" s="13" t="s">
        <v>56</v>
      </c>
      <c r="O346" s="13" t="s">
        <v>42</v>
      </c>
      <c r="P346" s="34"/>
      <c r="Q346" s="13" t="s">
        <v>44</v>
      </c>
      <c r="R346" s="13" t="s">
        <v>46</v>
      </c>
      <c r="S346" s="37"/>
      <c r="T346" s="37"/>
      <c r="U346" s="26"/>
      <c r="V346" s="37">
        <v>5.0</v>
      </c>
    </row>
    <row r="347" hidden="1">
      <c r="A347" s="13">
        <v>346.0</v>
      </c>
      <c r="B347" s="15">
        <v>46110.0</v>
      </c>
      <c r="C347" s="13" t="s">
        <v>21</v>
      </c>
      <c r="D347" s="13" t="s">
        <v>24</v>
      </c>
      <c r="E347" s="20" t="s">
        <v>3127</v>
      </c>
      <c r="F347" s="13">
        <v>5.60679076E8</v>
      </c>
      <c r="G347" s="20" t="s">
        <v>71</v>
      </c>
      <c r="H347" s="13" t="s">
        <v>27</v>
      </c>
      <c r="I347" s="20" t="s">
        <v>2962</v>
      </c>
      <c r="J347" s="20" t="s">
        <v>35</v>
      </c>
      <c r="K347" s="13" t="s">
        <v>36</v>
      </c>
      <c r="L347" s="26"/>
      <c r="M347" s="27" t="s">
        <v>38</v>
      </c>
      <c r="N347" s="13" t="s">
        <v>40</v>
      </c>
      <c r="O347" s="13" t="s">
        <v>42</v>
      </c>
      <c r="P347" s="34"/>
      <c r="Q347" s="13" t="s">
        <v>44</v>
      </c>
      <c r="R347" s="13" t="s">
        <v>46</v>
      </c>
      <c r="S347" s="37"/>
      <c r="T347" s="37"/>
      <c r="U347" s="26"/>
      <c r="V347" s="37">
        <v>5.0</v>
      </c>
    </row>
    <row r="348">
      <c r="A348" s="13">
        <v>347.0</v>
      </c>
      <c r="B348" s="15">
        <v>46110.0</v>
      </c>
      <c r="C348" s="13" t="s">
        <v>47</v>
      </c>
      <c r="D348" s="13" t="s">
        <v>138</v>
      </c>
      <c r="E348" s="13" t="s">
        <v>3133</v>
      </c>
      <c r="F348" s="13">
        <v>5.06498565E8</v>
      </c>
      <c r="G348" s="20" t="s">
        <v>362</v>
      </c>
      <c r="H348" s="13" t="s">
        <v>1029</v>
      </c>
      <c r="I348" s="20" t="s">
        <v>3136</v>
      </c>
      <c r="J348" s="20" t="s">
        <v>3138</v>
      </c>
      <c r="K348" s="13" t="s">
        <v>148</v>
      </c>
      <c r="L348" s="26"/>
      <c r="M348" s="27" t="s">
        <v>55</v>
      </c>
      <c r="N348" s="13" t="s">
        <v>56</v>
      </c>
      <c r="O348" s="13" t="s">
        <v>42</v>
      </c>
      <c r="P348" s="34"/>
      <c r="Q348" s="13" t="s">
        <v>44</v>
      </c>
      <c r="R348" s="13" t="s">
        <v>46</v>
      </c>
      <c r="S348" s="37"/>
      <c r="T348" s="37"/>
      <c r="U348" s="26"/>
      <c r="V348" s="37">
        <v>5.0</v>
      </c>
    </row>
    <row r="349">
      <c r="A349" s="13">
        <v>348.0</v>
      </c>
      <c r="B349" s="15">
        <v>46110.0</v>
      </c>
      <c r="C349" s="13" t="s">
        <v>47</v>
      </c>
      <c r="D349" s="13" t="s">
        <v>367</v>
      </c>
      <c r="E349" s="20" t="s">
        <v>3143</v>
      </c>
      <c r="F349" s="13">
        <v>5.5388118E8</v>
      </c>
      <c r="G349" s="20" t="s">
        <v>362</v>
      </c>
      <c r="H349" s="13" t="s">
        <v>1029</v>
      </c>
      <c r="I349" s="20" t="s">
        <v>3144</v>
      </c>
      <c r="J349" s="20" t="s">
        <v>3146</v>
      </c>
      <c r="K349" s="13" t="s">
        <v>148</v>
      </c>
      <c r="L349" s="27"/>
      <c r="M349" s="27" t="s">
        <v>101</v>
      </c>
      <c r="N349" s="13" t="s">
        <v>56</v>
      </c>
      <c r="O349" s="13" t="s">
        <v>42</v>
      </c>
      <c r="P349" s="34"/>
      <c r="Q349" s="13" t="s">
        <v>44</v>
      </c>
      <c r="R349" s="13" t="s">
        <v>46</v>
      </c>
      <c r="S349" s="37"/>
      <c r="T349" s="37"/>
      <c r="U349" s="26"/>
      <c r="V349" s="37">
        <v>5.0</v>
      </c>
    </row>
    <row r="350">
      <c r="A350" s="13">
        <v>349.0</v>
      </c>
      <c r="B350" s="15">
        <v>46110.0</v>
      </c>
      <c r="C350" s="13" t="s">
        <v>47</v>
      </c>
      <c r="D350" s="13" t="s">
        <v>92</v>
      </c>
      <c r="E350" s="13" t="s">
        <v>3153</v>
      </c>
      <c r="F350" s="13">
        <v>5.37279339E8</v>
      </c>
      <c r="G350" s="20" t="s">
        <v>71</v>
      </c>
      <c r="H350" s="13" t="s">
        <v>94</v>
      </c>
      <c r="I350" s="20" t="s">
        <v>3154</v>
      </c>
      <c r="J350" s="20" t="s">
        <v>3155</v>
      </c>
      <c r="K350" s="13" t="s">
        <v>148</v>
      </c>
      <c r="L350" s="27"/>
      <c r="M350" s="27" t="s">
        <v>55</v>
      </c>
      <c r="N350" s="13" t="s">
        <v>40</v>
      </c>
      <c r="O350" s="13" t="s">
        <v>42</v>
      </c>
      <c r="P350" s="34"/>
      <c r="Q350" s="13" t="s">
        <v>44</v>
      </c>
      <c r="R350" s="13" t="s">
        <v>46</v>
      </c>
      <c r="S350" s="37"/>
      <c r="T350" s="37"/>
      <c r="U350" s="26"/>
      <c r="V350" s="37">
        <v>5.0</v>
      </c>
    </row>
    <row r="351">
      <c r="A351" s="13">
        <v>350.0</v>
      </c>
      <c r="B351" s="15">
        <v>46110.0</v>
      </c>
      <c r="C351" s="13" t="s">
        <v>47</v>
      </c>
      <c r="D351" s="13" t="s">
        <v>92</v>
      </c>
      <c r="E351" s="13" t="s">
        <v>3162</v>
      </c>
      <c r="F351" s="13">
        <v>5.04723046E8</v>
      </c>
      <c r="G351" s="20" t="s">
        <v>71</v>
      </c>
      <c r="H351" s="13" t="s">
        <v>94</v>
      </c>
      <c r="I351" s="20" t="s">
        <v>3163</v>
      </c>
      <c r="J351" s="20" t="s">
        <v>3164</v>
      </c>
      <c r="K351" s="13" t="s">
        <v>148</v>
      </c>
      <c r="L351" s="27"/>
      <c r="M351" s="27" t="s">
        <v>55</v>
      </c>
      <c r="N351" s="13" t="s">
        <v>56</v>
      </c>
      <c r="O351" s="13" t="s">
        <v>42</v>
      </c>
      <c r="P351" s="34"/>
      <c r="Q351" s="13" t="s">
        <v>44</v>
      </c>
      <c r="R351" s="13" t="s">
        <v>46</v>
      </c>
      <c r="S351" s="37"/>
      <c r="T351" s="37"/>
      <c r="U351" s="26"/>
      <c r="V351" s="37">
        <v>5.0</v>
      </c>
    </row>
    <row r="352">
      <c r="A352" s="13">
        <v>351.0</v>
      </c>
      <c r="B352" s="15">
        <v>46110.0</v>
      </c>
      <c r="C352" s="13" t="s">
        <v>47</v>
      </c>
      <c r="D352" s="13" t="s">
        <v>92</v>
      </c>
      <c r="E352" s="20" t="s">
        <v>922</v>
      </c>
      <c r="F352" s="13" t="s">
        <v>27</v>
      </c>
      <c r="G352" s="20" t="s">
        <v>71</v>
      </c>
      <c r="H352" s="13" t="s">
        <v>94</v>
      </c>
      <c r="I352" s="20" t="s">
        <v>3172</v>
      </c>
      <c r="J352" s="20" t="s">
        <v>35</v>
      </c>
      <c r="K352" s="13" t="s">
        <v>148</v>
      </c>
      <c r="L352" s="26"/>
      <c r="M352" s="27" t="s">
        <v>55</v>
      </c>
      <c r="N352" s="13" t="s">
        <v>40</v>
      </c>
      <c r="O352" s="13" t="s">
        <v>42</v>
      </c>
      <c r="P352" s="34"/>
      <c r="Q352" s="13" t="s">
        <v>44</v>
      </c>
      <c r="R352" s="13" t="s">
        <v>46</v>
      </c>
      <c r="S352" s="37"/>
      <c r="T352" s="37"/>
      <c r="U352" s="26"/>
      <c r="V352" s="37">
        <v>5.0</v>
      </c>
    </row>
    <row r="353">
      <c r="A353" s="13">
        <v>352.0</v>
      </c>
      <c r="B353" s="15">
        <v>46110.0</v>
      </c>
      <c r="C353" s="13" t="s">
        <v>47</v>
      </c>
      <c r="D353" s="13" t="s">
        <v>138</v>
      </c>
      <c r="E353" s="20" t="s">
        <v>3178</v>
      </c>
      <c r="F353" s="13">
        <v>5.73737772E8</v>
      </c>
      <c r="G353" s="20" t="s">
        <v>79</v>
      </c>
      <c r="H353" s="13" t="s">
        <v>80</v>
      </c>
      <c r="I353" s="20" t="s">
        <v>3180</v>
      </c>
      <c r="J353" s="20" t="s">
        <v>3181</v>
      </c>
      <c r="K353" s="13" t="s">
        <v>148</v>
      </c>
      <c r="L353" s="27"/>
      <c r="M353" s="27" t="s">
        <v>953</v>
      </c>
      <c r="N353" s="13" t="s">
        <v>56</v>
      </c>
      <c r="O353" s="13" t="s">
        <v>42</v>
      </c>
      <c r="P353" s="34"/>
      <c r="Q353" s="13" t="s">
        <v>44</v>
      </c>
      <c r="R353" s="13" t="s">
        <v>46</v>
      </c>
      <c r="S353" s="37"/>
      <c r="T353" s="37"/>
      <c r="U353" s="26"/>
      <c r="V353" s="37">
        <v>5.0</v>
      </c>
    </row>
    <row r="354">
      <c r="A354" s="13">
        <v>353.0</v>
      </c>
      <c r="B354" s="15">
        <v>46110.0</v>
      </c>
      <c r="C354" s="13" t="s">
        <v>47</v>
      </c>
      <c r="D354" s="13" t="s">
        <v>367</v>
      </c>
      <c r="E354" s="13" t="s">
        <v>3186</v>
      </c>
      <c r="F354" s="13">
        <v>5.0606543E8</v>
      </c>
      <c r="G354" s="20" t="s">
        <v>79</v>
      </c>
      <c r="H354" s="13" t="s">
        <v>638</v>
      </c>
      <c r="I354" s="20" t="s">
        <v>3187</v>
      </c>
      <c r="J354" s="20" t="s">
        <v>3188</v>
      </c>
      <c r="K354" s="13" t="s">
        <v>148</v>
      </c>
      <c r="L354" s="26"/>
      <c r="M354" s="27" t="s">
        <v>55</v>
      </c>
      <c r="N354" s="13" t="s">
        <v>56</v>
      </c>
      <c r="O354" s="13" t="s">
        <v>42</v>
      </c>
      <c r="P354" s="34"/>
      <c r="Q354" s="13" t="s">
        <v>44</v>
      </c>
      <c r="R354" s="13" t="s">
        <v>46</v>
      </c>
      <c r="S354" s="37"/>
      <c r="T354" s="37"/>
      <c r="U354" s="26"/>
      <c r="V354" s="37">
        <v>5.0</v>
      </c>
    </row>
    <row r="355">
      <c r="A355" s="13">
        <v>354.0</v>
      </c>
      <c r="B355" s="15">
        <v>46110.0</v>
      </c>
      <c r="C355" s="13" t="s">
        <v>47</v>
      </c>
      <c r="D355" s="13" t="s">
        <v>138</v>
      </c>
      <c r="E355" s="13" t="s">
        <v>3191</v>
      </c>
      <c r="F355" s="13">
        <v>5.50228136E8</v>
      </c>
      <c r="G355" s="20" t="s">
        <v>79</v>
      </c>
      <c r="H355" s="13" t="s">
        <v>80</v>
      </c>
      <c r="I355" s="20" t="s">
        <v>3196</v>
      </c>
      <c r="J355" s="20" t="s">
        <v>3197</v>
      </c>
      <c r="K355" s="13" t="s">
        <v>148</v>
      </c>
      <c r="L355" s="27"/>
      <c r="M355" s="27" t="s">
        <v>150</v>
      </c>
      <c r="N355" s="13" t="s">
        <v>56</v>
      </c>
      <c r="O355" s="13" t="s">
        <v>42</v>
      </c>
      <c r="P355" s="34"/>
      <c r="Q355" s="13" t="s">
        <v>44</v>
      </c>
      <c r="R355" s="13" t="s">
        <v>46</v>
      </c>
      <c r="S355" s="37"/>
      <c r="T355" s="37"/>
      <c r="U355" s="26"/>
      <c r="V355" s="37">
        <v>5.0</v>
      </c>
    </row>
    <row r="356">
      <c r="A356" s="13">
        <v>355.0</v>
      </c>
      <c r="B356" s="15">
        <v>46110.0</v>
      </c>
      <c r="C356" s="13" t="s">
        <v>47</v>
      </c>
      <c r="D356" s="13" t="s">
        <v>138</v>
      </c>
      <c r="E356" s="13" t="s">
        <v>3199</v>
      </c>
      <c r="F356" s="13">
        <v>5.56562672E8</v>
      </c>
      <c r="G356" s="20" t="s">
        <v>79</v>
      </c>
      <c r="H356" s="13" t="s">
        <v>487</v>
      </c>
      <c r="I356" s="20" t="s">
        <v>3203</v>
      </c>
      <c r="J356" s="20" t="s">
        <v>3204</v>
      </c>
      <c r="K356" s="13" t="s">
        <v>148</v>
      </c>
      <c r="L356" s="26"/>
      <c r="M356" s="27" t="s">
        <v>55</v>
      </c>
      <c r="N356" s="13" t="s">
        <v>56</v>
      </c>
      <c r="O356" s="13" t="s">
        <v>42</v>
      </c>
      <c r="P356" s="34"/>
      <c r="Q356" s="13" t="s">
        <v>44</v>
      </c>
      <c r="R356" s="13" t="s">
        <v>46</v>
      </c>
      <c r="S356" s="37"/>
      <c r="T356" s="37"/>
      <c r="U356" s="26"/>
      <c r="V356" s="37">
        <v>5.0</v>
      </c>
    </row>
    <row r="357">
      <c r="A357" s="13">
        <v>356.0</v>
      </c>
      <c r="B357" s="15">
        <v>46110.0</v>
      </c>
      <c r="C357" s="13" t="s">
        <v>47</v>
      </c>
      <c r="D357" s="13" t="s">
        <v>138</v>
      </c>
      <c r="E357" s="20" t="s">
        <v>3209</v>
      </c>
      <c r="F357" s="13">
        <v>5.37111326E8</v>
      </c>
      <c r="G357" s="20" t="s">
        <v>79</v>
      </c>
      <c r="H357" s="13" t="s">
        <v>2109</v>
      </c>
      <c r="I357" s="20" t="s">
        <v>3211</v>
      </c>
      <c r="J357" s="45" t="s">
        <v>3213</v>
      </c>
      <c r="K357" s="13" t="s">
        <v>148</v>
      </c>
      <c r="L357" s="27"/>
      <c r="M357" s="27" t="s">
        <v>323</v>
      </c>
      <c r="N357" s="13" t="s">
        <v>56</v>
      </c>
      <c r="O357" s="13" t="s">
        <v>42</v>
      </c>
      <c r="P357" s="34"/>
      <c r="Q357" s="13" t="s">
        <v>44</v>
      </c>
      <c r="R357" s="13" t="s">
        <v>46</v>
      </c>
      <c r="S357" s="37"/>
      <c r="T357" s="37"/>
      <c r="U357" s="26"/>
      <c r="V357" s="37">
        <v>5.0</v>
      </c>
    </row>
    <row r="358" hidden="1">
      <c r="A358" s="13">
        <v>357.0</v>
      </c>
      <c r="B358" s="15">
        <v>46110.0</v>
      </c>
      <c r="C358" s="13" t="s">
        <v>21</v>
      </c>
      <c r="D358" s="13" t="s">
        <v>57</v>
      </c>
      <c r="E358" s="20" t="s">
        <v>3218</v>
      </c>
      <c r="F358" s="13">
        <v>5.57993663E8</v>
      </c>
      <c r="G358" s="20" t="s">
        <v>41</v>
      </c>
      <c r="H358" s="13" t="s">
        <v>222</v>
      </c>
      <c r="I358" s="20" t="s">
        <v>3219</v>
      </c>
      <c r="J358" s="20" t="s">
        <v>35</v>
      </c>
      <c r="K358" s="13" t="s">
        <v>36</v>
      </c>
      <c r="L358" s="26"/>
      <c r="M358" s="27" t="s">
        <v>38</v>
      </c>
      <c r="N358" s="13" t="s">
        <v>40</v>
      </c>
      <c r="O358" s="13" t="s">
        <v>42</v>
      </c>
      <c r="P358" s="34"/>
      <c r="Q358" s="13" t="s">
        <v>49</v>
      </c>
      <c r="R358" s="13" t="s">
        <v>68</v>
      </c>
      <c r="S358" s="37"/>
      <c r="T358" s="37"/>
      <c r="U358" s="26"/>
      <c r="V358" s="37">
        <v>5.0</v>
      </c>
    </row>
    <row r="359" hidden="1">
      <c r="A359" s="13">
        <v>358.0</v>
      </c>
      <c r="B359" s="15">
        <v>46110.0</v>
      </c>
      <c r="C359" s="13" t="s">
        <v>21</v>
      </c>
      <c r="D359" s="13" t="s">
        <v>24</v>
      </c>
      <c r="E359" s="20" t="s">
        <v>3226</v>
      </c>
      <c r="F359" s="13">
        <v>5.69735588E8</v>
      </c>
      <c r="G359" s="20" t="s">
        <v>71</v>
      </c>
      <c r="H359" s="13" t="s">
        <v>27</v>
      </c>
      <c r="I359" s="20" t="s">
        <v>3228</v>
      </c>
      <c r="J359" s="20" t="s">
        <v>35</v>
      </c>
      <c r="K359" s="13" t="s">
        <v>36</v>
      </c>
      <c r="L359" s="27"/>
      <c r="M359" s="27" t="s">
        <v>3230</v>
      </c>
      <c r="N359" s="13" t="s">
        <v>40</v>
      </c>
      <c r="O359" s="13" t="s">
        <v>42</v>
      </c>
      <c r="P359" s="34"/>
      <c r="Q359" s="13" t="s">
        <v>44</v>
      </c>
      <c r="R359" s="13" t="s">
        <v>46</v>
      </c>
      <c r="S359" s="37"/>
      <c r="T359" s="37"/>
      <c r="U359" s="26"/>
      <c r="V359" s="37">
        <v>5.0</v>
      </c>
    </row>
    <row r="360" hidden="1">
      <c r="A360" s="13">
        <v>359.0</v>
      </c>
      <c r="B360" s="15">
        <v>46110.0</v>
      </c>
      <c r="C360" s="13" t="s">
        <v>21</v>
      </c>
      <c r="D360" s="13" t="s">
        <v>24</v>
      </c>
      <c r="E360" s="20" t="s">
        <v>3235</v>
      </c>
      <c r="F360" s="13">
        <v>5.56488328E8</v>
      </c>
      <c r="G360" s="20" t="s">
        <v>41</v>
      </c>
      <c r="H360" s="13" t="s">
        <v>27</v>
      </c>
      <c r="I360" s="20" t="s">
        <v>3237</v>
      </c>
      <c r="J360" s="20" t="s">
        <v>35</v>
      </c>
      <c r="K360" s="13" t="s">
        <v>36</v>
      </c>
      <c r="L360" s="26"/>
      <c r="M360" s="27" t="s">
        <v>38</v>
      </c>
      <c r="N360" s="13" t="s">
        <v>40</v>
      </c>
      <c r="O360" s="13" t="s">
        <v>42</v>
      </c>
      <c r="P360" s="34"/>
      <c r="Q360" s="13" t="s">
        <v>44</v>
      </c>
      <c r="R360" s="13" t="s">
        <v>46</v>
      </c>
      <c r="S360" s="37"/>
      <c r="T360" s="37"/>
      <c r="U360" s="26"/>
      <c r="V360" s="37">
        <v>5.0</v>
      </c>
    </row>
    <row r="361" hidden="1">
      <c r="A361" s="13">
        <v>360.0</v>
      </c>
      <c r="B361" s="15">
        <v>46110.0</v>
      </c>
      <c r="C361" s="13" t="s">
        <v>58</v>
      </c>
      <c r="D361" s="13" t="s">
        <v>60</v>
      </c>
      <c r="E361" s="13" t="s">
        <v>27</v>
      </c>
      <c r="F361" s="13">
        <v>5.5117162E8</v>
      </c>
      <c r="G361" s="13" t="s">
        <v>27</v>
      </c>
      <c r="H361" s="168"/>
      <c r="I361" s="20" t="s">
        <v>124</v>
      </c>
      <c r="J361" s="20" t="s">
        <v>124</v>
      </c>
      <c r="K361" s="13" t="s">
        <v>65</v>
      </c>
      <c r="L361" s="26"/>
      <c r="M361" s="27" t="s">
        <v>38</v>
      </c>
      <c r="N361" s="13" t="s">
        <v>56</v>
      </c>
      <c r="O361" s="13" t="s">
        <v>42</v>
      </c>
      <c r="P361" s="34"/>
      <c r="Q361" s="13" t="s">
        <v>44</v>
      </c>
      <c r="R361" s="13" t="s">
        <v>68</v>
      </c>
      <c r="S361" s="37"/>
      <c r="T361" s="37"/>
      <c r="U361" s="26"/>
      <c r="V361" s="37">
        <v>5.0</v>
      </c>
    </row>
    <row r="362" hidden="1">
      <c r="A362" s="13">
        <v>361.0</v>
      </c>
      <c r="B362" s="15">
        <v>46110.0</v>
      </c>
      <c r="C362" s="13" t="s">
        <v>58</v>
      </c>
      <c r="D362" s="13" t="s">
        <v>60</v>
      </c>
      <c r="E362" s="13" t="s">
        <v>27</v>
      </c>
      <c r="F362" s="13">
        <v>5.46199033E8</v>
      </c>
      <c r="G362" s="13" t="s">
        <v>27</v>
      </c>
      <c r="H362" s="168"/>
      <c r="I362" s="13" t="s">
        <v>3253</v>
      </c>
      <c r="J362" s="20" t="s">
        <v>124</v>
      </c>
      <c r="K362" s="13" t="s">
        <v>65</v>
      </c>
      <c r="L362" s="26"/>
      <c r="M362" s="27" t="s">
        <v>88</v>
      </c>
      <c r="N362" s="13" t="s">
        <v>56</v>
      </c>
      <c r="O362" s="13" t="s">
        <v>42</v>
      </c>
      <c r="P362" s="34"/>
      <c r="Q362" s="13" t="s">
        <v>44</v>
      </c>
      <c r="R362" s="13" t="s">
        <v>68</v>
      </c>
      <c r="S362" s="37"/>
      <c r="T362" s="37"/>
      <c r="U362" s="26"/>
      <c r="V362" s="37">
        <v>5.0</v>
      </c>
    </row>
    <row r="363" hidden="1">
      <c r="A363" s="13">
        <v>362.0</v>
      </c>
      <c r="B363" s="15">
        <v>46110.0</v>
      </c>
      <c r="C363" s="13" t="s">
        <v>21</v>
      </c>
      <c r="D363" s="13" t="s">
        <v>24</v>
      </c>
      <c r="E363" s="20" t="s">
        <v>3256</v>
      </c>
      <c r="F363" s="13">
        <v>5.75883004E8</v>
      </c>
      <c r="G363" s="20" t="s">
        <v>172</v>
      </c>
      <c r="H363" s="13" t="s">
        <v>27</v>
      </c>
      <c r="I363" s="20" t="s">
        <v>3259</v>
      </c>
      <c r="J363" s="20" t="s">
        <v>35</v>
      </c>
      <c r="K363" s="13" t="s">
        <v>36</v>
      </c>
      <c r="L363" s="26"/>
      <c r="M363" s="27" t="s">
        <v>38</v>
      </c>
      <c r="N363" s="13" t="s">
        <v>40</v>
      </c>
      <c r="O363" s="13" t="s">
        <v>42</v>
      </c>
      <c r="P363" s="34"/>
      <c r="Q363" s="13" t="s">
        <v>44</v>
      </c>
      <c r="R363" s="13" t="s">
        <v>46</v>
      </c>
      <c r="S363" s="37"/>
      <c r="T363" s="37"/>
      <c r="U363" s="26"/>
      <c r="V363" s="37">
        <v>5.0</v>
      </c>
    </row>
    <row r="364" hidden="1">
      <c r="A364" s="13">
        <v>363.0</v>
      </c>
      <c r="B364" s="15">
        <v>46110.0</v>
      </c>
      <c r="C364" s="13" t="s">
        <v>58</v>
      </c>
      <c r="D364" s="13" t="s">
        <v>60</v>
      </c>
      <c r="E364" s="13" t="s">
        <v>27</v>
      </c>
      <c r="F364" s="13">
        <v>5.56209311E8</v>
      </c>
      <c r="G364" s="13" t="s">
        <v>27</v>
      </c>
      <c r="H364" s="13" t="s">
        <v>27</v>
      </c>
      <c r="I364" s="20" t="s">
        <v>124</v>
      </c>
      <c r="J364" s="20" t="s">
        <v>124</v>
      </c>
      <c r="K364" s="13" t="s">
        <v>36</v>
      </c>
      <c r="L364" s="26"/>
      <c r="M364" s="27" t="s">
        <v>38</v>
      </c>
      <c r="N364" s="13" t="s">
        <v>56</v>
      </c>
      <c r="O364" s="13" t="s">
        <v>42</v>
      </c>
      <c r="P364" s="34"/>
      <c r="Q364" s="13" t="s">
        <v>44</v>
      </c>
      <c r="R364" s="13" t="s">
        <v>68</v>
      </c>
      <c r="S364" s="37"/>
      <c r="T364" s="37"/>
      <c r="U364" s="26"/>
      <c r="V364" s="37">
        <v>5.0</v>
      </c>
    </row>
    <row r="365" hidden="1">
      <c r="A365" s="13">
        <v>364.0</v>
      </c>
      <c r="B365" s="15">
        <v>46111.0</v>
      </c>
      <c r="C365" s="13" t="s">
        <v>47</v>
      </c>
      <c r="D365" s="13" t="s">
        <v>24</v>
      </c>
      <c r="E365" s="20" t="s">
        <v>1464</v>
      </c>
      <c r="F365" s="13">
        <v>5.67826677E8</v>
      </c>
      <c r="G365" s="20" t="s">
        <v>333</v>
      </c>
      <c r="H365" s="13" t="s">
        <v>516</v>
      </c>
      <c r="I365" s="20" t="s">
        <v>3271</v>
      </c>
      <c r="J365" s="20" t="s">
        <v>3272</v>
      </c>
      <c r="K365" s="13" t="s">
        <v>36</v>
      </c>
      <c r="L365" s="26"/>
      <c r="M365" s="27" t="s">
        <v>55</v>
      </c>
      <c r="N365" s="13" t="s">
        <v>40</v>
      </c>
      <c r="O365" s="13" t="s">
        <v>42</v>
      </c>
      <c r="P365" s="34"/>
      <c r="Q365" s="13" t="s">
        <v>44</v>
      </c>
      <c r="R365" s="13" t="s">
        <v>68</v>
      </c>
      <c r="S365" s="37"/>
      <c r="T365" s="37"/>
      <c r="U365" s="26"/>
      <c r="V365" s="37">
        <v>5.0</v>
      </c>
    </row>
    <row r="366" hidden="1">
      <c r="A366" s="13">
        <v>365.0</v>
      </c>
      <c r="B366" s="15">
        <v>46111.0</v>
      </c>
      <c r="C366" s="13" t="s">
        <v>58</v>
      </c>
      <c r="D366" s="13" t="s">
        <v>60</v>
      </c>
      <c r="E366" s="13" t="s">
        <v>27</v>
      </c>
      <c r="F366" s="13">
        <v>5.51540473E8</v>
      </c>
      <c r="G366" s="20" t="s">
        <v>71</v>
      </c>
      <c r="H366" s="13" t="s">
        <v>27</v>
      </c>
      <c r="I366" s="20" t="s">
        <v>3278</v>
      </c>
      <c r="J366" s="20" t="s">
        <v>500</v>
      </c>
      <c r="K366" s="13" t="s">
        <v>36</v>
      </c>
      <c r="L366" s="26"/>
      <c r="M366" s="27" t="s">
        <v>88</v>
      </c>
      <c r="N366" s="13" t="s">
        <v>56</v>
      </c>
      <c r="O366" s="13" t="s">
        <v>42</v>
      </c>
      <c r="P366" s="34"/>
      <c r="Q366" s="13" t="s">
        <v>44</v>
      </c>
      <c r="R366" s="13" t="s">
        <v>68</v>
      </c>
      <c r="S366" s="37"/>
      <c r="T366" s="37"/>
      <c r="U366" s="26"/>
      <c r="V366" s="37">
        <v>5.0</v>
      </c>
    </row>
    <row r="367" hidden="1">
      <c r="A367" s="13">
        <v>366.0</v>
      </c>
      <c r="B367" s="15">
        <v>46111.0</v>
      </c>
      <c r="C367" s="13" t="s">
        <v>21</v>
      </c>
      <c r="D367" s="13" t="s">
        <v>34</v>
      </c>
      <c r="E367" s="20" t="s">
        <v>3283</v>
      </c>
      <c r="F367" s="13">
        <v>5.62283302E8</v>
      </c>
      <c r="G367" s="20" t="s">
        <v>41</v>
      </c>
      <c r="H367" s="13" t="s">
        <v>27</v>
      </c>
      <c r="I367" s="20" t="s">
        <v>298</v>
      </c>
      <c r="J367" s="20" t="s">
        <v>35</v>
      </c>
      <c r="K367" s="13" t="s">
        <v>36</v>
      </c>
      <c r="L367" s="26"/>
      <c r="M367" s="27" t="s">
        <v>51</v>
      </c>
      <c r="N367" s="13" t="s">
        <v>40</v>
      </c>
      <c r="O367" s="13" t="s">
        <v>42</v>
      </c>
      <c r="P367" s="34"/>
      <c r="Q367" s="13" t="s">
        <v>44</v>
      </c>
      <c r="R367" s="13" t="s">
        <v>68</v>
      </c>
      <c r="S367" s="37"/>
      <c r="T367" s="37"/>
      <c r="U367" s="26"/>
      <c r="V367" s="37">
        <v>5.0</v>
      </c>
    </row>
    <row r="368" ht="37.5" customHeight="1">
      <c r="A368" s="13">
        <v>367.0</v>
      </c>
      <c r="B368" s="15">
        <v>46111.0</v>
      </c>
      <c r="C368" s="13" t="s">
        <v>47</v>
      </c>
      <c r="D368" s="13" t="s">
        <v>48</v>
      </c>
      <c r="E368" s="13" t="s">
        <v>27</v>
      </c>
      <c r="F368" s="13" t="s">
        <v>27</v>
      </c>
      <c r="G368" s="20" t="s">
        <v>28</v>
      </c>
      <c r="H368" s="13" t="s">
        <v>587</v>
      </c>
      <c r="I368" s="20" t="s">
        <v>3291</v>
      </c>
      <c r="J368" s="45" t="s">
        <v>3292</v>
      </c>
      <c r="K368" s="13" t="s">
        <v>78</v>
      </c>
      <c r="L368" s="26"/>
      <c r="M368" s="27" t="s">
        <v>55</v>
      </c>
      <c r="N368" s="13" t="s">
        <v>56</v>
      </c>
      <c r="O368" s="13" t="s">
        <v>42</v>
      </c>
      <c r="P368" s="34"/>
      <c r="Q368" s="13" t="s">
        <v>49</v>
      </c>
      <c r="R368" s="13" t="s">
        <v>46</v>
      </c>
      <c r="S368" s="37"/>
      <c r="T368" s="37"/>
      <c r="U368" s="26"/>
      <c r="V368" s="37">
        <v>5.0</v>
      </c>
    </row>
    <row r="369" hidden="1">
      <c r="A369" s="13">
        <v>368.0</v>
      </c>
      <c r="B369" s="15">
        <v>46111.0</v>
      </c>
      <c r="C369" s="13" t="s">
        <v>47</v>
      </c>
      <c r="D369" s="13" t="s">
        <v>24</v>
      </c>
      <c r="E369" s="79" t="s">
        <v>3298</v>
      </c>
      <c r="F369" s="13" t="s">
        <v>27</v>
      </c>
      <c r="G369" s="20" t="s">
        <v>41</v>
      </c>
      <c r="H369" s="13" t="s">
        <v>783</v>
      </c>
      <c r="I369" s="78" t="s">
        <v>3299</v>
      </c>
      <c r="J369" s="20" t="s">
        <v>35</v>
      </c>
      <c r="K369" s="13" t="s">
        <v>78</v>
      </c>
      <c r="L369" s="26"/>
      <c r="M369" s="27" t="s">
        <v>55</v>
      </c>
      <c r="N369" s="13" t="s">
        <v>56</v>
      </c>
      <c r="O369" s="13" t="s">
        <v>42</v>
      </c>
      <c r="P369" s="34"/>
      <c r="Q369" s="13" t="s">
        <v>49</v>
      </c>
      <c r="R369" s="13" t="s">
        <v>68</v>
      </c>
      <c r="S369" s="37"/>
      <c r="T369" s="37"/>
      <c r="U369" s="26"/>
      <c r="V369" s="37">
        <v>5.0</v>
      </c>
    </row>
    <row r="370" ht="33.0" customHeight="1">
      <c r="A370" s="13">
        <v>369.0</v>
      </c>
      <c r="B370" s="15">
        <v>46111.0</v>
      </c>
      <c r="C370" s="13" t="s">
        <v>47</v>
      </c>
      <c r="D370" s="13" t="s">
        <v>367</v>
      </c>
      <c r="E370" s="79" t="s">
        <v>3305</v>
      </c>
      <c r="F370" s="13" t="s">
        <v>27</v>
      </c>
      <c r="G370" s="20" t="s">
        <v>41</v>
      </c>
      <c r="H370" s="13" t="s">
        <v>329</v>
      </c>
      <c r="I370" s="20" t="s">
        <v>3307</v>
      </c>
      <c r="J370" s="20" t="s">
        <v>3308</v>
      </c>
      <c r="K370" s="13" t="s">
        <v>78</v>
      </c>
      <c r="L370" s="26"/>
      <c r="M370" s="27" t="s">
        <v>55</v>
      </c>
      <c r="N370" s="13" t="s">
        <v>56</v>
      </c>
      <c r="O370" s="13" t="s">
        <v>42</v>
      </c>
      <c r="P370" s="34"/>
      <c r="Q370" s="13" t="s">
        <v>49</v>
      </c>
      <c r="R370" s="13" t="s">
        <v>46</v>
      </c>
      <c r="S370" s="37"/>
      <c r="T370" s="37"/>
      <c r="U370" s="26"/>
      <c r="V370" s="37">
        <v>5.0</v>
      </c>
    </row>
    <row r="371" hidden="1">
      <c r="A371" s="13">
        <v>370.0</v>
      </c>
      <c r="B371" s="15">
        <v>46111.0</v>
      </c>
      <c r="C371" s="13" t="s">
        <v>47</v>
      </c>
      <c r="D371" s="13" t="s">
        <v>24</v>
      </c>
      <c r="E371" s="13" t="s">
        <v>27</v>
      </c>
      <c r="F371" s="13" t="s">
        <v>27</v>
      </c>
      <c r="G371" s="20" t="s">
        <v>41</v>
      </c>
      <c r="H371" s="13" t="s">
        <v>513</v>
      </c>
      <c r="I371" s="20" t="s">
        <v>3316</v>
      </c>
      <c r="J371" s="20" t="s">
        <v>35</v>
      </c>
      <c r="K371" s="13" t="s">
        <v>78</v>
      </c>
      <c r="L371" s="26"/>
      <c r="M371" s="27" t="s">
        <v>55</v>
      </c>
      <c r="N371" s="13" t="s">
        <v>56</v>
      </c>
      <c r="O371" s="13" t="s">
        <v>42</v>
      </c>
      <c r="P371" s="34"/>
      <c r="Q371" s="13" t="s">
        <v>49</v>
      </c>
      <c r="R371" s="13" t="s">
        <v>68</v>
      </c>
      <c r="S371" s="37"/>
      <c r="T371" s="37"/>
      <c r="U371" s="26"/>
      <c r="V371" s="37">
        <v>5.0</v>
      </c>
    </row>
    <row r="372">
      <c r="A372" s="13">
        <v>371.0</v>
      </c>
      <c r="B372" s="15">
        <v>46111.0</v>
      </c>
      <c r="C372" s="13" t="s">
        <v>47</v>
      </c>
      <c r="D372" s="13" t="s">
        <v>48</v>
      </c>
      <c r="E372" s="13" t="s">
        <v>3320</v>
      </c>
      <c r="F372" s="13" t="s">
        <v>27</v>
      </c>
      <c r="G372" s="20" t="s">
        <v>79</v>
      </c>
      <c r="H372" s="13" t="s">
        <v>431</v>
      </c>
      <c r="I372" s="20" t="s">
        <v>3321</v>
      </c>
      <c r="J372" s="20" t="s">
        <v>3322</v>
      </c>
      <c r="K372" s="13" t="s">
        <v>78</v>
      </c>
      <c r="L372" s="26"/>
      <c r="M372" s="27" t="s">
        <v>2143</v>
      </c>
      <c r="N372" s="13" t="s">
        <v>56</v>
      </c>
      <c r="O372" s="13" t="s">
        <v>42</v>
      </c>
      <c r="P372" s="34"/>
      <c r="Q372" s="13" t="s">
        <v>49</v>
      </c>
      <c r="R372" s="13" t="s">
        <v>46</v>
      </c>
      <c r="S372" s="37"/>
      <c r="T372" s="37"/>
      <c r="U372" s="26"/>
      <c r="V372" s="37">
        <v>5.0</v>
      </c>
    </row>
    <row r="373">
      <c r="A373" s="13">
        <v>372.0</v>
      </c>
      <c r="B373" s="15">
        <v>46111.0</v>
      </c>
      <c r="C373" s="13" t="s">
        <v>47</v>
      </c>
      <c r="D373" s="13" t="s">
        <v>92</v>
      </c>
      <c r="E373" s="13" t="s">
        <v>3328</v>
      </c>
      <c r="F373" s="13" t="s">
        <v>27</v>
      </c>
      <c r="G373" s="20" t="s">
        <v>76</v>
      </c>
      <c r="H373" s="13" t="s">
        <v>735</v>
      </c>
      <c r="I373" s="20" t="s">
        <v>3329</v>
      </c>
      <c r="J373" s="20" t="s">
        <v>3330</v>
      </c>
      <c r="K373" s="13" t="s">
        <v>78</v>
      </c>
      <c r="L373" s="26"/>
      <c r="M373" s="27" t="s">
        <v>55</v>
      </c>
      <c r="N373" s="13" t="s">
        <v>40</v>
      </c>
      <c r="O373" s="13" t="s">
        <v>42</v>
      </c>
      <c r="P373" s="34"/>
      <c r="Q373" s="13" t="s">
        <v>49</v>
      </c>
      <c r="R373" s="13" t="s">
        <v>46</v>
      </c>
      <c r="S373" s="37"/>
      <c r="T373" s="37"/>
      <c r="U373" s="26"/>
      <c r="V373" s="37">
        <v>5.0</v>
      </c>
    </row>
    <row r="374">
      <c r="A374" s="13">
        <v>373.0</v>
      </c>
      <c r="B374" s="15">
        <v>46111.0</v>
      </c>
      <c r="C374" s="13" t="s">
        <v>47</v>
      </c>
      <c r="D374" s="13" t="s">
        <v>48</v>
      </c>
      <c r="E374" s="13" t="s">
        <v>3337</v>
      </c>
      <c r="F374" s="13" t="s">
        <v>27</v>
      </c>
      <c r="G374" s="20" t="s">
        <v>71</v>
      </c>
      <c r="H374" s="13" t="s">
        <v>163</v>
      </c>
      <c r="I374" s="20" t="s">
        <v>3338</v>
      </c>
      <c r="J374" s="20" t="s">
        <v>3339</v>
      </c>
      <c r="K374" s="13" t="s">
        <v>78</v>
      </c>
      <c r="L374" s="26"/>
      <c r="M374" s="27" t="s">
        <v>55</v>
      </c>
      <c r="N374" s="13" t="s">
        <v>56</v>
      </c>
      <c r="O374" s="13" t="s">
        <v>42</v>
      </c>
      <c r="P374" s="34"/>
      <c r="Q374" s="13" t="s">
        <v>49</v>
      </c>
      <c r="R374" s="13" t="s">
        <v>46</v>
      </c>
      <c r="S374" s="37"/>
      <c r="T374" s="37"/>
      <c r="U374" s="26"/>
      <c r="V374" s="37">
        <v>5.0</v>
      </c>
    </row>
    <row r="375" hidden="1">
      <c r="A375" s="13">
        <v>374.0</v>
      </c>
      <c r="B375" s="15">
        <v>46111.0</v>
      </c>
      <c r="C375" s="13" t="s">
        <v>21</v>
      </c>
      <c r="D375" s="13" t="s">
        <v>22</v>
      </c>
      <c r="E375" s="20" t="s">
        <v>3344</v>
      </c>
      <c r="F375" s="13">
        <v>5.34868332E8</v>
      </c>
      <c r="G375" s="20" t="s">
        <v>28</v>
      </c>
      <c r="H375" s="13" t="s">
        <v>27</v>
      </c>
      <c r="I375" s="20" t="s">
        <v>3345</v>
      </c>
      <c r="J375" s="20" t="s">
        <v>35</v>
      </c>
      <c r="K375" s="13" t="s">
        <v>39</v>
      </c>
      <c r="L375" s="26"/>
      <c r="M375" s="27" t="s">
        <v>38</v>
      </c>
      <c r="N375" s="13" t="s">
        <v>40</v>
      </c>
      <c r="O375" s="13" t="s">
        <v>42</v>
      </c>
      <c r="P375" s="34"/>
      <c r="Q375" s="13" t="s">
        <v>49</v>
      </c>
      <c r="R375" s="13" t="s">
        <v>46</v>
      </c>
      <c r="S375" s="37"/>
      <c r="T375" s="37"/>
      <c r="U375" s="26"/>
      <c r="V375" s="37">
        <v>5.0</v>
      </c>
    </row>
    <row r="376" ht="39.0" customHeight="1">
      <c r="A376" s="13">
        <v>375.0</v>
      </c>
      <c r="B376" s="15">
        <v>46111.0</v>
      </c>
      <c r="C376" s="13" t="s">
        <v>47</v>
      </c>
      <c r="D376" s="13" t="s">
        <v>48</v>
      </c>
      <c r="E376" s="20" t="s">
        <v>1833</v>
      </c>
      <c r="F376" s="13" t="s">
        <v>27</v>
      </c>
      <c r="G376" s="20" t="s">
        <v>79</v>
      </c>
      <c r="H376" s="13" t="s">
        <v>142</v>
      </c>
      <c r="I376" s="20" t="s">
        <v>3354</v>
      </c>
      <c r="J376" s="20" t="s">
        <v>3356</v>
      </c>
      <c r="K376" s="13" t="s">
        <v>78</v>
      </c>
      <c r="L376" s="26"/>
      <c r="M376" s="27" t="s">
        <v>55</v>
      </c>
      <c r="N376" s="13" t="s">
        <v>56</v>
      </c>
      <c r="O376" s="13" t="s">
        <v>42</v>
      </c>
      <c r="P376" s="34"/>
      <c r="Q376" s="13" t="s">
        <v>49</v>
      </c>
      <c r="R376" s="13" t="s">
        <v>46</v>
      </c>
      <c r="S376" s="37"/>
      <c r="T376" s="37"/>
      <c r="U376" s="26"/>
      <c r="V376" s="37">
        <v>5.0</v>
      </c>
    </row>
    <row r="377" hidden="1">
      <c r="A377" s="13">
        <v>376.0</v>
      </c>
      <c r="B377" s="125">
        <v>46111.0</v>
      </c>
      <c r="C377" s="109" t="s">
        <v>21</v>
      </c>
      <c r="D377" s="156" t="s">
        <v>22</v>
      </c>
      <c r="E377" s="127" t="s">
        <v>2670</v>
      </c>
      <c r="F377" s="127">
        <v>5.03067091E8</v>
      </c>
      <c r="G377" s="130" t="s">
        <v>198</v>
      </c>
      <c r="H377" s="156" t="s">
        <v>27</v>
      </c>
      <c r="I377" s="130" t="s">
        <v>3358</v>
      </c>
      <c r="J377" s="20" t="s">
        <v>35</v>
      </c>
      <c r="K377" s="156" t="s">
        <v>36</v>
      </c>
      <c r="L377" s="171"/>
      <c r="M377" s="38" t="s">
        <v>38</v>
      </c>
      <c r="N377" s="108" t="s">
        <v>40</v>
      </c>
      <c r="O377" s="108" t="s">
        <v>42</v>
      </c>
      <c r="P377" s="34"/>
      <c r="Q377" s="13" t="s">
        <v>49</v>
      </c>
      <c r="R377" s="13" t="s">
        <v>46</v>
      </c>
      <c r="S377" s="37"/>
      <c r="T377" s="37"/>
      <c r="U377" s="26"/>
      <c r="V377" s="37">
        <v>5.0</v>
      </c>
    </row>
    <row r="378" hidden="1">
      <c r="A378" s="13">
        <v>377.0</v>
      </c>
      <c r="B378" s="125">
        <v>46111.0</v>
      </c>
      <c r="C378" s="13" t="s">
        <v>58</v>
      </c>
      <c r="D378" s="13" t="s">
        <v>60</v>
      </c>
      <c r="E378" s="20" t="s">
        <v>2628</v>
      </c>
      <c r="F378" s="13">
        <v>5.40229478E8</v>
      </c>
      <c r="G378" s="20" t="s">
        <v>41</v>
      </c>
      <c r="H378" s="13" t="s">
        <v>146</v>
      </c>
      <c r="I378" s="20" t="s">
        <v>3366</v>
      </c>
      <c r="J378" s="20" t="s">
        <v>35</v>
      </c>
      <c r="K378" s="13" t="s">
        <v>36</v>
      </c>
      <c r="L378" s="171"/>
      <c r="M378" s="38" t="s">
        <v>88</v>
      </c>
      <c r="N378" s="13" t="s">
        <v>56</v>
      </c>
      <c r="O378" s="108" t="s">
        <v>42</v>
      </c>
      <c r="P378" s="34"/>
      <c r="Q378" s="13" t="s">
        <v>49</v>
      </c>
      <c r="R378" s="13" t="s">
        <v>68</v>
      </c>
      <c r="S378" s="37"/>
      <c r="T378" s="37"/>
      <c r="U378" s="26"/>
      <c r="V378" s="37">
        <v>5.0</v>
      </c>
    </row>
    <row r="379" hidden="1">
      <c r="A379" s="13">
        <v>378.0</v>
      </c>
      <c r="B379" s="125">
        <v>46111.0</v>
      </c>
      <c r="C379" s="13" t="s">
        <v>21</v>
      </c>
      <c r="D379" s="13" t="s">
        <v>22</v>
      </c>
      <c r="E379" s="20" t="s">
        <v>3373</v>
      </c>
      <c r="F379" s="13">
        <v>5.55045488E8</v>
      </c>
      <c r="G379" s="20" t="s">
        <v>41</v>
      </c>
      <c r="H379" s="13" t="s">
        <v>27</v>
      </c>
      <c r="I379" s="20" t="s">
        <v>3375</v>
      </c>
      <c r="J379" s="20" t="s">
        <v>35</v>
      </c>
      <c r="K379" s="13" t="s">
        <v>36</v>
      </c>
      <c r="L379" s="171"/>
      <c r="M379" s="38" t="s">
        <v>1389</v>
      </c>
      <c r="N379" s="108" t="s">
        <v>40</v>
      </c>
      <c r="O379" s="108" t="s">
        <v>42</v>
      </c>
      <c r="P379" s="34"/>
      <c r="Q379" s="13" t="s">
        <v>49</v>
      </c>
      <c r="R379" s="13" t="s">
        <v>46</v>
      </c>
      <c r="S379" s="37"/>
      <c r="T379" s="37"/>
      <c r="U379" s="26"/>
      <c r="V379" s="37">
        <v>5.0</v>
      </c>
    </row>
    <row r="380" hidden="1">
      <c r="A380" s="13">
        <v>379.0</v>
      </c>
      <c r="B380" s="125">
        <v>46111.0</v>
      </c>
      <c r="C380" s="13" t="s">
        <v>21</v>
      </c>
      <c r="D380" s="13" t="s">
        <v>24</v>
      </c>
      <c r="E380" s="20" t="s">
        <v>3380</v>
      </c>
      <c r="F380" s="13">
        <v>5.8192236E8</v>
      </c>
      <c r="G380" s="20" t="s">
        <v>79</v>
      </c>
      <c r="H380" s="13" t="s">
        <v>27</v>
      </c>
      <c r="I380" s="20" t="s">
        <v>3381</v>
      </c>
      <c r="J380" s="20" t="s">
        <v>35</v>
      </c>
      <c r="K380" s="13" t="s">
        <v>36</v>
      </c>
      <c r="L380" s="171"/>
      <c r="M380" s="38" t="s">
        <v>38</v>
      </c>
      <c r="N380" s="108" t="s">
        <v>40</v>
      </c>
      <c r="O380" s="108" t="s">
        <v>42</v>
      </c>
      <c r="P380" s="34"/>
      <c r="Q380" s="13" t="s">
        <v>49</v>
      </c>
      <c r="R380" s="13" t="s">
        <v>46</v>
      </c>
      <c r="S380" s="37"/>
      <c r="T380" s="37"/>
      <c r="U380" s="26"/>
      <c r="V380" s="37">
        <v>5.0</v>
      </c>
    </row>
    <row r="381">
      <c r="A381" s="13">
        <v>380.0</v>
      </c>
      <c r="B381" s="125">
        <v>46111.0</v>
      </c>
      <c r="C381" s="13" t="s">
        <v>47</v>
      </c>
      <c r="D381" s="13" t="s">
        <v>48</v>
      </c>
      <c r="E381" s="20" t="s">
        <v>3389</v>
      </c>
      <c r="F381" s="13">
        <v>5.96813545E8</v>
      </c>
      <c r="G381" s="20" t="s">
        <v>41</v>
      </c>
      <c r="H381" s="13" t="s">
        <v>1751</v>
      </c>
      <c r="I381" s="20" t="s">
        <v>3390</v>
      </c>
      <c r="J381" s="20" t="s">
        <v>3391</v>
      </c>
      <c r="K381" s="13" t="s">
        <v>36</v>
      </c>
      <c r="L381" s="157"/>
      <c r="M381" s="157" t="s">
        <v>2796</v>
      </c>
      <c r="N381" s="118" t="s">
        <v>56</v>
      </c>
      <c r="O381" s="110" t="s">
        <v>42</v>
      </c>
      <c r="P381" s="34"/>
      <c r="Q381" s="13" t="s">
        <v>44</v>
      </c>
      <c r="R381" s="13" t="s">
        <v>46</v>
      </c>
      <c r="S381" s="37"/>
      <c r="T381" s="37"/>
      <c r="U381" s="26"/>
      <c r="V381" s="37">
        <v>5.0</v>
      </c>
    </row>
    <row r="382" hidden="1">
      <c r="A382" s="13">
        <v>381.0</v>
      </c>
      <c r="B382" s="125">
        <v>46111.0</v>
      </c>
      <c r="C382" s="13" t="s">
        <v>21</v>
      </c>
      <c r="D382" s="13" t="s">
        <v>22</v>
      </c>
      <c r="E382" s="20" t="s">
        <v>3393</v>
      </c>
      <c r="F382" s="13">
        <v>5.46199033E8</v>
      </c>
      <c r="G382" s="20" t="s">
        <v>152</v>
      </c>
      <c r="H382" s="13" t="s">
        <v>27</v>
      </c>
      <c r="I382" s="20" t="s">
        <v>3395</v>
      </c>
      <c r="J382" s="20" t="s">
        <v>35</v>
      </c>
      <c r="K382" s="13" t="s">
        <v>3070</v>
      </c>
      <c r="L382" s="171"/>
      <c r="M382" s="38" t="s">
        <v>38</v>
      </c>
      <c r="N382" s="108" t="s">
        <v>40</v>
      </c>
      <c r="O382" s="108" t="s">
        <v>42</v>
      </c>
      <c r="P382" s="34"/>
      <c r="Q382" s="13" t="s">
        <v>44</v>
      </c>
      <c r="R382" s="13" t="s">
        <v>46</v>
      </c>
      <c r="S382" s="37"/>
      <c r="T382" s="37"/>
      <c r="U382" s="26"/>
      <c r="V382" s="37">
        <v>5.0</v>
      </c>
    </row>
    <row r="383" hidden="1">
      <c r="A383" s="13">
        <v>382.0</v>
      </c>
      <c r="B383" s="125">
        <v>46111.0</v>
      </c>
      <c r="C383" s="13" t="s">
        <v>58</v>
      </c>
      <c r="D383" s="13" t="s">
        <v>60</v>
      </c>
      <c r="E383" s="13" t="s">
        <v>27</v>
      </c>
      <c r="F383" s="13">
        <v>5.0221007E8</v>
      </c>
      <c r="G383" s="20" t="s">
        <v>79</v>
      </c>
      <c r="H383" s="13" t="s">
        <v>27</v>
      </c>
      <c r="I383" s="20" t="s">
        <v>3003</v>
      </c>
      <c r="J383" s="20" t="s">
        <v>500</v>
      </c>
      <c r="K383" s="13" t="s">
        <v>36</v>
      </c>
      <c r="L383" s="171"/>
      <c r="M383" s="38" t="s">
        <v>88</v>
      </c>
      <c r="N383" s="13" t="s">
        <v>56</v>
      </c>
      <c r="O383" s="108" t="s">
        <v>42</v>
      </c>
      <c r="P383" s="34"/>
      <c r="Q383" s="13" t="s">
        <v>44</v>
      </c>
      <c r="R383" s="13" t="s">
        <v>68</v>
      </c>
      <c r="S383" s="37"/>
      <c r="T383" s="37"/>
      <c r="U383" s="26"/>
      <c r="V383" s="37">
        <v>5.0</v>
      </c>
    </row>
    <row r="384" hidden="1">
      <c r="A384" s="13">
        <v>383.0</v>
      </c>
      <c r="B384" s="125">
        <v>46111.0</v>
      </c>
      <c r="C384" s="13" t="s">
        <v>21</v>
      </c>
      <c r="D384" s="13" t="s">
        <v>22</v>
      </c>
      <c r="E384" s="20" t="s">
        <v>3405</v>
      </c>
      <c r="F384" s="13">
        <v>5.68025E8</v>
      </c>
      <c r="G384" s="20" t="s">
        <v>41</v>
      </c>
      <c r="H384" s="13" t="s">
        <v>27</v>
      </c>
      <c r="I384" s="20" t="s">
        <v>3406</v>
      </c>
      <c r="J384" s="20" t="s">
        <v>35</v>
      </c>
      <c r="K384" s="13" t="s">
        <v>321</v>
      </c>
      <c r="L384" s="171"/>
      <c r="M384" s="38" t="s">
        <v>38</v>
      </c>
      <c r="N384" s="108" t="s">
        <v>40</v>
      </c>
      <c r="O384" s="108" t="s">
        <v>42</v>
      </c>
      <c r="P384" s="34"/>
      <c r="Q384" s="13" t="s">
        <v>49</v>
      </c>
      <c r="R384" s="13" t="s">
        <v>46</v>
      </c>
      <c r="S384" s="37"/>
      <c r="T384" s="37"/>
      <c r="U384" s="26"/>
      <c r="V384" s="37">
        <v>5.0</v>
      </c>
    </row>
    <row r="385">
      <c r="A385" s="13">
        <v>384.0</v>
      </c>
      <c r="B385" s="125">
        <v>46111.0</v>
      </c>
      <c r="C385" s="13" t="s">
        <v>47</v>
      </c>
      <c r="D385" s="13" t="s">
        <v>367</v>
      </c>
      <c r="E385" s="20" t="s">
        <v>3411</v>
      </c>
      <c r="F385" s="13">
        <v>5.5584083E8</v>
      </c>
      <c r="G385" s="20" t="s">
        <v>41</v>
      </c>
      <c r="H385" s="13" t="s">
        <v>253</v>
      </c>
      <c r="I385" s="60" t="s">
        <v>3413</v>
      </c>
      <c r="J385" s="20" t="s">
        <v>3414</v>
      </c>
      <c r="K385" s="13" t="s">
        <v>62</v>
      </c>
      <c r="L385" s="171"/>
      <c r="M385" s="38" t="s">
        <v>150</v>
      </c>
      <c r="N385" s="109" t="s">
        <v>56</v>
      </c>
      <c r="O385" s="108" t="s">
        <v>42</v>
      </c>
      <c r="P385" s="34"/>
      <c r="Q385" s="13" t="s">
        <v>49</v>
      </c>
      <c r="R385" s="13" t="s">
        <v>46</v>
      </c>
      <c r="S385" s="37"/>
      <c r="T385" s="37"/>
      <c r="U385" s="26"/>
      <c r="V385" s="37">
        <v>5.0</v>
      </c>
    </row>
    <row r="386">
      <c r="A386" s="13">
        <v>385.0</v>
      </c>
      <c r="B386" s="125">
        <v>46111.0</v>
      </c>
      <c r="C386" s="13" t="s">
        <v>47</v>
      </c>
      <c r="D386" s="13" t="s">
        <v>138</v>
      </c>
      <c r="E386" s="20" t="s">
        <v>3420</v>
      </c>
      <c r="F386" s="13">
        <v>5.08581576E8</v>
      </c>
      <c r="G386" s="20" t="s">
        <v>41</v>
      </c>
      <c r="H386" s="13" t="s">
        <v>146</v>
      </c>
      <c r="I386" s="20" t="s">
        <v>3421</v>
      </c>
      <c r="J386" s="20" t="s">
        <v>3423</v>
      </c>
      <c r="K386" s="13" t="s">
        <v>148</v>
      </c>
      <c r="L386" s="26"/>
      <c r="M386" s="27" t="s">
        <v>55</v>
      </c>
      <c r="N386" s="109" t="s">
        <v>56</v>
      </c>
      <c r="O386" s="108" t="s">
        <v>42</v>
      </c>
      <c r="P386" s="34"/>
      <c r="Q386" s="13" t="s">
        <v>44</v>
      </c>
      <c r="R386" s="13" t="s">
        <v>46</v>
      </c>
      <c r="S386" s="37"/>
      <c r="T386" s="37"/>
      <c r="U386" s="26"/>
      <c r="V386" s="37">
        <v>5.0</v>
      </c>
    </row>
    <row r="387" hidden="1">
      <c r="A387" s="13">
        <v>386.0</v>
      </c>
      <c r="B387" s="125">
        <v>46111.0</v>
      </c>
      <c r="C387" s="13" t="s">
        <v>58</v>
      </c>
      <c r="D387" s="13" t="s">
        <v>60</v>
      </c>
      <c r="E387" s="13" t="s">
        <v>27</v>
      </c>
      <c r="F387" s="13">
        <v>5.60691067E8</v>
      </c>
      <c r="G387" s="13" t="s">
        <v>27</v>
      </c>
      <c r="H387" s="13" t="s">
        <v>27</v>
      </c>
      <c r="I387" s="20" t="s">
        <v>298</v>
      </c>
      <c r="J387" s="20" t="s">
        <v>1207</v>
      </c>
      <c r="K387" s="13" t="s">
        <v>62</v>
      </c>
      <c r="L387" s="27"/>
      <c r="M387" s="27" t="s">
        <v>3432</v>
      </c>
      <c r="N387" s="13" t="s">
        <v>56</v>
      </c>
      <c r="O387" s="108" t="s">
        <v>42</v>
      </c>
      <c r="P387" s="34"/>
      <c r="Q387" s="13" t="s">
        <v>44</v>
      </c>
      <c r="R387" s="13" t="s">
        <v>68</v>
      </c>
      <c r="S387" s="37"/>
      <c r="T387" s="37"/>
      <c r="U387" s="26"/>
      <c r="V387" s="37">
        <v>5.0</v>
      </c>
    </row>
    <row r="388" hidden="1">
      <c r="A388" s="13">
        <v>387.0</v>
      </c>
      <c r="B388" s="125">
        <v>46111.0</v>
      </c>
      <c r="C388" s="13" t="s">
        <v>58</v>
      </c>
      <c r="D388" s="13" t="s">
        <v>60</v>
      </c>
      <c r="E388" s="13" t="s">
        <v>27</v>
      </c>
      <c r="F388" s="13">
        <v>5.01013027E8</v>
      </c>
      <c r="G388" s="13" t="s">
        <v>27</v>
      </c>
      <c r="H388" s="13" t="s">
        <v>27</v>
      </c>
      <c r="I388" s="20" t="s">
        <v>554</v>
      </c>
      <c r="J388" s="20" t="s">
        <v>500</v>
      </c>
      <c r="K388" s="13" t="s">
        <v>36</v>
      </c>
      <c r="L388" s="26"/>
      <c r="M388" s="27" t="s">
        <v>88</v>
      </c>
      <c r="N388" s="13" t="s">
        <v>56</v>
      </c>
      <c r="O388" s="108" t="s">
        <v>42</v>
      </c>
      <c r="P388" s="34"/>
      <c r="Q388" s="13" t="s">
        <v>44</v>
      </c>
      <c r="R388" s="13" t="s">
        <v>68</v>
      </c>
      <c r="S388" s="37"/>
      <c r="T388" s="37"/>
      <c r="U388" s="26"/>
      <c r="V388" s="37">
        <v>5.0</v>
      </c>
    </row>
    <row r="389" hidden="1">
      <c r="A389" s="13">
        <v>388.0</v>
      </c>
      <c r="B389" s="125">
        <v>46111.0</v>
      </c>
      <c r="C389" s="13" t="s">
        <v>58</v>
      </c>
      <c r="D389" s="13" t="s">
        <v>60</v>
      </c>
      <c r="E389" s="13" t="s">
        <v>27</v>
      </c>
      <c r="F389" s="13">
        <v>5.37610772E8</v>
      </c>
      <c r="G389" s="13" t="s">
        <v>27</v>
      </c>
      <c r="H389" s="13" t="s">
        <v>27</v>
      </c>
      <c r="I389" s="20" t="s">
        <v>554</v>
      </c>
      <c r="J389" s="20" t="s">
        <v>500</v>
      </c>
      <c r="K389" s="13" t="s">
        <v>36</v>
      </c>
      <c r="L389" s="26"/>
      <c r="M389" s="27" t="s">
        <v>88</v>
      </c>
      <c r="N389" s="13" t="s">
        <v>56</v>
      </c>
      <c r="O389" s="108" t="s">
        <v>42</v>
      </c>
      <c r="P389" s="34"/>
      <c r="Q389" s="13" t="s">
        <v>44</v>
      </c>
      <c r="R389" s="13" t="s">
        <v>68</v>
      </c>
      <c r="S389" s="37"/>
      <c r="T389" s="37"/>
      <c r="U389" s="26"/>
      <c r="V389" s="37">
        <v>5.0</v>
      </c>
    </row>
    <row r="390" hidden="1">
      <c r="A390" s="13">
        <v>389.0</v>
      </c>
      <c r="B390" s="125">
        <v>46111.0</v>
      </c>
      <c r="C390" s="13" t="s">
        <v>58</v>
      </c>
      <c r="D390" s="13" t="s">
        <v>60</v>
      </c>
      <c r="E390" s="13" t="s">
        <v>27</v>
      </c>
      <c r="F390" s="13">
        <v>5.58272848E8</v>
      </c>
      <c r="G390" s="13" t="s">
        <v>27</v>
      </c>
      <c r="H390" s="13" t="s">
        <v>27</v>
      </c>
      <c r="I390" s="20" t="s">
        <v>554</v>
      </c>
      <c r="J390" s="20" t="s">
        <v>500</v>
      </c>
      <c r="K390" s="13" t="s">
        <v>36</v>
      </c>
      <c r="L390" s="26"/>
      <c r="M390" s="27" t="s">
        <v>88</v>
      </c>
      <c r="N390" s="13" t="s">
        <v>56</v>
      </c>
      <c r="O390" s="108" t="s">
        <v>42</v>
      </c>
      <c r="P390" s="34"/>
      <c r="Q390" s="13" t="s">
        <v>44</v>
      </c>
      <c r="R390" s="13" t="s">
        <v>68</v>
      </c>
      <c r="S390" s="37"/>
      <c r="T390" s="37"/>
      <c r="U390" s="26"/>
      <c r="V390" s="37">
        <v>5.0</v>
      </c>
    </row>
    <row r="391">
      <c r="A391" s="13">
        <v>390.0</v>
      </c>
      <c r="B391" s="125">
        <v>46111.0</v>
      </c>
      <c r="C391" s="13" t="s">
        <v>47</v>
      </c>
      <c r="D391" s="13" t="s">
        <v>92</v>
      </c>
      <c r="E391" s="20" t="s">
        <v>3453</v>
      </c>
      <c r="F391" s="13">
        <v>5.6669488E8</v>
      </c>
      <c r="G391" s="20" t="s">
        <v>71</v>
      </c>
      <c r="H391" s="13" t="s">
        <v>291</v>
      </c>
      <c r="I391" s="20" t="s">
        <v>3454</v>
      </c>
      <c r="J391" s="20" t="s">
        <v>3455</v>
      </c>
      <c r="K391" s="13" t="s">
        <v>36</v>
      </c>
      <c r="L391" s="26"/>
      <c r="M391" s="27" t="s">
        <v>101</v>
      </c>
      <c r="N391" s="109" t="s">
        <v>56</v>
      </c>
      <c r="O391" s="108" t="s">
        <v>42</v>
      </c>
      <c r="P391" s="34"/>
      <c r="Q391" s="13" t="s">
        <v>44</v>
      </c>
      <c r="R391" s="13" t="s">
        <v>46</v>
      </c>
      <c r="S391" s="37"/>
      <c r="T391" s="37"/>
      <c r="U391" s="26"/>
      <c r="V391" s="37">
        <v>5.0</v>
      </c>
    </row>
    <row r="392" hidden="1">
      <c r="A392" s="13">
        <v>391.0</v>
      </c>
      <c r="B392" s="125">
        <v>46111.0</v>
      </c>
      <c r="C392" s="13" t="s">
        <v>58</v>
      </c>
      <c r="D392" s="13" t="s">
        <v>60</v>
      </c>
      <c r="E392" s="13" t="s">
        <v>27</v>
      </c>
      <c r="F392" s="13">
        <v>5.36536568E8</v>
      </c>
      <c r="G392" s="13" t="s">
        <v>27</v>
      </c>
      <c r="H392" s="13" t="s">
        <v>27</v>
      </c>
      <c r="I392" s="20" t="s">
        <v>3463</v>
      </c>
      <c r="J392" s="20" t="s">
        <v>3464</v>
      </c>
      <c r="K392" s="13" t="s">
        <v>36</v>
      </c>
      <c r="L392" s="26"/>
      <c r="M392" s="27" t="s">
        <v>88</v>
      </c>
      <c r="N392" s="13" t="s">
        <v>56</v>
      </c>
      <c r="O392" s="108" t="s">
        <v>42</v>
      </c>
      <c r="P392" s="34"/>
      <c r="Q392" s="13" t="s">
        <v>44</v>
      </c>
      <c r="R392" s="13" t="s">
        <v>68</v>
      </c>
      <c r="S392" s="37"/>
      <c r="T392" s="37"/>
      <c r="U392" s="26"/>
      <c r="V392" s="37">
        <v>5.0</v>
      </c>
    </row>
    <row r="393" hidden="1">
      <c r="A393" s="13">
        <v>392.0</v>
      </c>
      <c r="B393" s="125">
        <v>46111.0</v>
      </c>
      <c r="C393" s="13" t="s">
        <v>58</v>
      </c>
      <c r="D393" s="13" t="s">
        <v>60</v>
      </c>
      <c r="E393" s="13" t="s">
        <v>27</v>
      </c>
      <c r="F393" s="13">
        <v>5.06074563E8</v>
      </c>
      <c r="G393" s="13" t="s">
        <v>27</v>
      </c>
      <c r="H393" s="13" t="s">
        <v>27</v>
      </c>
      <c r="I393" s="20" t="s">
        <v>554</v>
      </c>
      <c r="J393" s="20" t="s">
        <v>500</v>
      </c>
      <c r="K393" s="13" t="s">
        <v>36</v>
      </c>
      <c r="L393" s="26"/>
      <c r="M393" s="27" t="s">
        <v>88</v>
      </c>
      <c r="N393" s="13" t="s">
        <v>56</v>
      </c>
      <c r="O393" s="108" t="s">
        <v>42</v>
      </c>
      <c r="P393" s="34"/>
      <c r="Q393" s="13" t="s">
        <v>44</v>
      </c>
      <c r="R393" s="13" t="s">
        <v>68</v>
      </c>
      <c r="S393" s="37"/>
      <c r="T393" s="37"/>
      <c r="U393" s="26"/>
      <c r="V393" s="37">
        <v>5.0</v>
      </c>
    </row>
    <row r="394" hidden="1">
      <c r="A394" s="13">
        <v>393.0</v>
      </c>
      <c r="B394" s="125">
        <v>46111.0</v>
      </c>
      <c r="C394" s="13" t="s">
        <v>21</v>
      </c>
      <c r="D394" s="13" t="s">
        <v>251</v>
      </c>
      <c r="E394" s="20" t="s">
        <v>3472</v>
      </c>
      <c r="F394" s="13">
        <v>5.01669995E8</v>
      </c>
      <c r="G394" s="20" t="s">
        <v>71</v>
      </c>
      <c r="H394" s="13" t="s">
        <v>27</v>
      </c>
      <c r="I394" s="20" t="s">
        <v>3474</v>
      </c>
      <c r="J394" s="20" t="s">
        <v>3475</v>
      </c>
      <c r="K394" s="13" t="s">
        <v>36</v>
      </c>
      <c r="L394" s="26"/>
      <c r="M394" s="27" t="s">
        <v>38</v>
      </c>
      <c r="N394" s="109" t="s">
        <v>56</v>
      </c>
      <c r="O394" s="108" t="s">
        <v>42</v>
      </c>
      <c r="P394" s="34"/>
      <c r="Q394" s="13" t="s">
        <v>44</v>
      </c>
      <c r="R394" s="13" t="s">
        <v>68</v>
      </c>
      <c r="S394" s="37"/>
      <c r="T394" s="37"/>
      <c r="U394" s="26"/>
      <c r="V394" s="37">
        <v>5.0</v>
      </c>
    </row>
    <row r="395" hidden="1">
      <c r="A395" s="13">
        <v>394.0</v>
      </c>
      <c r="B395" s="125">
        <v>46111.0</v>
      </c>
      <c r="C395" s="13" t="s">
        <v>58</v>
      </c>
      <c r="D395" s="13" t="s">
        <v>60</v>
      </c>
      <c r="E395" s="20" t="s">
        <v>1232</v>
      </c>
      <c r="F395" s="13">
        <v>5.51168689E8</v>
      </c>
      <c r="G395" s="20" t="s">
        <v>28</v>
      </c>
      <c r="H395" s="13" t="s">
        <v>777</v>
      </c>
      <c r="I395" s="20" t="s">
        <v>3481</v>
      </c>
      <c r="J395" s="20" t="s">
        <v>3482</v>
      </c>
      <c r="K395" s="13" t="s">
        <v>36</v>
      </c>
      <c r="L395" s="26"/>
      <c r="M395" s="27" t="s">
        <v>88</v>
      </c>
      <c r="N395" s="13" t="s">
        <v>56</v>
      </c>
      <c r="O395" s="108" t="s">
        <v>42</v>
      </c>
      <c r="P395" s="34"/>
      <c r="Q395" s="13" t="s">
        <v>44</v>
      </c>
      <c r="R395" s="13" t="s">
        <v>68</v>
      </c>
      <c r="S395" s="37"/>
      <c r="T395" s="37"/>
      <c r="U395" s="26"/>
      <c r="V395" s="37">
        <v>5.0</v>
      </c>
    </row>
    <row r="396" hidden="1">
      <c r="A396" s="13">
        <v>395.0</v>
      </c>
      <c r="B396" s="62">
        <v>46112.0</v>
      </c>
      <c r="C396" s="54" t="s">
        <v>58</v>
      </c>
      <c r="D396" s="54" t="s">
        <v>60</v>
      </c>
      <c r="E396" s="55" t="s">
        <v>27</v>
      </c>
      <c r="F396" s="55">
        <v>5.91682035E8</v>
      </c>
      <c r="G396" s="55" t="s">
        <v>27</v>
      </c>
      <c r="H396" s="55" t="s">
        <v>27</v>
      </c>
      <c r="I396" s="58" t="s">
        <v>3488</v>
      </c>
      <c r="J396" s="20" t="s">
        <v>35</v>
      </c>
      <c r="K396" s="54" t="s">
        <v>65</v>
      </c>
      <c r="L396" s="26"/>
      <c r="M396" s="27" t="s">
        <v>38</v>
      </c>
      <c r="N396" s="54" t="s">
        <v>56</v>
      </c>
      <c r="O396" s="54" t="s">
        <v>42</v>
      </c>
      <c r="P396" s="34"/>
      <c r="Q396" s="54" t="s">
        <v>44</v>
      </c>
      <c r="R396" s="13" t="s">
        <v>68</v>
      </c>
      <c r="S396" s="37"/>
      <c r="T396" s="37"/>
      <c r="U396" s="26"/>
      <c r="V396" s="37">
        <v>5.0</v>
      </c>
    </row>
    <row r="397" hidden="1">
      <c r="A397" s="13">
        <v>396.0</v>
      </c>
      <c r="B397" s="62">
        <v>46112.0</v>
      </c>
      <c r="C397" s="54" t="s">
        <v>58</v>
      </c>
      <c r="D397" s="54" t="s">
        <v>60</v>
      </c>
      <c r="E397" s="20" t="s">
        <v>3491</v>
      </c>
      <c r="F397" s="13">
        <v>5.55295141E8</v>
      </c>
      <c r="G397" s="13" t="s">
        <v>27</v>
      </c>
      <c r="H397" s="13" t="s">
        <v>27</v>
      </c>
      <c r="I397" s="20" t="s">
        <v>3494</v>
      </c>
      <c r="J397" s="20" t="s">
        <v>3497</v>
      </c>
      <c r="K397" s="54" t="s">
        <v>62</v>
      </c>
      <c r="L397" s="26"/>
      <c r="M397" s="27" t="s">
        <v>88</v>
      </c>
      <c r="N397" s="54" t="s">
        <v>56</v>
      </c>
      <c r="O397" s="54" t="s">
        <v>42</v>
      </c>
      <c r="P397" s="34"/>
      <c r="Q397" s="54" t="s">
        <v>44</v>
      </c>
      <c r="R397" s="13" t="s">
        <v>68</v>
      </c>
      <c r="S397" s="37"/>
      <c r="T397" s="37"/>
      <c r="U397" s="26"/>
      <c r="V397" s="37">
        <v>5.0</v>
      </c>
    </row>
    <row r="398" hidden="1">
      <c r="A398" s="13">
        <v>397.0</v>
      </c>
      <c r="B398" s="62">
        <v>46112.0</v>
      </c>
      <c r="C398" s="54" t="s">
        <v>58</v>
      </c>
      <c r="D398" s="54" t="s">
        <v>60</v>
      </c>
      <c r="E398" s="58" t="s">
        <v>3502</v>
      </c>
      <c r="F398" s="55">
        <v>5.74367785E8</v>
      </c>
      <c r="G398" s="58" t="s">
        <v>41</v>
      </c>
      <c r="H398" s="55" t="s">
        <v>567</v>
      </c>
      <c r="I398" s="58" t="s">
        <v>3503</v>
      </c>
      <c r="J398" s="20" t="s">
        <v>3505</v>
      </c>
      <c r="K398" s="54" t="s">
        <v>36</v>
      </c>
      <c r="L398" s="26"/>
      <c r="M398" s="27" t="s">
        <v>88</v>
      </c>
      <c r="N398" s="54" t="s">
        <v>56</v>
      </c>
      <c r="O398" s="54" t="s">
        <v>42</v>
      </c>
      <c r="P398" s="34"/>
      <c r="Q398" s="54" t="s">
        <v>44</v>
      </c>
      <c r="R398" s="13" t="s">
        <v>68</v>
      </c>
      <c r="S398" s="37"/>
      <c r="T398" s="37"/>
      <c r="U398" s="26"/>
      <c r="V398" s="37">
        <v>5.0</v>
      </c>
    </row>
    <row r="399" hidden="1">
      <c r="A399" s="13">
        <v>398.0</v>
      </c>
      <c r="B399" s="62">
        <v>46112.0</v>
      </c>
      <c r="C399" s="54" t="s">
        <v>58</v>
      </c>
      <c r="D399" s="54" t="s">
        <v>60</v>
      </c>
      <c r="E399" s="13" t="s">
        <v>27</v>
      </c>
      <c r="F399" s="13">
        <v>5.06970804E8</v>
      </c>
      <c r="G399" s="13" t="s">
        <v>27</v>
      </c>
      <c r="H399" s="13" t="s">
        <v>27</v>
      </c>
      <c r="I399" s="20" t="s">
        <v>233</v>
      </c>
      <c r="J399" s="20" t="s">
        <v>35</v>
      </c>
      <c r="K399" s="54" t="s">
        <v>36</v>
      </c>
      <c r="L399" s="26"/>
      <c r="M399" s="27" t="s">
        <v>88</v>
      </c>
      <c r="N399" s="54" t="s">
        <v>56</v>
      </c>
      <c r="O399" s="54" t="s">
        <v>42</v>
      </c>
      <c r="P399" s="34"/>
      <c r="Q399" s="54" t="s">
        <v>44</v>
      </c>
      <c r="R399" s="13" t="s">
        <v>68</v>
      </c>
      <c r="S399" s="37"/>
      <c r="T399" s="37"/>
      <c r="U399" s="26"/>
      <c r="V399" s="37">
        <v>5.0</v>
      </c>
    </row>
    <row r="400" hidden="1">
      <c r="A400" s="13">
        <v>399.0</v>
      </c>
      <c r="B400" s="15">
        <v>46112.0</v>
      </c>
      <c r="C400" s="13" t="s">
        <v>21</v>
      </c>
      <c r="D400" s="13" t="s">
        <v>57</v>
      </c>
      <c r="E400" s="20" t="s">
        <v>59</v>
      </c>
      <c r="F400" s="13">
        <v>5.76183108E8</v>
      </c>
      <c r="G400" s="13" t="s">
        <v>27</v>
      </c>
      <c r="H400" s="13" t="s">
        <v>27</v>
      </c>
      <c r="I400" s="20" t="s">
        <v>61</v>
      </c>
      <c r="J400" s="20" t="s">
        <v>3518</v>
      </c>
      <c r="K400" s="13" t="s">
        <v>62</v>
      </c>
      <c r="L400" s="26"/>
      <c r="M400" s="27" t="s">
        <v>38</v>
      </c>
      <c r="N400" s="13" t="s">
        <v>56</v>
      </c>
      <c r="O400" s="13" t="s">
        <v>42</v>
      </c>
      <c r="P400" s="34"/>
      <c r="Q400" s="13" t="s">
        <v>44</v>
      </c>
      <c r="R400" s="13" t="s">
        <v>68</v>
      </c>
      <c r="S400" s="37"/>
      <c r="T400" s="37"/>
      <c r="U400" s="26"/>
      <c r="V400" s="37">
        <v>5.0</v>
      </c>
    </row>
  </sheetData>
  <autoFilter ref="$A$1:$V$400">
    <filterColumn colId="3">
      <filters>
        <filter val="Environment"/>
        <filter val="Maintenance"/>
        <filter val="Franchise"/>
        <filter val="Operations"/>
      </filters>
    </filterColumn>
    <filterColumn colId="2">
      <filters>
        <filter val="inquiries"/>
        <filter val="Complaint"/>
      </filters>
    </filterColumn>
  </autoFilter>
  <dataValidations>
    <dataValidation type="list" allowBlank="1" showErrorMessage="1" sqref="C2:C400">
      <formula1>"Complaint,Requests,inquiries"</formula1>
    </dataValidation>
    <dataValidation type="list" allowBlank="1" showErrorMessage="1" sqref="O2:O400">
      <formula1>"High,Medium,Low,Urgent"</formula1>
    </dataValidation>
    <dataValidation type="list" allowBlank="1" showErrorMessage="1" sqref="N2:N400">
      <formula1>"In process,Closed"</formula1>
    </dataValidation>
    <dataValidation type="list" allowBlank="1" showErrorMessage="1" sqref="Q2:Q400">
      <formula1>"Samia,Amani"</formula1>
    </dataValidation>
    <dataValidation type="list" allowBlank="1" showErrorMessage="1" sqref="R2:R400">
      <formula1>"Uploaded,Non"</formula1>
    </dataValidation>
    <dataValidation type="list" allowBlank="1" showErrorMessage="1" sqref="U2:U400">
      <formula1>"Samia,Amani,Dania"</formula1>
    </dataValidation>
    <dataValidation type="list" allowBlank="1" showErrorMessage="1" sqref="K2:K400">
      <formula1>"Call,Google maps,X,Tiktok,SurveyApp,Email,Website,Instgram,Voicemaill,WhatsApp"</formula1>
    </dataValidation>
    <dataValidation type="list" allowBlank="1" showErrorMessage="1" sqref="V2:V400">
      <formula1>"0,1,2,3,4,5"</formula1>
    </dataValidation>
    <dataValidation type="list" allowBlank="1" showErrorMessage="1" sqref="D2:D39 D43:D400">
      <formula1>"Customer S,Operations ,Investment,Real Estate,Franchise ,Marketing ,Maintenance,Environment,Project M,HR,Procurement,Finance,IT"</formula1>
    </dataValidation>
    <dataValidation type="list" allowBlank="1" showErrorMessage="1" sqref="D40:D42">
      <formula1>"Customer Service,Operations ,Investment,Real Estate,Franchise ,Marketing ,Maintenance,Environment,Project M,HR,Procurement,Finance"</formula1>
    </dataValidation>
  </dataValidations>
  <hyperlinks>
    <hyperlink r:id="rId1" ref="I223"/>
  </hyperlinks>
  <printOptions gridLines="1" horizontalCentered="1"/>
  <pageMargins bottom="0.75" footer="0.0" header="0.0" left="0.7" right="0.7" top="0.75"/>
  <pageSetup fitToHeight="0" paperSize="13"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8F9FA"/>
    <outlinePr summaryBelow="0" summaryRight="0"/>
    <pageSetUpPr fitToPage="1"/>
  </sheetPr>
  <sheetViews>
    <sheetView rightToLeft="1" workbookViewId="0">
      <pane xSplit="4.0" topLeftCell="E1" activePane="topRight" state="frozen"/>
      <selection activeCell="F2" sqref="F2" pane="topRight"/>
    </sheetView>
  </sheetViews>
  <sheetFormatPr customHeight="1" defaultColWidth="12.63" defaultRowHeight="15.75"/>
  <cols>
    <col customWidth="1" min="1" max="1" width="2.88"/>
    <col customWidth="1" min="2" max="2" width="7.88"/>
    <col customWidth="1" min="3" max="3" width="16.88"/>
    <col customWidth="1" min="4" max="4" width="19.25"/>
    <col customWidth="1" min="5" max="5" width="12.25"/>
    <col customWidth="1" min="6" max="6" width="11.63"/>
    <col customWidth="1" min="7" max="7" width="8.5"/>
    <col customWidth="1" min="8" max="8" width="8.88"/>
    <col customWidth="1" min="9" max="9" width="31.5"/>
    <col customWidth="1" min="10" max="10" width="14.63"/>
    <col customWidth="1" min="11" max="11" width="13.38"/>
    <col customWidth="1" min="12" max="12" width="0.38"/>
    <col customWidth="1" min="13" max="13" width="11.25"/>
    <col customWidth="1" min="14" max="14" width="14.88"/>
    <col customWidth="1" min="15" max="15" width="12.38"/>
    <col customWidth="1" min="16" max="17" width="11.0"/>
    <col customWidth="1" min="18" max="18" width="14.75"/>
    <col customWidth="1" min="19" max="22" width="11.0"/>
  </cols>
  <sheetData>
    <row r="1" ht="28.5" customHeight="1">
      <c r="A1" s="2"/>
      <c r="B1" s="2" t="s">
        <v>0</v>
      </c>
      <c r="C1" s="2" t="s">
        <v>1</v>
      </c>
      <c r="D1" s="2" t="s">
        <v>3</v>
      </c>
      <c r="E1" s="2" t="s">
        <v>4</v>
      </c>
      <c r="F1" s="2" t="s">
        <v>5</v>
      </c>
      <c r="G1" s="4" t="s">
        <v>6</v>
      </c>
      <c r="H1" s="4" t="s">
        <v>7</v>
      </c>
      <c r="I1" s="2" t="s">
        <v>8</v>
      </c>
      <c r="J1" s="4" t="s">
        <v>9</v>
      </c>
      <c r="K1" s="2" t="s">
        <v>10</v>
      </c>
      <c r="L1" s="3" t="s">
        <v>11</v>
      </c>
      <c r="M1" s="7" t="s">
        <v>12</v>
      </c>
      <c r="N1" s="9" t="s">
        <v>13</v>
      </c>
      <c r="O1" s="10" t="s">
        <v>14</v>
      </c>
      <c r="P1" s="7" t="s">
        <v>15</v>
      </c>
      <c r="Q1" s="3" t="s">
        <v>16</v>
      </c>
      <c r="R1" s="4" t="s">
        <v>17</v>
      </c>
      <c r="S1" s="5" t="s">
        <v>15</v>
      </c>
      <c r="T1" s="5" t="s">
        <v>18</v>
      </c>
      <c r="U1" s="5" t="s">
        <v>19</v>
      </c>
      <c r="V1" s="2" t="s">
        <v>20</v>
      </c>
    </row>
    <row r="2" ht="20.25" hidden="1" customHeight="1">
      <c r="A2" s="13">
        <v>1.0</v>
      </c>
      <c r="B2" s="15">
        <v>46113.0</v>
      </c>
      <c r="C2" s="13" t="s">
        <v>21</v>
      </c>
      <c r="D2" s="13" t="s">
        <v>22</v>
      </c>
      <c r="E2" s="20" t="s">
        <v>25</v>
      </c>
      <c r="F2" s="13">
        <v>5.45639976E8</v>
      </c>
      <c r="G2" s="20" t="s">
        <v>28</v>
      </c>
      <c r="H2" s="13" t="s">
        <v>27</v>
      </c>
      <c r="I2" s="20" t="s">
        <v>31</v>
      </c>
      <c r="J2" s="20"/>
      <c r="K2" s="13" t="s">
        <v>36</v>
      </c>
      <c r="L2" s="26"/>
      <c r="M2" s="27" t="s">
        <v>38</v>
      </c>
      <c r="N2" s="13" t="s">
        <v>40</v>
      </c>
      <c r="O2" s="13" t="s">
        <v>42</v>
      </c>
      <c r="P2" s="32"/>
      <c r="Q2" s="13" t="s">
        <v>44</v>
      </c>
      <c r="R2" s="13" t="s">
        <v>46</v>
      </c>
      <c r="S2" s="27"/>
      <c r="T2" s="32"/>
      <c r="U2" s="26"/>
      <c r="V2" s="32"/>
    </row>
    <row r="3" hidden="1">
      <c r="A3" s="13">
        <v>2.0</v>
      </c>
      <c r="B3" s="15">
        <v>46113.0</v>
      </c>
      <c r="C3" s="13" t="s">
        <v>21</v>
      </c>
      <c r="D3" s="13" t="s">
        <v>57</v>
      </c>
      <c r="E3" s="20" t="s">
        <v>59</v>
      </c>
      <c r="F3" s="13">
        <v>5.76183108E8</v>
      </c>
      <c r="G3" s="13" t="s">
        <v>27</v>
      </c>
      <c r="H3" s="13" t="s">
        <v>27</v>
      </c>
      <c r="I3" s="20" t="s">
        <v>61</v>
      </c>
      <c r="J3" s="20"/>
      <c r="K3" s="13" t="s">
        <v>62</v>
      </c>
      <c r="L3" s="26"/>
      <c r="M3" s="27" t="s">
        <v>38</v>
      </c>
      <c r="N3" s="13" t="s">
        <v>56</v>
      </c>
      <c r="O3" s="13" t="s">
        <v>42</v>
      </c>
      <c r="P3" s="32"/>
      <c r="Q3" s="13" t="s">
        <v>44</v>
      </c>
      <c r="R3" s="13" t="s">
        <v>68</v>
      </c>
      <c r="S3" s="32"/>
      <c r="T3" s="32"/>
      <c r="U3" s="26"/>
      <c r="V3" s="32"/>
    </row>
    <row r="4" ht="35.25" hidden="1" customHeight="1">
      <c r="A4" s="13">
        <v>3.0</v>
      </c>
      <c r="B4" s="15">
        <v>46113.0</v>
      </c>
      <c r="C4" s="13" t="s">
        <v>47</v>
      </c>
      <c r="D4" s="13" t="s">
        <v>48</v>
      </c>
      <c r="E4" s="41" t="s">
        <v>70</v>
      </c>
      <c r="F4" s="13" t="s">
        <v>27</v>
      </c>
      <c r="G4" s="20" t="s">
        <v>71</v>
      </c>
      <c r="H4" s="13" t="s">
        <v>72</v>
      </c>
      <c r="I4" s="20" t="s">
        <v>74</v>
      </c>
      <c r="J4" s="20" t="s">
        <v>75</v>
      </c>
      <c r="K4" s="13" t="s">
        <v>78</v>
      </c>
      <c r="L4" s="26"/>
      <c r="M4" s="27" t="s">
        <v>55</v>
      </c>
      <c r="N4" s="13" t="s">
        <v>56</v>
      </c>
      <c r="O4" s="13" t="s">
        <v>42</v>
      </c>
      <c r="P4" s="32"/>
      <c r="Q4" s="13" t="s">
        <v>49</v>
      </c>
      <c r="R4" s="13" t="s">
        <v>46</v>
      </c>
      <c r="S4" s="32"/>
      <c r="T4" s="32"/>
      <c r="U4" s="26"/>
      <c r="V4" s="32"/>
    </row>
    <row r="5" hidden="1">
      <c r="A5" s="13">
        <v>4.0</v>
      </c>
      <c r="B5" s="15">
        <v>46113.0</v>
      </c>
      <c r="C5" s="13" t="s">
        <v>47</v>
      </c>
      <c r="D5" s="13" t="s">
        <v>92</v>
      </c>
      <c r="E5" s="13" t="s">
        <v>27</v>
      </c>
      <c r="F5" s="13" t="s">
        <v>27</v>
      </c>
      <c r="G5" s="20" t="s">
        <v>71</v>
      </c>
      <c r="H5" s="13" t="s">
        <v>94</v>
      </c>
      <c r="I5" s="20" t="s">
        <v>95</v>
      </c>
      <c r="J5" s="20" t="s">
        <v>35</v>
      </c>
      <c r="K5" s="13" t="s">
        <v>78</v>
      </c>
      <c r="L5" s="26"/>
      <c r="M5" s="27" t="s">
        <v>98</v>
      </c>
      <c r="N5" s="13" t="s">
        <v>40</v>
      </c>
      <c r="O5" s="13" t="s">
        <v>42</v>
      </c>
      <c r="P5" s="32"/>
      <c r="Q5" s="13" t="s">
        <v>49</v>
      </c>
      <c r="R5" s="13" t="s">
        <v>46</v>
      </c>
      <c r="S5" s="32"/>
      <c r="T5" s="32"/>
      <c r="U5" s="26"/>
      <c r="V5" s="32"/>
    </row>
    <row r="6" hidden="1">
      <c r="A6" s="13">
        <v>5.0</v>
      </c>
      <c r="B6" s="15">
        <v>46113.0</v>
      </c>
      <c r="C6" s="13" t="s">
        <v>21</v>
      </c>
      <c r="D6" s="13" t="s">
        <v>22</v>
      </c>
      <c r="E6" s="20" t="s">
        <v>106</v>
      </c>
      <c r="F6" s="13">
        <v>5.00939873E8</v>
      </c>
      <c r="G6" s="13" t="s">
        <v>27</v>
      </c>
      <c r="H6" s="13" t="s">
        <v>27</v>
      </c>
      <c r="I6" s="20" t="s">
        <v>107</v>
      </c>
      <c r="J6" s="43"/>
      <c r="K6" s="13" t="s">
        <v>62</v>
      </c>
      <c r="L6" s="26"/>
      <c r="M6" s="27" t="s">
        <v>38</v>
      </c>
      <c r="N6" s="13" t="s">
        <v>40</v>
      </c>
      <c r="O6" s="13" t="s">
        <v>42</v>
      </c>
      <c r="P6" s="32"/>
      <c r="Q6" s="13" t="s">
        <v>44</v>
      </c>
      <c r="R6" s="13" t="s">
        <v>46</v>
      </c>
      <c r="S6" s="32"/>
      <c r="T6" s="32"/>
      <c r="U6" s="26"/>
      <c r="V6" s="32"/>
    </row>
    <row r="7" hidden="1">
      <c r="A7" s="13">
        <v>6.0</v>
      </c>
      <c r="B7" s="15">
        <v>46113.0</v>
      </c>
      <c r="C7" s="13" t="s">
        <v>58</v>
      </c>
      <c r="D7" s="13" t="s">
        <v>60</v>
      </c>
      <c r="E7" s="20" t="s">
        <v>117</v>
      </c>
      <c r="F7" s="13">
        <v>5.09699736E8</v>
      </c>
      <c r="G7" s="13" t="s">
        <v>27</v>
      </c>
      <c r="H7" s="13" t="s">
        <v>27</v>
      </c>
      <c r="I7" s="20" t="s">
        <v>119</v>
      </c>
      <c r="J7" s="43"/>
      <c r="K7" s="13" t="s">
        <v>62</v>
      </c>
      <c r="L7" s="26"/>
      <c r="M7" s="27" t="s">
        <v>88</v>
      </c>
      <c r="N7" s="13" t="s">
        <v>56</v>
      </c>
      <c r="O7" s="13" t="s">
        <v>42</v>
      </c>
      <c r="P7" s="32"/>
      <c r="Q7" s="13" t="s">
        <v>44</v>
      </c>
      <c r="R7" s="13" t="s">
        <v>68</v>
      </c>
      <c r="S7" s="32"/>
      <c r="T7" s="32"/>
      <c r="U7" s="26"/>
      <c r="V7" s="32"/>
    </row>
    <row r="8" hidden="1">
      <c r="A8" s="13">
        <v>7.0</v>
      </c>
      <c r="B8" s="15">
        <v>46113.0</v>
      </c>
      <c r="C8" s="13" t="s">
        <v>21</v>
      </c>
      <c r="D8" s="13" t="s">
        <v>22</v>
      </c>
      <c r="E8" s="20" t="s">
        <v>130</v>
      </c>
      <c r="F8" s="13">
        <v>5.55887632E8</v>
      </c>
      <c r="G8" s="20" t="s">
        <v>132</v>
      </c>
      <c r="H8" s="13" t="s">
        <v>27</v>
      </c>
      <c r="I8" s="20" t="s">
        <v>134</v>
      </c>
      <c r="J8" s="43"/>
      <c r="K8" s="13" t="s">
        <v>36</v>
      </c>
      <c r="L8" s="26"/>
      <c r="M8" s="27" t="s">
        <v>38</v>
      </c>
      <c r="N8" s="13" t="s">
        <v>40</v>
      </c>
      <c r="O8" s="13" t="s">
        <v>42</v>
      </c>
      <c r="P8" s="32"/>
      <c r="Q8" s="13" t="s">
        <v>44</v>
      </c>
      <c r="R8" s="13" t="s">
        <v>46</v>
      </c>
      <c r="S8" s="32"/>
      <c r="T8" s="32"/>
      <c r="U8" s="26"/>
      <c r="V8" s="32"/>
    </row>
    <row r="9" hidden="1">
      <c r="A9" s="13">
        <v>8.0</v>
      </c>
      <c r="B9" s="15">
        <v>46113.0</v>
      </c>
      <c r="C9" s="13" t="s">
        <v>21</v>
      </c>
      <c r="D9" s="13" t="s">
        <v>24</v>
      </c>
      <c r="E9" s="20" t="s">
        <v>140</v>
      </c>
      <c r="F9" s="13">
        <v>5.45734373E8</v>
      </c>
      <c r="G9" s="20" t="s">
        <v>71</v>
      </c>
      <c r="H9" s="13" t="s">
        <v>27</v>
      </c>
      <c r="I9" s="20" t="s">
        <v>143</v>
      </c>
      <c r="J9" s="20"/>
      <c r="K9" s="13" t="s">
        <v>36</v>
      </c>
      <c r="L9" s="26"/>
      <c r="M9" s="27" t="s">
        <v>38</v>
      </c>
      <c r="N9" s="13" t="s">
        <v>40</v>
      </c>
      <c r="O9" s="13" t="s">
        <v>42</v>
      </c>
      <c r="P9" s="32"/>
      <c r="Q9" s="13" t="s">
        <v>44</v>
      </c>
      <c r="R9" s="13" t="s">
        <v>46</v>
      </c>
      <c r="S9" s="32"/>
      <c r="T9" s="32"/>
      <c r="U9" s="26"/>
      <c r="V9" s="32"/>
    </row>
    <row r="10" hidden="1">
      <c r="A10" s="13">
        <v>9.0</v>
      </c>
      <c r="B10" s="15">
        <v>46113.0</v>
      </c>
      <c r="C10" s="13" t="s">
        <v>58</v>
      </c>
      <c r="D10" s="13" t="s">
        <v>153</v>
      </c>
      <c r="E10" s="20" t="s">
        <v>154</v>
      </c>
      <c r="F10" s="13">
        <v>5.43516601E8</v>
      </c>
      <c r="G10" s="13" t="s">
        <v>27</v>
      </c>
      <c r="H10" s="13" t="s">
        <v>27</v>
      </c>
      <c r="I10" s="20" t="s">
        <v>157</v>
      </c>
      <c r="J10" s="20" t="s">
        <v>158</v>
      </c>
      <c r="K10" s="13" t="s">
        <v>36</v>
      </c>
      <c r="L10" s="26"/>
      <c r="M10" s="27" t="s">
        <v>88</v>
      </c>
      <c r="N10" s="13" t="s">
        <v>56</v>
      </c>
      <c r="O10" s="13" t="s">
        <v>42</v>
      </c>
      <c r="P10" s="32"/>
      <c r="Q10" s="13" t="s">
        <v>49</v>
      </c>
      <c r="R10" s="13" t="s">
        <v>68</v>
      </c>
      <c r="S10" s="32"/>
      <c r="T10" s="32"/>
      <c r="U10" s="26"/>
      <c r="V10" s="32"/>
    </row>
    <row r="11" hidden="1">
      <c r="A11" s="13">
        <v>10.0</v>
      </c>
      <c r="B11" s="15">
        <v>46113.0</v>
      </c>
      <c r="C11" s="13" t="s">
        <v>21</v>
      </c>
      <c r="D11" s="13" t="s">
        <v>24</v>
      </c>
      <c r="E11" s="20" t="s">
        <v>162</v>
      </c>
      <c r="F11" s="13">
        <v>5.99997452E8</v>
      </c>
      <c r="G11" s="20" t="s">
        <v>41</v>
      </c>
      <c r="H11" s="13" t="s">
        <v>27</v>
      </c>
      <c r="I11" s="20" t="s">
        <v>165</v>
      </c>
      <c r="J11" s="20" t="s">
        <v>35</v>
      </c>
      <c r="K11" s="13" t="s">
        <v>36</v>
      </c>
      <c r="L11" s="26"/>
      <c r="M11" s="27" t="s">
        <v>38</v>
      </c>
      <c r="N11" s="13" t="s">
        <v>40</v>
      </c>
      <c r="O11" s="13" t="s">
        <v>42</v>
      </c>
      <c r="P11" s="32"/>
      <c r="Q11" s="13" t="s">
        <v>49</v>
      </c>
      <c r="R11" s="13" t="s">
        <v>46</v>
      </c>
      <c r="S11" s="32"/>
      <c r="T11" s="32"/>
      <c r="U11" s="26"/>
      <c r="V11" s="32"/>
    </row>
    <row r="12" ht="31.5" hidden="1" customHeight="1">
      <c r="A12" s="13">
        <v>11.0</v>
      </c>
      <c r="B12" s="15">
        <v>46113.0</v>
      </c>
      <c r="C12" s="13" t="s">
        <v>21</v>
      </c>
      <c r="D12" s="13" t="s">
        <v>22</v>
      </c>
      <c r="E12" s="20" t="s">
        <v>171</v>
      </c>
      <c r="F12" s="13">
        <v>5.51247616E8</v>
      </c>
      <c r="G12" s="20" t="s">
        <v>172</v>
      </c>
      <c r="H12" s="13" t="s">
        <v>27</v>
      </c>
      <c r="I12" s="20" t="s">
        <v>173</v>
      </c>
      <c r="J12" s="20"/>
      <c r="K12" s="13" t="s">
        <v>36</v>
      </c>
      <c r="L12" s="26"/>
      <c r="M12" s="27" t="s">
        <v>38</v>
      </c>
      <c r="N12" s="13" t="s">
        <v>40</v>
      </c>
      <c r="O12" s="13" t="s">
        <v>42</v>
      </c>
      <c r="P12" s="32"/>
      <c r="Q12" s="13" t="s">
        <v>44</v>
      </c>
      <c r="R12" s="13" t="s">
        <v>46</v>
      </c>
      <c r="S12" s="32"/>
      <c r="T12" s="32"/>
      <c r="U12" s="26"/>
      <c r="V12" s="32"/>
    </row>
    <row r="13" hidden="1">
      <c r="A13" s="13">
        <v>12.0</v>
      </c>
      <c r="B13" s="15">
        <v>46113.0</v>
      </c>
      <c r="C13" s="13" t="s">
        <v>21</v>
      </c>
      <c r="D13" s="13" t="s">
        <v>22</v>
      </c>
      <c r="E13" s="20" t="s">
        <v>184</v>
      </c>
      <c r="F13" s="13">
        <v>5.33078052E8</v>
      </c>
      <c r="G13" s="20" t="s">
        <v>71</v>
      </c>
      <c r="H13" s="13" t="s">
        <v>185</v>
      </c>
      <c r="I13" s="20" t="s">
        <v>186</v>
      </c>
      <c r="J13" s="20"/>
      <c r="K13" s="13" t="s">
        <v>36</v>
      </c>
      <c r="L13" s="26"/>
      <c r="M13" s="27" t="s">
        <v>38</v>
      </c>
      <c r="N13" s="13" t="s">
        <v>40</v>
      </c>
      <c r="O13" s="13" t="s">
        <v>42</v>
      </c>
      <c r="P13" s="32"/>
      <c r="Q13" s="13" t="s">
        <v>44</v>
      </c>
      <c r="R13" s="13" t="s">
        <v>46</v>
      </c>
      <c r="S13" s="32"/>
      <c r="T13" s="32"/>
      <c r="U13" s="26"/>
      <c r="V13" s="32"/>
    </row>
    <row r="14" hidden="1">
      <c r="A14" s="13">
        <v>13.0</v>
      </c>
      <c r="B14" s="15">
        <v>46113.0</v>
      </c>
      <c r="C14" s="13" t="s">
        <v>21</v>
      </c>
      <c r="D14" s="13" t="s">
        <v>22</v>
      </c>
      <c r="E14" s="20" t="s">
        <v>197</v>
      </c>
      <c r="F14" s="13">
        <v>5.55750401E8</v>
      </c>
      <c r="G14" s="20" t="s">
        <v>198</v>
      </c>
      <c r="H14" s="13" t="s">
        <v>27</v>
      </c>
      <c r="I14" s="46" t="s">
        <v>199</v>
      </c>
      <c r="J14" s="20"/>
      <c r="K14" s="13" t="s">
        <v>36</v>
      </c>
      <c r="L14" s="26"/>
      <c r="M14" s="27" t="s">
        <v>125</v>
      </c>
      <c r="N14" s="13" t="s">
        <v>40</v>
      </c>
      <c r="O14" s="13" t="s">
        <v>42</v>
      </c>
      <c r="P14" s="32"/>
      <c r="Q14" s="13" t="s">
        <v>44</v>
      </c>
      <c r="R14" s="13" t="s">
        <v>46</v>
      </c>
      <c r="S14" s="32"/>
      <c r="T14" s="32"/>
      <c r="U14" s="26"/>
      <c r="V14" s="32"/>
    </row>
    <row r="15" hidden="1">
      <c r="A15" s="13">
        <v>14.0</v>
      </c>
      <c r="B15" s="15">
        <v>46113.0</v>
      </c>
      <c r="C15" s="13" t="s">
        <v>21</v>
      </c>
      <c r="D15" s="13" t="s">
        <v>22</v>
      </c>
      <c r="E15" s="20" t="s">
        <v>207</v>
      </c>
      <c r="F15" s="13">
        <v>5.55757647E8</v>
      </c>
      <c r="G15" s="20" t="s">
        <v>209</v>
      </c>
      <c r="H15" s="13" t="s">
        <v>27</v>
      </c>
      <c r="I15" s="20" t="s">
        <v>210</v>
      </c>
      <c r="J15" s="20"/>
      <c r="K15" s="13" t="s">
        <v>36</v>
      </c>
      <c r="L15" s="26"/>
      <c r="M15" s="27" t="s">
        <v>38</v>
      </c>
      <c r="N15" s="13" t="s">
        <v>40</v>
      </c>
      <c r="O15" s="13" t="s">
        <v>42</v>
      </c>
      <c r="P15" s="32"/>
      <c r="Q15" s="13" t="s">
        <v>44</v>
      </c>
      <c r="R15" s="13" t="s">
        <v>46</v>
      </c>
      <c r="S15" s="32"/>
      <c r="T15" s="32"/>
      <c r="U15" s="26"/>
      <c r="V15" s="32"/>
    </row>
    <row r="16" hidden="1">
      <c r="A16" s="13">
        <v>15.0</v>
      </c>
      <c r="B16" s="15">
        <v>46113.0</v>
      </c>
      <c r="C16" s="13" t="s">
        <v>21</v>
      </c>
      <c r="D16" s="13" t="s">
        <v>24</v>
      </c>
      <c r="E16" s="20" t="s">
        <v>213</v>
      </c>
      <c r="F16" s="13">
        <v>5.67453018E8</v>
      </c>
      <c r="G16" s="20" t="s">
        <v>71</v>
      </c>
      <c r="H16" s="13" t="s">
        <v>27</v>
      </c>
      <c r="I16" s="20" t="s">
        <v>215</v>
      </c>
      <c r="J16" s="20"/>
      <c r="K16" s="13" t="s">
        <v>36</v>
      </c>
      <c r="L16" s="26"/>
      <c r="M16" s="27" t="s">
        <v>38</v>
      </c>
      <c r="N16" s="13" t="s">
        <v>40</v>
      </c>
      <c r="O16" s="13" t="s">
        <v>42</v>
      </c>
      <c r="P16" s="32"/>
      <c r="Q16" s="13" t="s">
        <v>44</v>
      </c>
      <c r="R16" s="13" t="s">
        <v>46</v>
      </c>
      <c r="S16" s="32"/>
      <c r="T16" s="32"/>
      <c r="U16" s="26"/>
      <c r="V16" s="32"/>
    </row>
    <row r="17" hidden="1">
      <c r="A17" s="13">
        <v>16.0</v>
      </c>
      <c r="B17" s="15">
        <v>46113.0</v>
      </c>
      <c r="C17" s="13" t="s">
        <v>58</v>
      </c>
      <c r="D17" s="13" t="s">
        <v>60</v>
      </c>
      <c r="E17" s="13" t="s">
        <v>27</v>
      </c>
      <c r="F17" s="13">
        <v>5.91108843E8</v>
      </c>
      <c r="G17" s="20" t="s">
        <v>41</v>
      </c>
      <c r="H17" s="13" t="s">
        <v>222</v>
      </c>
      <c r="I17" s="20" t="s">
        <v>223</v>
      </c>
      <c r="J17" s="20" t="s">
        <v>224</v>
      </c>
      <c r="K17" s="13" t="s">
        <v>36</v>
      </c>
      <c r="L17" s="26"/>
      <c r="M17" s="27" t="s">
        <v>88</v>
      </c>
      <c r="N17" s="13" t="s">
        <v>56</v>
      </c>
      <c r="O17" s="13" t="s">
        <v>42</v>
      </c>
      <c r="P17" s="32"/>
      <c r="Q17" s="13" t="s">
        <v>44</v>
      </c>
      <c r="R17" s="13" t="s">
        <v>68</v>
      </c>
      <c r="S17" s="32"/>
      <c r="T17" s="32"/>
      <c r="U17" s="26"/>
      <c r="V17" s="32"/>
    </row>
    <row r="18" hidden="1">
      <c r="A18" s="13">
        <v>17.0</v>
      </c>
      <c r="B18" s="15">
        <v>46113.0</v>
      </c>
      <c r="C18" s="13" t="s">
        <v>58</v>
      </c>
      <c r="D18" s="13" t="s">
        <v>60</v>
      </c>
      <c r="E18" s="13" t="s">
        <v>27</v>
      </c>
      <c r="F18" s="13">
        <v>5.33321246E8</v>
      </c>
      <c r="G18" s="13" t="s">
        <v>27</v>
      </c>
      <c r="H18" s="13" t="s">
        <v>27</v>
      </c>
      <c r="I18" s="20" t="s">
        <v>233</v>
      </c>
      <c r="J18" s="20"/>
      <c r="K18" s="13" t="s">
        <v>36</v>
      </c>
      <c r="L18" s="26"/>
      <c r="M18" s="27" t="s">
        <v>88</v>
      </c>
      <c r="N18" s="13" t="s">
        <v>56</v>
      </c>
      <c r="O18" s="13" t="s">
        <v>42</v>
      </c>
      <c r="P18" s="32"/>
      <c r="Q18" s="13" t="s">
        <v>44</v>
      </c>
      <c r="R18" s="13" t="s">
        <v>68</v>
      </c>
      <c r="S18" s="32"/>
      <c r="T18" s="32"/>
      <c r="U18" s="26"/>
      <c r="V18" s="32"/>
    </row>
    <row r="19" hidden="1">
      <c r="A19" s="13">
        <v>18.0</v>
      </c>
      <c r="B19" s="15">
        <v>46113.0</v>
      </c>
      <c r="C19" s="13" t="s">
        <v>21</v>
      </c>
      <c r="D19" s="13" t="s">
        <v>22</v>
      </c>
      <c r="E19" s="20" t="s">
        <v>235</v>
      </c>
      <c r="F19" s="13">
        <v>5.50950568E8</v>
      </c>
      <c r="G19" s="20" t="s">
        <v>237</v>
      </c>
      <c r="H19" s="13" t="s">
        <v>27</v>
      </c>
      <c r="I19" s="20" t="s">
        <v>240</v>
      </c>
      <c r="J19" s="20"/>
      <c r="K19" s="13" t="s">
        <v>36</v>
      </c>
      <c r="L19" s="26"/>
      <c r="M19" s="27" t="s">
        <v>38</v>
      </c>
      <c r="N19" s="13" t="s">
        <v>40</v>
      </c>
      <c r="O19" s="13" t="s">
        <v>42</v>
      </c>
      <c r="P19" s="32"/>
      <c r="Q19" s="13" t="s">
        <v>44</v>
      </c>
      <c r="R19" s="13" t="s">
        <v>46</v>
      </c>
      <c r="S19" s="32"/>
      <c r="T19" s="32"/>
      <c r="U19" s="26"/>
      <c r="V19" s="32"/>
    </row>
    <row r="20" hidden="1">
      <c r="A20" s="13">
        <v>19.0</v>
      </c>
      <c r="B20" s="15">
        <v>46113.0</v>
      </c>
      <c r="C20" s="54" t="s">
        <v>21</v>
      </c>
      <c r="D20" s="54" t="s">
        <v>92</v>
      </c>
      <c r="E20" s="13" t="s">
        <v>248</v>
      </c>
      <c r="F20" s="55">
        <v>5.64466858E8</v>
      </c>
      <c r="G20" s="55" t="s">
        <v>27</v>
      </c>
      <c r="H20" s="55" t="s">
        <v>250</v>
      </c>
      <c r="I20" s="57" t="s">
        <v>252</v>
      </c>
      <c r="J20" s="58" t="s">
        <v>259</v>
      </c>
      <c r="K20" s="55" t="s">
        <v>39</v>
      </c>
      <c r="L20" s="26"/>
      <c r="M20" s="27" t="s">
        <v>38</v>
      </c>
      <c r="N20" s="54" t="s">
        <v>56</v>
      </c>
      <c r="O20" s="54" t="s">
        <v>42</v>
      </c>
      <c r="P20" s="32"/>
      <c r="Q20" s="54" t="s">
        <v>49</v>
      </c>
      <c r="R20" s="54" t="s">
        <v>46</v>
      </c>
      <c r="S20" s="32"/>
      <c r="T20" s="32"/>
      <c r="U20" s="26"/>
      <c r="V20" s="59"/>
    </row>
    <row r="21" hidden="1">
      <c r="A21" s="13">
        <v>20.0</v>
      </c>
      <c r="B21" s="15">
        <v>46113.0</v>
      </c>
      <c r="C21" s="13" t="s">
        <v>47</v>
      </c>
      <c r="D21" s="13" t="s">
        <v>48</v>
      </c>
      <c r="E21" s="20" t="s">
        <v>270</v>
      </c>
      <c r="F21" s="13">
        <v>5.46191927E8</v>
      </c>
      <c r="G21" s="20" t="s">
        <v>152</v>
      </c>
      <c r="H21" s="13" t="s">
        <v>272</v>
      </c>
      <c r="I21" s="20" t="s">
        <v>273</v>
      </c>
      <c r="J21" s="20" t="s">
        <v>274</v>
      </c>
      <c r="K21" s="13" t="s">
        <v>36</v>
      </c>
      <c r="L21" s="26"/>
      <c r="M21" s="27" t="s">
        <v>55</v>
      </c>
      <c r="N21" s="13" t="s">
        <v>56</v>
      </c>
      <c r="O21" s="13" t="s">
        <v>42</v>
      </c>
      <c r="P21" s="32"/>
      <c r="Q21" s="13" t="s">
        <v>44</v>
      </c>
      <c r="R21" s="13" t="s">
        <v>46</v>
      </c>
      <c r="S21" s="32"/>
      <c r="T21" s="32"/>
      <c r="U21" s="26"/>
      <c r="V21" s="32"/>
    </row>
    <row r="22" hidden="1">
      <c r="A22" s="13">
        <v>21.0</v>
      </c>
      <c r="B22" s="15">
        <v>46113.0</v>
      </c>
      <c r="C22" s="13" t="s">
        <v>58</v>
      </c>
      <c r="D22" s="13" t="s">
        <v>60</v>
      </c>
      <c r="E22" s="13" t="s">
        <v>27</v>
      </c>
      <c r="F22" s="13">
        <v>5.39308544E8</v>
      </c>
      <c r="G22" s="13"/>
      <c r="H22" s="13" t="s">
        <v>27</v>
      </c>
      <c r="I22" s="20" t="s">
        <v>282</v>
      </c>
      <c r="J22" s="20"/>
      <c r="K22" s="13" t="s">
        <v>36</v>
      </c>
      <c r="L22" s="26"/>
      <c r="M22" s="27" t="s">
        <v>88</v>
      </c>
      <c r="N22" s="13" t="s">
        <v>56</v>
      </c>
      <c r="O22" s="13" t="s">
        <v>42</v>
      </c>
      <c r="P22" s="32"/>
      <c r="Q22" s="13" t="s">
        <v>44</v>
      </c>
      <c r="R22" s="13" t="s">
        <v>68</v>
      </c>
      <c r="S22" s="32"/>
      <c r="T22" s="32"/>
      <c r="U22" s="26"/>
      <c r="V22" s="32"/>
    </row>
    <row r="23" hidden="1">
      <c r="A23" s="13">
        <v>22.0</v>
      </c>
      <c r="B23" s="15">
        <v>46113.0</v>
      </c>
      <c r="C23" s="13" t="s">
        <v>47</v>
      </c>
      <c r="D23" s="13" t="s">
        <v>92</v>
      </c>
      <c r="E23" s="20" t="s">
        <v>287</v>
      </c>
      <c r="F23" s="13">
        <v>5.6004153E8</v>
      </c>
      <c r="G23" s="20" t="s">
        <v>41</v>
      </c>
      <c r="H23" s="13" t="s">
        <v>289</v>
      </c>
      <c r="I23" s="61" t="s">
        <v>290</v>
      </c>
      <c r="J23" s="20"/>
      <c r="K23" s="13" t="s">
        <v>36</v>
      </c>
      <c r="L23" s="26"/>
      <c r="M23" s="27" t="s">
        <v>300</v>
      </c>
      <c r="N23" s="13" t="s">
        <v>40</v>
      </c>
      <c r="O23" s="13" t="s">
        <v>301</v>
      </c>
      <c r="P23" s="32"/>
      <c r="Q23" s="13" t="s">
        <v>44</v>
      </c>
      <c r="R23" s="13" t="s">
        <v>46</v>
      </c>
      <c r="S23" s="32"/>
      <c r="T23" s="32"/>
      <c r="U23" s="26"/>
      <c r="V23" s="32"/>
    </row>
    <row r="24" hidden="1">
      <c r="A24" s="13">
        <v>23.0</v>
      </c>
      <c r="B24" s="62">
        <v>46113.0</v>
      </c>
      <c r="C24" s="54" t="s">
        <v>47</v>
      </c>
      <c r="D24" s="54" t="s">
        <v>251</v>
      </c>
      <c r="E24" s="58" t="s">
        <v>306</v>
      </c>
      <c r="F24" s="55">
        <v>5.6052141E8</v>
      </c>
      <c r="G24" s="20" t="s">
        <v>41</v>
      </c>
      <c r="H24" s="55" t="s">
        <v>222</v>
      </c>
      <c r="I24" s="58" t="s">
        <v>308</v>
      </c>
      <c r="J24" s="58"/>
      <c r="K24" s="55" t="s">
        <v>36</v>
      </c>
      <c r="L24" s="26"/>
      <c r="M24" s="27" t="s">
        <v>55</v>
      </c>
      <c r="N24" s="13" t="s">
        <v>56</v>
      </c>
      <c r="O24" s="54" t="s">
        <v>42</v>
      </c>
      <c r="P24" s="32"/>
      <c r="Q24" s="54" t="s">
        <v>44</v>
      </c>
      <c r="R24" s="54" t="s">
        <v>46</v>
      </c>
      <c r="S24" s="32"/>
      <c r="T24" s="32"/>
      <c r="U24" s="26"/>
      <c r="V24" s="63"/>
    </row>
    <row r="25" hidden="1">
      <c r="A25" s="13">
        <v>24.0</v>
      </c>
      <c r="B25" s="62">
        <v>46113.0</v>
      </c>
      <c r="C25" s="54" t="s">
        <v>21</v>
      </c>
      <c r="D25" s="54" t="s">
        <v>22</v>
      </c>
      <c r="E25" s="20" t="s">
        <v>317</v>
      </c>
      <c r="F25" s="13">
        <v>5.5536146E8</v>
      </c>
      <c r="G25" s="20" t="s">
        <v>319</v>
      </c>
      <c r="H25" s="13" t="s">
        <v>27</v>
      </c>
      <c r="I25" s="20" t="s">
        <v>322</v>
      </c>
      <c r="J25" s="20"/>
      <c r="K25" s="13" t="s">
        <v>36</v>
      </c>
      <c r="L25" s="26"/>
      <c r="M25" s="27" t="s">
        <v>38</v>
      </c>
      <c r="N25" s="54" t="s">
        <v>40</v>
      </c>
      <c r="O25" s="54" t="s">
        <v>42</v>
      </c>
      <c r="P25" s="32"/>
      <c r="Q25" s="54" t="s">
        <v>44</v>
      </c>
      <c r="R25" s="54" t="s">
        <v>46</v>
      </c>
      <c r="S25" s="32"/>
      <c r="T25" s="32"/>
      <c r="U25" s="26"/>
      <c r="V25" s="63"/>
    </row>
    <row r="26" hidden="1">
      <c r="A26" s="13">
        <v>25.0</v>
      </c>
      <c r="B26" s="62">
        <v>46113.0</v>
      </c>
      <c r="C26" s="54" t="s">
        <v>21</v>
      </c>
      <c r="D26" s="54" t="s">
        <v>24</v>
      </c>
      <c r="E26" s="58" t="s">
        <v>330</v>
      </c>
      <c r="F26" s="55">
        <v>5.01174084E8</v>
      </c>
      <c r="G26" s="58" t="s">
        <v>333</v>
      </c>
      <c r="H26" s="13" t="s">
        <v>27</v>
      </c>
      <c r="I26" s="58" t="s">
        <v>334</v>
      </c>
      <c r="J26" s="58"/>
      <c r="K26" s="55" t="s">
        <v>36</v>
      </c>
      <c r="L26" s="26"/>
      <c r="M26" s="27" t="s">
        <v>38</v>
      </c>
      <c r="N26" s="54" t="s">
        <v>40</v>
      </c>
      <c r="O26" s="54" t="s">
        <v>42</v>
      </c>
      <c r="P26" s="32"/>
      <c r="Q26" s="54" t="s">
        <v>44</v>
      </c>
      <c r="R26" s="54" t="s">
        <v>46</v>
      </c>
      <c r="S26" s="32"/>
      <c r="T26" s="32"/>
      <c r="U26" s="26"/>
      <c r="V26" s="63"/>
    </row>
    <row r="27" hidden="1">
      <c r="A27" s="13">
        <v>26.0</v>
      </c>
      <c r="B27" s="62">
        <v>46113.0</v>
      </c>
      <c r="C27" s="54" t="s">
        <v>21</v>
      </c>
      <c r="D27" s="54" t="s">
        <v>24</v>
      </c>
      <c r="E27" s="20" t="s">
        <v>341</v>
      </c>
      <c r="F27" s="13">
        <v>5.55204686E8</v>
      </c>
      <c r="G27" s="20" t="s">
        <v>152</v>
      </c>
      <c r="H27" s="13" t="s">
        <v>27</v>
      </c>
      <c r="I27" s="20" t="s">
        <v>345</v>
      </c>
      <c r="J27" s="20"/>
      <c r="K27" s="13" t="s">
        <v>36</v>
      </c>
      <c r="L27" s="26"/>
      <c r="M27" s="27" t="s">
        <v>38</v>
      </c>
      <c r="N27" s="54" t="s">
        <v>40</v>
      </c>
      <c r="O27" s="54" t="s">
        <v>42</v>
      </c>
      <c r="P27" s="32"/>
      <c r="Q27" s="54" t="s">
        <v>44</v>
      </c>
      <c r="R27" s="54" t="s">
        <v>46</v>
      </c>
      <c r="S27" s="32"/>
      <c r="T27" s="32"/>
      <c r="U27" s="26"/>
      <c r="V27" s="63"/>
    </row>
    <row r="28" hidden="1">
      <c r="A28" s="13">
        <v>27.0</v>
      </c>
      <c r="B28" s="62">
        <v>46113.0</v>
      </c>
      <c r="C28" s="54" t="s">
        <v>21</v>
      </c>
      <c r="D28" s="54" t="s">
        <v>24</v>
      </c>
      <c r="E28" s="58" t="s">
        <v>349</v>
      </c>
      <c r="F28" s="55">
        <v>5.05379204E8</v>
      </c>
      <c r="G28" s="58" t="s">
        <v>71</v>
      </c>
      <c r="H28" s="13" t="s">
        <v>27</v>
      </c>
      <c r="I28" s="58" t="s">
        <v>354</v>
      </c>
      <c r="J28" s="58"/>
      <c r="K28" s="55" t="s">
        <v>36</v>
      </c>
      <c r="L28" s="26"/>
      <c r="M28" s="27" t="s">
        <v>38</v>
      </c>
      <c r="N28" s="54" t="s">
        <v>40</v>
      </c>
      <c r="O28" s="54" t="s">
        <v>42</v>
      </c>
      <c r="P28" s="32"/>
      <c r="Q28" s="54" t="s">
        <v>44</v>
      </c>
      <c r="R28" s="54" t="s">
        <v>46</v>
      </c>
      <c r="S28" s="32"/>
      <c r="T28" s="32"/>
      <c r="U28" s="26"/>
      <c r="V28" s="63"/>
    </row>
    <row r="29" hidden="1">
      <c r="A29" s="13">
        <v>28.0</v>
      </c>
      <c r="B29" s="62">
        <v>46113.0</v>
      </c>
      <c r="C29" s="54" t="s">
        <v>58</v>
      </c>
      <c r="D29" s="54" t="s">
        <v>60</v>
      </c>
      <c r="E29" s="13" t="s">
        <v>27</v>
      </c>
      <c r="F29" s="13">
        <v>5.01431746E8</v>
      </c>
      <c r="G29" s="13" t="s">
        <v>27</v>
      </c>
      <c r="H29" s="13" t="s">
        <v>27</v>
      </c>
      <c r="I29" s="20" t="s">
        <v>359</v>
      </c>
      <c r="J29" s="20"/>
      <c r="K29" s="13" t="s">
        <v>36</v>
      </c>
      <c r="L29" s="26"/>
      <c r="M29" s="27" t="s">
        <v>88</v>
      </c>
      <c r="N29" s="13" t="s">
        <v>56</v>
      </c>
      <c r="O29" s="54" t="s">
        <v>42</v>
      </c>
      <c r="P29" s="32"/>
      <c r="Q29" s="54" t="s">
        <v>44</v>
      </c>
      <c r="R29" s="13" t="s">
        <v>68</v>
      </c>
      <c r="S29" s="32"/>
      <c r="T29" s="32"/>
      <c r="U29" s="26"/>
      <c r="V29" s="63"/>
    </row>
    <row r="30" hidden="1">
      <c r="A30" s="13">
        <v>29.0</v>
      </c>
      <c r="B30" s="62">
        <v>46113.0</v>
      </c>
      <c r="C30" s="54" t="s">
        <v>21</v>
      </c>
      <c r="D30" s="54" t="s">
        <v>22</v>
      </c>
      <c r="E30" s="58" t="s">
        <v>370</v>
      </c>
      <c r="F30" s="55">
        <v>5.48919061E8</v>
      </c>
      <c r="G30" s="58" t="s">
        <v>41</v>
      </c>
      <c r="H30" s="13" t="s">
        <v>27</v>
      </c>
      <c r="I30" s="58" t="s">
        <v>372</v>
      </c>
      <c r="J30" s="58"/>
      <c r="K30" s="55" t="s">
        <v>36</v>
      </c>
      <c r="L30" s="26"/>
      <c r="M30" s="27" t="s">
        <v>38</v>
      </c>
      <c r="N30" s="54" t="s">
        <v>40</v>
      </c>
      <c r="O30" s="54" t="s">
        <v>42</v>
      </c>
      <c r="P30" s="32"/>
      <c r="Q30" s="54" t="s">
        <v>44</v>
      </c>
      <c r="R30" s="54" t="s">
        <v>46</v>
      </c>
      <c r="S30" s="32"/>
      <c r="T30" s="32"/>
      <c r="U30" s="26"/>
      <c r="V30" s="63"/>
    </row>
    <row r="31" hidden="1">
      <c r="A31" s="13">
        <v>30.0</v>
      </c>
      <c r="B31" s="62">
        <v>46113.0</v>
      </c>
      <c r="C31" s="54" t="s">
        <v>47</v>
      </c>
      <c r="D31" s="54" t="s">
        <v>48</v>
      </c>
      <c r="E31" s="13" t="s">
        <v>378</v>
      </c>
      <c r="F31" s="13" t="s">
        <v>27</v>
      </c>
      <c r="G31" s="20" t="s">
        <v>79</v>
      </c>
      <c r="H31" s="13" t="s">
        <v>80</v>
      </c>
      <c r="I31" s="20" t="s">
        <v>379</v>
      </c>
      <c r="J31" s="20" t="s">
        <v>381</v>
      </c>
      <c r="K31" s="13" t="s">
        <v>78</v>
      </c>
      <c r="L31" s="26"/>
      <c r="M31" s="27" t="s">
        <v>55</v>
      </c>
      <c r="N31" s="13" t="s">
        <v>56</v>
      </c>
      <c r="O31" s="54" t="s">
        <v>42</v>
      </c>
      <c r="P31" s="32"/>
      <c r="Q31" s="54" t="s">
        <v>49</v>
      </c>
      <c r="R31" s="54" t="s">
        <v>46</v>
      </c>
      <c r="S31" s="32"/>
      <c r="T31" s="32"/>
      <c r="U31" s="26"/>
      <c r="V31" s="59"/>
    </row>
    <row r="32" hidden="1">
      <c r="A32" s="13">
        <v>31.0</v>
      </c>
      <c r="B32" s="62">
        <v>46113.0</v>
      </c>
      <c r="C32" s="54" t="s">
        <v>47</v>
      </c>
      <c r="D32" s="54" t="s">
        <v>92</v>
      </c>
      <c r="E32" s="55" t="s">
        <v>387</v>
      </c>
      <c r="F32" s="13" t="s">
        <v>27</v>
      </c>
      <c r="G32" s="58" t="s">
        <v>29</v>
      </c>
      <c r="H32" s="13" t="s">
        <v>337</v>
      </c>
      <c r="I32" s="20" t="s">
        <v>389</v>
      </c>
      <c r="J32" s="58" t="s">
        <v>390</v>
      </c>
      <c r="K32" s="55" t="s">
        <v>78</v>
      </c>
      <c r="L32" s="26"/>
      <c r="M32" s="27" t="s">
        <v>55</v>
      </c>
      <c r="N32" s="13" t="s">
        <v>56</v>
      </c>
      <c r="O32" s="54" t="s">
        <v>42</v>
      </c>
      <c r="P32" s="32"/>
      <c r="Q32" s="54" t="s">
        <v>49</v>
      </c>
      <c r="R32" s="54" t="s">
        <v>46</v>
      </c>
      <c r="S32" s="32"/>
      <c r="T32" s="32"/>
      <c r="U32" s="26"/>
      <c r="V32" s="59"/>
    </row>
    <row r="33" hidden="1">
      <c r="A33" s="13">
        <v>32.0</v>
      </c>
      <c r="B33" s="62">
        <v>46113.0</v>
      </c>
      <c r="C33" s="54" t="s">
        <v>21</v>
      </c>
      <c r="D33" s="54" t="s">
        <v>92</v>
      </c>
      <c r="E33" s="13" t="s">
        <v>248</v>
      </c>
      <c r="F33" s="13">
        <v>5.64466858E8</v>
      </c>
      <c r="G33" s="20" t="s">
        <v>394</v>
      </c>
      <c r="H33" s="13" t="s">
        <v>250</v>
      </c>
      <c r="I33" s="20" t="s">
        <v>396</v>
      </c>
      <c r="J33" s="20" t="s">
        <v>399</v>
      </c>
      <c r="K33" s="13" t="s">
        <v>36</v>
      </c>
      <c r="L33" s="26"/>
      <c r="M33" s="27" t="s">
        <v>38</v>
      </c>
      <c r="N33" s="54" t="s">
        <v>56</v>
      </c>
      <c r="O33" s="54" t="s">
        <v>42</v>
      </c>
      <c r="P33" s="32"/>
      <c r="Q33" s="54" t="s">
        <v>49</v>
      </c>
      <c r="R33" s="54" t="s">
        <v>46</v>
      </c>
      <c r="S33" s="32"/>
      <c r="T33" s="32"/>
      <c r="U33" s="26"/>
      <c r="V33" s="59"/>
    </row>
    <row r="34" hidden="1">
      <c r="A34" s="13">
        <v>33.0</v>
      </c>
      <c r="B34" s="15">
        <v>46113.0</v>
      </c>
      <c r="C34" s="13" t="s">
        <v>58</v>
      </c>
      <c r="D34" s="13" t="s">
        <v>60</v>
      </c>
      <c r="E34" s="13" t="s">
        <v>27</v>
      </c>
      <c r="F34" s="55">
        <v>5.01359298E8</v>
      </c>
      <c r="G34" s="13" t="s">
        <v>27</v>
      </c>
      <c r="H34" s="13" t="s">
        <v>27</v>
      </c>
      <c r="I34" s="13" t="s">
        <v>401</v>
      </c>
      <c r="J34" s="20" t="s">
        <v>402</v>
      </c>
      <c r="K34" s="13" t="s">
        <v>36</v>
      </c>
      <c r="L34" s="26"/>
      <c r="M34" s="27" t="s">
        <v>88</v>
      </c>
      <c r="N34" s="13" t="s">
        <v>56</v>
      </c>
      <c r="O34" s="13" t="s">
        <v>42</v>
      </c>
      <c r="P34" s="32"/>
      <c r="Q34" s="13" t="s">
        <v>44</v>
      </c>
      <c r="R34" s="13" t="s">
        <v>68</v>
      </c>
      <c r="S34" s="32"/>
      <c r="T34" s="32"/>
      <c r="U34" s="26"/>
      <c r="V34" s="32"/>
    </row>
    <row r="35" hidden="1">
      <c r="A35" s="13">
        <v>34.0</v>
      </c>
      <c r="B35" s="15">
        <v>46114.0</v>
      </c>
      <c r="C35" s="13" t="s">
        <v>58</v>
      </c>
      <c r="D35" s="13" t="s">
        <v>34</v>
      </c>
      <c r="E35" s="13" t="s">
        <v>27</v>
      </c>
      <c r="F35" s="13">
        <v>5.61665984E8</v>
      </c>
      <c r="G35" s="13" t="s">
        <v>27</v>
      </c>
      <c r="H35" s="13" t="s">
        <v>27</v>
      </c>
      <c r="I35" s="20" t="s">
        <v>282</v>
      </c>
      <c r="J35" s="20"/>
      <c r="K35" s="13" t="s">
        <v>36</v>
      </c>
      <c r="L35" s="26"/>
      <c r="M35" s="27" t="s">
        <v>88</v>
      </c>
      <c r="N35" s="13" t="s">
        <v>56</v>
      </c>
      <c r="O35" s="13" t="s">
        <v>42</v>
      </c>
      <c r="P35" s="32"/>
      <c r="Q35" s="13" t="s">
        <v>44</v>
      </c>
      <c r="R35" s="13" t="s">
        <v>68</v>
      </c>
      <c r="S35" s="32"/>
      <c r="T35" s="32"/>
      <c r="U35" s="26"/>
      <c r="V35" s="32"/>
    </row>
    <row r="36" hidden="1">
      <c r="A36" s="13">
        <v>35.0</v>
      </c>
      <c r="B36" s="15">
        <v>46114.0</v>
      </c>
      <c r="C36" s="13" t="s">
        <v>21</v>
      </c>
      <c r="D36" s="13" t="s">
        <v>22</v>
      </c>
      <c r="E36" s="20" t="s">
        <v>422</v>
      </c>
      <c r="F36" s="13">
        <v>5.6541907E8</v>
      </c>
      <c r="G36" s="20" t="s">
        <v>423</v>
      </c>
      <c r="H36" s="13" t="s">
        <v>27</v>
      </c>
      <c r="I36" s="20" t="s">
        <v>425</v>
      </c>
      <c r="J36" s="20"/>
      <c r="K36" s="13" t="s">
        <v>36</v>
      </c>
      <c r="L36" s="26"/>
      <c r="M36" s="27" t="s">
        <v>38</v>
      </c>
      <c r="N36" s="13" t="s">
        <v>40</v>
      </c>
      <c r="O36" s="13" t="s">
        <v>42</v>
      </c>
      <c r="P36" s="32"/>
      <c r="Q36" s="13" t="s">
        <v>44</v>
      </c>
      <c r="R36" s="13" t="s">
        <v>46</v>
      </c>
      <c r="S36" s="32"/>
      <c r="T36" s="32"/>
      <c r="U36" s="26"/>
      <c r="V36" s="32"/>
    </row>
    <row r="37" hidden="1">
      <c r="A37" s="13">
        <v>36.0</v>
      </c>
      <c r="B37" s="15">
        <v>46114.0</v>
      </c>
      <c r="C37" s="13" t="s">
        <v>21</v>
      </c>
      <c r="D37" s="13" t="s">
        <v>24</v>
      </c>
      <c r="E37" s="20" t="s">
        <v>435</v>
      </c>
      <c r="F37" s="13">
        <v>5.92511516E8</v>
      </c>
      <c r="G37" s="20" t="s">
        <v>152</v>
      </c>
      <c r="H37" s="13" t="s">
        <v>27</v>
      </c>
      <c r="I37" s="20" t="s">
        <v>436</v>
      </c>
      <c r="J37" s="20"/>
      <c r="K37" s="13" t="s">
        <v>36</v>
      </c>
      <c r="L37" s="26"/>
      <c r="M37" s="27" t="s">
        <v>38</v>
      </c>
      <c r="N37" s="13" t="s">
        <v>40</v>
      </c>
      <c r="O37" s="13" t="s">
        <v>42</v>
      </c>
      <c r="P37" s="32"/>
      <c r="Q37" s="13" t="s">
        <v>44</v>
      </c>
      <c r="R37" s="13" t="s">
        <v>46</v>
      </c>
      <c r="S37" s="32"/>
      <c r="T37" s="32"/>
      <c r="U37" s="26"/>
      <c r="V37" s="32"/>
    </row>
    <row r="38" hidden="1">
      <c r="A38" s="13">
        <v>37.0</v>
      </c>
      <c r="B38" s="15">
        <v>46114.0</v>
      </c>
      <c r="C38" s="13" t="s">
        <v>21</v>
      </c>
      <c r="D38" s="13" t="s">
        <v>22</v>
      </c>
      <c r="E38" s="20" t="s">
        <v>443</v>
      </c>
      <c r="F38" s="13">
        <v>5.59437704E8</v>
      </c>
      <c r="G38" s="20" t="s">
        <v>444</v>
      </c>
      <c r="H38" s="13" t="s">
        <v>27</v>
      </c>
      <c r="I38" s="20" t="s">
        <v>445</v>
      </c>
      <c r="J38" s="20" t="s">
        <v>35</v>
      </c>
      <c r="K38" s="13" t="s">
        <v>39</v>
      </c>
      <c r="L38" s="26"/>
      <c r="M38" s="27" t="s">
        <v>38</v>
      </c>
      <c r="N38" s="13" t="s">
        <v>40</v>
      </c>
      <c r="O38" s="13" t="s">
        <v>42</v>
      </c>
      <c r="P38" s="32"/>
      <c r="Q38" s="13" t="s">
        <v>49</v>
      </c>
      <c r="R38" s="13" t="s">
        <v>46</v>
      </c>
      <c r="S38" s="32"/>
      <c r="T38" s="32"/>
      <c r="U38" s="26"/>
      <c r="V38" s="32"/>
    </row>
    <row r="39" hidden="1">
      <c r="A39" s="13">
        <v>38.0</v>
      </c>
      <c r="B39" s="15">
        <v>46114.0</v>
      </c>
      <c r="C39" s="13" t="s">
        <v>21</v>
      </c>
      <c r="D39" s="13" t="s">
        <v>24</v>
      </c>
      <c r="E39" s="20" t="s">
        <v>455</v>
      </c>
      <c r="F39" s="13">
        <v>5.58154273E8</v>
      </c>
      <c r="G39" s="20" t="s">
        <v>79</v>
      </c>
      <c r="H39" s="13" t="s">
        <v>27</v>
      </c>
      <c r="I39" s="20" t="s">
        <v>456</v>
      </c>
      <c r="J39" s="20"/>
      <c r="K39" s="13" t="s">
        <v>457</v>
      </c>
      <c r="L39" s="26"/>
      <c r="M39" s="27" t="s">
        <v>38</v>
      </c>
      <c r="N39" s="13" t="s">
        <v>40</v>
      </c>
      <c r="O39" s="13" t="s">
        <v>42</v>
      </c>
      <c r="P39" s="32"/>
      <c r="Q39" s="13" t="s">
        <v>44</v>
      </c>
      <c r="R39" s="13" t="s">
        <v>46</v>
      </c>
      <c r="S39" s="32"/>
      <c r="T39" s="32"/>
      <c r="U39" s="26"/>
      <c r="V39" s="32"/>
    </row>
    <row r="40" hidden="1">
      <c r="A40" s="13">
        <v>39.0</v>
      </c>
      <c r="B40" s="15">
        <v>46114.0</v>
      </c>
      <c r="C40" s="13" t="s">
        <v>58</v>
      </c>
      <c r="D40" s="13" t="s">
        <v>34</v>
      </c>
      <c r="E40" s="20" t="s">
        <v>463</v>
      </c>
      <c r="F40" s="13">
        <v>5.75834497E8</v>
      </c>
      <c r="G40" s="20" t="s">
        <v>41</v>
      </c>
      <c r="H40" s="13" t="s">
        <v>27</v>
      </c>
      <c r="I40" s="20" t="s">
        <v>465</v>
      </c>
      <c r="J40" s="20"/>
      <c r="K40" s="13" t="s">
        <v>36</v>
      </c>
      <c r="L40" s="26"/>
      <c r="M40" s="27" t="s">
        <v>88</v>
      </c>
      <c r="N40" s="13" t="s">
        <v>56</v>
      </c>
      <c r="O40" s="13" t="s">
        <v>42</v>
      </c>
      <c r="P40" s="32"/>
      <c r="Q40" s="13" t="s">
        <v>44</v>
      </c>
      <c r="R40" s="13" t="s">
        <v>68</v>
      </c>
      <c r="S40" s="32"/>
      <c r="T40" s="32"/>
      <c r="U40" s="26"/>
      <c r="V40" s="32"/>
    </row>
    <row r="41" hidden="1">
      <c r="A41" s="13">
        <v>40.0</v>
      </c>
      <c r="B41" s="15">
        <v>46114.0</v>
      </c>
      <c r="C41" s="13" t="s">
        <v>21</v>
      </c>
      <c r="D41" s="13" t="s">
        <v>24</v>
      </c>
      <c r="E41" s="20" t="s">
        <v>471</v>
      </c>
      <c r="F41" s="13">
        <v>5.48844781E8</v>
      </c>
      <c r="G41" s="20" t="s">
        <v>444</v>
      </c>
      <c r="H41" s="13" t="s">
        <v>27</v>
      </c>
      <c r="I41" s="20" t="s">
        <v>473</v>
      </c>
      <c r="J41" s="20"/>
      <c r="K41" s="13" t="s">
        <v>36</v>
      </c>
      <c r="L41" s="26"/>
      <c r="M41" s="27" t="s">
        <v>38</v>
      </c>
      <c r="N41" s="13" t="s">
        <v>40</v>
      </c>
      <c r="O41" s="13" t="s">
        <v>42</v>
      </c>
      <c r="P41" s="32"/>
      <c r="Q41" s="13" t="s">
        <v>44</v>
      </c>
      <c r="R41" s="13" t="s">
        <v>46</v>
      </c>
      <c r="S41" s="32"/>
      <c r="T41" s="32"/>
      <c r="U41" s="26"/>
      <c r="V41" s="32"/>
    </row>
    <row r="42" hidden="1">
      <c r="A42" s="13">
        <v>41.0</v>
      </c>
      <c r="B42" s="15">
        <v>46114.0</v>
      </c>
      <c r="C42" s="13" t="s">
        <v>58</v>
      </c>
      <c r="D42" s="13" t="s">
        <v>60</v>
      </c>
      <c r="E42" s="13" t="s">
        <v>27</v>
      </c>
      <c r="F42" s="13">
        <v>5.01454368E8</v>
      </c>
      <c r="G42" s="13" t="s">
        <v>27</v>
      </c>
      <c r="H42" s="13" t="s">
        <v>27</v>
      </c>
      <c r="I42" s="20" t="s">
        <v>481</v>
      </c>
      <c r="J42" s="20"/>
      <c r="K42" s="13" t="s">
        <v>36</v>
      </c>
      <c r="L42" s="26"/>
      <c r="M42" s="27" t="s">
        <v>88</v>
      </c>
      <c r="N42" s="13" t="s">
        <v>56</v>
      </c>
      <c r="O42" s="13" t="s">
        <v>42</v>
      </c>
      <c r="P42" s="32"/>
      <c r="Q42" s="13" t="s">
        <v>44</v>
      </c>
      <c r="R42" s="13" t="s">
        <v>68</v>
      </c>
      <c r="S42" s="32"/>
      <c r="T42" s="32"/>
      <c r="U42" s="26"/>
      <c r="V42" s="32"/>
    </row>
    <row r="43" hidden="1">
      <c r="A43" s="13">
        <v>42.0</v>
      </c>
      <c r="B43" s="15">
        <v>46114.0</v>
      </c>
      <c r="C43" s="13" t="s">
        <v>21</v>
      </c>
      <c r="D43" s="13" t="s">
        <v>24</v>
      </c>
      <c r="E43" s="20" t="s">
        <v>486</v>
      </c>
      <c r="F43" s="13">
        <v>5.620904E8</v>
      </c>
      <c r="G43" s="20" t="s">
        <v>152</v>
      </c>
      <c r="H43" s="13" t="s">
        <v>27</v>
      </c>
      <c r="I43" s="20" t="s">
        <v>491</v>
      </c>
      <c r="J43" s="20" t="s">
        <v>35</v>
      </c>
      <c r="K43" s="13" t="s">
        <v>36</v>
      </c>
      <c r="L43" s="26"/>
      <c r="M43" s="27" t="s">
        <v>38</v>
      </c>
      <c r="N43" s="13" t="s">
        <v>40</v>
      </c>
      <c r="O43" s="13" t="s">
        <v>42</v>
      </c>
      <c r="P43" s="32"/>
      <c r="Q43" s="13" t="s">
        <v>49</v>
      </c>
      <c r="R43" s="13" t="s">
        <v>46</v>
      </c>
      <c r="S43" s="32"/>
      <c r="T43" s="32"/>
      <c r="U43" s="26"/>
      <c r="V43" s="32"/>
    </row>
    <row r="44" hidden="1">
      <c r="A44" s="13">
        <v>43.0</v>
      </c>
      <c r="B44" s="15">
        <v>46114.0</v>
      </c>
      <c r="C44" s="13" t="s">
        <v>58</v>
      </c>
      <c r="D44" s="13" t="s">
        <v>34</v>
      </c>
      <c r="E44" s="13" t="s">
        <v>27</v>
      </c>
      <c r="F44" s="55">
        <v>5.48938545E8</v>
      </c>
      <c r="G44" s="13" t="s">
        <v>27</v>
      </c>
      <c r="H44" s="13" t="s">
        <v>27</v>
      </c>
      <c r="I44" s="20" t="s">
        <v>282</v>
      </c>
      <c r="J44" s="20"/>
      <c r="K44" s="13" t="s">
        <v>36</v>
      </c>
      <c r="L44" s="26"/>
      <c r="M44" s="27" t="s">
        <v>88</v>
      </c>
      <c r="N44" s="13" t="s">
        <v>56</v>
      </c>
      <c r="O44" s="13" t="s">
        <v>42</v>
      </c>
      <c r="P44" s="32"/>
      <c r="Q44" s="13" t="s">
        <v>44</v>
      </c>
      <c r="R44" s="13" t="s">
        <v>68</v>
      </c>
      <c r="S44" s="32"/>
      <c r="T44" s="32"/>
      <c r="U44" s="26"/>
      <c r="V44" s="32"/>
    </row>
    <row r="45" hidden="1">
      <c r="A45" s="13">
        <v>44.0</v>
      </c>
      <c r="B45" s="15">
        <v>46114.0</v>
      </c>
      <c r="C45" s="13" t="s">
        <v>58</v>
      </c>
      <c r="D45" s="13" t="s">
        <v>60</v>
      </c>
      <c r="E45" s="13" t="s">
        <v>27</v>
      </c>
      <c r="F45" s="13">
        <v>5.61274013E8</v>
      </c>
      <c r="G45" s="13" t="s">
        <v>27</v>
      </c>
      <c r="H45" s="13" t="s">
        <v>27</v>
      </c>
      <c r="I45" s="20" t="s">
        <v>505</v>
      </c>
      <c r="J45" s="20"/>
      <c r="K45" s="13" t="s">
        <v>65</v>
      </c>
      <c r="L45" s="26"/>
      <c r="M45" s="27" t="s">
        <v>88</v>
      </c>
      <c r="N45" s="13" t="s">
        <v>56</v>
      </c>
      <c r="O45" s="13" t="s">
        <v>42</v>
      </c>
      <c r="P45" s="32"/>
      <c r="Q45" s="13" t="s">
        <v>44</v>
      </c>
      <c r="R45" s="13" t="s">
        <v>68</v>
      </c>
      <c r="S45" s="32"/>
      <c r="T45" s="32"/>
      <c r="U45" s="26"/>
      <c r="V45" s="32"/>
    </row>
    <row r="46" hidden="1">
      <c r="A46" s="13">
        <v>45.0</v>
      </c>
      <c r="B46" s="15">
        <v>46114.0</v>
      </c>
      <c r="C46" s="13" t="s">
        <v>47</v>
      </c>
      <c r="D46" s="13" t="s">
        <v>48</v>
      </c>
      <c r="E46" s="13" t="s">
        <v>27</v>
      </c>
      <c r="F46" s="55">
        <v>5.33466375E8</v>
      </c>
      <c r="G46" s="20" t="s">
        <v>333</v>
      </c>
      <c r="H46" s="13" t="s">
        <v>516</v>
      </c>
      <c r="I46" s="20" t="s">
        <v>517</v>
      </c>
      <c r="J46" s="20"/>
      <c r="K46" s="13" t="s">
        <v>65</v>
      </c>
      <c r="L46" s="26"/>
      <c r="M46" s="27" t="s">
        <v>55</v>
      </c>
      <c r="N46" s="13" t="s">
        <v>56</v>
      </c>
      <c r="O46" s="13" t="s">
        <v>518</v>
      </c>
      <c r="P46" s="32"/>
      <c r="Q46" s="13" t="s">
        <v>44</v>
      </c>
      <c r="R46" s="13" t="s">
        <v>46</v>
      </c>
      <c r="S46" s="32"/>
      <c r="T46" s="32"/>
      <c r="U46" s="26"/>
      <c r="V46" s="32"/>
    </row>
    <row r="47" hidden="1">
      <c r="A47" s="13">
        <v>46.0</v>
      </c>
      <c r="B47" s="15">
        <v>46114.0</v>
      </c>
      <c r="C47" s="13" t="s">
        <v>47</v>
      </c>
      <c r="D47" s="13" t="s">
        <v>48</v>
      </c>
      <c r="E47" s="20" t="s">
        <v>522</v>
      </c>
      <c r="F47" s="13">
        <v>5.74367785E8</v>
      </c>
      <c r="G47" s="20" t="s">
        <v>41</v>
      </c>
      <c r="H47" s="13" t="s">
        <v>222</v>
      </c>
      <c r="I47" s="20" t="s">
        <v>524</v>
      </c>
      <c r="J47" s="20"/>
      <c r="K47" s="13" t="s">
        <v>36</v>
      </c>
      <c r="L47" s="26"/>
      <c r="M47" s="75" t="s">
        <v>101</v>
      </c>
      <c r="N47" s="13" t="s">
        <v>56</v>
      </c>
      <c r="O47" s="13" t="s">
        <v>518</v>
      </c>
      <c r="P47" s="32"/>
      <c r="Q47" s="13" t="s">
        <v>44</v>
      </c>
      <c r="R47" s="13" t="s">
        <v>46</v>
      </c>
      <c r="S47" s="32"/>
      <c r="T47" s="32"/>
      <c r="U47" s="26"/>
      <c r="V47" s="32"/>
    </row>
    <row r="48" hidden="1">
      <c r="A48" s="13">
        <v>47.0</v>
      </c>
      <c r="B48" s="15">
        <v>46114.0</v>
      </c>
      <c r="C48" s="13" t="s">
        <v>58</v>
      </c>
      <c r="D48" s="13" t="s">
        <v>60</v>
      </c>
      <c r="E48" s="13" t="s">
        <v>27</v>
      </c>
      <c r="F48" s="13">
        <v>5.46486389E8</v>
      </c>
      <c r="G48" s="13" t="s">
        <v>27</v>
      </c>
      <c r="H48" s="13" t="s">
        <v>27</v>
      </c>
      <c r="I48" s="20" t="s">
        <v>233</v>
      </c>
      <c r="J48" s="20"/>
      <c r="K48" s="13" t="s">
        <v>36</v>
      </c>
      <c r="L48" s="26"/>
      <c r="M48" s="27" t="s">
        <v>88</v>
      </c>
      <c r="N48" s="13" t="s">
        <v>56</v>
      </c>
      <c r="O48" s="13" t="s">
        <v>42</v>
      </c>
      <c r="P48" s="32"/>
      <c r="Q48" s="13" t="s">
        <v>44</v>
      </c>
      <c r="R48" s="13" t="s">
        <v>68</v>
      </c>
      <c r="S48" s="32"/>
      <c r="T48" s="32"/>
      <c r="U48" s="26"/>
      <c r="V48" s="32"/>
    </row>
    <row r="49" hidden="1">
      <c r="A49" s="13">
        <v>48.0</v>
      </c>
      <c r="B49" s="15">
        <v>46114.0</v>
      </c>
      <c r="C49" s="13" t="s">
        <v>21</v>
      </c>
      <c r="D49" s="13" t="s">
        <v>48</v>
      </c>
      <c r="E49" s="20" t="s">
        <v>540</v>
      </c>
      <c r="F49" s="13">
        <v>5.63366115E8</v>
      </c>
      <c r="G49" s="20" t="s">
        <v>79</v>
      </c>
      <c r="H49" s="13" t="s">
        <v>27</v>
      </c>
      <c r="I49" s="20" t="s">
        <v>542</v>
      </c>
      <c r="J49" s="20" t="s">
        <v>543</v>
      </c>
      <c r="K49" s="13" t="s">
        <v>36</v>
      </c>
      <c r="L49" s="26"/>
      <c r="M49" s="27" t="s">
        <v>38</v>
      </c>
      <c r="N49" s="13" t="s">
        <v>56</v>
      </c>
      <c r="O49" s="13" t="s">
        <v>42</v>
      </c>
      <c r="P49" s="32"/>
      <c r="Q49" s="13" t="s">
        <v>44</v>
      </c>
      <c r="R49" s="13" t="s">
        <v>68</v>
      </c>
      <c r="S49" s="32"/>
      <c r="T49" s="32"/>
      <c r="U49" s="26"/>
      <c r="V49" s="32"/>
    </row>
    <row r="50" hidden="1">
      <c r="A50" s="13">
        <v>49.0</v>
      </c>
      <c r="B50" s="15">
        <v>46114.0</v>
      </c>
      <c r="C50" s="13" t="s">
        <v>58</v>
      </c>
      <c r="D50" s="13" t="s">
        <v>60</v>
      </c>
      <c r="E50" s="13" t="s">
        <v>27</v>
      </c>
      <c r="F50" s="13">
        <v>5.47261356E8</v>
      </c>
      <c r="G50" s="13" t="s">
        <v>27</v>
      </c>
      <c r="H50" s="13" t="s">
        <v>27</v>
      </c>
      <c r="I50" s="20" t="s">
        <v>554</v>
      </c>
      <c r="J50" s="20"/>
      <c r="K50" s="13" t="s">
        <v>36</v>
      </c>
      <c r="L50" s="26"/>
      <c r="M50" s="27" t="s">
        <v>88</v>
      </c>
      <c r="N50" s="13" t="s">
        <v>56</v>
      </c>
      <c r="O50" s="13" t="s">
        <v>42</v>
      </c>
      <c r="P50" s="32"/>
      <c r="Q50" s="13" t="s">
        <v>44</v>
      </c>
      <c r="R50" s="13" t="s">
        <v>68</v>
      </c>
      <c r="S50" s="32"/>
      <c r="T50" s="32"/>
      <c r="U50" s="26"/>
      <c r="V50" s="32"/>
    </row>
    <row r="51" hidden="1">
      <c r="A51" s="13">
        <v>50.0</v>
      </c>
      <c r="B51" s="15">
        <v>46114.0</v>
      </c>
      <c r="C51" s="13" t="s">
        <v>58</v>
      </c>
      <c r="D51" s="13" t="s">
        <v>60</v>
      </c>
      <c r="E51" s="20" t="s">
        <v>559</v>
      </c>
      <c r="F51" s="13">
        <v>5.02388292E8</v>
      </c>
      <c r="G51" s="20" t="s">
        <v>79</v>
      </c>
      <c r="H51" s="13" t="s">
        <v>227</v>
      </c>
      <c r="I51" s="20" t="s">
        <v>561</v>
      </c>
      <c r="J51" s="20"/>
      <c r="K51" s="13" t="s">
        <v>148</v>
      </c>
      <c r="L51" s="26"/>
      <c r="M51" s="27" t="s">
        <v>38</v>
      </c>
      <c r="N51" s="13" t="s">
        <v>56</v>
      </c>
      <c r="O51" s="13" t="s">
        <v>42</v>
      </c>
      <c r="P51" s="32"/>
      <c r="Q51" s="13" t="s">
        <v>44</v>
      </c>
      <c r="R51" s="13" t="s">
        <v>68</v>
      </c>
      <c r="S51" s="32"/>
      <c r="T51" s="32"/>
      <c r="U51" s="26"/>
      <c r="V51" s="32"/>
    </row>
    <row r="52" hidden="1">
      <c r="A52" s="13">
        <v>51.0</v>
      </c>
      <c r="B52" s="15">
        <v>46114.0</v>
      </c>
      <c r="C52" s="13" t="s">
        <v>58</v>
      </c>
      <c r="D52" s="13" t="s">
        <v>60</v>
      </c>
      <c r="E52" s="20" t="s">
        <v>569</v>
      </c>
      <c r="F52" s="55">
        <v>5.42486266E8</v>
      </c>
      <c r="G52" s="20" t="s">
        <v>41</v>
      </c>
      <c r="H52" s="13" t="s">
        <v>222</v>
      </c>
      <c r="I52" s="20" t="s">
        <v>570</v>
      </c>
      <c r="J52" s="20"/>
      <c r="K52" s="13" t="s">
        <v>148</v>
      </c>
      <c r="L52" s="26"/>
      <c r="M52" s="27" t="s">
        <v>88</v>
      </c>
      <c r="N52" s="13" t="s">
        <v>56</v>
      </c>
      <c r="O52" s="13" t="s">
        <v>42</v>
      </c>
      <c r="P52" s="32"/>
      <c r="Q52" s="13" t="s">
        <v>44</v>
      </c>
      <c r="R52" s="13" t="s">
        <v>68</v>
      </c>
      <c r="S52" s="32"/>
      <c r="T52" s="32"/>
      <c r="U52" s="26"/>
      <c r="V52" s="32"/>
    </row>
    <row r="53" hidden="1">
      <c r="A53" s="13">
        <v>52.0</v>
      </c>
      <c r="B53" s="15">
        <v>46114.0</v>
      </c>
      <c r="C53" s="13" t="s">
        <v>47</v>
      </c>
      <c r="D53" s="13" t="s">
        <v>92</v>
      </c>
      <c r="E53" s="20" t="s">
        <v>576</v>
      </c>
      <c r="F53" s="13">
        <v>5.35159847E8</v>
      </c>
      <c r="G53" s="20" t="s">
        <v>71</v>
      </c>
      <c r="H53" s="13" t="s">
        <v>94</v>
      </c>
      <c r="I53" s="20" t="s">
        <v>581</v>
      </c>
      <c r="J53" s="20"/>
      <c r="K53" s="13" t="s">
        <v>148</v>
      </c>
      <c r="L53" s="26"/>
      <c r="M53" s="27" t="s">
        <v>183</v>
      </c>
      <c r="N53" s="13" t="s">
        <v>56</v>
      </c>
      <c r="O53" s="13" t="s">
        <v>42</v>
      </c>
      <c r="P53" s="32"/>
      <c r="Q53" s="13" t="s">
        <v>44</v>
      </c>
      <c r="R53" s="13" t="s">
        <v>46</v>
      </c>
      <c r="S53" s="32"/>
      <c r="T53" s="32"/>
      <c r="U53" s="26"/>
      <c r="V53" s="32"/>
    </row>
    <row r="54" hidden="1">
      <c r="A54" s="13">
        <v>53.0</v>
      </c>
      <c r="B54" s="15">
        <v>46114.0</v>
      </c>
      <c r="C54" s="13" t="s">
        <v>47</v>
      </c>
      <c r="D54" s="13" t="s">
        <v>367</v>
      </c>
      <c r="E54" s="13" t="s">
        <v>586</v>
      </c>
      <c r="F54" s="13" t="s">
        <v>27</v>
      </c>
      <c r="G54" s="20" t="s">
        <v>79</v>
      </c>
      <c r="H54" s="13" t="s">
        <v>142</v>
      </c>
      <c r="I54" s="20" t="s">
        <v>592</v>
      </c>
      <c r="J54" s="20" t="s">
        <v>593</v>
      </c>
      <c r="K54" s="13" t="s">
        <v>148</v>
      </c>
      <c r="L54" s="26"/>
      <c r="M54" s="27" t="s">
        <v>55</v>
      </c>
      <c r="N54" s="13" t="s">
        <v>56</v>
      </c>
      <c r="O54" s="13" t="s">
        <v>42</v>
      </c>
      <c r="P54" s="32"/>
      <c r="Q54" s="13" t="s">
        <v>44</v>
      </c>
      <c r="R54" s="13" t="s">
        <v>46</v>
      </c>
      <c r="S54" s="32"/>
      <c r="T54" s="32"/>
      <c r="U54" s="26"/>
      <c r="V54" s="32"/>
    </row>
    <row r="55" hidden="1">
      <c r="A55" s="13">
        <v>54.0</v>
      </c>
      <c r="B55" s="15">
        <v>46114.0</v>
      </c>
      <c r="C55" s="13" t="s">
        <v>47</v>
      </c>
      <c r="D55" s="13" t="s">
        <v>367</v>
      </c>
      <c r="E55" s="20" t="s">
        <v>595</v>
      </c>
      <c r="F55" s="13">
        <v>5.04488642E8</v>
      </c>
      <c r="G55" s="20" t="s">
        <v>79</v>
      </c>
      <c r="H55" s="13" t="s">
        <v>142</v>
      </c>
      <c r="I55" s="20" t="s">
        <v>597</v>
      </c>
      <c r="J55" s="20" t="s">
        <v>599</v>
      </c>
      <c r="K55" s="13" t="s">
        <v>148</v>
      </c>
      <c r="L55" s="26"/>
      <c r="M55" s="27" t="s">
        <v>55</v>
      </c>
      <c r="N55" s="13" t="s">
        <v>56</v>
      </c>
      <c r="O55" s="13" t="s">
        <v>42</v>
      </c>
      <c r="P55" s="32"/>
      <c r="Q55" s="13" t="s">
        <v>44</v>
      </c>
      <c r="R55" s="13" t="s">
        <v>46</v>
      </c>
      <c r="S55" s="32"/>
      <c r="T55" s="32"/>
      <c r="U55" s="26"/>
      <c r="V55" s="32"/>
    </row>
    <row r="56">
      <c r="A56" s="13">
        <v>55.0</v>
      </c>
      <c r="B56" s="15">
        <v>46114.0</v>
      </c>
      <c r="C56" s="13" t="s">
        <v>47</v>
      </c>
      <c r="D56" s="13" t="s">
        <v>48</v>
      </c>
      <c r="E56" s="20" t="s">
        <v>605</v>
      </c>
      <c r="F56" s="13">
        <v>5.57861119E8</v>
      </c>
      <c r="G56" s="58" t="s">
        <v>79</v>
      </c>
      <c r="H56" s="13" t="s">
        <v>431</v>
      </c>
      <c r="I56" s="20" t="s">
        <v>608</v>
      </c>
      <c r="J56" s="20" t="s">
        <v>610</v>
      </c>
      <c r="K56" s="13" t="s">
        <v>36</v>
      </c>
      <c r="L56" s="26"/>
      <c r="M56" s="27" t="s">
        <v>611</v>
      </c>
      <c r="N56" s="13" t="s">
        <v>56</v>
      </c>
      <c r="O56" s="13" t="s">
        <v>42</v>
      </c>
      <c r="P56" s="32"/>
      <c r="Q56" s="13" t="s">
        <v>49</v>
      </c>
      <c r="R56" s="13" t="s">
        <v>46</v>
      </c>
      <c r="S56" s="32"/>
      <c r="T56" s="32"/>
      <c r="U56" s="26"/>
      <c r="V56" s="32"/>
    </row>
    <row r="57" hidden="1">
      <c r="A57" s="13">
        <v>56.0</v>
      </c>
      <c r="B57" s="15">
        <v>46117.0</v>
      </c>
      <c r="C57" s="13" t="s">
        <v>21</v>
      </c>
      <c r="D57" s="13" t="s">
        <v>66</v>
      </c>
      <c r="E57" s="13" t="s">
        <v>614</v>
      </c>
      <c r="F57" s="13" t="s">
        <v>27</v>
      </c>
      <c r="G57" s="13" t="s">
        <v>27</v>
      </c>
      <c r="H57" s="13" t="s">
        <v>27</v>
      </c>
      <c r="I57" s="13" t="s">
        <v>616</v>
      </c>
      <c r="J57" s="20" t="s">
        <v>35</v>
      </c>
      <c r="K57" s="13" t="s">
        <v>39</v>
      </c>
      <c r="L57" s="26"/>
      <c r="M57" s="27" t="s">
        <v>38</v>
      </c>
      <c r="N57" s="13" t="s">
        <v>56</v>
      </c>
      <c r="O57" s="13" t="s">
        <v>42</v>
      </c>
      <c r="P57" s="32"/>
      <c r="Q57" s="13" t="s">
        <v>49</v>
      </c>
      <c r="R57" s="13" t="s">
        <v>68</v>
      </c>
      <c r="S57" s="32"/>
      <c r="T57" s="32"/>
      <c r="U57" s="26"/>
      <c r="V57" s="32"/>
    </row>
    <row r="58" hidden="1">
      <c r="A58" s="13">
        <v>57.0</v>
      </c>
      <c r="B58" s="15">
        <v>46117.0</v>
      </c>
      <c r="C58" s="13" t="s">
        <v>21</v>
      </c>
      <c r="D58" s="13" t="s">
        <v>22</v>
      </c>
      <c r="E58" s="13" t="s">
        <v>620</v>
      </c>
      <c r="F58" s="13">
        <v>5.01685569E8</v>
      </c>
      <c r="G58" s="13"/>
      <c r="H58" s="13" t="s">
        <v>27</v>
      </c>
      <c r="I58" s="20" t="s">
        <v>623</v>
      </c>
      <c r="J58" s="20" t="s">
        <v>35</v>
      </c>
      <c r="K58" s="13" t="s">
        <v>39</v>
      </c>
      <c r="L58" s="26"/>
      <c r="M58" s="27" t="s">
        <v>38</v>
      </c>
      <c r="N58" s="13" t="s">
        <v>40</v>
      </c>
      <c r="O58" s="13" t="s">
        <v>42</v>
      </c>
      <c r="P58" s="32"/>
      <c r="Q58" s="13" t="s">
        <v>49</v>
      </c>
      <c r="R58" s="13" t="s">
        <v>46</v>
      </c>
      <c r="S58" s="32"/>
      <c r="T58" s="32"/>
      <c r="U58" s="26"/>
      <c r="V58" s="32"/>
    </row>
    <row r="59" hidden="1">
      <c r="A59" s="13">
        <v>58.0</v>
      </c>
      <c r="B59" s="15">
        <v>46117.0</v>
      </c>
      <c r="C59" s="13" t="s">
        <v>47</v>
      </c>
      <c r="D59" s="13" t="s">
        <v>48</v>
      </c>
      <c r="E59" s="79" t="s">
        <v>629</v>
      </c>
      <c r="F59" s="13" t="s">
        <v>27</v>
      </c>
      <c r="G59" s="20" t="s">
        <v>71</v>
      </c>
      <c r="H59" s="13" t="s">
        <v>72</v>
      </c>
      <c r="I59" s="20" t="s">
        <v>631</v>
      </c>
      <c r="J59" s="20" t="s">
        <v>632</v>
      </c>
      <c r="K59" s="13" t="s">
        <v>78</v>
      </c>
      <c r="L59" s="26"/>
      <c r="M59" s="27" t="s">
        <v>101</v>
      </c>
      <c r="N59" s="13" t="s">
        <v>56</v>
      </c>
      <c r="O59" s="13" t="s">
        <v>42</v>
      </c>
      <c r="P59" s="32"/>
      <c r="Q59" s="13" t="s">
        <v>49</v>
      </c>
      <c r="R59" s="13" t="s">
        <v>46</v>
      </c>
      <c r="S59" s="32"/>
      <c r="T59" s="32"/>
      <c r="U59" s="26"/>
      <c r="V59" s="32"/>
    </row>
    <row r="60" hidden="1">
      <c r="A60" s="13">
        <v>59.0</v>
      </c>
      <c r="B60" s="15">
        <v>46117.0</v>
      </c>
      <c r="C60" s="13" t="s">
        <v>47</v>
      </c>
      <c r="D60" s="13" t="s">
        <v>138</v>
      </c>
      <c r="E60" s="80" t="s">
        <v>637</v>
      </c>
      <c r="F60" s="13" t="s">
        <v>27</v>
      </c>
      <c r="G60" s="20" t="s">
        <v>79</v>
      </c>
      <c r="H60" s="13" t="s">
        <v>638</v>
      </c>
      <c r="I60" s="20" t="s">
        <v>639</v>
      </c>
      <c r="J60" s="20" t="s">
        <v>640</v>
      </c>
      <c r="K60" s="13" t="s">
        <v>78</v>
      </c>
      <c r="L60" s="26"/>
      <c r="M60" s="27" t="s">
        <v>55</v>
      </c>
      <c r="N60" s="13" t="s">
        <v>40</v>
      </c>
      <c r="O60" s="13" t="s">
        <v>42</v>
      </c>
      <c r="P60" s="32"/>
      <c r="Q60" s="13" t="s">
        <v>49</v>
      </c>
      <c r="R60" s="13" t="s">
        <v>46</v>
      </c>
      <c r="S60" s="32"/>
      <c r="T60" s="32"/>
      <c r="U60" s="26"/>
      <c r="V60" s="32"/>
    </row>
    <row r="61" hidden="1">
      <c r="A61" s="13">
        <v>60.0</v>
      </c>
      <c r="B61" s="15">
        <v>46117.0</v>
      </c>
      <c r="C61" s="13" t="s">
        <v>58</v>
      </c>
      <c r="D61" s="13" t="s">
        <v>34</v>
      </c>
      <c r="E61" s="13" t="s">
        <v>27</v>
      </c>
      <c r="F61" s="13">
        <v>5.38045457E8</v>
      </c>
      <c r="G61" s="13" t="s">
        <v>27</v>
      </c>
      <c r="H61" s="13" t="s">
        <v>27</v>
      </c>
      <c r="I61" s="20" t="s">
        <v>282</v>
      </c>
      <c r="J61" s="20"/>
      <c r="K61" s="13" t="s">
        <v>36</v>
      </c>
      <c r="L61" s="26"/>
      <c r="M61" s="27" t="s">
        <v>88</v>
      </c>
      <c r="N61" s="13" t="s">
        <v>56</v>
      </c>
      <c r="O61" s="13" t="s">
        <v>42</v>
      </c>
      <c r="P61" s="32"/>
      <c r="Q61" s="13" t="s">
        <v>44</v>
      </c>
      <c r="R61" s="13" t="s">
        <v>68</v>
      </c>
      <c r="S61" s="32"/>
      <c r="T61" s="32"/>
      <c r="U61" s="26"/>
      <c r="V61" s="32"/>
    </row>
    <row r="62" hidden="1">
      <c r="A62" s="13">
        <v>61.0</v>
      </c>
      <c r="B62" s="15">
        <v>46117.0</v>
      </c>
      <c r="C62" s="13" t="s">
        <v>58</v>
      </c>
      <c r="D62" s="13" t="s">
        <v>60</v>
      </c>
      <c r="E62" s="13" t="s">
        <v>27</v>
      </c>
      <c r="F62" s="55">
        <v>5.49043353E8</v>
      </c>
      <c r="G62" s="13" t="s">
        <v>27</v>
      </c>
      <c r="H62" s="13" t="s">
        <v>27</v>
      </c>
      <c r="I62" s="20" t="s">
        <v>654</v>
      </c>
      <c r="J62" s="20"/>
      <c r="K62" s="13" t="s">
        <v>65</v>
      </c>
      <c r="L62" s="26"/>
      <c r="M62" s="27" t="s">
        <v>38</v>
      </c>
      <c r="N62" s="13" t="s">
        <v>56</v>
      </c>
      <c r="O62" s="13" t="s">
        <v>42</v>
      </c>
      <c r="P62" s="32"/>
      <c r="Q62" s="13" t="s">
        <v>44</v>
      </c>
      <c r="R62" s="13" t="s">
        <v>68</v>
      </c>
      <c r="S62" s="32"/>
      <c r="T62" s="32"/>
      <c r="U62" s="26"/>
      <c r="V62" s="32"/>
    </row>
    <row r="63" hidden="1">
      <c r="A63" s="13">
        <v>62.0</v>
      </c>
      <c r="B63" s="15">
        <v>46117.0</v>
      </c>
      <c r="C63" s="13" t="s">
        <v>58</v>
      </c>
      <c r="D63" s="13" t="s">
        <v>60</v>
      </c>
      <c r="E63" s="13" t="s">
        <v>27</v>
      </c>
      <c r="F63" s="13">
        <v>5.55274407E8</v>
      </c>
      <c r="G63" s="13" t="s">
        <v>27</v>
      </c>
      <c r="H63" s="13" t="s">
        <v>27</v>
      </c>
      <c r="I63" s="20" t="s">
        <v>664</v>
      </c>
      <c r="J63" s="20"/>
      <c r="K63" s="13" t="s">
        <v>65</v>
      </c>
      <c r="L63" s="26"/>
      <c r="M63" s="27" t="s">
        <v>38</v>
      </c>
      <c r="N63" s="13" t="s">
        <v>56</v>
      </c>
      <c r="O63" s="13" t="s">
        <v>42</v>
      </c>
      <c r="P63" s="32"/>
      <c r="Q63" s="13" t="s">
        <v>44</v>
      </c>
      <c r="R63" s="13" t="s">
        <v>68</v>
      </c>
      <c r="S63" s="32"/>
      <c r="T63" s="32"/>
      <c r="U63" s="26"/>
      <c r="V63" s="32"/>
    </row>
    <row r="64" hidden="1">
      <c r="A64" s="13">
        <v>63.0</v>
      </c>
      <c r="B64" s="15">
        <v>46117.0</v>
      </c>
      <c r="C64" s="13" t="s">
        <v>21</v>
      </c>
      <c r="D64" s="13" t="s">
        <v>48</v>
      </c>
      <c r="E64" s="20" t="s">
        <v>670</v>
      </c>
      <c r="F64" s="55">
        <v>5.4902712E8</v>
      </c>
      <c r="G64" s="20" t="s">
        <v>79</v>
      </c>
      <c r="H64" s="13" t="s">
        <v>27</v>
      </c>
      <c r="I64" s="20" t="s">
        <v>671</v>
      </c>
      <c r="J64" s="20"/>
      <c r="K64" s="13" t="s">
        <v>65</v>
      </c>
      <c r="L64" s="26"/>
      <c r="M64" s="27" t="s">
        <v>38</v>
      </c>
      <c r="N64" s="13" t="s">
        <v>40</v>
      </c>
      <c r="O64" s="13" t="s">
        <v>42</v>
      </c>
      <c r="P64" s="32"/>
      <c r="Q64" s="13" t="s">
        <v>44</v>
      </c>
      <c r="R64" s="13" t="s">
        <v>68</v>
      </c>
      <c r="S64" s="32"/>
      <c r="T64" s="32"/>
      <c r="U64" s="26"/>
      <c r="V64" s="32"/>
    </row>
    <row r="65" hidden="1">
      <c r="A65" s="13">
        <v>64.0</v>
      </c>
      <c r="B65" s="15">
        <v>46117.0</v>
      </c>
      <c r="C65" s="13" t="s">
        <v>58</v>
      </c>
      <c r="D65" s="13" t="s">
        <v>60</v>
      </c>
      <c r="E65" s="13" t="s">
        <v>27</v>
      </c>
      <c r="F65" s="13">
        <v>5.57954261E8</v>
      </c>
      <c r="G65" s="13" t="s">
        <v>27</v>
      </c>
      <c r="H65" s="13" t="s">
        <v>27</v>
      </c>
      <c r="I65" s="20" t="s">
        <v>677</v>
      </c>
      <c r="J65" s="20"/>
      <c r="K65" s="13" t="s">
        <v>65</v>
      </c>
      <c r="L65" s="26"/>
      <c r="M65" s="27" t="s">
        <v>88</v>
      </c>
      <c r="N65" s="13" t="s">
        <v>56</v>
      </c>
      <c r="O65" s="13" t="s">
        <v>42</v>
      </c>
      <c r="P65" s="32"/>
      <c r="Q65" s="13" t="s">
        <v>44</v>
      </c>
      <c r="R65" s="13" t="s">
        <v>68</v>
      </c>
      <c r="S65" s="32"/>
      <c r="T65" s="32"/>
      <c r="U65" s="26"/>
      <c r="V65" s="32"/>
    </row>
    <row r="66" hidden="1">
      <c r="A66" s="13">
        <v>65.0</v>
      </c>
      <c r="B66" s="15">
        <v>46117.0</v>
      </c>
      <c r="C66" s="13" t="s">
        <v>47</v>
      </c>
      <c r="D66" s="13" t="s">
        <v>48</v>
      </c>
      <c r="E66" s="20" t="s">
        <v>683</v>
      </c>
      <c r="F66" s="55">
        <v>5.55922089E8</v>
      </c>
      <c r="G66" s="20" t="s">
        <v>41</v>
      </c>
      <c r="H66" s="13" t="s">
        <v>567</v>
      </c>
      <c r="I66" s="20" t="s">
        <v>684</v>
      </c>
      <c r="J66" s="20"/>
      <c r="K66" s="13" t="s">
        <v>36</v>
      </c>
      <c r="L66" s="26"/>
      <c r="M66" s="27" t="s">
        <v>221</v>
      </c>
      <c r="N66" s="13" t="s">
        <v>56</v>
      </c>
      <c r="O66" s="13" t="s">
        <v>518</v>
      </c>
      <c r="P66" s="32"/>
      <c r="Q66" s="13" t="s">
        <v>44</v>
      </c>
      <c r="R66" s="13" t="s">
        <v>46</v>
      </c>
      <c r="S66" s="32"/>
      <c r="T66" s="32"/>
      <c r="U66" s="26"/>
      <c r="V66" s="32"/>
    </row>
    <row r="67" hidden="1">
      <c r="A67" s="13">
        <v>66.0</v>
      </c>
      <c r="B67" s="15">
        <v>46117.0</v>
      </c>
      <c r="C67" s="13" t="s">
        <v>21</v>
      </c>
      <c r="D67" s="13" t="s">
        <v>24</v>
      </c>
      <c r="E67" s="20" t="s">
        <v>687</v>
      </c>
      <c r="F67" s="13">
        <v>5.56764001E8</v>
      </c>
      <c r="G67" s="20" t="s">
        <v>71</v>
      </c>
      <c r="H67" s="13" t="s">
        <v>27</v>
      </c>
      <c r="I67" s="20" t="s">
        <v>688</v>
      </c>
      <c r="J67" s="20"/>
      <c r="K67" s="13" t="s">
        <v>65</v>
      </c>
      <c r="L67" s="26"/>
      <c r="M67" s="27" t="s">
        <v>38</v>
      </c>
      <c r="N67" s="13" t="s">
        <v>40</v>
      </c>
      <c r="O67" s="13" t="s">
        <v>42</v>
      </c>
      <c r="P67" s="32"/>
      <c r="Q67" s="13" t="s">
        <v>44</v>
      </c>
      <c r="R67" s="13" t="s">
        <v>46</v>
      </c>
      <c r="S67" s="32"/>
      <c r="T67" s="32"/>
      <c r="U67" s="26"/>
      <c r="V67" s="32"/>
    </row>
    <row r="68" hidden="1">
      <c r="A68" s="13">
        <v>67.0</v>
      </c>
      <c r="B68" s="15">
        <v>46117.0</v>
      </c>
      <c r="C68" s="13" t="s">
        <v>58</v>
      </c>
      <c r="D68" s="13" t="s">
        <v>60</v>
      </c>
      <c r="E68" s="13" t="s">
        <v>27</v>
      </c>
      <c r="F68" s="55">
        <v>5.75893634E8</v>
      </c>
      <c r="G68" s="13" t="s">
        <v>27</v>
      </c>
      <c r="H68" s="13" t="s">
        <v>27</v>
      </c>
      <c r="I68" s="20" t="s">
        <v>696</v>
      </c>
      <c r="J68" s="20"/>
      <c r="K68" s="13" t="s">
        <v>65</v>
      </c>
      <c r="L68" s="26"/>
      <c r="M68" s="27" t="s">
        <v>88</v>
      </c>
      <c r="N68" s="13" t="s">
        <v>56</v>
      </c>
      <c r="O68" s="13" t="s">
        <v>42</v>
      </c>
      <c r="P68" s="32"/>
      <c r="Q68" s="13" t="s">
        <v>44</v>
      </c>
      <c r="R68" s="13" t="s">
        <v>68</v>
      </c>
      <c r="S68" s="32"/>
      <c r="T68" s="32"/>
      <c r="U68" s="26"/>
      <c r="V68" s="32"/>
    </row>
    <row r="69" hidden="1">
      <c r="A69" s="13">
        <v>68.0</v>
      </c>
      <c r="B69" s="15">
        <v>46117.0</v>
      </c>
      <c r="C69" s="13" t="s">
        <v>58</v>
      </c>
      <c r="D69" s="13" t="s">
        <v>60</v>
      </c>
      <c r="E69" s="13" t="s">
        <v>27</v>
      </c>
      <c r="F69" s="13">
        <v>5.68484285E8</v>
      </c>
      <c r="G69" s="13" t="s">
        <v>27</v>
      </c>
      <c r="H69" s="13" t="s">
        <v>27</v>
      </c>
      <c r="I69" s="20" t="s">
        <v>703</v>
      </c>
      <c r="J69" s="20"/>
      <c r="K69" s="13" t="s">
        <v>65</v>
      </c>
      <c r="L69" s="26"/>
      <c r="M69" s="27" t="s">
        <v>38</v>
      </c>
      <c r="N69" s="13" t="s">
        <v>56</v>
      </c>
      <c r="O69" s="13" t="s">
        <v>42</v>
      </c>
      <c r="P69" s="32"/>
      <c r="Q69" s="13" t="s">
        <v>44</v>
      </c>
      <c r="R69" s="13" t="s">
        <v>68</v>
      </c>
      <c r="S69" s="32"/>
      <c r="T69" s="32"/>
      <c r="U69" s="26"/>
      <c r="V69" s="32"/>
    </row>
    <row r="70" ht="40.5" hidden="1" customHeight="1">
      <c r="A70" s="13">
        <v>69.0</v>
      </c>
      <c r="B70" s="15">
        <v>46117.0</v>
      </c>
      <c r="C70" s="13" t="s">
        <v>21</v>
      </c>
      <c r="D70" s="13" t="s">
        <v>48</v>
      </c>
      <c r="E70" s="20" t="s">
        <v>708</v>
      </c>
      <c r="F70" s="55">
        <v>5.35955663E8</v>
      </c>
      <c r="G70" s="20" t="s">
        <v>112</v>
      </c>
      <c r="H70" s="13" t="s">
        <v>113</v>
      </c>
      <c r="I70" s="20" t="s">
        <v>710</v>
      </c>
      <c r="J70" s="85" t="s">
        <v>712</v>
      </c>
      <c r="K70" s="13" t="s">
        <v>36</v>
      </c>
      <c r="L70" s="26"/>
      <c r="M70" s="27" t="s">
        <v>38</v>
      </c>
      <c r="N70" s="13" t="s">
        <v>56</v>
      </c>
      <c r="O70" s="13" t="s">
        <v>42</v>
      </c>
      <c r="P70" s="32"/>
      <c r="Q70" s="13" t="s">
        <v>44</v>
      </c>
      <c r="R70" s="13" t="s">
        <v>68</v>
      </c>
      <c r="S70" s="32"/>
      <c r="T70" s="32"/>
      <c r="U70" s="26"/>
      <c r="V70" s="32"/>
    </row>
    <row r="71" hidden="1">
      <c r="A71" s="13">
        <v>70.0</v>
      </c>
      <c r="B71" s="15">
        <v>46117.0</v>
      </c>
      <c r="C71" s="13" t="s">
        <v>58</v>
      </c>
      <c r="D71" s="13" t="s">
        <v>60</v>
      </c>
      <c r="E71" s="20" t="s">
        <v>716</v>
      </c>
      <c r="F71" s="13">
        <v>5.55400511E8</v>
      </c>
      <c r="G71" s="20" t="s">
        <v>41</v>
      </c>
      <c r="H71" s="13" t="s">
        <v>329</v>
      </c>
      <c r="I71" s="20" t="s">
        <v>717</v>
      </c>
      <c r="J71" s="20"/>
      <c r="K71" s="13" t="s">
        <v>36</v>
      </c>
      <c r="L71" s="26"/>
      <c r="M71" s="27" t="s">
        <v>88</v>
      </c>
      <c r="N71" s="13" t="s">
        <v>56</v>
      </c>
      <c r="O71" s="13" t="s">
        <v>42</v>
      </c>
      <c r="P71" s="32"/>
      <c r="Q71" s="13" t="s">
        <v>44</v>
      </c>
      <c r="R71" s="13" t="s">
        <v>68</v>
      </c>
      <c r="S71" s="32"/>
      <c r="T71" s="32"/>
      <c r="U71" s="26"/>
      <c r="V71" s="32"/>
    </row>
    <row r="72" hidden="1">
      <c r="A72" s="13">
        <v>71.0</v>
      </c>
      <c r="B72" s="15">
        <v>46117.0</v>
      </c>
      <c r="C72" s="13" t="s">
        <v>58</v>
      </c>
      <c r="D72" s="13" t="s">
        <v>34</v>
      </c>
      <c r="E72" s="13" t="s">
        <v>27</v>
      </c>
      <c r="F72" s="13">
        <v>5.56047543E8</v>
      </c>
      <c r="G72" s="13" t="s">
        <v>27</v>
      </c>
      <c r="H72" s="13" t="s">
        <v>27</v>
      </c>
      <c r="I72" s="20" t="s">
        <v>282</v>
      </c>
      <c r="J72" s="20"/>
      <c r="K72" s="13" t="s">
        <v>36</v>
      </c>
      <c r="L72" s="26"/>
      <c r="M72" s="27" t="s">
        <v>88</v>
      </c>
      <c r="N72" s="13" t="s">
        <v>56</v>
      </c>
      <c r="O72" s="13" t="s">
        <v>42</v>
      </c>
      <c r="P72" s="32"/>
      <c r="Q72" s="13" t="s">
        <v>44</v>
      </c>
      <c r="R72" s="13" t="s">
        <v>68</v>
      </c>
      <c r="S72" s="32"/>
      <c r="T72" s="32"/>
      <c r="U72" s="26"/>
      <c r="V72" s="32"/>
    </row>
    <row r="73" ht="21.75" hidden="1" customHeight="1">
      <c r="A73" s="13">
        <v>72.0</v>
      </c>
      <c r="B73" s="15">
        <v>46117.0</v>
      </c>
      <c r="C73" s="13" t="s">
        <v>58</v>
      </c>
      <c r="D73" s="13" t="s">
        <v>60</v>
      </c>
      <c r="E73" s="13" t="s">
        <v>27</v>
      </c>
      <c r="F73" s="13">
        <v>5.34002445E8</v>
      </c>
      <c r="G73" s="13" t="s">
        <v>27</v>
      </c>
      <c r="H73" s="13" t="s">
        <v>27</v>
      </c>
      <c r="I73" s="20" t="s">
        <v>233</v>
      </c>
      <c r="J73" s="20"/>
      <c r="K73" s="13" t="s">
        <v>36</v>
      </c>
      <c r="L73" s="26"/>
      <c r="M73" s="27" t="s">
        <v>88</v>
      </c>
      <c r="N73" s="13" t="s">
        <v>56</v>
      </c>
      <c r="O73" s="13" t="s">
        <v>42</v>
      </c>
      <c r="P73" s="32"/>
      <c r="Q73" s="13" t="s">
        <v>44</v>
      </c>
      <c r="R73" s="13" t="s">
        <v>68</v>
      </c>
      <c r="S73" s="32"/>
      <c r="T73" s="32"/>
      <c r="U73" s="26"/>
      <c r="V73" s="32"/>
    </row>
    <row r="74" hidden="1">
      <c r="A74" s="13">
        <v>73.0</v>
      </c>
      <c r="B74" s="15">
        <v>46117.0</v>
      </c>
      <c r="C74" s="13" t="s">
        <v>47</v>
      </c>
      <c r="D74" s="13" t="s">
        <v>92</v>
      </c>
      <c r="E74" s="20" t="s">
        <v>731</v>
      </c>
      <c r="F74" s="13">
        <v>5.09222507E8</v>
      </c>
      <c r="G74" s="20" t="s">
        <v>733</v>
      </c>
      <c r="H74" s="13" t="s">
        <v>735</v>
      </c>
      <c r="I74" s="20" t="s">
        <v>736</v>
      </c>
      <c r="J74" s="20" t="s">
        <v>738</v>
      </c>
      <c r="K74" s="13" t="s">
        <v>36</v>
      </c>
      <c r="L74" s="26"/>
      <c r="M74" s="27" t="s">
        <v>55</v>
      </c>
      <c r="N74" s="13" t="s">
        <v>56</v>
      </c>
      <c r="O74" s="13" t="s">
        <v>301</v>
      </c>
      <c r="P74" s="32"/>
      <c r="Q74" s="13" t="s">
        <v>44</v>
      </c>
      <c r="R74" s="13" t="s">
        <v>46</v>
      </c>
      <c r="S74" s="32"/>
      <c r="T74" s="32"/>
      <c r="U74" s="26"/>
      <c r="V74" s="32"/>
    </row>
    <row r="75" hidden="1">
      <c r="A75" s="13">
        <v>74.0</v>
      </c>
      <c r="B75" s="15">
        <v>46117.0</v>
      </c>
      <c r="C75" s="13" t="s">
        <v>58</v>
      </c>
      <c r="D75" s="13" t="s">
        <v>60</v>
      </c>
      <c r="E75" s="13" t="s">
        <v>27</v>
      </c>
      <c r="F75" s="13">
        <v>5.5383732E7</v>
      </c>
      <c r="G75" s="13"/>
      <c r="H75" s="13" t="s">
        <v>27</v>
      </c>
      <c r="I75" s="20" t="s">
        <v>233</v>
      </c>
      <c r="J75" s="20"/>
      <c r="K75" s="13" t="s">
        <v>36</v>
      </c>
      <c r="L75" s="26"/>
      <c r="M75" s="27" t="s">
        <v>88</v>
      </c>
      <c r="N75" s="13" t="s">
        <v>56</v>
      </c>
      <c r="O75" s="13" t="s">
        <v>42</v>
      </c>
      <c r="P75" s="32"/>
      <c r="Q75" s="13" t="s">
        <v>44</v>
      </c>
      <c r="R75" s="13" t="s">
        <v>68</v>
      </c>
      <c r="S75" s="32"/>
      <c r="T75" s="32"/>
      <c r="U75" s="26"/>
      <c r="V75" s="32"/>
    </row>
    <row r="76" hidden="1">
      <c r="A76" s="13">
        <v>75.0</v>
      </c>
      <c r="B76" s="15">
        <v>46117.0</v>
      </c>
      <c r="C76" s="13" t="s">
        <v>58</v>
      </c>
      <c r="D76" s="13" t="s">
        <v>60</v>
      </c>
      <c r="E76" s="13" t="s">
        <v>27</v>
      </c>
      <c r="F76" s="13">
        <v>5.73852283E8</v>
      </c>
      <c r="G76" s="20" t="s">
        <v>41</v>
      </c>
      <c r="H76" s="13" t="s">
        <v>27</v>
      </c>
      <c r="I76" s="20" t="s">
        <v>748</v>
      </c>
      <c r="J76" s="20"/>
      <c r="K76" s="13" t="s">
        <v>36</v>
      </c>
      <c r="L76" s="26"/>
      <c r="M76" s="27" t="s">
        <v>88</v>
      </c>
      <c r="N76" s="13" t="s">
        <v>56</v>
      </c>
      <c r="O76" s="13" t="s">
        <v>42</v>
      </c>
      <c r="P76" s="32"/>
      <c r="Q76" s="13" t="s">
        <v>44</v>
      </c>
      <c r="R76" s="13" t="s">
        <v>68</v>
      </c>
      <c r="S76" s="32"/>
      <c r="T76" s="32"/>
      <c r="U76" s="26"/>
      <c r="V76" s="32"/>
    </row>
    <row r="77" hidden="1">
      <c r="A77" s="13">
        <v>76.0</v>
      </c>
      <c r="B77" s="15">
        <v>46117.0</v>
      </c>
      <c r="C77" s="13" t="s">
        <v>58</v>
      </c>
      <c r="D77" s="13" t="s">
        <v>60</v>
      </c>
      <c r="E77" s="13" t="s">
        <v>27</v>
      </c>
      <c r="F77" s="13">
        <v>5.77508969E8</v>
      </c>
      <c r="G77" s="13"/>
      <c r="H77" s="13" t="s">
        <v>27</v>
      </c>
      <c r="I77" s="20" t="s">
        <v>233</v>
      </c>
      <c r="J77" s="20"/>
      <c r="K77" s="13" t="s">
        <v>36</v>
      </c>
      <c r="L77" s="26"/>
      <c r="M77" s="27" t="s">
        <v>88</v>
      </c>
      <c r="N77" s="13" t="s">
        <v>56</v>
      </c>
      <c r="O77" s="13" t="s">
        <v>42</v>
      </c>
      <c r="P77" s="32"/>
      <c r="Q77" s="13" t="s">
        <v>44</v>
      </c>
      <c r="R77" s="13" t="s">
        <v>68</v>
      </c>
      <c r="S77" s="32"/>
      <c r="T77" s="32"/>
      <c r="U77" s="26"/>
      <c r="V77" s="32"/>
    </row>
    <row r="78" ht="69.75" hidden="1" customHeight="1">
      <c r="A78" s="13">
        <v>77.0</v>
      </c>
      <c r="B78" s="15">
        <v>46117.0</v>
      </c>
      <c r="C78" s="13" t="s">
        <v>47</v>
      </c>
      <c r="D78" s="13" t="s">
        <v>48</v>
      </c>
      <c r="E78" s="20" t="s">
        <v>763</v>
      </c>
      <c r="F78" s="13">
        <v>5.03518942E8</v>
      </c>
      <c r="G78" s="20" t="s">
        <v>41</v>
      </c>
      <c r="H78" s="13" t="s">
        <v>52</v>
      </c>
      <c r="I78" s="60" t="s">
        <v>764</v>
      </c>
      <c r="J78" s="20" t="s">
        <v>765</v>
      </c>
      <c r="K78" s="13" t="s">
        <v>36</v>
      </c>
      <c r="L78" s="26"/>
      <c r="M78" s="27" t="s">
        <v>55</v>
      </c>
      <c r="N78" s="13" t="s">
        <v>56</v>
      </c>
      <c r="O78" s="13" t="s">
        <v>42</v>
      </c>
      <c r="P78" s="32"/>
      <c r="Q78" s="13" t="s">
        <v>49</v>
      </c>
      <c r="R78" s="13" t="s">
        <v>46</v>
      </c>
      <c r="S78" s="32"/>
      <c r="T78" s="32"/>
      <c r="U78" s="26"/>
      <c r="V78" s="32"/>
    </row>
    <row r="79" hidden="1">
      <c r="A79" s="13">
        <v>78.0</v>
      </c>
      <c r="B79" s="15">
        <v>46117.0</v>
      </c>
      <c r="C79" s="13" t="s">
        <v>47</v>
      </c>
      <c r="D79" s="13" t="s">
        <v>92</v>
      </c>
      <c r="E79" s="20" t="s">
        <v>770</v>
      </c>
      <c r="F79" s="13">
        <v>5.03919787E8</v>
      </c>
      <c r="G79" s="20" t="s">
        <v>733</v>
      </c>
      <c r="H79" s="13" t="s">
        <v>735</v>
      </c>
      <c r="I79" s="20" t="s">
        <v>773</v>
      </c>
      <c r="J79" s="20" t="s">
        <v>774</v>
      </c>
      <c r="K79" s="13" t="s">
        <v>36</v>
      </c>
      <c r="L79" s="26"/>
      <c r="M79" s="27" t="s">
        <v>55</v>
      </c>
      <c r="N79" s="13" t="s">
        <v>56</v>
      </c>
      <c r="O79" s="13" t="s">
        <v>301</v>
      </c>
      <c r="P79" s="32"/>
      <c r="Q79" s="13" t="s">
        <v>49</v>
      </c>
      <c r="R79" s="13" t="s">
        <v>46</v>
      </c>
      <c r="S79" s="32"/>
      <c r="T79" s="32"/>
      <c r="U79" s="26"/>
      <c r="V79" s="32"/>
    </row>
    <row r="80" hidden="1">
      <c r="A80" s="13">
        <v>79.0</v>
      </c>
      <c r="B80" s="15">
        <v>46117.0</v>
      </c>
      <c r="C80" s="13" t="s">
        <v>47</v>
      </c>
      <c r="D80" s="13" t="s">
        <v>92</v>
      </c>
      <c r="E80" s="20" t="s">
        <v>775</v>
      </c>
      <c r="F80" s="13">
        <v>5.06762401E8</v>
      </c>
      <c r="G80" s="20" t="s">
        <v>28</v>
      </c>
      <c r="H80" s="13" t="s">
        <v>777</v>
      </c>
      <c r="I80" s="20" t="s">
        <v>779</v>
      </c>
      <c r="J80" s="20"/>
      <c r="K80" s="13" t="s">
        <v>36</v>
      </c>
      <c r="L80" s="26"/>
      <c r="M80" s="27" t="s">
        <v>101</v>
      </c>
      <c r="N80" s="13" t="s">
        <v>40</v>
      </c>
      <c r="O80" s="13" t="s">
        <v>301</v>
      </c>
      <c r="P80" s="32"/>
      <c r="Q80" s="13" t="s">
        <v>44</v>
      </c>
      <c r="R80" s="13" t="s">
        <v>46</v>
      </c>
      <c r="S80" s="32"/>
      <c r="T80" s="32"/>
      <c r="U80" s="26"/>
      <c r="V80" s="32"/>
    </row>
    <row r="81" hidden="1">
      <c r="A81" s="13">
        <v>80.0</v>
      </c>
      <c r="B81" s="15">
        <v>46117.0</v>
      </c>
      <c r="C81" s="13" t="s">
        <v>58</v>
      </c>
      <c r="D81" s="13" t="s">
        <v>60</v>
      </c>
      <c r="E81" s="13" t="s">
        <v>27</v>
      </c>
      <c r="F81" s="13">
        <v>5.47294511E8</v>
      </c>
      <c r="G81" s="13" t="s">
        <v>27</v>
      </c>
      <c r="H81" s="13" t="s">
        <v>27</v>
      </c>
      <c r="I81" s="20" t="s">
        <v>554</v>
      </c>
      <c r="J81" s="20"/>
      <c r="K81" s="13" t="s">
        <v>36</v>
      </c>
      <c r="L81" s="26"/>
      <c r="M81" s="27" t="s">
        <v>88</v>
      </c>
      <c r="N81" s="13" t="s">
        <v>56</v>
      </c>
      <c r="O81" s="13" t="s">
        <v>42</v>
      </c>
      <c r="P81" s="32"/>
      <c r="Q81" s="13" t="s">
        <v>44</v>
      </c>
      <c r="R81" s="13" t="s">
        <v>68</v>
      </c>
      <c r="S81" s="32"/>
      <c r="T81" s="32"/>
      <c r="U81" s="26"/>
      <c r="V81" s="32"/>
    </row>
    <row r="82" hidden="1">
      <c r="A82" s="13">
        <v>81.0</v>
      </c>
      <c r="B82" s="15">
        <v>46117.0</v>
      </c>
      <c r="C82" s="13" t="s">
        <v>58</v>
      </c>
      <c r="D82" s="13" t="s">
        <v>60</v>
      </c>
      <c r="E82" s="13" t="s">
        <v>27</v>
      </c>
      <c r="F82" s="13">
        <v>5.01660185E8</v>
      </c>
      <c r="G82" s="13" t="s">
        <v>27</v>
      </c>
      <c r="H82" s="13" t="s">
        <v>27</v>
      </c>
      <c r="I82" s="20" t="s">
        <v>798</v>
      </c>
      <c r="J82" s="20"/>
      <c r="K82" s="13" t="s">
        <v>65</v>
      </c>
      <c r="L82" s="26"/>
      <c r="M82" s="27" t="s">
        <v>88</v>
      </c>
      <c r="N82" s="13" t="s">
        <v>56</v>
      </c>
      <c r="O82" s="13" t="s">
        <v>42</v>
      </c>
      <c r="P82" s="32"/>
      <c r="Q82" s="13" t="s">
        <v>44</v>
      </c>
      <c r="R82" s="13" t="s">
        <v>68</v>
      </c>
      <c r="S82" s="32"/>
      <c r="T82" s="32"/>
      <c r="U82" s="26"/>
      <c r="V82" s="32"/>
    </row>
    <row r="83" hidden="1">
      <c r="A83" s="13">
        <v>82.0</v>
      </c>
      <c r="B83" s="15">
        <v>46117.0</v>
      </c>
      <c r="C83" s="13" t="s">
        <v>21</v>
      </c>
      <c r="D83" s="13" t="s">
        <v>57</v>
      </c>
      <c r="E83" s="20" t="s">
        <v>805</v>
      </c>
      <c r="F83" s="13">
        <v>5.66764197E8</v>
      </c>
      <c r="G83" s="20" t="s">
        <v>41</v>
      </c>
      <c r="H83" s="13" t="s">
        <v>27</v>
      </c>
      <c r="I83" s="20" t="s">
        <v>809</v>
      </c>
      <c r="J83" s="20"/>
      <c r="K83" s="13" t="s">
        <v>36</v>
      </c>
      <c r="L83" s="26"/>
      <c r="M83" s="27" t="s">
        <v>810</v>
      </c>
      <c r="N83" s="13" t="s">
        <v>56</v>
      </c>
      <c r="O83" s="13" t="s">
        <v>42</v>
      </c>
      <c r="P83" s="32"/>
      <c r="Q83" s="13" t="s">
        <v>44</v>
      </c>
      <c r="R83" s="13" t="s">
        <v>68</v>
      </c>
      <c r="S83" s="32"/>
      <c r="T83" s="32"/>
      <c r="U83" s="26"/>
      <c r="V83" s="32"/>
    </row>
    <row r="84" hidden="1">
      <c r="A84" s="13">
        <v>83.0</v>
      </c>
      <c r="B84" s="15">
        <v>46117.0</v>
      </c>
      <c r="C84" s="13" t="s">
        <v>58</v>
      </c>
      <c r="D84" s="13" t="s">
        <v>60</v>
      </c>
      <c r="E84" s="13" t="s">
        <v>27</v>
      </c>
      <c r="F84" s="13">
        <v>5.92780593E8</v>
      </c>
      <c r="G84" s="13" t="s">
        <v>27</v>
      </c>
      <c r="H84" s="13" t="s">
        <v>27</v>
      </c>
      <c r="I84" s="20" t="s">
        <v>233</v>
      </c>
      <c r="J84" s="20"/>
      <c r="K84" s="13" t="s">
        <v>36</v>
      </c>
      <c r="L84" s="26"/>
      <c r="M84" s="27" t="s">
        <v>88</v>
      </c>
      <c r="N84" s="13" t="s">
        <v>56</v>
      </c>
      <c r="O84" s="13" t="s">
        <v>42</v>
      </c>
      <c r="P84" s="32"/>
      <c r="Q84" s="13" t="s">
        <v>44</v>
      </c>
      <c r="R84" s="13" t="s">
        <v>68</v>
      </c>
      <c r="S84" s="32"/>
      <c r="T84" s="32"/>
      <c r="U84" s="26"/>
      <c r="V84" s="32"/>
    </row>
    <row r="85" hidden="1">
      <c r="A85" s="13">
        <v>84.0</v>
      </c>
      <c r="B85" s="15">
        <v>46117.0</v>
      </c>
      <c r="C85" s="13" t="s">
        <v>58</v>
      </c>
      <c r="D85" s="13" t="s">
        <v>60</v>
      </c>
      <c r="E85" s="13" t="s">
        <v>27</v>
      </c>
      <c r="F85" s="13">
        <v>5.47146166E8</v>
      </c>
      <c r="G85" s="13"/>
      <c r="H85" s="13" t="s">
        <v>27</v>
      </c>
      <c r="I85" s="20" t="s">
        <v>554</v>
      </c>
      <c r="J85" s="20"/>
      <c r="K85" s="13" t="s">
        <v>36</v>
      </c>
      <c r="L85" s="26"/>
      <c r="M85" s="27" t="s">
        <v>88</v>
      </c>
      <c r="N85" s="13" t="s">
        <v>56</v>
      </c>
      <c r="O85" s="13" t="s">
        <v>42</v>
      </c>
      <c r="P85" s="32"/>
      <c r="Q85" s="13" t="s">
        <v>44</v>
      </c>
      <c r="R85" s="13" t="s">
        <v>68</v>
      </c>
      <c r="S85" s="32"/>
      <c r="T85" s="32"/>
      <c r="U85" s="26"/>
      <c r="V85" s="32"/>
    </row>
    <row r="86" hidden="1">
      <c r="A86" s="13">
        <v>85.0</v>
      </c>
      <c r="B86" s="15">
        <v>46117.0</v>
      </c>
      <c r="C86" s="13" t="s">
        <v>47</v>
      </c>
      <c r="D86" s="13" t="s">
        <v>48</v>
      </c>
      <c r="E86" s="20" t="s">
        <v>828</v>
      </c>
      <c r="F86" s="55">
        <v>5.35371334E8</v>
      </c>
      <c r="G86" s="20" t="s">
        <v>28</v>
      </c>
      <c r="H86" s="13" t="s">
        <v>830</v>
      </c>
      <c r="I86" s="20" t="s">
        <v>831</v>
      </c>
      <c r="J86" s="20" t="s">
        <v>833</v>
      </c>
      <c r="K86" s="13" t="s">
        <v>36</v>
      </c>
      <c r="L86" s="26"/>
      <c r="M86" s="27" t="s">
        <v>55</v>
      </c>
      <c r="N86" s="13" t="s">
        <v>56</v>
      </c>
      <c r="O86" s="13" t="s">
        <v>42</v>
      </c>
      <c r="P86" s="32"/>
      <c r="Q86" s="13" t="s">
        <v>44</v>
      </c>
      <c r="R86" s="13" t="s">
        <v>46</v>
      </c>
      <c r="S86" s="32"/>
      <c r="T86" s="32"/>
      <c r="U86" s="26"/>
      <c r="V86" s="32"/>
    </row>
    <row r="87" hidden="1">
      <c r="A87" s="13">
        <v>86.0</v>
      </c>
      <c r="B87" s="15">
        <v>46117.0</v>
      </c>
      <c r="C87" s="13" t="s">
        <v>21</v>
      </c>
      <c r="D87" s="13" t="s">
        <v>22</v>
      </c>
      <c r="E87" s="20" t="s">
        <v>835</v>
      </c>
      <c r="F87" s="13">
        <v>5.05205555E8</v>
      </c>
      <c r="G87" s="20" t="s">
        <v>152</v>
      </c>
      <c r="H87" s="13" t="s">
        <v>27</v>
      </c>
      <c r="I87" s="20" t="s">
        <v>837</v>
      </c>
      <c r="J87" s="20" t="s">
        <v>35</v>
      </c>
      <c r="K87" s="13" t="s">
        <v>321</v>
      </c>
      <c r="L87" s="26"/>
      <c r="M87" s="27" t="s">
        <v>38</v>
      </c>
      <c r="N87" s="13" t="s">
        <v>40</v>
      </c>
      <c r="O87" s="13" t="s">
        <v>42</v>
      </c>
      <c r="P87" s="32"/>
      <c r="Q87" s="13" t="s">
        <v>49</v>
      </c>
      <c r="R87" s="13" t="s">
        <v>46</v>
      </c>
      <c r="S87" s="32"/>
      <c r="T87" s="32"/>
      <c r="U87" s="26"/>
      <c r="V87" s="32"/>
    </row>
    <row r="88" hidden="1">
      <c r="A88" s="13">
        <v>87.0</v>
      </c>
      <c r="B88" s="15">
        <v>46117.0</v>
      </c>
      <c r="C88" s="13" t="s">
        <v>21</v>
      </c>
      <c r="D88" s="13" t="s">
        <v>24</v>
      </c>
      <c r="E88" s="20" t="s">
        <v>842</v>
      </c>
      <c r="F88" s="13">
        <v>5.5674676E8</v>
      </c>
      <c r="G88" s="20" t="s">
        <v>79</v>
      </c>
      <c r="H88" s="13" t="s">
        <v>27</v>
      </c>
      <c r="I88" s="20" t="s">
        <v>844</v>
      </c>
      <c r="J88" s="20"/>
      <c r="K88" s="13" t="s">
        <v>36</v>
      </c>
      <c r="L88" s="26"/>
      <c r="M88" s="27" t="s">
        <v>38</v>
      </c>
      <c r="N88" s="13" t="s">
        <v>40</v>
      </c>
      <c r="O88" s="13" t="s">
        <v>42</v>
      </c>
      <c r="P88" s="32"/>
      <c r="Q88" s="13" t="s">
        <v>44</v>
      </c>
      <c r="R88" s="13" t="s">
        <v>46</v>
      </c>
      <c r="S88" s="32"/>
      <c r="T88" s="32"/>
      <c r="U88" s="26"/>
      <c r="V88" s="32"/>
    </row>
    <row r="89" hidden="1">
      <c r="A89" s="13">
        <v>88.0</v>
      </c>
      <c r="B89" s="15">
        <v>46117.0</v>
      </c>
      <c r="C89" s="13" t="s">
        <v>21</v>
      </c>
      <c r="D89" s="13" t="s">
        <v>22</v>
      </c>
      <c r="E89" s="20" t="s">
        <v>848</v>
      </c>
      <c r="F89" s="13">
        <v>5.70000145E8</v>
      </c>
      <c r="G89" s="20" t="s">
        <v>71</v>
      </c>
      <c r="H89" s="13" t="s">
        <v>27</v>
      </c>
      <c r="I89" s="20" t="s">
        <v>849</v>
      </c>
      <c r="J89" s="20"/>
      <c r="K89" s="13" t="s">
        <v>36</v>
      </c>
      <c r="L89" s="26"/>
      <c r="M89" s="27" t="s">
        <v>38</v>
      </c>
      <c r="N89" s="13" t="s">
        <v>40</v>
      </c>
      <c r="O89" s="13" t="s">
        <v>42</v>
      </c>
      <c r="P89" s="32"/>
      <c r="Q89" s="13" t="s">
        <v>44</v>
      </c>
      <c r="R89" s="13" t="s">
        <v>46</v>
      </c>
      <c r="S89" s="32"/>
      <c r="T89" s="32"/>
      <c r="U89" s="26"/>
      <c r="V89" s="32"/>
    </row>
    <row r="90" hidden="1">
      <c r="A90" s="13">
        <v>89.0</v>
      </c>
      <c r="B90" s="15">
        <v>46117.0</v>
      </c>
      <c r="C90" s="13" t="s">
        <v>21</v>
      </c>
      <c r="D90" s="13" t="s">
        <v>22</v>
      </c>
      <c r="E90" s="20" t="s">
        <v>853</v>
      </c>
      <c r="F90" s="13">
        <v>5.3583523E8</v>
      </c>
      <c r="G90" s="20" t="s">
        <v>854</v>
      </c>
      <c r="H90" s="13" t="s">
        <v>27</v>
      </c>
      <c r="I90" s="20" t="s">
        <v>855</v>
      </c>
      <c r="J90" s="20" t="s">
        <v>35</v>
      </c>
      <c r="K90" s="13" t="s">
        <v>36</v>
      </c>
      <c r="L90" s="26"/>
      <c r="M90" s="27" t="s">
        <v>125</v>
      </c>
      <c r="N90" s="13" t="s">
        <v>40</v>
      </c>
      <c r="O90" s="13" t="s">
        <v>42</v>
      </c>
      <c r="P90" s="32"/>
      <c r="Q90" s="13" t="s">
        <v>49</v>
      </c>
      <c r="R90" s="13" t="s">
        <v>46</v>
      </c>
      <c r="S90" s="32"/>
      <c r="T90" s="32"/>
      <c r="U90" s="26"/>
      <c r="V90" s="32"/>
    </row>
    <row r="91" hidden="1">
      <c r="A91" s="13">
        <v>90.0</v>
      </c>
      <c r="B91" s="15">
        <v>46117.0</v>
      </c>
      <c r="C91" s="13" t="s">
        <v>58</v>
      </c>
      <c r="D91" s="13" t="s">
        <v>60</v>
      </c>
      <c r="E91" s="13" t="s">
        <v>27</v>
      </c>
      <c r="F91" s="13">
        <v>5.70054992E8</v>
      </c>
      <c r="G91" s="13" t="s">
        <v>27</v>
      </c>
      <c r="H91" s="13" t="s">
        <v>27</v>
      </c>
      <c r="I91" s="20" t="s">
        <v>554</v>
      </c>
      <c r="J91" s="20"/>
      <c r="K91" s="13" t="s">
        <v>36</v>
      </c>
      <c r="L91" s="26"/>
      <c r="M91" s="27" t="s">
        <v>88</v>
      </c>
      <c r="N91" s="13" t="s">
        <v>56</v>
      </c>
      <c r="O91" s="13" t="s">
        <v>42</v>
      </c>
      <c r="P91" s="32"/>
      <c r="Q91" s="13" t="s">
        <v>44</v>
      </c>
      <c r="R91" s="13" t="s">
        <v>68</v>
      </c>
      <c r="S91" s="32"/>
      <c r="T91" s="32"/>
      <c r="U91" s="26"/>
      <c r="V91" s="32"/>
    </row>
    <row r="92" hidden="1">
      <c r="A92" s="13">
        <v>91.0</v>
      </c>
      <c r="B92" s="15">
        <v>46118.0</v>
      </c>
      <c r="C92" s="13" t="s">
        <v>58</v>
      </c>
      <c r="D92" s="13" t="s">
        <v>60</v>
      </c>
      <c r="E92" s="13" t="s">
        <v>27</v>
      </c>
      <c r="F92" s="13">
        <v>5.32612116E8</v>
      </c>
      <c r="G92" s="13" t="s">
        <v>27</v>
      </c>
      <c r="H92" s="13" t="s">
        <v>27</v>
      </c>
      <c r="I92" s="20" t="s">
        <v>554</v>
      </c>
      <c r="J92" s="20" t="s">
        <v>35</v>
      </c>
      <c r="K92" s="13" t="s">
        <v>36</v>
      </c>
      <c r="L92" s="26"/>
      <c r="M92" s="27" t="s">
        <v>88</v>
      </c>
      <c r="N92" s="13" t="s">
        <v>56</v>
      </c>
      <c r="O92" s="13" t="s">
        <v>42</v>
      </c>
      <c r="P92" s="32"/>
      <c r="Q92" s="13" t="s">
        <v>49</v>
      </c>
      <c r="R92" s="13" t="s">
        <v>68</v>
      </c>
      <c r="S92" s="32"/>
      <c r="T92" s="32"/>
      <c r="U92" s="26"/>
      <c r="V92" s="32"/>
    </row>
    <row r="93" hidden="1">
      <c r="A93" s="13">
        <v>92.0</v>
      </c>
      <c r="B93" s="15">
        <v>46118.0</v>
      </c>
      <c r="C93" s="13" t="s">
        <v>58</v>
      </c>
      <c r="D93" s="13" t="s">
        <v>60</v>
      </c>
      <c r="E93" s="20" t="s">
        <v>871</v>
      </c>
      <c r="F93" s="13">
        <v>5.60833921E8</v>
      </c>
      <c r="G93" s="20" t="s">
        <v>79</v>
      </c>
      <c r="H93" s="13" t="s">
        <v>142</v>
      </c>
      <c r="I93" s="20" t="s">
        <v>875</v>
      </c>
      <c r="J93" s="20" t="s">
        <v>877</v>
      </c>
      <c r="K93" s="13" t="s">
        <v>36</v>
      </c>
      <c r="L93" s="26"/>
      <c r="M93" s="27" t="s">
        <v>88</v>
      </c>
      <c r="N93" s="13" t="s">
        <v>56</v>
      </c>
      <c r="O93" s="13" t="s">
        <v>42</v>
      </c>
      <c r="P93" s="32"/>
      <c r="Q93" s="13" t="s">
        <v>49</v>
      </c>
      <c r="R93" s="13" t="s">
        <v>46</v>
      </c>
      <c r="S93" s="32"/>
      <c r="T93" s="32"/>
      <c r="U93" s="26"/>
      <c r="V93" s="32"/>
    </row>
    <row r="94" hidden="1">
      <c r="A94" s="13">
        <v>93.0</v>
      </c>
      <c r="B94" s="15">
        <v>46118.0</v>
      </c>
      <c r="C94" s="13" t="s">
        <v>47</v>
      </c>
      <c r="D94" s="13" t="s">
        <v>48</v>
      </c>
      <c r="E94" s="20" t="s">
        <v>883</v>
      </c>
      <c r="F94" s="55">
        <v>5.04105531E8</v>
      </c>
      <c r="G94" s="20" t="s">
        <v>41</v>
      </c>
      <c r="H94" s="13" t="s">
        <v>97</v>
      </c>
      <c r="I94" s="20" t="s">
        <v>886</v>
      </c>
      <c r="J94" s="20" t="s">
        <v>888</v>
      </c>
      <c r="K94" s="13" t="s">
        <v>65</v>
      </c>
      <c r="L94" s="26"/>
      <c r="M94" s="27" t="s">
        <v>55</v>
      </c>
      <c r="N94" s="13" t="s">
        <v>56</v>
      </c>
      <c r="O94" s="13" t="s">
        <v>42</v>
      </c>
      <c r="P94" s="32"/>
      <c r="Q94" s="13" t="s">
        <v>44</v>
      </c>
      <c r="R94" s="13" t="s">
        <v>46</v>
      </c>
      <c r="S94" s="32"/>
      <c r="T94" s="32"/>
      <c r="U94" s="26"/>
      <c r="V94" s="32"/>
    </row>
    <row r="95" hidden="1">
      <c r="A95" s="13">
        <v>94.0</v>
      </c>
      <c r="B95" s="15">
        <v>46118.0</v>
      </c>
      <c r="C95" s="13" t="s">
        <v>58</v>
      </c>
      <c r="D95" s="13" t="s">
        <v>60</v>
      </c>
      <c r="E95" s="13" t="s">
        <v>27</v>
      </c>
      <c r="F95" s="13">
        <v>5.35170049E8</v>
      </c>
      <c r="G95" s="13" t="s">
        <v>27</v>
      </c>
      <c r="H95" s="13" t="s">
        <v>27</v>
      </c>
      <c r="I95" s="20" t="s">
        <v>895</v>
      </c>
      <c r="J95" s="20"/>
      <c r="K95" s="13" t="s">
        <v>65</v>
      </c>
      <c r="L95" s="26"/>
      <c r="M95" s="27" t="s">
        <v>38</v>
      </c>
      <c r="N95" s="13" t="s">
        <v>56</v>
      </c>
      <c r="O95" s="13" t="s">
        <v>42</v>
      </c>
      <c r="P95" s="32"/>
      <c r="Q95" s="13" t="s">
        <v>44</v>
      </c>
      <c r="R95" s="13" t="s">
        <v>68</v>
      </c>
      <c r="S95" s="32"/>
      <c r="T95" s="32"/>
      <c r="U95" s="26"/>
      <c r="V95" s="32"/>
    </row>
    <row r="96" hidden="1">
      <c r="A96" s="13">
        <v>95.0</v>
      </c>
      <c r="B96" s="15">
        <v>46118.0</v>
      </c>
      <c r="C96" s="13" t="s">
        <v>21</v>
      </c>
      <c r="D96" s="13" t="s">
        <v>22</v>
      </c>
      <c r="E96" s="20" t="s">
        <v>898</v>
      </c>
      <c r="F96" s="13">
        <v>5.36277466E8</v>
      </c>
      <c r="G96" s="20" t="s">
        <v>79</v>
      </c>
      <c r="H96" s="13" t="s">
        <v>27</v>
      </c>
      <c r="I96" s="20" t="s">
        <v>899</v>
      </c>
      <c r="J96" s="20"/>
      <c r="K96" s="13" t="s">
        <v>36</v>
      </c>
      <c r="L96" s="26"/>
      <c r="M96" s="27" t="s">
        <v>38</v>
      </c>
      <c r="N96" s="13" t="s">
        <v>40</v>
      </c>
      <c r="O96" s="13" t="s">
        <v>42</v>
      </c>
      <c r="P96" s="32"/>
      <c r="Q96" s="13" t="s">
        <v>44</v>
      </c>
      <c r="R96" s="13" t="s">
        <v>46</v>
      </c>
      <c r="S96" s="32"/>
      <c r="T96" s="32"/>
      <c r="U96" s="26"/>
      <c r="V96" s="32"/>
    </row>
    <row r="97" hidden="1">
      <c r="A97" s="13">
        <v>96.0</v>
      </c>
      <c r="B97" s="15">
        <v>46118.0</v>
      </c>
      <c r="C97" s="13" t="s">
        <v>47</v>
      </c>
      <c r="D97" s="13" t="s">
        <v>92</v>
      </c>
      <c r="E97" s="20" t="s">
        <v>904</v>
      </c>
      <c r="F97" s="13">
        <v>5.90242134E8</v>
      </c>
      <c r="G97" s="20" t="s">
        <v>71</v>
      </c>
      <c r="H97" s="13" t="s">
        <v>94</v>
      </c>
      <c r="I97" s="20" t="s">
        <v>905</v>
      </c>
      <c r="J97" s="20" t="s">
        <v>907</v>
      </c>
      <c r="K97" s="13" t="s">
        <v>36</v>
      </c>
      <c r="L97" s="26"/>
      <c r="M97" s="27" t="s">
        <v>55</v>
      </c>
      <c r="N97" s="13" t="s">
        <v>56</v>
      </c>
      <c r="O97" s="13" t="s">
        <v>301</v>
      </c>
      <c r="P97" s="32"/>
      <c r="Q97" s="13" t="s">
        <v>44</v>
      </c>
      <c r="R97" s="13" t="s">
        <v>46</v>
      </c>
      <c r="S97" s="32"/>
      <c r="T97" s="32"/>
      <c r="U97" s="26"/>
      <c r="V97" s="32"/>
    </row>
    <row r="98" hidden="1">
      <c r="A98" s="13">
        <v>97.0</v>
      </c>
      <c r="B98" s="15">
        <v>46118.0</v>
      </c>
      <c r="C98" s="13" t="s">
        <v>21</v>
      </c>
      <c r="D98" s="13" t="s">
        <v>22</v>
      </c>
      <c r="E98" s="20" t="s">
        <v>916</v>
      </c>
      <c r="F98" s="55">
        <v>5.65087963E8</v>
      </c>
      <c r="G98" s="13" t="s">
        <v>27</v>
      </c>
      <c r="H98" s="13" t="s">
        <v>27</v>
      </c>
      <c r="I98" s="20" t="s">
        <v>918</v>
      </c>
      <c r="J98" s="20"/>
      <c r="K98" s="13" t="s">
        <v>65</v>
      </c>
      <c r="L98" s="26"/>
      <c r="M98" s="27" t="s">
        <v>38</v>
      </c>
      <c r="N98" s="13" t="s">
        <v>40</v>
      </c>
      <c r="O98" s="13" t="s">
        <v>42</v>
      </c>
      <c r="P98" s="32"/>
      <c r="Q98" s="13" t="s">
        <v>44</v>
      </c>
      <c r="R98" s="13" t="s">
        <v>46</v>
      </c>
      <c r="S98" s="32"/>
      <c r="T98" s="32"/>
      <c r="U98" s="26"/>
      <c r="V98" s="32"/>
    </row>
    <row r="99" ht="45.0" hidden="1" customHeight="1">
      <c r="A99" s="13">
        <v>98.0</v>
      </c>
      <c r="B99" s="15">
        <v>46118.0</v>
      </c>
      <c r="C99" s="13" t="s">
        <v>47</v>
      </c>
      <c r="D99" s="13" t="s">
        <v>92</v>
      </c>
      <c r="E99" s="20" t="s">
        <v>923</v>
      </c>
      <c r="F99" s="13">
        <v>5.51871417E8</v>
      </c>
      <c r="G99" s="20" t="s">
        <v>71</v>
      </c>
      <c r="H99" s="13" t="s">
        <v>94</v>
      </c>
      <c r="I99" s="20" t="s">
        <v>927</v>
      </c>
      <c r="J99" s="20" t="s">
        <v>928</v>
      </c>
      <c r="K99" s="13" t="s">
        <v>36</v>
      </c>
      <c r="L99" s="26"/>
      <c r="M99" s="27" t="s">
        <v>55</v>
      </c>
      <c r="N99" s="13" t="s">
        <v>56</v>
      </c>
      <c r="O99" s="13" t="s">
        <v>301</v>
      </c>
      <c r="P99" s="32"/>
      <c r="Q99" s="13" t="s">
        <v>49</v>
      </c>
      <c r="R99" s="13" t="s">
        <v>46</v>
      </c>
      <c r="S99" s="32"/>
      <c r="T99" s="32"/>
      <c r="U99" s="26"/>
      <c r="V99" s="32"/>
    </row>
    <row r="100" hidden="1">
      <c r="A100" s="13">
        <v>99.0</v>
      </c>
      <c r="B100" s="15">
        <v>46118.0</v>
      </c>
      <c r="C100" s="13" t="s">
        <v>58</v>
      </c>
      <c r="D100" s="13" t="s">
        <v>34</v>
      </c>
      <c r="E100" s="13" t="s">
        <v>27</v>
      </c>
      <c r="F100" s="13">
        <v>5.53525118E8</v>
      </c>
      <c r="G100" s="13" t="s">
        <v>27</v>
      </c>
      <c r="H100" s="13" t="s">
        <v>27</v>
      </c>
      <c r="I100" s="20" t="s">
        <v>298</v>
      </c>
      <c r="J100" s="20"/>
      <c r="K100" s="13" t="s">
        <v>36</v>
      </c>
      <c r="L100" s="26"/>
      <c r="M100" s="27" t="s">
        <v>88</v>
      </c>
      <c r="N100" s="13" t="s">
        <v>56</v>
      </c>
      <c r="O100" s="13" t="s">
        <v>42</v>
      </c>
      <c r="P100" s="32"/>
      <c r="Q100" s="13" t="s">
        <v>44</v>
      </c>
      <c r="R100" s="13" t="s">
        <v>68</v>
      </c>
      <c r="S100" s="32"/>
      <c r="T100" s="32"/>
      <c r="U100" s="26"/>
      <c r="V100" s="32"/>
    </row>
    <row r="101" hidden="1">
      <c r="A101" s="13">
        <v>100.0</v>
      </c>
      <c r="B101" s="15">
        <v>46118.0</v>
      </c>
      <c r="C101" s="13" t="s">
        <v>58</v>
      </c>
      <c r="D101" s="13" t="s">
        <v>60</v>
      </c>
      <c r="E101" s="13" t="s">
        <v>27</v>
      </c>
      <c r="F101" s="13">
        <v>5.36670542E8</v>
      </c>
      <c r="G101" s="13" t="s">
        <v>942</v>
      </c>
      <c r="H101" s="13" t="s">
        <v>27</v>
      </c>
      <c r="I101" s="20" t="s">
        <v>944</v>
      </c>
      <c r="J101" s="20"/>
      <c r="K101" s="13" t="s">
        <v>36</v>
      </c>
      <c r="L101" s="26"/>
      <c r="M101" s="27" t="s">
        <v>88</v>
      </c>
      <c r="N101" s="13" t="s">
        <v>56</v>
      </c>
      <c r="O101" s="13" t="s">
        <v>42</v>
      </c>
      <c r="P101" s="32"/>
      <c r="Q101" s="13" t="s">
        <v>44</v>
      </c>
      <c r="R101" s="13" t="s">
        <v>68</v>
      </c>
      <c r="S101" s="32"/>
      <c r="T101" s="32"/>
      <c r="U101" s="26"/>
      <c r="V101" s="32"/>
    </row>
    <row r="102" hidden="1">
      <c r="A102" s="13">
        <v>101.0</v>
      </c>
      <c r="B102" s="15">
        <v>46118.0</v>
      </c>
      <c r="C102" s="13" t="s">
        <v>47</v>
      </c>
      <c r="D102" s="13" t="s">
        <v>48</v>
      </c>
      <c r="E102" s="13" t="s">
        <v>951</v>
      </c>
      <c r="F102" s="13" t="s">
        <v>27</v>
      </c>
      <c r="G102" s="20" t="s">
        <v>41</v>
      </c>
      <c r="H102" s="13" t="s">
        <v>956</v>
      </c>
      <c r="I102" s="20" t="s">
        <v>957</v>
      </c>
      <c r="J102" s="20" t="s">
        <v>958</v>
      </c>
      <c r="K102" s="13" t="s">
        <v>78</v>
      </c>
      <c r="L102" s="26"/>
      <c r="M102" s="27" t="s">
        <v>55</v>
      </c>
      <c r="N102" s="13" t="s">
        <v>56</v>
      </c>
      <c r="O102" s="13" t="s">
        <v>42</v>
      </c>
      <c r="P102" s="32"/>
      <c r="Q102" s="13" t="s">
        <v>49</v>
      </c>
      <c r="R102" s="13" t="s">
        <v>46</v>
      </c>
      <c r="S102" s="32"/>
      <c r="T102" s="32"/>
      <c r="U102" s="26"/>
      <c r="V102" s="32"/>
    </row>
    <row r="103" ht="102.0" hidden="1" customHeight="1">
      <c r="A103" s="13">
        <v>102.0</v>
      </c>
      <c r="B103" s="15">
        <v>46118.0</v>
      </c>
      <c r="C103" s="13" t="s">
        <v>47</v>
      </c>
      <c r="D103" s="13" t="s">
        <v>48</v>
      </c>
      <c r="E103" s="20" t="s">
        <v>964</v>
      </c>
      <c r="F103" s="13">
        <v>5.55804686E8</v>
      </c>
      <c r="G103" s="20" t="s">
        <v>333</v>
      </c>
      <c r="H103" s="13" t="s">
        <v>650</v>
      </c>
      <c r="I103" s="78" t="s">
        <v>966</v>
      </c>
      <c r="J103" s="20" t="s">
        <v>968</v>
      </c>
      <c r="K103" s="13" t="s">
        <v>36</v>
      </c>
      <c r="L103" s="26"/>
      <c r="M103" s="27" t="s">
        <v>55</v>
      </c>
      <c r="N103" s="13" t="s">
        <v>56</v>
      </c>
      <c r="O103" s="13" t="s">
        <v>42</v>
      </c>
      <c r="P103" s="32"/>
      <c r="Q103" s="13" t="s">
        <v>44</v>
      </c>
      <c r="R103" s="13" t="s">
        <v>46</v>
      </c>
      <c r="S103" s="32"/>
      <c r="T103" s="32"/>
      <c r="U103" s="26"/>
      <c r="V103" s="32"/>
    </row>
    <row r="104" hidden="1">
      <c r="A104" s="13">
        <v>103.0</v>
      </c>
      <c r="B104" s="15">
        <v>46118.0</v>
      </c>
      <c r="C104" s="13" t="s">
        <v>21</v>
      </c>
      <c r="D104" s="13" t="s">
        <v>66</v>
      </c>
      <c r="E104" s="20" t="s">
        <v>973</v>
      </c>
      <c r="F104" s="13">
        <v>5.50427666E8</v>
      </c>
      <c r="G104" s="20" t="s">
        <v>152</v>
      </c>
      <c r="H104" s="13" t="s">
        <v>27</v>
      </c>
      <c r="I104" s="20" t="s">
        <v>977</v>
      </c>
      <c r="J104" s="20" t="s">
        <v>35</v>
      </c>
      <c r="K104" s="13" t="s">
        <v>36</v>
      </c>
      <c r="L104" s="26"/>
      <c r="M104" s="27" t="s">
        <v>38</v>
      </c>
      <c r="N104" s="13" t="s">
        <v>56</v>
      </c>
      <c r="O104" s="13" t="s">
        <v>42</v>
      </c>
      <c r="P104" s="32"/>
      <c r="Q104" s="13" t="s">
        <v>49</v>
      </c>
      <c r="R104" s="13" t="s">
        <v>68</v>
      </c>
      <c r="S104" s="32"/>
      <c r="T104" s="32"/>
      <c r="U104" s="26"/>
      <c r="V104" s="32"/>
    </row>
    <row r="105" hidden="1">
      <c r="A105" s="13">
        <v>104.0</v>
      </c>
      <c r="B105" s="15">
        <v>46118.0</v>
      </c>
      <c r="C105" s="13" t="s">
        <v>47</v>
      </c>
      <c r="D105" s="13" t="s">
        <v>48</v>
      </c>
      <c r="E105" s="20" t="s">
        <v>983</v>
      </c>
      <c r="F105" s="13">
        <v>5.66561687E8</v>
      </c>
      <c r="G105" s="20" t="s">
        <v>41</v>
      </c>
      <c r="H105" s="13" t="s">
        <v>222</v>
      </c>
      <c r="I105" s="20" t="s">
        <v>985</v>
      </c>
      <c r="J105" s="20" t="s">
        <v>986</v>
      </c>
      <c r="K105" s="13" t="s">
        <v>36</v>
      </c>
      <c r="L105" s="26"/>
      <c r="M105" s="75" t="s">
        <v>555</v>
      </c>
      <c r="N105" s="13" t="s">
        <v>56</v>
      </c>
      <c r="O105" s="13" t="s">
        <v>42</v>
      </c>
      <c r="P105" s="32"/>
      <c r="Q105" s="13" t="s">
        <v>44</v>
      </c>
      <c r="R105" s="13" t="s">
        <v>46</v>
      </c>
      <c r="S105" s="32"/>
      <c r="T105" s="32"/>
      <c r="U105" s="26"/>
      <c r="V105" s="32"/>
    </row>
    <row r="106" hidden="1">
      <c r="A106" s="13">
        <v>105.0</v>
      </c>
      <c r="B106" s="15">
        <v>46118.0</v>
      </c>
      <c r="C106" s="13" t="s">
        <v>58</v>
      </c>
      <c r="D106" s="13" t="s">
        <v>60</v>
      </c>
      <c r="E106" s="13" t="s">
        <v>27</v>
      </c>
      <c r="F106" s="13">
        <v>5.31097876E8</v>
      </c>
      <c r="G106" s="13" t="s">
        <v>27</v>
      </c>
      <c r="H106" s="13" t="s">
        <v>27</v>
      </c>
      <c r="I106" s="20" t="s">
        <v>298</v>
      </c>
      <c r="J106" s="20"/>
      <c r="K106" s="13" t="s">
        <v>36</v>
      </c>
      <c r="L106" s="26"/>
      <c r="M106" s="27" t="s">
        <v>88</v>
      </c>
      <c r="N106" s="13" t="s">
        <v>56</v>
      </c>
      <c r="O106" s="13" t="s">
        <v>42</v>
      </c>
      <c r="P106" s="32"/>
      <c r="Q106" s="13" t="s">
        <v>44</v>
      </c>
      <c r="R106" s="13" t="s">
        <v>68</v>
      </c>
      <c r="S106" s="32"/>
      <c r="T106" s="32"/>
      <c r="U106" s="26"/>
      <c r="V106" s="32"/>
    </row>
    <row r="107" hidden="1">
      <c r="A107" s="13">
        <v>106.0</v>
      </c>
      <c r="B107" s="15">
        <v>46118.0</v>
      </c>
      <c r="C107" s="13" t="s">
        <v>21</v>
      </c>
      <c r="D107" s="13" t="s">
        <v>24</v>
      </c>
      <c r="E107" s="20" t="s">
        <v>997</v>
      </c>
      <c r="F107" s="13">
        <v>5.58238729E8</v>
      </c>
      <c r="G107" s="20" t="s">
        <v>999</v>
      </c>
      <c r="H107" s="13" t="s">
        <v>27</v>
      </c>
      <c r="I107" s="20" t="s">
        <v>1002</v>
      </c>
      <c r="J107" s="20"/>
      <c r="K107" s="13" t="s">
        <v>62</v>
      </c>
      <c r="L107" s="26"/>
      <c r="M107" s="27" t="s">
        <v>38</v>
      </c>
      <c r="N107" s="13" t="s">
        <v>40</v>
      </c>
      <c r="O107" s="13" t="s">
        <v>42</v>
      </c>
      <c r="P107" s="32"/>
      <c r="Q107" s="13" t="s">
        <v>44</v>
      </c>
      <c r="R107" s="13" t="s">
        <v>46</v>
      </c>
      <c r="S107" s="32"/>
      <c r="T107" s="32"/>
      <c r="U107" s="26"/>
      <c r="V107" s="32"/>
    </row>
    <row r="108" hidden="1">
      <c r="A108" s="13">
        <v>107.0</v>
      </c>
      <c r="B108" s="15">
        <v>46118.0</v>
      </c>
      <c r="C108" s="13" t="s">
        <v>21</v>
      </c>
      <c r="D108" s="13" t="s">
        <v>24</v>
      </c>
      <c r="E108" s="20" t="s">
        <v>1004</v>
      </c>
      <c r="F108" s="13">
        <v>5.97389933E8</v>
      </c>
      <c r="G108" s="20" t="s">
        <v>267</v>
      </c>
      <c r="H108" s="13" t="s">
        <v>27</v>
      </c>
      <c r="I108" s="20" t="s">
        <v>1006</v>
      </c>
      <c r="J108" s="20"/>
      <c r="K108" s="13" t="s">
        <v>36</v>
      </c>
      <c r="L108" s="26"/>
      <c r="M108" s="27" t="s">
        <v>38</v>
      </c>
      <c r="N108" s="13" t="s">
        <v>40</v>
      </c>
      <c r="O108" s="13" t="s">
        <v>42</v>
      </c>
      <c r="P108" s="32"/>
      <c r="Q108" s="13" t="s">
        <v>44</v>
      </c>
      <c r="R108" s="13" t="s">
        <v>46</v>
      </c>
      <c r="S108" s="32"/>
      <c r="T108" s="32"/>
      <c r="U108" s="26"/>
      <c r="V108" s="32"/>
    </row>
    <row r="109" hidden="1">
      <c r="A109" s="13">
        <v>108.0</v>
      </c>
      <c r="B109" s="15">
        <v>46118.0</v>
      </c>
      <c r="C109" s="13" t="s">
        <v>58</v>
      </c>
      <c r="D109" s="13" t="s">
        <v>60</v>
      </c>
      <c r="E109" s="13" t="s">
        <v>27</v>
      </c>
      <c r="F109" s="13">
        <v>5.55517153E8</v>
      </c>
      <c r="G109" s="13" t="s">
        <v>27</v>
      </c>
      <c r="H109" s="13" t="s">
        <v>27</v>
      </c>
      <c r="I109" s="20" t="s">
        <v>554</v>
      </c>
      <c r="J109" s="20"/>
      <c r="K109" s="13" t="s">
        <v>36</v>
      </c>
      <c r="L109" s="26"/>
      <c r="M109" s="27" t="s">
        <v>88</v>
      </c>
      <c r="N109" s="13" t="s">
        <v>56</v>
      </c>
      <c r="O109" s="13" t="s">
        <v>42</v>
      </c>
      <c r="P109" s="32"/>
      <c r="Q109" s="13" t="s">
        <v>44</v>
      </c>
      <c r="R109" s="13" t="s">
        <v>68</v>
      </c>
      <c r="S109" s="32"/>
      <c r="T109" s="32"/>
      <c r="U109" s="26"/>
      <c r="V109" s="32"/>
    </row>
    <row r="110" hidden="1">
      <c r="A110" s="13">
        <v>109.0</v>
      </c>
      <c r="B110" s="15">
        <v>46118.0</v>
      </c>
      <c r="C110" s="13" t="s">
        <v>58</v>
      </c>
      <c r="D110" s="13" t="s">
        <v>60</v>
      </c>
      <c r="E110" s="13" t="s">
        <v>27</v>
      </c>
      <c r="F110" s="13">
        <v>5.39982205E8</v>
      </c>
      <c r="G110" s="13" t="s">
        <v>27</v>
      </c>
      <c r="H110" s="13" t="s">
        <v>27</v>
      </c>
      <c r="I110" s="20" t="s">
        <v>554</v>
      </c>
      <c r="J110" s="20"/>
      <c r="K110" s="13" t="s">
        <v>36</v>
      </c>
      <c r="L110" s="26"/>
      <c r="M110" s="27" t="s">
        <v>88</v>
      </c>
      <c r="N110" s="13" t="s">
        <v>56</v>
      </c>
      <c r="O110" s="13" t="s">
        <v>42</v>
      </c>
      <c r="P110" s="32"/>
      <c r="Q110" s="13" t="s">
        <v>44</v>
      </c>
      <c r="R110" s="13" t="s">
        <v>68</v>
      </c>
      <c r="S110" s="32"/>
      <c r="T110" s="32"/>
      <c r="U110" s="26"/>
      <c r="V110" s="32"/>
    </row>
    <row r="111" hidden="1">
      <c r="A111" s="13">
        <v>110.0</v>
      </c>
      <c r="B111" s="15">
        <v>46118.0</v>
      </c>
      <c r="C111" s="13" t="s">
        <v>58</v>
      </c>
      <c r="D111" s="13" t="s">
        <v>60</v>
      </c>
      <c r="E111" s="13" t="s">
        <v>27</v>
      </c>
      <c r="F111" s="13">
        <v>5.92899942E8</v>
      </c>
      <c r="G111" s="13" t="s">
        <v>27</v>
      </c>
      <c r="H111" s="13" t="s">
        <v>27</v>
      </c>
      <c r="I111" s="20" t="s">
        <v>554</v>
      </c>
      <c r="J111" s="20"/>
      <c r="K111" s="13" t="s">
        <v>36</v>
      </c>
      <c r="L111" s="26"/>
      <c r="M111" s="27" t="s">
        <v>88</v>
      </c>
      <c r="N111" s="13" t="s">
        <v>56</v>
      </c>
      <c r="O111" s="13" t="s">
        <v>42</v>
      </c>
      <c r="P111" s="32"/>
      <c r="Q111" s="13" t="s">
        <v>44</v>
      </c>
      <c r="R111" s="13" t="s">
        <v>68</v>
      </c>
      <c r="S111" s="32"/>
      <c r="T111" s="32"/>
      <c r="U111" s="26"/>
      <c r="V111" s="32"/>
    </row>
    <row r="112" hidden="1">
      <c r="A112" s="13">
        <v>111.0</v>
      </c>
      <c r="B112" s="15">
        <v>46118.0</v>
      </c>
      <c r="C112" s="13" t="s">
        <v>21</v>
      </c>
      <c r="D112" s="13" t="s">
        <v>22</v>
      </c>
      <c r="E112" s="20" t="s">
        <v>1023</v>
      </c>
      <c r="F112" s="13">
        <v>5.5808848E8</v>
      </c>
      <c r="G112" s="20" t="s">
        <v>71</v>
      </c>
      <c r="H112" s="13" t="s">
        <v>27</v>
      </c>
      <c r="I112" s="20" t="s">
        <v>1024</v>
      </c>
      <c r="J112" s="20"/>
      <c r="K112" s="13" t="s">
        <v>36</v>
      </c>
      <c r="L112" s="26"/>
      <c r="M112" s="27" t="s">
        <v>38</v>
      </c>
      <c r="N112" s="13" t="s">
        <v>40</v>
      </c>
      <c r="O112" s="13" t="s">
        <v>42</v>
      </c>
      <c r="P112" s="32"/>
      <c r="Q112" s="13" t="s">
        <v>44</v>
      </c>
      <c r="R112" s="13" t="s">
        <v>46</v>
      </c>
      <c r="S112" s="32"/>
      <c r="T112" s="32"/>
      <c r="U112" s="26"/>
      <c r="V112" s="32"/>
    </row>
    <row r="113" hidden="1">
      <c r="A113" s="13">
        <v>112.0</v>
      </c>
      <c r="B113" s="15">
        <v>46118.0</v>
      </c>
      <c r="C113" s="13" t="s">
        <v>58</v>
      </c>
      <c r="D113" s="13" t="s">
        <v>60</v>
      </c>
      <c r="E113" s="20" t="s">
        <v>734</v>
      </c>
      <c r="F113" s="13">
        <v>5.08536661E8</v>
      </c>
      <c r="G113" s="20" t="s">
        <v>362</v>
      </c>
      <c r="H113" s="92" t="s">
        <v>1029</v>
      </c>
      <c r="I113" s="20" t="s">
        <v>1030</v>
      </c>
      <c r="J113" s="20" t="s">
        <v>1031</v>
      </c>
      <c r="K113" s="13" t="s">
        <v>36</v>
      </c>
      <c r="L113" s="26"/>
      <c r="M113" s="27" t="s">
        <v>88</v>
      </c>
      <c r="N113" s="13" t="s">
        <v>56</v>
      </c>
      <c r="O113" s="13" t="s">
        <v>42</v>
      </c>
      <c r="P113" s="32"/>
      <c r="Q113" s="13" t="s">
        <v>44</v>
      </c>
      <c r="R113" s="13" t="s">
        <v>68</v>
      </c>
      <c r="S113" s="32"/>
      <c r="T113" s="32"/>
      <c r="U113" s="26"/>
      <c r="V113" s="32"/>
    </row>
    <row r="114" hidden="1">
      <c r="A114" s="13">
        <v>113.0</v>
      </c>
      <c r="B114" s="15">
        <v>46118.0</v>
      </c>
      <c r="C114" s="13" t="s">
        <v>21</v>
      </c>
      <c r="D114" s="13" t="s">
        <v>22</v>
      </c>
      <c r="E114" s="20" t="s">
        <v>1032</v>
      </c>
      <c r="F114" s="13">
        <v>5.50007279E8</v>
      </c>
      <c r="G114" s="20" t="s">
        <v>41</v>
      </c>
      <c r="H114" s="13" t="s">
        <v>27</v>
      </c>
      <c r="I114" s="20" t="s">
        <v>1034</v>
      </c>
      <c r="J114" s="20"/>
      <c r="K114" s="13" t="s">
        <v>36</v>
      </c>
      <c r="L114" s="26"/>
      <c r="M114" s="27" t="s">
        <v>38</v>
      </c>
      <c r="N114" s="13" t="s">
        <v>40</v>
      </c>
      <c r="O114" s="13" t="s">
        <v>42</v>
      </c>
      <c r="P114" s="32"/>
      <c r="Q114" s="13" t="s">
        <v>44</v>
      </c>
      <c r="R114" s="13" t="s">
        <v>46</v>
      </c>
      <c r="S114" s="32"/>
      <c r="T114" s="32"/>
      <c r="U114" s="26"/>
      <c r="V114" s="32"/>
    </row>
    <row r="115" hidden="1">
      <c r="A115" s="13">
        <v>114.0</v>
      </c>
      <c r="B115" s="15">
        <v>46118.0</v>
      </c>
      <c r="C115" s="13" t="s">
        <v>21</v>
      </c>
      <c r="D115" s="13" t="s">
        <v>22</v>
      </c>
      <c r="E115" s="20" t="s">
        <v>1038</v>
      </c>
      <c r="F115" s="13">
        <v>5.08040177E8</v>
      </c>
      <c r="G115" s="20" t="s">
        <v>152</v>
      </c>
      <c r="H115" s="13" t="s">
        <v>27</v>
      </c>
      <c r="I115" s="20" t="s">
        <v>1039</v>
      </c>
      <c r="J115" s="20"/>
      <c r="K115" s="13" t="s">
        <v>36</v>
      </c>
      <c r="L115" s="26"/>
      <c r="M115" s="27" t="s">
        <v>38</v>
      </c>
      <c r="N115" s="13" t="s">
        <v>40</v>
      </c>
      <c r="O115" s="13" t="s">
        <v>42</v>
      </c>
      <c r="P115" s="32"/>
      <c r="Q115" s="13" t="s">
        <v>44</v>
      </c>
      <c r="R115" s="13" t="s">
        <v>46</v>
      </c>
      <c r="S115" s="32"/>
      <c r="T115" s="32"/>
      <c r="U115" s="26"/>
      <c r="V115" s="32"/>
    </row>
    <row r="116" hidden="1">
      <c r="A116" s="13">
        <v>115.0</v>
      </c>
      <c r="B116" s="15">
        <v>46119.0</v>
      </c>
      <c r="C116" s="13" t="s">
        <v>47</v>
      </c>
      <c r="D116" s="13" t="s">
        <v>138</v>
      </c>
      <c r="E116" s="13" t="s">
        <v>1046</v>
      </c>
      <c r="F116" s="13" t="s">
        <v>27</v>
      </c>
      <c r="G116" s="20" t="s">
        <v>41</v>
      </c>
      <c r="H116" s="13" t="s">
        <v>222</v>
      </c>
      <c r="I116" s="20" t="s">
        <v>1047</v>
      </c>
      <c r="J116" s="20" t="s">
        <v>1048</v>
      </c>
      <c r="K116" s="13" t="s">
        <v>148</v>
      </c>
      <c r="L116" s="26"/>
      <c r="M116" s="27" t="s">
        <v>55</v>
      </c>
      <c r="N116" s="13" t="s">
        <v>56</v>
      </c>
      <c r="O116" s="13" t="s">
        <v>42</v>
      </c>
      <c r="P116" s="32"/>
      <c r="Q116" s="13" t="s">
        <v>44</v>
      </c>
      <c r="R116" s="13" t="s">
        <v>46</v>
      </c>
      <c r="S116" s="32"/>
      <c r="T116" s="32"/>
      <c r="U116" s="26"/>
      <c r="V116" s="32"/>
    </row>
    <row r="117" hidden="1">
      <c r="A117" s="13">
        <v>116.0</v>
      </c>
      <c r="B117" s="15">
        <v>46119.0</v>
      </c>
      <c r="C117" s="13" t="s">
        <v>58</v>
      </c>
      <c r="D117" s="13" t="s">
        <v>60</v>
      </c>
      <c r="E117" s="20" t="s">
        <v>1055</v>
      </c>
      <c r="F117" s="13">
        <v>5.36306277E8</v>
      </c>
      <c r="G117" s="20" t="s">
        <v>362</v>
      </c>
      <c r="H117" s="13" t="s">
        <v>1029</v>
      </c>
      <c r="I117" s="20" t="s">
        <v>1058</v>
      </c>
      <c r="J117" s="20"/>
      <c r="K117" s="13" t="s">
        <v>148</v>
      </c>
      <c r="L117" s="26"/>
      <c r="M117" s="27" t="s">
        <v>38</v>
      </c>
      <c r="N117" s="13" t="s">
        <v>56</v>
      </c>
      <c r="O117" s="13" t="s">
        <v>42</v>
      </c>
      <c r="P117" s="32"/>
      <c r="Q117" s="13" t="s">
        <v>44</v>
      </c>
      <c r="R117" s="13" t="s">
        <v>68</v>
      </c>
      <c r="S117" s="32"/>
      <c r="T117" s="32"/>
      <c r="U117" s="26"/>
      <c r="V117" s="32"/>
    </row>
    <row r="118" hidden="1">
      <c r="A118" s="13">
        <v>117.0</v>
      </c>
      <c r="B118" s="15">
        <v>46119.0</v>
      </c>
      <c r="C118" s="13" t="s">
        <v>47</v>
      </c>
      <c r="D118" s="13" t="s">
        <v>367</v>
      </c>
      <c r="E118" s="20" t="s">
        <v>1061</v>
      </c>
      <c r="F118" s="13">
        <v>5.55324383E8</v>
      </c>
      <c r="G118" s="20" t="s">
        <v>79</v>
      </c>
      <c r="H118" s="13" t="s">
        <v>431</v>
      </c>
      <c r="I118" s="20" t="s">
        <v>1064</v>
      </c>
      <c r="J118" s="20" t="s">
        <v>1065</v>
      </c>
      <c r="K118" s="13" t="s">
        <v>148</v>
      </c>
      <c r="L118" s="26"/>
      <c r="M118" s="27" t="s">
        <v>55</v>
      </c>
      <c r="N118" s="13" t="s">
        <v>56</v>
      </c>
      <c r="O118" s="13" t="s">
        <v>42</v>
      </c>
      <c r="P118" s="32"/>
      <c r="Q118" s="13" t="s">
        <v>44</v>
      </c>
      <c r="R118" s="13" t="s">
        <v>46</v>
      </c>
      <c r="S118" s="32"/>
      <c r="T118" s="32"/>
      <c r="U118" s="26"/>
      <c r="V118" s="32"/>
    </row>
    <row r="119" hidden="1">
      <c r="A119" s="13">
        <v>118.0</v>
      </c>
      <c r="B119" s="15">
        <v>46119.0</v>
      </c>
      <c r="C119" s="13" t="s">
        <v>58</v>
      </c>
      <c r="D119" s="13" t="s">
        <v>60</v>
      </c>
      <c r="E119" s="13" t="s">
        <v>27</v>
      </c>
      <c r="F119" s="13">
        <v>5.57858048E8</v>
      </c>
      <c r="G119" s="13" t="s">
        <v>27</v>
      </c>
      <c r="H119" s="13" t="s">
        <v>27</v>
      </c>
      <c r="I119" s="20" t="s">
        <v>1072</v>
      </c>
      <c r="J119" s="20"/>
      <c r="K119" s="13" t="s">
        <v>36</v>
      </c>
      <c r="L119" s="26"/>
      <c r="M119" s="27" t="s">
        <v>38</v>
      </c>
      <c r="N119" s="13" t="s">
        <v>56</v>
      </c>
      <c r="O119" s="13" t="s">
        <v>42</v>
      </c>
      <c r="P119" s="32"/>
      <c r="Q119" s="13" t="s">
        <v>44</v>
      </c>
      <c r="R119" s="13" t="s">
        <v>68</v>
      </c>
      <c r="S119" s="32"/>
      <c r="T119" s="32"/>
      <c r="U119" s="26"/>
      <c r="V119" s="32"/>
    </row>
    <row r="120" hidden="1">
      <c r="A120" s="13">
        <v>119.0</v>
      </c>
      <c r="B120" s="15">
        <v>46119.0</v>
      </c>
      <c r="C120" s="13" t="s">
        <v>58</v>
      </c>
      <c r="D120" s="13" t="s">
        <v>60</v>
      </c>
      <c r="E120" s="13" t="s">
        <v>27</v>
      </c>
      <c r="F120" s="55">
        <v>5.94532361E8</v>
      </c>
      <c r="G120" s="13" t="s">
        <v>27</v>
      </c>
      <c r="H120" s="13" t="s">
        <v>27</v>
      </c>
      <c r="I120" s="20" t="s">
        <v>1079</v>
      </c>
      <c r="J120" s="20"/>
      <c r="K120" s="13" t="s">
        <v>65</v>
      </c>
      <c r="L120" s="26"/>
      <c r="M120" s="27" t="s">
        <v>38</v>
      </c>
      <c r="N120" s="13" t="s">
        <v>56</v>
      </c>
      <c r="O120" s="13" t="s">
        <v>42</v>
      </c>
      <c r="P120" s="32"/>
      <c r="Q120" s="13" t="s">
        <v>44</v>
      </c>
      <c r="R120" s="13" t="s">
        <v>68</v>
      </c>
      <c r="S120" s="32"/>
      <c r="T120" s="32"/>
      <c r="U120" s="26"/>
      <c r="V120" s="32"/>
    </row>
    <row r="121" hidden="1">
      <c r="A121" s="13">
        <v>120.0</v>
      </c>
      <c r="B121" s="15">
        <v>46119.0</v>
      </c>
      <c r="C121" s="13" t="s">
        <v>21</v>
      </c>
      <c r="D121" s="13" t="s">
        <v>24</v>
      </c>
      <c r="E121" s="20" t="s">
        <v>316</v>
      </c>
      <c r="F121" s="13">
        <v>5.4903999E8</v>
      </c>
      <c r="G121" s="20" t="s">
        <v>28</v>
      </c>
      <c r="H121" s="13" t="s">
        <v>27</v>
      </c>
      <c r="I121" s="20" t="s">
        <v>1086</v>
      </c>
      <c r="J121" s="20"/>
      <c r="K121" s="13" t="s">
        <v>36</v>
      </c>
      <c r="L121" s="26"/>
      <c r="M121" s="27" t="s">
        <v>38</v>
      </c>
      <c r="N121" s="13" t="s">
        <v>40</v>
      </c>
      <c r="O121" s="13" t="s">
        <v>42</v>
      </c>
      <c r="P121" s="32"/>
      <c r="Q121" s="13" t="s">
        <v>44</v>
      </c>
      <c r="R121" s="13" t="s">
        <v>46</v>
      </c>
      <c r="S121" s="32"/>
      <c r="T121" s="32"/>
      <c r="U121" s="26"/>
      <c r="V121" s="32"/>
    </row>
    <row r="122" hidden="1">
      <c r="A122" s="13">
        <v>121.0</v>
      </c>
      <c r="B122" s="15">
        <v>46119.0</v>
      </c>
      <c r="C122" s="13" t="s">
        <v>58</v>
      </c>
      <c r="D122" s="13" t="s">
        <v>60</v>
      </c>
      <c r="E122" s="13" t="s">
        <v>27</v>
      </c>
      <c r="F122" s="13">
        <v>5.97209766E8</v>
      </c>
      <c r="G122" s="13" t="s">
        <v>27</v>
      </c>
      <c r="H122" s="13" t="s">
        <v>27</v>
      </c>
      <c r="I122" s="20" t="s">
        <v>1095</v>
      </c>
      <c r="J122" s="20" t="s">
        <v>1096</v>
      </c>
      <c r="K122" s="13" t="s">
        <v>36</v>
      </c>
      <c r="L122" s="26"/>
      <c r="M122" s="27" t="s">
        <v>88</v>
      </c>
      <c r="N122" s="13" t="s">
        <v>56</v>
      </c>
      <c r="O122" s="13" t="s">
        <v>42</v>
      </c>
      <c r="P122" s="32"/>
      <c r="Q122" s="13" t="s">
        <v>44</v>
      </c>
      <c r="R122" s="13" t="s">
        <v>68</v>
      </c>
      <c r="S122" s="32"/>
      <c r="T122" s="32"/>
      <c r="U122" s="26"/>
      <c r="V122" s="32"/>
    </row>
    <row r="123" hidden="1">
      <c r="A123" s="13">
        <v>122.0</v>
      </c>
      <c r="B123" s="15">
        <v>46119.0</v>
      </c>
      <c r="C123" s="13" t="s">
        <v>21</v>
      </c>
      <c r="D123" s="13" t="s">
        <v>24</v>
      </c>
      <c r="E123" s="20" t="s">
        <v>1104</v>
      </c>
      <c r="F123" s="13">
        <v>5.51833711E8</v>
      </c>
      <c r="G123" s="20" t="s">
        <v>1107</v>
      </c>
      <c r="H123" s="13" t="s">
        <v>27</v>
      </c>
      <c r="I123" s="20" t="s">
        <v>1108</v>
      </c>
      <c r="J123" s="20"/>
      <c r="K123" s="13" t="s">
        <v>36</v>
      </c>
      <c r="L123" s="26"/>
      <c r="M123" s="27" t="s">
        <v>38</v>
      </c>
      <c r="N123" s="13" t="s">
        <v>40</v>
      </c>
      <c r="O123" s="13" t="s">
        <v>42</v>
      </c>
      <c r="P123" s="32"/>
      <c r="Q123" s="13" t="s">
        <v>44</v>
      </c>
      <c r="R123" s="13" t="s">
        <v>46</v>
      </c>
      <c r="S123" s="32"/>
      <c r="T123" s="32"/>
      <c r="U123" s="26"/>
      <c r="V123" s="32"/>
    </row>
    <row r="124" hidden="1">
      <c r="A124" s="13">
        <v>123.0</v>
      </c>
      <c r="B124" s="15">
        <v>46119.0</v>
      </c>
      <c r="C124" s="13" t="s">
        <v>21</v>
      </c>
      <c r="D124" s="13" t="s">
        <v>24</v>
      </c>
      <c r="E124" s="20" t="s">
        <v>1113</v>
      </c>
      <c r="F124" s="13">
        <v>5.08177731E8</v>
      </c>
      <c r="G124" s="20" t="s">
        <v>874</v>
      </c>
      <c r="H124" s="13" t="s">
        <v>27</v>
      </c>
      <c r="I124" s="20" t="s">
        <v>1117</v>
      </c>
      <c r="J124" s="20" t="s">
        <v>35</v>
      </c>
      <c r="K124" s="13" t="s">
        <v>36</v>
      </c>
      <c r="L124" s="26"/>
      <c r="M124" s="27" t="s">
        <v>38</v>
      </c>
      <c r="N124" s="13" t="s">
        <v>40</v>
      </c>
      <c r="O124" s="13" t="s">
        <v>42</v>
      </c>
      <c r="P124" s="32"/>
      <c r="Q124" s="13" t="s">
        <v>49</v>
      </c>
      <c r="R124" s="13" t="s">
        <v>46</v>
      </c>
      <c r="S124" s="32"/>
      <c r="T124" s="32"/>
      <c r="U124" s="26"/>
      <c r="V124" s="32"/>
    </row>
    <row r="125" hidden="1">
      <c r="A125" s="13">
        <v>124.0</v>
      </c>
      <c r="B125" s="15">
        <v>46119.0</v>
      </c>
      <c r="C125" s="13" t="s">
        <v>58</v>
      </c>
      <c r="D125" s="13" t="s">
        <v>60</v>
      </c>
      <c r="E125" s="13" t="s">
        <v>27</v>
      </c>
      <c r="F125" s="13">
        <v>5.31911911E8</v>
      </c>
      <c r="G125" s="20" t="s">
        <v>79</v>
      </c>
      <c r="H125" s="13" t="s">
        <v>27</v>
      </c>
      <c r="I125" s="20" t="s">
        <v>1123</v>
      </c>
      <c r="J125" s="20" t="s">
        <v>500</v>
      </c>
      <c r="K125" s="13" t="s">
        <v>36</v>
      </c>
      <c r="L125" s="26"/>
      <c r="M125" s="27" t="s">
        <v>88</v>
      </c>
      <c r="N125" s="13" t="s">
        <v>56</v>
      </c>
      <c r="O125" s="13" t="s">
        <v>42</v>
      </c>
      <c r="P125" s="32"/>
      <c r="Q125" s="13" t="s">
        <v>44</v>
      </c>
      <c r="R125" s="13" t="s">
        <v>68</v>
      </c>
      <c r="S125" s="32"/>
      <c r="T125" s="32"/>
      <c r="U125" s="26"/>
      <c r="V125" s="32"/>
    </row>
    <row r="126" hidden="1">
      <c r="A126" s="13">
        <v>125.0</v>
      </c>
      <c r="B126" s="15">
        <v>46119.0</v>
      </c>
      <c r="C126" s="13" t="s">
        <v>47</v>
      </c>
      <c r="D126" s="13" t="s">
        <v>48</v>
      </c>
      <c r="E126" s="20" t="s">
        <v>1129</v>
      </c>
      <c r="F126" s="13" t="s">
        <v>27</v>
      </c>
      <c r="G126" s="20" t="s">
        <v>71</v>
      </c>
      <c r="H126" s="13" t="s">
        <v>163</v>
      </c>
      <c r="I126" s="20" t="s">
        <v>1132</v>
      </c>
      <c r="J126" s="20" t="s">
        <v>1135</v>
      </c>
      <c r="K126" s="13" t="s">
        <v>78</v>
      </c>
      <c r="L126" s="26"/>
      <c r="M126" s="27" t="s">
        <v>55</v>
      </c>
      <c r="N126" s="13" t="s">
        <v>56</v>
      </c>
      <c r="O126" s="13" t="s">
        <v>42</v>
      </c>
      <c r="P126" s="32"/>
      <c r="Q126" s="13" t="s">
        <v>49</v>
      </c>
      <c r="R126" s="13" t="s">
        <v>46</v>
      </c>
      <c r="S126" s="32"/>
      <c r="T126" s="32"/>
      <c r="U126" s="26"/>
      <c r="V126" s="32"/>
    </row>
    <row r="127" hidden="1">
      <c r="A127" s="13">
        <v>126.0</v>
      </c>
      <c r="B127" s="15">
        <v>46119.0</v>
      </c>
      <c r="C127" s="13" t="s">
        <v>47</v>
      </c>
      <c r="D127" s="13" t="s">
        <v>48</v>
      </c>
      <c r="E127" s="13" t="s">
        <v>1140</v>
      </c>
      <c r="F127" s="13" t="s">
        <v>27</v>
      </c>
      <c r="G127" s="20" t="s">
        <v>41</v>
      </c>
      <c r="H127" s="13" t="s">
        <v>914</v>
      </c>
      <c r="I127" s="20" t="s">
        <v>1142</v>
      </c>
      <c r="J127" s="20" t="s">
        <v>1143</v>
      </c>
      <c r="K127" s="13" t="s">
        <v>78</v>
      </c>
      <c r="L127" s="26"/>
      <c r="M127" s="27" t="s">
        <v>55</v>
      </c>
      <c r="N127" s="13" t="s">
        <v>56</v>
      </c>
      <c r="O127" s="13" t="s">
        <v>42</v>
      </c>
      <c r="P127" s="32"/>
      <c r="Q127" s="13" t="s">
        <v>49</v>
      </c>
      <c r="R127" s="13" t="s">
        <v>46</v>
      </c>
      <c r="S127" s="32"/>
      <c r="T127" s="32"/>
      <c r="U127" s="26"/>
      <c r="V127" s="32"/>
    </row>
    <row r="128" ht="43.5" hidden="1" customHeight="1">
      <c r="A128" s="13">
        <v>127.0</v>
      </c>
      <c r="B128" s="15">
        <v>46119.0</v>
      </c>
      <c r="C128" s="13" t="s">
        <v>47</v>
      </c>
      <c r="D128" s="13" t="s">
        <v>92</v>
      </c>
      <c r="E128" s="20" t="s">
        <v>1149</v>
      </c>
      <c r="F128" s="13" t="s">
        <v>27</v>
      </c>
      <c r="G128" s="20" t="s">
        <v>172</v>
      </c>
      <c r="H128" s="13" t="s">
        <v>1150</v>
      </c>
      <c r="I128" s="20" t="s">
        <v>1151</v>
      </c>
      <c r="J128" s="20" t="s">
        <v>1153</v>
      </c>
      <c r="K128" s="13" t="s">
        <v>78</v>
      </c>
      <c r="L128" s="26"/>
      <c r="M128" s="27" t="s">
        <v>55</v>
      </c>
      <c r="N128" s="13" t="s">
        <v>56</v>
      </c>
      <c r="O128" s="13" t="s">
        <v>42</v>
      </c>
      <c r="P128" s="32"/>
      <c r="Q128" s="13" t="s">
        <v>49</v>
      </c>
      <c r="R128" s="13" t="s">
        <v>46</v>
      </c>
      <c r="S128" s="32"/>
      <c r="T128" s="32"/>
      <c r="U128" s="26"/>
      <c r="V128" s="32"/>
    </row>
    <row r="129" ht="135.75" hidden="1" customHeight="1">
      <c r="A129" s="13">
        <v>128.0</v>
      </c>
      <c r="B129" s="15">
        <v>46119.0</v>
      </c>
      <c r="C129" s="13" t="s">
        <v>47</v>
      </c>
      <c r="D129" s="13" t="s">
        <v>48</v>
      </c>
      <c r="E129" s="13" t="s">
        <v>1159</v>
      </c>
      <c r="F129" s="13" t="s">
        <v>27</v>
      </c>
      <c r="G129" s="20" t="s">
        <v>333</v>
      </c>
      <c r="H129" s="13" t="s">
        <v>650</v>
      </c>
      <c r="I129" s="20" t="s">
        <v>1161</v>
      </c>
      <c r="J129" s="20" t="s">
        <v>1163</v>
      </c>
      <c r="K129" s="13" t="s">
        <v>78</v>
      </c>
      <c r="L129" s="26"/>
      <c r="M129" s="27" t="s">
        <v>221</v>
      </c>
      <c r="N129" s="13" t="s">
        <v>56</v>
      </c>
      <c r="O129" s="13" t="s">
        <v>42</v>
      </c>
      <c r="P129" s="32"/>
      <c r="Q129" s="13" t="s">
        <v>49</v>
      </c>
      <c r="R129" s="13" t="s">
        <v>46</v>
      </c>
      <c r="S129" s="32"/>
      <c r="T129" s="32"/>
      <c r="U129" s="26"/>
      <c r="V129" s="32"/>
    </row>
    <row r="130" hidden="1">
      <c r="A130" s="13">
        <v>129.0</v>
      </c>
      <c r="B130" s="15">
        <v>46119.0</v>
      </c>
      <c r="C130" s="13" t="s">
        <v>47</v>
      </c>
      <c r="D130" s="13" t="s">
        <v>92</v>
      </c>
      <c r="E130" s="20" t="s">
        <v>1165</v>
      </c>
      <c r="F130" s="13" t="s">
        <v>27</v>
      </c>
      <c r="G130" s="20" t="s">
        <v>79</v>
      </c>
      <c r="H130" s="13" t="s">
        <v>1169</v>
      </c>
      <c r="I130" s="20" t="s">
        <v>1170</v>
      </c>
      <c r="J130" s="20" t="s">
        <v>35</v>
      </c>
      <c r="K130" s="13" t="s">
        <v>78</v>
      </c>
      <c r="L130" s="26"/>
      <c r="M130" s="27" t="s">
        <v>55</v>
      </c>
      <c r="N130" s="13" t="s">
        <v>40</v>
      </c>
      <c r="O130" s="13" t="s">
        <v>42</v>
      </c>
      <c r="P130" s="32"/>
      <c r="Q130" s="13" t="s">
        <v>49</v>
      </c>
      <c r="R130" s="13" t="s">
        <v>46</v>
      </c>
      <c r="S130" s="32"/>
      <c r="T130" s="32"/>
      <c r="U130" s="26"/>
      <c r="V130" s="32"/>
    </row>
    <row r="131" hidden="1">
      <c r="A131" s="13">
        <v>130.0</v>
      </c>
      <c r="B131" s="15">
        <v>46119.0</v>
      </c>
      <c r="C131" s="13" t="s">
        <v>47</v>
      </c>
      <c r="D131" s="13" t="s">
        <v>48</v>
      </c>
      <c r="E131" s="20" t="s">
        <v>1174</v>
      </c>
      <c r="F131" s="13">
        <v>5.66947813E8</v>
      </c>
      <c r="G131" s="20" t="s">
        <v>41</v>
      </c>
      <c r="H131" s="13" t="s">
        <v>294</v>
      </c>
      <c r="I131" s="20" t="s">
        <v>1177</v>
      </c>
      <c r="J131" s="20" t="s">
        <v>35</v>
      </c>
      <c r="K131" s="13" t="s">
        <v>36</v>
      </c>
      <c r="L131" s="26"/>
      <c r="M131" s="27" t="s">
        <v>55</v>
      </c>
      <c r="N131" s="13" t="s">
        <v>56</v>
      </c>
      <c r="O131" s="13" t="s">
        <v>42</v>
      </c>
      <c r="P131" s="32"/>
      <c r="Q131" s="13" t="s">
        <v>49</v>
      </c>
      <c r="R131" s="13" t="s">
        <v>46</v>
      </c>
      <c r="S131" s="32"/>
      <c r="T131" s="32"/>
      <c r="U131" s="26"/>
      <c r="V131" s="32"/>
    </row>
    <row r="132" hidden="1">
      <c r="A132" s="13">
        <v>131.0</v>
      </c>
      <c r="B132" s="15">
        <v>46119.0</v>
      </c>
      <c r="C132" s="13" t="s">
        <v>21</v>
      </c>
      <c r="D132" s="13" t="s">
        <v>22</v>
      </c>
      <c r="E132" s="20" t="s">
        <v>1183</v>
      </c>
      <c r="F132" s="13">
        <v>5.52155063E8</v>
      </c>
      <c r="G132" s="20" t="s">
        <v>152</v>
      </c>
      <c r="H132" s="13" t="s">
        <v>27</v>
      </c>
      <c r="I132" s="20" t="s">
        <v>1184</v>
      </c>
      <c r="J132" s="20"/>
      <c r="K132" s="13" t="s">
        <v>36</v>
      </c>
      <c r="L132" s="26"/>
      <c r="M132" s="27" t="s">
        <v>38</v>
      </c>
      <c r="N132" s="13" t="s">
        <v>40</v>
      </c>
      <c r="O132" s="13" t="s">
        <v>42</v>
      </c>
      <c r="P132" s="32"/>
      <c r="Q132" s="13" t="s">
        <v>44</v>
      </c>
      <c r="R132" s="13" t="s">
        <v>46</v>
      </c>
      <c r="S132" s="32"/>
      <c r="T132" s="32"/>
      <c r="U132" s="26"/>
      <c r="V132" s="32"/>
    </row>
    <row r="133" hidden="1">
      <c r="A133" s="13">
        <v>132.0</v>
      </c>
      <c r="B133" s="15">
        <v>46119.0</v>
      </c>
      <c r="C133" s="13" t="s">
        <v>21</v>
      </c>
      <c r="D133" s="13" t="s">
        <v>22</v>
      </c>
      <c r="E133" s="20" t="s">
        <v>1190</v>
      </c>
      <c r="F133" s="13">
        <v>5.00500772E8</v>
      </c>
      <c r="G133" s="20" t="s">
        <v>71</v>
      </c>
      <c r="H133" s="13" t="s">
        <v>27</v>
      </c>
      <c r="I133" s="20" t="s">
        <v>1194</v>
      </c>
      <c r="J133" s="20"/>
      <c r="K133" s="13" t="s">
        <v>36</v>
      </c>
      <c r="L133" s="26"/>
      <c r="M133" s="27" t="s">
        <v>38</v>
      </c>
      <c r="N133" s="13" t="s">
        <v>40</v>
      </c>
      <c r="O133" s="13" t="s">
        <v>42</v>
      </c>
      <c r="P133" s="32"/>
      <c r="Q133" s="13" t="s">
        <v>44</v>
      </c>
      <c r="R133" s="13" t="s">
        <v>46</v>
      </c>
      <c r="S133" s="32"/>
      <c r="T133" s="32"/>
      <c r="U133" s="26"/>
      <c r="V133" s="32"/>
    </row>
    <row r="134" ht="17.25" hidden="1" customHeight="1">
      <c r="A134" s="13">
        <v>133.0</v>
      </c>
      <c r="B134" s="15">
        <v>46119.0</v>
      </c>
      <c r="C134" s="13" t="s">
        <v>58</v>
      </c>
      <c r="D134" s="13" t="s">
        <v>60</v>
      </c>
      <c r="E134" s="20" t="s">
        <v>923</v>
      </c>
      <c r="F134" s="13">
        <v>5.51871417E8</v>
      </c>
      <c r="G134" s="20" t="s">
        <v>71</v>
      </c>
      <c r="H134" s="13" t="s">
        <v>1203</v>
      </c>
      <c r="I134" s="20" t="s">
        <v>1204</v>
      </c>
      <c r="J134" s="20" t="s">
        <v>35</v>
      </c>
      <c r="K134" s="13" t="s">
        <v>36</v>
      </c>
      <c r="L134" s="26"/>
      <c r="M134" s="27" t="s">
        <v>88</v>
      </c>
      <c r="N134" s="13" t="s">
        <v>56</v>
      </c>
      <c r="O134" s="13" t="s">
        <v>42</v>
      </c>
      <c r="P134" s="32"/>
      <c r="Q134" s="13" t="s">
        <v>49</v>
      </c>
      <c r="R134" s="13" t="s">
        <v>68</v>
      </c>
      <c r="S134" s="32"/>
      <c r="T134" s="32"/>
      <c r="U134" s="26"/>
      <c r="V134" s="32"/>
    </row>
    <row r="135" hidden="1">
      <c r="A135" s="13">
        <v>134.0</v>
      </c>
      <c r="B135" s="15">
        <v>46119.0</v>
      </c>
      <c r="C135" s="13" t="s">
        <v>58</v>
      </c>
      <c r="D135" s="13" t="s">
        <v>60</v>
      </c>
      <c r="E135" s="13" t="s">
        <v>27</v>
      </c>
      <c r="F135" s="13">
        <v>5.44793779E8</v>
      </c>
      <c r="G135" s="13" t="s">
        <v>27</v>
      </c>
      <c r="H135" s="13" t="s">
        <v>27</v>
      </c>
      <c r="I135" s="20" t="s">
        <v>298</v>
      </c>
      <c r="J135" s="20"/>
      <c r="K135" s="13" t="s">
        <v>36</v>
      </c>
      <c r="L135" s="26"/>
      <c r="M135" s="27" t="s">
        <v>88</v>
      </c>
      <c r="N135" s="13" t="s">
        <v>56</v>
      </c>
      <c r="O135" s="13" t="s">
        <v>42</v>
      </c>
      <c r="P135" s="32"/>
      <c r="Q135" s="13" t="s">
        <v>44</v>
      </c>
      <c r="R135" s="13" t="s">
        <v>68</v>
      </c>
      <c r="S135" s="32"/>
      <c r="T135" s="32"/>
      <c r="U135" s="26"/>
      <c r="V135" s="32"/>
    </row>
    <row r="136" hidden="1">
      <c r="A136" s="13">
        <v>135.0</v>
      </c>
      <c r="B136" s="15">
        <v>46119.0</v>
      </c>
      <c r="C136" s="13" t="s">
        <v>47</v>
      </c>
      <c r="D136" s="13" t="s">
        <v>48</v>
      </c>
      <c r="E136" s="20" t="s">
        <v>1218</v>
      </c>
      <c r="F136" s="55">
        <v>5.65505252E8</v>
      </c>
      <c r="G136" s="20" t="s">
        <v>41</v>
      </c>
      <c r="H136" s="13" t="s">
        <v>1220</v>
      </c>
      <c r="I136" s="20" t="s">
        <v>1222</v>
      </c>
      <c r="J136" s="20"/>
      <c r="K136" s="13" t="s">
        <v>36</v>
      </c>
      <c r="L136" s="26"/>
      <c r="M136" s="27" t="s">
        <v>55</v>
      </c>
      <c r="N136" s="13" t="s">
        <v>56</v>
      </c>
      <c r="O136" s="13" t="s">
        <v>518</v>
      </c>
      <c r="P136" s="32"/>
      <c r="Q136" s="13" t="s">
        <v>44</v>
      </c>
      <c r="R136" s="13" t="s">
        <v>46</v>
      </c>
      <c r="S136" s="32"/>
      <c r="T136" s="32"/>
      <c r="U136" s="26"/>
      <c r="V136" s="32"/>
    </row>
    <row r="137" hidden="1">
      <c r="A137" s="13">
        <v>136.0</v>
      </c>
      <c r="B137" s="15">
        <v>46119.0</v>
      </c>
      <c r="C137" s="13" t="s">
        <v>58</v>
      </c>
      <c r="D137" s="13" t="s">
        <v>34</v>
      </c>
      <c r="E137" s="13" t="s">
        <v>27</v>
      </c>
      <c r="F137" s="13">
        <v>5.68826248E8</v>
      </c>
      <c r="G137" s="13" t="s">
        <v>27</v>
      </c>
      <c r="H137" s="13" t="s">
        <v>27</v>
      </c>
      <c r="I137" s="20" t="s">
        <v>298</v>
      </c>
      <c r="J137" s="20" t="s">
        <v>500</v>
      </c>
      <c r="K137" s="13" t="s">
        <v>36</v>
      </c>
      <c r="L137" s="26"/>
      <c r="M137" s="27" t="s">
        <v>88</v>
      </c>
      <c r="N137" s="13" t="s">
        <v>56</v>
      </c>
      <c r="O137" s="13" t="s">
        <v>42</v>
      </c>
      <c r="P137" s="32"/>
      <c r="Q137" s="13" t="s">
        <v>44</v>
      </c>
      <c r="R137" s="13" t="s">
        <v>68</v>
      </c>
      <c r="S137" s="32"/>
      <c r="T137" s="32"/>
      <c r="U137" s="26"/>
      <c r="V137" s="32"/>
    </row>
    <row r="138" hidden="1">
      <c r="A138" s="13">
        <v>137.0</v>
      </c>
      <c r="B138" s="15">
        <v>46119.0</v>
      </c>
      <c r="C138" s="13" t="s">
        <v>21</v>
      </c>
      <c r="D138" s="13" t="s">
        <v>22</v>
      </c>
      <c r="E138" s="20" t="s">
        <v>1231</v>
      </c>
      <c r="F138" s="13">
        <v>5.38666352E8</v>
      </c>
      <c r="G138" s="20" t="s">
        <v>426</v>
      </c>
      <c r="H138" s="13" t="s">
        <v>27</v>
      </c>
      <c r="I138" s="20" t="s">
        <v>1235</v>
      </c>
      <c r="J138" s="20"/>
      <c r="K138" s="13" t="s">
        <v>62</v>
      </c>
      <c r="L138" s="26"/>
      <c r="M138" s="27" t="s">
        <v>38</v>
      </c>
      <c r="N138" s="13" t="s">
        <v>40</v>
      </c>
      <c r="O138" s="13" t="s">
        <v>42</v>
      </c>
      <c r="P138" s="32"/>
      <c r="Q138" s="13" t="s">
        <v>44</v>
      </c>
      <c r="R138" s="13" t="s">
        <v>46</v>
      </c>
      <c r="S138" s="32"/>
      <c r="T138" s="32"/>
      <c r="U138" s="26"/>
      <c r="V138" s="32"/>
    </row>
    <row r="139" hidden="1">
      <c r="A139" s="13">
        <v>138.0</v>
      </c>
      <c r="B139" s="15">
        <v>46119.0</v>
      </c>
      <c r="C139" s="13" t="s">
        <v>21</v>
      </c>
      <c r="D139" s="13" t="s">
        <v>24</v>
      </c>
      <c r="E139" s="20" t="s">
        <v>1240</v>
      </c>
      <c r="F139" s="13">
        <v>5.55022673E8</v>
      </c>
      <c r="G139" s="20" t="s">
        <v>426</v>
      </c>
      <c r="H139" s="13" t="s">
        <v>27</v>
      </c>
      <c r="I139" s="20" t="s">
        <v>1241</v>
      </c>
      <c r="J139" s="20"/>
      <c r="K139" s="13" t="s">
        <v>62</v>
      </c>
      <c r="L139" s="26"/>
      <c r="M139" s="27" t="s">
        <v>38</v>
      </c>
      <c r="N139" s="13" t="s">
        <v>40</v>
      </c>
      <c r="O139" s="13" t="s">
        <v>42</v>
      </c>
      <c r="P139" s="32"/>
      <c r="Q139" s="13" t="s">
        <v>44</v>
      </c>
      <c r="R139" s="13" t="s">
        <v>46</v>
      </c>
      <c r="S139" s="32"/>
      <c r="T139" s="32"/>
      <c r="U139" s="26"/>
      <c r="V139" s="32"/>
    </row>
    <row r="140" hidden="1">
      <c r="A140" s="13">
        <v>139.0</v>
      </c>
      <c r="B140" s="15">
        <v>46119.0</v>
      </c>
      <c r="C140" s="13" t="s">
        <v>21</v>
      </c>
      <c r="D140" s="13" t="s">
        <v>24</v>
      </c>
      <c r="E140" s="20" t="s">
        <v>1248</v>
      </c>
      <c r="F140" s="13">
        <v>5.81017436E8</v>
      </c>
      <c r="G140" s="20" t="s">
        <v>319</v>
      </c>
      <c r="H140" s="13" t="s">
        <v>27</v>
      </c>
      <c r="I140" s="20" t="s">
        <v>1249</v>
      </c>
      <c r="J140" s="20"/>
      <c r="K140" s="13" t="s">
        <v>36</v>
      </c>
      <c r="L140" s="26"/>
      <c r="M140" s="27" t="s">
        <v>38</v>
      </c>
      <c r="N140" s="13" t="s">
        <v>40</v>
      </c>
      <c r="O140" s="13" t="s">
        <v>42</v>
      </c>
      <c r="P140" s="32"/>
      <c r="Q140" s="13" t="s">
        <v>44</v>
      </c>
      <c r="R140" s="13" t="s">
        <v>46</v>
      </c>
      <c r="S140" s="32"/>
      <c r="T140" s="32"/>
      <c r="U140" s="26"/>
      <c r="V140" s="32"/>
    </row>
    <row r="141" hidden="1">
      <c r="A141" s="13">
        <v>140.0</v>
      </c>
      <c r="B141" s="15">
        <v>46120.0</v>
      </c>
      <c r="C141" s="13" t="s">
        <v>21</v>
      </c>
      <c r="D141" s="13" t="s">
        <v>22</v>
      </c>
      <c r="E141" s="20" t="s">
        <v>1255</v>
      </c>
      <c r="F141" s="13">
        <v>5.56718827E8</v>
      </c>
      <c r="G141" s="20" t="s">
        <v>267</v>
      </c>
      <c r="H141" s="13" t="s">
        <v>27</v>
      </c>
      <c r="I141" s="20" t="s">
        <v>1257</v>
      </c>
      <c r="J141" s="20"/>
      <c r="K141" s="13" t="s">
        <v>457</v>
      </c>
      <c r="L141" s="26"/>
      <c r="M141" s="27" t="s">
        <v>38</v>
      </c>
      <c r="N141" s="13" t="s">
        <v>40</v>
      </c>
      <c r="O141" s="13" t="s">
        <v>42</v>
      </c>
      <c r="P141" s="32"/>
      <c r="Q141" s="13" t="s">
        <v>44</v>
      </c>
      <c r="R141" s="13" t="s">
        <v>46</v>
      </c>
      <c r="S141" s="32"/>
      <c r="T141" s="32"/>
      <c r="U141" s="26"/>
      <c r="V141" s="32"/>
    </row>
    <row r="142" hidden="1">
      <c r="A142" s="13">
        <v>141.0</v>
      </c>
      <c r="B142" s="15">
        <v>46120.0</v>
      </c>
      <c r="C142" s="13" t="s">
        <v>58</v>
      </c>
      <c r="D142" s="13" t="s">
        <v>60</v>
      </c>
      <c r="E142" s="13" t="s">
        <v>27</v>
      </c>
      <c r="F142" s="55">
        <v>5.34819625E8</v>
      </c>
      <c r="G142" s="13" t="s">
        <v>27</v>
      </c>
      <c r="H142" s="13" t="s">
        <v>27</v>
      </c>
      <c r="I142" s="20" t="s">
        <v>1264</v>
      </c>
      <c r="J142" s="20"/>
      <c r="K142" s="13" t="s">
        <v>65</v>
      </c>
      <c r="L142" s="26"/>
      <c r="M142" s="27" t="s">
        <v>38</v>
      </c>
      <c r="N142" s="13" t="s">
        <v>56</v>
      </c>
      <c r="O142" s="13" t="s">
        <v>42</v>
      </c>
      <c r="P142" s="32"/>
      <c r="Q142" s="13" t="s">
        <v>44</v>
      </c>
      <c r="R142" s="13" t="s">
        <v>68</v>
      </c>
      <c r="S142" s="32"/>
      <c r="T142" s="32"/>
      <c r="U142" s="26"/>
      <c r="V142" s="32"/>
    </row>
    <row r="143" hidden="1">
      <c r="A143" s="13">
        <v>142.0</v>
      </c>
      <c r="B143" s="15">
        <v>46120.0</v>
      </c>
      <c r="C143" s="13" t="s">
        <v>21</v>
      </c>
      <c r="D143" s="13" t="s">
        <v>24</v>
      </c>
      <c r="E143" s="20" t="s">
        <v>118</v>
      </c>
      <c r="F143" s="13">
        <v>5.36393326E8</v>
      </c>
      <c r="G143" s="20" t="s">
        <v>71</v>
      </c>
      <c r="H143" s="13" t="s">
        <v>27</v>
      </c>
      <c r="I143" s="20" t="s">
        <v>1272</v>
      </c>
      <c r="J143" s="20" t="s">
        <v>35</v>
      </c>
      <c r="K143" s="13" t="s">
        <v>36</v>
      </c>
      <c r="L143" s="26"/>
      <c r="M143" s="27" t="s">
        <v>38</v>
      </c>
      <c r="N143" s="13" t="s">
        <v>40</v>
      </c>
      <c r="O143" s="13" t="s">
        <v>42</v>
      </c>
      <c r="P143" s="32"/>
      <c r="Q143" s="13" t="s">
        <v>49</v>
      </c>
      <c r="R143" s="13" t="s">
        <v>46</v>
      </c>
      <c r="S143" s="32"/>
      <c r="T143" s="32"/>
      <c r="U143" s="26"/>
      <c r="V143" s="32"/>
    </row>
    <row r="144" hidden="1">
      <c r="A144" s="13">
        <v>143.0</v>
      </c>
      <c r="B144" s="15">
        <v>46120.0</v>
      </c>
      <c r="C144" s="13" t="s">
        <v>21</v>
      </c>
      <c r="D144" s="13" t="s">
        <v>22</v>
      </c>
      <c r="E144" s="20" t="s">
        <v>1279</v>
      </c>
      <c r="F144" s="13">
        <v>5.55255362E8</v>
      </c>
      <c r="G144" s="20" t="s">
        <v>198</v>
      </c>
      <c r="H144" s="13" t="s">
        <v>27</v>
      </c>
      <c r="I144" s="20" t="s">
        <v>1281</v>
      </c>
      <c r="J144" s="20"/>
      <c r="K144" s="13" t="s">
        <v>62</v>
      </c>
      <c r="L144" s="26"/>
      <c r="M144" s="27" t="s">
        <v>38</v>
      </c>
      <c r="N144" s="13" t="s">
        <v>40</v>
      </c>
      <c r="O144" s="13" t="s">
        <v>42</v>
      </c>
      <c r="P144" s="32"/>
      <c r="Q144" s="13" t="s">
        <v>44</v>
      </c>
      <c r="R144" s="13" t="s">
        <v>46</v>
      </c>
      <c r="S144" s="32"/>
      <c r="T144" s="32"/>
      <c r="U144" s="26"/>
      <c r="V144" s="32"/>
    </row>
    <row r="145" ht="30.75" hidden="1" customHeight="1">
      <c r="A145" s="13">
        <v>144.0</v>
      </c>
      <c r="B145" s="15">
        <v>46120.0</v>
      </c>
      <c r="C145" s="13" t="s">
        <v>21</v>
      </c>
      <c r="D145" s="13" t="s">
        <v>24</v>
      </c>
      <c r="E145" s="20" t="s">
        <v>1285</v>
      </c>
      <c r="F145" s="13">
        <v>5.66490899E8</v>
      </c>
      <c r="G145" s="20" t="s">
        <v>999</v>
      </c>
      <c r="H145" s="13" t="s">
        <v>27</v>
      </c>
      <c r="I145" s="20" t="s">
        <v>1288</v>
      </c>
      <c r="J145" s="20" t="s">
        <v>35</v>
      </c>
      <c r="K145" s="13" t="s">
        <v>36</v>
      </c>
      <c r="L145" s="26"/>
      <c r="M145" s="27" t="s">
        <v>38</v>
      </c>
      <c r="N145" s="13" t="s">
        <v>40</v>
      </c>
      <c r="O145" s="13" t="s">
        <v>42</v>
      </c>
      <c r="P145" s="32"/>
      <c r="Q145" s="13" t="s">
        <v>49</v>
      </c>
      <c r="R145" s="13" t="s">
        <v>46</v>
      </c>
      <c r="S145" s="32"/>
      <c r="T145" s="32"/>
      <c r="U145" s="26"/>
      <c r="V145" s="32"/>
    </row>
    <row r="146" hidden="1">
      <c r="A146" s="13">
        <v>145.0</v>
      </c>
      <c r="B146" s="15">
        <v>46120.0</v>
      </c>
      <c r="C146" s="13" t="s">
        <v>21</v>
      </c>
      <c r="D146" s="13" t="s">
        <v>22</v>
      </c>
      <c r="E146" s="20" t="s">
        <v>1292</v>
      </c>
      <c r="F146" s="13">
        <v>5.42226624E8</v>
      </c>
      <c r="G146" s="20" t="s">
        <v>285</v>
      </c>
      <c r="H146" s="13" t="s">
        <v>27</v>
      </c>
      <c r="I146" s="20" t="s">
        <v>1295</v>
      </c>
      <c r="J146" s="20" t="s">
        <v>35</v>
      </c>
      <c r="K146" s="13" t="s">
        <v>36</v>
      </c>
      <c r="L146" s="26"/>
      <c r="M146" s="27" t="s">
        <v>125</v>
      </c>
      <c r="N146" s="13" t="s">
        <v>40</v>
      </c>
      <c r="O146" s="13" t="s">
        <v>42</v>
      </c>
      <c r="P146" s="32"/>
      <c r="Q146" s="13" t="s">
        <v>49</v>
      </c>
      <c r="R146" s="13" t="s">
        <v>46</v>
      </c>
      <c r="S146" s="32"/>
      <c r="T146" s="32"/>
      <c r="U146" s="26"/>
      <c r="V146" s="32"/>
    </row>
    <row r="147" hidden="1">
      <c r="A147" s="13">
        <v>146.0</v>
      </c>
      <c r="B147" s="15">
        <v>46120.0</v>
      </c>
      <c r="C147" s="13" t="s">
        <v>21</v>
      </c>
      <c r="D147" s="13" t="s">
        <v>24</v>
      </c>
      <c r="E147" s="20" t="s">
        <v>1300</v>
      </c>
      <c r="F147" s="13">
        <v>5.5233066E8</v>
      </c>
      <c r="G147" s="20" t="s">
        <v>172</v>
      </c>
      <c r="H147" s="13" t="s">
        <v>27</v>
      </c>
      <c r="I147" s="20" t="s">
        <v>1302</v>
      </c>
      <c r="J147" s="20"/>
      <c r="K147" s="13" t="s">
        <v>36</v>
      </c>
      <c r="L147" s="26"/>
      <c r="M147" s="27" t="s">
        <v>38</v>
      </c>
      <c r="N147" s="13" t="s">
        <v>40</v>
      </c>
      <c r="O147" s="13" t="s">
        <v>42</v>
      </c>
      <c r="P147" s="32"/>
      <c r="Q147" s="13" t="s">
        <v>44</v>
      </c>
      <c r="R147" s="13" t="s">
        <v>46</v>
      </c>
      <c r="S147" s="32"/>
      <c r="T147" s="32"/>
      <c r="U147" s="26"/>
      <c r="V147" s="32"/>
    </row>
    <row r="148" hidden="1">
      <c r="A148" s="13">
        <v>147.0</v>
      </c>
      <c r="B148" s="15">
        <v>46120.0</v>
      </c>
      <c r="C148" s="13" t="s">
        <v>21</v>
      </c>
      <c r="D148" s="13" t="s">
        <v>24</v>
      </c>
      <c r="E148" s="20" t="s">
        <v>1309</v>
      </c>
      <c r="F148" s="13">
        <v>5.95922733E8</v>
      </c>
      <c r="G148" s="20" t="s">
        <v>41</v>
      </c>
      <c r="H148" s="13" t="s">
        <v>27</v>
      </c>
      <c r="I148" s="20" t="s">
        <v>1311</v>
      </c>
      <c r="J148" s="20"/>
      <c r="K148" s="13" t="s">
        <v>36</v>
      </c>
      <c r="L148" s="26"/>
      <c r="M148" s="27" t="s">
        <v>38</v>
      </c>
      <c r="N148" s="13" t="s">
        <v>40</v>
      </c>
      <c r="O148" s="13" t="s">
        <v>42</v>
      </c>
      <c r="P148" s="32"/>
      <c r="Q148" s="13" t="s">
        <v>44</v>
      </c>
      <c r="R148" s="13" t="s">
        <v>46</v>
      </c>
      <c r="S148" s="32"/>
      <c r="T148" s="32"/>
      <c r="U148" s="26"/>
      <c r="V148" s="32"/>
    </row>
    <row r="149" hidden="1">
      <c r="A149" s="13">
        <v>148.0</v>
      </c>
      <c r="B149" s="15">
        <v>46120.0</v>
      </c>
      <c r="C149" s="13" t="s">
        <v>21</v>
      </c>
      <c r="D149" s="13" t="s">
        <v>66</v>
      </c>
      <c r="E149" s="20" t="s">
        <v>1316</v>
      </c>
      <c r="F149" s="13">
        <v>5.60672191E8</v>
      </c>
      <c r="G149" s="20" t="s">
        <v>1318</v>
      </c>
      <c r="H149" s="13" t="s">
        <v>27</v>
      </c>
      <c r="I149" s="20" t="s">
        <v>1319</v>
      </c>
      <c r="J149" s="20"/>
      <c r="K149" s="13" t="s">
        <v>36</v>
      </c>
      <c r="L149" s="26"/>
      <c r="M149" s="27" t="s">
        <v>38</v>
      </c>
      <c r="N149" s="13" t="s">
        <v>56</v>
      </c>
      <c r="O149" s="13" t="s">
        <v>42</v>
      </c>
      <c r="P149" s="32"/>
      <c r="Q149" s="13" t="s">
        <v>44</v>
      </c>
      <c r="R149" s="13" t="s">
        <v>68</v>
      </c>
      <c r="S149" s="32"/>
      <c r="T149" s="32"/>
      <c r="U149" s="26"/>
      <c r="V149" s="32"/>
    </row>
    <row r="150" hidden="1">
      <c r="A150" s="13">
        <v>149.0</v>
      </c>
      <c r="B150" s="15">
        <v>46120.0</v>
      </c>
      <c r="C150" s="13" t="s">
        <v>21</v>
      </c>
      <c r="D150" s="13" t="s">
        <v>24</v>
      </c>
      <c r="E150" s="20" t="s">
        <v>1323</v>
      </c>
      <c r="F150" s="13">
        <v>5.55878115E8</v>
      </c>
      <c r="G150" s="20" t="s">
        <v>152</v>
      </c>
      <c r="H150" s="13" t="s">
        <v>27</v>
      </c>
      <c r="I150" s="20" t="s">
        <v>1325</v>
      </c>
      <c r="J150" s="20"/>
      <c r="K150" s="13" t="s">
        <v>36</v>
      </c>
      <c r="L150" s="26"/>
      <c r="M150" s="27" t="s">
        <v>38</v>
      </c>
      <c r="N150" s="13" t="s">
        <v>40</v>
      </c>
      <c r="O150" s="13" t="s">
        <v>42</v>
      </c>
      <c r="P150" s="32"/>
      <c r="Q150" s="13" t="s">
        <v>44</v>
      </c>
      <c r="R150" s="13" t="s">
        <v>46</v>
      </c>
      <c r="S150" s="32"/>
      <c r="T150" s="32"/>
      <c r="U150" s="26"/>
      <c r="V150" s="32"/>
    </row>
    <row r="151" hidden="1">
      <c r="A151" s="13">
        <v>150.0</v>
      </c>
      <c r="B151" s="15">
        <v>46120.0</v>
      </c>
      <c r="C151" s="13" t="s">
        <v>21</v>
      </c>
      <c r="D151" s="13" t="s">
        <v>24</v>
      </c>
      <c r="E151" s="20" t="s">
        <v>1334</v>
      </c>
      <c r="F151" s="13">
        <v>5.47546161E8</v>
      </c>
      <c r="G151" s="20" t="s">
        <v>71</v>
      </c>
      <c r="H151" s="13" t="s">
        <v>27</v>
      </c>
      <c r="I151" s="20" t="s">
        <v>1335</v>
      </c>
      <c r="J151" s="20"/>
      <c r="K151" s="13" t="s">
        <v>36</v>
      </c>
      <c r="L151" s="26"/>
      <c r="M151" s="27" t="s">
        <v>38</v>
      </c>
      <c r="N151" s="13" t="s">
        <v>40</v>
      </c>
      <c r="O151" s="13" t="s">
        <v>42</v>
      </c>
      <c r="P151" s="32"/>
      <c r="Q151" s="13" t="s">
        <v>44</v>
      </c>
      <c r="R151" s="13" t="s">
        <v>46</v>
      </c>
      <c r="S151" s="32"/>
      <c r="T151" s="32"/>
      <c r="U151" s="26"/>
      <c r="V151" s="32"/>
    </row>
    <row r="152" hidden="1">
      <c r="A152" s="13">
        <v>151.0</v>
      </c>
      <c r="B152" s="15">
        <v>46120.0</v>
      </c>
      <c r="C152" s="13" t="s">
        <v>58</v>
      </c>
      <c r="D152" s="13" t="s">
        <v>34</v>
      </c>
      <c r="E152" s="20" t="s">
        <v>1338</v>
      </c>
      <c r="F152" s="13">
        <v>5.34959996E8</v>
      </c>
      <c r="G152" s="20" t="s">
        <v>319</v>
      </c>
      <c r="H152" s="13" t="s">
        <v>27</v>
      </c>
      <c r="I152" s="20" t="s">
        <v>1340</v>
      </c>
      <c r="J152" s="20" t="s">
        <v>35</v>
      </c>
      <c r="K152" s="13" t="s">
        <v>36</v>
      </c>
      <c r="L152" s="26"/>
      <c r="M152" s="27" t="s">
        <v>88</v>
      </c>
      <c r="N152" s="13" t="s">
        <v>56</v>
      </c>
      <c r="O152" s="13" t="s">
        <v>42</v>
      </c>
      <c r="P152" s="32"/>
      <c r="Q152" s="13" t="s">
        <v>49</v>
      </c>
      <c r="R152" s="13" t="s">
        <v>68</v>
      </c>
      <c r="S152" s="32"/>
      <c r="T152" s="32"/>
      <c r="U152" s="26"/>
      <c r="V152" s="32"/>
    </row>
    <row r="153" hidden="1">
      <c r="A153" s="13">
        <v>152.0</v>
      </c>
      <c r="B153" s="15">
        <v>46120.0</v>
      </c>
      <c r="C153" s="13" t="s">
        <v>58</v>
      </c>
      <c r="D153" s="13" t="s">
        <v>60</v>
      </c>
      <c r="E153" s="13" t="s">
        <v>27</v>
      </c>
      <c r="F153" s="13">
        <v>5.00522553E8</v>
      </c>
      <c r="G153" s="13" t="s">
        <v>27</v>
      </c>
      <c r="H153" s="13" t="s">
        <v>27</v>
      </c>
      <c r="I153" s="20" t="s">
        <v>554</v>
      </c>
      <c r="J153" s="20"/>
      <c r="K153" s="13" t="s">
        <v>36</v>
      </c>
      <c r="L153" s="26"/>
      <c r="M153" s="27" t="s">
        <v>88</v>
      </c>
      <c r="N153" s="13" t="s">
        <v>56</v>
      </c>
      <c r="O153" s="13" t="s">
        <v>42</v>
      </c>
      <c r="P153" s="32"/>
      <c r="Q153" s="13" t="s">
        <v>44</v>
      </c>
      <c r="R153" s="13" t="s">
        <v>68</v>
      </c>
      <c r="S153" s="32"/>
      <c r="T153" s="32"/>
      <c r="U153" s="26"/>
      <c r="V153" s="32"/>
    </row>
    <row r="154" hidden="1">
      <c r="A154" s="13">
        <v>153.0</v>
      </c>
      <c r="B154" s="15">
        <v>46120.0</v>
      </c>
      <c r="C154" s="13" t="s">
        <v>21</v>
      </c>
      <c r="D154" s="13" t="s">
        <v>22</v>
      </c>
      <c r="E154" s="20" t="s">
        <v>1351</v>
      </c>
      <c r="F154" s="13">
        <v>5.83356064E8</v>
      </c>
      <c r="G154" s="20" t="s">
        <v>172</v>
      </c>
      <c r="H154" s="13" t="s">
        <v>27</v>
      </c>
      <c r="I154" s="20" t="s">
        <v>1354</v>
      </c>
      <c r="J154" s="20"/>
      <c r="K154" s="13" t="s">
        <v>36</v>
      </c>
      <c r="L154" s="26"/>
      <c r="M154" s="27" t="s">
        <v>38</v>
      </c>
      <c r="N154" s="13" t="s">
        <v>40</v>
      </c>
      <c r="O154" s="13" t="s">
        <v>42</v>
      </c>
      <c r="P154" s="32"/>
      <c r="Q154" s="13" t="s">
        <v>44</v>
      </c>
      <c r="R154" s="13" t="s">
        <v>46</v>
      </c>
      <c r="S154" s="32"/>
      <c r="T154" s="32"/>
      <c r="U154" s="26"/>
      <c r="V154" s="32"/>
    </row>
    <row r="155" hidden="1">
      <c r="A155" s="13">
        <v>154.0</v>
      </c>
      <c r="B155" s="15">
        <v>46120.0</v>
      </c>
      <c r="C155" s="13" t="s">
        <v>47</v>
      </c>
      <c r="D155" s="13" t="s">
        <v>48</v>
      </c>
      <c r="E155" s="20" t="s">
        <v>1359</v>
      </c>
      <c r="F155" s="13">
        <v>5.64747232E8</v>
      </c>
      <c r="G155" s="20" t="s">
        <v>41</v>
      </c>
      <c r="H155" s="13" t="s">
        <v>1361</v>
      </c>
      <c r="I155" s="20" t="s">
        <v>1362</v>
      </c>
      <c r="J155" s="20"/>
      <c r="K155" s="13" t="s">
        <v>36</v>
      </c>
      <c r="L155" s="26"/>
      <c r="M155" s="75" t="s">
        <v>98</v>
      </c>
      <c r="N155" s="13" t="s">
        <v>56</v>
      </c>
      <c r="O155" s="13" t="s">
        <v>518</v>
      </c>
      <c r="P155" s="32"/>
      <c r="Q155" s="13" t="s">
        <v>44</v>
      </c>
      <c r="R155" s="13" t="s">
        <v>46</v>
      </c>
      <c r="S155" s="32"/>
      <c r="T155" s="32"/>
      <c r="U155" s="26"/>
      <c r="V155" s="32"/>
    </row>
    <row r="156" hidden="1">
      <c r="A156" s="13">
        <v>155.0</v>
      </c>
      <c r="B156" s="15">
        <v>46120.0</v>
      </c>
      <c r="C156" s="13" t="s">
        <v>21</v>
      </c>
      <c r="D156" s="13" t="s">
        <v>24</v>
      </c>
      <c r="E156" s="20" t="s">
        <v>1367</v>
      </c>
      <c r="F156" s="13">
        <v>5.11415979E8</v>
      </c>
      <c r="G156" s="20" t="s">
        <v>71</v>
      </c>
      <c r="H156" s="13" t="s">
        <v>27</v>
      </c>
      <c r="I156" s="20" t="s">
        <v>1368</v>
      </c>
      <c r="J156" s="20"/>
      <c r="K156" s="13" t="s">
        <v>36</v>
      </c>
      <c r="L156" s="26"/>
      <c r="M156" s="27" t="s">
        <v>38</v>
      </c>
      <c r="N156" s="13" t="s">
        <v>40</v>
      </c>
      <c r="O156" s="13" t="s">
        <v>42</v>
      </c>
      <c r="P156" s="32"/>
      <c r="Q156" s="13" t="s">
        <v>44</v>
      </c>
      <c r="R156" s="13" t="s">
        <v>46</v>
      </c>
      <c r="S156" s="32"/>
      <c r="T156" s="32"/>
      <c r="U156" s="26"/>
      <c r="V156" s="32"/>
    </row>
    <row r="157" hidden="1">
      <c r="A157" s="13">
        <v>156.0</v>
      </c>
      <c r="B157" s="15">
        <v>46120.0</v>
      </c>
      <c r="C157" s="13" t="s">
        <v>47</v>
      </c>
      <c r="D157" s="13" t="s">
        <v>92</v>
      </c>
      <c r="E157" s="20" t="s">
        <v>1374</v>
      </c>
      <c r="F157" s="13">
        <v>5.44342403E8</v>
      </c>
      <c r="G157" s="20" t="s">
        <v>71</v>
      </c>
      <c r="H157" s="13" t="s">
        <v>337</v>
      </c>
      <c r="I157" s="20" t="s">
        <v>1375</v>
      </c>
      <c r="J157" s="20"/>
      <c r="K157" s="13" t="s">
        <v>36</v>
      </c>
      <c r="L157" s="26"/>
      <c r="M157" s="27" t="s">
        <v>55</v>
      </c>
      <c r="N157" s="13" t="s">
        <v>40</v>
      </c>
      <c r="O157" s="13" t="s">
        <v>518</v>
      </c>
      <c r="P157" s="32"/>
      <c r="Q157" s="13" t="s">
        <v>44</v>
      </c>
      <c r="R157" s="13" t="s">
        <v>46</v>
      </c>
      <c r="S157" s="32"/>
      <c r="T157" s="32"/>
      <c r="U157" s="26"/>
      <c r="V157" s="32"/>
    </row>
    <row r="158" hidden="1">
      <c r="A158" s="13">
        <v>157.0</v>
      </c>
      <c r="B158" s="15">
        <v>46121.0</v>
      </c>
      <c r="C158" s="13" t="s">
        <v>21</v>
      </c>
      <c r="D158" s="13" t="s">
        <v>22</v>
      </c>
      <c r="E158" s="20" t="s">
        <v>1383</v>
      </c>
      <c r="F158" s="13">
        <v>5.67729505E8</v>
      </c>
      <c r="G158" s="20" t="s">
        <v>1385</v>
      </c>
      <c r="H158" s="13" t="s">
        <v>27</v>
      </c>
      <c r="I158" s="20" t="s">
        <v>1387</v>
      </c>
      <c r="J158" s="20" t="s">
        <v>35</v>
      </c>
      <c r="K158" s="13" t="s">
        <v>36</v>
      </c>
      <c r="L158" s="26"/>
      <c r="M158" s="27" t="s">
        <v>38</v>
      </c>
      <c r="N158" s="13" t="s">
        <v>40</v>
      </c>
      <c r="O158" s="13" t="s">
        <v>42</v>
      </c>
      <c r="P158" s="32"/>
      <c r="Q158" s="13" t="s">
        <v>49</v>
      </c>
      <c r="R158" s="13" t="s">
        <v>46</v>
      </c>
      <c r="S158" s="32"/>
      <c r="T158" s="32"/>
      <c r="U158" s="26"/>
      <c r="V158" s="32"/>
    </row>
    <row r="159" hidden="1">
      <c r="A159" s="13">
        <v>158.0</v>
      </c>
      <c r="B159" s="15">
        <v>46121.0</v>
      </c>
      <c r="C159" s="13" t="s">
        <v>58</v>
      </c>
      <c r="D159" s="13" t="s">
        <v>60</v>
      </c>
      <c r="E159" s="13" t="s">
        <v>27</v>
      </c>
      <c r="F159" s="13">
        <v>5.49862619E8</v>
      </c>
      <c r="G159" s="13" t="s">
        <v>27</v>
      </c>
      <c r="H159" s="13" t="s">
        <v>27</v>
      </c>
      <c r="I159" s="20" t="s">
        <v>1396</v>
      </c>
      <c r="J159" s="20"/>
      <c r="K159" s="13" t="s">
        <v>36</v>
      </c>
      <c r="L159" s="26"/>
      <c r="M159" s="27" t="s">
        <v>38</v>
      </c>
      <c r="N159" s="13" t="s">
        <v>56</v>
      </c>
      <c r="O159" s="13" t="s">
        <v>42</v>
      </c>
      <c r="P159" s="32"/>
      <c r="Q159" s="13" t="s">
        <v>44</v>
      </c>
      <c r="R159" s="13" t="s">
        <v>68</v>
      </c>
      <c r="S159" s="32"/>
      <c r="T159" s="32"/>
      <c r="U159" s="26"/>
      <c r="V159" s="32"/>
    </row>
    <row r="160" hidden="1">
      <c r="A160" s="13">
        <v>159.0</v>
      </c>
      <c r="B160" s="15">
        <v>46121.0</v>
      </c>
      <c r="C160" s="13" t="s">
        <v>21</v>
      </c>
      <c r="D160" s="13" t="s">
        <v>57</v>
      </c>
      <c r="E160" s="20" t="s">
        <v>1398</v>
      </c>
      <c r="F160" s="13">
        <v>5.55184873E8</v>
      </c>
      <c r="G160" s="20" t="s">
        <v>41</v>
      </c>
      <c r="H160" s="13" t="s">
        <v>27</v>
      </c>
      <c r="I160" s="20" t="s">
        <v>1400</v>
      </c>
      <c r="J160" s="20"/>
      <c r="K160" s="13" t="s">
        <v>36</v>
      </c>
      <c r="L160" s="26"/>
      <c r="M160" s="27" t="s">
        <v>38</v>
      </c>
      <c r="N160" s="13" t="s">
        <v>56</v>
      </c>
      <c r="O160" s="13" t="s">
        <v>42</v>
      </c>
      <c r="P160" s="32"/>
      <c r="Q160" s="13" t="s">
        <v>44</v>
      </c>
      <c r="R160" s="13" t="s">
        <v>68</v>
      </c>
      <c r="S160" s="32"/>
      <c r="T160" s="32"/>
      <c r="U160" s="26"/>
      <c r="V160" s="32"/>
    </row>
    <row r="161" hidden="1">
      <c r="A161" s="13">
        <v>160.0</v>
      </c>
      <c r="B161" s="15">
        <v>46121.0</v>
      </c>
      <c r="C161" s="13" t="s">
        <v>47</v>
      </c>
      <c r="D161" s="13" t="s">
        <v>48</v>
      </c>
      <c r="E161" s="20" t="s">
        <v>1405</v>
      </c>
      <c r="F161" s="13" t="s">
        <v>27</v>
      </c>
      <c r="G161" s="20" t="s">
        <v>41</v>
      </c>
      <c r="H161" s="13" t="s">
        <v>414</v>
      </c>
      <c r="I161" s="20" t="s">
        <v>1406</v>
      </c>
      <c r="J161" s="20" t="s">
        <v>1407</v>
      </c>
      <c r="K161" s="13" t="s">
        <v>78</v>
      </c>
      <c r="L161" s="26"/>
      <c r="M161" s="27" t="s">
        <v>55</v>
      </c>
      <c r="N161" s="13" t="s">
        <v>56</v>
      </c>
      <c r="O161" s="13" t="s">
        <v>42</v>
      </c>
      <c r="P161" s="32"/>
      <c r="Q161" s="13" t="s">
        <v>49</v>
      </c>
      <c r="R161" s="13" t="s">
        <v>46</v>
      </c>
      <c r="S161" s="32"/>
      <c r="T161" s="32"/>
      <c r="U161" s="26"/>
      <c r="V161" s="32"/>
    </row>
    <row r="162" ht="27.75" hidden="1" customHeight="1">
      <c r="A162" s="13">
        <v>161.0</v>
      </c>
      <c r="B162" s="15">
        <v>46121.0</v>
      </c>
      <c r="C162" s="13" t="s">
        <v>47</v>
      </c>
      <c r="D162" s="13" t="s">
        <v>48</v>
      </c>
      <c r="E162" s="79" t="s">
        <v>1411</v>
      </c>
      <c r="F162" s="13" t="s">
        <v>27</v>
      </c>
      <c r="G162" s="58" t="s">
        <v>79</v>
      </c>
      <c r="H162" s="13" t="s">
        <v>638</v>
      </c>
      <c r="I162" s="20" t="s">
        <v>1413</v>
      </c>
      <c r="J162" s="20" t="s">
        <v>1414</v>
      </c>
      <c r="K162" s="13" t="s">
        <v>78</v>
      </c>
      <c r="L162" s="26"/>
      <c r="M162" s="27" t="s">
        <v>953</v>
      </c>
      <c r="N162" s="13" t="s">
        <v>56</v>
      </c>
      <c r="O162" s="13" t="s">
        <v>42</v>
      </c>
      <c r="P162" s="32"/>
      <c r="Q162" s="13" t="s">
        <v>49</v>
      </c>
      <c r="R162" s="13" t="s">
        <v>46</v>
      </c>
      <c r="S162" s="32"/>
      <c r="T162" s="32"/>
      <c r="U162" s="26"/>
      <c r="V162" s="32"/>
    </row>
    <row r="163" hidden="1">
      <c r="A163" s="13">
        <v>162.0</v>
      </c>
      <c r="B163" s="15">
        <v>46121.0</v>
      </c>
      <c r="C163" s="13" t="s">
        <v>47</v>
      </c>
      <c r="D163" s="13" t="s">
        <v>48</v>
      </c>
      <c r="E163" s="13" t="s">
        <v>27</v>
      </c>
      <c r="F163" s="13" t="s">
        <v>27</v>
      </c>
      <c r="G163" s="20" t="s">
        <v>41</v>
      </c>
      <c r="H163" s="13" t="s">
        <v>97</v>
      </c>
      <c r="I163" s="20" t="s">
        <v>1420</v>
      </c>
      <c r="J163" s="20" t="s">
        <v>1421</v>
      </c>
      <c r="K163" s="13" t="s">
        <v>78</v>
      </c>
      <c r="L163" s="26"/>
      <c r="M163" s="27" t="s">
        <v>55</v>
      </c>
      <c r="N163" s="13" t="s">
        <v>56</v>
      </c>
      <c r="O163" s="13" t="s">
        <v>42</v>
      </c>
      <c r="P163" s="32"/>
      <c r="Q163" s="13" t="s">
        <v>49</v>
      </c>
      <c r="R163" s="13" t="s">
        <v>46</v>
      </c>
      <c r="S163" s="32"/>
      <c r="T163" s="32"/>
      <c r="U163" s="26"/>
      <c r="V163" s="32"/>
    </row>
    <row r="164" hidden="1">
      <c r="A164" s="13">
        <v>163.0</v>
      </c>
      <c r="B164" s="15">
        <v>46121.0</v>
      </c>
      <c r="C164" s="13" t="s">
        <v>47</v>
      </c>
      <c r="D164" s="13" t="s">
        <v>48</v>
      </c>
      <c r="E164" s="20" t="s">
        <v>1427</v>
      </c>
      <c r="F164" s="13" t="s">
        <v>27</v>
      </c>
      <c r="G164" s="58" t="s">
        <v>79</v>
      </c>
      <c r="H164" s="13" t="s">
        <v>638</v>
      </c>
      <c r="I164" s="20" t="s">
        <v>1428</v>
      </c>
      <c r="J164" s="20" t="s">
        <v>1429</v>
      </c>
      <c r="K164" s="13" t="s">
        <v>78</v>
      </c>
      <c r="L164" s="26"/>
      <c r="M164" s="27" t="s">
        <v>55</v>
      </c>
      <c r="N164" s="13" t="s">
        <v>56</v>
      </c>
      <c r="O164" s="13" t="s">
        <v>42</v>
      </c>
      <c r="P164" s="32"/>
      <c r="Q164" s="13" t="s">
        <v>49</v>
      </c>
      <c r="R164" s="13" t="s">
        <v>46</v>
      </c>
      <c r="S164" s="32"/>
      <c r="T164" s="32"/>
      <c r="U164" s="26"/>
      <c r="V164" s="32"/>
    </row>
    <row r="165" hidden="1">
      <c r="A165" s="13">
        <v>164.0</v>
      </c>
      <c r="B165" s="15">
        <v>46121.0</v>
      </c>
      <c r="C165" s="13" t="s">
        <v>47</v>
      </c>
      <c r="D165" s="13" t="s">
        <v>48</v>
      </c>
      <c r="E165" s="20" t="s">
        <v>1437</v>
      </c>
      <c r="F165" s="13" t="s">
        <v>27</v>
      </c>
      <c r="G165" s="20" t="s">
        <v>874</v>
      </c>
      <c r="H165" s="13" t="s">
        <v>876</v>
      </c>
      <c r="I165" s="20" t="s">
        <v>1438</v>
      </c>
      <c r="J165" s="20" t="s">
        <v>1439</v>
      </c>
      <c r="K165" s="13" t="s">
        <v>78</v>
      </c>
      <c r="L165" s="26"/>
      <c r="M165" s="27" t="s">
        <v>55</v>
      </c>
      <c r="N165" s="13" t="s">
        <v>56</v>
      </c>
      <c r="O165" s="13" t="s">
        <v>42</v>
      </c>
      <c r="P165" s="32"/>
      <c r="Q165" s="13" t="s">
        <v>49</v>
      </c>
      <c r="R165" s="13" t="s">
        <v>46</v>
      </c>
      <c r="S165" s="32"/>
      <c r="T165" s="32"/>
      <c r="U165" s="26"/>
      <c r="V165" s="32"/>
    </row>
    <row r="166" hidden="1">
      <c r="A166" s="13">
        <v>165.0</v>
      </c>
      <c r="B166" s="15">
        <v>46121.0</v>
      </c>
      <c r="C166" s="13" t="s">
        <v>47</v>
      </c>
      <c r="D166" s="13" t="s">
        <v>92</v>
      </c>
      <c r="E166" s="20" t="s">
        <v>1442</v>
      </c>
      <c r="F166" s="13" t="s">
        <v>27</v>
      </c>
      <c r="G166" s="20" t="s">
        <v>28</v>
      </c>
      <c r="H166" s="13" t="s">
        <v>777</v>
      </c>
      <c r="I166" s="20" t="s">
        <v>1444</v>
      </c>
      <c r="J166" s="20" t="s">
        <v>35</v>
      </c>
      <c r="K166" s="13" t="s">
        <v>78</v>
      </c>
      <c r="L166" s="26"/>
      <c r="M166" s="27" t="s">
        <v>55</v>
      </c>
      <c r="N166" s="13" t="s">
        <v>40</v>
      </c>
      <c r="O166" s="13" t="s">
        <v>42</v>
      </c>
      <c r="P166" s="32"/>
      <c r="Q166" s="13" t="s">
        <v>49</v>
      </c>
      <c r="R166" s="13" t="s">
        <v>46</v>
      </c>
      <c r="S166" s="32"/>
      <c r="T166" s="32"/>
      <c r="U166" s="26"/>
      <c r="V166" s="32"/>
    </row>
    <row r="167" hidden="1">
      <c r="A167" s="13">
        <v>166.0</v>
      </c>
      <c r="B167" s="15">
        <v>46121.0</v>
      </c>
      <c r="C167" s="13" t="s">
        <v>21</v>
      </c>
      <c r="D167" s="13" t="s">
        <v>48</v>
      </c>
      <c r="E167" s="20" t="s">
        <v>1448</v>
      </c>
      <c r="F167" s="13">
        <v>5.04441158E8</v>
      </c>
      <c r="G167" s="20" t="s">
        <v>132</v>
      </c>
      <c r="H167" s="13" t="s">
        <v>27</v>
      </c>
      <c r="I167" s="20" t="s">
        <v>1450</v>
      </c>
      <c r="J167" s="20"/>
      <c r="K167" s="13" t="s">
        <v>36</v>
      </c>
      <c r="L167" s="26"/>
      <c r="M167" s="27" t="s">
        <v>38</v>
      </c>
      <c r="N167" s="13" t="s">
        <v>40</v>
      </c>
      <c r="O167" s="13" t="s">
        <v>42</v>
      </c>
      <c r="P167" s="32"/>
      <c r="Q167" s="13" t="s">
        <v>44</v>
      </c>
      <c r="R167" s="13" t="s">
        <v>68</v>
      </c>
      <c r="S167" s="32"/>
      <c r="T167" s="32"/>
      <c r="U167" s="26"/>
      <c r="V167" s="32"/>
    </row>
    <row r="168" hidden="1">
      <c r="A168" s="13">
        <v>167.0</v>
      </c>
      <c r="B168" s="15">
        <v>46121.0</v>
      </c>
      <c r="C168" s="13" t="s">
        <v>58</v>
      </c>
      <c r="D168" s="13" t="s">
        <v>60</v>
      </c>
      <c r="E168" s="13" t="s">
        <v>27</v>
      </c>
      <c r="F168" s="13">
        <v>5.53746379E8</v>
      </c>
      <c r="G168" s="20" t="s">
        <v>79</v>
      </c>
      <c r="H168" s="13" t="s">
        <v>27</v>
      </c>
      <c r="I168" s="20" t="s">
        <v>1456</v>
      </c>
      <c r="J168" s="20"/>
      <c r="K168" s="13" t="s">
        <v>36</v>
      </c>
      <c r="L168" s="26"/>
      <c r="M168" s="27" t="s">
        <v>88</v>
      </c>
      <c r="N168" s="13" t="s">
        <v>56</v>
      </c>
      <c r="O168" s="13" t="s">
        <v>42</v>
      </c>
      <c r="P168" s="32"/>
      <c r="Q168" s="13" t="s">
        <v>44</v>
      </c>
      <c r="R168" s="13" t="s">
        <v>68</v>
      </c>
      <c r="S168" s="32"/>
      <c r="T168" s="32"/>
      <c r="U168" s="26"/>
      <c r="V168" s="32"/>
    </row>
    <row r="169" ht="56.25" hidden="1" customHeight="1">
      <c r="A169" s="13">
        <v>168.0</v>
      </c>
      <c r="B169" s="15">
        <v>46121.0</v>
      </c>
      <c r="C169" s="13" t="s">
        <v>47</v>
      </c>
      <c r="D169" s="13" t="s">
        <v>24</v>
      </c>
      <c r="E169" s="20" t="s">
        <v>1464</v>
      </c>
      <c r="F169" s="13">
        <v>5.67826677E8</v>
      </c>
      <c r="G169" s="20" t="s">
        <v>333</v>
      </c>
      <c r="H169" s="13" t="s">
        <v>516</v>
      </c>
      <c r="I169" s="20" t="s">
        <v>1466</v>
      </c>
      <c r="J169" s="20" t="s">
        <v>1467</v>
      </c>
      <c r="K169" s="13" t="s">
        <v>36</v>
      </c>
      <c r="L169" s="26"/>
      <c r="M169" s="27" t="s">
        <v>55</v>
      </c>
      <c r="N169" s="13" t="s">
        <v>56</v>
      </c>
      <c r="O169" s="13" t="s">
        <v>42</v>
      </c>
      <c r="P169" s="32"/>
      <c r="Q169" s="13" t="s">
        <v>44</v>
      </c>
      <c r="R169" s="13" t="s">
        <v>68</v>
      </c>
      <c r="S169" s="32"/>
      <c r="T169" s="32"/>
      <c r="U169" s="26"/>
      <c r="V169" s="32"/>
    </row>
    <row r="170" hidden="1">
      <c r="A170" s="13">
        <v>169.0</v>
      </c>
      <c r="B170" s="15">
        <v>46121.0</v>
      </c>
      <c r="C170" s="13" t="s">
        <v>58</v>
      </c>
      <c r="D170" s="13" t="s">
        <v>60</v>
      </c>
      <c r="E170" s="13" t="s">
        <v>27</v>
      </c>
      <c r="F170" s="55">
        <v>5.60304071E8</v>
      </c>
      <c r="G170" s="20" t="s">
        <v>41</v>
      </c>
      <c r="H170" s="13" t="s">
        <v>222</v>
      </c>
      <c r="I170" s="20" t="s">
        <v>1474</v>
      </c>
      <c r="J170" s="20" t="s">
        <v>1476</v>
      </c>
      <c r="K170" s="13" t="s">
        <v>36</v>
      </c>
      <c r="L170" s="26"/>
      <c r="M170" s="27" t="s">
        <v>88</v>
      </c>
      <c r="N170" s="13" t="s">
        <v>56</v>
      </c>
      <c r="O170" s="13" t="s">
        <v>42</v>
      </c>
      <c r="P170" s="32"/>
      <c r="Q170" s="13" t="s">
        <v>44</v>
      </c>
      <c r="R170" s="13" t="s">
        <v>68</v>
      </c>
      <c r="S170" s="32"/>
      <c r="T170" s="32"/>
      <c r="U170" s="26"/>
      <c r="V170" s="32"/>
    </row>
    <row r="171" hidden="1">
      <c r="A171" s="13">
        <v>170.0</v>
      </c>
      <c r="B171" s="15">
        <v>46121.0</v>
      </c>
      <c r="C171" s="13" t="s">
        <v>21</v>
      </c>
      <c r="D171" s="13" t="s">
        <v>22</v>
      </c>
      <c r="E171" s="20" t="s">
        <v>1482</v>
      </c>
      <c r="F171" s="13">
        <v>5.30119403E8</v>
      </c>
      <c r="G171" s="20" t="s">
        <v>1483</v>
      </c>
      <c r="H171" s="13" t="s">
        <v>27</v>
      </c>
      <c r="I171" s="20" t="s">
        <v>1486</v>
      </c>
      <c r="J171" s="20" t="s">
        <v>35</v>
      </c>
      <c r="K171" s="13" t="s">
        <v>321</v>
      </c>
      <c r="L171" s="26"/>
      <c r="M171" s="27" t="s">
        <v>38</v>
      </c>
      <c r="N171" s="13" t="s">
        <v>40</v>
      </c>
      <c r="O171" s="13" t="s">
        <v>42</v>
      </c>
      <c r="P171" s="32"/>
      <c r="Q171" s="13" t="s">
        <v>49</v>
      </c>
      <c r="R171" s="13" t="s">
        <v>46</v>
      </c>
      <c r="S171" s="32"/>
      <c r="T171" s="32"/>
      <c r="U171" s="26"/>
      <c r="V171" s="32"/>
    </row>
    <row r="172" hidden="1">
      <c r="A172" s="13">
        <v>171.0</v>
      </c>
      <c r="B172" s="15">
        <v>46121.0</v>
      </c>
      <c r="C172" s="13" t="s">
        <v>58</v>
      </c>
      <c r="D172" s="13" t="s">
        <v>60</v>
      </c>
      <c r="E172" s="20" t="s">
        <v>916</v>
      </c>
      <c r="F172" s="13">
        <v>5.65087963E8</v>
      </c>
      <c r="G172" s="20" t="s">
        <v>41</v>
      </c>
      <c r="H172" s="13" t="s">
        <v>27</v>
      </c>
      <c r="I172" s="20" t="s">
        <v>1494</v>
      </c>
      <c r="J172" s="20" t="s">
        <v>35</v>
      </c>
      <c r="K172" s="13" t="s">
        <v>36</v>
      </c>
      <c r="L172" s="26"/>
      <c r="M172" s="27" t="s">
        <v>88</v>
      </c>
      <c r="N172" s="13" t="s">
        <v>56</v>
      </c>
      <c r="O172" s="13" t="s">
        <v>42</v>
      </c>
      <c r="P172" s="32"/>
      <c r="Q172" s="13" t="s">
        <v>49</v>
      </c>
      <c r="R172" s="13" t="s">
        <v>68</v>
      </c>
      <c r="S172" s="32"/>
      <c r="T172" s="32"/>
      <c r="U172" s="26"/>
      <c r="V172" s="32"/>
    </row>
    <row r="173" hidden="1">
      <c r="A173" s="13">
        <v>172.0</v>
      </c>
      <c r="B173" s="15">
        <v>46121.0</v>
      </c>
      <c r="C173" s="13" t="s">
        <v>58</v>
      </c>
      <c r="D173" s="13" t="s">
        <v>60</v>
      </c>
      <c r="E173" s="20" t="s">
        <v>916</v>
      </c>
      <c r="F173" s="13">
        <v>5.65087963E8</v>
      </c>
      <c r="G173" s="20" t="s">
        <v>41</v>
      </c>
      <c r="H173" s="13" t="s">
        <v>27</v>
      </c>
      <c r="I173" s="20" t="s">
        <v>1494</v>
      </c>
      <c r="J173" s="20" t="s">
        <v>35</v>
      </c>
      <c r="K173" s="13" t="s">
        <v>36</v>
      </c>
      <c r="L173" s="26"/>
      <c r="M173" s="27" t="s">
        <v>88</v>
      </c>
      <c r="N173" s="13" t="s">
        <v>56</v>
      </c>
      <c r="O173" s="13" t="s">
        <v>42</v>
      </c>
      <c r="P173" s="32"/>
      <c r="Q173" s="13" t="s">
        <v>49</v>
      </c>
      <c r="R173" s="13" t="s">
        <v>68</v>
      </c>
      <c r="S173" s="32"/>
      <c r="T173" s="32"/>
      <c r="U173" s="26"/>
      <c r="V173" s="32"/>
    </row>
    <row r="174" hidden="1">
      <c r="A174" s="13">
        <v>173.0</v>
      </c>
      <c r="B174" s="15">
        <v>46121.0</v>
      </c>
      <c r="C174" s="13" t="s">
        <v>58</v>
      </c>
      <c r="D174" s="13" t="s">
        <v>60</v>
      </c>
      <c r="E174" s="13" t="s">
        <v>27</v>
      </c>
      <c r="F174" s="13">
        <v>5.92008902E8</v>
      </c>
      <c r="G174" s="20" t="s">
        <v>41</v>
      </c>
      <c r="H174" s="13" t="s">
        <v>52</v>
      </c>
      <c r="I174" s="20" t="s">
        <v>1504</v>
      </c>
      <c r="J174" s="20" t="s">
        <v>1505</v>
      </c>
      <c r="K174" s="13" t="s">
        <v>36</v>
      </c>
      <c r="L174" s="26"/>
      <c r="M174" s="27" t="s">
        <v>88</v>
      </c>
      <c r="N174" s="13" t="s">
        <v>56</v>
      </c>
      <c r="O174" s="13" t="s">
        <v>42</v>
      </c>
      <c r="P174" s="32"/>
      <c r="Q174" s="13" t="s">
        <v>49</v>
      </c>
      <c r="R174" s="13" t="s">
        <v>68</v>
      </c>
      <c r="S174" s="32"/>
      <c r="T174" s="32"/>
      <c r="U174" s="26"/>
      <c r="V174" s="32"/>
    </row>
    <row r="175" hidden="1">
      <c r="A175" s="13">
        <v>174.0</v>
      </c>
      <c r="B175" s="15">
        <v>46121.0</v>
      </c>
      <c r="C175" s="13" t="s">
        <v>21</v>
      </c>
      <c r="D175" s="13" t="s">
        <v>22</v>
      </c>
      <c r="E175" s="20" t="s">
        <v>1511</v>
      </c>
      <c r="F175" s="13">
        <v>5.40200018E8</v>
      </c>
      <c r="G175" s="20" t="s">
        <v>319</v>
      </c>
      <c r="H175" s="13" t="s">
        <v>27</v>
      </c>
      <c r="I175" s="20" t="s">
        <v>1512</v>
      </c>
      <c r="J175" s="20" t="s">
        <v>35</v>
      </c>
      <c r="K175" s="13" t="s">
        <v>36</v>
      </c>
      <c r="L175" s="26"/>
      <c r="M175" s="27" t="s">
        <v>38</v>
      </c>
      <c r="N175" s="13" t="s">
        <v>40</v>
      </c>
      <c r="O175" s="13" t="s">
        <v>42</v>
      </c>
      <c r="P175" s="32"/>
      <c r="Q175" s="13" t="s">
        <v>49</v>
      </c>
      <c r="R175" s="13" t="s">
        <v>46</v>
      </c>
      <c r="S175" s="32"/>
      <c r="T175" s="32"/>
      <c r="U175" s="26"/>
      <c r="V175" s="32"/>
    </row>
    <row r="176" hidden="1">
      <c r="A176" s="13">
        <v>175.0</v>
      </c>
      <c r="B176" s="15">
        <v>46124.0</v>
      </c>
      <c r="C176" s="13" t="s">
        <v>21</v>
      </c>
      <c r="D176" s="13" t="s">
        <v>57</v>
      </c>
      <c r="E176" s="20" t="s">
        <v>1519</v>
      </c>
      <c r="F176" s="13">
        <v>5.3010056E8</v>
      </c>
      <c r="G176" s="20" t="s">
        <v>319</v>
      </c>
      <c r="H176" s="13" t="s">
        <v>27</v>
      </c>
      <c r="I176" s="20" t="s">
        <v>1520</v>
      </c>
      <c r="J176" s="20"/>
      <c r="K176" s="13" t="s">
        <v>36</v>
      </c>
      <c r="L176" s="26"/>
      <c r="M176" s="27" t="s">
        <v>38</v>
      </c>
      <c r="N176" s="13" t="s">
        <v>56</v>
      </c>
      <c r="O176" s="13" t="s">
        <v>42</v>
      </c>
      <c r="P176" s="32"/>
      <c r="Q176" s="13" t="s">
        <v>44</v>
      </c>
      <c r="R176" s="13" t="s">
        <v>68</v>
      </c>
      <c r="S176" s="32"/>
      <c r="T176" s="32"/>
      <c r="U176" s="26"/>
      <c r="V176" s="32"/>
    </row>
    <row r="177" hidden="1">
      <c r="A177" s="13">
        <v>176.0</v>
      </c>
      <c r="B177" s="15">
        <v>46124.0</v>
      </c>
      <c r="C177" s="13" t="s">
        <v>58</v>
      </c>
      <c r="D177" s="13" t="s">
        <v>60</v>
      </c>
      <c r="E177" s="13" t="s">
        <v>27</v>
      </c>
      <c r="F177" s="13">
        <v>5.70026426E8</v>
      </c>
      <c r="G177" s="13" t="s">
        <v>27</v>
      </c>
      <c r="H177" s="13" t="s">
        <v>27</v>
      </c>
      <c r="I177" s="20" t="s">
        <v>1524</v>
      </c>
      <c r="J177" s="20"/>
      <c r="K177" s="13" t="s">
        <v>65</v>
      </c>
      <c r="L177" s="26"/>
      <c r="M177" s="27" t="s">
        <v>38</v>
      </c>
      <c r="N177" s="13" t="s">
        <v>56</v>
      </c>
      <c r="O177" s="13" t="s">
        <v>42</v>
      </c>
      <c r="P177" s="32"/>
      <c r="Q177" s="13" t="s">
        <v>44</v>
      </c>
      <c r="R177" s="13" t="s">
        <v>68</v>
      </c>
      <c r="S177" s="32"/>
      <c r="T177" s="32"/>
      <c r="U177" s="26"/>
      <c r="V177" s="32"/>
    </row>
    <row r="178" hidden="1">
      <c r="A178" s="13">
        <v>177.0</v>
      </c>
      <c r="B178" s="15">
        <v>46124.0</v>
      </c>
      <c r="C178" s="13" t="s">
        <v>21</v>
      </c>
      <c r="D178" s="13" t="s">
        <v>22</v>
      </c>
      <c r="E178" s="20" t="s">
        <v>1527</v>
      </c>
      <c r="F178" s="13">
        <v>5.02609153E8</v>
      </c>
      <c r="G178" s="20" t="s">
        <v>41</v>
      </c>
      <c r="H178" s="13" t="s">
        <v>27</v>
      </c>
      <c r="I178" s="20" t="s">
        <v>1529</v>
      </c>
      <c r="J178" s="20"/>
      <c r="K178" s="13" t="s">
        <v>36</v>
      </c>
      <c r="L178" s="26"/>
      <c r="M178" s="27" t="s">
        <v>38</v>
      </c>
      <c r="N178" s="13" t="s">
        <v>40</v>
      </c>
      <c r="O178" s="13" t="s">
        <v>42</v>
      </c>
      <c r="P178" s="32"/>
      <c r="Q178" s="13" t="s">
        <v>44</v>
      </c>
      <c r="R178" s="13" t="s">
        <v>46</v>
      </c>
      <c r="S178" s="32"/>
      <c r="T178" s="32"/>
      <c r="U178" s="26"/>
      <c r="V178" s="32"/>
    </row>
    <row r="179" hidden="1">
      <c r="A179" s="13">
        <v>178.0</v>
      </c>
      <c r="B179" s="15">
        <v>46124.0</v>
      </c>
      <c r="C179" s="13" t="s">
        <v>47</v>
      </c>
      <c r="D179" s="13" t="s">
        <v>138</v>
      </c>
      <c r="E179" s="13" t="s">
        <v>1535</v>
      </c>
      <c r="F179" s="13">
        <v>5.61010881E8</v>
      </c>
      <c r="G179" s="20" t="s">
        <v>41</v>
      </c>
      <c r="H179" s="13" t="s">
        <v>146</v>
      </c>
      <c r="I179" s="20" t="s">
        <v>1536</v>
      </c>
      <c r="J179" s="20" t="s">
        <v>1537</v>
      </c>
      <c r="K179" s="13" t="s">
        <v>148</v>
      </c>
      <c r="L179" s="26"/>
      <c r="M179" s="27" t="s">
        <v>150</v>
      </c>
      <c r="N179" s="13" t="s">
        <v>56</v>
      </c>
      <c r="O179" s="13" t="s">
        <v>42</v>
      </c>
      <c r="P179" s="32"/>
      <c r="Q179" s="13" t="s">
        <v>44</v>
      </c>
      <c r="R179" s="13" t="s">
        <v>46</v>
      </c>
      <c r="S179" s="32"/>
      <c r="T179" s="32"/>
      <c r="U179" s="26"/>
      <c r="V179" s="32"/>
    </row>
    <row r="180" hidden="1">
      <c r="A180" s="13">
        <v>179.0</v>
      </c>
      <c r="B180" s="15">
        <v>46124.0</v>
      </c>
      <c r="C180" s="13" t="s">
        <v>47</v>
      </c>
      <c r="D180" s="13" t="s">
        <v>138</v>
      </c>
      <c r="E180" s="20" t="s">
        <v>1543</v>
      </c>
      <c r="F180" s="13">
        <v>5.05366532E8</v>
      </c>
      <c r="G180" s="20" t="s">
        <v>41</v>
      </c>
      <c r="H180" s="13" t="s">
        <v>146</v>
      </c>
      <c r="I180" s="20" t="s">
        <v>1544</v>
      </c>
      <c r="J180" s="20" t="s">
        <v>1545</v>
      </c>
      <c r="K180" s="13" t="s">
        <v>148</v>
      </c>
      <c r="L180" s="26"/>
      <c r="M180" s="27" t="s">
        <v>55</v>
      </c>
      <c r="N180" s="13" t="s">
        <v>56</v>
      </c>
      <c r="O180" s="13" t="s">
        <v>42</v>
      </c>
      <c r="P180" s="32"/>
      <c r="Q180" s="13" t="s">
        <v>44</v>
      </c>
      <c r="R180" s="13" t="s">
        <v>46</v>
      </c>
      <c r="S180" s="32"/>
      <c r="T180" s="32"/>
      <c r="U180" s="26"/>
      <c r="V180" s="32"/>
    </row>
    <row r="181" hidden="1">
      <c r="A181" s="13">
        <v>180.0</v>
      </c>
      <c r="B181" s="15">
        <v>46124.0</v>
      </c>
      <c r="C181" s="13" t="s">
        <v>47</v>
      </c>
      <c r="D181" s="13" t="s">
        <v>48</v>
      </c>
      <c r="E181" s="20" t="s">
        <v>1546</v>
      </c>
      <c r="F181" s="13">
        <v>5.55639104E8</v>
      </c>
      <c r="G181" s="20" t="s">
        <v>28</v>
      </c>
      <c r="H181" s="13" t="s">
        <v>548</v>
      </c>
      <c r="I181" s="20" t="s">
        <v>1548</v>
      </c>
      <c r="J181" s="20" t="s">
        <v>1549</v>
      </c>
      <c r="K181" s="13" t="s">
        <v>148</v>
      </c>
      <c r="L181" s="26"/>
      <c r="M181" s="27" t="s">
        <v>55</v>
      </c>
      <c r="N181" s="13" t="s">
        <v>56</v>
      </c>
      <c r="O181" s="13" t="s">
        <v>518</v>
      </c>
      <c r="P181" s="32"/>
      <c r="Q181" s="13" t="s">
        <v>44</v>
      </c>
      <c r="R181" s="13" t="s">
        <v>46</v>
      </c>
      <c r="S181" s="32"/>
      <c r="T181" s="32"/>
      <c r="U181" s="26"/>
      <c r="V181" s="32"/>
    </row>
    <row r="182" hidden="1">
      <c r="A182" s="13">
        <v>181.0</v>
      </c>
      <c r="B182" s="15">
        <v>46124.0</v>
      </c>
      <c r="C182" s="13" t="s">
        <v>47</v>
      </c>
      <c r="D182" s="13" t="s">
        <v>48</v>
      </c>
      <c r="E182" s="13" t="s">
        <v>27</v>
      </c>
      <c r="F182" s="13" t="s">
        <v>27</v>
      </c>
      <c r="G182" s="20" t="s">
        <v>28</v>
      </c>
      <c r="H182" s="13" t="s">
        <v>548</v>
      </c>
      <c r="I182" s="20" t="s">
        <v>1552</v>
      </c>
      <c r="J182" s="20" t="s">
        <v>1553</v>
      </c>
      <c r="K182" s="13" t="s">
        <v>148</v>
      </c>
      <c r="L182" s="26"/>
      <c r="M182" s="27" t="s">
        <v>55</v>
      </c>
      <c r="N182" s="13" t="s">
        <v>56</v>
      </c>
      <c r="O182" s="13" t="s">
        <v>42</v>
      </c>
      <c r="P182" s="32"/>
      <c r="Q182" s="13" t="s">
        <v>44</v>
      </c>
      <c r="R182" s="13" t="s">
        <v>46</v>
      </c>
      <c r="S182" s="32"/>
      <c r="T182" s="32"/>
      <c r="U182" s="26"/>
      <c r="V182" s="32"/>
    </row>
    <row r="183" hidden="1">
      <c r="A183" s="13">
        <v>182.0</v>
      </c>
      <c r="B183" s="15">
        <v>46124.0</v>
      </c>
      <c r="C183" s="13" t="s">
        <v>47</v>
      </c>
      <c r="D183" s="13" t="s">
        <v>138</v>
      </c>
      <c r="E183" s="20" t="s">
        <v>1556</v>
      </c>
      <c r="F183" s="13">
        <v>5.04794512E8</v>
      </c>
      <c r="G183" s="20" t="s">
        <v>28</v>
      </c>
      <c r="H183" s="13" t="s">
        <v>830</v>
      </c>
      <c r="I183" s="20" t="s">
        <v>1557</v>
      </c>
      <c r="J183" s="20" t="s">
        <v>1558</v>
      </c>
      <c r="K183" s="13" t="s">
        <v>148</v>
      </c>
      <c r="L183" s="26"/>
      <c r="M183" s="27" t="s">
        <v>55</v>
      </c>
      <c r="N183" s="13" t="s">
        <v>56</v>
      </c>
      <c r="O183" s="13" t="s">
        <v>42</v>
      </c>
      <c r="P183" s="32"/>
      <c r="Q183" s="13" t="s">
        <v>44</v>
      </c>
      <c r="R183" s="13" t="s">
        <v>46</v>
      </c>
      <c r="S183" s="32"/>
      <c r="T183" s="32"/>
      <c r="U183" s="26"/>
      <c r="V183" s="32"/>
    </row>
    <row r="184" hidden="1">
      <c r="A184" s="13">
        <v>183.0</v>
      </c>
      <c r="B184" s="15">
        <v>46124.0</v>
      </c>
      <c r="C184" s="13" t="s">
        <v>21</v>
      </c>
      <c r="D184" s="13" t="s">
        <v>48</v>
      </c>
      <c r="E184" s="20" t="s">
        <v>1562</v>
      </c>
      <c r="F184" s="13">
        <v>5.56140584E8</v>
      </c>
      <c r="G184" s="13" t="s">
        <v>27</v>
      </c>
      <c r="H184" s="13" t="s">
        <v>27</v>
      </c>
      <c r="I184" s="20" t="s">
        <v>1563</v>
      </c>
      <c r="J184" s="20" t="s">
        <v>1564</v>
      </c>
      <c r="K184" s="13" t="s">
        <v>36</v>
      </c>
      <c r="L184" s="26"/>
      <c r="M184" s="27" t="s">
        <v>38</v>
      </c>
      <c r="N184" s="13" t="s">
        <v>56</v>
      </c>
      <c r="O184" s="13" t="s">
        <v>42</v>
      </c>
      <c r="P184" s="32"/>
      <c r="Q184" s="13" t="s">
        <v>44</v>
      </c>
      <c r="R184" s="13" t="s">
        <v>68</v>
      </c>
      <c r="S184" s="32"/>
      <c r="T184" s="32"/>
      <c r="U184" s="26"/>
      <c r="V184" s="32"/>
    </row>
    <row r="185" hidden="1">
      <c r="A185" s="13">
        <v>184.0</v>
      </c>
      <c r="B185" s="15">
        <v>46124.0</v>
      </c>
      <c r="C185" s="13" t="s">
        <v>47</v>
      </c>
      <c r="D185" s="13" t="s">
        <v>92</v>
      </c>
      <c r="E185" s="20" t="s">
        <v>1567</v>
      </c>
      <c r="F185" s="13">
        <v>5.64004989E8</v>
      </c>
      <c r="G185" s="20" t="s">
        <v>71</v>
      </c>
      <c r="H185" s="13" t="s">
        <v>94</v>
      </c>
      <c r="I185" s="20" t="s">
        <v>1570</v>
      </c>
      <c r="J185" s="20"/>
      <c r="K185" s="13" t="s">
        <v>148</v>
      </c>
      <c r="L185" s="26"/>
      <c r="M185" s="27" t="s">
        <v>55</v>
      </c>
      <c r="N185" s="13" t="s">
        <v>40</v>
      </c>
      <c r="O185" s="13" t="s">
        <v>42</v>
      </c>
      <c r="P185" s="32"/>
      <c r="Q185" s="13" t="s">
        <v>44</v>
      </c>
      <c r="R185" s="13" t="s">
        <v>46</v>
      </c>
      <c r="S185" s="32"/>
      <c r="T185" s="32"/>
      <c r="U185" s="26"/>
      <c r="V185" s="32"/>
    </row>
    <row r="186" hidden="1">
      <c r="A186" s="13">
        <v>185.0</v>
      </c>
      <c r="B186" s="15">
        <v>46124.0</v>
      </c>
      <c r="C186" s="13" t="s">
        <v>47</v>
      </c>
      <c r="D186" s="13" t="s">
        <v>92</v>
      </c>
      <c r="E186" s="20" t="s">
        <v>1572</v>
      </c>
      <c r="F186" s="13">
        <v>5.37903911E8</v>
      </c>
      <c r="G186" s="20" t="s">
        <v>71</v>
      </c>
      <c r="H186" s="13" t="s">
        <v>94</v>
      </c>
      <c r="I186" s="20" t="s">
        <v>1574</v>
      </c>
      <c r="J186" s="20"/>
      <c r="K186" s="13" t="s">
        <v>148</v>
      </c>
      <c r="L186" s="26"/>
      <c r="M186" s="27" t="s">
        <v>55</v>
      </c>
      <c r="N186" s="13" t="s">
        <v>40</v>
      </c>
      <c r="O186" s="13" t="s">
        <v>42</v>
      </c>
      <c r="P186" s="32"/>
      <c r="Q186" s="13" t="s">
        <v>44</v>
      </c>
      <c r="R186" s="13" t="s">
        <v>46</v>
      </c>
      <c r="S186" s="32"/>
      <c r="T186" s="32"/>
      <c r="U186" s="26"/>
      <c r="V186" s="32"/>
    </row>
    <row r="187" hidden="1">
      <c r="A187" s="13">
        <v>186.0</v>
      </c>
      <c r="B187" s="15">
        <v>46124.0</v>
      </c>
      <c r="C187" s="13" t="s">
        <v>47</v>
      </c>
      <c r="D187" s="13" t="s">
        <v>92</v>
      </c>
      <c r="E187" s="20" t="s">
        <v>1578</v>
      </c>
      <c r="F187" s="13">
        <v>5.66389414E8</v>
      </c>
      <c r="G187" s="20" t="s">
        <v>71</v>
      </c>
      <c r="H187" s="13" t="s">
        <v>94</v>
      </c>
      <c r="I187" s="20" t="s">
        <v>1579</v>
      </c>
      <c r="J187" s="20" t="s">
        <v>1580</v>
      </c>
      <c r="K187" s="13" t="s">
        <v>148</v>
      </c>
      <c r="L187" s="26"/>
      <c r="M187" s="27" t="s">
        <v>55</v>
      </c>
      <c r="N187" s="13" t="s">
        <v>56</v>
      </c>
      <c r="O187" s="13" t="s">
        <v>42</v>
      </c>
      <c r="P187" s="32"/>
      <c r="Q187" s="13" t="s">
        <v>44</v>
      </c>
      <c r="R187" s="13" t="s">
        <v>46</v>
      </c>
      <c r="S187" s="32"/>
      <c r="T187" s="32"/>
      <c r="U187" s="26"/>
      <c r="V187" s="32"/>
    </row>
    <row r="188" hidden="1">
      <c r="A188" s="13">
        <v>187.0</v>
      </c>
      <c r="B188" s="15">
        <v>46124.0</v>
      </c>
      <c r="C188" s="13" t="s">
        <v>47</v>
      </c>
      <c r="D188" s="13" t="s">
        <v>92</v>
      </c>
      <c r="E188" s="20" t="s">
        <v>1584</v>
      </c>
      <c r="F188" s="13">
        <v>5.62015076E8</v>
      </c>
      <c r="G188" s="20" t="s">
        <v>71</v>
      </c>
      <c r="H188" s="13" t="s">
        <v>94</v>
      </c>
      <c r="I188" s="20" t="s">
        <v>1586</v>
      </c>
      <c r="J188" s="20"/>
      <c r="K188" s="13" t="s">
        <v>148</v>
      </c>
      <c r="L188" s="26"/>
      <c r="M188" s="27" t="s">
        <v>55</v>
      </c>
      <c r="N188" s="13" t="s">
        <v>56</v>
      </c>
      <c r="O188" s="13" t="s">
        <v>42</v>
      </c>
      <c r="P188" s="32"/>
      <c r="Q188" s="13" t="s">
        <v>44</v>
      </c>
      <c r="R188" s="13" t="s">
        <v>46</v>
      </c>
      <c r="S188" s="32"/>
      <c r="T188" s="32"/>
      <c r="U188" s="26"/>
      <c r="V188" s="32"/>
    </row>
    <row r="189" hidden="1">
      <c r="A189" s="13">
        <v>188.0</v>
      </c>
      <c r="B189" s="15">
        <v>46124.0</v>
      </c>
      <c r="C189" s="13" t="s">
        <v>21</v>
      </c>
      <c r="D189" s="13" t="s">
        <v>22</v>
      </c>
      <c r="E189" s="20" t="s">
        <v>1590</v>
      </c>
      <c r="F189" s="13">
        <v>5.35391111E8</v>
      </c>
      <c r="G189" s="20" t="s">
        <v>71</v>
      </c>
      <c r="H189" s="13" t="s">
        <v>27</v>
      </c>
      <c r="I189" s="20" t="s">
        <v>1594</v>
      </c>
      <c r="J189" s="20"/>
      <c r="K189" s="13" t="s">
        <v>36</v>
      </c>
      <c r="L189" s="26"/>
      <c r="M189" s="27" t="s">
        <v>38</v>
      </c>
      <c r="N189" s="13" t="s">
        <v>40</v>
      </c>
      <c r="O189" s="13" t="s">
        <v>42</v>
      </c>
      <c r="P189" s="32"/>
      <c r="Q189" s="13" t="s">
        <v>44</v>
      </c>
      <c r="R189" s="13" t="s">
        <v>46</v>
      </c>
      <c r="S189" s="32"/>
      <c r="T189" s="32"/>
      <c r="U189" s="26"/>
      <c r="V189" s="32"/>
    </row>
    <row r="190" hidden="1">
      <c r="A190" s="13">
        <v>189.0</v>
      </c>
      <c r="B190" s="15">
        <v>46124.0</v>
      </c>
      <c r="C190" s="13" t="s">
        <v>47</v>
      </c>
      <c r="D190" s="13" t="s">
        <v>138</v>
      </c>
      <c r="E190" s="20" t="s">
        <v>1597</v>
      </c>
      <c r="F190" s="13">
        <v>5.00642748E8</v>
      </c>
      <c r="G190" s="20" t="s">
        <v>79</v>
      </c>
      <c r="H190" s="13" t="s">
        <v>239</v>
      </c>
      <c r="I190" s="20" t="s">
        <v>1599</v>
      </c>
      <c r="J190" s="20" t="s">
        <v>1600</v>
      </c>
      <c r="K190" s="13" t="s">
        <v>148</v>
      </c>
      <c r="L190" s="26"/>
      <c r="M190" s="27" t="s">
        <v>55</v>
      </c>
      <c r="N190" s="13" t="s">
        <v>56</v>
      </c>
      <c r="O190" s="13" t="s">
        <v>42</v>
      </c>
      <c r="P190" s="32"/>
      <c r="Q190" s="13" t="s">
        <v>44</v>
      </c>
      <c r="R190" s="13" t="s">
        <v>46</v>
      </c>
      <c r="S190" s="32"/>
      <c r="T190" s="32"/>
      <c r="U190" s="26"/>
      <c r="V190" s="32"/>
    </row>
    <row r="191" hidden="1">
      <c r="A191" s="13">
        <v>190.0</v>
      </c>
      <c r="B191" s="15">
        <v>46124.0</v>
      </c>
      <c r="C191" s="13" t="s">
        <v>58</v>
      </c>
      <c r="D191" s="13" t="s">
        <v>60</v>
      </c>
      <c r="E191" s="20" t="s">
        <v>287</v>
      </c>
      <c r="F191" s="13">
        <v>5.6004153E8</v>
      </c>
      <c r="G191" s="20" t="s">
        <v>41</v>
      </c>
      <c r="H191" s="13" t="s">
        <v>289</v>
      </c>
      <c r="I191" s="20" t="s">
        <v>1602</v>
      </c>
      <c r="J191" s="20" t="s">
        <v>1603</v>
      </c>
      <c r="K191" s="13" t="s">
        <v>36</v>
      </c>
      <c r="L191" s="26"/>
      <c r="M191" s="27" t="s">
        <v>88</v>
      </c>
      <c r="N191" s="13" t="s">
        <v>56</v>
      </c>
      <c r="O191" s="13" t="s">
        <v>42</v>
      </c>
      <c r="P191" s="32"/>
      <c r="Q191" s="13" t="s">
        <v>44</v>
      </c>
      <c r="R191" s="13" t="s">
        <v>68</v>
      </c>
      <c r="S191" s="32"/>
      <c r="T191" s="32"/>
      <c r="U191" s="26"/>
      <c r="V191" s="32"/>
    </row>
    <row r="192" hidden="1">
      <c r="A192" s="13">
        <v>191.0</v>
      </c>
      <c r="B192" s="15">
        <v>46124.0</v>
      </c>
      <c r="C192" s="13" t="s">
        <v>58</v>
      </c>
      <c r="D192" s="13" t="s">
        <v>60</v>
      </c>
      <c r="E192" s="20" t="s">
        <v>1608</v>
      </c>
      <c r="F192" s="13">
        <v>1.12603864E8</v>
      </c>
      <c r="G192" s="13"/>
      <c r="H192" s="13" t="s">
        <v>27</v>
      </c>
      <c r="I192" s="20" t="s">
        <v>1609</v>
      </c>
      <c r="J192" s="20" t="s">
        <v>1610</v>
      </c>
      <c r="K192" s="13" t="s">
        <v>36</v>
      </c>
      <c r="L192" s="26"/>
      <c r="M192" s="27" t="s">
        <v>88</v>
      </c>
      <c r="N192" s="13" t="s">
        <v>56</v>
      </c>
      <c r="O192" s="13" t="s">
        <v>42</v>
      </c>
      <c r="P192" s="32"/>
      <c r="Q192" s="13" t="s">
        <v>44</v>
      </c>
      <c r="R192" s="13" t="s">
        <v>68</v>
      </c>
      <c r="S192" s="32"/>
      <c r="T192" s="32"/>
      <c r="U192" s="26"/>
      <c r="V192" s="32"/>
    </row>
    <row r="193" hidden="1">
      <c r="A193" s="13">
        <v>192.0</v>
      </c>
      <c r="B193" s="15">
        <v>46124.0</v>
      </c>
      <c r="C193" s="13" t="s">
        <v>21</v>
      </c>
      <c r="D193" s="13" t="s">
        <v>22</v>
      </c>
      <c r="E193" s="13" t="s">
        <v>27</v>
      </c>
      <c r="F193" s="13">
        <v>5.09699736E8</v>
      </c>
      <c r="G193" s="20" t="s">
        <v>28</v>
      </c>
      <c r="H193" s="13" t="s">
        <v>27</v>
      </c>
      <c r="I193" s="20" t="s">
        <v>1613</v>
      </c>
      <c r="J193" s="20"/>
      <c r="K193" s="13" t="s">
        <v>36</v>
      </c>
      <c r="L193" s="26"/>
      <c r="M193" s="27" t="s">
        <v>38</v>
      </c>
      <c r="N193" s="13" t="s">
        <v>40</v>
      </c>
      <c r="O193" s="13" t="s">
        <v>42</v>
      </c>
      <c r="P193" s="32"/>
      <c r="Q193" s="13" t="s">
        <v>44</v>
      </c>
      <c r="R193" s="13" t="s">
        <v>46</v>
      </c>
      <c r="S193" s="32"/>
      <c r="T193" s="32"/>
      <c r="U193" s="26"/>
      <c r="V193" s="32"/>
    </row>
    <row r="194" hidden="1">
      <c r="A194" s="13">
        <v>193.0</v>
      </c>
      <c r="B194" s="15">
        <v>46124.0</v>
      </c>
      <c r="C194" s="13" t="s">
        <v>21</v>
      </c>
      <c r="D194" s="13" t="s">
        <v>24</v>
      </c>
      <c r="E194" s="20" t="s">
        <v>1616</v>
      </c>
      <c r="F194" s="13">
        <v>5.41200145E8</v>
      </c>
      <c r="G194" s="20" t="s">
        <v>211</v>
      </c>
      <c r="H194" s="13" t="s">
        <v>27</v>
      </c>
      <c r="I194" s="20" t="s">
        <v>1617</v>
      </c>
      <c r="J194" s="20"/>
      <c r="K194" s="13" t="s">
        <v>36</v>
      </c>
      <c r="L194" s="26"/>
      <c r="M194" s="27" t="s">
        <v>38</v>
      </c>
      <c r="N194" s="13" t="s">
        <v>40</v>
      </c>
      <c r="O194" s="13" t="s">
        <v>42</v>
      </c>
      <c r="P194" s="32"/>
      <c r="Q194" s="13" t="s">
        <v>44</v>
      </c>
      <c r="R194" s="13" t="s">
        <v>46</v>
      </c>
      <c r="S194" s="32"/>
      <c r="T194" s="32"/>
      <c r="U194" s="26"/>
      <c r="V194" s="32"/>
    </row>
    <row r="195" hidden="1">
      <c r="A195" s="13">
        <v>194.0</v>
      </c>
      <c r="B195" s="15">
        <v>46124.0</v>
      </c>
      <c r="C195" s="13" t="s">
        <v>47</v>
      </c>
      <c r="D195" s="13" t="s">
        <v>48</v>
      </c>
      <c r="E195" s="20" t="s">
        <v>1619</v>
      </c>
      <c r="F195" s="13">
        <v>5.55228983E8</v>
      </c>
      <c r="G195" s="20" t="s">
        <v>41</v>
      </c>
      <c r="H195" s="13" t="s">
        <v>1345</v>
      </c>
      <c r="I195" s="20" t="s">
        <v>1624</v>
      </c>
      <c r="J195" s="20"/>
      <c r="K195" s="13" t="s">
        <v>36</v>
      </c>
      <c r="L195" s="26"/>
      <c r="M195" s="27" t="s">
        <v>55</v>
      </c>
      <c r="N195" s="13" t="s">
        <v>56</v>
      </c>
      <c r="O195" s="13" t="s">
        <v>42</v>
      </c>
      <c r="P195" s="32"/>
      <c r="Q195" s="13" t="s">
        <v>44</v>
      </c>
      <c r="R195" s="13" t="s">
        <v>46</v>
      </c>
      <c r="S195" s="32"/>
      <c r="T195" s="32"/>
      <c r="U195" s="26"/>
      <c r="V195" s="32"/>
    </row>
    <row r="196" hidden="1">
      <c r="A196" s="13">
        <v>195.0</v>
      </c>
      <c r="B196" s="15">
        <v>46124.0</v>
      </c>
      <c r="C196" s="13" t="s">
        <v>21</v>
      </c>
      <c r="D196" s="13" t="s">
        <v>48</v>
      </c>
      <c r="E196" s="20" t="s">
        <v>708</v>
      </c>
      <c r="F196" s="13">
        <v>5.35955663E8</v>
      </c>
      <c r="G196" s="20" t="s">
        <v>112</v>
      </c>
      <c r="H196" s="13" t="s">
        <v>113</v>
      </c>
      <c r="I196" s="20" t="s">
        <v>1630</v>
      </c>
      <c r="J196" s="85" t="s">
        <v>1631</v>
      </c>
      <c r="K196" s="13" t="s">
        <v>36</v>
      </c>
      <c r="L196" s="26"/>
      <c r="M196" s="27" t="s">
        <v>38</v>
      </c>
      <c r="N196" s="13" t="s">
        <v>56</v>
      </c>
      <c r="O196" s="13" t="s">
        <v>301</v>
      </c>
      <c r="P196" s="32"/>
      <c r="Q196" s="13" t="s">
        <v>44</v>
      </c>
      <c r="R196" s="13" t="s">
        <v>68</v>
      </c>
      <c r="S196" s="32"/>
      <c r="T196" s="32"/>
      <c r="U196" s="26"/>
      <c r="V196" s="32"/>
    </row>
    <row r="197" hidden="1">
      <c r="A197" s="13">
        <v>196.0</v>
      </c>
      <c r="B197" s="15">
        <v>46124.0</v>
      </c>
      <c r="C197" s="13" t="s">
        <v>21</v>
      </c>
      <c r="D197" s="13" t="s">
        <v>24</v>
      </c>
      <c r="E197" s="20" t="s">
        <v>1632</v>
      </c>
      <c r="F197" s="13">
        <v>5.81775028E8</v>
      </c>
      <c r="G197" s="20" t="s">
        <v>874</v>
      </c>
      <c r="H197" s="13" t="s">
        <v>27</v>
      </c>
      <c r="I197" s="20" t="s">
        <v>1633</v>
      </c>
      <c r="J197" s="20"/>
      <c r="K197" s="13" t="s">
        <v>36</v>
      </c>
      <c r="L197" s="26"/>
      <c r="M197" s="27" t="s">
        <v>38</v>
      </c>
      <c r="N197" s="13" t="s">
        <v>40</v>
      </c>
      <c r="O197" s="13" t="s">
        <v>42</v>
      </c>
      <c r="P197" s="32"/>
      <c r="Q197" s="13" t="s">
        <v>44</v>
      </c>
      <c r="R197" s="13" t="s">
        <v>46</v>
      </c>
      <c r="S197" s="32"/>
      <c r="T197" s="32"/>
      <c r="U197" s="26"/>
      <c r="V197" s="32"/>
    </row>
    <row r="198" hidden="1">
      <c r="A198" s="13">
        <v>197.0</v>
      </c>
      <c r="B198" s="15">
        <v>46124.0</v>
      </c>
      <c r="C198" s="13" t="s">
        <v>58</v>
      </c>
      <c r="D198" s="13" t="s">
        <v>60</v>
      </c>
      <c r="E198" s="13" t="s">
        <v>27</v>
      </c>
      <c r="F198" s="13">
        <v>9.20031947E8</v>
      </c>
      <c r="G198" s="13" t="s">
        <v>27</v>
      </c>
      <c r="H198" s="13" t="s">
        <v>27</v>
      </c>
      <c r="I198" s="20" t="s">
        <v>124</v>
      </c>
      <c r="J198" s="20"/>
      <c r="K198" s="13" t="s">
        <v>65</v>
      </c>
      <c r="L198" s="26"/>
      <c r="M198" s="27" t="s">
        <v>38</v>
      </c>
      <c r="N198" s="13" t="s">
        <v>56</v>
      </c>
      <c r="O198" s="13" t="s">
        <v>42</v>
      </c>
      <c r="P198" s="32"/>
      <c r="Q198" s="13" t="s">
        <v>44</v>
      </c>
      <c r="R198" s="13" t="s">
        <v>68</v>
      </c>
      <c r="S198" s="32"/>
      <c r="T198" s="32"/>
      <c r="U198" s="26"/>
      <c r="V198" s="32"/>
    </row>
    <row r="199" hidden="1">
      <c r="A199" s="13">
        <v>198.0</v>
      </c>
      <c r="B199" s="15">
        <v>46124.0</v>
      </c>
      <c r="C199" s="13" t="s">
        <v>58</v>
      </c>
      <c r="D199" s="13" t="s">
        <v>34</v>
      </c>
      <c r="E199" s="13" t="s">
        <v>27</v>
      </c>
      <c r="F199" s="13">
        <v>5.06268593E8</v>
      </c>
      <c r="G199" s="13" t="s">
        <v>27</v>
      </c>
      <c r="H199" s="13" t="s">
        <v>27</v>
      </c>
      <c r="I199" s="20" t="s">
        <v>298</v>
      </c>
      <c r="J199" s="20"/>
      <c r="K199" s="13" t="s">
        <v>36</v>
      </c>
      <c r="L199" s="26"/>
      <c r="M199" s="27" t="s">
        <v>88</v>
      </c>
      <c r="N199" s="13" t="s">
        <v>56</v>
      </c>
      <c r="O199" s="13" t="s">
        <v>42</v>
      </c>
      <c r="P199" s="32"/>
      <c r="Q199" s="13" t="s">
        <v>44</v>
      </c>
      <c r="R199" s="13" t="s">
        <v>68</v>
      </c>
      <c r="S199" s="32"/>
      <c r="T199" s="32"/>
      <c r="U199" s="26"/>
      <c r="V199" s="32"/>
    </row>
    <row r="200" hidden="1">
      <c r="A200" s="13">
        <v>199.0</v>
      </c>
      <c r="B200" s="15">
        <v>46125.0</v>
      </c>
      <c r="C200" s="13" t="s">
        <v>58</v>
      </c>
      <c r="D200" s="13" t="s">
        <v>60</v>
      </c>
      <c r="E200" s="13" t="s">
        <v>27</v>
      </c>
      <c r="F200" s="13">
        <v>5.00714135E8</v>
      </c>
      <c r="G200" s="13" t="s">
        <v>27</v>
      </c>
      <c r="H200" s="13" t="s">
        <v>27</v>
      </c>
      <c r="I200" s="20" t="s">
        <v>1644</v>
      </c>
      <c r="J200" s="20"/>
      <c r="K200" s="13" t="s">
        <v>65</v>
      </c>
      <c r="L200" s="26"/>
      <c r="M200" s="27" t="s">
        <v>38</v>
      </c>
      <c r="N200" s="13" t="s">
        <v>56</v>
      </c>
      <c r="O200" s="13" t="s">
        <v>42</v>
      </c>
      <c r="P200" s="32"/>
      <c r="Q200" s="13" t="s">
        <v>44</v>
      </c>
      <c r="R200" s="13" t="s">
        <v>68</v>
      </c>
      <c r="S200" s="32"/>
      <c r="T200" s="32"/>
      <c r="U200" s="26"/>
      <c r="V200" s="32"/>
    </row>
    <row r="201" hidden="1">
      <c r="A201" s="13">
        <v>200.0</v>
      </c>
      <c r="B201" s="15">
        <v>46124.0</v>
      </c>
      <c r="C201" s="13" t="s">
        <v>21</v>
      </c>
      <c r="D201" s="13" t="s">
        <v>92</v>
      </c>
      <c r="E201" s="20" t="s">
        <v>1646</v>
      </c>
      <c r="F201" s="13">
        <v>5.53464255E8</v>
      </c>
      <c r="G201" s="20" t="s">
        <v>1648</v>
      </c>
      <c r="H201" s="13" t="s">
        <v>1649</v>
      </c>
      <c r="I201" s="20" t="s">
        <v>1651</v>
      </c>
      <c r="J201" s="20" t="s">
        <v>1653</v>
      </c>
      <c r="K201" s="13" t="s">
        <v>65</v>
      </c>
      <c r="L201" s="26"/>
      <c r="M201" s="27" t="s">
        <v>38</v>
      </c>
      <c r="N201" s="13" t="s">
        <v>40</v>
      </c>
      <c r="O201" s="13" t="s">
        <v>42</v>
      </c>
      <c r="P201" s="32"/>
      <c r="Q201" s="13" t="s">
        <v>44</v>
      </c>
      <c r="R201" s="13" t="s">
        <v>68</v>
      </c>
      <c r="S201" s="32"/>
      <c r="T201" s="32"/>
      <c r="U201" s="26"/>
      <c r="V201" s="32"/>
    </row>
    <row r="202" ht="20.25" hidden="1" customHeight="1">
      <c r="A202" s="13">
        <v>201.0</v>
      </c>
      <c r="B202" s="15">
        <v>46125.0</v>
      </c>
      <c r="C202" s="13" t="s">
        <v>21</v>
      </c>
      <c r="D202" s="13" t="s">
        <v>24</v>
      </c>
      <c r="E202" s="20" t="s">
        <v>1656</v>
      </c>
      <c r="F202" s="55">
        <v>5.91028078E8</v>
      </c>
      <c r="G202" s="20" t="s">
        <v>319</v>
      </c>
      <c r="H202" s="13" t="s">
        <v>27</v>
      </c>
      <c r="I202" s="20" t="s">
        <v>1658</v>
      </c>
      <c r="J202" s="20"/>
      <c r="K202" s="13" t="s">
        <v>62</v>
      </c>
      <c r="L202" s="26"/>
      <c r="M202" s="27" t="s">
        <v>38</v>
      </c>
      <c r="N202" s="13" t="s">
        <v>40</v>
      </c>
      <c r="O202" s="13" t="s">
        <v>42</v>
      </c>
      <c r="P202" s="32"/>
      <c r="Q202" s="13" t="s">
        <v>44</v>
      </c>
      <c r="R202" s="13" t="s">
        <v>46</v>
      </c>
      <c r="S202" s="32"/>
      <c r="T202" s="32"/>
      <c r="U202" s="26"/>
      <c r="V202" s="32"/>
    </row>
    <row r="203" hidden="1">
      <c r="A203" s="13">
        <v>202.0</v>
      </c>
      <c r="B203" s="15">
        <v>46125.0</v>
      </c>
      <c r="C203" s="13" t="s">
        <v>21</v>
      </c>
      <c r="D203" s="13" t="s">
        <v>24</v>
      </c>
      <c r="E203" s="20" t="s">
        <v>1664</v>
      </c>
      <c r="F203" s="13">
        <v>5.36894965E8</v>
      </c>
      <c r="G203" s="20" t="s">
        <v>71</v>
      </c>
      <c r="H203" s="13" t="s">
        <v>27</v>
      </c>
      <c r="I203" s="20" t="s">
        <v>1668</v>
      </c>
      <c r="J203" s="20"/>
      <c r="K203" s="13" t="s">
        <v>36</v>
      </c>
      <c r="L203" s="26"/>
      <c r="M203" s="27" t="s">
        <v>38</v>
      </c>
      <c r="N203" s="13" t="s">
        <v>40</v>
      </c>
      <c r="O203" s="13" t="s">
        <v>42</v>
      </c>
      <c r="P203" s="32"/>
      <c r="Q203" s="13" t="s">
        <v>44</v>
      </c>
      <c r="R203" s="13" t="s">
        <v>46</v>
      </c>
      <c r="S203" s="32"/>
      <c r="T203" s="32"/>
      <c r="U203" s="26"/>
      <c r="V203" s="32"/>
    </row>
    <row r="204" hidden="1">
      <c r="A204" s="13">
        <v>203.0</v>
      </c>
      <c r="B204" s="15">
        <v>46125.0</v>
      </c>
      <c r="C204" s="13" t="s">
        <v>21</v>
      </c>
      <c r="D204" s="13" t="s">
        <v>22</v>
      </c>
      <c r="E204" s="20" t="s">
        <v>1672</v>
      </c>
      <c r="F204" s="13">
        <v>5.54782212E8</v>
      </c>
      <c r="G204" s="20" t="s">
        <v>1673</v>
      </c>
      <c r="H204" s="13" t="s">
        <v>27</v>
      </c>
      <c r="I204" s="61" t="s">
        <v>1677</v>
      </c>
      <c r="J204" s="20"/>
      <c r="K204" s="13" t="s">
        <v>62</v>
      </c>
      <c r="L204" s="26"/>
      <c r="M204" s="27" t="s">
        <v>38</v>
      </c>
      <c r="N204" s="13" t="s">
        <v>40</v>
      </c>
      <c r="O204" s="13" t="s">
        <v>42</v>
      </c>
      <c r="P204" s="32"/>
      <c r="Q204" s="13" t="s">
        <v>44</v>
      </c>
      <c r="R204" s="13" t="s">
        <v>46</v>
      </c>
      <c r="S204" s="32"/>
      <c r="T204" s="32"/>
      <c r="U204" s="26"/>
      <c r="V204" s="32"/>
    </row>
    <row r="205" hidden="1">
      <c r="A205" s="13">
        <v>204.0</v>
      </c>
      <c r="B205" s="15">
        <v>46125.0</v>
      </c>
      <c r="C205" s="13" t="s">
        <v>21</v>
      </c>
      <c r="D205" s="13" t="s">
        <v>22</v>
      </c>
      <c r="E205" s="20" t="s">
        <v>1685</v>
      </c>
      <c r="F205" s="13">
        <v>5.80000308E8</v>
      </c>
      <c r="G205" s="20" t="s">
        <v>28</v>
      </c>
      <c r="H205" s="13" t="s">
        <v>27</v>
      </c>
      <c r="I205" s="112" t="s">
        <v>1687</v>
      </c>
      <c r="J205" s="20" t="s">
        <v>35</v>
      </c>
      <c r="K205" s="13" t="s">
        <v>321</v>
      </c>
      <c r="L205" s="26"/>
      <c r="M205" s="27" t="s">
        <v>1389</v>
      </c>
      <c r="N205" s="13" t="s">
        <v>40</v>
      </c>
      <c r="O205" s="13" t="s">
        <v>42</v>
      </c>
      <c r="P205" s="32"/>
      <c r="Q205" s="13" t="s">
        <v>49</v>
      </c>
      <c r="R205" s="13" t="s">
        <v>46</v>
      </c>
      <c r="S205" s="32"/>
      <c r="T205" s="32"/>
      <c r="U205" s="26"/>
      <c r="V205" s="32"/>
    </row>
    <row r="206" hidden="1">
      <c r="A206" s="13">
        <v>205.0</v>
      </c>
      <c r="B206" s="15">
        <v>46125.0</v>
      </c>
      <c r="C206" s="13" t="s">
        <v>47</v>
      </c>
      <c r="D206" s="13" t="s">
        <v>24</v>
      </c>
      <c r="E206" s="13" t="s">
        <v>1693</v>
      </c>
      <c r="F206" s="13" t="s">
        <v>27</v>
      </c>
      <c r="G206" s="20" t="s">
        <v>79</v>
      </c>
      <c r="H206" s="13" t="s">
        <v>178</v>
      </c>
      <c r="I206" s="20" t="s">
        <v>1694</v>
      </c>
      <c r="J206" s="20" t="s">
        <v>35</v>
      </c>
      <c r="K206" s="13" t="s">
        <v>78</v>
      </c>
      <c r="L206" s="26"/>
      <c r="M206" s="27" t="s">
        <v>55</v>
      </c>
      <c r="N206" s="13" t="s">
        <v>56</v>
      </c>
      <c r="O206" s="13" t="s">
        <v>42</v>
      </c>
      <c r="P206" s="32"/>
      <c r="Q206" s="13" t="s">
        <v>49</v>
      </c>
      <c r="R206" s="13" t="s">
        <v>68</v>
      </c>
      <c r="S206" s="32"/>
      <c r="T206" s="32"/>
      <c r="U206" s="26"/>
      <c r="V206" s="32"/>
    </row>
    <row r="207" hidden="1">
      <c r="A207" s="13">
        <v>206.0</v>
      </c>
      <c r="B207" s="15">
        <v>46125.0</v>
      </c>
      <c r="C207" s="13" t="s">
        <v>47</v>
      </c>
      <c r="D207" s="13" t="s">
        <v>92</v>
      </c>
      <c r="E207" s="20" t="s">
        <v>1701</v>
      </c>
      <c r="F207" s="13" t="s">
        <v>27</v>
      </c>
      <c r="G207" s="20" t="s">
        <v>172</v>
      </c>
      <c r="H207" s="13" t="s">
        <v>1150</v>
      </c>
      <c r="I207" s="20" t="s">
        <v>1703</v>
      </c>
      <c r="J207" s="20" t="s">
        <v>35</v>
      </c>
      <c r="K207" s="13" t="s">
        <v>78</v>
      </c>
      <c r="L207" s="26"/>
      <c r="M207" s="27" t="s">
        <v>55</v>
      </c>
      <c r="N207" s="13" t="s">
        <v>40</v>
      </c>
      <c r="O207" s="13" t="s">
        <v>42</v>
      </c>
      <c r="P207" s="32"/>
      <c r="Q207" s="13" t="s">
        <v>49</v>
      </c>
      <c r="R207" s="13" t="s">
        <v>46</v>
      </c>
      <c r="S207" s="32"/>
      <c r="T207" s="32"/>
      <c r="U207" s="26"/>
      <c r="V207" s="32"/>
    </row>
    <row r="208" hidden="1">
      <c r="A208" s="13">
        <v>207.0</v>
      </c>
      <c r="B208" s="15">
        <v>46125.0</v>
      </c>
      <c r="C208" s="13" t="s">
        <v>47</v>
      </c>
      <c r="D208" s="13" t="s">
        <v>48</v>
      </c>
      <c r="E208" s="20" t="s">
        <v>1707</v>
      </c>
      <c r="F208" s="13" t="s">
        <v>27</v>
      </c>
      <c r="G208" s="20" t="s">
        <v>28</v>
      </c>
      <c r="H208" s="13" t="s">
        <v>1708</v>
      </c>
      <c r="I208" s="20" t="s">
        <v>1709</v>
      </c>
      <c r="J208" s="20" t="s">
        <v>1710</v>
      </c>
      <c r="K208" s="13" t="s">
        <v>78</v>
      </c>
      <c r="L208" s="26"/>
      <c r="M208" s="27" t="s">
        <v>55</v>
      </c>
      <c r="N208" s="13" t="s">
        <v>56</v>
      </c>
      <c r="O208" s="13" t="s">
        <v>42</v>
      </c>
      <c r="P208" s="32"/>
      <c r="Q208" s="13" t="s">
        <v>49</v>
      </c>
      <c r="R208" s="13" t="s">
        <v>46</v>
      </c>
      <c r="S208" s="32"/>
      <c r="T208" s="32"/>
      <c r="U208" s="26"/>
      <c r="V208" s="32"/>
    </row>
    <row r="209" hidden="1">
      <c r="A209" s="13">
        <v>208.0</v>
      </c>
      <c r="B209" s="15">
        <v>46125.0</v>
      </c>
      <c r="C209" s="13" t="s">
        <v>47</v>
      </c>
      <c r="D209" s="13" t="s">
        <v>48</v>
      </c>
      <c r="E209" s="20" t="s">
        <v>605</v>
      </c>
      <c r="F209" s="13" t="s">
        <v>27</v>
      </c>
      <c r="G209" s="20" t="s">
        <v>79</v>
      </c>
      <c r="H209" s="13" t="s">
        <v>638</v>
      </c>
      <c r="I209" s="20" t="s">
        <v>1716</v>
      </c>
      <c r="J209" s="20" t="s">
        <v>1717</v>
      </c>
      <c r="K209" s="13" t="s">
        <v>78</v>
      </c>
      <c r="L209" s="26"/>
      <c r="M209" s="27" t="s">
        <v>55</v>
      </c>
      <c r="N209" s="13" t="s">
        <v>56</v>
      </c>
      <c r="O209" s="13" t="s">
        <v>42</v>
      </c>
      <c r="P209" s="32"/>
      <c r="Q209" s="13" t="s">
        <v>49</v>
      </c>
      <c r="R209" s="13" t="s">
        <v>46</v>
      </c>
      <c r="S209" s="32"/>
      <c r="T209" s="32"/>
      <c r="U209" s="26"/>
      <c r="V209" s="32"/>
    </row>
    <row r="210" hidden="1">
      <c r="A210" s="13">
        <v>209.0</v>
      </c>
      <c r="B210" s="15">
        <v>46125.0</v>
      </c>
      <c r="C210" s="13" t="s">
        <v>47</v>
      </c>
      <c r="D210" s="13" t="s">
        <v>92</v>
      </c>
      <c r="E210" s="13" t="s">
        <v>1720</v>
      </c>
      <c r="F210" s="13" t="s">
        <v>27</v>
      </c>
      <c r="G210" s="20" t="s">
        <v>71</v>
      </c>
      <c r="H210" s="13" t="s">
        <v>291</v>
      </c>
      <c r="I210" s="20" t="s">
        <v>1722</v>
      </c>
      <c r="J210" s="20" t="s">
        <v>1723</v>
      </c>
      <c r="K210" s="13" t="s">
        <v>78</v>
      </c>
      <c r="L210" s="26"/>
      <c r="M210" s="27" t="s">
        <v>55</v>
      </c>
      <c r="N210" s="13" t="s">
        <v>56</v>
      </c>
      <c r="O210" s="13" t="s">
        <v>42</v>
      </c>
      <c r="P210" s="32"/>
      <c r="Q210" s="13" t="s">
        <v>49</v>
      </c>
      <c r="R210" s="13" t="s">
        <v>46</v>
      </c>
      <c r="S210" s="32"/>
      <c r="T210" s="32"/>
      <c r="U210" s="26"/>
      <c r="V210" s="32"/>
    </row>
    <row r="211" hidden="1">
      <c r="A211" s="13">
        <v>210.0</v>
      </c>
      <c r="B211" s="15">
        <v>46125.0</v>
      </c>
      <c r="C211" s="13" t="s">
        <v>58</v>
      </c>
      <c r="D211" s="13" t="s">
        <v>34</v>
      </c>
      <c r="E211" s="20" t="s">
        <v>1731</v>
      </c>
      <c r="F211" s="13">
        <v>5.34959996E8</v>
      </c>
      <c r="G211" s="20" t="s">
        <v>319</v>
      </c>
      <c r="H211" s="13" t="s">
        <v>27</v>
      </c>
      <c r="I211" s="20" t="s">
        <v>298</v>
      </c>
      <c r="J211" s="20"/>
      <c r="K211" s="13" t="s">
        <v>36</v>
      </c>
      <c r="L211" s="26"/>
      <c r="M211" s="27" t="s">
        <v>88</v>
      </c>
      <c r="N211" s="13" t="s">
        <v>56</v>
      </c>
      <c r="O211" s="13" t="s">
        <v>42</v>
      </c>
      <c r="P211" s="32"/>
      <c r="Q211" s="13" t="s">
        <v>44</v>
      </c>
      <c r="R211" s="13" t="s">
        <v>68</v>
      </c>
      <c r="S211" s="32"/>
      <c r="T211" s="32"/>
      <c r="U211" s="26"/>
      <c r="V211" s="32"/>
    </row>
    <row r="212" hidden="1">
      <c r="A212" s="13">
        <v>211.0</v>
      </c>
      <c r="B212" s="15">
        <v>46125.0</v>
      </c>
      <c r="C212" s="13" t="s">
        <v>21</v>
      </c>
      <c r="D212" s="13" t="s">
        <v>22</v>
      </c>
      <c r="E212" s="20" t="s">
        <v>1737</v>
      </c>
      <c r="F212" s="13">
        <v>5.09048854E8</v>
      </c>
      <c r="G212" s="20" t="s">
        <v>1739</v>
      </c>
      <c r="H212" s="13" t="s">
        <v>27</v>
      </c>
      <c r="I212" s="20" t="s">
        <v>1740</v>
      </c>
      <c r="J212" s="20" t="s">
        <v>35</v>
      </c>
      <c r="K212" s="13" t="s">
        <v>36</v>
      </c>
      <c r="L212" s="26"/>
      <c r="M212" s="27" t="s">
        <v>38</v>
      </c>
      <c r="N212" s="13" t="s">
        <v>40</v>
      </c>
      <c r="O212" s="13" t="s">
        <v>42</v>
      </c>
      <c r="P212" s="32"/>
      <c r="Q212" s="13" t="s">
        <v>49</v>
      </c>
      <c r="R212" s="13" t="s">
        <v>46</v>
      </c>
      <c r="S212" s="32"/>
      <c r="T212" s="32"/>
      <c r="U212" s="26"/>
      <c r="V212" s="32"/>
    </row>
    <row r="213" hidden="1">
      <c r="A213" s="13">
        <v>212.0</v>
      </c>
      <c r="B213" s="15">
        <v>46125.0</v>
      </c>
      <c r="C213" s="13" t="s">
        <v>58</v>
      </c>
      <c r="D213" s="13" t="s">
        <v>60</v>
      </c>
      <c r="E213" s="13" t="s">
        <v>27</v>
      </c>
      <c r="F213" s="13">
        <v>5.44650722E8</v>
      </c>
      <c r="G213" s="13" t="s">
        <v>27</v>
      </c>
      <c r="H213" s="13" t="s">
        <v>27</v>
      </c>
      <c r="I213" s="20" t="s">
        <v>1746</v>
      </c>
      <c r="J213" s="20" t="s">
        <v>35</v>
      </c>
      <c r="K213" s="13" t="s">
        <v>36</v>
      </c>
      <c r="L213" s="26"/>
      <c r="M213" s="27" t="s">
        <v>88</v>
      </c>
      <c r="N213" s="13" t="s">
        <v>56</v>
      </c>
      <c r="O213" s="13" t="s">
        <v>42</v>
      </c>
      <c r="P213" s="32"/>
      <c r="Q213" s="13" t="s">
        <v>49</v>
      </c>
      <c r="R213" s="13" t="s">
        <v>68</v>
      </c>
      <c r="S213" s="32"/>
      <c r="T213" s="32"/>
      <c r="U213" s="26"/>
      <c r="V213" s="32"/>
    </row>
    <row r="214" hidden="1">
      <c r="A214" s="13">
        <v>213.0</v>
      </c>
      <c r="B214" s="15">
        <v>46125.0</v>
      </c>
      <c r="C214" s="13" t="s">
        <v>47</v>
      </c>
      <c r="D214" s="13" t="s">
        <v>48</v>
      </c>
      <c r="E214" s="20" t="s">
        <v>1750</v>
      </c>
      <c r="F214" s="13" t="s">
        <v>27</v>
      </c>
      <c r="G214" s="20" t="s">
        <v>41</v>
      </c>
      <c r="H214" s="13" t="s">
        <v>1751</v>
      </c>
      <c r="I214" s="20" t="s">
        <v>1752</v>
      </c>
      <c r="J214" s="20" t="s">
        <v>1753</v>
      </c>
      <c r="K214" s="13" t="s">
        <v>78</v>
      </c>
      <c r="L214" s="26"/>
      <c r="M214" s="27" t="s">
        <v>55</v>
      </c>
      <c r="N214" s="13" t="s">
        <v>56</v>
      </c>
      <c r="O214" s="13" t="s">
        <v>42</v>
      </c>
      <c r="P214" s="32"/>
      <c r="Q214" s="13" t="s">
        <v>49</v>
      </c>
      <c r="R214" s="13" t="s">
        <v>46</v>
      </c>
      <c r="S214" s="32"/>
      <c r="T214" s="32"/>
      <c r="U214" s="26"/>
      <c r="V214" s="32"/>
    </row>
    <row r="215" ht="79.5" hidden="1" customHeight="1">
      <c r="A215" s="13">
        <v>214.0</v>
      </c>
      <c r="B215" s="15">
        <v>46125.0</v>
      </c>
      <c r="C215" s="13" t="s">
        <v>58</v>
      </c>
      <c r="D215" s="13" t="s">
        <v>60</v>
      </c>
      <c r="E215" s="20" t="s">
        <v>1759</v>
      </c>
      <c r="F215" s="13">
        <v>5.40544192E8</v>
      </c>
      <c r="G215" s="20" t="s">
        <v>41</v>
      </c>
      <c r="H215" s="13" t="s">
        <v>27</v>
      </c>
      <c r="I215" s="20" t="s">
        <v>1763</v>
      </c>
      <c r="J215" s="20" t="s">
        <v>1764</v>
      </c>
      <c r="K215" s="13" t="s">
        <v>36</v>
      </c>
      <c r="L215" s="26"/>
      <c r="M215" s="27" t="s">
        <v>88</v>
      </c>
      <c r="N215" s="13" t="s">
        <v>56</v>
      </c>
      <c r="O215" s="13" t="s">
        <v>42</v>
      </c>
      <c r="P215" s="32"/>
      <c r="Q215" s="13" t="s">
        <v>49</v>
      </c>
      <c r="R215" s="13" t="s">
        <v>68</v>
      </c>
      <c r="S215" s="32"/>
      <c r="T215" s="32"/>
      <c r="U215" s="26"/>
      <c r="V215" s="32"/>
    </row>
    <row r="216" ht="69.75" hidden="1" customHeight="1">
      <c r="A216" s="13">
        <v>215.0</v>
      </c>
      <c r="B216" s="15">
        <v>46125.0</v>
      </c>
      <c r="C216" s="13" t="s">
        <v>47</v>
      </c>
      <c r="D216" s="13" t="s">
        <v>24</v>
      </c>
      <c r="E216" s="20" t="s">
        <v>1770</v>
      </c>
      <c r="F216" s="13">
        <v>5.57743147E8</v>
      </c>
      <c r="G216" s="20" t="s">
        <v>333</v>
      </c>
      <c r="H216" s="13" t="s">
        <v>1114</v>
      </c>
      <c r="I216" s="20" t="s">
        <v>1771</v>
      </c>
      <c r="J216" s="20" t="s">
        <v>1774</v>
      </c>
      <c r="K216" s="13" t="s">
        <v>36</v>
      </c>
      <c r="L216" s="26"/>
      <c r="M216" s="27" t="s">
        <v>55</v>
      </c>
      <c r="N216" s="13" t="s">
        <v>56</v>
      </c>
      <c r="O216" s="13" t="s">
        <v>301</v>
      </c>
      <c r="P216" s="32"/>
      <c r="Q216" s="13" t="s">
        <v>44</v>
      </c>
      <c r="R216" s="13" t="s">
        <v>68</v>
      </c>
      <c r="S216" s="32"/>
      <c r="T216" s="32"/>
      <c r="U216" s="26"/>
      <c r="V216" s="32"/>
    </row>
    <row r="217" hidden="1">
      <c r="A217" s="13">
        <v>216.0</v>
      </c>
      <c r="B217" s="15">
        <v>46125.0</v>
      </c>
      <c r="C217" s="13" t="s">
        <v>21</v>
      </c>
      <c r="D217" s="13" t="s">
        <v>22</v>
      </c>
      <c r="E217" s="20" t="s">
        <v>1779</v>
      </c>
      <c r="F217" s="13">
        <v>5.59464332E8</v>
      </c>
      <c r="G217" s="20" t="s">
        <v>198</v>
      </c>
      <c r="H217" s="13" t="s">
        <v>27</v>
      </c>
      <c r="I217" s="20" t="s">
        <v>1780</v>
      </c>
      <c r="J217" s="20" t="s">
        <v>35</v>
      </c>
      <c r="K217" s="13" t="s">
        <v>36</v>
      </c>
      <c r="L217" s="26"/>
      <c r="M217" s="27" t="s">
        <v>38</v>
      </c>
      <c r="N217" s="13" t="s">
        <v>40</v>
      </c>
      <c r="O217" s="13" t="s">
        <v>42</v>
      </c>
      <c r="P217" s="32"/>
      <c r="Q217" s="13" t="s">
        <v>49</v>
      </c>
      <c r="R217" s="13" t="s">
        <v>46</v>
      </c>
      <c r="S217" s="32"/>
      <c r="T217" s="32"/>
      <c r="U217" s="26"/>
      <c r="V217" s="32"/>
    </row>
    <row r="218" hidden="1">
      <c r="A218" s="13">
        <v>217.0</v>
      </c>
      <c r="B218" s="15">
        <v>46125.0</v>
      </c>
      <c r="C218" s="13" t="s">
        <v>21</v>
      </c>
      <c r="D218" s="13" t="s">
        <v>22</v>
      </c>
      <c r="E218" s="20" t="s">
        <v>1784</v>
      </c>
      <c r="F218" s="13">
        <v>5.50515158E8</v>
      </c>
      <c r="G218" s="20" t="s">
        <v>172</v>
      </c>
      <c r="H218" s="13" t="s">
        <v>27</v>
      </c>
      <c r="I218" s="20" t="s">
        <v>1786</v>
      </c>
      <c r="J218" s="20" t="s">
        <v>35</v>
      </c>
      <c r="K218" s="13" t="s">
        <v>36</v>
      </c>
      <c r="L218" s="26"/>
      <c r="M218" s="27" t="s">
        <v>38</v>
      </c>
      <c r="N218" s="13" t="s">
        <v>40</v>
      </c>
      <c r="O218" s="13" t="s">
        <v>42</v>
      </c>
      <c r="P218" s="32"/>
      <c r="Q218" s="13" t="s">
        <v>49</v>
      </c>
      <c r="R218" s="13" t="s">
        <v>46</v>
      </c>
      <c r="S218" s="32"/>
      <c r="T218" s="32"/>
      <c r="U218" s="26"/>
      <c r="V218" s="32"/>
    </row>
    <row r="219" hidden="1">
      <c r="A219" s="13">
        <v>218.0</v>
      </c>
      <c r="B219" s="15">
        <v>46126.0</v>
      </c>
      <c r="C219" s="13" t="s">
        <v>58</v>
      </c>
      <c r="D219" s="13" t="s">
        <v>60</v>
      </c>
      <c r="E219" s="13" t="s">
        <v>27</v>
      </c>
      <c r="F219" s="13">
        <v>5.56179007E8</v>
      </c>
      <c r="G219" s="13" t="s">
        <v>27</v>
      </c>
      <c r="H219" s="13" t="s">
        <v>27</v>
      </c>
      <c r="I219" s="20" t="s">
        <v>1792</v>
      </c>
      <c r="J219" s="20"/>
      <c r="K219" s="13" t="s">
        <v>65</v>
      </c>
      <c r="L219" s="26"/>
      <c r="M219" s="27" t="s">
        <v>88</v>
      </c>
      <c r="N219" s="13" t="s">
        <v>56</v>
      </c>
      <c r="O219" s="13" t="s">
        <v>42</v>
      </c>
      <c r="P219" s="32"/>
      <c r="Q219" s="13" t="s">
        <v>44</v>
      </c>
      <c r="R219" s="13" t="s">
        <v>68</v>
      </c>
      <c r="S219" s="32"/>
      <c r="T219" s="32"/>
      <c r="U219" s="26"/>
      <c r="V219" s="32"/>
    </row>
    <row r="220" hidden="1">
      <c r="A220" s="13">
        <v>219.0</v>
      </c>
      <c r="B220" s="15">
        <v>46126.0</v>
      </c>
      <c r="C220" s="13" t="s">
        <v>21</v>
      </c>
      <c r="D220" s="13" t="s">
        <v>22</v>
      </c>
      <c r="E220" s="20" t="s">
        <v>1797</v>
      </c>
      <c r="F220" s="13">
        <v>5.01014032E8</v>
      </c>
      <c r="G220" s="20" t="s">
        <v>28</v>
      </c>
      <c r="H220" s="13" t="s">
        <v>27</v>
      </c>
      <c r="I220" s="20" t="s">
        <v>1798</v>
      </c>
      <c r="J220" s="20" t="s">
        <v>35</v>
      </c>
      <c r="K220" s="13" t="s">
        <v>36</v>
      </c>
      <c r="L220" s="26"/>
      <c r="M220" s="27" t="s">
        <v>38</v>
      </c>
      <c r="N220" s="13" t="s">
        <v>40</v>
      </c>
      <c r="O220" s="13" t="s">
        <v>42</v>
      </c>
      <c r="P220" s="32"/>
      <c r="Q220" s="13" t="s">
        <v>49</v>
      </c>
      <c r="R220" s="13" t="s">
        <v>46</v>
      </c>
      <c r="S220" s="32"/>
      <c r="T220" s="32"/>
      <c r="U220" s="26"/>
      <c r="V220" s="32"/>
    </row>
    <row r="221" hidden="1">
      <c r="A221" s="13">
        <v>220.0</v>
      </c>
      <c r="B221" s="15">
        <v>46126.0</v>
      </c>
      <c r="C221" s="13" t="s">
        <v>21</v>
      </c>
      <c r="D221" s="13" t="s">
        <v>24</v>
      </c>
      <c r="E221" s="20" t="s">
        <v>1804</v>
      </c>
      <c r="F221" s="13">
        <v>5.992589E8</v>
      </c>
      <c r="G221" s="20" t="s">
        <v>79</v>
      </c>
      <c r="H221" s="13" t="s">
        <v>27</v>
      </c>
      <c r="I221" s="20" t="s">
        <v>1733</v>
      </c>
      <c r="J221" s="20"/>
      <c r="K221" s="13" t="s">
        <v>457</v>
      </c>
      <c r="L221" s="26"/>
      <c r="M221" s="27" t="s">
        <v>38</v>
      </c>
      <c r="N221" s="13" t="s">
        <v>40</v>
      </c>
      <c r="O221" s="13" t="s">
        <v>42</v>
      </c>
      <c r="P221" s="32"/>
      <c r="Q221" s="13" t="s">
        <v>44</v>
      </c>
      <c r="R221" s="13" t="s">
        <v>46</v>
      </c>
      <c r="S221" s="32"/>
      <c r="T221" s="32"/>
      <c r="U221" s="26"/>
      <c r="V221" s="32"/>
    </row>
    <row r="222" hidden="1">
      <c r="A222" s="13">
        <v>221.0</v>
      </c>
      <c r="B222" s="15">
        <v>46126.0</v>
      </c>
      <c r="C222" s="13" t="s">
        <v>47</v>
      </c>
      <c r="D222" s="13" t="s">
        <v>48</v>
      </c>
      <c r="E222" s="20" t="s">
        <v>1427</v>
      </c>
      <c r="F222" s="55">
        <v>5.56094513E8</v>
      </c>
      <c r="G222" s="58" t="s">
        <v>79</v>
      </c>
      <c r="H222" s="13" t="s">
        <v>638</v>
      </c>
      <c r="I222" s="20" t="s">
        <v>1811</v>
      </c>
      <c r="J222" s="20"/>
      <c r="K222" s="13" t="s">
        <v>457</v>
      </c>
      <c r="L222" s="26"/>
      <c r="M222" s="27" t="s">
        <v>55</v>
      </c>
      <c r="N222" s="13" t="s">
        <v>56</v>
      </c>
      <c r="O222" s="13" t="s">
        <v>42</v>
      </c>
      <c r="P222" s="32"/>
      <c r="Q222" s="13" t="s">
        <v>44</v>
      </c>
      <c r="R222" s="13" t="s">
        <v>46</v>
      </c>
      <c r="S222" s="32"/>
      <c r="T222" s="32"/>
      <c r="U222" s="26"/>
      <c r="V222" s="32"/>
    </row>
    <row r="223" hidden="1">
      <c r="A223" s="13">
        <v>222.0</v>
      </c>
      <c r="B223" s="15">
        <v>46126.0</v>
      </c>
      <c r="C223" s="13" t="s">
        <v>47</v>
      </c>
      <c r="D223" s="13" t="s">
        <v>92</v>
      </c>
      <c r="E223" s="20" t="s">
        <v>1815</v>
      </c>
      <c r="F223" s="13">
        <v>5.00062378E8</v>
      </c>
      <c r="G223" s="20" t="s">
        <v>28</v>
      </c>
      <c r="H223" s="13" t="s">
        <v>777</v>
      </c>
      <c r="I223" s="20" t="s">
        <v>1816</v>
      </c>
      <c r="J223" s="20"/>
      <c r="K223" s="13" t="s">
        <v>457</v>
      </c>
      <c r="L223" s="26"/>
      <c r="M223" s="27" t="s">
        <v>55</v>
      </c>
      <c r="N223" s="13" t="s">
        <v>56</v>
      </c>
      <c r="O223" s="13" t="s">
        <v>42</v>
      </c>
      <c r="P223" s="32"/>
      <c r="Q223" s="13" t="s">
        <v>44</v>
      </c>
      <c r="R223" s="13" t="s">
        <v>46</v>
      </c>
      <c r="S223" s="32"/>
      <c r="T223" s="32"/>
      <c r="U223" s="26"/>
      <c r="V223" s="32"/>
    </row>
    <row r="224" hidden="1">
      <c r="A224" s="13">
        <v>223.0</v>
      </c>
      <c r="B224" s="15">
        <v>46126.0</v>
      </c>
      <c r="C224" s="13" t="s">
        <v>47</v>
      </c>
      <c r="D224" s="13" t="s">
        <v>367</v>
      </c>
      <c r="E224" s="20" t="s">
        <v>1297</v>
      </c>
      <c r="F224" s="13">
        <v>5.33553781E8</v>
      </c>
      <c r="G224" s="46" t="s">
        <v>41</v>
      </c>
      <c r="H224" s="13" t="s">
        <v>791</v>
      </c>
      <c r="I224" s="20" t="s">
        <v>1824</v>
      </c>
      <c r="J224" s="20" t="s">
        <v>1825</v>
      </c>
      <c r="K224" s="13" t="s">
        <v>457</v>
      </c>
      <c r="L224" s="26"/>
      <c r="M224" s="27" t="s">
        <v>55</v>
      </c>
      <c r="N224" s="13" t="s">
        <v>56</v>
      </c>
      <c r="O224" s="13" t="s">
        <v>42</v>
      </c>
      <c r="P224" s="32"/>
      <c r="Q224" s="13" t="s">
        <v>44</v>
      </c>
      <c r="R224" s="13" t="s">
        <v>46</v>
      </c>
      <c r="S224" s="32"/>
      <c r="T224" s="32"/>
      <c r="U224" s="26"/>
      <c r="V224" s="32"/>
    </row>
    <row r="225" hidden="1">
      <c r="A225" s="13">
        <v>224.0</v>
      </c>
      <c r="B225" s="15">
        <v>46126.0</v>
      </c>
      <c r="C225" s="13" t="s">
        <v>58</v>
      </c>
      <c r="D225" s="13" t="s">
        <v>60</v>
      </c>
      <c r="E225" s="13" t="s">
        <v>27</v>
      </c>
      <c r="F225" s="13">
        <v>5.33165977E8</v>
      </c>
      <c r="G225" s="13" t="s">
        <v>27</v>
      </c>
      <c r="H225" s="13" t="s">
        <v>27</v>
      </c>
      <c r="I225" s="20" t="s">
        <v>1830</v>
      </c>
      <c r="J225" s="20" t="s">
        <v>35</v>
      </c>
      <c r="K225" s="13" t="s">
        <v>36</v>
      </c>
      <c r="L225" s="26"/>
      <c r="M225" s="27" t="s">
        <v>88</v>
      </c>
      <c r="N225" s="13" t="s">
        <v>56</v>
      </c>
      <c r="O225" s="13" t="s">
        <v>42</v>
      </c>
      <c r="P225" s="32"/>
      <c r="Q225" s="13" t="s">
        <v>49</v>
      </c>
      <c r="R225" s="13" t="s">
        <v>68</v>
      </c>
      <c r="S225" s="32"/>
      <c r="T225" s="32"/>
      <c r="U225" s="26"/>
      <c r="V225" s="32"/>
    </row>
    <row r="226" hidden="1">
      <c r="A226" s="13">
        <v>225.0</v>
      </c>
      <c r="B226" s="15">
        <v>46126.0</v>
      </c>
      <c r="C226" s="13" t="s">
        <v>58</v>
      </c>
      <c r="D226" s="13" t="s">
        <v>60</v>
      </c>
      <c r="E226" s="13" t="s">
        <v>27</v>
      </c>
      <c r="F226" s="13">
        <v>5.00989167E8</v>
      </c>
      <c r="G226" s="13" t="s">
        <v>27</v>
      </c>
      <c r="H226" s="13" t="s">
        <v>27</v>
      </c>
      <c r="I226" s="20" t="s">
        <v>1835</v>
      </c>
      <c r="J226" s="20" t="s">
        <v>35</v>
      </c>
      <c r="K226" s="13" t="s">
        <v>36</v>
      </c>
      <c r="L226" s="26"/>
      <c r="M226" s="27" t="s">
        <v>88</v>
      </c>
      <c r="N226" s="13" t="s">
        <v>56</v>
      </c>
      <c r="O226" s="13" t="s">
        <v>42</v>
      </c>
      <c r="P226" s="32"/>
      <c r="Q226" s="13" t="s">
        <v>49</v>
      </c>
      <c r="R226" s="13" t="s">
        <v>68</v>
      </c>
      <c r="S226" s="32"/>
      <c r="T226" s="32"/>
      <c r="U226" s="26"/>
      <c r="V226" s="32"/>
    </row>
    <row r="227" hidden="1">
      <c r="A227" s="13">
        <v>226.0</v>
      </c>
      <c r="B227" s="15">
        <v>46126.0</v>
      </c>
      <c r="C227" s="13" t="s">
        <v>58</v>
      </c>
      <c r="D227" s="13" t="s">
        <v>60</v>
      </c>
      <c r="E227" s="13" t="s">
        <v>27</v>
      </c>
      <c r="F227" s="13">
        <v>5.02122613E8</v>
      </c>
      <c r="G227" s="13" t="s">
        <v>27</v>
      </c>
      <c r="H227" s="13" t="s">
        <v>27</v>
      </c>
      <c r="I227" s="20" t="s">
        <v>233</v>
      </c>
      <c r="J227" s="20" t="s">
        <v>35</v>
      </c>
      <c r="K227" s="13" t="s">
        <v>36</v>
      </c>
      <c r="L227" s="26"/>
      <c r="M227" s="27" t="s">
        <v>88</v>
      </c>
      <c r="N227" s="13" t="s">
        <v>56</v>
      </c>
      <c r="O227" s="13" t="s">
        <v>42</v>
      </c>
      <c r="P227" s="32"/>
      <c r="Q227" s="13" t="s">
        <v>49</v>
      </c>
      <c r="R227" s="13" t="s">
        <v>68</v>
      </c>
      <c r="S227" s="32"/>
      <c r="T227" s="32"/>
      <c r="U227" s="26"/>
      <c r="V227" s="32"/>
    </row>
    <row r="228" hidden="1">
      <c r="A228" s="13">
        <v>227.0</v>
      </c>
      <c r="B228" s="15">
        <v>46126.0</v>
      </c>
      <c r="C228" s="13" t="s">
        <v>58</v>
      </c>
      <c r="D228" s="13" t="s">
        <v>60</v>
      </c>
      <c r="E228" s="20" t="s">
        <v>1378</v>
      </c>
      <c r="F228" s="13">
        <v>5.04160689E8</v>
      </c>
      <c r="G228" s="20" t="s">
        <v>28</v>
      </c>
      <c r="H228" s="106" t="s">
        <v>587</v>
      </c>
      <c r="I228" s="20" t="s">
        <v>1844</v>
      </c>
      <c r="J228" s="20" t="s">
        <v>1380</v>
      </c>
      <c r="K228" s="13" t="s">
        <v>36</v>
      </c>
      <c r="L228" s="26"/>
      <c r="M228" s="27" t="s">
        <v>38</v>
      </c>
      <c r="N228" s="13" t="s">
        <v>56</v>
      </c>
      <c r="O228" s="13" t="s">
        <v>42</v>
      </c>
      <c r="P228" s="32"/>
      <c r="Q228" s="13" t="s">
        <v>49</v>
      </c>
      <c r="R228" s="13" t="s">
        <v>46</v>
      </c>
      <c r="S228" s="32"/>
      <c r="T228" s="32"/>
      <c r="U228" s="26"/>
      <c r="V228" s="122"/>
    </row>
    <row r="229" ht="95.25" hidden="1" customHeight="1">
      <c r="A229" s="13">
        <v>228.0</v>
      </c>
      <c r="B229" s="15">
        <v>46126.0</v>
      </c>
      <c r="C229" s="13" t="s">
        <v>47</v>
      </c>
      <c r="D229" s="13" t="s">
        <v>92</v>
      </c>
      <c r="E229" s="20" t="s">
        <v>1846</v>
      </c>
      <c r="F229" s="13">
        <v>5.32003638E8</v>
      </c>
      <c r="G229" s="20" t="s">
        <v>71</v>
      </c>
      <c r="H229" s="13" t="s">
        <v>94</v>
      </c>
      <c r="I229" s="20" t="s">
        <v>1851</v>
      </c>
      <c r="J229" s="20" t="s">
        <v>35</v>
      </c>
      <c r="K229" s="13" t="s">
        <v>36</v>
      </c>
      <c r="L229" s="26"/>
      <c r="M229" s="27" t="s">
        <v>55</v>
      </c>
      <c r="N229" s="13" t="s">
        <v>56</v>
      </c>
      <c r="O229" s="13" t="s">
        <v>42</v>
      </c>
      <c r="P229" s="32"/>
      <c r="Q229" s="13" t="s">
        <v>49</v>
      </c>
      <c r="R229" s="13" t="s">
        <v>46</v>
      </c>
      <c r="S229" s="32"/>
      <c r="T229" s="32"/>
      <c r="U229" s="26"/>
      <c r="V229" s="32"/>
    </row>
    <row r="230" hidden="1">
      <c r="A230" s="13">
        <v>229.0</v>
      </c>
      <c r="B230" s="15">
        <v>46126.0</v>
      </c>
      <c r="C230" s="13" t="s">
        <v>47</v>
      </c>
      <c r="D230" s="13" t="s">
        <v>138</v>
      </c>
      <c r="E230" s="20" t="s">
        <v>1853</v>
      </c>
      <c r="F230" s="13">
        <v>5.32194184E8</v>
      </c>
      <c r="G230" s="20" t="s">
        <v>41</v>
      </c>
      <c r="H230" s="13" t="s">
        <v>146</v>
      </c>
      <c r="I230" s="20" t="s">
        <v>1856</v>
      </c>
      <c r="J230" s="20" t="s">
        <v>1857</v>
      </c>
      <c r="K230" s="13" t="s">
        <v>36</v>
      </c>
      <c r="L230" s="26"/>
      <c r="M230" s="27" t="s">
        <v>55</v>
      </c>
      <c r="N230" s="13" t="s">
        <v>56</v>
      </c>
      <c r="O230" s="13" t="s">
        <v>42</v>
      </c>
      <c r="P230" s="32"/>
      <c r="Q230" s="13" t="s">
        <v>44</v>
      </c>
      <c r="R230" s="13" t="s">
        <v>46</v>
      </c>
      <c r="S230" s="32"/>
      <c r="T230" s="32"/>
      <c r="U230" s="26"/>
      <c r="V230" s="32"/>
    </row>
    <row r="231" hidden="1">
      <c r="A231" s="13">
        <v>230.0</v>
      </c>
      <c r="B231" s="15">
        <v>46126.0</v>
      </c>
      <c r="C231" s="13" t="s">
        <v>21</v>
      </c>
      <c r="D231" s="13" t="s">
        <v>22</v>
      </c>
      <c r="E231" s="20" t="s">
        <v>1861</v>
      </c>
      <c r="F231" s="13">
        <v>5.53625204E8</v>
      </c>
      <c r="G231" s="20" t="s">
        <v>79</v>
      </c>
      <c r="H231" s="13" t="s">
        <v>27</v>
      </c>
      <c r="I231" s="20" t="s">
        <v>1863</v>
      </c>
      <c r="J231" s="20"/>
      <c r="K231" s="13" t="s">
        <v>36</v>
      </c>
      <c r="L231" s="26"/>
      <c r="M231" s="27" t="s">
        <v>38</v>
      </c>
      <c r="N231" s="13" t="s">
        <v>40</v>
      </c>
      <c r="O231" s="13" t="s">
        <v>42</v>
      </c>
      <c r="P231" s="32"/>
      <c r="Q231" s="13" t="s">
        <v>44</v>
      </c>
      <c r="R231" s="13" t="s">
        <v>46</v>
      </c>
      <c r="S231" s="32"/>
      <c r="T231" s="32"/>
      <c r="U231" s="26"/>
      <c r="V231" s="32"/>
    </row>
    <row r="232" hidden="1">
      <c r="A232" s="13">
        <v>231.0</v>
      </c>
      <c r="B232" s="15">
        <v>46126.0</v>
      </c>
      <c r="C232" s="13" t="s">
        <v>21</v>
      </c>
      <c r="D232" s="13" t="s">
        <v>57</v>
      </c>
      <c r="E232" s="20" t="s">
        <v>1866</v>
      </c>
      <c r="F232" s="13">
        <v>5.35648912E8</v>
      </c>
      <c r="G232" s="20" t="s">
        <v>71</v>
      </c>
      <c r="H232" s="13" t="s">
        <v>27</v>
      </c>
      <c r="I232" s="20" t="s">
        <v>1869</v>
      </c>
      <c r="J232" s="20" t="s">
        <v>1870</v>
      </c>
      <c r="K232" s="13" t="s">
        <v>36</v>
      </c>
      <c r="L232" s="26"/>
      <c r="M232" s="27" t="s">
        <v>38</v>
      </c>
      <c r="N232" s="13" t="s">
        <v>56</v>
      </c>
      <c r="O232" s="13" t="s">
        <v>42</v>
      </c>
      <c r="P232" s="32"/>
      <c r="Q232" s="13" t="s">
        <v>49</v>
      </c>
      <c r="R232" s="13" t="s">
        <v>68</v>
      </c>
      <c r="S232" s="32"/>
      <c r="T232" s="32"/>
      <c r="U232" s="26"/>
      <c r="V232" s="32"/>
    </row>
    <row r="233" hidden="1">
      <c r="A233" s="13">
        <v>232.0</v>
      </c>
      <c r="B233" s="15">
        <v>46126.0</v>
      </c>
      <c r="C233" s="13" t="s">
        <v>47</v>
      </c>
      <c r="D233" s="13" t="s">
        <v>48</v>
      </c>
      <c r="E233" s="20" t="s">
        <v>1874</v>
      </c>
      <c r="F233" s="13">
        <v>5.53554574E8</v>
      </c>
      <c r="G233" s="20" t="s">
        <v>41</v>
      </c>
      <c r="H233" s="13" t="s">
        <v>1751</v>
      </c>
      <c r="I233" s="20" t="s">
        <v>1877</v>
      </c>
      <c r="J233" s="20"/>
      <c r="K233" s="13" t="s">
        <v>148</v>
      </c>
      <c r="L233" s="26"/>
      <c r="M233" s="27" t="s">
        <v>55</v>
      </c>
      <c r="N233" s="13" t="s">
        <v>56</v>
      </c>
      <c r="O233" s="13" t="s">
        <v>42</v>
      </c>
      <c r="P233" s="32"/>
      <c r="Q233" s="13" t="s">
        <v>44</v>
      </c>
      <c r="R233" s="13" t="s">
        <v>46</v>
      </c>
      <c r="S233" s="32"/>
      <c r="T233" s="32"/>
      <c r="U233" s="26"/>
      <c r="V233" s="32"/>
    </row>
    <row r="234" hidden="1">
      <c r="A234" s="13">
        <v>233.0</v>
      </c>
      <c r="B234" s="15">
        <v>46126.0</v>
      </c>
      <c r="C234" s="13" t="s">
        <v>58</v>
      </c>
      <c r="D234" s="13" t="s">
        <v>60</v>
      </c>
      <c r="E234" s="20" t="s">
        <v>1879</v>
      </c>
      <c r="F234" s="55">
        <v>5.44230753E8</v>
      </c>
      <c r="G234" s="20" t="s">
        <v>41</v>
      </c>
      <c r="H234" s="13" t="s">
        <v>227</v>
      </c>
      <c r="I234" s="13" t="s">
        <v>1882</v>
      </c>
      <c r="J234" s="20" t="s">
        <v>1724</v>
      </c>
      <c r="K234" s="13" t="s">
        <v>148</v>
      </c>
      <c r="L234" s="26"/>
      <c r="M234" s="27" t="s">
        <v>88</v>
      </c>
      <c r="N234" s="13" t="s">
        <v>56</v>
      </c>
      <c r="O234" s="13" t="s">
        <v>42</v>
      </c>
      <c r="P234" s="32"/>
      <c r="Q234" s="13" t="s">
        <v>44</v>
      </c>
      <c r="R234" s="13" t="s">
        <v>68</v>
      </c>
      <c r="S234" s="32"/>
      <c r="T234" s="32"/>
      <c r="U234" s="26"/>
      <c r="V234" s="32"/>
    </row>
    <row r="235" hidden="1">
      <c r="A235" s="13">
        <v>234.0</v>
      </c>
      <c r="B235" s="15">
        <v>46126.0</v>
      </c>
      <c r="C235" s="13" t="s">
        <v>47</v>
      </c>
      <c r="D235" s="13" t="s">
        <v>138</v>
      </c>
      <c r="E235" s="20" t="s">
        <v>1884</v>
      </c>
      <c r="F235" s="13">
        <v>5.98965728E8</v>
      </c>
      <c r="G235" s="20" t="s">
        <v>41</v>
      </c>
      <c r="H235" s="13" t="s">
        <v>188</v>
      </c>
      <c r="I235" s="20" t="s">
        <v>1887</v>
      </c>
      <c r="J235" s="20" t="s">
        <v>1888</v>
      </c>
      <c r="K235" s="13" t="s">
        <v>148</v>
      </c>
      <c r="L235" s="26"/>
      <c r="M235" s="27" t="s">
        <v>55</v>
      </c>
      <c r="N235" s="13" t="s">
        <v>56</v>
      </c>
      <c r="O235" s="13" t="s">
        <v>42</v>
      </c>
      <c r="P235" s="32"/>
      <c r="Q235" s="13" t="s">
        <v>44</v>
      </c>
      <c r="R235" s="13" t="s">
        <v>46</v>
      </c>
      <c r="S235" s="32"/>
      <c r="T235" s="32"/>
      <c r="U235" s="26"/>
      <c r="V235" s="32"/>
    </row>
    <row r="236" hidden="1">
      <c r="A236" s="13">
        <v>235.0</v>
      </c>
      <c r="B236" s="15">
        <v>46126.0</v>
      </c>
      <c r="C236" s="13" t="s">
        <v>47</v>
      </c>
      <c r="D236" s="13" t="s">
        <v>138</v>
      </c>
      <c r="E236" s="20" t="s">
        <v>1897</v>
      </c>
      <c r="F236" s="13">
        <v>5.5997733E8</v>
      </c>
      <c r="G236" s="20" t="s">
        <v>41</v>
      </c>
      <c r="H236" s="13" t="s">
        <v>146</v>
      </c>
      <c r="I236" s="20" t="s">
        <v>1901</v>
      </c>
      <c r="J236" s="20" t="s">
        <v>1902</v>
      </c>
      <c r="K236" s="13" t="s">
        <v>148</v>
      </c>
      <c r="L236" s="26"/>
      <c r="M236" s="27" t="s">
        <v>183</v>
      </c>
      <c r="N236" s="13" t="s">
        <v>56</v>
      </c>
      <c r="O236" s="13" t="s">
        <v>42</v>
      </c>
      <c r="P236" s="32"/>
      <c r="Q236" s="13" t="s">
        <v>44</v>
      </c>
      <c r="R236" s="13" t="s">
        <v>46</v>
      </c>
      <c r="S236" s="32"/>
      <c r="T236" s="32"/>
      <c r="U236" s="26"/>
      <c r="V236" s="32"/>
    </row>
    <row r="237" hidden="1">
      <c r="A237" s="13">
        <v>236.0</v>
      </c>
      <c r="B237" s="15">
        <v>46127.0</v>
      </c>
      <c r="C237" s="13" t="s">
        <v>47</v>
      </c>
      <c r="D237" s="13" t="s">
        <v>367</v>
      </c>
      <c r="E237" s="20" t="s">
        <v>1904</v>
      </c>
      <c r="F237" s="13">
        <v>5.57566833E8</v>
      </c>
      <c r="G237" s="20" t="s">
        <v>28</v>
      </c>
      <c r="H237" s="13" t="s">
        <v>548</v>
      </c>
      <c r="I237" s="20" t="s">
        <v>1908</v>
      </c>
      <c r="J237" s="20" t="s">
        <v>1909</v>
      </c>
      <c r="K237" s="13" t="s">
        <v>148</v>
      </c>
      <c r="L237" s="26"/>
      <c r="M237" s="27" t="s">
        <v>795</v>
      </c>
      <c r="N237" s="13" t="s">
        <v>56</v>
      </c>
      <c r="O237" s="13" t="s">
        <v>42</v>
      </c>
      <c r="P237" s="32"/>
      <c r="Q237" s="13" t="s">
        <v>44</v>
      </c>
      <c r="R237" s="13" t="s">
        <v>46</v>
      </c>
      <c r="S237" s="32"/>
      <c r="T237" s="32"/>
      <c r="U237" s="26"/>
      <c r="V237" s="32"/>
    </row>
    <row r="238" ht="87.75" hidden="1" customHeight="1">
      <c r="A238" s="13">
        <v>237.0</v>
      </c>
      <c r="B238" s="15">
        <v>46127.0</v>
      </c>
      <c r="C238" s="13" t="s">
        <v>47</v>
      </c>
      <c r="D238" s="13" t="s">
        <v>367</v>
      </c>
      <c r="E238" s="13" t="s">
        <v>1912</v>
      </c>
      <c r="F238" s="13">
        <v>5.45458939E8</v>
      </c>
      <c r="G238" s="20" t="s">
        <v>28</v>
      </c>
      <c r="H238" s="13" t="s">
        <v>548</v>
      </c>
      <c r="I238" s="20" t="s">
        <v>1914</v>
      </c>
      <c r="J238" s="20" t="s">
        <v>1916</v>
      </c>
      <c r="K238" s="13" t="s">
        <v>148</v>
      </c>
      <c r="L238" s="26"/>
      <c r="M238" s="27" t="s">
        <v>55</v>
      </c>
      <c r="N238" s="13" t="s">
        <v>56</v>
      </c>
      <c r="O238" s="13" t="s">
        <v>42</v>
      </c>
      <c r="P238" s="32"/>
      <c r="Q238" s="13" t="s">
        <v>44</v>
      </c>
      <c r="R238" s="13" t="s">
        <v>46</v>
      </c>
      <c r="S238" s="32"/>
      <c r="T238" s="32"/>
      <c r="U238" s="26"/>
      <c r="V238" s="32"/>
    </row>
    <row r="239" hidden="1">
      <c r="A239" s="13">
        <v>238.0</v>
      </c>
      <c r="B239" s="15">
        <v>46127.0</v>
      </c>
      <c r="C239" s="13" t="s">
        <v>47</v>
      </c>
      <c r="D239" s="13" t="s">
        <v>92</v>
      </c>
      <c r="E239" s="20" t="s">
        <v>1919</v>
      </c>
      <c r="F239" s="13">
        <v>5.58701608E8</v>
      </c>
      <c r="G239" s="20" t="s">
        <v>71</v>
      </c>
      <c r="H239" s="13" t="s">
        <v>94</v>
      </c>
      <c r="I239" s="20" t="s">
        <v>1921</v>
      </c>
      <c r="J239" s="20"/>
      <c r="K239" s="13" t="s">
        <v>148</v>
      </c>
      <c r="L239" s="26"/>
      <c r="M239" s="27" t="s">
        <v>55</v>
      </c>
      <c r="N239" s="13" t="s">
        <v>40</v>
      </c>
      <c r="O239" s="13" t="s">
        <v>42</v>
      </c>
      <c r="P239" s="32"/>
      <c r="Q239" s="13" t="s">
        <v>44</v>
      </c>
      <c r="R239" s="13" t="s">
        <v>46</v>
      </c>
      <c r="S239" s="32"/>
      <c r="T239" s="32"/>
      <c r="U239" s="26"/>
      <c r="V239" s="32"/>
    </row>
    <row r="240" hidden="1">
      <c r="A240" s="13">
        <v>239.0</v>
      </c>
      <c r="B240" s="15">
        <v>46127.0</v>
      </c>
      <c r="C240" s="13" t="s">
        <v>47</v>
      </c>
      <c r="D240" s="13" t="s">
        <v>367</v>
      </c>
      <c r="E240" s="20" t="s">
        <v>1927</v>
      </c>
      <c r="F240" s="13">
        <v>5.02734605E8</v>
      </c>
      <c r="G240" s="20" t="s">
        <v>79</v>
      </c>
      <c r="H240" s="13" t="s">
        <v>638</v>
      </c>
      <c r="I240" s="20" t="s">
        <v>1930</v>
      </c>
      <c r="J240" s="20" t="s">
        <v>1931</v>
      </c>
      <c r="K240" s="13" t="s">
        <v>148</v>
      </c>
      <c r="L240" s="26"/>
      <c r="M240" s="27" t="s">
        <v>55</v>
      </c>
      <c r="N240" s="13" t="s">
        <v>56</v>
      </c>
      <c r="O240" s="13" t="s">
        <v>42</v>
      </c>
      <c r="P240" s="32"/>
      <c r="Q240" s="13" t="s">
        <v>44</v>
      </c>
      <c r="R240" s="13" t="s">
        <v>46</v>
      </c>
      <c r="S240" s="32"/>
      <c r="T240" s="32"/>
      <c r="U240" s="26"/>
      <c r="V240" s="32"/>
    </row>
    <row r="241" hidden="1">
      <c r="A241" s="13">
        <v>240.0</v>
      </c>
      <c r="B241" s="15">
        <v>46127.0</v>
      </c>
      <c r="C241" s="13" t="s">
        <v>58</v>
      </c>
      <c r="D241" s="13" t="s">
        <v>60</v>
      </c>
      <c r="E241" s="13" t="s">
        <v>27</v>
      </c>
      <c r="F241" s="13">
        <v>5.01115713E8</v>
      </c>
      <c r="G241" s="13" t="s">
        <v>27</v>
      </c>
      <c r="H241" s="13" t="s">
        <v>27</v>
      </c>
      <c r="I241" s="20" t="s">
        <v>124</v>
      </c>
      <c r="J241" s="20"/>
      <c r="K241" s="13" t="s">
        <v>65</v>
      </c>
      <c r="L241" s="26"/>
      <c r="M241" s="27" t="s">
        <v>38</v>
      </c>
      <c r="N241" s="13" t="s">
        <v>56</v>
      </c>
      <c r="O241" s="13" t="s">
        <v>42</v>
      </c>
      <c r="P241" s="32"/>
      <c r="Q241" s="13" t="s">
        <v>44</v>
      </c>
      <c r="R241" s="13" t="s">
        <v>68</v>
      </c>
      <c r="S241" s="32"/>
      <c r="T241" s="32"/>
      <c r="U241" s="26"/>
      <c r="V241" s="32"/>
    </row>
    <row r="242" hidden="1">
      <c r="A242" s="13">
        <v>241.0</v>
      </c>
      <c r="B242" s="15">
        <v>46127.0</v>
      </c>
      <c r="C242" s="13" t="s">
        <v>58</v>
      </c>
      <c r="D242" s="13" t="s">
        <v>34</v>
      </c>
      <c r="E242" s="13" t="s">
        <v>27</v>
      </c>
      <c r="F242" s="55">
        <v>5.60561069E8</v>
      </c>
      <c r="G242" s="13" t="s">
        <v>27</v>
      </c>
      <c r="H242" s="13" t="s">
        <v>27</v>
      </c>
      <c r="I242" s="20" t="s">
        <v>643</v>
      </c>
      <c r="J242" s="20"/>
      <c r="K242" s="13" t="s">
        <v>36</v>
      </c>
      <c r="L242" s="26"/>
      <c r="M242" s="27" t="s">
        <v>88</v>
      </c>
      <c r="N242" s="13" t="s">
        <v>56</v>
      </c>
      <c r="O242" s="13" t="s">
        <v>42</v>
      </c>
      <c r="P242" s="32"/>
      <c r="Q242" s="13" t="s">
        <v>44</v>
      </c>
      <c r="R242" s="13" t="s">
        <v>68</v>
      </c>
      <c r="S242" s="32"/>
      <c r="T242" s="32"/>
      <c r="U242" s="26"/>
      <c r="V242" s="32"/>
    </row>
    <row r="243" hidden="1">
      <c r="A243" s="13">
        <v>242.0</v>
      </c>
      <c r="B243" s="15">
        <v>46127.0</v>
      </c>
      <c r="C243" s="13" t="s">
        <v>21</v>
      </c>
      <c r="D243" s="13" t="s">
        <v>22</v>
      </c>
      <c r="E243" s="20" t="s">
        <v>1946</v>
      </c>
      <c r="F243" s="13">
        <v>5.05114542E8</v>
      </c>
      <c r="G243" s="20" t="s">
        <v>152</v>
      </c>
      <c r="H243" s="13" t="s">
        <v>27</v>
      </c>
      <c r="I243" s="20" t="s">
        <v>1947</v>
      </c>
      <c r="J243" s="20"/>
      <c r="K243" s="13" t="s">
        <v>36</v>
      </c>
      <c r="L243" s="26"/>
      <c r="M243" s="27" t="s">
        <v>38</v>
      </c>
      <c r="N243" s="13" t="s">
        <v>40</v>
      </c>
      <c r="O243" s="13" t="s">
        <v>42</v>
      </c>
      <c r="P243" s="32"/>
      <c r="Q243" s="13" t="s">
        <v>44</v>
      </c>
      <c r="R243" s="13" t="s">
        <v>46</v>
      </c>
      <c r="S243" s="32"/>
      <c r="T243" s="32"/>
      <c r="U243" s="26"/>
      <c r="V243" s="32"/>
    </row>
    <row r="244" hidden="1">
      <c r="A244" s="13">
        <v>243.0</v>
      </c>
      <c r="B244" s="15">
        <v>46127.0</v>
      </c>
      <c r="C244" s="13" t="s">
        <v>21</v>
      </c>
      <c r="D244" s="13" t="s">
        <v>22</v>
      </c>
      <c r="E244" s="20" t="s">
        <v>1954</v>
      </c>
      <c r="F244" s="13">
        <v>5.35531949E8</v>
      </c>
      <c r="G244" s="20" t="s">
        <v>132</v>
      </c>
      <c r="H244" s="13" t="s">
        <v>27</v>
      </c>
      <c r="I244" s="20" t="s">
        <v>1955</v>
      </c>
      <c r="J244" s="20"/>
      <c r="K244" s="13" t="s">
        <v>457</v>
      </c>
      <c r="L244" s="26"/>
      <c r="M244" s="27" t="s">
        <v>38</v>
      </c>
      <c r="N244" s="13" t="s">
        <v>40</v>
      </c>
      <c r="O244" s="13" t="s">
        <v>42</v>
      </c>
      <c r="P244" s="32"/>
      <c r="Q244" s="13" t="s">
        <v>44</v>
      </c>
      <c r="R244" s="13" t="s">
        <v>46</v>
      </c>
      <c r="S244" s="32"/>
      <c r="T244" s="32"/>
      <c r="U244" s="26"/>
      <c r="V244" s="32"/>
    </row>
    <row r="245" hidden="1">
      <c r="A245" s="13">
        <v>244.0</v>
      </c>
      <c r="B245" s="15">
        <v>46127.0</v>
      </c>
      <c r="C245" s="13" t="s">
        <v>58</v>
      </c>
      <c r="D245" s="13" t="s">
        <v>34</v>
      </c>
      <c r="E245" s="13" t="s">
        <v>27</v>
      </c>
      <c r="F245" s="13">
        <v>5.46006792E8</v>
      </c>
      <c r="G245" s="13" t="s">
        <v>27</v>
      </c>
      <c r="H245" s="13" t="s">
        <v>27</v>
      </c>
      <c r="I245" s="20" t="s">
        <v>298</v>
      </c>
      <c r="J245" s="20"/>
      <c r="K245" s="13" t="s">
        <v>36</v>
      </c>
      <c r="L245" s="26"/>
      <c r="M245" s="27" t="s">
        <v>88</v>
      </c>
      <c r="N245" s="13" t="s">
        <v>56</v>
      </c>
      <c r="O245" s="13" t="s">
        <v>42</v>
      </c>
      <c r="P245" s="32"/>
      <c r="Q245" s="13" t="s">
        <v>44</v>
      </c>
      <c r="R245" s="13" t="s">
        <v>68</v>
      </c>
      <c r="S245" s="32"/>
      <c r="T245" s="32"/>
      <c r="U245" s="26"/>
      <c r="V245" s="32"/>
    </row>
    <row r="246" hidden="1">
      <c r="A246" s="13">
        <v>245.0</v>
      </c>
      <c r="B246" s="15">
        <v>46127.0</v>
      </c>
      <c r="C246" s="13" t="s">
        <v>21</v>
      </c>
      <c r="D246" s="13" t="s">
        <v>48</v>
      </c>
      <c r="E246" s="20" t="s">
        <v>1964</v>
      </c>
      <c r="F246" s="13">
        <v>5.55005538E8</v>
      </c>
      <c r="G246" s="13" t="s">
        <v>27</v>
      </c>
      <c r="H246" s="13" t="s">
        <v>72</v>
      </c>
      <c r="I246" s="20" t="s">
        <v>1966</v>
      </c>
      <c r="J246" s="20" t="s">
        <v>500</v>
      </c>
      <c r="K246" s="13" t="s">
        <v>36</v>
      </c>
      <c r="L246" s="26"/>
      <c r="M246" s="27" t="s">
        <v>38</v>
      </c>
      <c r="N246" s="13" t="s">
        <v>40</v>
      </c>
      <c r="O246" s="13" t="s">
        <v>42</v>
      </c>
      <c r="P246" s="32"/>
      <c r="Q246" s="13" t="s">
        <v>44</v>
      </c>
      <c r="R246" s="13" t="s">
        <v>68</v>
      </c>
      <c r="S246" s="32"/>
      <c r="T246" s="32"/>
      <c r="U246" s="26"/>
      <c r="V246" s="32"/>
    </row>
    <row r="247" ht="15.0" hidden="1" customHeight="1">
      <c r="A247" s="13">
        <v>246.0</v>
      </c>
      <c r="B247" s="15">
        <v>46127.0</v>
      </c>
      <c r="C247" s="13" t="s">
        <v>21</v>
      </c>
      <c r="D247" s="13" t="s">
        <v>24</v>
      </c>
      <c r="E247" s="20" t="s">
        <v>1972</v>
      </c>
      <c r="F247" s="13">
        <v>5.800170854E9</v>
      </c>
      <c r="G247" s="20" t="s">
        <v>152</v>
      </c>
      <c r="H247" s="13" t="s">
        <v>27</v>
      </c>
      <c r="I247" s="20" t="s">
        <v>1975</v>
      </c>
      <c r="J247" s="20" t="s">
        <v>35</v>
      </c>
      <c r="K247" s="13" t="s">
        <v>36</v>
      </c>
      <c r="L247" s="26"/>
      <c r="M247" s="27" t="s">
        <v>38</v>
      </c>
      <c r="N247" s="13" t="s">
        <v>40</v>
      </c>
      <c r="O247" s="13" t="s">
        <v>42</v>
      </c>
      <c r="P247" s="32"/>
      <c r="Q247" s="13" t="s">
        <v>49</v>
      </c>
      <c r="R247" s="13" t="s">
        <v>46</v>
      </c>
      <c r="S247" s="32"/>
      <c r="T247" s="32"/>
      <c r="U247" s="26"/>
      <c r="V247" s="32"/>
    </row>
    <row r="248" hidden="1">
      <c r="A248" s="13">
        <v>247.0</v>
      </c>
      <c r="B248" s="15">
        <v>46127.0</v>
      </c>
      <c r="C248" s="13" t="s">
        <v>47</v>
      </c>
      <c r="D248" s="13" t="s">
        <v>48</v>
      </c>
      <c r="E248" s="20" t="s">
        <v>1981</v>
      </c>
      <c r="F248" s="13">
        <v>5.59992799E8</v>
      </c>
      <c r="G248" s="20" t="s">
        <v>79</v>
      </c>
      <c r="H248" s="13" t="s">
        <v>80</v>
      </c>
      <c r="I248" s="20" t="s">
        <v>1983</v>
      </c>
      <c r="J248" s="20"/>
      <c r="K248" s="13" t="s">
        <v>36</v>
      </c>
      <c r="L248" s="26"/>
      <c r="M248" s="27" t="s">
        <v>55</v>
      </c>
      <c r="N248" s="13" t="s">
        <v>56</v>
      </c>
      <c r="O248" s="13" t="s">
        <v>42</v>
      </c>
      <c r="P248" s="32"/>
      <c r="Q248" s="13" t="s">
        <v>44</v>
      </c>
      <c r="R248" s="13" t="s">
        <v>46</v>
      </c>
      <c r="S248" s="32"/>
      <c r="T248" s="32"/>
      <c r="U248" s="26"/>
      <c r="V248" s="32"/>
    </row>
    <row r="249" hidden="1">
      <c r="A249" s="13">
        <v>248.0</v>
      </c>
      <c r="B249" s="15">
        <v>46127.0</v>
      </c>
      <c r="C249" s="13" t="s">
        <v>21</v>
      </c>
      <c r="D249" s="13" t="s">
        <v>57</v>
      </c>
      <c r="E249" s="20" t="s">
        <v>1988</v>
      </c>
      <c r="F249" s="13">
        <v>5.56641142E8</v>
      </c>
      <c r="G249" s="20" t="s">
        <v>319</v>
      </c>
      <c r="H249" s="13" t="s">
        <v>27</v>
      </c>
      <c r="I249" s="20" t="s">
        <v>1989</v>
      </c>
      <c r="J249" s="20" t="s">
        <v>1991</v>
      </c>
      <c r="K249" s="13" t="s">
        <v>36</v>
      </c>
      <c r="L249" s="26"/>
      <c r="M249" s="27" t="s">
        <v>38</v>
      </c>
      <c r="N249" s="13" t="s">
        <v>56</v>
      </c>
      <c r="O249" s="13" t="s">
        <v>42</v>
      </c>
      <c r="P249" s="32"/>
      <c r="Q249" s="13" t="s">
        <v>44</v>
      </c>
      <c r="R249" s="13" t="s">
        <v>68</v>
      </c>
      <c r="S249" s="32"/>
      <c r="T249" s="32"/>
      <c r="U249" s="26"/>
      <c r="V249" s="32"/>
    </row>
    <row r="250" hidden="1">
      <c r="A250" s="13">
        <v>249.0</v>
      </c>
      <c r="B250" s="15">
        <v>46127.0</v>
      </c>
      <c r="C250" s="13" t="s">
        <v>21</v>
      </c>
      <c r="D250" s="13" t="s">
        <v>22</v>
      </c>
      <c r="E250" s="20" t="s">
        <v>1995</v>
      </c>
      <c r="F250" s="13">
        <v>5.06166974E8</v>
      </c>
      <c r="G250" s="20" t="s">
        <v>495</v>
      </c>
      <c r="H250" s="13" t="s">
        <v>27</v>
      </c>
      <c r="I250" s="20" t="s">
        <v>1999</v>
      </c>
      <c r="J250" s="20"/>
      <c r="K250" s="13" t="s">
        <v>36</v>
      </c>
      <c r="L250" s="26"/>
      <c r="M250" s="27" t="s">
        <v>38</v>
      </c>
      <c r="N250" s="13" t="s">
        <v>40</v>
      </c>
      <c r="O250" s="13" t="s">
        <v>42</v>
      </c>
      <c r="P250" s="32"/>
      <c r="Q250" s="13" t="s">
        <v>44</v>
      </c>
      <c r="R250" s="13" t="s">
        <v>46</v>
      </c>
      <c r="S250" s="32"/>
      <c r="T250" s="32"/>
      <c r="U250" s="26"/>
      <c r="V250" s="32"/>
    </row>
    <row r="251" hidden="1">
      <c r="A251" s="13">
        <v>250.0</v>
      </c>
      <c r="B251" s="15">
        <v>46127.0</v>
      </c>
      <c r="C251" s="13" t="s">
        <v>58</v>
      </c>
      <c r="D251" s="13" t="s">
        <v>60</v>
      </c>
      <c r="E251" s="13" t="s">
        <v>27</v>
      </c>
      <c r="F251" s="13">
        <v>5.94158121E8</v>
      </c>
      <c r="G251" s="13" t="s">
        <v>27</v>
      </c>
      <c r="H251" s="13" t="s">
        <v>27</v>
      </c>
      <c r="I251" s="20" t="s">
        <v>944</v>
      </c>
      <c r="J251" s="20"/>
      <c r="K251" s="13" t="s">
        <v>36</v>
      </c>
      <c r="L251" s="26"/>
      <c r="M251" s="27" t="s">
        <v>88</v>
      </c>
      <c r="N251" s="13" t="s">
        <v>56</v>
      </c>
      <c r="O251" s="13" t="s">
        <v>42</v>
      </c>
      <c r="P251" s="32"/>
      <c r="Q251" s="13" t="s">
        <v>44</v>
      </c>
      <c r="R251" s="13" t="s">
        <v>68</v>
      </c>
      <c r="S251" s="32"/>
      <c r="T251" s="32"/>
      <c r="U251" s="26"/>
      <c r="V251" s="32"/>
    </row>
    <row r="252" hidden="1">
      <c r="A252" s="13">
        <v>251.0</v>
      </c>
      <c r="B252" s="15">
        <v>46127.0</v>
      </c>
      <c r="C252" s="13" t="s">
        <v>21</v>
      </c>
      <c r="D252" s="13" t="s">
        <v>24</v>
      </c>
      <c r="E252" s="20" t="s">
        <v>2010</v>
      </c>
      <c r="F252" s="13">
        <v>5.4325141E8</v>
      </c>
      <c r="G252" s="20" t="s">
        <v>319</v>
      </c>
      <c r="H252" s="13" t="s">
        <v>27</v>
      </c>
      <c r="I252" s="20" t="s">
        <v>2011</v>
      </c>
      <c r="J252" s="20"/>
      <c r="K252" s="13" t="s">
        <v>36</v>
      </c>
      <c r="L252" s="26"/>
      <c r="M252" s="27" t="s">
        <v>38</v>
      </c>
      <c r="N252" s="13" t="s">
        <v>40</v>
      </c>
      <c r="O252" s="13" t="s">
        <v>42</v>
      </c>
      <c r="P252" s="32"/>
      <c r="Q252" s="13" t="s">
        <v>44</v>
      </c>
      <c r="R252" s="13" t="s">
        <v>46</v>
      </c>
      <c r="S252" s="32"/>
      <c r="T252" s="32"/>
      <c r="U252" s="26"/>
      <c r="V252" s="32"/>
    </row>
    <row r="253" hidden="1">
      <c r="A253" s="13">
        <v>252.0</v>
      </c>
      <c r="B253" s="15">
        <v>46127.0</v>
      </c>
      <c r="C253" s="13" t="s">
        <v>58</v>
      </c>
      <c r="D253" s="13" t="s">
        <v>34</v>
      </c>
      <c r="E253" s="13" t="s">
        <v>27</v>
      </c>
      <c r="F253" s="13">
        <v>5.33000946E8</v>
      </c>
      <c r="G253" s="13" t="s">
        <v>27</v>
      </c>
      <c r="H253" s="13" t="s">
        <v>27</v>
      </c>
      <c r="I253" s="20" t="s">
        <v>298</v>
      </c>
      <c r="J253" s="20"/>
      <c r="K253" s="13" t="s">
        <v>36</v>
      </c>
      <c r="L253" s="26"/>
      <c r="M253" s="27" t="s">
        <v>88</v>
      </c>
      <c r="N253" s="13" t="s">
        <v>56</v>
      </c>
      <c r="O253" s="13" t="s">
        <v>42</v>
      </c>
      <c r="P253" s="32"/>
      <c r="Q253" s="13" t="s">
        <v>44</v>
      </c>
      <c r="R253" s="13" t="s">
        <v>68</v>
      </c>
      <c r="S253" s="32"/>
      <c r="T253" s="32"/>
      <c r="U253" s="26"/>
      <c r="V253" s="32"/>
    </row>
    <row r="254" ht="81.75" hidden="1" customHeight="1">
      <c r="A254" s="13">
        <v>253.0</v>
      </c>
      <c r="B254" s="125">
        <v>46127.0</v>
      </c>
      <c r="C254" s="108" t="s">
        <v>21</v>
      </c>
      <c r="D254" s="127" t="s">
        <v>48</v>
      </c>
      <c r="E254" s="129" t="s">
        <v>708</v>
      </c>
      <c r="F254" s="129">
        <v>5.35955663E8</v>
      </c>
      <c r="G254" s="129" t="s">
        <v>112</v>
      </c>
      <c r="H254" s="129" t="s">
        <v>113</v>
      </c>
      <c r="I254" s="130" t="s">
        <v>2029</v>
      </c>
      <c r="J254" s="85" t="s">
        <v>1631</v>
      </c>
      <c r="K254" s="129" t="s">
        <v>36</v>
      </c>
      <c r="L254" s="26"/>
      <c r="M254" s="27" t="s">
        <v>38</v>
      </c>
      <c r="N254" s="108" t="s">
        <v>56</v>
      </c>
      <c r="O254" s="108" t="s">
        <v>301</v>
      </c>
      <c r="P254" s="32"/>
      <c r="Q254" s="127" t="s">
        <v>44</v>
      </c>
      <c r="R254" s="13" t="s">
        <v>68</v>
      </c>
      <c r="S254" s="32"/>
      <c r="T254" s="32"/>
      <c r="U254" s="26"/>
      <c r="V254" s="32"/>
    </row>
    <row r="255" hidden="1">
      <c r="A255" s="13">
        <v>254.0</v>
      </c>
      <c r="B255" s="15">
        <v>46127.0</v>
      </c>
      <c r="C255" s="13" t="s">
        <v>47</v>
      </c>
      <c r="D255" s="13" t="s">
        <v>92</v>
      </c>
      <c r="E255" s="20" t="s">
        <v>1297</v>
      </c>
      <c r="F255" s="13">
        <v>5.51882582E8</v>
      </c>
      <c r="G255" s="20" t="s">
        <v>71</v>
      </c>
      <c r="H255" s="13" t="s">
        <v>94</v>
      </c>
      <c r="I255" s="20" t="s">
        <v>2037</v>
      </c>
      <c r="J255" s="20" t="s">
        <v>2038</v>
      </c>
      <c r="K255" s="13" t="s">
        <v>36</v>
      </c>
      <c r="L255" s="26"/>
      <c r="M255" s="27" t="s">
        <v>221</v>
      </c>
      <c r="N255" s="13" t="s">
        <v>56</v>
      </c>
      <c r="O255" s="13" t="s">
        <v>301</v>
      </c>
      <c r="P255" s="32"/>
      <c r="Q255" s="13" t="s">
        <v>44</v>
      </c>
      <c r="R255" s="13" t="s">
        <v>46</v>
      </c>
      <c r="S255" s="32"/>
      <c r="T255" s="32"/>
      <c r="U255" s="26"/>
      <c r="V255" s="32"/>
    </row>
    <row r="256" hidden="1">
      <c r="A256" s="13">
        <v>255.0</v>
      </c>
      <c r="B256" s="15">
        <v>46127.0</v>
      </c>
      <c r="C256" s="13" t="s">
        <v>21</v>
      </c>
      <c r="D256" s="13" t="s">
        <v>24</v>
      </c>
      <c r="E256" s="20" t="s">
        <v>2045</v>
      </c>
      <c r="F256" s="13">
        <v>5.0956444E8</v>
      </c>
      <c r="G256" s="20" t="s">
        <v>1318</v>
      </c>
      <c r="H256" s="13" t="s">
        <v>27</v>
      </c>
      <c r="I256" s="20" t="s">
        <v>2047</v>
      </c>
      <c r="J256" s="20"/>
      <c r="K256" s="13" t="s">
        <v>36</v>
      </c>
      <c r="L256" s="26"/>
      <c r="M256" s="27" t="s">
        <v>38</v>
      </c>
      <c r="N256" s="13" t="s">
        <v>40</v>
      </c>
      <c r="O256" s="13" t="s">
        <v>42</v>
      </c>
      <c r="P256" s="32"/>
      <c r="Q256" s="13" t="s">
        <v>44</v>
      </c>
      <c r="R256" s="13" t="s">
        <v>46</v>
      </c>
      <c r="S256" s="32"/>
      <c r="T256" s="32"/>
      <c r="U256" s="26"/>
      <c r="V256" s="32"/>
    </row>
    <row r="257" hidden="1">
      <c r="A257" s="13">
        <v>256.0</v>
      </c>
      <c r="B257" s="15">
        <v>46127.0</v>
      </c>
      <c r="C257" s="13" t="s">
        <v>21</v>
      </c>
      <c r="D257" s="13" t="s">
        <v>24</v>
      </c>
      <c r="E257" s="20" t="s">
        <v>2053</v>
      </c>
      <c r="F257" s="13">
        <v>5.40491317E8</v>
      </c>
      <c r="G257" s="20" t="s">
        <v>2055</v>
      </c>
      <c r="H257" s="13" t="s">
        <v>27</v>
      </c>
      <c r="I257" s="20" t="s">
        <v>2057</v>
      </c>
      <c r="J257" s="20"/>
      <c r="K257" s="13" t="s">
        <v>457</v>
      </c>
      <c r="L257" s="26"/>
      <c r="M257" s="27" t="s">
        <v>38</v>
      </c>
      <c r="N257" s="13" t="s">
        <v>40</v>
      </c>
      <c r="O257" s="13" t="s">
        <v>42</v>
      </c>
      <c r="P257" s="32"/>
      <c r="Q257" s="13" t="s">
        <v>44</v>
      </c>
      <c r="R257" s="13" t="s">
        <v>46</v>
      </c>
      <c r="S257" s="32"/>
      <c r="T257" s="32"/>
      <c r="U257" s="26"/>
      <c r="V257" s="32"/>
    </row>
    <row r="258" hidden="1">
      <c r="A258" s="13">
        <v>257.0</v>
      </c>
      <c r="B258" s="15">
        <v>46127.0</v>
      </c>
      <c r="C258" s="13" t="s">
        <v>58</v>
      </c>
      <c r="D258" s="13" t="s">
        <v>34</v>
      </c>
      <c r="E258" s="13" t="s">
        <v>27</v>
      </c>
      <c r="F258" s="13">
        <v>5.56464952E8</v>
      </c>
      <c r="G258" s="20" t="s">
        <v>28</v>
      </c>
      <c r="H258" s="13" t="s">
        <v>27</v>
      </c>
      <c r="I258" s="20" t="s">
        <v>298</v>
      </c>
      <c r="J258" s="20"/>
      <c r="K258" s="13" t="s">
        <v>36</v>
      </c>
      <c r="L258" s="26"/>
      <c r="M258" s="27" t="s">
        <v>88</v>
      </c>
      <c r="N258" s="13" t="s">
        <v>56</v>
      </c>
      <c r="O258" s="13" t="s">
        <v>42</v>
      </c>
      <c r="P258" s="32"/>
      <c r="Q258" s="13" t="s">
        <v>44</v>
      </c>
      <c r="R258" s="13" t="s">
        <v>68</v>
      </c>
      <c r="S258" s="32"/>
      <c r="T258" s="32"/>
      <c r="U258" s="26"/>
      <c r="V258" s="32"/>
    </row>
    <row r="259" hidden="1">
      <c r="A259" s="13">
        <v>258.0</v>
      </c>
      <c r="B259" s="15">
        <v>46127.0</v>
      </c>
      <c r="C259" s="13" t="s">
        <v>58</v>
      </c>
      <c r="D259" s="13" t="s">
        <v>60</v>
      </c>
      <c r="E259" s="20" t="s">
        <v>2067</v>
      </c>
      <c r="F259" s="13">
        <v>5.3130572E8</v>
      </c>
      <c r="G259" s="20" t="s">
        <v>79</v>
      </c>
      <c r="H259" s="13" t="s">
        <v>27</v>
      </c>
      <c r="I259" s="20" t="s">
        <v>2068</v>
      </c>
      <c r="J259" s="20" t="s">
        <v>35</v>
      </c>
      <c r="K259" s="13" t="s">
        <v>36</v>
      </c>
      <c r="L259" s="26"/>
      <c r="M259" s="27" t="s">
        <v>88</v>
      </c>
      <c r="N259" s="13" t="s">
        <v>56</v>
      </c>
      <c r="O259" s="13" t="s">
        <v>42</v>
      </c>
      <c r="P259" s="32"/>
      <c r="Q259" s="13" t="s">
        <v>49</v>
      </c>
      <c r="R259" s="13" t="s">
        <v>68</v>
      </c>
      <c r="S259" s="32"/>
      <c r="T259" s="32"/>
      <c r="U259" s="26"/>
      <c r="V259" s="32"/>
    </row>
    <row r="260" hidden="1">
      <c r="A260" s="13">
        <v>259.0</v>
      </c>
      <c r="B260" s="15">
        <v>46128.0</v>
      </c>
      <c r="C260" s="13" t="s">
        <v>58</v>
      </c>
      <c r="D260" s="13" t="s">
        <v>60</v>
      </c>
      <c r="E260" s="13" t="s">
        <v>27</v>
      </c>
      <c r="F260" s="55">
        <v>5.77641209E8</v>
      </c>
      <c r="G260" s="13" t="s">
        <v>27</v>
      </c>
      <c r="H260" s="13" t="s">
        <v>27</v>
      </c>
      <c r="I260" s="20" t="s">
        <v>2072</v>
      </c>
      <c r="J260" s="20"/>
      <c r="K260" s="13" t="s">
        <v>36</v>
      </c>
      <c r="L260" s="26"/>
      <c r="M260" s="27" t="s">
        <v>88</v>
      </c>
      <c r="N260" s="13" t="s">
        <v>56</v>
      </c>
      <c r="O260" s="13" t="s">
        <v>42</v>
      </c>
      <c r="P260" s="32"/>
      <c r="Q260" s="13" t="s">
        <v>44</v>
      </c>
      <c r="R260" s="13" t="s">
        <v>68</v>
      </c>
      <c r="S260" s="32"/>
      <c r="T260" s="32"/>
      <c r="U260" s="26"/>
      <c r="V260" s="32"/>
    </row>
    <row r="261" hidden="1">
      <c r="A261" s="13">
        <v>260.0</v>
      </c>
      <c r="B261" s="15">
        <v>46128.0</v>
      </c>
      <c r="C261" s="13" t="s">
        <v>21</v>
      </c>
      <c r="D261" s="13" t="s">
        <v>22</v>
      </c>
      <c r="E261" s="20" t="s">
        <v>2078</v>
      </c>
      <c r="F261" s="13">
        <v>5.00719784E8</v>
      </c>
      <c r="G261" s="20" t="s">
        <v>79</v>
      </c>
      <c r="H261" s="13" t="s">
        <v>27</v>
      </c>
      <c r="I261" s="20" t="s">
        <v>2081</v>
      </c>
      <c r="J261" s="20"/>
      <c r="K261" s="13" t="s">
        <v>65</v>
      </c>
      <c r="L261" s="26"/>
      <c r="M261" s="27" t="s">
        <v>38</v>
      </c>
      <c r="N261" s="13" t="s">
        <v>40</v>
      </c>
      <c r="O261" s="13" t="s">
        <v>42</v>
      </c>
      <c r="P261" s="32"/>
      <c r="Q261" s="13" t="s">
        <v>44</v>
      </c>
      <c r="R261" s="13" t="s">
        <v>46</v>
      </c>
      <c r="S261" s="32"/>
      <c r="T261" s="32"/>
      <c r="U261" s="26"/>
      <c r="V261" s="32"/>
    </row>
    <row r="262" hidden="1">
      <c r="A262" s="13">
        <v>261.0</v>
      </c>
      <c r="B262" s="15">
        <v>46128.0</v>
      </c>
      <c r="C262" s="13" t="s">
        <v>58</v>
      </c>
      <c r="D262" s="13" t="s">
        <v>60</v>
      </c>
      <c r="E262" s="13" t="s">
        <v>27</v>
      </c>
      <c r="F262" s="55">
        <v>5.33303482E8</v>
      </c>
      <c r="G262" s="13" t="s">
        <v>27</v>
      </c>
      <c r="H262" s="13" t="s">
        <v>27</v>
      </c>
      <c r="I262" s="20" t="s">
        <v>1945</v>
      </c>
      <c r="J262" s="20"/>
      <c r="K262" s="13" t="s">
        <v>65</v>
      </c>
      <c r="L262" s="26"/>
      <c r="M262" s="27" t="s">
        <v>88</v>
      </c>
      <c r="N262" s="13" t="s">
        <v>56</v>
      </c>
      <c r="O262" s="13" t="s">
        <v>42</v>
      </c>
      <c r="P262" s="32"/>
      <c r="Q262" s="13" t="s">
        <v>44</v>
      </c>
      <c r="R262" s="13" t="s">
        <v>68</v>
      </c>
      <c r="S262" s="32"/>
      <c r="T262" s="32"/>
      <c r="U262" s="26"/>
      <c r="V262" s="32"/>
    </row>
    <row r="263" hidden="1">
      <c r="A263" s="13">
        <v>262.0</v>
      </c>
      <c r="B263" s="15">
        <v>46128.0</v>
      </c>
      <c r="C263" s="13" t="s">
        <v>58</v>
      </c>
      <c r="D263" s="13" t="s">
        <v>60</v>
      </c>
      <c r="E263" s="13" t="s">
        <v>27</v>
      </c>
      <c r="F263" s="13">
        <v>5.07407296E8</v>
      </c>
      <c r="G263" s="13" t="s">
        <v>27</v>
      </c>
      <c r="H263" s="13" t="s">
        <v>27</v>
      </c>
      <c r="I263" s="20" t="s">
        <v>2093</v>
      </c>
      <c r="J263" s="20"/>
      <c r="K263" s="13" t="s">
        <v>65</v>
      </c>
      <c r="L263" s="26"/>
      <c r="M263" s="27" t="s">
        <v>88</v>
      </c>
      <c r="N263" s="13" t="s">
        <v>56</v>
      </c>
      <c r="O263" s="13" t="s">
        <v>42</v>
      </c>
      <c r="P263" s="32"/>
      <c r="Q263" s="13" t="s">
        <v>44</v>
      </c>
      <c r="R263" s="13" t="s">
        <v>68</v>
      </c>
      <c r="S263" s="32"/>
      <c r="T263" s="32"/>
      <c r="U263" s="26"/>
      <c r="V263" s="32"/>
    </row>
    <row r="264" hidden="1">
      <c r="A264" s="13">
        <v>263.0</v>
      </c>
      <c r="B264" s="15">
        <v>46128.0</v>
      </c>
      <c r="C264" s="13" t="s">
        <v>21</v>
      </c>
      <c r="D264" s="13" t="s">
        <v>57</v>
      </c>
      <c r="E264" s="20" t="s">
        <v>2097</v>
      </c>
      <c r="F264" s="55">
        <v>5.380437E8</v>
      </c>
      <c r="G264" s="13" t="s">
        <v>27</v>
      </c>
      <c r="H264" s="13" t="s">
        <v>27</v>
      </c>
      <c r="I264" s="58" t="s">
        <v>2098</v>
      </c>
      <c r="J264" s="20" t="s">
        <v>2099</v>
      </c>
      <c r="K264" s="13" t="s">
        <v>36</v>
      </c>
      <c r="L264" s="26"/>
      <c r="M264" s="27" t="s">
        <v>38</v>
      </c>
      <c r="N264" s="13" t="s">
        <v>56</v>
      </c>
      <c r="O264" s="13" t="s">
        <v>42</v>
      </c>
      <c r="P264" s="32"/>
      <c r="Q264" s="13" t="s">
        <v>44</v>
      </c>
      <c r="R264" s="13" t="s">
        <v>68</v>
      </c>
      <c r="S264" s="32"/>
      <c r="T264" s="32"/>
      <c r="U264" s="26"/>
      <c r="V264" s="32"/>
    </row>
    <row r="265" hidden="1">
      <c r="A265" s="13">
        <v>264.0</v>
      </c>
      <c r="B265" s="15">
        <v>46128.0</v>
      </c>
      <c r="C265" s="13" t="s">
        <v>47</v>
      </c>
      <c r="D265" s="13" t="s">
        <v>48</v>
      </c>
      <c r="E265" s="20" t="s">
        <v>1911</v>
      </c>
      <c r="F265" s="13">
        <v>5.53553469E8</v>
      </c>
      <c r="G265" s="20" t="s">
        <v>152</v>
      </c>
      <c r="H265" s="13" t="s">
        <v>272</v>
      </c>
      <c r="I265" s="20" t="s">
        <v>2104</v>
      </c>
      <c r="J265" s="20"/>
      <c r="K265" s="13" t="s">
        <v>148</v>
      </c>
      <c r="L265" s="26"/>
      <c r="M265" s="27" t="s">
        <v>55</v>
      </c>
      <c r="N265" s="13" t="s">
        <v>56</v>
      </c>
      <c r="O265" s="13" t="s">
        <v>42</v>
      </c>
      <c r="P265" s="32"/>
      <c r="Q265" s="13" t="s">
        <v>44</v>
      </c>
      <c r="R265" s="13" t="s">
        <v>46</v>
      </c>
      <c r="S265" s="32"/>
      <c r="T265" s="32"/>
      <c r="U265" s="26"/>
      <c r="V265" s="32"/>
    </row>
    <row r="266" hidden="1">
      <c r="A266" s="13">
        <v>265.0</v>
      </c>
      <c r="B266" s="15">
        <v>46128.0</v>
      </c>
      <c r="C266" s="13" t="s">
        <v>47</v>
      </c>
      <c r="D266" s="13" t="s">
        <v>138</v>
      </c>
      <c r="E266" s="13" t="s">
        <v>2110</v>
      </c>
      <c r="F266" s="13">
        <v>5.00979542E8</v>
      </c>
      <c r="G266" s="20" t="s">
        <v>333</v>
      </c>
      <c r="H266" s="13" t="s">
        <v>1114</v>
      </c>
      <c r="I266" s="20" t="s">
        <v>2113</v>
      </c>
      <c r="J266" s="20" t="s">
        <v>2115</v>
      </c>
      <c r="K266" s="13" t="s">
        <v>148</v>
      </c>
      <c r="L266" s="26"/>
      <c r="M266" s="27" t="s">
        <v>55</v>
      </c>
      <c r="N266" s="13" t="s">
        <v>56</v>
      </c>
      <c r="O266" s="13" t="s">
        <v>42</v>
      </c>
      <c r="P266" s="32"/>
      <c r="Q266" s="13" t="s">
        <v>44</v>
      </c>
      <c r="R266" s="13" t="s">
        <v>46</v>
      </c>
      <c r="S266" s="32"/>
      <c r="T266" s="32"/>
      <c r="U266" s="26"/>
      <c r="V266" s="32"/>
    </row>
    <row r="267" hidden="1">
      <c r="A267" s="13">
        <v>266.0</v>
      </c>
      <c r="B267" s="15">
        <v>46128.0</v>
      </c>
      <c r="C267" s="13" t="s">
        <v>47</v>
      </c>
      <c r="D267" s="13" t="s">
        <v>92</v>
      </c>
      <c r="E267" s="20" t="s">
        <v>1339</v>
      </c>
      <c r="F267" s="13">
        <v>5.54106909E8</v>
      </c>
      <c r="G267" s="20" t="s">
        <v>71</v>
      </c>
      <c r="H267" s="13" t="s">
        <v>1801</v>
      </c>
      <c r="I267" s="20" t="s">
        <v>2118</v>
      </c>
      <c r="J267" s="20"/>
      <c r="K267" s="13" t="s">
        <v>148</v>
      </c>
      <c r="L267" s="26"/>
      <c r="M267" s="27" t="s">
        <v>953</v>
      </c>
      <c r="N267" s="13" t="s">
        <v>40</v>
      </c>
      <c r="O267" s="13" t="s">
        <v>42</v>
      </c>
      <c r="P267" s="32"/>
      <c r="Q267" s="13" t="s">
        <v>44</v>
      </c>
      <c r="R267" s="13" t="s">
        <v>46</v>
      </c>
      <c r="S267" s="32"/>
      <c r="T267" s="32"/>
      <c r="U267" s="26"/>
      <c r="V267" s="32"/>
    </row>
    <row r="268" hidden="1">
      <c r="A268" s="13">
        <v>267.0</v>
      </c>
      <c r="B268" s="15">
        <v>46128.0</v>
      </c>
      <c r="C268" s="13" t="s">
        <v>47</v>
      </c>
      <c r="D268" s="13" t="s">
        <v>138</v>
      </c>
      <c r="E268" s="20" t="s">
        <v>463</v>
      </c>
      <c r="F268" s="13">
        <v>5.81200151E8</v>
      </c>
      <c r="G268" s="20" t="s">
        <v>79</v>
      </c>
      <c r="H268" s="13" t="s">
        <v>239</v>
      </c>
      <c r="I268" s="20" t="s">
        <v>2126</v>
      </c>
      <c r="J268" s="20" t="s">
        <v>2128</v>
      </c>
      <c r="K268" s="13" t="s">
        <v>148</v>
      </c>
      <c r="L268" s="26"/>
      <c r="M268" s="27" t="s">
        <v>55</v>
      </c>
      <c r="N268" s="13" t="s">
        <v>56</v>
      </c>
      <c r="O268" s="13" t="s">
        <v>42</v>
      </c>
      <c r="P268" s="32"/>
      <c r="Q268" s="13" t="s">
        <v>44</v>
      </c>
      <c r="R268" s="13" t="s">
        <v>46</v>
      </c>
      <c r="S268" s="32"/>
      <c r="T268" s="32"/>
      <c r="U268" s="26"/>
      <c r="V268" s="32"/>
    </row>
    <row r="269" hidden="1">
      <c r="A269" s="13">
        <v>268.0</v>
      </c>
      <c r="B269" s="15">
        <v>46128.0</v>
      </c>
      <c r="C269" s="13" t="s">
        <v>47</v>
      </c>
      <c r="D269" s="13" t="s">
        <v>92</v>
      </c>
      <c r="E269" s="20" t="s">
        <v>2133</v>
      </c>
      <c r="F269" s="13">
        <v>5.55701458E8</v>
      </c>
      <c r="G269" s="20" t="s">
        <v>79</v>
      </c>
      <c r="H269" s="13" t="s">
        <v>1169</v>
      </c>
      <c r="I269" s="20" t="s">
        <v>2136</v>
      </c>
      <c r="J269" s="20" t="s">
        <v>2137</v>
      </c>
      <c r="K269" s="13" t="s">
        <v>36</v>
      </c>
      <c r="L269" s="26"/>
      <c r="M269" s="27" t="s">
        <v>55</v>
      </c>
      <c r="N269" s="13" t="s">
        <v>56</v>
      </c>
      <c r="O269" s="13" t="s">
        <v>42</v>
      </c>
      <c r="P269" s="32"/>
      <c r="Q269" s="13" t="s">
        <v>44</v>
      </c>
      <c r="R269" s="13" t="s">
        <v>46</v>
      </c>
      <c r="S269" s="32"/>
      <c r="T269" s="32"/>
      <c r="U269" s="26"/>
      <c r="V269" s="32"/>
    </row>
    <row r="270" hidden="1">
      <c r="A270" s="13">
        <v>269.0</v>
      </c>
      <c r="B270" s="15">
        <v>46128.0</v>
      </c>
      <c r="C270" s="13" t="s">
        <v>21</v>
      </c>
      <c r="D270" s="13" t="s">
        <v>57</v>
      </c>
      <c r="E270" s="20" t="s">
        <v>2141</v>
      </c>
      <c r="F270" s="13">
        <v>5.3199444E8</v>
      </c>
      <c r="G270" s="20" t="s">
        <v>2142</v>
      </c>
      <c r="H270" s="13" t="s">
        <v>27</v>
      </c>
      <c r="I270" s="20" t="s">
        <v>2144</v>
      </c>
      <c r="J270" s="20"/>
      <c r="K270" s="13" t="s">
        <v>36</v>
      </c>
      <c r="L270" s="26"/>
      <c r="M270" s="27" t="s">
        <v>38</v>
      </c>
      <c r="N270" s="13" t="s">
        <v>56</v>
      </c>
      <c r="O270" s="13" t="s">
        <v>42</v>
      </c>
      <c r="P270" s="32"/>
      <c r="Q270" s="13" t="s">
        <v>44</v>
      </c>
      <c r="R270" s="13" t="s">
        <v>68</v>
      </c>
      <c r="S270" s="32"/>
      <c r="T270" s="32"/>
      <c r="U270" s="26"/>
      <c r="V270" s="32"/>
    </row>
    <row r="271" ht="80.25" hidden="1" customHeight="1">
      <c r="A271" s="13">
        <v>270.0</v>
      </c>
      <c r="B271" s="15">
        <v>46128.0</v>
      </c>
      <c r="C271" s="13" t="s">
        <v>47</v>
      </c>
      <c r="D271" s="13" t="s">
        <v>367</v>
      </c>
      <c r="E271" s="20" t="s">
        <v>2150</v>
      </c>
      <c r="F271" s="13">
        <v>5.5306782E8</v>
      </c>
      <c r="G271" s="20" t="s">
        <v>79</v>
      </c>
      <c r="H271" s="13" t="s">
        <v>431</v>
      </c>
      <c r="I271" s="20" t="s">
        <v>2151</v>
      </c>
      <c r="J271" s="20" t="s">
        <v>2153</v>
      </c>
      <c r="K271" s="13" t="s">
        <v>36</v>
      </c>
      <c r="L271" s="26"/>
      <c r="M271" s="27" t="s">
        <v>795</v>
      </c>
      <c r="N271" s="13" t="s">
        <v>56</v>
      </c>
      <c r="O271" s="13" t="s">
        <v>42</v>
      </c>
      <c r="P271" s="32"/>
      <c r="Q271" s="13" t="s">
        <v>49</v>
      </c>
      <c r="R271" s="13" t="s">
        <v>46</v>
      </c>
      <c r="S271" s="32"/>
      <c r="T271" s="32"/>
      <c r="U271" s="26"/>
      <c r="V271" s="32"/>
    </row>
    <row r="272" hidden="1">
      <c r="A272" s="13">
        <v>271.0</v>
      </c>
      <c r="B272" s="15">
        <v>46128.0</v>
      </c>
      <c r="C272" s="13" t="s">
        <v>58</v>
      </c>
      <c r="D272" s="13" t="s">
        <v>60</v>
      </c>
      <c r="E272" s="20" t="s">
        <v>1103</v>
      </c>
      <c r="F272" s="13">
        <v>5.59191669E8</v>
      </c>
      <c r="G272" s="13" t="s">
        <v>27</v>
      </c>
      <c r="H272" s="13" t="s">
        <v>27</v>
      </c>
      <c r="I272" s="20" t="s">
        <v>2161</v>
      </c>
      <c r="J272" s="20" t="s">
        <v>2162</v>
      </c>
      <c r="K272" s="13" t="s">
        <v>65</v>
      </c>
      <c r="L272" s="26"/>
      <c r="M272" s="27" t="s">
        <v>88</v>
      </c>
      <c r="N272" s="13" t="s">
        <v>56</v>
      </c>
      <c r="O272" s="13" t="s">
        <v>42</v>
      </c>
      <c r="P272" s="32"/>
      <c r="Q272" s="13" t="s">
        <v>44</v>
      </c>
      <c r="R272" s="13" t="s">
        <v>68</v>
      </c>
      <c r="S272" s="32"/>
      <c r="T272" s="32"/>
      <c r="U272" s="26"/>
      <c r="V272" s="32"/>
    </row>
    <row r="273" hidden="1">
      <c r="A273" s="13">
        <v>272.0</v>
      </c>
      <c r="B273" s="15">
        <v>46128.0</v>
      </c>
      <c r="C273" s="13" t="s">
        <v>58</v>
      </c>
      <c r="D273" s="13" t="s">
        <v>60</v>
      </c>
      <c r="E273" s="13" t="s">
        <v>27</v>
      </c>
      <c r="F273" s="13">
        <v>5.98409811E8</v>
      </c>
      <c r="G273" s="13" t="s">
        <v>27</v>
      </c>
      <c r="H273" s="13" t="s">
        <v>27</v>
      </c>
      <c r="I273" s="20" t="s">
        <v>2169</v>
      </c>
      <c r="J273" s="20"/>
      <c r="K273" s="13" t="s">
        <v>65</v>
      </c>
      <c r="L273" s="26"/>
      <c r="M273" s="27" t="s">
        <v>38</v>
      </c>
      <c r="N273" s="13" t="s">
        <v>56</v>
      </c>
      <c r="O273" s="13" t="s">
        <v>42</v>
      </c>
      <c r="P273" s="32"/>
      <c r="Q273" s="13" t="s">
        <v>44</v>
      </c>
      <c r="R273" s="13" t="s">
        <v>68</v>
      </c>
      <c r="S273" s="32"/>
      <c r="T273" s="32"/>
      <c r="U273" s="26"/>
      <c r="V273" s="32"/>
    </row>
    <row r="274" hidden="1">
      <c r="A274" s="13">
        <v>273.0</v>
      </c>
      <c r="B274" s="15">
        <v>46128.0</v>
      </c>
      <c r="C274" s="13" t="s">
        <v>21</v>
      </c>
      <c r="D274" s="13" t="s">
        <v>22</v>
      </c>
      <c r="E274" s="20" t="s">
        <v>2177</v>
      </c>
      <c r="F274" s="13">
        <v>5.02857185E8</v>
      </c>
      <c r="G274" s="20" t="s">
        <v>152</v>
      </c>
      <c r="H274" s="13" t="s">
        <v>27</v>
      </c>
      <c r="I274" s="20" t="s">
        <v>2179</v>
      </c>
      <c r="J274" s="20"/>
      <c r="K274" s="13" t="s">
        <v>65</v>
      </c>
      <c r="L274" s="26"/>
      <c r="M274" s="27" t="s">
        <v>38</v>
      </c>
      <c r="N274" s="13" t="s">
        <v>40</v>
      </c>
      <c r="O274" s="13" t="s">
        <v>42</v>
      </c>
      <c r="P274" s="32"/>
      <c r="Q274" s="13" t="s">
        <v>44</v>
      </c>
      <c r="R274" s="13" t="s">
        <v>46</v>
      </c>
      <c r="S274" s="32"/>
      <c r="T274" s="32"/>
      <c r="U274" s="26"/>
      <c r="V274" s="32"/>
    </row>
    <row r="275" hidden="1">
      <c r="A275" s="13">
        <v>274.0</v>
      </c>
      <c r="B275" s="15">
        <v>46128.0</v>
      </c>
      <c r="C275" s="13" t="s">
        <v>58</v>
      </c>
      <c r="D275" s="13" t="s">
        <v>34</v>
      </c>
      <c r="E275" s="13" t="s">
        <v>27</v>
      </c>
      <c r="F275" s="13">
        <v>5.06268593E8</v>
      </c>
      <c r="G275" s="13" t="s">
        <v>27</v>
      </c>
      <c r="H275" s="13" t="s">
        <v>27</v>
      </c>
      <c r="I275" s="20" t="s">
        <v>298</v>
      </c>
      <c r="J275" s="20"/>
      <c r="K275" s="13" t="s">
        <v>65</v>
      </c>
      <c r="L275" s="26"/>
      <c r="M275" s="27" t="s">
        <v>88</v>
      </c>
      <c r="N275" s="13" t="s">
        <v>56</v>
      </c>
      <c r="O275" s="13" t="s">
        <v>42</v>
      </c>
      <c r="P275" s="32"/>
      <c r="Q275" s="13" t="s">
        <v>44</v>
      </c>
      <c r="R275" s="13" t="s">
        <v>68</v>
      </c>
      <c r="S275" s="32"/>
      <c r="T275" s="32"/>
      <c r="U275" s="26"/>
      <c r="V275" s="32"/>
    </row>
    <row r="276" hidden="1">
      <c r="A276" s="13">
        <v>275.0</v>
      </c>
      <c r="B276" s="15">
        <v>46128.0</v>
      </c>
      <c r="C276" s="13" t="s">
        <v>58</v>
      </c>
      <c r="D276" s="13" t="s">
        <v>60</v>
      </c>
      <c r="E276" s="20" t="s">
        <v>1103</v>
      </c>
      <c r="F276" s="13">
        <v>5.37846492E8</v>
      </c>
      <c r="G276" s="13"/>
      <c r="H276" s="13" t="s">
        <v>27</v>
      </c>
      <c r="I276" s="20" t="s">
        <v>2161</v>
      </c>
      <c r="J276" s="20" t="s">
        <v>2162</v>
      </c>
      <c r="K276" s="13" t="s">
        <v>65</v>
      </c>
      <c r="L276" s="26"/>
      <c r="M276" s="27" t="s">
        <v>88</v>
      </c>
      <c r="N276" s="13" t="s">
        <v>56</v>
      </c>
      <c r="O276" s="13" t="s">
        <v>42</v>
      </c>
      <c r="P276" s="32"/>
      <c r="Q276" s="13" t="s">
        <v>44</v>
      </c>
      <c r="R276" s="13" t="s">
        <v>68</v>
      </c>
      <c r="S276" s="32"/>
      <c r="T276" s="32"/>
      <c r="U276" s="26"/>
      <c r="V276" s="32"/>
    </row>
    <row r="277" hidden="1">
      <c r="A277" s="13">
        <v>276.0</v>
      </c>
      <c r="B277" s="15">
        <v>46128.0</v>
      </c>
      <c r="C277" s="13" t="s">
        <v>58</v>
      </c>
      <c r="D277" s="13" t="s">
        <v>60</v>
      </c>
      <c r="E277" s="20" t="s">
        <v>842</v>
      </c>
      <c r="F277" s="13">
        <v>5.5674676E8</v>
      </c>
      <c r="G277" s="13" t="s">
        <v>27</v>
      </c>
      <c r="H277" s="13" t="s">
        <v>27</v>
      </c>
      <c r="I277" s="20" t="s">
        <v>2194</v>
      </c>
      <c r="J277" s="20"/>
      <c r="K277" s="13" t="s">
        <v>36</v>
      </c>
      <c r="L277" s="26"/>
      <c r="M277" s="27" t="s">
        <v>88</v>
      </c>
      <c r="N277" s="13" t="s">
        <v>56</v>
      </c>
      <c r="O277" s="13" t="s">
        <v>42</v>
      </c>
      <c r="P277" s="32"/>
      <c r="Q277" s="13" t="s">
        <v>44</v>
      </c>
      <c r="R277" s="13" t="s">
        <v>68</v>
      </c>
      <c r="S277" s="32"/>
      <c r="T277" s="32"/>
      <c r="U277" s="26"/>
      <c r="V277" s="32"/>
    </row>
    <row r="278" hidden="1">
      <c r="A278" s="13">
        <v>277.0</v>
      </c>
      <c r="B278" s="15">
        <v>46131.0</v>
      </c>
      <c r="C278" s="13" t="s">
        <v>58</v>
      </c>
      <c r="D278" s="13" t="s">
        <v>60</v>
      </c>
      <c r="E278" s="13" t="s">
        <v>27</v>
      </c>
      <c r="F278" s="55">
        <v>5.3137687E8</v>
      </c>
      <c r="G278" s="13"/>
      <c r="H278" s="13" t="s">
        <v>27</v>
      </c>
      <c r="I278" s="13" t="s">
        <v>2201</v>
      </c>
      <c r="J278" s="20" t="s">
        <v>2202</v>
      </c>
      <c r="K278" s="13" t="s">
        <v>65</v>
      </c>
      <c r="L278" s="26"/>
      <c r="M278" s="27" t="s">
        <v>88</v>
      </c>
      <c r="N278" s="13" t="s">
        <v>56</v>
      </c>
      <c r="O278" s="13" t="s">
        <v>42</v>
      </c>
      <c r="P278" s="32"/>
      <c r="Q278" s="13" t="s">
        <v>44</v>
      </c>
      <c r="R278" s="13" t="s">
        <v>68</v>
      </c>
      <c r="S278" s="32"/>
      <c r="T278" s="32"/>
      <c r="U278" s="26"/>
      <c r="V278" s="32"/>
    </row>
    <row r="279" hidden="1">
      <c r="A279" s="13">
        <v>278.0</v>
      </c>
      <c r="B279" s="15">
        <v>46131.0</v>
      </c>
      <c r="C279" s="13" t="s">
        <v>21</v>
      </c>
      <c r="D279" s="13" t="s">
        <v>24</v>
      </c>
      <c r="E279" s="20" t="s">
        <v>2210</v>
      </c>
      <c r="F279" s="13">
        <v>5.4717376E8</v>
      </c>
      <c r="G279" s="20" t="s">
        <v>152</v>
      </c>
      <c r="H279" s="13" t="s">
        <v>27</v>
      </c>
      <c r="I279" s="20" t="s">
        <v>2212</v>
      </c>
      <c r="J279" s="20"/>
      <c r="K279" s="13" t="s">
        <v>36</v>
      </c>
      <c r="L279" s="26"/>
      <c r="M279" s="27" t="s">
        <v>38</v>
      </c>
      <c r="N279" s="13" t="s">
        <v>40</v>
      </c>
      <c r="O279" s="13" t="s">
        <v>42</v>
      </c>
      <c r="P279" s="32"/>
      <c r="Q279" s="13" t="s">
        <v>44</v>
      </c>
      <c r="R279" s="13" t="s">
        <v>46</v>
      </c>
      <c r="S279" s="32"/>
      <c r="T279" s="32"/>
      <c r="U279" s="26"/>
      <c r="V279" s="32"/>
    </row>
    <row r="280" hidden="1">
      <c r="A280" s="13">
        <v>279.0</v>
      </c>
      <c r="B280" s="15">
        <v>46131.0</v>
      </c>
      <c r="C280" s="13" t="s">
        <v>58</v>
      </c>
      <c r="D280" s="13" t="s">
        <v>60</v>
      </c>
      <c r="E280" s="13" t="s">
        <v>27</v>
      </c>
      <c r="F280" s="55">
        <v>5.55652313E8</v>
      </c>
      <c r="G280" s="20" t="s">
        <v>71</v>
      </c>
      <c r="H280" s="13" t="s">
        <v>72</v>
      </c>
      <c r="I280" s="20" t="s">
        <v>2218</v>
      </c>
      <c r="J280" s="20" t="s">
        <v>2219</v>
      </c>
      <c r="K280" s="13" t="s">
        <v>65</v>
      </c>
      <c r="L280" s="26"/>
      <c r="M280" s="27" t="s">
        <v>88</v>
      </c>
      <c r="N280" s="13" t="s">
        <v>56</v>
      </c>
      <c r="O280" s="13" t="s">
        <v>42</v>
      </c>
      <c r="P280" s="32"/>
      <c r="Q280" s="13" t="s">
        <v>44</v>
      </c>
      <c r="R280" s="13" t="s">
        <v>68</v>
      </c>
      <c r="S280" s="32"/>
      <c r="T280" s="32"/>
      <c r="U280" s="26"/>
      <c r="V280" s="32"/>
    </row>
    <row r="281" hidden="1">
      <c r="A281" s="13">
        <v>280.0</v>
      </c>
      <c r="B281" s="15">
        <v>46131.0</v>
      </c>
      <c r="C281" s="13" t="s">
        <v>47</v>
      </c>
      <c r="D281" s="13" t="s">
        <v>48</v>
      </c>
      <c r="E281" s="20" t="s">
        <v>2224</v>
      </c>
      <c r="F281" s="13">
        <v>5.45402629E8</v>
      </c>
      <c r="G281" s="20" t="s">
        <v>41</v>
      </c>
      <c r="H281" s="13" t="s">
        <v>222</v>
      </c>
      <c r="I281" s="20" t="s">
        <v>2225</v>
      </c>
      <c r="J281" s="20"/>
      <c r="K281" s="13" t="s">
        <v>65</v>
      </c>
      <c r="L281" s="26"/>
      <c r="M281" s="75" t="s">
        <v>555</v>
      </c>
      <c r="N281" s="13" t="s">
        <v>56</v>
      </c>
      <c r="O281" s="13" t="s">
        <v>42</v>
      </c>
      <c r="P281" s="32"/>
      <c r="Q281" s="13" t="s">
        <v>44</v>
      </c>
      <c r="R281" s="13" t="s">
        <v>46</v>
      </c>
      <c r="S281" s="32"/>
      <c r="T281" s="32"/>
      <c r="U281" s="26"/>
      <c r="V281" s="32"/>
    </row>
    <row r="282" hidden="1">
      <c r="A282" s="13">
        <v>281.0</v>
      </c>
      <c r="B282" s="15">
        <v>46131.0</v>
      </c>
      <c r="C282" s="13" t="s">
        <v>47</v>
      </c>
      <c r="D282" s="13" t="s">
        <v>48</v>
      </c>
      <c r="E282" s="20" t="s">
        <v>2231</v>
      </c>
      <c r="F282" s="13">
        <v>5.34511354E8</v>
      </c>
      <c r="G282" s="20" t="s">
        <v>41</v>
      </c>
      <c r="H282" s="13" t="s">
        <v>1751</v>
      </c>
      <c r="I282" s="60" t="s">
        <v>2233</v>
      </c>
      <c r="J282" s="20"/>
      <c r="K282" s="13" t="s">
        <v>65</v>
      </c>
      <c r="L282" s="26"/>
      <c r="M282" s="27" t="s">
        <v>55</v>
      </c>
      <c r="N282" s="13" t="s">
        <v>56</v>
      </c>
      <c r="O282" s="13" t="s">
        <v>42</v>
      </c>
      <c r="P282" s="32"/>
      <c r="Q282" s="13" t="s">
        <v>44</v>
      </c>
      <c r="R282" s="13" t="s">
        <v>46</v>
      </c>
      <c r="S282" s="32"/>
      <c r="T282" s="32"/>
      <c r="U282" s="26"/>
      <c r="V282" s="32"/>
    </row>
    <row r="283" hidden="1">
      <c r="A283" s="13">
        <v>282.0</v>
      </c>
      <c r="B283" s="15">
        <v>46131.0</v>
      </c>
      <c r="C283" s="13" t="s">
        <v>58</v>
      </c>
      <c r="D283" s="13" t="s">
        <v>60</v>
      </c>
      <c r="E283" s="13" t="s">
        <v>27</v>
      </c>
      <c r="F283" s="13">
        <v>5.51945038E8</v>
      </c>
      <c r="G283" s="13" t="s">
        <v>27</v>
      </c>
      <c r="H283" s="13" t="s">
        <v>27</v>
      </c>
      <c r="I283" s="20" t="s">
        <v>2237</v>
      </c>
      <c r="J283" s="20"/>
      <c r="K283" s="13" t="s">
        <v>65</v>
      </c>
      <c r="L283" s="26"/>
      <c r="M283" s="27" t="s">
        <v>88</v>
      </c>
      <c r="N283" s="13" t="s">
        <v>56</v>
      </c>
      <c r="O283" s="13" t="s">
        <v>42</v>
      </c>
      <c r="P283" s="32"/>
      <c r="Q283" s="13" t="s">
        <v>44</v>
      </c>
      <c r="R283" s="13" t="s">
        <v>68</v>
      </c>
      <c r="S283" s="32"/>
      <c r="T283" s="32"/>
      <c r="U283" s="26"/>
      <c r="V283" s="32"/>
    </row>
    <row r="284" hidden="1">
      <c r="A284" s="13">
        <v>283.0</v>
      </c>
      <c r="B284" s="15">
        <v>46131.0</v>
      </c>
      <c r="C284" s="13" t="s">
        <v>58</v>
      </c>
      <c r="D284" s="13" t="s">
        <v>34</v>
      </c>
      <c r="E284" s="13" t="s">
        <v>27</v>
      </c>
      <c r="F284" s="55">
        <v>5.33000946E8</v>
      </c>
      <c r="G284" s="13" t="s">
        <v>27</v>
      </c>
      <c r="H284" s="13" t="s">
        <v>27</v>
      </c>
      <c r="I284" s="20" t="s">
        <v>2240</v>
      </c>
      <c r="J284" s="20" t="s">
        <v>500</v>
      </c>
      <c r="K284" s="13" t="s">
        <v>65</v>
      </c>
      <c r="L284" s="26"/>
      <c r="M284" s="27" t="s">
        <v>88</v>
      </c>
      <c r="N284" s="13" t="s">
        <v>56</v>
      </c>
      <c r="O284" s="13" t="s">
        <v>42</v>
      </c>
      <c r="P284" s="32"/>
      <c r="Q284" s="13" t="s">
        <v>44</v>
      </c>
      <c r="R284" s="13" t="s">
        <v>68</v>
      </c>
      <c r="S284" s="32"/>
      <c r="T284" s="32"/>
      <c r="U284" s="26"/>
      <c r="V284" s="32"/>
    </row>
    <row r="285" hidden="1">
      <c r="A285" s="13">
        <v>284.0</v>
      </c>
      <c r="B285" s="15">
        <v>46131.0</v>
      </c>
      <c r="C285" s="13" t="s">
        <v>58</v>
      </c>
      <c r="D285" s="13" t="s">
        <v>60</v>
      </c>
      <c r="E285" s="20" t="s">
        <v>2241</v>
      </c>
      <c r="F285" s="13">
        <v>5.04657923E8</v>
      </c>
      <c r="G285" s="20" t="s">
        <v>71</v>
      </c>
      <c r="H285" s="13"/>
      <c r="I285" s="20" t="s">
        <v>2243</v>
      </c>
      <c r="J285" s="20"/>
      <c r="K285" s="13" t="s">
        <v>65</v>
      </c>
      <c r="L285" s="26"/>
      <c r="M285" s="27" t="s">
        <v>38</v>
      </c>
      <c r="N285" s="13" t="s">
        <v>56</v>
      </c>
      <c r="O285" s="13" t="s">
        <v>42</v>
      </c>
      <c r="P285" s="32"/>
      <c r="Q285" s="13" t="s">
        <v>44</v>
      </c>
      <c r="R285" s="13" t="s">
        <v>68</v>
      </c>
      <c r="S285" s="32"/>
      <c r="T285" s="32"/>
      <c r="U285" s="26"/>
      <c r="V285" s="32"/>
    </row>
    <row r="286" hidden="1">
      <c r="A286" s="13">
        <v>285.0</v>
      </c>
      <c r="B286" s="15">
        <v>46131.0</v>
      </c>
      <c r="C286" s="13" t="s">
        <v>58</v>
      </c>
      <c r="D286" s="13" t="s">
        <v>60</v>
      </c>
      <c r="E286" s="13" t="s">
        <v>27</v>
      </c>
      <c r="F286" s="13">
        <v>5.97927284E8</v>
      </c>
      <c r="G286" s="20" t="s">
        <v>71</v>
      </c>
      <c r="H286" s="13" t="s">
        <v>72</v>
      </c>
      <c r="I286" s="20" t="s">
        <v>2248</v>
      </c>
      <c r="J286" s="20" t="s">
        <v>2249</v>
      </c>
      <c r="K286" s="13" t="s">
        <v>65</v>
      </c>
      <c r="L286" s="26"/>
      <c r="M286" s="27" t="s">
        <v>88</v>
      </c>
      <c r="N286" s="13" t="s">
        <v>56</v>
      </c>
      <c r="O286" s="13" t="s">
        <v>42</v>
      </c>
      <c r="P286" s="32"/>
      <c r="Q286" s="13" t="s">
        <v>44</v>
      </c>
      <c r="R286" s="13" t="s">
        <v>68</v>
      </c>
      <c r="S286" s="32"/>
      <c r="T286" s="32"/>
      <c r="U286" s="26"/>
      <c r="V286" s="32"/>
    </row>
    <row r="287" hidden="1">
      <c r="A287" s="13">
        <v>286.0</v>
      </c>
      <c r="B287" s="15">
        <v>46131.0</v>
      </c>
      <c r="C287" s="13" t="s">
        <v>58</v>
      </c>
      <c r="D287" s="13" t="s">
        <v>60</v>
      </c>
      <c r="E287" s="13" t="s">
        <v>27</v>
      </c>
      <c r="F287" s="13">
        <v>5.03636866E8</v>
      </c>
      <c r="G287" s="13" t="s">
        <v>27</v>
      </c>
      <c r="H287" s="13" t="s">
        <v>27</v>
      </c>
      <c r="I287" s="20" t="s">
        <v>2254</v>
      </c>
      <c r="J287" s="20"/>
      <c r="K287" s="13" t="s">
        <v>65</v>
      </c>
      <c r="L287" s="26"/>
      <c r="M287" s="27" t="s">
        <v>88</v>
      </c>
      <c r="N287" s="13" t="s">
        <v>56</v>
      </c>
      <c r="O287" s="13" t="s">
        <v>42</v>
      </c>
      <c r="P287" s="32"/>
      <c r="Q287" s="13" t="s">
        <v>44</v>
      </c>
      <c r="R287" s="13" t="s">
        <v>68</v>
      </c>
      <c r="S287" s="32"/>
      <c r="T287" s="32"/>
      <c r="U287" s="26"/>
      <c r="V287" s="32"/>
    </row>
    <row r="288" hidden="1">
      <c r="A288" s="13">
        <v>287.0</v>
      </c>
      <c r="B288" s="15">
        <v>46131.0</v>
      </c>
      <c r="C288" s="13" t="s">
        <v>58</v>
      </c>
      <c r="D288" s="13" t="s">
        <v>60</v>
      </c>
      <c r="E288" s="13" t="s">
        <v>27</v>
      </c>
      <c r="F288" s="55">
        <v>5.04122022E8</v>
      </c>
      <c r="G288" s="13" t="s">
        <v>27</v>
      </c>
      <c r="H288" s="13" t="s">
        <v>27</v>
      </c>
      <c r="I288" s="20" t="s">
        <v>2264</v>
      </c>
      <c r="J288" s="20"/>
      <c r="K288" s="13" t="s">
        <v>65</v>
      </c>
      <c r="L288" s="26"/>
      <c r="M288" s="27" t="s">
        <v>38</v>
      </c>
      <c r="N288" s="13" t="s">
        <v>56</v>
      </c>
      <c r="O288" s="13" t="s">
        <v>42</v>
      </c>
      <c r="P288" s="32"/>
      <c r="Q288" s="13" t="s">
        <v>44</v>
      </c>
      <c r="R288" s="13" t="s">
        <v>68</v>
      </c>
      <c r="S288" s="32"/>
      <c r="T288" s="32"/>
      <c r="U288" s="26"/>
      <c r="V288" s="32"/>
    </row>
    <row r="289" hidden="1">
      <c r="A289" s="13">
        <v>288.0</v>
      </c>
      <c r="B289" s="15">
        <v>46131.0</v>
      </c>
      <c r="C289" s="13" t="s">
        <v>58</v>
      </c>
      <c r="D289" s="13" t="s">
        <v>60</v>
      </c>
      <c r="E289" s="13" t="s">
        <v>27</v>
      </c>
      <c r="F289" s="13">
        <v>5.90767195E8</v>
      </c>
      <c r="G289" s="13" t="s">
        <v>27</v>
      </c>
      <c r="H289" s="13" t="s">
        <v>27</v>
      </c>
      <c r="I289" s="20" t="s">
        <v>2272</v>
      </c>
      <c r="J289" s="20"/>
      <c r="K289" s="13" t="s">
        <v>65</v>
      </c>
      <c r="L289" s="26"/>
      <c r="M289" s="27" t="s">
        <v>88</v>
      </c>
      <c r="N289" s="13" t="s">
        <v>56</v>
      </c>
      <c r="O289" s="13" t="s">
        <v>42</v>
      </c>
      <c r="P289" s="32"/>
      <c r="Q289" s="13" t="s">
        <v>44</v>
      </c>
      <c r="R289" s="13" t="s">
        <v>68</v>
      </c>
      <c r="S289" s="32"/>
      <c r="T289" s="32"/>
      <c r="U289" s="26"/>
      <c r="V289" s="32"/>
    </row>
    <row r="290" hidden="1">
      <c r="A290" s="13">
        <v>289.0</v>
      </c>
      <c r="B290" s="15">
        <v>46131.0</v>
      </c>
      <c r="C290" s="13" t="s">
        <v>58</v>
      </c>
      <c r="D290" s="13" t="s">
        <v>60</v>
      </c>
      <c r="E290" s="13" t="s">
        <v>27</v>
      </c>
      <c r="F290" s="55">
        <v>5.57091595E8</v>
      </c>
      <c r="G290" s="20" t="s">
        <v>41</v>
      </c>
      <c r="H290" s="13" t="s">
        <v>27</v>
      </c>
      <c r="I290" s="20" t="s">
        <v>2280</v>
      </c>
      <c r="J290" s="20" t="s">
        <v>2281</v>
      </c>
      <c r="K290" s="13" t="s">
        <v>36</v>
      </c>
      <c r="L290" s="26"/>
      <c r="M290" s="27" t="s">
        <v>88</v>
      </c>
      <c r="N290" s="13" t="s">
        <v>56</v>
      </c>
      <c r="O290" s="13" t="s">
        <v>42</v>
      </c>
      <c r="P290" s="32"/>
      <c r="Q290" s="13" t="s">
        <v>44</v>
      </c>
      <c r="R290" s="13" t="s">
        <v>68</v>
      </c>
      <c r="S290" s="32"/>
      <c r="T290" s="32"/>
      <c r="U290" s="26"/>
      <c r="V290" s="32"/>
    </row>
    <row r="291" hidden="1">
      <c r="A291" s="13">
        <v>290.0</v>
      </c>
      <c r="B291" s="15">
        <v>46131.0</v>
      </c>
      <c r="C291" s="13" t="s">
        <v>21</v>
      </c>
      <c r="D291" s="13" t="s">
        <v>22</v>
      </c>
      <c r="E291" s="20" t="s">
        <v>2288</v>
      </c>
      <c r="F291" s="13">
        <v>5.37349544E8</v>
      </c>
      <c r="G291" s="20" t="s">
        <v>71</v>
      </c>
      <c r="H291" s="13" t="s">
        <v>27</v>
      </c>
      <c r="I291" s="20" t="s">
        <v>2289</v>
      </c>
      <c r="J291" s="20"/>
      <c r="K291" s="13" t="s">
        <v>36</v>
      </c>
      <c r="L291" s="26"/>
      <c r="M291" s="27" t="s">
        <v>38</v>
      </c>
      <c r="N291" s="13" t="s">
        <v>40</v>
      </c>
      <c r="O291" s="13" t="s">
        <v>42</v>
      </c>
      <c r="P291" s="32"/>
      <c r="Q291" s="13" t="s">
        <v>44</v>
      </c>
      <c r="R291" s="13" t="s">
        <v>46</v>
      </c>
      <c r="S291" s="32"/>
      <c r="T291" s="32"/>
      <c r="U291" s="26"/>
      <c r="V291" s="32"/>
    </row>
    <row r="292" hidden="1">
      <c r="A292" s="13">
        <v>291.0</v>
      </c>
      <c r="B292" s="15">
        <v>46131.0</v>
      </c>
      <c r="C292" s="13" t="s">
        <v>58</v>
      </c>
      <c r="D292" s="13" t="s">
        <v>60</v>
      </c>
      <c r="E292" s="13" t="s">
        <v>27</v>
      </c>
      <c r="F292" s="13">
        <v>5.98993726E8</v>
      </c>
      <c r="G292" s="13" t="s">
        <v>27</v>
      </c>
      <c r="H292" s="13" t="s">
        <v>27</v>
      </c>
      <c r="I292" s="20" t="s">
        <v>484</v>
      </c>
      <c r="J292" s="20"/>
      <c r="K292" s="13" t="s">
        <v>36</v>
      </c>
      <c r="L292" s="26"/>
      <c r="M292" s="27" t="s">
        <v>88</v>
      </c>
      <c r="N292" s="13" t="s">
        <v>56</v>
      </c>
      <c r="O292" s="13" t="s">
        <v>42</v>
      </c>
      <c r="P292" s="32"/>
      <c r="Q292" s="13" t="s">
        <v>44</v>
      </c>
      <c r="R292" s="13" t="s">
        <v>68</v>
      </c>
      <c r="S292" s="32"/>
      <c r="T292" s="32"/>
      <c r="U292" s="26"/>
      <c r="V292" s="32"/>
    </row>
    <row r="293" hidden="1">
      <c r="A293" s="13">
        <v>292.0</v>
      </c>
      <c r="B293" s="15">
        <v>46131.0</v>
      </c>
      <c r="C293" s="13" t="s">
        <v>21</v>
      </c>
      <c r="D293" s="13" t="s">
        <v>24</v>
      </c>
      <c r="E293" s="20" t="s">
        <v>2298</v>
      </c>
      <c r="F293" s="13">
        <v>5.66162344E8</v>
      </c>
      <c r="G293" s="20" t="s">
        <v>41</v>
      </c>
      <c r="H293" s="13" t="s">
        <v>27</v>
      </c>
      <c r="I293" s="20" t="s">
        <v>2299</v>
      </c>
      <c r="J293" s="20"/>
      <c r="K293" s="13" t="s">
        <v>36</v>
      </c>
      <c r="L293" s="26"/>
      <c r="M293" s="27" t="s">
        <v>38</v>
      </c>
      <c r="N293" s="13" t="s">
        <v>40</v>
      </c>
      <c r="O293" s="13" t="s">
        <v>42</v>
      </c>
      <c r="P293" s="32"/>
      <c r="Q293" s="13" t="s">
        <v>44</v>
      </c>
      <c r="R293" s="13" t="s">
        <v>46</v>
      </c>
      <c r="S293" s="32"/>
      <c r="T293" s="32"/>
      <c r="U293" s="26"/>
      <c r="V293" s="32"/>
    </row>
    <row r="294" hidden="1">
      <c r="A294" s="13">
        <v>293.0</v>
      </c>
      <c r="B294" s="15">
        <v>46131.0</v>
      </c>
      <c r="C294" s="13" t="s">
        <v>58</v>
      </c>
      <c r="D294" s="13" t="s">
        <v>60</v>
      </c>
      <c r="E294" s="13" t="s">
        <v>27</v>
      </c>
      <c r="F294" s="13">
        <v>5.0516977E8</v>
      </c>
      <c r="G294" s="13" t="s">
        <v>27</v>
      </c>
      <c r="H294" s="13" t="s">
        <v>27</v>
      </c>
      <c r="I294" s="20" t="s">
        <v>554</v>
      </c>
      <c r="J294" s="20"/>
      <c r="K294" s="13" t="s">
        <v>36</v>
      </c>
      <c r="L294" s="26"/>
      <c r="M294" s="27" t="s">
        <v>88</v>
      </c>
      <c r="N294" s="13" t="s">
        <v>56</v>
      </c>
      <c r="O294" s="13" t="s">
        <v>42</v>
      </c>
      <c r="P294" s="32"/>
      <c r="Q294" s="13" t="s">
        <v>44</v>
      </c>
      <c r="R294" s="13" t="s">
        <v>68</v>
      </c>
      <c r="S294" s="32"/>
      <c r="T294" s="32"/>
      <c r="U294" s="26"/>
      <c r="V294" s="32"/>
    </row>
    <row r="295" ht="49.5" hidden="1" customHeight="1">
      <c r="A295" s="13">
        <v>294.0</v>
      </c>
      <c r="B295" s="15">
        <v>46131.0</v>
      </c>
      <c r="C295" s="13" t="s">
        <v>21</v>
      </c>
      <c r="D295" s="13" t="s">
        <v>22</v>
      </c>
      <c r="E295" s="20" t="s">
        <v>108</v>
      </c>
      <c r="F295" s="13">
        <v>5.50013389E8</v>
      </c>
      <c r="G295" s="20" t="s">
        <v>41</v>
      </c>
      <c r="H295" s="13" t="s">
        <v>27</v>
      </c>
      <c r="I295" s="20" t="s">
        <v>2312</v>
      </c>
      <c r="J295" s="20" t="s">
        <v>35</v>
      </c>
      <c r="K295" s="13" t="s">
        <v>36</v>
      </c>
      <c r="L295" s="26"/>
      <c r="M295" s="27" t="s">
        <v>38</v>
      </c>
      <c r="N295" s="13" t="s">
        <v>40</v>
      </c>
      <c r="O295" s="13" t="s">
        <v>42</v>
      </c>
      <c r="P295" s="32"/>
      <c r="Q295" s="13" t="s">
        <v>49</v>
      </c>
      <c r="R295" s="13" t="s">
        <v>46</v>
      </c>
      <c r="S295" s="32"/>
      <c r="T295" s="32"/>
      <c r="U295" s="26"/>
      <c r="V295" s="32"/>
    </row>
    <row r="296" ht="125.25" hidden="1" customHeight="1">
      <c r="A296" s="13">
        <v>295.0</v>
      </c>
      <c r="B296" s="15">
        <v>46131.0</v>
      </c>
      <c r="C296" s="13" t="s">
        <v>47</v>
      </c>
      <c r="D296" s="13" t="s">
        <v>48</v>
      </c>
      <c r="E296" s="20" t="s">
        <v>2315</v>
      </c>
      <c r="F296" s="13" t="s">
        <v>27</v>
      </c>
      <c r="G296" s="20" t="s">
        <v>333</v>
      </c>
      <c r="H296" s="92" t="s">
        <v>1114</v>
      </c>
      <c r="I296" s="20" t="s">
        <v>2317</v>
      </c>
      <c r="J296" s="20" t="s">
        <v>2318</v>
      </c>
      <c r="K296" s="13" t="s">
        <v>78</v>
      </c>
      <c r="L296" s="26"/>
      <c r="M296" s="27" t="s">
        <v>55</v>
      </c>
      <c r="N296" s="13" t="s">
        <v>56</v>
      </c>
      <c r="O296" s="13" t="s">
        <v>42</v>
      </c>
      <c r="P296" s="32"/>
      <c r="Q296" s="13" t="s">
        <v>49</v>
      </c>
      <c r="R296" s="13" t="s">
        <v>46</v>
      </c>
      <c r="S296" s="32"/>
      <c r="T296" s="32"/>
      <c r="U296" s="26"/>
      <c r="V296" s="32"/>
    </row>
    <row r="297" ht="52.5" hidden="1" customHeight="1">
      <c r="A297" s="13">
        <v>296.0</v>
      </c>
      <c r="B297" s="15">
        <v>46131.0</v>
      </c>
      <c r="C297" s="13" t="s">
        <v>47</v>
      </c>
      <c r="D297" s="13" t="s">
        <v>24</v>
      </c>
      <c r="E297" s="13" t="s">
        <v>2323</v>
      </c>
      <c r="F297" s="13" t="s">
        <v>27</v>
      </c>
      <c r="G297" s="20" t="s">
        <v>152</v>
      </c>
      <c r="H297" s="13" t="s">
        <v>2324</v>
      </c>
      <c r="I297" s="20" t="s">
        <v>2325</v>
      </c>
      <c r="J297" s="20" t="s">
        <v>35</v>
      </c>
      <c r="K297" s="13" t="s">
        <v>78</v>
      </c>
      <c r="L297" s="26"/>
      <c r="M297" s="27" t="s">
        <v>630</v>
      </c>
      <c r="N297" s="13" t="s">
        <v>56</v>
      </c>
      <c r="O297" s="13" t="s">
        <v>42</v>
      </c>
      <c r="P297" s="32"/>
      <c r="Q297" s="13" t="s">
        <v>49</v>
      </c>
      <c r="R297" s="13" t="s">
        <v>68</v>
      </c>
      <c r="S297" s="32"/>
      <c r="T297" s="32"/>
      <c r="U297" s="26"/>
      <c r="V297" s="32"/>
    </row>
    <row r="298" hidden="1">
      <c r="A298" s="13">
        <v>297.0</v>
      </c>
      <c r="B298" s="15">
        <v>46131.0</v>
      </c>
      <c r="C298" s="13" t="s">
        <v>47</v>
      </c>
      <c r="D298" s="13" t="s">
        <v>24</v>
      </c>
      <c r="E298" s="13" t="s">
        <v>27</v>
      </c>
      <c r="F298" s="13" t="s">
        <v>27</v>
      </c>
      <c r="G298" s="20" t="s">
        <v>41</v>
      </c>
      <c r="H298" s="13" t="s">
        <v>253</v>
      </c>
      <c r="I298" s="20" t="s">
        <v>2328</v>
      </c>
      <c r="J298" s="20" t="s">
        <v>35</v>
      </c>
      <c r="K298" s="13" t="s">
        <v>78</v>
      </c>
      <c r="L298" s="26"/>
      <c r="M298" s="27" t="s">
        <v>55</v>
      </c>
      <c r="N298" s="13" t="s">
        <v>56</v>
      </c>
      <c r="O298" s="13" t="s">
        <v>42</v>
      </c>
      <c r="P298" s="32"/>
      <c r="Q298" s="13" t="s">
        <v>49</v>
      </c>
      <c r="R298" s="13" t="s">
        <v>68</v>
      </c>
      <c r="S298" s="32"/>
      <c r="T298" s="32"/>
      <c r="U298" s="26"/>
      <c r="V298" s="32"/>
    </row>
    <row r="299" ht="105.0" hidden="1" customHeight="1">
      <c r="A299" s="13">
        <v>298.0</v>
      </c>
      <c r="B299" s="15">
        <v>46131.0</v>
      </c>
      <c r="C299" s="13" t="s">
        <v>47</v>
      </c>
      <c r="D299" s="13" t="s">
        <v>24</v>
      </c>
      <c r="E299" s="20" t="s">
        <v>2335</v>
      </c>
      <c r="F299" s="13">
        <v>5.69997947E8</v>
      </c>
      <c r="G299" s="20" t="s">
        <v>29</v>
      </c>
      <c r="H299" s="13" t="s">
        <v>185</v>
      </c>
      <c r="I299" s="20" t="s">
        <v>2336</v>
      </c>
      <c r="J299" s="20" t="s">
        <v>2337</v>
      </c>
      <c r="K299" s="13" t="s">
        <v>36</v>
      </c>
      <c r="L299" s="26"/>
      <c r="M299" s="27" t="s">
        <v>55</v>
      </c>
      <c r="N299" s="13" t="s">
        <v>56</v>
      </c>
      <c r="O299" s="13" t="s">
        <v>42</v>
      </c>
      <c r="P299" s="32"/>
      <c r="Q299" s="13" t="s">
        <v>49</v>
      </c>
      <c r="R299" s="13" t="s">
        <v>68</v>
      </c>
      <c r="S299" s="32"/>
      <c r="T299" s="32"/>
      <c r="U299" s="26"/>
      <c r="V299" s="32"/>
    </row>
    <row r="300" ht="32.25" hidden="1" customHeight="1">
      <c r="A300" s="13">
        <v>299.0</v>
      </c>
      <c r="B300" s="15">
        <v>46131.0</v>
      </c>
      <c r="C300" s="13" t="s">
        <v>58</v>
      </c>
      <c r="D300" s="13" t="s">
        <v>60</v>
      </c>
      <c r="E300" s="13" t="s">
        <v>27</v>
      </c>
      <c r="F300" s="13">
        <v>5.54471518E8</v>
      </c>
      <c r="G300" s="13" t="s">
        <v>27</v>
      </c>
      <c r="H300" s="13" t="s">
        <v>27</v>
      </c>
      <c r="I300" s="20" t="s">
        <v>2341</v>
      </c>
      <c r="J300" s="20" t="s">
        <v>721</v>
      </c>
      <c r="K300" s="13" t="s">
        <v>36</v>
      </c>
      <c r="L300" s="26"/>
      <c r="M300" s="27" t="s">
        <v>88</v>
      </c>
      <c r="N300" s="13" t="s">
        <v>56</v>
      </c>
      <c r="O300" s="13" t="s">
        <v>42</v>
      </c>
      <c r="P300" s="32"/>
      <c r="Q300" s="13" t="s">
        <v>49</v>
      </c>
      <c r="R300" s="13" t="s">
        <v>68</v>
      </c>
      <c r="S300" s="32"/>
      <c r="T300" s="32"/>
      <c r="U300" s="26"/>
      <c r="V300" s="32"/>
    </row>
    <row r="301" hidden="1">
      <c r="A301" s="13">
        <v>300.0</v>
      </c>
      <c r="B301" s="15">
        <v>46131.0</v>
      </c>
      <c r="C301" s="13" t="s">
        <v>21</v>
      </c>
      <c r="D301" s="13" t="s">
        <v>22</v>
      </c>
      <c r="E301" s="20" t="s">
        <v>1041</v>
      </c>
      <c r="F301" s="13">
        <v>5.67128341E8</v>
      </c>
      <c r="G301" s="20" t="s">
        <v>152</v>
      </c>
      <c r="H301" s="13" t="s">
        <v>27</v>
      </c>
      <c r="I301" s="20" t="s">
        <v>2346</v>
      </c>
      <c r="J301" s="20" t="s">
        <v>35</v>
      </c>
      <c r="K301" s="13" t="s">
        <v>36</v>
      </c>
      <c r="L301" s="26"/>
      <c r="M301" s="27" t="s">
        <v>38</v>
      </c>
      <c r="N301" s="13" t="s">
        <v>40</v>
      </c>
      <c r="O301" s="13" t="s">
        <v>42</v>
      </c>
      <c r="P301" s="32"/>
      <c r="Q301" s="13" t="s">
        <v>49</v>
      </c>
      <c r="R301" s="13" t="s">
        <v>46</v>
      </c>
      <c r="S301" s="32"/>
      <c r="T301" s="32"/>
      <c r="U301" s="26"/>
      <c r="V301" s="32"/>
    </row>
    <row r="302" hidden="1">
      <c r="A302" s="13">
        <v>301.0</v>
      </c>
      <c r="B302" s="15">
        <v>46131.0</v>
      </c>
      <c r="C302" s="13" t="s">
        <v>47</v>
      </c>
      <c r="D302" s="13" t="s">
        <v>367</v>
      </c>
      <c r="E302" s="20" t="s">
        <v>1197</v>
      </c>
      <c r="F302" s="13" t="s">
        <v>27</v>
      </c>
      <c r="G302" s="20" t="s">
        <v>362</v>
      </c>
      <c r="H302" s="13" t="s">
        <v>1029</v>
      </c>
      <c r="I302" s="20" t="s">
        <v>2354</v>
      </c>
      <c r="J302" s="20" t="s">
        <v>2355</v>
      </c>
      <c r="K302" s="13" t="s">
        <v>36</v>
      </c>
      <c r="L302" s="26"/>
      <c r="M302" s="27" t="s">
        <v>55</v>
      </c>
      <c r="N302" s="13" t="s">
        <v>56</v>
      </c>
      <c r="O302" s="13" t="s">
        <v>42</v>
      </c>
      <c r="P302" s="32"/>
      <c r="Q302" s="13" t="s">
        <v>49</v>
      </c>
      <c r="R302" s="13" t="s">
        <v>46</v>
      </c>
      <c r="S302" s="32"/>
      <c r="T302" s="32"/>
      <c r="U302" s="26"/>
      <c r="V302" s="32"/>
    </row>
    <row r="303" hidden="1">
      <c r="A303" s="13">
        <v>302.0</v>
      </c>
      <c r="B303" s="15">
        <v>46131.0</v>
      </c>
      <c r="C303" s="13" t="s">
        <v>21</v>
      </c>
      <c r="D303" s="13" t="s">
        <v>24</v>
      </c>
      <c r="E303" s="20" t="s">
        <v>2358</v>
      </c>
      <c r="F303" s="13">
        <v>5.59110782E8</v>
      </c>
      <c r="G303" s="20" t="s">
        <v>1107</v>
      </c>
      <c r="H303" s="13" t="s">
        <v>27</v>
      </c>
      <c r="I303" s="20" t="s">
        <v>2360</v>
      </c>
      <c r="J303" s="20"/>
      <c r="K303" s="13" t="s">
        <v>62</v>
      </c>
      <c r="L303" s="26"/>
      <c r="M303" s="27" t="s">
        <v>38</v>
      </c>
      <c r="N303" s="13" t="s">
        <v>40</v>
      </c>
      <c r="O303" s="13" t="s">
        <v>42</v>
      </c>
      <c r="P303" s="32"/>
      <c r="Q303" s="13" t="s">
        <v>44</v>
      </c>
      <c r="R303" s="13" t="s">
        <v>46</v>
      </c>
      <c r="S303" s="32"/>
      <c r="T303" s="32"/>
      <c r="U303" s="26"/>
      <c r="V303" s="32"/>
    </row>
    <row r="304" hidden="1">
      <c r="A304" s="13">
        <v>303.0</v>
      </c>
      <c r="B304" s="15">
        <v>46131.0</v>
      </c>
      <c r="C304" s="13" t="s">
        <v>21</v>
      </c>
      <c r="D304" s="13" t="s">
        <v>24</v>
      </c>
      <c r="E304" s="20" t="s">
        <v>2365</v>
      </c>
      <c r="F304" s="13">
        <v>5.05659225E8</v>
      </c>
      <c r="G304" s="20" t="s">
        <v>267</v>
      </c>
      <c r="H304" s="13" t="s">
        <v>27</v>
      </c>
      <c r="I304" s="20" t="s">
        <v>2368</v>
      </c>
      <c r="J304" s="20"/>
      <c r="K304" s="13" t="s">
        <v>36</v>
      </c>
      <c r="L304" s="26"/>
      <c r="M304" s="27" t="s">
        <v>38</v>
      </c>
      <c r="N304" s="13" t="s">
        <v>40</v>
      </c>
      <c r="O304" s="13" t="s">
        <v>42</v>
      </c>
      <c r="P304" s="32"/>
      <c r="Q304" s="13" t="s">
        <v>44</v>
      </c>
      <c r="R304" s="13" t="s">
        <v>46</v>
      </c>
      <c r="S304" s="32"/>
      <c r="T304" s="32"/>
      <c r="U304" s="26"/>
      <c r="V304" s="32"/>
    </row>
    <row r="305" hidden="1">
      <c r="A305" s="13">
        <v>304.0</v>
      </c>
      <c r="B305" s="15">
        <v>46131.0</v>
      </c>
      <c r="C305" s="13" t="s">
        <v>47</v>
      </c>
      <c r="D305" s="13" t="s">
        <v>92</v>
      </c>
      <c r="E305" s="20" t="s">
        <v>2372</v>
      </c>
      <c r="F305" s="13">
        <v>5.96260147E8</v>
      </c>
      <c r="G305" s="20" t="s">
        <v>28</v>
      </c>
      <c r="H305" s="13" t="s">
        <v>2374</v>
      </c>
      <c r="I305" s="20" t="s">
        <v>2376</v>
      </c>
      <c r="J305" s="20"/>
      <c r="K305" s="13" t="s">
        <v>36</v>
      </c>
      <c r="L305" s="26"/>
      <c r="M305" s="27" t="s">
        <v>55</v>
      </c>
      <c r="N305" s="13" t="s">
        <v>56</v>
      </c>
      <c r="O305" s="13" t="s">
        <v>42</v>
      </c>
      <c r="P305" s="32"/>
      <c r="Q305" s="13" t="s">
        <v>44</v>
      </c>
      <c r="R305" s="13" t="s">
        <v>46</v>
      </c>
      <c r="S305" s="32"/>
      <c r="T305" s="32"/>
      <c r="U305" s="26"/>
      <c r="V305" s="32"/>
    </row>
    <row r="306" hidden="1">
      <c r="A306" s="13">
        <v>305.0</v>
      </c>
      <c r="B306" s="15">
        <v>46131.0</v>
      </c>
      <c r="C306" s="13" t="s">
        <v>58</v>
      </c>
      <c r="D306" s="13" t="s">
        <v>60</v>
      </c>
      <c r="E306" s="13" t="s">
        <v>27</v>
      </c>
      <c r="F306" s="13">
        <v>5.5233177E8</v>
      </c>
      <c r="G306" s="13" t="s">
        <v>27</v>
      </c>
      <c r="H306" s="13" t="s">
        <v>27</v>
      </c>
      <c r="I306" s="20" t="s">
        <v>2381</v>
      </c>
      <c r="J306" s="20"/>
      <c r="K306" s="13" t="s">
        <v>36</v>
      </c>
      <c r="L306" s="26"/>
      <c r="M306" s="27" t="s">
        <v>88</v>
      </c>
      <c r="N306" s="13" t="s">
        <v>56</v>
      </c>
      <c r="O306" s="13" t="s">
        <v>42</v>
      </c>
      <c r="P306" s="32"/>
      <c r="Q306" s="13" t="s">
        <v>44</v>
      </c>
      <c r="R306" s="13" t="s">
        <v>68</v>
      </c>
      <c r="S306" s="32"/>
      <c r="T306" s="32"/>
      <c r="U306" s="26"/>
      <c r="V306" s="32"/>
    </row>
    <row r="307" ht="65.25" hidden="1" customHeight="1">
      <c r="A307" s="13">
        <v>306.0</v>
      </c>
      <c r="B307" s="15">
        <v>46131.0</v>
      </c>
      <c r="C307" s="13" t="s">
        <v>47</v>
      </c>
      <c r="D307" s="13" t="s">
        <v>367</v>
      </c>
      <c r="E307" s="20" t="s">
        <v>2388</v>
      </c>
      <c r="F307" s="13">
        <v>5.02059553E8</v>
      </c>
      <c r="G307" s="20" t="s">
        <v>41</v>
      </c>
      <c r="H307" s="13" t="s">
        <v>222</v>
      </c>
      <c r="I307" s="20" t="s">
        <v>2390</v>
      </c>
      <c r="J307" s="20" t="s">
        <v>35</v>
      </c>
      <c r="K307" s="13" t="s">
        <v>36</v>
      </c>
      <c r="L307" s="26"/>
      <c r="M307" s="75" t="s">
        <v>98</v>
      </c>
      <c r="N307" s="13" t="s">
        <v>56</v>
      </c>
      <c r="O307" s="13" t="s">
        <v>42</v>
      </c>
      <c r="P307" s="32"/>
      <c r="Q307" s="13" t="s">
        <v>49</v>
      </c>
      <c r="R307" s="13" t="s">
        <v>46</v>
      </c>
      <c r="S307" s="32"/>
      <c r="T307" s="32"/>
      <c r="U307" s="26"/>
      <c r="V307" s="32"/>
    </row>
    <row r="308" ht="44.25" hidden="1" customHeight="1">
      <c r="A308" s="13">
        <v>307.0</v>
      </c>
      <c r="B308" s="15">
        <v>46132.0</v>
      </c>
      <c r="C308" s="13" t="s">
        <v>21</v>
      </c>
      <c r="D308" s="13" t="s">
        <v>92</v>
      </c>
      <c r="E308" s="20" t="s">
        <v>1646</v>
      </c>
      <c r="F308" s="13">
        <v>5.53464255E8</v>
      </c>
      <c r="G308" s="20" t="s">
        <v>1648</v>
      </c>
      <c r="H308" s="13" t="s">
        <v>1649</v>
      </c>
      <c r="I308" s="20" t="s">
        <v>2400</v>
      </c>
      <c r="J308" s="20" t="s">
        <v>2402</v>
      </c>
      <c r="K308" s="13" t="s">
        <v>62</v>
      </c>
      <c r="L308" s="26"/>
      <c r="M308" s="27" t="s">
        <v>38</v>
      </c>
      <c r="N308" s="13" t="s">
        <v>56</v>
      </c>
      <c r="O308" s="13" t="s">
        <v>42</v>
      </c>
      <c r="P308" s="32"/>
      <c r="Q308" s="13" t="s">
        <v>44</v>
      </c>
      <c r="R308" s="13" t="s">
        <v>68</v>
      </c>
      <c r="S308" s="32"/>
      <c r="T308" s="32"/>
      <c r="U308" s="26"/>
      <c r="V308" s="32"/>
    </row>
    <row r="309" hidden="1">
      <c r="A309" s="13">
        <v>308.0</v>
      </c>
      <c r="B309" s="15">
        <v>46132.0</v>
      </c>
      <c r="C309" s="13" t="s">
        <v>58</v>
      </c>
      <c r="D309" s="13" t="s">
        <v>60</v>
      </c>
      <c r="E309" s="13" t="s">
        <v>27</v>
      </c>
      <c r="F309" s="13">
        <v>5.0787288E8</v>
      </c>
      <c r="G309" s="13" t="s">
        <v>27</v>
      </c>
      <c r="H309" s="13" t="s">
        <v>27</v>
      </c>
      <c r="I309" s="20" t="s">
        <v>1945</v>
      </c>
      <c r="J309" s="20"/>
      <c r="K309" s="13" t="s">
        <v>36</v>
      </c>
      <c r="L309" s="26"/>
      <c r="M309" s="27" t="s">
        <v>88</v>
      </c>
      <c r="N309" s="13" t="s">
        <v>56</v>
      </c>
      <c r="O309" s="13" t="s">
        <v>42</v>
      </c>
      <c r="P309" s="32"/>
      <c r="Q309" s="13" t="s">
        <v>44</v>
      </c>
      <c r="R309" s="13" t="s">
        <v>68</v>
      </c>
      <c r="S309" s="32"/>
      <c r="T309" s="32"/>
      <c r="U309" s="26"/>
      <c r="V309" s="32"/>
    </row>
    <row r="310" hidden="1">
      <c r="A310" s="13">
        <v>309.0</v>
      </c>
      <c r="B310" s="15">
        <v>46132.0</v>
      </c>
      <c r="C310" s="13" t="s">
        <v>47</v>
      </c>
      <c r="D310" s="13" t="s">
        <v>48</v>
      </c>
      <c r="E310" s="13" t="s">
        <v>2411</v>
      </c>
      <c r="F310" s="13" t="s">
        <v>27</v>
      </c>
      <c r="G310" s="20" t="s">
        <v>152</v>
      </c>
      <c r="H310" s="92" t="s">
        <v>272</v>
      </c>
      <c r="I310" s="20" t="s">
        <v>2415</v>
      </c>
      <c r="J310" s="20" t="s">
        <v>2416</v>
      </c>
      <c r="K310" s="13" t="s">
        <v>36</v>
      </c>
      <c r="L310" s="26"/>
      <c r="M310" s="27" t="s">
        <v>101</v>
      </c>
      <c r="N310" s="13" t="s">
        <v>56</v>
      </c>
      <c r="O310" s="13" t="s">
        <v>42</v>
      </c>
      <c r="P310" s="32"/>
      <c r="Q310" s="13" t="s">
        <v>49</v>
      </c>
      <c r="R310" s="13" t="s">
        <v>46</v>
      </c>
      <c r="S310" s="32"/>
      <c r="T310" s="32"/>
      <c r="U310" s="26"/>
      <c r="V310" s="32"/>
    </row>
    <row r="311" hidden="1">
      <c r="A311" s="13">
        <v>310.0</v>
      </c>
      <c r="B311" s="15">
        <v>46132.0</v>
      </c>
      <c r="C311" s="13" t="s">
        <v>58</v>
      </c>
      <c r="D311" s="13" t="s">
        <v>60</v>
      </c>
      <c r="E311" s="13" t="s">
        <v>27</v>
      </c>
      <c r="F311" s="13">
        <v>5.35512957E8</v>
      </c>
      <c r="G311" s="13" t="s">
        <v>27</v>
      </c>
      <c r="H311" s="13" t="s">
        <v>27</v>
      </c>
      <c r="I311" s="20" t="s">
        <v>2424</v>
      </c>
      <c r="J311" s="20"/>
      <c r="K311" s="13" t="s">
        <v>36</v>
      </c>
      <c r="L311" s="26"/>
      <c r="M311" s="27" t="s">
        <v>88</v>
      </c>
      <c r="N311" s="13" t="s">
        <v>56</v>
      </c>
      <c r="O311" s="13" t="s">
        <v>42</v>
      </c>
      <c r="P311" s="32"/>
      <c r="Q311" s="13" t="s">
        <v>44</v>
      </c>
      <c r="R311" s="13" t="s">
        <v>68</v>
      </c>
      <c r="S311" s="32"/>
      <c r="T311" s="32"/>
      <c r="U311" s="26"/>
      <c r="V311" s="32"/>
    </row>
    <row r="312" hidden="1">
      <c r="A312" s="13">
        <v>311.0</v>
      </c>
      <c r="B312" s="15">
        <v>46132.0</v>
      </c>
      <c r="C312" s="13" t="s">
        <v>21</v>
      </c>
      <c r="D312" s="13" t="s">
        <v>24</v>
      </c>
      <c r="E312" s="20" t="s">
        <v>2429</v>
      </c>
      <c r="F312" s="13">
        <v>5.31291525E8</v>
      </c>
      <c r="G312" s="20" t="s">
        <v>71</v>
      </c>
      <c r="H312" s="13" t="s">
        <v>27</v>
      </c>
      <c r="I312" s="20" t="s">
        <v>2432</v>
      </c>
      <c r="J312" s="20"/>
      <c r="K312" s="13" t="s">
        <v>36</v>
      </c>
      <c r="L312" s="26"/>
      <c r="M312" s="27" t="s">
        <v>38</v>
      </c>
      <c r="N312" s="13" t="s">
        <v>40</v>
      </c>
      <c r="O312" s="13" t="s">
        <v>42</v>
      </c>
      <c r="P312" s="32"/>
      <c r="Q312" s="13" t="s">
        <v>44</v>
      </c>
      <c r="R312" s="13" t="s">
        <v>46</v>
      </c>
      <c r="S312" s="32"/>
      <c r="T312" s="32"/>
      <c r="U312" s="26"/>
      <c r="V312" s="32"/>
    </row>
    <row r="313" hidden="1">
      <c r="A313" s="13">
        <v>312.0</v>
      </c>
      <c r="B313" s="15">
        <v>46132.0</v>
      </c>
      <c r="C313" s="13" t="s">
        <v>21</v>
      </c>
      <c r="D313" s="13" t="s">
        <v>24</v>
      </c>
      <c r="E313" s="20" t="s">
        <v>2436</v>
      </c>
      <c r="F313" s="13">
        <v>5.68356424E8</v>
      </c>
      <c r="G313" s="20" t="s">
        <v>71</v>
      </c>
      <c r="H313" s="13" t="s">
        <v>27</v>
      </c>
      <c r="I313" s="20" t="s">
        <v>2437</v>
      </c>
      <c r="J313" s="20" t="s">
        <v>35</v>
      </c>
      <c r="K313" s="13" t="s">
        <v>36</v>
      </c>
      <c r="L313" s="26"/>
      <c r="M313" s="27" t="s">
        <v>38</v>
      </c>
      <c r="N313" s="13" t="s">
        <v>40</v>
      </c>
      <c r="O313" s="13" t="s">
        <v>42</v>
      </c>
      <c r="P313" s="32"/>
      <c r="Q313" s="13" t="s">
        <v>49</v>
      </c>
      <c r="R313" s="13" t="s">
        <v>46</v>
      </c>
      <c r="S313" s="32"/>
      <c r="T313" s="32"/>
      <c r="U313" s="26"/>
      <c r="V313" s="32"/>
    </row>
    <row r="314" hidden="1">
      <c r="A314" s="13">
        <v>313.0</v>
      </c>
      <c r="B314" s="15">
        <v>46132.0</v>
      </c>
      <c r="C314" s="13" t="s">
        <v>58</v>
      </c>
      <c r="D314" s="13" t="s">
        <v>60</v>
      </c>
      <c r="E314" s="20" t="s">
        <v>2442</v>
      </c>
      <c r="F314" s="13">
        <v>5.66663818E8</v>
      </c>
      <c r="G314" s="20" t="s">
        <v>152</v>
      </c>
      <c r="H314" s="13" t="s">
        <v>27</v>
      </c>
      <c r="I314" s="20" t="s">
        <v>359</v>
      </c>
      <c r="J314" s="20"/>
      <c r="K314" s="13" t="s">
        <v>36</v>
      </c>
      <c r="L314" s="26"/>
      <c r="M314" s="27" t="s">
        <v>88</v>
      </c>
      <c r="N314" s="13" t="s">
        <v>56</v>
      </c>
      <c r="O314" s="13" t="s">
        <v>42</v>
      </c>
      <c r="P314" s="32"/>
      <c r="Q314" s="13" t="s">
        <v>44</v>
      </c>
      <c r="R314" s="13" t="s">
        <v>68</v>
      </c>
      <c r="S314" s="32"/>
      <c r="T314" s="32"/>
      <c r="U314" s="26"/>
      <c r="V314" s="32"/>
    </row>
    <row r="315" hidden="1">
      <c r="A315" s="13">
        <v>314.0</v>
      </c>
      <c r="B315" s="15">
        <v>46132.0</v>
      </c>
      <c r="C315" s="13" t="s">
        <v>21</v>
      </c>
      <c r="D315" s="13" t="s">
        <v>24</v>
      </c>
      <c r="E315" s="20" t="s">
        <v>2448</v>
      </c>
      <c r="F315" s="13">
        <v>5.51580547E8</v>
      </c>
      <c r="G315" s="20" t="s">
        <v>71</v>
      </c>
      <c r="H315" s="13" t="s">
        <v>27</v>
      </c>
      <c r="I315" s="20" t="s">
        <v>2449</v>
      </c>
      <c r="J315" s="20"/>
      <c r="K315" s="13" t="s">
        <v>36</v>
      </c>
      <c r="L315" s="26"/>
      <c r="M315" s="27" t="s">
        <v>38</v>
      </c>
      <c r="N315" s="13" t="s">
        <v>40</v>
      </c>
      <c r="O315" s="13" t="s">
        <v>42</v>
      </c>
      <c r="P315" s="32"/>
      <c r="Q315" s="13" t="s">
        <v>44</v>
      </c>
      <c r="R315" s="13" t="s">
        <v>46</v>
      </c>
      <c r="S315" s="32"/>
      <c r="T315" s="32"/>
      <c r="U315" s="26"/>
      <c r="V315" s="32"/>
    </row>
    <row r="316" hidden="1">
      <c r="A316" s="13">
        <v>315.0</v>
      </c>
      <c r="B316" s="15">
        <v>46132.0</v>
      </c>
      <c r="C316" s="13" t="s">
        <v>21</v>
      </c>
      <c r="D316" s="13" t="s">
        <v>22</v>
      </c>
      <c r="E316" s="20" t="s">
        <v>2454</v>
      </c>
      <c r="F316" s="13">
        <v>5.41217025E8</v>
      </c>
      <c r="G316" s="20" t="s">
        <v>71</v>
      </c>
      <c r="H316" s="13" t="s">
        <v>27</v>
      </c>
      <c r="I316" s="20" t="s">
        <v>2455</v>
      </c>
      <c r="J316" s="20"/>
      <c r="K316" s="13" t="s">
        <v>36</v>
      </c>
      <c r="L316" s="26"/>
      <c r="M316" s="27" t="s">
        <v>38</v>
      </c>
      <c r="N316" s="13" t="s">
        <v>40</v>
      </c>
      <c r="O316" s="13" t="s">
        <v>42</v>
      </c>
      <c r="P316" s="32"/>
      <c r="Q316" s="13" t="s">
        <v>44</v>
      </c>
      <c r="R316" s="13" t="s">
        <v>46</v>
      </c>
      <c r="S316" s="32"/>
      <c r="T316" s="32"/>
      <c r="U316" s="26"/>
      <c r="V316" s="32"/>
    </row>
    <row r="317" hidden="1">
      <c r="A317" s="13">
        <v>316.0</v>
      </c>
      <c r="B317" s="15">
        <v>46132.0</v>
      </c>
      <c r="C317" s="13" t="s">
        <v>21</v>
      </c>
      <c r="D317" s="13" t="s">
        <v>22</v>
      </c>
      <c r="E317" s="20" t="s">
        <v>2459</v>
      </c>
      <c r="F317" s="13">
        <v>5.06351648E8</v>
      </c>
      <c r="G317" s="20" t="s">
        <v>79</v>
      </c>
      <c r="H317" s="13" t="s">
        <v>27</v>
      </c>
      <c r="I317" s="20" t="s">
        <v>2461</v>
      </c>
      <c r="J317" s="20"/>
      <c r="K317" s="13" t="s">
        <v>36</v>
      </c>
      <c r="L317" s="26"/>
      <c r="M317" s="27" t="s">
        <v>38</v>
      </c>
      <c r="N317" s="13" t="s">
        <v>40</v>
      </c>
      <c r="O317" s="13" t="s">
        <v>42</v>
      </c>
      <c r="P317" s="32"/>
      <c r="Q317" s="13" t="s">
        <v>44</v>
      </c>
      <c r="R317" s="13" t="s">
        <v>46</v>
      </c>
      <c r="S317" s="32"/>
      <c r="T317" s="32"/>
      <c r="U317" s="26"/>
      <c r="V317" s="32"/>
    </row>
    <row r="318" hidden="1">
      <c r="A318" s="13">
        <v>317.0</v>
      </c>
      <c r="B318" s="15">
        <v>46132.0</v>
      </c>
      <c r="C318" s="13" t="s">
        <v>21</v>
      </c>
      <c r="D318" s="13" t="s">
        <v>22</v>
      </c>
      <c r="E318" s="20" t="s">
        <v>2465</v>
      </c>
      <c r="F318" s="13">
        <v>5.00186975E8</v>
      </c>
      <c r="G318" s="20" t="s">
        <v>132</v>
      </c>
      <c r="H318" s="13" t="s">
        <v>27</v>
      </c>
      <c r="I318" s="20" t="s">
        <v>2467</v>
      </c>
      <c r="J318" s="20"/>
      <c r="K318" s="13" t="s">
        <v>36</v>
      </c>
      <c r="L318" s="26"/>
      <c r="M318" s="27" t="s">
        <v>38</v>
      </c>
      <c r="N318" s="13" t="s">
        <v>40</v>
      </c>
      <c r="O318" s="13" t="s">
        <v>42</v>
      </c>
      <c r="P318" s="32"/>
      <c r="Q318" s="13" t="s">
        <v>44</v>
      </c>
      <c r="R318" s="13" t="s">
        <v>46</v>
      </c>
      <c r="S318" s="32"/>
      <c r="T318" s="32"/>
      <c r="U318" s="26"/>
      <c r="V318" s="32"/>
    </row>
    <row r="319" hidden="1">
      <c r="A319" s="13">
        <v>318.0</v>
      </c>
      <c r="B319" s="15">
        <v>46132.0</v>
      </c>
      <c r="C319" s="13" t="s">
        <v>21</v>
      </c>
      <c r="D319" s="13" t="s">
        <v>24</v>
      </c>
      <c r="E319" s="20" t="s">
        <v>2474</v>
      </c>
      <c r="F319" s="13">
        <v>5.59044906E8</v>
      </c>
      <c r="G319" s="20" t="s">
        <v>1107</v>
      </c>
      <c r="H319" s="13" t="s">
        <v>27</v>
      </c>
      <c r="I319" s="20" t="s">
        <v>2475</v>
      </c>
      <c r="J319" s="20"/>
      <c r="K319" s="13" t="s">
        <v>62</v>
      </c>
      <c r="L319" s="26"/>
      <c r="M319" s="27" t="s">
        <v>38</v>
      </c>
      <c r="N319" s="13" t="s">
        <v>40</v>
      </c>
      <c r="O319" s="13" t="s">
        <v>42</v>
      </c>
      <c r="P319" s="32"/>
      <c r="Q319" s="13" t="s">
        <v>44</v>
      </c>
      <c r="R319" s="13" t="s">
        <v>46</v>
      </c>
      <c r="S319" s="32"/>
      <c r="T319" s="32"/>
      <c r="U319" s="26"/>
      <c r="V319" s="32"/>
    </row>
    <row r="320" hidden="1">
      <c r="A320" s="13">
        <v>319.0</v>
      </c>
      <c r="B320" s="15">
        <v>46132.0</v>
      </c>
      <c r="C320" s="13" t="s">
        <v>47</v>
      </c>
      <c r="D320" s="13" t="s">
        <v>92</v>
      </c>
      <c r="E320" s="20" t="s">
        <v>2479</v>
      </c>
      <c r="F320" s="13">
        <v>5.96630537E8</v>
      </c>
      <c r="G320" s="20" t="s">
        <v>28</v>
      </c>
      <c r="H320" s="13" t="s">
        <v>777</v>
      </c>
      <c r="I320" s="20" t="s">
        <v>2480</v>
      </c>
      <c r="J320" s="20"/>
      <c r="K320" s="13" t="s">
        <v>36</v>
      </c>
      <c r="L320" s="26"/>
      <c r="M320" s="27" t="s">
        <v>221</v>
      </c>
      <c r="N320" s="13" t="s">
        <v>40</v>
      </c>
      <c r="O320" s="13" t="s">
        <v>301</v>
      </c>
      <c r="P320" s="32"/>
      <c r="Q320" s="13" t="s">
        <v>44</v>
      </c>
      <c r="R320" s="13" t="s">
        <v>46</v>
      </c>
      <c r="S320" s="32"/>
      <c r="T320" s="32"/>
      <c r="U320" s="26"/>
      <c r="V320" s="32"/>
    </row>
    <row r="321" ht="41.25" hidden="1" customHeight="1">
      <c r="A321" s="13">
        <v>320.0</v>
      </c>
      <c r="B321" s="15">
        <v>46132.0</v>
      </c>
      <c r="C321" s="13" t="s">
        <v>21</v>
      </c>
      <c r="D321" s="13" t="s">
        <v>48</v>
      </c>
      <c r="E321" s="127" t="s">
        <v>708</v>
      </c>
      <c r="F321" s="127">
        <v>5.35955663E8</v>
      </c>
      <c r="G321" s="127" t="s">
        <v>112</v>
      </c>
      <c r="H321" s="127" t="s">
        <v>113</v>
      </c>
      <c r="I321" s="20" t="s">
        <v>2485</v>
      </c>
      <c r="J321" s="81" t="s">
        <v>1631</v>
      </c>
      <c r="K321" s="13" t="s">
        <v>36</v>
      </c>
      <c r="L321" s="26"/>
      <c r="M321" s="27" t="s">
        <v>38</v>
      </c>
      <c r="N321" s="13" t="s">
        <v>56</v>
      </c>
      <c r="O321" s="13" t="s">
        <v>42</v>
      </c>
      <c r="P321" s="32"/>
      <c r="Q321" s="13" t="s">
        <v>44</v>
      </c>
      <c r="R321" s="13" t="s">
        <v>68</v>
      </c>
      <c r="S321" s="32"/>
      <c r="T321" s="32"/>
      <c r="U321" s="26"/>
      <c r="V321" s="32"/>
    </row>
    <row r="322" ht="45.75" hidden="1" customHeight="1">
      <c r="A322" s="13">
        <v>321.0</v>
      </c>
      <c r="B322" s="15">
        <v>46132.0</v>
      </c>
      <c r="C322" s="13" t="s">
        <v>47</v>
      </c>
      <c r="D322" s="13" t="s">
        <v>48</v>
      </c>
      <c r="E322" s="20" t="s">
        <v>2488</v>
      </c>
      <c r="F322" s="13">
        <v>5.60007107E8</v>
      </c>
      <c r="G322" s="20" t="s">
        <v>41</v>
      </c>
      <c r="H322" s="13" t="s">
        <v>146</v>
      </c>
      <c r="I322" s="20" t="s">
        <v>2489</v>
      </c>
      <c r="J322" s="20"/>
      <c r="K322" s="13" t="s">
        <v>36</v>
      </c>
      <c r="L322" s="26"/>
      <c r="M322" s="27" t="s">
        <v>55</v>
      </c>
      <c r="N322" s="13" t="s">
        <v>56</v>
      </c>
      <c r="O322" s="13" t="s">
        <v>42</v>
      </c>
      <c r="P322" s="32"/>
      <c r="Q322" s="13" t="s">
        <v>44</v>
      </c>
      <c r="R322" s="13" t="s">
        <v>46</v>
      </c>
      <c r="S322" s="32"/>
      <c r="T322" s="32"/>
      <c r="U322" s="26"/>
      <c r="V322" s="32"/>
    </row>
    <row r="323" ht="28.5" hidden="1" customHeight="1">
      <c r="A323" s="13">
        <v>322.0</v>
      </c>
      <c r="B323" s="15">
        <v>46132.0</v>
      </c>
      <c r="C323" s="13" t="s">
        <v>58</v>
      </c>
      <c r="D323" s="13" t="s">
        <v>60</v>
      </c>
      <c r="E323" s="13" t="s">
        <v>27</v>
      </c>
      <c r="F323" s="13">
        <v>5.11389292E8</v>
      </c>
      <c r="G323" s="13" t="s">
        <v>27</v>
      </c>
      <c r="H323" s="13" t="s">
        <v>27</v>
      </c>
      <c r="I323" s="20" t="s">
        <v>554</v>
      </c>
      <c r="J323" s="20" t="s">
        <v>35</v>
      </c>
      <c r="K323" s="13" t="s">
        <v>36</v>
      </c>
      <c r="L323" s="26"/>
      <c r="M323" s="27" t="s">
        <v>88</v>
      </c>
      <c r="N323" s="13" t="s">
        <v>56</v>
      </c>
      <c r="O323" s="13" t="s">
        <v>42</v>
      </c>
      <c r="P323" s="32"/>
      <c r="Q323" s="13" t="s">
        <v>49</v>
      </c>
      <c r="R323" s="13" t="s">
        <v>68</v>
      </c>
      <c r="S323" s="32"/>
      <c r="T323" s="32"/>
      <c r="U323" s="26"/>
      <c r="V323" s="32"/>
    </row>
    <row r="324" ht="30.75" hidden="1" customHeight="1">
      <c r="A324" s="13">
        <v>323.0</v>
      </c>
      <c r="B324" s="15">
        <v>46132.0</v>
      </c>
      <c r="C324" s="13" t="s">
        <v>21</v>
      </c>
      <c r="D324" s="13" t="s">
        <v>48</v>
      </c>
      <c r="E324" s="20" t="s">
        <v>2498</v>
      </c>
      <c r="F324" s="13">
        <v>5.52481181E8</v>
      </c>
      <c r="G324" s="20" t="s">
        <v>198</v>
      </c>
      <c r="H324" s="13" t="s">
        <v>27</v>
      </c>
      <c r="I324" s="20" t="s">
        <v>2500</v>
      </c>
      <c r="J324" s="20"/>
      <c r="K324" s="13" t="s">
        <v>36</v>
      </c>
      <c r="L324" s="26"/>
      <c r="M324" s="27" t="s">
        <v>38</v>
      </c>
      <c r="N324" s="13" t="s">
        <v>40</v>
      </c>
      <c r="O324" s="13" t="s">
        <v>42</v>
      </c>
      <c r="P324" s="32"/>
      <c r="Q324" s="13" t="s">
        <v>44</v>
      </c>
      <c r="R324" s="13" t="s">
        <v>68</v>
      </c>
      <c r="S324" s="32"/>
      <c r="T324" s="32"/>
      <c r="U324" s="26"/>
      <c r="V324" s="32"/>
    </row>
    <row r="325" hidden="1">
      <c r="A325" s="13">
        <v>324.0</v>
      </c>
      <c r="B325" s="15">
        <v>46133.0</v>
      </c>
      <c r="C325" s="13" t="s">
        <v>21</v>
      </c>
      <c r="D325" s="13" t="s">
        <v>66</v>
      </c>
      <c r="E325" s="20" t="s">
        <v>2502</v>
      </c>
      <c r="F325" s="13">
        <v>5.42991461E8</v>
      </c>
      <c r="G325" s="13" t="s">
        <v>27</v>
      </c>
      <c r="H325" s="13" t="s">
        <v>27</v>
      </c>
      <c r="I325" s="20" t="s">
        <v>2503</v>
      </c>
      <c r="J325" s="20" t="s">
        <v>2505</v>
      </c>
      <c r="K325" s="13" t="s">
        <v>62</v>
      </c>
      <c r="L325" s="26"/>
      <c r="M325" s="27" t="s">
        <v>38</v>
      </c>
      <c r="N325" s="13" t="s">
        <v>56</v>
      </c>
      <c r="O325" s="13" t="s">
        <v>42</v>
      </c>
      <c r="P325" s="32"/>
      <c r="Q325" s="13" t="s">
        <v>44</v>
      </c>
      <c r="R325" s="13" t="s">
        <v>68</v>
      </c>
      <c r="S325" s="32"/>
      <c r="T325" s="32"/>
      <c r="U325" s="26"/>
      <c r="V325" s="32"/>
    </row>
    <row r="326" hidden="1">
      <c r="A326" s="13">
        <v>325.0</v>
      </c>
      <c r="B326" s="15">
        <v>46133.0</v>
      </c>
      <c r="C326" s="13" t="s">
        <v>21</v>
      </c>
      <c r="D326" s="13" t="s">
        <v>22</v>
      </c>
      <c r="E326" s="13" t="s">
        <v>27</v>
      </c>
      <c r="F326" s="13">
        <v>5.06998361E8</v>
      </c>
      <c r="G326" s="20" t="s">
        <v>28</v>
      </c>
      <c r="H326" s="13" t="s">
        <v>27</v>
      </c>
      <c r="I326" s="20" t="s">
        <v>2509</v>
      </c>
      <c r="J326" s="20" t="s">
        <v>2510</v>
      </c>
      <c r="K326" s="13" t="s">
        <v>62</v>
      </c>
      <c r="L326" s="26"/>
      <c r="M326" s="27" t="s">
        <v>38</v>
      </c>
      <c r="N326" s="13" t="s">
        <v>40</v>
      </c>
      <c r="O326" s="13" t="s">
        <v>42</v>
      </c>
      <c r="P326" s="32"/>
      <c r="Q326" s="13" t="s">
        <v>44</v>
      </c>
      <c r="R326" s="13" t="s">
        <v>46</v>
      </c>
      <c r="S326" s="32"/>
      <c r="T326" s="32"/>
      <c r="U326" s="26"/>
      <c r="V326" s="32"/>
    </row>
    <row r="327" hidden="1">
      <c r="A327" s="13">
        <v>326.0</v>
      </c>
      <c r="B327" s="15">
        <v>46133.0</v>
      </c>
      <c r="C327" s="13" t="s">
        <v>47</v>
      </c>
      <c r="D327" s="13" t="s">
        <v>48</v>
      </c>
      <c r="E327" s="13" t="s">
        <v>2513</v>
      </c>
      <c r="F327" s="13">
        <v>5.42215459E8</v>
      </c>
      <c r="G327" s="20" t="s">
        <v>41</v>
      </c>
      <c r="H327" s="13" t="s">
        <v>146</v>
      </c>
      <c r="I327" s="20" t="s">
        <v>2515</v>
      </c>
      <c r="J327" s="20"/>
      <c r="K327" s="13" t="s">
        <v>148</v>
      </c>
      <c r="L327" s="26"/>
      <c r="M327" s="27" t="s">
        <v>2247</v>
      </c>
      <c r="N327" s="13" t="s">
        <v>56</v>
      </c>
      <c r="O327" s="13" t="s">
        <v>42</v>
      </c>
      <c r="P327" s="32"/>
      <c r="Q327" s="13" t="s">
        <v>44</v>
      </c>
      <c r="R327" s="13" t="s">
        <v>46</v>
      </c>
      <c r="S327" s="32"/>
      <c r="T327" s="32"/>
      <c r="U327" s="26"/>
      <c r="V327" s="32"/>
    </row>
    <row r="328" hidden="1">
      <c r="A328" s="13">
        <v>327.0</v>
      </c>
      <c r="B328" s="15">
        <v>46133.0</v>
      </c>
      <c r="C328" s="13" t="s">
        <v>47</v>
      </c>
      <c r="D328" s="13" t="s">
        <v>48</v>
      </c>
      <c r="E328" s="20" t="s">
        <v>2518</v>
      </c>
      <c r="F328" s="13">
        <v>5.00165595E8</v>
      </c>
      <c r="G328" s="20" t="s">
        <v>41</v>
      </c>
      <c r="H328" s="13" t="s">
        <v>146</v>
      </c>
      <c r="I328" s="20" t="s">
        <v>2521</v>
      </c>
      <c r="J328" s="20"/>
      <c r="K328" s="13" t="s">
        <v>148</v>
      </c>
      <c r="L328" s="26"/>
      <c r="M328" s="27" t="s">
        <v>55</v>
      </c>
      <c r="N328" s="13" t="s">
        <v>56</v>
      </c>
      <c r="O328" s="13" t="s">
        <v>42</v>
      </c>
      <c r="P328" s="32"/>
      <c r="Q328" s="13" t="s">
        <v>44</v>
      </c>
      <c r="R328" s="13" t="s">
        <v>46</v>
      </c>
      <c r="S328" s="32"/>
      <c r="T328" s="32"/>
      <c r="U328" s="26"/>
      <c r="V328" s="32"/>
    </row>
    <row r="329" hidden="1">
      <c r="A329" s="13">
        <v>328.0</v>
      </c>
      <c r="B329" s="15">
        <v>46133.0</v>
      </c>
      <c r="C329" s="13" t="s">
        <v>47</v>
      </c>
      <c r="D329" s="13" t="s">
        <v>138</v>
      </c>
      <c r="E329" s="13" t="s">
        <v>27</v>
      </c>
      <c r="F329" s="13">
        <v>5.34885535E8</v>
      </c>
      <c r="G329" s="20" t="s">
        <v>41</v>
      </c>
      <c r="H329" s="13" t="s">
        <v>146</v>
      </c>
      <c r="I329" s="20" t="s">
        <v>2526</v>
      </c>
      <c r="J329" s="20" t="s">
        <v>2527</v>
      </c>
      <c r="K329" s="13" t="s">
        <v>148</v>
      </c>
      <c r="L329" s="26"/>
      <c r="M329" s="27" t="s">
        <v>795</v>
      </c>
      <c r="N329" s="13" t="s">
        <v>56</v>
      </c>
      <c r="O329" s="13" t="s">
        <v>42</v>
      </c>
      <c r="P329" s="32"/>
      <c r="Q329" s="13" t="s">
        <v>44</v>
      </c>
      <c r="R329" s="13" t="s">
        <v>46</v>
      </c>
      <c r="S329" s="32"/>
      <c r="T329" s="32"/>
      <c r="U329" s="26"/>
      <c r="V329" s="32"/>
    </row>
    <row r="330" hidden="1">
      <c r="A330" s="13">
        <v>329.0</v>
      </c>
      <c r="B330" s="15">
        <v>46133.0</v>
      </c>
      <c r="C330" s="13" t="s">
        <v>47</v>
      </c>
      <c r="D330" s="13" t="s">
        <v>138</v>
      </c>
      <c r="E330" s="20" t="s">
        <v>424</v>
      </c>
      <c r="F330" s="13">
        <v>5.66977944E8</v>
      </c>
      <c r="G330" s="20" t="s">
        <v>41</v>
      </c>
      <c r="H330" s="13" t="s">
        <v>329</v>
      </c>
      <c r="I330" s="20" t="s">
        <v>2530</v>
      </c>
      <c r="J330" s="20" t="s">
        <v>2531</v>
      </c>
      <c r="K330" s="13" t="s">
        <v>148</v>
      </c>
      <c r="L330" s="26"/>
      <c r="M330" s="27" t="s">
        <v>795</v>
      </c>
      <c r="N330" s="13" t="s">
        <v>56</v>
      </c>
      <c r="O330" s="13" t="s">
        <v>42</v>
      </c>
      <c r="P330" s="32"/>
      <c r="Q330" s="13" t="s">
        <v>44</v>
      </c>
      <c r="R330" s="13" t="s">
        <v>46</v>
      </c>
      <c r="S330" s="32"/>
      <c r="T330" s="32"/>
      <c r="U330" s="26"/>
      <c r="V330" s="32"/>
    </row>
    <row r="331" hidden="1">
      <c r="A331" s="13">
        <v>330.0</v>
      </c>
      <c r="B331" s="15">
        <v>46133.0</v>
      </c>
      <c r="C331" s="13" t="s">
        <v>21</v>
      </c>
      <c r="D331" s="13" t="s">
        <v>57</v>
      </c>
      <c r="E331" s="20" t="s">
        <v>2536</v>
      </c>
      <c r="F331" s="13">
        <v>5.61256857E8</v>
      </c>
      <c r="G331" s="20" t="s">
        <v>41</v>
      </c>
      <c r="H331" s="13" t="s">
        <v>791</v>
      </c>
      <c r="I331" s="20" t="s">
        <v>2538</v>
      </c>
      <c r="J331" s="20"/>
      <c r="K331" s="13" t="s">
        <v>148</v>
      </c>
      <c r="L331" s="26"/>
      <c r="M331" s="27" t="s">
        <v>38</v>
      </c>
      <c r="N331" s="13" t="s">
        <v>56</v>
      </c>
      <c r="O331" s="13" t="s">
        <v>42</v>
      </c>
      <c r="P331" s="32"/>
      <c r="Q331" s="13" t="s">
        <v>44</v>
      </c>
      <c r="R331" s="13" t="s">
        <v>68</v>
      </c>
      <c r="S331" s="32"/>
      <c r="T331" s="32"/>
      <c r="U331" s="26"/>
      <c r="V331" s="32"/>
    </row>
    <row r="332" hidden="1">
      <c r="A332" s="13">
        <v>331.0</v>
      </c>
      <c r="B332" s="15">
        <v>46133.0</v>
      </c>
      <c r="C332" s="13" t="s">
        <v>47</v>
      </c>
      <c r="D332" s="13" t="s">
        <v>367</v>
      </c>
      <c r="E332" s="13" t="s">
        <v>2542</v>
      </c>
      <c r="F332" s="13">
        <v>5.36803697E8</v>
      </c>
      <c r="G332" s="20" t="s">
        <v>41</v>
      </c>
      <c r="H332" s="13" t="s">
        <v>146</v>
      </c>
      <c r="I332" s="20" t="s">
        <v>2543</v>
      </c>
      <c r="J332" s="20" t="s">
        <v>2545</v>
      </c>
      <c r="K332" s="13" t="s">
        <v>148</v>
      </c>
      <c r="L332" s="26"/>
      <c r="M332" s="27" t="s">
        <v>323</v>
      </c>
      <c r="N332" s="13" t="s">
        <v>40</v>
      </c>
      <c r="O332" s="13" t="s">
        <v>42</v>
      </c>
      <c r="P332" s="32"/>
      <c r="Q332" s="13" t="s">
        <v>44</v>
      </c>
      <c r="R332" s="13" t="s">
        <v>46</v>
      </c>
      <c r="S332" s="32"/>
      <c r="T332" s="32"/>
      <c r="U332" s="26"/>
      <c r="V332" s="32"/>
    </row>
    <row r="333" hidden="1">
      <c r="A333" s="13">
        <v>332.0</v>
      </c>
      <c r="B333" s="15">
        <v>46133.0</v>
      </c>
      <c r="C333" s="13" t="s">
        <v>47</v>
      </c>
      <c r="D333" s="13" t="s">
        <v>138</v>
      </c>
      <c r="E333" s="20" t="s">
        <v>2549</v>
      </c>
      <c r="F333" s="13">
        <v>5.99911188E8</v>
      </c>
      <c r="G333" s="20" t="s">
        <v>41</v>
      </c>
      <c r="H333" s="13" t="s">
        <v>222</v>
      </c>
      <c r="I333" s="20" t="s">
        <v>2550</v>
      </c>
      <c r="J333" s="20" t="s">
        <v>2552</v>
      </c>
      <c r="K333" s="13" t="s">
        <v>148</v>
      </c>
      <c r="L333" s="26"/>
      <c r="M333" s="27" t="s">
        <v>55</v>
      </c>
      <c r="N333" s="13" t="s">
        <v>56</v>
      </c>
      <c r="O333" s="13" t="s">
        <v>42</v>
      </c>
      <c r="P333" s="32"/>
      <c r="Q333" s="13" t="s">
        <v>44</v>
      </c>
      <c r="R333" s="13" t="s">
        <v>46</v>
      </c>
      <c r="S333" s="32"/>
      <c r="T333" s="32"/>
      <c r="U333" s="26"/>
      <c r="V333" s="32"/>
    </row>
    <row r="334" hidden="1">
      <c r="A334" s="13">
        <v>333.0</v>
      </c>
      <c r="B334" s="15">
        <v>46133.0</v>
      </c>
      <c r="C334" s="13" t="s">
        <v>21</v>
      </c>
      <c r="D334" s="13" t="s">
        <v>57</v>
      </c>
      <c r="E334" s="20" t="s">
        <v>2555</v>
      </c>
      <c r="F334" s="13">
        <v>5.53104208E8</v>
      </c>
      <c r="G334" s="20" t="s">
        <v>41</v>
      </c>
      <c r="H334" s="13" t="s">
        <v>222</v>
      </c>
      <c r="I334" s="20" t="s">
        <v>2556</v>
      </c>
      <c r="J334" s="20"/>
      <c r="K334" s="13" t="s">
        <v>148</v>
      </c>
      <c r="L334" s="26"/>
      <c r="M334" s="27" t="s">
        <v>38</v>
      </c>
      <c r="N334" s="13" t="s">
        <v>56</v>
      </c>
      <c r="O334" s="13" t="s">
        <v>42</v>
      </c>
      <c r="P334" s="32"/>
      <c r="Q334" s="13" t="s">
        <v>44</v>
      </c>
      <c r="R334" s="13" t="s">
        <v>68</v>
      </c>
      <c r="S334" s="32"/>
      <c r="T334" s="32"/>
      <c r="U334" s="26"/>
      <c r="V334" s="32"/>
    </row>
    <row r="335" hidden="1">
      <c r="A335" s="13">
        <v>334.0</v>
      </c>
      <c r="B335" s="15">
        <v>46133.0</v>
      </c>
      <c r="C335" s="13" t="s">
        <v>47</v>
      </c>
      <c r="D335" s="13" t="s">
        <v>138</v>
      </c>
      <c r="E335" s="13" t="s">
        <v>2561</v>
      </c>
      <c r="F335" s="13">
        <v>5.57770865E8</v>
      </c>
      <c r="G335" s="20" t="s">
        <v>28</v>
      </c>
      <c r="H335" s="13" t="s">
        <v>830</v>
      </c>
      <c r="I335" s="20" t="s">
        <v>2562</v>
      </c>
      <c r="J335" s="20" t="s">
        <v>2564</v>
      </c>
      <c r="K335" s="13" t="s">
        <v>148</v>
      </c>
      <c r="L335" s="26"/>
      <c r="M335" s="27" t="s">
        <v>183</v>
      </c>
      <c r="N335" s="13" t="s">
        <v>56</v>
      </c>
      <c r="O335" s="13" t="s">
        <v>42</v>
      </c>
      <c r="P335" s="32"/>
      <c r="Q335" s="13" t="s">
        <v>44</v>
      </c>
      <c r="R335" s="13" t="s">
        <v>46</v>
      </c>
      <c r="S335" s="32"/>
      <c r="T335" s="32"/>
      <c r="U335" s="26"/>
      <c r="V335" s="32"/>
    </row>
    <row r="336" hidden="1">
      <c r="A336" s="13">
        <v>335.0</v>
      </c>
      <c r="B336" s="15">
        <v>46133.0</v>
      </c>
      <c r="C336" s="13" t="s">
        <v>47</v>
      </c>
      <c r="D336" s="13" t="s">
        <v>138</v>
      </c>
      <c r="E336" s="20" t="s">
        <v>2567</v>
      </c>
      <c r="F336" s="13">
        <v>5.56010476E8</v>
      </c>
      <c r="G336" s="20" t="s">
        <v>28</v>
      </c>
      <c r="H336" s="13" t="s">
        <v>830</v>
      </c>
      <c r="I336" s="20" t="s">
        <v>2569</v>
      </c>
      <c r="J336" s="20" t="s">
        <v>2570</v>
      </c>
      <c r="K336" s="13" t="s">
        <v>148</v>
      </c>
      <c r="L336" s="26"/>
      <c r="M336" s="27" t="s">
        <v>55</v>
      </c>
      <c r="N336" s="13" t="s">
        <v>56</v>
      </c>
      <c r="O336" s="13" t="s">
        <v>42</v>
      </c>
      <c r="P336" s="32"/>
      <c r="Q336" s="13" t="s">
        <v>44</v>
      </c>
      <c r="R336" s="13" t="s">
        <v>46</v>
      </c>
      <c r="S336" s="32"/>
      <c r="T336" s="32"/>
      <c r="U336" s="26"/>
      <c r="V336" s="32"/>
    </row>
    <row r="337" hidden="1">
      <c r="A337" s="13">
        <v>336.0</v>
      </c>
      <c r="B337" s="15">
        <v>46133.0</v>
      </c>
      <c r="C337" s="13" t="s">
        <v>47</v>
      </c>
      <c r="D337" s="13" t="s">
        <v>48</v>
      </c>
      <c r="E337" s="20" t="s">
        <v>405</v>
      </c>
      <c r="F337" s="13" t="s">
        <v>27</v>
      </c>
      <c r="G337" s="20" t="s">
        <v>152</v>
      </c>
      <c r="H337" s="13" t="s">
        <v>1114</v>
      </c>
      <c r="I337" s="20" t="s">
        <v>2571</v>
      </c>
      <c r="J337" s="20" t="s">
        <v>2572</v>
      </c>
      <c r="K337" s="13" t="s">
        <v>148</v>
      </c>
      <c r="L337" s="26"/>
      <c r="M337" s="27" t="s">
        <v>55</v>
      </c>
      <c r="N337" s="13" t="s">
        <v>56</v>
      </c>
      <c r="O337" s="13" t="s">
        <v>42</v>
      </c>
      <c r="P337" s="32"/>
      <c r="Q337" s="13" t="s">
        <v>44</v>
      </c>
      <c r="R337" s="13" t="s">
        <v>46</v>
      </c>
      <c r="S337" s="32"/>
      <c r="T337" s="32"/>
      <c r="U337" s="26"/>
      <c r="V337" s="32"/>
    </row>
    <row r="338" hidden="1">
      <c r="A338" s="13">
        <v>337.0</v>
      </c>
      <c r="B338" s="15">
        <v>46133.0</v>
      </c>
      <c r="C338" s="13" t="s">
        <v>47</v>
      </c>
      <c r="D338" s="13" t="s">
        <v>48</v>
      </c>
      <c r="E338" s="13" t="s">
        <v>27</v>
      </c>
      <c r="F338" s="13" t="s">
        <v>27</v>
      </c>
      <c r="G338" s="20" t="s">
        <v>71</v>
      </c>
      <c r="H338" s="13" t="s">
        <v>163</v>
      </c>
      <c r="I338" s="20" t="s">
        <v>2575</v>
      </c>
      <c r="J338" s="20" t="s">
        <v>2576</v>
      </c>
      <c r="K338" s="13" t="s">
        <v>148</v>
      </c>
      <c r="L338" s="26"/>
      <c r="M338" s="27" t="s">
        <v>55</v>
      </c>
      <c r="N338" s="13" t="s">
        <v>56</v>
      </c>
      <c r="O338" s="13" t="s">
        <v>42</v>
      </c>
      <c r="P338" s="32"/>
      <c r="Q338" s="13" t="s">
        <v>44</v>
      </c>
      <c r="R338" s="13" t="s">
        <v>46</v>
      </c>
      <c r="S338" s="32"/>
      <c r="T338" s="32"/>
      <c r="U338" s="26"/>
      <c r="V338" s="32"/>
    </row>
    <row r="339" hidden="1">
      <c r="A339" s="13">
        <v>338.0</v>
      </c>
      <c r="B339" s="15">
        <v>46133.0</v>
      </c>
      <c r="C339" s="13" t="s">
        <v>47</v>
      </c>
      <c r="D339" s="13" t="s">
        <v>138</v>
      </c>
      <c r="E339" s="20" t="s">
        <v>2586</v>
      </c>
      <c r="F339" s="13">
        <v>5.66226552E8</v>
      </c>
      <c r="G339" s="20" t="s">
        <v>71</v>
      </c>
      <c r="H339" s="13" t="s">
        <v>163</v>
      </c>
      <c r="I339" s="20" t="s">
        <v>2587</v>
      </c>
      <c r="J339" s="20" t="s">
        <v>2588</v>
      </c>
      <c r="K339" s="13" t="s">
        <v>148</v>
      </c>
      <c r="L339" s="26"/>
      <c r="M339" s="27" t="s">
        <v>150</v>
      </c>
      <c r="N339" s="13" t="s">
        <v>56</v>
      </c>
      <c r="O339" s="13" t="s">
        <v>42</v>
      </c>
      <c r="P339" s="32"/>
      <c r="Q339" s="13" t="s">
        <v>44</v>
      </c>
      <c r="R339" s="13" t="s">
        <v>46</v>
      </c>
      <c r="S339" s="32"/>
      <c r="T339" s="32"/>
      <c r="U339" s="26"/>
      <c r="V339" s="32"/>
    </row>
    <row r="340" hidden="1">
      <c r="A340" s="13">
        <v>339.0</v>
      </c>
      <c r="B340" s="15">
        <v>46133.0</v>
      </c>
      <c r="C340" s="13" t="s">
        <v>47</v>
      </c>
      <c r="D340" s="13" t="s">
        <v>138</v>
      </c>
      <c r="E340" s="20" t="s">
        <v>154</v>
      </c>
      <c r="F340" s="13">
        <v>5.04711594E8</v>
      </c>
      <c r="G340" s="20" t="s">
        <v>79</v>
      </c>
      <c r="H340" s="13" t="s">
        <v>80</v>
      </c>
      <c r="I340" s="20" t="s">
        <v>2597</v>
      </c>
      <c r="J340" s="20" t="s">
        <v>2598</v>
      </c>
      <c r="K340" s="13" t="s">
        <v>148</v>
      </c>
      <c r="L340" s="26"/>
      <c r="M340" s="27" t="s">
        <v>55</v>
      </c>
      <c r="N340" s="13" t="s">
        <v>56</v>
      </c>
      <c r="O340" s="13" t="s">
        <v>42</v>
      </c>
      <c r="P340" s="32"/>
      <c r="Q340" s="13" t="s">
        <v>44</v>
      </c>
      <c r="R340" s="13" t="s">
        <v>46</v>
      </c>
      <c r="S340" s="32"/>
      <c r="T340" s="32"/>
      <c r="U340" s="26"/>
      <c r="V340" s="32"/>
    </row>
    <row r="341" ht="17.25" hidden="1" customHeight="1">
      <c r="A341" s="13">
        <v>340.0</v>
      </c>
      <c r="B341" s="15">
        <v>46133.0</v>
      </c>
      <c r="C341" s="13" t="s">
        <v>58</v>
      </c>
      <c r="D341" s="13" t="s">
        <v>60</v>
      </c>
      <c r="E341" s="13" t="s">
        <v>27</v>
      </c>
      <c r="F341" s="13">
        <v>5.09712191E8</v>
      </c>
      <c r="G341" s="13" t="s">
        <v>27</v>
      </c>
      <c r="H341" s="13" t="s">
        <v>27</v>
      </c>
      <c r="I341" s="20" t="s">
        <v>554</v>
      </c>
      <c r="J341" s="20"/>
      <c r="K341" s="13" t="s">
        <v>36</v>
      </c>
      <c r="L341" s="26"/>
      <c r="M341" s="27" t="s">
        <v>88</v>
      </c>
      <c r="N341" s="13" t="s">
        <v>56</v>
      </c>
      <c r="O341" s="13" t="s">
        <v>42</v>
      </c>
      <c r="P341" s="32"/>
      <c r="Q341" s="13" t="s">
        <v>44</v>
      </c>
      <c r="R341" s="13" t="s">
        <v>68</v>
      </c>
      <c r="S341" s="32"/>
      <c r="T341" s="32"/>
      <c r="U341" s="26"/>
      <c r="V341" s="32"/>
    </row>
    <row r="342" ht="43.5" hidden="1" customHeight="1">
      <c r="A342" s="13">
        <v>341.0</v>
      </c>
      <c r="B342" s="15">
        <v>46133.0</v>
      </c>
      <c r="C342" s="13" t="s">
        <v>47</v>
      </c>
      <c r="D342" s="13" t="s">
        <v>92</v>
      </c>
      <c r="E342" s="20" t="s">
        <v>2607</v>
      </c>
      <c r="F342" s="13">
        <v>5.3259092E8</v>
      </c>
      <c r="G342" s="20" t="s">
        <v>733</v>
      </c>
      <c r="H342" s="13" t="s">
        <v>735</v>
      </c>
      <c r="I342" s="20" t="s">
        <v>2610</v>
      </c>
      <c r="J342" s="20" t="s">
        <v>35</v>
      </c>
      <c r="K342" s="13" t="s">
        <v>36</v>
      </c>
      <c r="L342" s="26"/>
      <c r="M342" s="27" t="s">
        <v>55</v>
      </c>
      <c r="N342" s="13" t="s">
        <v>40</v>
      </c>
      <c r="O342" s="13" t="s">
        <v>42</v>
      </c>
      <c r="P342" s="32"/>
      <c r="Q342" s="13" t="s">
        <v>49</v>
      </c>
      <c r="R342" s="13" t="s">
        <v>46</v>
      </c>
      <c r="S342" s="32"/>
      <c r="T342" s="32"/>
      <c r="U342" s="26"/>
      <c r="V342" s="32"/>
    </row>
    <row r="343" ht="64.5" hidden="1" customHeight="1">
      <c r="A343" s="13">
        <v>342.0</v>
      </c>
      <c r="B343" s="15">
        <v>46133.0</v>
      </c>
      <c r="C343" s="13" t="s">
        <v>47</v>
      </c>
      <c r="D343" s="13" t="s">
        <v>138</v>
      </c>
      <c r="E343" s="20" t="s">
        <v>2612</v>
      </c>
      <c r="F343" s="13" t="s">
        <v>27</v>
      </c>
      <c r="G343" s="20" t="s">
        <v>41</v>
      </c>
      <c r="H343" s="13" t="s">
        <v>294</v>
      </c>
      <c r="I343" s="20" t="s">
        <v>2614</v>
      </c>
      <c r="J343" s="20" t="s">
        <v>2615</v>
      </c>
      <c r="K343" s="13" t="s">
        <v>78</v>
      </c>
      <c r="L343" s="26"/>
      <c r="M343" s="27" t="s">
        <v>55</v>
      </c>
      <c r="N343" s="13" t="s">
        <v>56</v>
      </c>
      <c r="O343" s="13" t="s">
        <v>42</v>
      </c>
      <c r="P343" s="32"/>
      <c r="Q343" s="13" t="s">
        <v>49</v>
      </c>
      <c r="R343" s="13" t="s">
        <v>46</v>
      </c>
      <c r="S343" s="32"/>
      <c r="T343" s="32"/>
      <c r="U343" s="26"/>
      <c r="V343" s="32"/>
    </row>
    <row r="344" ht="24.75" hidden="1" customHeight="1">
      <c r="A344" s="13">
        <v>343.0</v>
      </c>
      <c r="B344" s="15">
        <v>46133.0</v>
      </c>
      <c r="C344" s="13" t="s">
        <v>21</v>
      </c>
      <c r="D344" s="13" t="s">
        <v>24</v>
      </c>
      <c r="E344" s="20" t="s">
        <v>2620</v>
      </c>
      <c r="F344" s="13">
        <v>5.3222221E8</v>
      </c>
      <c r="G344" s="20" t="s">
        <v>71</v>
      </c>
      <c r="H344" s="13" t="s">
        <v>27</v>
      </c>
      <c r="I344" s="20" t="s">
        <v>2622</v>
      </c>
      <c r="J344" s="20" t="s">
        <v>35</v>
      </c>
      <c r="K344" s="13" t="s">
        <v>36</v>
      </c>
      <c r="L344" s="26"/>
      <c r="M344" s="27" t="s">
        <v>38</v>
      </c>
      <c r="N344" s="13" t="s">
        <v>40</v>
      </c>
      <c r="O344" s="13" t="s">
        <v>42</v>
      </c>
      <c r="P344" s="32"/>
      <c r="Q344" s="13" t="s">
        <v>49</v>
      </c>
      <c r="R344" s="13" t="s">
        <v>46</v>
      </c>
      <c r="S344" s="32"/>
      <c r="T344" s="32"/>
      <c r="U344" s="26"/>
      <c r="V344" s="32"/>
    </row>
    <row r="345" ht="54.0" hidden="1" customHeight="1">
      <c r="A345" s="13">
        <v>344.0</v>
      </c>
      <c r="B345" s="15">
        <v>46133.0</v>
      </c>
      <c r="C345" s="13" t="s">
        <v>21</v>
      </c>
      <c r="D345" s="13" t="s">
        <v>57</v>
      </c>
      <c r="E345" s="20" t="s">
        <v>2628</v>
      </c>
      <c r="F345" s="13">
        <v>5.30143736E8</v>
      </c>
      <c r="G345" s="20" t="s">
        <v>333</v>
      </c>
      <c r="H345" s="13" t="s">
        <v>27</v>
      </c>
      <c r="I345" s="20" t="s">
        <v>2629</v>
      </c>
      <c r="J345" s="20" t="s">
        <v>2630</v>
      </c>
      <c r="K345" s="13" t="s">
        <v>36</v>
      </c>
      <c r="L345" s="26"/>
      <c r="M345" s="27" t="s">
        <v>38</v>
      </c>
      <c r="N345" s="13" t="s">
        <v>56</v>
      </c>
      <c r="O345" s="13" t="s">
        <v>42</v>
      </c>
      <c r="P345" s="32"/>
      <c r="Q345" s="13" t="s">
        <v>44</v>
      </c>
      <c r="R345" s="13" t="s">
        <v>68</v>
      </c>
      <c r="S345" s="32"/>
      <c r="T345" s="32"/>
      <c r="U345" s="26"/>
      <c r="V345" s="32"/>
    </row>
    <row r="346" hidden="1">
      <c r="A346" s="13">
        <v>345.0</v>
      </c>
      <c r="B346" s="15">
        <v>46133.0</v>
      </c>
      <c r="C346" s="13" t="s">
        <v>21</v>
      </c>
      <c r="D346" s="13" t="s">
        <v>24</v>
      </c>
      <c r="E346" s="20" t="s">
        <v>2636</v>
      </c>
      <c r="F346" s="13">
        <v>5.62954495E8</v>
      </c>
      <c r="G346" s="20" t="s">
        <v>71</v>
      </c>
      <c r="H346" s="13" t="s">
        <v>27</v>
      </c>
      <c r="I346" s="20" t="s">
        <v>2640</v>
      </c>
      <c r="J346" s="20"/>
      <c r="K346" s="13" t="s">
        <v>36</v>
      </c>
      <c r="L346" s="26"/>
      <c r="M346" s="27" t="s">
        <v>38</v>
      </c>
      <c r="N346" s="13" t="s">
        <v>40</v>
      </c>
      <c r="O346" s="13" t="s">
        <v>42</v>
      </c>
      <c r="P346" s="32"/>
      <c r="Q346" s="13" t="s">
        <v>44</v>
      </c>
      <c r="R346" s="13" t="s">
        <v>46</v>
      </c>
      <c r="S346" s="32"/>
      <c r="T346" s="32"/>
      <c r="U346" s="26"/>
      <c r="V346" s="32"/>
    </row>
    <row r="347" hidden="1">
      <c r="A347" s="13">
        <v>346.0</v>
      </c>
      <c r="B347" s="15">
        <v>46133.0</v>
      </c>
      <c r="C347" s="13" t="s">
        <v>47</v>
      </c>
      <c r="D347" s="13" t="s">
        <v>92</v>
      </c>
      <c r="E347" s="20" t="s">
        <v>2643</v>
      </c>
      <c r="F347" s="13">
        <v>5.50841482E8</v>
      </c>
      <c r="G347" s="20" t="s">
        <v>28</v>
      </c>
      <c r="H347" s="13" t="s">
        <v>2041</v>
      </c>
      <c r="I347" s="20" t="s">
        <v>2647</v>
      </c>
      <c r="J347" s="20"/>
      <c r="K347" s="13" t="s">
        <v>457</v>
      </c>
      <c r="L347" s="26"/>
      <c r="M347" s="27" t="s">
        <v>55</v>
      </c>
      <c r="N347" s="13" t="s">
        <v>40</v>
      </c>
      <c r="O347" s="13" t="s">
        <v>42</v>
      </c>
      <c r="P347" s="32"/>
      <c r="Q347" s="13" t="s">
        <v>44</v>
      </c>
      <c r="R347" s="13" t="s">
        <v>46</v>
      </c>
      <c r="S347" s="32"/>
      <c r="T347" s="32"/>
      <c r="U347" s="26"/>
      <c r="V347" s="32"/>
    </row>
    <row r="348" hidden="1">
      <c r="A348" s="13">
        <v>347.0</v>
      </c>
      <c r="B348" s="15">
        <v>46133.0</v>
      </c>
      <c r="C348" s="13" t="s">
        <v>21</v>
      </c>
      <c r="D348" s="13" t="s">
        <v>22</v>
      </c>
      <c r="E348" s="20" t="s">
        <v>2652</v>
      </c>
      <c r="F348" s="13">
        <v>5.50950568E8</v>
      </c>
      <c r="G348" s="20" t="s">
        <v>2653</v>
      </c>
      <c r="H348" s="13" t="s">
        <v>27</v>
      </c>
      <c r="I348" s="20" t="s">
        <v>2654</v>
      </c>
      <c r="J348" s="20"/>
      <c r="K348" s="13" t="s">
        <v>457</v>
      </c>
      <c r="L348" s="26"/>
      <c r="M348" s="27" t="s">
        <v>38</v>
      </c>
      <c r="N348" s="13" t="s">
        <v>40</v>
      </c>
      <c r="O348" s="13" t="s">
        <v>42</v>
      </c>
      <c r="P348" s="32"/>
      <c r="Q348" s="13" t="s">
        <v>44</v>
      </c>
      <c r="R348" s="13" t="s">
        <v>46</v>
      </c>
      <c r="S348" s="32"/>
      <c r="T348" s="32"/>
      <c r="U348" s="26"/>
      <c r="V348" s="32"/>
    </row>
    <row r="349" hidden="1">
      <c r="A349" s="13">
        <v>348.0</v>
      </c>
      <c r="B349" s="15">
        <v>46133.0</v>
      </c>
      <c r="C349" s="13" t="s">
        <v>21</v>
      </c>
      <c r="D349" s="13" t="s">
        <v>22</v>
      </c>
      <c r="E349" s="20" t="s">
        <v>2659</v>
      </c>
      <c r="F349" s="13">
        <v>5.05460673E8</v>
      </c>
      <c r="G349" s="20" t="s">
        <v>362</v>
      </c>
      <c r="H349" s="13" t="s">
        <v>27</v>
      </c>
      <c r="I349" s="61" t="s">
        <v>2660</v>
      </c>
      <c r="J349" s="20"/>
      <c r="K349" s="13" t="s">
        <v>62</v>
      </c>
      <c r="L349" s="26"/>
      <c r="M349" s="27" t="s">
        <v>38</v>
      </c>
      <c r="N349" s="13" t="s">
        <v>40</v>
      </c>
      <c r="O349" s="13" t="s">
        <v>42</v>
      </c>
      <c r="P349" s="32"/>
      <c r="Q349" s="13" t="s">
        <v>44</v>
      </c>
      <c r="R349" s="13" t="s">
        <v>46</v>
      </c>
      <c r="S349" s="32"/>
      <c r="T349" s="32"/>
      <c r="U349" s="26"/>
      <c r="V349" s="32"/>
    </row>
    <row r="350" hidden="1">
      <c r="A350" s="13">
        <v>349.0</v>
      </c>
      <c r="B350" s="15">
        <v>46133.0</v>
      </c>
      <c r="C350" s="13" t="s">
        <v>21</v>
      </c>
      <c r="D350" s="13" t="s">
        <v>24</v>
      </c>
      <c r="E350" s="20" t="s">
        <v>775</v>
      </c>
      <c r="F350" s="13">
        <v>5.07105084E8</v>
      </c>
      <c r="G350" s="20" t="s">
        <v>1107</v>
      </c>
      <c r="H350" s="13" t="s">
        <v>27</v>
      </c>
      <c r="I350" s="20" t="s">
        <v>2669</v>
      </c>
      <c r="J350" s="20"/>
      <c r="K350" s="13" t="s">
        <v>36</v>
      </c>
      <c r="L350" s="26"/>
      <c r="M350" s="27" t="s">
        <v>38</v>
      </c>
      <c r="N350" s="13" t="s">
        <v>40</v>
      </c>
      <c r="O350" s="13" t="s">
        <v>42</v>
      </c>
      <c r="P350" s="32"/>
      <c r="Q350" s="13" t="s">
        <v>44</v>
      </c>
      <c r="R350" s="13" t="s">
        <v>46</v>
      </c>
      <c r="S350" s="32"/>
      <c r="T350" s="32"/>
      <c r="U350" s="26"/>
      <c r="V350" s="32"/>
    </row>
    <row r="351" hidden="1">
      <c r="A351" s="13">
        <v>350.0</v>
      </c>
      <c r="B351" s="15">
        <v>46133.0</v>
      </c>
      <c r="C351" s="13" t="s">
        <v>21</v>
      </c>
      <c r="D351" s="13" t="s">
        <v>57</v>
      </c>
      <c r="E351" s="20" t="s">
        <v>2673</v>
      </c>
      <c r="F351" s="13">
        <v>5.03550686E8</v>
      </c>
      <c r="G351" s="20" t="s">
        <v>211</v>
      </c>
      <c r="H351" s="13" t="s">
        <v>27</v>
      </c>
      <c r="I351" s="20" t="s">
        <v>2675</v>
      </c>
      <c r="J351" s="20"/>
      <c r="K351" s="13" t="s">
        <v>36</v>
      </c>
      <c r="L351" s="26"/>
      <c r="M351" s="27" t="s">
        <v>38</v>
      </c>
      <c r="N351" s="13" t="s">
        <v>56</v>
      </c>
      <c r="O351" s="13" t="s">
        <v>42</v>
      </c>
      <c r="P351" s="32"/>
      <c r="Q351" s="13" t="s">
        <v>44</v>
      </c>
      <c r="R351" s="13" t="s">
        <v>68</v>
      </c>
      <c r="S351" s="32"/>
      <c r="T351" s="32"/>
      <c r="U351" s="26"/>
      <c r="V351" s="32"/>
    </row>
    <row r="352" hidden="1">
      <c r="A352" s="13">
        <v>351.0</v>
      </c>
      <c r="B352" s="15">
        <v>46133.0</v>
      </c>
      <c r="C352" s="13" t="s">
        <v>58</v>
      </c>
      <c r="D352" s="13" t="s">
        <v>34</v>
      </c>
      <c r="E352" s="13" t="s">
        <v>27</v>
      </c>
      <c r="F352" s="13">
        <v>5.34959996E8</v>
      </c>
      <c r="G352" s="13" t="s">
        <v>27</v>
      </c>
      <c r="H352" s="13" t="s">
        <v>27</v>
      </c>
      <c r="I352" s="20" t="s">
        <v>2678</v>
      </c>
      <c r="J352" s="20"/>
      <c r="K352" s="13" t="s">
        <v>36</v>
      </c>
      <c r="L352" s="26"/>
      <c r="M352" s="27" t="s">
        <v>88</v>
      </c>
      <c r="N352" s="13" t="s">
        <v>56</v>
      </c>
      <c r="O352" s="13" t="s">
        <v>42</v>
      </c>
      <c r="P352" s="32"/>
      <c r="Q352" s="13" t="s">
        <v>44</v>
      </c>
      <c r="R352" s="13" t="s">
        <v>68</v>
      </c>
      <c r="S352" s="32"/>
      <c r="T352" s="32"/>
      <c r="U352" s="26"/>
      <c r="V352" s="32"/>
    </row>
    <row r="353" ht="47.25" hidden="1" customHeight="1">
      <c r="A353" s="13">
        <v>352.0</v>
      </c>
      <c r="B353" s="15">
        <v>46133.0</v>
      </c>
      <c r="C353" s="13" t="s">
        <v>21</v>
      </c>
      <c r="D353" s="13" t="s">
        <v>22</v>
      </c>
      <c r="E353" s="20" t="s">
        <v>85</v>
      </c>
      <c r="F353" s="13">
        <v>5.54452038E8</v>
      </c>
      <c r="G353" s="20" t="s">
        <v>854</v>
      </c>
      <c r="H353" s="13" t="s">
        <v>27</v>
      </c>
      <c r="I353" s="20" t="s">
        <v>2684</v>
      </c>
      <c r="J353" s="20" t="s">
        <v>35</v>
      </c>
      <c r="K353" s="13" t="s">
        <v>321</v>
      </c>
      <c r="L353" s="26"/>
      <c r="M353" s="27" t="s">
        <v>38</v>
      </c>
      <c r="N353" s="13" t="s">
        <v>40</v>
      </c>
      <c r="O353" s="13" t="s">
        <v>42</v>
      </c>
      <c r="P353" s="32"/>
      <c r="Q353" s="13" t="s">
        <v>49</v>
      </c>
      <c r="R353" s="13" t="s">
        <v>46</v>
      </c>
      <c r="S353" s="32"/>
      <c r="T353" s="32"/>
      <c r="U353" s="26"/>
      <c r="V353" s="32"/>
    </row>
    <row r="354" hidden="1">
      <c r="A354" s="13">
        <v>353.0</v>
      </c>
      <c r="B354" s="15">
        <v>46133.0</v>
      </c>
      <c r="C354" s="13" t="s">
        <v>58</v>
      </c>
      <c r="D354" s="13" t="s">
        <v>34</v>
      </c>
      <c r="E354" s="20" t="s">
        <v>2691</v>
      </c>
      <c r="F354" s="13">
        <v>5.6099629E8</v>
      </c>
      <c r="G354" s="20" t="s">
        <v>79</v>
      </c>
      <c r="H354" s="13"/>
      <c r="I354" s="20" t="s">
        <v>298</v>
      </c>
      <c r="J354" s="20"/>
      <c r="K354" s="13" t="s">
        <v>62</v>
      </c>
      <c r="L354" s="26"/>
      <c r="M354" s="27" t="s">
        <v>88</v>
      </c>
      <c r="N354" s="13" t="s">
        <v>56</v>
      </c>
      <c r="O354" s="13" t="s">
        <v>42</v>
      </c>
      <c r="P354" s="32"/>
      <c r="Q354" s="13" t="s">
        <v>44</v>
      </c>
      <c r="R354" s="13" t="s">
        <v>68</v>
      </c>
      <c r="S354" s="32"/>
      <c r="T354" s="32"/>
      <c r="U354" s="26"/>
      <c r="V354" s="32"/>
    </row>
    <row r="355" hidden="1">
      <c r="A355" s="13">
        <v>354.0</v>
      </c>
      <c r="B355" s="15">
        <v>46134.0</v>
      </c>
      <c r="C355" s="13" t="s">
        <v>47</v>
      </c>
      <c r="D355" s="13" t="s">
        <v>24</v>
      </c>
      <c r="E355" s="20" t="s">
        <v>2695</v>
      </c>
      <c r="F355" s="13">
        <v>5.52097274E8</v>
      </c>
      <c r="G355" s="20" t="s">
        <v>41</v>
      </c>
      <c r="H355" s="13" t="s">
        <v>188</v>
      </c>
      <c r="I355" s="20" t="s">
        <v>2699</v>
      </c>
      <c r="J355" s="20" t="s">
        <v>2700</v>
      </c>
      <c r="K355" s="13" t="s">
        <v>36</v>
      </c>
      <c r="L355" s="26"/>
      <c r="M355" s="27" t="s">
        <v>55</v>
      </c>
      <c r="N355" s="13" t="s">
        <v>56</v>
      </c>
      <c r="O355" s="13" t="s">
        <v>42</v>
      </c>
      <c r="P355" s="32"/>
      <c r="Q355" s="13" t="s">
        <v>49</v>
      </c>
      <c r="R355" s="13" t="s">
        <v>68</v>
      </c>
      <c r="S355" s="32"/>
      <c r="T355" s="32"/>
      <c r="U355" s="26"/>
      <c r="V355" s="32"/>
    </row>
    <row r="356" hidden="1">
      <c r="A356" s="13">
        <v>355.0</v>
      </c>
      <c r="B356" s="15">
        <v>46134.0</v>
      </c>
      <c r="C356" s="13" t="s">
        <v>58</v>
      </c>
      <c r="D356" s="13" t="s">
        <v>60</v>
      </c>
      <c r="E356" s="13" t="s">
        <v>27</v>
      </c>
      <c r="F356" s="13">
        <v>5.36486679E8</v>
      </c>
      <c r="G356" s="13" t="s">
        <v>27</v>
      </c>
      <c r="H356" s="13" t="s">
        <v>27</v>
      </c>
      <c r="I356" s="20" t="s">
        <v>2705</v>
      </c>
      <c r="J356" s="20" t="s">
        <v>35</v>
      </c>
      <c r="K356" s="13" t="s">
        <v>36</v>
      </c>
      <c r="L356" s="26"/>
      <c r="M356" s="27" t="s">
        <v>88</v>
      </c>
      <c r="N356" s="13" t="s">
        <v>56</v>
      </c>
      <c r="O356" s="13" t="s">
        <v>42</v>
      </c>
      <c r="P356" s="32"/>
      <c r="Q356" s="13" t="s">
        <v>49</v>
      </c>
      <c r="R356" s="13" t="s">
        <v>68</v>
      </c>
      <c r="S356" s="32"/>
      <c r="T356" s="32"/>
      <c r="U356" s="26"/>
      <c r="V356" s="32"/>
    </row>
    <row r="357" hidden="1">
      <c r="A357" s="13">
        <v>356.0</v>
      </c>
      <c r="B357" s="15">
        <v>46134.0</v>
      </c>
      <c r="C357" s="13" t="s">
        <v>21</v>
      </c>
      <c r="D357" s="13" t="s">
        <v>22</v>
      </c>
      <c r="E357" s="20" t="s">
        <v>2709</v>
      </c>
      <c r="F357" s="13">
        <v>5.54542761E8</v>
      </c>
      <c r="G357" s="20" t="s">
        <v>28</v>
      </c>
      <c r="H357" s="13" t="s">
        <v>27</v>
      </c>
      <c r="I357" s="20" t="s">
        <v>2711</v>
      </c>
      <c r="J357" s="20" t="s">
        <v>35</v>
      </c>
      <c r="K357" s="13" t="s">
        <v>36</v>
      </c>
      <c r="L357" s="26"/>
      <c r="M357" s="27" t="s">
        <v>38</v>
      </c>
      <c r="N357" s="13" t="s">
        <v>40</v>
      </c>
      <c r="O357" s="13" t="s">
        <v>42</v>
      </c>
      <c r="P357" s="32"/>
      <c r="Q357" s="13" t="s">
        <v>49</v>
      </c>
      <c r="R357" s="13" t="s">
        <v>46</v>
      </c>
      <c r="S357" s="32"/>
      <c r="T357" s="32"/>
      <c r="U357" s="26"/>
      <c r="V357" s="32"/>
    </row>
    <row r="358" hidden="1">
      <c r="A358" s="13">
        <v>357.0</v>
      </c>
      <c r="B358" s="15">
        <v>46134.0</v>
      </c>
      <c r="C358" s="13" t="s">
        <v>21</v>
      </c>
      <c r="D358" s="13" t="s">
        <v>66</v>
      </c>
      <c r="E358" s="20" t="s">
        <v>2718</v>
      </c>
      <c r="F358" s="13">
        <v>5.40226195E8</v>
      </c>
      <c r="G358" s="20" t="s">
        <v>152</v>
      </c>
      <c r="H358" s="13" t="s">
        <v>27</v>
      </c>
      <c r="I358" s="20" t="s">
        <v>2720</v>
      </c>
      <c r="J358" s="20" t="s">
        <v>35</v>
      </c>
      <c r="K358" s="13" t="s">
        <v>36</v>
      </c>
      <c r="L358" s="26"/>
      <c r="M358" s="27" t="s">
        <v>38</v>
      </c>
      <c r="N358" s="13" t="s">
        <v>56</v>
      </c>
      <c r="O358" s="13" t="s">
        <v>42</v>
      </c>
      <c r="P358" s="32"/>
      <c r="Q358" s="13" t="s">
        <v>49</v>
      </c>
      <c r="R358" s="13" t="s">
        <v>68</v>
      </c>
      <c r="S358" s="32"/>
      <c r="T358" s="32"/>
      <c r="U358" s="26"/>
      <c r="V358" s="32"/>
    </row>
    <row r="359" hidden="1">
      <c r="A359" s="13">
        <v>358.0</v>
      </c>
      <c r="B359" s="15">
        <v>46134.0</v>
      </c>
      <c r="C359" s="13" t="s">
        <v>21</v>
      </c>
      <c r="D359" s="13" t="s">
        <v>22</v>
      </c>
      <c r="E359" s="20" t="s">
        <v>2724</v>
      </c>
      <c r="F359" s="13">
        <v>5.00361785E8</v>
      </c>
      <c r="G359" s="20" t="s">
        <v>908</v>
      </c>
      <c r="H359" s="13" t="s">
        <v>27</v>
      </c>
      <c r="I359" s="20" t="s">
        <v>2728</v>
      </c>
      <c r="J359" s="20" t="s">
        <v>35</v>
      </c>
      <c r="K359" s="13" t="s">
        <v>65</v>
      </c>
      <c r="L359" s="26"/>
      <c r="M359" s="27" t="s">
        <v>38</v>
      </c>
      <c r="N359" s="13" t="s">
        <v>40</v>
      </c>
      <c r="O359" s="13" t="s">
        <v>42</v>
      </c>
      <c r="P359" s="32"/>
      <c r="Q359" s="13" t="s">
        <v>49</v>
      </c>
      <c r="R359" s="13" t="s">
        <v>46</v>
      </c>
      <c r="S359" s="32"/>
      <c r="T359" s="32"/>
      <c r="U359" s="26"/>
      <c r="V359" s="32"/>
    </row>
    <row r="360" hidden="1">
      <c r="A360" s="13">
        <v>359.0</v>
      </c>
      <c r="B360" s="15">
        <v>46134.0</v>
      </c>
      <c r="C360" s="13" t="s">
        <v>21</v>
      </c>
      <c r="D360" s="13" t="s">
        <v>24</v>
      </c>
      <c r="E360" s="20" t="s">
        <v>2731</v>
      </c>
      <c r="F360" s="13">
        <v>5.55914913E8</v>
      </c>
      <c r="G360" s="20" t="s">
        <v>908</v>
      </c>
      <c r="H360" s="13" t="s">
        <v>27</v>
      </c>
      <c r="I360" s="20" t="s">
        <v>2736</v>
      </c>
      <c r="J360" s="20" t="s">
        <v>35</v>
      </c>
      <c r="K360" s="13" t="s">
        <v>36</v>
      </c>
      <c r="L360" s="26"/>
      <c r="M360" s="27" t="s">
        <v>38</v>
      </c>
      <c r="N360" s="13" t="s">
        <v>40</v>
      </c>
      <c r="O360" s="13" t="s">
        <v>42</v>
      </c>
      <c r="P360" s="32"/>
      <c r="Q360" s="13" t="s">
        <v>49</v>
      </c>
      <c r="R360" s="13" t="s">
        <v>46</v>
      </c>
      <c r="S360" s="32"/>
      <c r="T360" s="32"/>
      <c r="U360" s="26"/>
      <c r="V360" s="32"/>
    </row>
    <row r="361" ht="72.0" hidden="1" customHeight="1">
      <c r="A361" s="13">
        <v>360.0</v>
      </c>
      <c r="B361" s="15">
        <v>46134.0</v>
      </c>
      <c r="C361" s="13" t="s">
        <v>21</v>
      </c>
      <c r="D361" s="13" t="s">
        <v>48</v>
      </c>
      <c r="E361" s="20" t="s">
        <v>2498</v>
      </c>
      <c r="F361" s="13">
        <v>5.52481181E8</v>
      </c>
      <c r="G361" s="20" t="s">
        <v>2740</v>
      </c>
      <c r="H361" s="13" t="s">
        <v>27</v>
      </c>
      <c r="I361" s="20" t="s">
        <v>2742</v>
      </c>
      <c r="J361" s="20" t="s">
        <v>35</v>
      </c>
      <c r="K361" s="13" t="s">
        <v>36</v>
      </c>
      <c r="L361" s="26"/>
      <c r="M361" s="27" t="s">
        <v>38</v>
      </c>
      <c r="N361" s="13" t="s">
        <v>40</v>
      </c>
      <c r="O361" s="13" t="s">
        <v>42</v>
      </c>
      <c r="P361" s="32"/>
      <c r="Q361" s="13" t="s">
        <v>49</v>
      </c>
      <c r="R361" s="13" t="s">
        <v>68</v>
      </c>
      <c r="S361" s="32"/>
      <c r="T361" s="32"/>
      <c r="U361" s="26"/>
      <c r="V361" s="32"/>
    </row>
    <row r="362" ht="88.5" customHeight="1">
      <c r="A362" s="13">
        <v>361.0</v>
      </c>
      <c r="B362" s="15">
        <v>46134.0</v>
      </c>
      <c r="C362" s="13" t="s">
        <v>47</v>
      </c>
      <c r="D362" s="13" t="s">
        <v>48</v>
      </c>
      <c r="E362" s="20" t="s">
        <v>2523</v>
      </c>
      <c r="F362" s="13">
        <v>5.011826E8</v>
      </c>
      <c r="G362" s="20" t="s">
        <v>152</v>
      </c>
      <c r="H362" s="13" t="s">
        <v>272</v>
      </c>
      <c r="I362" s="20" t="s">
        <v>2748</v>
      </c>
      <c r="J362" s="20" t="s">
        <v>2750</v>
      </c>
      <c r="K362" s="13" t="s">
        <v>36</v>
      </c>
      <c r="L362" s="26"/>
      <c r="M362" s="27" t="s">
        <v>611</v>
      </c>
      <c r="N362" s="13" t="s">
        <v>56</v>
      </c>
      <c r="O362" s="13" t="s">
        <v>42</v>
      </c>
      <c r="P362" s="32"/>
      <c r="Q362" s="13" t="s">
        <v>49</v>
      </c>
      <c r="R362" s="13" t="s">
        <v>46</v>
      </c>
      <c r="S362" s="32"/>
      <c r="T362" s="32"/>
      <c r="U362" s="26"/>
      <c r="V362" s="32"/>
    </row>
    <row r="363" ht="57.75" hidden="1" customHeight="1">
      <c r="A363" s="13">
        <v>362.0</v>
      </c>
      <c r="B363" s="15">
        <v>46134.0</v>
      </c>
      <c r="C363" s="13" t="s">
        <v>21</v>
      </c>
      <c r="D363" s="13" t="s">
        <v>22</v>
      </c>
      <c r="E363" s="20" t="s">
        <v>1427</v>
      </c>
      <c r="F363" s="13">
        <v>5.06397546E8</v>
      </c>
      <c r="G363" s="20" t="s">
        <v>2756</v>
      </c>
      <c r="H363" s="13" t="s">
        <v>27</v>
      </c>
      <c r="I363" s="20" t="s">
        <v>2759</v>
      </c>
      <c r="J363" s="20" t="s">
        <v>35</v>
      </c>
      <c r="K363" s="13" t="s">
        <v>36</v>
      </c>
      <c r="L363" s="26"/>
      <c r="M363" s="27" t="s">
        <v>38</v>
      </c>
      <c r="N363" s="13" t="s">
        <v>40</v>
      </c>
      <c r="O363" s="13" t="s">
        <v>42</v>
      </c>
      <c r="P363" s="32"/>
      <c r="Q363" s="13" t="s">
        <v>49</v>
      </c>
      <c r="R363" s="13" t="s">
        <v>46</v>
      </c>
      <c r="S363" s="32"/>
      <c r="T363" s="32"/>
      <c r="U363" s="26"/>
      <c r="V363" s="32"/>
    </row>
    <row r="364" ht="57.75" hidden="1" customHeight="1">
      <c r="A364" s="13">
        <v>363.0</v>
      </c>
      <c r="B364" s="15">
        <v>46134.0</v>
      </c>
      <c r="C364" s="13" t="s">
        <v>47</v>
      </c>
      <c r="D364" s="13" t="s">
        <v>367</v>
      </c>
      <c r="E364" s="20" t="s">
        <v>2764</v>
      </c>
      <c r="F364" s="13">
        <v>5.5850152E8</v>
      </c>
      <c r="G364" s="20" t="s">
        <v>41</v>
      </c>
      <c r="H364" s="13" t="s">
        <v>146</v>
      </c>
      <c r="I364" s="20" t="s">
        <v>2765</v>
      </c>
      <c r="J364" s="20" t="s">
        <v>2766</v>
      </c>
      <c r="K364" s="13" t="s">
        <v>36</v>
      </c>
      <c r="L364" s="26"/>
      <c r="M364" s="27" t="s">
        <v>55</v>
      </c>
      <c r="N364" s="13" t="s">
        <v>40</v>
      </c>
      <c r="O364" s="13" t="s">
        <v>42</v>
      </c>
      <c r="P364" s="32"/>
      <c r="Q364" s="13" t="s">
        <v>49</v>
      </c>
      <c r="R364" s="13" t="s">
        <v>46</v>
      </c>
      <c r="S364" s="32"/>
      <c r="T364" s="32"/>
      <c r="U364" s="26"/>
      <c r="V364" s="32"/>
    </row>
    <row r="365" ht="76.5" hidden="1" customHeight="1">
      <c r="A365" s="13">
        <v>364.0</v>
      </c>
      <c r="B365" s="15">
        <v>46134.0</v>
      </c>
      <c r="C365" s="13" t="s">
        <v>47</v>
      </c>
      <c r="D365" s="13" t="s">
        <v>48</v>
      </c>
      <c r="E365" s="13" t="s">
        <v>2771</v>
      </c>
      <c r="F365" s="13" t="s">
        <v>27</v>
      </c>
      <c r="G365" s="20" t="s">
        <v>41</v>
      </c>
      <c r="H365" s="13" t="s">
        <v>222</v>
      </c>
      <c r="I365" s="20" t="s">
        <v>2774</v>
      </c>
      <c r="J365" s="20" t="s">
        <v>2776</v>
      </c>
      <c r="K365" s="13" t="s">
        <v>78</v>
      </c>
      <c r="L365" s="26"/>
      <c r="M365" s="75" t="s">
        <v>555</v>
      </c>
      <c r="N365" s="13" t="s">
        <v>56</v>
      </c>
      <c r="O365" s="13" t="s">
        <v>42</v>
      </c>
      <c r="P365" s="32"/>
      <c r="Q365" s="13" t="s">
        <v>49</v>
      </c>
      <c r="R365" s="13" t="s">
        <v>46</v>
      </c>
      <c r="S365" s="32"/>
      <c r="T365" s="32"/>
      <c r="U365" s="26"/>
      <c r="V365" s="32"/>
    </row>
    <row r="366" hidden="1">
      <c r="A366" s="13">
        <v>365.0</v>
      </c>
      <c r="B366" s="15">
        <v>46135.0</v>
      </c>
      <c r="C366" s="13" t="s">
        <v>21</v>
      </c>
      <c r="D366" s="13" t="s">
        <v>22</v>
      </c>
      <c r="E366" s="20" t="s">
        <v>2779</v>
      </c>
      <c r="F366" s="55">
        <v>5.6500644E8</v>
      </c>
      <c r="G366" s="20" t="s">
        <v>152</v>
      </c>
      <c r="H366" s="13" t="s">
        <v>27</v>
      </c>
      <c r="I366" s="58" t="s">
        <v>2780</v>
      </c>
      <c r="J366" s="20"/>
      <c r="K366" s="13" t="s">
        <v>457</v>
      </c>
      <c r="L366" s="26"/>
      <c r="M366" s="27" t="s">
        <v>38</v>
      </c>
      <c r="N366" s="13" t="s">
        <v>40</v>
      </c>
      <c r="O366" s="13" t="s">
        <v>42</v>
      </c>
      <c r="P366" s="32"/>
      <c r="Q366" s="13" t="s">
        <v>44</v>
      </c>
      <c r="R366" s="13" t="s">
        <v>46</v>
      </c>
      <c r="S366" s="32"/>
      <c r="T366" s="32"/>
      <c r="U366" s="26"/>
      <c r="V366" s="32"/>
    </row>
    <row r="367" ht="85.5" hidden="1" customHeight="1">
      <c r="A367" s="13">
        <v>366.0</v>
      </c>
      <c r="B367" s="15">
        <v>46135.0</v>
      </c>
      <c r="C367" s="13" t="s">
        <v>47</v>
      </c>
      <c r="D367" s="13" t="s">
        <v>48</v>
      </c>
      <c r="E367" s="20" t="s">
        <v>2786</v>
      </c>
      <c r="F367" s="13">
        <v>5.67118632E8</v>
      </c>
      <c r="G367" s="20" t="s">
        <v>41</v>
      </c>
      <c r="H367" s="13" t="s">
        <v>222</v>
      </c>
      <c r="I367" s="60" t="s">
        <v>2787</v>
      </c>
      <c r="J367" s="20"/>
      <c r="K367" s="13" t="s">
        <v>36</v>
      </c>
      <c r="L367" s="26"/>
      <c r="M367" s="75" t="s">
        <v>101</v>
      </c>
      <c r="N367" s="13" t="s">
        <v>56</v>
      </c>
      <c r="O367" s="13" t="s">
        <v>42</v>
      </c>
      <c r="P367" s="32"/>
      <c r="Q367" s="13" t="s">
        <v>44</v>
      </c>
      <c r="R367" s="13" t="s">
        <v>46</v>
      </c>
      <c r="S367" s="32"/>
      <c r="T367" s="32"/>
      <c r="U367" s="26"/>
      <c r="V367" s="32"/>
    </row>
    <row r="368" hidden="1">
      <c r="A368" s="13">
        <v>367.0</v>
      </c>
      <c r="B368" s="15">
        <v>46135.0</v>
      </c>
      <c r="C368" s="13" t="s">
        <v>47</v>
      </c>
      <c r="D368" s="13" t="s">
        <v>92</v>
      </c>
      <c r="E368" s="20" t="s">
        <v>463</v>
      </c>
      <c r="F368" s="55">
        <v>5.67371933E8</v>
      </c>
      <c r="G368" s="20" t="s">
        <v>733</v>
      </c>
      <c r="H368" s="13" t="s">
        <v>735</v>
      </c>
      <c r="I368" s="20" t="s">
        <v>2792</v>
      </c>
      <c r="J368" s="20"/>
      <c r="K368" s="13" t="s">
        <v>65</v>
      </c>
      <c r="L368" s="26"/>
      <c r="M368" s="27" t="s">
        <v>101</v>
      </c>
      <c r="N368" s="13" t="s">
        <v>40</v>
      </c>
      <c r="O368" s="13" t="s">
        <v>301</v>
      </c>
      <c r="P368" s="32"/>
      <c r="Q368" s="13" t="s">
        <v>44</v>
      </c>
      <c r="R368" s="13" t="s">
        <v>46</v>
      </c>
      <c r="S368" s="32"/>
      <c r="T368" s="32"/>
      <c r="U368" s="26"/>
      <c r="V368" s="32"/>
    </row>
    <row r="369" hidden="1">
      <c r="A369" s="13">
        <v>368.0</v>
      </c>
      <c r="B369" s="15">
        <v>46135.0</v>
      </c>
      <c r="C369" s="13" t="s">
        <v>58</v>
      </c>
      <c r="D369" s="13" t="s">
        <v>60</v>
      </c>
      <c r="E369" s="13" t="s">
        <v>27</v>
      </c>
      <c r="F369" s="13">
        <v>5.1058281E8</v>
      </c>
      <c r="G369" s="13" t="s">
        <v>27</v>
      </c>
      <c r="H369" s="13" t="s">
        <v>27</v>
      </c>
      <c r="I369" s="20" t="s">
        <v>2795</v>
      </c>
      <c r="J369" s="20"/>
      <c r="K369" s="13" t="s">
        <v>65</v>
      </c>
      <c r="L369" s="26"/>
      <c r="M369" s="27" t="s">
        <v>38</v>
      </c>
      <c r="N369" s="13" t="s">
        <v>40</v>
      </c>
      <c r="O369" s="13" t="s">
        <v>42</v>
      </c>
      <c r="P369" s="32"/>
      <c r="Q369" s="13" t="s">
        <v>44</v>
      </c>
      <c r="R369" s="13" t="s">
        <v>68</v>
      </c>
      <c r="S369" s="32"/>
      <c r="T369" s="32"/>
      <c r="U369" s="26"/>
      <c r="V369" s="32"/>
    </row>
    <row r="370" hidden="1">
      <c r="A370" s="13">
        <v>369.0</v>
      </c>
      <c r="B370" s="15">
        <v>46135.0</v>
      </c>
      <c r="C370" s="13" t="s">
        <v>58</v>
      </c>
      <c r="D370" s="13" t="s">
        <v>60</v>
      </c>
      <c r="E370" s="20" t="s">
        <v>2797</v>
      </c>
      <c r="F370" s="55">
        <v>5.07051787E8</v>
      </c>
      <c r="G370" s="13" t="s">
        <v>27</v>
      </c>
      <c r="H370" s="13" t="s">
        <v>27</v>
      </c>
      <c r="I370" s="20" t="s">
        <v>2799</v>
      </c>
      <c r="J370" s="20"/>
      <c r="K370" s="13" t="s">
        <v>62</v>
      </c>
      <c r="L370" s="26"/>
      <c r="M370" s="27" t="s">
        <v>88</v>
      </c>
      <c r="N370" s="13" t="s">
        <v>40</v>
      </c>
      <c r="O370" s="13" t="s">
        <v>42</v>
      </c>
      <c r="P370" s="32"/>
      <c r="Q370" s="13" t="s">
        <v>44</v>
      </c>
      <c r="R370" s="13" t="s">
        <v>68</v>
      </c>
      <c r="S370" s="32"/>
      <c r="T370" s="32"/>
      <c r="U370" s="26"/>
      <c r="V370" s="32"/>
    </row>
    <row r="371" hidden="1">
      <c r="A371" s="13">
        <v>370.0</v>
      </c>
      <c r="B371" s="15">
        <v>46135.0</v>
      </c>
      <c r="C371" s="13" t="s">
        <v>21</v>
      </c>
      <c r="D371" s="13" t="s">
        <v>22</v>
      </c>
      <c r="E371" s="20" t="s">
        <v>2804</v>
      </c>
      <c r="F371" s="13">
        <v>5.45508775E8</v>
      </c>
      <c r="G371" s="20" t="s">
        <v>2083</v>
      </c>
      <c r="H371" s="13" t="s">
        <v>27</v>
      </c>
      <c r="I371" s="20" t="s">
        <v>2805</v>
      </c>
      <c r="J371" s="20" t="s">
        <v>35</v>
      </c>
      <c r="K371" s="13" t="s">
        <v>457</v>
      </c>
      <c r="L371" s="26"/>
      <c r="M371" s="27" t="s">
        <v>38</v>
      </c>
      <c r="N371" s="13" t="s">
        <v>40</v>
      </c>
      <c r="O371" s="13" t="s">
        <v>42</v>
      </c>
      <c r="P371" s="32"/>
      <c r="Q371" s="13" t="s">
        <v>49</v>
      </c>
      <c r="R371" s="13" t="s">
        <v>46</v>
      </c>
      <c r="S371" s="32"/>
      <c r="T371" s="32"/>
      <c r="U371" s="26"/>
      <c r="V371" s="32"/>
    </row>
    <row r="372" hidden="1">
      <c r="A372" s="13">
        <v>371.0</v>
      </c>
      <c r="B372" s="15">
        <v>46135.0</v>
      </c>
      <c r="C372" s="13" t="s">
        <v>21</v>
      </c>
      <c r="D372" s="13" t="s">
        <v>22</v>
      </c>
      <c r="E372" s="20" t="s">
        <v>2807</v>
      </c>
      <c r="F372" s="13">
        <v>5.59642983E8</v>
      </c>
      <c r="G372" s="20" t="s">
        <v>41</v>
      </c>
      <c r="H372" s="13" t="s">
        <v>27</v>
      </c>
      <c r="I372" s="20" t="s">
        <v>2808</v>
      </c>
      <c r="J372" s="20" t="s">
        <v>35</v>
      </c>
      <c r="K372" s="13" t="s">
        <v>36</v>
      </c>
      <c r="L372" s="26"/>
      <c r="M372" s="27" t="s">
        <v>38</v>
      </c>
      <c r="N372" s="13" t="s">
        <v>40</v>
      </c>
      <c r="O372" s="13" t="s">
        <v>42</v>
      </c>
      <c r="P372" s="32"/>
      <c r="Q372" s="13" t="s">
        <v>49</v>
      </c>
      <c r="R372" s="13" t="s">
        <v>46</v>
      </c>
      <c r="S372" s="32"/>
      <c r="T372" s="32"/>
      <c r="U372" s="26"/>
      <c r="V372" s="32"/>
    </row>
    <row r="373" ht="60.0" hidden="1" customHeight="1">
      <c r="A373" s="13">
        <v>372.0</v>
      </c>
      <c r="B373" s="15">
        <v>46135.0</v>
      </c>
      <c r="C373" s="13" t="s">
        <v>47</v>
      </c>
      <c r="D373" s="13" t="s">
        <v>48</v>
      </c>
      <c r="E373" s="20" t="s">
        <v>2812</v>
      </c>
      <c r="F373" s="13">
        <v>5.83221222E8</v>
      </c>
      <c r="G373" s="20" t="s">
        <v>79</v>
      </c>
      <c r="H373" s="13" t="s">
        <v>2109</v>
      </c>
      <c r="I373" s="20" t="s">
        <v>2814</v>
      </c>
      <c r="J373" s="20" t="s">
        <v>2816</v>
      </c>
      <c r="K373" s="13" t="s">
        <v>36</v>
      </c>
      <c r="L373" s="26"/>
      <c r="M373" s="27" t="s">
        <v>55</v>
      </c>
      <c r="N373" s="13" t="s">
        <v>56</v>
      </c>
      <c r="O373" s="13" t="s">
        <v>42</v>
      </c>
      <c r="P373" s="32"/>
      <c r="Q373" s="13" t="s">
        <v>49</v>
      </c>
      <c r="R373" s="13" t="s">
        <v>46</v>
      </c>
      <c r="S373" s="32"/>
      <c r="T373" s="32"/>
      <c r="U373" s="26"/>
      <c r="V373" s="32"/>
    </row>
    <row r="374" hidden="1">
      <c r="A374" s="13">
        <v>373.0</v>
      </c>
      <c r="B374" s="15">
        <v>46135.0</v>
      </c>
      <c r="C374" s="13" t="s">
        <v>21</v>
      </c>
      <c r="D374" s="13" t="s">
        <v>22</v>
      </c>
      <c r="E374" s="20" t="s">
        <v>2820</v>
      </c>
      <c r="F374" s="13">
        <v>5.33745058E8</v>
      </c>
      <c r="G374" s="20" t="s">
        <v>2715</v>
      </c>
      <c r="H374" s="13" t="s">
        <v>27</v>
      </c>
      <c r="I374" s="20" t="s">
        <v>2821</v>
      </c>
      <c r="J374" s="20"/>
      <c r="K374" s="13" t="s">
        <v>36</v>
      </c>
      <c r="L374" s="26"/>
      <c r="M374" s="27" t="s">
        <v>38</v>
      </c>
      <c r="N374" s="13" t="s">
        <v>40</v>
      </c>
      <c r="O374" s="13" t="s">
        <v>42</v>
      </c>
      <c r="P374" s="32"/>
      <c r="Q374" s="13" t="s">
        <v>44</v>
      </c>
      <c r="R374" s="13" t="s">
        <v>46</v>
      </c>
      <c r="S374" s="32"/>
      <c r="T374" s="32"/>
      <c r="U374" s="26"/>
      <c r="V374" s="32"/>
    </row>
    <row r="375" ht="38.25" hidden="1" customHeight="1">
      <c r="A375" s="13">
        <v>374.0</v>
      </c>
      <c r="B375" s="15">
        <v>46135.0</v>
      </c>
      <c r="C375" s="13" t="s">
        <v>21</v>
      </c>
      <c r="D375" s="13" t="s">
        <v>48</v>
      </c>
      <c r="E375" s="20" t="s">
        <v>2825</v>
      </c>
      <c r="F375" s="13">
        <v>5.60205882E8</v>
      </c>
      <c r="G375" s="20" t="s">
        <v>41</v>
      </c>
      <c r="H375" s="13" t="s">
        <v>791</v>
      </c>
      <c r="I375" s="20" t="s">
        <v>2828</v>
      </c>
      <c r="J375" s="20" t="s">
        <v>2829</v>
      </c>
      <c r="K375" s="13" t="s">
        <v>36</v>
      </c>
      <c r="L375" s="26"/>
      <c r="M375" s="27" t="s">
        <v>38</v>
      </c>
      <c r="N375" s="13" t="s">
        <v>56</v>
      </c>
      <c r="O375" s="13" t="s">
        <v>42</v>
      </c>
      <c r="P375" s="32"/>
      <c r="Q375" s="13" t="s">
        <v>49</v>
      </c>
      <c r="R375" s="13" t="s">
        <v>68</v>
      </c>
      <c r="S375" s="32"/>
      <c r="T375" s="32"/>
      <c r="U375" s="26"/>
      <c r="V375" s="32"/>
    </row>
    <row r="376" ht="23.25" hidden="1" customHeight="1">
      <c r="A376" s="13">
        <v>375.0</v>
      </c>
      <c r="B376" s="15">
        <v>46135.0</v>
      </c>
      <c r="C376" s="13" t="s">
        <v>21</v>
      </c>
      <c r="D376" s="13" t="s">
        <v>92</v>
      </c>
      <c r="E376" s="20" t="s">
        <v>2831</v>
      </c>
      <c r="F376" s="13">
        <v>5.11071983E8</v>
      </c>
      <c r="G376" s="20" t="s">
        <v>41</v>
      </c>
      <c r="H376" s="13" t="s">
        <v>27</v>
      </c>
      <c r="I376" s="20" t="s">
        <v>2834</v>
      </c>
      <c r="J376" s="20" t="s">
        <v>2835</v>
      </c>
      <c r="K376" s="13" t="s">
        <v>36</v>
      </c>
      <c r="L376" s="26"/>
      <c r="M376" s="27" t="s">
        <v>38</v>
      </c>
      <c r="N376" s="13" t="s">
        <v>56</v>
      </c>
      <c r="O376" s="13" t="s">
        <v>42</v>
      </c>
      <c r="P376" s="32"/>
      <c r="Q376" s="13" t="s">
        <v>49</v>
      </c>
      <c r="R376" s="13" t="s">
        <v>68</v>
      </c>
      <c r="S376" s="32"/>
      <c r="T376" s="32"/>
      <c r="U376" s="26"/>
      <c r="V376" s="32"/>
    </row>
    <row r="377" ht="90.75" hidden="1" customHeight="1">
      <c r="A377" s="13">
        <v>376.0</v>
      </c>
      <c r="B377" s="15">
        <v>46135.0</v>
      </c>
      <c r="C377" s="13" t="s">
        <v>47</v>
      </c>
      <c r="D377" s="13" t="s">
        <v>48</v>
      </c>
      <c r="E377" s="20" t="s">
        <v>2839</v>
      </c>
      <c r="F377" s="13">
        <v>5.55527822E8</v>
      </c>
      <c r="G377" s="20" t="s">
        <v>41</v>
      </c>
      <c r="H377" s="13" t="s">
        <v>222</v>
      </c>
      <c r="I377" s="20" t="s">
        <v>2842</v>
      </c>
      <c r="J377" s="20" t="s">
        <v>2843</v>
      </c>
      <c r="K377" s="13" t="s">
        <v>36</v>
      </c>
      <c r="L377" s="26"/>
      <c r="M377" s="75" t="s">
        <v>555</v>
      </c>
      <c r="N377" s="13" t="s">
        <v>56</v>
      </c>
      <c r="O377" s="13" t="s">
        <v>42</v>
      </c>
      <c r="P377" s="32"/>
      <c r="Q377" s="13" t="s">
        <v>49</v>
      </c>
      <c r="R377" s="13" t="s">
        <v>46</v>
      </c>
      <c r="S377" s="32"/>
      <c r="T377" s="32"/>
      <c r="U377" s="26"/>
      <c r="V377" s="32"/>
    </row>
    <row r="378" hidden="1">
      <c r="A378" s="13">
        <v>377.0</v>
      </c>
      <c r="B378" s="15">
        <v>46135.0</v>
      </c>
      <c r="C378" s="13" t="s">
        <v>47</v>
      </c>
      <c r="D378" s="13" t="s">
        <v>48</v>
      </c>
      <c r="E378" s="13" t="s">
        <v>2847</v>
      </c>
      <c r="F378" s="13" t="s">
        <v>27</v>
      </c>
      <c r="G378" s="20" t="s">
        <v>41</v>
      </c>
      <c r="H378" s="13" t="s">
        <v>414</v>
      </c>
      <c r="I378" s="20" t="s">
        <v>2848</v>
      </c>
      <c r="J378" s="20" t="s">
        <v>2849</v>
      </c>
      <c r="K378" s="13" t="s">
        <v>78</v>
      </c>
      <c r="L378" s="26"/>
      <c r="M378" s="27" t="s">
        <v>55</v>
      </c>
      <c r="N378" s="13" t="s">
        <v>56</v>
      </c>
      <c r="O378" s="13" t="s">
        <v>42</v>
      </c>
      <c r="P378" s="32"/>
      <c r="Q378" s="13" t="s">
        <v>49</v>
      </c>
      <c r="R378" s="13" t="s">
        <v>46</v>
      </c>
      <c r="S378" s="32"/>
      <c r="T378" s="32"/>
      <c r="U378" s="26"/>
      <c r="V378" s="32"/>
    </row>
    <row r="379" ht="31.5" hidden="1" customHeight="1">
      <c r="A379" s="13">
        <v>378.0</v>
      </c>
      <c r="B379" s="15">
        <v>46135.0</v>
      </c>
      <c r="C379" s="13" t="s">
        <v>58</v>
      </c>
      <c r="D379" s="13" t="s">
        <v>34</v>
      </c>
      <c r="E379" s="20" t="s">
        <v>1103</v>
      </c>
      <c r="F379" s="13">
        <v>5.3586402E8</v>
      </c>
      <c r="G379" s="20" t="s">
        <v>447</v>
      </c>
      <c r="H379" s="13" t="s">
        <v>27</v>
      </c>
      <c r="I379" s="20" t="s">
        <v>2854</v>
      </c>
      <c r="J379" s="20" t="s">
        <v>35</v>
      </c>
      <c r="K379" s="13" t="s">
        <v>36</v>
      </c>
      <c r="L379" s="26"/>
      <c r="M379" s="27" t="s">
        <v>88</v>
      </c>
      <c r="N379" s="13" t="s">
        <v>56</v>
      </c>
      <c r="O379" s="13" t="s">
        <v>42</v>
      </c>
      <c r="P379" s="32"/>
      <c r="Q379" s="13" t="s">
        <v>49</v>
      </c>
      <c r="R379" s="13" t="s">
        <v>68</v>
      </c>
      <c r="S379" s="32"/>
      <c r="T379" s="32"/>
      <c r="U379" s="26"/>
      <c r="V379" s="32"/>
    </row>
    <row r="380" ht="24.0" hidden="1" customHeight="1">
      <c r="A380" s="13">
        <v>379.0</v>
      </c>
      <c r="B380" s="15">
        <v>46135.0</v>
      </c>
      <c r="C380" s="13" t="s">
        <v>21</v>
      </c>
      <c r="D380" s="13" t="s">
        <v>57</v>
      </c>
      <c r="E380" s="20" t="s">
        <v>2857</v>
      </c>
      <c r="F380" s="13">
        <v>5.52544078E8</v>
      </c>
      <c r="G380" s="20"/>
      <c r="H380" s="13"/>
      <c r="I380" s="20" t="s">
        <v>2860</v>
      </c>
      <c r="J380" s="20"/>
      <c r="K380" s="13" t="s">
        <v>36</v>
      </c>
      <c r="L380" s="26"/>
      <c r="M380" s="27" t="s">
        <v>38</v>
      </c>
      <c r="N380" s="13" t="s">
        <v>40</v>
      </c>
      <c r="O380" s="13" t="s">
        <v>42</v>
      </c>
      <c r="P380" s="32"/>
      <c r="Q380" s="13" t="s">
        <v>44</v>
      </c>
      <c r="R380" s="13" t="s">
        <v>68</v>
      </c>
      <c r="S380" s="32"/>
      <c r="T380" s="32"/>
      <c r="U380" s="26"/>
      <c r="V380" s="32"/>
    </row>
    <row r="381" hidden="1">
      <c r="A381" s="13">
        <v>380.0</v>
      </c>
      <c r="B381" s="15">
        <v>46135.0</v>
      </c>
      <c r="C381" s="13" t="s">
        <v>21</v>
      </c>
      <c r="D381" s="13" t="s">
        <v>24</v>
      </c>
      <c r="E381" s="20" t="s">
        <v>2866</v>
      </c>
      <c r="F381" s="13">
        <v>5.53818856E8</v>
      </c>
      <c r="G381" s="20" t="s">
        <v>447</v>
      </c>
      <c r="H381" s="13" t="s">
        <v>27</v>
      </c>
      <c r="I381" s="20" t="s">
        <v>2869</v>
      </c>
      <c r="J381" s="20"/>
      <c r="K381" s="13" t="s">
        <v>36</v>
      </c>
      <c r="L381" s="26"/>
      <c r="M381" s="27" t="s">
        <v>38</v>
      </c>
      <c r="N381" s="13" t="s">
        <v>40</v>
      </c>
      <c r="O381" s="13" t="s">
        <v>42</v>
      </c>
      <c r="P381" s="32"/>
      <c r="Q381" s="13" t="s">
        <v>44</v>
      </c>
      <c r="R381" s="13" t="s">
        <v>46</v>
      </c>
      <c r="S381" s="32"/>
      <c r="T381" s="32"/>
      <c r="U381" s="26"/>
      <c r="V381" s="32"/>
    </row>
    <row r="382" hidden="1">
      <c r="A382" s="13">
        <v>381.0</v>
      </c>
      <c r="B382" s="15">
        <v>46135.0</v>
      </c>
      <c r="C382" s="13" t="s">
        <v>58</v>
      </c>
      <c r="D382" s="13" t="s">
        <v>60</v>
      </c>
      <c r="E382" s="13" t="s">
        <v>27</v>
      </c>
      <c r="F382" s="13">
        <v>5.43198733E8</v>
      </c>
      <c r="G382" s="13" t="s">
        <v>27</v>
      </c>
      <c r="H382" s="13" t="s">
        <v>27</v>
      </c>
      <c r="I382" s="20" t="s">
        <v>554</v>
      </c>
      <c r="J382" s="20" t="s">
        <v>35</v>
      </c>
      <c r="K382" s="13" t="s">
        <v>36</v>
      </c>
      <c r="L382" s="26"/>
      <c r="M382" s="27" t="s">
        <v>88</v>
      </c>
      <c r="N382" s="13" t="s">
        <v>56</v>
      </c>
      <c r="O382" s="13" t="s">
        <v>42</v>
      </c>
      <c r="P382" s="32"/>
      <c r="Q382" s="13" t="s">
        <v>49</v>
      </c>
      <c r="R382" s="13" t="s">
        <v>68</v>
      </c>
      <c r="S382" s="32"/>
      <c r="T382" s="32"/>
      <c r="U382" s="26"/>
      <c r="V382" s="32"/>
    </row>
    <row r="383" ht="33.0" hidden="1" customHeight="1">
      <c r="A383" s="13">
        <v>382.0</v>
      </c>
      <c r="B383" s="15">
        <v>46135.0</v>
      </c>
      <c r="C383" s="13" t="s">
        <v>58</v>
      </c>
      <c r="D383" s="13" t="s">
        <v>60</v>
      </c>
      <c r="E383" s="20" t="s">
        <v>2797</v>
      </c>
      <c r="F383" s="13">
        <v>5.44470727E8</v>
      </c>
      <c r="G383" s="20" t="s">
        <v>2875</v>
      </c>
      <c r="H383" s="13" t="s">
        <v>27</v>
      </c>
      <c r="I383" s="20" t="s">
        <v>2876</v>
      </c>
      <c r="J383" s="20" t="s">
        <v>2877</v>
      </c>
      <c r="K383" s="13" t="s">
        <v>36</v>
      </c>
      <c r="L383" s="26"/>
      <c r="M383" s="27" t="s">
        <v>88</v>
      </c>
      <c r="N383" s="13" t="s">
        <v>56</v>
      </c>
      <c r="O383" s="13" t="s">
        <v>42</v>
      </c>
      <c r="P383" s="32"/>
      <c r="Q383" s="13" t="s">
        <v>49</v>
      </c>
      <c r="R383" s="13" t="s">
        <v>68</v>
      </c>
      <c r="S383" s="32"/>
      <c r="T383" s="32"/>
      <c r="U383" s="26"/>
      <c r="V383" s="32"/>
    </row>
    <row r="384" ht="60.75" hidden="1" customHeight="1">
      <c r="A384" s="13">
        <v>383.0</v>
      </c>
      <c r="B384" s="15">
        <v>46135.0</v>
      </c>
      <c r="C384" s="13" t="s">
        <v>47</v>
      </c>
      <c r="D384" s="13" t="s">
        <v>48</v>
      </c>
      <c r="E384" s="20" t="s">
        <v>2881</v>
      </c>
      <c r="F384" s="13">
        <v>5.44359028E8</v>
      </c>
      <c r="G384" s="20" t="s">
        <v>41</v>
      </c>
      <c r="H384" s="13" t="s">
        <v>222</v>
      </c>
      <c r="I384" s="20" t="s">
        <v>2883</v>
      </c>
      <c r="J384" s="20" t="s">
        <v>2884</v>
      </c>
      <c r="K384" s="13" t="s">
        <v>36</v>
      </c>
      <c r="L384" s="26"/>
      <c r="M384" s="75" t="s">
        <v>101</v>
      </c>
      <c r="N384" s="13" t="s">
        <v>56</v>
      </c>
      <c r="O384" s="13" t="s">
        <v>42</v>
      </c>
      <c r="P384" s="32"/>
      <c r="Q384" s="13" t="s">
        <v>49</v>
      </c>
      <c r="R384" s="13" t="s">
        <v>46</v>
      </c>
      <c r="S384" s="32"/>
      <c r="T384" s="32"/>
      <c r="U384" s="26"/>
      <c r="V384" s="32"/>
    </row>
    <row r="385" hidden="1">
      <c r="A385" s="13">
        <v>384.0</v>
      </c>
      <c r="B385" s="15">
        <v>46135.0</v>
      </c>
      <c r="C385" s="13" t="s">
        <v>21</v>
      </c>
      <c r="D385" s="13" t="s">
        <v>22</v>
      </c>
      <c r="E385" s="20" t="s">
        <v>2887</v>
      </c>
      <c r="F385" s="13">
        <v>5.0547987E8</v>
      </c>
      <c r="G385" s="20" t="s">
        <v>362</v>
      </c>
      <c r="H385" s="13" t="s">
        <v>27</v>
      </c>
      <c r="I385" s="20" t="s">
        <v>2888</v>
      </c>
      <c r="J385" s="20"/>
      <c r="K385" s="13" t="s">
        <v>36</v>
      </c>
      <c r="L385" s="26"/>
      <c r="M385" s="27" t="s">
        <v>38</v>
      </c>
      <c r="N385" s="13" t="s">
        <v>40</v>
      </c>
      <c r="O385" s="13" t="s">
        <v>42</v>
      </c>
      <c r="P385" s="32"/>
      <c r="Q385" s="13" t="s">
        <v>44</v>
      </c>
      <c r="R385" s="13" t="s">
        <v>46</v>
      </c>
      <c r="S385" s="32"/>
      <c r="T385" s="32"/>
      <c r="U385" s="26"/>
      <c r="V385" s="32"/>
    </row>
    <row r="386" hidden="1">
      <c r="A386" s="13">
        <v>385.0</v>
      </c>
      <c r="B386" s="15">
        <v>46138.0</v>
      </c>
      <c r="C386" s="13" t="s">
        <v>47</v>
      </c>
      <c r="D386" s="13" t="s">
        <v>48</v>
      </c>
      <c r="E386" s="20" t="s">
        <v>2894</v>
      </c>
      <c r="F386" s="55">
        <v>5.68430118E8</v>
      </c>
      <c r="G386" s="20" t="s">
        <v>79</v>
      </c>
      <c r="H386" s="13" t="s">
        <v>638</v>
      </c>
      <c r="I386" s="20" t="s">
        <v>2895</v>
      </c>
      <c r="J386" s="20" t="s">
        <v>2896</v>
      </c>
      <c r="K386" s="13" t="s">
        <v>65</v>
      </c>
      <c r="L386" s="26"/>
      <c r="M386" s="27" t="s">
        <v>55</v>
      </c>
      <c r="N386" s="13" t="s">
        <v>56</v>
      </c>
      <c r="O386" s="13" t="s">
        <v>42</v>
      </c>
      <c r="P386" s="32"/>
      <c r="Q386" s="13" t="s">
        <v>44</v>
      </c>
      <c r="R386" s="13" t="s">
        <v>46</v>
      </c>
      <c r="S386" s="32"/>
      <c r="T386" s="32"/>
      <c r="U386" s="26"/>
      <c r="V386" s="32"/>
    </row>
    <row r="387" hidden="1">
      <c r="A387" s="13">
        <v>386.0</v>
      </c>
      <c r="B387" s="15">
        <v>46138.0</v>
      </c>
      <c r="C387" s="13" t="s">
        <v>58</v>
      </c>
      <c r="D387" s="13" t="s">
        <v>60</v>
      </c>
      <c r="E387" s="13" t="s">
        <v>27</v>
      </c>
      <c r="F387" s="13">
        <v>5.06378089E8</v>
      </c>
      <c r="G387" s="13" t="s">
        <v>27</v>
      </c>
      <c r="H387" s="13" t="s">
        <v>27</v>
      </c>
      <c r="I387" s="20" t="s">
        <v>2903</v>
      </c>
      <c r="J387" s="20"/>
      <c r="K387" s="13" t="s">
        <v>65</v>
      </c>
      <c r="L387" s="26"/>
      <c r="M387" s="27" t="s">
        <v>38</v>
      </c>
      <c r="N387" s="13" t="s">
        <v>40</v>
      </c>
      <c r="O387" s="13" t="s">
        <v>42</v>
      </c>
      <c r="P387" s="32"/>
      <c r="Q387" s="13" t="s">
        <v>44</v>
      </c>
      <c r="R387" s="13" t="s">
        <v>68</v>
      </c>
      <c r="S387" s="32"/>
      <c r="T387" s="32"/>
      <c r="U387" s="26"/>
      <c r="V387" s="32"/>
    </row>
    <row r="388" hidden="1">
      <c r="A388" s="13">
        <v>387.0</v>
      </c>
      <c r="B388" s="15">
        <v>46138.0</v>
      </c>
      <c r="C388" s="13" t="s">
        <v>58</v>
      </c>
      <c r="D388" s="13" t="s">
        <v>60</v>
      </c>
      <c r="E388" s="13" t="s">
        <v>27</v>
      </c>
      <c r="F388" s="55">
        <v>5.44017756E8</v>
      </c>
      <c r="G388" s="13" t="s">
        <v>27</v>
      </c>
      <c r="H388" s="13" t="s">
        <v>27</v>
      </c>
      <c r="I388" s="20" t="s">
        <v>2910</v>
      </c>
      <c r="J388" s="20"/>
      <c r="K388" s="13" t="s">
        <v>65</v>
      </c>
      <c r="L388" s="26"/>
      <c r="M388" s="27" t="s">
        <v>38</v>
      </c>
      <c r="N388" s="13" t="s">
        <v>40</v>
      </c>
      <c r="O388" s="13" t="s">
        <v>42</v>
      </c>
      <c r="P388" s="32"/>
      <c r="Q388" s="13" t="s">
        <v>44</v>
      </c>
      <c r="R388" s="13" t="s">
        <v>68</v>
      </c>
      <c r="S388" s="32"/>
      <c r="T388" s="32"/>
      <c r="U388" s="26"/>
      <c r="V388" s="32"/>
    </row>
    <row r="389" hidden="1">
      <c r="A389" s="13">
        <v>388.0</v>
      </c>
      <c r="B389" s="15">
        <v>46138.0</v>
      </c>
      <c r="C389" s="13" t="s">
        <v>58</v>
      </c>
      <c r="D389" s="13" t="s">
        <v>60</v>
      </c>
      <c r="E389" s="13" t="s">
        <v>27</v>
      </c>
      <c r="F389" s="13">
        <v>5.54047558E8</v>
      </c>
      <c r="G389" s="13" t="s">
        <v>27</v>
      </c>
      <c r="H389" s="13" t="s">
        <v>27</v>
      </c>
      <c r="I389" s="20" t="s">
        <v>2914</v>
      </c>
      <c r="J389" s="20"/>
      <c r="K389" s="13" t="s">
        <v>65</v>
      </c>
      <c r="L389" s="26"/>
      <c r="M389" s="27" t="s">
        <v>38</v>
      </c>
      <c r="N389" s="13" t="s">
        <v>40</v>
      </c>
      <c r="O389" s="13" t="s">
        <v>42</v>
      </c>
      <c r="P389" s="32"/>
      <c r="Q389" s="13" t="s">
        <v>44</v>
      </c>
      <c r="R389" s="13" t="s">
        <v>68</v>
      </c>
      <c r="S389" s="32"/>
      <c r="T389" s="32"/>
      <c r="U389" s="26"/>
      <c r="V389" s="32"/>
    </row>
    <row r="390" hidden="1">
      <c r="A390" s="13">
        <v>389.0</v>
      </c>
      <c r="B390" s="15">
        <v>46138.0</v>
      </c>
      <c r="C390" s="13" t="s">
        <v>58</v>
      </c>
      <c r="D390" s="13" t="s">
        <v>60</v>
      </c>
      <c r="E390" s="13" t="s">
        <v>27</v>
      </c>
      <c r="F390" s="55">
        <v>5.92661318E8</v>
      </c>
      <c r="G390" s="13" t="s">
        <v>27</v>
      </c>
      <c r="H390" s="13" t="s">
        <v>27</v>
      </c>
      <c r="I390" s="20" t="s">
        <v>2919</v>
      </c>
      <c r="J390" s="20" t="s">
        <v>2920</v>
      </c>
      <c r="K390" s="13" t="s">
        <v>65</v>
      </c>
      <c r="L390" s="26"/>
      <c r="M390" s="27" t="s">
        <v>88</v>
      </c>
      <c r="N390" s="13" t="s">
        <v>40</v>
      </c>
      <c r="O390" s="13" t="s">
        <v>42</v>
      </c>
      <c r="P390" s="32"/>
      <c r="Q390" s="13" t="s">
        <v>44</v>
      </c>
      <c r="R390" s="13" t="s">
        <v>68</v>
      </c>
      <c r="S390" s="32"/>
      <c r="T390" s="32"/>
      <c r="U390" s="26"/>
      <c r="V390" s="32"/>
    </row>
    <row r="391" ht="73.5" hidden="1" customHeight="1">
      <c r="A391" s="13">
        <v>390.0</v>
      </c>
      <c r="B391" s="15">
        <v>46138.0</v>
      </c>
      <c r="C391" s="13" t="s">
        <v>47</v>
      </c>
      <c r="D391" s="13" t="s">
        <v>92</v>
      </c>
      <c r="E391" s="20" t="s">
        <v>2924</v>
      </c>
      <c r="F391" s="13">
        <v>5.0708207E8</v>
      </c>
      <c r="G391" s="20" t="s">
        <v>71</v>
      </c>
      <c r="H391" s="13" t="s">
        <v>94</v>
      </c>
      <c r="I391" s="20" t="s">
        <v>2925</v>
      </c>
      <c r="J391" s="20" t="s">
        <v>2926</v>
      </c>
      <c r="K391" s="13" t="s">
        <v>65</v>
      </c>
      <c r="L391" s="26"/>
      <c r="M391" s="27" t="s">
        <v>221</v>
      </c>
      <c r="N391" s="13" t="s">
        <v>56</v>
      </c>
      <c r="O391" s="13" t="s">
        <v>301</v>
      </c>
      <c r="P391" s="32"/>
      <c r="Q391" s="13" t="s">
        <v>44</v>
      </c>
      <c r="R391" s="13" t="s">
        <v>46</v>
      </c>
      <c r="S391" s="32"/>
      <c r="T391" s="32"/>
      <c r="U391" s="26"/>
      <c r="V391" s="32"/>
    </row>
    <row r="392" hidden="1">
      <c r="A392" s="13">
        <v>391.0</v>
      </c>
      <c r="B392" s="15">
        <v>46138.0</v>
      </c>
      <c r="C392" s="13" t="s">
        <v>21</v>
      </c>
      <c r="D392" s="13" t="s">
        <v>24</v>
      </c>
      <c r="E392" s="20" t="s">
        <v>2930</v>
      </c>
      <c r="F392" s="55">
        <v>5.99220227E8</v>
      </c>
      <c r="G392" s="20" t="s">
        <v>152</v>
      </c>
      <c r="H392" s="13" t="s">
        <v>27</v>
      </c>
      <c r="I392" s="20" t="s">
        <v>2932</v>
      </c>
      <c r="J392" s="20"/>
      <c r="K392" s="13" t="s">
        <v>65</v>
      </c>
      <c r="L392" s="26"/>
      <c r="M392" s="27" t="s">
        <v>38</v>
      </c>
      <c r="N392" s="13" t="s">
        <v>40</v>
      </c>
      <c r="O392" s="13" t="s">
        <v>42</v>
      </c>
      <c r="P392" s="32"/>
      <c r="Q392" s="13" t="s">
        <v>44</v>
      </c>
      <c r="R392" s="13" t="s">
        <v>46</v>
      </c>
      <c r="S392" s="32"/>
      <c r="T392" s="32"/>
      <c r="U392" s="26"/>
      <c r="V392" s="32"/>
    </row>
    <row r="393" hidden="1">
      <c r="A393" s="13">
        <v>392.0</v>
      </c>
      <c r="B393" s="15">
        <v>46138.0</v>
      </c>
      <c r="C393" s="13" t="s">
        <v>58</v>
      </c>
      <c r="D393" s="13" t="s">
        <v>60</v>
      </c>
      <c r="E393" s="13" t="s">
        <v>27</v>
      </c>
      <c r="F393" s="13">
        <v>5.01284219E8</v>
      </c>
      <c r="G393" s="13" t="s">
        <v>27</v>
      </c>
      <c r="H393" s="13" t="s">
        <v>27</v>
      </c>
      <c r="I393" s="20" t="s">
        <v>554</v>
      </c>
      <c r="J393" s="20"/>
      <c r="K393" s="13" t="s">
        <v>65</v>
      </c>
      <c r="L393" s="26"/>
      <c r="M393" s="27" t="s">
        <v>88</v>
      </c>
      <c r="N393" s="13" t="s">
        <v>40</v>
      </c>
      <c r="O393" s="13" t="s">
        <v>42</v>
      </c>
      <c r="P393" s="32"/>
      <c r="Q393" s="13" t="s">
        <v>44</v>
      </c>
      <c r="R393" s="13" t="s">
        <v>68</v>
      </c>
      <c r="S393" s="32"/>
      <c r="T393" s="32"/>
      <c r="U393" s="26"/>
      <c r="V393" s="32"/>
    </row>
    <row r="394" hidden="1">
      <c r="A394" s="13">
        <v>393.0</v>
      </c>
      <c r="B394" s="15">
        <v>46138.0</v>
      </c>
      <c r="C394" s="13" t="s">
        <v>58</v>
      </c>
      <c r="D394" s="13" t="s">
        <v>60</v>
      </c>
      <c r="E394" s="13" t="s">
        <v>27</v>
      </c>
      <c r="F394" s="55">
        <v>5.54803205E8</v>
      </c>
      <c r="G394" s="13" t="s">
        <v>27</v>
      </c>
      <c r="H394" s="13" t="s">
        <v>27</v>
      </c>
      <c r="I394" s="20" t="s">
        <v>2947</v>
      </c>
      <c r="J394" s="20"/>
      <c r="K394" s="13" t="s">
        <v>65</v>
      </c>
      <c r="L394" s="26"/>
      <c r="M394" s="27" t="s">
        <v>38</v>
      </c>
      <c r="N394" s="13" t="s">
        <v>40</v>
      </c>
      <c r="O394" s="13" t="s">
        <v>42</v>
      </c>
      <c r="P394" s="32"/>
      <c r="Q394" s="13" t="s">
        <v>44</v>
      </c>
      <c r="R394" s="13" t="s">
        <v>68</v>
      </c>
      <c r="S394" s="32"/>
      <c r="T394" s="32"/>
      <c r="U394" s="26"/>
      <c r="V394" s="32"/>
    </row>
    <row r="395" hidden="1">
      <c r="A395" s="13">
        <v>394.0</v>
      </c>
      <c r="B395" s="15">
        <v>46138.0</v>
      </c>
      <c r="C395" s="13" t="s">
        <v>58</v>
      </c>
      <c r="D395" s="13" t="s">
        <v>60</v>
      </c>
      <c r="E395" s="20" t="s">
        <v>2950</v>
      </c>
      <c r="F395" s="13">
        <v>5.05766084E8</v>
      </c>
      <c r="G395" s="20" t="s">
        <v>79</v>
      </c>
      <c r="H395" s="13" t="s">
        <v>451</v>
      </c>
      <c r="I395" s="20" t="s">
        <v>2952</v>
      </c>
      <c r="J395" s="20" t="s">
        <v>2953</v>
      </c>
      <c r="K395" s="13" t="s">
        <v>65</v>
      </c>
      <c r="L395" s="26"/>
      <c r="M395" s="27" t="s">
        <v>88</v>
      </c>
      <c r="N395" s="13" t="s">
        <v>56</v>
      </c>
      <c r="O395" s="13" t="s">
        <v>42</v>
      </c>
      <c r="P395" s="32"/>
      <c r="Q395" s="13" t="s">
        <v>44</v>
      </c>
      <c r="R395" s="13" t="s">
        <v>68</v>
      </c>
      <c r="S395" s="32"/>
      <c r="T395" s="32"/>
      <c r="U395" s="26"/>
      <c r="V395" s="32"/>
    </row>
    <row r="396" hidden="1">
      <c r="A396" s="13">
        <v>395.0</v>
      </c>
      <c r="B396" s="15">
        <v>46138.0</v>
      </c>
      <c r="C396" s="13" t="s">
        <v>21</v>
      </c>
      <c r="D396" s="13" t="s">
        <v>57</v>
      </c>
      <c r="E396" s="13" t="s">
        <v>27</v>
      </c>
      <c r="F396" s="13">
        <v>5.50020786E8</v>
      </c>
      <c r="G396" s="13" t="s">
        <v>27</v>
      </c>
      <c r="H396" s="13" t="s">
        <v>27</v>
      </c>
      <c r="I396" s="20" t="s">
        <v>2956</v>
      </c>
      <c r="J396" s="20"/>
      <c r="K396" s="13" t="s">
        <v>62</v>
      </c>
      <c r="L396" s="26"/>
      <c r="M396" s="27" t="s">
        <v>38</v>
      </c>
      <c r="N396" s="13" t="s">
        <v>40</v>
      </c>
      <c r="O396" s="13" t="s">
        <v>42</v>
      </c>
      <c r="P396" s="32"/>
      <c r="Q396" s="13" t="s">
        <v>44</v>
      </c>
      <c r="R396" s="13" t="s">
        <v>68</v>
      </c>
      <c r="S396" s="32"/>
      <c r="T396" s="32"/>
      <c r="U396" s="26"/>
      <c r="V396" s="32"/>
    </row>
    <row r="397" hidden="1">
      <c r="A397" s="13">
        <v>396.0</v>
      </c>
      <c r="B397" s="15">
        <v>46138.0</v>
      </c>
      <c r="C397" s="13" t="s">
        <v>21</v>
      </c>
      <c r="D397" s="13" t="s">
        <v>24</v>
      </c>
      <c r="E397" s="20" t="s">
        <v>2960</v>
      </c>
      <c r="F397" s="13">
        <v>5.56361437E8</v>
      </c>
      <c r="G397" s="20" t="s">
        <v>41</v>
      </c>
      <c r="H397" s="13" t="s">
        <v>27</v>
      </c>
      <c r="I397" s="20" t="s">
        <v>2962</v>
      </c>
      <c r="J397" s="20"/>
      <c r="K397" s="13" t="s">
        <v>36</v>
      </c>
      <c r="L397" s="26"/>
      <c r="M397" s="27" t="s">
        <v>38</v>
      </c>
      <c r="N397" s="13" t="s">
        <v>40</v>
      </c>
      <c r="O397" s="13" t="s">
        <v>42</v>
      </c>
      <c r="P397" s="32"/>
      <c r="Q397" s="13" t="s">
        <v>44</v>
      </c>
      <c r="R397" s="13" t="s">
        <v>46</v>
      </c>
      <c r="S397" s="32"/>
      <c r="T397" s="32"/>
      <c r="U397" s="26"/>
      <c r="V397" s="32"/>
    </row>
    <row r="398" hidden="1">
      <c r="A398" s="13">
        <v>397.0</v>
      </c>
      <c r="B398" s="15">
        <v>46138.0</v>
      </c>
      <c r="C398" s="13" t="s">
        <v>58</v>
      </c>
      <c r="D398" s="13" t="s">
        <v>60</v>
      </c>
      <c r="E398" s="20" t="s">
        <v>2436</v>
      </c>
      <c r="F398" s="13">
        <v>5.68356424E8</v>
      </c>
      <c r="G398" s="20" t="s">
        <v>71</v>
      </c>
      <c r="H398" s="13" t="s">
        <v>27</v>
      </c>
      <c r="I398" s="20" t="s">
        <v>2966</v>
      </c>
      <c r="J398" s="20" t="s">
        <v>2967</v>
      </c>
      <c r="K398" s="13" t="s">
        <v>36</v>
      </c>
      <c r="L398" s="26"/>
      <c r="M398" s="27" t="s">
        <v>88</v>
      </c>
      <c r="N398" s="13" t="s">
        <v>40</v>
      </c>
      <c r="O398" s="13" t="s">
        <v>42</v>
      </c>
      <c r="P398" s="32"/>
      <c r="Q398" s="13" t="s">
        <v>44</v>
      </c>
      <c r="R398" s="13" t="s">
        <v>68</v>
      </c>
      <c r="S398" s="32"/>
      <c r="T398" s="32"/>
      <c r="U398" s="26"/>
      <c r="V398" s="32"/>
    </row>
    <row r="399" hidden="1">
      <c r="A399" s="13">
        <v>398.0</v>
      </c>
      <c r="B399" s="15">
        <v>46138.0</v>
      </c>
      <c r="C399" s="13" t="s">
        <v>21</v>
      </c>
      <c r="D399" s="13" t="s">
        <v>22</v>
      </c>
      <c r="E399" s="20" t="s">
        <v>2970</v>
      </c>
      <c r="F399" s="13">
        <v>5.06393912E8</v>
      </c>
      <c r="G399" s="20" t="s">
        <v>2974</v>
      </c>
      <c r="H399" s="13" t="s">
        <v>27</v>
      </c>
      <c r="I399" s="20" t="s">
        <v>2975</v>
      </c>
      <c r="J399" s="20"/>
      <c r="K399" s="13" t="s">
        <v>457</v>
      </c>
      <c r="L399" s="26"/>
      <c r="M399" s="27" t="s">
        <v>38</v>
      </c>
      <c r="N399" s="13" t="s">
        <v>40</v>
      </c>
      <c r="O399" s="13" t="s">
        <v>42</v>
      </c>
      <c r="P399" s="32"/>
      <c r="Q399" s="13" t="s">
        <v>44</v>
      </c>
      <c r="R399" s="13" t="s">
        <v>46</v>
      </c>
      <c r="S399" s="32"/>
      <c r="T399" s="32"/>
      <c r="U399" s="26"/>
      <c r="V399" s="32"/>
    </row>
    <row r="400" hidden="1">
      <c r="A400" s="13">
        <v>399.0</v>
      </c>
      <c r="B400" s="15">
        <v>46138.0</v>
      </c>
      <c r="C400" s="13" t="s">
        <v>21</v>
      </c>
      <c r="D400" s="13" t="s">
        <v>22</v>
      </c>
      <c r="E400" s="20" t="s">
        <v>2978</v>
      </c>
      <c r="F400" s="13">
        <v>5.99099085E8</v>
      </c>
      <c r="G400" s="20" t="s">
        <v>2653</v>
      </c>
      <c r="H400" s="13" t="s">
        <v>27</v>
      </c>
      <c r="I400" s="20" t="s">
        <v>2981</v>
      </c>
      <c r="J400" s="20"/>
      <c r="K400" s="13" t="s">
        <v>457</v>
      </c>
      <c r="L400" s="26"/>
      <c r="M400" s="27" t="s">
        <v>38</v>
      </c>
      <c r="N400" s="13" t="s">
        <v>40</v>
      </c>
      <c r="O400" s="13" t="s">
        <v>42</v>
      </c>
      <c r="P400" s="32"/>
      <c r="Q400" s="13" t="s">
        <v>44</v>
      </c>
      <c r="R400" s="13" t="s">
        <v>46</v>
      </c>
      <c r="S400" s="32"/>
      <c r="T400" s="32"/>
      <c r="U400" s="26"/>
      <c r="V400" s="32"/>
    </row>
    <row r="401" hidden="1">
      <c r="A401" s="13">
        <v>400.0</v>
      </c>
      <c r="B401" s="15">
        <v>46138.0</v>
      </c>
      <c r="C401" s="13" t="s">
        <v>21</v>
      </c>
      <c r="D401" s="13" t="s">
        <v>22</v>
      </c>
      <c r="E401" s="20" t="s">
        <v>2985</v>
      </c>
      <c r="F401" s="13">
        <v>5.80334958E8</v>
      </c>
      <c r="G401" s="20" t="s">
        <v>319</v>
      </c>
      <c r="H401" s="13" t="s">
        <v>27</v>
      </c>
      <c r="I401" s="20" t="s">
        <v>2986</v>
      </c>
      <c r="J401" s="20"/>
      <c r="K401" s="13" t="s">
        <v>457</v>
      </c>
      <c r="L401" s="26"/>
      <c r="M401" s="27" t="s">
        <v>38</v>
      </c>
      <c r="N401" s="13" t="s">
        <v>40</v>
      </c>
      <c r="O401" s="13" t="s">
        <v>42</v>
      </c>
      <c r="P401" s="32"/>
      <c r="Q401" s="13" t="s">
        <v>44</v>
      </c>
      <c r="R401" s="13" t="s">
        <v>46</v>
      </c>
      <c r="S401" s="32"/>
      <c r="T401" s="32"/>
      <c r="U401" s="26"/>
      <c r="V401" s="32"/>
    </row>
    <row r="402" hidden="1">
      <c r="A402" s="13">
        <v>401.0</v>
      </c>
      <c r="B402" s="15">
        <v>46138.0</v>
      </c>
      <c r="C402" s="13" t="s">
        <v>21</v>
      </c>
      <c r="D402" s="13" t="s">
        <v>22</v>
      </c>
      <c r="E402" s="20" t="s">
        <v>2993</v>
      </c>
      <c r="F402" s="13">
        <v>5.53021175E8</v>
      </c>
      <c r="G402" s="20" t="s">
        <v>1452</v>
      </c>
      <c r="H402" s="13" t="s">
        <v>27</v>
      </c>
      <c r="I402" s="20" t="s">
        <v>2996</v>
      </c>
      <c r="J402" s="20"/>
      <c r="K402" s="13" t="s">
        <v>457</v>
      </c>
      <c r="L402" s="26"/>
      <c r="M402" s="27" t="s">
        <v>38</v>
      </c>
      <c r="N402" s="13" t="s">
        <v>40</v>
      </c>
      <c r="O402" s="13" t="s">
        <v>42</v>
      </c>
      <c r="P402" s="32"/>
      <c r="Q402" s="13" t="s">
        <v>44</v>
      </c>
      <c r="R402" s="13" t="s">
        <v>46</v>
      </c>
      <c r="S402" s="32"/>
      <c r="T402" s="32"/>
      <c r="U402" s="26"/>
      <c r="V402" s="32"/>
    </row>
    <row r="403" hidden="1">
      <c r="A403" s="13">
        <v>402.0</v>
      </c>
      <c r="B403" s="15">
        <v>46138.0</v>
      </c>
      <c r="C403" s="13" t="s">
        <v>21</v>
      </c>
      <c r="D403" s="13" t="s">
        <v>22</v>
      </c>
      <c r="E403" s="20" t="s">
        <v>2999</v>
      </c>
      <c r="F403" s="13">
        <v>5.00149337E8</v>
      </c>
      <c r="G403" s="20" t="s">
        <v>3000</v>
      </c>
      <c r="H403" s="13" t="s">
        <v>27</v>
      </c>
      <c r="I403" s="20" t="s">
        <v>3004</v>
      </c>
      <c r="J403" s="20"/>
      <c r="K403" s="13" t="s">
        <v>457</v>
      </c>
      <c r="L403" s="26"/>
      <c r="M403" s="27" t="s">
        <v>38</v>
      </c>
      <c r="N403" s="13" t="s">
        <v>40</v>
      </c>
      <c r="O403" s="13" t="s">
        <v>42</v>
      </c>
      <c r="P403" s="32"/>
      <c r="Q403" s="13" t="s">
        <v>44</v>
      </c>
      <c r="R403" s="13" t="s">
        <v>46</v>
      </c>
      <c r="S403" s="32"/>
      <c r="T403" s="32"/>
      <c r="U403" s="26"/>
      <c r="V403" s="32"/>
    </row>
    <row r="404" hidden="1">
      <c r="A404" s="13">
        <v>403.0</v>
      </c>
      <c r="B404" s="15">
        <v>46138.0</v>
      </c>
      <c r="C404" s="13" t="s">
        <v>21</v>
      </c>
      <c r="D404" s="13" t="s">
        <v>22</v>
      </c>
      <c r="E404" s="58" t="s">
        <v>3009</v>
      </c>
      <c r="F404" s="55">
        <v>5.60345111E8</v>
      </c>
      <c r="G404" s="20" t="s">
        <v>874</v>
      </c>
      <c r="H404" s="13" t="s">
        <v>27</v>
      </c>
      <c r="I404" s="20" t="s">
        <v>3010</v>
      </c>
      <c r="J404" s="20"/>
      <c r="K404" s="13" t="s">
        <v>457</v>
      </c>
      <c r="L404" s="26"/>
      <c r="M404" s="27" t="s">
        <v>38</v>
      </c>
      <c r="N404" s="13" t="s">
        <v>40</v>
      </c>
      <c r="O404" s="13" t="s">
        <v>42</v>
      </c>
      <c r="P404" s="32"/>
      <c r="Q404" s="13" t="s">
        <v>44</v>
      </c>
      <c r="R404" s="13" t="s">
        <v>46</v>
      </c>
      <c r="S404" s="32"/>
      <c r="T404" s="32"/>
      <c r="U404" s="26"/>
      <c r="V404" s="32"/>
    </row>
    <row r="405" hidden="1">
      <c r="A405" s="13">
        <v>404.0</v>
      </c>
      <c r="B405" s="15">
        <v>46138.0</v>
      </c>
      <c r="C405" s="13" t="s">
        <v>21</v>
      </c>
      <c r="D405" s="13" t="s">
        <v>22</v>
      </c>
      <c r="E405" s="20" t="s">
        <v>3016</v>
      </c>
      <c r="F405" s="13">
        <v>5.32943951E8</v>
      </c>
      <c r="G405" s="20" t="s">
        <v>28</v>
      </c>
      <c r="H405" s="13" t="s">
        <v>27</v>
      </c>
      <c r="I405" s="20" t="s">
        <v>3017</v>
      </c>
      <c r="J405" s="20"/>
      <c r="K405" s="13" t="s">
        <v>457</v>
      </c>
      <c r="L405" s="26"/>
      <c r="M405" s="27" t="s">
        <v>38</v>
      </c>
      <c r="N405" s="13" t="s">
        <v>40</v>
      </c>
      <c r="O405" s="13" t="s">
        <v>42</v>
      </c>
      <c r="P405" s="32"/>
      <c r="Q405" s="13" t="s">
        <v>44</v>
      </c>
      <c r="R405" s="13" t="s">
        <v>46</v>
      </c>
      <c r="S405" s="32"/>
      <c r="T405" s="32"/>
      <c r="U405" s="26"/>
      <c r="V405" s="32"/>
    </row>
    <row r="406" hidden="1">
      <c r="A406" s="13">
        <v>405.0</v>
      </c>
      <c r="B406" s="15">
        <v>46138.0</v>
      </c>
      <c r="C406" s="13" t="s">
        <v>21</v>
      </c>
      <c r="D406" s="13" t="s">
        <v>22</v>
      </c>
      <c r="E406" s="58" t="s">
        <v>3024</v>
      </c>
      <c r="F406" s="55">
        <v>5.00612464E8</v>
      </c>
      <c r="G406" s="20" t="s">
        <v>79</v>
      </c>
      <c r="H406" s="13" t="s">
        <v>27</v>
      </c>
      <c r="I406" s="20" t="s">
        <v>3025</v>
      </c>
      <c r="J406" s="20"/>
      <c r="K406" s="13" t="s">
        <v>457</v>
      </c>
      <c r="L406" s="26"/>
      <c r="M406" s="27" t="s">
        <v>38</v>
      </c>
      <c r="N406" s="13" t="s">
        <v>40</v>
      </c>
      <c r="O406" s="13" t="s">
        <v>42</v>
      </c>
      <c r="P406" s="32"/>
      <c r="Q406" s="13" t="s">
        <v>44</v>
      </c>
      <c r="R406" s="13" t="s">
        <v>46</v>
      </c>
      <c r="S406" s="32"/>
      <c r="T406" s="32"/>
      <c r="U406" s="26"/>
      <c r="V406" s="32"/>
    </row>
    <row r="407" hidden="1">
      <c r="A407" s="13">
        <v>406.0</v>
      </c>
      <c r="B407" s="15">
        <v>46138.0</v>
      </c>
      <c r="C407" s="13" t="s">
        <v>21</v>
      </c>
      <c r="D407" s="13" t="s">
        <v>22</v>
      </c>
      <c r="E407" s="20" t="s">
        <v>3031</v>
      </c>
      <c r="F407" s="13">
        <v>5.00717813E8</v>
      </c>
      <c r="G407" s="20" t="s">
        <v>1483</v>
      </c>
      <c r="H407" s="13" t="s">
        <v>27</v>
      </c>
      <c r="I407" s="20" t="s">
        <v>3032</v>
      </c>
      <c r="J407" s="20"/>
      <c r="K407" s="13" t="s">
        <v>457</v>
      </c>
      <c r="L407" s="26"/>
      <c r="M407" s="27" t="s">
        <v>38</v>
      </c>
      <c r="N407" s="13" t="s">
        <v>40</v>
      </c>
      <c r="O407" s="13" t="s">
        <v>42</v>
      </c>
      <c r="P407" s="32"/>
      <c r="Q407" s="13" t="s">
        <v>44</v>
      </c>
      <c r="R407" s="13" t="s">
        <v>46</v>
      </c>
      <c r="S407" s="32"/>
      <c r="T407" s="32"/>
      <c r="U407" s="26"/>
      <c r="V407" s="32"/>
    </row>
    <row r="408" hidden="1">
      <c r="A408" s="13">
        <v>407.0</v>
      </c>
      <c r="B408" s="15">
        <v>46138.0</v>
      </c>
      <c r="C408" s="13" t="s">
        <v>47</v>
      </c>
      <c r="D408" s="13" t="s">
        <v>48</v>
      </c>
      <c r="E408" s="20" t="s">
        <v>763</v>
      </c>
      <c r="F408" s="13" t="s">
        <v>27</v>
      </c>
      <c r="G408" s="20" t="s">
        <v>28</v>
      </c>
      <c r="H408" s="13" t="s">
        <v>587</v>
      </c>
      <c r="I408" s="20" t="s">
        <v>3035</v>
      </c>
      <c r="J408" s="20" t="s">
        <v>3037</v>
      </c>
      <c r="K408" s="13" t="s">
        <v>78</v>
      </c>
      <c r="L408" s="26"/>
      <c r="M408" s="27" t="s">
        <v>55</v>
      </c>
      <c r="N408" s="13" t="s">
        <v>56</v>
      </c>
      <c r="O408" s="13" t="s">
        <v>42</v>
      </c>
      <c r="P408" s="32"/>
      <c r="Q408" s="13" t="s">
        <v>49</v>
      </c>
      <c r="R408" s="13" t="s">
        <v>46</v>
      </c>
      <c r="S408" s="32"/>
      <c r="T408" s="32"/>
      <c r="U408" s="26"/>
      <c r="V408" s="32"/>
    </row>
    <row r="409" hidden="1">
      <c r="A409" s="13">
        <v>408.0</v>
      </c>
      <c r="B409" s="15">
        <v>46138.0</v>
      </c>
      <c r="C409" s="13" t="s">
        <v>47</v>
      </c>
      <c r="D409" s="13" t="s">
        <v>367</v>
      </c>
      <c r="E409" s="13" t="s">
        <v>27</v>
      </c>
      <c r="F409" s="13" t="s">
        <v>27</v>
      </c>
      <c r="G409" s="20" t="s">
        <v>41</v>
      </c>
      <c r="H409" s="13" t="s">
        <v>188</v>
      </c>
      <c r="I409" s="20" t="s">
        <v>3040</v>
      </c>
      <c r="J409" s="20" t="s">
        <v>3041</v>
      </c>
      <c r="K409" s="13" t="s">
        <v>78</v>
      </c>
      <c r="L409" s="26"/>
      <c r="M409" s="27" t="s">
        <v>55</v>
      </c>
      <c r="N409" s="13" t="s">
        <v>56</v>
      </c>
      <c r="O409" s="13" t="s">
        <v>42</v>
      </c>
      <c r="P409" s="32"/>
      <c r="Q409" s="13" t="s">
        <v>49</v>
      </c>
      <c r="R409" s="13" t="s">
        <v>46</v>
      </c>
      <c r="S409" s="32"/>
      <c r="T409" s="32"/>
      <c r="U409" s="26"/>
      <c r="V409" s="32"/>
    </row>
    <row r="410" ht="43.5" hidden="1" customHeight="1">
      <c r="A410" s="13">
        <v>409.0</v>
      </c>
      <c r="B410" s="15">
        <v>46138.0</v>
      </c>
      <c r="C410" s="13" t="s">
        <v>47</v>
      </c>
      <c r="D410" s="13" t="s">
        <v>48</v>
      </c>
      <c r="E410" s="20" t="s">
        <v>3046</v>
      </c>
      <c r="F410" s="13" t="s">
        <v>27</v>
      </c>
      <c r="G410" s="20" t="s">
        <v>41</v>
      </c>
      <c r="H410" s="13" t="s">
        <v>513</v>
      </c>
      <c r="I410" s="20" t="s">
        <v>3048</v>
      </c>
      <c r="J410" s="20" t="s">
        <v>3049</v>
      </c>
      <c r="K410" s="13" t="s">
        <v>78</v>
      </c>
      <c r="L410" s="26"/>
      <c r="M410" s="27" t="s">
        <v>55</v>
      </c>
      <c r="N410" s="13" t="s">
        <v>56</v>
      </c>
      <c r="O410" s="13" t="s">
        <v>42</v>
      </c>
      <c r="P410" s="32"/>
      <c r="Q410" s="13" t="s">
        <v>49</v>
      </c>
      <c r="R410" s="13" t="s">
        <v>46</v>
      </c>
      <c r="S410" s="32"/>
      <c r="T410" s="32"/>
      <c r="U410" s="26"/>
      <c r="V410" s="32"/>
    </row>
    <row r="411" hidden="1">
      <c r="A411" s="13">
        <v>410.0</v>
      </c>
      <c r="B411" s="15">
        <v>46138.0</v>
      </c>
      <c r="C411" s="13" t="s">
        <v>47</v>
      </c>
      <c r="D411" s="13" t="s">
        <v>48</v>
      </c>
      <c r="E411" s="20" t="s">
        <v>3054</v>
      </c>
      <c r="F411" s="13" t="s">
        <v>27</v>
      </c>
      <c r="G411" s="20" t="s">
        <v>71</v>
      </c>
      <c r="H411" s="13" t="s">
        <v>185</v>
      </c>
      <c r="I411" s="20" t="s">
        <v>3057</v>
      </c>
      <c r="J411" s="20" t="s">
        <v>3058</v>
      </c>
      <c r="K411" s="13" t="s">
        <v>78</v>
      </c>
      <c r="L411" s="26"/>
      <c r="M411" s="27" t="s">
        <v>221</v>
      </c>
      <c r="N411" s="13" t="s">
        <v>56</v>
      </c>
      <c r="O411" s="13" t="s">
        <v>42</v>
      </c>
      <c r="P411" s="32"/>
      <c r="Q411" s="13" t="s">
        <v>49</v>
      </c>
      <c r="R411" s="13" t="s">
        <v>46</v>
      </c>
      <c r="S411" s="32"/>
      <c r="T411" s="32"/>
      <c r="U411" s="26"/>
      <c r="V411" s="32"/>
    </row>
    <row r="412" ht="33.0" hidden="1" customHeight="1">
      <c r="A412" s="13">
        <v>411.0</v>
      </c>
      <c r="B412" s="15">
        <v>46138.0</v>
      </c>
      <c r="C412" s="13" t="s">
        <v>47</v>
      </c>
      <c r="D412" s="13" t="s">
        <v>48</v>
      </c>
      <c r="E412" s="13" t="s">
        <v>3062</v>
      </c>
      <c r="F412" s="13" t="s">
        <v>27</v>
      </c>
      <c r="G412" s="20" t="s">
        <v>71</v>
      </c>
      <c r="H412" s="13" t="s">
        <v>163</v>
      </c>
      <c r="I412" s="20" t="s">
        <v>3065</v>
      </c>
      <c r="J412" s="20" t="s">
        <v>3066</v>
      </c>
      <c r="K412" s="13" t="s">
        <v>78</v>
      </c>
      <c r="L412" s="26"/>
      <c r="M412" s="27" t="s">
        <v>55</v>
      </c>
      <c r="N412" s="13" t="s">
        <v>56</v>
      </c>
      <c r="O412" s="13" t="s">
        <v>42</v>
      </c>
      <c r="P412" s="32"/>
      <c r="Q412" s="13" t="s">
        <v>49</v>
      </c>
      <c r="R412" s="13" t="s">
        <v>46</v>
      </c>
      <c r="S412" s="32"/>
      <c r="T412" s="32"/>
      <c r="U412" s="26"/>
      <c r="V412" s="32"/>
    </row>
    <row r="413" hidden="1">
      <c r="A413" s="13">
        <v>412.0</v>
      </c>
      <c r="B413" s="15">
        <v>46138.0</v>
      </c>
      <c r="C413" s="13" t="s">
        <v>47</v>
      </c>
      <c r="D413" s="13" t="s">
        <v>48</v>
      </c>
      <c r="E413" s="20" t="s">
        <v>3071</v>
      </c>
      <c r="F413" s="13" t="s">
        <v>27</v>
      </c>
      <c r="G413" s="20" t="s">
        <v>41</v>
      </c>
      <c r="H413" s="13" t="s">
        <v>222</v>
      </c>
      <c r="I413" s="20" t="s">
        <v>3073</v>
      </c>
      <c r="J413" s="20"/>
      <c r="K413" s="13" t="s">
        <v>78</v>
      </c>
      <c r="L413" s="26"/>
      <c r="M413" s="75" t="s">
        <v>555</v>
      </c>
      <c r="N413" s="13" t="s">
        <v>40</v>
      </c>
      <c r="O413" s="13" t="s">
        <v>42</v>
      </c>
      <c r="P413" s="32"/>
      <c r="Q413" s="13" t="s">
        <v>49</v>
      </c>
      <c r="R413" s="13" t="s">
        <v>46</v>
      </c>
      <c r="S413" s="32"/>
      <c r="T413" s="32"/>
      <c r="U413" s="26"/>
      <c r="V413" s="32"/>
    </row>
    <row r="414" hidden="1">
      <c r="A414" s="13">
        <v>413.0</v>
      </c>
      <c r="B414" s="15">
        <v>46138.0</v>
      </c>
      <c r="C414" s="13" t="s">
        <v>58</v>
      </c>
      <c r="D414" s="13" t="s">
        <v>60</v>
      </c>
      <c r="E414" s="20" t="s">
        <v>2670</v>
      </c>
      <c r="F414" s="55">
        <v>5.82288733E8</v>
      </c>
      <c r="G414" s="20" t="s">
        <v>41</v>
      </c>
      <c r="H414" s="13" t="s">
        <v>146</v>
      </c>
      <c r="I414" s="20" t="s">
        <v>3081</v>
      </c>
      <c r="J414" s="20" t="s">
        <v>3082</v>
      </c>
      <c r="K414" s="13" t="s">
        <v>148</v>
      </c>
      <c r="L414" s="26"/>
      <c r="M414" s="27" t="s">
        <v>88</v>
      </c>
      <c r="N414" s="13" t="s">
        <v>56</v>
      </c>
      <c r="O414" s="13" t="s">
        <v>42</v>
      </c>
      <c r="P414" s="32"/>
      <c r="Q414" s="13" t="s">
        <v>44</v>
      </c>
      <c r="R414" s="13" t="s">
        <v>68</v>
      </c>
      <c r="S414" s="32"/>
      <c r="T414" s="32"/>
      <c r="U414" s="26"/>
      <c r="V414" s="32"/>
    </row>
    <row r="415" hidden="1">
      <c r="A415" s="13">
        <v>414.0</v>
      </c>
      <c r="B415" s="15">
        <v>46138.0</v>
      </c>
      <c r="C415" s="13" t="s">
        <v>47</v>
      </c>
      <c r="D415" s="13" t="s">
        <v>48</v>
      </c>
      <c r="E415" s="20" t="s">
        <v>2635</v>
      </c>
      <c r="F415" s="13">
        <v>5.55396812E8</v>
      </c>
      <c r="G415" s="20" t="s">
        <v>41</v>
      </c>
      <c r="H415" s="13" t="s">
        <v>52</v>
      </c>
      <c r="I415" s="20" t="s">
        <v>3090</v>
      </c>
      <c r="J415" s="20"/>
      <c r="K415" s="13" t="s">
        <v>148</v>
      </c>
      <c r="L415" s="26"/>
      <c r="M415" s="27" t="s">
        <v>55</v>
      </c>
      <c r="N415" s="13" t="s">
        <v>56</v>
      </c>
      <c r="O415" s="13" t="s">
        <v>42</v>
      </c>
      <c r="P415" s="32"/>
      <c r="Q415" s="13" t="s">
        <v>44</v>
      </c>
      <c r="R415" s="13" t="s">
        <v>46</v>
      </c>
      <c r="S415" s="32"/>
      <c r="T415" s="32"/>
      <c r="U415" s="26"/>
      <c r="V415" s="32"/>
    </row>
    <row r="416" hidden="1">
      <c r="A416" s="13">
        <v>415.0</v>
      </c>
      <c r="B416" s="15">
        <v>46138.0</v>
      </c>
      <c r="C416" s="13" t="s">
        <v>47</v>
      </c>
      <c r="D416" s="13" t="s">
        <v>138</v>
      </c>
      <c r="E416" s="13" t="s">
        <v>3097</v>
      </c>
      <c r="F416" s="13" t="s">
        <v>27</v>
      </c>
      <c r="G416" s="20" t="s">
        <v>41</v>
      </c>
      <c r="H416" s="13" t="s">
        <v>146</v>
      </c>
      <c r="I416" s="20" t="s">
        <v>3098</v>
      </c>
      <c r="J416" s="20" t="s">
        <v>3099</v>
      </c>
      <c r="K416" s="13" t="s">
        <v>148</v>
      </c>
      <c r="L416" s="26"/>
      <c r="M416" s="27" t="s">
        <v>55</v>
      </c>
      <c r="N416" s="13" t="s">
        <v>56</v>
      </c>
      <c r="O416" s="13" t="s">
        <v>42</v>
      </c>
      <c r="P416" s="32"/>
      <c r="Q416" s="13" t="s">
        <v>44</v>
      </c>
      <c r="R416" s="13" t="s">
        <v>46</v>
      </c>
      <c r="S416" s="32"/>
      <c r="T416" s="32"/>
      <c r="U416" s="26"/>
      <c r="V416" s="32"/>
    </row>
    <row r="417" hidden="1">
      <c r="A417" s="13">
        <v>416.0</v>
      </c>
      <c r="B417" s="15">
        <v>46138.0</v>
      </c>
      <c r="C417" s="13" t="s">
        <v>47</v>
      </c>
      <c r="D417" s="13" t="s">
        <v>367</v>
      </c>
      <c r="E417" s="20" t="s">
        <v>3102</v>
      </c>
      <c r="F417" s="13">
        <v>5.43094623E8</v>
      </c>
      <c r="G417" s="20" t="s">
        <v>41</v>
      </c>
      <c r="H417" s="13" t="s">
        <v>294</v>
      </c>
      <c r="I417" s="20" t="s">
        <v>3104</v>
      </c>
      <c r="J417" s="20" t="s">
        <v>3106</v>
      </c>
      <c r="K417" s="13" t="s">
        <v>148</v>
      </c>
      <c r="L417" s="26"/>
      <c r="M417" s="27" t="s">
        <v>55</v>
      </c>
      <c r="N417" s="13" t="s">
        <v>40</v>
      </c>
      <c r="O417" s="13" t="s">
        <v>42</v>
      </c>
      <c r="P417" s="32"/>
      <c r="Q417" s="13" t="s">
        <v>44</v>
      </c>
      <c r="R417" s="13" t="s">
        <v>46</v>
      </c>
      <c r="S417" s="32"/>
      <c r="T417" s="32"/>
      <c r="U417" s="26"/>
      <c r="V417" s="32"/>
    </row>
    <row r="418" hidden="1">
      <c r="A418" s="13">
        <v>417.0</v>
      </c>
      <c r="B418" s="15">
        <v>46138.0</v>
      </c>
      <c r="C418" s="13" t="s">
        <v>47</v>
      </c>
      <c r="D418" s="13" t="s">
        <v>138</v>
      </c>
      <c r="E418" s="20" t="s">
        <v>3110</v>
      </c>
      <c r="F418" s="13">
        <v>5.04496715E8</v>
      </c>
      <c r="G418" s="20" t="s">
        <v>41</v>
      </c>
      <c r="H418" s="13" t="s">
        <v>146</v>
      </c>
      <c r="I418" s="20" t="s">
        <v>3111</v>
      </c>
      <c r="J418" s="20" t="s">
        <v>3112</v>
      </c>
      <c r="K418" s="13" t="s">
        <v>148</v>
      </c>
      <c r="L418" s="26"/>
      <c r="M418" s="27" t="s">
        <v>55</v>
      </c>
      <c r="N418" s="13" t="s">
        <v>56</v>
      </c>
      <c r="O418" s="13" t="s">
        <v>42</v>
      </c>
      <c r="P418" s="32"/>
      <c r="Q418" s="13" t="s">
        <v>44</v>
      </c>
      <c r="R418" s="13" t="s">
        <v>46</v>
      </c>
      <c r="S418" s="32"/>
      <c r="T418" s="32"/>
      <c r="U418" s="26"/>
      <c r="V418" s="32"/>
    </row>
    <row r="419" hidden="1">
      <c r="A419" s="13">
        <v>418.0</v>
      </c>
      <c r="B419" s="15">
        <v>46138.0</v>
      </c>
      <c r="C419" s="13" t="s">
        <v>47</v>
      </c>
      <c r="D419" s="13" t="s">
        <v>367</v>
      </c>
      <c r="E419" s="20" t="s">
        <v>3118</v>
      </c>
      <c r="F419" s="13">
        <v>5.52494843E8</v>
      </c>
      <c r="G419" s="20" t="s">
        <v>41</v>
      </c>
      <c r="H419" s="13" t="s">
        <v>705</v>
      </c>
      <c r="I419" s="20" t="s">
        <v>3120</v>
      </c>
      <c r="J419" s="20" t="s">
        <v>3121</v>
      </c>
      <c r="K419" s="13" t="s">
        <v>148</v>
      </c>
      <c r="L419" s="26"/>
      <c r="M419" s="27" t="s">
        <v>55</v>
      </c>
      <c r="N419" s="13" t="s">
        <v>40</v>
      </c>
      <c r="O419" s="13" t="s">
        <v>42</v>
      </c>
      <c r="P419" s="32"/>
      <c r="Q419" s="13" t="s">
        <v>44</v>
      </c>
      <c r="R419" s="13" t="s">
        <v>46</v>
      </c>
      <c r="S419" s="32"/>
      <c r="T419" s="32"/>
      <c r="U419" s="26"/>
      <c r="V419" s="32"/>
    </row>
    <row r="420" hidden="1">
      <c r="A420" s="13">
        <v>419.0</v>
      </c>
      <c r="B420" s="15">
        <v>46138.0</v>
      </c>
      <c r="C420" s="13" t="s">
        <v>47</v>
      </c>
      <c r="D420" s="13" t="s">
        <v>138</v>
      </c>
      <c r="E420" s="13" t="s">
        <v>261</v>
      </c>
      <c r="F420" s="13">
        <v>5.91343443E8</v>
      </c>
      <c r="G420" s="20" t="s">
        <v>41</v>
      </c>
      <c r="H420" s="13" t="s">
        <v>222</v>
      </c>
      <c r="I420" s="20" t="s">
        <v>3128</v>
      </c>
      <c r="J420" s="20" t="s">
        <v>3129</v>
      </c>
      <c r="K420" s="13" t="s">
        <v>148</v>
      </c>
      <c r="L420" s="26"/>
      <c r="M420" s="27" t="s">
        <v>183</v>
      </c>
      <c r="N420" s="13" t="s">
        <v>56</v>
      </c>
      <c r="O420" s="13" t="s">
        <v>42</v>
      </c>
      <c r="P420" s="32"/>
      <c r="Q420" s="13" t="s">
        <v>44</v>
      </c>
      <c r="R420" s="13" t="s">
        <v>46</v>
      </c>
      <c r="S420" s="32"/>
      <c r="T420" s="32"/>
      <c r="U420" s="26"/>
      <c r="V420" s="32"/>
    </row>
    <row r="421" hidden="1">
      <c r="A421" s="13">
        <v>420.0</v>
      </c>
      <c r="B421" s="15">
        <v>46138.0</v>
      </c>
      <c r="C421" s="13" t="s">
        <v>47</v>
      </c>
      <c r="D421" s="13" t="s">
        <v>367</v>
      </c>
      <c r="E421" s="13" t="s">
        <v>27</v>
      </c>
      <c r="F421" s="13">
        <v>5.4399004E8</v>
      </c>
      <c r="G421" s="20" t="s">
        <v>41</v>
      </c>
      <c r="H421" s="13" t="s">
        <v>222</v>
      </c>
      <c r="I421" s="20" t="s">
        <v>3135</v>
      </c>
      <c r="J421" s="20" t="s">
        <v>3139</v>
      </c>
      <c r="K421" s="13" t="s">
        <v>148</v>
      </c>
      <c r="L421" s="26"/>
      <c r="M421" s="27" t="s">
        <v>55</v>
      </c>
      <c r="N421" s="13" t="s">
        <v>56</v>
      </c>
      <c r="O421" s="13" t="s">
        <v>42</v>
      </c>
      <c r="P421" s="32"/>
      <c r="Q421" s="13" t="s">
        <v>44</v>
      </c>
      <c r="R421" s="13" t="s">
        <v>46</v>
      </c>
      <c r="S421" s="32"/>
      <c r="T421" s="32"/>
      <c r="U421" s="26"/>
      <c r="V421" s="32"/>
    </row>
    <row r="422" hidden="1">
      <c r="A422" s="13">
        <v>421.0</v>
      </c>
      <c r="B422" s="15">
        <v>46138.0</v>
      </c>
      <c r="C422" s="13" t="s">
        <v>47</v>
      </c>
      <c r="D422" s="13" t="s">
        <v>138</v>
      </c>
      <c r="E422" s="13" t="s">
        <v>3147</v>
      </c>
      <c r="F422" s="55">
        <v>5.53532383E8</v>
      </c>
      <c r="G422" s="20" t="s">
        <v>41</v>
      </c>
      <c r="H422" s="13" t="s">
        <v>146</v>
      </c>
      <c r="I422" s="20" t="s">
        <v>3150</v>
      </c>
      <c r="J422" s="20" t="s">
        <v>3151</v>
      </c>
      <c r="K422" s="13" t="s">
        <v>148</v>
      </c>
      <c r="L422" s="26"/>
      <c r="M422" s="27" t="s">
        <v>183</v>
      </c>
      <c r="N422" s="13" t="s">
        <v>56</v>
      </c>
      <c r="O422" s="13" t="s">
        <v>42</v>
      </c>
      <c r="P422" s="32"/>
      <c r="Q422" s="13" t="s">
        <v>44</v>
      </c>
      <c r="R422" s="13" t="s">
        <v>46</v>
      </c>
      <c r="S422" s="32"/>
      <c r="T422" s="32"/>
      <c r="U422" s="26"/>
      <c r="V422" s="32"/>
    </row>
    <row r="423" hidden="1">
      <c r="A423" s="13">
        <v>422.0</v>
      </c>
      <c r="B423" s="15">
        <v>46138.0</v>
      </c>
      <c r="C423" s="13" t="s">
        <v>47</v>
      </c>
      <c r="D423" s="13" t="s">
        <v>138</v>
      </c>
      <c r="E423" s="20" t="s">
        <v>3157</v>
      </c>
      <c r="F423" s="13">
        <v>5.56262887E8</v>
      </c>
      <c r="G423" s="20" t="s">
        <v>41</v>
      </c>
      <c r="H423" s="13" t="s">
        <v>146</v>
      </c>
      <c r="I423" s="20" t="s">
        <v>3159</v>
      </c>
      <c r="J423" s="20" t="s">
        <v>3160</v>
      </c>
      <c r="K423" s="13" t="s">
        <v>148</v>
      </c>
      <c r="L423" s="26"/>
      <c r="M423" s="27" t="s">
        <v>55</v>
      </c>
      <c r="N423" s="13" t="s">
        <v>56</v>
      </c>
      <c r="O423" s="13" t="s">
        <v>42</v>
      </c>
      <c r="P423" s="32"/>
      <c r="Q423" s="13" t="s">
        <v>44</v>
      </c>
      <c r="R423" s="13" t="s">
        <v>46</v>
      </c>
      <c r="S423" s="32"/>
      <c r="T423" s="32"/>
      <c r="U423" s="26"/>
      <c r="V423" s="32"/>
    </row>
    <row r="424" hidden="1">
      <c r="A424" s="13">
        <v>423.0</v>
      </c>
      <c r="B424" s="15">
        <v>46138.0</v>
      </c>
      <c r="C424" s="13" t="s">
        <v>47</v>
      </c>
      <c r="D424" s="13" t="s">
        <v>138</v>
      </c>
      <c r="E424" s="13" t="s">
        <v>3165</v>
      </c>
      <c r="F424" s="13">
        <v>5.55947477E8</v>
      </c>
      <c r="G424" s="20" t="s">
        <v>41</v>
      </c>
      <c r="H424" s="13" t="s">
        <v>222</v>
      </c>
      <c r="I424" s="20" t="s">
        <v>3166</v>
      </c>
      <c r="J424" s="20" t="s">
        <v>3167</v>
      </c>
      <c r="K424" s="13" t="s">
        <v>148</v>
      </c>
      <c r="L424" s="26"/>
      <c r="M424" s="27" t="s">
        <v>55</v>
      </c>
      <c r="N424" s="13" t="s">
        <v>56</v>
      </c>
      <c r="O424" s="13" t="s">
        <v>42</v>
      </c>
      <c r="P424" s="32"/>
      <c r="Q424" s="13" t="s">
        <v>44</v>
      </c>
      <c r="R424" s="13" t="s">
        <v>46</v>
      </c>
      <c r="S424" s="32"/>
      <c r="T424" s="32"/>
      <c r="U424" s="26"/>
      <c r="V424" s="32"/>
    </row>
    <row r="425" hidden="1">
      <c r="A425" s="13">
        <v>424.0</v>
      </c>
      <c r="B425" s="15">
        <v>46138.0</v>
      </c>
      <c r="C425" s="13" t="s">
        <v>47</v>
      </c>
      <c r="D425" s="13" t="s">
        <v>138</v>
      </c>
      <c r="E425" s="13" t="s">
        <v>1800</v>
      </c>
      <c r="F425" s="13">
        <v>5.49990652E8</v>
      </c>
      <c r="G425" s="20" t="s">
        <v>41</v>
      </c>
      <c r="H425" s="13" t="s">
        <v>146</v>
      </c>
      <c r="I425" s="20" t="s">
        <v>3173</v>
      </c>
      <c r="J425" s="20" t="s">
        <v>3174</v>
      </c>
      <c r="K425" s="13" t="s">
        <v>148</v>
      </c>
      <c r="L425" s="26"/>
      <c r="M425" s="27" t="s">
        <v>55</v>
      </c>
      <c r="N425" s="13" t="s">
        <v>56</v>
      </c>
      <c r="O425" s="13" t="s">
        <v>42</v>
      </c>
      <c r="P425" s="32"/>
      <c r="Q425" s="13" t="s">
        <v>44</v>
      </c>
      <c r="R425" s="13" t="s">
        <v>46</v>
      </c>
      <c r="S425" s="32"/>
      <c r="T425" s="32"/>
      <c r="U425" s="26"/>
      <c r="V425" s="32"/>
    </row>
    <row r="426" hidden="1">
      <c r="A426" s="13">
        <v>425.0</v>
      </c>
      <c r="B426" s="15">
        <v>46138.0</v>
      </c>
      <c r="C426" s="13" t="s">
        <v>47</v>
      </c>
      <c r="D426" s="13" t="s">
        <v>138</v>
      </c>
      <c r="E426" s="13" t="s">
        <v>3182</v>
      </c>
      <c r="F426" s="13">
        <v>5.3657124E8</v>
      </c>
      <c r="G426" s="20" t="s">
        <v>41</v>
      </c>
      <c r="H426" s="13" t="s">
        <v>146</v>
      </c>
      <c r="I426" s="20" t="s">
        <v>3184</v>
      </c>
      <c r="J426" s="20" t="s">
        <v>3185</v>
      </c>
      <c r="K426" s="13" t="s">
        <v>148</v>
      </c>
      <c r="L426" s="26"/>
      <c r="M426" s="27" t="s">
        <v>55</v>
      </c>
      <c r="N426" s="13" t="s">
        <v>56</v>
      </c>
      <c r="O426" s="13" t="s">
        <v>42</v>
      </c>
      <c r="P426" s="32"/>
      <c r="Q426" s="13" t="s">
        <v>44</v>
      </c>
      <c r="R426" s="13" t="s">
        <v>46</v>
      </c>
      <c r="S426" s="32"/>
      <c r="T426" s="32"/>
      <c r="U426" s="26"/>
      <c r="V426" s="32"/>
    </row>
    <row r="427" hidden="1">
      <c r="A427" s="13">
        <v>426.0</v>
      </c>
      <c r="B427" s="15">
        <v>46138.0</v>
      </c>
      <c r="C427" s="13" t="s">
        <v>47</v>
      </c>
      <c r="D427" s="13" t="s">
        <v>138</v>
      </c>
      <c r="E427" s="13" t="s">
        <v>3189</v>
      </c>
      <c r="F427" s="13">
        <v>5.31316162E8</v>
      </c>
      <c r="G427" s="20" t="s">
        <v>41</v>
      </c>
      <c r="H427" s="13" t="s">
        <v>329</v>
      </c>
      <c r="I427" s="20" t="s">
        <v>3193</v>
      </c>
      <c r="J427" s="20" t="s">
        <v>3195</v>
      </c>
      <c r="K427" s="13" t="s">
        <v>148</v>
      </c>
      <c r="L427" s="26"/>
      <c r="M427" s="27" t="s">
        <v>55</v>
      </c>
      <c r="N427" s="13" t="s">
        <v>56</v>
      </c>
      <c r="O427" s="13" t="s">
        <v>42</v>
      </c>
      <c r="P427" s="32"/>
      <c r="Q427" s="13" t="s">
        <v>44</v>
      </c>
      <c r="R427" s="13" t="s">
        <v>46</v>
      </c>
      <c r="S427" s="32"/>
      <c r="T427" s="32"/>
      <c r="U427" s="26"/>
      <c r="V427" s="32"/>
    </row>
    <row r="428" hidden="1">
      <c r="A428" s="13">
        <v>427.0</v>
      </c>
      <c r="B428" s="15">
        <v>46138.0</v>
      </c>
      <c r="C428" s="13" t="s">
        <v>47</v>
      </c>
      <c r="D428" s="13" t="s">
        <v>138</v>
      </c>
      <c r="E428" s="20" t="s">
        <v>3198</v>
      </c>
      <c r="F428" s="13">
        <v>5.9191342E8</v>
      </c>
      <c r="G428" s="20" t="s">
        <v>41</v>
      </c>
      <c r="H428" s="13" t="s">
        <v>329</v>
      </c>
      <c r="I428" s="20" t="s">
        <v>3200</v>
      </c>
      <c r="J428" s="20" t="s">
        <v>3201</v>
      </c>
      <c r="K428" s="13" t="s">
        <v>148</v>
      </c>
      <c r="L428" s="26"/>
      <c r="M428" s="27" t="s">
        <v>150</v>
      </c>
      <c r="N428" s="13" t="s">
        <v>56</v>
      </c>
      <c r="O428" s="13" t="s">
        <v>42</v>
      </c>
      <c r="P428" s="32"/>
      <c r="Q428" s="13" t="s">
        <v>44</v>
      </c>
      <c r="R428" s="13" t="s">
        <v>46</v>
      </c>
      <c r="S428" s="32"/>
      <c r="T428" s="32"/>
      <c r="U428" s="26"/>
      <c r="V428" s="32"/>
    </row>
    <row r="429" hidden="1">
      <c r="A429" s="13">
        <v>428.0</v>
      </c>
      <c r="B429" s="15">
        <v>46138.0</v>
      </c>
      <c r="C429" s="13" t="s">
        <v>47</v>
      </c>
      <c r="D429" s="13" t="s">
        <v>48</v>
      </c>
      <c r="E429" s="13" t="s">
        <v>3207</v>
      </c>
      <c r="F429" s="13">
        <v>5.01682546E8</v>
      </c>
      <c r="G429" s="20" t="s">
        <v>28</v>
      </c>
      <c r="H429" s="13" t="s">
        <v>830</v>
      </c>
      <c r="I429" s="20" t="s">
        <v>3208</v>
      </c>
      <c r="J429" s="20" t="s">
        <v>3210</v>
      </c>
      <c r="K429" s="13" t="s">
        <v>148</v>
      </c>
      <c r="L429" s="26"/>
      <c r="M429" s="27" t="s">
        <v>55</v>
      </c>
      <c r="N429" s="13" t="s">
        <v>56</v>
      </c>
      <c r="O429" s="13" t="s">
        <v>42</v>
      </c>
      <c r="P429" s="32"/>
      <c r="Q429" s="13" t="s">
        <v>44</v>
      </c>
      <c r="R429" s="13" t="s">
        <v>46</v>
      </c>
      <c r="S429" s="32"/>
      <c r="T429" s="32"/>
      <c r="U429" s="26"/>
      <c r="V429" s="32"/>
    </row>
    <row r="430" hidden="1">
      <c r="A430" s="13">
        <v>429.0</v>
      </c>
      <c r="B430" s="15">
        <v>46138.0</v>
      </c>
      <c r="C430" s="13" t="s">
        <v>47</v>
      </c>
      <c r="D430" s="13" t="s">
        <v>48</v>
      </c>
      <c r="E430" s="13" t="s">
        <v>1667</v>
      </c>
      <c r="F430" s="13">
        <v>5.97989282E8</v>
      </c>
      <c r="G430" s="20" t="s">
        <v>28</v>
      </c>
      <c r="H430" s="13" t="s">
        <v>830</v>
      </c>
      <c r="I430" s="20" t="s">
        <v>3217</v>
      </c>
      <c r="J430" s="20"/>
      <c r="K430" s="13" t="s">
        <v>148</v>
      </c>
      <c r="L430" s="26"/>
      <c r="M430" s="27" t="s">
        <v>55</v>
      </c>
      <c r="N430" s="13" t="s">
        <v>56</v>
      </c>
      <c r="O430" s="13" t="s">
        <v>42</v>
      </c>
      <c r="P430" s="32"/>
      <c r="Q430" s="13" t="s">
        <v>44</v>
      </c>
      <c r="R430" s="13" t="s">
        <v>46</v>
      </c>
      <c r="S430" s="32"/>
      <c r="T430" s="32"/>
      <c r="U430" s="26"/>
      <c r="V430" s="32"/>
    </row>
    <row r="431" hidden="1">
      <c r="A431" s="13">
        <v>430.0</v>
      </c>
      <c r="B431" s="15">
        <v>46138.0</v>
      </c>
      <c r="C431" s="13" t="s">
        <v>47</v>
      </c>
      <c r="D431" s="13" t="s">
        <v>48</v>
      </c>
      <c r="E431" s="13" t="s">
        <v>3224</v>
      </c>
      <c r="F431" s="13">
        <v>5.09797713E8</v>
      </c>
      <c r="G431" s="20" t="s">
        <v>28</v>
      </c>
      <c r="H431" s="13" t="s">
        <v>830</v>
      </c>
      <c r="I431" s="20" t="s">
        <v>3225</v>
      </c>
      <c r="J431" s="20"/>
      <c r="K431" s="13" t="s">
        <v>148</v>
      </c>
      <c r="L431" s="26"/>
      <c r="M431" s="27" t="s">
        <v>55</v>
      </c>
      <c r="N431" s="13" t="s">
        <v>56</v>
      </c>
      <c r="O431" s="13" t="s">
        <v>42</v>
      </c>
      <c r="P431" s="32"/>
      <c r="Q431" s="13" t="s">
        <v>44</v>
      </c>
      <c r="R431" s="13" t="s">
        <v>46</v>
      </c>
      <c r="S431" s="32"/>
      <c r="T431" s="32"/>
      <c r="U431" s="26"/>
      <c r="V431" s="32"/>
    </row>
    <row r="432" hidden="1">
      <c r="A432" s="13">
        <v>431.0</v>
      </c>
      <c r="B432" s="15">
        <v>46138.0</v>
      </c>
      <c r="C432" s="13" t="s">
        <v>47</v>
      </c>
      <c r="D432" s="13" t="s">
        <v>48</v>
      </c>
      <c r="E432" s="20" t="s">
        <v>3231</v>
      </c>
      <c r="F432" s="13">
        <v>5.03050903E8</v>
      </c>
      <c r="G432" s="20" t="s">
        <v>79</v>
      </c>
      <c r="H432" s="13" t="s">
        <v>451</v>
      </c>
      <c r="I432" s="20" t="s">
        <v>3233</v>
      </c>
      <c r="J432" s="20" t="s">
        <v>3234</v>
      </c>
      <c r="K432" s="13" t="s">
        <v>148</v>
      </c>
      <c r="L432" s="26"/>
      <c r="M432" s="27" t="s">
        <v>55</v>
      </c>
      <c r="N432" s="13" t="s">
        <v>56</v>
      </c>
      <c r="O432" s="13" t="s">
        <v>42</v>
      </c>
      <c r="P432" s="32"/>
      <c r="Q432" s="13" t="s">
        <v>44</v>
      </c>
      <c r="R432" s="13" t="s">
        <v>46</v>
      </c>
      <c r="S432" s="32"/>
      <c r="T432" s="32"/>
      <c r="U432" s="26"/>
      <c r="V432" s="32"/>
    </row>
    <row r="433" hidden="1">
      <c r="A433" s="13">
        <v>432.0</v>
      </c>
      <c r="B433" s="15">
        <v>46138.0</v>
      </c>
      <c r="C433" s="13" t="s">
        <v>47</v>
      </c>
      <c r="D433" s="13" t="s">
        <v>138</v>
      </c>
      <c r="E433" s="20" t="s">
        <v>3238</v>
      </c>
      <c r="F433" s="13">
        <v>5.51349136E8</v>
      </c>
      <c r="G433" s="20" t="s">
        <v>79</v>
      </c>
      <c r="H433" s="13" t="s">
        <v>142</v>
      </c>
      <c r="I433" s="20" t="s">
        <v>3240</v>
      </c>
      <c r="J433" s="20" t="s">
        <v>3241</v>
      </c>
      <c r="K433" s="13" t="s">
        <v>148</v>
      </c>
      <c r="L433" s="26"/>
      <c r="M433" s="27" t="s">
        <v>55</v>
      </c>
      <c r="N433" s="13" t="s">
        <v>56</v>
      </c>
      <c r="O433" s="13" t="s">
        <v>42</v>
      </c>
      <c r="P433" s="32"/>
      <c r="Q433" s="13" t="s">
        <v>44</v>
      </c>
      <c r="R433" s="13" t="s">
        <v>46</v>
      </c>
      <c r="S433" s="32"/>
      <c r="T433" s="32"/>
      <c r="U433" s="26"/>
      <c r="V433" s="32"/>
    </row>
    <row r="434" hidden="1">
      <c r="A434" s="13">
        <v>433.0</v>
      </c>
      <c r="B434" s="15">
        <v>46138.0</v>
      </c>
      <c r="C434" s="13" t="s">
        <v>47</v>
      </c>
      <c r="D434" s="13" t="s">
        <v>138</v>
      </c>
      <c r="E434" s="20" t="s">
        <v>3246</v>
      </c>
      <c r="F434" s="13">
        <v>5.55675736E8</v>
      </c>
      <c r="G434" s="20" t="s">
        <v>79</v>
      </c>
      <c r="H434" s="13" t="s">
        <v>638</v>
      </c>
      <c r="I434" s="20" t="s">
        <v>3247</v>
      </c>
      <c r="J434" s="20" t="s">
        <v>3248</v>
      </c>
      <c r="K434" s="13" t="s">
        <v>148</v>
      </c>
      <c r="L434" s="26"/>
      <c r="M434" s="27" t="s">
        <v>150</v>
      </c>
      <c r="N434" s="13" t="s">
        <v>56</v>
      </c>
      <c r="O434" s="13" t="s">
        <v>42</v>
      </c>
      <c r="P434" s="32"/>
      <c r="Q434" s="13" t="s">
        <v>44</v>
      </c>
      <c r="R434" s="13" t="s">
        <v>46</v>
      </c>
      <c r="S434" s="32"/>
      <c r="T434" s="32"/>
      <c r="U434" s="26"/>
      <c r="V434" s="32"/>
    </row>
    <row r="435" hidden="1">
      <c r="A435" s="13">
        <v>434.0</v>
      </c>
      <c r="B435" s="15">
        <v>46138.0</v>
      </c>
      <c r="C435" s="13" t="s">
        <v>58</v>
      </c>
      <c r="D435" s="13" t="s">
        <v>60</v>
      </c>
      <c r="E435" s="13" t="s">
        <v>3250</v>
      </c>
      <c r="F435" s="13">
        <v>5.55553658E8</v>
      </c>
      <c r="G435" s="20" t="s">
        <v>79</v>
      </c>
      <c r="H435" s="13" t="s">
        <v>142</v>
      </c>
      <c r="I435" s="20" t="s">
        <v>3252</v>
      </c>
      <c r="J435" s="20"/>
      <c r="K435" s="13" t="s">
        <v>148</v>
      </c>
      <c r="L435" s="26"/>
      <c r="M435" s="27" t="s">
        <v>88</v>
      </c>
      <c r="N435" s="13" t="s">
        <v>40</v>
      </c>
      <c r="O435" s="13" t="s">
        <v>42</v>
      </c>
      <c r="P435" s="32"/>
      <c r="Q435" s="13" t="s">
        <v>44</v>
      </c>
      <c r="R435" s="13" t="s">
        <v>68</v>
      </c>
      <c r="S435" s="32"/>
      <c r="T435" s="32"/>
      <c r="U435" s="26"/>
      <c r="V435" s="32"/>
    </row>
    <row r="436" hidden="1">
      <c r="A436" s="13">
        <v>435.0</v>
      </c>
      <c r="B436" s="15">
        <v>46138.0</v>
      </c>
      <c r="C436" s="13" t="s">
        <v>47</v>
      </c>
      <c r="D436" s="13" t="s">
        <v>367</v>
      </c>
      <c r="E436" s="13" t="s">
        <v>1528</v>
      </c>
      <c r="F436" s="13">
        <v>5.95998003E8</v>
      </c>
      <c r="G436" s="20" t="s">
        <v>79</v>
      </c>
      <c r="H436" s="13" t="s">
        <v>178</v>
      </c>
      <c r="I436" s="20" t="s">
        <v>3254</v>
      </c>
      <c r="J436" s="20" t="s">
        <v>3255</v>
      </c>
      <c r="K436" s="13" t="s">
        <v>148</v>
      </c>
      <c r="L436" s="26"/>
      <c r="M436" s="27" t="s">
        <v>183</v>
      </c>
      <c r="N436" s="13" t="s">
        <v>56</v>
      </c>
      <c r="O436" s="13" t="s">
        <v>42</v>
      </c>
      <c r="P436" s="32"/>
      <c r="Q436" s="13" t="s">
        <v>44</v>
      </c>
      <c r="R436" s="13" t="s">
        <v>46</v>
      </c>
      <c r="S436" s="32"/>
      <c r="T436" s="32"/>
      <c r="U436" s="26"/>
      <c r="V436" s="32"/>
    </row>
    <row r="437" hidden="1">
      <c r="A437" s="13">
        <v>436.0</v>
      </c>
      <c r="B437" s="15">
        <v>46138.0</v>
      </c>
      <c r="C437" s="13" t="s">
        <v>21</v>
      </c>
      <c r="D437" s="13" t="s">
        <v>22</v>
      </c>
      <c r="E437" s="20" t="s">
        <v>3263</v>
      </c>
      <c r="F437" s="13">
        <v>5.67473729E8</v>
      </c>
      <c r="G437" s="20" t="s">
        <v>41</v>
      </c>
      <c r="H437" s="13" t="s">
        <v>27</v>
      </c>
      <c r="I437" s="61" t="s">
        <v>3264</v>
      </c>
      <c r="J437" s="20"/>
      <c r="K437" s="13" t="s">
        <v>457</v>
      </c>
      <c r="L437" s="26"/>
      <c r="M437" s="27" t="s">
        <v>38</v>
      </c>
      <c r="N437" s="13" t="s">
        <v>40</v>
      </c>
      <c r="O437" s="13" t="s">
        <v>42</v>
      </c>
      <c r="P437" s="32"/>
      <c r="Q437" s="13" t="s">
        <v>44</v>
      </c>
      <c r="R437" s="13" t="s">
        <v>46</v>
      </c>
      <c r="S437" s="32"/>
      <c r="T437" s="32"/>
      <c r="U437" s="26"/>
      <c r="V437" s="32"/>
    </row>
    <row r="438" ht="75.0" hidden="1" customHeight="1">
      <c r="A438" s="13">
        <v>437.0</v>
      </c>
      <c r="B438" s="15">
        <v>46138.0</v>
      </c>
      <c r="C438" s="13" t="s">
        <v>21</v>
      </c>
      <c r="D438" s="13" t="s">
        <v>48</v>
      </c>
      <c r="E438" s="20" t="s">
        <v>3273</v>
      </c>
      <c r="F438" s="13">
        <v>5.36941145E8</v>
      </c>
      <c r="G438" s="20" t="s">
        <v>112</v>
      </c>
      <c r="H438" s="13" t="s">
        <v>113</v>
      </c>
      <c r="I438" s="20" t="s">
        <v>3274</v>
      </c>
      <c r="J438" s="20" t="s">
        <v>35</v>
      </c>
      <c r="K438" s="13" t="s">
        <v>36</v>
      </c>
      <c r="L438" s="26"/>
      <c r="M438" s="27" t="s">
        <v>38</v>
      </c>
      <c r="N438" s="13" t="s">
        <v>56</v>
      </c>
      <c r="O438" s="13" t="s">
        <v>42</v>
      </c>
      <c r="P438" s="32"/>
      <c r="Q438" s="13" t="s">
        <v>49</v>
      </c>
      <c r="R438" s="13" t="s">
        <v>68</v>
      </c>
      <c r="S438" s="32"/>
      <c r="T438" s="32"/>
      <c r="U438" s="26"/>
      <c r="V438" s="32"/>
    </row>
    <row r="439" ht="57.75" hidden="1" customHeight="1">
      <c r="A439" s="13">
        <v>438.0</v>
      </c>
      <c r="B439" s="15">
        <v>46138.0</v>
      </c>
      <c r="C439" s="13" t="s">
        <v>58</v>
      </c>
      <c r="D439" s="13" t="s">
        <v>60</v>
      </c>
      <c r="E439" s="20" t="s">
        <v>3280</v>
      </c>
      <c r="F439" s="13">
        <v>5.40544192E8</v>
      </c>
      <c r="G439" s="20" t="s">
        <v>28</v>
      </c>
      <c r="H439" s="13" t="s">
        <v>27</v>
      </c>
      <c r="I439" s="20" t="s">
        <v>3281</v>
      </c>
      <c r="J439" s="20" t="s">
        <v>3282</v>
      </c>
      <c r="K439" s="13" t="s">
        <v>36</v>
      </c>
      <c r="L439" s="26"/>
      <c r="M439" s="27" t="s">
        <v>88</v>
      </c>
      <c r="N439" s="13" t="s">
        <v>56</v>
      </c>
      <c r="O439" s="13" t="s">
        <v>301</v>
      </c>
      <c r="P439" s="32"/>
      <c r="Q439" s="13" t="s">
        <v>44</v>
      </c>
      <c r="R439" s="13" t="s">
        <v>68</v>
      </c>
      <c r="S439" s="32"/>
      <c r="T439" s="32"/>
      <c r="U439" s="26"/>
      <c r="V439" s="32"/>
    </row>
    <row r="440" hidden="1">
      <c r="A440" s="13">
        <v>439.0</v>
      </c>
      <c r="B440" s="15">
        <v>46138.0</v>
      </c>
      <c r="C440" s="13" t="s">
        <v>21</v>
      </c>
      <c r="D440" s="13" t="s">
        <v>22</v>
      </c>
      <c r="E440" s="20" t="s">
        <v>3288</v>
      </c>
      <c r="F440" s="13">
        <v>5.5078791E8</v>
      </c>
      <c r="G440" s="20" t="s">
        <v>319</v>
      </c>
      <c r="H440" s="13" t="s">
        <v>27</v>
      </c>
      <c r="I440" s="20" t="s">
        <v>3289</v>
      </c>
      <c r="J440" s="20"/>
      <c r="K440" s="13" t="s">
        <v>36</v>
      </c>
      <c r="L440" s="26"/>
      <c r="M440" s="27" t="s">
        <v>38</v>
      </c>
      <c r="N440" s="13" t="s">
        <v>40</v>
      </c>
      <c r="O440" s="13" t="s">
        <v>42</v>
      </c>
      <c r="P440" s="32"/>
      <c r="Q440" s="13" t="s">
        <v>44</v>
      </c>
      <c r="R440" s="13" t="s">
        <v>46</v>
      </c>
      <c r="S440" s="32"/>
      <c r="T440" s="32"/>
      <c r="U440" s="26"/>
      <c r="V440" s="32"/>
    </row>
    <row r="441" hidden="1">
      <c r="A441" s="13">
        <v>440.0</v>
      </c>
      <c r="B441" s="15">
        <v>46138.0</v>
      </c>
      <c r="C441" s="13" t="s">
        <v>21</v>
      </c>
      <c r="D441" s="13" t="s">
        <v>57</v>
      </c>
      <c r="E441" s="20" t="s">
        <v>3293</v>
      </c>
      <c r="F441" s="13">
        <v>5.0851991E8</v>
      </c>
      <c r="G441" s="20" t="s">
        <v>41</v>
      </c>
      <c r="H441" s="13" t="s">
        <v>27</v>
      </c>
      <c r="I441" s="20" t="s">
        <v>3296</v>
      </c>
      <c r="J441" s="20"/>
      <c r="K441" s="13" t="s">
        <v>36</v>
      </c>
      <c r="L441" s="26"/>
      <c r="M441" s="27" t="s">
        <v>38</v>
      </c>
      <c r="N441" s="13" t="s">
        <v>40</v>
      </c>
      <c r="O441" s="13" t="s">
        <v>42</v>
      </c>
      <c r="P441" s="32"/>
      <c r="Q441" s="13" t="s">
        <v>44</v>
      </c>
      <c r="R441" s="13" t="s">
        <v>68</v>
      </c>
      <c r="S441" s="32"/>
      <c r="T441" s="32"/>
      <c r="U441" s="26"/>
      <c r="V441" s="32"/>
    </row>
    <row r="442" hidden="1">
      <c r="A442" s="13">
        <v>441.0</v>
      </c>
      <c r="B442" s="15">
        <v>46138.0</v>
      </c>
      <c r="C442" s="13" t="s">
        <v>58</v>
      </c>
      <c r="D442" s="13" t="s">
        <v>57</v>
      </c>
      <c r="E442" s="13" t="s">
        <v>27</v>
      </c>
      <c r="F442" s="13">
        <v>5.79413851E8</v>
      </c>
      <c r="G442" s="20" t="s">
        <v>2715</v>
      </c>
      <c r="H442" s="13" t="s">
        <v>27</v>
      </c>
      <c r="I442" s="20" t="s">
        <v>3301</v>
      </c>
      <c r="J442" s="20"/>
      <c r="K442" s="13" t="s">
        <v>36</v>
      </c>
      <c r="L442" s="26"/>
      <c r="M442" s="27" t="s">
        <v>88</v>
      </c>
      <c r="N442" s="13" t="s">
        <v>40</v>
      </c>
      <c r="O442" s="13" t="s">
        <v>42</v>
      </c>
      <c r="P442" s="32"/>
      <c r="Q442" s="13" t="s">
        <v>44</v>
      </c>
      <c r="R442" s="13" t="s">
        <v>68</v>
      </c>
      <c r="S442" s="32"/>
      <c r="T442" s="32"/>
      <c r="U442" s="26"/>
      <c r="V442" s="32"/>
    </row>
    <row r="443" hidden="1">
      <c r="A443" s="13">
        <v>442.0</v>
      </c>
      <c r="B443" s="15">
        <v>46138.0</v>
      </c>
      <c r="C443" s="13" t="s">
        <v>21</v>
      </c>
      <c r="D443" s="13" t="s">
        <v>22</v>
      </c>
      <c r="E443" s="20" t="s">
        <v>2979</v>
      </c>
      <c r="F443" s="13">
        <v>5.44100889E8</v>
      </c>
      <c r="G443" s="20" t="s">
        <v>319</v>
      </c>
      <c r="H443" s="13"/>
      <c r="I443" s="20" t="s">
        <v>3309</v>
      </c>
      <c r="J443" s="20"/>
      <c r="K443" s="13" t="s">
        <v>36</v>
      </c>
      <c r="L443" s="26"/>
      <c r="M443" s="27" t="s">
        <v>38</v>
      </c>
      <c r="N443" s="13" t="s">
        <v>40</v>
      </c>
      <c r="O443" s="13" t="s">
        <v>42</v>
      </c>
      <c r="P443" s="32"/>
      <c r="Q443" s="13" t="s">
        <v>44</v>
      </c>
      <c r="R443" s="13" t="s">
        <v>46</v>
      </c>
      <c r="S443" s="32"/>
      <c r="T443" s="32"/>
      <c r="U443" s="26"/>
      <c r="V443" s="32"/>
    </row>
    <row r="444" ht="107.25" hidden="1" customHeight="1">
      <c r="A444" s="13">
        <v>443.0</v>
      </c>
      <c r="B444" s="15">
        <v>46138.0</v>
      </c>
      <c r="C444" s="13" t="s">
        <v>47</v>
      </c>
      <c r="D444" s="13" t="s">
        <v>24</v>
      </c>
      <c r="E444" s="20" t="s">
        <v>3313</v>
      </c>
      <c r="F444" s="13">
        <v>5.36027137E8</v>
      </c>
      <c r="G444" s="20" t="s">
        <v>41</v>
      </c>
      <c r="H444" s="13" t="s">
        <v>97</v>
      </c>
      <c r="I444" s="20" t="s">
        <v>3314</v>
      </c>
      <c r="J444" s="20" t="s">
        <v>3315</v>
      </c>
      <c r="K444" s="13" t="s">
        <v>62</v>
      </c>
      <c r="L444" s="26"/>
      <c r="M444" s="27" t="s">
        <v>55</v>
      </c>
      <c r="N444" s="13" t="s">
        <v>56</v>
      </c>
      <c r="O444" s="13" t="s">
        <v>42</v>
      </c>
      <c r="P444" s="32"/>
      <c r="Q444" s="13" t="s">
        <v>44</v>
      </c>
      <c r="R444" s="13" t="s">
        <v>68</v>
      </c>
      <c r="S444" s="32"/>
      <c r="T444" s="32"/>
      <c r="U444" s="26"/>
      <c r="V444" s="32"/>
    </row>
    <row r="445" ht="21.0" hidden="1" customHeight="1">
      <c r="A445" s="13">
        <v>444.0</v>
      </c>
      <c r="B445" s="15">
        <v>46138.0</v>
      </c>
      <c r="C445" s="13" t="s">
        <v>58</v>
      </c>
      <c r="D445" s="13" t="s">
        <v>34</v>
      </c>
      <c r="E445" s="13" t="s">
        <v>27</v>
      </c>
      <c r="F445" s="13">
        <v>5.00542009E8</v>
      </c>
      <c r="G445" s="13" t="s">
        <v>27</v>
      </c>
      <c r="H445" s="13" t="s">
        <v>27</v>
      </c>
      <c r="I445" s="20" t="s">
        <v>298</v>
      </c>
      <c r="J445" s="20"/>
      <c r="K445" s="13" t="s">
        <v>36</v>
      </c>
      <c r="L445" s="26"/>
      <c r="M445" s="27" t="s">
        <v>88</v>
      </c>
      <c r="N445" s="13" t="s">
        <v>40</v>
      </c>
      <c r="O445" s="13" t="s">
        <v>42</v>
      </c>
      <c r="P445" s="32"/>
      <c r="Q445" s="13" t="s">
        <v>44</v>
      </c>
      <c r="R445" s="13" t="s">
        <v>68</v>
      </c>
      <c r="S445" s="32"/>
      <c r="T445" s="32"/>
      <c r="U445" s="26"/>
      <c r="V445" s="32"/>
    </row>
    <row r="446" ht="21.75" hidden="1" customHeight="1">
      <c r="A446" s="13">
        <v>445.0</v>
      </c>
      <c r="B446" s="15">
        <v>46138.0</v>
      </c>
      <c r="C446" s="13" t="s">
        <v>21</v>
      </c>
      <c r="D446" s="13" t="s">
        <v>24</v>
      </c>
      <c r="E446" s="20" t="s">
        <v>3323</v>
      </c>
      <c r="F446" s="13">
        <v>5.46881363E8</v>
      </c>
      <c r="G446" s="20" t="s">
        <v>71</v>
      </c>
      <c r="H446" s="13" t="s">
        <v>27</v>
      </c>
      <c r="I446" s="20" t="s">
        <v>1733</v>
      </c>
      <c r="J446" s="20"/>
      <c r="K446" s="13" t="s">
        <v>36</v>
      </c>
      <c r="L446" s="26"/>
      <c r="M446" s="27" t="s">
        <v>38</v>
      </c>
      <c r="N446" s="13" t="s">
        <v>40</v>
      </c>
      <c r="O446" s="13" t="s">
        <v>42</v>
      </c>
      <c r="P446" s="32"/>
      <c r="Q446" s="13" t="s">
        <v>44</v>
      </c>
      <c r="R446" s="13" t="s">
        <v>46</v>
      </c>
      <c r="S446" s="32"/>
      <c r="T446" s="32"/>
      <c r="U446" s="26"/>
      <c r="V446" s="32"/>
    </row>
    <row r="447" ht="33.75" hidden="1" customHeight="1">
      <c r="A447" s="13">
        <v>446.0</v>
      </c>
      <c r="B447" s="15">
        <v>46138.0</v>
      </c>
      <c r="C447" s="13" t="s">
        <v>58</v>
      </c>
      <c r="D447" s="13" t="s">
        <v>60</v>
      </c>
      <c r="E447" s="13" t="s">
        <v>27</v>
      </c>
      <c r="F447" s="13">
        <v>5.37610772E8</v>
      </c>
      <c r="G447" s="13" t="s">
        <v>27</v>
      </c>
      <c r="H447" s="13" t="s">
        <v>27</v>
      </c>
      <c r="I447" s="20" t="s">
        <v>554</v>
      </c>
      <c r="J447" s="20" t="s">
        <v>35</v>
      </c>
      <c r="K447" s="13" t="s">
        <v>36</v>
      </c>
      <c r="L447" s="26"/>
      <c r="M447" s="27" t="s">
        <v>88</v>
      </c>
      <c r="N447" s="13" t="s">
        <v>56</v>
      </c>
      <c r="O447" s="13" t="s">
        <v>42</v>
      </c>
      <c r="P447" s="32"/>
      <c r="Q447" s="13" t="s">
        <v>49</v>
      </c>
      <c r="R447" s="13" t="s">
        <v>68</v>
      </c>
      <c r="S447" s="32"/>
      <c r="T447" s="32"/>
      <c r="U447" s="26"/>
      <c r="V447" s="32"/>
    </row>
    <row r="448" ht="31.5" hidden="1" customHeight="1">
      <c r="A448" s="13">
        <v>447.0</v>
      </c>
      <c r="B448" s="15">
        <v>46138.0</v>
      </c>
      <c r="C448" s="13" t="s">
        <v>58</v>
      </c>
      <c r="D448" s="13" t="s">
        <v>60</v>
      </c>
      <c r="E448" s="13" t="s">
        <v>27</v>
      </c>
      <c r="F448" s="13">
        <v>5.1058281E8</v>
      </c>
      <c r="G448" s="13" t="s">
        <v>27</v>
      </c>
      <c r="H448" s="13" t="s">
        <v>27</v>
      </c>
      <c r="I448" s="20" t="s">
        <v>554</v>
      </c>
      <c r="J448" s="20"/>
      <c r="K448" s="13" t="s">
        <v>36</v>
      </c>
      <c r="L448" s="26"/>
      <c r="M448" s="27" t="s">
        <v>88</v>
      </c>
      <c r="N448" s="13" t="s">
        <v>40</v>
      </c>
      <c r="O448" s="13" t="s">
        <v>42</v>
      </c>
      <c r="P448" s="32"/>
      <c r="Q448" s="13" t="s">
        <v>44</v>
      </c>
      <c r="R448" s="13" t="s">
        <v>68</v>
      </c>
      <c r="S448" s="32"/>
      <c r="T448" s="32"/>
      <c r="U448" s="26"/>
      <c r="V448" s="32"/>
    </row>
    <row r="449" hidden="1">
      <c r="A449" s="13">
        <v>448.0</v>
      </c>
      <c r="B449" s="15">
        <v>46138.0</v>
      </c>
      <c r="C449" s="13" t="s">
        <v>58</v>
      </c>
      <c r="D449" s="13" t="s">
        <v>60</v>
      </c>
      <c r="E449" s="13" t="s">
        <v>3349</v>
      </c>
      <c r="F449" s="13">
        <v>5.57417763E8</v>
      </c>
      <c r="G449" s="20"/>
      <c r="H449" s="13"/>
      <c r="I449" s="20" t="s">
        <v>3352</v>
      </c>
      <c r="J449" s="20" t="s">
        <v>3353</v>
      </c>
      <c r="K449" s="13" t="s">
        <v>62</v>
      </c>
      <c r="L449" s="26"/>
      <c r="M449" s="27" t="s">
        <v>88</v>
      </c>
      <c r="N449" s="13" t="s">
        <v>56</v>
      </c>
      <c r="O449" s="13" t="s">
        <v>42</v>
      </c>
      <c r="P449" s="32"/>
      <c r="Q449" s="13" t="s">
        <v>49</v>
      </c>
      <c r="R449" s="13" t="s">
        <v>68</v>
      </c>
      <c r="S449" s="32"/>
      <c r="T449" s="32"/>
      <c r="U449" s="26"/>
      <c r="V449" s="32"/>
    </row>
    <row r="450" hidden="1">
      <c r="A450" s="13">
        <v>449.0</v>
      </c>
      <c r="B450" s="15">
        <v>46138.0</v>
      </c>
      <c r="C450" s="13" t="s">
        <v>58</v>
      </c>
      <c r="D450" s="13" t="s">
        <v>60</v>
      </c>
      <c r="E450" s="13" t="s">
        <v>27</v>
      </c>
      <c r="F450" s="13">
        <v>5.06378089E8</v>
      </c>
      <c r="G450" s="13" t="s">
        <v>27</v>
      </c>
      <c r="H450" s="13" t="s">
        <v>27</v>
      </c>
      <c r="I450" s="20" t="s">
        <v>554</v>
      </c>
      <c r="J450" s="20"/>
      <c r="K450" s="13" t="s">
        <v>36</v>
      </c>
      <c r="L450" s="26"/>
      <c r="M450" s="27" t="s">
        <v>88</v>
      </c>
      <c r="N450" s="13" t="s">
        <v>56</v>
      </c>
      <c r="O450" s="13" t="s">
        <v>42</v>
      </c>
      <c r="P450" s="32"/>
      <c r="Q450" s="13" t="s">
        <v>44</v>
      </c>
      <c r="R450" s="13" t="s">
        <v>68</v>
      </c>
      <c r="S450" s="32"/>
      <c r="T450" s="32"/>
      <c r="U450" s="26"/>
      <c r="V450" s="32"/>
    </row>
    <row r="451" hidden="1">
      <c r="A451" s="13">
        <v>450.0</v>
      </c>
      <c r="B451" s="15">
        <v>46138.0</v>
      </c>
      <c r="C451" s="13" t="s">
        <v>21</v>
      </c>
      <c r="D451" s="13" t="s">
        <v>22</v>
      </c>
      <c r="E451" s="20" t="s">
        <v>3361</v>
      </c>
      <c r="F451" s="13">
        <v>5.55581533E8</v>
      </c>
      <c r="G451" s="13" t="s">
        <v>27</v>
      </c>
      <c r="H451" s="13" t="s">
        <v>27</v>
      </c>
      <c r="I451" s="20" t="s">
        <v>3362</v>
      </c>
      <c r="J451" s="20" t="s">
        <v>35</v>
      </c>
      <c r="K451" s="13" t="s">
        <v>36</v>
      </c>
      <c r="L451" s="26"/>
      <c r="M451" s="27" t="s">
        <v>38</v>
      </c>
      <c r="N451" s="13" t="s">
        <v>40</v>
      </c>
      <c r="O451" s="13" t="s">
        <v>42</v>
      </c>
      <c r="P451" s="32"/>
      <c r="Q451" s="13" t="s">
        <v>49</v>
      </c>
      <c r="R451" s="13" t="s">
        <v>46</v>
      </c>
      <c r="S451" s="32"/>
      <c r="T451" s="32"/>
      <c r="U451" s="26"/>
      <c r="V451" s="32"/>
    </row>
    <row r="452" ht="115.5" hidden="1" customHeight="1">
      <c r="A452" s="13">
        <v>451.0</v>
      </c>
      <c r="B452" s="15">
        <v>46139.0</v>
      </c>
      <c r="C452" s="13" t="s">
        <v>47</v>
      </c>
      <c r="D452" s="13" t="s">
        <v>48</v>
      </c>
      <c r="E452" s="20" t="s">
        <v>3369</v>
      </c>
      <c r="F452" s="13">
        <v>5.55722205E8</v>
      </c>
      <c r="G452" s="20" t="s">
        <v>79</v>
      </c>
      <c r="H452" s="13" t="s">
        <v>178</v>
      </c>
      <c r="I452" s="20" t="s">
        <v>3371</v>
      </c>
      <c r="J452" s="20" t="s">
        <v>3372</v>
      </c>
      <c r="K452" s="13" t="s">
        <v>36</v>
      </c>
      <c r="L452" s="26"/>
      <c r="M452" s="27" t="s">
        <v>55</v>
      </c>
      <c r="N452" s="13" t="s">
        <v>56</v>
      </c>
      <c r="O452" s="13" t="s">
        <v>42</v>
      </c>
      <c r="P452" s="32"/>
      <c r="Q452" s="13" t="s">
        <v>49</v>
      </c>
      <c r="R452" s="13" t="s">
        <v>46</v>
      </c>
      <c r="S452" s="32"/>
      <c r="T452" s="32"/>
      <c r="U452" s="26"/>
      <c r="V452" s="32"/>
    </row>
    <row r="453" ht="58.5" hidden="1" customHeight="1">
      <c r="A453" s="13">
        <v>452.0</v>
      </c>
      <c r="B453" s="15">
        <v>46139.0</v>
      </c>
      <c r="C453" s="13" t="s">
        <v>21</v>
      </c>
      <c r="D453" s="13" t="s">
        <v>22</v>
      </c>
      <c r="E453" s="20" t="s">
        <v>3377</v>
      </c>
      <c r="F453" s="13">
        <v>5.05776742E8</v>
      </c>
      <c r="G453" s="20" t="s">
        <v>908</v>
      </c>
      <c r="H453" s="13" t="s">
        <v>27</v>
      </c>
      <c r="I453" s="20" t="s">
        <v>3379</v>
      </c>
      <c r="J453" s="20" t="s">
        <v>35</v>
      </c>
      <c r="K453" s="13" t="s">
        <v>36</v>
      </c>
      <c r="L453" s="26"/>
      <c r="M453" s="27" t="s">
        <v>38</v>
      </c>
      <c r="N453" s="13" t="s">
        <v>40</v>
      </c>
      <c r="O453" s="13" t="s">
        <v>42</v>
      </c>
      <c r="P453" s="32"/>
      <c r="Q453" s="13" t="s">
        <v>49</v>
      </c>
      <c r="R453" s="13" t="s">
        <v>46</v>
      </c>
      <c r="S453" s="32"/>
      <c r="T453" s="32"/>
      <c r="U453" s="26"/>
      <c r="V453" s="32"/>
    </row>
    <row r="454" ht="24.0" hidden="1" customHeight="1">
      <c r="A454" s="13">
        <v>453.0</v>
      </c>
      <c r="B454" s="15">
        <v>46139.0</v>
      </c>
      <c r="C454" s="13" t="s">
        <v>58</v>
      </c>
      <c r="D454" s="13" t="s">
        <v>60</v>
      </c>
      <c r="E454" s="13" t="s">
        <v>27</v>
      </c>
      <c r="F454" s="13">
        <v>5.01591529E8</v>
      </c>
      <c r="G454" s="20" t="s">
        <v>211</v>
      </c>
      <c r="H454" s="20" t="s">
        <v>3383</v>
      </c>
      <c r="I454" s="20" t="s">
        <v>3384</v>
      </c>
      <c r="J454" s="20" t="s">
        <v>3385</v>
      </c>
      <c r="K454" s="13" t="s">
        <v>36</v>
      </c>
      <c r="L454" s="26"/>
      <c r="M454" s="27" t="s">
        <v>88</v>
      </c>
      <c r="N454" s="13" t="s">
        <v>56</v>
      </c>
      <c r="O454" s="13" t="s">
        <v>42</v>
      </c>
      <c r="P454" s="32"/>
      <c r="Q454" s="13" t="s">
        <v>49</v>
      </c>
      <c r="R454" s="13" t="s">
        <v>68</v>
      </c>
      <c r="S454" s="32"/>
      <c r="T454" s="32"/>
      <c r="U454" s="26"/>
      <c r="V454" s="32"/>
    </row>
    <row r="455" ht="59.25" hidden="1" customHeight="1">
      <c r="A455" s="13">
        <v>454.0</v>
      </c>
      <c r="B455" s="15">
        <v>46139.0</v>
      </c>
      <c r="C455" s="13" t="s">
        <v>47</v>
      </c>
      <c r="D455" s="13" t="s">
        <v>48</v>
      </c>
      <c r="E455" s="20" t="s">
        <v>330</v>
      </c>
      <c r="F455" s="13" t="s">
        <v>27</v>
      </c>
      <c r="G455" s="20" t="s">
        <v>79</v>
      </c>
      <c r="H455" s="13" t="s">
        <v>638</v>
      </c>
      <c r="I455" s="20" t="s">
        <v>3394</v>
      </c>
      <c r="J455" s="20" t="s">
        <v>3396</v>
      </c>
      <c r="K455" s="13" t="s">
        <v>36</v>
      </c>
      <c r="L455" s="26"/>
      <c r="M455" s="27" t="s">
        <v>55</v>
      </c>
      <c r="N455" s="13" t="s">
        <v>56</v>
      </c>
      <c r="O455" s="13" t="s">
        <v>42</v>
      </c>
      <c r="P455" s="32"/>
      <c r="Q455" s="13" t="s">
        <v>49</v>
      </c>
      <c r="R455" s="13" t="s">
        <v>46</v>
      </c>
      <c r="S455" s="32"/>
      <c r="T455" s="32"/>
      <c r="U455" s="26"/>
      <c r="V455" s="32"/>
    </row>
    <row r="456" ht="114.75" hidden="1" customHeight="1">
      <c r="A456" s="13">
        <v>455.0</v>
      </c>
      <c r="B456" s="15">
        <v>46139.0</v>
      </c>
      <c r="C456" s="13" t="s">
        <v>47</v>
      </c>
      <c r="D456" s="13" t="s">
        <v>92</v>
      </c>
      <c r="E456" s="20" t="s">
        <v>3400</v>
      </c>
      <c r="F456" s="13">
        <v>5.96777701E8</v>
      </c>
      <c r="G456" s="20" t="s">
        <v>71</v>
      </c>
      <c r="H456" s="173" t="s">
        <v>337</v>
      </c>
      <c r="I456" s="20" t="s">
        <v>3402</v>
      </c>
      <c r="J456" s="20" t="s">
        <v>3403</v>
      </c>
      <c r="K456" s="13" t="s">
        <v>36</v>
      </c>
      <c r="L456" s="26"/>
      <c r="M456" s="27" t="s">
        <v>221</v>
      </c>
      <c r="N456" s="13" t="s">
        <v>56</v>
      </c>
      <c r="O456" s="13" t="s">
        <v>518</v>
      </c>
      <c r="P456" s="32"/>
      <c r="Q456" s="13" t="s">
        <v>44</v>
      </c>
      <c r="R456" s="13" t="s">
        <v>46</v>
      </c>
      <c r="S456" s="32"/>
      <c r="T456" s="32"/>
      <c r="U456" s="26"/>
      <c r="V456" s="32"/>
    </row>
    <row r="457" ht="21.0" hidden="1" customHeight="1">
      <c r="A457" s="13">
        <v>456.0</v>
      </c>
      <c r="B457" s="15">
        <v>46139.0</v>
      </c>
      <c r="C457" s="13" t="s">
        <v>21</v>
      </c>
      <c r="D457" s="13" t="s">
        <v>22</v>
      </c>
      <c r="E457" s="20" t="s">
        <v>3408</v>
      </c>
      <c r="F457" s="13">
        <v>5.63339887E8</v>
      </c>
      <c r="G457" s="20" t="s">
        <v>319</v>
      </c>
      <c r="H457" s="13" t="s">
        <v>27</v>
      </c>
      <c r="I457" s="20" t="s">
        <v>3409</v>
      </c>
      <c r="J457" s="20" t="s">
        <v>35</v>
      </c>
      <c r="K457" s="13" t="s">
        <v>36</v>
      </c>
      <c r="L457" s="26"/>
      <c r="M457" s="27" t="s">
        <v>38</v>
      </c>
      <c r="N457" s="13" t="s">
        <v>40</v>
      </c>
      <c r="O457" s="13" t="s">
        <v>42</v>
      </c>
      <c r="P457" s="32"/>
      <c r="Q457" s="13" t="s">
        <v>49</v>
      </c>
      <c r="R457" s="13" t="s">
        <v>46</v>
      </c>
      <c r="S457" s="32"/>
      <c r="T457" s="32"/>
      <c r="U457" s="26"/>
      <c r="V457" s="32"/>
    </row>
    <row r="458" ht="21.0" hidden="1" customHeight="1">
      <c r="A458" s="13">
        <v>457.0</v>
      </c>
      <c r="B458" s="15">
        <v>46139.0</v>
      </c>
      <c r="C458" s="13" t="s">
        <v>21</v>
      </c>
      <c r="D458" s="13" t="s">
        <v>66</v>
      </c>
      <c r="E458" s="20" t="s">
        <v>3415</v>
      </c>
      <c r="F458" s="13">
        <v>5.09194222E8</v>
      </c>
      <c r="G458" s="20" t="s">
        <v>874</v>
      </c>
      <c r="H458" s="13" t="s">
        <v>27</v>
      </c>
      <c r="I458" s="20" t="s">
        <v>3417</v>
      </c>
      <c r="J458" s="20" t="s">
        <v>3418</v>
      </c>
      <c r="K458" s="13" t="s">
        <v>36</v>
      </c>
      <c r="L458" s="26"/>
      <c r="M458" s="27" t="s">
        <v>38</v>
      </c>
      <c r="N458" s="13" t="s">
        <v>40</v>
      </c>
      <c r="O458" s="13" t="s">
        <v>42</v>
      </c>
      <c r="P458" s="32"/>
      <c r="Q458" s="13" t="s">
        <v>44</v>
      </c>
      <c r="R458" s="13" t="s">
        <v>68</v>
      </c>
      <c r="S458" s="32"/>
      <c r="T458" s="32"/>
      <c r="U458" s="26"/>
      <c r="V458" s="32"/>
    </row>
    <row r="459" ht="20.25" hidden="1" customHeight="1">
      <c r="A459" s="13">
        <v>458.0</v>
      </c>
      <c r="B459" s="15">
        <v>46139.0</v>
      </c>
      <c r="C459" s="13" t="s">
        <v>21</v>
      </c>
      <c r="D459" s="13" t="s">
        <v>24</v>
      </c>
      <c r="E459" s="20" t="s">
        <v>3424</v>
      </c>
      <c r="F459" s="13">
        <v>5.05606109E8</v>
      </c>
      <c r="G459" s="20" t="s">
        <v>211</v>
      </c>
      <c r="H459" s="13" t="s">
        <v>27</v>
      </c>
      <c r="I459" s="20" t="s">
        <v>3426</v>
      </c>
      <c r="J459" s="20"/>
      <c r="K459" s="13" t="s">
        <v>36</v>
      </c>
      <c r="L459" s="26"/>
      <c r="M459" s="27" t="s">
        <v>38</v>
      </c>
      <c r="N459" s="13" t="s">
        <v>40</v>
      </c>
      <c r="O459" s="13" t="s">
        <v>42</v>
      </c>
      <c r="P459" s="32"/>
      <c r="Q459" s="13" t="s">
        <v>44</v>
      </c>
      <c r="R459" s="13" t="s">
        <v>46</v>
      </c>
      <c r="S459" s="32"/>
      <c r="T459" s="32"/>
      <c r="U459" s="26"/>
      <c r="V459" s="32"/>
    </row>
    <row r="460" hidden="1">
      <c r="A460" s="13">
        <v>459.0</v>
      </c>
      <c r="B460" s="15">
        <v>46139.0</v>
      </c>
      <c r="C460" s="13" t="s">
        <v>21</v>
      </c>
      <c r="D460" s="13" t="s">
        <v>22</v>
      </c>
      <c r="E460" s="20" t="s">
        <v>3428</v>
      </c>
      <c r="F460" s="13">
        <v>5.59516494E8</v>
      </c>
      <c r="G460" s="20" t="s">
        <v>2653</v>
      </c>
      <c r="H460" s="13" t="s">
        <v>27</v>
      </c>
      <c r="I460" s="20" t="s">
        <v>3430</v>
      </c>
      <c r="J460" s="20"/>
      <c r="K460" s="13" t="s">
        <v>36</v>
      </c>
      <c r="L460" s="26"/>
      <c r="M460" s="27" t="s">
        <v>38</v>
      </c>
      <c r="N460" s="13" t="s">
        <v>40</v>
      </c>
      <c r="O460" s="13" t="s">
        <v>42</v>
      </c>
      <c r="P460" s="32"/>
      <c r="Q460" s="13" t="s">
        <v>44</v>
      </c>
      <c r="R460" s="13" t="s">
        <v>46</v>
      </c>
      <c r="S460" s="32"/>
      <c r="T460" s="32"/>
      <c r="U460" s="26"/>
      <c r="V460" s="32"/>
    </row>
    <row r="461" ht="100.5" hidden="1" customHeight="1">
      <c r="A461" s="13">
        <v>460.0</v>
      </c>
      <c r="B461" s="15">
        <v>46139.0</v>
      </c>
      <c r="C461" s="13" t="s">
        <v>47</v>
      </c>
      <c r="D461" s="13" t="s">
        <v>92</v>
      </c>
      <c r="E461" s="20" t="s">
        <v>3435</v>
      </c>
      <c r="F461" s="13">
        <v>5.05757266E8</v>
      </c>
      <c r="G461" s="20" t="s">
        <v>71</v>
      </c>
      <c r="H461" s="13" t="s">
        <v>94</v>
      </c>
      <c r="I461" s="20" t="s">
        <v>3436</v>
      </c>
      <c r="J461" s="20"/>
      <c r="K461" s="13" t="s">
        <v>36</v>
      </c>
      <c r="L461" s="26"/>
      <c r="M461" s="27" t="s">
        <v>98</v>
      </c>
      <c r="N461" s="13" t="s">
        <v>40</v>
      </c>
      <c r="O461" s="13" t="s">
        <v>518</v>
      </c>
      <c r="P461" s="32"/>
      <c r="Q461" s="13" t="s">
        <v>44</v>
      </c>
      <c r="R461" s="13" t="s">
        <v>46</v>
      </c>
      <c r="S461" s="32"/>
      <c r="T461" s="32"/>
      <c r="U461" s="26"/>
      <c r="V461" s="32"/>
    </row>
    <row r="462" hidden="1">
      <c r="A462" s="13">
        <v>461.0</v>
      </c>
      <c r="B462" s="15">
        <v>46139.0</v>
      </c>
      <c r="C462" s="13" t="s">
        <v>21</v>
      </c>
      <c r="D462" s="13" t="s">
        <v>57</v>
      </c>
      <c r="E462" s="20" t="s">
        <v>3442</v>
      </c>
      <c r="F462" s="13">
        <v>5.33297972E8</v>
      </c>
      <c r="G462" s="20" t="s">
        <v>152</v>
      </c>
      <c r="H462" s="13" t="s">
        <v>27</v>
      </c>
      <c r="I462" s="20" t="s">
        <v>3443</v>
      </c>
      <c r="J462" s="20"/>
      <c r="K462" s="13" t="s">
        <v>36</v>
      </c>
      <c r="L462" s="26"/>
      <c r="M462" s="27" t="s">
        <v>38</v>
      </c>
      <c r="N462" s="13" t="s">
        <v>40</v>
      </c>
      <c r="O462" s="13" t="s">
        <v>42</v>
      </c>
      <c r="P462" s="32"/>
      <c r="Q462" s="13" t="s">
        <v>44</v>
      </c>
      <c r="R462" s="13" t="s">
        <v>68</v>
      </c>
      <c r="S462" s="32"/>
      <c r="T462" s="32"/>
      <c r="U462" s="26"/>
      <c r="V462" s="32"/>
    </row>
    <row r="463" ht="30.0" hidden="1" customHeight="1">
      <c r="A463" s="13">
        <v>462.0</v>
      </c>
      <c r="B463" s="15">
        <v>46139.0</v>
      </c>
      <c r="C463" s="13" t="s">
        <v>21</v>
      </c>
      <c r="D463" s="13" t="s">
        <v>22</v>
      </c>
      <c r="E463" s="20" t="s">
        <v>463</v>
      </c>
      <c r="F463" s="13">
        <v>5.05441419E8</v>
      </c>
      <c r="G463" s="20" t="s">
        <v>3446</v>
      </c>
      <c r="H463" s="13" t="s">
        <v>27</v>
      </c>
      <c r="I463" s="20" t="s">
        <v>3447</v>
      </c>
      <c r="J463" s="20" t="s">
        <v>35</v>
      </c>
      <c r="K463" s="13" t="s">
        <v>36</v>
      </c>
      <c r="L463" s="26"/>
      <c r="M463" s="27" t="s">
        <v>38</v>
      </c>
      <c r="N463" s="13" t="s">
        <v>40</v>
      </c>
      <c r="O463" s="13" t="s">
        <v>42</v>
      </c>
      <c r="P463" s="32"/>
      <c r="Q463" s="13" t="s">
        <v>49</v>
      </c>
      <c r="R463" s="13" t="s">
        <v>46</v>
      </c>
      <c r="S463" s="32"/>
      <c r="T463" s="32"/>
      <c r="U463" s="26"/>
      <c r="V463" s="32"/>
    </row>
    <row r="464" hidden="1">
      <c r="A464" s="13">
        <v>463.0</v>
      </c>
      <c r="B464" s="15">
        <v>46139.0</v>
      </c>
      <c r="C464" s="13" t="s">
        <v>58</v>
      </c>
      <c r="D464" s="13" t="s">
        <v>60</v>
      </c>
      <c r="E464" s="13" t="s">
        <v>27</v>
      </c>
      <c r="F464" s="13">
        <v>5.52321667E8</v>
      </c>
      <c r="G464" s="13" t="s">
        <v>27</v>
      </c>
      <c r="H464" s="13" t="s">
        <v>27</v>
      </c>
      <c r="I464" s="20" t="s">
        <v>554</v>
      </c>
      <c r="J464" s="20"/>
      <c r="K464" s="13" t="s">
        <v>36</v>
      </c>
      <c r="L464" s="26"/>
      <c r="M464" s="27" t="s">
        <v>88</v>
      </c>
      <c r="N464" s="13" t="s">
        <v>40</v>
      </c>
      <c r="O464" s="13" t="s">
        <v>42</v>
      </c>
      <c r="P464" s="32"/>
      <c r="Q464" s="13" t="s">
        <v>44</v>
      </c>
      <c r="R464" s="13" t="s">
        <v>68</v>
      </c>
      <c r="S464" s="32"/>
      <c r="T464" s="32"/>
      <c r="U464" s="26"/>
      <c r="V464" s="32"/>
    </row>
    <row r="465" ht="45.0" hidden="1" customHeight="1">
      <c r="A465" s="13">
        <v>464.0</v>
      </c>
      <c r="B465" s="15">
        <v>46139.0</v>
      </c>
      <c r="C465" s="13" t="s">
        <v>21</v>
      </c>
      <c r="D465" s="13" t="s">
        <v>48</v>
      </c>
      <c r="E465" s="20" t="s">
        <v>3458</v>
      </c>
      <c r="F465" s="13">
        <v>5.00478837E8</v>
      </c>
      <c r="G465" s="20" t="s">
        <v>267</v>
      </c>
      <c r="H465" s="13" t="s">
        <v>329</v>
      </c>
      <c r="I465" s="20" t="s">
        <v>3461</v>
      </c>
      <c r="J465" s="20" t="s">
        <v>3462</v>
      </c>
      <c r="K465" s="13" t="s">
        <v>36</v>
      </c>
      <c r="L465" s="26"/>
      <c r="M465" s="27" t="s">
        <v>38</v>
      </c>
      <c r="N465" s="13" t="s">
        <v>40</v>
      </c>
      <c r="O465" s="13" t="s">
        <v>42</v>
      </c>
      <c r="P465" s="32"/>
      <c r="Q465" s="13" t="s">
        <v>49</v>
      </c>
      <c r="R465" s="13" t="s">
        <v>68</v>
      </c>
      <c r="S465" s="32"/>
      <c r="T465" s="32"/>
      <c r="U465" s="26"/>
      <c r="V465" s="32"/>
    </row>
    <row r="466" ht="28.5" hidden="1" customHeight="1">
      <c r="A466" s="13">
        <v>465.0</v>
      </c>
      <c r="B466" s="15">
        <v>46139.0</v>
      </c>
      <c r="C466" s="13" t="s">
        <v>58</v>
      </c>
      <c r="D466" s="13" t="s">
        <v>60</v>
      </c>
      <c r="E466" s="13" t="s">
        <v>27</v>
      </c>
      <c r="F466" s="13">
        <v>5.30810425E8</v>
      </c>
      <c r="G466" s="13" t="s">
        <v>27</v>
      </c>
      <c r="H466" s="13"/>
      <c r="I466" s="20" t="s">
        <v>554</v>
      </c>
      <c r="J466" s="20" t="s">
        <v>35</v>
      </c>
      <c r="K466" s="13" t="s">
        <v>36</v>
      </c>
      <c r="L466" s="26"/>
      <c r="M466" s="27" t="s">
        <v>88</v>
      </c>
      <c r="N466" s="13" t="s">
        <v>40</v>
      </c>
      <c r="O466" s="13" t="s">
        <v>42</v>
      </c>
      <c r="P466" s="32"/>
      <c r="Q466" s="13" t="s">
        <v>49</v>
      </c>
      <c r="R466" s="13" t="s">
        <v>68</v>
      </c>
      <c r="S466" s="32"/>
      <c r="T466" s="32"/>
      <c r="U466" s="26"/>
      <c r="V466" s="32"/>
    </row>
    <row r="467" ht="48.75" hidden="1" customHeight="1">
      <c r="A467" s="13">
        <v>466.0</v>
      </c>
      <c r="B467" s="15">
        <v>46140.0</v>
      </c>
      <c r="C467" s="13" t="s">
        <v>47</v>
      </c>
      <c r="D467" s="13" t="s">
        <v>48</v>
      </c>
      <c r="E467" s="20" t="s">
        <v>3468</v>
      </c>
      <c r="F467" s="13">
        <v>5.37796583E8</v>
      </c>
      <c r="G467" s="20" t="s">
        <v>41</v>
      </c>
      <c r="H467" s="13" t="s">
        <v>222</v>
      </c>
      <c r="I467" s="20" t="s">
        <v>3469</v>
      </c>
      <c r="J467" s="20" t="s">
        <v>3470</v>
      </c>
      <c r="K467" s="13" t="s">
        <v>36</v>
      </c>
      <c r="L467" s="26"/>
      <c r="M467" s="75" t="s">
        <v>3355</v>
      </c>
      <c r="N467" s="13" t="s">
        <v>56</v>
      </c>
      <c r="O467" s="13" t="s">
        <v>42</v>
      </c>
      <c r="P467" s="32"/>
      <c r="Q467" s="13" t="s">
        <v>49</v>
      </c>
      <c r="R467" s="13" t="s">
        <v>46</v>
      </c>
      <c r="S467" s="32"/>
      <c r="T467" s="32"/>
      <c r="U467" s="26"/>
      <c r="V467" s="32"/>
    </row>
    <row r="468" ht="71.25" hidden="1" customHeight="1">
      <c r="A468" s="13">
        <v>467.0</v>
      </c>
      <c r="B468" s="15">
        <v>46140.0</v>
      </c>
      <c r="C468" s="13" t="s">
        <v>47</v>
      </c>
      <c r="D468" s="13" t="s">
        <v>48</v>
      </c>
      <c r="E468" s="104" t="s">
        <v>3476</v>
      </c>
      <c r="F468" s="13" t="s">
        <v>27</v>
      </c>
      <c r="G468" s="20" t="s">
        <v>41</v>
      </c>
      <c r="H468" s="13" t="s">
        <v>222</v>
      </c>
      <c r="I468" s="20" t="s">
        <v>3477</v>
      </c>
      <c r="J468" s="20" t="s">
        <v>3478</v>
      </c>
      <c r="K468" s="13" t="s">
        <v>78</v>
      </c>
      <c r="L468" s="26"/>
      <c r="M468" s="75" t="s">
        <v>3370</v>
      </c>
      <c r="N468" s="13" t="s">
        <v>56</v>
      </c>
      <c r="O468" s="13" t="s">
        <v>42</v>
      </c>
      <c r="P468" s="32"/>
      <c r="Q468" s="13" t="s">
        <v>49</v>
      </c>
      <c r="R468" s="13" t="s">
        <v>46</v>
      </c>
      <c r="S468" s="32"/>
      <c r="T468" s="32"/>
      <c r="U468" s="26"/>
      <c r="V468" s="32"/>
    </row>
    <row r="469" ht="36.75" hidden="1" customHeight="1">
      <c r="A469" s="13">
        <v>468.0</v>
      </c>
      <c r="B469" s="15">
        <v>46140.0</v>
      </c>
      <c r="C469" s="13" t="s">
        <v>21</v>
      </c>
      <c r="D469" s="13" t="s">
        <v>66</v>
      </c>
      <c r="E469" s="20" t="s">
        <v>1554</v>
      </c>
      <c r="F469" s="13">
        <v>5.35044223E8</v>
      </c>
      <c r="G469" s="20" t="s">
        <v>152</v>
      </c>
      <c r="H469" s="13" t="s">
        <v>27</v>
      </c>
      <c r="I469" s="20" t="s">
        <v>3485</v>
      </c>
      <c r="J469" s="20" t="s">
        <v>35</v>
      </c>
      <c r="K469" s="13" t="s">
        <v>36</v>
      </c>
      <c r="L469" s="26"/>
      <c r="M469" s="27" t="s">
        <v>38</v>
      </c>
      <c r="N469" s="13" t="s">
        <v>40</v>
      </c>
      <c r="O469" s="13" t="s">
        <v>42</v>
      </c>
      <c r="P469" s="32"/>
      <c r="Q469" s="13" t="s">
        <v>49</v>
      </c>
      <c r="R469" s="13" t="s">
        <v>68</v>
      </c>
      <c r="S469" s="32"/>
      <c r="T469" s="32"/>
      <c r="U469" s="26"/>
      <c r="V469" s="32"/>
    </row>
    <row r="470" hidden="1">
      <c r="A470" s="13">
        <v>469.0</v>
      </c>
      <c r="B470" s="15">
        <v>46140.0</v>
      </c>
      <c r="C470" s="13" t="s">
        <v>58</v>
      </c>
      <c r="D470" s="13" t="s">
        <v>60</v>
      </c>
      <c r="E470" s="13" t="s">
        <v>27</v>
      </c>
      <c r="F470" s="13">
        <v>5.58570248E8</v>
      </c>
      <c r="G470" s="13" t="s">
        <v>27</v>
      </c>
      <c r="H470" s="13" t="s">
        <v>27</v>
      </c>
      <c r="I470" s="20" t="s">
        <v>554</v>
      </c>
      <c r="J470" s="20" t="s">
        <v>35</v>
      </c>
      <c r="K470" s="13" t="s">
        <v>36</v>
      </c>
      <c r="L470" s="26"/>
      <c r="M470" s="27" t="s">
        <v>88</v>
      </c>
      <c r="N470" s="13" t="s">
        <v>40</v>
      </c>
      <c r="O470" s="13" t="s">
        <v>42</v>
      </c>
      <c r="P470" s="32"/>
      <c r="Q470" s="13" t="s">
        <v>49</v>
      </c>
      <c r="R470" s="13" t="s">
        <v>68</v>
      </c>
      <c r="S470" s="32"/>
      <c r="T470" s="32"/>
      <c r="U470" s="26"/>
      <c r="V470" s="32"/>
    </row>
    <row r="471" hidden="1">
      <c r="A471" s="13">
        <v>470.0</v>
      </c>
      <c r="B471" s="15">
        <v>46140.0</v>
      </c>
      <c r="C471" s="13" t="s">
        <v>21</v>
      </c>
      <c r="D471" s="13" t="s">
        <v>22</v>
      </c>
      <c r="E471" s="20" t="s">
        <v>3495</v>
      </c>
      <c r="F471" s="13">
        <v>5.05518069E8</v>
      </c>
      <c r="G471" s="20" t="s">
        <v>41</v>
      </c>
      <c r="H471" s="13" t="s">
        <v>27</v>
      </c>
      <c r="I471" s="20" t="s">
        <v>3501</v>
      </c>
      <c r="J471" s="20" t="s">
        <v>35</v>
      </c>
      <c r="K471" s="13" t="s">
        <v>62</v>
      </c>
      <c r="L471" s="26"/>
      <c r="M471" s="27" t="s">
        <v>38</v>
      </c>
      <c r="N471" s="13" t="s">
        <v>40</v>
      </c>
      <c r="O471" s="13" t="s">
        <v>42</v>
      </c>
      <c r="P471" s="32"/>
      <c r="Q471" s="13" t="s">
        <v>49</v>
      </c>
      <c r="R471" s="13" t="s">
        <v>46</v>
      </c>
      <c r="S471" s="32"/>
      <c r="T471" s="32"/>
      <c r="U471" s="26"/>
      <c r="V471" s="32"/>
    </row>
    <row r="472" hidden="1">
      <c r="A472" s="13">
        <v>471.0</v>
      </c>
      <c r="B472" s="15">
        <v>46140.0</v>
      </c>
      <c r="C472" s="13" t="s">
        <v>58</v>
      </c>
      <c r="D472" s="13" t="s">
        <v>60</v>
      </c>
      <c r="E472" s="13" t="s">
        <v>27</v>
      </c>
      <c r="F472" s="13">
        <v>5.55074929E8</v>
      </c>
      <c r="G472" s="13" t="s">
        <v>27</v>
      </c>
      <c r="H472" s="13" t="s">
        <v>27</v>
      </c>
      <c r="I472" s="20" t="s">
        <v>3506</v>
      </c>
      <c r="J472" s="20" t="s">
        <v>35</v>
      </c>
      <c r="K472" s="13" t="s">
        <v>36</v>
      </c>
      <c r="L472" s="26"/>
      <c r="M472" s="27" t="s">
        <v>88</v>
      </c>
      <c r="N472" s="13" t="s">
        <v>40</v>
      </c>
      <c r="O472" s="13" t="s">
        <v>42</v>
      </c>
      <c r="P472" s="32"/>
      <c r="Q472" s="13" t="s">
        <v>49</v>
      </c>
      <c r="R472" s="13" t="s">
        <v>68</v>
      </c>
      <c r="S472" s="32"/>
      <c r="T472" s="32"/>
      <c r="U472" s="26"/>
      <c r="V472" s="32"/>
    </row>
    <row r="473" hidden="1">
      <c r="A473" s="13">
        <v>472.0</v>
      </c>
      <c r="B473" s="15">
        <v>46140.0</v>
      </c>
      <c r="C473" s="13" t="s">
        <v>21</v>
      </c>
      <c r="D473" s="13" t="s">
        <v>22</v>
      </c>
      <c r="E473" s="20" t="s">
        <v>3510</v>
      </c>
      <c r="F473" s="13">
        <v>5.57095034E8</v>
      </c>
      <c r="G473" s="20" t="s">
        <v>71</v>
      </c>
      <c r="H473" s="13" t="s">
        <v>27</v>
      </c>
      <c r="I473" s="20" t="s">
        <v>3511</v>
      </c>
      <c r="J473" s="20" t="s">
        <v>35</v>
      </c>
      <c r="K473" s="13" t="s">
        <v>36</v>
      </c>
      <c r="L473" s="26"/>
      <c r="M473" s="27" t="s">
        <v>38</v>
      </c>
      <c r="N473" s="13" t="s">
        <v>40</v>
      </c>
      <c r="O473" s="13" t="s">
        <v>42</v>
      </c>
      <c r="P473" s="32"/>
      <c r="Q473" s="13" t="s">
        <v>49</v>
      </c>
      <c r="R473" s="13" t="s">
        <v>46</v>
      </c>
      <c r="S473" s="32"/>
      <c r="T473" s="32"/>
      <c r="U473" s="26"/>
      <c r="V473" s="32"/>
    </row>
    <row r="474" ht="21.0" hidden="1" customHeight="1">
      <c r="A474" s="13">
        <v>473.0</v>
      </c>
      <c r="B474" s="15">
        <v>46140.0</v>
      </c>
      <c r="C474" s="13" t="s">
        <v>21</v>
      </c>
      <c r="D474" s="13" t="s">
        <v>22</v>
      </c>
      <c r="E474" s="20" t="s">
        <v>3514</v>
      </c>
      <c r="F474" s="13">
        <v>5.0776044E8</v>
      </c>
      <c r="G474" s="20" t="s">
        <v>3515</v>
      </c>
      <c r="H474" s="13" t="s">
        <v>27</v>
      </c>
      <c r="I474" s="20" t="s">
        <v>3516</v>
      </c>
      <c r="J474" s="20" t="s">
        <v>35</v>
      </c>
      <c r="K474" s="13" t="s">
        <v>36</v>
      </c>
      <c r="L474" s="26"/>
      <c r="M474" s="27" t="s">
        <v>38</v>
      </c>
      <c r="N474" s="13" t="s">
        <v>40</v>
      </c>
      <c r="O474" s="13" t="s">
        <v>42</v>
      </c>
      <c r="P474" s="32"/>
      <c r="Q474" s="13" t="s">
        <v>49</v>
      </c>
      <c r="R474" s="13" t="s">
        <v>46</v>
      </c>
      <c r="S474" s="32"/>
      <c r="T474" s="32"/>
      <c r="U474" s="26"/>
      <c r="V474" s="32"/>
    </row>
    <row r="475" ht="25.5" hidden="1" customHeight="1">
      <c r="A475" s="13">
        <v>474.0</v>
      </c>
      <c r="B475" s="15">
        <v>46140.0</v>
      </c>
      <c r="C475" s="13" t="s">
        <v>21</v>
      </c>
      <c r="D475" s="13" t="s">
        <v>22</v>
      </c>
      <c r="E475" s="20" t="s">
        <v>3523</v>
      </c>
      <c r="F475" s="13">
        <v>5.0574707E8</v>
      </c>
      <c r="G475" s="20"/>
      <c r="H475" s="13" t="s">
        <v>27</v>
      </c>
      <c r="I475" s="20" t="s">
        <v>3524</v>
      </c>
      <c r="J475" s="20" t="s">
        <v>35</v>
      </c>
      <c r="K475" s="13" t="s">
        <v>36</v>
      </c>
      <c r="L475" s="26"/>
      <c r="M475" s="27" t="s">
        <v>38</v>
      </c>
      <c r="N475" s="13" t="s">
        <v>40</v>
      </c>
      <c r="O475" s="13" t="s">
        <v>42</v>
      </c>
      <c r="P475" s="32"/>
      <c r="Q475" s="13" t="s">
        <v>49</v>
      </c>
      <c r="R475" s="13" t="s">
        <v>46</v>
      </c>
      <c r="S475" s="32"/>
      <c r="T475" s="32"/>
      <c r="U475" s="26"/>
      <c r="V475" s="32"/>
    </row>
    <row r="476" ht="84.0" hidden="1" customHeight="1">
      <c r="A476" s="13">
        <v>475.0</v>
      </c>
      <c r="B476" s="15">
        <v>46140.0</v>
      </c>
      <c r="C476" s="13" t="s">
        <v>47</v>
      </c>
      <c r="D476" s="13" t="s">
        <v>48</v>
      </c>
      <c r="E476" s="20" t="s">
        <v>276</v>
      </c>
      <c r="F476" s="13">
        <v>5.48499756E8</v>
      </c>
      <c r="G476" s="20" t="s">
        <v>211</v>
      </c>
      <c r="H476" s="13" t="s">
        <v>222</v>
      </c>
      <c r="I476" s="20" t="s">
        <v>3527</v>
      </c>
      <c r="J476" s="20" t="s">
        <v>3529</v>
      </c>
      <c r="K476" s="13" t="s">
        <v>36</v>
      </c>
      <c r="L476" s="26"/>
      <c r="M476" s="75" t="s">
        <v>2618</v>
      </c>
      <c r="N476" s="13" t="s">
        <v>56</v>
      </c>
      <c r="O476" s="13" t="s">
        <v>518</v>
      </c>
      <c r="P476" s="32"/>
      <c r="Q476" s="13" t="s">
        <v>49</v>
      </c>
      <c r="R476" s="13" t="s">
        <v>46</v>
      </c>
      <c r="S476" s="32"/>
      <c r="T476" s="32"/>
      <c r="U476" s="26"/>
      <c r="V476" s="32"/>
    </row>
    <row r="477" ht="36.75" hidden="1" customHeight="1">
      <c r="A477" s="13">
        <v>476.0</v>
      </c>
      <c r="B477" s="15">
        <v>46140.0</v>
      </c>
      <c r="C477" s="13" t="s">
        <v>58</v>
      </c>
      <c r="D477" s="13" t="s">
        <v>60</v>
      </c>
      <c r="E477" s="13" t="s">
        <v>27</v>
      </c>
      <c r="F477" s="13">
        <v>5.54366031E8</v>
      </c>
      <c r="G477" s="20" t="s">
        <v>211</v>
      </c>
      <c r="H477" s="13" t="s">
        <v>956</v>
      </c>
      <c r="I477" s="20" t="s">
        <v>3534</v>
      </c>
      <c r="J477" s="20" t="s">
        <v>35</v>
      </c>
      <c r="K477" s="13" t="s">
        <v>36</v>
      </c>
      <c r="L477" s="26"/>
      <c r="M477" s="27" t="s">
        <v>38</v>
      </c>
      <c r="N477" s="13" t="s">
        <v>40</v>
      </c>
      <c r="O477" s="13" t="s">
        <v>518</v>
      </c>
      <c r="P477" s="32"/>
      <c r="Q477" s="13" t="s">
        <v>49</v>
      </c>
      <c r="R477" s="13" t="s">
        <v>68</v>
      </c>
      <c r="S477" s="32"/>
      <c r="T477" s="32"/>
      <c r="U477" s="26"/>
      <c r="V477" s="32"/>
    </row>
    <row r="478" ht="28.5" hidden="1" customHeight="1">
      <c r="A478" s="13">
        <v>477.0</v>
      </c>
      <c r="B478" s="15">
        <v>46140.0</v>
      </c>
      <c r="C478" s="13" t="s">
        <v>58</v>
      </c>
      <c r="D478" s="13" t="s">
        <v>60</v>
      </c>
      <c r="E478" s="13" t="s">
        <v>27</v>
      </c>
      <c r="F478" s="13">
        <v>5.01414455E8</v>
      </c>
      <c r="G478" s="13" t="s">
        <v>27</v>
      </c>
      <c r="H478" s="13" t="s">
        <v>27</v>
      </c>
      <c r="I478" s="20" t="s">
        <v>3539</v>
      </c>
      <c r="J478" s="20" t="s">
        <v>35</v>
      </c>
      <c r="K478" s="13" t="s">
        <v>36</v>
      </c>
      <c r="L478" s="26"/>
      <c r="M478" s="27" t="s">
        <v>88</v>
      </c>
      <c r="N478" s="13" t="s">
        <v>56</v>
      </c>
      <c r="O478" s="13" t="s">
        <v>518</v>
      </c>
      <c r="P478" s="32"/>
      <c r="Q478" s="13" t="s">
        <v>49</v>
      </c>
      <c r="R478" s="13" t="s">
        <v>68</v>
      </c>
      <c r="S478" s="32"/>
      <c r="T478" s="32"/>
      <c r="U478" s="26"/>
      <c r="V478" s="32"/>
    </row>
    <row r="479" ht="26.25" hidden="1" customHeight="1">
      <c r="A479" s="13">
        <v>478.0</v>
      </c>
      <c r="B479" s="15">
        <v>46140.0</v>
      </c>
      <c r="C479" s="13" t="s">
        <v>58</v>
      </c>
      <c r="D479" s="13" t="s">
        <v>60</v>
      </c>
      <c r="E479" s="13" t="s">
        <v>27</v>
      </c>
      <c r="F479" s="13">
        <v>5.35606657E8</v>
      </c>
      <c r="G479" s="13" t="s">
        <v>27</v>
      </c>
      <c r="H479" s="13" t="s">
        <v>27</v>
      </c>
      <c r="I479" s="20" t="s">
        <v>554</v>
      </c>
      <c r="J479" s="20" t="s">
        <v>35</v>
      </c>
      <c r="K479" s="13" t="s">
        <v>36</v>
      </c>
      <c r="L479" s="26"/>
      <c r="M479" s="27" t="s">
        <v>88</v>
      </c>
      <c r="N479" s="13" t="s">
        <v>56</v>
      </c>
      <c r="O479" s="13" t="s">
        <v>42</v>
      </c>
      <c r="P479" s="32"/>
      <c r="Q479" s="13" t="s">
        <v>49</v>
      </c>
      <c r="R479" s="13" t="s">
        <v>68</v>
      </c>
      <c r="S479" s="32"/>
      <c r="T479" s="32"/>
      <c r="U479" s="26"/>
      <c r="V479" s="32"/>
    </row>
    <row r="480" ht="17.25" hidden="1" customHeight="1">
      <c r="A480" s="13">
        <v>479.0</v>
      </c>
      <c r="B480" s="15">
        <v>46140.0</v>
      </c>
      <c r="C480" s="13" t="s">
        <v>58</v>
      </c>
      <c r="D480" s="13" t="s">
        <v>60</v>
      </c>
      <c r="E480" s="13" t="s">
        <v>27</v>
      </c>
      <c r="F480" s="13">
        <v>5.02673259E8</v>
      </c>
      <c r="G480" s="13" t="s">
        <v>27</v>
      </c>
      <c r="H480" s="13" t="s">
        <v>735</v>
      </c>
      <c r="I480" s="20" t="s">
        <v>3549</v>
      </c>
      <c r="J480" s="20" t="s">
        <v>3552</v>
      </c>
      <c r="K480" s="13" t="s">
        <v>36</v>
      </c>
      <c r="L480" s="26"/>
      <c r="M480" s="27" t="s">
        <v>88</v>
      </c>
      <c r="N480" s="13" t="s">
        <v>56</v>
      </c>
      <c r="O480" s="13" t="s">
        <v>42</v>
      </c>
      <c r="P480" s="32"/>
      <c r="Q480" s="13" t="s">
        <v>49</v>
      </c>
      <c r="R480" s="13" t="s">
        <v>68</v>
      </c>
      <c r="S480" s="32"/>
      <c r="T480" s="32"/>
      <c r="U480" s="26"/>
      <c r="V480" s="32"/>
    </row>
    <row r="481" hidden="1">
      <c r="A481" s="13">
        <v>480.0</v>
      </c>
      <c r="B481" s="15">
        <v>46141.0</v>
      </c>
      <c r="C481" s="13" t="s">
        <v>58</v>
      </c>
      <c r="D481" s="13" t="s">
        <v>60</v>
      </c>
      <c r="E481" s="13" t="s">
        <v>27</v>
      </c>
      <c r="F481" s="13">
        <v>5.42254044E8</v>
      </c>
      <c r="G481" s="13" t="s">
        <v>27</v>
      </c>
      <c r="H481" s="173" t="s">
        <v>1220</v>
      </c>
      <c r="I481" s="20" t="s">
        <v>3554</v>
      </c>
      <c r="J481" s="20" t="s">
        <v>3555</v>
      </c>
      <c r="K481" s="13" t="s">
        <v>65</v>
      </c>
      <c r="L481" s="26"/>
      <c r="M481" s="27" t="s">
        <v>88</v>
      </c>
      <c r="N481" s="13" t="s">
        <v>56</v>
      </c>
      <c r="O481" s="13" t="s">
        <v>42</v>
      </c>
      <c r="P481" s="32"/>
      <c r="Q481" s="13" t="s">
        <v>44</v>
      </c>
      <c r="R481" s="13" t="s">
        <v>68</v>
      </c>
      <c r="S481" s="32"/>
      <c r="T481" s="32"/>
      <c r="U481" s="26"/>
      <c r="V481" s="32"/>
    </row>
    <row r="482">
      <c r="A482" s="13">
        <v>481.0</v>
      </c>
      <c r="B482" s="15">
        <v>46141.0</v>
      </c>
      <c r="C482" s="13" t="s">
        <v>47</v>
      </c>
      <c r="D482" s="13" t="s">
        <v>92</v>
      </c>
      <c r="E482" s="20" t="s">
        <v>3560</v>
      </c>
      <c r="F482" s="55">
        <v>5.36734059E8</v>
      </c>
      <c r="G482" s="20" t="s">
        <v>28</v>
      </c>
      <c r="H482" s="13" t="s">
        <v>777</v>
      </c>
      <c r="I482" s="20" t="s">
        <v>3562</v>
      </c>
      <c r="J482" s="20" t="s">
        <v>3563</v>
      </c>
      <c r="K482" s="13" t="s">
        <v>65</v>
      </c>
      <c r="L482" s="26"/>
      <c r="M482" s="27" t="s">
        <v>611</v>
      </c>
      <c r="N482" s="13" t="s">
        <v>56</v>
      </c>
      <c r="O482" s="13" t="s">
        <v>42</v>
      </c>
      <c r="P482" s="32"/>
      <c r="Q482" s="13" t="s">
        <v>44</v>
      </c>
      <c r="R482" s="13" t="s">
        <v>46</v>
      </c>
      <c r="S482" s="32"/>
      <c r="T482" s="32"/>
      <c r="U482" s="26"/>
      <c r="V482" s="32"/>
    </row>
    <row r="483" hidden="1">
      <c r="A483" s="13">
        <v>482.0</v>
      </c>
      <c r="B483" s="15">
        <v>46141.0</v>
      </c>
      <c r="C483" s="13" t="s">
        <v>21</v>
      </c>
      <c r="D483" s="13" t="s">
        <v>22</v>
      </c>
      <c r="E483" s="20" t="s">
        <v>3567</v>
      </c>
      <c r="F483" s="13">
        <v>5.550492221E9</v>
      </c>
      <c r="G483" s="20" t="s">
        <v>41</v>
      </c>
      <c r="H483" s="13" t="s">
        <v>27</v>
      </c>
      <c r="I483" s="20" t="s">
        <v>3568</v>
      </c>
      <c r="J483" s="20"/>
      <c r="K483" s="13" t="s">
        <v>36</v>
      </c>
      <c r="L483" s="26"/>
      <c r="M483" s="27" t="s">
        <v>38</v>
      </c>
      <c r="N483" s="13" t="s">
        <v>40</v>
      </c>
      <c r="O483" s="13" t="s">
        <v>42</v>
      </c>
      <c r="P483" s="32"/>
      <c r="Q483" s="13" t="s">
        <v>44</v>
      </c>
      <c r="R483" s="13" t="s">
        <v>46</v>
      </c>
      <c r="S483" s="32"/>
      <c r="T483" s="32"/>
      <c r="U483" s="26"/>
      <c r="V483" s="32"/>
    </row>
    <row r="484" hidden="1">
      <c r="A484" s="13">
        <v>483.0</v>
      </c>
      <c r="B484" s="15">
        <v>46141.0</v>
      </c>
      <c r="C484" s="13" t="s">
        <v>58</v>
      </c>
      <c r="D484" s="13" t="s">
        <v>34</v>
      </c>
      <c r="E484" s="13" t="s">
        <v>27</v>
      </c>
      <c r="F484" s="13">
        <v>9.6777420453E11</v>
      </c>
      <c r="G484" s="13" t="s">
        <v>27</v>
      </c>
      <c r="H484" s="13" t="s">
        <v>27</v>
      </c>
      <c r="I484" s="20" t="s">
        <v>3573</v>
      </c>
      <c r="J484" s="20"/>
      <c r="K484" s="13" t="s">
        <v>62</v>
      </c>
      <c r="L484" s="26"/>
      <c r="M484" s="27" t="s">
        <v>88</v>
      </c>
      <c r="N484" s="13" t="s">
        <v>40</v>
      </c>
      <c r="O484" s="13" t="s">
        <v>42</v>
      </c>
      <c r="P484" s="32"/>
      <c r="Q484" s="13" t="s">
        <v>44</v>
      </c>
      <c r="R484" s="13" t="s">
        <v>68</v>
      </c>
      <c r="S484" s="32"/>
      <c r="T484" s="32"/>
      <c r="U484" s="26"/>
      <c r="V484" s="32"/>
    </row>
    <row r="485" hidden="1">
      <c r="A485" s="13">
        <v>484.0</v>
      </c>
      <c r="B485" s="15">
        <v>46141.0</v>
      </c>
      <c r="C485" s="13" t="s">
        <v>58</v>
      </c>
      <c r="D485" s="13" t="s">
        <v>34</v>
      </c>
      <c r="E485" s="13" t="s">
        <v>27</v>
      </c>
      <c r="F485" s="13">
        <v>5.99930814E8</v>
      </c>
      <c r="G485" s="13" t="s">
        <v>27</v>
      </c>
      <c r="H485" s="13" t="s">
        <v>27</v>
      </c>
      <c r="I485" s="20" t="s">
        <v>298</v>
      </c>
      <c r="J485" s="20"/>
      <c r="K485" s="13" t="s">
        <v>62</v>
      </c>
      <c r="L485" s="26"/>
      <c r="M485" s="27" t="s">
        <v>88</v>
      </c>
      <c r="N485" s="13" t="s">
        <v>40</v>
      </c>
      <c r="O485" s="13" t="s">
        <v>42</v>
      </c>
      <c r="P485" s="32"/>
      <c r="Q485" s="13" t="s">
        <v>44</v>
      </c>
      <c r="R485" s="13" t="s">
        <v>68</v>
      </c>
      <c r="S485" s="32"/>
      <c r="T485" s="32"/>
      <c r="U485" s="26"/>
      <c r="V485" s="32"/>
    </row>
    <row r="486" hidden="1">
      <c r="A486" s="13">
        <v>485.0</v>
      </c>
      <c r="B486" s="15">
        <v>46141.0</v>
      </c>
      <c r="C486" s="13" t="s">
        <v>21</v>
      </c>
      <c r="D486" s="13" t="s">
        <v>66</v>
      </c>
      <c r="E486" s="13" t="s">
        <v>27</v>
      </c>
      <c r="F486" s="13">
        <v>5.32490384E8</v>
      </c>
      <c r="G486" s="20" t="s">
        <v>28</v>
      </c>
      <c r="H486" s="13" t="s">
        <v>27</v>
      </c>
      <c r="I486" s="20" t="s">
        <v>3579</v>
      </c>
      <c r="J486" s="20" t="s">
        <v>3580</v>
      </c>
      <c r="K486" s="13" t="s">
        <v>62</v>
      </c>
      <c r="L486" s="26"/>
      <c r="M486" s="27" t="s">
        <v>38</v>
      </c>
      <c r="N486" s="13" t="s">
        <v>40</v>
      </c>
      <c r="O486" s="13" t="s">
        <v>42</v>
      </c>
      <c r="P486" s="32"/>
      <c r="Q486" s="13" t="s">
        <v>44</v>
      </c>
      <c r="R486" s="13" t="s">
        <v>68</v>
      </c>
      <c r="S486" s="32"/>
      <c r="T486" s="32"/>
      <c r="U486" s="26"/>
      <c r="V486" s="32"/>
    </row>
    <row r="487" ht="18.0" hidden="1" customHeight="1">
      <c r="A487" s="13">
        <v>486.0</v>
      </c>
      <c r="B487" s="15">
        <v>46141.0</v>
      </c>
      <c r="C487" s="13" t="s">
        <v>58</v>
      </c>
      <c r="D487" s="13" t="s">
        <v>60</v>
      </c>
      <c r="E487" s="13" t="s">
        <v>27</v>
      </c>
      <c r="F487" s="13">
        <v>5.4455331E8</v>
      </c>
      <c r="G487" s="13" t="s">
        <v>27</v>
      </c>
      <c r="H487" s="13" t="s">
        <v>27</v>
      </c>
      <c r="I487" s="20" t="s">
        <v>90</v>
      </c>
      <c r="J487" s="20"/>
      <c r="K487" s="13" t="s">
        <v>65</v>
      </c>
      <c r="L487" s="26"/>
      <c r="M487" s="27" t="s">
        <v>38</v>
      </c>
      <c r="N487" s="13" t="s">
        <v>40</v>
      </c>
      <c r="O487" s="13" t="s">
        <v>42</v>
      </c>
      <c r="P487" s="32"/>
      <c r="Q487" s="13" t="s">
        <v>44</v>
      </c>
      <c r="R487" s="13" t="s">
        <v>68</v>
      </c>
      <c r="S487" s="32"/>
      <c r="T487" s="32"/>
      <c r="U487" s="26"/>
      <c r="V487" s="32"/>
    </row>
    <row r="488" hidden="1">
      <c r="A488" s="13">
        <v>487.0</v>
      </c>
      <c r="B488" s="15">
        <v>46141.0</v>
      </c>
      <c r="C488" s="13" t="s">
        <v>58</v>
      </c>
      <c r="D488" s="13" t="s">
        <v>60</v>
      </c>
      <c r="E488" s="13" t="s">
        <v>27</v>
      </c>
      <c r="F488" s="55">
        <v>5.5503647E8</v>
      </c>
      <c r="G488" s="13" t="s">
        <v>27</v>
      </c>
      <c r="H488" s="13" t="s">
        <v>27</v>
      </c>
      <c r="I488" s="20" t="s">
        <v>3589</v>
      </c>
      <c r="J488" s="20"/>
      <c r="K488" s="13" t="s">
        <v>65</v>
      </c>
      <c r="L488" s="26"/>
      <c r="M488" s="27" t="s">
        <v>88</v>
      </c>
      <c r="N488" s="13" t="s">
        <v>40</v>
      </c>
      <c r="O488" s="13" t="s">
        <v>42</v>
      </c>
      <c r="P488" s="32"/>
      <c r="Q488" s="13" t="s">
        <v>44</v>
      </c>
      <c r="R488" s="13" t="s">
        <v>68</v>
      </c>
      <c r="S488" s="32"/>
      <c r="T488" s="32"/>
      <c r="U488" s="26"/>
      <c r="V488" s="32"/>
    </row>
    <row r="489" hidden="1">
      <c r="A489" s="13">
        <v>488.0</v>
      </c>
      <c r="B489" s="15">
        <v>46141.0</v>
      </c>
      <c r="C489" s="13" t="s">
        <v>58</v>
      </c>
      <c r="D489" s="13" t="s">
        <v>60</v>
      </c>
      <c r="E489" s="13" t="s">
        <v>27</v>
      </c>
      <c r="F489" s="13">
        <v>5.59560609E8</v>
      </c>
      <c r="G489" s="13" t="s">
        <v>27</v>
      </c>
      <c r="H489" s="13" t="s">
        <v>27</v>
      </c>
      <c r="I489" s="20" t="s">
        <v>3591</v>
      </c>
      <c r="J489" s="20"/>
      <c r="K489" s="13" t="s">
        <v>65</v>
      </c>
      <c r="L489" s="26"/>
      <c r="M489" s="27" t="s">
        <v>88</v>
      </c>
      <c r="N489" s="13" t="s">
        <v>40</v>
      </c>
      <c r="O489" s="13" t="s">
        <v>42</v>
      </c>
      <c r="P489" s="32"/>
      <c r="Q489" s="13" t="s">
        <v>44</v>
      </c>
      <c r="R489" s="13" t="s">
        <v>68</v>
      </c>
      <c r="S489" s="32"/>
      <c r="T489" s="32"/>
      <c r="U489" s="26"/>
      <c r="V489" s="32"/>
    </row>
    <row r="490" hidden="1">
      <c r="A490" s="13">
        <v>489.0</v>
      </c>
      <c r="B490" s="15">
        <v>46141.0</v>
      </c>
      <c r="C490" s="13" t="s">
        <v>58</v>
      </c>
      <c r="D490" s="13" t="s">
        <v>60</v>
      </c>
      <c r="E490" s="13" t="s">
        <v>27</v>
      </c>
      <c r="F490" s="55">
        <v>5.07746657E8</v>
      </c>
      <c r="G490" s="13" t="s">
        <v>27</v>
      </c>
      <c r="H490" s="13" t="s">
        <v>27</v>
      </c>
      <c r="I490" s="20" t="s">
        <v>124</v>
      </c>
      <c r="J490" s="20"/>
      <c r="K490" s="13" t="s">
        <v>65</v>
      </c>
      <c r="L490" s="26"/>
      <c r="M490" s="27" t="s">
        <v>38</v>
      </c>
      <c r="N490" s="13" t="s">
        <v>40</v>
      </c>
      <c r="O490" s="13" t="s">
        <v>42</v>
      </c>
      <c r="P490" s="32"/>
      <c r="Q490" s="13" t="s">
        <v>44</v>
      </c>
      <c r="R490" s="13" t="s">
        <v>68</v>
      </c>
      <c r="S490" s="32"/>
      <c r="T490" s="32"/>
      <c r="U490" s="26"/>
      <c r="V490" s="32"/>
    </row>
    <row r="491" ht="111.0" hidden="1" customHeight="1">
      <c r="A491" s="13">
        <v>490.0</v>
      </c>
      <c r="B491" s="15">
        <v>46141.0</v>
      </c>
      <c r="C491" s="13" t="s">
        <v>21</v>
      </c>
      <c r="D491" s="13" t="s">
        <v>22</v>
      </c>
      <c r="E491" s="20" t="s">
        <v>3600</v>
      </c>
      <c r="F491" s="13">
        <v>5.00996637E8</v>
      </c>
      <c r="G491" s="20" t="s">
        <v>71</v>
      </c>
      <c r="H491" s="13" t="s">
        <v>27</v>
      </c>
      <c r="I491" s="20" t="s">
        <v>3604</v>
      </c>
      <c r="J491" s="20" t="s">
        <v>35</v>
      </c>
      <c r="K491" s="13" t="s">
        <v>321</v>
      </c>
      <c r="L491" s="26"/>
      <c r="M491" s="27" t="s">
        <v>38</v>
      </c>
      <c r="N491" s="13" t="s">
        <v>40</v>
      </c>
      <c r="O491" s="13" t="s">
        <v>42</v>
      </c>
      <c r="P491" s="32"/>
      <c r="Q491" s="13" t="s">
        <v>49</v>
      </c>
      <c r="R491" s="13" t="s">
        <v>46</v>
      </c>
      <c r="S491" s="32"/>
      <c r="T491" s="32"/>
      <c r="U491" s="26"/>
      <c r="V491" s="32"/>
    </row>
    <row r="492" ht="28.5" hidden="1" customHeight="1">
      <c r="A492" s="13">
        <v>491.0</v>
      </c>
      <c r="B492" s="15">
        <v>46141.0</v>
      </c>
      <c r="C492" s="13" t="s">
        <v>47</v>
      </c>
      <c r="D492" s="13" t="s">
        <v>48</v>
      </c>
      <c r="E492" s="13" t="s">
        <v>3605</v>
      </c>
      <c r="F492" s="13" t="s">
        <v>27</v>
      </c>
      <c r="G492" s="20" t="s">
        <v>41</v>
      </c>
      <c r="H492" s="13" t="s">
        <v>294</v>
      </c>
      <c r="I492" s="20" t="s">
        <v>3607</v>
      </c>
      <c r="J492" s="20" t="s">
        <v>3608</v>
      </c>
      <c r="K492" s="13" t="s">
        <v>78</v>
      </c>
      <c r="L492" s="26"/>
      <c r="M492" s="27" t="s">
        <v>2143</v>
      </c>
      <c r="N492" s="13" t="s">
        <v>56</v>
      </c>
      <c r="O492" s="13" t="s">
        <v>42</v>
      </c>
      <c r="P492" s="32"/>
      <c r="Q492" s="13" t="s">
        <v>49</v>
      </c>
      <c r="R492" s="13" t="s">
        <v>46</v>
      </c>
      <c r="S492" s="32"/>
      <c r="T492" s="32"/>
      <c r="U492" s="26"/>
      <c r="V492" s="32"/>
    </row>
    <row r="493" ht="67.5" hidden="1" customHeight="1">
      <c r="A493" s="13">
        <v>492.0</v>
      </c>
      <c r="B493" s="15">
        <v>46141.0</v>
      </c>
      <c r="C493" s="13" t="s">
        <v>47</v>
      </c>
      <c r="D493" s="13" t="s">
        <v>92</v>
      </c>
      <c r="E493" s="20" t="s">
        <v>3614</v>
      </c>
      <c r="F493" s="13" t="s">
        <v>27</v>
      </c>
      <c r="G493" s="20" t="s">
        <v>3439</v>
      </c>
      <c r="H493" s="13" t="s">
        <v>735</v>
      </c>
      <c r="I493" s="20" t="s">
        <v>3616</v>
      </c>
      <c r="J493" s="20" t="s">
        <v>3618</v>
      </c>
      <c r="K493" s="13" t="s">
        <v>78</v>
      </c>
      <c r="L493" s="26"/>
      <c r="M493" s="27" t="s">
        <v>55</v>
      </c>
      <c r="N493" s="13" t="s">
        <v>56</v>
      </c>
      <c r="O493" s="13" t="s">
        <v>42</v>
      </c>
      <c r="P493" s="32"/>
      <c r="Q493" s="13" t="s">
        <v>49</v>
      </c>
      <c r="R493" s="13" t="s">
        <v>46</v>
      </c>
      <c r="S493" s="32"/>
      <c r="T493" s="32"/>
      <c r="U493" s="26"/>
      <c r="V493" s="32"/>
    </row>
    <row r="494" hidden="1">
      <c r="A494" s="13">
        <v>493.0</v>
      </c>
      <c r="B494" s="15">
        <v>46141.0</v>
      </c>
      <c r="C494" s="13" t="s">
        <v>21</v>
      </c>
      <c r="D494" s="13" t="s">
        <v>22</v>
      </c>
      <c r="E494" s="20" t="s">
        <v>3620</v>
      </c>
      <c r="F494" s="55">
        <v>5.04367227E8</v>
      </c>
      <c r="G494" s="20" t="s">
        <v>319</v>
      </c>
      <c r="H494" s="13" t="s">
        <v>27</v>
      </c>
      <c r="I494" s="20" t="s">
        <v>3622</v>
      </c>
      <c r="J494" s="20"/>
      <c r="K494" s="13" t="s">
        <v>457</v>
      </c>
      <c r="L494" s="26"/>
      <c r="M494" s="27" t="s">
        <v>38</v>
      </c>
      <c r="N494" s="13" t="s">
        <v>40</v>
      </c>
      <c r="O494" s="13" t="s">
        <v>42</v>
      </c>
      <c r="P494" s="32"/>
      <c r="Q494" s="13" t="s">
        <v>44</v>
      </c>
      <c r="R494" s="13" t="s">
        <v>46</v>
      </c>
      <c r="S494" s="32"/>
      <c r="T494" s="32"/>
      <c r="U494" s="26"/>
      <c r="V494" s="32"/>
    </row>
    <row r="495" ht="20.25" hidden="1" customHeight="1">
      <c r="A495" s="13">
        <v>494.0</v>
      </c>
      <c r="B495" s="15">
        <v>46141.0</v>
      </c>
      <c r="C495" s="13" t="s">
        <v>21</v>
      </c>
      <c r="D495" s="13" t="s">
        <v>22</v>
      </c>
      <c r="E495" s="20" t="s">
        <v>3624</v>
      </c>
      <c r="F495" s="182">
        <v>5.66577934E8</v>
      </c>
      <c r="G495" s="20" t="s">
        <v>447</v>
      </c>
      <c r="H495" s="13" t="s">
        <v>27</v>
      </c>
      <c r="I495" s="20" t="s">
        <v>3628</v>
      </c>
      <c r="J495" s="20"/>
      <c r="K495" s="13" t="s">
        <v>62</v>
      </c>
      <c r="L495" s="26"/>
      <c r="M495" s="27" t="s">
        <v>38</v>
      </c>
      <c r="N495" s="13" t="s">
        <v>40</v>
      </c>
      <c r="O495" s="13" t="s">
        <v>42</v>
      </c>
      <c r="P495" s="32"/>
      <c r="Q495" s="13" t="s">
        <v>44</v>
      </c>
      <c r="R495" s="13" t="s">
        <v>46</v>
      </c>
      <c r="S495" s="32"/>
      <c r="T495" s="32"/>
      <c r="U495" s="26"/>
      <c r="V495" s="32"/>
    </row>
    <row r="496" ht="30.75" hidden="1" customHeight="1">
      <c r="A496" s="13">
        <v>495.0</v>
      </c>
      <c r="B496" s="15">
        <v>46141.0</v>
      </c>
      <c r="C496" s="13" t="s">
        <v>21</v>
      </c>
      <c r="D496" s="13" t="s">
        <v>22</v>
      </c>
      <c r="E496" s="20" t="s">
        <v>3632</v>
      </c>
      <c r="F496" s="13">
        <v>5.57285214E8</v>
      </c>
      <c r="G496" s="20" t="s">
        <v>76</v>
      </c>
      <c r="H496" s="13" t="s">
        <v>27</v>
      </c>
      <c r="I496" s="20" t="s">
        <v>3634</v>
      </c>
      <c r="J496" s="20"/>
      <c r="K496" s="13" t="s">
        <v>36</v>
      </c>
      <c r="L496" s="26"/>
      <c r="M496" s="27" t="s">
        <v>38</v>
      </c>
      <c r="N496" s="13" t="s">
        <v>40</v>
      </c>
      <c r="O496" s="13" t="s">
        <v>42</v>
      </c>
      <c r="P496" s="32"/>
      <c r="Q496" s="13" t="s">
        <v>44</v>
      </c>
      <c r="R496" s="13" t="s">
        <v>46</v>
      </c>
      <c r="S496" s="32"/>
      <c r="T496" s="32"/>
      <c r="U496" s="26"/>
      <c r="V496" s="32"/>
    </row>
    <row r="497" ht="27.75" hidden="1" customHeight="1">
      <c r="A497" s="13">
        <v>496.0</v>
      </c>
      <c r="B497" s="15">
        <v>46141.0</v>
      </c>
      <c r="C497" s="13" t="s">
        <v>47</v>
      </c>
      <c r="D497" s="13" t="s">
        <v>138</v>
      </c>
      <c r="E497" s="13" t="s">
        <v>27</v>
      </c>
      <c r="F497" s="13" t="s">
        <v>27</v>
      </c>
      <c r="G497" s="20" t="s">
        <v>41</v>
      </c>
      <c r="H497" s="13" t="s">
        <v>146</v>
      </c>
      <c r="I497" s="20" t="s">
        <v>3641</v>
      </c>
      <c r="J497" s="20" t="s">
        <v>3643</v>
      </c>
      <c r="K497" s="13" t="s">
        <v>148</v>
      </c>
      <c r="L497" s="26"/>
      <c r="M497" s="27" t="s">
        <v>55</v>
      </c>
      <c r="N497" s="13" t="s">
        <v>56</v>
      </c>
      <c r="O497" s="13" t="s">
        <v>42</v>
      </c>
      <c r="P497" s="32"/>
      <c r="Q497" s="13" t="s">
        <v>44</v>
      </c>
      <c r="R497" s="13" t="s">
        <v>46</v>
      </c>
      <c r="S497" s="32"/>
      <c r="T497" s="32"/>
      <c r="U497" s="26"/>
      <c r="V497" s="32"/>
    </row>
    <row r="498" hidden="1">
      <c r="A498" s="13">
        <v>497.0</v>
      </c>
      <c r="B498" s="15">
        <v>46141.0</v>
      </c>
      <c r="C498" s="13" t="s">
        <v>47</v>
      </c>
      <c r="D498" s="13" t="s">
        <v>367</v>
      </c>
      <c r="E498" s="13" t="s">
        <v>3647</v>
      </c>
      <c r="F498" s="13">
        <v>5.05543536E8</v>
      </c>
      <c r="G498" s="20" t="s">
        <v>41</v>
      </c>
      <c r="H498" s="13" t="s">
        <v>253</v>
      </c>
      <c r="I498" s="20" t="s">
        <v>3649</v>
      </c>
      <c r="J498" s="20" t="s">
        <v>3651</v>
      </c>
      <c r="K498" s="13" t="s">
        <v>148</v>
      </c>
      <c r="L498" s="26"/>
      <c r="M498" s="27" t="s">
        <v>55</v>
      </c>
      <c r="N498" s="13" t="s">
        <v>56</v>
      </c>
      <c r="O498" s="13" t="s">
        <v>42</v>
      </c>
      <c r="P498" s="32"/>
      <c r="Q498" s="13" t="s">
        <v>44</v>
      </c>
      <c r="R498" s="13" t="s">
        <v>46</v>
      </c>
      <c r="S498" s="32"/>
      <c r="T498" s="32"/>
      <c r="U498" s="26"/>
      <c r="V498" s="32"/>
    </row>
    <row r="499" hidden="1">
      <c r="A499" s="13">
        <v>498.0</v>
      </c>
      <c r="B499" s="15">
        <v>46141.0</v>
      </c>
      <c r="C499" s="13" t="s">
        <v>47</v>
      </c>
      <c r="D499" s="13" t="s">
        <v>138</v>
      </c>
      <c r="E499" s="13" t="s">
        <v>3654</v>
      </c>
      <c r="F499" s="13">
        <v>5.43609006E8</v>
      </c>
      <c r="G499" s="20" t="s">
        <v>41</v>
      </c>
      <c r="H499" s="13" t="s">
        <v>146</v>
      </c>
      <c r="I499" s="20" t="s">
        <v>3657</v>
      </c>
      <c r="J499" s="20" t="s">
        <v>2014</v>
      </c>
      <c r="K499" s="13" t="s">
        <v>148</v>
      </c>
      <c r="L499" s="26"/>
      <c r="M499" s="27" t="s">
        <v>55</v>
      </c>
      <c r="N499" s="13" t="s">
        <v>56</v>
      </c>
      <c r="O499" s="13" t="s">
        <v>42</v>
      </c>
      <c r="P499" s="32"/>
      <c r="Q499" s="13" t="s">
        <v>44</v>
      </c>
      <c r="R499" s="13" t="s">
        <v>46</v>
      </c>
      <c r="S499" s="32"/>
      <c r="T499" s="32"/>
      <c r="U499" s="26"/>
      <c r="V499" s="32"/>
    </row>
    <row r="500" hidden="1">
      <c r="A500" s="13">
        <v>499.0</v>
      </c>
      <c r="B500" s="15">
        <v>46141.0</v>
      </c>
      <c r="C500" s="13" t="s">
        <v>47</v>
      </c>
      <c r="D500" s="13" t="s">
        <v>138</v>
      </c>
      <c r="E500" s="20" t="s">
        <v>3661</v>
      </c>
      <c r="F500" s="13" t="s">
        <v>27</v>
      </c>
      <c r="G500" s="20" t="s">
        <v>41</v>
      </c>
      <c r="H500" s="13" t="s">
        <v>791</v>
      </c>
      <c r="I500" s="20" t="s">
        <v>3662</v>
      </c>
      <c r="J500" s="20" t="s">
        <v>3664</v>
      </c>
      <c r="K500" s="13" t="s">
        <v>148</v>
      </c>
      <c r="L500" s="26"/>
      <c r="M500" s="27" t="s">
        <v>323</v>
      </c>
      <c r="N500" s="13" t="s">
        <v>56</v>
      </c>
      <c r="O500" s="13" t="s">
        <v>42</v>
      </c>
      <c r="P500" s="32"/>
      <c r="Q500" s="13" t="s">
        <v>44</v>
      </c>
      <c r="R500" s="13" t="s">
        <v>46</v>
      </c>
      <c r="S500" s="32"/>
      <c r="T500" s="32"/>
      <c r="U500" s="26"/>
      <c r="V500" s="32"/>
    </row>
    <row r="501" hidden="1">
      <c r="A501" s="13">
        <v>500.0</v>
      </c>
      <c r="B501" s="15">
        <v>46141.0</v>
      </c>
      <c r="C501" s="13" t="s">
        <v>47</v>
      </c>
      <c r="D501" s="13" t="s">
        <v>138</v>
      </c>
      <c r="E501" s="13" t="s">
        <v>3670</v>
      </c>
      <c r="F501" s="13">
        <v>5.03083159E8</v>
      </c>
      <c r="G501" s="20" t="s">
        <v>28</v>
      </c>
      <c r="H501" s="13" t="s">
        <v>830</v>
      </c>
      <c r="I501" s="20" t="s">
        <v>3671</v>
      </c>
      <c r="J501" s="20" t="s">
        <v>3672</v>
      </c>
      <c r="K501" s="13" t="s">
        <v>148</v>
      </c>
      <c r="L501" s="26"/>
      <c r="M501" s="27" t="s">
        <v>55</v>
      </c>
      <c r="N501" s="13" t="s">
        <v>56</v>
      </c>
      <c r="O501" s="13" t="s">
        <v>42</v>
      </c>
      <c r="P501" s="32"/>
      <c r="Q501" s="13" t="s">
        <v>44</v>
      </c>
      <c r="R501" s="13" t="s">
        <v>46</v>
      </c>
      <c r="S501" s="32"/>
      <c r="T501" s="32"/>
      <c r="U501" s="26"/>
      <c r="V501" s="32"/>
    </row>
    <row r="502" hidden="1">
      <c r="A502" s="13">
        <v>501.0</v>
      </c>
      <c r="B502" s="15">
        <v>46141.0</v>
      </c>
      <c r="C502" s="13" t="s">
        <v>47</v>
      </c>
      <c r="D502" s="13" t="s">
        <v>48</v>
      </c>
      <c r="E502" s="13" t="s">
        <v>3680</v>
      </c>
      <c r="F502" s="13">
        <v>5.55864348E8</v>
      </c>
      <c r="G502" s="20" t="s">
        <v>152</v>
      </c>
      <c r="H502" s="13" t="s">
        <v>272</v>
      </c>
      <c r="I502" s="20" t="s">
        <v>3681</v>
      </c>
      <c r="J502" s="20" t="s">
        <v>3682</v>
      </c>
      <c r="K502" s="13" t="s">
        <v>148</v>
      </c>
      <c r="L502" s="26"/>
      <c r="M502" s="27" t="s">
        <v>55</v>
      </c>
      <c r="N502" s="13" t="s">
        <v>56</v>
      </c>
      <c r="O502" s="13" t="s">
        <v>42</v>
      </c>
      <c r="P502" s="32"/>
      <c r="Q502" s="13" t="s">
        <v>44</v>
      </c>
      <c r="R502" s="13" t="s">
        <v>46</v>
      </c>
      <c r="S502" s="32"/>
      <c r="T502" s="32"/>
      <c r="U502" s="26"/>
      <c r="V502" s="32"/>
    </row>
    <row r="503" hidden="1">
      <c r="A503" s="13">
        <v>502.0</v>
      </c>
      <c r="B503" s="15">
        <v>46141.0</v>
      </c>
      <c r="C503" s="13" t="s">
        <v>47</v>
      </c>
      <c r="D503" s="13" t="s">
        <v>92</v>
      </c>
      <c r="E503" s="13" t="s">
        <v>416</v>
      </c>
      <c r="F503" s="13">
        <v>5.44078807E8</v>
      </c>
      <c r="G503" s="20" t="s">
        <v>71</v>
      </c>
      <c r="H503" s="13" t="s">
        <v>94</v>
      </c>
      <c r="I503" s="20" t="s">
        <v>3688</v>
      </c>
      <c r="J503" s="20" t="s">
        <v>3689</v>
      </c>
      <c r="K503" s="13" t="s">
        <v>148</v>
      </c>
      <c r="L503" s="26"/>
      <c r="M503" s="27" t="s">
        <v>55</v>
      </c>
      <c r="N503" s="13" t="s">
        <v>56</v>
      </c>
      <c r="O503" s="13" t="s">
        <v>42</v>
      </c>
      <c r="P503" s="32"/>
      <c r="Q503" s="13" t="s">
        <v>44</v>
      </c>
      <c r="R503" s="13" t="s">
        <v>46</v>
      </c>
      <c r="S503" s="32"/>
      <c r="T503" s="32"/>
      <c r="U503" s="26"/>
      <c r="V503" s="32"/>
    </row>
    <row r="504" hidden="1">
      <c r="A504" s="13">
        <v>503.0</v>
      </c>
      <c r="B504" s="15">
        <v>46141.0</v>
      </c>
      <c r="C504" s="13" t="s">
        <v>47</v>
      </c>
      <c r="D504" s="13" t="s">
        <v>367</v>
      </c>
      <c r="E504" s="13" t="s">
        <v>3694</v>
      </c>
      <c r="F504" s="13">
        <v>5.64318484E8</v>
      </c>
      <c r="G504" s="20" t="s">
        <v>79</v>
      </c>
      <c r="H504" s="13" t="s">
        <v>178</v>
      </c>
      <c r="I504" s="20" t="s">
        <v>3698</v>
      </c>
      <c r="J504" s="20" t="s">
        <v>3699</v>
      </c>
      <c r="K504" s="13" t="s">
        <v>148</v>
      </c>
      <c r="L504" s="26"/>
      <c r="M504" s="27" t="s">
        <v>150</v>
      </c>
      <c r="N504" s="13" t="s">
        <v>56</v>
      </c>
      <c r="O504" s="13" t="s">
        <v>42</v>
      </c>
      <c r="P504" s="32"/>
      <c r="Q504" s="13" t="s">
        <v>44</v>
      </c>
      <c r="R504" s="13" t="s">
        <v>46</v>
      </c>
      <c r="S504" s="32"/>
      <c r="T504" s="32"/>
      <c r="U504" s="26"/>
      <c r="V504" s="32"/>
    </row>
    <row r="505" ht="51.75" hidden="1" customHeight="1">
      <c r="A505" s="13">
        <v>504.0</v>
      </c>
      <c r="B505" s="15">
        <v>46141.0</v>
      </c>
      <c r="C505" s="13" t="s">
        <v>47</v>
      </c>
      <c r="D505" s="13" t="s">
        <v>138</v>
      </c>
      <c r="E505" s="13" t="s">
        <v>3703</v>
      </c>
      <c r="F505" s="13">
        <v>5.07773243E8</v>
      </c>
      <c r="G505" s="20" t="s">
        <v>79</v>
      </c>
      <c r="H505" s="13" t="s">
        <v>451</v>
      </c>
      <c r="I505" s="20" t="s">
        <v>3705</v>
      </c>
      <c r="J505" s="20" t="s">
        <v>3706</v>
      </c>
      <c r="K505" s="13" t="s">
        <v>148</v>
      </c>
      <c r="L505" s="26"/>
      <c r="M505" s="27" t="s">
        <v>55</v>
      </c>
      <c r="N505" s="13" t="s">
        <v>56</v>
      </c>
      <c r="O505" s="13" t="s">
        <v>42</v>
      </c>
      <c r="P505" s="32"/>
      <c r="Q505" s="13" t="s">
        <v>44</v>
      </c>
      <c r="R505" s="13" t="s">
        <v>46</v>
      </c>
      <c r="S505" s="32"/>
      <c r="T505" s="32"/>
      <c r="U505" s="26"/>
      <c r="V505" s="32"/>
    </row>
    <row r="506" hidden="1">
      <c r="A506" s="13">
        <v>505.0</v>
      </c>
      <c r="B506" s="15">
        <v>46141.0</v>
      </c>
      <c r="C506" s="13" t="s">
        <v>58</v>
      </c>
      <c r="D506" s="13" t="s">
        <v>60</v>
      </c>
      <c r="E506" s="20" t="s">
        <v>3709</v>
      </c>
      <c r="F506" s="13">
        <v>5.05540099E8</v>
      </c>
      <c r="G506" s="20" t="s">
        <v>41</v>
      </c>
      <c r="H506" s="13" t="s">
        <v>956</v>
      </c>
      <c r="I506" s="20" t="s">
        <v>3714</v>
      </c>
      <c r="J506" s="20"/>
      <c r="K506" s="13" t="s">
        <v>36</v>
      </c>
      <c r="L506" s="26"/>
      <c r="M506" s="27" t="s">
        <v>88</v>
      </c>
      <c r="N506" s="13" t="s">
        <v>40</v>
      </c>
      <c r="O506" s="13" t="s">
        <v>42</v>
      </c>
      <c r="P506" s="32"/>
      <c r="Q506" s="13" t="s">
        <v>44</v>
      </c>
      <c r="R506" s="13" t="s">
        <v>68</v>
      </c>
      <c r="S506" s="32"/>
      <c r="T506" s="32"/>
      <c r="U506" s="26"/>
      <c r="V506" s="32"/>
    </row>
    <row r="507" hidden="1">
      <c r="A507" s="13">
        <v>506.0</v>
      </c>
      <c r="B507" s="15">
        <v>46141.0</v>
      </c>
      <c r="C507" s="13" t="s">
        <v>58</v>
      </c>
      <c r="D507" s="13" t="s">
        <v>60</v>
      </c>
      <c r="E507" s="20" t="s">
        <v>2940</v>
      </c>
      <c r="F507" s="13">
        <v>5.11746702E8</v>
      </c>
      <c r="G507" s="20" t="s">
        <v>41</v>
      </c>
      <c r="H507" s="13"/>
      <c r="I507" s="20" t="s">
        <v>3720</v>
      </c>
      <c r="J507" s="20" t="s">
        <v>3721</v>
      </c>
      <c r="K507" s="13" t="s">
        <v>36</v>
      </c>
      <c r="L507" s="26"/>
      <c r="M507" s="27" t="s">
        <v>88</v>
      </c>
      <c r="N507" s="13" t="s">
        <v>40</v>
      </c>
      <c r="O507" s="13" t="s">
        <v>42</v>
      </c>
      <c r="P507" s="32"/>
      <c r="Q507" s="13" t="s">
        <v>44</v>
      </c>
      <c r="R507" s="13" t="s">
        <v>68</v>
      </c>
      <c r="S507" s="32"/>
      <c r="T507" s="32"/>
      <c r="U507" s="26"/>
      <c r="V507" s="32"/>
    </row>
    <row r="508" hidden="1">
      <c r="A508" s="13">
        <v>507.0</v>
      </c>
      <c r="B508" s="15">
        <v>46141.0</v>
      </c>
      <c r="C508" s="13" t="s">
        <v>58</v>
      </c>
      <c r="D508" s="13" t="s">
        <v>60</v>
      </c>
      <c r="E508" s="13" t="s">
        <v>27</v>
      </c>
      <c r="F508" s="13">
        <v>5.30803227E8</v>
      </c>
      <c r="G508" s="13" t="s">
        <v>27</v>
      </c>
      <c r="H508" s="13" t="s">
        <v>27</v>
      </c>
      <c r="I508" s="20" t="s">
        <v>1307</v>
      </c>
      <c r="J508" s="20"/>
      <c r="K508" s="13" t="s">
        <v>36</v>
      </c>
      <c r="L508" s="26"/>
      <c r="M508" s="27" t="s">
        <v>38</v>
      </c>
      <c r="N508" s="13" t="s">
        <v>40</v>
      </c>
      <c r="O508" s="13" t="s">
        <v>42</v>
      </c>
      <c r="P508" s="32"/>
      <c r="Q508" s="13" t="s">
        <v>44</v>
      </c>
      <c r="R508" s="13" t="s">
        <v>68</v>
      </c>
      <c r="S508" s="32"/>
      <c r="T508" s="32"/>
      <c r="U508" s="26"/>
      <c r="V508" s="32"/>
    </row>
    <row r="509" hidden="1">
      <c r="A509" s="13">
        <v>508.0</v>
      </c>
      <c r="B509" s="15">
        <v>46141.0</v>
      </c>
      <c r="C509" s="13" t="s">
        <v>21</v>
      </c>
      <c r="D509" s="13" t="s">
        <v>57</v>
      </c>
      <c r="E509" s="20" t="s">
        <v>3730</v>
      </c>
      <c r="F509" s="13">
        <v>5.04222282E8</v>
      </c>
      <c r="G509" s="20" t="s">
        <v>152</v>
      </c>
      <c r="H509" s="13" t="s">
        <v>27</v>
      </c>
      <c r="I509" s="20" t="s">
        <v>3731</v>
      </c>
      <c r="J509" s="20" t="s">
        <v>3732</v>
      </c>
      <c r="K509" s="13" t="s">
        <v>39</v>
      </c>
      <c r="L509" s="26"/>
      <c r="M509" s="27" t="s">
        <v>38</v>
      </c>
      <c r="N509" s="13" t="s">
        <v>40</v>
      </c>
      <c r="O509" s="13" t="s">
        <v>42</v>
      </c>
      <c r="P509" s="32"/>
      <c r="Q509" s="13" t="s">
        <v>44</v>
      </c>
      <c r="R509" s="13" t="s">
        <v>68</v>
      </c>
      <c r="S509" s="32"/>
      <c r="T509" s="32"/>
      <c r="U509" s="26"/>
      <c r="V509" s="32"/>
    </row>
  </sheetData>
  <autoFilter ref="$A$1:$V$509">
    <filterColumn colId="12">
      <filters>
        <filter val="رفض التعبئة"/>
      </filters>
    </filterColumn>
  </autoFilter>
  <dataValidations>
    <dataValidation type="list" allowBlank="1" showErrorMessage="1" sqref="C2:C509">
      <formula1>"Complaint,Requests,inquiries"</formula1>
    </dataValidation>
    <dataValidation type="list" allowBlank="1" showErrorMessage="1" sqref="O2:O509">
      <formula1>"High,Medium,Low,Urgent"</formula1>
    </dataValidation>
    <dataValidation type="list" allowBlank="1" showErrorMessage="1" sqref="N2:N509">
      <formula1>"In process,Closed"</formula1>
    </dataValidation>
    <dataValidation type="list" allowBlank="1" showErrorMessage="1" sqref="Q2:Q509">
      <formula1>"Samia,Amani"</formula1>
    </dataValidation>
    <dataValidation type="list" allowBlank="1" showErrorMessage="1" sqref="R2:R509">
      <formula1>"Uploaded,Non"</formula1>
    </dataValidation>
    <dataValidation type="list" allowBlank="1" showErrorMessage="1" sqref="U2:U509">
      <formula1>"Samia,Amani,Dania"</formula1>
    </dataValidation>
    <dataValidation type="list" allowBlank="1" showErrorMessage="1" sqref="K2:K509">
      <formula1>"Call,Google maps,X,Tiktok,SurveyApp,Email,Website,Instgram,Voicemaill,WhatsApp"</formula1>
    </dataValidation>
    <dataValidation type="list" allowBlank="1" showErrorMessage="1" sqref="V2:V509">
      <formula1>"0,1,2,3,4,5"</formula1>
    </dataValidation>
    <dataValidation type="list" allowBlank="1" showErrorMessage="1" sqref="D2:D509">
      <formula1>"Customer S,Operations ,Investment,Real Estate,Franchise ,Marketing ,Maintenance,Environment,Project M,HR,Procurement,Finance,IT"</formula1>
    </dataValidation>
    <dataValidation type="list" allowBlank="1" showErrorMessage="1" sqref="S2">
      <formula1>"خلال 24 ساعة عمل ,خلال 2-5 ايام عمل ,خلال 7 ايام عمل "</formula1>
    </dataValidation>
  </dataValidations>
  <hyperlinks>
    <hyperlink r:id="rId1" ref="I20"/>
    <hyperlink r:id="rId2" ref="I23"/>
    <hyperlink r:id="rId3" ref="I204"/>
    <hyperlink r:id="rId4" ref="I349"/>
    <hyperlink r:id="rId5" ref="I437"/>
  </hyperlinks>
  <printOptions gridLines="1" horizontalCentered="1"/>
  <pageMargins bottom="0.75" footer="0.0" header="0.0" left="0.7" right="0.7" top="0.75"/>
  <pageSetup fitToHeight="0" paperSize="13" cellComments="atEnd" orientation="landscape" pageOrder="overThenDown"/>
  <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2.88"/>
    <col customWidth="1" min="2" max="2" width="7.88"/>
    <col customWidth="1" min="3" max="3" width="13.88"/>
    <col customWidth="1" min="4" max="4" width="17.0"/>
    <col customWidth="1" min="5" max="5" width="10.0"/>
    <col customWidth="1" min="6" max="6" width="11.63"/>
    <col customWidth="1" min="7" max="7" width="6.25"/>
    <col customWidth="1" min="8" max="8" width="9.13"/>
    <col customWidth="1" min="9" max="9" width="51.75"/>
    <col customWidth="1" min="10" max="10" width="24.38"/>
    <col customWidth="1" min="11" max="11" width="11.88"/>
    <col customWidth="1" min="12" max="12" width="10.0"/>
    <col customWidth="1" min="13" max="13" width="15.75"/>
    <col customWidth="1" min="14" max="14" width="14.88"/>
    <col customWidth="1" min="15" max="15" width="12.38"/>
    <col customWidth="1" min="16" max="17" width="11.0"/>
    <col customWidth="1" min="18" max="18" width="14.75"/>
    <col customWidth="1" min="19" max="21" width="13.5"/>
    <col customWidth="1" min="22" max="22" width="11.0"/>
  </cols>
  <sheetData>
    <row r="1" ht="28.5" customHeight="1">
      <c r="A1" s="2"/>
      <c r="B1" s="2" t="s">
        <v>0</v>
      </c>
      <c r="C1" s="2" t="s">
        <v>1</v>
      </c>
      <c r="D1" s="2" t="s">
        <v>3</v>
      </c>
      <c r="E1" s="2" t="s">
        <v>4</v>
      </c>
      <c r="F1" s="152" t="s">
        <v>5</v>
      </c>
      <c r="G1" s="4" t="s">
        <v>6</v>
      </c>
      <c r="H1" s="4" t="s">
        <v>7</v>
      </c>
      <c r="I1" s="2" t="s">
        <v>8</v>
      </c>
      <c r="J1" s="4" t="s">
        <v>9</v>
      </c>
      <c r="K1" s="2" t="s">
        <v>10</v>
      </c>
      <c r="L1" s="4" t="s">
        <v>11</v>
      </c>
      <c r="M1" s="7" t="s">
        <v>12</v>
      </c>
      <c r="N1" s="9" t="s">
        <v>13</v>
      </c>
      <c r="O1" s="10" t="s">
        <v>14</v>
      </c>
      <c r="P1" s="7" t="s">
        <v>15</v>
      </c>
      <c r="Q1" s="3" t="s">
        <v>16</v>
      </c>
      <c r="R1" s="4" t="s">
        <v>17</v>
      </c>
      <c r="S1" s="4" t="s">
        <v>15</v>
      </c>
      <c r="T1" s="4" t="s">
        <v>18</v>
      </c>
      <c r="U1" s="4" t="s">
        <v>19</v>
      </c>
      <c r="V1" s="2" t="s">
        <v>20</v>
      </c>
    </row>
    <row r="2">
      <c r="A2" s="13">
        <v>1.0</v>
      </c>
      <c r="B2" s="15">
        <v>46145.0</v>
      </c>
      <c r="C2" s="13" t="s">
        <v>58</v>
      </c>
      <c r="D2" s="13" t="s">
        <v>60</v>
      </c>
      <c r="E2" s="20" t="s">
        <v>2621</v>
      </c>
      <c r="F2" s="16">
        <v>5.55569099E8</v>
      </c>
      <c r="G2" s="20" t="s">
        <v>41</v>
      </c>
      <c r="H2" s="13" t="s">
        <v>227</v>
      </c>
      <c r="I2" s="154" t="s">
        <v>2623</v>
      </c>
      <c r="J2" s="20" t="s">
        <v>2624</v>
      </c>
      <c r="K2" s="13" t="s">
        <v>321</v>
      </c>
      <c r="L2" s="155">
        <v>0.3541666666666667</v>
      </c>
      <c r="M2" s="27" t="s">
        <v>88</v>
      </c>
      <c r="N2" s="13" t="s">
        <v>56</v>
      </c>
      <c r="O2" s="13" t="s">
        <v>42</v>
      </c>
      <c r="P2" s="156"/>
      <c r="Q2" s="13" t="s">
        <v>44</v>
      </c>
      <c r="R2" s="13"/>
      <c r="S2" s="20" t="s">
        <v>2632</v>
      </c>
      <c r="T2" s="155">
        <v>0.3958333333333333</v>
      </c>
      <c r="U2" s="13" t="s">
        <v>44</v>
      </c>
      <c r="V2" s="156">
        <v>5.0</v>
      </c>
    </row>
    <row r="3" ht="18.75" customHeight="1">
      <c r="A3" s="13">
        <v>2.0</v>
      </c>
      <c r="B3" s="15">
        <v>46145.0</v>
      </c>
      <c r="C3" s="13" t="s">
        <v>21</v>
      </c>
      <c r="D3" s="13" t="s">
        <v>24</v>
      </c>
      <c r="E3" s="20" t="s">
        <v>2635</v>
      </c>
      <c r="F3" s="12">
        <v>5.61888444E8</v>
      </c>
      <c r="G3" s="20" t="s">
        <v>2638</v>
      </c>
      <c r="H3" s="13" t="s">
        <v>27</v>
      </c>
      <c r="I3" s="20" t="s">
        <v>2639</v>
      </c>
      <c r="J3" s="20"/>
      <c r="K3" s="13" t="s">
        <v>36</v>
      </c>
      <c r="L3" s="155"/>
      <c r="M3" s="27" t="s">
        <v>38</v>
      </c>
      <c r="N3" s="13" t="s">
        <v>40</v>
      </c>
      <c r="O3" s="13" t="s">
        <v>42</v>
      </c>
      <c r="P3" s="156"/>
      <c r="Q3" s="13" t="s">
        <v>44</v>
      </c>
      <c r="R3" s="13" t="s">
        <v>46</v>
      </c>
      <c r="S3" s="13"/>
      <c r="T3" s="155"/>
      <c r="U3" s="13"/>
      <c r="V3" s="156">
        <v>5.0</v>
      </c>
    </row>
    <row r="4">
      <c r="A4" s="13">
        <v>3.0</v>
      </c>
      <c r="B4" s="15">
        <v>46145.0</v>
      </c>
      <c r="C4" s="13" t="s">
        <v>21</v>
      </c>
      <c r="D4" s="13" t="s">
        <v>22</v>
      </c>
      <c r="E4" s="20" t="s">
        <v>2644</v>
      </c>
      <c r="F4" s="12">
        <v>5.07746657E8</v>
      </c>
      <c r="G4" s="20" t="s">
        <v>41</v>
      </c>
      <c r="H4" s="13" t="s">
        <v>27</v>
      </c>
      <c r="I4" s="20" t="s">
        <v>2646</v>
      </c>
      <c r="J4" s="20"/>
      <c r="K4" s="13" t="s">
        <v>36</v>
      </c>
      <c r="L4" s="155"/>
      <c r="M4" s="27" t="s">
        <v>38</v>
      </c>
      <c r="N4" s="13" t="s">
        <v>56</v>
      </c>
      <c r="O4" s="13" t="s">
        <v>42</v>
      </c>
      <c r="P4" s="156"/>
      <c r="Q4" s="13" t="s">
        <v>44</v>
      </c>
      <c r="R4" s="13" t="s">
        <v>46</v>
      </c>
      <c r="S4" s="13"/>
      <c r="T4" s="155"/>
      <c r="U4" s="13"/>
      <c r="V4" s="127"/>
    </row>
    <row r="5">
      <c r="A5" s="13">
        <v>4.0</v>
      </c>
      <c r="B5" s="15">
        <v>46145.0</v>
      </c>
      <c r="C5" s="13" t="s">
        <v>47</v>
      </c>
      <c r="D5" s="13" t="s">
        <v>48</v>
      </c>
      <c r="E5" s="20" t="s">
        <v>2651</v>
      </c>
      <c r="F5" s="12">
        <v>5.55510509E8</v>
      </c>
      <c r="G5" s="157" t="s">
        <v>41</v>
      </c>
      <c r="H5" s="13" t="s">
        <v>956</v>
      </c>
      <c r="I5" s="20" t="s">
        <v>2655</v>
      </c>
      <c r="J5" s="20" t="s">
        <v>2656</v>
      </c>
      <c r="K5" s="13" t="s">
        <v>36</v>
      </c>
      <c r="L5" s="155">
        <v>0.4791666666666667</v>
      </c>
      <c r="M5" s="27" t="s">
        <v>55</v>
      </c>
      <c r="N5" s="13" t="s">
        <v>56</v>
      </c>
      <c r="O5" s="13" t="s">
        <v>42</v>
      </c>
      <c r="P5" s="156"/>
      <c r="Q5" s="13" t="s">
        <v>44</v>
      </c>
      <c r="R5" s="13" t="s">
        <v>46</v>
      </c>
      <c r="S5" s="20" t="s">
        <v>2632</v>
      </c>
      <c r="T5" s="155">
        <v>0.5208333333333334</v>
      </c>
      <c r="U5" s="13" t="s">
        <v>44</v>
      </c>
      <c r="V5" s="156">
        <v>5.0</v>
      </c>
    </row>
    <row r="6">
      <c r="A6" s="13">
        <v>5.0</v>
      </c>
      <c r="B6" s="15">
        <v>46145.0</v>
      </c>
      <c r="C6" s="13" t="s">
        <v>47</v>
      </c>
      <c r="D6" s="13" t="s">
        <v>48</v>
      </c>
      <c r="E6" s="20" t="s">
        <v>2661</v>
      </c>
      <c r="F6" s="12">
        <v>5.44459991E8</v>
      </c>
      <c r="G6" s="157" t="s">
        <v>41</v>
      </c>
      <c r="H6" s="13" t="s">
        <v>146</v>
      </c>
      <c r="I6" s="158" t="s">
        <v>2664</v>
      </c>
      <c r="J6" s="20" t="s">
        <v>2665</v>
      </c>
      <c r="K6" s="13" t="s">
        <v>36</v>
      </c>
      <c r="L6" s="155">
        <v>0.5208333333333334</v>
      </c>
      <c r="M6" s="27" t="s">
        <v>55</v>
      </c>
      <c r="N6" s="13" t="s">
        <v>56</v>
      </c>
      <c r="O6" s="13" t="s">
        <v>42</v>
      </c>
      <c r="P6" s="156"/>
      <c r="Q6" s="13" t="s">
        <v>44</v>
      </c>
      <c r="R6" s="13" t="s">
        <v>46</v>
      </c>
      <c r="S6" s="20" t="s">
        <v>2632</v>
      </c>
      <c r="T6" s="155">
        <v>0.5625</v>
      </c>
      <c r="U6" s="13" t="s">
        <v>44</v>
      </c>
      <c r="V6" s="156">
        <v>5.0</v>
      </c>
    </row>
    <row r="7">
      <c r="A7" s="13">
        <v>6.0</v>
      </c>
      <c r="B7" s="15">
        <v>46145.0</v>
      </c>
      <c r="C7" s="13" t="s">
        <v>21</v>
      </c>
      <c r="D7" s="13" t="s">
        <v>22</v>
      </c>
      <c r="E7" s="20" t="s">
        <v>2667</v>
      </c>
      <c r="F7" s="12">
        <v>5.57795456E8</v>
      </c>
      <c r="G7" s="20" t="s">
        <v>41</v>
      </c>
      <c r="H7" s="13" t="s">
        <v>27</v>
      </c>
      <c r="I7" s="20" t="s">
        <v>2668</v>
      </c>
      <c r="J7" s="43"/>
      <c r="K7" s="13" t="s">
        <v>36</v>
      </c>
      <c r="L7" s="155"/>
      <c r="M7" s="27" t="s">
        <v>38</v>
      </c>
      <c r="N7" s="13" t="s">
        <v>40</v>
      </c>
      <c r="O7" s="13" t="s">
        <v>42</v>
      </c>
      <c r="P7" s="156"/>
      <c r="Q7" s="13" t="s">
        <v>49</v>
      </c>
      <c r="R7" s="13" t="s">
        <v>46</v>
      </c>
      <c r="S7" s="13"/>
      <c r="T7" s="155"/>
      <c r="U7" s="13"/>
      <c r="V7" s="127"/>
    </row>
    <row r="8">
      <c r="A8" s="13">
        <v>7.0</v>
      </c>
      <c r="B8" s="15">
        <v>46145.0</v>
      </c>
      <c r="C8" s="13" t="s">
        <v>21</v>
      </c>
      <c r="D8" s="13" t="s">
        <v>24</v>
      </c>
      <c r="E8" s="20" t="s">
        <v>1965</v>
      </c>
      <c r="F8" s="12">
        <v>5.56805599E8</v>
      </c>
      <c r="G8" s="20" t="s">
        <v>71</v>
      </c>
      <c r="H8" s="13"/>
      <c r="I8" s="20" t="s">
        <v>2674</v>
      </c>
      <c r="J8" s="43"/>
      <c r="K8" s="13" t="s">
        <v>36</v>
      </c>
      <c r="L8" s="159"/>
      <c r="M8" s="27" t="s">
        <v>38</v>
      </c>
      <c r="N8" s="13" t="s">
        <v>40</v>
      </c>
      <c r="O8" s="13" t="s">
        <v>42</v>
      </c>
      <c r="P8" s="156"/>
      <c r="Q8" s="13" t="s">
        <v>44</v>
      </c>
      <c r="R8" s="13" t="s">
        <v>46</v>
      </c>
      <c r="S8" s="13"/>
      <c r="T8" s="159"/>
      <c r="U8" s="13"/>
      <c r="V8" s="156">
        <v>5.0</v>
      </c>
    </row>
    <row r="9">
      <c r="A9" s="13">
        <v>8.0</v>
      </c>
      <c r="B9" s="15">
        <v>46145.0</v>
      </c>
      <c r="C9" s="13" t="s">
        <v>58</v>
      </c>
      <c r="D9" s="13" t="s">
        <v>60</v>
      </c>
      <c r="E9" s="20" t="s">
        <v>2680</v>
      </c>
      <c r="F9" s="12">
        <v>5.09944862E8</v>
      </c>
      <c r="G9" s="13" t="s">
        <v>27</v>
      </c>
      <c r="H9" s="13" t="s">
        <v>27</v>
      </c>
      <c r="I9" s="20" t="s">
        <v>2682</v>
      </c>
      <c r="J9" s="20"/>
      <c r="K9" s="13" t="s">
        <v>65</v>
      </c>
      <c r="L9" s="155">
        <v>0.6277777777777778</v>
      </c>
      <c r="M9" s="27" t="s">
        <v>38</v>
      </c>
      <c r="N9" s="13" t="s">
        <v>56</v>
      </c>
      <c r="O9" s="13" t="s">
        <v>42</v>
      </c>
      <c r="P9" s="156"/>
      <c r="Q9" s="13" t="s">
        <v>44</v>
      </c>
      <c r="R9" s="13"/>
      <c r="S9" s="20" t="s">
        <v>2632</v>
      </c>
      <c r="T9" s="155">
        <v>0.6277777777777778</v>
      </c>
      <c r="U9" s="13" t="s">
        <v>44</v>
      </c>
      <c r="V9" s="156">
        <v>5.0</v>
      </c>
    </row>
    <row r="10">
      <c r="A10" s="13">
        <v>9.0</v>
      </c>
      <c r="B10" s="15">
        <v>46145.0</v>
      </c>
      <c r="C10" s="13" t="s">
        <v>58</v>
      </c>
      <c r="D10" s="13" t="s">
        <v>60</v>
      </c>
      <c r="E10" s="13" t="s">
        <v>27</v>
      </c>
      <c r="F10" s="12">
        <v>5.33642704E8</v>
      </c>
      <c r="G10" s="13" t="s">
        <v>27</v>
      </c>
      <c r="H10" s="13" t="s">
        <v>27</v>
      </c>
      <c r="I10" s="20" t="s">
        <v>2689</v>
      </c>
      <c r="J10" s="20"/>
      <c r="K10" s="13" t="s">
        <v>65</v>
      </c>
      <c r="L10" s="155">
        <v>0.6131944444444445</v>
      </c>
      <c r="M10" s="27" t="s">
        <v>38</v>
      </c>
      <c r="N10" s="13" t="s">
        <v>56</v>
      </c>
      <c r="O10" s="13" t="s">
        <v>42</v>
      </c>
      <c r="P10" s="156"/>
      <c r="Q10" s="13" t="s">
        <v>44</v>
      </c>
      <c r="R10" s="43"/>
      <c r="S10" s="20" t="s">
        <v>2632</v>
      </c>
      <c r="T10" s="155">
        <v>0.6131944444444445</v>
      </c>
      <c r="U10" s="13" t="s">
        <v>44</v>
      </c>
      <c r="V10" s="156">
        <v>5.0</v>
      </c>
    </row>
    <row r="11">
      <c r="A11" s="13">
        <v>10.0</v>
      </c>
      <c r="B11" s="15">
        <v>46145.0</v>
      </c>
      <c r="C11" s="13" t="s">
        <v>58</v>
      </c>
      <c r="D11" s="13" t="s">
        <v>60</v>
      </c>
      <c r="E11" s="20" t="s">
        <v>463</v>
      </c>
      <c r="F11" s="12">
        <v>5.54775563E8</v>
      </c>
      <c r="G11" s="20" t="s">
        <v>41</v>
      </c>
      <c r="H11" s="13" t="s">
        <v>705</v>
      </c>
      <c r="I11" s="20" t="s">
        <v>2696</v>
      </c>
      <c r="J11" s="20" t="s">
        <v>2697</v>
      </c>
      <c r="K11" s="13" t="s">
        <v>36</v>
      </c>
      <c r="L11" s="155">
        <v>0.6680555555555555</v>
      </c>
      <c r="M11" s="27" t="s">
        <v>88</v>
      </c>
      <c r="N11" s="13" t="s">
        <v>56</v>
      </c>
      <c r="O11" s="13" t="s">
        <v>42</v>
      </c>
      <c r="P11" s="156"/>
      <c r="Q11" s="13" t="s">
        <v>44</v>
      </c>
      <c r="R11" s="13"/>
      <c r="S11" s="20" t="s">
        <v>2632</v>
      </c>
      <c r="T11" s="155">
        <v>0.6680555555555555</v>
      </c>
      <c r="U11" s="13" t="s">
        <v>44</v>
      </c>
      <c r="V11" s="156">
        <v>5.0</v>
      </c>
    </row>
    <row r="12">
      <c r="A12" s="13">
        <v>11.0</v>
      </c>
      <c r="B12" s="15">
        <v>46145.0</v>
      </c>
      <c r="C12" s="13" t="s">
        <v>58</v>
      </c>
      <c r="D12" s="13" t="s">
        <v>92</v>
      </c>
      <c r="E12" s="20" t="s">
        <v>2703</v>
      </c>
      <c r="F12" s="160">
        <v>5.09430125E8</v>
      </c>
      <c r="G12" s="58" t="s">
        <v>71</v>
      </c>
      <c r="H12" s="55" t="s">
        <v>291</v>
      </c>
      <c r="I12" s="20" t="s">
        <v>2706</v>
      </c>
      <c r="J12" s="20" t="s">
        <v>2707</v>
      </c>
      <c r="K12" s="13" t="s">
        <v>36</v>
      </c>
      <c r="L12" s="159">
        <v>0.5715277777777777</v>
      </c>
      <c r="M12" s="27" t="s">
        <v>88</v>
      </c>
      <c r="N12" s="13" t="s">
        <v>40</v>
      </c>
      <c r="O12" s="13" t="s">
        <v>518</v>
      </c>
      <c r="P12" s="156"/>
      <c r="Q12" s="13" t="s">
        <v>44</v>
      </c>
      <c r="R12" s="13" t="s">
        <v>46</v>
      </c>
      <c r="S12" s="20" t="s">
        <v>2710</v>
      </c>
      <c r="T12" s="155">
        <v>0.6041666666666666</v>
      </c>
      <c r="U12" s="13" t="s">
        <v>49</v>
      </c>
      <c r="V12" s="127"/>
    </row>
    <row r="13">
      <c r="A13" s="13">
        <v>12.0</v>
      </c>
      <c r="B13" s="15">
        <v>46145.0</v>
      </c>
      <c r="C13" s="13" t="s">
        <v>47</v>
      </c>
      <c r="D13" s="13" t="s">
        <v>48</v>
      </c>
      <c r="E13" s="13" t="s">
        <v>2714</v>
      </c>
      <c r="F13" s="12">
        <v>5.02599304E8</v>
      </c>
      <c r="G13" s="20" t="s">
        <v>2715</v>
      </c>
      <c r="H13" s="13" t="s">
        <v>2716</v>
      </c>
      <c r="I13" s="20" t="s">
        <v>2717</v>
      </c>
      <c r="J13" s="20" t="s">
        <v>2719</v>
      </c>
      <c r="K13" s="13" t="s">
        <v>78</v>
      </c>
      <c r="L13" s="155">
        <v>0.5208333333333334</v>
      </c>
      <c r="M13" s="27" t="s">
        <v>101</v>
      </c>
      <c r="N13" s="13" t="s">
        <v>56</v>
      </c>
      <c r="O13" s="13" t="s">
        <v>42</v>
      </c>
      <c r="P13" s="156"/>
      <c r="Q13" s="13" t="s">
        <v>44</v>
      </c>
      <c r="R13" s="13" t="s">
        <v>46</v>
      </c>
      <c r="S13" s="20" t="s">
        <v>2632</v>
      </c>
      <c r="T13" s="155">
        <v>0.5625</v>
      </c>
      <c r="U13" s="13" t="s">
        <v>44</v>
      </c>
      <c r="V13" s="156">
        <v>5.0</v>
      </c>
    </row>
    <row r="14">
      <c r="A14" s="13">
        <v>13.0</v>
      </c>
      <c r="B14" s="15">
        <v>46145.0</v>
      </c>
      <c r="C14" s="13" t="s">
        <v>58</v>
      </c>
      <c r="D14" s="13" t="s">
        <v>60</v>
      </c>
      <c r="E14" s="13" t="s">
        <v>27</v>
      </c>
      <c r="F14" s="12">
        <v>5.66353394E8</v>
      </c>
      <c r="G14" s="13" t="s">
        <v>27</v>
      </c>
      <c r="H14" s="13" t="s">
        <v>27</v>
      </c>
      <c r="I14" s="20" t="s">
        <v>2726</v>
      </c>
      <c r="J14" s="20" t="s">
        <v>500</v>
      </c>
      <c r="K14" s="13" t="s">
        <v>36</v>
      </c>
      <c r="L14" s="155">
        <v>0.4861111111111111</v>
      </c>
      <c r="M14" s="27" t="s">
        <v>88</v>
      </c>
      <c r="N14" s="13" t="s">
        <v>56</v>
      </c>
      <c r="O14" s="13" t="s">
        <v>42</v>
      </c>
      <c r="P14" s="156"/>
      <c r="Q14" s="13" t="s">
        <v>44</v>
      </c>
      <c r="R14" s="13"/>
      <c r="S14" s="20" t="s">
        <v>2632</v>
      </c>
      <c r="T14" s="155">
        <v>0.4861111111111111</v>
      </c>
      <c r="U14" s="13" t="s">
        <v>44</v>
      </c>
      <c r="V14" s="156">
        <v>5.0</v>
      </c>
    </row>
    <row r="15">
      <c r="A15" s="13">
        <v>14.0</v>
      </c>
      <c r="B15" s="15">
        <v>46145.0</v>
      </c>
      <c r="C15" s="13" t="s">
        <v>21</v>
      </c>
      <c r="D15" s="13" t="s">
        <v>92</v>
      </c>
      <c r="E15" s="20" t="s">
        <v>2729</v>
      </c>
      <c r="F15" s="12">
        <v>5.69946245E8</v>
      </c>
      <c r="G15" s="20" t="s">
        <v>152</v>
      </c>
      <c r="H15" s="13" t="s">
        <v>27</v>
      </c>
      <c r="I15" s="20" t="s">
        <v>2733</v>
      </c>
      <c r="J15" s="20" t="s">
        <v>1806</v>
      </c>
      <c r="K15" s="13" t="s">
        <v>36</v>
      </c>
      <c r="L15" s="155">
        <v>0.625</v>
      </c>
      <c r="M15" s="27" t="s">
        <v>38</v>
      </c>
      <c r="N15" s="13" t="s">
        <v>40</v>
      </c>
      <c r="O15" s="13" t="s">
        <v>42</v>
      </c>
      <c r="P15" s="156"/>
      <c r="Q15" s="13" t="s">
        <v>44</v>
      </c>
      <c r="R15" s="13"/>
      <c r="S15" s="20" t="s">
        <v>2632</v>
      </c>
      <c r="T15" s="155">
        <v>0.6270833333333333</v>
      </c>
      <c r="U15" s="13" t="s">
        <v>44</v>
      </c>
      <c r="V15" s="156">
        <v>5.0</v>
      </c>
    </row>
    <row r="16">
      <c r="A16" s="13">
        <v>15.0</v>
      </c>
      <c r="B16" s="15">
        <v>46145.0</v>
      </c>
      <c r="C16" s="13" t="s">
        <v>58</v>
      </c>
      <c r="D16" s="13" t="s">
        <v>60</v>
      </c>
      <c r="E16" s="20" t="s">
        <v>2737</v>
      </c>
      <c r="F16" s="12">
        <v>5.67760943E8</v>
      </c>
      <c r="G16" s="20" t="s">
        <v>28</v>
      </c>
      <c r="H16" s="13" t="s">
        <v>27</v>
      </c>
      <c r="I16" s="20" t="s">
        <v>2738</v>
      </c>
      <c r="J16" s="20" t="s">
        <v>2739</v>
      </c>
      <c r="K16" s="13" t="s">
        <v>36</v>
      </c>
      <c r="L16" s="155">
        <v>0.6277777777777778</v>
      </c>
      <c r="M16" s="27" t="s">
        <v>88</v>
      </c>
      <c r="N16" s="13" t="s">
        <v>56</v>
      </c>
      <c r="O16" s="13" t="s">
        <v>42</v>
      </c>
      <c r="P16" s="156"/>
      <c r="Q16" s="13" t="s">
        <v>44</v>
      </c>
      <c r="R16" s="13"/>
      <c r="S16" s="20" t="s">
        <v>2632</v>
      </c>
      <c r="T16" s="155">
        <v>0.6277777777777778</v>
      </c>
      <c r="U16" s="13" t="s">
        <v>44</v>
      </c>
      <c r="V16" s="156">
        <v>5.0</v>
      </c>
    </row>
    <row r="17">
      <c r="A17" s="13">
        <v>16.0</v>
      </c>
      <c r="B17" s="15">
        <v>46145.0</v>
      </c>
      <c r="C17" s="13" t="s">
        <v>21</v>
      </c>
      <c r="D17" s="13" t="s">
        <v>22</v>
      </c>
      <c r="E17" s="20" t="s">
        <v>2746</v>
      </c>
      <c r="F17" s="12">
        <v>5.33886287E8</v>
      </c>
      <c r="G17" s="20" t="s">
        <v>71</v>
      </c>
      <c r="H17" s="13" t="s">
        <v>27</v>
      </c>
      <c r="I17" s="20" t="s">
        <v>2747</v>
      </c>
      <c r="J17" s="20"/>
      <c r="K17" s="13" t="s">
        <v>36</v>
      </c>
      <c r="L17" s="159"/>
      <c r="M17" s="27" t="s">
        <v>38</v>
      </c>
      <c r="N17" s="13" t="s">
        <v>56</v>
      </c>
      <c r="O17" s="13" t="s">
        <v>42</v>
      </c>
      <c r="P17" s="156"/>
      <c r="Q17" s="13" t="s">
        <v>44</v>
      </c>
      <c r="R17" s="13" t="s">
        <v>46</v>
      </c>
      <c r="S17" s="20"/>
      <c r="T17" s="159"/>
      <c r="U17" s="13"/>
      <c r="V17" s="127"/>
    </row>
    <row r="18">
      <c r="A18" s="13">
        <v>17.0</v>
      </c>
      <c r="B18" s="15">
        <v>46145.0</v>
      </c>
      <c r="C18" s="13" t="s">
        <v>47</v>
      </c>
      <c r="D18" s="13" t="s">
        <v>48</v>
      </c>
      <c r="E18" s="20" t="s">
        <v>2754</v>
      </c>
      <c r="F18" s="12">
        <v>5.04105727E8</v>
      </c>
      <c r="G18" s="20" t="s">
        <v>28</v>
      </c>
      <c r="H18" s="13" t="s">
        <v>1708</v>
      </c>
      <c r="I18" s="20" t="s">
        <v>2758</v>
      </c>
      <c r="J18" s="20" t="s">
        <v>2760</v>
      </c>
      <c r="K18" s="13" t="s">
        <v>36</v>
      </c>
      <c r="L18" s="155">
        <v>0.5208333333333334</v>
      </c>
      <c r="M18" s="27" t="s">
        <v>55</v>
      </c>
      <c r="N18" s="13" t="s">
        <v>40</v>
      </c>
      <c r="O18" s="13" t="s">
        <v>42</v>
      </c>
      <c r="P18" s="156"/>
      <c r="Q18" s="13" t="s">
        <v>44</v>
      </c>
      <c r="R18" s="13" t="s">
        <v>46</v>
      </c>
      <c r="S18" s="20" t="s">
        <v>2632</v>
      </c>
      <c r="T18" s="155">
        <v>0.5625</v>
      </c>
      <c r="U18" s="13" t="s">
        <v>44</v>
      </c>
      <c r="V18" s="156">
        <v>5.0</v>
      </c>
    </row>
    <row r="19">
      <c r="A19" s="13">
        <v>18.0</v>
      </c>
      <c r="B19" s="15">
        <v>46145.0</v>
      </c>
      <c r="C19" s="13" t="s">
        <v>58</v>
      </c>
      <c r="D19" s="13" t="s">
        <v>57</v>
      </c>
      <c r="E19" s="13" t="s">
        <v>27</v>
      </c>
      <c r="F19" s="12">
        <v>5.03425441E8</v>
      </c>
      <c r="G19" s="13" t="s">
        <v>27</v>
      </c>
      <c r="H19" s="13" t="s">
        <v>27</v>
      </c>
      <c r="I19" s="20" t="s">
        <v>2767</v>
      </c>
      <c r="J19" s="20"/>
      <c r="K19" s="13" t="s">
        <v>36</v>
      </c>
      <c r="L19" s="161">
        <v>0.6277777777777778</v>
      </c>
      <c r="M19" s="27" t="s">
        <v>88</v>
      </c>
      <c r="N19" s="13" t="s">
        <v>56</v>
      </c>
      <c r="O19" s="13" t="s">
        <v>42</v>
      </c>
      <c r="P19" s="156"/>
      <c r="Q19" s="13" t="s">
        <v>44</v>
      </c>
      <c r="R19" s="13"/>
      <c r="S19" s="20" t="s">
        <v>2632</v>
      </c>
      <c r="T19" s="161">
        <v>0.6277777777777778</v>
      </c>
      <c r="U19" s="13" t="s">
        <v>44</v>
      </c>
      <c r="V19" s="156">
        <v>5.0</v>
      </c>
    </row>
    <row r="20">
      <c r="A20" s="13">
        <v>19.0</v>
      </c>
      <c r="B20" s="15">
        <v>46145.0</v>
      </c>
      <c r="C20" s="13" t="s">
        <v>47</v>
      </c>
      <c r="D20" s="13" t="s">
        <v>48</v>
      </c>
      <c r="E20" s="20" t="s">
        <v>2772</v>
      </c>
      <c r="F20" s="12">
        <v>5.55522535E8</v>
      </c>
      <c r="G20" s="162" t="s">
        <v>41</v>
      </c>
      <c r="H20" s="13" t="s">
        <v>956</v>
      </c>
      <c r="I20" s="20" t="s">
        <v>2777</v>
      </c>
      <c r="J20" s="20" t="s">
        <v>2778</v>
      </c>
      <c r="K20" s="13" t="s">
        <v>36</v>
      </c>
      <c r="L20" s="155">
        <v>0.5208333333333334</v>
      </c>
      <c r="M20" s="27" t="s">
        <v>55</v>
      </c>
      <c r="N20" s="13" t="s">
        <v>56</v>
      </c>
      <c r="O20" s="13" t="s">
        <v>42</v>
      </c>
      <c r="P20" s="156"/>
      <c r="Q20" s="13" t="s">
        <v>44</v>
      </c>
      <c r="R20" s="13" t="s">
        <v>46</v>
      </c>
      <c r="S20" s="20" t="s">
        <v>2632</v>
      </c>
      <c r="T20" s="155">
        <v>0.5625</v>
      </c>
      <c r="U20" s="13" t="s">
        <v>44</v>
      </c>
      <c r="V20" s="156">
        <v>5.0</v>
      </c>
    </row>
    <row r="21">
      <c r="A21" s="13">
        <v>20.0</v>
      </c>
      <c r="B21" s="15">
        <v>46145.0</v>
      </c>
      <c r="C21" s="13" t="s">
        <v>47</v>
      </c>
      <c r="D21" s="13" t="s">
        <v>92</v>
      </c>
      <c r="E21" s="13" t="s">
        <v>27</v>
      </c>
      <c r="F21" s="12">
        <v>5.07763599E8</v>
      </c>
      <c r="G21" s="20" t="s">
        <v>28</v>
      </c>
      <c r="H21" s="13" t="s">
        <v>777</v>
      </c>
      <c r="I21" s="20" t="s">
        <v>2783</v>
      </c>
      <c r="J21" s="20" t="s">
        <v>2785</v>
      </c>
      <c r="K21" s="13" t="s">
        <v>36</v>
      </c>
      <c r="L21" s="155">
        <v>0.5208333333333334</v>
      </c>
      <c r="M21" s="27" t="s">
        <v>55</v>
      </c>
      <c r="N21" s="13" t="s">
        <v>56</v>
      </c>
      <c r="O21" s="13" t="s">
        <v>42</v>
      </c>
      <c r="P21" s="156"/>
      <c r="Q21" s="13" t="s">
        <v>44</v>
      </c>
      <c r="R21" s="13" t="s">
        <v>46</v>
      </c>
      <c r="S21" s="20" t="s">
        <v>2632</v>
      </c>
      <c r="T21" s="155">
        <v>0.5625</v>
      </c>
      <c r="U21" s="13" t="s">
        <v>44</v>
      </c>
      <c r="V21" s="156">
        <v>5.0</v>
      </c>
    </row>
    <row r="22">
      <c r="A22" s="13">
        <v>21.0</v>
      </c>
      <c r="B22" s="15">
        <v>46145.0</v>
      </c>
      <c r="C22" s="13" t="s">
        <v>58</v>
      </c>
      <c r="D22" s="13" t="s">
        <v>60</v>
      </c>
      <c r="E22" s="13" t="s">
        <v>27</v>
      </c>
      <c r="F22" s="12">
        <v>5.06707089E8</v>
      </c>
      <c r="G22" s="20" t="s">
        <v>79</v>
      </c>
      <c r="H22" s="13" t="s">
        <v>27</v>
      </c>
      <c r="I22" s="20" t="s">
        <v>2788</v>
      </c>
      <c r="J22" s="20" t="s">
        <v>2789</v>
      </c>
      <c r="K22" s="13" t="s">
        <v>36</v>
      </c>
      <c r="L22" s="155">
        <v>0.6131944444444445</v>
      </c>
      <c r="M22" s="27" t="s">
        <v>88</v>
      </c>
      <c r="N22" s="13" t="s">
        <v>56</v>
      </c>
      <c r="O22" s="13" t="s">
        <v>42</v>
      </c>
      <c r="P22" s="156"/>
      <c r="Q22" s="13" t="s">
        <v>44</v>
      </c>
      <c r="R22" s="13"/>
      <c r="S22" s="20" t="s">
        <v>2632</v>
      </c>
      <c r="T22" s="155">
        <v>0.6131944444444445</v>
      </c>
      <c r="U22" s="13" t="s">
        <v>44</v>
      </c>
      <c r="V22" s="156">
        <v>5.0</v>
      </c>
    </row>
    <row r="23">
      <c r="A23" s="13">
        <v>22.0</v>
      </c>
      <c r="B23" s="15">
        <v>46145.0</v>
      </c>
      <c r="C23" s="13" t="s">
        <v>58</v>
      </c>
      <c r="D23" s="13" t="s">
        <v>57</v>
      </c>
      <c r="E23" s="13" t="s">
        <v>27</v>
      </c>
      <c r="F23" s="12">
        <v>5.95921867E8</v>
      </c>
      <c r="G23" s="13" t="s">
        <v>27</v>
      </c>
      <c r="H23" s="13" t="s">
        <v>27</v>
      </c>
      <c r="I23" s="20" t="s">
        <v>2767</v>
      </c>
      <c r="J23" s="20"/>
      <c r="K23" s="13" t="s">
        <v>36</v>
      </c>
      <c r="L23" s="155">
        <v>0.6784722222222223</v>
      </c>
      <c r="M23" s="27" t="s">
        <v>323</v>
      </c>
      <c r="N23" s="13" t="s">
        <v>56</v>
      </c>
      <c r="O23" s="13" t="s">
        <v>42</v>
      </c>
      <c r="P23" s="156"/>
      <c r="Q23" s="13" t="s">
        <v>44</v>
      </c>
      <c r="R23" s="13"/>
      <c r="S23" s="20" t="s">
        <v>2632</v>
      </c>
      <c r="T23" s="155">
        <v>0.6784722222222223</v>
      </c>
      <c r="U23" s="13" t="s">
        <v>44</v>
      </c>
      <c r="V23" s="156">
        <v>5.0</v>
      </c>
    </row>
    <row r="24">
      <c r="A24" s="13">
        <v>23.0</v>
      </c>
      <c r="B24" s="15">
        <v>46145.0</v>
      </c>
      <c r="C24" s="13" t="s">
        <v>21</v>
      </c>
      <c r="D24" s="13" t="s">
        <v>24</v>
      </c>
      <c r="E24" s="20" t="s">
        <v>118</v>
      </c>
      <c r="F24" s="12">
        <v>5.64466857E8</v>
      </c>
      <c r="G24" s="20" t="s">
        <v>874</v>
      </c>
      <c r="H24" s="13" t="s">
        <v>27</v>
      </c>
      <c r="I24" s="20" t="s">
        <v>2801</v>
      </c>
      <c r="J24" s="20"/>
      <c r="K24" s="13" t="s">
        <v>36</v>
      </c>
      <c r="L24" s="159"/>
      <c r="M24" s="27" t="s">
        <v>38</v>
      </c>
      <c r="N24" s="13" t="s">
        <v>40</v>
      </c>
      <c r="O24" s="13" t="s">
        <v>42</v>
      </c>
      <c r="P24" s="156"/>
      <c r="Q24" s="13" t="s">
        <v>44</v>
      </c>
      <c r="R24" s="13" t="s">
        <v>46</v>
      </c>
      <c r="S24" s="13"/>
      <c r="T24" s="159"/>
      <c r="U24" s="13"/>
      <c r="V24" s="156">
        <v>5.0</v>
      </c>
    </row>
    <row r="25">
      <c r="A25" s="13">
        <v>24.0</v>
      </c>
      <c r="B25" s="15">
        <v>46145.0</v>
      </c>
      <c r="C25" s="13" t="s">
        <v>58</v>
      </c>
      <c r="D25" s="13" t="s">
        <v>60</v>
      </c>
      <c r="E25" s="13" t="s">
        <v>27</v>
      </c>
      <c r="F25" s="12">
        <v>5.42180527E8</v>
      </c>
      <c r="G25" s="13" t="s">
        <v>27</v>
      </c>
      <c r="H25" s="13" t="s">
        <v>27</v>
      </c>
      <c r="I25" s="20" t="s">
        <v>2767</v>
      </c>
      <c r="J25" s="20"/>
      <c r="K25" s="13" t="s">
        <v>36</v>
      </c>
      <c r="L25" s="155">
        <v>0.6680555555555555</v>
      </c>
      <c r="M25" s="27" t="s">
        <v>88</v>
      </c>
      <c r="N25" s="13" t="s">
        <v>56</v>
      </c>
      <c r="O25" s="13" t="s">
        <v>42</v>
      </c>
      <c r="P25" s="156"/>
      <c r="Q25" s="13" t="s">
        <v>44</v>
      </c>
      <c r="R25" s="13"/>
      <c r="S25" s="20" t="s">
        <v>2632</v>
      </c>
      <c r="T25" s="155">
        <v>0.6680555555555555</v>
      </c>
      <c r="U25" s="13" t="s">
        <v>44</v>
      </c>
      <c r="V25" s="156">
        <v>5.0</v>
      </c>
    </row>
    <row r="26">
      <c r="A26" s="13">
        <v>25.0</v>
      </c>
      <c r="B26" s="15">
        <v>46145.0</v>
      </c>
      <c r="C26" s="13" t="s">
        <v>21</v>
      </c>
      <c r="D26" s="13" t="s">
        <v>24</v>
      </c>
      <c r="E26" s="20" t="s">
        <v>2810</v>
      </c>
      <c r="F26" s="12">
        <v>5.06907896E8</v>
      </c>
      <c r="G26" s="20" t="s">
        <v>28</v>
      </c>
      <c r="H26" s="13" t="s">
        <v>27</v>
      </c>
      <c r="I26" s="20" t="s">
        <v>2811</v>
      </c>
      <c r="J26" s="20"/>
      <c r="K26" s="13" t="s">
        <v>36</v>
      </c>
      <c r="L26" s="159"/>
      <c r="M26" s="27" t="s">
        <v>38</v>
      </c>
      <c r="N26" s="13" t="s">
        <v>40</v>
      </c>
      <c r="O26" s="13" t="s">
        <v>42</v>
      </c>
      <c r="P26" s="156"/>
      <c r="Q26" s="13" t="s">
        <v>44</v>
      </c>
      <c r="R26" s="13" t="s">
        <v>46</v>
      </c>
      <c r="S26" s="13"/>
      <c r="T26" s="159"/>
      <c r="U26" s="13"/>
      <c r="V26" s="156">
        <v>5.0</v>
      </c>
    </row>
    <row r="27">
      <c r="A27" s="13">
        <v>26.0</v>
      </c>
      <c r="B27" s="15">
        <v>46145.0</v>
      </c>
      <c r="C27" s="13" t="s">
        <v>21</v>
      </c>
      <c r="D27" s="13" t="s">
        <v>22</v>
      </c>
      <c r="E27" s="20" t="s">
        <v>2817</v>
      </c>
      <c r="F27" s="12">
        <v>5.05682871E8</v>
      </c>
      <c r="G27" s="20" t="s">
        <v>71</v>
      </c>
      <c r="H27" s="13" t="s">
        <v>27</v>
      </c>
      <c r="I27" s="20" t="s">
        <v>2818</v>
      </c>
      <c r="J27" s="20"/>
      <c r="K27" s="13" t="s">
        <v>62</v>
      </c>
      <c r="L27" s="159"/>
      <c r="M27" s="27" t="s">
        <v>38</v>
      </c>
      <c r="N27" s="13" t="s">
        <v>56</v>
      </c>
      <c r="O27" s="13" t="s">
        <v>42</v>
      </c>
      <c r="P27" s="156"/>
      <c r="Q27" s="13" t="s">
        <v>44</v>
      </c>
      <c r="R27" s="13" t="s">
        <v>46</v>
      </c>
      <c r="S27" s="20"/>
      <c r="T27" s="159"/>
      <c r="U27" s="13"/>
      <c r="V27" s="127"/>
    </row>
    <row r="28">
      <c r="A28" s="13">
        <v>27.0</v>
      </c>
      <c r="B28" s="15">
        <v>46145.0</v>
      </c>
      <c r="C28" s="13" t="s">
        <v>21</v>
      </c>
      <c r="D28" s="13" t="s">
        <v>22</v>
      </c>
      <c r="E28" s="13" t="s">
        <v>2824</v>
      </c>
      <c r="F28" s="12">
        <v>5.60580606E8</v>
      </c>
      <c r="G28" s="20" t="s">
        <v>28</v>
      </c>
      <c r="H28" s="13" t="s">
        <v>27</v>
      </c>
      <c r="I28" s="20" t="s">
        <v>2826</v>
      </c>
      <c r="J28" s="20"/>
      <c r="K28" s="13" t="s">
        <v>62</v>
      </c>
      <c r="L28" s="159"/>
      <c r="M28" s="27" t="s">
        <v>38</v>
      </c>
      <c r="N28" s="13" t="s">
        <v>56</v>
      </c>
      <c r="O28" s="13" t="s">
        <v>42</v>
      </c>
      <c r="P28" s="156"/>
      <c r="Q28" s="13" t="s">
        <v>44</v>
      </c>
      <c r="R28" s="13" t="s">
        <v>46</v>
      </c>
      <c r="S28" s="20"/>
      <c r="T28" s="159"/>
      <c r="U28" s="13"/>
      <c r="V28" s="127"/>
    </row>
    <row r="29" ht="30.0" customHeight="1">
      <c r="A29" s="13">
        <v>28.0</v>
      </c>
      <c r="B29" s="15">
        <v>46145.0</v>
      </c>
      <c r="C29" s="13" t="s">
        <v>21</v>
      </c>
      <c r="D29" s="13" t="s">
        <v>24</v>
      </c>
      <c r="E29" s="20" t="s">
        <v>2832</v>
      </c>
      <c r="F29" s="12">
        <v>5.50409133E8</v>
      </c>
      <c r="G29" s="20" t="s">
        <v>2836</v>
      </c>
      <c r="H29" s="13" t="s">
        <v>27</v>
      </c>
      <c r="I29" s="20" t="s">
        <v>2837</v>
      </c>
      <c r="J29" s="20"/>
      <c r="K29" s="13" t="s">
        <v>62</v>
      </c>
      <c r="L29" s="155"/>
      <c r="M29" s="27" t="s">
        <v>38</v>
      </c>
      <c r="N29" s="13" t="s">
        <v>40</v>
      </c>
      <c r="O29" s="13" t="s">
        <v>42</v>
      </c>
      <c r="P29" s="156"/>
      <c r="Q29" s="13" t="s">
        <v>49</v>
      </c>
      <c r="R29" s="13" t="s">
        <v>46</v>
      </c>
      <c r="S29" s="13"/>
      <c r="T29" s="155"/>
      <c r="U29" s="13"/>
      <c r="V29" s="127"/>
    </row>
    <row r="30">
      <c r="A30" s="13">
        <v>29.0</v>
      </c>
      <c r="B30" s="15">
        <v>46145.0</v>
      </c>
      <c r="C30" s="13" t="s">
        <v>21</v>
      </c>
      <c r="D30" s="13" t="s">
        <v>24</v>
      </c>
      <c r="E30" s="20" t="s">
        <v>2845</v>
      </c>
      <c r="F30" s="12">
        <v>5.03534446E8</v>
      </c>
      <c r="G30" s="20" t="s">
        <v>71</v>
      </c>
      <c r="H30" s="13" t="s">
        <v>27</v>
      </c>
      <c r="I30" s="58" t="s">
        <v>2846</v>
      </c>
      <c r="J30" s="20"/>
      <c r="K30" s="13" t="s">
        <v>36</v>
      </c>
      <c r="L30" s="159"/>
      <c r="M30" s="27" t="s">
        <v>38</v>
      </c>
      <c r="N30" s="13" t="s">
        <v>40</v>
      </c>
      <c r="O30" s="13" t="s">
        <v>42</v>
      </c>
      <c r="P30" s="156"/>
      <c r="Q30" s="13" t="s">
        <v>49</v>
      </c>
      <c r="R30" s="13" t="s">
        <v>46</v>
      </c>
      <c r="S30" s="13"/>
      <c r="T30" s="159"/>
      <c r="U30" s="13"/>
      <c r="V30" s="127"/>
    </row>
    <row r="31">
      <c r="A31" s="13">
        <v>30.0</v>
      </c>
      <c r="B31" s="15">
        <v>46145.0</v>
      </c>
      <c r="C31" s="13" t="s">
        <v>21</v>
      </c>
      <c r="D31" s="13" t="s">
        <v>24</v>
      </c>
      <c r="E31" s="20" t="s">
        <v>2851</v>
      </c>
      <c r="F31" s="12">
        <v>5.82402242E8</v>
      </c>
      <c r="G31" s="20" t="s">
        <v>211</v>
      </c>
      <c r="H31" s="13" t="s">
        <v>27</v>
      </c>
      <c r="I31" s="20" t="s">
        <v>2852</v>
      </c>
      <c r="J31" s="20"/>
      <c r="K31" s="13" t="s">
        <v>36</v>
      </c>
      <c r="L31" s="155"/>
      <c r="M31" s="27" t="s">
        <v>38</v>
      </c>
      <c r="N31" s="13" t="s">
        <v>40</v>
      </c>
      <c r="O31" s="13" t="s">
        <v>518</v>
      </c>
      <c r="P31" s="156"/>
      <c r="Q31" s="13" t="s">
        <v>49</v>
      </c>
      <c r="R31" s="13" t="s">
        <v>46</v>
      </c>
      <c r="S31" s="13"/>
      <c r="T31" s="155"/>
      <c r="U31" s="13"/>
      <c r="V31" s="127"/>
    </row>
    <row r="32">
      <c r="A32" s="13">
        <v>31.0</v>
      </c>
      <c r="B32" s="15">
        <v>46145.0</v>
      </c>
      <c r="C32" s="13" t="s">
        <v>21</v>
      </c>
      <c r="D32" s="13" t="s">
        <v>24</v>
      </c>
      <c r="E32" s="20" t="s">
        <v>463</v>
      </c>
      <c r="F32" s="12">
        <v>5.37016413E8</v>
      </c>
      <c r="G32" s="20" t="s">
        <v>29</v>
      </c>
      <c r="H32" s="13" t="s">
        <v>27</v>
      </c>
      <c r="I32" s="58" t="s">
        <v>2856</v>
      </c>
      <c r="J32" s="20"/>
      <c r="K32" s="13" t="s">
        <v>36</v>
      </c>
      <c r="L32" s="159"/>
      <c r="M32" s="27" t="s">
        <v>421</v>
      </c>
      <c r="N32" s="13" t="s">
        <v>40</v>
      </c>
      <c r="O32" s="13" t="s">
        <v>42</v>
      </c>
      <c r="P32" s="156"/>
      <c r="Q32" s="13" t="s">
        <v>49</v>
      </c>
      <c r="R32" s="13" t="s">
        <v>46</v>
      </c>
      <c r="S32" s="13"/>
      <c r="T32" s="159"/>
      <c r="U32" s="13"/>
      <c r="V32" s="127"/>
    </row>
    <row r="33">
      <c r="A33" s="13">
        <v>32.0</v>
      </c>
      <c r="B33" s="15">
        <v>46145.0</v>
      </c>
      <c r="C33" s="13" t="s">
        <v>47</v>
      </c>
      <c r="D33" s="13" t="s">
        <v>60</v>
      </c>
      <c r="E33" s="20" t="s">
        <v>2864</v>
      </c>
      <c r="F33" s="12">
        <v>5.65993367E8</v>
      </c>
      <c r="G33" s="20" t="s">
        <v>2865</v>
      </c>
      <c r="H33" s="13" t="s">
        <v>2716</v>
      </c>
      <c r="I33" s="20" t="s">
        <v>2867</v>
      </c>
      <c r="J33" s="20" t="s">
        <v>2868</v>
      </c>
      <c r="K33" s="13" t="s">
        <v>62</v>
      </c>
      <c r="L33" s="159">
        <v>0.6277777777777778</v>
      </c>
      <c r="M33" s="27" t="s">
        <v>55</v>
      </c>
      <c r="N33" s="13" t="s">
        <v>40</v>
      </c>
      <c r="O33" s="13" t="s">
        <v>42</v>
      </c>
      <c r="P33" s="156"/>
      <c r="Q33" s="13" t="s">
        <v>44</v>
      </c>
      <c r="R33" s="13" t="s">
        <v>46</v>
      </c>
      <c r="S33" s="20" t="s">
        <v>2632</v>
      </c>
      <c r="T33" s="159">
        <v>0.6277777777777778</v>
      </c>
      <c r="U33" s="13" t="s">
        <v>44</v>
      </c>
      <c r="V33" s="156">
        <v>5.0</v>
      </c>
    </row>
    <row r="34">
      <c r="A34" s="13">
        <v>33.0</v>
      </c>
      <c r="B34" s="15">
        <v>46145.0</v>
      </c>
      <c r="C34" s="13" t="s">
        <v>58</v>
      </c>
      <c r="D34" s="13" t="s">
        <v>60</v>
      </c>
      <c r="E34" s="13" t="s">
        <v>27</v>
      </c>
      <c r="F34" s="12">
        <v>5.83655021E8</v>
      </c>
      <c r="G34" s="20"/>
      <c r="H34" s="13" t="s">
        <v>27</v>
      </c>
      <c r="I34" s="20" t="s">
        <v>2872</v>
      </c>
      <c r="J34" s="20"/>
      <c r="K34" s="13" t="s">
        <v>65</v>
      </c>
      <c r="L34" s="159">
        <v>0.6277777777777778</v>
      </c>
      <c r="M34" s="27" t="s">
        <v>38</v>
      </c>
      <c r="N34" s="13" t="s">
        <v>56</v>
      </c>
      <c r="O34" s="13" t="s">
        <v>42</v>
      </c>
      <c r="P34" s="156"/>
      <c r="Q34" s="13" t="s">
        <v>44</v>
      </c>
      <c r="R34" s="13"/>
      <c r="S34" s="20" t="s">
        <v>2632</v>
      </c>
      <c r="T34" s="159">
        <v>0.6277777777777778</v>
      </c>
      <c r="U34" s="13" t="s">
        <v>44</v>
      </c>
      <c r="V34" s="156">
        <v>5.0</v>
      </c>
    </row>
    <row r="35">
      <c r="A35" s="13">
        <v>34.0</v>
      </c>
      <c r="B35" s="15">
        <v>46145.0</v>
      </c>
      <c r="C35" s="13" t="s">
        <v>47</v>
      </c>
      <c r="D35" s="13" t="s">
        <v>48</v>
      </c>
      <c r="E35" s="20" t="s">
        <v>2874</v>
      </c>
      <c r="F35" s="12">
        <v>5.02793793E8</v>
      </c>
      <c r="G35" s="166" t="s">
        <v>41</v>
      </c>
      <c r="H35" s="13" t="s">
        <v>97</v>
      </c>
      <c r="I35" s="20" t="s">
        <v>2878</v>
      </c>
      <c r="J35" s="20" t="s">
        <v>2879</v>
      </c>
      <c r="K35" s="13" t="s">
        <v>36</v>
      </c>
      <c r="L35" s="155">
        <v>0.5208333333333334</v>
      </c>
      <c r="M35" s="27" t="s">
        <v>55</v>
      </c>
      <c r="N35" s="13" t="s">
        <v>56</v>
      </c>
      <c r="O35" s="13" t="s">
        <v>42</v>
      </c>
      <c r="P35" s="156"/>
      <c r="Q35" s="13" t="s">
        <v>44</v>
      </c>
      <c r="R35" s="13" t="s">
        <v>46</v>
      </c>
      <c r="S35" s="20" t="s">
        <v>2632</v>
      </c>
      <c r="T35" s="155">
        <v>0.5625</v>
      </c>
      <c r="U35" s="13" t="s">
        <v>44</v>
      </c>
      <c r="V35" s="156">
        <v>5.0</v>
      </c>
    </row>
    <row r="36">
      <c r="A36" s="13">
        <v>35.0</v>
      </c>
      <c r="B36" s="15">
        <v>46145.0</v>
      </c>
      <c r="C36" s="13" t="s">
        <v>58</v>
      </c>
      <c r="D36" s="13" t="s">
        <v>60</v>
      </c>
      <c r="E36" s="13" t="s">
        <v>27</v>
      </c>
      <c r="F36" s="12">
        <v>5.55079263E8</v>
      </c>
      <c r="G36" s="13" t="s">
        <v>27</v>
      </c>
      <c r="H36" s="13" t="s">
        <v>27</v>
      </c>
      <c r="I36" s="20" t="s">
        <v>2885</v>
      </c>
      <c r="J36" s="20"/>
      <c r="K36" s="13" t="s">
        <v>65</v>
      </c>
      <c r="L36" s="155">
        <v>0.5208333333333334</v>
      </c>
      <c r="M36" s="27" t="s">
        <v>101</v>
      </c>
      <c r="N36" s="13" t="s">
        <v>56</v>
      </c>
      <c r="O36" s="13" t="s">
        <v>42</v>
      </c>
      <c r="P36" s="156"/>
      <c r="Q36" s="13" t="s">
        <v>44</v>
      </c>
      <c r="R36" s="13"/>
      <c r="S36" s="20" t="s">
        <v>2632</v>
      </c>
      <c r="T36" s="155">
        <v>0.5625</v>
      </c>
      <c r="U36" s="13" t="s">
        <v>44</v>
      </c>
      <c r="V36" s="156">
        <v>5.0</v>
      </c>
    </row>
    <row r="37">
      <c r="A37" s="13">
        <v>36.0</v>
      </c>
      <c r="B37" s="15">
        <v>46145.0</v>
      </c>
      <c r="C37" s="13" t="s">
        <v>58</v>
      </c>
      <c r="D37" s="13" t="s">
        <v>60</v>
      </c>
      <c r="E37" s="13" t="s">
        <v>27</v>
      </c>
      <c r="F37" s="12">
        <v>5.40755171E8</v>
      </c>
      <c r="G37" s="13" t="s">
        <v>27</v>
      </c>
      <c r="H37" s="13" t="s">
        <v>27</v>
      </c>
      <c r="I37" s="20" t="s">
        <v>2892</v>
      </c>
      <c r="J37" s="20"/>
      <c r="K37" s="13" t="s">
        <v>65</v>
      </c>
      <c r="L37" s="155">
        <v>0.6277777777777778</v>
      </c>
      <c r="M37" s="27" t="s">
        <v>38</v>
      </c>
      <c r="N37" s="13" t="s">
        <v>56</v>
      </c>
      <c r="O37" s="13" t="s">
        <v>42</v>
      </c>
      <c r="P37" s="156"/>
      <c r="Q37" s="13" t="s">
        <v>44</v>
      </c>
      <c r="R37" s="13"/>
      <c r="S37" s="20" t="s">
        <v>2632</v>
      </c>
      <c r="T37" s="155">
        <v>0.6277777777777778</v>
      </c>
      <c r="U37" s="13" t="s">
        <v>44</v>
      </c>
      <c r="V37" s="156">
        <v>5.0</v>
      </c>
    </row>
    <row r="38">
      <c r="A38" s="13">
        <v>37.0</v>
      </c>
      <c r="B38" s="15">
        <v>46145.0</v>
      </c>
      <c r="C38" s="13" t="s">
        <v>47</v>
      </c>
      <c r="D38" s="13" t="s">
        <v>48</v>
      </c>
      <c r="E38" s="20" t="s">
        <v>2897</v>
      </c>
      <c r="F38" s="12">
        <v>5.96263954E8</v>
      </c>
      <c r="G38" s="162" t="s">
        <v>41</v>
      </c>
      <c r="H38" s="13" t="s">
        <v>329</v>
      </c>
      <c r="I38" s="20" t="s">
        <v>2898</v>
      </c>
      <c r="J38" s="20" t="s">
        <v>2899</v>
      </c>
      <c r="K38" s="13" t="s">
        <v>36</v>
      </c>
      <c r="L38" s="155">
        <v>0.5208333333333334</v>
      </c>
      <c r="M38" s="27" t="s">
        <v>421</v>
      </c>
      <c r="N38" s="13" t="s">
        <v>56</v>
      </c>
      <c r="O38" s="13" t="s">
        <v>42</v>
      </c>
      <c r="P38" s="156"/>
      <c r="Q38" s="13" t="s">
        <v>44</v>
      </c>
      <c r="R38" s="13" t="s">
        <v>46</v>
      </c>
      <c r="S38" s="20" t="s">
        <v>2632</v>
      </c>
      <c r="T38" s="155">
        <v>0.5625</v>
      </c>
      <c r="U38" s="13" t="s">
        <v>44</v>
      </c>
      <c r="V38" s="156">
        <v>5.0</v>
      </c>
    </row>
    <row r="39">
      <c r="A39" s="13">
        <v>38.0</v>
      </c>
      <c r="B39" s="15">
        <v>46145.0</v>
      </c>
      <c r="C39" s="13" t="s">
        <v>47</v>
      </c>
      <c r="D39" s="13" t="s">
        <v>367</v>
      </c>
      <c r="E39" s="20" t="s">
        <v>2904</v>
      </c>
      <c r="F39" s="12">
        <v>5.55833358E8</v>
      </c>
      <c r="G39" s="166" t="s">
        <v>41</v>
      </c>
      <c r="H39" s="13" t="s">
        <v>222</v>
      </c>
      <c r="I39" s="20" t="s">
        <v>2906</v>
      </c>
      <c r="J39" s="20" t="s">
        <v>2908</v>
      </c>
      <c r="K39" s="13" t="s">
        <v>36</v>
      </c>
      <c r="L39" s="155">
        <v>0.5208333333333334</v>
      </c>
      <c r="M39" s="75" t="s">
        <v>98</v>
      </c>
      <c r="N39" s="13" t="s">
        <v>56</v>
      </c>
      <c r="O39" s="13" t="s">
        <v>42</v>
      </c>
      <c r="P39" s="156"/>
      <c r="Q39" s="13" t="s">
        <v>44</v>
      </c>
      <c r="R39" s="13" t="s">
        <v>46</v>
      </c>
      <c r="S39" s="20" t="s">
        <v>2632</v>
      </c>
      <c r="T39" s="155">
        <v>0.5625</v>
      </c>
      <c r="U39" s="13" t="s">
        <v>44</v>
      </c>
      <c r="V39" s="156">
        <v>5.0</v>
      </c>
    </row>
    <row r="40">
      <c r="A40" s="13">
        <v>39.0</v>
      </c>
      <c r="B40" s="15">
        <v>46145.0</v>
      </c>
      <c r="C40" s="13" t="s">
        <v>47</v>
      </c>
      <c r="D40" s="13" t="s">
        <v>48</v>
      </c>
      <c r="E40" s="20" t="s">
        <v>2911</v>
      </c>
      <c r="F40" s="160">
        <v>5.99942227E8</v>
      </c>
      <c r="G40" s="20" t="s">
        <v>28</v>
      </c>
      <c r="H40" s="55" t="s">
        <v>548</v>
      </c>
      <c r="I40" s="20" t="s">
        <v>2912</v>
      </c>
      <c r="J40" s="55"/>
      <c r="K40" s="13" t="s">
        <v>36</v>
      </c>
      <c r="L40" s="155">
        <v>0.5208333333333334</v>
      </c>
      <c r="M40" s="27" t="s">
        <v>101</v>
      </c>
      <c r="N40" s="13" t="s">
        <v>40</v>
      </c>
      <c r="O40" s="13" t="s">
        <v>518</v>
      </c>
      <c r="P40" s="156"/>
      <c r="Q40" s="13" t="s">
        <v>44</v>
      </c>
      <c r="R40" s="13" t="s">
        <v>46</v>
      </c>
      <c r="S40" s="20" t="s">
        <v>2632</v>
      </c>
      <c r="T40" s="155">
        <v>0.5625</v>
      </c>
      <c r="U40" s="13" t="s">
        <v>44</v>
      </c>
      <c r="V40" s="156">
        <v>5.0</v>
      </c>
    </row>
    <row r="41">
      <c r="A41" s="13">
        <v>40.0</v>
      </c>
      <c r="B41" s="15">
        <v>46145.0</v>
      </c>
      <c r="C41" s="13" t="s">
        <v>21</v>
      </c>
      <c r="D41" s="13" t="s">
        <v>48</v>
      </c>
      <c r="E41" s="20" t="s">
        <v>184</v>
      </c>
      <c r="F41" s="12">
        <v>5.8288818E8</v>
      </c>
      <c r="G41" s="20" t="s">
        <v>447</v>
      </c>
      <c r="H41" s="13" t="s">
        <v>27</v>
      </c>
      <c r="I41" s="20" t="s">
        <v>1154</v>
      </c>
      <c r="J41" s="20" t="s">
        <v>1806</v>
      </c>
      <c r="K41" s="13" t="s">
        <v>36</v>
      </c>
      <c r="L41" s="159">
        <v>0.3958333333333333</v>
      </c>
      <c r="M41" s="27" t="s">
        <v>38</v>
      </c>
      <c r="N41" s="13" t="s">
        <v>40</v>
      </c>
      <c r="O41" s="13" t="s">
        <v>42</v>
      </c>
      <c r="P41" s="156"/>
      <c r="Q41" s="13" t="s">
        <v>44</v>
      </c>
      <c r="R41" s="13"/>
      <c r="S41" s="20" t="s">
        <v>2632</v>
      </c>
      <c r="T41" s="159">
        <v>0.4375</v>
      </c>
      <c r="U41" s="13" t="s">
        <v>44</v>
      </c>
      <c r="V41" s="156">
        <v>5.0</v>
      </c>
    </row>
    <row r="42">
      <c r="A42" s="13">
        <v>41.0</v>
      </c>
      <c r="B42" s="15">
        <v>46145.0</v>
      </c>
      <c r="C42" s="54" t="s">
        <v>47</v>
      </c>
      <c r="D42" s="54" t="s">
        <v>251</v>
      </c>
      <c r="E42" s="58" t="s">
        <v>2921</v>
      </c>
      <c r="F42" s="12" t="s">
        <v>27</v>
      </c>
      <c r="G42" s="58" t="s">
        <v>79</v>
      </c>
      <c r="H42" s="55" t="s">
        <v>142</v>
      </c>
      <c r="I42" s="58" t="s">
        <v>2922</v>
      </c>
      <c r="J42" s="58"/>
      <c r="K42" s="55" t="s">
        <v>78</v>
      </c>
      <c r="L42" s="155">
        <v>0.6784722222222223</v>
      </c>
      <c r="M42" s="27" t="s">
        <v>55</v>
      </c>
      <c r="N42" s="13" t="s">
        <v>56</v>
      </c>
      <c r="O42" s="54" t="s">
        <v>42</v>
      </c>
      <c r="P42" s="156"/>
      <c r="Q42" s="54" t="s">
        <v>49</v>
      </c>
      <c r="R42" s="54" t="s">
        <v>46</v>
      </c>
      <c r="S42" s="13"/>
      <c r="T42" s="155">
        <v>0.6784722222222223</v>
      </c>
      <c r="U42" s="13"/>
      <c r="V42" s="54"/>
    </row>
    <row r="43">
      <c r="A43" s="13">
        <v>42.0</v>
      </c>
      <c r="B43" s="15">
        <v>46145.0</v>
      </c>
      <c r="C43" s="13" t="s">
        <v>47</v>
      </c>
      <c r="D43" s="13" t="s">
        <v>251</v>
      </c>
      <c r="E43" s="13" t="s">
        <v>2927</v>
      </c>
      <c r="F43" s="12" t="s">
        <v>27</v>
      </c>
      <c r="G43" s="20" t="s">
        <v>333</v>
      </c>
      <c r="H43" s="13" t="s">
        <v>650</v>
      </c>
      <c r="I43" s="20" t="s">
        <v>2928</v>
      </c>
      <c r="J43" s="20"/>
      <c r="K43" s="13" t="s">
        <v>78</v>
      </c>
      <c r="L43" s="159">
        <v>0.6131944444444445</v>
      </c>
      <c r="M43" s="27" t="s">
        <v>55</v>
      </c>
      <c r="N43" s="13" t="s">
        <v>56</v>
      </c>
      <c r="O43" s="13" t="s">
        <v>42</v>
      </c>
      <c r="P43" s="156"/>
      <c r="Q43" s="13" t="s">
        <v>49</v>
      </c>
      <c r="R43" s="13" t="s">
        <v>46</v>
      </c>
      <c r="S43" s="13"/>
      <c r="T43" s="159">
        <v>0.6131944444444445</v>
      </c>
      <c r="U43" s="13"/>
      <c r="V43" s="127"/>
    </row>
    <row r="44">
      <c r="A44" s="13">
        <v>43.0</v>
      </c>
      <c r="B44" s="15">
        <v>46145.0</v>
      </c>
      <c r="C44" s="13" t="s">
        <v>21</v>
      </c>
      <c r="D44" s="13" t="s">
        <v>57</v>
      </c>
      <c r="E44" s="20" t="s">
        <v>2934</v>
      </c>
      <c r="F44" s="12" t="s">
        <v>27</v>
      </c>
      <c r="G44" s="20" t="s">
        <v>79</v>
      </c>
      <c r="H44" s="13" t="s">
        <v>27</v>
      </c>
      <c r="I44" s="20" t="s">
        <v>2936</v>
      </c>
      <c r="J44" s="20"/>
      <c r="K44" s="13" t="s">
        <v>321</v>
      </c>
      <c r="L44" s="155">
        <v>0.6680555555555555</v>
      </c>
      <c r="M44" s="27" t="s">
        <v>38</v>
      </c>
      <c r="N44" s="13" t="s">
        <v>40</v>
      </c>
      <c r="O44" s="13" t="s">
        <v>42</v>
      </c>
      <c r="P44" s="156"/>
      <c r="Q44" s="13" t="s">
        <v>49</v>
      </c>
      <c r="R44" s="13"/>
      <c r="S44" s="13"/>
      <c r="T44" s="155">
        <v>0.6680555555555555</v>
      </c>
      <c r="U44" s="13"/>
      <c r="V44" s="127"/>
    </row>
    <row r="45" ht="18.0" customHeight="1">
      <c r="A45" s="13">
        <v>44.0</v>
      </c>
      <c r="B45" s="15">
        <v>46145.0</v>
      </c>
      <c r="C45" s="13" t="s">
        <v>21</v>
      </c>
      <c r="D45" s="13" t="s">
        <v>22</v>
      </c>
      <c r="E45" s="20" t="s">
        <v>2941</v>
      </c>
      <c r="F45" s="12">
        <v>5.03965985E8</v>
      </c>
      <c r="G45" s="20" t="s">
        <v>28</v>
      </c>
      <c r="H45" s="13" t="s">
        <v>27</v>
      </c>
      <c r="I45" s="20" t="s">
        <v>2945</v>
      </c>
      <c r="J45" s="20"/>
      <c r="K45" s="13" t="s">
        <v>36</v>
      </c>
      <c r="L45" s="159"/>
      <c r="M45" s="27" t="s">
        <v>38</v>
      </c>
      <c r="N45" s="13" t="s">
        <v>56</v>
      </c>
      <c r="O45" s="13" t="s">
        <v>42</v>
      </c>
      <c r="P45" s="156"/>
      <c r="Q45" s="13" t="s">
        <v>44</v>
      </c>
      <c r="R45" s="13" t="s">
        <v>46</v>
      </c>
      <c r="S45" s="20"/>
      <c r="T45" s="159"/>
      <c r="U45" s="13"/>
      <c r="V45" s="127"/>
    </row>
    <row r="46">
      <c r="A46" s="13">
        <v>45.0</v>
      </c>
      <c r="B46" s="15">
        <v>46145.0</v>
      </c>
      <c r="C46" s="13" t="s">
        <v>58</v>
      </c>
      <c r="D46" s="13" t="s">
        <v>60</v>
      </c>
      <c r="E46" s="13" t="s">
        <v>27</v>
      </c>
      <c r="F46" s="12">
        <v>5.44231005E8</v>
      </c>
      <c r="G46" s="13" t="s">
        <v>27</v>
      </c>
      <c r="H46" s="13" t="s">
        <v>27</v>
      </c>
      <c r="I46" s="20" t="s">
        <v>618</v>
      </c>
      <c r="J46" s="20"/>
      <c r="K46" s="13" t="s">
        <v>36</v>
      </c>
      <c r="L46" s="159">
        <v>0.6277777777777778</v>
      </c>
      <c r="M46" s="27" t="s">
        <v>421</v>
      </c>
      <c r="N46" s="13" t="s">
        <v>56</v>
      </c>
      <c r="O46" s="13" t="s">
        <v>42</v>
      </c>
      <c r="P46" s="156"/>
      <c r="Q46" s="13" t="s">
        <v>44</v>
      </c>
      <c r="R46" s="13"/>
      <c r="S46" s="20" t="s">
        <v>2632</v>
      </c>
      <c r="T46" s="159">
        <v>0.6277777777777778</v>
      </c>
      <c r="U46" s="13" t="s">
        <v>44</v>
      </c>
      <c r="V46" s="156">
        <v>5.0</v>
      </c>
    </row>
    <row r="47">
      <c r="A47" s="13">
        <v>46.0</v>
      </c>
      <c r="B47" s="15">
        <v>46145.0</v>
      </c>
      <c r="C47" s="13" t="s">
        <v>47</v>
      </c>
      <c r="D47" s="13" t="s">
        <v>48</v>
      </c>
      <c r="E47" s="13" t="s">
        <v>2957</v>
      </c>
      <c r="F47" s="12" t="s">
        <v>27</v>
      </c>
      <c r="G47" s="166" t="s">
        <v>41</v>
      </c>
      <c r="H47" s="13" t="s">
        <v>294</v>
      </c>
      <c r="I47" s="20" t="s">
        <v>2958</v>
      </c>
      <c r="J47" s="20" t="s">
        <v>2959</v>
      </c>
      <c r="K47" s="13" t="s">
        <v>78</v>
      </c>
      <c r="L47" s="155"/>
      <c r="M47" s="27" t="s">
        <v>55</v>
      </c>
      <c r="N47" s="13" t="s">
        <v>56</v>
      </c>
      <c r="O47" s="13" t="s">
        <v>42</v>
      </c>
      <c r="P47" s="156"/>
      <c r="Q47" s="13" t="s">
        <v>49</v>
      </c>
      <c r="R47" s="13" t="s">
        <v>46</v>
      </c>
      <c r="S47" s="13"/>
      <c r="T47" s="155"/>
      <c r="U47" s="13"/>
      <c r="V47" s="127"/>
    </row>
    <row r="48">
      <c r="A48" s="13">
        <v>47.0</v>
      </c>
      <c r="B48" s="15">
        <v>46145.0</v>
      </c>
      <c r="C48" s="13" t="s">
        <v>47</v>
      </c>
      <c r="D48" s="13" t="s">
        <v>60</v>
      </c>
      <c r="E48" s="13" t="s">
        <v>2964</v>
      </c>
      <c r="F48" s="12" t="s">
        <v>27</v>
      </c>
      <c r="G48" s="20" t="s">
        <v>41</v>
      </c>
      <c r="H48" s="13" t="s">
        <v>146</v>
      </c>
      <c r="I48" s="20" t="s">
        <v>2965</v>
      </c>
      <c r="J48" s="20"/>
      <c r="K48" s="13" t="s">
        <v>78</v>
      </c>
      <c r="L48" s="155">
        <v>0.5208333333333334</v>
      </c>
      <c r="M48" s="27" t="s">
        <v>55</v>
      </c>
      <c r="N48" s="13" t="s">
        <v>40</v>
      </c>
      <c r="O48" s="13" t="s">
        <v>42</v>
      </c>
      <c r="P48" s="156"/>
      <c r="Q48" s="13" t="s">
        <v>49</v>
      </c>
      <c r="R48" s="13"/>
      <c r="S48" s="13"/>
      <c r="T48" s="155"/>
      <c r="U48" s="13"/>
      <c r="V48" s="127"/>
    </row>
    <row r="49">
      <c r="A49" s="13">
        <v>48.0</v>
      </c>
      <c r="B49" s="15">
        <v>46145.0</v>
      </c>
      <c r="C49" s="13" t="s">
        <v>47</v>
      </c>
      <c r="D49" s="13" t="s">
        <v>48</v>
      </c>
      <c r="E49" s="13" t="s">
        <v>2969</v>
      </c>
      <c r="F49" s="12" t="s">
        <v>27</v>
      </c>
      <c r="G49" s="166" t="s">
        <v>41</v>
      </c>
      <c r="H49" s="13" t="s">
        <v>222</v>
      </c>
      <c r="I49" s="20" t="s">
        <v>2971</v>
      </c>
      <c r="J49" s="20" t="s">
        <v>2973</v>
      </c>
      <c r="K49" s="13" t="s">
        <v>78</v>
      </c>
      <c r="L49" s="155"/>
      <c r="M49" s="75" t="s">
        <v>555</v>
      </c>
      <c r="N49" s="13" t="s">
        <v>56</v>
      </c>
      <c r="O49" s="13" t="s">
        <v>42</v>
      </c>
      <c r="P49" s="156"/>
      <c r="Q49" s="13" t="s">
        <v>49</v>
      </c>
      <c r="R49" s="13" t="s">
        <v>46</v>
      </c>
      <c r="S49" s="13"/>
      <c r="T49" s="155"/>
      <c r="U49" s="13"/>
      <c r="V49" s="127"/>
    </row>
    <row r="50">
      <c r="A50" s="13">
        <v>49.0</v>
      </c>
      <c r="B50" s="15">
        <v>46145.0</v>
      </c>
      <c r="C50" s="13" t="s">
        <v>47</v>
      </c>
      <c r="D50" s="13" t="s">
        <v>48</v>
      </c>
      <c r="E50" s="20" t="s">
        <v>2979</v>
      </c>
      <c r="F50" s="12" t="s">
        <v>27</v>
      </c>
      <c r="G50" s="162" t="s">
        <v>41</v>
      </c>
      <c r="H50" s="13" t="s">
        <v>222</v>
      </c>
      <c r="I50" s="20" t="s">
        <v>2982</v>
      </c>
      <c r="J50" s="20" t="s">
        <v>2983</v>
      </c>
      <c r="K50" s="13" t="s">
        <v>78</v>
      </c>
      <c r="L50" s="155"/>
      <c r="M50" s="75" t="s">
        <v>101</v>
      </c>
      <c r="N50" s="13" t="s">
        <v>56</v>
      </c>
      <c r="O50" s="13" t="s">
        <v>42</v>
      </c>
      <c r="P50" s="156"/>
      <c r="Q50" s="13" t="s">
        <v>49</v>
      </c>
      <c r="R50" s="13" t="s">
        <v>46</v>
      </c>
      <c r="S50" s="13"/>
      <c r="T50" s="155"/>
      <c r="U50" s="13"/>
      <c r="V50" s="127"/>
    </row>
    <row r="51">
      <c r="A51" s="13">
        <v>50.0</v>
      </c>
      <c r="B51" s="15">
        <v>46145.0</v>
      </c>
      <c r="C51" s="13" t="s">
        <v>47</v>
      </c>
      <c r="D51" s="13" t="s">
        <v>48</v>
      </c>
      <c r="E51" s="20" t="s">
        <v>2992</v>
      </c>
      <c r="F51" s="12" t="s">
        <v>27</v>
      </c>
      <c r="G51" s="166" t="s">
        <v>41</v>
      </c>
      <c r="H51" s="13" t="s">
        <v>914</v>
      </c>
      <c r="I51" s="20" t="s">
        <v>2994</v>
      </c>
      <c r="J51" s="20" t="s">
        <v>2995</v>
      </c>
      <c r="K51" s="13" t="s">
        <v>78</v>
      </c>
      <c r="L51" s="155"/>
      <c r="M51" s="27" t="s">
        <v>55</v>
      </c>
      <c r="N51" s="13" t="s">
        <v>56</v>
      </c>
      <c r="O51" s="13" t="s">
        <v>42</v>
      </c>
      <c r="P51" s="156"/>
      <c r="Q51" s="13" t="s">
        <v>49</v>
      </c>
      <c r="R51" s="13" t="s">
        <v>46</v>
      </c>
      <c r="S51" s="13"/>
      <c r="T51" s="155"/>
      <c r="U51" s="13"/>
      <c r="V51" s="127"/>
    </row>
    <row r="52">
      <c r="A52" s="13">
        <v>51.0</v>
      </c>
      <c r="B52" s="15">
        <v>46145.0</v>
      </c>
      <c r="C52" s="13" t="s">
        <v>47</v>
      </c>
      <c r="D52" s="13" t="s">
        <v>48</v>
      </c>
      <c r="E52" s="20" t="s">
        <v>3001</v>
      </c>
      <c r="F52" s="12" t="s">
        <v>27</v>
      </c>
      <c r="G52" s="162" t="s">
        <v>41</v>
      </c>
      <c r="H52" s="13" t="s">
        <v>222</v>
      </c>
      <c r="I52" s="20" t="s">
        <v>3005</v>
      </c>
      <c r="J52" s="20" t="s">
        <v>3006</v>
      </c>
      <c r="K52" s="13" t="s">
        <v>78</v>
      </c>
      <c r="L52" s="155"/>
      <c r="M52" s="75" t="s">
        <v>101</v>
      </c>
      <c r="N52" s="13" t="s">
        <v>56</v>
      </c>
      <c r="O52" s="13" t="s">
        <v>42</v>
      </c>
      <c r="P52" s="156"/>
      <c r="Q52" s="13" t="s">
        <v>49</v>
      </c>
      <c r="R52" s="13" t="s">
        <v>46</v>
      </c>
      <c r="S52" s="13"/>
      <c r="T52" s="155"/>
      <c r="U52" s="13"/>
      <c r="V52" s="127"/>
    </row>
    <row r="53">
      <c r="A53" s="13">
        <v>52.0</v>
      </c>
      <c r="B53" s="15">
        <v>46145.0</v>
      </c>
      <c r="C53" s="13" t="s">
        <v>47</v>
      </c>
      <c r="D53" s="13" t="s">
        <v>48</v>
      </c>
      <c r="E53" s="20" t="s">
        <v>3011</v>
      </c>
      <c r="F53" s="12" t="s">
        <v>27</v>
      </c>
      <c r="G53" s="166" t="s">
        <v>41</v>
      </c>
      <c r="H53" s="13" t="s">
        <v>783</v>
      </c>
      <c r="I53" s="20" t="s">
        <v>3012</v>
      </c>
      <c r="J53" s="20" t="s">
        <v>3014</v>
      </c>
      <c r="K53" s="13" t="s">
        <v>78</v>
      </c>
      <c r="L53" s="155"/>
      <c r="M53" s="27" t="s">
        <v>55</v>
      </c>
      <c r="N53" s="13" t="s">
        <v>56</v>
      </c>
      <c r="O53" s="13" t="s">
        <v>42</v>
      </c>
      <c r="P53" s="156"/>
      <c r="Q53" s="13" t="s">
        <v>49</v>
      </c>
      <c r="R53" s="13" t="s">
        <v>46</v>
      </c>
      <c r="S53" s="13"/>
      <c r="T53" s="155"/>
      <c r="U53" s="13"/>
      <c r="V53" s="127"/>
    </row>
    <row r="54">
      <c r="A54" s="13">
        <v>53.0</v>
      </c>
      <c r="B54" s="15">
        <v>46145.0</v>
      </c>
      <c r="C54" s="13" t="s">
        <v>47</v>
      </c>
      <c r="D54" s="13" t="s">
        <v>60</v>
      </c>
      <c r="E54" s="20" t="s">
        <v>3018</v>
      </c>
      <c r="F54" s="12" t="s">
        <v>27</v>
      </c>
      <c r="G54" s="20" t="s">
        <v>41</v>
      </c>
      <c r="H54" s="13" t="s">
        <v>513</v>
      </c>
      <c r="I54" s="20" t="s">
        <v>3021</v>
      </c>
      <c r="J54" s="20"/>
      <c r="K54" s="13" t="s">
        <v>78</v>
      </c>
      <c r="L54" s="159">
        <v>0.6680555555555555</v>
      </c>
      <c r="M54" s="27" t="s">
        <v>101</v>
      </c>
      <c r="N54" s="13" t="s">
        <v>40</v>
      </c>
      <c r="O54" s="13" t="s">
        <v>42</v>
      </c>
      <c r="P54" s="156"/>
      <c r="Q54" s="13" t="s">
        <v>49</v>
      </c>
      <c r="R54" s="13"/>
      <c r="S54" s="13"/>
      <c r="T54" s="155"/>
      <c r="U54" s="13"/>
      <c r="V54" s="127"/>
    </row>
    <row r="55">
      <c r="A55" s="13">
        <v>54.0</v>
      </c>
      <c r="B55" s="15">
        <v>46145.0</v>
      </c>
      <c r="C55" s="13" t="s">
        <v>47</v>
      </c>
      <c r="D55" s="13" t="s">
        <v>92</v>
      </c>
      <c r="E55" s="20" t="s">
        <v>118</v>
      </c>
      <c r="F55" s="12">
        <v>5.447959E8</v>
      </c>
      <c r="G55" s="20" t="s">
        <v>71</v>
      </c>
      <c r="H55" s="13" t="s">
        <v>1801</v>
      </c>
      <c r="I55" s="20" t="s">
        <v>3029</v>
      </c>
      <c r="J55" s="20"/>
      <c r="K55" s="13" t="s">
        <v>148</v>
      </c>
      <c r="L55" s="159">
        <v>0.6277777777777778</v>
      </c>
      <c r="M55" s="27" t="s">
        <v>421</v>
      </c>
      <c r="N55" s="13" t="s">
        <v>40</v>
      </c>
      <c r="O55" s="13" t="s">
        <v>42</v>
      </c>
      <c r="P55" s="156"/>
      <c r="Q55" s="13" t="s">
        <v>49</v>
      </c>
      <c r="R55" s="13" t="s">
        <v>46</v>
      </c>
      <c r="S55" s="20" t="s">
        <v>2632</v>
      </c>
      <c r="T55" s="155">
        <v>0.5625</v>
      </c>
      <c r="U55" s="13" t="s">
        <v>44</v>
      </c>
      <c r="V55" s="156">
        <v>5.0</v>
      </c>
    </row>
    <row r="56">
      <c r="A56" s="13">
        <v>55.0</v>
      </c>
      <c r="B56" s="15">
        <v>46145.0</v>
      </c>
      <c r="C56" s="13" t="s">
        <v>47</v>
      </c>
      <c r="D56" s="13" t="s">
        <v>138</v>
      </c>
      <c r="E56" s="13" t="s">
        <v>27</v>
      </c>
      <c r="F56" s="12">
        <v>5.3492592E7</v>
      </c>
      <c r="G56" s="20" t="s">
        <v>41</v>
      </c>
      <c r="H56" s="13" t="s">
        <v>329</v>
      </c>
      <c r="I56" s="20" t="s">
        <v>3036</v>
      </c>
      <c r="J56" s="20" t="s">
        <v>3038</v>
      </c>
      <c r="K56" s="13" t="s">
        <v>148</v>
      </c>
      <c r="L56" s="155"/>
      <c r="M56" s="27" t="s">
        <v>653</v>
      </c>
      <c r="N56" s="13" t="s">
        <v>56</v>
      </c>
      <c r="O56" s="13" t="s">
        <v>42</v>
      </c>
      <c r="P56" s="156"/>
      <c r="Q56" s="13" t="s">
        <v>49</v>
      </c>
      <c r="R56" s="13" t="s">
        <v>46</v>
      </c>
      <c r="S56" s="13"/>
      <c r="T56" s="155"/>
      <c r="U56" s="13"/>
      <c r="V56" s="127"/>
    </row>
    <row r="57">
      <c r="A57" s="13">
        <v>56.0</v>
      </c>
      <c r="B57" s="15">
        <v>46145.0</v>
      </c>
      <c r="C57" s="13" t="s">
        <v>47</v>
      </c>
      <c r="D57" s="13" t="s">
        <v>138</v>
      </c>
      <c r="E57" s="20" t="s">
        <v>3039</v>
      </c>
      <c r="F57" s="12">
        <v>5.6457255E8</v>
      </c>
      <c r="G57" s="20" t="s">
        <v>41</v>
      </c>
      <c r="H57" s="13" t="s">
        <v>783</v>
      </c>
      <c r="I57" s="20" t="s">
        <v>3042</v>
      </c>
      <c r="J57" s="20" t="s">
        <v>3043</v>
      </c>
      <c r="K57" s="13" t="s">
        <v>148</v>
      </c>
      <c r="L57" s="155"/>
      <c r="M57" s="27" t="s">
        <v>323</v>
      </c>
      <c r="N57" s="13" t="s">
        <v>56</v>
      </c>
      <c r="O57" s="13" t="s">
        <v>42</v>
      </c>
      <c r="P57" s="156"/>
      <c r="Q57" s="13" t="s">
        <v>49</v>
      </c>
      <c r="R57" s="13" t="s">
        <v>46</v>
      </c>
      <c r="S57" s="13"/>
      <c r="T57" s="155"/>
      <c r="U57" s="13"/>
      <c r="V57" s="127"/>
    </row>
    <row r="58">
      <c r="A58" s="13">
        <v>57.0</v>
      </c>
      <c r="B58" s="15">
        <v>46145.0</v>
      </c>
      <c r="C58" s="13" t="s">
        <v>47</v>
      </c>
      <c r="D58" s="13" t="s">
        <v>138</v>
      </c>
      <c r="E58" s="20" t="s">
        <v>108</v>
      </c>
      <c r="F58" s="12">
        <v>5.54713513E8</v>
      </c>
      <c r="G58" s="20" t="s">
        <v>41</v>
      </c>
      <c r="H58" s="13" t="s">
        <v>52</v>
      </c>
      <c r="I58" s="20" t="s">
        <v>3050</v>
      </c>
      <c r="J58" s="20" t="s">
        <v>3052</v>
      </c>
      <c r="K58" s="13" t="s">
        <v>148</v>
      </c>
      <c r="L58" s="155"/>
      <c r="M58" s="27" t="s">
        <v>323</v>
      </c>
      <c r="N58" s="13" t="s">
        <v>56</v>
      </c>
      <c r="O58" s="13" t="s">
        <v>42</v>
      </c>
      <c r="P58" s="156"/>
      <c r="Q58" s="13" t="s">
        <v>49</v>
      </c>
      <c r="R58" s="13" t="s">
        <v>46</v>
      </c>
      <c r="S58" s="13"/>
      <c r="T58" s="155"/>
      <c r="U58" s="13"/>
      <c r="V58" s="127"/>
    </row>
    <row r="59">
      <c r="A59" s="13">
        <v>58.0</v>
      </c>
      <c r="B59" s="15">
        <v>46145.0</v>
      </c>
      <c r="C59" s="13" t="s">
        <v>47</v>
      </c>
      <c r="D59" s="13" t="s">
        <v>138</v>
      </c>
      <c r="E59" s="20" t="s">
        <v>3059</v>
      </c>
      <c r="F59" s="12">
        <v>5.08124281E8</v>
      </c>
      <c r="G59" s="20" t="s">
        <v>41</v>
      </c>
      <c r="H59" s="13" t="s">
        <v>146</v>
      </c>
      <c r="I59" s="20" t="s">
        <v>3060</v>
      </c>
      <c r="J59" s="20" t="s">
        <v>3063</v>
      </c>
      <c r="K59" s="13" t="s">
        <v>148</v>
      </c>
      <c r="L59" s="159"/>
      <c r="M59" s="27" t="s">
        <v>101</v>
      </c>
      <c r="N59" s="13" t="s">
        <v>56</v>
      </c>
      <c r="O59" s="13" t="s">
        <v>42</v>
      </c>
      <c r="P59" s="156"/>
      <c r="Q59" s="13" t="s">
        <v>49</v>
      </c>
      <c r="R59" s="13" t="s">
        <v>46</v>
      </c>
      <c r="S59" s="13"/>
      <c r="T59" s="155"/>
      <c r="U59" s="13"/>
      <c r="V59" s="127"/>
    </row>
    <row r="60">
      <c r="A60" s="13">
        <v>59.0</v>
      </c>
      <c r="B60" s="15">
        <v>46145.0</v>
      </c>
      <c r="C60" s="13" t="s">
        <v>58</v>
      </c>
      <c r="D60" s="13" t="s">
        <v>60</v>
      </c>
      <c r="E60" s="20" t="s">
        <v>463</v>
      </c>
      <c r="F60" s="12">
        <v>5.09430125E8</v>
      </c>
      <c r="G60" s="20" t="s">
        <v>71</v>
      </c>
      <c r="H60" s="13" t="s">
        <v>27</v>
      </c>
      <c r="I60" s="20" t="s">
        <v>3072</v>
      </c>
      <c r="J60" s="20"/>
      <c r="K60" s="13" t="s">
        <v>36</v>
      </c>
      <c r="L60" s="155">
        <v>0.6784722222222223</v>
      </c>
      <c r="M60" s="27" t="s">
        <v>323</v>
      </c>
      <c r="N60" s="13" t="s">
        <v>56</v>
      </c>
      <c r="O60" s="13" t="s">
        <v>42</v>
      </c>
      <c r="P60" s="156"/>
      <c r="Q60" s="13" t="s">
        <v>44</v>
      </c>
      <c r="R60" s="13"/>
      <c r="S60" s="20" t="s">
        <v>2632</v>
      </c>
      <c r="T60" s="155">
        <v>0.6680555555555555</v>
      </c>
      <c r="U60" s="13" t="s">
        <v>44</v>
      </c>
      <c r="V60" s="156">
        <v>5.0</v>
      </c>
    </row>
    <row r="61">
      <c r="A61" s="13">
        <v>60.0</v>
      </c>
      <c r="B61" s="15">
        <v>46145.0</v>
      </c>
      <c r="C61" s="13" t="s">
        <v>58</v>
      </c>
      <c r="D61" s="13" t="s">
        <v>60</v>
      </c>
      <c r="E61" s="13" t="s">
        <v>27</v>
      </c>
      <c r="F61" s="12">
        <v>5.53998558E8</v>
      </c>
      <c r="G61" s="13" t="s">
        <v>27</v>
      </c>
      <c r="H61" s="13" t="s">
        <v>27</v>
      </c>
      <c r="I61" s="20" t="s">
        <v>554</v>
      </c>
      <c r="J61" s="20"/>
      <c r="K61" s="13" t="s">
        <v>36</v>
      </c>
      <c r="L61" s="159">
        <v>0.6131944444444445</v>
      </c>
      <c r="M61" s="27" t="s">
        <v>323</v>
      </c>
      <c r="N61" s="13" t="s">
        <v>56</v>
      </c>
      <c r="O61" s="13" t="s">
        <v>42</v>
      </c>
      <c r="P61" s="156"/>
      <c r="Q61" s="13" t="s">
        <v>44</v>
      </c>
      <c r="R61" s="13"/>
      <c r="S61" s="20" t="s">
        <v>2632</v>
      </c>
      <c r="T61" s="155">
        <v>0.4861111111111111</v>
      </c>
      <c r="U61" s="13" t="s">
        <v>44</v>
      </c>
      <c r="V61" s="156">
        <v>5.0</v>
      </c>
    </row>
    <row r="62">
      <c r="A62" s="13">
        <v>61.0</v>
      </c>
      <c r="B62" s="15">
        <v>46145.0</v>
      </c>
      <c r="C62" s="13" t="s">
        <v>21</v>
      </c>
      <c r="D62" s="13" t="s">
        <v>24</v>
      </c>
      <c r="E62" s="20" t="s">
        <v>3086</v>
      </c>
      <c r="F62" s="12">
        <v>5.04690746E8</v>
      </c>
      <c r="G62" s="20" t="s">
        <v>79</v>
      </c>
      <c r="H62" s="13" t="s">
        <v>27</v>
      </c>
      <c r="I62" s="20" t="s">
        <v>3089</v>
      </c>
      <c r="J62" s="20"/>
      <c r="K62" s="13" t="s">
        <v>36</v>
      </c>
      <c r="L62" s="155"/>
      <c r="M62" s="27" t="s">
        <v>323</v>
      </c>
      <c r="N62" s="13" t="s">
        <v>40</v>
      </c>
      <c r="O62" s="13" t="s">
        <v>42</v>
      </c>
      <c r="P62" s="156"/>
      <c r="Q62" s="13" t="s">
        <v>44</v>
      </c>
      <c r="R62" s="13" t="s">
        <v>46</v>
      </c>
      <c r="S62" s="13"/>
      <c r="T62" s="159"/>
      <c r="U62" s="13"/>
      <c r="V62" s="156">
        <v>5.0</v>
      </c>
    </row>
    <row r="63">
      <c r="A63" s="13">
        <v>62.0</v>
      </c>
      <c r="B63" s="15">
        <v>46145.0</v>
      </c>
      <c r="C63" s="13" t="s">
        <v>21</v>
      </c>
      <c r="D63" s="13" t="s">
        <v>24</v>
      </c>
      <c r="E63" s="20" t="s">
        <v>3094</v>
      </c>
      <c r="F63" s="12">
        <v>5.04472264E8</v>
      </c>
      <c r="G63" s="20" t="s">
        <v>152</v>
      </c>
      <c r="H63" s="13" t="s">
        <v>27</v>
      </c>
      <c r="I63" s="20" t="s">
        <v>215</v>
      </c>
      <c r="J63" s="20"/>
      <c r="K63" s="13" t="s">
        <v>36</v>
      </c>
      <c r="L63" s="159"/>
      <c r="M63" s="27" t="s">
        <v>713</v>
      </c>
      <c r="N63" s="13" t="s">
        <v>40</v>
      </c>
      <c r="O63" s="13" t="s">
        <v>42</v>
      </c>
      <c r="P63" s="156"/>
      <c r="Q63" s="13" t="s">
        <v>44</v>
      </c>
      <c r="R63" s="13" t="s">
        <v>46</v>
      </c>
      <c r="S63" s="13"/>
      <c r="T63" s="155"/>
      <c r="U63" s="13"/>
      <c r="V63" s="156">
        <v>5.0</v>
      </c>
    </row>
    <row r="64">
      <c r="A64" s="13">
        <v>63.0</v>
      </c>
      <c r="B64" s="15">
        <v>46145.0</v>
      </c>
      <c r="C64" s="13" t="s">
        <v>21</v>
      </c>
      <c r="D64" s="13" t="s">
        <v>22</v>
      </c>
      <c r="E64" s="20" t="s">
        <v>3101</v>
      </c>
      <c r="F64" s="12">
        <v>5.06966358E8</v>
      </c>
      <c r="G64" s="20" t="s">
        <v>285</v>
      </c>
      <c r="H64" s="13" t="s">
        <v>27</v>
      </c>
      <c r="I64" s="20" t="s">
        <v>3103</v>
      </c>
      <c r="J64" s="20"/>
      <c r="K64" s="13" t="s">
        <v>457</v>
      </c>
      <c r="L64" s="159"/>
      <c r="M64" s="27" t="s">
        <v>150</v>
      </c>
      <c r="N64" s="13" t="s">
        <v>56</v>
      </c>
      <c r="O64" s="13" t="s">
        <v>42</v>
      </c>
      <c r="P64" s="156"/>
      <c r="Q64" s="13" t="s">
        <v>44</v>
      </c>
      <c r="R64" s="13" t="s">
        <v>46</v>
      </c>
      <c r="S64" s="20"/>
      <c r="T64" s="159"/>
      <c r="U64" s="13"/>
      <c r="V64" s="127"/>
    </row>
    <row r="65">
      <c r="A65" s="13">
        <v>64.0</v>
      </c>
      <c r="B65" s="15">
        <v>46145.0</v>
      </c>
      <c r="C65" s="13" t="s">
        <v>21</v>
      </c>
      <c r="D65" s="13" t="s">
        <v>22</v>
      </c>
      <c r="E65" s="20" t="s">
        <v>1197</v>
      </c>
      <c r="F65" s="12">
        <v>5.59936603E8</v>
      </c>
      <c r="G65" s="20" t="s">
        <v>28</v>
      </c>
      <c r="H65" s="13" t="s">
        <v>27</v>
      </c>
      <c r="I65" s="20" t="s">
        <v>3113</v>
      </c>
      <c r="J65" s="20"/>
      <c r="K65" s="13" t="s">
        <v>457</v>
      </c>
      <c r="L65" s="155"/>
      <c r="M65" s="27" t="s">
        <v>150</v>
      </c>
      <c r="N65" s="13" t="s">
        <v>56</v>
      </c>
      <c r="O65" s="13" t="s">
        <v>42</v>
      </c>
      <c r="P65" s="156"/>
      <c r="Q65" s="13" t="s">
        <v>44</v>
      </c>
      <c r="R65" s="13" t="s">
        <v>46</v>
      </c>
      <c r="S65" s="20"/>
      <c r="T65" s="155"/>
      <c r="U65" s="13"/>
      <c r="V65" s="127"/>
    </row>
    <row r="66">
      <c r="A66" s="13">
        <v>65.0</v>
      </c>
      <c r="B66" s="15">
        <v>46145.0</v>
      </c>
      <c r="C66" s="13" t="s">
        <v>21</v>
      </c>
      <c r="D66" s="13" t="s">
        <v>22</v>
      </c>
      <c r="E66" s="20" t="s">
        <v>3119</v>
      </c>
      <c r="F66" s="12">
        <v>5.04712195E8</v>
      </c>
      <c r="G66" s="20" t="s">
        <v>71</v>
      </c>
      <c r="H66" s="13" t="s">
        <v>27</v>
      </c>
      <c r="I66" s="20" t="s">
        <v>3123</v>
      </c>
      <c r="J66" s="20"/>
      <c r="K66" s="13" t="s">
        <v>457</v>
      </c>
      <c r="L66" s="159"/>
      <c r="M66" s="27" t="s">
        <v>323</v>
      </c>
      <c r="N66" s="13" t="s">
        <v>56</v>
      </c>
      <c r="O66" s="13" t="s">
        <v>42</v>
      </c>
      <c r="P66" s="156"/>
      <c r="Q66" s="13" t="s">
        <v>44</v>
      </c>
      <c r="R66" s="13" t="s">
        <v>46</v>
      </c>
      <c r="S66" s="20"/>
      <c r="T66" s="159"/>
      <c r="U66" s="13"/>
      <c r="V66" s="127"/>
    </row>
    <row r="67" ht="39.75" customHeight="1">
      <c r="A67" s="13">
        <v>66.0</v>
      </c>
      <c r="B67" s="15">
        <v>46145.0</v>
      </c>
      <c r="C67" s="13" t="s">
        <v>47</v>
      </c>
      <c r="D67" s="13" t="s">
        <v>92</v>
      </c>
      <c r="E67" s="13" t="s">
        <v>3130</v>
      </c>
      <c r="F67" s="12" t="s">
        <v>27</v>
      </c>
      <c r="G67" s="20" t="s">
        <v>28</v>
      </c>
      <c r="H67" s="13" t="s">
        <v>777</v>
      </c>
      <c r="I67" s="20" t="s">
        <v>3131</v>
      </c>
      <c r="J67" s="20"/>
      <c r="K67" s="13" t="s">
        <v>78</v>
      </c>
      <c r="L67" s="155"/>
      <c r="M67" s="27" t="s">
        <v>323</v>
      </c>
      <c r="N67" s="13" t="s">
        <v>40</v>
      </c>
      <c r="O67" s="13" t="s">
        <v>42</v>
      </c>
      <c r="P67" s="156"/>
      <c r="Q67" s="13" t="s">
        <v>49</v>
      </c>
      <c r="R67" s="13" t="s">
        <v>46</v>
      </c>
      <c r="S67" s="13"/>
      <c r="T67" s="155"/>
      <c r="U67" s="13"/>
      <c r="V67" s="127"/>
    </row>
    <row r="68">
      <c r="A68" s="13">
        <v>67.0</v>
      </c>
      <c r="B68" s="15">
        <v>46145.0</v>
      </c>
      <c r="C68" s="13" t="s">
        <v>21</v>
      </c>
      <c r="D68" s="13" t="s">
        <v>48</v>
      </c>
      <c r="E68" s="20" t="s">
        <v>3140</v>
      </c>
      <c r="F68" s="12">
        <v>5.0517386E8</v>
      </c>
      <c r="G68" s="13" t="s">
        <v>27</v>
      </c>
      <c r="H68" s="13" t="s">
        <v>27</v>
      </c>
      <c r="I68" s="20" t="s">
        <v>3141</v>
      </c>
      <c r="J68" s="20" t="s">
        <v>3142</v>
      </c>
      <c r="K68" s="13" t="s">
        <v>36</v>
      </c>
      <c r="L68" s="155">
        <v>0.5208333333333334</v>
      </c>
      <c r="M68" s="27" t="s">
        <v>150</v>
      </c>
      <c r="N68" s="13" t="s">
        <v>40</v>
      </c>
      <c r="O68" s="13" t="s">
        <v>42</v>
      </c>
      <c r="P68" s="156"/>
      <c r="Q68" s="13" t="s">
        <v>44</v>
      </c>
      <c r="R68" s="13"/>
      <c r="S68" s="20" t="s">
        <v>2632</v>
      </c>
      <c r="T68" s="159">
        <v>0.6277777777777778</v>
      </c>
      <c r="U68" s="13" t="s">
        <v>44</v>
      </c>
      <c r="V68" s="156">
        <v>5.0</v>
      </c>
    </row>
    <row r="69">
      <c r="A69" s="13">
        <v>68.0</v>
      </c>
      <c r="B69" s="15">
        <v>46145.0</v>
      </c>
      <c r="C69" s="13" t="s">
        <v>21</v>
      </c>
      <c r="D69" s="13" t="s">
        <v>24</v>
      </c>
      <c r="E69" s="20" t="s">
        <v>3148</v>
      </c>
      <c r="F69" s="12">
        <v>5.02524257E8</v>
      </c>
      <c r="G69" s="20" t="s">
        <v>28</v>
      </c>
      <c r="H69" s="13" t="s">
        <v>27</v>
      </c>
      <c r="I69" s="20" t="s">
        <v>3152</v>
      </c>
      <c r="J69" s="20"/>
      <c r="K69" s="13" t="s">
        <v>36</v>
      </c>
      <c r="L69" s="155"/>
      <c r="M69" s="27" t="s">
        <v>323</v>
      </c>
      <c r="N69" s="13" t="s">
        <v>40</v>
      </c>
      <c r="O69" s="13" t="s">
        <v>42</v>
      </c>
      <c r="P69" s="156"/>
      <c r="Q69" s="13" t="s">
        <v>44</v>
      </c>
      <c r="R69" s="13" t="s">
        <v>46</v>
      </c>
      <c r="S69" s="13"/>
      <c r="T69" s="159"/>
      <c r="U69" s="13"/>
      <c r="V69" s="156">
        <v>5.0</v>
      </c>
    </row>
    <row r="70">
      <c r="A70" s="13">
        <v>69.0</v>
      </c>
      <c r="B70" s="15">
        <v>46145.0</v>
      </c>
      <c r="C70" s="13" t="s">
        <v>21</v>
      </c>
      <c r="D70" s="13" t="s">
        <v>22</v>
      </c>
      <c r="E70" s="20" t="s">
        <v>3158</v>
      </c>
      <c r="F70" s="12">
        <v>5.01962383E8</v>
      </c>
      <c r="G70" s="20" t="s">
        <v>76</v>
      </c>
      <c r="H70" s="13" t="s">
        <v>27</v>
      </c>
      <c r="I70" s="20" t="s">
        <v>3161</v>
      </c>
      <c r="J70" s="20"/>
      <c r="K70" s="13" t="s">
        <v>36</v>
      </c>
      <c r="L70" s="159"/>
      <c r="M70" s="27" t="s">
        <v>323</v>
      </c>
      <c r="N70" s="13" t="s">
        <v>56</v>
      </c>
      <c r="O70" s="13" t="s">
        <v>42</v>
      </c>
      <c r="P70" s="156"/>
      <c r="Q70" s="13" t="s">
        <v>44</v>
      </c>
      <c r="R70" s="13" t="s">
        <v>46</v>
      </c>
      <c r="S70" s="20"/>
      <c r="T70" s="159"/>
      <c r="U70" s="13"/>
      <c r="V70" s="127"/>
    </row>
    <row r="71">
      <c r="A71" s="13">
        <v>70.0</v>
      </c>
      <c r="B71" s="15">
        <v>46145.0</v>
      </c>
      <c r="C71" s="13" t="s">
        <v>21</v>
      </c>
      <c r="D71" s="13" t="s">
        <v>48</v>
      </c>
      <c r="E71" s="20" t="s">
        <v>3170</v>
      </c>
      <c r="F71" s="12">
        <v>5.47512651E8</v>
      </c>
      <c r="G71" s="20" t="s">
        <v>41</v>
      </c>
      <c r="H71" s="13" t="s">
        <v>27</v>
      </c>
      <c r="I71" s="20" t="s">
        <v>3171</v>
      </c>
      <c r="J71" s="20" t="s">
        <v>3142</v>
      </c>
      <c r="K71" s="13" t="s">
        <v>36</v>
      </c>
      <c r="L71" s="155">
        <v>0.6784722222222223</v>
      </c>
      <c r="M71" s="27" t="s">
        <v>38</v>
      </c>
      <c r="N71" s="13" t="s">
        <v>40</v>
      </c>
      <c r="O71" s="13" t="s">
        <v>42</v>
      </c>
      <c r="P71" s="156"/>
      <c r="Q71" s="13" t="s">
        <v>44</v>
      </c>
      <c r="R71" s="13"/>
      <c r="S71" s="20" t="s">
        <v>2632</v>
      </c>
      <c r="T71" s="159">
        <v>0.6131944444444445</v>
      </c>
      <c r="U71" s="13" t="s">
        <v>44</v>
      </c>
      <c r="V71" s="156">
        <v>5.0</v>
      </c>
    </row>
    <row r="72">
      <c r="A72" s="13">
        <v>71.0</v>
      </c>
      <c r="B72" s="15">
        <v>46145.0</v>
      </c>
      <c r="C72" s="13" t="s">
        <v>21</v>
      </c>
      <c r="D72" s="13" t="s">
        <v>24</v>
      </c>
      <c r="E72" s="20" t="s">
        <v>3179</v>
      </c>
      <c r="F72" s="12">
        <v>5.3813258E8</v>
      </c>
      <c r="G72" s="20" t="s">
        <v>319</v>
      </c>
      <c r="H72" s="13" t="s">
        <v>27</v>
      </c>
      <c r="I72" s="20" t="s">
        <v>3183</v>
      </c>
      <c r="J72" s="20"/>
      <c r="K72" s="13" t="s">
        <v>62</v>
      </c>
      <c r="L72" s="159"/>
      <c r="M72" s="27" t="s">
        <v>38</v>
      </c>
      <c r="N72" s="13" t="s">
        <v>40</v>
      </c>
      <c r="O72" s="13" t="s">
        <v>42</v>
      </c>
      <c r="P72" s="156"/>
      <c r="Q72" s="13" t="s">
        <v>44</v>
      </c>
      <c r="R72" s="13" t="s">
        <v>46</v>
      </c>
      <c r="S72" s="13"/>
      <c r="T72" s="159"/>
      <c r="U72" s="13"/>
      <c r="V72" s="156">
        <v>5.0</v>
      </c>
    </row>
    <row r="73" ht="64.5" customHeight="1">
      <c r="A73" s="13">
        <v>72.0</v>
      </c>
      <c r="B73" s="15">
        <v>46145.0</v>
      </c>
      <c r="C73" s="13" t="s">
        <v>47</v>
      </c>
      <c r="D73" s="13" t="s">
        <v>367</v>
      </c>
      <c r="E73" s="20" t="s">
        <v>276</v>
      </c>
      <c r="F73" s="12">
        <v>5.65522879E8</v>
      </c>
      <c r="G73" s="20" t="s">
        <v>28</v>
      </c>
      <c r="H73" s="13" t="s">
        <v>3190</v>
      </c>
      <c r="I73" s="20" t="s">
        <v>3192</v>
      </c>
      <c r="J73" s="20" t="s">
        <v>3194</v>
      </c>
      <c r="K73" s="13" t="s">
        <v>148</v>
      </c>
      <c r="L73" s="155"/>
      <c r="M73" s="27" t="s">
        <v>55</v>
      </c>
      <c r="N73" s="13" t="s">
        <v>40</v>
      </c>
      <c r="O73" s="13" t="s">
        <v>42</v>
      </c>
      <c r="P73" s="156"/>
      <c r="Q73" s="13" t="s">
        <v>44</v>
      </c>
      <c r="R73" s="13" t="s">
        <v>46</v>
      </c>
      <c r="S73" s="13"/>
      <c r="T73" s="159"/>
      <c r="U73" s="13"/>
      <c r="V73" s="127"/>
    </row>
    <row r="74">
      <c r="A74" s="13">
        <v>73.0</v>
      </c>
      <c r="B74" s="15">
        <v>46145.0</v>
      </c>
      <c r="C74" s="13" t="s">
        <v>47</v>
      </c>
      <c r="D74" s="13" t="s">
        <v>367</v>
      </c>
      <c r="E74" s="20" t="s">
        <v>3202</v>
      </c>
      <c r="F74" s="12">
        <v>5.32223318E8</v>
      </c>
      <c r="G74" s="20" t="s">
        <v>79</v>
      </c>
      <c r="H74" s="13" t="s">
        <v>638</v>
      </c>
      <c r="I74" s="20" t="s">
        <v>3205</v>
      </c>
      <c r="J74" s="20" t="s">
        <v>3206</v>
      </c>
      <c r="K74" s="13" t="s">
        <v>148</v>
      </c>
      <c r="L74" s="159"/>
      <c r="M74" s="27" t="s">
        <v>55</v>
      </c>
      <c r="N74" s="13" t="s">
        <v>40</v>
      </c>
      <c r="O74" s="13" t="s">
        <v>42</v>
      </c>
      <c r="P74" s="156"/>
      <c r="Q74" s="13" t="s">
        <v>44</v>
      </c>
      <c r="R74" s="13" t="s">
        <v>46</v>
      </c>
      <c r="S74" s="13"/>
      <c r="T74" s="159"/>
      <c r="U74" s="13"/>
      <c r="V74" s="127"/>
    </row>
    <row r="75">
      <c r="A75" s="13">
        <v>74.0</v>
      </c>
      <c r="B75" s="15">
        <v>46145.0</v>
      </c>
      <c r="C75" s="13" t="s">
        <v>47</v>
      </c>
      <c r="D75" s="13" t="s">
        <v>138</v>
      </c>
      <c r="E75" s="20" t="s">
        <v>3212</v>
      </c>
      <c r="F75" s="12">
        <v>5.63041848E8</v>
      </c>
      <c r="G75" s="20" t="s">
        <v>79</v>
      </c>
      <c r="H75" s="13" t="s">
        <v>638</v>
      </c>
      <c r="I75" s="20" t="s">
        <v>3215</v>
      </c>
      <c r="J75" s="20" t="s">
        <v>3216</v>
      </c>
      <c r="K75" s="13" t="s">
        <v>148</v>
      </c>
      <c r="L75" s="159"/>
      <c r="M75" s="27" t="s">
        <v>55</v>
      </c>
      <c r="N75" s="13" t="s">
        <v>56</v>
      </c>
      <c r="O75" s="13" t="s">
        <v>42</v>
      </c>
      <c r="P75" s="156"/>
      <c r="Q75" s="13" t="s">
        <v>44</v>
      </c>
      <c r="R75" s="13" t="s">
        <v>46</v>
      </c>
      <c r="S75" s="13"/>
      <c r="T75" s="155"/>
      <c r="U75" s="13"/>
      <c r="V75" s="156">
        <v>5.0</v>
      </c>
    </row>
    <row r="76">
      <c r="A76" s="13">
        <v>75.0</v>
      </c>
      <c r="B76" s="15">
        <v>46145.0</v>
      </c>
      <c r="C76" s="13" t="s">
        <v>21</v>
      </c>
      <c r="D76" s="13" t="s">
        <v>48</v>
      </c>
      <c r="E76" s="20" t="s">
        <v>3221</v>
      </c>
      <c r="F76" s="12">
        <v>5.41493605E8</v>
      </c>
      <c r="G76" s="20" t="s">
        <v>41</v>
      </c>
      <c r="H76" s="13" t="s">
        <v>222</v>
      </c>
      <c r="I76" s="20" t="s">
        <v>3222</v>
      </c>
      <c r="J76" s="20" t="s">
        <v>3223</v>
      </c>
      <c r="K76" s="13" t="s">
        <v>36</v>
      </c>
      <c r="L76" s="159">
        <v>0.6680555555555555</v>
      </c>
      <c r="M76" s="75" t="s">
        <v>38</v>
      </c>
      <c r="N76" s="13" t="s">
        <v>40</v>
      </c>
      <c r="O76" s="13" t="s">
        <v>42</v>
      </c>
      <c r="P76" s="156"/>
      <c r="Q76" s="13" t="s">
        <v>44</v>
      </c>
      <c r="R76" s="13"/>
      <c r="S76" s="20" t="s">
        <v>2632</v>
      </c>
      <c r="T76" s="159">
        <v>0.6680555555555555</v>
      </c>
      <c r="U76" s="13" t="s">
        <v>44</v>
      </c>
      <c r="V76" s="156">
        <v>5.0</v>
      </c>
    </row>
    <row r="77">
      <c r="A77" s="13">
        <v>76.0</v>
      </c>
      <c r="B77" s="15">
        <v>46146.0</v>
      </c>
      <c r="C77" s="13" t="s">
        <v>58</v>
      </c>
      <c r="D77" s="13" t="s">
        <v>60</v>
      </c>
      <c r="E77" s="13" t="s">
        <v>27</v>
      </c>
      <c r="F77" s="12">
        <v>5.80487539E8</v>
      </c>
      <c r="G77" s="13" t="s">
        <v>27</v>
      </c>
      <c r="H77" s="13" t="s">
        <v>27</v>
      </c>
      <c r="I77" s="20" t="s">
        <v>3232</v>
      </c>
      <c r="J77" s="20"/>
      <c r="K77" s="13" t="s">
        <v>65</v>
      </c>
      <c r="L77" s="155">
        <v>0.6277777777777778</v>
      </c>
      <c r="M77" s="27" t="s">
        <v>38</v>
      </c>
      <c r="N77" s="13" t="s">
        <v>56</v>
      </c>
      <c r="O77" s="13" t="s">
        <v>42</v>
      </c>
      <c r="P77" s="156"/>
      <c r="Q77" s="13" t="s">
        <v>44</v>
      </c>
      <c r="R77" s="13"/>
      <c r="S77" s="20" t="s">
        <v>2632</v>
      </c>
      <c r="T77" s="155">
        <v>0.6277777777777778</v>
      </c>
      <c r="U77" s="13" t="s">
        <v>44</v>
      </c>
      <c r="V77" s="156">
        <v>5.0</v>
      </c>
    </row>
    <row r="78">
      <c r="A78" s="13">
        <v>77.0</v>
      </c>
      <c r="B78" s="15">
        <v>46146.0</v>
      </c>
      <c r="C78" s="13" t="s">
        <v>21</v>
      </c>
      <c r="D78" s="13" t="s">
        <v>48</v>
      </c>
      <c r="E78" s="20" t="s">
        <v>3239</v>
      </c>
      <c r="F78" s="12">
        <v>5.31247555E8</v>
      </c>
      <c r="G78" s="20" t="s">
        <v>172</v>
      </c>
      <c r="H78" s="13" t="s">
        <v>27</v>
      </c>
      <c r="I78" s="20" t="s">
        <v>3242</v>
      </c>
      <c r="J78" s="20" t="s">
        <v>1806</v>
      </c>
      <c r="K78" s="13" t="s">
        <v>36</v>
      </c>
      <c r="L78" s="159">
        <v>0.4861111111111111</v>
      </c>
      <c r="M78" s="27" t="s">
        <v>38</v>
      </c>
      <c r="N78" s="13" t="s">
        <v>40</v>
      </c>
      <c r="O78" s="13" t="s">
        <v>42</v>
      </c>
      <c r="P78" s="156"/>
      <c r="Q78" s="13" t="s">
        <v>44</v>
      </c>
      <c r="R78" s="13"/>
      <c r="S78" s="20" t="s">
        <v>2632</v>
      </c>
      <c r="T78" s="159">
        <v>0.4861111111111111</v>
      </c>
      <c r="U78" s="13" t="s">
        <v>44</v>
      </c>
      <c r="V78" s="156">
        <v>5.0</v>
      </c>
    </row>
    <row r="79">
      <c r="A79" s="13">
        <v>78.0</v>
      </c>
      <c r="B79" s="15">
        <v>46146.0</v>
      </c>
      <c r="C79" s="13" t="s">
        <v>58</v>
      </c>
      <c r="D79" s="13" t="s">
        <v>60</v>
      </c>
      <c r="E79" s="13" t="s">
        <v>27</v>
      </c>
      <c r="F79" s="12">
        <v>5.08518485E8</v>
      </c>
      <c r="G79" s="13" t="s">
        <v>27</v>
      </c>
      <c r="H79" s="13" t="s">
        <v>27</v>
      </c>
      <c r="I79" s="20" t="s">
        <v>3249</v>
      </c>
      <c r="J79" s="20"/>
      <c r="K79" s="13" t="s">
        <v>36</v>
      </c>
      <c r="L79" s="155">
        <v>0.6131944444444445</v>
      </c>
      <c r="M79" s="27" t="s">
        <v>88</v>
      </c>
      <c r="N79" s="13" t="s">
        <v>56</v>
      </c>
      <c r="O79" s="13" t="s">
        <v>42</v>
      </c>
      <c r="P79" s="156"/>
      <c r="Q79" s="13" t="s">
        <v>44</v>
      </c>
      <c r="R79" s="13"/>
      <c r="S79" s="20" t="s">
        <v>2632</v>
      </c>
      <c r="T79" s="155">
        <v>0.6131944444444445</v>
      </c>
      <c r="U79" s="13" t="s">
        <v>44</v>
      </c>
      <c r="V79" s="156">
        <v>5.0</v>
      </c>
    </row>
    <row r="80">
      <c r="A80" s="13">
        <v>79.0</v>
      </c>
      <c r="B80" s="15">
        <v>46146.0</v>
      </c>
      <c r="C80" s="13" t="s">
        <v>58</v>
      </c>
      <c r="D80" s="13" t="s">
        <v>60</v>
      </c>
      <c r="E80" s="13" t="s">
        <v>27</v>
      </c>
      <c r="F80" s="12">
        <v>5.54886737E8</v>
      </c>
      <c r="G80" s="13" t="s">
        <v>27</v>
      </c>
      <c r="H80" s="13" t="s">
        <v>27</v>
      </c>
      <c r="I80" s="20" t="s">
        <v>554</v>
      </c>
      <c r="J80" s="20"/>
      <c r="K80" s="13" t="s">
        <v>36</v>
      </c>
      <c r="L80" s="155">
        <v>0.6680555555555555</v>
      </c>
      <c r="M80" s="27" t="s">
        <v>88</v>
      </c>
      <c r="N80" s="13" t="s">
        <v>56</v>
      </c>
      <c r="O80" s="13" t="s">
        <v>42</v>
      </c>
      <c r="P80" s="156"/>
      <c r="Q80" s="13" t="s">
        <v>44</v>
      </c>
      <c r="R80" s="13"/>
      <c r="S80" s="20" t="s">
        <v>2632</v>
      </c>
      <c r="T80" s="155">
        <v>0.6680555555555555</v>
      </c>
      <c r="U80" s="13" t="s">
        <v>44</v>
      </c>
      <c r="V80" s="156">
        <v>5.0</v>
      </c>
    </row>
    <row r="81">
      <c r="A81" s="13">
        <v>80.0</v>
      </c>
      <c r="B81" s="15">
        <v>46146.0</v>
      </c>
      <c r="C81" s="13" t="s">
        <v>21</v>
      </c>
      <c r="D81" s="13" t="s">
        <v>48</v>
      </c>
      <c r="E81" s="20" t="s">
        <v>3258</v>
      </c>
      <c r="F81" s="12">
        <v>5.58866803E8</v>
      </c>
      <c r="G81" s="20" t="s">
        <v>71</v>
      </c>
      <c r="H81" s="13" t="s">
        <v>27</v>
      </c>
      <c r="I81" s="20" t="s">
        <v>3262</v>
      </c>
      <c r="J81" s="20" t="s">
        <v>3142</v>
      </c>
      <c r="K81" s="13" t="s">
        <v>36</v>
      </c>
      <c r="L81" s="159">
        <v>0.6131944444444445</v>
      </c>
      <c r="M81" s="27" t="s">
        <v>38</v>
      </c>
      <c r="N81" s="13" t="s">
        <v>40</v>
      </c>
      <c r="O81" s="13" t="s">
        <v>42</v>
      </c>
      <c r="P81" s="156"/>
      <c r="Q81" s="13" t="s">
        <v>44</v>
      </c>
      <c r="R81" s="13"/>
      <c r="S81" s="20" t="s">
        <v>2632</v>
      </c>
      <c r="T81" s="159">
        <v>0.6131944444444445</v>
      </c>
      <c r="U81" s="13" t="s">
        <v>44</v>
      </c>
      <c r="V81" s="156">
        <v>5.0</v>
      </c>
    </row>
    <row r="82">
      <c r="A82" s="13">
        <v>81.0</v>
      </c>
      <c r="B82" s="15">
        <v>46146.0</v>
      </c>
      <c r="C82" s="13" t="s">
        <v>21</v>
      </c>
      <c r="D82" s="13" t="s">
        <v>57</v>
      </c>
      <c r="E82" s="20" t="s">
        <v>3266</v>
      </c>
      <c r="F82" s="12">
        <v>5.36083772E8</v>
      </c>
      <c r="G82" s="13" t="s">
        <v>27</v>
      </c>
      <c r="H82" s="13" t="s">
        <v>27</v>
      </c>
      <c r="I82" s="20" t="s">
        <v>3269</v>
      </c>
      <c r="J82" s="20" t="s">
        <v>3270</v>
      </c>
      <c r="K82" s="13" t="s">
        <v>62</v>
      </c>
      <c r="L82" s="161">
        <v>0.6277777777777778</v>
      </c>
      <c r="M82" s="27" t="s">
        <v>38</v>
      </c>
      <c r="N82" s="13" t="s">
        <v>56</v>
      </c>
      <c r="O82" s="13" t="s">
        <v>42</v>
      </c>
      <c r="P82" s="156"/>
      <c r="Q82" s="13" t="s">
        <v>44</v>
      </c>
      <c r="R82" s="13"/>
      <c r="S82" s="20" t="s">
        <v>2632</v>
      </c>
      <c r="T82" s="161">
        <v>0.6277777777777778</v>
      </c>
      <c r="U82" s="13" t="s">
        <v>44</v>
      </c>
      <c r="V82" s="156">
        <v>5.0</v>
      </c>
    </row>
    <row r="83">
      <c r="A83" s="13">
        <v>82.0</v>
      </c>
      <c r="B83" s="15">
        <v>46146.0</v>
      </c>
      <c r="C83" s="13" t="s">
        <v>21</v>
      </c>
      <c r="D83" s="13" t="s">
        <v>24</v>
      </c>
      <c r="E83" s="20" t="s">
        <v>3276</v>
      </c>
      <c r="F83" s="12">
        <v>5.30171705E8</v>
      </c>
      <c r="G83" s="20" t="s">
        <v>71</v>
      </c>
      <c r="H83" s="13" t="s">
        <v>27</v>
      </c>
      <c r="I83" s="20" t="s">
        <v>3279</v>
      </c>
      <c r="J83" s="20"/>
      <c r="K83" s="13" t="s">
        <v>36</v>
      </c>
      <c r="L83" s="159"/>
      <c r="M83" s="27" t="s">
        <v>38</v>
      </c>
      <c r="N83" s="13" t="s">
        <v>40</v>
      </c>
      <c r="O83" s="13" t="s">
        <v>42</v>
      </c>
      <c r="P83" s="156"/>
      <c r="Q83" s="13" t="s">
        <v>44</v>
      </c>
      <c r="R83" s="13" t="s">
        <v>46</v>
      </c>
      <c r="S83" s="13"/>
      <c r="T83" s="159"/>
      <c r="U83" s="13"/>
      <c r="V83" s="156">
        <v>5.0</v>
      </c>
    </row>
    <row r="84" ht="66.0" customHeight="1">
      <c r="A84" s="13">
        <v>83.0</v>
      </c>
      <c r="B84" s="15">
        <v>46146.0</v>
      </c>
      <c r="C84" s="13" t="s">
        <v>47</v>
      </c>
      <c r="D84" s="13" t="s">
        <v>48</v>
      </c>
      <c r="E84" s="13" t="s">
        <v>27</v>
      </c>
      <c r="F84" s="12" t="s">
        <v>27</v>
      </c>
      <c r="G84" s="20" t="s">
        <v>71</v>
      </c>
      <c r="H84" s="13" t="s">
        <v>163</v>
      </c>
      <c r="I84" s="20" t="s">
        <v>3286</v>
      </c>
      <c r="J84" s="20" t="s">
        <v>3287</v>
      </c>
      <c r="K84" s="13" t="s">
        <v>78</v>
      </c>
      <c r="L84" s="155"/>
      <c r="M84" s="27" t="s">
        <v>55</v>
      </c>
      <c r="N84" s="13" t="s">
        <v>56</v>
      </c>
      <c r="O84" s="13" t="s">
        <v>42</v>
      </c>
      <c r="P84" s="156"/>
      <c r="Q84" s="13" t="s">
        <v>49</v>
      </c>
      <c r="R84" s="13" t="s">
        <v>46</v>
      </c>
      <c r="S84" s="13"/>
      <c r="T84" s="155"/>
      <c r="U84" s="13"/>
      <c r="V84" s="127"/>
    </row>
    <row r="85">
      <c r="A85" s="13">
        <v>84.0</v>
      </c>
      <c r="B85" s="15">
        <v>46146.0</v>
      </c>
      <c r="C85" s="13" t="s">
        <v>58</v>
      </c>
      <c r="D85" s="13" t="s">
        <v>92</v>
      </c>
      <c r="E85" s="20" t="s">
        <v>3290</v>
      </c>
      <c r="F85" s="12">
        <v>5.54026658E8</v>
      </c>
      <c r="G85" s="20" t="s">
        <v>71</v>
      </c>
      <c r="H85" s="13" t="s">
        <v>3294</v>
      </c>
      <c r="I85" s="61" t="s">
        <v>3295</v>
      </c>
      <c r="J85" s="20"/>
      <c r="K85" s="13" t="s">
        <v>36</v>
      </c>
      <c r="L85" s="155">
        <v>0.5208333333333334</v>
      </c>
      <c r="M85" s="27" t="s">
        <v>38</v>
      </c>
      <c r="N85" s="13" t="s">
        <v>40</v>
      </c>
      <c r="O85" s="13" t="s">
        <v>42</v>
      </c>
      <c r="P85" s="156"/>
      <c r="Q85" s="13" t="s">
        <v>49</v>
      </c>
      <c r="R85" s="13" t="s">
        <v>46</v>
      </c>
      <c r="S85" s="20" t="s">
        <v>2632</v>
      </c>
      <c r="T85" s="155">
        <v>0.5625</v>
      </c>
      <c r="U85" s="13" t="s">
        <v>44</v>
      </c>
      <c r="V85" s="156">
        <v>5.0</v>
      </c>
    </row>
    <row r="86" ht="27.0" customHeight="1">
      <c r="A86" s="13">
        <v>85.0</v>
      </c>
      <c r="B86" s="15">
        <v>46146.0</v>
      </c>
      <c r="C86" s="13" t="s">
        <v>21</v>
      </c>
      <c r="D86" s="13" t="s">
        <v>24</v>
      </c>
      <c r="E86" s="20" t="s">
        <v>3304</v>
      </c>
      <c r="F86" s="12">
        <v>5.44795592E8</v>
      </c>
      <c r="G86" s="20" t="s">
        <v>41</v>
      </c>
      <c r="H86" s="13" t="s">
        <v>27</v>
      </c>
      <c r="I86" s="20" t="s">
        <v>3306</v>
      </c>
      <c r="J86" s="20"/>
      <c r="K86" s="13" t="s">
        <v>36</v>
      </c>
      <c r="L86" s="155"/>
      <c r="M86" s="27" t="s">
        <v>38</v>
      </c>
      <c r="N86" s="13" t="s">
        <v>40</v>
      </c>
      <c r="O86" s="13" t="s">
        <v>42</v>
      </c>
      <c r="P86" s="156"/>
      <c r="Q86" s="13" t="s">
        <v>44</v>
      </c>
      <c r="R86" s="13" t="s">
        <v>46</v>
      </c>
      <c r="S86" s="13"/>
      <c r="T86" s="159"/>
      <c r="U86" s="13"/>
      <c r="V86" s="156">
        <v>5.0</v>
      </c>
    </row>
    <row r="87">
      <c r="A87" s="13">
        <v>86.0</v>
      </c>
      <c r="B87" s="15">
        <v>46146.0</v>
      </c>
      <c r="C87" s="13" t="s">
        <v>58</v>
      </c>
      <c r="D87" s="13" t="s">
        <v>60</v>
      </c>
      <c r="E87" s="13" t="s">
        <v>27</v>
      </c>
      <c r="F87" s="12">
        <v>5.07116331E8</v>
      </c>
      <c r="G87" s="13" t="s">
        <v>27</v>
      </c>
      <c r="H87" s="13" t="s">
        <v>27</v>
      </c>
      <c r="I87" s="20" t="s">
        <v>484</v>
      </c>
      <c r="J87" s="20"/>
      <c r="K87" s="13" t="s">
        <v>36</v>
      </c>
      <c r="L87" s="159">
        <v>0.3958333333333333</v>
      </c>
      <c r="M87" s="27" t="s">
        <v>88</v>
      </c>
      <c r="N87" s="13" t="s">
        <v>56</v>
      </c>
      <c r="O87" s="13" t="s">
        <v>42</v>
      </c>
      <c r="P87" s="156"/>
      <c r="Q87" s="13" t="s">
        <v>44</v>
      </c>
      <c r="R87" s="13"/>
      <c r="S87" s="20" t="s">
        <v>2632</v>
      </c>
      <c r="T87" s="155">
        <v>0.4861111111111111</v>
      </c>
      <c r="U87" s="13" t="s">
        <v>44</v>
      </c>
      <c r="V87" s="156">
        <v>5.0</v>
      </c>
    </row>
    <row r="88">
      <c r="A88" s="13">
        <v>87.0</v>
      </c>
      <c r="B88" s="15">
        <v>46146.0</v>
      </c>
      <c r="C88" s="13" t="s">
        <v>21</v>
      </c>
      <c r="D88" s="13" t="s">
        <v>24</v>
      </c>
      <c r="E88" s="20" t="s">
        <v>284</v>
      </c>
      <c r="F88" s="12">
        <v>5.00776659E8</v>
      </c>
      <c r="G88" s="20" t="s">
        <v>152</v>
      </c>
      <c r="H88" s="13" t="s">
        <v>27</v>
      </c>
      <c r="I88" s="20" t="s">
        <v>3317</v>
      </c>
      <c r="J88" s="20"/>
      <c r="K88" s="13" t="s">
        <v>36</v>
      </c>
      <c r="L88" s="155"/>
      <c r="M88" s="27" t="s">
        <v>653</v>
      </c>
      <c r="N88" s="13" t="s">
        <v>40</v>
      </c>
      <c r="O88" s="13" t="s">
        <v>42</v>
      </c>
      <c r="P88" s="156"/>
      <c r="Q88" s="13" t="s">
        <v>44</v>
      </c>
      <c r="R88" s="13" t="s">
        <v>46</v>
      </c>
      <c r="S88" s="13"/>
      <c r="T88" s="159"/>
      <c r="U88" s="13"/>
      <c r="V88" s="156">
        <v>5.0</v>
      </c>
    </row>
    <row r="89">
      <c r="A89" s="13">
        <v>88.0</v>
      </c>
      <c r="B89" s="15">
        <v>46146.0</v>
      </c>
      <c r="C89" s="13" t="s">
        <v>21</v>
      </c>
      <c r="D89" s="13" t="s">
        <v>22</v>
      </c>
      <c r="E89" s="20" t="s">
        <v>3324</v>
      </c>
      <c r="F89" s="12">
        <v>5.07311227E8</v>
      </c>
      <c r="G89" s="20" t="s">
        <v>319</v>
      </c>
      <c r="H89" s="13" t="s">
        <v>27</v>
      </c>
      <c r="I89" s="20" t="s">
        <v>3326</v>
      </c>
      <c r="J89" s="20"/>
      <c r="K89" s="13" t="s">
        <v>36</v>
      </c>
      <c r="L89" s="159"/>
      <c r="M89" s="27" t="s">
        <v>38</v>
      </c>
      <c r="N89" s="13" t="s">
        <v>56</v>
      </c>
      <c r="O89" s="13" t="s">
        <v>42</v>
      </c>
      <c r="P89" s="156"/>
      <c r="Q89" s="13" t="s">
        <v>44</v>
      </c>
      <c r="R89" s="13" t="s">
        <v>46</v>
      </c>
      <c r="S89" s="20"/>
      <c r="T89" s="159"/>
      <c r="U89" s="13"/>
      <c r="V89" s="127"/>
    </row>
    <row r="90" ht="90.75" customHeight="1">
      <c r="A90" s="13">
        <v>89.0</v>
      </c>
      <c r="B90" s="15">
        <v>46146.0</v>
      </c>
      <c r="C90" s="13" t="s">
        <v>47</v>
      </c>
      <c r="D90" s="13" t="s">
        <v>48</v>
      </c>
      <c r="E90" s="20" t="s">
        <v>3331</v>
      </c>
      <c r="F90" s="12" t="s">
        <v>27</v>
      </c>
      <c r="G90" s="20" t="s">
        <v>71</v>
      </c>
      <c r="H90" s="13" t="s">
        <v>72</v>
      </c>
      <c r="I90" s="20" t="s">
        <v>3333</v>
      </c>
      <c r="J90" s="20" t="s">
        <v>3334</v>
      </c>
      <c r="K90" s="13" t="s">
        <v>78</v>
      </c>
      <c r="L90" s="155"/>
      <c r="M90" s="27" t="s">
        <v>55</v>
      </c>
      <c r="N90" s="13" t="s">
        <v>40</v>
      </c>
      <c r="O90" s="13" t="s">
        <v>42</v>
      </c>
      <c r="P90" s="156"/>
      <c r="Q90" s="13" t="s">
        <v>49</v>
      </c>
      <c r="R90" s="13" t="s">
        <v>46</v>
      </c>
      <c r="S90" s="13"/>
      <c r="T90" s="155"/>
      <c r="U90" s="13"/>
      <c r="V90" s="127"/>
    </row>
    <row r="91">
      <c r="A91" s="13">
        <v>90.0</v>
      </c>
      <c r="B91" s="15">
        <v>46146.0</v>
      </c>
      <c r="C91" s="13" t="s">
        <v>58</v>
      </c>
      <c r="D91" s="13" t="s">
        <v>60</v>
      </c>
      <c r="E91" s="13" t="s">
        <v>27</v>
      </c>
      <c r="F91" s="12">
        <v>5.39423774E8</v>
      </c>
      <c r="G91" s="13" t="s">
        <v>27</v>
      </c>
      <c r="H91" s="13" t="s">
        <v>27</v>
      </c>
      <c r="I91" s="20" t="s">
        <v>3343</v>
      </c>
      <c r="J91" s="20"/>
      <c r="K91" s="13" t="s">
        <v>36</v>
      </c>
      <c r="L91" s="159">
        <v>0.6680555555555555</v>
      </c>
      <c r="M91" s="27" t="s">
        <v>150</v>
      </c>
      <c r="N91" s="13" t="s">
        <v>56</v>
      </c>
      <c r="O91" s="13" t="s">
        <v>42</v>
      </c>
      <c r="P91" s="156"/>
      <c r="Q91" s="13" t="s">
        <v>44</v>
      </c>
      <c r="R91" s="13"/>
      <c r="S91" s="20" t="s">
        <v>2632</v>
      </c>
      <c r="T91" s="155">
        <v>0.6277777777777778</v>
      </c>
      <c r="U91" s="13" t="s">
        <v>44</v>
      </c>
      <c r="V91" s="156">
        <v>5.0</v>
      </c>
    </row>
    <row r="92">
      <c r="A92" s="13">
        <v>91.0</v>
      </c>
      <c r="B92" s="15">
        <v>46147.0</v>
      </c>
      <c r="C92" s="13" t="s">
        <v>47</v>
      </c>
      <c r="D92" s="13" t="s">
        <v>48</v>
      </c>
      <c r="E92" s="20" t="s">
        <v>3346</v>
      </c>
      <c r="F92" s="160">
        <v>5.02510056E8</v>
      </c>
      <c r="G92" s="162" t="s">
        <v>41</v>
      </c>
      <c r="H92" s="13" t="s">
        <v>222</v>
      </c>
      <c r="I92" s="20" t="s">
        <v>3350</v>
      </c>
      <c r="J92" s="20" t="s">
        <v>3351</v>
      </c>
      <c r="K92" s="13" t="s">
        <v>36</v>
      </c>
      <c r="L92" s="159">
        <v>0.6277777777777778</v>
      </c>
      <c r="M92" s="75" t="s">
        <v>3355</v>
      </c>
      <c r="N92" s="13" t="s">
        <v>56</v>
      </c>
      <c r="O92" s="13" t="s">
        <v>42</v>
      </c>
      <c r="P92" s="156"/>
      <c r="Q92" s="13" t="s">
        <v>44</v>
      </c>
      <c r="R92" s="13" t="s">
        <v>46</v>
      </c>
      <c r="S92" s="20" t="s">
        <v>2632</v>
      </c>
      <c r="T92" s="155">
        <v>0.5625</v>
      </c>
      <c r="U92" s="13" t="s">
        <v>44</v>
      </c>
      <c r="V92" s="156">
        <v>5.0</v>
      </c>
    </row>
    <row r="93">
      <c r="A93" s="13">
        <v>92.0</v>
      </c>
      <c r="B93" s="15">
        <v>46147.0</v>
      </c>
      <c r="C93" s="13" t="s">
        <v>58</v>
      </c>
      <c r="D93" s="13" t="s">
        <v>60</v>
      </c>
      <c r="E93" s="13" t="s">
        <v>27</v>
      </c>
      <c r="F93" s="12">
        <v>5.59333622E8</v>
      </c>
      <c r="G93" s="13" t="s">
        <v>27</v>
      </c>
      <c r="H93" s="13" t="s">
        <v>27</v>
      </c>
      <c r="I93" s="20" t="s">
        <v>3360</v>
      </c>
      <c r="J93" s="20"/>
      <c r="K93" s="13" t="s">
        <v>36</v>
      </c>
      <c r="L93" s="155">
        <v>0.6131944444444445</v>
      </c>
      <c r="M93" s="27" t="s">
        <v>323</v>
      </c>
      <c r="N93" s="13" t="s">
        <v>56</v>
      </c>
      <c r="O93" s="13" t="s">
        <v>42</v>
      </c>
      <c r="P93" s="156"/>
      <c r="Q93" s="13" t="s">
        <v>44</v>
      </c>
      <c r="R93" s="13"/>
      <c r="S93" s="20" t="s">
        <v>2632</v>
      </c>
      <c r="T93" s="155">
        <v>0.6131944444444445</v>
      </c>
      <c r="U93" s="13" t="s">
        <v>44</v>
      </c>
      <c r="V93" s="156">
        <v>5.0</v>
      </c>
    </row>
    <row r="94">
      <c r="A94" s="13">
        <v>93.0</v>
      </c>
      <c r="B94" s="15">
        <v>46147.0</v>
      </c>
      <c r="C94" s="13" t="s">
        <v>21</v>
      </c>
      <c r="D94" s="13" t="s">
        <v>22</v>
      </c>
      <c r="E94" s="20" t="s">
        <v>3364</v>
      </c>
      <c r="F94" s="12">
        <v>5.67473729E8</v>
      </c>
      <c r="G94" s="20" t="s">
        <v>71</v>
      </c>
      <c r="H94" s="13" t="s">
        <v>27</v>
      </c>
      <c r="I94" s="20" t="s">
        <v>3367</v>
      </c>
      <c r="J94" s="20"/>
      <c r="K94" s="13" t="s">
        <v>62</v>
      </c>
      <c r="L94" s="159"/>
      <c r="M94" s="27" t="s">
        <v>975</v>
      </c>
      <c r="N94" s="13" t="s">
        <v>56</v>
      </c>
      <c r="O94" s="13" t="s">
        <v>42</v>
      </c>
      <c r="P94" s="156"/>
      <c r="Q94" s="13" t="s">
        <v>44</v>
      </c>
      <c r="R94" s="13" t="s">
        <v>46</v>
      </c>
      <c r="S94" s="20"/>
      <c r="T94" s="159"/>
      <c r="U94" s="13"/>
      <c r="V94" s="127"/>
    </row>
    <row r="95">
      <c r="A95" s="13">
        <v>94.0</v>
      </c>
      <c r="B95" s="15">
        <v>46147.0</v>
      </c>
      <c r="C95" s="13" t="s">
        <v>47</v>
      </c>
      <c r="D95" s="13" t="s">
        <v>60</v>
      </c>
      <c r="E95" s="20" t="s">
        <v>3374</v>
      </c>
      <c r="F95" s="12">
        <v>5.35492023E8</v>
      </c>
      <c r="G95" s="20" t="s">
        <v>41</v>
      </c>
      <c r="H95" s="13" t="s">
        <v>52</v>
      </c>
      <c r="I95" s="20" t="s">
        <v>3376</v>
      </c>
      <c r="J95" s="20" t="s">
        <v>3378</v>
      </c>
      <c r="K95" s="13" t="s">
        <v>36</v>
      </c>
      <c r="L95" s="155">
        <v>0.5208333333333334</v>
      </c>
      <c r="M95" s="27" t="s">
        <v>1148</v>
      </c>
      <c r="N95" s="13" t="s">
        <v>56</v>
      </c>
      <c r="O95" s="13" t="s">
        <v>42</v>
      </c>
      <c r="P95" s="156"/>
      <c r="Q95" s="13" t="s">
        <v>44</v>
      </c>
      <c r="R95" s="13"/>
      <c r="S95" s="20" t="s">
        <v>2632</v>
      </c>
      <c r="T95" s="155">
        <v>0.5625</v>
      </c>
      <c r="U95" s="13" t="s">
        <v>44</v>
      </c>
      <c r="V95" s="156">
        <v>5.0</v>
      </c>
    </row>
    <row r="96">
      <c r="A96" s="13">
        <v>95.0</v>
      </c>
      <c r="B96" s="15">
        <v>46147.0</v>
      </c>
      <c r="C96" s="13" t="s">
        <v>47</v>
      </c>
      <c r="D96" s="13" t="s">
        <v>60</v>
      </c>
      <c r="E96" s="20" t="s">
        <v>3387</v>
      </c>
      <c r="F96" s="12">
        <v>5.05540099E8</v>
      </c>
      <c r="G96" s="20" t="s">
        <v>41</v>
      </c>
      <c r="H96" s="13" t="s">
        <v>956</v>
      </c>
      <c r="I96" s="20" t="s">
        <v>3392</v>
      </c>
      <c r="J96" s="20"/>
      <c r="K96" s="13" t="s">
        <v>36</v>
      </c>
      <c r="L96" s="155">
        <v>0.5208333333333334</v>
      </c>
      <c r="M96" s="27" t="s">
        <v>55</v>
      </c>
      <c r="N96" s="13" t="s">
        <v>40</v>
      </c>
      <c r="O96" s="13" t="s">
        <v>42</v>
      </c>
      <c r="P96" s="156"/>
      <c r="Q96" s="13" t="s">
        <v>44</v>
      </c>
      <c r="R96" s="13" t="s">
        <v>46</v>
      </c>
      <c r="S96" s="20" t="s">
        <v>2632</v>
      </c>
      <c r="T96" s="155">
        <v>0.5625</v>
      </c>
      <c r="U96" s="13" t="s">
        <v>44</v>
      </c>
      <c r="V96" s="156">
        <v>5.0</v>
      </c>
    </row>
    <row r="97">
      <c r="A97" s="13">
        <v>96.0</v>
      </c>
      <c r="B97" s="15">
        <v>46147.0</v>
      </c>
      <c r="C97" s="13" t="s">
        <v>21</v>
      </c>
      <c r="D97" s="13" t="s">
        <v>24</v>
      </c>
      <c r="E97" s="20" t="s">
        <v>2832</v>
      </c>
      <c r="F97" s="12">
        <v>5.50409133E8</v>
      </c>
      <c r="G97" s="20" t="s">
        <v>319</v>
      </c>
      <c r="H97" s="13" t="s">
        <v>27</v>
      </c>
      <c r="I97" s="20" t="s">
        <v>3399</v>
      </c>
      <c r="J97" s="20"/>
      <c r="K97" s="13" t="s">
        <v>62</v>
      </c>
      <c r="L97" s="159"/>
      <c r="M97" s="27" t="s">
        <v>3401</v>
      </c>
      <c r="N97" s="13" t="s">
        <v>40</v>
      </c>
      <c r="O97" s="13" t="s">
        <v>42</v>
      </c>
      <c r="P97" s="156"/>
      <c r="Q97" s="13" t="s">
        <v>44</v>
      </c>
      <c r="R97" s="13" t="s">
        <v>46</v>
      </c>
      <c r="S97" s="13"/>
      <c r="T97" s="159"/>
      <c r="U97" s="13"/>
      <c r="V97" s="156">
        <v>5.0</v>
      </c>
    </row>
    <row r="98">
      <c r="A98" s="13">
        <v>97.0</v>
      </c>
      <c r="B98" s="15">
        <v>46147.0</v>
      </c>
      <c r="C98" s="13" t="s">
        <v>21</v>
      </c>
      <c r="D98" s="13" t="s">
        <v>22</v>
      </c>
      <c r="E98" s="20" t="s">
        <v>405</v>
      </c>
      <c r="F98" s="12">
        <v>5.55312561E8</v>
      </c>
      <c r="G98" s="20" t="s">
        <v>319</v>
      </c>
      <c r="H98" s="13" t="s">
        <v>27</v>
      </c>
      <c r="I98" s="20" t="s">
        <v>3407</v>
      </c>
      <c r="J98" s="20"/>
      <c r="K98" s="13" t="s">
        <v>36</v>
      </c>
      <c r="L98" s="159"/>
      <c r="M98" s="27" t="s">
        <v>1008</v>
      </c>
      <c r="N98" s="13" t="s">
        <v>56</v>
      </c>
      <c r="O98" s="13" t="s">
        <v>42</v>
      </c>
      <c r="P98" s="156"/>
      <c r="Q98" s="13" t="s">
        <v>44</v>
      </c>
      <c r="R98" s="13" t="s">
        <v>46</v>
      </c>
      <c r="S98" s="20"/>
      <c r="T98" s="159"/>
      <c r="U98" s="13"/>
      <c r="V98" s="127"/>
    </row>
    <row r="99">
      <c r="A99" s="13">
        <v>98.0</v>
      </c>
      <c r="B99" s="15">
        <v>46147.0</v>
      </c>
      <c r="C99" s="13" t="s">
        <v>47</v>
      </c>
      <c r="D99" s="13" t="s">
        <v>60</v>
      </c>
      <c r="E99" s="20" t="s">
        <v>3416</v>
      </c>
      <c r="F99" s="12">
        <v>5.06033642E8</v>
      </c>
      <c r="G99" s="20" t="s">
        <v>41</v>
      </c>
      <c r="H99" s="13" t="s">
        <v>513</v>
      </c>
      <c r="I99" s="20" t="s">
        <v>3419</v>
      </c>
      <c r="J99" s="20"/>
      <c r="K99" s="13" t="s">
        <v>36</v>
      </c>
      <c r="L99" s="155">
        <v>0.5208333333333334</v>
      </c>
      <c r="M99" s="27" t="s">
        <v>101</v>
      </c>
      <c r="N99" s="13" t="s">
        <v>40</v>
      </c>
      <c r="O99" s="13" t="s">
        <v>42</v>
      </c>
      <c r="P99" s="156"/>
      <c r="Q99" s="13" t="s">
        <v>44</v>
      </c>
      <c r="R99" s="13" t="s">
        <v>46</v>
      </c>
      <c r="S99" s="20" t="s">
        <v>2632</v>
      </c>
      <c r="T99" s="155">
        <v>0.5625</v>
      </c>
      <c r="U99" s="13" t="s">
        <v>44</v>
      </c>
      <c r="V99" s="156">
        <v>5.0</v>
      </c>
    </row>
    <row r="100">
      <c r="A100" s="13">
        <v>99.0</v>
      </c>
      <c r="B100" s="15">
        <v>46147.0</v>
      </c>
      <c r="C100" s="13" t="s">
        <v>21</v>
      </c>
      <c r="D100" s="13" t="s">
        <v>60</v>
      </c>
      <c r="E100" s="13" t="s">
        <v>27</v>
      </c>
      <c r="F100" s="12">
        <v>5.63185614E8</v>
      </c>
      <c r="G100" s="20" t="s">
        <v>41</v>
      </c>
      <c r="H100" s="13" t="s">
        <v>27</v>
      </c>
      <c r="I100" s="20" t="s">
        <v>3427</v>
      </c>
      <c r="J100" s="20"/>
      <c r="K100" s="13" t="s">
        <v>36</v>
      </c>
      <c r="L100" s="155">
        <v>0.5208333333333334</v>
      </c>
      <c r="M100" s="27" t="s">
        <v>1883</v>
      </c>
      <c r="N100" s="13" t="s">
        <v>40</v>
      </c>
      <c r="O100" s="13" t="s">
        <v>42</v>
      </c>
      <c r="P100" s="156"/>
      <c r="Q100" s="13" t="s">
        <v>49</v>
      </c>
      <c r="R100" s="13"/>
      <c r="S100" s="13"/>
      <c r="T100" s="155"/>
      <c r="U100" s="13"/>
      <c r="V100" s="127"/>
    </row>
    <row r="101">
      <c r="A101" s="13">
        <v>100.0</v>
      </c>
      <c r="B101" s="15">
        <v>46147.0</v>
      </c>
      <c r="C101" s="13" t="s">
        <v>21</v>
      </c>
      <c r="D101" s="13" t="s">
        <v>22</v>
      </c>
      <c r="E101" s="20" t="s">
        <v>3433</v>
      </c>
      <c r="F101" s="12">
        <v>5.6388303E8</v>
      </c>
      <c r="G101" s="20" t="s">
        <v>29</v>
      </c>
      <c r="H101" s="13" t="s">
        <v>27</v>
      </c>
      <c r="I101" s="20" t="s">
        <v>3434</v>
      </c>
      <c r="J101" s="20"/>
      <c r="K101" s="13" t="s">
        <v>36</v>
      </c>
      <c r="L101" s="155"/>
      <c r="M101" s="27" t="s">
        <v>101</v>
      </c>
      <c r="N101" s="13" t="s">
        <v>40</v>
      </c>
      <c r="O101" s="13" t="s">
        <v>42</v>
      </c>
      <c r="P101" s="156"/>
      <c r="Q101" s="13" t="s">
        <v>49</v>
      </c>
      <c r="R101" s="13" t="s">
        <v>46</v>
      </c>
      <c r="S101" s="20"/>
      <c r="T101" s="155"/>
      <c r="U101" s="13"/>
      <c r="V101" s="127"/>
    </row>
    <row r="102">
      <c r="A102" s="13">
        <v>101.0</v>
      </c>
      <c r="B102" s="15">
        <v>46147.0</v>
      </c>
      <c r="C102" s="13" t="s">
        <v>47</v>
      </c>
      <c r="D102" s="13" t="s">
        <v>92</v>
      </c>
      <c r="E102" s="13" t="s">
        <v>3328</v>
      </c>
      <c r="F102" s="12" t="s">
        <v>27</v>
      </c>
      <c r="G102" s="20" t="s">
        <v>3439</v>
      </c>
      <c r="H102" s="13" t="s">
        <v>735</v>
      </c>
      <c r="I102" s="20" t="s">
        <v>3440</v>
      </c>
      <c r="J102" s="20" t="s">
        <v>3441</v>
      </c>
      <c r="K102" s="13" t="s">
        <v>78</v>
      </c>
      <c r="L102" s="155"/>
      <c r="M102" s="27" t="s">
        <v>55</v>
      </c>
      <c r="N102" s="13" t="s">
        <v>56</v>
      </c>
      <c r="O102" s="13" t="s">
        <v>42</v>
      </c>
      <c r="P102" s="156"/>
      <c r="Q102" s="13" t="s">
        <v>49</v>
      </c>
      <c r="R102" s="13" t="s">
        <v>46</v>
      </c>
      <c r="S102" s="13"/>
      <c r="T102" s="155"/>
      <c r="U102" s="13"/>
      <c r="V102" s="127"/>
    </row>
    <row r="103">
      <c r="A103" s="13">
        <v>102.0</v>
      </c>
      <c r="B103" s="15">
        <v>46147.0</v>
      </c>
      <c r="C103" s="13" t="s">
        <v>21</v>
      </c>
      <c r="D103" s="13" t="s">
        <v>34</v>
      </c>
      <c r="E103" s="20" t="s">
        <v>3444</v>
      </c>
      <c r="F103" s="12">
        <v>5.43129025E8</v>
      </c>
      <c r="G103" s="13" t="s">
        <v>27</v>
      </c>
      <c r="H103" s="13" t="s">
        <v>27</v>
      </c>
      <c r="I103" s="20" t="s">
        <v>3445</v>
      </c>
      <c r="J103" s="20"/>
      <c r="K103" s="13" t="s">
        <v>39</v>
      </c>
      <c r="L103" s="159">
        <v>0.3958333333333333</v>
      </c>
      <c r="M103" s="27" t="s">
        <v>51</v>
      </c>
      <c r="N103" s="13" t="s">
        <v>40</v>
      </c>
      <c r="O103" s="13" t="s">
        <v>42</v>
      </c>
      <c r="P103" s="156"/>
      <c r="Q103" s="13" t="s">
        <v>49</v>
      </c>
      <c r="R103" s="13"/>
      <c r="S103" s="13"/>
      <c r="T103" s="155"/>
      <c r="U103" s="13"/>
      <c r="V103" s="127"/>
    </row>
    <row r="104" ht="114.75" customHeight="1">
      <c r="A104" s="13">
        <v>103.0</v>
      </c>
      <c r="B104" s="15">
        <v>46147.0</v>
      </c>
      <c r="C104" s="13" t="s">
        <v>21</v>
      </c>
      <c r="D104" s="13" t="s">
        <v>34</v>
      </c>
      <c r="E104" s="20" t="s">
        <v>3451</v>
      </c>
      <c r="F104" s="12">
        <v>5.36115062E8</v>
      </c>
      <c r="G104" s="13" t="s">
        <v>27</v>
      </c>
      <c r="H104" s="13" t="s">
        <v>27</v>
      </c>
      <c r="I104" s="20" t="s">
        <v>3452</v>
      </c>
      <c r="J104" s="20"/>
      <c r="K104" s="13" t="s">
        <v>39</v>
      </c>
      <c r="L104" s="155">
        <v>0.6784722222222223</v>
      </c>
      <c r="M104" s="27" t="s">
        <v>101</v>
      </c>
      <c r="N104" s="13" t="s">
        <v>40</v>
      </c>
      <c r="O104" s="13" t="s">
        <v>42</v>
      </c>
      <c r="P104" s="156"/>
      <c r="Q104" s="13" t="s">
        <v>49</v>
      </c>
      <c r="R104" s="13"/>
      <c r="S104" s="13"/>
      <c r="T104" s="155"/>
      <c r="U104" s="13"/>
      <c r="V104" s="127"/>
    </row>
    <row r="105">
      <c r="A105" s="13">
        <v>104.0</v>
      </c>
      <c r="B105" s="15">
        <v>46147.0</v>
      </c>
      <c r="C105" s="13" t="s">
        <v>21</v>
      </c>
      <c r="D105" s="13" t="s">
        <v>34</v>
      </c>
      <c r="E105" s="20" t="s">
        <v>3457</v>
      </c>
      <c r="F105" s="12">
        <v>5.47167255E8</v>
      </c>
      <c r="G105" s="13" t="s">
        <v>27</v>
      </c>
      <c r="H105" s="13" t="s">
        <v>27</v>
      </c>
      <c r="I105" s="20" t="s">
        <v>3459</v>
      </c>
      <c r="J105" s="20"/>
      <c r="K105" s="13" t="s">
        <v>39</v>
      </c>
      <c r="L105" s="159">
        <v>0.6131944444444445</v>
      </c>
      <c r="M105" s="27" t="s">
        <v>51</v>
      </c>
      <c r="N105" s="13" t="s">
        <v>40</v>
      </c>
      <c r="O105" s="13" t="s">
        <v>42</v>
      </c>
      <c r="P105" s="156"/>
      <c r="Q105" s="13" t="s">
        <v>49</v>
      </c>
      <c r="R105" s="13"/>
      <c r="S105" s="13"/>
      <c r="T105" s="155"/>
      <c r="U105" s="13"/>
      <c r="V105" s="127"/>
    </row>
    <row r="106">
      <c r="A106" s="13">
        <v>105.0</v>
      </c>
      <c r="B106" s="15">
        <v>46147.0</v>
      </c>
      <c r="C106" s="13" t="s">
        <v>21</v>
      </c>
      <c r="D106" s="13" t="s">
        <v>34</v>
      </c>
      <c r="E106" s="20" t="s">
        <v>3465</v>
      </c>
      <c r="F106" s="12">
        <v>5.3723886E8</v>
      </c>
      <c r="G106" s="13" t="s">
        <v>27</v>
      </c>
      <c r="H106" s="13" t="s">
        <v>27</v>
      </c>
      <c r="I106" s="20" t="s">
        <v>3466</v>
      </c>
      <c r="J106" s="20"/>
      <c r="K106" s="13" t="s">
        <v>39</v>
      </c>
      <c r="L106" s="155">
        <v>0.6680555555555555</v>
      </c>
      <c r="M106" s="27" t="s">
        <v>38</v>
      </c>
      <c r="N106" s="13" t="s">
        <v>40</v>
      </c>
      <c r="O106" s="13" t="s">
        <v>42</v>
      </c>
      <c r="P106" s="156"/>
      <c r="Q106" s="13" t="s">
        <v>49</v>
      </c>
      <c r="R106" s="13"/>
      <c r="S106" s="13"/>
      <c r="T106" s="155"/>
      <c r="U106" s="13"/>
      <c r="V106" s="127"/>
    </row>
    <row r="107">
      <c r="A107" s="13">
        <v>106.0</v>
      </c>
      <c r="B107" s="15">
        <v>46147.0</v>
      </c>
      <c r="C107" s="13" t="s">
        <v>21</v>
      </c>
      <c r="D107" s="13" t="s">
        <v>34</v>
      </c>
      <c r="E107" s="20" t="s">
        <v>3471</v>
      </c>
      <c r="F107" s="12">
        <v>5.59828298E8</v>
      </c>
      <c r="G107" s="13" t="s">
        <v>27</v>
      </c>
      <c r="H107" s="13" t="s">
        <v>27</v>
      </c>
      <c r="I107" s="20" t="s">
        <v>3473</v>
      </c>
      <c r="J107" s="20"/>
      <c r="K107" s="13" t="s">
        <v>39</v>
      </c>
      <c r="L107" s="159">
        <v>0.6680555555555555</v>
      </c>
      <c r="M107" s="27" t="s">
        <v>38</v>
      </c>
      <c r="N107" s="13" t="s">
        <v>40</v>
      </c>
      <c r="O107" s="13" t="s">
        <v>42</v>
      </c>
      <c r="P107" s="156"/>
      <c r="Q107" s="13" t="s">
        <v>49</v>
      </c>
      <c r="R107" s="13"/>
      <c r="S107" s="13"/>
      <c r="T107" s="155"/>
      <c r="U107" s="13"/>
      <c r="V107" s="127"/>
    </row>
    <row r="108">
      <c r="A108" s="13">
        <v>107.0</v>
      </c>
      <c r="B108" s="15">
        <v>46147.0</v>
      </c>
      <c r="C108" s="13" t="s">
        <v>21</v>
      </c>
      <c r="D108" s="13" t="s">
        <v>34</v>
      </c>
      <c r="E108" s="20" t="s">
        <v>3479</v>
      </c>
      <c r="F108" s="12">
        <v>5.6897366E8</v>
      </c>
      <c r="G108" s="13" t="s">
        <v>27</v>
      </c>
      <c r="H108" s="13" t="s">
        <v>27</v>
      </c>
      <c r="I108" s="20" t="s">
        <v>3480</v>
      </c>
      <c r="J108" s="20"/>
      <c r="K108" s="13" t="s">
        <v>39</v>
      </c>
      <c r="L108" s="159">
        <v>0.6277777777777778</v>
      </c>
      <c r="M108" s="27" t="s">
        <v>38</v>
      </c>
      <c r="N108" s="13" t="s">
        <v>40</v>
      </c>
      <c r="O108" s="13" t="s">
        <v>42</v>
      </c>
      <c r="P108" s="156"/>
      <c r="Q108" s="13" t="s">
        <v>49</v>
      </c>
      <c r="R108" s="13"/>
      <c r="S108" s="13"/>
      <c r="T108" s="155"/>
      <c r="U108" s="13"/>
      <c r="V108" s="127"/>
    </row>
    <row r="109">
      <c r="A109" s="13">
        <v>108.0</v>
      </c>
      <c r="B109" s="15">
        <v>46147.0</v>
      </c>
      <c r="C109" s="13" t="s">
        <v>21</v>
      </c>
      <c r="D109" s="13" t="s">
        <v>22</v>
      </c>
      <c r="E109" s="20" t="s">
        <v>3486</v>
      </c>
      <c r="F109" s="12">
        <v>5.54006111E8</v>
      </c>
      <c r="G109" s="20" t="s">
        <v>29</v>
      </c>
      <c r="H109" s="13" t="s">
        <v>27</v>
      </c>
      <c r="I109" s="20" t="s">
        <v>3489</v>
      </c>
      <c r="J109" s="20"/>
      <c r="K109" s="13" t="s">
        <v>39</v>
      </c>
      <c r="L109" s="155"/>
      <c r="M109" s="27" t="s">
        <v>38</v>
      </c>
      <c r="N109" s="13" t="s">
        <v>40</v>
      </c>
      <c r="O109" s="13" t="s">
        <v>42</v>
      </c>
      <c r="P109" s="156"/>
      <c r="Q109" s="13" t="s">
        <v>49</v>
      </c>
      <c r="R109" s="13" t="s">
        <v>46</v>
      </c>
      <c r="S109" s="20"/>
      <c r="T109" s="155"/>
      <c r="U109" s="13"/>
      <c r="V109" s="127"/>
    </row>
    <row r="110" ht="29.25" customHeight="1">
      <c r="A110" s="13">
        <v>109.0</v>
      </c>
      <c r="B110" s="15">
        <v>46147.0</v>
      </c>
      <c r="C110" s="13" t="s">
        <v>21</v>
      </c>
      <c r="D110" s="13" t="s">
        <v>22</v>
      </c>
      <c r="E110" s="20" t="s">
        <v>3492</v>
      </c>
      <c r="F110" s="12">
        <v>5.66660859E8</v>
      </c>
      <c r="G110" s="20" t="s">
        <v>3496</v>
      </c>
      <c r="H110" s="13" t="s">
        <v>27</v>
      </c>
      <c r="I110" s="20" t="s">
        <v>3498</v>
      </c>
      <c r="J110" s="20"/>
      <c r="K110" s="13" t="s">
        <v>39</v>
      </c>
      <c r="L110" s="155"/>
      <c r="M110" s="27" t="s">
        <v>38</v>
      </c>
      <c r="N110" s="13" t="s">
        <v>40</v>
      </c>
      <c r="O110" s="13" t="s">
        <v>42</v>
      </c>
      <c r="P110" s="156"/>
      <c r="Q110" s="13" t="s">
        <v>49</v>
      </c>
      <c r="R110" s="13" t="s">
        <v>46</v>
      </c>
      <c r="S110" s="20"/>
      <c r="T110" s="155"/>
      <c r="U110" s="13"/>
      <c r="V110" s="127"/>
    </row>
    <row r="111">
      <c r="A111" s="13">
        <v>110.0</v>
      </c>
      <c r="B111" s="15">
        <v>46147.0</v>
      </c>
      <c r="C111" s="13" t="s">
        <v>21</v>
      </c>
      <c r="D111" s="13" t="s">
        <v>34</v>
      </c>
      <c r="E111" s="20" t="s">
        <v>3504</v>
      </c>
      <c r="F111" s="12">
        <v>5.4683264E8</v>
      </c>
      <c r="G111" s="13" t="s">
        <v>27</v>
      </c>
      <c r="H111" s="13" t="s">
        <v>27</v>
      </c>
      <c r="I111" s="20" t="s">
        <v>3508</v>
      </c>
      <c r="J111" s="20"/>
      <c r="K111" s="13" t="s">
        <v>39</v>
      </c>
      <c r="L111" s="155">
        <v>0.5208333333333334</v>
      </c>
      <c r="M111" s="27" t="s">
        <v>51</v>
      </c>
      <c r="N111" s="13" t="s">
        <v>40</v>
      </c>
      <c r="O111" s="13" t="s">
        <v>42</v>
      </c>
      <c r="P111" s="156"/>
      <c r="Q111" s="13" t="s">
        <v>49</v>
      </c>
      <c r="R111" s="13"/>
      <c r="S111" s="13"/>
      <c r="T111" s="155"/>
      <c r="U111" s="13"/>
      <c r="V111" s="127"/>
    </row>
    <row r="112">
      <c r="A112" s="13">
        <v>111.0</v>
      </c>
      <c r="B112" s="15">
        <v>46147.0</v>
      </c>
      <c r="C112" s="13" t="s">
        <v>21</v>
      </c>
      <c r="D112" s="13" t="s">
        <v>34</v>
      </c>
      <c r="E112" s="20" t="s">
        <v>3512</v>
      </c>
      <c r="F112" s="12">
        <v>5.67779703E8</v>
      </c>
      <c r="G112" s="13" t="s">
        <v>27</v>
      </c>
      <c r="H112" s="13" t="s">
        <v>27</v>
      </c>
      <c r="I112" s="20" t="s">
        <v>3513</v>
      </c>
      <c r="J112" s="20"/>
      <c r="K112" s="13" t="s">
        <v>39</v>
      </c>
      <c r="L112" s="159">
        <v>0.3958333333333333</v>
      </c>
      <c r="M112" s="27" t="s">
        <v>51</v>
      </c>
      <c r="N112" s="13" t="s">
        <v>40</v>
      </c>
      <c r="O112" s="13" t="s">
        <v>42</v>
      </c>
      <c r="P112" s="156"/>
      <c r="Q112" s="13" t="s">
        <v>49</v>
      </c>
      <c r="R112" s="13"/>
      <c r="S112" s="13"/>
      <c r="T112" s="155"/>
      <c r="U112" s="13"/>
      <c r="V112" s="127"/>
    </row>
    <row r="113">
      <c r="A113" s="13">
        <v>112.0</v>
      </c>
      <c r="B113" s="15">
        <v>46147.0</v>
      </c>
      <c r="C113" s="13" t="s">
        <v>21</v>
      </c>
      <c r="D113" s="13" t="s">
        <v>34</v>
      </c>
      <c r="E113" s="20" t="s">
        <v>3519</v>
      </c>
      <c r="F113" s="12">
        <v>5.34808221E8</v>
      </c>
      <c r="G113" s="13" t="s">
        <v>27</v>
      </c>
      <c r="H113" s="13" t="s">
        <v>27</v>
      </c>
      <c r="I113" s="20" t="s">
        <v>3522</v>
      </c>
      <c r="J113" s="20"/>
      <c r="K113" s="13" t="s">
        <v>39</v>
      </c>
      <c r="L113" s="155">
        <v>0.6784722222222223</v>
      </c>
      <c r="M113" s="27" t="s">
        <v>38</v>
      </c>
      <c r="N113" s="13" t="s">
        <v>40</v>
      </c>
      <c r="O113" s="13" t="s">
        <v>42</v>
      </c>
      <c r="P113" s="156"/>
      <c r="Q113" s="13" t="s">
        <v>49</v>
      </c>
      <c r="R113" s="13"/>
      <c r="S113" s="13"/>
      <c r="T113" s="155"/>
      <c r="U113" s="13"/>
      <c r="V113" s="127"/>
    </row>
    <row r="114">
      <c r="A114" s="13">
        <v>113.0</v>
      </c>
      <c r="B114" s="15">
        <v>46147.0</v>
      </c>
      <c r="C114" s="13" t="s">
        <v>21</v>
      </c>
      <c r="D114" s="13" t="s">
        <v>34</v>
      </c>
      <c r="E114" s="20" t="s">
        <v>3525</v>
      </c>
      <c r="F114" s="12">
        <v>5.78687557E8</v>
      </c>
      <c r="G114" s="13" t="s">
        <v>27</v>
      </c>
      <c r="H114" s="13" t="s">
        <v>27</v>
      </c>
      <c r="I114" s="20" t="s">
        <v>3526</v>
      </c>
      <c r="J114" s="20"/>
      <c r="K114" s="13" t="s">
        <v>39</v>
      </c>
      <c r="L114" s="159">
        <v>0.6131944444444445</v>
      </c>
      <c r="M114" s="27" t="s">
        <v>38</v>
      </c>
      <c r="N114" s="13" t="s">
        <v>40</v>
      </c>
      <c r="O114" s="13" t="s">
        <v>42</v>
      </c>
      <c r="P114" s="156"/>
      <c r="Q114" s="13" t="s">
        <v>49</v>
      </c>
      <c r="R114" s="13"/>
      <c r="S114" s="13"/>
      <c r="T114" s="155"/>
      <c r="U114" s="13"/>
      <c r="V114" s="127"/>
    </row>
    <row r="115" ht="51.0" customHeight="1">
      <c r="A115" s="13">
        <v>114.0</v>
      </c>
      <c r="B115" s="15">
        <v>46147.0</v>
      </c>
      <c r="C115" s="13" t="s">
        <v>47</v>
      </c>
      <c r="D115" s="13" t="s">
        <v>48</v>
      </c>
      <c r="E115" s="20" t="s">
        <v>3531</v>
      </c>
      <c r="F115" s="12">
        <v>5.59397388E8</v>
      </c>
      <c r="G115" s="166" t="s">
        <v>41</v>
      </c>
      <c r="H115" s="13" t="s">
        <v>783</v>
      </c>
      <c r="I115" s="20" t="s">
        <v>3532</v>
      </c>
      <c r="J115" s="20" t="s">
        <v>3533</v>
      </c>
      <c r="K115" s="13" t="s">
        <v>36</v>
      </c>
      <c r="L115" s="155">
        <v>0.6680555555555555</v>
      </c>
      <c r="M115" s="27" t="s">
        <v>3355</v>
      </c>
      <c r="N115" s="13" t="s">
        <v>56</v>
      </c>
      <c r="O115" s="13" t="s">
        <v>301</v>
      </c>
      <c r="P115" s="156"/>
      <c r="Q115" s="13" t="s">
        <v>49</v>
      </c>
      <c r="R115" s="13" t="s">
        <v>46</v>
      </c>
      <c r="S115" s="20" t="s">
        <v>2632</v>
      </c>
      <c r="T115" s="155">
        <v>0.5625</v>
      </c>
      <c r="U115" s="13" t="s">
        <v>44</v>
      </c>
      <c r="V115" s="156">
        <v>5.0</v>
      </c>
    </row>
    <row r="116" ht="182.25" customHeight="1">
      <c r="A116" s="13">
        <v>115.0</v>
      </c>
      <c r="B116" s="15">
        <v>46147.0</v>
      </c>
      <c r="C116" s="13" t="s">
        <v>47</v>
      </c>
      <c r="D116" s="13" t="s">
        <v>48</v>
      </c>
      <c r="E116" s="20" t="s">
        <v>3537</v>
      </c>
      <c r="F116" s="12">
        <v>5.410089E8</v>
      </c>
      <c r="G116" s="162" t="s">
        <v>41</v>
      </c>
      <c r="H116" s="13" t="s">
        <v>294</v>
      </c>
      <c r="I116" s="20" t="s">
        <v>3538</v>
      </c>
      <c r="J116" s="13"/>
      <c r="K116" s="13" t="s">
        <v>36</v>
      </c>
      <c r="L116" s="130" t="s">
        <v>3540</v>
      </c>
      <c r="M116" s="27" t="s">
        <v>55</v>
      </c>
      <c r="N116" s="13" t="s">
        <v>40</v>
      </c>
      <c r="O116" s="13" t="s">
        <v>42</v>
      </c>
      <c r="P116" s="156"/>
      <c r="Q116" s="13" t="s">
        <v>49</v>
      </c>
      <c r="R116" s="13" t="s">
        <v>46</v>
      </c>
      <c r="S116" s="20" t="s">
        <v>2710</v>
      </c>
      <c r="T116" s="130" t="s">
        <v>3541</v>
      </c>
      <c r="U116" s="13" t="s">
        <v>49</v>
      </c>
      <c r="V116" s="127"/>
    </row>
    <row r="117" ht="34.5" customHeight="1">
      <c r="A117" s="13">
        <v>116.0</v>
      </c>
      <c r="B117" s="15">
        <v>46147.0</v>
      </c>
      <c r="C117" s="13" t="s">
        <v>21</v>
      </c>
      <c r="D117" s="13" t="s">
        <v>57</v>
      </c>
      <c r="E117" s="20" t="s">
        <v>3543</v>
      </c>
      <c r="F117" s="12">
        <v>5.8325097E7</v>
      </c>
      <c r="G117" s="20" t="s">
        <v>79</v>
      </c>
      <c r="H117" s="13" t="s">
        <v>27</v>
      </c>
      <c r="I117" s="20" t="s">
        <v>3545</v>
      </c>
      <c r="J117" s="20" t="s">
        <v>3546</v>
      </c>
      <c r="K117" s="13" t="s">
        <v>36</v>
      </c>
      <c r="L117" s="159">
        <v>0.6277777777777778</v>
      </c>
      <c r="M117" s="27" t="s">
        <v>1148</v>
      </c>
      <c r="N117" s="13" t="s">
        <v>40</v>
      </c>
      <c r="O117" s="13" t="s">
        <v>42</v>
      </c>
      <c r="P117" s="156"/>
      <c r="Q117" s="13" t="s">
        <v>49</v>
      </c>
      <c r="R117" s="13"/>
      <c r="S117" s="13"/>
      <c r="T117" s="155"/>
      <c r="U117" s="13"/>
      <c r="V117" s="127"/>
    </row>
    <row r="118">
      <c r="A118" s="13">
        <v>117.0</v>
      </c>
      <c r="B118" s="15">
        <v>46147.0</v>
      </c>
      <c r="C118" s="13" t="s">
        <v>21</v>
      </c>
      <c r="D118" s="13" t="s">
        <v>24</v>
      </c>
      <c r="E118" s="20" t="s">
        <v>3548</v>
      </c>
      <c r="F118" s="12">
        <v>5.9777073E8</v>
      </c>
      <c r="G118" s="20" t="s">
        <v>28</v>
      </c>
      <c r="H118" s="13" t="s">
        <v>27</v>
      </c>
      <c r="I118" s="20" t="s">
        <v>3550</v>
      </c>
      <c r="J118" s="20"/>
      <c r="K118" s="13" t="s">
        <v>36</v>
      </c>
      <c r="L118" s="155"/>
      <c r="M118" s="27" t="s">
        <v>101</v>
      </c>
      <c r="N118" s="13" t="s">
        <v>40</v>
      </c>
      <c r="O118" s="13" t="s">
        <v>42</v>
      </c>
      <c r="P118" s="156"/>
      <c r="Q118" s="13" t="s">
        <v>49</v>
      </c>
      <c r="R118" s="13" t="s">
        <v>46</v>
      </c>
      <c r="S118" s="13"/>
      <c r="T118" s="155"/>
      <c r="U118" s="13"/>
      <c r="V118" s="127"/>
    </row>
    <row r="119">
      <c r="A119" s="13">
        <v>118.0</v>
      </c>
      <c r="B119" s="15">
        <v>46147.0</v>
      </c>
      <c r="C119" s="13" t="s">
        <v>58</v>
      </c>
      <c r="D119" s="13" t="s">
        <v>60</v>
      </c>
      <c r="E119" s="13" t="s">
        <v>27</v>
      </c>
      <c r="F119" s="12">
        <v>5.3199181E8</v>
      </c>
      <c r="G119" s="13" t="s">
        <v>27</v>
      </c>
      <c r="H119" s="13" t="s">
        <v>27</v>
      </c>
      <c r="I119" s="20" t="s">
        <v>554</v>
      </c>
      <c r="J119" s="20"/>
      <c r="K119" s="13" t="s">
        <v>62</v>
      </c>
      <c r="L119" s="155">
        <v>0.6680555555555555</v>
      </c>
      <c r="M119" s="27" t="s">
        <v>88</v>
      </c>
      <c r="N119" s="13" t="s">
        <v>56</v>
      </c>
      <c r="O119" s="13" t="s">
        <v>42</v>
      </c>
      <c r="P119" s="156"/>
      <c r="Q119" s="13" t="s">
        <v>44</v>
      </c>
      <c r="R119" s="13"/>
      <c r="S119" s="20" t="s">
        <v>2632</v>
      </c>
      <c r="T119" s="155">
        <v>0.6680555555555555</v>
      </c>
      <c r="U119" s="13" t="s">
        <v>44</v>
      </c>
      <c r="V119" s="156">
        <v>5.0</v>
      </c>
    </row>
    <row r="120">
      <c r="A120" s="13">
        <v>119.0</v>
      </c>
      <c r="B120" s="15">
        <v>46147.0</v>
      </c>
      <c r="C120" s="13" t="s">
        <v>58</v>
      </c>
      <c r="D120" s="13" t="s">
        <v>60</v>
      </c>
      <c r="E120" s="20" t="s">
        <v>3561</v>
      </c>
      <c r="F120" s="12">
        <v>5.69584695E8</v>
      </c>
      <c r="G120" s="13" t="s">
        <v>27</v>
      </c>
      <c r="H120" s="13" t="s">
        <v>27</v>
      </c>
      <c r="I120" s="20" t="s">
        <v>3564</v>
      </c>
      <c r="J120" s="20" t="s">
        <v>3565</v>
      </c>
      <c r="K120" s="13" t="s">
        <v>36</v>
      </c>
      <c r="L120" s="155">
        <v>0.4861111111111111</v>
      </c>
      <c r="M120" s="27" t="s">
        <v>88</v>
      </c>
      <c r="N120" s="13" t="s">
        <v>56</v>
      </c>
      <c r="O120" s="13" t="s">
        <v>42</v>
      </c>
      <c r="P120" s="156"/>
      <c r="Q120" s="13" t="s">
        <v>44</v>
      </c>
      <c r="R120" s="13"/>
      <c r="S120" s="20" t="s">
        <v>2632</v>
      </c>
      <c r="T120" s="155">
        <v>0.4861111111111111</v>
      </c>
      <c r="U120" s="13" t="s">
        <v>44</v>
      </c>
      <c r="V120" s="156">
        <v>5.0</v>
      </c>
    </row>
    <row r="121">
      <c r="A121" s="13">
        <v>120.0</v>
      </c>
      <c r="B121" s="15">
        <v>46147.0</v>
      </c>
      <c r="C121" s="13" t="s">
        <v>58</v>
      </c>
      <c r="D121" s="13" t="s">
        <v>60</v>
      </c>
      <c r="E121" s="13" t="s">
        <v>27</v>
      </c>
      <c r="F121" s="12">
        <v>5.55823657E8</v>
      </c>
      <c r="G121" s="13" t="s">
        <v>27</v>
      </c>
      <c r="H121" s="13" t="s">
        <v>27</v>
      </c>
      <c r="I121" s="20" t="s">
        <v>3570</v>
      </c>
      <c r="J121" s="20" t="s">
        <v>3571</v>
      </c>
      <c r="K121" s="13" t="s">
        <v>36</v>
      </c>
      <c r="L121" s="155">
        <v>0.6680555555555555</v>
      </c>
      <c r="M121" s="27" t="s">
        <v>88</v>
      </c>
      <c r="N121" s="13" t="s">
        <v>56</v>
      </c>
      <c r="O121" s="13" t="s">
        <v>42</v>
      </c>
      <c r="P121" s="156"/>
      <c r="Q121" s="13" t="s">
        <v>44</v>
      </c>
      <c r="R121" s="13"/>
      <c r="S121" s="20" t="s">
        <v>2632</v>
      </c>
      <c r="T121" s="155">
        <v>0.6680555555555555</v>
      </c>
      <c r="U121" s="13" t="s">
        <v>44</v>
      </c>
      <c r="V121" s="156">
        <v>5.0</v>
      </c>
    </row>
    <row r="122">
      <c r="A122" s="13">
        <v>121.0</v>
      </c>
      <c r="B122" s="15">
        <v>46147.0</v>
      </c>
      <c r="C122" s="13" t="s">
        <v>58</v>
      </c>
      <c r="D122" s="13" t="s">
        <v>60</v>
      </c>
      <c r="E122" s="20" t="s">
        <v>3290</v>
      </c>
      <c r="F122" s="12">
        <v>5.65961766E8</v>
      </c>
      <c r="G122" s="20" t="s">
        <v>41</v>
      </c>
      <c r="H122" s="13" t="s">
        <v>27</v>
      </c>
      <c r="I122" s="20" t="s">
        <v>3575</v>
      </c>
      <c r="J122" s="20" t="s">
        <v>3576</v>
      </c>
      <c r="K122" s="13" t="s">
        <v>36</v>
      </c>
      <c r="L122" s="155">
        <v>0.5208333333333334</v>
      </c>
      <c r="M122" s="27" t="s">
        <v>88</v>
      </c>
      <c r="N122" s="13" t="s">
        <v>56</v>
      </c>
      <c r="O122" s="13" t="s">
        <v>42</v>
      </c>
      <c r="P122" s="156"/>
      <c r="Q122" s="13" t="s">
        <v>44</v>
      </c>
      <c r="R122" s="13"/>
      <c r="S122" s="20" t="s">
        <v>2632</v>
      </c>
      <c r="T122" s="155">
        <v>0.5625</v>
      </c>
      <c r="U122" s="13" t="s">
        <v>44</v>
      </c>
      <c r="V122" s="156">
        <v>5.0</v>
      </c>
    </row>
    <row r="123">
      <c r="A123" s="13">
        <v>122.0</v>
      </c>
      <c r="B123" s="15">
        <v>46148.0</v>
      </c>
      <c r="C123" s="13" t="s">
        <v>58</v>
      </c>
      <c r="D123" s="13" t="s">
        <v>60</v>
      </c>
      <c r="E123" s="13" t="s">
        <v>27</v>
      </c>
      <c r="F123" s="12">
        <v>5.55355043E8</v>
      </c>
      <c r="G123" s="13" t="s">
        <v>27</v>
      </c>
      <c r="H123" s="13" t="s">
        <v>27</v>
      </c>
      <c r="I123" s="20" t="s">
        <v>3578</v>
      </c>
      <c r="J123" s="20"/>
      <c r="K123" s="13" t="s">
        <v>65</v>
      </c>
      <c r="L123" s="159">
        <v>0.6131944444444445</v>
      </c>
      <c r="M123" s="27" t="s">
        <v>38</v>
      </c>
      <c r="N123" s="13" t="s">
        <v>56</v>
      </c>
      <c r="O123" s="13" t="s">
        <v>42</v>
      </c>
      <c r="P123" s="156"/>
      <c r="Q123" s="13" t="s">
        <v>44</v>
      </c>
      <c r="R123" s="13"/>
      <c r="S123" s="20" t="s">
        <v>2632</v>
      </c>
      <c r="T123" s="159">
        <v>0.6131944444444445</v>
      </c>
      <c r="U123" s="13" t="s">
        <v>44</v>
      </c>
      <c r="V123" s="156">
        <v>5.0</v>
      </c>
    </row>
    <row r="124">
      <c r="A124" s="13">
        <v>123.0</v>
      </c>
      <c r="B124" s="15">
        <v>46148.0</v>
      </c>
      <c r="C124" s="13" t="s">
        <v>47</v>
      </c>
      <c r="D124" s="13" t="s">
        <v>138</v>
      </c>
      <c r="E124" s="13" t="s">
        <v>3584</v>
      </c>
      <c r="F124" s="12">
        <v>5.00838481E8</v>
      </c>
      <c r="G124" s="20" t="s">
        <v>28</v>
      </c>
      <c r="H124" s="13" t="s">
        <v>3190</v>
      </c>
      <c r="I124" s="20" t="s">
        <v>3585</v>
      </c>
      <c r="J124" s="20" t="s">
        <v>3586</v>
      </c>
      <c r="K124" s="13" t="s">
        <v>148</v>
      </c>
      <c r="L124" s="155"/>
      <c r="M124" s="27" t="s">
        <v>323</v>
      </c>
      <c r="N124" s="13" t="s">
        <v>56</v>
      </c>
      <c r="O124" s="13" t="s">
        <v>42</v>
      </c>
      <c r="P124" s="156"/>
      <c r="Q124" s="13" t="s">
        <v>44</v>
      </c>
      <c r="R124" s="13" t="s">
        <v>46</v>
      </c>
      <c r="S124" s="13"/>
      <c r="T124" s="155"/>
      <c r="U124" s="13"/>
      <c r="V124" s="156">
        <v>5.0</v>
      </c>
    </row>
    <row r="125">
      <c r="A125" s="13">
        <v>124.0</v>
      </c>
      <c r="B125" s="15">
        <v>46148.0</v>
      </c>
      <c r="C125" s="13" t="s">
        <v>58</v>
      </c>
      <c r="D125" s="13" t="s">
        <v>60</v>
      </c>
      <c r="E125" s="13" t="s">
        <v>27</v>
      </c>
      <c r="F125" s="12">
        <v>5.64101382E8</v>
      </c>
      <c r="G125" s="13" t="s">
        <v>27</v>
      </c>
      <c r="H125" s="13" t="s">
        <v>27</v>
      </c>
      <c r="I125" s="20" t="s">
        <v>944</v>
      </c>
      <c r="J125" s="20"/>
      <c r="K125" s="13" t="s">
        <v>36</v>
      </c>
      <c r="L125" s="159">
        <v>0.6680555555555555</v>
      </c>
      <c r="M125" s="27" t="s">
        <v>88</v>
      </c>
      <c r="N125" s="13" t="s">
        <v>56</v>
      </c>
      <c r="O125" s="13" t="s">
        <v>42</v>
      </c>
      <c r="P125" s="156"/>
      <c r="Q125" s="13" t="s">
        <v>44</v>
      </c>
      <c r="R125" s="13"/>
      <c r="S125" s="20" t="s">
        <v>2632</v>
      </c>
      <c r="T125" s="159">
        <v>0.6680555555555555</v>
      </c>
      <c r="U125" s="13" t="s">
        <v>44</v>
      </c>
      <c r="V125" s="156">
        <v>5.0</v>
      </c>
    </row>
    <row r="126">
      <c r="A126" s="13">
        <v>125.0</v>
      </c>
      <c r="B126" s="15">
        <v>46148.0</v>
      </c>
      <c r="C126" s="13" t="s">
        <v>58</v>
      </c>
      <c r="D126" s="13" t="s">
        <v>60</v>
      </c>
      <c r="E126" s="20" t="s">
        <v>3592</v>
      </c>
      <c r="F126" s="12">
        <v>5.62849694E8</v>
      </c>
      <c r="G126" s="13" t="s">
        <v>27</v>
      </c>
      <c r="H126" s="13" t="s">
        <v>27</v>
      </c>
      <c r="I126" s="20" t="s">
        <v>3595</v>
      </c>
      <c r="J126" s="20" t="s">
        <v>847</v>
      </c>
      <c r="K126" s="13" t="s">
        <v>36</v>
      </c>
      <c r="L126" s="159">
        <v>0.4375</v>
      </c>
      <c r="M126" s="27" t="s">
        <v>88</v>
      </c>
      <c r="N126" s="13" t="s">
        <v>56</v>
      </c>
      <c r="O126" s="13" t="s">
        <v>42</v>
      </c>
      <c r="P126" s="156"/>
      <c r="Q126" s="13" t="s">
        <v>44</v>
      </c>
      <c r="R126" s="13"/>
      <c r="S126" s="20" t="s">
        <v>2632</v>
      </c>
      <c r="T126" s="159">
        <v>0.4791666666666667</v>
      </c>
      <c r="U126" s="13" t="s">
        <v>44</v>
      </c>
      <c r="V126" s="156">
        <v>5.0</v>
      </c>
    </row>
    <row r="127">
      <c r="A127" s="13">
        <v>126.0</v>
      </c>
      <c r="B127" s="15">
        <v>46148.0</v>
      </c>
      <c r="C127" s="13" t="s">
        <v>21</v>
      </c>
      <c r="D127" s="13" t="s">
        <v>22</v>
      </c>
      <c r="E127" s="20" t="s">
        <v>3599</v>
      </c>
      <c r="F127" s="12">
        <v>5.59689339E8</v>
      </c>
      <c r="G127" s="20" t="s">
        <v>854</v>
      </c>
      <c r="H127" s="13" t="s">
        <v>27</v>
      </c>
      <c r="I127" s="20" t="s">
        <v>3602</v>
      </c>
      <c r="J127" s="20"/>
      <c r="K127" s="13" t="s">
        <v>36</v>
      </c>
      <c r="L127" s="159"/>
      <c r="M127" s="27" t="s">
        <v>38</v>
      </c>
      <c r="N127" s="13" t="s">
        <v>40</v>
      </c>
      <c r="O127" s="13" t="s">
        <v>42</v>
      </c>
      <c r="P127" s="156"/>
      <c r="Q127" s="13" t="s">
        <v>44</v>
      </c>
      <c r="R127" s="13" t="s">
        <v>46</v>
      </c>
      <c r="S127" s="20"/>
      <c r="T127" s="159"/>
      <c r="U127" s="13"/>
      <c r="V127" s="127"/>
    </row>
    <row r="128">
      <c r="A128" s="13">
        <v>127.0</v>
      </c>
      <c r="B128" s="15">
        <v>46148.0</v>
      </c>
      <c r="C128" s="13" t="s">
        <v>21</v>
      </c>
      <c r="D128" s="13" t="s">
        <v>24</v>
      </c>
      <c r="E128" s="20" t="s">
        <v>3609</v>
      </c>
      <c r="F128" s="12">
        <v>5.06115207E8</v>
      </c>
      <c r="G128" s="20" t="s">
        <v>79</v>
      </c>
      <c r="H128" s="13" t="s">
        <v>27</v>
      </c>
      <c r="I128" s="20" t="s">
        <v>3611</v>
      </c>
      <c r="J128" s="20"/>
      <c r="K128" s="13" t="s">
        <v>36</v>
      </c>
      <c r="L128" s="159"/>
      <c r="M128" s="27" t="s">
        <v>38</v>
      </c>
      <c r="N128" s="13" t="s">
        <v>40</v>
      </c>
      <c r="O128" s="13" t="s">
        <v>42</v>
      </c>
      <c r="P128" s="156"/>
      <c r="Q128" s="13" t="s">
        <v>44</v>
      </c>
      <c r="R128" s="13" t="s">
        <v>46</v>
      </c>
      <c r="S128" s="13"/>
      <c r="T128" s="159"/>
      <c r="U128" s="13"/>
      <c r="V128" s="127"/>
    </row>
    <row r="129">
      <c r="A129" s="13">
        <v>128.0</v>
      </c>
      <c r="B129" s="164">
        <v>46148.0</v>
      </c>
      <c r="C129" s="127" t="s">
        <v>58</v>
      </c>
      <c r="D129" s="127" t="s">
        <v>60</v>
      </c>
      <c r="E129" s="127" t="s">
        <v>27</v>
      </c>
      <c r="F129" s="65">
        <v>5.57912998E8</v>
      </c>
      <c r="G129" s="127" t="s">
        <v>27</v>
      </c>
      <c r="H129" s="127" t="s">
        <v>27</v>
      </c>
      <c r="I129" s="127" t="s">
        <v>554</v>
      </c>
      <c r="J129" s="127"/>
      <c r="K129" s="127" t="s">
        <v>36</v>
      </c>
      <c r="L129" s="159">
        <v>0.3958333333333333</v>
      </c>
      <c r="M129" s="27" t="s">
        <v>88</v>
      </c>
      <c r="N129" s="13" t="s">
        <v>56</v>
      </c>
      <c r="O129" s="127" t="s">
        <v>42</v>
      </c>
      <c r="P129" s="156"/>
      <c r="Q129" s="13" t="s">
        <v>44</v>
      </c>
      <c r="R129" s="127"/>
      <c r="S129" s="20" t="s">
        <v>2632</v>
      </c>
      <c r="T129" s="159">
        <v>0.4375</v>
      </c>
      <c r="U129" s="13" t="s">
        <v>44</v>
      </c>
      <c r="V129" s="156">
        <v>5.0</v>
      </c>
    </row>
    <row r="130">
      <c r="A130" s="13">
        <v>129.0</v>
      </c>
      <c r="B130" s="164">
        <v>46148.0</v>
      </c>
      <c r="C130" s="127" t="s">
        <v>21</v>
      </c>
      <c r="D130" s="127" t="s">
        <v>24</v>
      </c>
      <c r="E130" s="127" t="s">
        <v>906</v>
      </c>
      <c r="F130" s="65">
        <v>5.4374605E8</v>
      </c>
      <c r="G130" s="127" t="s">
        <v>71</v>
      </c>
      <c r="H130" s="127" t="s">
        <v>27</v>
      </c>
      <c r="I130" s="127" t="s">
        <v>3623</v>
      </c>
      <c r="J130" s="127"/>
      <c r="K130" s="127" t="s">
        <v>36</v>
      </c>
      <c r="L130" s="159"/>
      <c r="M130" s="27" t="s">
        <v>38</v>
      </c>
      <c r="N130" s="13" t="s">
        <v>40</v>
      </c>
      <c r="O130" s="127" t="s">
        <v>42</v>
      </c>
      <c r="P130" s="156"/>
      <c r="Q130" s="13" t="s">
        <v>44</v>
      </c>
      <c r="R130" s="13" t="s">
        <v>46</v>
      </c>
      <c r="S130" s="13"/>
      <c r="T130" s="159"/>
      <c r="U130" s="13"/>
      <c r="V130" s="127"/>
    </row>
    <row r="131">
      <c r="A131" s="13">
        <v>130.0</v>
      </c>
      <c r="B131" s="164">
        <v>46148.0</v>
      </c>
      <c r="C131" s="127" t="s">
        <v>21</v>
      </c>
      <c r="D131" s="127" t="s">
        <v>48</v>
      </c>
      <c r="E131" s="127" t="s">
        <v>3630</v>
      </c>
      <c r="F131" s="65">
        <v>5.064344955E9</v>
      </c>
      <c r="G131" s="127" t="s">
        <v>27</v>
      </c>
      <c r="H131" s="127" t="s">
        <v>27</v>
      </c>
      <c r="I131" s="127" t="s">
        <v>3631</v>
      </c>
      <c r="J131" s="127"/>
      <c r="K131" s="127" t="s">
        <v>36</v>
      </c>
      <c r="L131" s="159">
        <v>0.6680555555555555</v>
      </c>
      <c r="M131" s="27" t="s">
        <v>38</v>
      </c>
      <c r="N131" s="13" t="s">
        <v>40</v>
      </c>
      <c r="O131" s="127" t="s">
        <v>42</v>
      </c>
      <c r="P131" s="156"/>
      <c r="Q131" s="13" t="s">
        <v>44</v>
      </c>
      <c r="R131" s="127"/>
      <c r="S131" s="20" t="s">
        <v>2632</v>
      </c>
      <c r="T131" s="159">
        <v>0.6680555555555555</v>
      </c>
      <c r="U131" s="13" t="s">
        <v>44</v>
      </c>
      <c r="V131" s="127"/>
    </row>
    <row r="132">
      <c r="A132" s="13">
        <v>131.0</v>
      </c>
      <c r="B132" s="164">
        <v>46148.0</v>
      </c>
      <c r="C132" s="127" t="s">
        <v>21</v>
      </c>
      <c r="D132" s="127" t="s">
        <v>24</v>
      </c>
      <c r="E132" s="127" t="s">
        <v>3638</v>
      </c>
      <c r="F132" s="65">
        <v>5.04387963E8</v>
      </c>
      <c r="G132" s="127" t="s">
        <v>71</v>
      </c>
      <c r="H132" s="127" t="s">
        <v>27</v>
      </c>
      <c r="I132" s="127" t="s">
        <v>3640</v>
      </c>
      <c r="J132" s="127"/>
      <c r="K132" s="127" t="s">
        <v>36</v>
      </c>
      <c r="L132" s="159"/>
      <c r="M132" s="27" t="s">
        <v>38</v>
      </c>
      <c r="N132" s="13" t="s">
        <v>40</v>
      </c>
      <c r="O132" s="127" t="s">
        <v>42</v>
      </c>
      <c r="P132" s="156"/>
      <c r="Q132" s="13" t="s">
        <v>44</v>
      </c>
      <c r="R132" s="13" t="s">
        <v>46</v>
      </c>
      <c r="S132" s="13"/>
      <c r="T132" s="159"/>
      <c r="U132" s="13"/>
      <c r="V132" s="127"/>
    </row>
    <row r="133">
      <c r="A133" s="13">
        <v>132.0</v>
      </c>
      <c r="B133" s="164">
        <v>46148.0</v>
      </c>
      <c r="C133" s="127" t="s">
        <v>47</v>
      </c>
      <c r="D133" s="156" t="s">
        <v>60</v>
      </c>
      <c r="E133" s="127" t="s">
        <v>3648</v>
      </c>
      <c r="F133" s="65">
        <v>5.05721381E8</v>
      </c>
      <c r="G133" s="127" t="s">
        <v>79</v>
      </c>
      <c r="H133" s="127" t="s">
        <v>638</v>
      </c>
      <c r="I133" s="130" t="s">
        <v>3652</v>
      </c>
      <c r="J133" s="127"/>
      <c r="K133" s="127" t="s">
        <v>36</v>
      </c>
      <c r="L133" s="155">
        <v>0.5208333333333334</v>
      </c>
      <c r="M133" s="27" t="s">
        <v>55</v>
      </c>
      <c r="N133" s="13" t="s">
        <v>40</v>
      </c>
      <c r="O133" s="127" t="s">
        <v>42</v>
      </c>
      <c r="P133" s="156"/>
      <c r="Q133" s="13" t="s">
        <v>49</v>
      </c>
      <c r="R133" s="13" t="s">
        <v>46</v>
      </c>
      <c r="S133" s="20" t="s">
        <v>2710</v>
      </c>
      <c r="T133" s="155">
        <v>0.6875</v>
      </c>
      <c r="U133" s="13" t="s">
        <v>49</v>
      </c>
      <c r="V133" s="127"/>
    </row>
    <row r="134">
      <c r="A134" s="13">
        <v>133.0</v>
      </c>
      <c r="B134" s="164">
        <v>46148.0</v>
      </c>
      <c r="C134" s="127" t="s">
        <v>21</v>
      </c>
      <c r="D134" s="127" t="s">
        <v>24</v>
      </c>
      <c r="E134" s="127" t="s">
        <v>3659</v>
      </c>
      <c r="F134" s="65">
        <v>5.38769531E8</v>
      </c>
      <c r="G134" s="127" t="s">
        <v>172</v>
      </c>
      <c r="H134" s="127" t="s">
        <v>27</v>
      </c>
      <c r="I134" s="127" t="s">
        <v>3660</v>
      </c>
      <c r="J134" s="127"/>
      <c r="K134" s="127" t="s">
        <v>36</v>
      </c>
      <c r="L134" s="155"/>
      <c r="M134" s="27" t="s">
        <v>38</v>
      </c>
      <c r="N134" s="13" t="s">
        <v>40</v>
      </c>
      <c r="O134" s="127" t="s">
        <v>42</v>
      </c>
      <c r="P134" s="156"/>
      <c r="Q134" s="13" t="s">
        <v>49</v>
      </c>
      <c r="R134" s="156" t="s">
        <v>46</v>
      </c>
      <c r="S134" s="13"/>
      <c r="T134" s="155"/>
      <c r="U134" s="13"/>
      <c r="V134" s="127"/>
    </row>
    <row r="135">
      <c r="A135" s="13">
        <v>134.0</v>
      </c>
      <c r="B135" s="164">
        <v>46148.0</v>
      </c>
      <c r="C135" s="156" t="s">
        <v>21</v>
      </c>
      <c r="D135" s="156" t="s">
        <v>22</v>
      </c>
      <c r="E135" s="130" t="s">
        <v>3668</v>
      </c>
      <c r="F135" s="12">
        <v>5.50039723E8</v>
      </c>
      <c r="G135" s="130" t="s">
        <v>79</v>
      </c>
      <c r="H135" s="127"/>
      <c r="I135" s="130" t="s">
        <v>3669</v>
      </c>
      <c r="J135" s="127"/>
      <c r="K135" s="156" t="s">
        <v>36</v>
      </c>
      <c r="L135" s="155"/>
      <c r="M135" s="27" t="s">
        <v>38</v>
      </c>
      <c r="N135" s="127" t="s">
        <v>40</v>
      </c>
      <c r="O135" s="127" t="s">
        <v>42</v>
      </c>
      <c r="P135" s="156"/>
      <c r="Q135" s="13" t="s">
        <v>44</v>
      </c>
      <c r="R135" s="156" t="s">
        <v>46</v>
      </c>
      <c r="S135" s="20"/>
      <c r="T135" s="159"/>
      <c r="U135" s="13"/>
      <c r="V135" s="127"/>
    </row>
    <row r="136">
      <c r="A136" s="13">
        <v>135.0</v>
      </c>
      <c r="B136" s="164">
        <v>46148.0</v>
      </c>
      <c r="C136" s="13" t="s">
        <v>47</v>
      </c>
      <c r="D136" s="13" t="s">
        <v>48</v>
      </c>
      <c r="E136" s="13" t="s">
        <v>3674</v>
      </c>
      <c r="F136" s="12">
        <v>5.51155945E8</v>
      </c>
      <c r="G136" s="162" t="s">
        <v>41</v>
      </c>
      <c r="H136" s="13" t="s">
        <v>52</v>
      </c>
      <c r="I136" s="20" t="s">
        <v>3677</v>
      </c>
      <c r="J136" s="20" t="s">
        <v>3678</v>
      </c>
      <c r="K136" s="13" t="s">
        <v>36</v>
      </c>
      <c r="L136" s="159">
        <v>0.3958333333333333</v>
      </c>
      <c r="M136" s="27" t="s">
        <v>101</v>
      </c>
      <c r="N136" s="13" t="s">
        <v>56</v>
      </c>
      <c r="O136" s="13" t="s">
        <v>42</v>
      </c>
      <c r="P136" s="156"/>
      <c r="Q136" s="13" t="s">
        <v>49</v>
      </c>
      <c r="R136" s="13" t="s">
        <v>46</v>
      </c>
      <c r="S136" s="20" t="s">
        <v>2632</v>
      </c>
      <c r="T136" s="159">
        <v>0.041666666666666664</v>
      </c>
      <c r="U136" s="13" t="s">
        <v>49</v>
      </c>
      <c r="V136" s="127"/>
    </row>
    <row r="137" ht="142.5" customHeight="1">
      <c r="A137" s="13">
        <v>136.0</v>
      </c>
      <c r="B137" s="164">
        <v>46148.0</v>
      </c>
      <c r="C137" s="13" t="s">
        <v>47</v>
      </c>
      <c r="D137" s="13" t="s">
        <v>367</v>
      </c>
      <c r="E137" s="20" t="s">
        <v>3683</v>
      </c>
      <c r="F137" s="12">
        <v>5.03140067E8</v>
      </c>
      <c r="G137" s="20" t="s">
        <v>362</v>
      </c>
      <c r="H137" s="13" t="s">
        <v>1029</v>
      </c>
      <c r="I137" s="20" t="s">
        <v>3684</v>
      </c>
      <c r="J137" s="20" t="s">
        <v>3685</v>
      </c>
      <c r="K137" s="13" t="s">
        <v>36</v>
      </c>
      <c r="L137" s="155">
        <v>0.6784722222222223</v>
      </c>
      <c r="M137" s="27" t="s">
        <v>55</v>
      </c>
      <c r="N137" s="13" t="s">
        <v>56</v>
      </c>
      <c r="O137" s="13" t="s">
        <v>42</v>
      </c>
      <c r="P137" s="156"/>
      <c r="Q137" s="13" t="s">
        <v>49</v>
      </c>
      <c r="R137" s="13" t="s">
        <v>46</v>
      </c>
      <c r="S137" s="20" t="s">
        <v>2710</v>
      </c>
      <c r="T137" s="155">
        <v>0.58125</v>
      </c>
      <c r="U137" s="13" t="s">
        <v>49</v>
      </c>
      <c r="V137" s="127"/>
    </row>
    <row r="138" ht="18.0" customHeight="1">
      <c r="A138" s="13">
        <v>137.0</v>
      </c>
      <c r="B138" s="164">
        <v>46148.0</v>
      </c>
      <c r="C138" s="13" t="s">
        <v>58</v>
      </c>
      <c r="D138" s="13" t="s">
        <v>60</v>
      </c>
      <c r="E138" s="13" t="s">
        <v>27</v>
      </c>
      <c r="F138" s="12">
        <v>5.34161555E8</v>
      </c>
      <c r="G138" s="13" t="s">
        <v>27</v>
      </c>
      <c r="H138" s="13" t="s">
        <v>27</v>
      </c>
      <c r="I138" s="20" t="s">
        <v>3691</v>
      </c>
      <c r="J138" s="20" t="s">
        <v>3692</v>
      </c>
      <c r="K138" s="13" t="s">
        <v>36</v>
      </c>
      <c r="L138" s="159">
        <v>0.6131944444444445</v>
      </c>
      <c r="M138" s="27" t="s">
        <v>88</v>
      </c>
      <c r="N138" s="13" t="s">
        <v>56</v>
      </c>
      <c r="O138" s="13" t="s">
        <v>42</v>
      </c>
      <c r="P138" s="156"/>
      <c r="Q138" s="13" t="s">
        <v>44</v>
      </c>
      <c r="R138" s="13"/>
      <c r="S138" s="20" t="s">
        <v>2632</v>
      </c>
      <c r="T138" s="159">
        <v>0.6277777777777778</v>
      </c>
      <c r="U138" s="13" t="s">
        <v>44</v>
      </c>
      <c r="V138" s="156">
        <v>5.0</v>
      </c>
    </row>
    <row r="139">
      <c r="A139" s="13">
        <v>138.0</v>
      </c>
      <c r="B139" s="164">
        <v>46148.0</v>
      </c>
      <c r="C139" s="13" t="s">
        <v>21</v>
      </c>
      <c r="D139" s="13" t="s">
        <v>24</v>
      </c>
      <c r="E139" s="20" t="s">
        <v>763</v>
      </c>
      <c r="F139" s="12">
        <v>5.73152328E8</v>
      </c>
      <c r="G139" s="20" t="s">
        <v>71</v>
      </c>
      <c r="H139" s="13" t="s">
        <v>27</v>
      </c>
      <c r="I139" s="20" t="s">
        <v>3701</v>
      </c>
      <c r="J139" s="20"/>
      <c r="K139" s="13" t="s">
        <v>36</v>
      </c>
      <c r="L139" s="155"/>
      <c r="M139" s="27" t="s">
        <v>38</v>
      </c>
      <c r="N139" s="13" t="s">
        <v>40</v>
      </c>
      <c r="O139" s="13" t="s">
        <v>42</v>
      </c>
      <c r="P139" s="156"/>
      <c r="Q139" s="13" t="s">
        <v>44</v>
      </c>
      <c r="R139" s="13" t="s">
        <v>46</v>
      </c>
      <c r="S139" s="13"/>
      <c r="T139" s="159"/>
      <c r="U139" s="13"/>
      <c r="V139" s="127"/>
    </row>
    <row r="140">
      <c r="A140" s="13">
        <v>139.0</v>
      </c>
      <c r="B140" s="164">
        <v>46148.0</v>
      </c>
      <c r="C140" s="13" t="s">
        <v>47</v>
      </c>
      <c r="D140" s="13" t="s">
        <v>48</v>
      </c>
      <c r="E140" s="20" t="s">
        <v>3708</v>
      </c>
      <c r="F140" s="12">
        <v>5.60303037E8</v>
      </c>
      <c r="G140" s="162" t="s">
        <v>41</v>
      </c>
      <c r="H140" s="13" t="s">
        <v>52</v>
      </c>
      <c r="I140" s="20" t="s">
        <v>3710</v>
      </c>
      <c r="J140" s="20" t="s">
        <v>3711</v>
      </c>
      <c r="K140" s="13" t="s">
        <v>36</v>
      </c>
      <c r="L140" s="159">
        <v>0.6680555555555555</v>
      </c>
      <c r="M140" s="27" t="s">
        <v>55</v>
      </c>
      <c r="N140" s="13" t="s">
        <v>56</v>
      </c>
      <c r="O140" s="13" t="s">
        <v>42</v>
      </c>
      <c r="P140" s="156"/>
      <c r="Q140" s="13" t="s">
        <v>44</v>
      </c>
      <c r="R140" s="13" t="s">
        <v>46</v>
      </c>
      <c r="S140" s="20" t="s">
        <v>2632</v>
      </c>
      <c r="T140" s="155">
        <v>0.5625</v>
      </c>
      <c r="U140" s="13" t="s">
        <v>44</v>
      </c>
      <c r="V140" s="156">
        <v>5.0</v>
      </c>
    </row>
    <row r="141" ht="76.5" customHeight="1">
      <c r="A141" s="13">
        <v>140.0</v>
      </c>
      <c r="B141" s="164">
        <v>46148.0</v>
      </c>
      <c r="C141" s="13" t="s">
        <v>47</v>
      </c>
      <c r="D141" s="13" t="s">
        <v>48</v>
      </c>
      <c r="E141" s="20" t="s">
        <v>3718</v>
      </c>
      <c r="F141" s="12">
        <v>5.31395392E8</v>
      </c>
      <c r="G141" s="20" t="s">
        <v>28</v>
      </c>
      <c r="H141" s="13" t="s">
        <v>3190</v>
      </c>
      <c r="I141" s="20" t="s">
        <v>3719</v>
      </c>
      <c r="J141" s="13"/>
      <c r="K141" s="13" t="s">
        <v>62</v>
      </c>
      <c r="L141" s="159">
        <v>0.6277777777777778</v>
      </c>
      <c r="M141" s="27" t="s">
        <v>55</v>
      </c>
      <c r="N141" s="13" t="s">
        <v>40</v>
      </c>
      <c r="O141" s="13" t="s">
        <v>42</v>
      </c>
      <c r="P141" s="156"/>
      <c r="Q141" s="13" t="s">
        <v>44</v>
      </c>
      <c r="R141" s="13" t="s">
        <v>46</v>
      </c>
      <c r="S141" s="20" t="s">
        <v>2632</v>
      </c>
      <c r="T141" s="155">
        <v>0.5625</v>
      </c>
      <c r="U141" s="13" t="s">
        <v>44</v>
      </c>
      <c r="V141" s="156">
        <v>5.0</v>
      </c>
    </row>
    <row r="142">
      <c r="A142" s="13">
        <v>141.0</v>
      </c>
      <c r="B142" s="164">
        <v>46148.0</v>
      </c>
      <c r="C142" s="13" t="s">
        <v>21</v>
      </c>
      <c r="D142" s="13" t="s">
        <v>22</v>
      </c>
      <c r="E142" s="20" t="s">
        <v>3727</v>
      </c>
      <c r="F142" s="12">
        <v>5.52715111E8</v>
      </c>
      <c r="G142" s="20" t="s">
        <v>152</v>
      </c>
      <c r="H142" s="13" t="s">
        <v>27</v>
      </c>
      <c r="I142" s="20" t="s">
        <v>3728</v>
      </c>
      <c r="J142" s="20"/>
      <c r="K142" s="13" t="s">
        <v>36</v>
      </c>
      <c r="L142" s="159"/>
      <c r="M142" s="27" t="s">
        <v>38</v>
      </c>
      <c r="N142" s="13" t="s">
        <v>40</v>
      </c>
      <c r="O142" s="13" t="s">
        <v>42</v>
      </c>
      <c r="P142" s="156"/>
      <c r="Q142" s="13" t="s">
        <v>44</v>
      </c>
      <c r="R142" s="156" t="s">
        <v>46</v>
      </c>
      <c r="S142" s="20"/>
      <c r="T142" s="159"/>
      <c r="U142" s="13"/>
      <c r="V142" s="127"/>
    </row>
    <row r="143">
      <c r="A143" s="13">
        <v>142.0</v>
      </c>
      <c r="B143" s="164">
        <v>46148.0</v>
      </c>
      <c r="C143" s="13" t="s">
        <v>21</v>
      </c>
      <c r="D143" s="13" t="s">
        <v>24</v>
      </c>
      <c r="E143" s="20" t="s">
        <v>108</v>
      </c>
      <c r="F143" s="12">
        <v>5.69611645E8</v>
      </c>
      <c r="G143" s="20" t="s">
        <v>71</v>
      </c>
      <c r="H143" s="13" t="s">
        <v>27</v>
      </c>
      <c r="I143" s="20" t="s">
        <v>3733</v>
      </c>
      <c r="J143" s="20"/>
      <c r="K143" s="13" t="s">
        <v>62</v>
      </c>
      <c r="L143" s="159"/>
      <c r="M143" s="27" t="s">
        <v>38</v>
      </c>
      <c r="N143" s="13" t="s">
        <v>40</v>
      </c>
      <c r="O143" s="13" t="s">
        <v>42</v>
      </c>
      <c r="P143" s="156"/>
      <c r="Q143" s="13" t="s">
        <v>44</v>
      </c>
      <c r="R143" s="13" t="s">
        <v>46</v>
      </c>
      <c r="S143" s="13"/>
      <c r="T143" s="159"/>
      <c r="U143" s="13"/>
      <c r="V143" s="127"/>
    </row>
    <row r="144">
      <c r="A144" s="13">
        <v>143.0</v>
      </c>
      <c r="B144" s="15">
        <v>46146.0</v>
      </c>
      <c r="C144" s="13" t="s">
        <v>58</v>
      </c>
      <c r="D144" s="13" t="s">
        <v>60</v>
      </c>
      <c r="E144" s="20" t="s">
        <v>3735</v>
      </c>
      <c r="F144" s="12">
        <v>5.58843427E8</v>
      </c>
      <c r="G144" s="20" t="s">
        <v>1483</v>
      </c>
      <c r="H144" s="13" t="s">
        <v>27</v>
      </c>
      <c r="I144" s="61" t="s">
        <v>3736</v>
      </c>
      <c r="J144" s="20" t="s">
        <v>3740</v>
      </c>
      <c r="K144" s="13" t="s">
        <v>62</v>
      </c>
      <c r="L144" s="159">
        <v>0.6131944444444445</v>
      </c>
      <c r="M144" s="27" t="s">
        <v>38</v>
      </c>
      <c r="N144" s="13" t="s">
        <v>56</v>
      </c>
      <c r="O144" s="13" t="s">
        <v>301</v>
      </c>
      <c r="P144" s="156"/>
      <c r="Q144" s="13" t="s">
        <v>44</v>
      </c>
      <c r="R144" s="13"/>
      <c r="S144" s="20" t="s">
        <v>2710</v>
      </c>
      <c r="T144" s="159"/>
      <c r="U144" s="13"/>
      <c r="V144" s="156">
        <v>5.0</v>
      </c>
    </row>
    <row r="145">
      <c r="A145" s="13">
        <v>144.0</v>
      </c>
      <c r="B145" s="164">
        <v>46148.0</v>
      </c>
      <c r="C145" s="13" t="s">
        <v>21</v>
      </c>
      <c r="D145" s="13" t="s">
        <v>60</v>
      </c>
      <c r="E145" s="20" t="s">
        <v>3744</v>
      </c>
      <c r="F145" s="12">
        <v>5.60908707E8</v>
      </c>
      <c r="G145" s="13" t="s">
        <v>27</v>
      </c>
      <c r="H145" s="13" t="s">
        <v>27</v>
      </c>
      <c r="I145" s="20" t="s">
        <v>3746</v>
      </c>
      <c r="J145" s="20" t="s">
        <v>3747</v>
      </c>
      <c r="K145" s="13" t="s">
        <v>36</v>
      </c>
      <c r="L145" s="159">
        <v>0.6680555555555555</v>
      </c>
      <c r="M145" s="27" t="s">
        <v>38</v>
      </c>
      <c r="N145" s="13" t="s">
        <v>56</v>
      </c>
      <c r="O145" s="13" t="s">
        <v>42</v>
      </c>
      <c r="P145" s="156"/>
      <c r="Q145" s="13" t="s">
        <v>44</v>
      </c>
      <c r="R145" s="13"/>
      <c r="S145" s="20" t="s">
        <v>2632</v>
      </c>
      <c r="T145" s="159">
        <v>0.6680555555555555</v>
      </c>
      <c r="U145" s="13" t="s">
        <v>44</v>
      </c>
      <c r="V145" s="156">
        <v>5.0</v>
      </c>
    </row>
    <row r="146" ht="79.5" customHeight="1">
      <c r="A146" s="13">
        <v>145.0</v>
      </c>
      <c r="B146" s="164">
        <v>46148.0</v>
      </c>
      <c r="C146" s="13" t="s">
        <v>21</v>
      </c>
      <c r="D146" s="13" t="s">
        <v>57</v>
      </c>
      <c r="E146" s="20" t="s">
        <v>3755</v>
      </c>
      <c r="F146" s="12">
        <v>5.55355043E8</v>
      </c>
      <c r="G146" s="20" t="s">
        <v>874</v>
      </c>
      <c r="H146" s="13" t="s">
        <v>27</v>
      </c>
      <c r="I146" s="20" t="s">
        <v>3761</v>
      </c>
      <c r="J146" s="20" t="s">
        <v>3763</v>
      </c>
      <c r="K146" s="13" t="s">
        <v>36</v>
      </c>
      <c r="L146" s="159">
        <v>0.6680555555555555</v>
      </c>
      <c r="M146" s="27" t="s">
        <v>38</v>
      </c>
      <c r="N146" s="13" t="s">
        <v>40</v>
      </c>
      <c r="O146" s="13" t="s">
        <v>42</v>
      </c>
      <c r="P146" s="156"/>
      <c r="Q146" s="13" t="s">
        <v>44</v>
      </c>
      <c r="R146" s="13"/>
      <c r="S146" s="20" t="s">
        <v>2632</v>
      </c>
      <c r="T146" s="159">
        <v>0.6680555555555555</v>
      </c>
      <c r="U146" s="13" t="s">
        <v>44</v>
      </c>
      <c r="V146" s="127"/>
    </row>
    <row r="147">
      <c r="A147" s="13">
        <v>146.0</v>
      </c>
      <c r="B147" s="164">
        <v>46148.0</v>
      </c>
      <c r="C147" s="13" t="s">
        <v>21</v>
      </c>
      <c r="D147" s="13" t="s">
        <v>22</v>
      </c>
      <c r="E147" s="20" t="s">
        <v>3771</v>
      </c>
      <c r="F147" s="12">
        <v>5.54759471E8</v>
      </c>
      <c r="G147" s="20" t="s">
        <v>2756</v>
      </c>
      <c r="H147" s="13" t="s">
        <v>27</v>
      </c>
      <c r="I147" s="20" t="s">
        <v>3326</v>
      </c>
      <c r="J147" s="20"/>
      <c r="K147" s="13" t="s">
        <v>36</v>
      </c>
      <c r="L147" s="159"/>
      <c r="M147" s="27" t="s">
        <v>38</v>
      </c>
      <c r="N147" s="13" t="s">
        <v>40</v>
      </c>
      <c r="O147" s="13" t="s">
        <v>42</v>
      </c>
      <c r="P147" s="156"/>
      <c r="Q147" s="13" t="s">
        <v>44</v>
      </c>
      <c r="R147" s="156" t="s">
        <v>46</v>
      </c>
      <c r="S147" s="20"/>
      <c r="T147" s="159"/>
      <c r="U147" s="13"/>
      <c r="V147" s="127"/>
    </row>
    <row r="148">
      <c r="A148" s="13">
        <v>147.0</v>
      </c>
      <c r="B148" s="125">
        <v>46148.0</v>
      </c>
      <c r="C148" s="13" t="s">
        <v>58</v>
      </c>
      <c r="D148" s="13" t="s">
        <v>60</v>
      </c>
      <c r="E148" s="13" t="s">
        <v>27</v>
      </c>
      <c r="F148" s="12">
        <v>5.43906229E8</v>
      </c>
      <c r="G148" s="13" t="s">
        <v>27</v>
      </c>
      <c r="H148" s="13" t="s">
        <v>27</v>
      </c>
      <c r="I148" s="20" t="s">
        <v>554</v>
      </c>
      <c r="J148" s="20"/>
      <c r="K148" s="13" t="s">
        <v>36</v>
      </c>
      <c r="L148" s="159">
        <v>0.4861111111111111</v>
      </c>
      <c r="M148" s="27" t="s">
        <v>88</v>
      </c>
      <c r="N148" s="13" t="s">
        <v>56</v>
      </c>
      <c r="O148" s="13" t="s">
        <v>42</v>
      </c>
      <c r="P148" s="156"/>
      <c r="Q148" s="13" t="s">
        <v>44</v>
      </c>
      <c r="R148" s="13"/>
      <c r="S148" s="20" t="s">
        <v>2632</v>
      </c>
      <c r="T148" s="159">
        <v>0.4861111111111111</v>
      </c>
      <c r="U148" s="13" t="s">
        <v>44</v>
      </c>
      <c r="V148" s="156">
        <v>5.0</v>
      </c>
    </row>
    <row r="149">
      <c r="A149" s="13">
        <v>148.0</v>
      </c>
      <c r="B149" s="125">
        <v>46149.0</v>
      </c>
      <c r="C149" s="13" t="s">
        <v>58</v>
      </c>
      <c r="D149" s="13" t="s">
        <v>60</v>
      </c>
      <c r="E149" s="13" t="s">
        <v>27</v>
      </c>
      <c r="F149" s="12">
        <v>5.37977683E8</v>
      </c>
      <c r="G149" s="13" t="s">
        <v>27</v>
      </c>
      <c r="H149" s="13" t="s">
        <v>27</v>
      </c>
      <c r="I149" s="20" t="s">
        <v>484</v>
      </c>
      <c r="J149" s="20"/>
      <c r="K149" s="13" t="s">
        <v>36</v>
      </c>
      <c r="L149" s="159">
        <v>0.6131944444444445</v>
      </c>
      <c r="M149" s="27" t="s">
        <v>88</v>
      </c>
      <c r="N149" s="13" t="s">
        <v>56</v>
      </c>
      <c r="O149" s="13" t="s">
        <v>42</v>
      </c>
      <c r="P149" s="156"/>
      <c r="Q149" s="13" t="s">
        <v>44</v>
      </c>
      <c r="R149" s="13"/>
      <c r="S149" s="20" t="s">
        <v>2632</v>
      </c>
      <c r="T149" s="159">
        <v>0.6131944444444445</v>
      </c>
      <c r="U149" s="13" t="s">
        <v>44</v>
      </c>
      <c r="V149" s="156">
        <v>5.0</v>
      </c>
    </row>
    <row r="150">
      <c r="A150" s="13">
        <v>149.0</v>
      </c>
      <c r="B150" s="125">
        <v>46149.0</v>
      </c>
      <c r="C150" s="13" t="s">
        <v>58</v>
      </c>
      <c r="D150" s="13" t="s">
        <v>34</v>
      </c>
      <c r="E150" s="13" t="s">
        <v>27</v>
      </c>
      <c r="F150" s="12">
        <v>5.92915839E8</v>
      </c>
      <c r="G150" s="13" t="s">
        <v>27</v>
      </c>
      <c r="H150" s="13" t="s">
        <v>27</v>
      </c>
      <c r="I150" s="20" t="s">
        <v>3790</v>
      </c>
      <c r="J150" s="20"/>
      <c r="K150" s="13" t="s">
        <v>36</v>
      </c>
      <c r="L150" s="159">
        <v>0.4861111111111111</v>
      </c>
      <c r="M150" s="27" t="s">
        <v>88</v>
      </c>
      <c r="N150" s="13" t="s">
        <v>56</v>
      </c>
      <c r="O150" s="13" t="s">
        <v>42</v>
      </c>
      <c r="P150" s="156"/>
      <c r="Q150" s="13" t="s">
        <v>44</v>
      </c>
      <c r="R150" s="13"/>
      <c r="S150" s="20" t="s">
        <v>2632</v>
      </c>
      <c r="T150" s="159">
        <v>0.4861111111111111</v>
      </c>
      <c r="U150" s="13" t="s">
        <v>44</v>
      </c>
      <c r="V150" s="156">
        <v>5.0</v>
      </c>
    </row>
    <row r="151">
      <c r="A151" s="13">
        <v>150.0</v>
      </c>
      <c r="B151" s="125">
        <v>46149.0</v>
      </c>
      <c r="C151" s="13" t="s">
        <v>58</v>
      </c>
      <c r="D151" s="13" t="s">
        <v>60</v>
      </c>
      <c r="E151" s="20" t="s">
        <v>1910</v>
      </c>
      <c r="F151" s="12">
        <v>5.51117105E8</v>
      </c>
      <c r="G151" s="20" t="s">
        <v>41</v>
      </c>
      <c r="H151" s="13"/>
      <c r="I151" s="20" t="s">
        <v>3746</v>
      </c>
      <c r="J151" s="20" t="s">
        <v>3142</v>
      </c>
      <c r="K151" s="13" t="s">
        <v>36</v>
      </c>
      <c r="L151" s="159">
        <v>0.6680555555555555</v>
      </c>
      <c r="M151" s="27" t="s">
        <v>88</v>
      </c>
      <c r="N151" s="13" t="s">
        <v>56</v>
      </c>
      <c r="O151" s="13" t="s">
        <v>42</v>
      </c>
      <c r="P151" s="156"/>
      <c r="Q151" s="13" t="s">
        <v>44</v>
      </c>
      <c r="R151" s="13"/>
      <c r="S151" s="20" t="s">
        <v>2632</v>
      </c>
      <c r="T151" s="159">
        <v>0.6680555555555555</v>
      </c>
      <c r="U151" s="13" t="s">
        <v>44</v>
      </c>
      <c r="V151" s="156">
        <v>5.0</v>
      </c>
    </row>
    <row r="152">
      <c r="A152" s="13">
        <v>151.0</v>
      </c>
      <c r="B152" s="125">
        <v>46149.0</v>
      </c>
      <c r="C152" s="13" t="s">
        <v>58</v>
      </c>
      <c r="D152" s="13" t="s">
        <v>60</v>
      </c>
      <c r="E152" s="20" t="s">
        <v>3797</v>
      </c>
      <c r="F152" s="12">
        <v>5.35885258E8</v>
      </c>
      <c r="G152" s="20" t="s">
        <v>71</v>
      </c>
      <c r="H152" s="13" t="s">
        <v>72</v>
      </c>
      <c r="I152" s="20" t="s">
        <v>3799</v>
      </c>
      <c r="J152" s="20"/>
      <c r="K152" s="13" t="s">
        <v>36</v>
      </c>
      <c r="L152" s="155">
        <v>0.4305555555555556</v>
      </c>
      <c r="M152" s="27" t="s">
        <v>421</v>
      </c>
      <c r="N152" s="13" t="s">
        <v>56</v>
      </c>
      <c r="O152" s="13" t="s">
        <v>42</v>
      </c>
      <c r="P152" s="156"/>
      <c r="Q152" s="13" t="s">
        <v>44</v>
      </c>
      <c r="R152" s="13"/>
      <c r="S152" s="20" t="s">
        <v>2632</v>
      </c>
      <c r="T152" s="155">
        <v>0.6722222222222223</v>
      </c>
      <c r="U152" s="13" t="s">
        <v>44</v>
      </c>
      <c r="V152" s="127"/>
    </row>
    <row r="153">
      <c r="A153" s="13">
        <v>152.0</v>
      </c>
      <c r="B153" s="125">
        <v>46149.0</v>
      </c>
      <c r="C153" s="13" t="s">
        <v>21</v>
      </c>
      <c r="D153" s="13" t="s">
        <v>24</v>
      </c>
      <c r="E153" s="20" t="s">
        <v>3803</v>
      </c>
      <c r="F153" s="12">
        <v>5.49735382E8</v>
      </c>
      <c r="G153" s="20" t="s">
        <v>41</v>
      </c>
      <c r="H153" s="13" t="s">
        <v>27</v>
      </c>
      <c r="I153" s="20" t="s">
        <v>3806</v>
      </c>
      <c r="J153" s="20"/>
      <c r="K153" s="13" t="s">
        <v>36</v>
      </c>
      <c r="L153" s="159"/>
      <c r="M153" s="27"/>
      <c r="N153" s="13" t="s">
        <v>40</v>
      </c>
      <c r="O153" s="13" t="s">
        <v>42</v>
      </c>
      <c r="P153" s="156"/>
      <c r="Q153" s="13" t="s">
        <v>44</v>
      </c>
      <c r="R153" s="13" t="s">
        <v>46</v>
      </c>
      <c r="S153" s="13"/>
      <c r="T153" s="159"/>
      <c r="U153" s="13"/>
      <c r="V153" s="127"/>
    </row>
    <row r="154">
      <c r="A154" s="13">
        <v>153.0</v>
      </c>
      <c r="B154" s="125">
        <v>46149.0</v>
      </c>
      <c r="C154" s="13" t="s">
        <v>58</v>
      </c>
      <c r="D154" s="13" t="s">
        <v>60</v>
      </c>
      <c r="E154" s="20" t="s">
        <v>2703</v>
      </c>
      <c r="F154" s="160">
        <v>5.09430125E8</v>
      </c>
      <c r="G154" s="58" t="s">
        <v>71</v>
      </c>
      <c r="H154" s="55" t="s">
        <v>291</v>
      </c>
      <c r="I154" s="58" t="s">
        <v>3072</v>
      </c>
      <c r="J154" s="20"/>
      <c r="K154" s="13" t="s">
        <v>36</v>
      </c>
      <c r="L154" s="159">
        <v>0.4861111111111111</v>
      </c>
      <c r="M154" s="27" t="s">
        <v>88</v>
      </c>
      <c r="N154" s="13" t="s">
        <v>56</v>
      </c>
      <c r="O154" s="13" t="s">
        <v>42</v>
      </c>
      <c r="P154" s="156"/>
      <c r="Q154" s="13" t="s">
        <v>44</v>
      </c>
      <c r="R154" s="13"/>
      <c r="S154" s="20" t="s">
        <v>2632</v>
      </c>
      <c r="T154" s="159">
        <v>0.4861111111111111</v>
      </c>
      <c r="U154" s="13" t="s">
        <v>44</v>
      </c>
      <c r="V154" s="156">
        <v>5.0</v>
      </c>
    </row>
    <row r="155">
      <c r="A155" s="13">
        <v>154.0</v>
      </c>
      <c r="B155" s="125">
        <v>46149.0</v>
      </c>
      <c r="C155" s="13" t="s">
        <v>58</v>
      </c>
      <c r="D155" s="13" t="s">
        <v>60</v>
      </c>
      <c r="E155" s="13" t="s">
        <v>27</v>
      </c>
      <c r="F155" s="12">
        <v>5.78627623E8</v>
      </c>
      <c r="G155" s="13" t="s">
        <v>27</v>
      </c>
      <c r="H155" s="13" t="s">
        <v>27</v>
      </c>
      <c r="I155" s="20" t="s">
        <v>554</v>
      </c>
      <c r="J155" s="20"/>
      <c r="K155" s="13" t="s">
        <v>36</v>
      </c>
      <c r="L155" s="159">
        <v>0.6131944444444445</v>
      </c>
      <c r="M155" s="27" t="s">
        <v>1473</v>
      </c>
      <c r="N155" s="13" t="s">
        <v>56</v>
      </c>
      <c r="O155" s="13" t="s">
        <v>42</v>
      </c>
      <c r="P155" s="156"/>
      <c r="Q155" s="13" t="s">
        <v>44</v>
      </c>
      <c r="R155" s="13"/>
      <c r="S155" s="20" t="s">
        <v>2632</v>
      </c>
      <c r="T155" s="159">
        <v>0.6131944444444445</v>
      </c>
      <c r="U155" s="13" t="s">
        <v>44</v>
      </c>
      <c r="V155" s="156">
        <v>5.0</v>
      </c>
    </row>
    <row r="156">
      <c r="A156" s="13">
        <v>155.0</v>
      </c>
      <c r="B156" s="125">
        <v>46149.0</v>
      </c>
      <c r="C156" s="13" t="s">
        <v>21</v>
      </c>
      <c r="D156" s="13" t="s">
        <v>24</v>
      </c>
      <c r="E156" s="20" t="s">
        <v>3835</v>
      </c>
      <c r="F156" s="12">
        <v>5.44110441E8</v>
      </c>
      <c r="G156" s="20" t="s">
        <v>71</v>
      </c>
      <c r="H156" s="13" t="s">
        <v>27</v>
      </c>
      <c r="I156" s="20" t="s">
        <v>3838</v>
      </c>
      <c r="J156" s="20"/>
      <c r="K156" s="13" t="s">
        <v>36</v>
      </c>
      <c r="L156" s="159"/>
      <c r="M156" s="27" t="s">
        <v>38</v>
      </c>
      <c r="N156" s="13" t="s">
        <v>40</v>
      </c>
      <c r="O156" s="13" t="s">
        <v>42</v>
      </c>
      <c r="P156" s="156"/>
      <c r="Q156" s="13" t="s">
        <v>44</v>
      </c>
      <c r="R156" s="13" t="s">
        <v>46</v>
      </c>
      <c r="S156" s="13"/>
      <c r="T156" s="159"/>
      <c r="U156" s="13"/>
      <c r="V156" s="127"/>
    </row>
    <row r="157">
      <c r="A157" s="13">
        <v>156.0</v>
      </c>
      <c r="B157" s="125">
        <v>46149.0</v>
      </c>
      <c r="C157" s="13" t="s">
        <v>58</v>
      </c>
      <c r="D157" s="13" t="s">
        <v>60</v>
      </c>
      <c r="E157" s="13" t="s">
        <v>27</v>
      </c>
      <c r="F157" s="12">
        <v>5.35341109E8</v>
      </c>
      <c r="G157" s="13" t="s">
        <v>27</v>
      </c>
      <c r="H157" s="13" t="s">
        <v>27</v>
      </c>
      <c r="I157" s="20" t="s">
        <v>124</v>
      </c>
      <c r="J157" s="20"/>
      <c r="K157" s="13" t="s">
        <v>65</v>
      </c>
      <c r="L157" s="159">
        <v>0.6680555555555555</v>
      </c>
      <c r="M157" s="27" t="s">
        <v>38</v>
      </c>
      <c r="N157" s="13" t="s">
        <v>56</v>
      </c>
      <c r="O157" s="13" t="s">
        <v>42</v>
      </c>
      <c r="P157" s="156"/>
      <c r="Q157" s="13" t="s">
        <v>44</v>
      </c>
      <c r="R157" s="13"/>
      <c r="S157" s="20" t="s">
        <v>2632</v>
      </c>
      <c r="T157" s="159">
        <v>0.6680555555555555</v>
      </c>
      <c r="U157" s="13" t="s">
        <v>44</v>
      </c>
      <c r="V157" s="156">
        <v>5.0</v>
      </c>
    </row>
    <row r="158">
      <c r="A158" s="13">
        <v>157.0</v>
      </c>
      <c r="B158" s="125">
        <v>46149.0</v>
      </c>
      <c r="C158" s="13" t="s">
        <v>58</v>
      </c>
      <c r="D158" s="13" t="s">
        <v>60</v>
      </c>
      <c r="E158" s="13" t="s">
        <v>27</v>
      </c>
      <c r="F158" s="12">
        <v>5.58866803E8</v>
      </c>
      <c r="G158" s="13" t="s">
        <v>27</v>
      </c>
      <c r="H158" s="13" t="s">
        <v>27</v>
      </c>
      <c r="I158" s="20" t="s">
        <v>3847</v>
      </c>
      <c r="J158" s="20"/>
      <c r="K158" s="13" t="s">
        <v>36</v>
      </c>
      <c r="L158" s="159">
        <v>0.4861111111111111</v>
      </c>
      <c r="M158" s="27" t="s">
        <v>88</v>
      </c>
      <c r="N158" s="13" t="s">
        <v>56</v>
      </c>
      <c r="O158" s="13" t="s">
        <v>42</v>
      </c>
      <c r="P158" s="156"/>
      <c r="Q158" s="13" t="s">
        <v>44</v>
      </c>
      <c r="R158" s="13"/>
      <c r="S158" s="20" t="s">
        <v>2632</v>
      </c>
      <c r="T158" s="159">
        <v>0.4861111111111111</v>
      </c>
      <c r="U158" s="13" t="s">
        <v>44</v>
      </c>
      <c r="V158" s="156">
        <v>5.0</v>
      </c>
    </row>
    <row r="159">
      <c r="A159" s="13">
        <v>158.0</v>
      </c>
      <c r="B159" s="125">
        <v>46149.0</v>
      </c>
      <c r="C159" s="13" t="s">
        <v>21</v>
      </c>
      <c r="D159" s="13" t="s">
        <v>22</v>
      </c>
      <c r="E159" s="20" t="s">
        <v>3856</v>
      </c>
      <c r="F159" s="12">
        <v>5.33356424E8</v>
      </c>
      <c r="G159" s="20" t="s">
        <v>79</v>
      </c>
      <c r="H159" s="13" t="s">
        <v>27</v>
      </c>
      <c r="I159" s="20" t="s">
        <v>3859</v>
      </c>
      <c r="J159" s="20"/>
      <c r="K159" s="13" t="s">
        <v>36</v>
      </c>
      <c r="L159" s="159"/>
      <c r="M159" s="27" t="s">
        <v>38</v>
      </c>
      <c r="N159" s="13" t="s">
        <v>40</v>
      </c>
      <c r="O159" s="13" t="s">
        <v>42</v>
      </c>
      <c r="P159" s="156"/>
      <c r="Q159" s="13" t="s">
        <v>44</v>
      </c>
      <c r="R159" s="156" t="s">
        <v>46</v>
      </c>
      <c r="S159" s="20"/>
      <c r="T159" s="159"/>
      <c r="U159" s="13"/>
      <c r="V159" s="127"/>
    </row>
    <row r="160">
      <c r="A160" s="13">
        <v>159.0</v>
      </c>
      <c r="B160" s="125">
        <v>46149.0</v>
      </c>
      <c r="C160" s="13" t="s">
        <v>21</v>
      </c>
      <c r="D160" s="13" t="s">
        <v>24</v>
      </c>
      <c r="E160" s="20" t="s">
        <v>3862</v>
      </c>
      <c r="F160" s="160">
        <v>5.9517195E8</v>
      </c>
      <c r="G160" s="20" t="s">
        <v>71</v>
      </c>
      <c r="H160" s="13" t="s">
        <v>27</v>
      </c>
      <c r="I160" s="20" t="s">
        <v>3864</v>
      </c>
      <c r="J160" s="20"/>
      <c r="K160" s="13" t="s">
        <v>457</v>
      </c>
      <c r="L160" s="159"/>
      <c r="M160" s="27" t="s">
        <v>38</v>
      </c>
      <c r="N160" s="13" t="s">
        <v>40</v>
      </c>
      <c r="O160" s="13" t="s">
        <v>42</v>
      </c>
      <c r="P160" s="156"/>
      <c r="Q160" s="13" t="s">
        <v>44</v>
      </c>
      <c r="R160" s="13" t="s">
        <v>46</v>
      </c>
      <c r="S160" s="13"/>
      <c r="T160" s="159"/>
      <c r="U160" s="13"/>
      <c r="V160" s="127"/>
    </row>
    <row r="161">
      <c r="A161" s="13">
        <v>160.0</v>
      </c>
      <c r="B161" s="125">
        <v>46149.0</v>
      </c>
      <c r="C161" s="13" t="s">
        <v>21</v>
      </c>
      <c r="D161" s="13" t="s">
        <v>24</v>
      </c>
      <c r="E161" s="20" t="s">
        <v>3869</v>
      </c>
      <c r="F161" s="12">
        <v>5.65637257E8</v>
      </c>
      <c r="G161" s="20" t="s">
        <v>71</v>
      </c>
      <c r="H161" s="13" t="s">
        <v>27</v>
      </c>
      <c r="I161" s="20" t="s">
        <v>3870</v>
      </c>
      <c r="J161" s="20"/>
      <c r="K161" s="13" t="s">
        <v>36</v>
      </c>
      <c r="L161" s="159"/>
      <c r="M161" s="27" t="s">
        <v>38</v>
      </c>
      <c r="N161" s="13" t="s">
        <v>40</v>
      </c>
      <c r="O161" s="13" t="s">
        <v>42</v>
      </c>
      <c r="P161" s="156"/>
      <c r="Q161" s="13" t="s">
        <v>44</v>
      </c>
      <c r="R161" s="13" t="s">
        <v>46</v>
      </c>
      <c r="S161" s="13"/>
      <c r="T161" s="159"/>
      <c r="U161" s="13"/>
      <c r="V161" s="127"/>
    </row>
    <row r="162">
      <c r="A162" s="13">
        <v>161.0</v>
      </c>
      <c r="B162" s="125">
        <v>46149.0</v>
      </c>
      <c r="C162" s="13" t="s">
        <v>21</v>
      </c>
      <c r="D162" s="13" t="s">
        <v>24</v>
      </c>
      <c r="E162" s="20" t="s">
        <v>501</v>
      </c>
      <c r="F162" s="12">
        <v>5.10511387E8</v>
      </c>
      <c r="G162" s="20" t="s">
        <v>71</v>
      </c>
      <c r="H162" s="13"/>
      <c r="I162" s="20" t="s">
        <v>3880</v>
      </c>
      <c r="J162" s="20"/>
      <c r="K162" s="13" t="s">
        <v>36</v>
      </c>
      <c r="L162" s="159"/>
      <c r="M162" s="27" t="s">
        <v>38</v>
      </c>
      <c r="N162" s="13" t="s">
        <v>40</v>
      </c>
      <c r="O162" s="13" t="s">
        <v>42</v>
      </c>
      <c r="P162" s="156"/>
      <c r="Q162" s="13" t="s">
        <v>44</v>
      </c>
      <c r="R162" s="13" t="s">
        <v>46</v>
      </c>
      <c r="S162" s="13"/>
      <c r="T162" s="159"/>
      <c r="U162" s="13"/>
      <c r="V162" s="127"/>
    </row>
    <row r="163" ht="58.5" customHeight="1">
      <c r="A163" s="13">
        <v>162.0</v>
      </c>
      <c r="B163" s="125">
        <v>46149.0</v>
      </c>
      <c r="C163" s="13" t="s">
        <v>21</v>
      </c>
      <c r="D163" s="13" t="s">
        <v>24</v>
      </c>
      <c r="E163" s="20" t="s">
        <v>3885</v>
      </c>
      <c r="F163" s="12">
        <v>5.58534053E8</v>
      </c>
      <c r="G163" s="20" t="s">
        <v>79</v>
      </c>
      <c r="H163" s="13" t="s">
        <v>27</v>
      </c>
      <c r="I163" s="20" t="s">
        <v>3886</v>
      </c>
      <c r="J163" s="20"/>
      <c r="K163" s="13" t="s">
        <v>36</v>
      </c>
      <c r="L163" s="159"/>
      <c r="M163" s="27" t="s">
        <v>38</v>
      </c>
      <c r="N163" s="13" t="s">
        <v>40</v>
      </c>
      <c r="O163" s="13" t="s">
        <v>42</v>
      </c>
      <c r="P163" s="156"/>
      <c r="Q163" s="13" t="s">
        <v>44</v>
      </c>
      <c r="R163" s="13" t="s">
        <v>46</v>
      </c>
      <c r="S163" s="13"/>
      <c r="T163" s="159"/>
      <c r="U163" s="13"/>
      <c r="V163" s="127"/>
    </row>
    <row r="164">
      <c r="A164" s="13">
        <v>163.0</v>
      </c>
      <c r="B164" s="125">
        <v>46149.0</v>
      </c>
      <c r="C164" s="13" t="s">
        <v>21</v>
      </c>
      <c r="D164" s="13" t="s">
        <v>24</v>
      </c>
      <c r="E164" s="20" t="s">
        <v>3890</v>
      </c>
      <c r="F164" s="12">
        <v>5.6332208E8</v>
      </c>
      <c r="G164" s="20" t="s">
        <v>71</v>
      </c>
      <c r="H164" s="13"/>
      <c r="I164" s="20" t="s">
        <v>3892</v>
      </c>
      <c r="J164" s="20"/>
      <c r="K164" s="13" t="s">
        <v>36</v>
      </c>
      <c r="L164" s="159"/>
      <c r="M164" s="27" t="s">
        <v>38</v>
      </c>
      <c r="N164" s="13" t="s">
        <v>40</v>
      </c>
      <c r="O164" s="13" t="s">
        <v>42</v>
      </c>
      <c r="P164" s="156"/>
      <c r="Q164" s="13" t="s">
        <v>44</v>
      </c>
      <c r="R164" s="13" t="s">
        <v>46</v>
      </c>
      <c r="S164" s="13"/>
      <c r="T164" s="159"/>
      <c r="U164" s="13"/>
      <c r="V164" s="127"/>
    </row>
    <row r="165">
      <c r="A165" s="13">
        <v>164.0</v>
      </c>
      <c r="B165" s="125">
        <v>46149.0</v>
      </c>
      <c r="C165" s="13" t="s">
        <v>21</v>
      </c>
      <c r="D165" s="13" t="s">
        <v>24</v>
      </c>
      <c r="E165" s="20" t="s">
        <v>3895</v>
      </c>
      <c r="F165" s="12">
        <v>5.59300799E8</v>
      </c>
      <c r="G165" s="20" t="s">
        <v>198</v>
      </c>
      <c r="H165" s="13"/>
      <c r="I165" s="20" t="s">
        <v>3897</v>
      </c>
      <c r="J165" s="20"/>
      <c r="K165" s="13" t="s">
        <v>457</v>
      </c>
      <c r="L165" s="159"/>
      <c r="M165" s="27" t="s">
        <v>38</v>
      </c>
      <c r="N165" s="13" t="s">
        <v>40</v>
      </c>
      <c r="O165" s="13" t="s">
        <v>42</v>
      </c>
      <c r="P165" s="156"/>
      <c r="Q165" s="13" t="s">
        <v>44</v>
      </c>
      <c r="R165" s="13" t="s">
        <v>46</v>
      </c>
      <c r="S165" s="13"/>
      <c r="T165" s="159"/>
      <c r="U165" s="13"/>
      <c r="V165" s="127"/>
    </row>
    <row r="166">
      <c r="A166" s="13">
        <v>165.0</v>
      </c>
      <c r="B166" s="125">
        <v>46149.0</v>
      </c>
      <c r="C166" s="13" t="s">
        <v>58</v>
      </c>
      <c r="D166" s="13" t="s">
        <v>60</v>
      </c>
      <c r="E166" s="13" t="s">
        <v>27</v>
      </c>
      <c r="F166" s="12">
        <v>5.45990944E8</v>
      </c>
      <c r="G166" s="20" t="s">
        <v>79</v>
      </c>
      <c r="H166" s="13" t="s">
        <v>80</v>
      </c>
      <c r="I166" s="20" t="s">
        <v>3903</v>
      </c>
      <c r="J166" s="20" t="s">
        <v>3904</v>
      </c>
      <c r="K166" s="13" t="s">
        <v>36</v>
      </c>
      <c r="L166" s="159">
        <v>0.7013888888888888</v>
      </c>
      <c r="M166" s="27" t="s">
        <v>88</v>
      </c>
      <c r="N166" s="13" t="s">
        <v>56</v>
      </c>
      <c r="O166" s="13" t="s">
        <v>42</v>
      </c>
      <c r="P166" s="156"/>
      <c r="Q166" s="13" t="s">
        <v>44</v>
      </c>
      <c r="R166" s="13"/>
      <c r="S166" s="20" t="s">
        <v>2632</v>
      </c>
      <c r="T166" s="159">
        <v>0.4861111111111111</v>
      </c>
      <c r="U166" s="13" t="s">
        <v>44</v>
      </c>
      <c r="V166" s="156">
        <v>5.0</v>
      </c>
    </row>
    <row r="167">
      <c r="A167" s="13">
        <v>166.0</v>
      </c>
      <c r="B167" s="125">
        <v>46149.0</v>
      </c>
      <c r="C167" s="13" t="s">
        <v>21</v>
      </c>
      <c r="D167" s="13" t="s">
        <v>22</v>
      </c>
      <c r="E167" s="20" t="s">
        <v>3906</v>
      </c>
      <c r="F167" s="12">
        <v>5.60711227E8</v>
      </c>
      <c r="G167" s="20" t="s">
        <v>132</v>
      </c>
      <c r="H167" s="13" t="s">
        <v>27</v>
      </c>
      <c r="I167" s="20" t="s">
        <v>1999</v>
      </c>
      <c r="J167" s="20"/>
      <c r="K167" s="13" t="s">
        <v>36</v>
      </c>
      <c r="L167" s="159"/>
      <c r="M167" s="27" t="s">
        <v>38</v>
      </c>
      <c r="N167" s="13" t="s">
        <v>40</v>
      </c>
      <c r="O167" s="13" t="s">
        <v>42</v>
      </c>
      <c r="P167" s="156"/>
      <c r="Q167" s="13" t="s">
        <v>44</v>
      </c>
      <c r="R167" s="13" t="s">
        <v>46</v>
      </c>
      <c r="S167" s="20"/>
      <c r="T167" s="159"/>
      <c r="U167" s="13"/>
      <c r="V167" s="127"/>
    </row>
    <row r="168">
      <c r="A168" s="13">
        <v>167.0</v>
      </c>
      <c r="B168" s="125">
        <v>46152.0</v>
      </c>
      <c r="C168" s="13" t="s">
        <v>58</v>
      </c>
      <c r="D168" s="13" t="s">
        <v>60</v>
      </c>
      <c r="E168" s="20" t="s">
        <v>3561</v>
      </c>
      <c r="F168" s="160">
        <v>5.66415665E8</v>
      </c>
      <c r="G168" s="20" t="s">
        <v>41</v>
      </c>
      <c r="H168" s="13" t="s">
        <v>27</v>
      </c>
      <c r="I168" s="20" t="s">
        <v>3914</v>
      </c>
      <c r="J168" s="20" t="s">
        <v>3915</v>
      </c>
      <c r="K168" s="13" t="s">
        <v>3070</v>
      </c>
      <c r="L168" s="159"/>
      <c r="M168" s="27" t="s">
        <v>88</v>
      </c>
      <c r="N168" s="13" t="s">
        <v>56</v>
      </c>
      <c r="O168" s="13" t="s">
        <v>42</v>
      </c>
      <c r="P168" s="156"/>
      <c r="Q168" s="13" t="s">
        <v>44</v>
      </c>
      <c r="R168" s="13"/>
      <c r="S168" s="20" t="s">
        <v>2632</v>
      </c>
      <c r="T168" s="155"/>
      <c r="U168" s="13" t="s">
        <v>44</v>
      </c>
      <c r="V168" s="127"/>
    </row>
    <row r="169">
      <c r="A169" s="13">
        <v>168.0</v>
      </c>
      <c r="B169" s="125">
        <v>46152.0</v>
      </c>
      <c r="C169" s="13" t="s">
        <v>21</v>
      </c>
      <c r="D169" s="13" t="s">
        <v>22</v>
      </c>
      <c r="E169" s="20" t="s">
        <v>3922</v>
      </c>
      <c r="F169" s="12">
        <v>5.57595553E8</v>
      </c>
      <c r="G169" s="20" t="s">
        <v>152</v>
      </c>
      <c r="H169" s="13"/>
      <c r="I169" s="20" t="s">
        <v>3923</v>
      </c>
      <c r="J169" s="20"/>
      <c r="K169" s="13" t="s">
        <v>36</v>
      </c>
      <c r="L169" s="159"/>
      <c r="M169" s="27" t="s">
        <v>38</v>
      </c>
      <c r="N169" s="13" t="s">
        <v>40</v>
      </c>
      <c r="O169" s="13" t="s">
        <v>42</v>
      </c>
      <c r="P169" s="156"/>
      <c r="Q169" s="13" t="s">
        <v>49</v>
      </c>
      <c r="R169" s="13" t="s">
        <v>46</v>
      </c>
      <c r="S169" s="20"/>
      <c r="T169" s="155"/>
      <c r="U169" s="13"/>
      <c r="V169" s="127"/>
    </row>
    <row r="170" ht="51.75" customHeight="1">
      <c r="A170" s="13">
        <v>169.0</v>
      </c>
      <c r="B170" s="125">
        <v>46152.0</v>
      </c>
      <c r="C170" s="13" t="s">
        <v>21</v>
      </c>
      <c r="D170" s="13" t="s">
        <v>66</v>
      </c>
      <c r="E170" s="20" t="s">
        <v>3928</v>
      </c>
      <c r="F170" s="12">
        <v>5.55515837E8</v>
      </c>
      <c r="G170" s="20" t="s">
        <v>71</v>
      </c>
      <c r="H170" s="13" t="s">
        <v>27</v>
      </c>
      <c r="I170" s="20" t="s">
        <v>3930</v>
      </c>
      <c r="J170" s="20" t="s">
        <v>3932</v>
      </c>
      <c r="K170" s="13" t="s">
        <v>36</v>
      </c>
      <c r="L170" s="159">
        <v>0.6944444444444444</v>
      </c>
      <c r="M170" s="27" t="s">
        <v>38</v>
      </c>
      <c r="N170" s="13" t="s">
        <v>56</v>
      </c>
      <c r="O170" s="13" t="s">
        <v>42</v>
      </c>
      <c r="P170" s="156"/>
      <c r="Q170" s="13" t="s">
        <v>49</v>
      </c>
      <c r="R170" s="13"/>
      <c r="S170" s="13"/>
      <c r="T170" s="155"/>
      <c r="U170" s="13"/>
      <c r="V170" s="127"/>
    </row>
    <row r="171" ht="60.0" customHeight="1">
      <c r="A171" s="13">
        <v>170.0</v>
      </c>
      <c r="B171" s="125">
        <v>46152.0</v>
      </c>
      <c r="C171" s="13" t="s">
        <v>47</v>
      </c>
      <c r="D171" s="13" t="s">
        <v>48</v>
      </c>
      <c r="E171" s="20" t="s">
        <v>3937</v>
      </c>
      <c r="F171" s="12">
        <v>5.81278825E8</v>
      </c>
      <c r="G171" s="20" t="s">
        <v>2715</v>
      </c>
      <c r="H171" s="13" t="s">
        <v>2716</v>
      </c>
      <c r="I171" s="20" t="s">
        <v>3939</v>
      </c>
      <c r="J171" s="20" t="s">
        <v>3940</v>
      </c>
      <c r="K171" s="13" t="s">
        <v>36</v>
      </c>
      <c r="L171" s="155">
        <v>0.3451388888888889</v>
      </c>
      <c r="M171" s="27" t="s">
        <v>101</v>
      </c>
      <c r="N171" s="13" t="s">
        <v>56</v>
      </c>
      <c r="O171" s="13" t="s">
        <v>42</v>
      </c>
      <c r="P171" s="156"/>
      <c r="Q171" s="13" t="s">
        <v>49</v>
      </c>
      <c r="R171" s="13" t="s">
        <v>46</v>
      </c>
      <c r="S171" s="20" t="s">
        <v>2632</v>
      </c>
      <c r="T171" s="13" t="s">
        <v>27</v>
      </c>
      <c r="U171" s="13" t="s">
        <v>49</v>
      </c>
      <c r="V171" s="127"/>
    </row>
    <row r="172">
      <c r="A172" s="13">
        <v>171.0</v>
      </c>
      <c r="B172" s="125">
        <v>46152.0</v>
      </c>
      <c r="C172" s="13" t="s">
        <v>21</v>
      </c>
      <c r="D172" s="13" t="s">
        <v>24</v>
      </c>
      <c r="E172" s="20" t="s">
        <v>3947</v>
      </c>
      <c r="F172" s="12">
        <v>5.09982225E8</v>
      </c>
      <c r="G172" s="20" t="s">
        <v>2537</v>
      </c>
      <c r="H172" s="13" t="s">
        <v>27</v>
      </c>
      <c r="I172" s="20" t="s">
        <v>3948</v>
      </c>
      <c r="J172" s="20"/>
      <c r="K172" s="13" t="s">
        <v>321</v>
      </c>
      <c r="L172" s="155"/>
      <c r="M172" s="27" t="s">
        <v>38</v>
      </c>
      <c r="N172" s="13" t="s">
        <v>40</v>
      </c>
      <c r="O172" s="13" t="s">
        <v>42</v>
      </c>
      <c r="P172" s="156"/>
      <c r="Q172" s="13" t="s">
        <v>49</v>
      </c>
      <c r="R172" s="13" t="s">
        <v>46</v>
      </c>
      <c r="S172" s="13"/>
      <c r="T172" s="155"/>
      <c r="U172" s="13"/>
      <c r="V172" s="127"/>
    </row>
    <row r="173">
      <c r="A173" s="13">
        <v>172.0</v>
      </c>
      <c r="B173" s="125">
        <v>46152.0</v>
      </c>
      <c r="C173" s="13" t="s">
        <v>21</v>
      </c>
      <c r="D173" s="13" t="s">
        <v>24</v>
      </c>
      <c r="E173" s="20" t="s">
        <v>3953</v>
      </c>
      <c r="F173" s="12">
        <v>5.92847739E8</v>
      </c>
      <c r="G173" s="20" t="s">
        <v>1318</v>
      </c>
      <c r="H173" s="13" t="s">
        <v>27</v>
      </c>
      <c r="I173" s="20" t="s">
        <v>3955</v>
      </c>
      <c r="J173" s="20"/>
      <c r="K173" s="13" t="s">
        <v>36</v>
      </c>
      <c r="L173" s="155"/>
      <c r="M173" s="27" t="s">
        <v>38</v>
      </c>
      <c r="N173" s="13" t="s">
        <v>40</v>
      </c>
      <c r="O173" s="13" t="s">
        <v>42</v>
      </c>
      <c r="P173" s="156"/>
      <c r="Q173" s="13" t="s">
        <v>44</v>
      </c>
      <c r="R173" s="13" t="s">
        <v>46</v>
      </c>
      <c r="S173" s="13"/>
      <c r="T173" s="155"/>
      <c r="U173" s="13"/>
      <c r="V173" s="127"/>
    </row>
    <row r="174">
      <c r="A174" s="13">
        <v>173.0</v>
      </c>
      <c r="B174" s="125">
        <v>46152.0</v>
      </c>
      <c r="C174" s="13" t="s">
        <v>58</v>
      </c>
      <c r="D174" s="13" t="s">
        <v>60</v>
      </c>
      <c r="E174" s="13" t="s">
        <v>27</v>
      </c>
      <c r="F174" s="160">
        <v>5.41650189E8</v>
      </c>
      <c r="G174" s="13" t="s">
        <v>27</v>
      </c>
      <c r="H174" s="13" t="s">
        <v>27</v>
      </c>
      <c r="I174" s="20" t="s">
        <v>3962</v>
      </c>
      <c r="J174" s="20"/>
      <c r="K174" s="13" t="s">
        <v>65</v>
      </c>
      <c r="L174" s="155"/>
      <c r="M174" s="27" t="s">
        <v>38</v>
      </c>
      <c r="N174" s="13" t="s">
        <v>40</v>
      </c>
      <c r="O174" s="13" t="s">
        <v>42</v>
      </c>
      <c r="P174" s="156"/>
      <c r="Q174" s="13" t="s">
        <v>863</v>
      </c>
      <c r="R174" s="13"/>
      <c r="S174" s="13"/>
      <c r="T174" s="155"/>
      <c r="U174" s="13"/>
      <c r="V174" s="127"/>
    </row>
    <row r="175">
      <c r="A175" s="13">
        <v>174.0</v>
      </c>
      <c r="B175" s="125">
        <v>46152.0</v>
      </c>
      <c r="C175" s="13" t="s">
        <v>58</v>
      </c>
      <c r="D175" s="13" t="s">
        <v>60</v>
      </c>
      <c r="E175" s="13" t="s">
        <v>27</v>
      </c>
      <c r="F175" s="12">
        <v>5.90907745E8</v>
      </c>
      <c r="G175" s="13" t="s">
        <v>27</v>
      </c>
      <c r="H175" s="13" t="s">
        <v>27</v>
      </c>
      <c r="I175" s="20" t="s">
        <v>3972</v>
      </c>
      <c r="J175" s="20"/>
      <c r="K175" s="13" t="s">
        <v>65</v>
      </c>
      <c r="L175" s="155"/>
      <c r="M175" s="27" t="s">
        <v>101</v>
      </c>
      <c r="N175" s="13" t="s">
        <v>40</v>
      </c>
      <c r="O175" s="13" t="s">
        <v>42</v>
      </c>
      <c r="P175" s="156"/>
      <c r="Q175" s="13" t="s">
        <v>863</v>
      </c>
      <c r="R175" s="13"/>
      <c r="S175" s="13"/>
      <c r="T175" s="155"/>
      <c r="U175" s="13"/>
      <c r="V175" s="127"/>
    </row>
    <row r="176">
      <c r="A176" s="13">
        <v>175.0</v>
      </c>
      <c r="B176" s="164">
        <v>46152.0</v>
      </c>
      <c r="C176" s="212" t="s">
        <v>58</v>
      </c>
      <c r="D176" s="127" t="s">
        <v>60</v>
      </c>
      <c r="E176" s="13" t="s">
        <v>27</v>
      </c>
      <c r="F176" s="213">
        <v>5.50702313E8</v>
      </c>
      <c r="G176" s="13" t="s">
        <v>27</v>
      </c>
      <c r="H176" s="214" t="s">
        <v>27</v>
      </c>
      <c r="I176" s="129" t="s">
        <v>3978</v>
      </c>
      <c r="J176" s="215"/>
      <c r="K176" s="129" t="s">
        <v>65</v>
      </c>
      <c r="L176" s="216"/>
      <c r="M176" s="27" t="s">
        <v>1640</v>
      </c>
      <c r="N176" s="212" t="s">
        <v>40</v>
      </c>
      <c r="O176" s="212" t="s">
        <v>42</v>
      </c>
      <c r="P176" s="156"/>
      <c r="Q176" s="127" t="s">
        <v>863</v>
      </c>
      <c r="R176" s="217"/>
      <c r="S176" s="217"/>
      <c r="T176" s="216"/>
      <c r="U176" s="218"/>
      <c r="V176" s="127"/>
    </row>
    <row r="177">
      <c r="A177" s="13">
        <v>176.0</v>
      </c>
      <c r="B177" s="125">
        <v>46152.0</v>
      </c>
      <c r="C177" s="13" t="s">
        <v>58</v>
      </c>
      <c r="D177" s="13" t="s">
        <v>60</v>
      </c>
      <c r="E177" s="13" t="s">
        <v>27</v>
      </c>
      <c r="F177" s="12">
        <v>5.43480927E8</v>
      </c>
      <c r="G177" s="13" t="s">
        <v>27</v>
      </c>
      <c r="H177" s="13" t="s">
        <v>27</v>
      </c>
      <c r="I177" s="20" t="s">
        <v>3985</v>
      </c>
      <c r="J177" s="20"/>
      <c r="K177" s="13" t="s">
        <v>65</v>
      </c>
      <c r="L177" s="155"/>
      <c r="M177" s="27" t="s">
        <v>150</v>
      </c>
      <c r="N177" s="13" t="s">
        <v>40</v>
      </c>
      <c r="O177" s="13" t="s">
        <v>42</v>
      </c>
      <c r="P177" s="156"/>
      <c r="Q177" s="13" t="s">
        <v>863</v>
      </c>
      <c r="R177" s="13"/>
      <c r="S177" s="13"/>
      <c r="T177" s="155"/>
      <c r="U177" s="13"/>
      <c r="V177" s="127"/>
    </row>
    <row r="178">
      <c r="A178" s="13">
        <v>177.0</v>
      </c>
      <c r="B178" s="125">
        <v>46152.0</v>
      </c>
      <c r="C178" s="13" t="s">
        <v>58</v>
      </c>
      <c r="D178" s="13" t="s">
        <v>60</v>
      </c>
      <c r="E178" s="13" t="s">
        <v>27</v>
      </c>
      <c r="F178" s="160">
        <v>5.08707684E8</v>
      </c>
      <c r="G178" s="13" t="s">
        <v>27</v>
      </c>
      <c r="H178" s="13" t="s">
        <v>27</v>
      </c>
      <c r="I178" s="20" t="s">
        <v>554</v>
      </c>
      <c r="J178" s="20"/>
      <c r="K178" s="13" t="s">
        <v>36</v>
      </c>
      <c r="L178" s="155"/>
      <c r="M178" s="27" t="s">
        <v>795</v>
      </c>
      <c r="N178" s="13" t="s">
        <v>40</v>
      </c>
      <c r="O178" s="13" t="s">
        <v>42</v>
      </c>
      <c r="P178" s="156"/>
      <c r="Q178" s="13" t="s">
        <v>863</v>
      </c>
      <c r="R178" s="13"/>
      <c r="S178" s="13"/>
      <c r="T178" s="155"/>
      <c r="U178" s="13"/>
      <c r="V178" s="127"/>
    </row>
    <row r="179">
      <c r="A179" s="13">
        <v>178.0</v>
      </c>
      <c r="B179" s="125">
        <v>46152.0</v>
      </c>
      <c r="C179" s="13" t="s">
        <v>21</v>
      </c>
      <c r="D179" s="13" t="s">
        <v>22</v>
      </c>
      <c r="E179" s="20" t="s">
        <v>3996</v>
      </c>
      <c r="F179" s="12">
        <v>5.65578796E8</v>
      </c>
      <c r="G179" s="20" t="s">
        <v>41</v>
      </c>
      <c r="H179" s="13" t="s">
        <v>27</v>
      </c>
      <c r="I179" s="20" t="s">
        <v>3999</v>
      </c>
      <c r="J179" s="219"/>
      <c r="K179" s="13" t="s">
        <v>36</v>
      </c>
      <c r="L179" s="155"/>
      <c r="M179" s="27" t="s">
        <v>150</v>
      </c>
      <c r="N179" s="13" t="s">
        <v>40</v>
      </c>
      <c r="O179" s="13" t="s">
        <v>42</v>
      </c>
      <c r="P179" s="156"/>
      <c r="Q179" s="13" t="s">
        <v>44</v>
      </c>
      <c r="R179" s="13" t="s">
        <v>46</v>
      </c>
      <c r="S179" s="20"/>
      <c r="T179" s="155"/>
      <c r="U179" s="13"/>
      <c r="V179" s="127"/>
    </row>
    <row r="180">
      <c r="A180" s="13">
        <v>179.0</v>
      </c>
      <c r="B180" s="125">
        <v>46152.0</v>
      </c>
      <c r="C180" s="13" t="s">
        <v>47</v>
      </c>
      <c r="D180" s="13" t="s">
        <v>138</v>
      </c>
      <c r="E180" s="20" t="s">
        <v>4006</v>
      </c>
      <c r="F180" s="12">
        <v>5.37768648E8</v>
      </c>
      <c r="G180" s="20" t="s">
        <v>28</v>
      </c>
      <c r="H180" s="13" t="s">
        <v>830</v>
      </c>
      <c r="I180" s="20" t="s">
        <v>4007</v>
      </c>
      <c r="J180" s="20" t="s">
        <v>4008</v>
      </c>
      <c r="K180" s="13" t="s">
        <v>148</v>
      </c>
      <c r="L180" s="155"/>
      <c r="M180" s="27" t="s">
        <v>101</v>
      </c>
      <c r="N180" s="13" t="s">
        <v>56</v>
      </c>
      <c r="O180" s="13" t="s">
        <v>42</v>
      </c>
      <c r="P180" s="156"/>
      <c r="Q180" s="13" t="s">
        <v>44</v>
      </c>
      <c r="R180" s="13" t="s">
        <v>46</v>
      </c>
      <c r="S180" s="13"/>
      <c r="T180" s="155"/>
      <c r="U180" s="13"/>
      <c r="V180" s="127"/>
    </row>
    <row r="181">
      <c r="A181" s="13">
        <v>180.0</v>
      </c>
      <c r="B181" s="125">
        <v>46152.0</v>
      </c>
      <c r="C181" s="13" t="s">
        <v>47</v>
      </c>
      <c r="D181" s="13" t="s">
        <v>138</v>
      </c>
      <c r="E181" s="20" t="s">
        <v>1911</v>
      </c>
      <c r="F181" s="12">
        <v>5.50813415E8</v>
      </c>
      <c r="G181" s="20" t="s">
        <v>28</v>
      </c>
      <c r="H181" s="13" t="s">
        <v>587</v>
      </c>
      <c r="I181" s="20" t="s">
        <v>4016</v>
      </c>
      <c r="J181" s="20" t="s">
        <v>4008</v>
      </c>
      <c r="K181" s="13" t="s">
        <v>148</v>
      </c>
      <c r="L181" s="155"/>
      <c r="M181" s="27" t="s">
        <v>602</v>
      </c>
      <c r="N181" s="13" t="s">
        <v>56</v>
      </c>
      <c r="O181" s="13" t="s">
        <v>42</v>
      </c>
      <c r="P181" s="156"/>
      <c r="Q181" s="13" t="s">
        <v>44</v>
      </c>
      <c r="R181" s="13" t="s">
        <v>46</v>
      </c>
      <c r="S181" s="13"/>
      <c r="T181" s="155"/>
      <c r="U181" s="13"/>
      <c r="V181" s="127"/>
    </row>
    <row r="182">
      <c r="A182" s="13">
        <v>181.0</v>
      </c>
      <c r="B182" s="125">
        <v>46152.0</v>
      </c>
      <c r="C182" s="13" t="s">
        <v>47</v>
      </c>
      <c r="D182" s="13" t="s">
        <v>138</v>
      </c>
      <c r="E182" s="13" t="s">
        <v>4019</v>
      </c>
      <c r="F182" s="12">
        <v>5.58414357E8</v>
      </c>
      <c r="G182" s="20" t="s">
        <v>28</v>
      </c>
      <c r="H182" s="13" t="s">
        <v>548</v>
      </c>
      <c r="I182" s="20" t="s">
        <v>4021</v>
      </c>
      <c r="J182" s="20" t="s">
        <v>4008</v>
      </c>
      <c r="K182" s="13" t="s">
        <v>148</v>
      </c>
      <c r="L182" s="155"/>
      <c r="M182" s="27" t="s">
        <v>150</v>
      </c>
      <c r="N182" s="13" t="s">
        <v>56</v>
      </c>
      <c r="O182" s="13" t="s">
        <v>42</v>
      </c>
      <c r="P182" s="156"/>
      <c r="Q182" s="13" t="s">
        <v>44</v>
      </c>
      <c r="R182" s="13" t="s">
        <v>46</v>
      </c>
      <c r="S182" s="13"/>
      <c r="T182" s="155"/>
      <c r="U182" s="13"/>
      <c r="V182" s="127"/>
    </row>
    <row r="183">
      <c r="A183" s="13">
        <v>182.0</v>
      </c>
      <c r="B183" s="125">
        <v>46152.0</v>
      </c>
      <c r="C183" s="13" t="s">
        <v>47</v>
      </c>
      <c r="D183" s="13" t="s">
        <v>138</v>
      </c>
      <c r="E183" s="13" t="s">
        <v>4026</v>
      </c>
      <c r="F183" s="12">
        <v>5.76947048E8</v>
      </c>
      <c r="G183" s="20" t="s">
        <v>28</v>
      </c>
      <c r="H183" s="13" t="s">
        <v>3190</v>
      </c>
      <c r="I183" s="20" t="s">
        <v>4028</v>
      </c>
      <c r="J183" s="20" t="s">
        <v>4008</v>
      </c>
      <c r="K183" s="13" t="s">
        <v>148</v>
      </c>
      <c r="L183" s="155"/>
      <c r="M183" s="27" t="s">
        <v>150</v>
      </c>
      <c r="N183" s="13" t="s">
        <v>56</v>
      </c>
      <c r="O183" s="13" t="s">
        <v>42</v>
      </c>
      <c r="P183" s="156"/>
      <c r="Q183" s="13" t="s">
        <v>44</v>
      </c>
      <c r="R183" s="13" t="s">
        <v>46</v>
      </c>
      <c r="S183" s="13"/>
      <c r="T183" s="155"/>
      <c r="U183" s="13"/>
      <c r="V183" s="127"/>
    </row>
    <row r="184">
      <c r="A184" s="13">
        <v>183.0</v>
      </c>
      <c r="B184" s="125">
        <v>46152.0</v>
      </c>
      <c r="C184" s="13" t="s">
        <v>47</v>
      </c>
      <c r="D184" s="13" t="s">
        <v>138</v>
      </c>
      <c r="E184" s="13" t="s">
        <v>4034</v>
      </c>
      <c r="F184" s="12">
        <v>5.52727384E8</v>
      </c>
      <c r="G184" s="20" t="s">
        <v>28</v>
      </c>
      <c r="H184" s="13" t="s">
        <v>830</v>
      </c>
      <c r="I184" s="20" t="s">
        <v>4035</v>
      </c>
      <c r="J184" s="20" t="s">
        <v>4008</v>
      </c>
      <c r="K184" s="13" t="s">
        <v>148</v>
      </c>
      <c r="L184" s="155"/>
      <c r="M184" s="27" t="s">
        <v>323</v>
      </c>
      <c r="N184" s="13" t="s">
        <v>56</v>
      </c>
      <c r="O184" s="13" t="s">
        <v>42</v>
      </c>
      <c r="P184" s="156"/>
      <c r="Q184" s="13" t="s">
        <v>44</v>
      </c>
      <c r="R184" s="13" t="s">
        <v>46</v>
      </c>
      <c r="S184" s="13"/>
      <c r="T184" s="155"/>
      <c r="U184" s="13"/>
      <c r="V184" s="127"/>
    </row>
    <row r="185">
      <c r="A185" s="13">
        <v>184.0</v>
      </c>
      <c r="B185" s="125">
        <v>46152.0</v>
      </c>
      <c r="C185" s="13" t="s">
        <v>47</v>
      </c>
      <c r="D185" s="13" t="s">
        <v>138</v>
      </c>
      <c r="E185" s="20" t="s">
        <v>4039</v>
      </c>
      <c r="F185" s="12">
        <v>5.34777501E8</v>
      </c>
      <c r="G185" s="20" t="s">
        <v>79</v>
      </c>
      <c r="H185" s="13" t="s">
        <v>638</v>
      </c>
      <c r="I185" s="20" t="s">
        <v>4040</v>
      </c>
      <c r="J185" s="20" t="s">
        <v>4042</v>
      </c>
      <c r="K185" s="13" t="s">
        <v>148</v>
      </c>
      <c r="L185" s="155"/>
      <c r="M185" s="27" t="s">
        <v>323</v>
      </c>
      <c r="N185" s="13" t="s">
        <v>56</v>
      </c>
      <c r="O185" s="13" t="s">
        <v>42</v>
      </c>
      <c r="P185" s="156"/>
      <c r="Q185" s="13" t="s">
        <v>44</v>
      </c>
      <c r="R185" s="13" t="s">
        <v>46</v>
      </c>
      <c r="S185" s="13"/>
      <c r="T185" s="155"/>
      <c r="U185" s="13"/>
      <c r="V185" s="127"/>
    </row>
    <row r="186">
      <c r="A186" s="13">
        <v>185.0</v>
      </c>
      <c r="B186" s="125">
        <v>46152.0</v>
      </c>
      <c r="C186" s="13" t="s">
        <v>47</v>
      </c>
      <c r="D186" s="13" t="s">
        <v>138</v>
      </c>
      <c r="E186" s="20" t="s">
        <v>4046</v>
      </c>
      <c r="F186" s="12">
        <v>5.09002096E8</v>
      </c>
      <c r="G186" s="20" t="s">
        <v>79</v>
      </c>
      <c r="H186" s="13" t="s">
        <v>239</v>
      </c>
      <c r="I186" s="20" t="s">
        <v>4048</v>
      </c>
      <c r="J186" s="20" t="s">
        <v>4049</v>
      </c>
      <c r="K186" s="13" t="s">
        <v>148</v>
      </c>
      <c r="L186" s="155"/>
      <c r="M186" s="27" t="s">
        <v>150</v>
      </c>
      <c r="N186" s="13" t="s">
        <v>56</v>
      </c>
      <c r="O186" s="13" t="s">
        <v>42</v>
      </c>
      <c r="P186" s="156"/>
      <c r="Q186" s="13" t="s">
        <v>44</v>
      </c>
      <c r="R186" s="13" t="s">
        <v>46</v>
      </c>
      <c r="S186" s="13"/>
      <c r="T186" s="155"/>
      <c r="U186" s="13"/>
      <c r="V186" s="127"/>
    </row>
    <row r="187">
      <c r="A187" s="13">
        <v>186.0</v>
      </c>
      <c r="B187" s="125">
        <v>46152.0</v>
      </c>
      <c r="C187" s="13" t="s">
        <v>47</v>
      </c>
      <c r="D187" s="13" t="s">
        <v>138</v>
      </c>
      <c r="E187" s="13" t="s">
        <v>4054</v>
      </c>
      <c r="F187" s="12">
        <v>5.67857881E8</v>
      </c>
      <c r="G187" s="20" t="s">
        <v>79</v>
      </c>
      <c r="H187" s="13" t="s">
        <v>487</v>
      </c>
      <c r="I187" s="20" t="s">
        <v>4055</v>
      </c>
      <c r="J187" s="20" t="s">
        <v>4056</v>
      </c>
      <c r="K187" s="13" t="s">
        <v>148</v>
      </c>
      <c r="L187" s="155"/>
      <c r="M187" s="27" t="s">
        <v>1758</v>
      </c>
      <c r="N187" s="13" t="s">
        <v>56</v>
      </c>
      <c r="O187" s="13" t="s">
        <v>42</v>
      </c>
      <c r="P187" s="156"/>
      <c r="Q187" s="13" t="s">
        <v>44</v>
      </c>
      <c r="R187" s="13" t="s">
        <v>46</v>
      </c>
      <c r="S187" s="13"/>
      <c r="T187" s="155"/>
      <c r="U187" s="13"/>
      <c r="V187" s="127"/>
    </row>
    <row r="188">
      <c r="A188" s="13">
        <v>187.0</v>
      </c>
      <c r="B188" s="125">
        <v>46152.0</v>
      </c>
      <c r="C188" s="13" t="s">
        <v>21</v>
      </c>
      <c r="D188" s="13" t="s">
        <v>34</v>
      </c>
      <c r="E188" s="13" t="s">
        <v>27</v>
      </c>
      <c r="F188" s="12">
        <v>7.6313365E7</v>
      </c>
      <c r="G188" s="13" t="s">
        <v>27</v>
      </c>
      <c r="H188" s="13" t="s">
        <v>27</v>
      </c>
      <c r="I188" s="20" t="s">
        <v>4059</v>
      </c>
      <c r="J188" s="20" t="s">
        <v>4061</v>
      </c>
      <c r="K188" s="13" t="s">
        <v>62</v>
      </c>
      <c r="L188" s="155"/>
      <c r="M188" s="27" t="s">
        <v>38</v>
      </c>
      <c r="N188" s="13" t="s">
        <v>56</v>
      </c>
      <c r="O188" s="13" t="s">
        <v>42</v>
      </c>
      <c r="P188" s="156"/>
      <c r="Q188" s="13" t="s">
        <v>44</v>
      </c>
      <c r="R188" s="13"/>
      <c r="S188" s="13"/>
      <c r="T188" s="155"/>
      <c r="U188" s="13"/>
      <c r="V188" s="127"/>
    </row>
    <row r="189">
      <c r="A189" s="13">
        <v>188.0</v>
      </c>
      <c r="B189" s="125">
        <v>46152.0</v>
      </c>
      <c r="C189" s="13" t="s">
        <v>58</v>
      </c>
      <c r="D189" s="13" t="s">
        <v>60</v>
      </c>
      <c r="E189" s="13" t="s">
        <v>27</v>
      </c>
      <c r="F189" s="12">
        <v>5.32966257E8</v>
      </c>
      <c r="G189" s="13" t="s">
        <v>27</v>
      </c>
      <c r="H189" s="13" t="s">
        <v>27</v>
      </c>
      <c r="I189" s="20" t="s">
        <v>944</v>
      </c>
      <c r="J189" s="20" t="s">
        <v>4064</v>
      </c>
      <c r="K189" s="13" t="s">
        <v>36</v>
      </c>
      <c r="L189" s="155">
        <v>0.4652777777777778</v>
      </c>
      <c r="M189" s="27" t="s">
        <v>88</v>
      </c>
      <c r="N189" s="13" t="s">
        <v>56</v>
      </c>
      <c r="O189" s="13" t="s">
        <v>42</v>
      </c>
      <c r="P189" s="156"/>
      <c r="Q189" s="13" t="s">
        <v>44</v>
      </c>
      <c r="R189" s="13"/>
      <c r="S189" s="20" t="s">
        <v>2632</v>
      </c>
      <c r="T189" s="155">
        <v>0.4652777777777778</v>
      </c>
      <c r="U189" s="13" t="s">
        <v>44</v>
      </c>
      <c r="V189" s="127"/>
    </row>
    <row r="190" ht="31.5" customHeight="1">
      <c r="A190" s="13">
        <v>189.0</v>
      </c>
      <c r="B190" s="125">
        <v>46152.0</v>
      </c>
      <c r="C190" s="13" t="s">
        <v>21</v>
      </c>
      <c r="D190" s="13" t="s">
        <v>66</v>
      </c>
      <c r="E190" s="13" t="s">
        <v>4068</v>
      </c>
      <c r="F190" s="12">
        <v>5.35383091E8</v>
      </c>
      <c r="G190" s="13" t="s">
        <v>27</v>
      </c>
      <c r="H190" s="13" t="s">
        <v>27</v>
      </c>
      <c r="I190" s="20" t="s">
        <v>4070</v>
      </c>
      <c r="J190" s="20" t="s">
        <v>847</v>
      </c>
      <c r="K190" s="13" t="s">
        <v>36</v>
      </c>
      <c r="L190" s="155"/>
      <c r="M190" s="27" t="s">
        <v>421</v>
      </c>
      <c r="N190" s="13" t="s">
        <v>56</v>
      </c>
      <c r="O190" s="13" t="s">
        <v>42</v>
      </c>
      <c r="P190" s="156"/>
      <c r="Q190" s="13" t="s">
        <v>44</v>
      </c>
      <c r="R190" s="13"/>
      <c r="S190" s="13"/>
      <c r="T190" s="155"/>
      <c r="U190" s="13"/>
      <c r="V190" s="127"/>
    </row>
    <row r="191">
      <c r="A191" s="13">
        <v>190.0</v>
      </c>
      <c r="B191" s="125">
        <v>46152.0</v>
      </c>
      <c r="C191" s="13" t="s">
        <v>21</v>
      </c>
      <c r="D191" s="13" t="s">
        <v>24</v>
      </c>
      <c r="E191" s="20" t="s">
        <v>4076</v>
      </c>
      <c r="F191" s="12">
        <v>5.55323802E8</v>
      </c>
      <c r="G191" s="20" t="s">
        <v>71</v>
      </c>
      <c r="H191" s="13" t="s">
        <v>27</v>
      </c>
      <c r="I191" s="20" t="s">
        <v>4077</v>
      </c>
      <c r="J191" s="20"/>
      <c r="K191" s="13" t="s">
        <v>36</v>
      </c>
      <c r="L191" s="155"/>
      <c r="M191" s="27" t="s">
        <v>323</v>
      </c>
      <c r="N191" s="13" t="s">
        <v>40</v>
      </c>
      <c r="O191" s="13" t="s">
        <v>42</v>
      </c>
      <c r="P191" s="156"/>
      <c r="Q191" s="13" t="s">
        <v>44</v>
      </c>
      <c r="R191" s="13" t="s">
        <v>46</v>
      </c>
      <c r="S191" s="13"/>
      <c r="T191" s="155"/>
      <c r="U191" s="13"/>
      <c r="V191" s="127"/>
    </row>
    <row r="192" ht="72.75" customHeight="1">
      <c r="A192" s="13">
        <v>191.0</v>
      </c>
      <c r="B192" s="125">
        <v>46152.0</v>
      </c>
      <c r="C192" s="13" t="s">
        <v>47</v>
      </c>
      <c r="D192" s="13" t="s">
        <v>48</v>
      </c>
      <c r="E192" s="20" t="s">
        <v>4083</v>
      </c>
      <c r="F192" s="12">
        <v>5.51277897E8</v>
      </c>
      <c r="G192" s="162" t="s">
        <v>41</v>
      </c>
      <c r="H192" s="13" t="s">
        <v>567</v>
      </c>
      <c r="I192" s="20" t="s">
        <v>4086</v>
      </c>
      <c r="J192" s="20" t="s">
        <v>4087</v>
      </c>
      <c r="K192" s="13" t="s">
        <v>36</v>
      </c>
      <c r="L192" s="155">
        <v>0.5486111111111112</v>
      </c>
      <c r="M192" s="27" t="s">
        <v>55</v>
      </c>
      <c r="N192" s="13" t="s">
        <v>56</v>
      </c>
      <c r="O192" s="13" t="s">
        <v>42</v>
      </c>
      <c r="P192" s="156"/>
      <c r="Q192" s="13" t="s">
        <v>49</v>
      </c>
      <c r="R192" s="13" t="s">
        <v>46</v>
      </c>
      <c r="S192" s="20" t="s">
        <v>2632</v>
      </c>
      <c r="T192" s="155">
        <v>0.6180555555555556</v>
      </c>
      <c r="U192" s="13" t="s">
        <v>49</v>
      </c>
      <c r="V192" s="127"/>
    </row>
    <row r="193">
      <c r="A193" s="13">
        <v>192.0</v>
      </c>
      <c r="B193" s="125">
        <v>46152.0</v>
      </c>
      <c r="C193" s="13" t="s">
        <v>47</v>
      </c>
      <c r="D193" s="13" t="s">
        <v>48</v>
      </c>
      <c r="E193" s="228" t="s">
        <v>4094</v>
      </c>
      <c r="F193" s="12" t="s">
        <v>27</v>
      </c>
      <c r="G193" s="166" t="s">
        <v>41</v>
      </c>
      <c r="H193" s="13" t="s">
        <v>222</v>
      </c>
      <c r="I193" s="102" t="s">
        <v>4095</v>
      </c>
      <c r="J193" s="20" t="s">
        <v>4096</v>
      </c>
      <c r="K193" s="13" t="s">
        <v>78</v>
      </c>
      <c r="L193" s="155"/>
      <c r="M193" s="75" t="s">
        <v>101</v>
      </c>
      <c r="N193" s="13" t="s">
        <v>56</v>
      </c>
      <c r="O193" s="13" t="s">
        <v>42</v>
      </c>
      <c r="P193" s="156"/>
      <c r="Q193" s="13" t="s">
        <v>49</v>
      </c>
      <c r="R193" s="13" t="s">
        <v>46</v>
      </c>
      <c r="S193" s="13"/>
      <c r="T193" s="155"/>
      <c r="U193" s="13" t="s">
        <v>4097</v>
      </c>
      <c r="V193" s="127"/>
    </row>
    <row r="194">
      <c r="A194" s="13">
        <v>193.0</v>
      </c>
      <c r="B194" s="125">
        <v>46152.0</v>
      </c>
      <c r="C194" s="13" t="s">
        <v>47</v>
      </c>
      <c r="D194" s="13" t="s">
        <v>60</v>
      </c>
      <c r="E194" s="13" t="s">
        <v>27</v>
      </c>
      <c r="F194" s="12" t="s">
        <v>27</v>
      </c>
      <c r="G194" s="20" t="s">
        <v>41</v>
      </c>
      <c r="H194" s="13" t="s">
        <v>638</v>
      </c>
      <c r="I194" s="102" t="s">
        <v>4102</v>
      </c>
      <c r="J194" s="27"/>
      <c r="K194" s="13" t="s">
        <v>78</v>
      </c>
      <c r="L194" s="155"/>
      <c r="M194" s="27" t="s">
        <v>55</v>
      </c>
      <c r="N194" s="13" t="s">
        <v>40</v>
      </c>
      <c r="O194" s="13" t="s">
        <v>42</v>
      </c>
      <c r="P194" s="156"/>
      <c r="Q194" s="13" t="s">
        <v>49</v>
      </c>
      <c r="R194" s="13" t="s">
        <v>46</v>
      </c>
      <c r="S194" s="13"/>
      <c r="T194" s="155"/>
      <c r="U194" s="13" t="s">
        <v>4097</v>
      </c>
      <c r="V194" s="127"/>
    </row>
    <row r="195">
      <c r="A195" s="13">
        <v>194.0</v>
      </c>
      <c r="B195" s="125">
        <v>46152.0</v>
      </c>
      <c r="C195" s="13" t="s">
        <v>47</v>
      </c>
      <c r="D195" s="13" t="s">
        <v>48</v>
      </c>
      <c r="E195" s="20" t="s">
        <v>4104</v>
      </c>
      <c r="F195" s="12" t="s">
        <v>27</v>
      </c>
      <c r="G195" s="166" t="s">
        <v>41</v>
      </c>
      <c r="H195" s="13" t="s">
        <v>52</v>
      </c>
      <c r="I195" s="102" t="s">
        <v>4105</v>
      </c>
      <c r="J195" s="20" t="s">
        <v>4106</v>
      </c>
      <c r="K195" s="13" t="s">
        <v>78</v>
      </c>
      <c r="L195" s="155"/>
      <c r="M195" s="27" t="s">
        <v>55</v>
      </c>
      <c r="N195" s="13" t="s">
        <v>56</v>
      </c>
      <c r="O195" s="13" t="s">
        <v>42</v>
      </c>
      <c r="P195" s="156"/>
      <c r="Q195" s="13" t="s">
        <v>49</v>
      </c>
      <c r="R195" s="13" t="s">
        <v>46</v>
      </c>
      <c r="S195" s="13"/>
      <c r="T195" s="155"/>
      <c r="U195" s="13" t="s">
        <v>863</v>
      </c>
      <c r="V195" s="127"/>
    </row>
    <row r="196">
      <c r="A196" s="13">
        <v>195.0</v>
      </c>
      <c r="B196" s="125">
        <v>46152.0</v>
      </c>
      <c r="C196" s="13" t="s">
        <v>47</v>
      </c>
      <c r="D196" s="13" t="s">
        <v>367</v>
      </c>
      <c r="E196" s="20" t="s">
        <v>4111</v>
      </c>
      <c r="F196" s="12" t="s">
        <v>27</v>
      </c>
      <c r="G196" s="20" t="s">
        <v>71</v>
      </c>
      <c r="H196" s="13" t="s">
        <v>2716</v>
      </c>
      <c r="I196" s="102" t="s">
        <v>4113</v>
      </c>
      <c r="J196" s="20" t="s">
        <v>3206</v>
      </c>
      <c r="K196" s="13" t="s">
        <v>78</v>
      </c>
      <c r="L196" s="155"/>
      <c r="M196" s="27" t="s">
        <v>55</v>
      </c>
      <c r="N196" s="13" t="s">
        <v>40</v>
      </c>
      <c r="O196" s="13" t="s">
        <v>42</v>
      </c>
      <c r="P196" s="156"/>
      <c r="Q196" s="13" t="s">
        <v>49</v>
      </c>
      <c r="R196" s="13" t="s">
        <v>46</v>
      </c>
      <c r="S196" s="13"/>
      <c r="T196" s="155"/>
      <c r="U196" s="13" t="s">
        <v>863</v>
      </c>
      <c r="V196" s="127"/>
    </row>
    <row r="197">
      <c r="A197" s="13">
        <v>196.0</v>
      </c>
      <c r="B197" s="125">
        <v>46163.0</v>
      </c>
      <c r="C197" s="13" t="s">
        <v>58</v>
      </c>
      <c r="D197" s="13" t="s">
        <v>57</v>
      </c>
      <c r="E197" s="20" t="s">
        <v>4111</v>
      </c>
      <c r="F197" s="12" t="s">
        <v>27</v>
      </c>
      <c r="G197" s="20" t="s">
        <v>71</v>
      </c>
      <c r="H197" s="13" t="s">
        <v>4118</v>
      </c>
      <c r="I197" s="102" t="s">
        <v>4119</v>
      </c>
      <c r="J197" s="20"/>
      <c r="K197" s="13" t="s">
        <v>78</v>
      </c>
      <c r="L197" s="155"/>
      <c r="M197" s="27" t="s">
        <v>421</v>
      </c>
      <c r="N197" s="13" t="s">
        <v>40</v>
      </c>
      <c r="O197" s="13" t="s">
        <v>42</v>
      </c>
      <c r="P197" s="156"/>
      <c r="Q197" s="13" t="s">
        <v>49</v>
      </c>
      <c r="R197" s="13"/>
      <c r="S197" s="13"/>
      <c r="T197" s="155"/>
      <c r="U197" s="13"/>
      <c r="V197" s="127"/>
    </row>
    <row r="198">
      <c r="A198" s="13">
        <v>197.0</v>
      </c>
      <c r="B198" s="125">
        <v>46152.0</v>
      </c>
      <c r="C198" s="13" t="s">
        <v>58</v>
      </c>
      <c r="D198" s="13" t="s">
        <v>60</v>
      </c>
      <c r="E198" s="20" t="s">
        <v>284</v>
      </c>
      <c r="F198" s="12" t="s">
        <v>27</v>
      </c>
      <c r="G198" s="20" t="s">
        <v>41</v>
      </c>
      <c r="H198" s="13" t="s">
        <v>4123</v>
      </c>
      <c r="I198" s="229" t="s">
        <v>4125</v>
      </c>
      <c r="J198" s="20"/>
      <c r="K198" s="13" t="s">
        <v>78</v>
      </c>
      <c r="L198" s="155"/>
      <c r="M198" s="27" t="s">
        <v>88</v>
      </c>
      <c r="N198" s="13" t="s">
        <v>40</v>
      </c>
      <c r="O198" s="13" t="s">
        <v>42</v>
      </c>
      <c r="P198" s="156"/>
      <c r="Q198" s="13" t="s">
        <v>49</v>
      </c>
      <c r="R198" s="13"/>
      <c r="S198" s="13"/>
      <c r="T198" s="155"/>
      <c r="U198" s="13" t="s">
        <v>863</v>
      </c>
      <c r="V198" s="127"/>
    </row>
    <row r="199">
      <c r="A199" s="13">
        <v>198.0</v>
      </c>
      <c r="B199" s="125">
        <v>46152.0</v>
      </c>
      <c r="C199" s="13" t="s">
        <v>21</v>
      </c>
      <c r="D199" s="13" t="s">
        <v>24</v>
      </c>
      <c r="E199" s="20" t="s">
        <v>4131</v>
      </c>
      <c r="F199" s="12">
        <v>5.50404196E8</v>
      </c>
      <c r="G199" s="20" t="s">
        <v>152</v>
      </c>
      <c r="H199" s="13" t="s">
        <v>27</v>
      </c>
      <c r="I199" s="20" t="s">
        <v>4133</v>
      </c>
      <c r="J199" s="20"/>
      <c r="K199" s="13" t="s">
        <v>36</v>
      </c>
      <c r="L199" s="155"/>
      <c r="M199" s="27" t="s">
        <v>101</v>
      </c>
      <c r="N199" s="13" t="s">
        <v>40</v>
      </c>
      <c r="O199" s="13" t="s">
        <v>42</v>
      </c>
      <c r="P199" s="156"/>
      <c r="Q199" s="13" t="s">
        <v>863</v>
      </c>
      <c r="R199" s="13" t="s">
        <v>46</v>
      </c>
      <c r="S199" s="13"/>
      <c r="T199" s="155"/>
      <c r="U199" s="13"/>
      <c r="V199" s="127"/>
    </row>
    <row r="200">
      <c r="A200" s="13">
        <v>199.0</v>
      </c>
      <c r="B200" s="125">
        <v>46152.0</v>
      </c>
      <c r="C200" s="13" t="s">
        <v>21</v>
      </c>
      <c r="D200" s="13" t="s">
        <v>66</v>
      </c>
      <c r="E200" s="20" t="s">
        <v>4139</v>
      </c>
      <c r="F200" s="12">
        <v>5.0715223E8</v>
      </c>
      <c r="G200" s="20" t="s">
        <v>152</v>
      </c>
      <c r="H200" s="13" t="s">
        <v>27</v>
      </c>
      <c r="I200" s="20" t="s">
        <v>4140</v>
      </c>
      <c r="J200" s="20" t="s">
        <v>4141</v>
      </c>
      <c r="K200" s="13" t="s">
        <v>36</v>
      </c>
      <c r="L200" s="155"/>
      <c r="M200" s="27" t="s">
        <v>38</v>
      </c>
      <c r="N200" s="13" t="s">
        <v>56</v>
      </c>
      <c r="O200" s="13" t="s">
        <v>42</v>
      </c>
      <c r="P200" s="156"/>
      <c r="Q200" s="13" t="s">
        <v>44</v>
      </c>
      <c r="R200" s="13"/>
      <c r="S200" s="13"/>
      <c r="T200" s="155"/>
      <c r="U200" s="13"/>
      <c r="V200" s="127"/>
    </row>
    <row r="201">
      <c r="A201" s="13">
        <v>200.0</v>
      </c>
      <c r="B201" s="125">
        <v>46152.0</v>
      </c>
      <c r="C201" s="13" t="s">
        <v>21</v>
      </c>
      <c r="D201" s="13" t="s">
        <v>48</v>
      </c>
      <c r="E201" s="20" t="s">
        <v>4145</v>
      </c>
      <c r="F201" s="12">
        <v>5.55599912E8</v>
      </c>
      <c r="G201" s="20" t="s">
        <v>211</v>
      </c>
      <c r="H201" s="13" t="s">
        <v>27</v>
      </c>
      <c r="I201" s="20" t="s">
        <v>4146</v>
      </c>
      <c r="J201" s="20" t="s">
        <v>1564</v>
      </c>
      <c r="K201" s="13" t="s">
        <v>36</v>
      </c>
      <c r="L201" s="155"/>
      <c r="M201" s="27" t="s">
        <v>101</v>
      </c>
      <c r="N201" s="13" t="s">
        <v>56</v>
      </c>
      <c r="O201" s="13" t="s">
        <v>42</v>
      </c>
      <c r="P201" s="156"/>
      <c r="Q201" s="13" t="s">
        <v>44</v>
      </c>
      <c r="R201" s="13"/>
      <c r="S201" s="13"/>
      <c r="T201" s="155"/>
      <c r="U201" s="13"/>
      <c r="V201" s="127"/>
    </row>
    <row r="202">
      <c r="A202" s="13">
        <v>201.0</v>
      </c>
      <c r="B202" s="125">
        <v>46152.0</v>
      </c>
      <c r="C202" s="13" t="s">
        <v>58</v>
      </c>
      <c r="D202" s="13" t="s">
        <v>60</v>
      </c>
      <c r="E202" s="20" t="s">
        <v>4152</v>
      </c>
      <c r="F202" s="160">
        <v>5.52476828E8</v>
      </c>
      <c r="G202" s="20" t="s">
        <v>237</v>
      </c>
      <c r="H202" s="13" t="s">
        <v>27</v>
      </c>
      <c r="I202" s="20" t="s">
        <v>4154</v>
      </c>
      <c r="J202" s="20"/>
      <c r="K202" s="13" t="s">
        <v>36</v>
      </c>
      <c r="L202" s="155"/>
      <c r="M202" s="27" t="s">
        <v>1883</v>
      </c>
      <c r="N202" s="13" t="s">
        <v>40</v>
      </c>
      <c r="O202" s="13" t="s">
        <v>42</v>
      </c>
      <c r="P202" s="156"/>
      <c r="Q202" s="13" t="s">
        <v>44</v>
      </c>
      <c r="R202" s="13"/>
      <c r="S202" s="13"/>
      <c r="T202" s="155"/>
      <c r="U202" s="13"/>
      <c r="V202" s="156">
        <v>1.0</v>
      </c>
    </row>
    <row r="203">
      <c r="A203" s="13">
        <v>202.0</v>
      </c>
      <c r="B203" s="125">
        <v>46153.0</v>
      </c>
      <c r="C203" s="13" t="s">
        <v>58</v>
      </c>
      <c r="D203" s="13" t="s">
        <v>60</v>
      </c>
      <c r="E203" s="13" t="s">
        <v>27</v>
      </c>
      <c r="F203" s="12">
        <v>5.63236914E8</v>
      </c>
      <c r="G203" s="13" t="s">
        <v>27</v>
      </c>
      <c r="H203" s="13" t="s">
        <v>27</v>
      </c>
      <c r="I203" s="20" t="s">
        <v>554</v>
      </c>
      <c r="J203" s="20"/>
      <c r="K203" s="13" t="s">
        <v>36</v>
      </c>
      <c r="L203" s="155"/>
      <c r="M203" s="27" t="s">
        <v>88</v>
      </c>
      <c r="N203" s="13" t="s">
        <v>40</v>
      </c>
      <c r="O203" s="13" t="s">
        <v>42</v>
      </c>
      <c r="P203" s="156"/>
      <c r="Q203" s="13" t="s">
        <v>863</v>
      </c>
      <c r="R203" s="13"/>
      <c r="S203" s="13"/>
      <c r="T203" s="155"/>
      <c r="U203" s="13"/>
      <c r="V203" s="156">
        <v>2.0</v>
      </c>
    </row>
    <row r="204" ht="46.5" customHeight="1">
      <c r="A204" s="13">
        <v>203.0</v>
      </c>
      <c r="B204" s="125">
        <v>46153.0</v>
      </c>
      <c r="C204" s="13" t="s">
        <v>47</v>
      </c>
      <c r="D204" s="13" t="s">
        <v>48</v>
      </c>
      <c r="E204" s="13" t="s">
        <v>27</v>
      </c>
      <c r="F204" s="12">
        <v>5.66613736E8</v>
      </c>
      <c r="G204" s="162" t="s">
        <v>41</v>
      </c>
      <c r="H204" s="13" t="s">
        <v>188</v>
      </c>
      <c r="I204" s="20" t="s">
        <v>4165</v>
      </c>
      <c r="J204" s="20" t="s">
        <v>4166</v>
      </c>
      <c r="K204" s="13" t="s">
        <v>36</v>
      </c>
      <c r="L204" s="155">
        <v>0.36527777777777776</v>
      </c>
      <c r="M204" s="27" t="s">
        <v>101</v>
      </c>
      <c r="N204" s="13" t="s">
        <v>56</v>
      </c>
      <c r="O204" s="13" t="s">
        <v>42</v>
      </c>
      <c r="P204" s="156"/>
      <c r="Q204" s="13" t="s">
        <v>863</v>
      </c>
      <c r="R204" s="13" t="s">
        <v>46</v>
      </c>
      <c r="S204" s="20" t="s">
        <v>2632</v>
      </c>
      <c r="T204" s="155">
        <v>0.6923611111111111</v>
      </c>
      <c r="U204" s="13" t="s">
        <v>863</v>
      </c>
      <c r="V204" s="127"/>
    </row>
    <row r="205">
      <c r="A205" s="13">
        <v>204.0</v>
      </c>
      <c r="B205" s="125">
        <v>46153.0</v>
      </c>
      <c r="C205" s="13" t="s">
        <v>21</v>
      </c>
      <c r="D205" s="13" t="s">
        <v>22</v>
      </c>
      <c r="E205" s="20" t="s">
        <v>4170</v>
      </c>
      <c r="F205" s="12">
        <v>5.07741214E8</v>
      </c>
      <c r="G205" s="20" t="s">
        <v>28</v>
      </c>
      <c r="H205" s="13" t="s">
        <v>27</v>
      </c>
      <c r="I205" s="20" t="s">
        <v>4173</v>
      </c>
      <c r="J205" s="20"/>
      <c r="K205" s="13" t="s">
        <v>36</v>
      </c>
      <c r="L205" s="155"/>
      <c r="M205" s="27" t="s">
        <v>101</v>
      </c>
      <c r="N205" s="13" t="s">
        <v>40</v>
      </c>
      <c r="O205" s="13" t="s">
        <v>42</v>
      </c>
      <c r="P205" s="156"/>
      <c r="Q205" s="13" t="s">
        <v>44</v>
      </c>
      <c r="R205" s="13" t="s">
        <v>46</v>
      </c>
      <c r="S205" s="20"/>
      <c r="T205" s="155"/>
      <c r="U205" s="13"/>
      <c r="V205" s="156">
        <v>3.0</v>
      </c>
    </row>
    <row r="206">
      <c r="A206" s="13">
        <v>205.0</v>
      </c>
      <c r="B206" s="125">
        <v>46153.0</v>
      </c>
      <c r="C206" s="13" t="s">
        <v>21</v>
      </c>
      <c r="D206" s="13" t="s">
        <v>22</v>
      </c>
      <c r="E206" s="20" t="s">
        <v>4177</v>
      </c>
      <c r="F206" s="12">
        <v>5.05801358E8</v>
      </c>
      <c r="G206" s="20" t="s">
        <v>4178</v>
      </c>
      <c r="H206" s="13" t="s">
        <v>27</v>
      </c>
      <c r="I206" s="20" t="s">
        <v>4180</v>
      </c>
      <c r="J206" s="20"/>
      <c r="K206" s="13" t="s">
        <v>36</v>
      </c>
      <c r="L206" s="155"/>
      <c r="M206" s="27" t="s">
        <v>101</v>
      </c>
      <c r="N206" s="13" t="s">
        <v>40</v>
      </c>
      <c r="O206" s="13" t="s">
        <v>42</v>
      </c>
      <c r="P206" s="156"/>
      <c r="Q206" s="13" t="s">
        <v>863</v>
      </c>
      <c r="R206" s="13" t="s">
        <v>46</v>
      </c>
      <c r="S206" s="20"/>
      <c r="T206" s="155"/>
      <c r="U206" s="13"/>
      <c r="V206" s="127"/>
    </row>
    <row r="207">
      <c r="A207" s="13">
        <v>206.0</v>
      </c>
      <c r="B207" s="125">
        <v>46153.0</v>
      </c>
      <c r="C207" s="13" t="s">
        <v>47</v>
      </c>
      <c r="D207" s="13" t="s">
        <v>60</v>
      </c>
      <c r="E207" s="13" t="s">
        <v>4185</v>
      </c>
      <c r="F207" s="12" t="s">
        <v>27</v>
      </c>
      <c r="G207" s="20" t="s">
        <v>28</v>
      </c>
      <c r="H207" s="13" t="s">
        <v>4187</v>
      </c>
      <c r="I207" s="20" t="s">
        <v>4188</v>
      </c>
      <c r="J207" s="20"/>
      <c r="K207" s="13" t="s">
        <v>78</v>
      </c>
      <c r="L207" s="155"/>
      <c r="M207" s="27" t="s">
        <v>55</v>
      </c>
      <c r="N207" s="13" t="s">
        <v>40</v>
      </c>
      <c r="O207" s="13" t="s">
        <v>42</v>
      </c>
      <c r="P207" s="156"/>
      <c r="Q207" s="13" t="s">
        <v>49</v>
      </c>
      <c r="R207" s="13"/>
      <c r="S207" s="13"/>
      <c r="T207" s="155"/>
      <c r="U207" s="13"/>
      <c r="V207" s="156">
        <v>4.0</v>
      </c>
    </row>
    <row r="208" ht="34.5" customHeight="1">
      <c r="A208" s="13">
        <v>207.0</v>
      </c>
      <c r="B208" s="125">
        <v>46153.0</v>
      </c>
      <c r="C208" s="13" t="s">
        <v>47</v>
      </c>
      <c r="D208" s="13" t="s">
        <v>92</v>
      </c>
      <c r="E208" s="13" t="s">
        <v>4192</v>
      </c>
      <c r="F208" s="12" t="s">
        <v>27</v>
      </c>
      <c r="G208" s="20" t="s">
        <v>132</v>
      </c>
      <c r="H208" s="13" t="s">
        <v>406</v>
      </c>
      <c r="I208" s="20" t="s">
        <v>4195</v>
      </c>
      <c r="J208" s="20" t="s">
        <v>4197</v>
      </c>
      <c r="K208" s="13" t="s">
        <v>78</v>
      </c>
      <c r="L208" s="155"/>
      <c r="M208" s="27" t="s">
        <v>55</v>
      </c>
      <c r="N208" s="13" t="s">
        <v>56</v>
      </c>
      <c r="O208" s="13" t="s">
        <v>42</v>
      </c>
      <c r="P208" s="156"/>
      <c r="Q208" s="13" t="s">
        <v>49</v>
      </c>
      <c r="R208" s="13" t="s">
        <v>46</v>
      </c>
      <c r="S208" s="13"/>
      <c r="T208" s="155"/>
      <c r="U208" s="13" t="s">
        <v>49</v>
      </c>
      <c r="V208" s="127"/>
    </row>
    <row r="209">
      <c r="A209" s="13">
        <v>208.0</v>
      </c>
      <c r="B209" s="125">
        <v>46153.0</v>
      </c>
      <c r="C209" s="13" t="s">
        <v>21</v>
      </c>
      <c r="D209" s="13" t="s">
        <v>22</v>
      </c>
      <c r="E209" s="20" t="s">
        <v>4200</v>
      </c>
      <c r="F209" s="12">
        <v>5.03734689E8</v>
      </c>
      <c r="G209" s="20" t="s">
        <v>172</v>
      </c>
      <c r="H209" s="13" t="s">
        <v>27</v>
      </c>
      <c r="I209" s="20" t="s">
        <v>4202</v>
      </c>
      <c r="J209" s="20"/>
      <c r="K209" s="13" t="s">
        <v>36</v>
      </c>
      <c r="L209" s="155"/>
      <c r="M209" s="27" t="s">
        <v>421</v>
      </c>
      <c r="N209" s="13" t="s">
        <v>40</v>
      </c>
      <c r="O209" s="13" t="s">
        <v>42</v>
      </c>
      <c r="P209" s="156"/>
      <c r="Q209" s="13" t="s">
        <v>49</v>
      </c>
      <c r="R209" s="13" t="s">
        <v>46</v>
      </c>
      <c r="S209" s="20"/>
      <c r="T209" s="155"/>
      <c r="U209" s="13"/>
      <c r="V209" s="156">
        <v>5.0</v>
      </c>
    </row>
    <row r="210">
      <c r="A210" s="13">
        <v>209.0</v>
      </c>
      <c r="B210" s="125">
        <v>46153.0</v>
      </c>
      <c r="C210" s="13" t="s">
        <v>21</v>
      </c>
      <c r="D210" s="13" t="s">
        <v>24</v>
      </c>
      <c r="E210" s="20" t="s">
        <v>4205</v>
      </c>
      <c r="F210" s="12">
        <v>5.54621323E8</v>
      </c>
      <c r="G210" s="20" t="s">
        <v>2174</v>
      </c>
      <c r="H210" s="13" t="s">
        <v>27</v>
      </c>
      <c r="I210" s="233" t="s">
        <v>4209</v>
      </c>
      <c r="J210" s="20"/>
      <c r="K210" s="13" t="s">
        <v>36</v>
      </c>
      <c r="L210" s="155"/>
      <c r="M210" s="27" t="s">
        <v>38</v>
      </c>
      <c r="N210" s="13" t="s">
        <v>40</v>
      </c>
      <c r="O210" s="13" t="s">
        <v>42</v>
      </c>
      <c r="P210" s="156"/>
      <c r="Q210" s="13" t="s">
        <v>863</v>
      </c>
      <c r="R210" s="13" t="s">
        <v>46</v>
      </c>
      <c r="S210" s="13"/>
      <c r="T210" s="155"/>
      <c r="U210" s="13"/>
      <c r="V210" s="156">
        <v>0.0</v>
      </c>
    </row>
    <row r="211">
      <c r="A211" s="13">
        <v>210.0</v>
      </c>
      <c r="B211" s="125">
        <v>46153.0</v>
      </c>
      <c r="C211" s="13" t="s">
        <v>47</v>
      </c>
      <c r="D211" s="13" t="s">
        <v>138</v>
      </c>
      <c r="E211" s="13" t="s">
        <v>4216</v>
      </c>
      <c r="F211" s="12" t="s">
        <v>27</v>
      </c>
      <c r="G211" s="20" t="s">
        <v>41</v>
      </c>
      <c r="H211" s="13" t="s">
        <v>146</v>
      </c>
      <c r="I211" s="20" t="s">
        <v>4218</v>
      </c>
      <c r="J211" s="20" t="s">
        <v>4219</v>
      </c>
      <c r="K211" s="13" t="s">
        <v>148</v>
      </c>
      <c r="L211" s="155"/>
      <c r="M211" s="27" t="s">
        <v>55</v>
      </c>
      <c r="N211" s="13" t="s">
        <v>56</v>
      </c>
      <c r="O211" s="13" t="s">
        <v>42</v>
      </c>
      <c r="P211" s="156"/>
      <c r="Q211" s="13" t="s">
        <v>863</v>
      </c>
      <c r="R211" s="13" t="s">
        <v>46</v>
      </c>
      <c r="S211" s="13"/>
      <c r="T211" s="155"/>
      <c r="U211" s="13"/>
      <c r="V211" s="156">
        <v>0.0</v>
      </c>
    </row>
    <row r="212">
      <c r="A212" s="13">
        <v>211.0</v>
      </c>
      <c r="B212" s="125">
        <v>46153.0</v>
      </c>
      <c r="C212" s="13" t="s">
        <v>47</v>
      </c>
      <c r="D212" s="13" t="s">
        <v>138</v>
      </c>
      <c r="E212" s="20" t="s">
        <v>284</v>
      </c>
      <c r="F212" s="160">
        <v>5.54713513E8</v>
      </c>
      <c r="G212" s="20" t="s">
        <v>41</v>
      </c>
      <c r="H212" s="55" t="s">
        <v>52</v>
      </c>
      <c r="I212" s="58" t="s">
        <v>4224</v>
      </c>
      <c r="J212" s="58" t="s">
        <v>4225</v>
      </c>
      <c r="K212" s="13" t="s">
        <v>148</v>
      </c>
      <c r="L212" s="155"/>
      <c r="M212" s="27" t="s">
        <v>150</v>
      </c>
      <c r="N212" s="13" t="s">
        <v>56</v>
      </c>
      <c r="O212" s="13" t="s">
        <v>42</v>
      </c>
      <c r="P212" s="156"/>
      <c r="Q212" s="13" t="s">
        <v>863</v>
      </c>
      <c r="R212" s="13" t="s">
        <v>46</v>
      </c>
      <c r="S212" s="13"/>
      <c r="T212" s="155"/>
      <c r="U212" s="13"/>
      <c r="V212" s="156">
        <v>0.0</v>
      </c>
    </row>
    <row r="213">
      <c r="A213" s="13">
        <v>212.0</v>
      </c>
      <c r="B213" s="125">
        <v>46153.0</v>
      </c>
      <c r="C213" s="13" t="s">
        <v>47</v>
      </c>
      <c r="D213" s="13" t="s">
        <v>48</v>
      </c>
      <c r="E213" s="20" t="s">
        <v>4234</v>
      </c>
      <c r="F213" s="12">
        <v>5.54941882E8</v>
      </c>
      <c r="G213" s="20" t="s">
        <v>28</v>
      </c>
      <c r="H213" s="13" t="s">
        <v>830</v>
      </c>
      <c r="I213" s="20" t="s">
        <v>4235</v>
      </c>
      <c r="J213" s="20" t="s">
        <v>4237</v>
      </c>
      <c r="K213" s="13" t="s">
        <v>36</v>
      </c>
      <c r="L213" s="155">
        <v>0.4583333333333333</v>
      </c>
      <c r="M213" s="27" t="s">
        <v>55</v>
      </c>
      <c r="N213" s="13" t="s">
        <v>56</v>
      </c>
      <c r="O213" s="13" t="s">
        <v>42</v>
      </c>
      <c r="P213" s="156"/>
      <c r="Q213" s="13" t="s">
        <v>863</v>
      </c>
      <c r="R213" s="13" t="s">
        <v>46</v>
      </c>
      <c r="S213" s="20" t="s">
        <v>2632</v>
      </c>
      <c r="T213" s="155">
        <v>0.5</v>
      </c>
      <c r="U213" s="13" t="s">
        <v>49</v>
      </c>
      <c r="V213" s="156">
        <v>0.0</v>
      </c>
    </row>
    <row r="214">
      <c r="A214" s="13">
        <v>213.0</v>
      </c>
      <c r="B214" s="125">
        <v>46153.0</v>
      </c>
      <c r="C214" s="13" t="s">
        <v>21</v>
      </c>
      <c r="D214" s="13" t="s">
        <v>22</v>
      </c>
      <c r="E214" s="20" t="s">
        <v>405</v>
      </c>
      <c r="F214" s="160">
        <v>5.09048854E8</v>
      </c>
      <c r="G214" s="58" t="s">
        <v>426</v>
      </c>
      <c r="H214" s="55" t="s">
        <v>27</v>
      </c>
      <c r="I214" s="20" t="s">
        <v>4242</v>
      </c>
      <c r="J214" s="58"/>
      <c r="K214" s="13" t="s">
        <v>36</v>
      </c>
      <c r="L214" s="155"/>
      <c r="M214" s="27" t="s">
        <v>38</v>
      </c>
      <c r="N214" s="13" t="s">
        <v>40</v>
      </c>
      <c r="O214" s="13" t="s">
        <v>42</v>
      </c>
      <c r="P214" s="156"/>
      <c r="Q214" s="13" t="s">
        <v>863</v>
      </c>
      <c r="R214" s="13" t="s">
        <v>46</v>
      </c>
      <c r="S214" s="20"/>
      <c r="T214" s="155"/>
      <c r="U214" s="13"/>
      <c r="V214" s="156">
        <v>0.0</v>
      </c>
    </row>
    <row r="215">
      <c r="A215" s="13">
        <v>214.0</v>
      </c>
      <c r="B215" s="125">
        <v>46153.0</v>
      </c>
      <c r="C215" s="13" t="s">
        <v>21</v>
      </c>
      <c r="D215" s="13" t="s">
        <v>22</v>
      </c>
      <c r="E215" s="20" t="s">
        <v>4245</v>
      </c>
      <c r="F215" s="12">
        <v>5.51185888E8</v>
      </c>
      <c r="G215" s="20" t="s">
        <v>4248</v>
      </c>
      <c r="H215" s="13" t="s">
        <v>27</v>
      </c>
      <c r="I215" s="20" t="s">
        <v>4250</v>
      </c>
      <c r="J215" s="20"/>
      <c r="K215" s="13" t="s">
        <v>36</v>
      </c>
      <c r="L215" s="155"/>
      <c r="M215" s="27" t="s">
        <v>38</v>
      </c>
      <c r="N215" s="13" t="s">
        <v>40</v>
      </c>
      <c r="O215" s="13" t="s">
        <v>42</v>
      </c>
      <c r="P215" s="156"/>
      <c r="Q215" s="13" t="s">
        <v>49</v>
      </c>
      <c r="R215" s="13" t="s">
        <v>46</v>
      </c>
      <c r="S215" s="20"/>
      <c r="T215" s="155"/>
      <c r="U215" s="13"/>
      <c r="V215" s="156">
        <v>0.0</v>
      </c>
    </row>
    <row r="216">
      <c r="A216" s="13">
        <v>215.0</v>
      </c>
      <c r="B216" s="125">
        <v>46153.0</v>
      </c>
      <c r="C216" s="13" t="s">
        <v>58</v>
      </c>
      <c r="D216" s="13" t="s">
        <v>60</v>
      </c>
      <c r="E216" s="13" t="s">
        <v>27</v>
      </c>
      <c r="F216" s="12">
        <v>5.44798451E8</v>
      </c>
      <c r="G216" s="13" t="s">
        <v>27</v>
      </c>
      <c r="H216" s="13" t="s">
        <v>27</v>
      </c>
      <c r="I216" s="20" t="s">
        <v>4256</v>
      </c>
      <c r="J216" s="20"/>
      <c r="K216" s="13" t="s">
        <v>36</v>
      </c>
      <c r="L216" s="155"/>
      <c r="M216" s="27" t="s">
        <v>88</v>
      </c>
      <c r="N216" s="13" t="s">
        <v>40</v>
      </c>
      <c r="O216" s="13" t="s">
        <v>42</v>
      </c>
      <c r="P216" s="156"/>
      <c r="Q216" s="13" t="s">
        <v>44</v>
      </c>
      <c r="R216" s="13"/>
      <c r="S216" s="13"/>
      <c r="T216" s="155"/>
      <c r="U216" s="13"/>
      <c r="V216" s="156">
        <v>5.0</v>
      </c>
    </row>
    <row r="217" ht="111.75" customHeight="1">
      <c r="A217" s="13">
        <v>216.0</v>
      </c>
      <c r="B217" s="125">
        <v>46153.0</v>
      </c>
      <c r="C217" s="13" t="s">
        <v>47</v>
      </c>
      <c r="D217" s="13" t="s">
        <v>24</v>
      </c>
      <c r="E217" s="20" t="s">
        <v>4260</v>
      </c>
      <c r="F217" s="12">
        <v>5.7577775E8</v>
      </c>
      <c r="G217" s="20" t="s">
        <v>79</v>
      </c>
      <c r="H217" s="13" t="s">
        <v>239</v>
      </c>
      <c r="I217" s="20" t="s">
        <v>4262</v>
      </c>
      <c r="J217" s="20" t="s">
        <v>4264</v>
      </c>
      <c r="K217" s="13" t="s">
        <v>62</v>
      </c>
      <c r="L217" s="155"/>
      <c r="M217" s="27" t="s">
        <v>55</v>
      </c>
      <c r="N217" s="13" t="s">
        <v>56</v>
      </c>
      <c r="O217" s="13" t="s">
        <v>301</v>
      </c>
      <c r="P217" s="156"/>
      <c r="Q217" s="13" t="s">
        <v>44</v>
      </c>
      <c r="R217" s="13"/>
      <c r="S217" s="13"/>
      <c r="T217" s="155"/>
      <c r="U217" s="13"/>
      <c r="V217" s="156">
        <v>0.0</v>
      </c>
    </row>
    <row r="218" ht="176.25" customHeight="1">
      <c r="A218" s="13">
        <v>217.0</v>
      </c>
      <c r="B218" s="125">
        <v>46153.0</v>
      </c>
      <c r="C218" s="13" t="s">
        <v>47</v>
      </c>
      <c r="D218" s="13" t="s">
        <v>24</v>
      </c>
      <c r="E218" s="20" t="s">
        <v>4265</v>
      </c>
      <c r="F218" s="12">
        <v>5.46029953E8</v>
      </c>
      <c r="G218" s="20" t="s">
        <v>79</v>
      </c>
      <c r="H218" s="13" t="s">
        <v>638</v>
      </c>
      <c r="I218" s="20" t="s">
        <v>4268</v>
      </c>
      <c r="J218" s="20" t="s">
        <v>4269</v>
      </c>
      <c r="K218" s="13" t="s">
        <v>62</v>
      </c>
      <c r="L218" s="155"/>
      <c r="M218" s="237" t="s">
        <v>55</v>
      </c>
      <c r="N218" s="13" t="s">
        <v>56</v>
      </c>
      <c r="O218" s="13" t="s">
        <v>301</v>
      </c>
      <c r="P218" s="156"/>
      <c r="Q218" s="13" t="s">
        <v>44</v>
      </c>
      <c r="R218" s="13"/>
      <c r="S218" s="20" t="s">
        <v>2710</v>
      </c>
      <c r="T218" s="155"/>
      <c r="U218" s="13" t="s">
        <v>44</v>
      </c>
      <c r="V218" s="156">
        <v>0.0</v>
      </c>
    </row>
    <row r="219">
      <c r="A219" s="13">
        <v>218.0</v>
      </c>
      <c r="B219" s="125">
        <v>46153.0</v>
      </c>
      <c r="C219" s="13" t="s">
        <v>21</v>
      </c>
      <c r="D219" s="13" t="s">
        <v>24</v>
      </c>
      <c r="E219" s="20" t="s">
        <v>4272</v>
      </c>
      <c r="F219" s="12">
        <v>5.81053294E8</v>
      </c>
      <c r="G219" s="20" t="s">
        <v>71</v>
      </c>
      <c r="H219" s="13" t="s">
        <v>27</v>
      </c>
      <c r="I219" s="20" t="s">
        <v>4275</v>
      </c>
      <c r="J219" s="20"/>
      <c r="K219" s="13" t="s">
        <v>62</v>
      </c>
      <c r="L219" s="155"/>
      <c r="M219" s="27" t="s">
        <v>38</v>
      </c>
      <c r="N219" s="13" t="s">
        <v>40</v>
      </c>
      <c r="O219" s="13" t="s">
        <v>42</v>
      </c>
      <c r="P219" s="156"/>
      <c r="Q219" s="13" t="s">
        <v>44</v>
      </c>
      <c r="R219" s="13" t="s">
        <v>46</v>
      </c>
      <c r="S219" s="13"/>
      <c r="T219" s="155"/>
      <c r="U219" s="13"/>
      <c r="V219" s="156">
        <v>0.0</v>
      </c>
    </row>
    <row r="220" ht="24.0" customHeight="1">
      <c r="A220" s="13">
        <v>219.0</v>
      </c>
      <c r="B220" s="125">
        <v>46153.0</v>
      </c>
      <c r="C220" s="13" t="s">
        <v>21</v>
      </c>
      <c r="D220" s="13" t="s">
        <v>24</v>
      </c>
      <c r="E220" s="20" t="s">
        <v>4279</v>
      </c>
      <c r="F220" s="12">
        <v>5.48089234E8</v>
      </c>
      <c r="G220" s="20" t="s">
        <v>4282</v>
      </c>
      <c r="H220" s="13" t="s">
        <v>27</v>
      </c>
      <c r="I220" s="20" t="s">
        <v>4284</v>
      </c>
      <c r="J220" s="20"/>
      <c r="K220" s="13" t="s">
        <v>36</v>
      </c>
      <c r="L220" s="155"/>
      <c r="M220" s="27" t="s">
        <v>38</v>
      </c>
      <c r="N220" s="13" t="s">
        <v>40</v>
      </c>
      <c r="O220" s="13" t="s">
        <v>42</v>
      </c>
      <c r="P220" s="156"/>
      <c r="Q220" s="13" t="s">
        <v>863</v>
      </c>
      <c r="R220" s="13" t="s">
        <v>46</v>
      </c>
      <c r="S220" s="13"/>
      <c r="T220" s="155"/>
      <c r="U220" s="13"/>
      <c r="V220" s="156">
        <v>0.0</v>
      </c>
    </row>
    <row r="221" ht="151.5" customHeight="1">
      <c r="A221" s="13">
        <v>220.0</v>
      </c>
      <c r="B221" s="125">
        <v>46153.0</v>
      </c>
      <c r="C221" s="13" t="s">
        <v>21</v>
      </c>
      <c r="D221" s="13" t="s">
        <v>60</v>
      </c>
      <c r="E221" s="20" t="s">
        <v>4285</v>
      </c>
      <c r="F221" s="12">
        <v>5.31535323E8</v>
      </c>
      <c r="G221" s="20" t="s">
        <v>4287</v>
      </c>
      <c r="H221" s="13" t="s">
        <v>27</v>
      </c>
      <c r="I221" s="20" t="s">
        <v>4288</v>
      </c>
      <c r="J221" s="20" t="s">
        <v>4289</v>
      </c>
      <c r="K221" s="13" t="s">
        <v>36</v>
      </c>
      <c r="L221" s="155"/>
      <c r="M221" s="27" t="s">
        <v>38</v>
      </c>
      <c r="N221" s="13" t="s">
        <v>56</v>
      </c>
      <c r="O221" s="13" t="s">
        <v>301</v>
      </c>
      <c r="P221" s="156"/>
      <c r="Q221" s="13" t="s">
        <v>44</v>
      </c>
      <c r="R221" s="13"/>
      <c r="S221" s="13"/>
      <c r="T221" s="155"/>
      <c r="U221" s="13"/>
      <c r="V221" s="156">
        <v>0.0</v>
      </c>
    </row>
    <row r="222" ht="63.0" customHeight="1">
      <c r="A222" s="13">
        <v>221.0</v>
      </c>
      <c r="B222" s="125">
        <v>46154.0</v>
      </c>
      <c r="C222" s="13" t="s">
        <v>47</v>
      </c>
      <c r="D222" s="13" t="s">
        <v>92</v>
      </c>
      <c r="E222" s="20" t="s">
        <v>4298</v>
      </c>
      <c r="F222" s="12">
        <v>5.55765474E8</v>
      </c>
      <c r="G222" s="20" t="s">
        <v>2174</v>
      </c>
      <c r="H222" s="13" t="s">
        <v>1150</v>
      </c>
      <c r="I222" s="20" t="s">
        <v>4300</v>
      </c>
      <c r="J222" s="20"/>
      <c r="K222" s="13" t="s">
        <v>36</v>
      </c>
      <c r="L222" s="155">
        <v>0.6840277777777778</v>
      </c>
      <c r="M222" s="237" t="s">
        <v>55</v>
      </c>
      <c r="N222" s="13" t="s">
        <v>40</v>
      </c>
      <c r="O222" s="13" t="s">
        <v>42</v>
      </c>
      <c r="P222" s="156"/>
      <c r="Q222" s="13" t="s">
        <v>863</v>
      </c>
      <c r="R222" s="13" t="s">
        <v>46</v>
      </c>
      <c r="S222" s="20" t="s">
        <v>2632</v>
      </c>
      <c r="T222" s="155">
        <v>0.4097222222222222</v>
      </c>
      <c r="U222" s="13" t="s">
        <v>863</v>
      </c>
      <c r="V222" s="156">
        <v>0.0</v>
      </c>
    </row>
    <row r="223" ht="43.5" customHeight="1">
      <c r="A223" s="13">
        <v>222.0</v>
      </c>
      <c r="B223" s="125">
        <v>46154.0</v>
      </c>
      <c r="C223" s="13" t="s">
        <v>58</v>
      </c>
      <c r="D223" s="13" t="s">
        <v>60</v>
      </c>
      <c r="E223" s="20" t="s">
        <v>3885</v>
      </c>
      <c r="F223" s="12">
        <v>5.58534053E8</v>
      </c>
      <c r="G223" s="20"/>
      <c r="H223" s="13" t="s">
        <v>27</v>
      </c>
      <c r="I223" s="20" t="s">
        <v>4309</v>
      </c>
      <c r="J223" s="20"/>
      <c r="K223" s="13" t="s">
        <v>36</v>
      </c>
      <c r="L223" s="155"/>
      <c r="M223" s="27" t="s">
        <v>88</v>
      </c>
      <c r="N223" s="13" t="s">
        <v>40</v>
      </c>
      <c r="O223" s="13" t="s">
        <v>42</v>
      </c>
      <c r="P223" s="156"/>
      <c r="Q223" s="13" t="s">
        <v>49</v>
      </c>
      <c r="R223" s="13" t="s">
        <v>46</v>
      </c>
      <c r="S223" s="13"/>
      <c r="T223" s="155"/>
      <c r="U223" s="13" t="s">
        <v>49</v>
      </c>
      <c r="V223" s="156">
        <v>0.0</v>
      </c>
    </row>
    <row r="224" ht="22.5" customHeight="1">
      <c r="A224" s="13">
        <v>223.0</v>
      </c>
      <c r="B224" s="125">
        <v>46154.0</v>
      </c>
      <c r="C224" s="13" t="s">
        <v>21</v>
      </c>
      <c r="D224" s="13" t="s">
        <v>24</v>
      </c>
      <c r="E224" s="20" t="s">
        <v>4315</v>
      </c>
      <c r="F224" s="12">
        <v>5.34088223E8</v>
      </c>
      <c r="G224" s="20" t="s">
        <v>426</v>
      </c>
      <c r="H224" s="13" t="s">
        <v>27</v>
      </c>
      <c r="I224" s="241" t="s">
        <v>4317</v>
      </c>
      <c r="J224" s="20"/>
      <c r="K224" s="13" t="s">
        <v>457</v>
      </c>
      <c r="L224" s="155"/>
      <c r="M224" s="27" t="s">
        <v>421</v>
      </c>
      <c r="N224" s="13" t="s">
        <v>40</v>
      </c>
      <c r="O224" s="13" t="s">
        <v>42</v>
      </c>
      <c r="P224" s="156"/>
      <c r="Q224" s="13" t="s">
        <v>863</v>
      </c>
      <c r="R224" s="13" t="s">
        <v>46</v>
      </c>
      <c r="S224" s="13"/>
      <c r="T224" s="155"/>
      <c r="U224" s="13"/>
      <c r="V224" s="156">
        <v>0.0</v>
      </c>
    </row>
    <row r="225">
      <c r="A225" s="13">
        <v>224.0</v>
      </c>
      <c r="B225" s="125">
        <v>46154.0</v>
      </c>
      <c r="C225" s="13" t="s">
        <v>21</v>
      </c>
      <c r="D225" s="13" t="s">
        <v>22</v>
      </c>
      <c r="E225" s="20" t="s">
        <v>4320</v>
      </c>
      <c r="F225" s="12">
        <v>5.34355588E8</v>
      </c>
      <c r="G225" s="20" t="s">
        <v>4322</v>
      </c>
      <c r="H225" s="13" t="s">
        <v>27</v>
      </c>
      <c r="I225" s="20" t="s">
        <v>4324</v>
      </c>
      <c r="J225" s="20"/>
      <c r="K225" s="13" t="s">
        <v>457</v>
      </c>
      <c r="L225" s="155"/>
      <c r="M225" s="27" t="s">
        <v>38</v>
      </c>
      <c r="N225" s="13" t="s">
        <v>40</v>
      </c>
      <c r="O225" s="13" t="s">
        <v>42</v>
      </c>
      <c r="P225" s="156"/>
      <c r="Q225" s="13" t="s">
        <v>863</v>
      </c>
      <c r="R225" s="13" t="s">
        <v>46</v>
      </c>
      <c r="S225" s="20"/>
      <c r="T225" s="155"/>
      <c r="U225" s="13"/>
      <c r="V225" s="156">
        <v>0.0</v>
      </c>
    </row>
    <row r="226" ht="73.5" customHeight="1">
      <c r="A226" s="13">
        <v>225.0</v>
      </c>
      <c r="B226" s="125">
        <v>46154.0</v>
      </c>
      <c r="C226" s="13" t="s">
        <v>21</v>
      </c>
      <c r="D226" s="13" t="s">
        <v>22</v>
      </c>
      <c r="E226" s="20" t="s">
        <v>4333</v>
      </c>
      <c r="F226" s="12">
        <v>5.59437704E8</v>
      </c>
      <c r="G226" s="20" t="s">
        <v>4243</v>
      </c>
      <c r="H226" s="13" t="s">
        <v>27</v>
      </c>
      <c r="I226" s="61" t="s">
        <v>4334</v>
      </c>
      <c r="J226" s="20"/>
      <c r="K226" s="13" t="s">
        <v>457</v>
      </c>
      <c r="L226" s="155"/>
      <c r="M226" s="27" t="s">
        <v>38</v>
      </c>
      <c r="N226" s="13" t="s">
        <v>40</v>
      </c>
      <c r="O226" s="13" t="s">
        <v>42</v>
      </c>
      <c r="P226" s="156"/>
      <c r="Q226" s="13" t="s">
        <v>863</v>
      </c>
      <c r="R226" s="13" t="s">
        <v>46</v>
      </c>
      <c r="S226" s="20"/>
      <c r="T226" s="155"/>
      <c r="U226" s="13"/>
      <c r="V226" s="156">
        <v>0.0</v>
      </c>
    </row>
    <row r="227">
      <c r="A227" s="13">
        <v>226.0</v>
      </c>
      <c r="B227" s="125">
        <v>46154.0</v>
      </c>
      <c r="C227" s="13" t="s">
        <v>21</v>
      </c>
      <c r="D227" s="13" t="s">
        <v>24</v>
      </c>
      <c r="E227" s="20" t="s">
        <v>1463</v>
      </c>
      <c r="F227" s="12">
        <v>5.36227009E8</v>
      </c>
      <c r="G227" s="20" t="s">
        <v>4091</v>
      </c>
      <c r="H227" s="13" t="s">
        <v>27</v>
      </c>
      <c r="I227" s="20" t="s">
        <v>4344</v>
      </c>
      <c r="J227" s="20"/>
      <c r="K227" s="13" t="s">
        <v>36</v>
      </c>
      <c r="L227" s="155"/>
      <c r="M227" s="27" t="s">
        <v>38</v>
      </c>
      <c r="N227" s="13" t="s">
        <v>40</v>
      </c>
      <c r="O227" s="13" t="s">
        <v>42</v>
      </c>
      <c r="P227" s="156"/>
      <c r="Q227" s="13" t="s">
        <v>863</v>
      </c>
      <c r="R227" s="13" t="s">
        <v>46</v>
      </c>
      <c r="S227" s="13"/>
      <c r="T227" s="155"/>
      <c r="U227" s="13"/>
      <c r="V227" s="156">
        <v>0.0</v>
      </c>
    </row>
    <row r="228">
      <c r="A228" s="13">
        <v>227.0</v>
      </c>
      <c r="B228" s="125">
        <v>46154.0</v>
      </c>
      <c r="C228" s="13" t="s">
        <v>58</v>
      </c>
      <c r="D228" s="13" t="s">
        <v>60</v>
      </c>
      <c r="E228" s="13" t="s">
        <v>27</v>
      </c>
      <c r="F228" s="12">
        <v>5.05209031E8</v>
      </c>
      <c r="G228" s="13" t="s">
        <v>27</v>
      </c>
      <c r="H228" s="13" t="s">
        <v>27</v>
      </c>
      <c r="I228" s="20" t="s">
        <v>4350</v>
      </c>
      <c r="J228" s="20"/>
      <c r="K228" s="13" t="s">
        <v>36</v>
      </c>
      <c r="L228" s="155"/>
      <c r="M228" s="27" t="s">
        <v>88</v>
      </c>
      <c r="N228" s="13" t="s">
        <v>40</v>
      </c>
      <c r="O228" s="13" t="s">
        <v>42</v>
      </c>
      <c r="P228" s="156"/>
      <c r="Q228" s="13" t="s">
        <v>49</v>
      </c>
      <c r="R228" s="13" t="s">
        <v>46</v>
      </c>
      <c r="S228" s="13"/>
      <c r="T228" s="155"/>
      <c r="U228" s="13" t="s">
        <v>49</v>
      </c>
      <c r="V228" s="156">
        <v>0.0</v>
      </c>
    </row>
    <row r="229">
      <c r="A229" s="13">
        <v>228.0</v>
      </c>
      <c r="B229" s="125">
        <v>46154.0</v>
      </c>
      <c r="C229" s="13" t="s">
        <v>21</v>
      </c>
      <c r="D229" s="13" t="s">
        <v>24</v>
      </c>
      <c r="E229" s="20" t="s">
        <v>4355</v>
      </c>
      <c r="F229" s="12">
        <v>5.61946855E8</v>
      </c>
      <c r="G229" s="13" t="s">
        <v>27</v>
      </c>
      <c r="H229" s="13" t="s">
        <v>3715</v>
      </c>
      <c r="I229" s="20" t="s">
        <v>4359</v>
      </c>
      <c r="J229" s="20"/>
      <c r="K229" s="13" t="s">
        <v>36</v>
      </c>
      <c r="L229" s="155"/>
      <c r="M229" s="27" t="s">
        <v>975</v>
      </c>
      <c r="N229" s="13" t="s">
        <v>40</v>
      </c>
      <c r="O229" s="13" t="s">
        <v>42</v>
      </c>
      <c r="P229" s="156"/>
      <c r="Q229" s="13" t="s">
        <v>863</v>
      </c>
      <c r="R229" s="13" t="s">
        <v>46</v>
      </c>
      <c r="S229" s="13"/>
      <c r="T229" s="155"/>
      <c r="U229" s="13"/>
      <c r="V229" s="156">
        <v>0.0</v>
      </c>
    </row>
    <row r="230">
      <c r="A230" s="13">
        <v>229.0</v>
      </c>
      <c r="B230" s="125">
        <v>46154.0</v>
      </c>
      <c r="C230" s="13" t="s">
        <v>58</v>
      </c>
      <c r="D230" s="13" t="s">
        <v>48</v>
      </c>
      <c r="E230" s="20" t="s">
        <v>4363</v>
      </c>
      <c r="F230" s="12" t="s">
        <v>27</v>
      </c>
      <c r="G230" s="20" t="s">
        <v>112</v>
      </c>
      <c r="H230" s="13" t="s">
        <v>113</v>
      </c>
      <c r="I230" s="78" t="s">
        <v>4365</v>
      </c>
      <c r="J230" s="20"/>
      <c r="K230" s="13" t="s">
        <v>78</v>
      </c>
      <c r="L230" s="155"/>
      <c r="M230" s="27" t="s">
        <v>1883</v>
      </c>
      <c r="N230" s="13" t="s">
        <v>40</v>
      </c>
      <c r="O230" s="13" t="s">
        <v>42</v>
      </c>
      <c r="P230" s="156"/>
      <c r="Q230" s="13" t="s">
        <v>49</v>
      </c>
      <c r="R230" s="13"/>
      <c r="S230" s="13"/>
      <c r="T230" s="155"/>
      <c r="U230" s="13"/>
      <c r="V230" s="156">
        <v>0.0</v>
      </c>
    </row>
    <row r="231">
      <c r="A231" s="13">
        <v>230.0</v>
      </c>
      <c r="B231" s="125">
        <v>46154.0</v>
      </c>
      <c r="C231" s="13" t="s">
        <v>21</v>
      </c>
      <c r="D231" s="13" t="s">
        <v>24</v>
      </c>
      <c r="E231" s="20" t="s">
        <v>4371</v>
      </c>
      <c r="F231" s="12">
        <v>5.98825289E8</v>
      </c>
      <c r="G231" s="20" t="s">
        <v>4282</v>
      </c>
      <c r="H231" s="13" t="s">
        <v>27</v>
      </c>
      <c r="I231" s="20" t="s">
        <v>4373</v>
      </c>
      <c r="J231" s="20"/>
      <c r="K231" s="13" t="s">
        <v>36</v>
      </c>
      <c r="L231" s="155"/>
      <c r="M231" s="27" t="s">
        <v>38</v>
      </c>
      <c r="N231" s="13" t="s">
        <v>40</v>
      </c>
      <c r="O231" s="13" t="s">
        <v>42</v>
      </c>
      <c r="P231" s="156"/>
      <c r="Q231" s="13" t="s">
        <v>863</v>
      </c>
      <c r="R231" s="13" t="s">
        <v>46</v>
      </c>
      <c r="S231" s="13"/>
      <c r="T231" s="155"/>
      <c r="U231" s="13"/>
      <c r="V231" s="156">
        <v>0.0</v>
      </c>
    </row>
    <row r="232" ht="61.5" customHeight="1">
      <c r="A232" s="13">
        <v>231.0</v>
      </c>
      <c r="B232" s="125">
        <v>46154.0</v>
      </c>
      <c r="C232" s="13" t="s">
        <v>58</v>
      </c>
      <c r="D232" s="13" t="s">
        <v>60</v>
      </c>
      <c r="E232" s="20" t="s">
        <v>4378</v>
      </c>
      <c r="F232" s="12">
        <v>5.35046115E8</v>
      </c>
      <c r="G232" s="20" t="s">
        <v>4381</v>
      </c>
      <c r="H232" s="13" t="s">
        <v>27</v>
      </c>
      <c r="I232" s="20" t="s">
        <v>4382</v>
      </c>
      <c r="J232" s="20" t="s">
        <v>4383</v>
      </c>
      <c r="K232" s="13" t="s">
        <v>36</v>
      </c>
      <c r="L232" s="155"/>
      <c r="M232" s="27" t="s">
        <v>88</v>
      </c>
      <c r="N232" s="13" t="s">
        <v>40</v>
      </c>
      <c r="O232" s="13" t="s">
        <v>42</v>
      </c>
      <c r="P232" s="156"/>
      <c r="Q232" s="13" t="s">
        <v>863</v>
      </c>
      <c r="R232" s="13"/>
      <c r="S232" s="13"/>
      <c r="T232" s="155"/>
      <c r="U232" s="13" t="s">
        <v>863</v>
      </c>
      <c r="V232" s="156">
        <v>0.0</v>
      </c>
    </row>
    <row r="233">
      <c r="A233" s="13">
        <v>232.0</v>
      </c>
      <c r="B233" s="125">
        <v>46154.0</v>
      </c>
      <c r="C233" s="13" t="s">
        <v>47</v>
      </c>
      <c r="D233" s="13" t="s">
        <v>60</v>
      </c>
      <c r="E233" s="20" t="s">
        <v>4386</v>
      </c>
      <c r="F233" s="12">
        <v>5.54480313E8</v>
      </c>
      <c r="G233" s="20" t="s">
        <v>41</v>
      </c>
      <c r="H233" s="13" t="s">
        <v>914</v>
      </c>
      <c r="I233" s="20" t="s">
        <v>4387</v>
      </c>
      <c r="J233" s="20"/>
      <c r="K233" s="13" t="s">
        <v>148</v>
      </c>
      <c r="L233" s="155"/>
      <c r="M233" s="27" t="s">
        <v>55</v>
      </c>
      <c r="N233" s="13" t="s">
        <v>40</v>
      </c>
      <c r="O233" s="13" t="s">
        <v>42</v>
      </c>
      <c r="P233" s="156"/>
      <c r="Q233" s="13" t="s">
        <v>863</v>
      </c>
      <c r="R233" s="13" t="s">
        <v>46</v>
      </c>
      <c r="S233" s="13"/>
      <c r="T233" s="155"/>
      <c r="U233" s="13"/>
      <c r="V233" s="156">
        <v>0.0</v>
      </c>
    </row>
    <row r="234" ht="33.0" customHeight="1">
      <c r="A234" s="13">
        <v>233.0</v>
      </c>
      <c r="B234" s="125">
        <v>46154.0</v>
      </c>
      <c r="C234" s="13" t="s">
        <v>47</v>
      </c>
      <c r="D234" s="13" t="s">
        <v>92</v>
      </c>
      <c r="E234" s="20" t="s">
        <v>3624</v>
      </c>
      <c r="F234" s="12">
        <v>5.90596386E8</v>
      </c>
      <c r="G234" s="20" t="s">
        <v>71</v>
      </c>
      <c r="H234" s="13" t="s">
        <v>94</v>
      </c>
      <c r="I234" s="20" t="s">
        <v>4402</v>
      </c>
      <c r="J234" s="20"/>
      <c r="K234" s="13" t="s">
        <v>148</v>
      </c>
      <c r="L234" s="155"/>
      <c r="M234" s="27" t="s">
        <v>183</v>
      </c>
      <c r="N234" s="13" t="s">
        <v>40</v>
      </c>
      <c r="O234" s="13" t="s">
        <v>42</v>
      </c>
      <c r="P234" s="156"/>
      <c r="Q234" s="13" t="s">
        <v>863</v>
      </c>
      <c r="R234" s="13" t="s">
        <v>46</v>
      </c>
      <c r="S234" s="20"/>
      <c r="T234" s="155"/>
      <c r="U234" s="13" t="s">
        <v>863</v>
      </c>
      <c r="V234" s="156">
        <v>0.0</v>
      </c>
    </row>
    <row r="235">
      <c r="A235" s="13">
        <v>234.0</v>
      </c>
      <c r="B235" s="125">
        <v>46154.0</v>
      </c>
      <c r="C235" s="13" t="s">
        <v>21</v>
      </c>
      <c r="D235" s="13" t="s">
        <v>66</v>
      </c>
      <c r="E235" s="20" t="s">
        <v>405</v>
      </c>
      <c r="F235" s="12">
        <v>5.9950005E8</v>
      </c>
      <c r="G235" s="13" t="s">
        <v>27</v>
      </c>
      <c r="H235" s="13" t="s">
        <v>27</v>
      </c>
      <c r="I235" s="249" t="s">
        <v>4405</v>
      </c>
      <c r="J235" s="20"/>
      <c r="K235" s="13" t="s">
        <v>36</v>
      </c>
      <c r="L235" s="155"/>
      <c r="M235" s="27" t="s">
        <v>38</v>
      </c>
      <c r="N235" s="13" t="s">
        <v>40</v>
      </c>
      <c r="O235" s="13" t="s">
        <v>42</v>
      </c>
      <c r="P235" s="156"/>
      <c r="Q235" s="13" t="s">
        <v>49</v>
      </c>
      <c r="R235" s="13"/>
      <c r="S235" s="13"/>
      <c r="T235" s="155"/>
      <c r="U235" s="13"/>
      <c r="V235" s="156">
        <v>0.0</v>
      </c>
    </row>
    <row r="236">
      <c r="A236" s="13">
        <v>235.0</v>
      </c>
      <c r="B236" s="125">
        <v>46154.0</v>
      </c>
      <c r="C236" s="13" t="s">
        <v>21</v>
      </c>
      <c r="D236" s="13" t="s">
        <v>92</v>
      </c>
      <c r="E236" s="20" t="s">
        <v>4411</v>
      </c>
      <c r="F236" s="12">
        <v>5.67864008E8</v>
      </c>
      <c r="G236" s="20" t="s">
        <v>71</v>
      </c>
      <c r="H236" s="13" t="s">
        <v>94</v>
      </c>
      <c r="I236" s="249" t="s">
        <v>4412</v>
      </c>
      <c r="J236" s="20"/>
      <c r="K236" s="13" t="s">
        <v>36</v>
      </c>
      <c r="L236" s="155"/>
      <c r="M236" s="27" t="s">
        <v>38</v>
      </c>
      <c r="N236" s="13" t="s">
        <v>40</v>
      </c>
      <c r="O236" s="13" t="s">
        <v>42</v>
      </c>
      <c r="P236" s="156"/>
      <c r="Q236" s="13" t="s">
        <v>49</v>
      </c>
      <c r="R236" s="13"/>
      <c r="S236" s="13"/>
      <c r="T236" s="155"/>
      <c r="U236" s="13"/>
      <c r="V236" s="156">
        <v>0.0</v>
      </c>
    </row>
    <row r="237">
      <c r="A237" s="13">
        <v>236.0</v>
      </c>
      <c r="B237" s="125">
        <v>46154.0</v>
      </c>
      <c r="C237" s="139" t="s">
        <v>58</v>
      </c>
      <c r="D237" s="254" t="s">
        <v>60</v>
      </c>
      <c r="E237" s="254" t="s">
        <v>27</v>
      </c>
      <c r="F237" s="65">
        <v>5.07176235E8</v>
      </c>
      <c r="G237" s="254" t="s">
        <v>27</v>
      </c>
      <c r="H237" s="254" t="s">
        <v>27</v>
      </c>
      <c r="I237" s="142" t="s">
        <v>554</v>
      </c>
      <c r="J237" s="255"/>
      <c r="K237" s="13" t="s">
        <v>36</v>
      </c>
      <c r="L237" s="256"/>
      <c r="M237" s="27" t="s">
        <v>88</v>
      </c>
      <c r="N237" s="108" t="s">
        <v>40</v>
      </c>
      <c r="O237" s="108" t="s">
        <v>42</v>
      </c>
      <c r="P237" s="156"/>
      <c r="Q237" s="254" t="s">
        <v>863</v>
      </c>
      <c r="R237" s="140"/>
      <c r="S237" s="140"/>
      <c r="T237" s="256"/>
      <c r="U237" s="255"/>
      <c r="V237" s="127">
        <v>0.0</v>
      </c>
    </row>
    <row r="238">
      <c r="A238" s="13">
        <v>237.0</v>
      </c>
      <c r="B238" s="125">
        <v>46154.0</v>
      </c>
      <c r="C238" s="139" t="s">
        <v>58</v>
      </c>
      <c r="D238" s="254" t="s">
        <v>60</v>
      </c>
      <c r="E238" s="257" t="s">
        <v>27</v>
      </c>
      <c r="F238" s="213">
        <v>5.75043171E8</v>
      </c>
      <c r="G238" s="257" t="s">
        <v>27</v>
      </c>
      <c r="H238" s="257" t="s">
        <v>27</v>
      </c>
      <c r="I238" s="258" t="s">
        <v>554</v>
      </c>
      <c r="J238" s="259"/>
      <c r="K238" s="13" t="s">
        <v>36</v>
      </c>
      <c r="L238" s="256"/>
      <c r="M238" s="27" t="s">
        <v>88</v>
      </c>
      <c r="N238" s="108" t="s">
        <v>40</v>
      </c>
      <c r="O238" s="108" t="s">
        <v>42</v>
      </c>
      <c r="P238" s="156"/>
      <c r="Q238" s="254" t="s">
        <v>863</v>
      </c>
      <c r="R238" s="140"/>
      <c r="S238" s="140"/>
      <c r="T238" s="256"/>
      <c r="U238" s="255"/>
      <c r="V238" s="127">
        <v>0.0</v>
      </c>
    </row>
    <row r="239">
      <c r="A239" s="13">
        <v>238.0</v>
      </c>
      <c r="B239" s="164">
        <v>46155.0</v>
      </c>
      <c r="C239" s="108" t="s">
        <v>21</v>
      </c>
      <c r="D239" s="127" t="s">
        <v>57</v>
      </c>
      <c r="E239" s="127" t="s">
        <v>2028</v>
      </c>
      <c r="F239" s="65">
        <v>5.06095395E8</v>
      </c>
      <c r="G239" s="127" t="s">
        <v>211</v>
      </c>
      <c r="H239" s="255"/>
      <c r="I239" s="260" t="s">
        <v>4435</v>
      </c>
      <c r="J239" s="255"/>
      <c r="K239" s="13" t="s">
        <v>36</v>
      </c>
      <c r="L239" s="256"/>
      <c r="M239" s="27" t="s">
        <v>101</v>
      </c>
      <c r="N239" s="108" t="s">
        <v>40</v>
      </c>
      <c r="O239" s="108" t="s">
        <v>42</v>
      </c>
      <c r="P239" s="156"/>
      <c r="Q239" s="127" t="s">
        <v>49</v>
      </c>
      <c r="R239" s="140"/>
      <c r="S239" s="140"/>
      <c r="T239" s="256"/>
      <c r="U239" s="255"/>
      <c r="V239" s="127">
        <v>0.0</v>
      </c>
    </row>
    <row r="240">
      <c r="A240" s="13">
        <v>239.0</v>
      </c>
      <c r="B240" s="164">
        <v>46155.0</v>
      </c>
      <c r="C240" s="108" t="s">
        <v>21</v>
      </c>
      <c r="D240" s="127" t="s">
        <v>60</v>
      </c>
      <c r="E240" s="129" t="s">
        <v>27</v>
      </c>
      <c r="F240" s="213">
        <v>5.80698944E8</v>
      </c>
      <c r="G240" s="129" t="s">
        <v>27</v>
      </c>
      <c r="H240" s="129" t="s">
        <v>27</v>
      </c>
      <c r="I240" s="261" t="s">
        <v>554</v>
      </c>
      <c r="J240" s="259"/>
      <c r="K240" s="129" t="s">
        <v>36</v>
      </c>
      <c r="L240" s="256"/>
      <c r="M240" s="27" t="s">
        <v>1148</v>
      </c>
      <c r="N240" s="108" t="s">
        <v>40</v>
      </c>
      <c r="O240" s="108" t="s">
        <v>42</v>
      </c>
      <c r="P240" s="156"/>
      <c r="Q240" s="127" t="s">
        <v>863</v>
      </c>
      <c r="R240" s="140"/>
      <c r="S240" s="140"/>
      <c r="T240" s="256"/>
      <c r="U240" s="255"/>
      <c r="V240" s="127">
        <v>0.0</v>
      </c>
    </row>
    <row r="241">
      <c r="A241" s="13">
        <v>240.0</v>
      </c>
      <c r="B241" s="125">
        <v>46155.0</v>
      </c>
      <c r="C241" s="13" t="s">
        <v>21</v>
      </c>
      <c r="D241" s="13" t="s">
        <v>22</v>
      </c>
      <c r="E241" s="20" t="s">
        <v>2291</v>
      </c>
      <c r="F241" s="12">
        <v>5.66577934E8</v>
      </c>
      <c r="G241" s="20" t="s">
        <v>1452</v>
      </c>
      <c r="H241" s="13" t="s">
        <v>27</v>
      </c>
      <c r="I241" s="249" t="s">
        <v>4449</v>
      </c>
      <c r="J241" s="20"/>
      <c r="K241" s="13" t="s">
        <v>457</v>
      </c>
      <c r="L241" s="155"/>
      <c r="M241" s="27" t="s">
        <v>38</v>
      </c>
      <c r="N241" s="13" t="s">
        <v>40</v>
      </c>
      <c r="O241" s="13" t="s">
        <v>42</v>
      </c>
      <c r="P241" s="156"/>
      <c r="Q241" s="13" t="s">
        <v>44</v>
      </c>
      <c r="R241" s="13" t="s">
        <v>46</v>
      </c>
      <c r="S241" s="13"/>
      <c r="T241" s="155"/>
      <c r="U241" s="13"/>
      <c r="V241" s="156">
        <v>0.0</v>
      </c>
    </row>
    <row r="242">
      <c r="A242" s="13">
        <v>241.0</v>
      </c>
      <c r="B242" s="125">
        <v>46155.0</v>
      </c>
      <c r="C242" s="13" t="s">
        <v>21</v>
      </c>
      <c r="D242" s="13" t="s">
        <v>57</v>
      </c>
      <c r="E242" s="13" t="s">
        <v>27</v>
      </c>
      <c r="F242" s="12">
        <v>5.68404514E8</v>
      </c>
      <c r="G242" s="20" t="s">
        <v>41</v>
      </c>
      <c r="H242" s="13" t="s">
        <v>27</v>
      </c>
      <c r="I242" s="249" t="s">
        <v>4456</v>
      </c>
      <c r="J242" s="20"/>
      <c r="K242" s="13" t="s">
        <v>36</v>
      </c>
      <c r="L242" s="155"/>
      <c r="M242" s="27" t="s">
        <v>38</v>
      </c>
      <c r="N242" s="13" t="s">
        <v>56</v>
      </c>
      <c r="O242" s="13" t="s">
        <v>42</v>
      </c>
      <c r="P242" s="156"/>
      <c r="Q242" s="13" t="s">
        <v>44</v>
      </c>
      <c r="R242" s="13"/>
      <c r="S242" s="13"/>
      <c r="T242" s="155"/>
      <c r="U242" s="13"/>
      <c r="V242" s="156">
        <v>0.0</v>
      </c>
    </row>
    <row r="243">
      <c r="A243" s="13">
        <v>242.0</v>
      </c>
      <c r="B243" s="125">
        <v>46155.0</v>
      </c>
      <c r="C243" s="13" t="s">
        <v>21</v>
      </c>
      <c r="D243" s="13" t="s">
        <v>60</v>
      </c>
      <c r="E243" s="20" t="s">
        <v>4462</v>
      </c>
      <c r="F243" s="12">
        <v>5.57611878E8</v>
      </c>
      <c r="G243" s="20" t="s">
        <v>41</v>
      </c>
      <c r="H243" s="13" t="s">
        <v>27</v>
      </c>
      <c r="I243" s="249" t="s">
        <v>4464</v>
      </c>
      <c r="J243" s="20"/>
      <c r="K243" s="13" t="s">
        <v>36</v>
      </c>
      <c r="L243" s="155"/>
      <c r="M243" s="27" t="s">
        <v>38</v>
      </c>
      <c r="N243" s="13" t="s">
        <v>40</v>
      </c>
      <c r="O243" s="13" t="s">
        <v>42</v>
      </c>
      <c r="P243" s="156"/>
      <c r="Q243" s="13" t="s">
        <v>44</v>
      </c>
      <c r="R243" s="13"/>
      <c r="S243" s="13"/>
      <c r="T243" s="155"/>
      <c r="U243" s="13"/>
      <c r="V243" s="156">
        <v>0.0</v>
      </c>
    </row>
    <row r="244" ht="21.75" customHeight="1">
      <c r="A244" s="13">
        <v>243.0</v>
      </c>
      <c r="B244" s="125">
        <v>46155.0</v>
      </c>
      <c r="C244" s="13" t="s">
        <v>21</v>
      </c>
      <c r="D244" s="13" t="s">
        <v>24</v>
      </c>
      <c r="E244" s="20" t="s">
        <v>4465</v>
      </c>
      <c r="F244" s="12">
        <v>5.49946696E8</v>
      </c>
      <c r="G244" s="20" t="s">
        <v>152</v>
      </c>
      <c r="H244" s="13" t="s">
        <v>27</v>
      </c>
      <c r="I244" s="249" t="s">
        <v>4467</v>
      </c>
      <c r="J244" s="20"/>
      <c r="K244" s="13" t="s">
        <v>36</v>
      </c>
      <c r="L244" s="155"/>
      <c r="M244" s="27" t="s">
        <v>38</v>
      </c>
      <c r="N244" s="13" t="s">
        <v>40</v>
      </c>
      <c r="O244" s="13" t="s">
        <v>42</v>
      </c>
      <c r="P244" s="156"/>
      <c r="Q244" s="13" t="s">
        <v>44</v>
      </c>
      <c r="R244" s="13" t="s">
        <v>46</v>
      </c>
      <c r="S244" s="13"/>
      <c r="T244" s="155"/>
      <c r="U244" s="13"/>
      <c r="V244" s="156">
        <v>0.0</v>
      </c>
    </row>
    <row r="245">
      <c r="A245" s="13">
        <v>244.0</v>
      </c>
      <c r="B245" s="125">
        <v>46155.0</v>
      </c>
      <c r="C245" s="13" t="s">
        <v>21</v>
      </c>
      <c r="D245" s="13" t="s">
        <v>22</v>
      </c>
      <c r="E245" s="20" t="s">
        <v>4471</v>
      </c>
      <c r="F245" s="12" t="s">
        <v>4473</v>
      </c>
      <c r="G245" s="20" t="s">
        <v>237</v>
      </c>
      <c r="H245" s="13" t="s">
        <v>27</v>
      </c>
      <c r="I245" s="249" t="s">
        <v>4476</v>
      </c>
      <c r="J245" s="20"/>
      <c r="K245" s="13" t="s">
        <v>321</v>
      </c>
      <c r="L245" s="155"/>
      <c r="M245" s="27" t="s">
        <v>38</v>
      </c>
      <c r="N245" s="13" t="s">
        <v>40</v>
      </c>
      <c r="O245" s="13" t="s">
        <v>42</v>
      </c>
      <c r="P245" s="156"/>
      <c r="Q245" s="13" t="s">
        <v>49</v>
      </c>
      <c r="R245" s="13" t="s">
        <v>46</v>
      </c>
      <c r="S245" s="13"/>
      <c r="T245" s="155"/>
      <c r="U245" s="13" t="s">
        <v>49</v>
      </c>
      <c r="V245" s="156">
        <v>0.0</v>
      </c>
    </row>
    <row r="246" ht="51.75" customHeight="1">
      <c r="A246" s="13">
        <v>245.0</v>
      </c>
      <c r="B246" s="125">
        <v>46155.0</v>
      </c>
      <c r="C246" s="13" t="s">
        <v>21</v>
      </c>
      <c r="D246" s="13" t="s">
        <v>24</v>
      </c>
      <c r="E246" s="262" t="s">
        <v>4481</v>
      </c>
      <c r="F246" s="12">
        <v>5.61451401E8</v>
      </c>
      <c r="G246" s="20" t="s">
        <v>1332</v>
      </c>
      <c r="H246" s="13" t="s">
        <v>27</v>
      </c>
      <c r="I246" s="249" t="s">
        <v>4485</v>
      </c>
      <c r="J246" s="20"/>
      <c r="K246" s="13" t="s">
        <v>36</v>
      </c>
      <c r="L246" s="155"/>
      <c r="M246" s="27" t="s">
        <v>38</v>
      </c>
      <c r="N246" s="13" t="s">
        <v>40</v>
      </c>
      <c r="O246" s="13" t="s">
        <v>42</v>
      </c>
      <c r="P246" s="156"/>
      <c r="Q246" s="13" t="s">
        <v>863</v>
      </c>
      <c r="R246" s="13" t="s">
        <v>46</v>
      </c>
      <c r="S246" s="13"/>
      <c r="T246" s="155"/>
      <c r="U246" s="13" t="s">
        <v>863</v>
      </c>
      <c r="V246" s="156">
        <v>0.0</v>
      </c>
    </row>
    <row r="247">
      <c r="A247" s="13">
        <v>246.0</v>
      </c>
      <c r="B247" s="125">
        <v>46155.0</v>
      </c>
      <c r="C247" s="13" t="s">
        <v>21</v>
      </c>
      <c r="D247" s="13" t="s">
        <v>24</v>
      </c>
      <c r="E247" s="20" t="s">
        <v>4491</v>
      </c>
      <c r="F247" s="12">
        <v>5.03075551E8</v>
      </c>
      <c r="G247" s="13" t="s">
        <v>27</v>
      </c>
      <c r="H247" s="13" t="s">
        <v>27</v>
      </c>
      <c r="I247" s="249" t="s">
        <v>4494</v>
      </c>
      <c r="J247" s="20"/>
      <c r="K247" s="13" t="s">
        <v>36</v>
      </c>
      <c r="L247" s="155"/>
      <c r="M247" s="27" t="s">
        <v>38</v>
      </c>
      <c r="N247" s="13" t="s">
        <v>40</v>
      </c>
      <c r="O247" s="13" t="s">
        <v>42</v>
      </c>
      <c r="P247" s="156"/>
      <c r="Q247" s="13" t="s">
        <v>863</v>
      </c>
      <c r="R247" s="13" t="s">
        <v>46</v>
      </c>
      <c r="S247" s="13"/>
      <c r="T247" s="155"/>
      <c r="U247" s="13" t="s">
        <v>863</v>
      </c>
      <c r="V247" s="156">
        <v>0.0</v>
      </c>
    </row>
    <row r="248" ht="43.5" customHeight="1">
      <c r="A248" s="13">
        <v>247.0</v>
      </c>
      <c r="B248" s="125">
        <v>46155.0</v>
      </c>
      <c r="C248" s="13" t="s">
        <v>58</v>
      </c>
      <c r="D248" s="13" t="s">
        <v>60</v>
      </c>
      <c r="E248" s="13" t="s">
        <v>4500</v>
      </c>
      <c r="F248" s="12">
        <v>5.91759867E8</v>
      </c>
      <c r="G248" s="20" t="s">
        <v>4243</v>
      </c>
      <c r="H248" s="13" t="s">
        <v>791</v>
      </c>
      <c r="I248" s="249" t="s">
        <v>4501</v>
      </c>
      <c r="J248" s="20"/>
      <c r="K248" s="13" t="s">
        <v>148</v>
      </c>
      <c r="L248" s="263"/>
      <c r="M248" s="27" t="s">
        <v>88</v>
      </c>
      <c r="N248" s="13" t="s">
        <v>40</v>
      </c>
      <c r="O248" s="13" t="s">
        <v>42</v>
      </c>
      <c r="P248" s="156"/>
      <c r="Q248" s="13" t="s">
        <v>863</v>
      </c>
      <c r="R248" s="13"/>
      <c r="S248" s="13"/>
      <c r="T248" s="155"/>
      <c r="U248" s="13" t="s">
        <v>863</v>
      </c>
      <c r="V248" s="156">
        <v>0.0</v>
      </c>
    </row>
    <row r="249">
      <c r="A249" s="13">
        <v>248.0</v>
      </c>
      <c r="B249" s="125">
        <v>46155.0</v>
      </c>
      <c r="C249" s="13" t="s">
        <v>58</v>
      </c>
      <c r="D249" s="13" t="s">
        <v>34</v>
      </c>
      <c r="E249" s="13" t="s">
        <v>27</v>
      </c>
      <c r="F249" s="12">
        <v>5.34500732E8</v>
      </c>
      <c r="G249" s="20" t="s">
        <v>4243</v>
      </c>
      <c r="H249" s="13"/>
      <c r="I249" s="249" t="s">
        <v>4504</v>
      </c>
      <c r="J249" s="20"/>
      <c r="K249" s="13" t="s">
        <v>36</v>
      </c>
      <c r="L249" s="155"/>
      <c r="M249" s="27" t="s">
        <v>88</v>
      </c>
      <c r="N249" s="13" t="s">
        <v>40</v>
      </c>
      <c r="O249" s="13" t="s">
        <v>42</v>
      </c>
      <c r="P249" s="156"/>
      <c r="Q249" s="13" t="s">
        <v>863</v>
      </c>
      <c r="R249" s="13" t="s">
        <v>46</v>
      </c>
      <c r="S249" s="13"/>
      <c r="T249" s="155"/>
      <c r="U249" s="13" t="s">
        <v>863</v>
      </c>
      <c r="V249" s="156">
        <v>0.0</v>
      </c>
    </row>
    <row r="250">
      <c r="A250" s="13">
        <v>249.0</v>
      </c>
      <c r="B250" s="125">
        <v>46155.0</v>
      </c>
      <c r="C250" s="13" t="s">
        <v>47</v>
      </c>
      <c r="D250" s="13" t="s">
        <v>60</v>
      </c>
      <c r="E250" s="13" t="s">
        <v>27</v>
      </c>
      <c r="F250" s="12" t="s">
        <v>27</v>
      </c>
      <c r="G250" s="20" t="s">
        <v>4507</v>
      </c>
      <c r="H250" s="13" t="s">
        <v>27</v>
      </c>
      <c r="I250" s="249" t="s">
        <v>4508</v>
      </c>
      <c r="J250" s="20"/>
      <c r="K250" s="13" t="s">
        <v>78</v>
      </c>
      <c r="L250" s="155"/>
      <c r="M250" s="27" t="s">
        <v>55</v>
      </c>
      <c r="N250" s="13" t="s">
        <v>40</v>
      </c>
      <c r="O250" s="13" t="s">
        <v>42</v>
      </c>
      <c r="P250" s="156"/>
      <c r="Q250" s="13" t="s">
        <v>863</v>
      </c>
      <c r="R250" s="13"/>
      <c r="S250" s="13"/>
      <c r="T250" s="155"/>
      <c r="U250" s="13" t="s">
        <v>863</v>
      </c>
      <c r="V250" s="156">
        <v>0.0</v>
      </c>
    </row>
    <row r="251">
      <c r="A251" s="13">
        <v>250.0</v>
      </c>
      <c r="B251" s="125">
        <v>46155.0</v>
      </c>
      <c r="C251" s="13" t="s">
        <v>21</v>
      </c>
      <c r="D251" s="13" t="s">
        <v>24</v>
      </c>
      <c r="E251" s="20" t="s">
        <v>4512</v>
      </c>
      <c r="F251" s="12">
        <v>5.50870557E8</v>
      </c>
      <c r="G251" s="20" t="s">
        <v>4513</v>
      </c>
      <c r="H251" s="13" t="s">
        <v>27</v>
      </c>
      <c r="I251" s="249" t="s">
        <v>4514</v>
      </c>
      <c r="J251" s="20"/>
      <c r="K251" s="13" t="s">
        <v>36</v>
      </c>
      <c r="L251" s="155"/>
      <c r="M251" s="27" t="s">
        <v>38</v>
      </c>
      <c r="N251" s="13" t="s">
        <v>40</v>
      </c>
      <c r="O251" s="13" t="s">
        <v>42</v>
      </c>
      <c r="P251" s="156"/>
      <c r="Q251" s="13" t="s">
        <v>863</v>
      </c>
      <c r="R251" s="13" t="s">
        <v>46</v>
      </c>
      <c r="S251" s="13"/>
      <c r="T251" s="155"/>
      <c r="U251" s="13" t="s">
        <v>863</v>
      </c>
      <c r="V251" s="156">
        <v>0.0</v>
      </c>
    </row>
    <row r="252">
      <c r="A252" s="13">
        <v>251.0</v>
      </c>
      <c r="B252" s="125">
        <v>46155.0</v>
      </c>
      <c r="C252" s="13" t="s">
        <v>58</v>
      </c>
      <c r="D252" s="13" t="s">
        <v>60</v>
      </c>
      <c r="E252" s="20" t="s">
        <v>4517</v>
      </c>
      <c r="F252" s="12">
        <v>5.83900888E8</v>
      </c>
      <c r="G252" s="20" t="s">
        <v>2580</v>
      </c>
      <c r="H252" s="13" t="s">
        <v>1114</v>
      </c>
      <c r="I252" s="249" t="s">
        <v>4520</v>
      </c>
      <c r="J252" s="20"/>
      <c r="K252" s="13" t="s">
        <v>36</v>
      </c>
      <c r="L252" s="155"/>
      <c r="M252" s="27" t="s">
        <v>88</v>
      </c>
      <c r="N252" s="13" t="s">
        <v>40</v>
      </c>
      <c r="O252" s="13" t="s">
        <v>42</v>
      </c>
      <c r="P252" s="156"/>
      <c r="Q252" s="13" t="s">
        <v>863</v>
      </c>
      <c r="R252" s="13"/>
      <c r="S252" s="13"/>
      <c r="T252" s="155"/>
      <c r="U252" s="13" t="s">
        <v>863</v>
      </c>
      <c r="V252" s="156">
        <v>0.0</v>
      </c>
    </row>
    <row r="253">
      <c r="A253" s="13">
        <v>252.0</v>
      </c>
      <c r="B253" s="125">
        <v>46155.0</v>
      </c>
      <c r="C253" s="13" t="s">
        <v>58</v>
      </c>
      <c r="D253" s="13" t="s">
        <v>60</v>
      </c>
      <c r="E253" s="13" t="s">
        <v>27</v>
      </c>
      <c r="F253" s="12">
        <v>5.59838843E8</v>
      </c>
      <c r="G253" s="13" t="s">
        <v>27</v>
      </c>
      <c r="H253" s="13" t="s">
        <v>27</v>
      </c>
      <c r="I253" s="249" t="s">
        <v>554</v>
      </c>
      <c r="J253" s="20"/>
      <c r="K253" s="13" t="s">
        <v>36</v>
      </c>
      <c r="L253" s="155"/>
      <c r="M253" s="27" t="s">
        <v>88</v>
      </c>
      <c r="N253" s="13" t="s">
        <v>40</v>
      </c>
      <c r="O253" s="13" t="s">
        <v>42</v>
      </c>
      <c r="P253" s="156"/>
      <c r="Q253" s="13" t="s">
        <v>44</v>
      </c>
      <c r="R253" s="13"/>
      <c r="S253" s="13"/>
      <c r="T253" s="155"/>
      <c r="U253" s="13"/>
      <c r="V253" s="156">
        <v>0.0</v>
      </c>
    </row>
    <row r="254">
      <c r="A254" s="13">
        <v>253.0</v>
      </c>
      <c r="B254" s="125">
        <v>46155.0</v>
      </c>
      <c r="C254" s="13" t="s">
        <v>21</v>
      </c>
      <c r="D254" s="13" t="s">
        <v>22</v>
      </c>
      <c r="E254" s="20" t="s">
        <v>4529</v>
      </c>
      <c r="F254" s="12">
        <v>5.00743099E8</v>
      </c>
      <c r="G254" s="20" t="s">
        <v>4282</v>
      </c>
      <c r="H254" s="13" t="s">
        <v>27</v>
      </c>
      <c r="I254" s="249" t="s">
        <v>4530</v>
      </c>
      <c r="J254" s="20"/>
      <c r="K254" s="13" t="s">
        <v>36</v>
      </c>
      <c r="L254" s="155"/>
      <c r="M254" s="27" t="s">
        <v>101</v>
      </c>
      <c r="N254" s="13" t="s">
        <v>40</v>
      </c>
      <c r="O254" s="13" t="s">
        <v>42</v>
      </c>
      <c r="P254" s="156"/>
      <c r="Q254" s="13" t="s">
        <v>863</v>
      </c>
      <c r="R254" s="13" t="s">
        <v>46</v>
      </c>
      <c r="S254" s="20" t="s">
        <v>2632</v>
      </c>
      <c r="T254" s="155"/>
      <c r="U254" s="13" t="s">
        <v>863</v>
      </c>
      <c r="V254" s="156">
        <v>0.0</v>
      </c>
    </row>
    <row r="255">
      <c r="A255" s="13">
        <v>254.0</v>
      </c>
      <c r="B255" s="125">
        <v>46155.0</v>
      </c>
      <c r="C255" s="13" t="s">
        <v>58</v>
      </c>
      <c r="D255" s="13" t="s">
        <v>60</v>
      </c>
      <c r="E255" s="20" t="s">
        <v>4536</v>
      </c>
      <c r="F255" s="12">
        <v>5.5439906E8</v>
      </c>
      <c r="G255" s="20" t="s">
        <v>4282</v>
      </c>
      <c r="H255" s="13" t="s">
        <v>27</v>
      </c>
      <c r="I255" s="249" t="s">
        <v>4537</v>
      </c>
      <c r="J255" s="20"/>
      <c r="K255" s="13" t="s">
        <v>36</v>
      </c>
      <c r="L255" s="155"/>
      <c r="M255" s="27" t="s">
        <v>88</v>
      </c>
      <c r="N255" s="13" t="s">
        <v>40</v>
      </c>
      <c r="O255" s="13" t="s">
        <v>42</v>
      </c>
      <c r="P255" s="156"/>
      <c r="Q255" s="13" t="s">
        <v>863</v>
      </c>
      <c r="R255" s="13"/>
      <c r="S255" s="13"/>
      <c r="T255" s="155"/>
      <c r="U255" s="13" t="s">
        <v>863</v>
      </c>
      <c r="V255" s="156">
        <v>0.0</v>
      </c>
    </row>
    <row r="256" ht="63.0" customHeight="1">
      <c r="A256" s="13">
        <v>255.0</v>
      </c>
      <c r="B256" s="125">
        <v>46155.0</v>
      </c>
      <c r="C256" s="13" t="s">
        <v>58</v>
      </c>
      <c r="D256" s="13" t="s">
        <v>60</v>
      </c>
      <c r="E256" s="20" t="s">
        <v>393</v>
      </c>
      <c r="F256" s="12">
        <v>5.34429364E8</v>
      </c>
      <c r="G256" s="20" t="s">
        <v>41</v>
      </c>
      <c r="H256" s="13" t="s">
        <v>567</v>
      </c>
      <c r="I256" s="249" t="s">
        <v>4542</v>
      </c>
      <c r="J256" s="20" t="s">
        <v>4545</v>
      </c>
      <c r="K256" s="13" t="s">
        <v>36</v>
      </c>
      <c r="L256" s="155"/>
      <c r="M256" s="27" t="s">
        <v>38</v>
      </c>
      <c r="N256" s="13" t="s">
        <v>56</v>
      </c>
      <c r="O256" s="13" t="s">
        <v>42</v>
      </c>
      <c r="P256" s="156"/>
      <c r="Q256" s="13" t="s">
        <v>44</v>
      </c>
      <c r="R256" s="13"/>
      <c r="S256" s="13"/>
      <c r="T256" s="155"/>
      <c r="U256" s="13"/>
      <c r="V256" s="156">
        <v>0.0</v>
      </c>
    </row>
    <row r="257">
      <c r="A257" s="13">
        <v>256.0</v>
      </c>
      <c r="B257" s="125">
        <v>46155.0</v>
      </c>
      <c r="C257" s="13" t="s">
        <v>21</v>
      </c>
      <c r="D257" s="13" t="s">
        <v>24</v>
      </c>
      <c r="E257" s="20" t="s">
        <v>4551</v>
      </c>
      <c r="F257" s="12">
        <v>5.32676935E8</v>
      </c>
      <c r="G257" s="20" t="s">
        <v>1107</v>
      </c>
      <c r="H257" s="13" t="s">
        <v>27</v>
      </c>
      <c r="I257" s="249" t="s">
        <v>4552</v>
      </c>
      <c r="J257" s="20"/>
      <c r="K257" s="13" t="s">
        <v>36</v>
      </c>
      <c r="L257" s="155"/>
      <c r="M257" s="27" t="s">
        <v>38</v>
      </c>
      <c r="N257" s="13" t="s">
        <v>40</v>
      </c>
      <c r="O257" s="13" t="s">
        <v>42</v>
      </c>
      <c r="P257" s="156"/>
      <c r="Q257" s="13" t="s">
        <v>863</v>
      </c>
      <c r="R257" s="13" t="s">
        <v>46</v>
      </c>
      <c r="S257" s="13"/>
      <c r="T257" s="155"/>
      <c r="U257" s="13" t="s">
        <v>863</v>
      </c>
      <c r="V257" s="156">
        <v>0.0</v>
      </c>
    </row>
    <row r="258" ht="27.0" customHeight="1">
      <c r="A258" s="13">
        <v>257.0</v>
      </c>
      <c r="B258" s="125">
        <v>46155.0</v>
      </c>
      <c r="C258" s="13" t="s">
        <v>58</v>
      </c>
      <c r="D258" s="13" t="s">
        <v>60</v>
      </c>
      <c r="E258" s="13" t="s">
        <v>27</v>
      </c>
      <c r="F258" s="12">
        <v>5.98097609E8</v>
      </c>
      <c r="G258" s="13" t="s">
        <v>27</v>
      </c>
      <c r="H258" s="13" t="s">
        <v>27</v>
      </c>
      <c r="I258" s="249" t="s">
        <v>4557</v>
      </c>
      <c r="J258" s="20"/>
      <c r="K258" s="13" t="s">
        <v>36</v>
      </c>
      <c r="L258" s="155"/>
      <c r="M258" s="27" t="s">
        <v>88</v>
      </c>
      <c r="N258" s="13" t="s">
        <v>40</v>
      </c>
      <c r="O258" s="13" t="s">
        <v>42</v>
      </c>
      <c r="P258" s="156"/>
      <c r="Q258" s="13" t="s">
        <v>863</v>
      </c>
      <c r="R258" s="13" t="s">
        <v>46</v>
      </c>
      <c r="S258" s="13"/>
      <c r="T258" s="155"/>
      <c r="U258" s="13" t="s">
        <v>863</v>
      </c>
      <c r="V258" s="156">
        <v>0.0</v>
      </c>
    </row>
    <row r="259">
      <c r="A259" s="13">
        <v>258.0</v>
      </c>
      <c r="B259" s="125">
        <v>46155.0</v>
      </c>
      <c r="C259" s="13" t="s">
        <v>21</v>
      </c>
      <c r="D259" s="13" t="s">
        <v>24</v>
      </c>
      <c r="E259" s="20" t="s">
        <v>4561</v>
      </c>
      <c r="F259" s="12">
        <v>9.66538682892E11</v>
      </c>
      <c r="G259" s="20" t="s">
        <v>120</v>
      </c>
      <c r="H259" s="13" t="s">
        <v>27</v>
      </c>
      <c r="I259" s="249" t="s">
        <v>4564</v>
      </c>
      <c r="J259" s="20"/>
      <c r="K259" s="13" t="s">
        <v>36</v>
      </c>
      <c r="L259" s="155"/>
      <c r="M259" s="27" t="s">
        <v>101</v>
      </c>
      <c r="N259" s="13" t="s">
        <v>56</v>
      </c>
      <c r="O259" s="13" t="s">
        <v>42</v>
      </c>
      <c r="P259" s="156"/>
      <c r="Q259" s="13" t="s">
        <v>863</v>
      </c>
      <c r="R259" s="13" t="s">
        <v>46</v>
      </c>
      <c r="S259" s="13"/>
      <c r="T259" s="155"/>
      <c r="U259" s="13" t="s">
        <v>863</v>
      </c>
      <c r="V259" s="156"/>
    </row>
    <row r="260">
      <c r="A260" s="13">
        <v>259.0</v>
      </c>
      <c r="B260" s="125">
        <v>46155.0</v>
      </c>
      <c r="C260" s="13" t="s">
        <v>21</v>
      </c>
      <c r="D260" s="13" t="s">
        <v>66</v>
      </c>
      <c r="E260" s="20" t="s">
        <v>4570</v>
      </c>
      <c r="F260" s="12">
        <v>5.99057422E8</v>
      </c>
      <c r="G260" s="13" t="s">
        <v>27</v>
      </c>
      <c r="H260" s="13" t="s">
        <v>27</v>
      </c>
      <c r="I260" s="266" t="s">
        <v>4572</v>
      </c>
      <c r="J260" s="20" t="s">
        <v>4141</v>
      </c>
      <c r="K260" s="13" t="s">
        <v>36</v>
      </c>
      <c r="L260" s="155"/>
      <c r="M260" s="27" t="s">
        <v>38</v>
      </c>
      <c r="N260" s="13" t="s">
        <v>56</v>
      </c>
      <c r="O260" s="13" t="s">
        <v>42</v>
      </c>
      <c r="P260" s="156"/>
      <c r="Q260" s="13" t="s">
        <v>44</v>
      </c>
      <c r="R260" s="13"/>
      <c r="S260" s="13"/>
      <c r="T260" s="155"/>
      <c r="U260" s="13"/>
      <c r="V260" s="156"/>
    </row>
    <row r="261">
      <c r="A261" s="13">
        <v>260.0</v>
      </c>
      <c r="B261" s="125">
        <v>46155.0</v>
      </c>
      <c r="C261" s="13" t="s">
        <v>21</v>
      </c>
      <c r="D261" s="13" t="s">
        <v>60</v>
      </c>
      <c r="E261" s="13" t="s">
        <v>27</v>
      </c>
      <c r="F261" s="12">
        <v>2.01200809948E11</v>
      </c>
      <c r="G261" s="13" t="s">
        <v>27</v>
      </c>
      <c r="H261" s="13" t="s">
        <v>27</v>
      </c>
      <c r="I261" s="249" t="s">
        <v>4579</v>
      </c>
      <c r="J261" s="20" t="s">
        <v>1207</v>
      </c>
      <c r="K261" s="13" t="s">
        <v>36</v>
      </c>
      <c r="L261" s="155"/>
      <c r="M261" s="27" t="s">
        <v>38</v>
      </c>
      <c r="N261" s="13" t="s">
        <v>56</v>
      </c>
      <c r="O261" s="13" t="s">
        <v>42</v>
      </c>
      <c r="P261" s="156"/>
      <c r="Q261" s="13" t="s">
        <v>44</v>
      </c>
      <c r="R261" s="13"/>
      <c r="S261" s="13"/>
      <c r="T261" s="155"/>
      <c r="U261" s="13"/>
      <c r="V261" s="156"/>
    </row>
    <row r="262">
      <c r="A262" s="13">
        <v>261.0</v>
      </c>
      <c r="B262" s="125">
        <v>46155.0</v>
      </c>
      <c r="C262" s="13" t="s">
        <v>58</v>
      </c>
      <c r="D262" s="13" t="s">
        <v>60</v>
      </c>
      <c r="E262" s="13" t="s">
        <v>27</v>
      </c>
      <c r="F262" s="12">
        <v>5.53770711E8</v>
      </c>
      <c r="G262" s="13" t="s">
        <v>27</v>
      </c>
      <c r="H262" s="13" t="s">
        <v>27</v>
      </c>
      <c r="I262" s="249" t="s">
        <v>4585</v>
      </c>
      <c r="J262" s="20"/>
      <c r="K262" s="13" t="s">
        <v>62</v>
      </c>
      <c r="L262" s="155"/>
      <c r="M262" s="27" t="s">
        <v>88</v>
      </c>
      <c r="N262" s="13" t="s">
        <v>40</v>
      </c>
      <c r="O262" s="13" t="s">
        <v>42</v>
      </c>
      <c r="P262" s="156"/>
      <c r="Q262" s="13" t="s">
        <v>44</v>
      </c>
      <c r="R262" s="13"/>
      <c r="S262" s="13"/>
      <c r="T262" s="155"/>
      <c r="U262" s="13"/>
      <c r="V262" s="156"/>
    </row>
    <row r="263">
      <c r="A263" s="13">
        <v>262.0</v>
      </c>
      <c r="B263" s="125">
        <v>46155.0</v>
      </c>
      <c r="C263" s="13" t="s">
        <v>58</v>
      </c>
      <c r="D263" s="13" t="s">
        <v>60</v>
      </c>
      <c r="E263" s="13" t="s">
        <v>27</v>
      </c>
      <c r="F263" s="12">
        <v>3.56213773E8</v>
      </c>
      <c r="G263" s="13" t="s">
        <v>27</v>
      </c>
      <c r="H263" s="13" t="s">
        <v>27</v>
      </c>
      <c r="I263" s="266" t="s">
        <v>4589</v>
      </c>
      <c r="J263" s="20"/>
      <c r="K263" s="13" t="s">
        <v>62</v>
      </c>
      <c r="L263" s="155"/>
      <c r="M263" s="27" t="s">
        <v>88</v>
      </c>
      <c r="N263" s="13" t="s">
        <v>40</v>
      </c>
      <c r="O263" s="13" t="s">
        <v>42</v>
      </c>
      <c r="P263" s="156"/>
      <c r="Q263" s="13" t="s">
        <v>44</v>
      </c>
      <c r="R263" s="13"/>
      <c r="S263" s="13"/>
      <c r="T263" s="155"/>
      <c r="U263" s="13"/>
      <c r="V263" s="156"/>
    </row>
    <row r="264">
      <c r="A264" s="13">
        <v>263.0</v>
      </c>
      <c r="B264" s="125">
        <v>46155.0</v>
      </c>
      <c r="C264" s="13" t="s">
        <v>58</v>
      </c>
      <c r="D264" s="13" t="s">
        <v>60</v>
      </c>
      <c r="E264" s="13" t="s">
        <v>27</v>
      </c>
      <c r="F264" s="12">
        <v>5.72425513E8</v>
      </c>
      <c r="G264" s="13" t="s">
        <v>27</v>
      </c>
      <c r="H264" s="13" t="s">
        <v>27</v>
      </c>
      <c r="I264" s="249" t="s">
        <v>4593</v>
      </c>
      <c r="J264" s="20"/>
      <c r="K264" s="13" t="s">
        <v>62</v>
      </c>
      <c r="L264" s="155"/>
      <c r="M264" s="27" t="s">
        <v>88</v>
      </c>
      <c r="N264" s="13" t="s">
        <v>40</v>
      </c>
      <c r="O264" s="13" t="s">
        <v>42</v>
      </c>
      <c r="P264" s="156"/>
      <c r="Q264" s="13" t="s">
        <v>44</v>
      </c>
      <c r="R264" s="13"/>
      <c r="S264" s="13"/>
      <c r="T264" s="155"/>
      <c r="U264" s="13"/>
      <c r="V264" s="156"/>
    </row>
    <row r="265">
      <c r="A265" s="13">
        <v>264.0</v>
      </c>
      <c r="B265" s="125">
        <v>46155.0</v>
      </c>
      <c r="C265" s="13" t="s">
        <v>21</v>
      </c>
      <c r="D265" s="13" t="s">
        <v>24</v>
      </c>
      <c r="E265" s="13" t="s">
        <v>27</v>
      </c>
      <c r="F265" s="12">
        <v>5.5294237E8</v>
      </c>
      <c r="G265" s="13" t="s">
        <v>27</v>
      </c>
      <c r="H265" s="13" t="s">
        <v>27</v>
      </c>
      <c r="I265" s="249" t="s">
        <v>4598</v>
      </c>
      <c r="J265" s="20"/>
      <c r="K265" s="13" t="s">
        <v>62</v>
      </c>
      <c r="L265" s="155"/>
      <c r="M265" s="27" t="s">
        <v>38</v>
      </c>
      <c r="N265" s="13" t="s">
        <v>40</v>
      </c>
      <c r="O265" s="13" t="s">
        <v>42</v>
      </c>
      <c r="P265" s="156"/>
      <c r="Q265" s="13" t="s">
        <v>44</v>
      </c>
      <c r="R265" s="13" t="s">
        <v>46</v>
      </c>
      <c r="S265" s="13"/>
      <c r="T265" s="155"/>
      <c r="U265" s="13"/>
      <c r="V265" s="156"/>
    </row>
    <row r="266">
      <c r="A266" s="13">
        <v>265.0</v>
      </c>
      <c r="B266" s="125">
        <v>46155.0</v>
      </c>
      <c r="C266" s="13" t="s">
        <v>58</v>
      </c>
      <c r="D266" s="13" t="s">
        <v>34</v>
      </c>
      <c r="E266" s="13" t="s">
        <v>27</v>
      </c>
      <c r="F266" s="12">
        <v>5.06762401E8</v>
      </c>
      <c r="G266" s="13" t="s">
        <v>27</v>
      </c>
      <c r="H266" s="13" t="s">
        <v>27</v>
      </c>
      <c r="I266" s="249" t="s">
        <v>4603</v>
      </c>
      <c r="J266" s="20"/>
      <c r="K266" s="13" t="s">
        <v>62</v>
      </c>
      <c r="L266" s="155"/>
      <c r="M266" s="27" t="s">
        <v>88</v>
      </c>
      <c r="N266" s="13" t="s">
        <v>56</v>
      </c>
      <c r="O266" s="13" t="s">
        <v>42</v>
      </c>
      <c r="P266" s="156"/>
      <c r="Q266" s="13" t="s">
        <v>44</v>
      </c>
      <c r="R266" s="13"/>
      <c r="S266" s="13"/>
      <c r="T266" s="155"/>
      <c r="U266" s="13"/>
      <c r="V266" s="156"/>
    </row>
    <row r="267">
      <c r="A267" s="13">
        <v>266.0</v>
      </c>
      <c r="B267" s="125">
        <v>46155.0</v>
      </c>
      <c r="C267" s="13" t="s">
        <v>21</v>
      </c>
      <c r="D267" s="13" t="s">
        <v>22</v>
      </c>
      <c r="E267" s="20" t="s">
        <v>4606</v>
      </c>
      <c r="F267" s="12">
        <v>5.11825325E8</v>
      </c>
      <c r="G267" s="13" t="s">
        <v>27</v>
      </c>
      <c r="H267" s="13" t="s">
        <v>27</v>
      </c>
      <c r="I267" s="266" t="s">
        <v>4608</v>
      </c>
      <c r="J267" s="20"/>
      <c r="K267" s="13" t="s">
        <v>62</v>
      </c>
      <c r="L267" s="155"/>
      <c r="M267" s="27" t="s">
        <v>38</v>
      </c>
      <c r="N267" s="13" t="s">
        <v>40</v>
      </c>
      <c r="O267" s="13" t="s">
        <v>42</v>
      </c>
      <c r="P267" s="156"/>
      <c r="Q267" s="13" t="s">
        <v>44</v>
      </c>
      <c r="R267" s="13" t="s">
        <v>46</v>
      </c>
      <c r="S267" s="13"/>
      <c r="T267" s="155"/>
      <c r="U267" s="13"/>
      <c r="V267" s="156"/>
    </row>
    <row r="268">
      <c r="A268" s="13">
        <v>267.0</v>
      </c>
      <c r="B268" s="125">
        <v>46155.0</v>
      </c>
      <c r="C268" s="13" t="s">
        <v>47</v>
      </c>
      <c r="D268" s="13" t="s">
        <v>48</v>
      </c>
      <c r="E268" s="20" t="s">
        <v>4612</v>
      </c>
      <c r="F268" s="12">
        <v>5.97747688E8</v>
      </c>
      <c r="G268" s="20" t="s">
        <v>333</v>
      </c>
      <c r="H268" s="13" t="s">
        <v>1114</v>
      </c>
      <c r="I268" s="249" t="s">
        <v>4613</v>
      </c>
      <c r="J268" s="20" t="s">
        <v>4614</v>
      </c>
      <c r="K268" s="13" t="s">
        <v>62</v>
      </c>
      <c r="L268" s="155">
        <v>0.4583333333333333</v>
      </c>
      <c r="M268" s="27" t="s">
        <v>55</v>
      </c>
      <c r="N268" s="13" t="s">
        <v>56</v>
      </c>
      <c r="O268" s="13" t="s">
        <v>42</v>
      </c>
      <c r="P268" s="156"/>
      <c r="Q268" s="13" t="s">
        <v>44</v>
      </c>
      <c r="R268" s="13" t="s">
        <v>46</v>
      </c>
      <c r="S268" s="20" t="s">
        <v>2710</v>
      </c>
      <c r="T268" s="155">
        <v>0.5833333333333334</v>
      </c>
      <c r="U268" s="13" t="s">
        <v>49</v>
      </c>
      <c r="V268" s="156"/>
    </row>
    <row r="269">
      <c r="A269" s="13">
        <v>268.0</v>
      </c>
      <c r="B269" s="125">
        <v>46155.0</v>
      </c>
      <c r="C269" s="13" t="s">
        <v>58</v>
      </c>
      <c r="D269" s="13" t="s">
        <v>66</v>
      </c>
      <c r="E269" s="13" t="s">
        <v>27</v>
      </c>
      <c r="F269" s="12">
        <v>5.42395023E8</v>
      </c>
      <c r="G269" s="13" t="s">
        <v>27</v>
      </c>
      <c r="H269" s="13" t="s">
        <v>27</v>
      </c>
      <c r="I269" s="249" t="s">
        <v>4619</v>
      </c>
      <c r="J269" s="20" t="s">
        <v>4620</v>
      </c>
      <c r="K269" s="13" t="s">
        <v>62</v>
      </c>
      <c r="L269" s="155"/>
      <c r="M269" s="27" t="s">
        <v>88</v>
      </c>
      <c r="N269" s="13" t="s">
        <v>40</v>
      </c>
      <c r="O269" s="13" t="s">
        <v>42</v>
      </c>
      <c r="P269" s="156"/>
      <c r="Q269" s="13" t="s">
        <v>49</v>
      </c>
      <c r="R269" s="13"/>
      <c r="S269" s="13"/>
      <c r="T269" s="155"/>
      <c r="U269" s="13"/>
      <c r="V269" s="156"/>
    </row>
    <row r="270">
      <c r="A270" s="13">
        <v>269.0</v>
      </c>
      <c r="B270" s="125">
        <v>46155.0</v>
      </c>
      <c r="C270" s="13" t="s">
        <v>58</v>
      </c>
      <c r="D270" s="13" t="s">
        <v>34</v>
      </c>
      <c r="E270" s="13" t="s">
        <v>4622</v>
      </c>
      <c r="F270" s="12">
        <v>5.62532832E8</v>
      </c>
      <c r="G270" s="13" t="s">
        <v>27</v>
      </c>
      <c r="H270" s="13" t="s">
        <v>27</v>
      </c>
      <c r="I270" s="271" t="s">
        <v>4624</v>
      </c>
      <c r="J270" s="20" t="s">
        <v>4627</v>
      </c>
      <c r="K270" s="13" t="s">
        <v>62</v>
      </c>
      <c r="L270" s="155"/>
      <c r="M270" s="27" t="s">
        <v>88</v>
      </c>
      <c r="N270" s="13" t="s">
        <v>56</v>
      </c>
      <c r="O270" s="13" t="s">
        <v>42</v>
      </c>
      <c r="P270" s="156"/>
      <c r="Q270" s="13" t="s">
        <v>44</v>
      </c>
      <c r="R270" s="13"/>
      <c r="S270" s="13"/>
      <c r="T270" s="155"/>
      <c r="U270" s="13"/>
      <c r="V270" s="156"/>
    </row>
    <row r="271">
      <c r="A271" s="13">
        <v>270.0</v>
      </c>
      <c r="B271" s="125">
        <v>46155.0</v>
      </c>
      <c r="C271" s="13" t="s">
        <v>58</v>
      </c>
      <c r="D271" s="13" t="s">
        <v>34</v>
      </c>
      <c r="E271" s="13" t="s">
        <v>27</v>
      </c>
      <c r="F271" s="12">
        <v>5.99052579E8</v>
      </c>
      <c r="G271" s="13" t="s">
        <v>27</v>
      </c>
      <c r="H271" s="13" t="s">
        <v>27</v>
      </c>
      <c r="I271" s="249" t="s">
        <v>4624</v>
      </c>
      <c r="J271" s="20" t="s">
        <v>4627</v>
      </c>
      <c r="K271" s="13" t="s">
        <v>62</v>
      </c>
      <c r="L271" s="155"/>
      <c r="M271" s="27" t="s">
        <v>88</v>
      </c>
      <c r="N271" s="13" t="s">
        <v>56</v>
      </c>
      <c r="O271" s="13" t="s">
        <v>42</v>
      </c>
      <c r="P271" s="156"/>
      <c r="Q271" s="13" t="s">
        <v>44</v>
      </c>
      <c r="R271" s="13"/>
      <c r="S271" s="13"/>
      <c r="T271" s="155"/>
      <c r="U271" s="13"/>
      <c r="V271" s="156"/>
    </row>
    <row r="272">
      <c r="A272" s="13">
        <v>271.0</v>
      </c>
      <c r="B272" s="125">
        <v>46155.0</v>
      </c>
      <c r="C272" s="13" t="s">
        <v>58</v>
      </c>
      <c r="D272" s="13" t="s">
        <v>34</v>
      </c>
      <c r="E272" s="13" t="s">
        <v>27</v>
      </c>
      <c r="F272" s="12">
        <v>5.45445292E8</v>
      </c>
      <c r="G272" s="13" t="s">
        <v>27</v>
      </c>
      <c r="H272" s="13" t="s">
        <v>27</v>
      </c>
      <c r="I272" s="271" t="s">
        <v>4624</v>
      </c>
      <c r="J272" s="20" t="s">
        <v>4627</v>
      </c>
      <c r="K272" s="13" t="s">
        <v>62</v>
      </c>
      <c r="L272" s="155"/>
      <c r="M272" s="27" t="s">
        <v>88</v>
      </c>
      <c r="N272" s="13" t="s">
        <v>56</v>
      </c>
      <c r="O272" s="13" t="s">
        <v>42</v>
      </c>
      <c r="P272" s="156"/>
      <c r="Q272" s="13" t="s">
        <v>44</v>
      </c>
      <c r="R272" s="13"/>
      <c r="S272" s="13"/>
      <c r="T272" s="155"/>
      <c r="U272" s="13"/>
      <c r="V272" s="156"/>
    </row>
    <row r="273">
      <c r="A273" s="13">
        <v>272.0</v>
      </c>
      <c r="B273" s="125">
        <v>46155.0</v>
      </c>
      <c r="C273" s="13" t="s">
        <v>58</v>
      </c>
      <c r="D273" s="13" t="s">
        <v>34</v>
      </c>
      <c r="E273" s="13" t="s">
        <v>27</v>
      </c>
      <c r="F273" s="12">
        <v>5.46393613E8</v>
      </c>
      <c r="G273" s="13" t="s">
        <v>27</v>
      </c>
      <c r="H273" s="13" t="s">
        <v>27</v>
      </c>
      <c r="I273" s="249" t="s">
        <v>4624</v>
      </c>
      <c r="J273" s="20" t="s">
        <v>4627</v>
      </c>
      <c r="K273" s="13" t="s">
        <v>62</v>
      </c>
      <c r="L273" s="155"/>
      <c r="M273" s="27" t="s">
        <v>88</v>
      </c>
      <c r="N273" s="13" t="s">
        <v>56</v>
      </c>
      <c r="O273" s="13" t="s">
        <v>42</v>
      </c>
      <c r="P273" s="156"/>
      <c r="Q273" s="13" t="s">
        <v>44</v>
      </c>
      <c r="R273" s="13"/>
      <c r="S273" s="13"/>
      <c r="T273" s="155"/>
      <c r="U273" s="13"/>
      <c r="V273" s="156">
        <v>0.0</v>
      </c>
    </row>
    <row r="274">
      <c r="A274" s="13">
        <v>273.0</v>
      </c>
      <c r="B274" s="125">
        <v>46155.0</v>
      </c>
      <c r="C274" s="13" t="s">
        <v>21</v>
      </c>
      <c r="D274" s="13" t="s">
        <v>22</v>
      </c>
      <c r="E274" s="20" t="s">
        <v>2634</v>
      </c>
      <c r="F274" s="12">
        <v>5.99557177E8</v>
      </c>
      <c r="G274" s="20" t="s">
        <v>426</v>
      </c>
      <c r="H274" s="13" t="s">
        <v>27</v>
      </c>
      <c r="I274" s="249" t="s">
        <v>4638</v>
      </c>
      <c r="J274" s="20"/>
      <c r="K274" s="13" t="s">
        <v>62</v>
      </c>
      <c r="L274" s="155"/>
      <c r="M274" s="27" t="s">
        <v>38</v>
      </c>
      <c r="N274" s="13" t="s">
        <v>40</v>
      </c>
      <c r="O274" s="13" t="s">
        <v>42</v>
      </c>
      <c r="P274" s="156"/>
      <c r="Q274" s="13" t="s">
        <v>44</v>
      </c>
      <c r="R274" s="13" t="s">
        <v>46</v>
      </c>
      <c r="S274" s="13"/>
      <c r="T274" s="155"/>
      <c r="U274" s="13"/>
      <c r="V274" s="156">
        <v>0.0</v>
      </c>
    </row>
    <row r="275">
      <c r="A275" s="13">
        <v>274.0</v>
      </c>
      <c r="B275" s="125">
        <v>46155.0</v>
      </c>
      <c r="C275" s="13" t="s">
        <v>58</v>
      </c>
      <c r="D275" s="13" t="s">
        <v>60</v>
      </c>
      <c r="E275" s="13" t="s">
        <v>4054</v>
      </c>
      <c r="F275" s="12">
        <v>5.94250366E8</v>
      </c>
      <c r="G275" s="13" t="s">
        <v>27</v>
      </c>
      <c r="H275" s="13" t="s">
        <v>27</v>
      </c>
      <c r="I275" s="249" t="s">
        <v>4641</v>
      </c>
      <c r="J275" s="20" t="s">
        <v>2806</v>
      </c>
      <c r="K275" s="13" t="s">
        <v>62</v>
      </c>
      <c r="L275" s="155"/>
      <c r="M275" s="27" t="s">
        <v>88</v>
      </c>
      <c r="N275" s="13" t="s">
        <v>40</v>
      </c>
      <c r="O275" s="13" t="s">
        <v>42</v>
      </c>
      <c r="P275" s="156"/>
      <c r="Q275" s="13" t="s">
        <v>44</v>
      </c>
      <c r="R275" s="13"/>
      <c r="S275" s="13"/>
      <c r="T275" s="155"/>
      <c r="U275" s="13"/>
      <c r="V275" s="156">
        <v>0.0</v>
      </c>
    </row>
    <row r="276">
      <c r="A276" s="13">
        <v>275.0</v>
      </c>
      <c r="B276" s="125">
        <v>46155.0</v>
      </c>
      <c r="C276" s="13" t="s">
        <v>58</v>
      </c>
      <c r="D276" s="13" t="s">
        <v>60</v>
      </c>
      <c r="E276" s="13" t="s">
        <v>27</v>
      </c>
      <c r="F276" s="12">
        <v>5.41175256E8</v>
      </c>
      <c r="G276" s="13" t="s">
        <v>27</v>
      </c>
      <c r="H276" s="13" t="s">
        <v>27</v>
      </c>
      <c r="I276" s="249" t="s">
        <v>4643</v>
      </c>
      <c r="J276" s="20"/>
      <c r="K276" s="13" t="s">
        <v>62</v>
      </c>
      <c r="L276" s="155"/>
      <c r="M276" s="27" t="s">
        <v>88</v>
      </c>
      <c r="N276" s="13" t="s">
        <v>40</v>
      </c>
      <c r="O276" s="13" t="s">
        <v>42</v>
      </c>
      <c r="P276" s="156"/>
      <c r="Q276" s="13" t="s">
        <v>44</v>
      </c>
      <c r="R276" s="13"/>
      <c r="S276" s="13"/>
      <c r="T276" s="155"/>
      <c r="U276" s="13"/>
      <c r="V276" s="156">
        <v>0.0</v>
      </c>
    </row>
    <row r="277">
      <c r="A277" s="13">
        <v>276.0</v>
      </c>
      <c r="B277" s="125">
        <v>46155.0</v>
      </c>
      <c r="C277" s="13" t="s">
        <v>21</v>
      </c>
      <c r="D277" s="13" t="s">
        <v>24</v>
      </c>
      <c r="E277" s="13" t="s">
        <v>27</v>
      </c>
      <c r="F277" s="12">
        <v>5.58706544E8</v>
      </c>
      <c r="G277" s="13" t="s">
        <v>27</v>
      </c>
      <c r="H277" s="13" t="s">
        <v>27</v>
      </c>
      <c r="I277" s="249" t="s">
        <v>4648</v>
      </c>
      <c r="J277" s="20"/>
      <c r="K277" s="13" t="s">
        <v>62</v>
      </c>
      <c r="L277" s="155"/>
      <c r="M277" s="27" t="s">
        <v>38</v>
      </c>
      <c r="N277" s="13" t="s">
        <v>40</v>
      </c>
      <c r="O277" s="13" t="s">
        <v>42</v>
      </c>
      <c r="P277" s="156"/>
      <c r="Q277" s="13" t="s">
        <v>44</v>
      </c>
      <c r="R277" s="13" t="s">
        <v>46</v>
      </c>
      <c r="S277" s="13"/>
      <c r="T277" s="155"/>
      <c r="U277" s="13"/>
      <c r="V277" s="156">
        <v>0.0</v>
      </c>
    </row>
    <row r="278">
      <c r="A278" s="13">
        <v>277.0</v>
      </c>
      <c r="B278" s="125">
        <v>46155.0</v>
      </c>
      <c r="C278" s="13" t="s">
        <v>21</v>
      </c>
      <c r="D278" s="13" t="s">
        <v>24</v>
      </c>
      <c r="E278" s="20" t="s">
        <v>4653</v>
      </c>
      <c r="F278" s="12">
        <v>5.0368267E8</v>
      </c>
      <c r="G278" s="13" t="s">
        <v>27</v>
      </c>
      <c r="H278" s="13" t="s">
        <v>27</v>
      </c>
      <c r="I278" s="249" t="s">
        <v>4654</v>
      </c>
      <c r="J278" s="20"/>
      <c r="K278" s="13" t="s">
        <v>62</v>
      </c>
      <c r="L278" s="155"/>
      <c r="M278" s="27" t="s">
        <v>38</v>
      </c>
      <c r="N278" s="13" t="s">
        <v>40</v>
      </c>
      <c r="O278" s="13" t="s">
        <v>42</v>
      </c>
      <c r="P278" s="156"/>
      <c r="Q278" s="13" t="s">
        <v>44</v>
      </c>
      <c r="R278" s="13" t="s">
        <v>46</v>
      </c>
      <c r="S278" s="13"/>
      <c r="T278" s="155"/>
      <c r="U278" s="13"/>
      <c r="V278" s="156">
        <v>0.0</v>
      </c>
    </row>
    <row r="279">
      <c r="A279" s="13">
        <v>278.0</v>
      </c>
      <c r="B279" s="125">
        <v>46155.0</v>
      </c>
      <c r="C279" s="13" t="s">
        <v>58</v>
      </c>
      <c r="D279" s="13" t="s">
        <v>60</v>
      </c>
      <c r="E279" s="20" t="s">
        <v>4660</v>
      </c>
      <c r="F279" s="12">
        <v>5.66640247E8</v>
      </c>
      <c r="G279" s="13" t="s">
        <v>27</v>
      </c>
      <c r="H279" s="13" t="s">
        <v>27</v>
      </c>
      <c r="I279" s="249" t="s">
        <v>4661</v>
      </c>
      <c r="J279" s="20"/>
      <c r="K279" s="13" t="s">
        <v>62</v>
      </c>
      <c r="L279" s="155"/>
      <c r="M279" s="27" t="s">
        <v>88</v>
      </c>
      <c r="N279" s="13" t="s">
        <v>40</v>
      </c>
      <c r="O279" s="13" t="s">
        <v>42</v>
      </c>
      <c r="P279" s="156"/>
      <c r="Q279" s="13" t="s">
        <v>44</v>
      </c>
      <c r="R279" s="13" t="s">
        <v>46</v>
      </c>
      <c r="S279" s="13"/>
      <c r="T279" s="155"/>
      <c r="U279" s="13"/>
      <c r="V279" s="156">
        <v>0.0</v>
      </c>
    </row>
    <row r="280">
      <c r="A280" s="13">
        <v>279.0</v>
      </c>
      <c r="B280" s="125">
        <v>46155.0</v>
      </c>
      <c r="C280" s="13" t="s">
        <v>21</v>
      </c>
      <c r="D280" s="13" t="s">
        <v>22</v>
      </c>
      <c r="E280" s="20" t="s">
        <v>4664</v>
      </c>
      <c r="F280" s="12">
        <v>5.34868332E8</v>
      </c>
      <c r="G280" s="13" t="s">
        <v>27</v>
      </c>
      <c r="H280" s="13" t="s">
        <v>27</v>
      </c>
      <c r="I280" s="249" t="s">
        <v>4666</v>
      </c>
      <c r="J280" s="20"/>
      <c r="K280" s="13" t="s">
        <v>62</v>
      </c>
      <c r="L280" s="155"/>
      <c r="M280" s="27" t="s">
        <v>38</v>
      </c>
      <c r="N280" s="13" t="s">
        <v>40</v>
      </c>
      <c r="O280" s="13" t="s">
        <v>42</v>
      </c>
      <c r="P280" s="156"/>
      <c r="Q280" s="13" t="s">
        <v>44</v>
      </c>
      <c r="R280" s="13" t="s">
        <v>46</v>
      </c>
      <c r="S280" s="13"/>
      <c r="T280" s="155"/>
      <c r="U280" s="13"/>
      <c r="V280" s="156">
        <v>0.0</v>
      </c>
    </row>
    <row r="281">
      <c r="A281" s="13">
        <v>280.0</v>
      </c>
      <c r="B281" s="125">
        <v>46155.0</v>
      </c>
      <c r="C281" s="13" t="s">
        <v>21</v>
      </c>
      <c r="D281" s="13" t="s">
        <v>24</v>
      </c>
      <c r="E281" s="13" t="s">
        <v>27</v>
      </c>
      <c r="F281" s="12">
        <v>5.35306042E8</v>
      </c>
      <c r="G281" s="13" t="s">
        <v>27</v>
      </c>
      <c r="H281" s="13" t="s">
        <v>27</v>
      </c>
      <c r="I281" s="249" t="s">
        <v>4669</v>
      </c>
      <c r="J281" s="20"/>
      <c r="K281" s="13" t="s">
        <v>62</v>
      </c>
      <c r="L281" s="155"/>
      <c r="M281" s="27" t="s">
        <v>38</v>
      </c>
      <c r="N281" s="13" t="s">
        <v>40</v>
      </c>
      <c r="O281" s="13" t="s">
        <v>42</v>
      </c>
      <c r="P281" s="156"/>
      <c r="Q281" s="13" t="s">
        <v>44</v>
      </c>
      <c r="R281" s="13" t="s">
        <v>46</v>
      </c>
      <c r="S281" s="13"/>
      <c r="T281" s="155"/>
      <c r="U281" s="13"/>
      <c r="V281" s="156">
        <v>0.0</v>
      </c>
    </row>
    <row r="282">
      <c r="A282" s="13">
        <v>281.0</v>
      </c>
      <c r="B282" s="125">
        <v>46155.0</v>
      </c>
      <c r="C282" s="13" t="s">
        <v>21</v>
      </c>
      <c r="D282" s="13" t="s">
        <v>24</v>
      </c>
      <c r="E282" s="13" t="s">
        <v>27</v>
      </c>
      <c r="F282" s="12">
        <v>5.32728427E8</v>
      </c>
      <c r="G282" s="13" t="s">
        <v>27</v>
      </c>
      <c r="H282" s="13" t="s">
        <v>27</v>
      </c>
      <c r="I282" s="249" t="s">
        <v>4675</v>
      </c>
      <c r="J282" s="20"/>
      <c r="K282" s="13" t="s">
        <v>62</v>
      </c>
      <c r="L282" s="155"/>
      <c r="M282" s="27" t="s">
        <v>38</v>
      </c>
      <c r="N282" s="13" t="s">
        <v>40</v>
      </c>
      <c r="O282" s="13" t="s">
        <v>42</v>
      </c>
      <c r="P282" s="156"/>
      <c r="Q282" s="13" t="s">
        <v>44</v>
      </c>
      <c r="R282" s="13" t="s">
        <v>46</v>
      </c>
      <c r="S282" s="13"/>
      <c r="T282" s="155"/>
      <c r="U282" s="13"/>
      <c r="V282" s="156">
        <v>0.0</v>
      </c>
    </row>
    <row r="283">
      <c r="A283" s="13">
        <v>282.0</v>
      </c>
      <c r="B283" s="125">
        <v>46155.0</v>
      </c>
      <c r="C283" s="13" t="s">
        <v>21</v>
      </c>
      <c r="D283" s="13" t="s">
        <v>24</v>
      </c>
      <c r="E283" s="20" t="s">
        <v>4676</v>
      </c>
      <c r="F283" s="12">
        <v>5.41696099E8</v>
      </c>
      <c r="G283" s="275" t="s">
        <v>152</v>
      </c>
      <c r="H283" s="13" t="s">
        <v>27</v>
      </c>
      <c r="I283" s="249" t="s">
        <v>4681</v>
      </c>
      <c r="J283" s="20"/>
      <c r="K283" s="13" t="s">
        <v>36</v>
      </c>
      <c r="L283" s="155"/>
      <c r="M283" s="27" t="s">
        <v>38</v>
      </c>
      <c r="N283" s="13" t="s">
        <v>40</v>
      </c>
      <c r="O283" s="13" t="s">
        <v>42</v>
      </c>
      <c r="P283" s="156"/>
      <c r="Q283" s="13" t="s">
        <v>44</v>
      </c>
      <c r="R283" s="13" t="s">
        <v>46</v>
      </c>
      <c r="S283" s="13"/>
      <c r="T283" s="155"/>
      <c r="U283" s="13"/>
      <c r="V283" s="156">
        <v>0.0</v>
      </c>
    </row>
    <row r="284">
      <c r="A284" s="13">
        <v>283.0</v>
      </c>
      <c r="B284" s="125">
        <v>46155.0</v>
      </c>
      <c r="C284" s="13" t="s">
        <v>58</v>
      </c>
      <c r="D284" s="13" t="s">
        <v>60</v>
      </c>
      <c r="E284" s="13" t="s">
        <v>27</v>
      </c>
      <c r="F284" s="12">
        <v>5.44505946E8</v>
      </c>
      <c r="G284" s="276" t="s">
        <v>27</v>
      </c>
      <c r="H284" s="13" t="s">
        <v>27</v>
      </c>
      <c r="I284" s="249" t="s">
        <v>4687</v>
      </c>
      <c r="J284" s="20"/>
      <c r="K284" s="13" t="s">
        <v>36</v>
      </c>
      <c r="L284" s="155"/>
      <c r="M284" s="27" t="s">
        <v>88</v>
      </c>
      <c r="N284" s="13" t="s">
        <v>40</v>
      </c>
      <c r="O284" s="13" t="s">
        <v>42</v>
      </c>
      <c r="P284" s="156"/>
      <c r="Q284" s="13" t="s">
        <v>863</v>
      </c>
      <c r="R284" s="13" t="s">
        <v>46</v>
      </c>
      <c r="S284" s="13"/>
      <c r="T284" s="155"/>
      <c r="U284" s="13"/>
      <c r="V284" s="156">
        <v>0.0</v>
      </c>
    </row>
    <row r="285">
      <c r="A285" s="13">
        <v>284.0</v>
      </c>
      <c r="B285" s="125">
        <v>46155.0</v>
      </c>
      <c r="C285" s="13" t="s">
        <v>58</v>
      </c>
      <c r="D285" s="13" t="s">
        <v>60</v>
      </c>
      <c r="E285" s="13" t="s">
        <v>27</v>
      </c>
      <c r="F285" s="12">
        <v>5.94997553E8</v>
      </c>
      <c r="G285" s="282" t="s">
        <v>27</v>
      </c>
      <c r="H285" s="13" t="s">
        <v>27</v>
      </c>
      <c r="I285" s="249" t="s">
        <v>4691</v>
      </c>
      <c r="J285" s="20"/>
      <c r="K285" s="13" t="s">
        <v>36</v>
      </c>
      <c r="L285" s="155"/>
      <c r="M285" s="27" t="s">
        <v>88</v>
      </c>
      <c r="N285" s="13" t="s">
        <v>40</v>
      </c>
      <c r="O285" s="13" t="s">
        <v>42</v>
      </c>
      <c r="P285" s="156"/>
      <c r="Q285" s="13" t="s">
        <v>863</v>
      </c>
      <c r="R285" s="13" t="s">
        <v>46</v>
      </c>
      <c r="S285" s="13"/>
      <c r="T285" s="155"/>
      <c r="U285" s="13"/>
      <c r="V285" s="156">
        <v>0.0</v>
      </c>
    </row>
    <row r="286">
      <c r="A286" s="13">
        <v>285.0</v>
      </c>
      <c r="B286" s="125">
        <v>46155.0</v>
      </c>
      <c r="C286" s="13" t="s">
        <v>58</v>
      </c>
      <c r="D286" s="13" t="s">
        <v>60</v>
      </c>
      <c r="E286" s="13" t="s">
        <v>27</v>
      </c>
      <c r="F286" s="12">
        <v>5.91759867E8</v>
      </c>
      <c r="G286" s="276" t="s">
        <v>27</v>
      </c>
      <c r="H286" s="13" t="s">
        <v>27</v>
      </c>
      <c r="I286" s="249" t="s">
        <v>4597</v>
      </c>
      <c r="J286" s="20"/>
      <c r="K286" s="13" t="s">
        <v>36</v>
      </c>
      <c r="L286" s="155"/>
      <c r="M286" s="27" t="s">
        <v>88</v>
      </c>
      <c r="N286" s="13" t="s">
        <v>40</v>
      </c>
      <c r="O286" s="13" t="s">
        <v>42</v>
      </c>
      <c r="P286" s="156"/>
      <c r="Q286" s="13" t="s">
        <v>863</v>
      </c>
      <c r="R286" s="13" t="s">
        <v>46</v>
      </c>
      <c r="S286" s="13"/>
      <c r="T286" s="155"/>
      <c r="U286" s="13"/>
      <c r="V286" s="156"/>
    </row>
    <row r="287" ht="43.5" customHeight="1">
      <c r="A287" s="13">
        <v>286.0</v>
      </c>
      <c r="B287" s="125">
        <v>46156.0</v>
      </c>
      <c r="C287" s="13" t="s">
        <v>47</v>
      </c>
      <c r="D287" s="13" t="s">
        <v>92</v>
      </c>
      <c r="E287" s="20" t="s">
        <v>4697</v>
      </c>
      <c r="F287" s="12">
        <v>5.52828272E8</v>
      </c>
      <c r="G287" s="275" t="s">
        <v>2174</v>
      </c>
      <c r="H287" s="13" t="s">
        <v>1150</v>
      </c>
      <c r="I287" s="249" t="s">
        <v>4699</v>
      </c>
      <c r="J287" s="20"/>
      <c r="K287" s="13" t="s">
        <v>36</v>
      </c>
      <c r="L287" s="155">
        <v>0.3958333333333333</v>
      </c>
      <c r="M287" s="27" t="s">
        <v>4703</v>
      </c>
      <c r="N287" s="13" t="s">
        <v>40</v>
      </c>
      <c r="O287" s="13" t="s">
        <v>42</v>
      </c>
      <c r="P287" s="156"/>
      <c r="Q287" s="13" t="s">
        <v>863</v>
      </c>
      <c r="R287" s="13" t="s">
        <v>46</v>
      </c>
      <c r="S287" s="20" t="s">
        <v>2632</v>
      </c>
      <c r="T287" s="155">
        <v>0.4583333333333333</v>
      </c>
      <c r="U287" s="13" t="s">
        <v>49</v>
      </c>
      <c r="V287" s="156">
        <v>0.0</v>
      </c>
    </row>
    <row r="288" ht="58.5" customHeight="1">
      <c r="A288" s="13">
        <v>287.0</v>
      </c>
      <c r="B288" s="125">
        <v>46156.0</v>
      </c>
      <c r="C288" s="13" t="s">
        <v>47</v>
      </c>
      <c r="D288" s="13" t="s">
        <v>92</v>
      </c>
      <c r="E288" s="20" t="s">
        <v>4705</v>
      </c>
      <c r="F288" s="12">
        <v>5.55528005E8</v>
      </c>
      <c r="G288" s="290" t="s">
        <v>2174</v>
      </c>
      <c r="H288" s="13" t="s">
        <v>1150</v>
      </c>
      <c r="I288" s="249" t="s">
        <v>4708</v>
      </c>
      <c r="J288" s="20" t="s">
        <v>4709</v>
      </c>
      <c r="K288" s="13" t="s">
        <v>36</v>
      </c>
      <c r="L288" s="155">
        <v>0.6840277777777778</v>
      </c>
      <c r="M288" s="27" t="s">
        <v>555</v>
      </c>
      <c r="N288" s="13" t="s">
        <v>56</v>
      </c>
      <c r="O288" s="13" t="s">
        <v>42</v>
      </c>
      <c r="P288" s="156"/>
      <c r="Q288" s="13" t="s">
        <v>863</v>
      </c>
      <c r="R288" s="13" t="s">
        <v>46</v>
      </c>
      <c r="S288" s="20" t="s">
        <v>2632</v>
      </c>
      <c r="T288" s="155">
        <v>0.6840277777777778</v>
      </c>
      <c r="U288" s="13" t="s">
        <v>863</v>
      </c>
      <c r="V288" s="156">
        <v>0.0</v>
      </c>
    </row>
    <row r="289">
      <c r="A289" s="13">
        <v>288.0</v>
      </c>
      <c r="B289" s="125">
        <v>46156.0</v>
      </c>
      <c r="C289" s="13" t="s">
        <v>58</v>
      </c>
      <c r="D289" s="13" t="s">
        <v>60</v>
      </c>
      <c r="E289" s="13" t="s">
        <v>27</v>
      </c>
      <c r="F289" s="12">
        <v>5.10624122E8</v>
      </c>
      <c r="G289" s="282" t="s">
        <v>27</v>
      </c>
      <c r="H289" s="13" t="s">
        <v>27</v>
      </c>
      <c r="I289" s="249" t="s">
        <v>4713</v>
      </c>
      <c r="J289" s="20"/>
      <c r="K289" s="13" t="s">
        <v>36</v>
      </c>
      <c r="L289" s="155"/>
      <c r="M289" s="27" t="s">
        <v>88</v>
      </c>
      <c r="N289" s="13" t="s">
        <v>40</v>
      </c>
      <c r="O289" s="13" t="s">
        <v>42</v>
      </c>
      <c r="P289" s="156"/>
      <c r="Q289" s="13" t="s">
        <v>863</v>
      </c>
      <c r="R289" s="13"/>
      <c r="S289" s="13"/>
      <c r="T289" s="155"/>
      <c r="U289" s="13"/>
      <c r="V289" s="156">
        <v>0.0</v>
      </c>
    </row>
    <row r="290">
      <c r="A290" s="13">
        <v>289.0</v>
      </c>
      <c r="B290" s="125">
        <v>46156.0</v>
      </c>
      <c r="C290" s="13" t="s">
        <v>21</v>
      </c>
      <c r="D290" s="13" t="s">
        <v>24</v>
      </c>
      <c r="E290" s="20" t="s">
        <v>4718</v>
      </c>
      <c r="F290" s="12">
        <v>5.46899841E8</v>
      </c>
      <c r="G290" s="275" t="s">
        <v>1452</v>
      </c>
      <c r="H290" s="20"/>
      <c r="I290" s="249" t="s">
        <v>4720</v>
      </c>
      <c r="J290" s="20"/>
      <c r="K290" s="13" t="s">
        <v>36</v>
      </c>
      <c r="L290" s="155"/>
      <c r="M290" s="27" t="s">
        <v>38</v>
      </c>
      <c r="N290" s="13" t="s">
        <v>40</v>
      </c>
      <c r="O290" s="13" t="s">
        <v>42</v>
      </c>
      <c r="P290" s="156"/>
      <c r="Q290" s="13" t="s">
        <v>863</v>
      </c>
      <c r="R290" s="13" t="s">
        <v>46</v>
      </c>
      <c r="S290" s="13"/>
      <c r="T290" s="155"/>
      <c r="U290" s="13"/>
      <c r="V290" s="156">
        <v>0.0</v>
      </c>
    </row>
    <row r="291" ht="24.75" customHeight="1">
      <c r="A291" s="13">
        <v>290.0</v>
      </c>
      <c r="B291" s="125">
        <v>46156.0</v>
      </c>
      <c r="C291" s="13" t="s">
        <v>58</v>
      </c>
      <c r="D291" s="13" t="s">
        <v>60</v>
      </c>
      <c r="E291" s="13" t="s">
        <v>27</v>
      </c>
      <c r="F291" s="12">
        <v>5.0570142E8</v>
      </c>
      <c r="G291" s="282" t="s">
        <v>27</v>
      </c>
      <c r="H291" s="13" t="s">
        <v>783</v>
      </c>
      <c r="I291" s="249" t="s">
        <v>4724</v>
      </c>
      <c r="J291" s="102" t="s">
        <v>1207</v>
      </c>
      <c r="K291" s="13" t="s">
        <v>36</v>
      </c>
      <c r="L291" s="155"/>
      <c r="M291" s="27" t="s">
        <v>88</v>
      </c>
      <c r="N291" s="13" t="s">
        <v>56</v>
      </c>
      <c r="O291" s="13" t="s">
        <v>42</v>
      </c>
      <c r="P291" s="156"/>
      <c r="Q291" s="13" t="s">
        <v>863</v>
      </c>
      <c r="R291" s="13"/>
      <c r="S291" s="13"/>
      <c r="T291" s="155"/>
      <c r="U291" s="13"/>
      <c r="V291" s="156">
        <v>0.0</v>
      </c>
    </row>
    <row r="292" ht="39.0" customHeight="1">
      <c r="A292" s="13">
        <v>291.0</v>
      </c>
      <c r="B292" s="125">
        <v>46156.0</v>
      </c>
      <c r="C292" s="13" t="s">
        <v>58</v>
      </c>
      <c r="D292" s="13" t="s">
        <v>60</v>
      </c>
      <c r="E292" s="20" t="s">
        <v>4729</v>
      </c>
      <c r="F292" s="12">
        <v>5.98078504E8</v>
      </c>
      <c r="G292" s="290" t="s">
        <v>120</v>
      </c>
      <c r="H292" s="13" t="s">
        <v>272</v>
      </c>
      <c r="I292" s="249" t="s">
        <v>4733</v>
      </c>
      <c r="J292" s="20"/>
      <c r="K292" s="13" t="s">
        <v>36</v>
      </c>
      <c r="L292" s="155"/>
      <c r="M292" s="27" t="s">
        <v>88</v>
      </c>
      <c r="N292" s="13" t="s">
        <v>40</v>
      </c>
      <c r="O292" s="13" t="s">
        <v>42</v>
      </c>
      <c r="P292" s="156"/>
      <c r="Q292" s="13" t="s">
        <v>863</v>
      </c>
      <c r="R292" s="13"/>
      <c r="S292" s="13"/>
      <c r="T292" s="155"/>
      <c r="U292" s="13"/>
      <c r="V292" s="156">
        <v>0.0</v>
      </c>
    </row>
    <row r="293" ht="45.75" customHeight="1">
      <c r="A293" s="13">
        <v>292.0</v>
      </c>
      <c r="B293" s="125">
        <v>46156.0</v>
      </c>
      <c r="C293" s="13" t="s">
        <v>21</v>
      </c>
      <c r="D293" s="13" t="s">
        <v>22</v>
      </c>
      <c r="E293" s="20" t="s">
        <v>4737</v>
      </c>
      <c r="F293" s="12">
        <v>5.69152449E8</v>
      </c>
      <c r="G293" s="275" t="s">
        <v>120</v>
      </c>
      <c r="H293" s="20"/>
      <c r="I293" s="112" t="s">
        <v>4739</v>
      </c>
      <c r="J293" s="20"/>
      <c r="K293" s="13" t="s">
        <v>36</v>
      </c>
      <c r="L293" s="155"/>
      <c r="M293" s="27" t="s">
        <v>38</v>
      </c>
      <c r="N293" s="13" t="s">
        <v>40</v>
      </c>
      <c r="O293" s="13" t="s">
        <v>42</v>
      </c>
      <c r="P293" s="156"/>
      <c r="Q293" s="13" t="s">
        <v>863</v>
      </c>
      <c r="R293" s="13" t="s">
        <v>46</v>
      </c>
      <c r="S293" s="13"/>
      <c r="T293" s="155"/>
      <c r="U293" s="13" t="s">
        <v>863</v>
      </c>
      <c r="V293" s="156">
        <v>0.0</v>
      </c>
    </row>
    <row r="294">
      <c r="A294" s="13">
        <v>293.0</v>
      </c>
      <c r="B294" s="125">
        <v>46156.0</v>
      </c>
      <c r="C294" s="13" t="s">
        <v>58</v>
      </c>
      <c r="D294" s="13" t="s">
        <v>60</v>
      </c>
      <c r="E294" s="13" t="s">
        <v>27</v>
      </c>
      <c r="F294" s="12">
        <v>5.55505656E8</v>
      </c>
      <c r="G294" s="276" t="s">
        <v>4747</v>
      </c>
      <c r="H294" s="20"/>
      <c r="I294" s="249" t="s">
        <v>4748</v>
      </c>
      <c r="J294" s="20" t="s">
        <v>1207</v>
      </c>
      <c r="K294" s="13" t="s">
        <v>36</v>
      </c>
      <c r="L294" s="155"/>
      <c r="M294" s="27" t="s">
        <v>88</v>
      </c>
      <c r="N294" s="13" t="s">
        <v>40</v>
      </c>
      <c r="O294" s="13" t="s">
        <v>42</v>
      </c>
      <c r="P294" s="156"/>
      <c r="Q294" s="13" t="s">
        <v>49</v>
      </c>
      <c r="R294" s="13"/>
      <c r="S294" s="13"/>
      <c r="T294" s="155"/>
      <c r="U294" s="13"/>
      <c r="V294" s="156">
        <v>0.0</v>
      </c>
    </row>
    <row r="295">
      <c r="A295" s="13">
        <v>294.0</v>
      </c>
      <c r="B295" s="125">
        <v>46156.0</v>
      </c>
      <c r="C295" s="13" t="s">
        <v>58</v>
      </c>
      <c r="D295" s="13" t="s">
        <v>60</v>
      </c>
      <c r="E295" s="13" t="s">
        <v>4751</v>
      </c>
      <c r="F295" s="12" t="s">
        <v>27</v>
      </c>
      <c r="G295" s="282" t="s">
        <v>27</v>
      </c>
      <c r="H295" s="13" t="s">
        <v>193</v>
      </c>
      <c r="I295" s="249" t="s">
        <v>4752</v>
      </c>
      <c r="J295" s="20"/>
      <c r="K295" s="13" t="s">
        <v>78</v>
      </c>
      <c r="L295" s="155"/>
      <c r="M295" s="27" t="s">
        <v>88</v>
      </c>
      <c r="N295" s="13" t="s">
        <v>40</v>
      </c>
      <c r="O295" s="13" t="s">
        <v>42</v>
      </c>
      <c r="P295" s="156"/>
      <c r="Q295" s="13" t="s">
        <v>863</v>
      </c>
      <c r="R295" s="13"/>
      <c r="S295" s="13"/>
      <c r="T295" s="155"/>
      <c r="U295" s="13"/>
      <c r="V295" s="156">
        <v>0.0</v>
      </c>
    </row>
    <row r="296">
      <c r="A296" s="13">
        <v>295.0</v>
      </c>
      <c r="B296" s="125">
        <v>46156.0</v>
      </c>
      <c r="C296" s="13" t="s">
        <v>58</v>
      </c>
      <c r="D296" s="13" t="s">
        <v>60</v>
      </c>
      <c r="E296" s="20" t="s">
        <v>4757</v>
      </c>
      <c r="F296" s="12">
        <v>5.62118509E8</v>
      </c>
      <c r="G296" s="276" t="s">
        <v>27</v>
      </c>
      <c r="H296" s="13" t="s">
        <v>27</v>
      </c>
      <c r="I296" s="249" t="s">
        <v>124</v>
      </c>
      <c r="J296" s="20"/>
      <c r="K296" s="13" t="s">
        <v>62</v>
      </c>
      <c r="L296" s="155"/>
      <c r="M296" s="27" t="s">
        <v>38</v>
      </c>
      <c r="N296" s="13" t="s">
        <v>40</v>
      </c>
      <c r="O296" s="13" t="s">
        <v>42</v>
      </c>
      <c r="P296" s="156"/>
      <c r="Q296" s="13" t="s">
        <v>44</v>
      </c>
      <c r="R296" s="13"/>
      <c r="S296" s="13"/>
      <c r="T296" s="155"/>
      <c r="U296" s="13"/>
      <c r="V296" s="156">
        <v>0.0</v>
      </c>
    </row>
    <row r="297">
      <c r="A297" s="13">
        <v>296.0</v>
      </c>
      <c r="B297" s="125">
        <v>46156.0</v>
      </c>
      <c r="C297" s="13" t="s">
        <v>58</v>
      </c>
      <c r="D297" s="13" t="s">
        <v>60</v>
      </c>
      <c r="E297" s="20" t="s">
        <v>4265</v>
      </c>
      <c r="F297" s="12">
        <v>5.46029953E8</v>
      </c>
      <c r="G297" s="20" t="s">
        <v>79</v>
      </c>
      <c r="H297" s="13" t="s">
        <v>638</v>
      </c>
      <c r="I297" s="249" t="s">
        <v>4761</v>
      </c>
      <c r="J297" s="20" t="s">
        <v>4763</v>
      </c>
      <c r="K297" s="13" t="s">
        <v>62</v>
      </c>
      <c r="L297" s="155"/>
      <c r="M297" s="27" t="s">
        <v>88</v>
      </c>
      <c r="N297" s="13" t="s">
        <v>56</v>
      </c>
      <c r="O297" s="13" t="s">
        <v>42</v>
      </c>
      <c r="P297" s="156"/>
      <c r="Q297" s="13" t="s">
        <v>44</v>
      </c>
      <c r="R297" s="13"/>
      <c r="S297" s="20" t="s">
        <v>2710</v>
      </c>
      <c r="T297" s="155"/>
      <c r="U297" s="13" t="s">
        <v>44</v>
      </c>
      <c r="V297" s="156">
        <v>0.0</v>
      </c>
    </row>
    <row r="298">
      <c r="A298" s="13">
        <v>297.0</v>
      </c>
      <c r="B298" s="125">
        <v>46156.0</v>
      </c>
      <c r="C298" s="13" t="s">
        <v>58</v>
      </c>
      <c r="D298" s="13" t="s">
        <v>60</v>
      </c>
      <c r="E298" s="13" t="s">
        <v>27</v>
      </c>
      <c r="F298" s="12">
        <v>5.435352E8</v>
      </c>
      <c r="G298" s="276" t="s">
        <v>27</v>
      </c>
      <c r="H298" s="13" t="s">
        <v>27</v>
      </c>
      <c r="I298" s="249" t="s">
        <v>124</v>
      </c>
      <c r="J298" s="20"/>
      <c r="K298" s="13" t="s">
        <v>62</v>
      </c>
      <c r="L298" s="155"/>
      <c r="M298" s="27" t="s">
        <v>38</v>
      </c>
      <c r="N298" s="13" t="s">
        <v>40</v>
      </c>
      <c r="O298" s="13" t="s">
        <v>42</v>
      </c>
      <c r="P298" s="156"/>
      <c r="Q298" s="13" t="s">
        <v>44</v>
      </c>
      <c r="R298" s="13"/>
      <c r="S298" s="13"/>
      <c r="T298" s="155"/>
      <c r="U298" s="13"/>
      <c r="V298" s="156">
        <v>0.0</v>
      </c>
    </row>
    <row r="299">
      <c r="A299" s="13">
        <v>298.0</v>
      </c>
      <c r="B299" s="125">
        <v>46156.0</v>
      </c>
      <c r="C299" s="13" t="s">
        <v>47</v>
      </c>
      <c r="D299" s="13" t="s">
        <v>367</v>
      </c>
      <c r="E299" s="20" t="s">
        <v>4772</v>
      </c>
      <c r="F299" s="12">
        <v>5.65557625E8</v>
      </c>
      <c r="G299" s="275" t="s">
        <v>79</v>
      </c>
      <c r="H299" s="13" t="s">
        <v>431</v>
      </c>
      <c r="I299" s="249" t="s">
        <v>4775</v>
      </c>
      <c r="J299" s="20" t="s">
        <v>4776</v>
      </c>
      <c r="K299" s="13" t="s">
        <v>62</v>
      </c>
      <c r="L299" s="155"/>
      <c r="M299" s="27" t="s">
        <v>55</v>
      </c>
      <c r="N299" s="13" t="s">
        <v>56</v>
      </c>
      <c r="O299" s="13" t="s">
        <v>42</v>
      </c>
      <c r="P299" s="156"/>
      <c r="Q299" s="13" t="s">
        <v>44</v>
      </c>
      <c r="R299" s="13" t="s">
        <v>46</v>
      </c>
      <c r="S299" s="13"/>
      <c r="T299" s="155"/>
      <c r="U299" s="13" t="s">
        <v>44</v>
      </c>
      <c r="V299" s="156">
        <v>0.0</v>
      </c>
    </row>
    <row r="300">
      <c r="A300" s="13">
        <v>299.0</v>
      </c>
      <c r="B300" s="125">
        <v>46156.0</v>
      </c>
      <c r="C300" s="13" t="s">
        <v>58</v>
      </c>
      <c r="D300" s="13" t="s">
        <v>34</v>
      </c>
      <c r="E300" s="13" t="s">
        <v>27</v>
      </c>
      <c r="F300" s="12">
        <v>5.96813545E8</v>
      </c>
      <c r="G300" s="276" t="s">
        <v>27</v>
      </c>
      <c r="H300" s="13" t="s">
        <v>27</v>
      </c>
      <c r="I300" s="249" t="s">
        <v>4784</v>
      </c>
      <c r="J300" s="20" t="s">
        <v>2806</v>
      </c>
      <c r="K300" s="13" t="s">
        <v>62</v>
      </c>
      <c r="L300" s="155"/>
      <c r="M300" s="27" t="s">
        <v>88</v>
      </c>
      <c r="N300" s="13" t="s">
        <v>40</v>
      </c>
      <c r="O300" s="13" t="s">
        <v>42</v>
      </c>
      <c r="P300" s="156"/>
      <c r="Q300" s="13" t="s">
        <v>44</v>
      </c>
      <c r="R300" s="13"/>
      <c r="S300" s="13"/>
      <c r="T300" s="155"/>
      <c r="U300" s="13" t="s">
        <v>44</v>
      </c>
      <c r="V300" s="156">
        <v>0.0</v>
      </c>
    </row>
    <row r="301">
      <c r="A301" s="13">
        <v>300.0</v>
      </c>
      <c r="B301" s="125">
        <v>46156.0</v>
      </c>
      <c r="C301" s="13" t="s">
        <v>21</v>
      </c>
      <c r="D301" s="13" t="s">
        <v>66</v>
      </c>
      <c r="E301" s="20" t="s">
        <v>4794</v>
      </c>
      <c r="F301" s="12">
        <v>5.49108228E8</v>
      </c>
      <c r="G301" s="282" t="s">
        <v>27</v>
      </c>
      <c r="H301" s="13" t="s">
        <v>27</v>
      </c>
      <c r="I301" s="249" t="s">
        <v>4797</v>
      </c>
      <c r="J301" s="20" t="s">
        <v>4799</v>
      </c>
      <c r="K301" s="13" t="s">
        <v>62</v>
      </c>
      <c r="L301" s="155"/>
      <c r="M301" s="27" t="s">
        <v>38</v>
      </c>
      <c r="N301" s="13" t="s">
        <v>56</v>
      </c>
      <c r="O301" s="13" t="s">
        <v>42</v>
      </c>
      <c r="P301" s="156"/>
      <c r="Q301" s="13" t="s">
        <v>44</v>
      </c>
      <c r="R301" s="13"/>
      <c r="S301" s="13"/>
      <c r="T301" s="155"/>
      <c r="U301" s="13"/>
      <c r="V301" s="156">
        <v>0.0</v>
      </c>
    </row>
    <row r="302">
      <c r="A302" s="13">
        <v>301.0</v>
      </c>
      <c r="B302" s="125">
        <v>46156.0</v>
      </c>
      <c r="C302" s="13" t="s">
        <v>21</v>
      </c>
      <c r="D302" s="13" t="s">
        <v>48</v>
      </c>
      <c r="E302" s="20" t="s">
        <v>4804</v>
      </c>
      <c r="F302" s="12">
        <v>5.65632373E8</v>
      </c>
      <c r="G302" s="290" t="s">
        <v>79</v>
      </c>
      <c r="H302" s="13" t="s">
        <v>431</v>
      </c>
      <c r="I302" s="249" t="s">
        <v>4806</v>
      </c>
      <c r="J302" s="20" t="s">
        <v>4809</v>
      </c>
      <c r="K302" s="13" t="s">
        <v>36</v>
      </c>
      <c r="L302" s="155"/>
      <c r="M302" s="27" t="s">
        <v>38</v>
      </c>
      <c r="N302" s="13" t="s">
        <v>56</v>
      </c>
      <c r="O302" s="13" t="s">
        <v>42</v>
      </c>
      <c r="P302" s="156"/>
      <c r="Q302" s="13" t="s">
        <v>44</v>
      </c>
      <c r="R302" s="13"/>
      <c r="S302" s="13"/>
      <c r="T302" s="155"/>
      <c r="U302" s="13"/>
      <c r="V302" s="156">
        <v>0.0</v>
      </c>
    </row>
    <row r="303">
      <c r="A303" s="13">
        <v>302.0</v>
      </c>
      <c r="B303" s="125">
        <v>46156.0</v>
      </c>
      <c r="C303" s="13" t="s">
        <v>58</v>
      </c>
      <c r="D303" s="13" t="s">
        <v>60</v>
      </c>
      <c r="E303" s="13" t="s">
        <v>27</v>
      </c>
      <c r="F303" s="12">
        <v>3.3791857E7</v>
      </c>
      <c r="G303" s="275" t="s">
        <v>4815</v>
      </c>
      <c r="H303" s="13" t="s">
        <v>27</v>
      </c>
      <c r="I303" s="249" t="s">
        <v>4817</v>
      </c>
      <c r="J303" s="20" t="s">
        <v>123</v>
      </c>
      <c r="K303" s="13" t="s">
        <v>36</v>
      </c>
      <c r="L303" s="155"/>
      <c r="M303" s="27" t="s">
        <v>88</v>
      </c>
      <c r="N303" s="13" t="s">
        <v>40</v>
      </c>
      <c r="O303" s="13" t="s">
        <v>42</v>
      </c>
      <c r="P303" s="156"/>
      <c r="Q303" s="13" t="s">
        <v>863</v>
      </c>
      <c r="R303" s="13"/>
      <c r="S303" s="13"/>
      <c r="T303" s="155"/>
      <c r="U303" s="13"/>
      <c r="V303" s="156">
        <v>0.0</v>
      </c>
    </row>
    <row r="304" ht="80.25" customHeight="1">
      <c r="A304" s="13">
        <v>303.0</v>
      </c>
      <c r="B304" s="125">
        <v>46156.0</v>
      </c>
      <c r="C304" s="13" t="s">
        <v>47</v>
      </c>
      <c r="D304" s="13" t="s">
        <v>92</v>
      </c>
      <c r="E304" s="20" t="s">
        <v>4819</v>
      </c>
      <c r="F304" s="12">
        <v>5.7154146E7</v>
      </c>
      <c r="G304" s="20" t="s">
        <v>71</v>
      </c>
      <c r="H304" s="13" t="s">
        <v>94</v>
      </c>
      <c r="I304" s="249" t="s">
        <v>4820</v>
      </c>
      <c r="J304" s="20"/>
      <c r="K304" s="13" t="s">
        <v>36</v>
      </c>
      <c r="L304" s="155">
        <v>0.6840277777777778</v>
      </c>
      <c r="M304" s="27" t="s">
        <v>55</v>
      </c>
      <c r="N304" s="13" t="s">
        <v>56</v>
      </c>
      <c r="O304" s="13" t="s">
        <v>42</v>
      </c>
      <c r="P304" s="156"/>
      <c r="Q304" s="13" t="s">
        <v>49</v>
      </c>
      <c r="R304" s="13" t="s">
        <v>46</v>
      </c>
      <c r="S304" s="20" t="s">
        <v>2632</v>
      </c>
      <c r="T304" s="155">
        <v>0.6840277777777778</v>
      </c>
      <c r="U304" s="13" t="s">
        <v>49</v>
      </c>
      <c r="V304" s="156">
        <v>0.0</v>
      </c>
    </row>
    <row r="305" ht="29.25" customHeight="1">
      <c r="A305" s="13">
        <v>304.0</v>
      </c>
      <c r="B305" s="125">
        <v>46156.0</v>
      </c>
      <c r="C305" s="13" t="s">
        <v>58</v>
      </c>
      <c r="D305" s="13" t="s">
        <v>34</v>
      </c>
      <c r="E305" s="20" t="s">
        <v>4825</v>
      </c>
      <c r="F305" s="12">
        <v>5.96485191E8</v>
      </c>
      <c r="G305" s="282" t="s">
        <v>27</v>
      </c>
      <c r="H305" s="13" t="s">
        <v>27</v>
      </c>
      <c r="I305" s="249" t="s">
        <v>4826</v>
      </c>
      <c r="J305" s="20"/>
      <c r="K305" s="13" t="s">
        <v>36</v>
      </c>
      <c r="L305" s="155"/>
      <c r="M305" s="27" t="s">
        <v>88</v>
      </c>
      <c r="N305" s="13" t="s">
        <v>40</v>
      </c>
      <c r="O305" s="13" t="s">
        <v>42</v>
      </c>
      <c r="P305" s="156"/>
      <c r="Q305" s="13" t="s">
        <v>49</v>
      </c>
      <c r="R305" s="13"/>
      <c r="S305" s="13"/>
      <c r="T305" s="155"/>
      <c r="U305" s="13"/>
      <c r="V305" s="156">
        <v>0.0</v>
      </c>
    </row>
    <row r="306" ht="56.25" customHeight="1">
      <c r="A306" s="13">
        <v>305.0</v>
      </c>
      <c r="B306" s="125">
        <v>46156.0</v>
      </c>
      <c r="C306" s="13" t="s">
        <v>58</v>
      </c>
      <c r="D306" s="13" t="s">
        <v>60</v>
      </c>
      <c r="E306" s="13" t="s">
        <v>27</v>
      </c>
      <c r="F306" s="12">
        <v>5.30812656E8</v>
      </c>
      <c r="G306" s="282" t="s">
        <v>27</v>
      </c>
      <c r="H306" s="13" t="s">
        <v>27</v>
      </c>
      <c r="I306" s="249" t="s">
        <v>554</v>
      </c>
      <c r="J306" s="20"/>
      <c r="K306" s="13" t="s">
        <v>36</v>
      </c>
      <c r="L306" s="155"/>
      <c r="M306" s="27" t="s">
        <v>101</v>
      </c>
      <c r="N306" s="13" t="s">
        <v>56</v>
      </c>
      <c r="O306" s="13" t="s">
        <v>42</v>
      </c>
      <c r="P306" s="156"/>
      <c r="Q306" s="13" t="s">
        <v>863</v>
      </c>
      <c r="R306" s="13"/>
      <c r="S306" s="13"/>
      <c r="T306" s="155"/>
      <c r="U306" s="13"/>
      <c r="V306" s="156">
        <v>0.0</v>
      </c>
    </row>
    <row r="307">
      <c r="A307" s="13">
        <v>306.0</v>
      </c>
      <c r="B307" s="125">
        <v>46156.0</v>
      </c>
      <c r="C307" s="13" t="s">
        <v>21</v>
      </c>
      <c r="D307" s="13" t="s">
        <v>66</v>
      </c>
      <c r="E307" s="20" t="s">
        <v>4836</v>
      </c>
      <c r="F307" s="12">
        <v>5.35346244E8</v>
      </c>
      <c r="G307" s="275" t="s">
        <v>1332</v>
      </c>
      <c r="H307" s="13" t="s">
        <v>27</v>
      </c>
      <c r="I307" s="249" t="s">
        <v>4838</v>
      </c>
      <c r="J307" s="20"/>
      <c r="K307" s="13" t="s">
        <v>36</v>
      </c>
      <c r="L307" s="155"/>
      <c r="M307" s="27" t="s">
        <v>101</v>
      </c>
      <c r="N307" s="13" t="s">
        <v>40</v>
      </c>
      <c r="O307" s="13" t="s">
        <v>42</v>
      </c>
      <c r="P307" s="156"/>
      <c r="Q307" s="13" t="s">
        <v>863</v>
      </c>
      <c r="R307" s="13"/>
      <c r="S307" s="13"/>
      <c r="T307" s="155"/>
      <c r="U307" s="13"/>
      <c r="V307" s="156">
        <v>0.0</v>
      </c>
    </row>
    <row r="308">
      <c r="A308" s="13">
        <v>307.0</v>
      </c>
      <c r="B308" s="125">
        <v>46156.0</v>
      </c>
      <c r="C308" s="13" t="s">
        <v>21</v>
      </c>
      <c r="D308" s="13" t="s">
        <v>24</v>
      </c>
      <c r="E308" s="20" t="s">
        <v>4840</v>
      </c>
      <c r="F308" s="12">
        <v>5.04175137E8</v>
      </c>
      <c r="G308" s="290" t="s">
        <v>28</v>
      </c>
      <c r="H308" s="13" t="s">
        <v>27</v>
      </c>
      <c r="I308" s="249" t="s">
        <v>4842</v>
      </c>
      <c r="J308" s="20"/>
      <c r="K308" s="13" t="s">
        <v>62</v>
      </c>
      <c r="L308" s="155"/>
      <c r="M308" s="27" t="s">
        <v>1640</v>
      </c>
      <c r="N308" s="13" t="s">
        <v>40</v>
      </c>
      <c r="O308" s="13" t="s">
        <v>42</v>
      </c>
      <c r="P308" s="156"/>
      <c r="Q308" s="13" t="s">
        <v>44</v>
      </c>
      <c r="R308" s="13" t="s">
        <v>46</v>
      </c>
      <c r="S308" s="13"/>
      <c r="T308" s="155"/>
      <c r="U308" s="13"/>
      <c r="V308" s="156">
        <v>0.0</v>
      </c>
    </row>
    <row r="309">
      <c r="A309" s="13">
        <v>308.0</v>
      </c>
      <c r="B309" s="164">
        <v>46159.0</v>
      </c>
      <c r="C309" s="108" t="s">
        <v>47</v>
      </c>
      <c r="D309" s="127" t="s">
        <v>60</v>
      </c>
      <c r="E309" s="127" t="s">
        <v>4846</v>
      </c>
      <c r="F309" s="110" t="s">
        <v>27</v>
      </c>
      <c r="G309" s="127" t="s">
        <v>41</v>
      </c>
      <c r="H309" s="127" t="s">
        <v>4847</v>
      </c>
      <c r="I309" s="127" t="s">
        <v>4850</v>
      </c>
      <c r="J309" s="304"/>
      <c r="K309" s="127" t="s">
        <v>78</v>
      </c>
      <c r="L309" s="304"/>
      <c r="M309" s="27" t="s">
        <v>101</v>
      </c>
      <c r="N309" s="108" t="s">
        <v>40</v>
      </c>
      <c r="O309" s="108" t="s">
        <v>42</v>
      </c>
      <c r="P309" s="156"/>
      <c r="Q309" s="127" t="s">
        <v>49</v>
      </c>
      <c r="R309" s="140"/>
      <c r="S309" s="140"/>
      <c r="T309" s="304"/>
      <c r="U309" s="304"/>
      <c r="V309" s="127"/>
    </row>
    <row r="310">
      <c r="A310" s="13">
        <v>309.0</v>
      </c>
      <c r="B310" s="125">
        <v>46156.0</v>
      </c>
      <c r="C310" s="13" t="s">
        <v>47</v>
      </c>
      <c r="D310" s="13" t="s">
        <v>92</v>
      </c>
      <c r="E310" s="156" t="s">
        <v>4855</v>
      </c>
      <c r="F310" s="12">
        <v>5.69797807E8</v>
      </c>
      <c r="G310" s="20" t="s">
        <v>71</v>
      </c>
      <c r="H310" s="156" t="s">
        <v>94</v>
      </c>
      <c r="I310" s="130" t="s">
        <v>4857</v>
      </c>
      <c r="J310" s="125"/>
      <c r="K310" s="13" t="s">
        <v>62</v>
      </c>
      <c r="L310" s="159">
        <v>0.6597222222222222</v>
      </c>
      <c r="M310" s="162" t="s">
        <v>55</v>
      </c>
      <c r="N310" s="13" t="s">
        <v>40</v>
      </c>
      <c r="O310" s="13" t="s">
        <v>42</v>
      </c>
      <c r="P310" s="156"/>
      <c r="Q310" s="13" t="s">
        <v>44</v>
      </c>
      <c r="R310" s="13" t="s">
        <v>46</v>
      </c>
      <c r="S310" s="13"/>
      <c r="T310" s="159"/>
      <c r="U310" s="125"/>
      <c r="V310" s="156">
        <v>0.0</v>
      </c>
    </row>
    <row r="311">
      <c r="A311" s="13">
        <v>310.0</v>
      </c>
      <c r="B311" s="125">
        <v>46159.0</v>
      </c>
      <c r="C311" s="13" t="s">
        <v>47</v>
      </c>
      <c r="D311" s="13" t="s">
        <v>48</v>
      </c>
      <c r="E311" s="156" t="s">
        <v>4861</v>
      </c>
      <c r="F311" s="12" t="s">
        <v>27</v>
      </c>
      <c r="G311" s="130" t="s">
        <v>874</v>
      </c>
      <c r="H311" s="156" t="s">
        <v>876</v>
      </c>
      <c r="I311" s="130" t="s">
        <v>4863</v>
      </c>
      <c r="J311" s="125"/>
      <c r="K311" s="13" t="s">
        <v>78</v>
      </c>
      <c r="L311" s="125"/>
      <c r="M311" s="27" t="s">
        <v>795</v>
      </c>
      <c r="N311" s="13" t="s">
        <v>40</v>
      </c>
      <c r="O311" s="13" t="s">
        <v>42</v>
      </c>
      <c r="P311" s="156"/>
      <c r="Q311" s="13" t="s">
        <v>863</v>
      </c>
      <c r="R311" s="13" t="s">
        <v>46</v>
      </c>
      <c r="S311" s="13"/>
      <c r="T311" s="125"/>
      <c r="U311" s="125"/>
      <c r="V311" s="156"/>
    </row>
    <row r="312">
      <c r="A312" s="13">
        <v>311.0</v>
      </c>
      <c r="B312" s="164">
        <v>46159.0</v>
      </c>
      <c r="C312" s="13" t="s">
        <v>47</v>
      </c>
      <c r="D312" s="13" t="s">
        <v>92</v>
      </c>
      <c r="E312" s="130" t="s">
        <v>4871</v>
      </c>
      <c r="F312" s="12" t="s">
        <v>27</v>
      </c>
      <c r="G312" s="130" t="s">
        <v>76</v>
      </c>
      <c r="H312" s="156" t="s">
        <v>735</v>
      </c>
      <c r="I312" s="130" t="s">
        <v>4872</v>
      </c>
      <c r="J312" s="125"/>
      <c r="K312" s="13" t="s">
        <v>78</v>
      </c>
      <c r="L312" s="125"/>
      <c r="M312" s="27" t="s">
        <v>602</v>
      </c>
      <c r="N312" s="13" t="s">
        <v>40</v>
      </c>
      <c r="O312" s="13" t="s">
        <v>42</v>
      </c>
      <c r="P312" s="156"/>
      <c r="Q312" s="13" t="s">
        <v>863</v>
      </c>
      <c r="R312" s="13" t="s">
        <v>46</v>
      </c>
      <c r="S312" s="13"/>
      <c r="T312" s="125"/>
      <c r="U312" s="125"/>
      <c r="V312" s="156"/>
    </row>
    <row r="313">
      <c r="A313" s="13">
        <v>312.0</v>
      </c>
      <c r="B313" s="164">
        <v>46159.0</v>
      </c>
      <c r="C313" s="13" t="s">
        <v>47</v>
      </c>
      <c r="D313" s="13" t="s">
        <v>48</v>
      </c>
      <c r="E313" s="156" t="s">
        <v>4878</v>
      </c>
      <c r="F313" s="12" t="s">
        <v>27</v>
      </c>
      <c r="G313" s="166" t="s">
        <v>41</v>
      </c>
      <c r="H313" s="156" t="s">
        <v>956</v>
      </c>
      <c r="I313" s="130" t="s">
        <v>4879</v>
      </c>
      <c r="J313" s="130" t="s">
        <v>4880</v>
      </c>
      <c r="K313" s="13" t="s">
        <v>78</v>
      </c>
      <c r="L313" s="125"/>
      <c r="M313" s="27" t="s">
        <v>55</v>
      </c>
      <c r="N313" s="13" t="s">
        <v>56</v>
      </c>
      <c r="O313" s="13" t="s">
        <v>42</v>
      </c>
      <c r="P313" s="156"/>
      <c r="Q313" s="13" t="s">
        <v>863</v>
      </c>
      <c r="R313" s="13" t="s">
        <v>46</v>
      </c>
      <c r="S313" s="13"/>
      <c r="T313" s="125"/>
      <c r="U313" s="125"/>
      <c r="V313" s="156"/>
    </row>
    <row r="314">
      <c r="A314" s="13">
        <v>313.0</v>
      </c>
      <c r="B314" s="164">
        <v>46159.0</v>
      </c>
      <c r="C314" s="13" t="s">
        <v>47</v>
      </c>
      <c r="D314" s="13" t="s">
        <v>138</v>
      </c>
      <c r="E314" s="156" t="s">
        <v>4884</v>
      </c>
      <c r="F314" s="12" t="s">
        <v>27</v>
      </c>
      <c r="G314" s="130" t="s">
        <v>41</v>
      </c>
      <c r="H314" s="156" t="s">
        <v>146</v>
      </c>
      <c r="I314" s="130" t="s">
        <v>4885</v>
      </c>
      <c r="J314" s="125"/>
      <c r="K314" s="13" t="s">
        <v>78</v>
      </c>
      <c r="L314" s="125"/>
      <c r="M314" s="27" t="s">
        <v>323</v>
      </c>
      <c r="N314" s="13" t="s">
        <v>40</v>
      </c>
      <c r="O314" s="13" t="s">
        <v>42</v>
      </c>
      <c r="P314" s="156"/>
      <c r="Q314" s="13" t="s">
        <v>863</v>
      </c>
      <c r="R314" s="13" t="s">
        <v>46</v>
      </c>
      <c r="S314" s="13"/>
      <c r="T314" s="125"/>
      <c r="U314" s="125"/>
      <c r="V314" s="156"/>
    </row>
    <row r="315" ht="66.0" customHeight="1">
      <c r="A315" s="13">
        <v>314.0</v>
      </c>
      <c r="B315" s="164">
        <v>46159.0</v>
      </c>
      <c r="C315" s="13" t="s">
        <v>47</v>
      </c>
      <c r="D315" s="13" t="s">
        <v>48</v>
      </c>
      <c r="E315" s="156" t="s">
        <v>4888</v>
      </c>
      <c r="F315" s="12" t="s">
        <v>27</v>
      </c>
      <c r="G315" s="166" t="s">
        <v>41</v>
      </c>
      <c r="H315" s="156" t="s">
        <v>222</v>
      </c>
      <c r="I315" s="130" t="s">
        <v>4891</v>
      </c>
      <c r="J315" s="130" t="s">
        <v>2879</v>
      </c>
      <c r="K315" s="13" t="s">
        <v>78</v>
      </c>
      <c r="L315" s="125"/>
      <c r="M315" s="75" t="s">
        <v>555</v>
      </c>
      <c r="N315" s="13" t="s">
        <v>56</v>
      </c>
      <c r="O315" s="13" t="s">
        <v>42</v>
      </c>
      <c r="P315" s="156"/>
      <c r="Q315" s="13" t="s">
        <v>863</v>
      </c>
      <c r="R315" s="13" t="s">
        <v>46</v>
      </c>
      <c r="S315" s="13"/>
      <c r="T315" s="125"/>
      <c r="U315" s="125"/>
      <c r="V315" s="156"/>
    </row>
    <row r="316">
      <c r="A316" s="13">
        <v>315.0</v>
      </c>
      <c r="B316" s="164">
        <v>46159.0</v>
      </c>
      <c r="C316" s="13" t="s">
        <v>58</v>
      </c>
      <c r="D316" s="13" t="s">
        <v>60</v>
      </c>
      <c r="E316" s="156" t="s">
        <v>27</v>
      </c>
      <c r="F316" s="160">
        <v>5.0780837E8</v>
      </c>
      <c r="G316" s="156" t="s">
        <v>27</v>
      </c>
      <c r="H316" s="156" t="s">
        <v>27</v>
      </c>
      <c r="I316" s="130" t="s">
        <v>4894</v>
      </c>
      <c r="J316" s="125"/>
      <c r="K316" s="13" t="s">
        <v>62</v>
      </c>
      <c r="L316" s="125"/>
      <c r="M316" s="27" t="s">
        <v>88</v>
      </c>
      <c r="N316" s="13" t="s">
        <v>40</v>
      </c>
      <c r="O316" s="13" t="s">
        <v>42</v>
      </c>
      <c r="P316" s="156"/>
      <c r="Q316" s="13" t="s">
        <v>44</v>
      </c>
      <c r="R316" s="13"/>
      <c r="S316" s="13"/>
      <c r="T316" s="125"/>
      <c r="U316" s="125"/>
      <c r="V316" s="156">
        <v>0.0</v>
      </c>
    </row>
    <row r="317">
      <c r="A317" s="13">
        <v>316.0</v>
      </c>
      <c r="B317" s="164">
        <v>46159.0</v>
      </c>
      <c r="C317" s="13" t="s">
        <v>58</v>
      </c>
      <c r="D317" s="13" t="s">
        <v>60</v>
      </c>
      <c r="E317" s="130" t="s">
        <v>4897</v>
      </c>
      <c r="F317" s="12">
        <v>5.02158355E8</v>
      </c>
      <c r="G317" s="156" t="s">
        <v>27</v>
      </c>
      <c r="H317" s="156" t="s">
        <v>27</v>
      </c>
      <c r="I317" s="130" t="s">
        <v>4899</v>
      </c>
      <c r="J317" s="130" t="s">
        <v>1207</v>
      </c>
      <c r="K317" s="13" t="s">
        <v>62</v>
      </c>
      <c r="L317" s="125"/>
      <c r="M317" s="27" t="s">
        <v>88</v>
      </c>
      <c r="N317" s="13" t="s">
        <v>40</v>
      </c>
      <c r="O317" s="13" t="s">
        <v>42</v>
      </c>
      <c r="P317" s="156"/>
      <c r="Q317" s="13" t="s">
        <v>44</v>
      </c>
      <c r="R317" s="13"/>
      <c r="S317" s="13"/>
      <c r="T317" s="125"/>
      <c r="U317" s="125"/>
      <c r="V317" s="156">
        <v>0.0</v>
      </c>
    </row>
    <row r="318">
      <c r="A318" s="13">
        <v>317.0</v>
      </c>
      <c r="B318" s="164">
        <v>46159.0</v>
      </c>
      <c r="C318" s="13" t="s">
        <v>58</v>
      </c>
      <c r="D318" s="13" t="s">
        <v>60</v>
      </c>
      <c r="E318" s="156" t="s">
        <v>27</v>
      </c>
      <c r="F318" s="160">
        <v>5.32614671E8</v>
      </c>
      <c r="G318" s="156" t="s">
        <v>27</v>
      </c>
      <c r="H318" s="156" t="s">
        <v>27</v>
      </c>
      <c r="I318" s="130" t="s">
        <v>4905</v>
      </c>
      <c r="J318" s="130" t="s">
        <v>1207</v>
      </c>
      <c r="K318" s="13" t="s">
        <v>62</v>
      </c>
      <c r="L318" s="125"/>
      <c r="M318" s="27" t="s">
        <v>88</v>
      </c>
      <c r="N318" s="13" t="s">
        <v>40</v>
      </c>
      <c r="O318" s="13" t="s">
        <v>42</v>
      </c>
      <c r="P318" s="156"/>
      <c r="Q318" s="13" t="s">
        <v>44</v>
      </c>
      <c r="R318" s="13"/>
      <c r="S318" s="13"/>
      <c r="T318" s="125"/>
      <c r="U318" s="125"/>
      <c r="V318" s="156">
        <v>0.0</v>
      </c>
    </row>
    <row r="319">
      <c r="A319" s="13">
        <v>318.0</v>
      </c>
      <c r="B319" s="164">
        <v>46159.0</v>
      </c>
      <c r="C319" s="13" t="s">
        <v>58</v>
      </c>
      <c r="D319" s="13" t="s">
        <v>60</v>
      </c>
      <c r="E319" s="130" t="s">
        <v>4908</v>
      </c>
      <c r="F319" s="12">
        <v>5.30375815E8</v>
      </c>
      <c r="G319" s="156" t="s">
        <v>27</v>
      </c>
      <c r="H319" s="156" t="s">
        <v>27</v>
      </c>
      <c r="I319" s="130" t="s">
        <v>4905</v>
      </c>
      <c r="J319" s="130" t="s">
        <v>1207</v>
      </c>
      <c r="K319" s="13" t="s">
        <v>62</v>
      </c>
      <c r="L319" s="125"/>
      <c r="M319" s="27" t="s">
        <v>88</v>
      </c>
      <c r="N319" s="13" t="s">
        <v>40</v>
      </c>
      <c r="O319" s="13" t="s">
        <v>42</v>
      </c>
      <c r="P319" s="156"/>
      <c r="Q319" s="13" t="s">
        <v>44</v>
      </c>
      <c r="R319" s="13"/>
      <c r="S319" s="13"/>
      <c r="T319" s="125"/>
      <c r="U319" s="125"/>
      <c r="V319" s="156">
        <v>0.0</v>
      </c>
    </row>
    <row r="320">
      <c r="A320" s="13">
        <v>319.0</v>
      </c>
      <c r="B320" s="164">
        <v>46159.0</v>
      </c>
      <c r="C320" s="13" t="s">
        <v>58</v>
      </c>
      <c r="D320" s="13" t="s">
        <v>60</v>
      </c>
      <c r="E320" s="156" t="s">
        <v>27</v>
      </c>
      <c r="F320" s="160">
        <v>5.83908863E8</v>
      </c>
      <c r="G320" s="156" t="s">
        <v>27</v>
      </c>
      <c r="H320" s="156" t="s">
        <v>27</v>
      </c>
      <c r="I320" s="130" t="s">
        <v>4919</v>
      </c>
      <c r="J320" s="125"/>
      <c r="K320" s="13" t="s">
        <v>62</v>
      </c>
      <c r="L320" s="125"/>
      <c r="M320" s="27" t="s">
        <v>38</v>
      </c>
      <c r="N320" s="13" t="s">
        <v>40</v>
      </c>
      <c r="O320" s="13" t="s">
        <v>42</v>
      </c>
      <c r="P320" s="156"/>
      <c r="Q320" s="13" t="s">
        <v>44</v>
      </c>
      <c r="R320" s="13"/>
      <c r="S320" s="13"/>
      <c r="T320" s="125"/>
      <c r="U320" s="125"/>
      <c r="V320" s="156">
        <v>0.0</v>
      </c>
    </row>
    <row r="321">
      <c r="A321" s="13">
        <v>320.0</v>
      </c>
      <c r="B321" s="164">
        <v>46159.0</v>
      </c>
      <c r="C321" s="13" t="s">
        <v>21</v>
      </c>
      <c r="D321" s="13" t="s">
        <v>24</v>
      </c>
      <c r="E321" s="156" t="s">
        <v>4924</v>
      </c>
      <c r="F321" s="12">
        <v>5.32464415E8</v>
      </c>
      <c r="G321" s="130" t="s">
        <v>71</v>
      </c>
      <c r="H321" s="156" t="s">
        <v>27</v>
      </c>
      <c r="I321" s="156" t="s">
        <v>4926</v>
      </c>
      <c r="J321" s="125"/>
      <c r="K321" s="13" t="s">
        <v>62</v>
      </c>
      <c r="L321" s="125"/>
      <c r="M321" s="27" t="s">
        <v>38</v>
      </c>
      <c r="N321" s="13" t="s">
        <v>40</v>
      </c>
      <c r="O321" s="13" t="s">
        <v>42</v>
      </c>
      <c r="P321" s="156"/>
      <c r="Q321" s="13" t="s">
        <v>44</v>
      </c>
      <c r="R321" s="13" t="s">
        <v>46</v>
      </c>
      <c r="S321" s="13"/>
      <c r="T321" s="125"/>
      <c r="U321" s="125"/>
      <c r="V321" s="156">
        <v>0.0</v>
      </c>
    </row>
    <row r="322">
      <c r="A322" s="13">
        <v>321.0</v>
      </c>
      <c r="B322" s="164">
        <v>46159.0</v>
      </c>
      <c r="C322" s="13" t="s">
        <v>21</v>
      </c>
      <c r="D322" s="13" t="s">
        <v>22</v>
      </c>
      <c r="E322" s="130" t="s">
        <v>4932</v>
      </c>
      <c r="F322" s="12">
        <v>5.3583469E8</v>
      </c>
      <c r="G322" s="130" t="s">
        <v>237</v>
      </c>
      <c r="H322" s="156" t="s">
        <v>27</v>
      </c>
      <c r="I322" s="130" t="s">
        <v>4933</v>
      </c>
      <c r="J322" s="125"/>
      <c r="K322" s="13" t="s">
        <v>62</v>
      </c>
      <c r="L322" s="125"/>
      <c r="M322" s="27" t="s">
        <v>38</v>
      </c>
      <c r="N322" s="13" t="s">
        <v>40</v>
      </c>
      <c r="O322" s="13" t="s">
        <v>42</v>
      </c>
      <c r="P322" s="156"/>
      <c r="Q322" s="13" t="s">
        <v>44</v>
      </c>
      <c r="R322" s="13" t="s">
        <v>46</v>
      </c>
      <c r="S322" s="13"/>
      <c r="T322" s="125"/>
      <c r="U322" s="125"/>
      <c r="V322" s="156">
        <v>0.0</v>
      </c>
    </row>
    <row r="323">
      <c r="A323" s="13">
        <v>322.0</v>
      </c>
      <c r="B323" s="164">
        <v>46159.0</v>
      </c>
      <c r="C323" s="13" t="s">
        <v>58</v>
      </c>
      <c r="D323" s="13" t="s">
        <v>60</v>
      </c>
      <c r="E323" s="13" t="s">
        <v>27</v>
      </c>
      <c r="F323" s="12">
        <v>5.97144289E8</v>
      </c>
      <c r="G323" s="156" t="s">
        <v>27</v>
      </c>
      <c r="H323" s="156" t="s">
        <v>27</v>
      </c>
      <c r="I323" s="130" t="s">
        <v>4935</v>
      </c>
      <c r="J323" s="125"/>
      <c r="K323" s="13" t="s">
        <v>62</v>
      </c>
      <c r="L323" s="125"/>
      <c r="M323" s="27" t="s">
        <v>88</v>
      </c>
      <c r="N323" s="13" t="s">
        <v>40</v>
      </c>
      <c r="O323" s="13" t="s">
        <v>42</v>
      </c>
      <c r="P323" s="156"/>
      <c r="Q323" s="13" t="s">
        <v>44</v>
      </c>
      <c r="R323" s="13"/>
      <c r="S323" s="13"/>
      <c r="T323" s="125"/>
      <c r="U323" s="125"/>
      <c r="V323" s="156">
        <v>0.0</v>
      </c>
    </row>
    <row r="324">
      <c r="A324" s="13">
        <v>323.0</v>
      </c>
      <c r="B324" s="164">
        <v>46159.0</v>
      </c>
      <c r="C324" s="13" t="s">
        <v>21</v>
      </c>
      <c r="D324" s="13" t="s">
        <v>48</v>
      </c>
      <c r="E324" s="130" t="s">
        <v>4939</v>
      </c>
      <c r="F324" s="12">
        <v>5.04723428E8</v>
      </c>
      <c r="G324" s="156" t="s">
        <v>27</v>
      </c>
      <c r="H324" s="156" t="s">
        <v>27</v>
      </c>
      <c r="I324" s="130" t="s">
        <v>4942</v>
      </c>
      <c r="J324" s="130" t="s">
        <v>500</v>
      </c>
      <c r="K324" s="13" t="s">
        <v>62</v>
      </c>
      <c r="L324" s="125"/>
      <c r="M324" s="27" t="s">
        <v>38</v>
      </c>
      <c r="N324" s="13" t="s">
        <v>56</v>
      </c>
      <c r="O324" s="13" t="s">
        <v>42</v>
      </c>
      <c r="P324" s="156"/>
      <c r="Q324" s="13" t="s">
        <v>44</v>
      </c>
      <c r="R324" s="13"/>
      <c r="S324" s="13"/>
      <c r="T324" s="125"/>
      <c r="U324" s="125"/>
      <c r="V324" s="156">
        <v>0.0</v>
      </c>
    </row>
    <row r="325">
      <c r="A325" s="13">
        <v>324.0</v>
      </c>
      <c r="B325" s="164">
        <v>46159.0</v>
      </c>
      <c r="C325" s="13" t="s">
        <v>47</v>
      </c>
      <c r="D325" s="13" t="s">
        <v>48</v>
      </c>
      <c r="E325" s="130" t="s">
        <v>4944</v>
      </c>
      <c r="F325" s="12">
        <v>5.78181725E8</v>
      </c>
      <c r="G325" s="166" t="s">
        <v>41</v>
      </c>
      <c r="H325" s="156" t="s">
        <v>193</v>
      </c>
      <c r="I325" s="130" t="s">
        <v>4945</v>
      </c>
      <c r="J325" s="130" t="s">
        <v>4946</v>
      </c>
      <c r="K325" s="13" t="s">
        <v>62</v>
      </c>
      <c r="L325" s="159">
        <v>0.5756944444444444</v>
      </c>
      <c r="M325" s="27" t="s">
        <v>221</v>
      </c>
      <c r="N325" s="13" t="s">
        <v>56</v>
      </c>
      <c r="O325" s="13" t="s">
        <v>42</v>
      </c>
      <c r="P325" s="156"/>
      <c r="Q325" s="13" t="s">
        <v>44</v>
      </c>
      <c r="R325" s="13" t="s">
        <v>46</v>
      </c>
      <c r="S325" s="13"/>
      <c r="T325" s="159"/>
      <c r="U325" s="125"/>
      <c r="V325" s="156">
        <v>0.0</v>
      </c>
    </row>
    <row r="326">
      <c r="A326" s="13">
        <v>325.0</v>
      </c>
      <c r="B326" s="164">
        <v>46159.0</v>
      </c>
      <c r="C326" s="13" t="s">
        <v>47</v>
      </c>
      <c r="D326" s="13" t="s">
        <v>60</v>
      </c>
      <c r="E326" s="130" t="s">
        <v>4950</v>
      </c>
      <c r="F326" s="12">
        <v>5.47254786E8</v>
      </c>
      <c r="G326" s="130" t="s">
        <v>79</v>
      </c>
      <c r="H326" s="156" t="s">
        <v>178</v>
      </c>
      <c r="I326" s="130" t="s">
        <v>4951</v>
      </c>
      <c r="J326" s="125"/>
      <c r="K326" s="13" t="s">
        <v>62</v>
      </c>
      <c r="L326" s="159"/>
      <c r="M326" s="27" t="s">
        <v>55</v>
      </c>
      <c r="N326" s="13" t="s">
        <v>40</v>
      </c>
      <c r="O326" s="13" t="s">
        <v>42</v>
      </c>
      <c r="P326" s="156"/>
      <c r="Q326" s="13" t="s">
        <v>44</v>
      </c>
      <c r="R326" s="13"/>
      <c r="S326" s="13"/>
      <c r="T326" s="159"/>
      <c r="U326" s="125"/>
      <c r="V326" s="156">
        <v>0.0</v>
      </c>
    </row>
    <row r="327">
      <c r="A327" s="13">
        <v>326.0</v>
      </c>
      <c r="B327" s="164">
        <v>46159.0</v>
      </c>
      <c r="C327" s="13" t="s">
        <v>58</v>
      </c>
      <c r="D327" s="13" t="s">
        <v>60</v>
      </c>
      <c r="E327" s="130" t="s">
        <v>463</v>
      </c>
      <c r="F327" s="12">
        <v>5.55019789E8</v>
      </c>
      <c r="G327" s="125"/>
      <c r="H327" s="156" t="s">
        <v>27</v>
      </c>
      <c r="I327" s="130" t="s">
        <v>4956</v>
      </c>
      <c r="J327" s="125"/>
      <c r="K327" s="13" t="s">
        <v>62</v>
      </c>
      <c r="L327" s="125"/>
      <c r="M327" s="27" t="s">
        <v>88</v>
      </c>
      <c r="N327" s="13" t="s">
        <v>40</v>
      </c>
      <c r="O327" s="13" t="s">
        <v>42</v>
      </c>
      <c r="P327" s="156"/>
      <c r="Q327" s="13" t="s">
        <v>44</v>
      </c>
      <c r="R327" s="13"/>
      <c r="S327" s="13"/>
      <c r="T327" s="125"/>
      <c r="U327" s="125"/>
      <c r="V327" s="156">
        <v>0.0</v>
      </c>
    </row>
    <row r="328">
      <c r="A328" s="13">
        <v>327.0</v>
      </c>
      <c r="B328" s="164">
        <v>46159.0</v>
      </c>
      <c r="C328" s="13" t="s">
        <v>21</v>
      </c>
      <c r="D328" s="13" t="s">
        <v>24</v>
      </c>
      <c r="E328" s="130" t="s">
        <v>391</v>
      </c>
      <c r="F328" s="12">
        <v>5.59191349E8</v>
      </c>
      <c r="G328" s="130" t="s">
        <v>874</v>
      </c>
      <c r="H328" s="156" t="s">
        <v>27</v>
      </c>
      <c r="I328" s="130" t="s">
        <v>93</v>
      </c>
      <c r="J328" s="125"/>
      <c r="K328" s="13" t="s">
        <v>62</v>
      </c>
      <c r="L328" s="125"/>
      <c r="M328" s="27" t="s">
        <v>38</v>
      </c>
      <c r="N328" s="13" t="s">
        <v>40</v>
      </c>
      <c r="O328" s="13" t="s">
        <v>42</v>
      </c>
      <c r="P328" s="156"/>
      <c r="Q328" s="13" t="s">
        <v>44</v>
      </c>
      <c r="R328" s="13" t="s">
        <v>46</v>
      </c>
      <c r="S328" s="13"/>
      <c r="T328" s="125"/>
      <c r="U328" s="125"/>
      <c r="V328" s="156">
        <v>0.0</v>
      </c>
    </row>
    <row r="329">
      <c r="A329" s="13">
        <v>328.0</v>
      </c>
      <c r="B329" s="164">
        <v>46159.0</v>
      </c>
      <c r="C329" s="13" t="s">
        <v>21</v>
      </c>
      <c r="D329" s="13" t="s">
        <v>24</v>
      </c>
      <c r="E329" s="156" t="s">
        <v>27</v>
      </c>
      <c r="F329" s="12">
        <v>5.34882151E8</v>
      </c>
      <c r="G329" s="156" t="s">
        <v>27</v>
      </c>
      <c r="H329" s="156" t="s">
        <v>27</v>
      </c>
      <c r="I329" s="130" t="s">
        <v>4966</v>
      </c>
      <c r="J329" s="125"/>
      <c r="K329" s="13" t="s">
        <v>62</v>
      </c>
      <c r="L329" s="125"/>
      <c r="M329" s="27" t="s">
        <v>38</v>
      </c>
      <c r="N329" s="13" t="s">
        <v>40</v>
      </c>
      <c r="O329" s="13" t="s">
        <v>42</v>
      </c>
      <c r="P329" s="156"/>
      <c r="Q329" s="13" t="s">
        <v>44</v>
      </c>
      <c r="R329" s="13" t="s">
        <v>46</v>
      </c>
      <c r="S329" s="13"/>
      <c r="T329" s="125"/>
      <c r="U329" s="125"/>
      <c r="V329" s="156">
        <v>0.0</v>
      </c>
    </row>
    <row r="330">
      <c r="A330" s="13">
        <v>329.0</v>
      </c>
      <c r="B330" s="164">
        <v>46159.0</v>
      </c>
      <c r="C330" s="13" t="s">
        <v>58</v>
      </c>
      <c r="D330" s="13" t="s">
        <v>60</v>
      </c>
      <c r="E330" s="130" t="s">
        <v>4972</v>
      </c>
      <c r="F330" s="160">
        <v>5.06154915E8</v>
      </c>
      <c r="G330" s="156" t="s">
        <v>27</v>
      </c>
      <c r="H330" s="156" t="s">
        <v>27</v>
      </c>
      <c r="I330" s="130" t="s">
        <v>4974</v>
      </c>
      <c r="J330" s="125"/>
      <c r="K330" s="13" t="s">
        <v>62</v>
      </c>
      <c r="L330" s="125"/>
      <c r="M330" s="27" t="s">
        <v>38</v>
      </c>
      <c r="N330" s="13" t="s">
        <v>40</v>
      </c>
      <c r="O330" s="13" t="s">
        <v>42</v>
      </c>
      <c r="P330" s="156"/>
      <c r="Q330" s="13" t="s">
        <v>44</v>
      </c>
      <c r="R330" s="13"/>
      <c r="S330" s="13"/>
      <c r="T330" s="125"/>
      <c r="U330" s="125"/>
      <c r="V330" s="156">
        <v>0.0</v>
      </c>
    </row>
    <row r="331">
      <c r="A331" s="13">
        <v>330.0</v>
      </c>
      <c r="B331" s="164">
        <v>46159.0</v>
      </c>
      <c r="C331" s="13" t="s">
        <v>47</v>
      </c>
      <c r="D331" s="13" t="s">
        <v>48</v>
      </c>
      <c r="E331" s="130" t="s">
        <v>449</v>
      </c>
      <c r="F331" s="12">
        <v>5.62495316E8</v>
      </c>
      <c r="G331" s="20" t="s">
        <v>2715</v>
      </c>
      <c r="H331" s="156" t="s">
        <v>2716</v>
      </c>
      <c r="I331" s="130" t="s">
        <v>4980</v>
      </c>
      <c r="J331" s="130" t="s">
        <v>4981</v>
      </c>
      <c r="K331" s="13" t="s">
        <v>148</v>
      </c>
      <c r="L331" s="159">
        <v>0.4097222222222222</v>
      </c>
      <c r="M331" s="27" t="s">
        <v>101</v>
      </c>
      <c r="N331" s="13" t="s">
        <v>56</v>
      </c>
      <c r="O331" s="13" t="s">
        <v>42</v>
      </c>
      <c r="P331" s="156"/>
      <c r="Q331" s="13" t="s">
        <v>44</v>
      </c>
      <c r="R331" s="13" t="s">
        <v>46</v>
      </c>
      <c r="S331" s="13"/>
      <c r="T331" s="159"/>
      <c r="U331" s="125"/>
      <c r="V331" s="156">
        <v>0.0</v>
      </c>
    </row>
    <row r="332">
      <c r="A332" s="13">
        <v>331.0</v>
      </c>
      <c r="B332" s="164">
        <v>46159.0</v>
      </c>
      <c r="C332" s="13" t="s">
        <v>47</v>
      </c>
      <c r="D332" s="13" t="s">
        <v>48</v>
      </c>
      <c r="E332" s="156" t="s">
        <v>27</v>
      </c>
      <c r="F332" s="12" t="s">
        <v>27</v>
      </c>
      <c r="G332" s="20" t="s">
        <v>2715</v>
      </c>
      <c r="H332" s="156" t="s">
        <v>2716</v>
      </c>
      <c r="I332" s="130" t="s">
        <v>4986</v>
      </c>
      <c r="J332" s="130" t="s">
        <v>4989</v>
      </c>
      <c r="K332" s="13" t="s">
        <v>148</v>
      </c>
      <c r="L332" s="159">
        <v>0.4097222222222222</v>
      </c>
      <c r="M332" s="27" t="s">
        <v>101</v>
      </c>
      <c r="N332" s="13" t="s">
        <v>56</v>
      </c>
      <c r="O332" s="13" t="s">
        <v>42</v>
      </c>
      <c r="P332" s="156"/>
      <c r="Q332" s="13" t="s">
        <v>44</v>
      </c>
      <c r="R332" s="13" t="s">
        <v>46</v>
      </c>
      <c r="S332" s="13"/>
      <c r="T332" s="159"/>
      <c r="U332" s="125"/>
      <c r="V332" s="156">
        <v>0.0</v>
      </c>
    </row>
    <row r="333">
      <c r="A333" s="13">
        <v>332.0</v>
      </c>
      <c r="B333" s="164">
        <v>46159.0</v>
      </c>
      <c r="C333" s="13" t="s">
        <v>47</v>
      </c>
      <c r="D333" s="13" t="s">
        <v>92</v>
      </c>
      <c r="E333" s="130" t="s">
        <v>4992</v>
      </c>
      <c r="F333" s="12">
        <v>5.6628131E8</v>
      </c>
      <c r="G333" s="130" t="s">
        <v>76</v>
      </c>
      <c r="H333" s="156" t="s">
        <v>735</v>
      </c>
      <c r="I333" s="130" t="s">
        <v>4994</v>
      </c>
      <c r="J333" s="125"/>
      <c r="K333" s="13" t="s">
        <v>148</v>
      </c>
      <c r="L333" s="159">
        <v>0.3611111111111111</v>
      </c>
      <c r="M333" s="27" t="s">
        <v>713</v>
      </c>
      <c r="N333" s="13" t="s">
        <v>40</v>
      </c>
      <c r="O333" s="13" t="s">
        <v>42</v>
      </c>
      <c r="P333" s="156"/>
      <c r="Q333" s="13" t="s">
        <v>44</v>
      </c>
      <c r="R333" s="13" t="s">
        <v>46</v>
      </c>
      <c r="S333" s="13"/>
      <c r="T333" s="159"/>
      <c r="U333" s="125"/>
      <c r="V333" s="156"/>
    </row>
    <row r="334">
      <c r="A334" s="13">
        <v>333.0</v>
      </c>
      <c r="B334" s="164">
        <v>46159.0</v>
      </c>
      <c r="C334" s="13" t="s">
        <v>47</v>
      </c>
      <c r="D334" s="13" t="s">
        <v>48</v>
      </c>
      <c r="E334" s="156" t="s">
        <v>27</v>
      </c>
      <c r="F334" s="12" t="s">
        <v>27</v>
      </c>
      <c r="G334" s="20" t="s">
        <v>28</v>
      </c>
      <c r="H334" s="156" t="s">
        <v>3190</v>
      </c>
      <c r="I334" s="130" t="s">
        <v>5001</v>
      </c>
      <c r="J334" s="125"/>
      <c r="K334" s="13" t="s">
        <v>148</v>
      </c>
      <c r="L334" s="159">
        <v>0.4097222222222222</v>
      </c>
      <c r="M334" s="27" t="s">
        <v>1205</v>
      </c>
      <c r="N334" s="13" t="s">
        <v>40</v>
      </c>
      <c r="O334" s="13" t="s">
        <v>42</v>
      </c>
      <c r="P334" s="156"/>
      <c r="Q334" s="13" t="s">
        <v>44</v>
      </c>
      <c r="R334" s="13" t="s">
        <v>46</v>
      </c>
      <c r="S334" s="13"/>
      <c r="T334" s="159"/>
      <c r="U334" s="125"/>
      <c r="V334" s="156"/>
    </row>
    <row r="335">
      <c r="A335" s="13">
        <v>334.0</v>
      </c>
      <c r="B335" s="164">
        <v>46159.0</v>
      </c>
      <c r="C335" s="13" t="s">
        <v>58</v>
      </c>
      <c r="D335" s="13" t="s">
        <v>60</v>
      </c>
      <c r="E335" s="130" t="s">
        <v>5004</v>
      </c>
      <c r="F335" s="12">
        <v>5.08584388E8</v>
      </c>
      <c r="G335" s="130" t="s">
        <v>28</v>
      </c>
      <c r="H335" s="156" t="s">
        <v>548</v>
      </c>
      <c r="I335" s="130" t="s">
        <v>5007</v>
      </c>
      <c r="J335" s="125"/>
      <c r="K335" s="13" t="s">
        <v>148</v>
      </c>
      <c r="L335" s="125"/>
      <c r="M335" s="27" t="s">
        <v>101</v>
      </c>
      <c r="N335" s="13" t="s">
        <v>40</v>
      </c>
      <c r="O335" s="13" t="s">
        <v>42</v>
      </c>
      <c r="P335" s="156"/>
      <c r="Q335" s="13" t="s">
        <v>44</v>
      </c>
      <c r="R335" s="13"/>
      <c r="S335" s="13"/>
      <c r="T335" s="125"/>
      <c r="U335" s="125"/>
      <c r="V335" s="156"/>
    </row>
    <row r="336">
      <c r="A336" s="13">
        <v>335.0</v>
      </c>
      <c r="B336" s="164">
        <v>46159.0</v>
      </c>
      <c r="C336" s="13" t="s">
        <v>47</v>
      </c>
      <c r="D336" s="13" t="s">
        <v>367</v>
      </c>
      <c r="E336" s="130" t="s">
        <v>763</v>
      </c>
      <c r="F336" s="12">
        <v>5.50793811E8</v>
      </c>
      <c r="G336" s="130" t="s">
        <v>28</v>
      </c>
      <c r="H336" s="156" t="s">
        <v>3190</v>
      </c>
      <c r="I336" s="130" t="s">
        <v>5014</v>
      </c>
      <c r="J336" s="130" t="s">
        <v>5015</v>
      </c>
      <c r="K336" s="13" t="s">
        <v>148</v>
      </c>
      <c r="L336" s="159"/>
      <c r="M336" s="27" t="s">
        <v>101</v>
      </c>
      <c r="N336" s="13" t="s">
        <v>56</v>
      </c>
      <c r="O336" s="13" t="s">
        <v>42</v>
      </c>
      <c r="P336" s="156"/>
      <c r="Q336" s="13" t="s">
        <v>44</v>
      </c>
      <c r="R336" s="13" t="s">
        <v>46</v>
      </c>
      <c r="S336" s="13"/>
      <c r="T336" s="159"/>
      <c r="U336" s="125"/>
      <c r="V336" s="156"/>
    </row>
    <row r="337">
      <c r="A337" s="13">
        <v>336.0</v>
      </c>
      <c r="B337" s="164">
        <v>46159.0</v>
      </c>
      <c r="C337" s="13" t="s">
        <v>47</v>
      </c>
      <c r="D337" s="13" t="s">
        <v>48</v>
      </c>
      <c r="E337" s="130" t="s">
        <v>5017</v>
      </c>
      <c r="F337" s="12">
        <v>5.55556972E8</v>
      </c>
      <c r="G337" s="130" t="s">
        <v>79</v>
      </c>
      <c r="H337" s="156" t="s">
        <v>178</v>
      </c>
      <c r="I337" s="130" t="s">
        <v>5018</v>
      </c>
      <c r="J337" s="130" t="s">
        <v>5019</v>
      </c>
      <c r="K337" s="13" t="s">
        <v>148</v>
      </c>
      <c r="L337" s="159">
        <v>0.4097222222222222</v>
      </c>
      <c r="M337" s="27" t="s">
        <v>55</v>
      </c>
      <c r="N337" s="13" t="s">
        <v>56</v>
      </c>
      <c r="O337" s="13" t="s">
        <v>42</v>
      </c>
      <c r="P337" s="156"/>
      <c r="Q337" s="13" t="s">
        <v>44</v>
      </c>
      <c r="R337" s="13" t="s">
        <v>46</v>
      </c>
      <c r="S337" s="13"/>
      <c r="T337" s="159"/>
      <c r="U337" s="125"/>
      <c r="V337" s="156">
        <v>0.0</v>
      </c>
    </row>
    <row r="338">
      <c r="A338" s="13">
        <v>337.0</v>
      </c>
      <c r="B338" s="164">
        <v>46159.0</v>
      </c>
      <c r="C338" s="13" t="s">
        <v>47</v>
      </c>
      <c r="D338" s="13" t="s">
        <v>138</v>
      </c>
      <c r="E338" s="130" t="s">
        <v>5025</v>
      </c>
      <c r="F338" s="12">
        <v>5.63322208E8</v>
      </c>
      <c r="G338" s="130" t="s">
        <v>79</v>
      </c>
      <c r="H338" s="156" t="s">
        <v>2109</v>
      </c>
      <c r="I338" s="130" t="s">
        <v>5026</v>
      </c>
      <c r="J338" s="130" t="s">
        <v>5027</v>
      </c>
      <c r="K338" s="13" t="s">
        <v>148</v>
      </c>
      <c r="L338" s="159"/>
      <c r="M338" s="27" t="s">
        <v>101</v>
      </c>
      <c r="N338" s="13" t="s">
        <v>56</v>
      </c>
      <c r="O338" s="13" t="s">
        <v>42</v>
      </c>
      <c r="P338" s="156"/>
      <c r="Q338" s="13" t="s">
        <v>44</v>
      </c>
      <c r="R338" s="13" t="s">
        <v>46</v>
      </c>
      <c r="S338" s="13"/>
      <c r="T338" s="159"/>
      <c r="U338" s="125"/>
      <c r="V338" s="156">
        <v>0.0</v>
      </c>
    </row>
    <row r="339">
      <c r="A339" s="13">
        <v>338.0</v>
      </c>
      <c r="B339" s="164">
        <v>46159.0</v>
      </c>
      <c r="C339" s="13" t="s">
        <v>47</v>
      </c>
      <c r="D339" s="13" t="s">
        <v>138</v>
      </c>
      <c r="E339" s="156" t="s">
        <v>5030</v>
      </c>
      <c r="F339" s="12">
        <v>5.95270322E8</v>
      </c>
      <c r="G339" s="130" t="s">
        <v>79</v>
      </c>
      <c r="H339" s="156" t="s">
        <v>239</v>
      </c>
      <c r="I339" s="130" t="s">
        <v>5031</v>
      </c>
      <c r="J339" s="130" t="s">
        <v>5027</v>
      </c>
      <c r="K339" s="13" t="s">
        <v>148</v>
      </c>
      <c r="L339" s="159"/>
      <c r="M339" s="27" t="s">
        <v>101</v>
      </c>
      <c r="N339" s="13" t="s">
        <v>56</v>
      </c>
      <c r="O339" s="13" t="s">
        <v>42</v>
      </c>
      <c r="P339" s="156"/>
      <c r="Q339" s="13" t="s">
        <v>44</v>
      </c>
      <c r="R339" s="13" t="s">
        <v>46</v>
      </c>
      <c r="S339" s="13"/>
      <c r="T339" s="159"/>
      <c r="U339" s="125"/>
      <c r="V339" s="156">
        <v>0.0</v>
      </c>
    </row>
    <row r="340">
      <c r="A340" s="13">
        <v>339.0</v>
      </c>
      <c r="B340" s="164">
        <v>46159.0</v>
      </c>
      <c r="C340" s="13" t="s">
        <v>47</v>
      </c>
      <c r="D340" s="13" t="s">
        <v>138</v>
      </c>
      <c r="E340" s="156" t="s">
        <v>5034</v>
      </c>
      <c r="F340" s="12">
        <v>5.08594171E8</v>
      </c>
      <c r="G340" s="130" t="s">
        <v>79</v>
      </c>
      <c r="H340" s="156" t="s">
        <v>178</v>
      </c>
      <c r="I340" s="130" t="s">
        <v>5035</v>
      </c>
      <c r="J340" s="130" t="s">
        <v>5027</v>
      </c>
      <c r="K340" s="13" t="s">
        <v>148</v>
      </c>
      <c r="L340" s="159"/>
      <c r="M340" s="27" t="s">
        <v>55</v>
      </c>
      <c r="N340" s="13" t="s">
        <v>56</v>
      </c>
      <c r="O340" s="13" t="s">
        <v>42</v>
      </c>
      <c r="P340" s="156"/>
      <c r="Q340" s="13" t="s">
        <v>44</v>
      </c>
      <c r="R340" s="13" t="s">
        <v>46</v>
      </c>
      <c r="S340" s="13"/>
      <c r="T340" s="159"/>
      <c r="U340" s="125"/>
      <c r="V340" s="156">
        <v>0.0</v>
      </c>
    </row>
    <row r="341" ht="35.25" customHeight="1">
      <c r="A341" s="13">
        <v>340.0</v>
      </c>
      <c r="B341" s="164">
        <v>46159.0</v>
      </c>
      <c r="C341" s="13" t="s">
        <v>47</v>
      </c>
      <c r="D341" s="13" t="s">
        <v>251</v>
      </c>
      <c r="E341" s="156" t="s">
        <v>5041</v>
      </c>
      <c r="F341" s="12">
        <v>5.66887175E8</v>
      </c>
      <c r="G341" s="130" t="s">
        <v>79</v>
      </c>
      <c r="H341" s="156" t="s">
        <v>178</v>
      </c>
      <c r="I341" s="130" t="s">
        <v>5042</v>
      </c>
      <c r="J341" s="125"/>
      <c r="K341" s="13" t="s">
        <v>148</v>
      </c>
      <c r="L341" s="159"/>
      <c r="M341" s="27" t="s">
        <v>953</v>
      </c>
      <c r="N341" s="13" t="s">
        <v>40</v>
      </c>
      <c r="O341" s="13" t="s">
        <v>42</v>
      </c>
      <c r="P341" s="156"/>
      <c r="Q341" s="13" t="s">
        <v>44</v>
      </c>
      <c r="R341" s="13" t="s">
        <v>46</v>
      </c>
      <c r="S341" s="13"/>
      <c r="T341" s="159"/>
      <c r="U341" s="125"/>
      <c r="V341" s="156">
        <v>0.0</v>
      </c>
    </row>
    <row r="342">
      <c r="A342" s="13">
        <v>341.0</v>
      </c>
      <c r="B342" s="164">
        <v>46159.0</v>
      </c>
      <c r="C342" s="13" t="s">
        <v>47</v>
      </c>
      <c r="D342" s="13" t="s">
        <v>138</v>
      </c>
      <c r="E342" s="130" t="s">
        <v>458</v>
      </c>
      <c r="F342" s="12">
        <v>5.66646401E8</v>
      </c>
      <c r="G342" s="130" t="s">
        <v>79</v>
      </c>
      <c r="H342" s="156" t="s">
        <v>142</v>
      </c>
      <c r="I342" s="130" t="s">
        <v>5047</v>
      </c>
      <c r="J342" s="130" t="s">
        <v>5027</v>
      </c>
      <c r="K342" s="13" t="s">
        <v>148</v>
      </c>
      <c r="L342" s="159"/>
      <c r="M342" s="27" t="s">
        <v>150</v>
      </c>
      <c r="N342" s="13" t="s">
        <v>56</v>
      </c>
      <c r="O342" s="13" t="s">
        <v>42</v>
      </c>
      <c r="P342" s="156"/>
      <c r="Q342" s="13" t="s">
        <v>44</v>
      </c>
      <c r="R342" s="13" t="s">
        <v>46</v>
      </c>
      <c r="S342" s="13"/>
      <c r="T342" s="159"/>
      <c r="U342" s="125"/>
      <c r="V342" s="156">
        <v>0.0</v>
      </c>
    </row>
    <row r="343">
      <c r="A343" s="13">
        <v>342.0</v>
      </c>
      <c r="B343" s="164">
        <v>46159.0</v>
      </c>
      <c r="C343" s="13" t="s">
        <v>47</v>
      </c>
      <c r="D343" s="13" t="s">
        <v>138</v>
      </c>
      <c r="E343" s="156" t="s">
        <v>5051</v>
      </c>
      <c r="F343" s="12">
        <v>5.33826854E8</v>
      </c>
      <c r="G343" s="130" t="s">
        <v>79</v>
      </c>
      <c r="H343" s="156" t="s">
        <v>431</v>
      </c>
      <c r="I343" s="130" t="s">
        <v>5052</v>
      </c>
      <c r="J343" s="130" t="s">
        <v>5054</v>
      </c>
      <c r="K343" s="13" t="s">
        <v>148</v>
      </c>
      <c r="L343" s="159"/>
      <c r="M343" s="27" t="s">
        <v>150</v>
      </c>
      <c r="N343" s="13" t="s">
        <v>56</v>
      </c>
      <c r="O343" s="13" t="s">
        <v>42</v>
      </c>
      <c r="P343" s="156"/>
      <c r="Q343" s="13" t="s">
        <v>44</v>
      </c>
      <c r="R343" s="13" t="s">
        <v>46</v>
      </c>
      <c r="S343" s="13"/>
      <c r="T343" s="159"/>
      <c r="U343" s="125"/>
      <c r="V343" s="156">
        <v>0.0</v>
      </c>
    </row>
    <row r="344">
      <c r="A344" s="13">
        <v>343.0</v>
      </c>
      <c r="B344" s="164">
        <v>46159.0</v>
      </c>
      <c r="C344" s="13" t="s">
        <v>47</v>
      </c>
      <c r="D344" s="13" t="s">
        <v>138</v>
      </c>
      <c r="E344" s="156" t="s">
        <v>340</v>
      </c>
      <c r="F344" s="12">
        <v>5.0273485E8</v>
      </c>
      <c r="G344" s="130" t="s">
        <v>79</v>
      </c>
      <c r="H344" s="156" t="s">
        <v>239</v>
      </c>
      <c r="I344" s="130" t="s">
        <v>5057</v>
      </c>
      <c r="J344" s="130" t="s">
        <v>5027</v>
      </c>
      <c r="K344" s="13" t="s">
        <v>148</v>
      </c>
      <c r="L344" s="159"/>
      <c r="M344" s="27" t="s">
        <v>55</v>
      </c>
      <c r="N344" s="13" t="s">
        <v>56</v>
      </c>
      <c r="O344" s="13" t="s">
        <v>42</v>
      </c>
      <c r="P344" s="156"/>
      <c r="Q344" s="13" t="s">
        <v>44</v>
      </c>
      <c r="R344" s="13" t="s">
        <v>46</v>
      </c>
      <c r="S344" s="13"/>
      <c r="T344" s="159"/>
      <c r="U344" s="125"/>
      <c r="V344" s="156">
        <v>0.0</v>
      </c>
    </row>
    <row r="345">
      <c r="A345" s="13">
        <v>344.0</v>
      </c>
      <c r="B345" s="164">
        <v>46159.0</v>
      </c>
      <c r="C345" s="13" t="s">
        <v>58</v>
      </c>
      <c r="D345" s="13" t="s">
        <v>60</v>
      </c>
      <c r="E345" s="156" t="s">
        <v>27</v>
      </c>
      <c r="F345" s="12">
        <v>5.6245755E8</v>
      </c>
      <c r="G345" s="156" t="s">
        <v>27</v>
      </c>
      <c r="H345" s="156" t="s">
        <v>27</v>
      </c>
      <c r="I345" s="130" t="s">
        <v>5059</v>
      </c>
      <c r="J345" s="125"/>
      <c r="K345" s="13" t="s">
        <v>36</v>
      </c>
      <c r="L345" s="125"/>
      <c r="M345" s="27" t="s">
        <v>88</v>
      </c>
      <c r="N345" s="13" t="s">
        <v>40</v>
      </c>
      <c r="O345" s="13" t="s">
        <v>42</v>
      </c>
      <c r="P345" s="156"/>
      <c r="Q345" s="13" t="s">
        <v>863</v>
      </c>
      <c r="R345" s="13"/>
      <c r="S345" s="13"/>
      <c r="T345" s="125"/>
      <c r="U345" s="125"/>
      <c r="V345" s="156">
        <v>0.0</v>
      </c>
    </row>
    <row r="346">
      <c r="A346" s="13">
        <v>345.0</v>
      </c>
      <c r="B346" s="164">
        <v>46159.0</v>
      </c>
      <c r="C346" s="13" t="s">
        <v>58</v>
      </c>
      <c r="D346" s="13" t="s">
        <v>60</v>
      </c>
      <c r="E346" s="156" t="s">
        <v>27</v>
      </c>
      <c r="F346" s="12">
        <v>5.4496333E8</v>
      </c>
      <c r="G346" s="156" t="s">
        <v>27</v>
      </c>
      <c r="H346" s="156" t="s">
        <v>27</v>
      </c>
      <c r="I346" s="130" t="s">
        <v>5065</v>
      </c>
      <c r="J346" s="125"/>
      <c r="K346" s="13" t="s">
        <v>36</v>
      </c>
      <c r="L346" s="125"/>
      <c r="M346" s="27" t="s">
        <v>3124</v>
      </c>
      <c r="N346" s="13" t="s">
        <v>40</v>
      </c>
      <c r="O346" s="13" t="s">
        <v>42</v>
      </c>
      <c r="P346" s="156"/>
      <c r="Q346" s="13" t="s">
        <v>863</v>
      </c>
      <c r="R346" s="13"/>
      <c r="S346" s="13"/>
      <c r="T346" s="125"/>
      <c r="U346" s="125"/>
      <c r="V346" s="156">
        <v>0.0</v>
      </c>
    </row>
    <row r="347">
      <c r="A347" s="13">
        <v>346.0</v>
      </c>
      <c r="B347" s="164">
        <v>46159.0</v>
      </c>
      <c r="C347" s="13" t="s">
        <v>58</v>
      </c>
      <c r="D347" s="13" t="s">
        <v>60</v>
      </c>
      <c r="E347" s="156" t="s">
        <v>27</v>
      </c>
      <c r="F347" s="12">
        <v>5.53225111E8</v>
      </c>
      <c r="G347" s="156" t="s">
        <v>27</v>
      </c>
      <c r="H347" s="156" t="s">
        <v>27</v>
      </c>
      <c r="I347" s="156" t="s">
        <v>5070</v>
      </c>
      <c r="J347" s="125"/>
      <c r="K347" s="13" t="s">
        <v>36</v>
      </c>
      <c r="L347" s="125"/>
      <c r="M347" s="27" t="s">
        <v>88</v>
      </c>
      <c r="N347" s="13" t="s">
        <v>40</v>
      </c>
      <c r="O347" s="13" t="s">
        <v>42</v>
      </c>
      <c r="P347" s="156"/>
      <c r="Q347" s="13" t="s">
        <v>863</v>
      </c>
      <c r="R347" s="13"/>
      <c r="S347" s="13"/>
      <c r="T347" s="125"/>
      <c r="U347" s="125"/>
      <c r="V347" s="156">
        <v>0.0</v>
      </c>
    </row>
    <row r="348">
      <c r="A348" s="13">
        <v>347.0</v>
      </c>
      <c r="B348" s="164">
        <v>46159.0</v>
      </c>
      <c r="C348" s="13" t="s">
        <v>47</v>
      </c>
      <c r="D348" s="13" t="s">
        <v>138</v>
      </c>
      <c r="E348" s="156" t="s">
        <v>5073</v>
      </c>
      <c r="F348" s="313">
        <v>5.41534039E8</v>
      </c>
      <c r="G348" s="130" t="s">
        <v>41</v>
      </c>
      <c r="H348" s="156" t="s">
        <v>329</v>
      </c>
      <c r="I348" s="27" t="s">
        <v>5077</v>
      </c>
      <c r="J348" s="130" t="s">
        <v>5078</v>
      </c>
      <c r="K348" s="13" t="s">
        <v>148</v>
      </c>
      <c r="L348" s="125"/>
      <c r="M348" s="27" t="s">
        <v>55</v>
      </c>
      <c r="N348" s="13" t="s">
        <v>56</v>
      </c>
      <c r="O348" s="13" t="s">
        <v>42</v>
      </c>
      <c r="P348" s="156"/>
      <c r="Q348" s="13" t="s">
        <v>863</v>
      </c>
      <c r="R348" s="13" t="s">
        <v>46</v>
      </c>
      <c r="S348" s="13"/>
      <c r="T348" s="125"/>
      <c r="U348" s="125"/>
      <c r="V348" s="156">
        <v>0.0</v>
      </c>
    </row>
    <row r="349">
      <c r="A349" s="13">
        <v>348.0</v>
      </c>
      <c r="B349" s="164">
        <v>46159.0</v>
      </c>
      <c r="C349" s="13" t="s">
        <v>47</v>
      </c>
      <c r="D349" s="13" t="s">
        <v>48</v>
      </c>
      <c r="E349" s="130" t="s">
        <v>1260</v>
      </c>
      <c r="F349" s="12">
        <v>5.65007758E8</v>
      </c>
      <c r="G349" s="20" t="s">
        <v>71</v>
      </c>
      <c r="H349" s="156" t="s">
        <v>163</v>
      </c>
      <c r="I349" s="130" t="s">
        <v>5082</v>
      </c>
      <c r="J349" s="130" t="s">
        <v>5083</v>
      </c>
      <c r="K349" s="13" t="s">
        <v>148</v>
      </c>
      <c r="L349" s="125"/>
      <c r="M349" s="27" t="s">
        <v>101</v>
      </c>
      <c r="N349" s="13" t="s">
        <v>56</v>
      </c>
      <c r="O349" s="13" t="s">
        <v>42</v>
      </c>
      <c r="P349" s="156"/>
      <c r="Q349" s="13" t="s">
        <v>863</v>
      </c>
      <c r="R349" s="13" t="s">
        <v>46</v>
      </c>
      <c r="S349" s="13"/>
      <c r="T349" s="125"/>
      <c r="U349" s="125"/>
      <c r="V349" s="156">
        <v>0.0</v>
      </c>
    </row>
    <row r="350">
      <c r="A350" s="13">
        <v>349.0</v>
      </c>
      <c r="B350" s="164">
        <v>46159.0</v>
      </c>
      <c r="C350" s="13" t="s">
        <v>47</v>
      </c>
      <c r="D350" s="13" t="s">
        <v>138</v>
      </c>
      <c r="E350" s="130" t="s">
        <v>3742</v>
      </c>
      <c r="F350" s="315">
        <v>5.63918133E8</v>
      </c>
      <c r="G350" s="20" t="s">
        <v>71</v>
      </c>
      <c r="H350" s="156" t="s">
        <v>163</v>
      </c>
      <c r="I350" s="130" t="s">
        <v>5089</v>
      </c>
      <c r="J350" s="130" t="s">
        <v>5090</v>
      </c>
      <c r="K350" s="13" t="s">
        <v>148</v>
      </c>
      <c r="L350" s="125"/>
      <c r="M350" s="27" t="s">
        <v>4703</v>
      </c>
      <c r="N350" s="13" t="s">
        <v>56</v>
      </c>
      <c r="O350" s="13" t="s">
        <v>42</v>
      </c>
      <c r="P350" s="156"/>
      <c r="Q350" s="13" t="s">
        <v>863</v>
      </c>
      <c r="R350" s="13" t="s">
        <v>46</v>
      </c>
      <c r="S350" s="13"/>
      <c r="T350" s="125"/>
      <c r="U350" s="125"/>
      <c r="V350" s="156">
        <v>0.0</v>
      </c>
    </row>
    <row r="351">
      <c r="A351" s="13">
        <v>350.0</v>
      </c>
      <c r="B351" s="164">
        <v>46159.0</v>
      </c>
      <c r="C351" s="13" t="s">
        <v>21</v>
      </c>
      <c r="D351" s="13" t="s">
        <v>22</v>
      </c>
      <c r="E351" s="130" t="s">
        <v>5095</v>
      </c>
      <c r="F351" s="12">
        <v>5.55415071E8</v>
      </c>
      <c r="G351" s="130" t="s">
        <v>369</v>
      </c>
      <c r="H351" s="156" t="s">
        <v>27</v>
      </c>
      <c r="I351" s="130" t="s">
        <v>5096</v>
      </c>
      <c r="J351" s="125"/>
      <c r="K351" s="13" t="s">
        <v>36</v>
      </c>
      <c r="L351" s="125"/>
      <c r="M351" s="27" t="s">
        <v>323</v>
      </c>
      <c r="N351" s="13" t="s">
        <v>40</v>
      </c>
      <c r="O351" s="13" t="s">
        <v>42</v>
      </c>
      <c r="P351" s="156"/>
      <c r="Q351" s="13" t="s">
        <v>863</v>
      </c>
      <c r="R351" s="13" t="s">
        <v>46</v>
      </c>
      <c r="S351" s="13"/>
      <c r="T351" s="125"/>
      <c r="U351" s="125"/>
      <c r="V351" s="156">
        <v>0.0</v>
      </c>
    </row>
    <row r="352">
      <c r="A352" s="13">
        <v>351.0</v>
      </c>
      <c r="B352" s="164">
        <v>46159.0</v>
      </c>
      <c r="C352" s="13" t="s">
        <v>21</v>
      </c>
      <c r="D352" s="13" t="s">
        <v>24</v>
      </c>
      <c r="E352" s="130" t="s">
        <v>5101</v>
      </c>
      <c r="F352" s="12">
        <v>5.55710908E8</v>
      </c>
      <c r="G352" s="130" t="s">
        <v>79</v>
      </c>
      <c r="H352" s="156" t="s">
        <v>27</v>
      </c>
      <c r="I352" s="317" t="s">
        <v>5103</v>
      </c>
      <c r="J352" s="125"/>
      <c r="K352" s="13" t="s">
        <v>36</v>
      </c>
      <c r="L352" s="125"/>
      <c r="M352" s="27" t="s">
        <v>38</v>
      </c>
      <c r="N352" s="13" t="s">
        <v>40</v>
      </c>
      <c r="O352" s="13" t="s">
        <v>42</v>
      </c>
      <c r="P352" s="156"/>
      <c r="Q352" s="13" t="s">
        <v>863</v>
      </c>
      <c r="R352" s="13" t="s">
        <v>46</v>
      </c>
      <c r="S352" s="13"/>
      <c r="T352" s="125"/>
      <c r="U352" s="125"/>
      <c r="V352" s="156">
        <v>0.0</v>
      </c>
    </row>
    <row r="353">
      <c r="A353" s="13">
        <v>352.0</v>
      </c>
      <c r="B353" s="164">
        <v>46159.0</v>
      </c>
      <c r="C353" s="13" t="s">
        <v>21</v>
      </c>
      <c r="D353" s="13" t="s">
        <v>24</v>
      </c>
      <c r="E353" s="130" t="s">
        <v>5106</v>
      </c>
      <c r="F353" s="12">
        <v>5.57911342E8</v>
      </c>
      <c r="G353" s="130" t="s">
        <v>4091</v>
      </c>
      <c r="H353" s="156" t="s">
        <v>27</v>
      </c>
      <c r="I353" s="130" t="s">
        <v>5108</v>
      </c>
      <c r="J353" s="125"/>
      <c r="K353" s="13" t="s">
        <v>36</v>
      </c>
      <c r="L353" s="125"/>
      <c r="M353" s="27" t="s">
        <v>953</v>
      </c>
      <c r="N353" s="13" t="s">
        <v>40</v>
      </c>
      <c r="O353" s="13" t="s">
        <v>42</v>
      </c>
      <c r="P353" s="156"/>
      <c r="Q353" s="13" t="s">
        <v>863</v>
      </c>
      <c r="R353" s="13" t="s">
        <v>46</v>
      </c>
      <c r="S353" s="13"/>
      <c r="T353" s="125"/>
      <c r="U353" s="125"/>
      <c r="V353" s="156">
        <v>0.0</v>
      </c>
    </row>
    <row r="354">
      <c r="A354" s="13">
        <v>353.0</v>
      </c>
      <c r="B354" s="164">
        <v>46159.0</v>
      </c>
      <c r="C354" s="13" t="s">
        <v>58</v>
      </c>
      <c r="D354" s="13" t="s">
        <v>60</v>
      </c>
      <c r="E354" s="156" t="s">
        <v>27</v>
      </c>
      <c r="F354" s="12">
        <v>5.08193491E8</v>
      </c>
      <c r="G354" s="156" t="s">
        <v>27</v>
      </c>
      <c r="H354" s="156" t="s">
        <v>27</v>
      </c>
      <c r="I354" s="130" t="s">
        <v>5111</v>
      </c>
      <c r="J354" s="125"/>
      <c r="K354" s="13" t="s">
        <v>36</v>
      </c>
      <c r="L354" s="125"/>
      <c r="M354" s="27" t="s">
        <v>88</v>
      </c>
      <c r="N354" s="13" t="s">
        <v>40</v>
      </c>
      <c r="O354" s="13" t="s">
        <v>42</v>
      </c>
      <c r="P354" s="156"/>
      <c r="Q354" s="13" t="s">
        <v>863</v>
      </c>
      <c r="R354" s="13" t="s">
        <v>46</v>
      </c>
      <c r="S354" s="13"/>
      <c r="T354" s="125"/>
      <c r="U354" s="125"/>
      <c r="V354" s="156">
        <v>0.0</v>
      </c>
    </row>
    <row r="355">
      <c r="A355" s="13">
        <v>354.0</v>
      </c>
      <c r="B355" s="164">
        <v>46159.0</v>
      </c>
      <c r="C355" s="13" t="s">
        <v>21</v>
      </c>
      <c r="D355" s="13" t="s">
        <v>24</v>
      </c>
      <c r="E355" s="130" t="s">
        <v>5114</v>
      </c>
      <c r="F355" s="12">
        <v>5.04704323E8</v>
      </c>
      <c r="G355" s="130" t="s">
        <v>1332</v>
      </c>
      <c r="H355" s="125"/>
      <c r="I355" s="130" t="s">
        <v>5115</v>
      </c>
      <c r="J355" s="125"/>
      <c r="K355" s="13" t="s">
        <v>36</v>
      </c>
      <c r="L355" s="125"/>
      <c r="M355" s="27" t="s">
        <v>150</v>
      </c>
      <c r="N355" s="13" t="s">
        <v>40</v>
      </c>
      <c r="O355" s="13" t="s">
        <v>42</v>
      </c>
      <c r="P355" s="156"/>
      <c r="Q355" s="13" t="s">
        <v>863</v>
      </c>
      <c r="R355" s="13" t="s">
        <v>46</v>
      </c>
      <c r="S355" s="13"/>
      <c r="T355" s="125"/>
      <c r="U355" s="125"/>
      <c r="V355" s="156">
        <v>0.0</v>
      </c>
    </row>
    <row r="356">
      <c r="A356" s="13">
        <v>355.0</v>
      </c>
      <c r="B356" s="164">
        <v>46159.0</v>
      </c>
      <c r="C356" s="13" t="s">
        <v>21</v>
      </c>
      <c r="D356" s="13" t="s">
        <v>24</v>
      </c>
      <c r="E356" s="130" t="s">
        <v>5119</v>
      </c>
      <c r="F356" s="12">
        <v>5.9955996E8</v>
      </c>
      <c r="G356" s="130" t="s">
        <v>71</v>
      </c>
      <c r="H356" s="156" t="s">
        <v>27</v>
      </c>
      <c r="I356" s="130" t="s">
        <v>93</v>
      </c>
      <c r="J356" s="125"/>
      <c r="K356" s="13" t="s">
        <v>36</v>
      </c>
      <c r="L356" s="125"/>
      <c r="M356" s="27" t="s">
        <v>38</v>
      </c>
      <c r="N356" s="13" t="s">
        <v>40</v>
      </c>
      <c r="O356" s="13" t="s">
        <v>42</v>
      </c>
      <c r="P356" s="156"/>
      <c r="Q356" s="13" t="s">
        <v>44</v>
      </c>
      <c r="R356" s="13" t="s">
        <v>46</v>
      </c>
      <c r="S356" s="13"/>
      <c r="T356" s="125"/>
      <c r="U356" s="125"/>
      <c r="V356" s="156">
        <v>0.0</v>
      </c>
    </row>
    <row r="357">
      <c r="A357" s="13">
        <v>356.0</v>
      </c>
      <c r="B357" s="164">
        <v>46159.0</v>
      </c>
      <c r="C357" s="13" t="s">
        <v>21</v>
      </c>
      <c r="D357" s="13" t="s">
        <v>24</v>
      </c>
      <c r="E357" s="130" t="s">
        <v>5124</v>
      </c>
      <c r="F357" s="12">
        <v>5.65566062E8</v>
      </c>
      <c r="G357" s="130" t="s">
        <v>4091</v>
      </c>
      <c r="H357" s="156" t="s">
        <v>27</v>
      </c>
      <c r="I357" s="130" t="s">
        <v>5125</v>
      </c>
      <c r="J357" s="125"/>
      <c r="K357" s="13" t="s">
        <v>36</v>
      </c>
      <c r="L357" s="125"/>
      <c r="M357" s="27" t="s">
        <v>323</v>
      </c>
      <c r="N357" s="13" t="s">
        <v>40</v>
      </c>
      <c r="O357" s="13" t="s">
        <v>42</v>
      </c>
      <c r="P357" s="156"/>
      <c r="Q357" s="13" t="s">
        <v>863</v>
      </c>
      <c r="R357" s="13" t="s">
        <v>46</v>
      </c>
      <c r="S357" s="13"/>
      <c r="T357" s="125"/>
      <c r="U357" s="125"/>
      <c r="V357" s="156">
        <v>0.0</v>
      </c>
    </row>
    <row r="358">
      <c r="A358" s="13">
        <v>357.0</v>
      </c>
      <c r="B358" s="164">
        <v>46159.0</v>
      </c>
      <c r="C358" s="13" t="s">
        <v>21</v>
      </c>
      <c r="D358" s="13" t="s">
        <v>22</v>
      </c>
      <c r="E358" s="130" t="s">
        <v>5133</v>
      </c>
      <c r="F358" s="12">
        <v>5.94004114E8</v>
      </c>
      <c r="G358" s="130" t="s">
        <v>2537</v>
      </c>
      <c r="H358" s="156" t="s">
        <v>27</v>
      </c>
      <c r="I358" s="130" t="s">
        <v>5136</v>
      </c>
      <c r="J358" s="125"/>
      <c r="K358" s="13" t="s">
        <v>62</v>
      </c>
      <c r="L358" s="125"/>
      <c r="M358" s="27" t="s">
        <v>38</v>
      </c>
      <c r="N358" s="13" t="s">
        <v>40</v>
      </c>
      <c r="O358" s="13" t="s">
        <v>42</v>
      </c>
      <c r="P358" s="156"/>
      <c r="Q358" s="13" t="s">
        <v>44</v>
      </c>
      <c r="R358" s="13" t="s">
        <v>46</v>
      </c>
      <c r="S358" s="13"/>
      <c r="T358" s="125"/>
      <c r="U358" s="125"/>
      <c r="V358" s="156">
        <v>0.0</v>
      </c>
    </row>
    <row r="359" ht="42.0" customHeight="1">
      <c r="A359" s="13">
        <v>358.0</v>
      </c>
      <c r="B359" s="164">
        <v>46159.0</v>
      </c>
      <c r="C359" s="13" t="s">
        <v>58</v>
      </c>
      <c r="D359" s="13" t="s">
        <v>48</v>
      </c>
      <c r="E359" s="130" t="s">
        <v>5141</v>
      </c>
      <c r="F359" s="12">
        <v>5.51166955E8</v>
      </c>
      <c r="G359" s="130" t="s">
        <v>1332</v>
      </c>
      <c r="H359" s="156" t="s">
        <v>638</v>
      </c>
      <c r="I359" s="130" t="s">
        <v>5143</v>
      </c>
      <c r="J359" s="125"/>
      <c r="K359" s="13" t="s">
        <v>36</v>
      </c>
      <c r="L359" s="125"/>
      <c r="M359" s="27" t="s">
        <v>3230</v>
      </c>
      <c r="N359" s="13" t="s">
        <v>40</v>
      </c>
      <c r="O359" s="13" t="s">
        <v>42</v>
      </c>
      <c r="P359" s="156"/>
      <c r="Q359" s="13" t="s">
        <v>863</v>
      </c>
      <c r="R359" s="13" t="s">
        <v>46</v>
      </c>
      <c r="S359" s="13"/>
      <c r="T359" s="125"/>
      <c r="U359" s="125"/>
      <c r="V359" s="156">
        <v>0.0</v>
      </c>
    </row>
    <row r="360">
      <c r="A360" s="13">
        <v>359.0</v>
      </c>
      <c r="B360" s="164">
        <v>46159.0</v>
      </c>
      <c r="C360" s="13" t="s">
        <v>58</v>
      </c>
      <c r="D360" s="13" t="s">
        <v>60</v>
      </c>
      <c r="E360" s="156" t="s">
        <v>27</v>
      </c>
      <c r="F360" s="110">
        <v>5.52238615E8</v>
      </c>
      <c r="G360" s="254" t="s">
        <v>27</v>
      </c>
      <c r="H360" s="254" t="s">
        <v>27</v>
      </c>
      <c r="I360" s="127" t="s">
        <v>5149</v>
      </c>
      <c r="J360" s="125"/>
      <c r="K360" s="13" t="s">
        <v>36</v>
      </c>
      <c r="L360" s="125"/>
      <c r="M360" s="27" t="s">
        <v>88</v>
      </c>
      <c r="N360" s="13" t="s">
        <v>40</v>
      </c>
      <c r="O360" s="13" t="s">
        <v>42</v>
      </c>
      <c r="P360" s="156"/>
      <c r="Q360" s="13" t="s">
        <v>863</v>
      </c>
      <c r="R360" s="13"/>
      <c r="S360" s="13"/>
      <c r="T360" s="125"/>
      <c r="U360" s="125"/>
      <c r="V360" s="156">
        <v>0.0</v>
      </c>
    </row>
    <row r="361">
      <c r="A361" s="13">
        <v>360.0</v>
      </c>
      <c r="B361" s="164">
        <v>46159.0</v>
      </c>
      <c r="C361" s="13" t="s">
        <v>58</v>
      </c>
      <c r="D361" s="13" t="s">
        <v>60</v>
      </c>
      <c r="E361" s="156" t="s">
        <v>27</v>
      </c>
      <c r="F361" s="12">
        <v>5.54507979E8</v>
      </c>
      <c r="G361" s="254" t="s">
        <v>27</v>
      </c>
      <c r="H361" s="254" t="s">
        <v>27</v>
      </c>
      <c r="I361" s="130" t="s">
        <v>5154</v>
      </c>
      <c r="J361" s="125"/>
      <c r="K361" s="13" t="s">
        <v>36</v>
      </c>
      <c r="L361" s="125"/>
      <c r="M361" s="27" t="s">
        <v>38</v>
      </c>
      <c r="N361" s="13" t="s">
        <v>40</v>
      </c>
      <c r="O361" s="13" t="s">
        <v>42</v>
      </c>
      <c r="P361" s="156"/>
      <c r="Q361" s="13" t="s">
        <v>863</v>
      </c>
      <c r="R361" s="13"/>
      <c r="S361" s="13"/>
      <c r="T361" s="125"/>
      <c r="U361" s="125"/>
      <c r="V361" s="156">
        <v>0.0</v>
      </c>
    </row>
    <row r="362">
      <c r="A362" s="13">
        <v>361.0</v>
      </c>
      <c r="B362" s="164">
        <v>46159.0</v>
      </c>
      <c r="C362" s="13" t="s">
        <v>58</v>
      </c>
      <c r="D362" s="13" t="s">
        <v>60</v>
      </c>
      <c r="E362" s="156" t="s">
        <v>27</v>
      </c>
      <c r="F362" s="12">
        <v>5.53818611E8</v>
      </c>
      <c r="G362" s="254" t="s">
        <v>27</v>
      </c>
      <c r="H362" s="254" t="s">
        <v>27</v>
      </c>
      <c r="I362" s="130" t="s">
        <v>5161</v>
      </c>
      <c r="J362" s="125"/>
      <c r="K362" s="13" t="s">
        <v>36</v>
      </c>
      <c r="L362" s="125"/>
      <c r="M362" s="27" t="s">
        <v>38</v>
      </c>
      <c r="N362" s="13" t="s">
        <v>40</v>
      </c>
      <c r="O362" s="13" t="s">
        <v>42</v>
      </c>
      <c r="P362" s="156"/>
      <c r="Q362" s="13" t="s">
        <v>863</v>
      </c>
      <c r="R362" s="13"/>
      <c r="S362" s="13"/>
      <c r="T362" s="125"/>
      <c r="U362" s="125"/>
      <c r="V362" s="156">
        <v>0.0</v>
      </c>
    </row>
    <row r="363">
      <c r="A363" s="13">
        <v>362.0</v>
      </c>
      <c r="B363" s="164">
        <v>46159.0</v>
      </c>
      <c r="C363" s="13" t="s">
        <v>58</v>
      </c>
      <c r="D363" s="13" t="s">
        <v>60</v>
      </c>
      <c r="E363" s="156" t="s">
        <v>27</v>
      </c>
      <c r="F363" s="12">
        <v>5.01359749E8</v>
      </c>
      <c r="G363" s="254" t="s">
        <v>27</v>
      </c>
      <c r="H363" s="254" t="s">
        <v>27</v>
      </c>
      <c r="I363" s="130" t="s">
        <v>5165</v>
      </c>
      <c r="J363" s="125"/>
      <c r="K363" s="13" t="s">
        <v>36</v>
      </c>
      <c r="L363" s="125"/>
      <c r="M363" s="27" t="s">
        <v>38</v>
      </c>
      <c r="N363" s="13" t="s">
        <v>40</v>
      </c>
      <c r="O363" s="13" t="s">
        <v>42</v>
      </c>
      <c r="P363" s="156"/>
      <c r="Q363" s="13" t="s">
        <v>863</v>
      </c>
      <c r="R363" s="13"/>
      <c r="S363" s="13"/>
      <c r="T363" s="125"/>
      <c r="U363" s="125"/>
      <c r="V363" s="156">
        <v>0.0</v>
      </c>
    </row>
    <row r="364">
      <c r="A364" s="13">
        <v>363.0</v>
      </c>
      <c r="B364" s="164">
        <v>46159.0</v>
      </c>
      <c r="C364" s="13" t="s">
        <v>58</v>
      </c>
      <c r="D364" s="13" t="s">
        <v>60</v>
      </c>
      <c r="E364" s="156" t="s">
        <v>27</v>
      </c>
      <c r="F364" s="12">
        <v>5.08841023E8</v>
      </c>
      <c r="G364" s="254" t="s">
        <v>27</v>
      </c>
      <c r="H364" s="254" t="s">
        <v>27</v>
      </c>
      <c r="I364" s="130" t="s">
        <v>5172</v>
      </c>
      <c r="J364" s="125"/>
      <c r="K364" s="13" t="s">
        <v>36</v>
      </c>
      <c r="L364" s="125"/>
      <c r="M364" s="27" t="s">
        <v>38</v>
      </c>
      <c r="N364" s="13" t="s">
        <v>40</v>
      </c>
      <c r="O364" s="13" t="s">
        <v>42</v>
      </c>
      <c r="P364" s="156"/>
      <c r="Q364" s="13" t="s">
        <v>863</v>
      </c>
      <c r="R364" s="13"/>
      <c r="S364" s="13"/>
      <c r="T364" s="125"/>
      <c r="U364" s="125"/>
      <c r="V364" s="156">
        <v>0.0</v>
      </c>
    </row>
    <row r="365" ht="80.25" customHeight="1">
      <c r="A365" s="13">
        <v>364.0</v>
      </c>
      <c r="B365" s="164">
        <v>46159.0</v>
      </c>
      <c r="C365" s="13" t="s">
        <v>47</v>
      </c>
      <c r="D365" s="13" t="s">
        <v>48</v>
      </c>
      <c r="E365" s="130" t="s">
        <v>5175</v>
      </c>
      <c r="F365" s="12">
        <v>5.5534198E8</v>
      </c>
      <c r="G365" s="20" t="s">
        <v>28</v>
      </c>
      <c r="H365" s="156" t="s">
        <v>177</v>
      </c>
      <c r="I365" s="130" t="s">
        <v>5179</v>
      </c>
      <c r="J365" s="130"/>
      <c r="K365" s="13" t="s">
        <v>36</v>
      </c>
      <c r="L365" s="159">
        <v>0.6298611111111111</v>
      </c>
      <c r="M365" s="27" t="s">
        <v>55</v>
      </c>
      <c r="N365" s="13" t="s">
        <v>40</v>
      </c>
      <c r="O365" s="13" t="s">
        <v>42</v>
      </c>
      <c r="P365" s="156"/>
      <c r="Q365" s="13" t="s">
        <v>863</v>
      </c>
      <c r="R365" s="13" t="s">
        <v>46</v>
      </c>
      <c r="S365" s="20" t="s">
        <v>2632</v>
      </c>
      <c r="T365" s="159">
        <v>0.5451388888888888</v>
      </c>
      <c r="U365" s="156" t="s">
        <v>49</v>
      </c>
      <c r="V365" s="156">
        <v>0.0</v>
      </c>
    </row>
    <row r="366" ht="27.0" customHeight="1">
      <c r="A366" s="13">
        <v>365.0</v>
      </c>
      <c r="B366" s="164">
        <v>46159.0</v>
      </c>
      <c r="C366" s="13" t="s">
        <v>58</v>
      </c>
      <c r="D366" s="13" t="s">
        <v>60</v>
      </c>
      <c r="E366" s="156" t="s">
        <v>27</v>
      </c>
      <c r="F366" s="12">
        <v>5.5525875E8</v>
      </c>
      <c r="G366" s="13" t="s">
        <v>27</v>
      </c>
      <c r="H366" s="13" t="s">
        <v>27</v>
      </c>
      <c r="I366" s="249" t="s">
        <v>5183</v>
      </c>
      <c r="J366" s="130"/>
      <c r="K366" s="13" t="s">
        <v>36</v>
      </c>
      <c r="L366" s="125"/>
      <c r="M366" s="27" t="s">
        <v>88</v>
      </c>
      <c r="N366" s="13" t="s">
        <v>40</v>
      </c>
      <c r="O366" s="13" t="s">
        <v>42</v>
      </c>
      <c r="P366" s="156"/>
      <c r="Q366" s="13" t="s">
        <v>863</v>
      </c>
      <c r="R366" s="13"/>
      <c r="S366" s="13"/>
      <c r="T366" s="125"/>
      <c r="U366" s="125"/>
      <c r="V366" s="156"/>
    </row>
    <row r="367">
      <c r="A367" s="13">
        <v>366.0</v>
      </c>
      <c r="B367" s="125">
        <v>46159.0</v>
      </c>
      <c r="C367" s="13" t="s">
        <v>21</v>
      </c>
      <c r="D367" s="13" t="s">
        <v>22</v>
      </c>
      <c r="E367" s="130" t="s">
        <v>5190</v>
      </c>
      <c r="F367" s="12">
        <v>5.38390007E8</v>
      </c>
      <c r="G367" s="156" t="s">
        <v>27</v>
      </c>
      <c r="H367" s="156" t="s">
        <v>27</v>
      </c>
      <c r="I367" s="130" t="s">
        <v>5192</v>
      </c>
      <c r="J367" s="130"/>
      <c r="K367" s="13" t="s">
        <v>39</v>
      </c>
      <c r="L367" s="125"/>
      <c r="M367" s="27" t="s">
        <v>38</v>
      </c>
      <c r="N367" s="13" t="s">
        <v>40</v>
      </c>
      <c r="O367" s="13" t="s">
        <v>42</v>
      </c>
      <c r="P367" s="156"/>
      <c r="Q367" s="13" t="s">
        <v>44</v>
      </c>
      <c r="R367" s="13" t="s">
        <v>46</v>
      </c>
      <c r="S367" s="13"/>
      <c r="T367" s="125"/>
      <c r="U367" s="125"/>
      <c r="V367" s="156"/>
    </row>
    <row r="368">
      <c r="A368" s="13">
        <v>367.0</v>
      </c>
      <c r="B368" s="125">
        <v>46160.0</v>
      </c>
      <c r="C368" s="13" t="s">
        <v>21</v>
      </c>
      <c r="D368" s="13" t="s">
        <v>24</v>
      </c>
      <c r="E368" s="130" t="s">
        <v>5197</v>
      </c>
      <c r="F368" s="12">
        <v>5.99056006E8</v>
      </c>
      <c r="G368" s="130" t="s">
        <v>4985</v>
      </c>
      <c r="H368" s="156" t="s">
        <v>27</v>
      </c>
      <c r="I368" s="130" t="s">
        <v>5198</v>
      </c>
      <c r="J368" s="130"/>
      <c r="K368" s="13" t="s">
        <v>36</v>
      </c>
      <c r="L368" s="125"/>
      <c r="M368" s="27" t="s">
        <v>38</v>
      </c>
      <c r="N368" s="13" t="s">
        <v>40</v>
      </c>
      <c r="O368" s="13" t="s">
        <v>42</v>
      </c>
      <c r="P368" s="156"/>
      <c r="Q368" s="13" t="s">
        <v>44</v>
      </c>
      <c r="R368" s="13" t="s">
        <v>46</v>
      </c>
      <c r="S368" s="13"/>
      <c r="T368" s="125"/>
      <c r="U368" s="125"/>
      <c r="V368" s="156"/>
    </row>
    <row r="369">
      <c r="A369" s="13">
        <v>368.0</v>
      </c>
      <c r="B369" s="125">
        <v>46160.0</v>
      </c>
      <c r="C369" s="13" t="s">
        <v>21</v>
      </c>
      <c r="D369" s="13" t="s">
        <v>24</v>
      </c>
      <c r="E369" s="130" t="s">
        <v>5203</v>
      </c>
      <c r="F369" s="12">
        <v>5.5294237E8</v>
      </c>
      <c r="G369" s="130" t="s">
        <v>5204</v>
      </c>
      <c r="H369" s="156" t="s">
        <v>27</v>
      </c>
      <c r="I369" s="130" t="s">
        <v>5205</v>
      </c>
      <c r="J369" s="130"/>
      <c r="K369" s="13" t="s">
        <v>36</v>
      </c>
      <c r="L369" s="125"/>
      <c r="M369" s="27" t="s">
        <v>38</v>
      </c>
      <c r="N369" s="13" t="s">
        <v>40</v>
      </c>
      <c r="O369" s="13" t="s">
        <v>42</v>
      </c>
      <c r="P369" s="156"/>
      <c r="Q369" s="13" t="s">
        <v>863</v>
      </c>
      <c r="R369" s="13" t="s">
        <v>46</v>
      </c>
      <c r="S369" s="13"/>
      <c r="T369" s="125"/>
      <c r="U369" s="125"/>
      <c r="V369" s="156"/>
    </row>
    <row r="370">
      <c r="A370" s="13">
        <v>369.0</v>
      </c>
      <c r="B370" s="125">
        <v>46160.0</v>
      </c>
      <c r="C370" s="13" t="s">
        <v>21</v>
      </c>
      <c r="D370" s="13" t="s">
        <v>24</v>
      </c>
      <c r="E370" s="130" t="s">
        <v>5213</v>
      </c>
      <c r="F370" s="12">
        <v>5.32096896E8</v>
      </c>
      <c r="G370" s="130" t="s">
        <v>4091</v>
      </c>
      <c r="H370" s="156" t="s">
        <v>27</v>
      </c>
      <c r="I370" s="130" t="s">
        <v>5214</v>
      </c>
      <c r="J370" s="130"/>
      <c r="K370" s="13" t="s">
        <v>36</v>
      </c>
      <c r="L370" s="125"/>
      <c r="M370" s="27" t="s">
        <v>38</v>
      </c>
      <c r="N370" s="13" t="s">
        <v>40</v>
      </c>
      <c r="O370" s="13" t="s">
        <v>42</v>
      </c>
      <c r="P370" s="156"/>
      <c r="Q370" s="13" t="s">
        <v>863</v>
      </c>
      <c r="R370" s="13" t="s">
        <v>46</v>
      </c>
      <c r="S370" s="13"/>
      <c r="T370" s="125"/>
      <c r="U370" s="125"/>
      <c r="V370" s="156"/>
    </row>
    <row r="371" ht="69.0" customHeight="1">
      <c r="A371" s="13">
        <v>370.0</v>
      </c>
      <c r="B371" s="125">
        <v>46160.0</v>
      </c>
      <c r="C371" s="13" t="s">
        <v>47</v>
      </c>
      <c r="D371" s="13" t="s">
        <v>92</v>
      </c>
      <c r="E371" s="156" t="s">
        <v>27</v>
      </c>
      <c r="F371" s="12" t="s">
        <v>27</v>
      </c>
      <c r="G371" s="20" t="s">
        <v>71</v>
      </c>
      <c r="H371" s="156" t="s">
        <v>94</v>
      </c>
      <c r="I371" s="130" t="s">
        <v>5224</v>
      </c>
      <c r="J371" s="130"/>
      <c r="K371" s="13" t="s">
        <v>78</v>
      </c>
      <c r="L371" s="125"/>
      <c r="M371" s="27" t="s">
        <v>55</v>
      </c>
      <c r="N371" s="13" t="s">
        <v>40</v>
      </c>
      <c r="O371" s="13" t="s">
        <v>42</v>
      </c>
      <c r="P371" s="156"/>
      <c r="Q371" s="13" t="s">
        <v>863</v>
      </c>
      <c r="R371" s="13" t="s">
        <v>46</v>
      </c>
      <c r="S371" s="13"/>
      <c r="T371" s="125"/>
      <c r="U371" s="125"/>
      <c r="V371" s="156"/>
    </row>
    <row r="372">
      <c r="A372" s="13">
        <v>371.0</v>
      </c>
      <c r="B372" s="125">
        <v>46160.0</v>
      </c>
      <c r="C372" s="13" t="s">
        <v>21</v>
      </c>
      <c r="D372" s="13" t="s">
        <v>24</v>
      </c>
      <c r="E372" s="130" t="s">
        <v>5203</v>
      </c>
      <c r="F372" s="12">
        <v>5.5294237E8</v>
      </c>
      <c r="G372" s="130" t="s">
        <v>4091</v>
      </c>
      <c r="H372" s="156"/>
      <c r="I372" s="130" t="s">
        <v>5230</v>
      </c>
      <c r="J372" s="130"/>
      <c r="K372" s="13" t="s">
        <v>62</v>
      </c>
      <c r="L372" s="125"/>
      <c r="M372" s="27" t="s">
        <v>38</v>
      </c>
      <c r="N372" s="13" t="s">
        <v>40</v>
      </c>
      <c r="O372" s="13" t="s">
        <v>42</v>
      </c>
      <c r="P372" s="156"/>
      <c r="Q372" s="13" t="s">
        <v>863</v>
      </c>
      <c r="R372" s="13" t="s">
        <v>46</v>
      </c>
      <c r="S372" s="13"/>
      <c r="T372" s="125"/>
      <c r="U372" s="125"/>
      <c r="V372" s="156"/>
    </row>
    <row r="373">
      <c r="A373" s="13">
        <v>372.0</v>
      </c>
      <c r="B373" s="125">
        <v>46160.0</v>
      </c>
      <c r="C373" s="13" t="s">
        <v>21</v>
      </c>
      <c r="D373" s="13" t="s">
        <v>22</v>
      </c>
      <c r="E373" s="130" t="s">
        <v>5233</v>
      </c>
      <c r="F373" s="12">
        <v>5.55819475E8</v>
      </c>
      <c r="G373" s="130" t="s">
        <v>79</v>
      </c>
      <c r="H373" s="156" t="s">
        <v>27</v>
      </c>
      <c r="I373" s="130" t="s">
        <v>5235</v>
      </c>
      <c r="J373" s="130"/>
      <c r="K373" s="13" t="s">
        <v>62</v>
      </c>
      <c r="L373" s="125"/>
      <c r="M373" s="27" t="s">
        <v>38</v>
      </c>
      <c r="N373" s="13" t="s">
        <v>40</v>
      </c>
      <c r="O373" s="13" t="s">
        <v>42</v>
      </c>
      <c r="P373" s="156"/>
      <c r="Q373" s="13" t="s">
        <v>44</v>
      </c>
      <c r="R373" s="13" t="s">
        <v>46</v>
      </c>
      <c r="S373" s="13"/>
      <c r="T373" s="125"/>
      <c r="U373" s="125"/>
      <c r="V373" s="156"/>
    </row>
    <row r="374">
      <c r="A374" s="13">
        <v>373.0</v>
      </c>
      <c r="B374" s="125">
        <v>46160.0</v>
      </c>
      <c r="C374" s="13" t="s">
        <v>58</v>
      </c>
      <c r="D374" s="13" t="s">
        <v>60</v>
      </c>
      <c r="E374" s="156" t="s">
        <v>27</v>
      </c>
      <c r="F374" s="160">
        <v>5.63314849E8</v>
      </c>
      <c r="G374" s="156" t="s">
        <v>27</v>
      </c>
      <c r="H374" s="156" t="s">
        <v>27</v>
      </c>
      <c r="I374" s="130" t="s">
        <v>1724</v>
      </c>
      <c r="J374" s="130"/>
      <c r="K374" s="13" t="s">
        <v>62</v>
      </c>
      <c r="L374" s="125"/>
      <c r="M374" s="27" t="s">
        <v>38</v>
      </c>
      <c r="N374" s="13" t="s">
        <v>40</v>
      </c>
      <c r="O374" s="13" t="s">
        <v>42</v>
      </c>
      <c r="P374" s="156"/>
      <c r="Q374" s="13" t="s">
        <v>44</v>
      </c>
      <c r="R374" s="13"/>
      <c r="S374" s="13"/>
      <c r="T374" s="125"/>
      <c r="U374" s="125"/>
      <c r="V374" s="156"/>
    </row>
    <row r="375">
      <c r="A375" s="13">
        <v>374.0</v>
      </c>
      <c r="B375" s="125">
        <v>46160.0</v>
      </c>
      <c r="C375" s="13" t="s">
        <v>58</v>
      </c>
      <c r="D375" s="13" t="s">
        <v>60</v>
      </c>
      <c r="E375" s="156" t="s">
        <v>5242</v>
      </c>
      <c r="F375" s="12">
        <v>5.41053151E8</v>
      </c>
      <c r="G375" s="156" t="s">
        <v>27</v>
      </c>
      <c r="H375" s="156" t="s">
        <v>27</v>
      </c>
      <c r="I375" s="130" t="s">
        <v>5243</v>
      </c>
      <c r="J375" s="130"/>
      <c r="K375" s="13" t="s">
        <v>62</v>
      </c>
      <c r="L375" s="125"/>
      <c r="M375" s="27" t="s">
        <v>88</v>
      </c>
      <c r="N375" s="13" t="s">
        <v>40</v>
      </c>
      <c r="O375" s="13" t="s">
        <v>42</v>
      </c>
      <c r="P375" s="156"/>
      <c r="Q375" s="13" t="s">
        <v>44</v>
      </c>
      <c r="R375" s="13"/>
      <c r="S375" s="13"/>
      <c r="T375" s="125"/>
      <c r="U375" s="125"/>
      <c r="V375" s="156"/>
    </row>
    <row r="376">
      <c r="A376" s="13">
        <v>375.0</v>
      </c>
      <c r="B376" s="125">
        <v>46160.0</v>
      </c>
      <c r="C376" s="13" t="s">
        <v>21</v>
      </c>
      <c r="D376" s="13" t="s">
        <v>24</v>
      </c>
      <c r="E376" s="156" t="s">
        <v>5248</v>
      </c>
      <c r="F376" s="12">
        <v>5.43138988E8</v>
      </c>
      <c r="G376" s="130" t="s">
        <v>71</v>
      </c>
      <c r="H376" s="156" t="s">
        <v>27</v>
      </c>
      <c r="I376" s="130" t="s">
        <v>5250</v>
      </c>
      <c r="J376" s="130"/>
      <c r="K376" s="13" t="s">
        <v>62</v>
      </c>
      <c r="L376" s="125"/>
      <c r="M376" s="27" t="s">
        <v>38</v>
      </c>
      <c r="N376" s="13" t="s">
        <v>40</v>
      </c>
      <c r="O376" s="13" t="s">
        <v>42</v>
      </c>
      <c r="P376" s="156"/>
      <c r="Q376" s="13" t="s">
        <v>44</v>
      </c>
      <c r="R376" s="13" t="s">
        <v>46</v>
      </c>
      <c r="S376" s="13"/>
      <c r="T376" s="125"/>
      <c r="U376" s="125"/>
      <c r="V376" s="156"/>
    </row>
    <row r="377">
      <c r="A377" s="13">
        <v>376.0</v>
      </c>
      <c r="B377" s="125">
        <v>46160.0</v>
      </c>
      <c r="C377" s="13" t="s">
        <v>58</v>
      </c>
      <c r="D377" s="13" t="s">
        <v>60</v>
      </c>
      <c r="E377" s="130" t="s">
        <v>5251</v>
      </c>
      <c r="F377" s="321">
        <v>5.08088086E8</v>
      </c>
      <c r="G377" s="156" t="s">
        <v>27</v>
      </c>
      <c r="H377" s="156" t="s">
        <v>27</v>
      </c>
      <c r="I377" s="130" t="s">
        <v>5252</v>
      </c>
      <c r="J377" s="130" t="s">
        <v>5253</v>
      </c>
      <c r="K377" s="13" t="s">
        <v>62</v>
      </c>
      <c r="L377" s="125"/>
      <c r="M377" s="107" t="s">
        <v>88</v>
      </c>
      <c r="N377" s="13" t="s">
        <v>40</v>
      </c>
      <c r="O377" s="13" t="s">
        <v>42</v>
      </c>
      <c r="P377" s="156"/>
      <c r="Q377" s="13" t="s">
        <v>44</v>
      </c>
      <c r="R377" s="13"/>
      <c r="S377" s="13"/>
      <c r="T377" s="125"/>
      <c r="U377" s="125"/>
      <c r="V377" s="156"/>
    </row>
    <row r="378" ht="155.25" customHeight="1">
      <c r="A378" s="13">
        <v>377.0</v>
      </c>
      <c r="B378" s="125">
        <v>46160.0</v>
      </c>
      <c r="C378" s="13" t="s">
        <v>47</v>
      </c>
      <c r="D378" s="13" t="s">
        <v>60</v>
      </c>
      <c r="E378" s="130" t="s">
        <v>5257</v>
      </c>
      <c r="F378" s="160">
        <v>5.55715504E8</v>
      </c>
      <c r="G378" s="130" t="s">
        <v>79</v>
      </c>
      <c r="H378" s="156" t="s">
        <v>142</v>
      </c>
      <c r="I378" s="323" t="s">
        <v>5259</v>
      </c>
      <c r="J378" s="324"/>
      <c r="K378" s="325" t="s">
        <v>62</v>
      </c>
      <c r="L378" s="326">
        <v>0.5763888888888888</v>
      </c>
      <c r="M378" s="105" t="s">
        <v>55</v>
      </c>
      <c r="N378" s="327" t="s">
        <v>40</v>
      </c>
      <c r="O378" s="328" t="s">
        <v>301</v>
      </c>
      <c r="P378" s="156"/>
      <c r="Q378" s="325" t="s">
        <v>44</v>
      </c>
      <c r="R378" s="329" t="s">
        <v>46</v>
      </c>
      <c r="S378" s="330" t="s">
        <v>5263</v>
      </c>
      <c r="T378" s="331">
        <v>0.6388888888888888</v>
      </c>
      <c r="U378" s="156" t="s">
        <v>44</v>
      </c>
      <c r="V378" s="325">
        <v>5.0</v>
      </c>
    </row>
    <row r="379">
      <c r="A379" s="13">
        <v>378.0</v>
      </c>
      <c r="B379" s="125">
        <v>46160.0</v>
      </c>
      <c r="C379" s="13" t="s">
        <v>58</v>
      </c>
      <c r="D379" s="13" t="s">
        <v>60</v>
      </c>
      <c r="E379" s="156" t="s">
        <v>27</v>
      </c>
      <c r="F379" s="12">
        <v>5.92777787E8</v>
      </c>
      <c r="G379" s="156" t="s">
        <v>27</v>
      </c>
      <c r="H379" s="125"/>
      <c r="I379" s="156" t="s">
        <v>5265</v>
      </c>
      <c r="J379" s="125"/>
      <c r="K379" s="13" t="s">
        <v>36</v>
      </c>
      <c r="L379" s="125"/>
      <c r="M379" s="107" t="s">
        <v>88</v>
      </c>
      <c r="N379" s="13" t="s">
        <v>40</v>
      </c>
      <c r="O379" s="13" t="s">
        <v>42</v>
      </c>
      <c r="P379" s="156"/>
      <c r="Q379" s="13" t="s">
        <v>863</v>
      </c>
      <c r="R379" s="13"/>
      <c r="S379" s="13"/>
      <c r="T379" s="125"/>
      <c r="U379" s="125"/>
      <c r="V379" s="156">
        <v>0.0</v>
      </c>
    </row>
    <row r="380">
      <c r="A380" s="13">
        <v>379.0</v>
      </c>
      <c r="B380" s="125">
        <v>46160.0</v>
      </c>
      <c r="C380" s="13" t="s">
        <v>58</v>
      </c>
      <c r="D380" s="13" t="s">
        <v>60</v>
      </c>
      <c r="E380" s="156" t="s">
        <v>27</v>
      </c>
      <c r="F380" s="12">
        <v>5.39393235E8</v>
      </c>
      <c r="G380" s="156" t="s">
        <v>27</v>
      </c>
      <c r="H380" s="125"/>
      <c r="I380" s="130" t="s">
        <v>5272</v>
      </c>
      <c r="J380" s="125"/>
      <c r="K380" s="13" t="s">
        <v>36</v>
      </c>
      <c r="L380" s="125"/>
      <c r="M380" s="105" t="s">
        <v>88</v>
      </c>
      <c r="N380" s="13" t="s">
        <v>40</v>
      </c>
      <c r="O380" s="13" t="s">
        <v>42</v>
      </c>
      <c r="P380" s="156"/>
      <c r="Q380" s="13" t="s">
        <v>863</v>
      </c>
      <c r="R380" s="13"/>
      <c r="S380" s="13"/>
      <c r="T380" s="125"/>
      <c r="U380" s="125"/>
      <c r="V380" s="156">
        <v>0.0</v>
      </c>
    </row>
    <row r="381">
      <c r="A381" s="13">
        <v>380.0</v>
      </c>
      <c r="B381" s="125">
        <v>46160.0</v>
      </c>
      <c r="C381" s="13" t="s">
        <v>21</v>
      </c>
      <c r="D381" s="13" t="s">
        <v>24</v>
      </c>
      <c r="E381" s="130" t="s">
        <v>5277</v>
      </c>
      <c r="F381" s="12">
        <v>5.02906711E8</v>
      </c>
      <c r="G381" s="156" t="s">
        <v>27</v>
      </c>
      <c r="H381" s="156" t="s">
        <v>27</v>
      </c>
      <c r="I381" s="130" t="s">
        <v>5278</v>
      </c>
      <c r="J381" s="125"/>
      <c r="K381" s="13" t="s">
        <v>457</v>
      </c>
      <c r="L381" s="125"/>
      <c r="M381" s="166" t="s">
        <v>2796</v>
      </c>
      <c r="N381" s="13" t="s">
        <v>40</v>
      </c>
      <c r="O381" s="13" t="s">
        <v>42</v>
      </c>
      <c r="P381" s="156"/>
      <c r="Q381" s="13" t="s">
        <v>863</v>
      </c>
      <c r="R381" s="13" t="s">
        <v>46</v>
      </c>
      <c r="S381" s="13"/>
      <c r="T381" s="125"/>
      <c r="U381" s="125"/>
      <c r="V381" s="156">
        <v>0.0</v>
      </c>
    </row>
    <row r="382">
      <c r="A382" s="13">
        <v>381.0</v>
      </c>
      <c r="B382" s="125">
        <v>46160.0</v>
      </c>
      <c r="C382" s="13" t="s">
        <v>21</v>
      </c>
      <c r="D382" s="13" t="s">
        <v>66</v>
      </c>
      <c r="E382" s="130" t="s">
        <v>5282</v>
      </c>
      <c r="F382" s="12">
        <v>5.79392144E8</v>
      </c>
      <c r="G382" s="156" t="s">
        <v>27</v>
      </c>
      <c r="H382" s="156" t="s">
        <v>27</v>
      </c>
      <c r="I382" s="130" t="s">
        <v>5283</v>
      </c>
      <c r="J382" s="130"/>
      <c r="K382" s="13" t="s">
        <v>36</v>
      </c>
      <c r="L382" s="125"/>
      <c r="M382" s="105" t="s">
        <v>38</v>
      </c>
      <c r="N382" s="13" t="s">
        <v>40</v>
      </c>
      <c r="O382" s="13" t="s">
        <v>42</v>
      </c>
      <c r="P382" s="156"/>
      <c r="Q382" s="13" t="s">
        <v>863</v>
      </c>
      <c r="R382" s="13"/>
      <c r="S382" s="13"/>
      <c r="T382" s="125"/>
      <c r="U382" s="125"/>
      <c r="V382" s="156"/>
    </row>
    <row r="383">
      <c r="A383" s="13">
        <v>382.0</v>
      </c>
      <c r="B383" s="125">
        <v>46160.0</v>
      </c>
      <c r="C383" s="13" t="s">
        <v>21</v>
      </c>
      <c r="D383" s="13" t="s">
        <v>66</v>
      </c>
      <c r="E383" s="130" t="s">
        <v>5288</v>
      </c>
      <c r="F383" s="12">
        <v>5.44635572E8</v>
      </c>
      <c r="G383" s="130" t="s">
        <v>2055</v>
      </c>
      <c r="H383" s="156" t="s">
        <v>27</v>
      </c>
      <c r="I383" s="130" t="s">
        <v>5289</v>
      </c>
      <c r="J383" s="130"/>
      <c r="K383" s="13" t="s">
        <v>36</v>
      </c>
      <c r="L383" s="125"/>
      <c r="M383" s="107" t="s">
        <v>38</v>
      </c>
      <c r="N383" s="13" t="s">
        <v>40</v>
      </c>
      <c r="O383" s="13" t="s">
        <v>42</v>
      </c>
      <c r="P383" s="156"/>
      <c r="Q383" s="13" t="s">
        <v>863</v>
      </c>
      <c r="R383" s="13"/>
      <c r="S383" s="13"/>
      <c r="T383" s="125"/>
      <c r="U383" s="125"/>
      <c r="V383" s="156"/>
    </row>
    <row r="384">
      <c r="A384" s="13">
        <v>383.0</v>
      </c>
      <c r="B384" s="125">
        <v>46160.0</v>
      </c>
      <c r="C384" s="13" t="s">
        <v>21</v>
      </c>
      <c r="D384" s="13" t="s">
        <v>24</v>
      </c>
      <c r="E384" s="130" t="s">
        <v>5294</v>
      </c>
      <c r="F384" s="12">
        <v>5.30694336E8</v>
      </c>
      <c r="G384" s="130" t="s">
        <v>120</v>
      </c>
      <c r="H384" s="156"/>
      <c r="I384" s="130" t="s">
        <v>5295</v>
      </c>
      <c r="J384" s="130"/>
      <c r="K384" s="13" t="s">
        <v>36</v>
      </c>
      <c r="L384" s="125"/>
      <c r="M384" s="105" t="s">
        <v>38</v>
      </c>
      <c r="N384" s="13" t="s">
        <v>40</v>
      </c>
      <c r="O384" s="13" t="s">
        <v>42</v>
      </c>
      <c r="P384" s="156"/>
      <c r="Q384" s="13" t="s">
        <v>44</v>
      </c>
      <c r="R384" s="13" t="s">
        <v>46</v>
      </c>
      <c r="S384" s="13"/>
      <c r="T384" s="125"/>
      <c r="U384" s="125"/>
      <c r="V384" s="156"/>
    </row>
    <row r="385">
      <c r="A385" s="13">
        <v>384.0</v>
      </c>
      <c r="B385" s="125">
        <v>46160.0</v>
      </c>
      <c r="C385" s="13" t="s">
        <v>21</v>
      </c>
      <c r="D385" s="13" t="s">
        <v>22</v>
      </c>
      <c r="E385" s="130" t="s">
        <v>5298</v>
      </c>
      <c r="F385" s="12">
        <v>5.54528864E8</v>
      </c>
      <c r="G385" s="130" t="s">
        <v>28</v>
      </c>
      <c r="H385" s="156" t="s">
        <v>27</v>
      </c>
      <c r="I385" s="130" t="s">
        <v>5302</v>
      </c>
      <c r="J385" s="125"/>
      <c r="K385" s="13" t="s">
        <v>321</v>
      </c>
      <c r="L385" s="125"/>
      <c r="M385" s="107" t="s">
        <v>38</v>
      </c>
      <c r="N385" s="13" t="s">
        <v>40</v>
      </c>
      <c r="O385" s="13" t="s">
        <v>42</v>
      </c>
      <c r="P385" s="156"/>
      <c r="Q385" s="13" t="s">
        <v>49</v>
      </c>
      <c r="R385" s="13" t="s">
        <v>46</v>
      </c>
      <c r="S385" s="13"/>
      <c r="T385" s="125"/>
      <c r="U385" s="125"/>
      <c r="V385" s="156">
        <v>0.0</v>
      </c>
    </row>
    <row r="386">
      <c r="A386" s="13">
        <v>385.0</v>
      </c>
      <c r="B386" s="125">
        <v>46160.0</v>
      </c>
      <c r="C386" s="13" t="s">
        <v>21</v>
      </c>
      <c r="D386" s="13" t="s">
        <v>24</v>
      </c>
      <c r="E386" s="130" t="s">
        <v>5306</v>
      </c>
      <c r="F386" s="12">
        <v>5.69939375E8</v>
      </c>
      <c r="G386" s="130" t="s">
        <v>4091</v>
      </c>
      <c r="H386" s="125"/>
      <c r="I386" s="130" t="s">
        <v>5307</v>
      </c>
      <c r="J386" s="125"/>
      <c r="K386" s="13" t="s">
        <v>36</v>
      </c>
      <c r="L386" s="125"/>
      <c r="M386" s="27" t="s">
        <v>38</v>
      </c>
      <c r="N386" s="13" t="s">
        <v>40</v>
      </c>
      <c r="O386" s="13" t="s">
        <v>42</v>
      </c>
      <c r="P386" s="156"/>
      <c r="Q386" s="13" t="s">
        <v>863</v>
      </c>
      <c r="R386" s="13" t="s">
        <v>46</v>
      </c>
      <c r="S386" s="13"/>
      <c r="T386" s="125"/>
      <c r="U386" s="125"/>
      <c r="V386" s="156">
        <v>0.0</v>
      </c>
    </row>
    <row r="387">
      <c r="A387" s="13">
        <v>386.0</v>
      </c>
      <c r="B387" s="125">
        <v>46160.0</v>
      </c>
      <c r="C387" s="13" t="s">
        <v>21</v>
      </c>
      <c r="D387" s="13" t="s">
        <v>24</v>
      </c>
      <c r="E387" s="130" t="s">
        <v>5312</v>
      </c>
      <c r="F387" s="12">
        <v>5.10214846E8</v>
      </c>
      <c r="G387" s="130" t="s">
        <v>1332</v>
      </c>
      <c r="H387" s="125"/>
      <c r="I387" s="130" t="s">
        <v>5315</v>
      </c>
      <c r="J387" s="125"/>
      <c r="K387" s="13" t="s">
        <v>36</v>
      </c>
      <c r="L387" s="125"/>
      <c r="M387" s="27" t="s">
        <v>3432</v>
      </c>
      <c r="N387" s="13" t="s">
        <v>40</v>
      </c>
      <c r="O387" s="13" t="s">
        <v>42</v>
      </c>
      <c r="P387" s="156"/>
      <c r="Q387" s="13" t="s">
        <v>863</v>
      </c>
      <c r="R387" s="13" t="s">
        <v>46</v>
      </c>
      <c r="S387" s="13"/>
      <c r="T387" s="125"/>
      <c r="U387" s="125"/>
      <c r="V387" s="156">
        <v>0.0</v>
      </c>
    </row>
    <row r="388">
      <c r="A388" s="13">
        <v>387.0</v>
      </c>
      <c r="B388" s="125">
        <v>46160.0</v>
      </c>
      <c r="C388" s="13" t="s">
        <v>21</v>
      </c>
      <c r="D388" s="13" t="s">
        <v>24</v>
      </c>
      <c r="E388" s="130" t="s">
        <v>5323</v>
      </c>
      <c r="F388" s="12">
        <v>5.55819475E8</v>
      </c>
      <c r="G388" s="130" t="s">
        <v>1332</v>
      </c>
      <c r="H388" s="125"/>
      <c r="I388" s="130" t="s">
        <v>5324</v>
      </c>
      <c r="J388" s="125"/>
      <c r="K388" s="13" t="s">
        <v>36</v>
      </c>
      <c r="L388" s="125"/>
      <c r="M388" s="27" t="s">
        <v>38</v>
      </c>
      <c r="N388" s="13" t="s">
        <v>40</v>
      </c>
      <c r="O388" s="13" t="s">
        <v>42</v>
      </c>
      <c r="P388" s="156"/>
      <c r="Q388" s="13" t="s">
        <v>863</v>
      </c>
      <c r="R388" s="13" t="s">
        <v>46</v>
      </c>
      <c r="S388" s="13"/>
      <c r="T388" s="125"/>
      <c r="U388" s="125"/>
      <c r="V388" s="156">
        <v>0.0</v>
      </c>
    </row>
    <row r="389" ht="35.25" customHeight="1">
      <c r="A389" s="13">
        <v>388.0</v>
      </c>
      <c r="B389" s="125">
        <v>46160.0</v>
      </c>
      <c r="C389" s="13" t="s">
        <v>21</v>
      </c>
      <c r="D389" s="13" t="s">
        <v>24</v>
      </c>
      <c r="E389" s="130" t="s">
        <v>5329</v>
      </c>
      <c r="F389" s="12">
        <v>5.54655195E8</v>
      </c>
      <c r="G389" s="130" t="s">
        <v>5330</v>
      </c>
      <c r="H389" s="125"/>
      <c r="I389" s="130" t="s">
        <v>5331</v>
      </c>
      <c r="J389" s="125"/>
      <c r="K389" s="13" t="s">
        <v>36</v>
      </c>
      <c r="L389" s="125"/>
      <c r="M389" s="27" t="s">
        <v>38</v>
      </c>
      <c r="N389" s="13" t="s">
        <v>40</v>
      </c>
      <c r="O389" s="13" t="s">
        <v>42</v>
      </c>
      <c r="P389" s="156"/>
      <c r="Q389" s="13" t="s">
        <v>863</v>
      </c>
      <c r="R389" s="13" t="s">
        <v>46</v>
      </c>
      <c r="S389" s="13"/>
      <c r="T389" s="125"/>
      <c r="U389" s="125"/>
      <c r="V389" s="156">
        <v>0.0</v>
      </c>
    </row>
    <row r="390" ht="242.25" customHeight="1">
      <c r="A390" s="13">
        <v>389.0</v>
      </c>
      <c r="B390" s="125">
        <v>46160.0</v>
      </c>
      <c r="C390" s="13" t="s">
        <v>47</v>
      </c>
      <c r="D390" s="13" t="s">
        <v>60</v>
      </c>
      <c r="E390" s="130" t="s">
        <v>5337</v>
      </c>
      <c r="F390" s="12">
        <v>5.09598103E8</v>
      </c>
      <c r="G390" s="130" t="s">
        <v>4513</v>
      </c>
      <c r="H390" s="156" t="s">
        <v>97</v>
      </c>
      <c r="I390" s="130" t="s">
        <v>5338</v>
      </c>
      <c r="J390" s="125"/>
      <c r="K390" s="13" t="s">
        <v>36</v>
      </c>
      <c r="L390" s="155">
        <v>0.6840277777777778</v>
      </c>
      <c r="M390" s="27" t="s">
        <v>55</v>
      </c>
      <c r="N390" s="13" t="s">
        <v>40</v>
      </c>
      <c r="O390" s="13" t="s">
        <v>42</v>
      </c>
      <c r="P390" s="156"/>
      <c r="Q390" s="13" t="s">
        <v>863</v>
      </c>
      <c r="R390" s="13" t="s">
        <v>46</v>
      </c>
      <c r="S390" s="20" t="s">
        <v>2632</v>
      </c>
      <c r="T390" s="159">
        <v>0.6090277777777777</v>
      </c>
      <c r="U390" s="13" t="s">
        <v>49</v>
      </c>
      <c r="V390" s="156">
        <v>0.0</v>
      </c>
    </row>
    <row r="391" ht="33.75" customHeight="1">
      <c r="A391" s="13">
        <v>390.0</v>
      </c>
      <c r="B391" s="125">
        <v>46161.0</v>
      </c>
      <c r="C391" s="13" t="s">
        <v>58</v>
      </c>
      <c r="D391" s="13" t="s">
        <v>60</v>
      </c>
      <c r="E391" s="156" t="s">
        <v>27</v>
      </c>
      <c r="F391" s="12">
        <v>5.98664925E8</v>
      </c>
      <c r="G391" s="156" t="s">
        <v>27</v>
      </c>
      <c r="H391" s="156" t="s">
        <v>27</v>
      </c>
      <c r="I391" s="130" t="s">
        <v>5344</v>
      </c>
      <c r="J391" s="130" t="s">
        <v>1969</v>
      </c>
      <c r="K391" s="13" t="s">
        <v>36</v>
      </c>
      <c r="L391" s="125"/>
      <c r="M391" s="27" t="s">
        <v>88</v>
      </c>
      <c r="N391" s="13" t="s">
        <v>40</v>
      </c>
      <c r="O391" s="13" t="s">
        <v>42</v>
      </c>
      <c r="P391" s="156"/>
      <c r="Q391" s="13" t="s">
        <v>44</v>
      </c>
      <c r="R391" s="13"/>
      <c r="S391" s="13"/>
      <c r="T391" s="125"/>
      <c r="U391" s="125"/>
      <c r="V391" s="156">
        <v>0.0</v>
      </c>
    </row>
    <row r="392" ht="42.0" customHeight="1">
      <c r="A392" s="13">
        <v>391.0</v>
      </c>
      <c r="B392" s="125">
        <v>46161.0</v>
      </c>
      <c r="C392" s="13" t="s">
        <v>58</v>
      </c>
      <c r="D392" s="13" t="s">
        <v>60</v>
      </c>
      <c r="E392" s="156" t="s">
        <v>27</v>
      </c>
      <c r="F392" s="12">
        <v>5.94634001E8</v>
      </c>
      <c r="G392" s="156" t="s">
        <v>27</v>
      </c>
      <c r="H392" s="156" t="s">
        <v>27</v>
      </c>
      <c r="I392" s="112" t="s">
        <v>5348</v>
      </c>
      <c r="J392" s="125"/>
      <c r="K392" s="13" t="s">
        <v>36</v>
      </c>
      <c r="L392" s="125"/>
      <c r="M392" s="27" t="s">
        <v>88</v>
      </c>
      <c r="N392" s="13" t="s">
        <v>56</v>
      </c>
      <c r="O392" s="13" t="s">
        <v>42</v>
      </c>
      <c r="P392" s="156"/>
      <c r="Q392" s="13" t="s">
        <v>863</v>
      </c>
      <c r="R392" s="13"/>
      <c r="S392" s="13"/>
      <c r="T392" s="125"/>
      <c r="U392" s="125"/>
      <c r="V392" s="156">
        <v>0.0</v>
      </c>
    </row>
    <row r="393">
      <c r="A393" s="13">
        <v>392.0</v>
      </c>
      <c r="B393" s="125">
        <v>46161.0</v>
      </c>
      <c r="C393" s="13" t="s">
        <v>21</v>
      </c>
      <c r="D393" s="13" t="s">
        <v>34</v>
      </c>
      <c r="E393" s="130" t="s">
        <v>5352</v>
      </c>
      <c r="F393" s="12">
        <v>5.79392144E8</v>
      </c>
      <c r="G393" s="156" t="s">
        <v>27</v>
      </c>
      <c r="H393" s="156" t="s">
        <v>27</v>
      </c>
      <c r="I393" s="130" t="s">
        <v>5353</v>
      </c>
      <c r="J393" s="125"/>
      <c r="K393" s="13" t="s">
        <v>62</v>
      </c>
      <c r="L393" s="125"/>
      <c r="M393" s="27" t="s">
        <v>38</v>
      </c>
      <c r="N393" s="13" t="s">
        <v>56</v>
      </c>
      <c r="O393" s="13" t="s">
        <v>42</v>
      </c>
      <c r="P393" s="156"/>
      <c r="Q393" s="13" t="s">
        <v>44</v>
      </c>
      <c r="R393" s="13"/>
      <c r="S393" s="13"/>
      <c r="T393" s="125"/>
      <c r="U393" s="125"/>
      <c r="V393" s="156">
        <v>0.0</v>
      </c>
    </row>
    <row r="394">
      <c r="A394" s="13">
        <v>393.0</v>
      </c>
      <c r="B394" s="125">
        <v>46161.0</v>
      </c>
      <c r="C394" s="13" t="s">
        <v>58</v>
      </c>
      <c r="D394" s="13" t="s">
        <v>60</v>
      </c>
      <c r="E394" s="156" t="s">
        <v>27</v>
      </c>
      <c r="F394" s="160">
        <v>5.58462173E8</v>
      </c>
      <c r="G394" s="156" t="s">
        <v>27</v>
      </c>
      <c r="H394" s="156" t="s">
        <v>27</v>
      </c>
      <c r="I394" s="130" t="s">
        <v>5358</v>
      </c>
      <c r="J394" s="125"/>
      <c r="K394" s="13" t="s">
        <v>62</v>
      </c>
      <c r="L394" s="125"/>
      <c r="M394" s="27" t="s">
        <v>38</v>
      </c>
      <c r="N394" s="13" t="s">
        <v>40</v>
      </c>
      <c r="O394" s="13" t="s">
        <v>42</v>
      </c>
      <c r="P394" s="156"/>
      <c r="Q394" s="13" t="s">
        <v>44</v>
      </c>
      <c r="R394" s="13"/>
      <c r="S394" s="13"/>
      <c r="T394" s="125"/>
      <c r="U394" s="125"/>
      <c r="V394" s="156">
        <v>0.0</v>
      </c>
    </row>
    <row r="395">
      <c r="A395" s="13">
        <v>394.0</v>
      </c>
      <c r="B395" s="125">
        <v>46161.0</v>
      </c>
      <c r="C395" s="13" t="s">
        <v>58</v>
      </c>
      <c r="D395" s="13" t="s">
        <v>34</v>
      </c>
      <c r="E395" s="125"/>
      <c r="F395" s="12">
        <v>5.92767677E8</v>
      </c>
      <c r="G395" s="125"/>
      <c r="H395" s="125"/>
      <c r="I395" s="130" t="s">
        <v>4784</v>
      </c>
      <c r="J395" s="125"/>
      <c r="K395" s="13" t="s">
        <v>62</v>
      </c>
      <c r="L395" s="125"/>
      <c r="M395" s="27" t="s">
        <v>88</v>
      </c>
      <c r="N395" s="13" t="s">
        <v>56</v>
      </c>
      <c r="O395" s="13" t="s">
        <v>42</v>
      </c>
      <c r="P395" s="156"/>
      <c r="Q395" s="13" t="s">
        <v>44</v>
      </c>
      <c r="R395" s="13"/>
      <c r="S395" s="13"/>
      <c r="T395" s="125"/>
      <c r="U395" s="125"/>
      <c r="V395" s="156">
        <v>0.0</v>
      </c>
    </row>
    <row r="396">
      <c r="A396" s="13">
        <v>395.0</v>
      </c>
      <c r="B396" s="125">
        <v>46161.0</v>
      </c>
      <c r="C396" s="13" t="s">
        <v>58</v>
      </c>
      <c r="D396" s="13" t="s">
        <v>34</v>
      </c>
      <c r="E396" s="125"/>
      <c r="F396" s="12">
        <v>5.0771907E8</v>
      </c>
      <c r="G396" s="125"/>
      <c r="H396" s="125"/>
      <c r="I396" s="130" t="s">
        <v>4784</v>
      </c>
      <c r="J396" s="125"/>
      <c r="K396" s="13" t="s">
        <v>62</v>
      </c>
      <c r="L396" s="125"/>
      <c r="M396" s="27" t="s">
        <v>88</v>
      </c>
      <c r="N396" s="13" t="s">
        <v>56</v>
      </c>
      <c r="O396" s="13" t="s">
        <v>42</v>
      </c>
      <c r="P396" s="156"/>
      <c r="Q396" s="13" t="s">
        <v>44</v>
      </c>
      <c r="R396" s="13"/>
      <c r="S396" s="13"/>
      <c r="T396" s="125"/>
      <c r="U396" s="125"/>
      <c r="V396" s="156">
        <v>0.0</v>
      </c>
    </row>
    <row r="397">
      <c r="A397" s="13">
        <v>396.0</v>
      </c>
      <c r="B397" s="125">
        <v>46161.0</v>
      </c>
      <c r="C397" s="13" t="s">
        <v>21</v>
      </c>
      <c r="D397" s="13" t="s">
        <v>24</v>
      </c>
      <c r="E397" s="156" t="s">
        <v>5365</v>
      </c>
      <c r="F397" s="12">
        <v>5.01500391E8</v>
      </c>
      <c r="G397" s="130" t="s">
        <v>79</v>
      </c>
      <c r="H397" s="156" t="s">
        <v>27</v>
      </c>
      <c r="I397" s="130" t="s">
        <v>5367</v>
      </c>
      <c r="J397" s="125"/>
      <c r="K397" s="13" t="s">
        <v>62</v>
      </c>
      <c r="L397" s="125"/>
      <c r="M397" s="27" t="s">
        <v>38</v>
      </c>
      <c r="N397" s="13" t="s">
        <v>40</v>
      </c>
      <c r="O397" s="13" t="s">
        <v>42</v>
      </c>
      <c r="P397" s="156"/>
      <c r="Q397" s="13" t="s">
        <v>44</v>
      </c>
      <c r="R397" s="13" t="s">
        <v>46</v>
      </c>
      <c r="S397" s="13"/>
      <c r="T397" s="125"/>
      <c r="U397" s="125"/>
      <c r="V397" s="156">
        <v>0.0</v>
      </c>
    </row>
    <row r="398">
      <c r="A398" s="13">
        <v>397.0</v>
      </c>
      <c r="B398" s="125">
        <v>46161.0</v>
      </c>
      <c r="C398" s="13" t="s">
        <v>58</v>
      </c>
      <c r="D398" s="13" t="s">
        <v>60</v>
      </c>
      <c r="E398" s="156" t="s">
        <v>27</v>
      </c>
      <c r="F398" s="160">
        <v>5.9292838E8</v>
      </c>
      <c r="G398" s="130" t="s">
        <v>79</v>
      </c>
      <c r="H398" s="156" t="s">
        <v>27</v>
      </c>
      <c r="I398" s="130" t="s">
        <v>5358</v>
      </c>
      <c r="J398" s="125"/>
      <c r="K398" s="13" t="s">
        <v>62</v>
      </c>
      <c r="L398" s="125"/>
      <c r="M398" s="27" t="s">
        <v>38</v>
      </c>
      <c r="N398" s="13" t="s">
        <v>40</v>
      </c>
      <c r="O398" s="13" t="s">
        <v>42</v>
      </c>
      <c r="P398" s="156"/>
      <c r="Q398" s="13" t="s">
        <v>44</v>
      </c>
      <c r="R398" s="13"/>
      <c r="S398" s="13"/>
      <c r="T398" s="125"/>
      <c r="U398" s="125"/>
      <c r="V398" s="156">
        <v>0.0</v>
      </c>
    </row>
    <row r="399">
      <c r="A399" s="13">
        <v>398.0</v>
      </c>
      <c r="B399" s="125">
        <v>46161.0</v>
      </c>
      <c r="C399" s="13" t="s">
        <v>58</v>
      </c>
      <c r="D399" s="13" t="s">
        <v>60</v>
      </c>
      <c r="E399" s="130" t="s">
        <v>5380</v>
      </c>
      <c r="F399" s="12">
        <v>5.46029953E8</v>
      </c>
      <c r="G399" s="130" t="s">
        <v>79</v>
      </c>
      <c r="H399" s="156" t="s">
        <v>27</v>
      </c>
      <c r="I399" s="130" t="s">
        <v>5383</v>
      </c>
      <c r="J399" s="130" t="s">
        <v>5384</v>
      </c>
      <c r="K399" s="13" t="s">
        <v>62</v>
      </c>
      <c r="L399" s="125"/>
      <c r="M399" s="27" t="s">
        <v>88</v>
      </c>
      <c r="N399" s="13" t="s">
        <v>56</v>
      </c>
      <c r="O399" s="13" t="s">
        <v>518</v>
      </c>
      <c r="P399" s="156"/>
      <c r="Q399" s="13" t="s">
        <v>44</v>
      </c>
      <c r="R399" s="13"/>
      <c r="S399" s="20" t="s">
        <v>2710</v>
      </c>
      <c r="T399" s="125"/>
      <c r="U399" s="156" t="s">
        <v>44</v>
      </c>
      <c r="V399" s="156">
        <v>0.0</v>
      </c>
    </row>
    <row r="400">
      <c r="A400" s="13">
        <v>399.0</v>
      </c>
      <c r="B400" s="125">
        <v>46161.0</v>
      </c>
      <c r="C400" s="13" t="s">
        <v>21</v>
      </c>
      <c r="D400" s="13" t="s">
        <v>24</v>
      </c>
      <c r="E400" s="130" t="s">
        <v>5388</v>
      </c>
      <c r="F400" s="160">
        <v>5.38319036E8</v>
      </c>
      <c r="G400" s="130" t="s">
        <v>172</v>
      </c>
      <c r="H400" s="125"/>
      <c r="I400" s="130" t="s">
        <v>5390</v>
      </c>
      <c r="J400" s="125"/>
      <c r="K400" s="13" t="s">
        <v>62</v>
      </c>
      <c r="L400" s="125"/>
      <c r="M400" s="27" t="s">
        <v>38</v>
      </c>
      <c r="N400" s="13" t="s">
        <v>40</v>
      </c>
      <c r="O400" s="13" t="s">
        <v>42</v>
      </c>
      <c r="P400" s="156"/>
      <c r="Q400" s="13" t="s">
        <v>44</v>
      </c>
      <c r="R400" s="13" t="s">
        <v>46</v>
      </c>
      <c r="S400" s="13"/>
      <c r="T400" s="125"/>
      <c r="U400" s="125"/>
      <c r="V400" s="156">
        <v>0.0</v>
      </c>
    </row>
    <row r="401">
      <c r="A401" s="13">
        <v>400.0</v>
      </c>
      <c r="B401" s="125">
        <v>46161.0</v>
      </c>
      <c r="C401" s="13" t="s">
        <v>58</v>
      </c>
      <c r="D401" s="13" t="s">
        <v>60</v>
      </c>
      <c r="E401" s="156" t="s">
        <v>5395</v>
      </c>
      <c r="F401" s="12">
        <v>5.57417763E8</v>
      </c>
      <c r="G401" s="125"/>
      <c r="H401" s="125"/>
      <c r="I401" s="130" t="s">
        <v>5396</v>
      </c>
      <c r="J401" s="125"/>
      <c r="K401" s="13" t="s">
        <v>62</v>
      </c>
      <c r="L401" s="125"/>
      <c r="M401" s="27" t="s">
        <v>88</v>
      </c>
      <c r="N401" s="13" t="s">
        <v>40</v>
      </c>
      <c r="O401" s="13" t="s">
        <v>42</v>
      </c>
      <c r="P401" s="156"/>
      <c r="Q401" s="13" t="s">
        <v>44</v>
      </c>
      <c r="R401" s="13"/>
      <c r="S401" s="13"/>
      <c r="T401" s="125"/>
      <c r="U401" s="125"/>
      <c r="V401" s="156">
        <v>0.0</v>
      </c>
    </row>
    <row r="402" ht="89.25" customHeight="1">
      <c r="A402" s="13">
        <v>401.0</v>
      </c>
      <c r="B402" s="125">
        <v>46161.0</v>
      </c>
      <c r="C402" s="13" t="s">
        <v>47</v>
      </c>
      <c r="D402" s="13" t="s">
        <v>48</v>
      </c>
      <c r="E402" s="130" t="s">
        <v>5400</v>
      </c>
      <c r="F402" s="12">
        <v>5.43477315E8</v>
      </c>
      <c r="G402" s="162" t="s">
        <v>41</v>
      </c>
      <c r="H402" s="156" t="s">
        <v>52</v>
      </c>
      <c r="I402" s="130" t="s">
        <v>5402</v>
      </c>
      <c r="J402" s="125"/>
      <c r="K402" s="13" t="s">
        <v>36</v>
      </c>
      <c r="L402" s="159">
        <v>0.38333333333333336</v>
      </c>
      <c r="M402" s="27" t="s">
        <v>55</v>
      </c>
      <c r="N402" s="13" t="s">
        <v>40</v>
      </c>
      <c r="O402" s="13" t="s">
        <v>42</v>
      </c>
      <c r="P402" s="156"/>
      <c r="Q402" s="13" t="s">
        <v>863</v>
      </c>
      <c r="R402" s="13" t="s">
        <v>46</v>
      </c>
      <c r="S402" s="20" t="s">
        <v>2632</v>
      </c>
      <c r="T402" s="159">
        <v>0.6215277777777778</v>
      </c>
      <c r="U402" s="13" t="s">
        <v>49</v>
      </c>
      <c r="V402" s="156">
        <v>0.0</v>
      </c>
    </row>
    <row r="403">
      <c r="A403" s="13">
        <v>402.0</v>
      </c>
      <c r="B403" s="125">
        <v>46161.0</v>
      </c>
      <c r="C403" s="13" t="s">
        <v>47</v>
      </c>
      <c r="D403" s="13" t="s">
        <v>60</v>
      </c>
      <c r="E403" s="12" t="s">
        <v>5407</v>
      </c>
      <c r="F403" s="12" t="s">
        <v>27</v>
      </c>
      <c r="G403" s="130" t="s">
        <v>5410</v>
      </c>
      <c r="H403" s="156" t="s">
        <v>5411</v>
      </c>
      <c r="I403" s="130" t="s">
        <v>5412</v>
      </c>
      <c r="J403" s="125"/>
      <c r="K403" s="13" t="s">
        <v>78</v>
      </c>
      <c r="L403" s="125"/>
      <c r="M403" s="27" t="s">
        <v>55</v>
      </c>
      <c r="N403" s="13" t="s">
        <v>40</v>
      </c>
      <c r="O403" s="13" t="s">
        <v>42</v>
      </c>
      <c r="P403" s="156"/>
      <c r="Q403" s="13" t="s">
        <v>863</v>
      </c>
      <c r="R403" s="13" t="s">
        <v>46</v>
      </c>
      <c r="S403" s="13"/>
      <c r="T403" s="125"/>
      <c r="U403" s="125"/>
      <c r="V403" s="156">
        <v>0.0</v>
      </c>
    </row>
    <row r="404">
      <c r="A404" s="13">
        <v>403.0</v>
      </c>
      <c r="B404" s="125">
        <v>46161.0</v>
      </c>
      <c r="C404" s="13" t="s">
        <v>47</v>
      </c>
      <c r="D404" s="13" t="s">
        <v>92</v>
      </c>
      <c r="E404" s="12" t="s">
        <v>5415</v>
      </c>
      <c r="F404" s="12" t="s">
        <v>27</v>
      </c>
      <c r="G404" s="20" t="s">
        <v>71</v>
      </c>
      <c r="H404" s="156" t="s">
        <v>94</v>
      </c>
      <c r="I404" s="130" t="s">
        <v>5417</v>
      </c>
      <c r="J404" s="125"/>
      <c r="K404" s="13" t="s">
        <v>78</v>
      </c>
      <c r="L404" s="125"/>
      <c r="M404" s="27" t="s">
        <v>55</v>
      </c>
      <c r="N404" s="13" t="s">
        <v>40</v>
      </c>
      <c r="O404" s="13" t="s">
        <v>42</v>
      </c>
      <c r="P404" s="156"/>
      <c r="Q404" s="13" t="s">
        <v>863</v>
      </c>
      <c r="R404" s="13" t="s">
        <v>46</v>
      </c>
      <c r="S404" s="13"/>
      <c r="T404" s="125"/>
      <c r="U404" s="125"/>
      <c r="V404" s="156">
        <v>0.0</v>
      </c>
    </row>
    <row r="405">
      <c r="A405" s="13">
        <v>404.0</v>
      </c>
      <c r="B405" s="125">
        <v>46161.0</v>
      </c>
      <c r="C405" s="13" t="s">
        <v>47</v>
      </c>
      <c r="D405" s="13" t="s">
        <v>367</v>
      </c>
      <c r="E405" s="69" t="s">
        <v>5420</v>
      </c>
      <c r="F405" s="12" t="s">
        <v>27</v>
      </c>
      <c r="G405" s="130" t="s">
        <v>4910</v>
      </c>
      <c r="H405" s="156" t="s">
        <v>1029</v>
      </c>
      <c r="I405" s="336" t="s">
        <v>5423</v>
      </c>
      <c r="J405" s="130" t="s">
        <v>5425</v>
      </c>
      <c r="K405" s="13" t="s">
        <v>78</v>
      </c>
      <c r="L405" s="125"/>
      <c r="M405" s="27" t="s">
        <v>55</v>
      </c>
      <c r="N405" s="13" t="s">
        <v>56</v>
      </c>
      <c r="O405" s="13" t="s">
        <v>42</v>
      </c>
      <c r="P405" s="156"/>
      <c r="Q405" s="13" t="s">
        <v>863</v>
      </c>
      <c r="R405" s="13" t="s">
        <v>46</v>
      </c>
      <c r="S405" s="13"/>
      <c r="T405" s="125"/>
      <c r="U405" s="125"/>
      <c r="V405" s="156">
        <v>0.0</v>
      </c>
    </row>
    <row r="406">
      <c r="A406" s="13">
        <v>405.0</v>
      </c>
      <c r="B406" s="125">
        <v>46161.0</v>
      </c>
      <c r="C406" s="13" t="s">
        <v>47</v>
      </c>
      <c r="D406" s="13" t="s">
        <v>92</v>
      </c>
      <c r="E406" s="12" t="s">
        <v>5427</v>
      </c>
      <c r="F406" s="12" t="s">
        <v>27</v>
      </c>
      <c r="G406" s="20" t="s">
        <v>71</v>
      </c>
      <c r="H406" s="156" t="s">
        <v>94</v>
      </c>
      <c r="I406" s="337" t="s">
        <v>5429</v>
      </c>
      <c r="J406" s="125"/>
      <c r="K406" s="13" t="s">
        <v>78</v>
      </c>
      <c r="L406" s="125"/>
      <c r="M406" s="27" t="s">
        <v>98</v>
      </c>
      <c r="N406" s="13" t="s">
        <v>40</v>
      </c>
      <c r="O406" s="13" t="s">
        <v>42</v>
      </c>
      <c r="P406" s="156"/>
      <c r="Q406" s="13" t="s">
        <v>863</v>
      </c>
      <c r="R406" s="13" t="s">
        <v>46</v>
      </c>
      <c r="S406" s="13"/>
      <c r="T406" s="125"/>
      <c r="U406" s="125"/>
      <c r="V406" s="156">
        <v>0.0</v>
      </c>
    </row>
    <row r="407" ht="53.25" customHeight="1">
      <c r="A407" s="13">
        <v>406.0</v>
      </c>
      <c r="B407" s="125">
        <v>46161.0</v>
      </c>
      <c r="C407" s="13" t="s">
        <v>47</v>
      </c>
      <c r="D407" s="13" t="s">
        <v>48</v>
      </c>
      <c r="E407" s="12" t="s">
        <v>5435</v>
      </c>
      <c r="F407" s="12" t="s">
        <v>27</v>
      </c>
      <c r="G407" s="166" t="s">
        <v>41</v>
      </c>
      <c r="H407" s="156" t="s">
        <v>5436</v>
      </c>
      <c r="I407" s="130" t="s">
        <v>5437</v>
      </c>
      <c r="J407" s="130" t="s">
        <v>2879</v>
      </c>
      <c r="K407" s="13" t="s">
        <v>78</v>
      </c>
      <c r="L407" s="125"/>
      <c r="M407" s="75" t="s">
        <v>555</v>
      </c>
      <c r="N407" s="13" t="s">
        <v>40</v>
      </c>
      <c r="O407" s="13" t="s">
        <v>42</v>
      </c>
      <c r="P407" s="156"/>
      <c r="Q407" s="13" t="s">
        <v>863</v>
      </c>
      <c r="R407" s="13" t="s">
        <v>46</v>
      </c>
      <c r="S407" s="13"/>
      <c r="T407" s="125"/>
      <c r="U407" s="125"/>
      <c r="V407" s="156">
        <v>0.0</v>
      </c>
    </row>
    <row r="408">
      <c r="A408" s="13">
        <v>407.0</v>
      </c>
      <c r="B408" s="125">
        <v>46161.0</v>
      </c>
      <c r="C408" s="13" t="s">
        <v>47</v>
      </c>
      <c r="D408" s="13" t="s">
        <v>48</v>
      </c>
      <c r="E408" s="12" t="s">
        <v>5442</v>
      </c>
      <c r="F408" s="12" t="s">
        <v>27</v>
      </c>
      <c r="G408" s="162" t="s">
        <v>41</v>
      </c>
      <c r="H408" s="156" t="s">
        <v>188</v>
      </c>
      <c r="I408" s="130" t="s">
        <v>5443</v>
      </c>
      <c r="J408" s="130" t="s">
        <v>5444</v>
      </c>
      <c r="K408" s="13" t="s">
        <v>78</v>
      </c>
      <c r="L408" s="125"/>
      <c r="M408" s="27" t="s">
        <v>953</v>
      </c>
      <c r="N408" s="13" t="s">
        <v>56</v>
      </c>
      <c r="O408" s="13" t="s">
        <v>42</v>
      </c>
      <c r="P408" s="156"/>
      <c r="Q408" s="13" t="s">
        <v>863</v>
      </c>
      <c r="R408" s="13" t="s">
        <v>46</v>
      </c>
      <c r="S408" s="13"/>
      <c r="T408" s="125"/>
      <c r="U408" s="125"/>
      <c r="V408" s="156">
        <v>0.0</v>
      </c>
    </row>
    <row r="409">
      <c r="A409" s="13">
        <v>408.0</v>
      </c>
      <c r="B409" s="125">
        <v>46161.0</v>
      </c>
      <c r="C409" s="13" t="s">
        <v>47</v>
      </c>
      <c r="D409" s="13" t="s">
        <v>48</v>
      </c>
      <c r="E409" s="12" t="s">
        <v>5450</v>
      </c>
      <c r="F409" s="12" t="s">
        <v>27</v>
      </c>
      <c r="G409" s="166" t="s">
        <v>41</v>
      </c>
      <c r="H409" s="156" t="s">
        <v>956</v>
      </c>
      <c r="I409" s="130" t="s">
        <v>5451</v>
      </c>
      <c r="J409" s="130" t="s">
        <v>5452</v>
      </c>
      <c r="K409" s="13" t="s">
        <v>78</v>
      </c>
      <c r="L409" s="125"/>
      <c r="M409" s="27" t="s">
        <v>713</v>
      </c>
      <c r="N409" s="13" t="s">
        <v>56</v>
      </c>
      <c r="O409" s="13" t="s">
        <v>42</v>
      </c>
      <c r="P409" s="156"/>
      <c r="Q409" s="13" t="s">
        <v>863</v>
      </c>
      <c r="R409" s="13" t="s">
        <v>46</v>
      </c>
      <c r="S409" s="13"/>
      <c r="T409" s="125"/>
      <c r="U409" s="125"/>
      <c r="V409" s="156">
        <v>0.0</v>
      </c>
    </row>
    <row r="410">
      <c r="A410" s="13">
        <v>409.0</v>
      </c>
      <c r="B410" s="125">
        <v>46161.0</v>
      </c>
      <c r="C410" s="13" t="s">
        <v>47</v>
      </c>
      <c r="D410" s="13" t="s">
        <v>92</v>
      </c>
      <c r="E410" s="12" t="s">
        <v>5457</v>
      </c>
      <c r="F410" s="12" t="s">
        <v>27</v>
      </c>
      <c r="G410" s="20" t="s">
        <v>71</v>
      </c>
      <c r="H410" s="156" t="s">
        <v>94</v>
      </c>
      <c r="I410" s="337" t="s">
        <v>5461</v>
      </c>
      <c r="J410" s="125"/>
      <c r="K410" s="13" t="s">
        <v>78</v>
      </c>
      <c r="L410" s="125"/>
      <c r="M410" s="27" t="s">
        <v>98</v>
      </c>
      <c r="N410" s="13" t="s">
        <v>40</v>
      </c>
      <c r="O410" s="13" t="s">
        <v>42</v>
      </c>
      <c r="P410" s="156"/>
      <c r="Q410" s="13" t="s">
        <v>863</v>
      </c>
      <c r="R410" s="13" t="s">
        <v>46</v>
      </c>
      <c r="S410" s="13"/>
      <c r="T410" s="125"/>
      <c r="U410" s="125"/>
      <c r="V410" s="156">
        <v>0.0</v>
      </c>
    </row>
    <row r="411" ht="30.75" customHeight="1">
      <c r="A411" s="13">
        <v>410.0</v>
      </c>
      <c r="B411" s="125">
        <v>46161.0</v>
      </c>
      <c r="C411" s="13" t="s">
        <v>58</v>
      </c>
      <c r="D411" s="13" t="s">
        <v>60</v>
      </c>
      <c r="E411" s="130" t="s">
        <v>5465</v>
      </c>
      <c r="F411" s="12" t="s">
        <v>27</v>
      </c>
      <c r="G411" s="156" t="s">
        <v>27</v>
      </c>
      <c r="H411" s="156" t="s">
        <v>27</v>
      </c>
      <c r="I411" s="130" t="s">
        <v>5467</v>
      </c>
      <c r="J411" s="125"/>
      <c r="K411" s="13" t="s">
        <v>36</v>
      </c>
      <c r="L411" s="125"/>
      <c r="M411" s="27" t="s">
        <v>88</v>
      </c>
      <c r="N411" s="13" t="s">
        <v>40</v>
      </c>
      <c r="O411" s="13" t="s">
        <v>42</v>
      </c>
      <c r="P411" s="156"/>
      <c r="Q411" s="13" t="s">
        <v>863</v>
      </c>
      <c r="R411" s="13" t="s">
        <v>46</v>
      </c>
      <c r="S411" s="13"/>
      <c r="T411" s="125"/>
      <c r="U411" s="125"/>
      <c r="V411" s="156">
        <v>0.0</v>
      </c>
    </row>
    <row r="412" ht="36.75" customHeight="1">
      <c r="A412" s="13">
        <v>411.0</v>
      </c>
      <c r="B412" s="125">
        <v>46161.0</v>
      </c>
      <c r="C412" s="13" t="s">
        <v>21</v>
      </c>
      <c r="D412" s="13" t="s">
        <v>60</v>
      </c>
      <c r="E412" s="130" t="s">
        <v>5468</v>
      </c>
      <c r="F412" s="12">
        <v>5.69515616E8</v>
      </c>
      <c r="G412" s="130" t="s">
        <v>5470</v>
      </c>
      <c r="H412" s="156" t="s">
        <v>27</v>
      </c>
      <c r="I412" s="130" t="s">
        <v>5471</v>
      </c>
      <c r="J412" s="125"/>
      <c r="K412" s="13" t="s">
        <v>36</v>
      </c>
      <c r="L412" s="125"/>
      <c r="M412" s="27" t="s">
        <v>38</v>
      </c>
      <c r="N412" s="13" t="s">
        <v>40</v>
      </c>
      <c r="O412" s="13" t="s">
        <v>42</v>
      </c>
      <c r="P412" s="156"/>
      <c r="Q412" s="13" t="s">
        <v>863</v>
      </c>
      <c r="R412" s="13" t="s">
        <v>46</v>
      </c>
      <c r="S412" s="13"/>
      <c r="T412" s="125"/>
      <c r="U412" s="125"/>
      <c r="V412" s="156">
        <v>0.0</v>
      </c>
    </row>
    <row r="413" ht="45.75" customHeight="1">
      <c r="A413" s="13">
        <v>412.0</v>
      </c>
      <c r="B413" s="125">
        <v>46161.0</v>
      </c>
      <c r="C413" s="13" t="s">
        <v>21</v>
      </c>
      <c r="D413" s="13" t="s">
        <v>60</v>
      </c>
      <c r="E413" s="130" t="s">
        <v>5473</v>
      </c>
      <c r="F413" s="12">
        <v>5.06438662E8</v>
      </c>
      <c r="G413" s="130" t="s">
        <v>4683</v>
      </c>
      <c r="H413" s="156" t="s">
        <v>27</v>
      </c>
      <c r="I413" s="130" t="s">
        <v>5476</v>
      </c>
      <c r="J413" s="125"/>
      <c r="K413" s="13" t="s">
        <v>36</v>
      </c>
      <c r="L413" s="125"/>
      <c r="M413" s="27" t="s">
        <v>2143</v>
      </c>
      <c r="N413" s="13" t="s">
        <v>40</v>
      </c>
      <c r="O413" s="13" t="s">
        <v>42</v>
      </c>
      <c r="P413" s="156"/>
      <c r="Q413" s="13" t="s">
        <v>863</v>
      </c>
      <c r="R413" s="13" t="s">
        <v>46</v>
      </c>
      <c r="S413" s="13"/>
      <c r="T413" s="125"/>
      <c r="U413" s="125"/>
      <c r="V413" s="156">
        <v>0.0</v>
      </c>
    </row>
    <row r="414" ht="33.75" customHeight="1">
      <c r="A414" s="13">
        <v>413.0</v>
      </c>
      <c r="B414" s="125">
        <v>46161.0</v>
      </c>
      <c r="C414" s="13" t="s">
        <v>58</v>
      </c>
      <c r="D414" s="13" t="s">
        <v>57</v>
      </c>
      <c r="E414" s="130" t="s">
        <v>5480</v>
      </c>
      <c r="F414" s="12">
        <v>5.05272077E8</v>
      </c>
      <c r="G414" s="130" t="s">
        <v>120</v>
      </c>
      <c r="H414" s="156" t="s">
        <v>27</v>
      </c>
      <c r="I414" s="130" t="s">
        <v>5482</v>
      </c>
      <c r="J414" s="125"/>
      <c r="K414" s="13" t="s">
        <v>36</v>
      </c>
      <c r="L414" s="125"/>
      <c r="M414" s="27" t="s">
        <v>4703</v>
      </c>
      <c r="N414" s="13" t="s">
        <v>40</v>
      </c>
      <c r="O414" s="13" t="s">
        <v>42</v>
      </c>
      <c r="P414" s="156"/>
      <c r="Q414" s="13" t="s">
        <v>863</v>
      </c>
      <c r="R414" s="13"/>
      <c r="S414" s="13"/>
      <c r="T414" s="125"/>
      <c r="U414" s="125"/>
      <c r="V414" s="156">
        <v>0.0</v>
      </c>
    </row>
    <row r="415" ht="54.0" customHeight="1">
      <c r="A415" s="13">
        <v>414.0</v>
      </c>
      <c r="B415" s="125">
        <v>46161.0</v>
      </c>
      <c r="C415" s="13" t="s">
        <v>21</v>
      </c>
      <c r="D415" s="13" t="s">
        <v>22</v>
      </c>
      <c r="E415" s="130" t="s">
        <v>5485</v>
      </c>
      <c r="F415" s="12">
        <v>5.0965166E8</v>
      </c>
      <c r="G415" s="130" t="s">
        <v>5488</v>
      </c>
      <c r="H415" s="156" t="s">
        <v>27</v>
      </c>
      <c r="I415" s="130" t="s">
        <v>5489</v>
      </c>
      <c r="J415" s="125"/>
      <c r="K415" s="13" t="s">
        <v>36</v>
      </c>
      <c r="L415" s="125"/>
      <c r="M415" s="27" t="s">
        <v>101</v>
      </c>
      <c r="N415" s="13" t="s">
        <v>40</v>
      </c>
      <c r="O415" s="13" t="s">
        <v>42</v>
      </c>
      <c r="P415" s="156"/>
      <c r="Q415" s="13" t="s">
        <v>44</v>
      </c>
      <c r="R415" s="13" t="s">
        <v>46</v>
      </c>
      <c r="S415" s="13"/>
      <c r="T415" s="125"/>
      <c r="U415" s="125"/>
      <c r="V415" s="156">
        <v>0.0</v>
      </c>
    </row>
    <row r="416" ht="37.5" customHeight="1">
      <c r="A416" s="13">
        <v>415.0</v>
      </c>
      <c r="B416" s="125">
        <v>46161.0</v>
      </c>
      <c r="C416" s="13" t="s">
        <v>21</v>
      </c>
      <c r="D416" s="13" t="s">
        <v>22</v>
      </c>
      <c r="E416" s="130" t="s">
        <v>5493</v>
      </c>
      <c r="F416" s="12">
        <v>5.31404212E8</v>
      </c>
      <c r="G416" s="130" t="s">
        <v>79</v>
      </c>
      <c r="H416" s="156" t="s">
        <v>27</v>
      </c>
      <c r="I416" s="130" t="s">
        <v>5495</v>
      </c>
      <c r="J416" s="125"/>
      <c r="K416" s="13" t="s">
        <v>36</v>
      </c>
      <c r="L416" s="125"/>
      <c r="M416" s="27" t="s">
        <v>653</v>
      </c>
      <c r="N416" s="13" t="s">
        <v>40</v>
      </c>
      <c r="O416" s="13" t="s">
        <v>42</v>
      </c>
      <c r="P416" s="156"/>
      <c r="Q416" s="13" t="s">
        <v>44</v>
      </c>
      <c r="R416" s="13" t="s">
        <v>46</v>
      </c>
      <c r="S416" s="13"/>
      <c r="T416" s="125"/>
      <c r="U416" s="125"/>
      <c r="V416" s="156">
        <v>0.0</v>
      </c>
    </row>
    <row r="417" ht="88.5" customHeight="1">
      <c r="A417" s="13">
        <v>416.0</v>
      </c>
      <c r="B417" s="125">
        <v>46161.0</v>
      </c>
      <c r="C417" s="13" t="s">
        <v>47</v>
      </c>
      <c r="D417" s="13" t="s">
        <v>92</v>
      </c>
      <c r="E417" s="130" t="s">
        <v>5498</v>
      </c>
      <c r="F417" s="12">
        <v>5.37760205E8</v>
      </c>
      <c r="G417" s="20" t="s">
        <v>71</v>
      </c>
      <c r="H417" s="156" t="s">
        <v>94</v>
      </c>
      <c r="I417" s="337" t="s">
        <v>5499</v>
      </c>
      <c r="J417" s="130"/>
      <c r="K417" s="13" t="s">
        <v>36</v>
      </c>
      <c r="L417" s="159">
        <v>0.6527777777777778</v>
      </c>
      <c r="M417" s="27" t="s">
        <v>98</v>
      </c>
      <c r="N417" s="13" t="s">
        <v>40</v>
      </c>
      <c r="O417" s="13" t="s">
        <v>42</v>
      </c>
      <c r="P417" s="156"/>
      <c r="Q417" s="13" t="s">
        <v>49</v>
      </c>
      <c r="R417" s="13" t="s">
        <v>46</v>
      </c>
      <c r="S417" s="20" t="s">
        <v>2710</v>
      </c>
      <c r="T417" s="156" t="s">
        <v>27</v>
      </c>
      <c r="U417" s="156" t="s">
        <v>49</v>
      </c>
      <c r="V417" s="156">
        <v>0.0</v>
      </c>
    </row>
    <row r="418">
      <c r="A418" s="13">
        <v>417.0</v>
      </c>
      <c r="B418" s="125">
        <v>46161.0</v>
      </c>
      <c r="C418" s="13" t="s">
        <v>58</v>
      </c>
      <c r="D418" s="13" t="s">
        <v>60</v>
      </c>
      <c r="E418" s="130" t="s">
        <v>5504</v>
      </c>
      <c r="F418" s="12">
        <v>5.5294237E8</v>
      </c>
      <c r="G418" s="130" t="s">
        <v>71</v>
      </c>
      <c r="H418" s="156" t="s">
        <v>27</v>
      </c>
      <c r="I418" s="130" t="s">
        <v>5506</v>
      </c>
      <c r="J418" s="130" t="s">
        <v>5507</v>
      </c>
      <c r="K418" s="13" t="s">
        <v>62</v>
      </c>
      <c r="L418" s="125"/>
      <c r="M418" s="27" t="s">
        <v>88</v>
      </c>
      <c r="N418" s="13" t="s">
        <v>40</v>
      </c>
      <c r="O418" s="13" t="s">
        <v>42</v>
      </c>
      <c r="P418" s="156"/>
      <c r="Q418" s="13" t="s">
        <v>44</v>
      </c>
      <c r="R418" s="13"/>
      <c r="S418" s="13"/>
      <c r="T418" s="125"/>
      <c r="U418" s="125"/>
      <c r="V418" s="156">
        <v>0.0</v>
      </c>
    </row>
    <row r="419">
      <c r="A419" s="13">
        <v>418.0</v>
      </c>
      <c r="B419" s="125">
        <v>46161.0</v>
      </c>
      <c r="C419" s="13" t="s">
        <v>21</v>
      </c>
      <c r="D419" s="13" t="s">
        <v>60</v>
      </c>
      <c r="E419" s="130" t="s">
        <v>4088</v>
      </c>
      <c r="F419" s="12">
        <v>5.01796493E8</v>
      </c>
      <c r="G419" s="130" t="s">
        <v>908</v>
      </c>
      <c r="H419" s="156" t="s">
        <v>27</v>
      </c>
      <c r="I419" s="130" t="s">
        <v>5511</v>
      </c>
      <c r="J419" s="125"/>
      <c r="K419" s="13" t="s">
        <v>36</v>
      </c>
      <c r="L419" s="125"/>
      <c r="M419" s="27" t="s">
        <v>38</v>
      </c>
      <c r="N419" s="13" t="s">
        <v>40</v>
      </c>
      <c r="O419" s="13" t="s">
        <v>42</v>
      </c>
      <c r="P419" s="156"/>
      <c r="Q419" s="13" t="s">
        <v>863</v>
      </c>
      <c r="R419" s="13" t="s">
        <v>46</v>
      </c>
      <c r="S419" s="13"/>
      <c r="T419" s="125"/>
      <c r="U419" s="125"/>
      <c r="V419" s="156">
        <v>0.0</v>
      </c>
    </row>
    <row r="420">
      <c r="A420" s="13">
        <v>419.0</v>
      </c>
      <c r="B420" s="125">
        <v>46161.0</v>
      </c>
      <c r="C420" s="13" t="s">
        <v>58</v>
      </c>
      <c r="D420" s="13" t="s">
        <v>34</v>
      </c>
      <c r="E420" s="156" t="s">
        <v>27</v>
      </c>
      <c r="F420" s="12">
        <v>5.66038885E8</v>
      </c>
      <c r="G420" s="156" t="s">
        <v>27</v>
      </c>
      <c r="H420" s="156" t="s">
        <v>27</v>
      </c>
      <c r="I420" s="130" t="s">
        <v>5515</v>
      </c>
      <c r="J420" s="130" t="s">
        <v>5516</v>
      </c>
      <c r="K420" s="13" t="s">
        <v>62</v>
      </c>
      <c r="L420" s="125"/>
      <c r="M420" s="27" t="s">
        <v>88</v>
      </c>
      <c r="N420" s="13" t="s">
        <v>56</v>
      </c>
      <c r="O420" s="13" t="s">
        <v>42</v>
      </c>
      <c r="P420" s="156"/>
      <c r="Q420" s="13" t="s">
        <v>44</v>
      </c>
      <c r="R420" s="13"/>
      <c r="S420" s="13"/>
      <c r="T420" s="125"/>
      <c r="U420" s="125"/>
      <c r="V420" s="156">
        <v>0.0</v>
      </c>
    </row>
    <row r="421">
      <c r="A421" s="13">
        <v>420.0</v>
      </c>
      <c r="B421" s="125">
        <v>46161.0</v>
      </c>
      <c r="C421" s="13" t="s">
        <v>21</v>
      </c>
      <c r="D421" s="13" t="s">
        <v>22</v>
      </c>
      <c r="E421" s="130" t="s">
        <v>4277</v>
      </c>
      <c r="F421" s="12">
        <v>5.67529094E8</v>
      </c>
      <c r="G421" s="130" t="s">
        <v>319</v>
      </c>
      <c r="H421" s="156" t="s">
        <v>27</v>
      </c>
      <c r="I421" s="130" t="s">
        <v>5520</v>
      </c>
      <c r="J421" s="125"/>
      <c r="K421" s="13" t="s">
        <v>62</v>
      </c>
      <c r="L421" s="125"/>
      <c r="M421" s="27" t="s">
        <v>38</v>
      </c>
      <c r="N421" s="13" t="s">
        <v>40</v>
      </c>
      <c r="O421" s="13" t="s">
        <v>42</v>
      </c>
      <c r="P421" s="156"/>
      <c r="Q421" s="13" t="s">
        <v>44</v>
      </c>
      <c r="R421" s="13" t="s">
        <v>46</v>
      </c>
      <c r="S421" s="13"/>
      <c r="T421" s="125"/>
      <c r="U421" s="125"/>
      <c r="V421" s="156">
        <v>0.0</v>
      </c>
    </row>
    <row r="422">
      <c r="A422" s="13">
        <v>421.0</v>
      </c>
      <c r="B422" s="125">
        <v>46161.0</v>
      </c>
      <c r="C422" s="13" t="s">
        <v>58</v>
      </c>
      <c r="D422" s="13" t="s">
        <v>48</v>
      </c>
      <c r="E422" s="130" t="s">
        <v>5523</v>
      </c>
      <c r="F422" s="12">
        <v>5.33292937E8</v>
      </c>
      <c r="G422" s="130" t="s">
        <v>1332</v>
      </c>
      <c r="H422" s="156" t="s">
        <v>2109</v>
      </c>
      <c r="I422" s="130" t="s">
        <v>5526</v>
      </c>
      <c r="J422" s="130" t="s">
        <v>5528</v>
      </c>
      <c r="K422" s="13" t="s">
        <v>36</v>
      </c>
      <c r="L422" s="159">
        <v>0.6486111111111111</v>
      </c>
      <c r="M422" s="27" t="s">
        <v>88</v>
      </c>
      <c r="N422" s="13" t="s">
        <v>40</v>
      </c>
      <c r="O422" s="13" t="s">
        <v>42</v>
      </c>
      <c r="P422" s="156"/>
      <c r="Q422" s="13" t="s">
        <v>863</v>
      </c>
      <c r="R422" s="13" t="s">
        <v>46</v>
      </c>
      <c r="S422" s="20" t="s">
        <v>2632</v>
      </c>
      <c r="T422" s="159">
        <v>0.6861111111111111</v>
      </c>
      <c r="U422" s="156" t="s">
        <v>863</v>
      </c>
      <c r="V422" s="156">
        <v>0.0</v>
      </c>
    </row>
    <row r="423">
      <c r="A423" s="13">
        <v>422.0</v>
      </c>
      <c r="B423" s="125">
        <v>46162.0</v>
      </c>
      <c r="C423" s="13" t="s">
        <v>47</v>
      </c>
      <c r="D423" s="13" t="s">
        <v>48</v>
      </c>
      <c r="E423" s="130" t="s">
        <v>368</v>
      </c>
      <c r="F423" s="12">
        <v>5.3215214E8</v>
      </c>
      <c r="G423" s="20" t="s">
        <v>71</v>
      </c>
      <c r="H423" s="156" t="s">
        <v>72</v>
      </c>
      <c r="I423" s="130" t="s">
        <v>5534</v>
      </c>
      <c r="J423" s="130"/>
      <c r="K423" s="13" t="s">
        <v>62</v>
      </c>
      <c r="L423" s="159">
        <v>0.6895833333333333</v>
      </c>
      <c r="M423" s="27" t="s">
        <v>55</v>
      </c>
      <c r="N423" s="13" t="s">
        <v>56</v>
      </c>
      <c r="O423" s="13" t="s">
        <v>42</v>
      </c>
      <c r="P423" s="156"/>
      <c r="Q423" s="13" t="s">
        <v>44</v>
      </c>
      <c r="R423" s="13" t="s">
        <v>46</v>
      </c>
      <c r="S423" s="338" t="s">
        <v>3566</v>
      </c>
      <c r="T423" s="339">
        <v>0.6597222222222222</v>
      </c>
      <c r="U423" s="340"/>
      <c r="V423" s="156">
        <v>0.0</v>
      </c>
    </row>
    <row r="424">
      <c r="A424" s="13">
        <v>423.0</v>
      </c>
      <c r="B424" s="125">
        <v>46162.0</v>
      </c>
      <c r="C424" s="13" t="s">
        <v>21</v>
      </c>
      <c r="D424" s="13" t="s">
        <v>22</v>
      </c>
      <c r="E424" s="156" t="s">
        <v>27</v>
      </c>
      <c r="F424" s="12">
        <v>5.75267061E8</v>
      </c>
      <c r="G424" s="130" t="s">
        <v>120</v>
      </c>
      <c r="H424" s="156" t="s">
        <v>27</v>
      </c>
      <c r="I424" s="341" t="s">
        <v>5537</v>
      </c>
      <c r="J424" s="125"/>
      <c r="K424" s="13" t="s">
        <v>62</v>
      </c>
      <c r="L424" s="125"/>
      <c r="M424" s="27" t="s">
        <v>125</v>
      </c>
      <c r="N424" s="13" t="s">
        <v>40</v>
      </c>
      <c r="O424" s="13" t="s">
        <v>42</v>
      </c>
      <c r="P424" s="156"/>
      <c r="Q424" s="13" t="s">
        <v>44</v>
      </c>
      <c r="R424" s="13" t="s">
        <v>46</v>
      </c>
      <c r="S424" s="13"/>
      <c r="T424" s="125"/>
      <c r="U424" s="125"/>
      <c r="V424" s="156">
        <v>0.0</v>
      </c>
    </row>
    <row r="425" ht="24.75" customHeight="1">
      <c r="A425" s="13">
        <v>424.0</v>
      </c>
      <c r="B425" s="125">
        <v>46162.0</v>
      </c>
      <c r="C425" s="13" t="s">
        <v>58</v>
      </c>
      <c r="D425" s="13" t="s">
        <v>34</v>
      </c>
      <c r="E425" s="156" t="s">
        <v>27</v>
      </c>
      <c r="F425" s="12">
        <v>5.34434135E8</v>
      </c>
      <c r="G425" s="156" t="s">
        <v>27</v>
      </c>
      <c r="H425" s="156" t="s">
        <v>27</v>
      </c>
      <c r="I425" s="130" t="s">
        <v>5545</v>
      </c>
      <c r="J425" s="130" t="s">
        <v>123</v>
      </c>
      <c r="K425" s="13" t="s">
        <v>62</v>
      </c>
      <c r="L425" s="125"/>
      <c r="M425" s="27" t="s">
        <v>88</v>
      </c>
      <c r="N425" s="13" t="s">
        <v>40</v>
      </c>
      <c r="O425" s="13" t="s">
        <v>42</v>
      </c>
      <c r="P425" s="156"/>
      <c r="Q425" s="13" t="s">
        <v>44</v>
      </c>
      <c r="R425" s="13"/>
      <c r="S425" s="13"/>
      <c r="T425" s="125"/>
      <c r="U425" s="125"/>
      <c r="V425" s="156">
        <v>0.0</v>
      </c>
    </row>
    <row r="426">
      <c r="A426" s="13">
        <v>425.0</v>
      </c>
      <c r="B426" s="125">
        <v>46162.0</v>
      </c>
      <c r="C426" s="13" t="s">
        <v>58</v>
      </c>
      <c r="D426" s="13" t="s">
        <v>60</v>
      </c>
      <c r="E426" s="156" t="s">
        <v>27</v>
      </c>
      <c r="F426" s="12">
        <v>5.01015896E8</v>
      </c>
      <c r="G426" s="156" t="s">
        <v>27</v>
      </c>
      <c r="H426" s="156" t="s">
        <v>27</v>
      </c>
      <c r="I426" s="130" t="s">
        <v>5550</v>
      </c>
      <c r="J426" s="130" t="s">
        <v>5551</v>
      </c>
      <c r="K426" s="13" t="s">
        <v>62</v>
      </c>
      <c r="L426" s="125"/>
      <c r="M426" s="27" t="s">
        <v>88</v>
      </c>
      <c r="N426" s="13" t="s">
        <v>40</v>
      </c>
      <c r="O426" s="13" t="s">
        <v>42</v>
      </c>
      <c r="P426" s="156"/>
      <c r="Q426" s="13" t="s">
        <v>44</v>
      </c>
      <c r="R426" s="13"/>
      <c r="S426" s="13"/>
      <c r="T426" s="125"/>
      <c r="U426" s="125"/>
      <c r="V426" s="156">
        <v>0.0</v>
      </c>
    </row>
    <row r="427" ht="30.75" customHeight="1">
      <c r="A427" s="13">
        <v>426.0</v>
      </c>
      <c r="B427" s="125">
        <v>46162.0</v>
      </c>
      <c r="C427" s="13" t="s">
        <v>58</v>
      </c>
      <c r="D427" s="13" t="s">
        <v>60</v>
      </c>
      <c r="E427" s="156" t="s">
        <v>27</v>
      </c>
      <c r="F427" s="12">
        <v>5.4775032E8</v>
      </c>
      <c r="G427" s="156" t="s">
        <v>27</v>
      </c>
      <c r="H427" s="156" t="s">
        <v>27</v>
      </c>
      <c r="I427" s="130" t="s">
        <v>5555</v>
      </c>
      <c r="J427" s="125"/>
      <c r="K427" s="13" t="s">
        <v>36</v>
      </c>
      <c r="L427" s="125"/>
      <c r="M427" s="27" t="s">
        <v>101</v>
      </c>
      <c r="N427" s="13" t="s">
        <v>40</v>
      </c>
      <c r="O427" s="13" t="s">
        <v>42</v>
      </c>
      <c r="P427" s="156"/>
      <c r="Q427" s="13" t="s">
        <v>863</v>
      </c>
      <c r="R427" s="13"/>
      <c r="S427" s="13"/>
      <c r="T427" s="125"/>
      <c r="U427" s="125"/>
      <c r="V427" s="156">
        <v>0.0</v>
      </c>
    </row>
    <row r="428" ht="42.75" customHeight="1">
      <c r="A428" s="13">
        <v>427.0</v>
      </c>
      <c r="B428" s="125">
        <v>46162.0</v>
      </c>
      <c r="C428" s="13" t="s">
        <v>47</v>
      </c>
      <c r="D428" s="13" t="s">
        <v>92</v>
      </c>
      <c r="E428" s="130" t="s">
        <v>5480</v>
      </c>
      <c r="F428" s="12">
        <v>6.66568655E8</v>
      </c>
      <c r="G428" s="20" t="s">
        <v>71</v>
      </c>
      <c r="H428" s="156" t="s">
        <v>94</v>
      </c>
      <c r="I428" s="130" t="s">
        <v>5564</v>
      </c>
      <c r="J428" s="130" t="s">
        <v>5566</v>
      </c>
      <c r="K428" s="13" t="s">
        <v>148</v>
      </c>
      <c r="L428" s="125"/>
      <c r="M428" s="27" t="s">
        <v>55</v>
      </c>
      <c r="N428" s="13" t="s">
        <v>56</v>
      </c>
      <c r="O428" s="13" t="s">
        <v>42</v>
      </c>
      <c r="P428" s="156"/>
      <c r="Q428" s="13" t="s">
        <v>863</v>
      </c>
      <c r="R428" s="13" t="s">
        <v>46</v>
      </c>
      <c r="S428" s="13"/>
      <c r="T428" s="125"/>
      <c r="U428" s="125"/>
      <c r="V428" s="156">
        <v>0.0</v>
      </c>
    </row>
    <row r="429">
      <c r="A429" s="13">
        <v>428.0</v>
      </c>
      <c r="B429" s="125">
        <v>46162.0</v>
      </c>
      <c r="C429" s="13" t="s">
        <v>47</v>
      </c>
      <c r="D429" s="13" t="s">
        <v>138</v>
      </c>
      <c r="E429" s="156" t="s">
        <v>2561</v>
      </c>
      <c r="F429" s="12">
        <v>5.57770865E8</v>
      </c>
      <c r="G429" s="130" t="s">
        <v>28</v>
      </c>
      <c r="H429" s="156" t="s">
        <v>830</v>
      </c>
      <c r="I429" s="130" t="s">
        <v>5571</v>
      </c>
      <c r="J429" s="130" t="s">
        <v>5573</v>
      </c>
      <c r="K429" s="13" t="s">
        <v>148</v>
      </c>
      <c r="L429" s="159"/>
      <c r="M429" s="27" t="s">
        <v>101</v>
      </c>
      <c r="N429" s="13" t="s">
        <v>56</v>
      </c>
      <c r="O429" s="13" t="s">
        <v>42</v>
      </c>
      <c r="P429" s="156"/>
      <c r="Q429" s="13" t="s">
        <v>44</v>
      </c>
      <c r="R429" s="13" t="s">
        <v>46</v>
      </c>
      <c r="S429" s="13"/>
      <c r="T429" s="159"/>
      <c r="U429" s="125"/>
      <c r="V429" s="156">
        <v>0.0</v>
      </c>
    </row>
    <row r="430">
      <c r="A430" s="13">
        <v>429.0</v>
      </c>
      <c r="B430" s="125">
        <v>46162.0</v>
      </c>
      <c r="C430" s="13" t="s">
        <v>21</v>
      </c>
      <c r="D430" s="13" t="s">
        <v>48</v>
      </c>
      <c r="E430" s="130" t="s">
        <v>2567</v>
      </c>
      <c r="F430" s="12">
        <v>5.56010476E8</v>
      </c>
      <c r="G430" s="130" t="s">
        <v>28</v>
      </c>
      <c r="H430" s="156" t="s">
        <v>27</v>
      </c>
      <c r="I430" s="130" t="s">
        <v>5577</v>
      </c>
      <c r="J430" s="125"/>
      <c r="K430" s="13" t="s">
        <v>148</v>
      </c>
      <c r="L430" s="125"/>
      <c r="M430" s="27" t="s">
        <v>38</v>
      </c>
      <c r="N430" s="13" t="s">
        <v>40</v>
      </c>
      <c r="O430" s="13" t="s">
        <v>42</v>
      </c>
      <c r="P430" s="156"/>
      <c r="Q430" s="13" t="s">
        <v>44</v>
      </c>
      <c r="R430" s="13"/>
      <c r="S430" s="13"/>
      <c r="T430" s="125"/>
      <c r="U430" s="125"/>
      <c r="V430" s="156">
        <v>0.0</v>
      </c>
    </row>
    <row r="431">
      <c r="A431" s="13">
        <v>430.0</v>
      </c>
      <c r="B431" s="125">
        <v>46162.0</v>
      </c>
      <c r="C431" s="13" t="s">
        <v>47</v>
      </c>
      <c r="D431" s="13" t="s">
        <v>48</v>
      </c>
      <c r="E431" s="130" t="s">
        <v>463</v>
      </c>
      <c r="F431" s="12" t="s">
        <v>27</v>
      </c>
      <c r="G431" s="130" t="s">
        <v>333</v>
      </c>
      <c r="H431" s="156" t="s">
        <v>1114</v>
      </c>
      <c r="I431" s="130" t="s">
        <v>5580</v>
      </c>
      <c r="J431" s="130" t="s">
        <v>5581</v>
      </c>
      <c r="K431" s="13" t="s">
        <v>148</v>
      </c>
      <c r="L431" s="159">
        <v>0.42430555555555555</v>
      </c>
      <c r="M431" s="27" t="s">
        <v>55</v>
      </c>
      <c r="N431" s="13" t="s">
        <v>56</v>
      </c>
      <c r="O431" s="13" t="s">
        <v>42</v>
      </c>
      <c r="P431" s="156"/>
      <c r="Q431" s="13" t="s">
        <v>44</v>
      </c>
      <c r="R431" s="13" t="s">
        <v>46</v>
      </c>
      <c r="S431" s="13"/>
      <c r="T431" s="159"/>
      <c r="U431" s="125"/>
      <c r="V431" s="156">
        <v>0.0</v>
      </c>
    </row>
    <row r="432">
      <c r="A432" s="13">
        <v>431.0</v>
      </c>
      <c r="B432" s="125">
        <v>46162.0</v>
      </c>
      <c r="C432" s="13" t="s">
        <v>47</v>
      </c>
      <c r="D432" s="13" t="s">
        <v>138</v>
      </c>
      <c r="E432" s="156" t="s">
        <v>5586</v>
      </c>
      <c r="F432" s="12">
        <v>5.00979542E8</v>
      </c>
      <c r="G432" s="130" t="s">
        <v>333</v>
      </c>
      <c r="H432" s="156" t="s">
        <v>1114</v>
      </c>
      <c r="I432" s="130" t="s">
        <v>5589</v>
      </c>
      <c r="J432" s="130" t="s">
        <v>5590</v>
      </c>
      <c r="K432" s="13" t="s">
        <v>148</v>
      </c>
      <c r="L432" s="159"/>
      <c r="M432" s="27" t="s">
        <v>55</v>
      </c>
      <c r="N432" s="13" t="s">
        <v>56</v>
      </c>
      <c r="O432" s="13" t="s">
        <v>42</v>
      </c>
      <c r="P432" s="156"/>
      <c r="Q432" s="13" t="s">
        <v>44</v>
      </c>
      <c r="R432" s="13" t="s">
        <v>46</v>
      </c>
      <c r="S432" s="13"/>
      <c r="T432" s="159"/>
      <c r="U432" s="125"/>
      <c r="V432" s="156">
        <v>0.0</v>
      </c>
    </row>
    <row r="433">
      <c r="A433" s="13">
        <v>432.0</v>
      </c>
      <c r="B433" s="125">
        <v>46163.0</v>
      </c>
      <c r="C433" s="13" t="s">
        <v>47</v>
      </c>
      <c r="D433" s="13" t="s">
        <v>138</v>
      </c>
      <c r="E433" s="130" t="s">
        <v>154</v>
      </c>
      <c r="F433" s="12">
        <v>5.04711594E8</v>
      </c>
      <c r="G433" s="130" t="s">
        <v>79</v>
      </c>
      <c r="H433" s="156" t="s">
        <v>80</v>
      </c>
      <c r="I433" s="130" t="s">
        <v>5595</v>
      </c>
      <c r="J433" s="130" t="s">
        <v>5596</v>
      </c>
      <c r="K433" s="13" t="s">
        <v>148</v>
      </c>
      <c r="L433" s="159"/>
      <c r="M433" s="27" t="s">
        <v>55</v>
      </c>
      <c r="N433" s="13" t="s">
        <v>56</v>
      </c>
      <c r="O433" s="13" t="s">
        <v>42</v>
      </c>
      <c r="P433" s="156"/>
      <c r="Q433" s="13" t="s">
        <v>44</v>
      </c>
      <c r="R433" s="13" t="s">
        <v>46</v>
      </c>
      <c r="S433" s="13"/>
      <c r="T433" s="159"/>
      <c r="U433" s="125"/>
      <c r="V433" s="156">
        <v>0.0</v>
      </c>
    </row>
    <row r="434" ht="63.0" customHeight="1">
      <c r="A434" s="13">
        <v>433.0</v>
      </c>
      <c r="B434" s="125">
        <v>46162.0</v>
      </c>
      <c r="C434" s="13" t="s">
        <v>47</v>
      </c>
      <c r="D434" s="228" t="s">
        <v>60</v>
      </c>
      <c r="E434" s="130" t="s">
        <v>5600</v>
      </c>
      <c r="F434" s="12">
        <v>5.53191464E8</v>
      </c>
      <c r="G434" s="130" t="s">
        <v>4513</v>
      </c>
      <c r="H434" s="156" t="s">
        <v>705</v>
      </c>
      <c r="I434" s="102" t="s">
        <v>5602</v>
      </c>
      <c r="J434" s="125"/>
      <c r="K434" s="13" t="s">
        <v>36</v>
      </c>
      <c r="L434" s="159">
        <v>0.4027777777777778</v>
      </c>
      <c r="M434" s="27" t="s">
        <v>3432</v>
      </c>
      <c r="N434" s="13" t="s">
        <v>40</v>
      </c>
      <c r="O434" s="13" t="s">
        <v>42</v>
      </c>
      <c r="P434" s="156"/>
      <c r="Q434" s="13" t="s">
        <v>863</v>
      </c>
      <c r="R434" s="13" t="s">
        <v>46</v>
      </c>
      <c r="S434" s="20" t="s">
        <v>2710</v>
      </c>
      <c r="T434" s="159">
        <v>0.19444444444444445</v>
      </c>
      <c r="U434" s="156" t="s">
        <v>863</v>
      </c>
      <c r="V434" s="156">
        <v>0.0</v>
      </c>
    </row>
    <row r="435">
      <c r="A435" s="13">
        <v>434.0</v>
      </c>
      <c r="B435" s="125">
        <v>46162.0</v>
      </c>
      <c r="C435" s="13" t="s">
        <v>21</v>
      </c>
      <c r="D435" s="13" t="s">
        <v>60</v>
      </c>
      <c r="E435" s="130" t="s">
        <v>5605</v>
      </c>
      <c r="F435" s="12">
        <v>5.03934025E8</v>
      </c>
      <c r="G435" s="130" t="s">
        <v>5607</v>
      </c>
      <c r="H435" s="156" t="s">
        <v>27</v>
      </c>
      <c r="I435" s="130" t="s">
        <v>5608</v>
      </c>
      <c r="J435" s="125"/>
      <c r="K435" s="13" t="s">
        <v>36</v>
      </c>
      <c r="L435" s="125"/>
      <c r="M435" s="27" t="s">
        <v>38</v>
      </c>
      <c r="N435" s="13" t="s">
        <v>40</v>
      </c>
      <c r="O435" s="13" t="s">
        <v>42</v>
      </c>
      <c r="P435" s="156"/>
      <c r="Q435" s="13" t="s">
        <v>863</v>
      </c>
      <c r="R435" s="13" t="s">
        <v>46</v>
      </c>
      <c r="S435" s="13"/>
      <c r="T435" s="125"/>
      <c r="U435" s="125"/>
      <c r="V435" s="156">
        <v>0.0</v>
      </c>
    </row>
    <row r="436" ht="30.0" customHeight="1">
      <c r="A436" s="13">
        <v>435.0</v>
      </c>
      <c r="B436" s="125">
        <v>46162.0</v>
      </c>
      <c r="C436" s="13" t="s">
        <v>21</v>
      </c>
      <c r="D436" s="13" t="s">
        <v>24</v>
      </c>
      <c r="E436" s="130" t="s">
        <v>5613</v>
      </c>
      <c r="F436" s="12">
        <v>5.04430637E8</v>
      </c>
      <c r="G436" s="130" t="s">
        <v>41</v>
      </c>
      <c r="H436" s="156" t="s">
        <v>27</v>
      </c>
      <c r="I436" s="130" t="s">
        <v>5615</v>
      </c>
      <c r="J436" s="125"/>
      <c r="K436" s="13" t="s">
        <v>36</v>
      </c>
      <c r="L436" s="125"/>
      <c r="M436" s="27" t="s">
        <v>38</v>
      </c>
      <c r="N436" s="13" t="s">
        <v>40</v>
      </c>
      <c r="O436" s="13" t="s">
        <v>42</v>
      </c>
      <c r="P436" s="156"/>
      <c r="Q436" s="13" t="s">
        <v>44</v>
      </c>
      <c r="R436" s="13" t="s">
        <v>46</v>
      </c>
      <c r="S436" s="13"/>
      <c r="T436" s="125"/>
      <c r="U436" s="125"/>
      <c r="V436" s="156">
        <v>0.0</v>
      </c>
    </row>
    <row r="437" ht="27.0" customHeight="1">
      <c r="A437" s="13">
        <v>436.0</v>
      </c>
      <c r="B437" s="125">
        <v>46162.0</v>
      </c>
      <c r="C437" s="13" t="s">
        <v>21</v>
      </c>
      <c r="D437" s="13" t="s">
        <v>24</v>
      </c>
      <c r="E437" s="130" t="s">
        <v>922</v>
      </c>
      <c r="F437" s="12">
        <v>5.05103531E8</v>
      </c>
      <c r="G437" s="130" t="s">
        <v>333</v>
      </c>
      <c r="H437" s="125"/>
      <c r="I437" s="130" t="s">
        <v>2962</v>
      </c>
      <c r="J437" s="125"/>
      <c r="K437" s="13" t="s">
        <v>36</v>
      </c>
      <c r="L437" s="125"/>
      <c r="M437" s="27" t="s">
        <v>1148</v>
      </c>
      <c r="N437" s="13" t="s">
        <v>40</v>
      </c>
      <c r="O437" s="13" t="s">
        <v>42</v>
      </c>
      <c r="P437" s="156"/>
      <c r="Q437" s="13" t="s">
        <v>44</v>
      </c>
      <c r="R437" s="13" t="s">
        <v>46</v>
      </c>
      <c r="S437" s="13"/>
      <c r="T437" s="125"/>
      <c r="U437" s="125"/>
      <c r="V437" s="156">
        <v>0.0</v>
      </c>
    </row>
    <row r="438" ht="48.0" customHeight="1">
      <c r="A438" s="13">
        <v>437.0</v>
      </c>
      <c r="B438" s="125">
        <v>46162.0</v>
      </c>
      <c r="C438" s="13" t="s">
        <v>21</v>
      </c>
      <c r="D438" s="13" t="s">
        <v>22</v>
      </c>
      <c r="E438" s="130"/>
      <c r="F438" s="12"/>
      <c r="G438" s="344" t="s">
        <v>71</v>
      </c>
      <c r="H438" s="345" t="s">
        <v>27</v>
      </c>
      <c r="I438" s="346" t="s">
        <v>5626</v>
      </c>
      <c r="J438" s="345"/>
      <c r="K438" s="344" t="s">
        <v>321</v>
      </c>
      <c r="L438" s="125"/>
      <c r="M438" s="237" t="s">
        <v>5630</v>
      </c>
      <c r="N438" s="51" t="s">
        <v>40</v>
      </c>
      <c r="O438" s="51" t="s">
        <v>42</v>
      </c>
      <c r="P438" s="156"/>
      <c r="Q438" s="347" t="s">
        <v>49</v>
      </c>
      <c r="R438" s="13"/>
      <c r="S438" s="13"/>
      <c r="T438" s="125"/>
      <c r="U438" s="125"/>
      <c r="V438" s="347">
        <v>0.0</v>
      </c>
    </row>
    <row r="439" ht="48.0" customHeight="1">
      <c r="A439" s="13">
        <v>438.0</v>
      </c>
      <c r="B439" s="125">
        <v>46162.0</v>
      </c>
      <c r="C439" s="13" t="s">
        <v>21</v>
      </c>
      <c r="D439" s="13" t="s">
        <v>22</v>
      </c>
      <c r="E439" s="130" t="s">
        <v>5634</v>
      </c>
      <c r="F439" s="12">
        <v>5.78891017E8</v>
      </c>
      <c r="G439" s="130" t="s">
        <v>426</v>
      </c>
      <c r="H439" s="125"/>
      <c r="I439" s="130" t="s">
        <v>5639</v>
      </c>
      <c r="J439" s="125"/>
      <c r="K439" s="13" t="s">
        <v>36</v>
      </c>
      <c r="L439" s="125"/>
      <c r="M439" s="27" t="s">
        <v>38</v>
      </c>
      <c r="N439" s="13" t="s">
        <v>40</v>
      </c>
      <c r="O439" s="13" t="s">
        <v>42</v>
      </c>
      <c r="P439" s="156"/>
      <c r="Q439" s="13" t="s">
        <v>863</v>
      </c>
      <c r="R439" s="13" t="s">
        <v>46</v>
      </c>
      <c r="S439" s="13"/>
      <c r="T439" s="125"/>
      <c r="U439" s="125"/>
      <c r="V439" s="156">
        <v>0.0</v>
      </c>
    </row>
    <row r="440" ht="83.25" customHeight="1">
      <c r="A440" s="13">
        <v>439.0</v>
      </c>
      <c r="B440" s="125">
        <v>46162.0</v>
      </c>
      <c r="C440" s="13" t="s">
        <v>21</v>
      </c>
      <c r="D440" s="13" t="s">
        <v>22</v>
      </c>
      <c r="E440" s="130" t="s">
        <v>5644</v>
      </c>
      <c r="F440" s="12">
        <v>5.55759945E8</v>
      </c>
      <c r="G440" s="130" t="s">
        <v>5646</v>
      </c>
      <c r="H440" s="125"/>
      <c r="I440" s="130" t="s">
        <v>5648</v>
      </c>
      <c r="J440" s="159"/>
      <c r="K440" s="13" t="s">
        <v>36</v>
      </c>
      <c r="L440" s="125"/>
      <c r="M440" s="27" t="s">
        <v>3432</v>
      </c>
      <c r="N440" s="13" t="s">
        <v>40</v>
      </c>
      <c r="O440" s="13" t="s">
        <v>42</v>
      </c>
      <c r="P440" s="156"/>
      <c r="Q440" s="13" t="s">
        <v>863</v>
      </c>
      <c r="R440" s="13" t="s">
        <v>46</v>
      </c>
      <c r="S440" s="13"/>
      <c r="T440" s="125"/>
      <c r="U440" s="125"/>
      <c r="V440" s="156">
        <v>0.0</v>
      </c>
    </row>
    <row r="441" ht="28.5" customHeight="1">
      <c r="A441" s="13">
        <v>440.0</v>
      </c>
      <c r="B441" s="125">
        <v>46162.0</v>
      </c>
      <c r="C441" s="13" t="s">
        <v>21</v>
      </c>
      <c r="D441" s="13" t="s">
        <v>57</v>
      </c>
      <c r="E441" s="130" t="s">
        <v>1103</v>
      </c>
      <c r="F441" s="12">
        <v>5.57699933E8</v>
      </c>
      <c r="G441" s="130" t="s">
        <v>5655</v>
      </c>
      <c r="H441" s="125"/>
      <c r="I441" s="130" t="s">
        <v>5656</v>
      </c>
      <c r="J441" s="125"/>
      <c r="K441" s="13" t="s">
        <v>36</v>
      </c>
      <c r="L441" s="125"/>
      <c r="M441" s="27" t="s">
        <v>38</v>
      </c>
      <c r="N441" s="13" t="s">
        <v>40</v>
      </c>
      <c r="O441" s="13" t="s">
        <v>42</v>
      </c>
      <c r="P441" s="156"/>
      <c r="Q441" s="13" t="s">
        <v>863</v>
      </c>
      <c r="R441" s="13"/>
      <c r="S441" s="13"/>
      <c r="T441" s="125"/>
      <c r="U441" s="125"/>
      <c r="V441" s="156">
        <v>0.0</v>
      </c>
    </row>
    <row r="442" ht="26.25" customHeight="1">
      <c r="A442" s="13">
        <v>441.0</v>
      </c>
      <c r="B442" s="125">
        <v>46162.0</v>
      </c>
      <c r="C442" s="13" t="s">
        <v>58</v>
      </c>
      <c r="D442" s="13" t="s">
        <v>60</v>
      </c>
      <c r="E442" s="156" t="s">
        <v>27</v>
      </c>
      <c r="F442" s="12">
        <v>5.07336004E8</v>
      </c>
      <c r="G442" s="156" t="s">
        <v>27</v>
      </c>
      <c r="H442" s="156" t="s">
        <v>27</v>
      </c>
      <c r="I442" s="130" t="s">
        <v>5662</v>
      </c>
      <c r="J442" s="130" t="s">
        <v>35</v>
      </c>
      <c r="K442" s="13" t="s">
        <v>62</v>
      </c>
      <c r="L442" s="125"/>
      <c r="M442" s="27" t="s">
        <v>88</v>
      </c>
      <c r="N442" s="13" t="s">
        <v>56</v>
      </c>
      <c r="O442" s="13" t="s">
        <v>42</v>
      </c>
      <c r="P442" s="156"/>
      <c r="Q442" s="13" t="s">
        <v>44</v>
      </c>
      <c r="R442" s="13"/>
      <c r="S442" s="13"/>
      <c r="T442" s="125"/>
      <c r="U442" s="125"/>
      <c r="V442" s="156">
        <v>0.0</v>
      </c>
    </row>
    <row r="443">
      <c r="A443" s="13">
        <v>442.0</v>
      </c>
      <c r="B443" s="125">
        <v>46162.0</v>
      </c>
      <c r="C443" s="13" t="s">
        <v>58</v>
      </c>
      <c r="D443" s="13" t="s">
        <v>60</v>
      </c>
      <c r="E443" s="156" t="s">
        <v>5667</v>
      </c>
      <c r="F443" s="12">
        <v>5.49372044E8</v>
      </c>
      <c r="G443" s="156" t="s">
        <v>27</v>
      </c>
      <c r="H443" s="156" t="s">
        <v>27</v>
      </c>
      <c r="I443" s="130" t="s">
        <v>5671</v>
      </c>
      <c r="J443" s="130" t="s">
        <v>35</v>
      </c>
      <c r="K443" s="13" t="s">
        <v>62</v>
      </c>
      <c r="L443" s="125"/>
      <c r="M443" s="27" t="s">
        <v>101</v>
      </c>
      <c r="N443" s="13" t="s">
        <v>56</v>
      </c>
      <c r="O443" s="13" t="s">
        <v>42</v>
      </c>
      <c r="P443" s="156"/>
      <c r="Q443" s="13" t="s">
        <v>44</v>
      </c>
      <c r="R443" s="13"/>
      <c r="S443" s="13"/>
      <c r="T443" s="125"/>
      <c r="U443" s="125"/>
      <c r="V443" s="156">
        <v>0.0</v>
      </c>
    </row>
    <row r="444" ht="42.0" customHeight="1">
      <c r="A444" s="13">
        <v>443.0</v>
      </c>
      <c r="B444" s="125">
        <v>46163.0</v>
      </c>
      <c r="C444" s="13" t="s">
        <v>58</v>
      </c>
      <c r="D444" s="13" t="s">
        <v>60</v>
      </c>
      <c r="E444" s="156" t="s">
        <v>5676</v>
      </c>
      <c r="F444" s="12">
        <v>5.53916039E8</v>
      </c>
      <c r="G444" s="156" t="s">
        <v>27</v>
      </c>
      <c r="H444" s="156" t="s">
        <v>27</v>
      </c>
      <c r="I444" s="130" t="s">
        <v>5677</v>
      </c>
      <c r="J444" s="130" t="s">
        <v>35</v>
      </c>
      <c r="K444" s="13" t="s">
        <v>62</v>
      </c>
      <c r="L444" s="125"/>
      <c r="M444" s="27" t="s">
        <v>88</v>
      </c>
      <c r="N444" s="13" t="s">
        <v>40</v>
      </c>
      <c r="O444" s="13" t="s">
        <v>42</v>
      </c>
      <c r="P444" s="156"/>
      <c r="Q444" s="13" t="s">
        <v>44</v>
      </c>
      <c r="R444" s="13"/>
      <c r="S444" s="13"/>
      <c r="T444" s="125"/>
      <c r="U444" s="125"/>
      <c r="V444" s="156">
        <v>0.0</v>
      </c>
    </row>
    <row r="445" ht="42.75" customHeight="1">
      <c r="A445" s="13">
        <v>444.0</v>
      </c>
      <c r="B445" s="125">
        <v>46163.0</v>
      </c>
      <c r="C445" s="13" t="s">
        <v>58</v>
      </c>
      <c r="D445" s="13" t="s">
        <v>92</v>
      </c>
      <c r="E445" s="156" t="s">
        <v>942</v>
      </c>
      <c r="F445" s="12">
        <v>5.4636201E8</v>
      </c>
      <c r="G445" s="156" t="s">
        <v>27</v>
      </c>
      <c r="H445" s="156" t="s">
        <v>94</v>
      </c>
      <c r="I445" s="130" t="s">
        <v>5683</v>
      </c>
      <c r="J445" s="156" t="s">
        <v>27</v>
      </c>
      <c r="K445" s="13" t="s">
        <v>36</v>
      </c>
      <c r="L445" s="125"/>
      <c r="M445" s="27" t="s">
        <v>38</v>
      </c>
      <c r="N445" s="13" t="s">
        <v>40</v>
      </c>
      <c r="O445" s="13" t="s">
        <v>42</v>
      </c>
      <c r="P445" s="156"/>
      <c r="Q445" s="13" t="s">
        <v>863</v>
      </c>
      <c r="R445" s="13"/>
      <c r="S445" s="13"/>
      <c r="T445" s="125"/>
      <c r="U445" s="125"/>
      <c r="V445" s="156">
        <v>0.0</v>
      </c>
    </row>
    <row r="446">
      <c r="A446" s="13">
        <v>445.0</v>
      </c>
      <c r="B446" s="125">
        <v>46163.0</v>
      </c>
      <c r="C446" s="13" t="s">
        <v>47</v>
      </c>
      <c r="D446" s="13" t="s">
        <v>60</v>
      </c>
      <c r="E446" s="130" t="s">
        <v>5688</v>
      </c>
      <c r="F446" s="12" t="s">
        <v>27</v>
      </c>
      <c r="G446" s="156" t="s">
        <v>27</v>
      </c>
      <c r="H446" s="156" t="s">
        <v>783</v>
      </c>
      <c r="I446" s="130" t="s">
        <v>5690</v>
      </c>
      <c r="J446" s="156" t="s">
        <v>5691</v>
      </c>
      <c r="K446" s="13" t="s">
        <v>78</v>
      </c>
      <c r="L446" s="125"/>
      <c r="M446" s="27" t="s">
        <v>1148</v>
      </c>
      <c r="N446" s="13" t="s">
        <v>40</v>
      </c>
      <c r="O446" s="13" t="s">
        <v>42</v>
      </c>
      <c r="P446" s="156"/>
      <c r="Q446" s="13" t="s">
        <v>863</v>
      </c>
      <c r="R446" s="13"/>
      <c r="S446" s="13"/>
      <c r="T446" s="125"/>
      <c r="U446" s="125"/>
      <c r="V446" s="156">
        <v>0.0</v>
      </c>
    </row>
    <row r="447">
      <c r="A447" s="13">
        <v>446.0</v>
      </c>
      <c r="B447" s="125">
        <v>46163.0</v>
      </c>
      <c r="C447" s="13" t="s">
        <v>47</v>
      </c>
      <c r="D447" s="13" t="s">
        <v>251</v>
      </c>
      <c r="E447" s="156" t="s">
        <v>27</v>
      </c>
      <c r="F447" s="12" t="s">
        <v>27</v>
      </c>
      <c r="G447" s="156" t="s">
        <v>27</v>
      </c>
      <c r="H447" s="156" t="s">
        <v>451</v>
      </c>
      <c r="I447" s="130" t="s">
        <v>5696</v>
      </c>
      <c r="J447" s="125"/>
      <c r="K447" s="13" t="s">
        <v>78</v>
      </c>
      <c r="L447" s="125"/>
      <c r="M447" s="27" t="s">
        <v>55</v>
      </c>
      <c r="N447" s="13" t="s">
        <v>40</v>
      </c>
      <c r="O447" s="13" t="s">
        <v>42</v>
      </c>
      <c r="P447" s="156"/>
      <c r="Q447" s="13" t="s">
        <v>863</v>
      </c>
      <c r="R447" s="13" t="s">
        <v>46</v>
      </c>
      <c r="S447" s="13"/>
      <c r="T447" s="125"/>
      <c r="U447" s="125"/>
      <c r="V447" s="156">
        <v>0.0</v>
      </c>
    </row>
    <row r="448">
      <c r="A448" s="13">
        <v>447.0</v>
      </c>
      <c r="B448" s="125">
        <v>46163.0</v>
      </c>
      <c r="C448" s="13" t="s">
        <v>21</v>
      </c>
      <c r="D448" s="13" t="s">
        <v>24</v>
      </c>
      <c r="E448" s="130" t="s">
        <v>5700</v>
      </c>
      <c r="F448" s="12">
        <v>5.45521004E8</v>
      </c>
      <c r="G448" s="156" t="s">
        <v>27</v>
      </c>
      <c r="H448" s="156" t="s">
        <v>27</v>
      </c>
      <c r="I448" s="130" t="s">
        <v>5701</v>
      </c>
      <c r="J448" s="125"/>
      <c r="K448" s="13" t="s">
        <v>62</v>
      </c>
      <c r="L448" s="125"/>
      <c r="M448" s="27" t="s">
        <v>38</v>
      </c>
      <c r="N448" s="13" t="s">
        <v>40</v>
      </c>
      <c r="O448" s="13" t="s">
        <v>42</v>
      </c>
      <c r="P448" s="156"/>
      <c r="Q448" s="13" t="s">
        <v>863</v>
      </c>
      <c r="R448" s="13" t="s">
        <v>46</v>
      </c>
      <c r="S448" s="13"/>
      <c r="T448" s="125"/>
      <c r="U448" s="125"/>
      <c r="V448" s="156">
        <v>0.0</v>
      </c>
    </row>
    <row r="449">
      <c r="A449" s="13">
        <v>448.0</v>
      </c>
      <c r="B449" s="125">
        <v>46163.0</v>
      </c>
      <c r="C449" s="13" t="s">
        <v>21</v>
      </c>
      <c r="D449" s="13" t="s">
        <v>24</v>
      </c>
      <c r="E449" s="130" t="s">
        <v>5480</v>
      </c>
      <c r="F449" s="12">
        <v>5.4415111E8</v>
      </c>
      <c r="G449" s="125"/>
      <c r="H449" s="125"/>
      <c r="I449" s="130" t="s">
        <v>5707</v>
      </c>
      <c r="J449" s="125"/>
      <c r="K449" s="13" t="s">
        <v>36</v>
      </c>
      <c r="L449" s="125"/>
      <c r="M449" s="27" t="s">
        <v>38</v>
      </c>
      <c r="N449" s="13" t="s">
        <v>40</v>
      </c>
      <c r="O449" s="13" t="s">
        <v>42</v>
      </c>
      <c r="P449" s="156"/>
      <c r="Q449" s="13" t="s">
        <v>863</v>
      </c>
      <c r="R449" s="13" t="s">
        <v>46</v>
      </c>
      <c r="S449" s="13"/>
      <c r="T449" s="125"/>
      <c r="U449" s="125"/>
      <c r="V449" s="156">
        <v>0.0</v>
      </c>
    </row>
    <row r="450">
      <c r="A450" s="13">
        <v>449.0</v>
      </c>
      <c r="B450" s="125">
        <v>46163.0</v>
      </c>
      <c r="C450" s="13" t="s">
        <v>58</v>
      </c>
      <c r="D450" s="13" t="s">
        <v>60</v>
      </c>
      <c r="E450" s="156" t="s">
        <v>27</v>
      </c>
      <c r="F450" s="12">
        <v>5.50393822E8</v>
      </c>
      <c r="G450" s="156" t="s">
        <v>27</v>
      </c>
      <c r="H450" s="156" t="s">
        <v>27</v>
      </c>
      <c r="I450" s="130" t="s">
        <v>554</v>
      </c>
      <c r="J450" s="125"/>
      <c r="K450" s="13" t="s">
        <v>36</v>
      </c>
      <c r="L450" s="125"/>
      <c r="M450" s="27" t="s">
        <v>88</v>
      </c>
      <c r="N450" s="13" t="s">
        <v>40</v>
      </c>
      <c r="O450" s="13" t="s">
        <v>42</v>
      </c>
      <c r="P450" s="156"/>
      <c r="Q450" s="13" t="s">
        <v>44</v>
      </c>
      <c r="R450" s="13"/>
      <c r="S450" s="13"/>
      <c r="T450" s="125"/>
      <c r="U450" s="125"/>
      <c r="V450" s="156">
        <v>0.0</v>
      </c>
    </row>
    <row r="451" ht="56.25" customHeight="1">
      <c r="A451" s="13">
        <v>450.0</v>
      </c>
      <c r="B451" s="125">
        <v>46163.0</v>
      </c>
      <c r="C451" s="13" t="s">
        <v>21</v>
      </c>
      <c r="D451" s="13" t="s">
        <v>22</v>
      </c>
      <c r="E451" s="130" t="s">
        <v>5713</v>
      </c>
      <c r="F451" s="12">
        <v>5.30000888E8</v>
      </c>
      <c r="G451" s="130" t="s">
        <v>5715</v>
      </c>
      <c r="H451" s="156" t="s">
        <v>27</v>
      </c>
      <c r="I451" s="130" t="s">
        <v>5716</v>
      </c>
      <c r="J451" s="125"/>
      <c r="K451" s="13" t="s">
        <v>36</v>
      </c>
      <c r="L451" s="125"/>
      <c r="M451" s="27" t="s">
        <v>38</v>
      </c>
      <c r="N451" s="13" t="s">
        <v>40</v>
      </c>
      <c r="O451" s="13" t="s">
        <v>42</v>
      </c>
      <c r="P451" s="156"/>
      <c r="Q451" s="13" t="s">
        <v>49</v>
      </c>
      <c r="R451" s="13" t="s">
        <v>46</v>
      </c>
      <c r="S451" s="13"/>
      <c r="T451" s="125"/>
      <c r="U451" s="125"/>
      <c r="V451" s="156">
        <v>0.0</v>
      </c>
    </row>
    <row r="452">
      <c r="A452" s="13">
        <v>451.0</v>
      </c>
      <c r="B452" s="125">
        <v>46163.0</v>
      </c>
      <c r="C452" s="13" t="s">
        <v>21</v>
      </c>
      <c r="D452" s="13" t="s">
        <v>24</v>
      </c>
      <c r="E452" s="130" t="s">
        <v>5721</v>
      </c>
      <c r="F452" s="12">
        <v>5.42220889E8</v>
      </c>
      <c r="G452" s="130" t="s">
        <v>152</v>
      </c>
      <c r="H452" s="156" t="s">
        <v>27</v>
      </c>
      <c r="I452" s="130" t="s">
        <v>5722</v>
      </c>
      <c r="J452" s="125"/>
      <c r="K452" s="13" t="s">
        <v>36</v>
      </c>
      <c r="L452" s="125"/>
      <c r="M452" s="27" t="s">
        <v>38</v>
      </c>
      <c r="N452" s="13" t="s">
        <v>40</v>
      </c>
      <c r="O452" s="13" t="s">
        <v>42</v>
      </c>
      <c r="P452" s="156"/>
      <c r="Q452" s="13" t="s">
        <v>49</v>
      </c>
      <c r="R452" s="13" t="s">
        <v>46</v>
      </c>
      <c r="S452" s="13"/>
      <c r="T452" s="125"/>
      <c r="U452" s="125"/>
      <c r="V452" s="156">
        <v>0.0</v>
      </c>
    </row>
    <row r="453" ht="92.25" customHeight="1">
      <c r="A453" s="13">
        <v>452.0</v>
      </c>
      <c r="B453" s="125">
        <v>46163.0</v>
      </c>
      <c r="C453" s="13" t="s">
        <v>58</v>
      </c>
      <c r="D453" s="13" t="s">
        <v>48</v>
      </c>
      <c r="E453" s="130" t="s">
        <v>5728</v>
      </c>
      <c r="F453" s="12">
        <v>5.66881117E8</v>
      </c>
      <c r="G453" s="130" t="s">
        <v>908</v>
      </c>
      <c r="H453" s="156" t="s">
        <v>142</v>
      </c>
      <c r="I453" s="352" t="s">
        <v>5729</v>
      </c>
      <c r="J453" s="130" t="s">
        <v>5730</v>
      </c>
      <c r="K453" s="13" t="s">
        <v>36</v>
      </c>
      <c r="L453" s="159">
        <v>0.5520833333333334</v>
      </c>
      <c r="M453" s="27" t="s">
        <v>3432</v>
      </c>
      <c r="N453" s="13" t="s">
        <v>40</v>
      </c>
      <c r="O453" s="13" t="s">
        <v>42</v>
      </c>
      <c r="P453" s="156"/>
      <c r="Q453" s="13" t="s">
        <v>49</v>
      </c>
      <c r="R453" s="13"/>
      <c r="S453" s="20" t="s">
        <v>2632</v>
      </c>
      <c r="T453" s="159">
        <v>0.625</v>
      </c>
      <c r="U453" s="156" t="s">
        <v>49</v>
      </c>
      <c r="V453" s="156">
        <v>0.0</v>
      </c>
    </row>
    <row r="454">
      <c r="A454" s="13">
        <v>453.0</v>
      </c>
      <c r="B454" s="125">
        <v>46163.0</v>
      </c>
      <c r="C454" s="13" t="s">
        <v>58</v>
      </c>
      <c r="D454" s="13" t="s">
        <v>60</v>
      </c>
      <c r="E454" s="156" t="s">
        <v>27</v>
      </c>
      <c r="F454" s="12">
        <v>5.35003661E8</v>
      </c>
      <c r="G454" s="156" t="s">
        <v>27</v>
      </c>
      <c r="H454" s="156" t="s">
        <v>27</v>
      </c>
      <c r="I454" s="130" t="s">
        <v>554</v>
      </c>
      <c r="J454" s="125"/>
      <c r="K454" s="13" t="s">
        <v>36</v>
      </c>
      <c r="L454" s="125"/>
      <c r="M454" s="27" t="s">
        <v>1008</v>
      </c>
      <c r="N454" s="13" t="s">
        <v>40</v>
      </c>
      <c r="O454" s="13" t="s">
        <v>42</v>
      </c>
      <c r="P454" s="156"/>
      <c r="Q454" s="13" t="s">
        <v>49</v>
      </c>
      <c r="R454" s="13"/>
      <c r="S454" s="13"/>
      <c r="T454" s="125"/>
      <c r="U454" s="125"/>
      <c r="V454" s="156">
        <v>0.0</v>
      </c>
    </row>
    <row r="455">
      <c r="A455" s="13">
        <v>454.0</v>
      </c>
      <c r="B455" s="125">
        <v>46163.0</v>
      </c>
      <c r="C455" s="13" t="s">
        <v>21</v>
      </c>
      <c r="D455" s="13" t="s">
        <v>24</v>
      </c>
      <c r="E455" s="130" t="s">
        <v>5738</v>
      </c>
      <c r="F455" s="12">
        <v>5.30778586E8</v>
      </c>
      <c r="G455" s="130" t="s">
        <v>71</v>
      </c>
      <c r="H455" s="156" t="s">
        <v>27</v>
      </c>
      <c r="I455" s="130" t="s">
        <v>5740</v>
      </c>
      <c r="J455" s="125"/>
      <c r="K455" s="13" t="s">
        <v>36</v>
      </c>
      <c r="L455" s="125"/>
      <c r="M455" s="27" t="s">
        <v>101</v>
      </c>
      <c r="N455" s="13" t="s">
        <v>40</v>
      </c>
      <c r="O455" s="13" t="s">
        <v>42</v>
      </c>
      <c r="P455" s="156"/>
      <c r="Q455" s="13" t="s">
        <v>44</v>
      </c>
      <c r="R455" s="13" t="s">
        <v>46</v>
      </c>
      <c r="S455" s="13"/>
      <c r="T455" s="125"/>
      <c r="U455" s="125"/>
      <c r="V455" s="156">
        <v>0.0</v>
      </c>
    </row>
    <row r="456">
      <c r="A456" s="13">
        <v>455.0</v>
      </c>
      <c r="B456" s="125">
        <v>46163.0</v>
      </c>
      <c r="C456" s="13" t="s">
        <v>21</v>
      </c>
      <c r="D456" s="13" t="s">
        <v>24</v>
      </c>
      <c r="E456" s="130" t="s">
        <v>4308</v>
      </c>
      <c r="F456" s="12">
        <v>5.41696099E8</v>
      </c>
      <c r="G456" s="156" t="s">
        <v>27</v>
      </c>
      <c r="H456" s="156" t="s">
        <v>27</v>
      </c>
      <c r="I456" s="130" t="s">
        <v>5747</v>
      </c>
      <c r="J456" s="125"/>
      <c r="K456" s="13" t="s">
        <v>36</v>
      </c>
      <c r="L456" s="125"/>
      <c r="M456" s="27" t="s">
        <v>323</v>
      </c>
      <c r="N456" s="13" t="s">
        <v>40</v>
      </c>
      <c r="O456" s="13" t="s">
        <v>42</v>
      </c>
      <c r="P456" s="156"/>
      <c r="Q456" s="13" t="s">
        <v>863</v>
      </c>
      <c r="R456" s="13" t="s">
        <v>46</v>
      </c>
      <c r="S456" s="13"/>
      <c r="T456" s="125"/>
      <c r="U456" s="125"/>
      <c r="V456" s="156">
        <v>0.0</v>
      </c>
    </row>
    <row r="457">
      <c r="A457" s="13">
        <v>456.0</v>
      </c>
      <c r="B457" s="125">
        <v>46163.0</v>
      </c>
      <c r="C457" s="13" t="s">
        <v>58</v>
      </c>
      <c r="D457" s="13" t="s">
        <v>60</v>
      </c>
      <c r="E457" s="156" t="s">
        <v>27</v>
      </c>
      <c r="F457" s="12">
        <v>5.33211061E8</v>
      </c>
      <c r="G457" s="156" t="s">
        <v>27</v>
      </c>
      <c r="H457" s="156" t="s">
        <v>27</v>
      </c>
      <c r="I457" s="130" t="s">
        <v>554</v>
      </c>
      <c r="J457" s="125"/>
      <c r="K457" s="13" t="s">
        <v>36</v>
      </c>
      <c r="L457" s="125"/>
      <c r="M457" s="27" t="s">
        <v>795</v>
      </c>
      <c r="N457" s="13" t="s">
        <v>40</v>
      </c>
      <c r="O457" s="13" t="s">
        <v>42</v>
      </c>
      <c r="P457" s="156"/>
      <c r="Q457" s="13" t="s">
        <v>49</v>
      </c>
      <c r="R457" s="13"/>
      <c r="S457" s="13"/>
      <c r="T457" s="125"/>
      <c r="U457" s="125"/>
      <c r="V457" s="156">
        <v>0.0</v>
      </c>
    </row>
    <row r="458">
      <c r="A458" s="13">
        <v>457.0</v>
      </c>
      <c r="B458" s="125">
        <v>46166.0</v>
      </c>
      <c r="C458" s="13" t="s">
        <v>21</v>
      </c>
      <c r="D458" s="13" t="s">
        <v>24</v>
      </c>
      <c r="E458" s="130" t="s">
        <v>5759</v>
      </c>
      <c r="F458" s="12">
        <v>5.35454796E8</v>
      </c>
      <c r="G458" s="130" t="s">
        <v>4091</v>
      </c>
      <c r="H458" s="125"/>
      <c r="I458" s="130" t="s">
        <v>5761</v>
      </c>
      <c r="J458" s="125"/>
      <c r="K458" s="13" t="s">
        <v>36</v>
      </c>
      <c r="L458" s="125"/>
      <c r="M458" s="27" t="s">
        <v>953</v>
      </c>
      <c r="N458" s="13" t="s">
        <v>40</v>
      </c>
      <c r="O458" s="13" t="s">
        <v>42</v>
      </c>
      <c r="P458" s="156"/>
      <c r="Q458" s="13" t="s">
        <v>863</v>
      </c>
      <c r="R458" s="13" t="s">
        <v>46</v>
      </c>
      <c r="S458" s="13"/>
      <c r="T458" s="125"/>
      <c r="U458" s="125"/>
      <c r="V458" s="156">
        <v>0.0</v>
      </c>
    </row>
    <row r="459">
      <c r="A459" s="13">
        <v>458.0</v>
      </c>
      <c r="B459" s="125">
        <v>46166.0</v>
      </c>
      <c r="C459" s="13" t="s">
        <v>58</v>
      </c>
      <c r="D459" s="13" t="s">
        <v>60</v>
      </c>
      <c r="E459" s="156" t="s">
        <v>27</v>
      </c>
      <c r="F459" s="12">
        <v>5.00640909E8</v>
      </c>
      <c r="G459" s="156" t="s">
        <v>27</v>
      </c>
      <c r="H459" s="156" t="s">
        <v>27</v>
      </c>
      <c r="I459" s="156" t="s">
        <v>5764</v>
      </c>
      <c r="J459" s="125"/>
      <c r="K459" s="13" t="s">
        <v>36</v>
      </c>
      <c r="L459" s="125"/>
      <c r="M459" s="27" t="s">
        <v>150</v>
      </c>
      <c r="N459" s="13" t="s">
        <v>40</v>
      </c>
      <c r="O459" s="13" t="s">
        <v>42</v>
      </c>
      <c r="P459" s="156"/>
      <c r="Q459" s="13" t="s">
        <v>863</v>
      </c>
      <c r="R459" s="13"/>
      <c r="S459" s="13"/>
      <c r="T459" s="125"/>
      <c r="U459" s="125"/>
      <c r="V459" s="156">
        <v>0.0</v>
      </c>
    </row>
    <row r="460">
      <c r="A460" s="13">
        <v>459.0</v>
      </c>
      <c r="B460" s="125">
        <v>46166.0</v>
      </c>
      <c r="C460" s="13" t="s">
        <v>58</v>
      </c>
      <c r="D460" s="13" t="s">
        <v>60</v>
      </c>
      <c r="E460" s="156" t="s">
        <v>27</v>
      </c>
      <c r="F460" s="12">
        <v>5.44383597E8</v>
      </c>
      <c r="G460" s="125"/>
      <c r="H460" s="156" t="s">
        <v>27</v>
      </c>
      <c r="I460" s="130" t="s">
        <v>5771</v>
      </c>
      <c r="J460" s="125"/>
      <c r="K460" s="13" t="s">
        <v>36</v>
      </c>
      <c r="L460" s="125"/>
      <c r="M460" s="27" t="s">
        <v>38</v>
      </c>
      <c r="N460" s="13" t="s">
        <v>40</v>
      </c>
      <c r="O460" s="13" t="s">
        <v>42</v>
      </c>
      <c r="P460" s="156"/>
      <c r="Q460" s="13" t="s">
        <v>863</v>
      </c>
      <c r="R460" s="13"/>
      <c r="S460" s="13"/>
      <c r="T460" s="125"/>
      <c r="U460" s="125"/>
      <c r="V460" s="156">
        <v>0.0</v>
      </c>
    </row>
    <row r="461">
      <c r="A461" s="13">
        <v>460.0</v>
      </c>
      <c r="B461" s="125">
        <v>46166.0</v>
      </c>
      <c r="C461" s="13" t="s">
        <v>58</v>
      </c>
      <c r="D461" s="13" t="s">
        <v>60</v>
      </c>
      <c r="E461" s="156" t="s">
        <v>27</v>
      </c>
      <c r="F461" s="12">
        <v>5.01066825E8</v>
      </c>
      <c r="G461" s="125"/>
      <c r="H461" s="156" t="s">
        <v>27</v>
      </c>
      <c r="I461" s="130" t="s">
        <v>5775</v>
      </c>
      <c r="J461" s="125"/>
      <c r="K461" s="13" t="s">
        <v>36</v>
      </c>
      <c r="L461" s="125"/>
      <c r="M461" s="27" t="s">
        <v>101</v>
      </c>
      <c r="N461" s="13" t="s">
        <v>40</v>
      </c>
      <c r="O461" s="13" t="s">
        <v>42</v>
      </c>
      <c r="P461" s="156"/>
      <c r="Q461" s="13" t="s">
        <v>863</v>
      </c>
      <c r="R461" s="13"/>
      <c r="S461" s="13"/>
      <c r="T461" s="125"/>
      <c r="U461" s="125"/>
      <c r="V461" s="156">
        <v>0.0</v>
      </c>
    </row>
    <row r="462">
      <c r="A462" s="13">
        <v>461.0</v>
      </c>
      <c r="B462" s="125">
        <v>46166.0</v>
      </c>
      <c r="C462" s="13" t="s">
        <v>58</v>
      </c>
      <c r="D462" s="13" t="s">
        <v>60</v>
      </c>
      <c r="E462" s="156" t="s">
        <v>27</v>
      </c>
      <c r="F462" s="12">
        <v>5.4639618E8</v>
      </c>
      <c r="G462" s="125"/>
      <c r="H462" s="156" t="s">
        <v>27</v>
      </c>
      <c r="I462" s="130" t="s">
        <v>5782</v>
      </c>
      <c r="J462" s="125"/>
      <c r="K462" s="13" t="s">
        <v>36</v>
      </c>
      <c r="L462" s="125"/>
      <c r="M462" s="27" t="s">
        <v>1205</v>
      </c>
      <c r="N462" s="13" t="s">
        <v>40</v>
      </c>
      <c r="O462" s="13" t="s">
        <v>42</v>
      </c>
      <c r="P462" s="156"/>
      <c r="Q462" s="13" t="s">
        <v>863</v>
      </c>
      <c r="R462" s="13"/>
      <c r="S462" s="13"/>
      <c r="T462" s="125"/>
      <c r="U462" s="125"/>
      <c r="V462" s="156">
        <v>0.0</v>
      </c>
    </row>
    <row r="463">
      <c r="A463" s="13">
        <v>462.0</v>
      </c>
      <c r="B463" s="125">
        <v>46166.0</v>
      </c>
      <c r="C463" s="13" t="s">
        <v>58</v>
      </c>
      <c r="D463" s="13" t="s">
        <v>60</v>
      </c>
      <c r="E463" s="156" t="s">
        <v>27</v>
      </c>
      <c r="F463" s="12">
        <v>5.99815568E8</v>
      </c>
      <c r="G463" s="125"/>
      <c r="H463" s="156" t="s">
        <v>27</v>
      </c>
      <c r="I463" s="130" t="s">
        <v>5787</v>
      </c>
      <c r="J463" s="125"/>
      <c r="K463" s="13" t="s">
        <v>36</v>
      </c>
      <c r="L463" s="125"/>
      <c r="M463" s="27" t="s">
        <v>150</v>
      </c>
      <c r="N463" s="13" t="s">
        <v>40</v>
      </c>
      <c r="O463" s="13" t="s">
        <v>42</v>
      </c>
      <c r="P463" s="156"/>
      <c r="Q463" s="13" t="s">
        <v>863</v>
      </c>
      <c r="R463" s="13"/>
      <c r="S463" s="13"/>
      <c r="T463" s="125"/>
      <c r="U463" s="125"/>
      <c r="V463" s="156">
        <v>0.0</v>
      </c>
    </row>
    <row r="464">
      <c r="A464" s="13">
        <v>463.0</v>
      </c>
      <c r="B464" s="125">
        <v>46166.0</v>
      </c>
      <c r="C464" s="13" t="s">
        <v>58</v>
      </c>
      <c r="D464" s="13" t="s">
        <v>60</v>
      </c>
      <c r="E464" s="156" t="s">
        <v>27</v>
      </c>
      <c r="F464" s="12">
        <v>5.5154553E8</v>
      </c>
      <c r="G464" s="125"/>
      <c r="H464" s="156" t="s">
        <v>27</v>
      </c>
      <c r="I464" s="130" t="s">
        <v>5792</v>
      </c>
      <c r="J464" s="125"/>
      <c r="K464" s="13" t="s">
        <v>36</v>
      </c>
      <c r="L464" s="125"/>
      <c r="M464" s="27" t="s">
        <v>101</v>
      </c>
      <c r="N464" s="13" t="s">
        <v>40</v>
      </c>
      <c r="O464" s="13" t="s">
        <v>42</v>
      </c>
      <c r="P464" s="156"/>
      <c r="Q464" s="13" t="s">
        <v>863</v>
      </c>
      <c r="R464" s="13"/>
      <c r="S464" s="13"/>
      <c r="T464" s="125"/>
      <c r="U464" s="125"/>
      <c r="V464" s="156">
        <v>0.0</v>
      </c>
    </row>
    <row r="465">
      <c r="A465" s="13">
        <v>464.0</v>
      </c>
      <c r="B465" s="125">
        <v>46166.0</v>
      </c>
      <c r="C465" s="13" t="s">
        <v>58</v>
      </c>
      <c r="D465" s="13" t="s">
        <v>60</v>
      </c>
      <c r="E465" s="156" t="s">
        <v>27</v>
      </c>
      <c r="F465" s="12">
        <v>5.52991593E8</v>
      </c>
      <c r="G465" s="125"/>
      <c r="H465" s="156" t="s">
        <v>27</v>
      </c>
      <c r="I465" s="130" t="s">
        <v>5801</v>
      </c>
      <c r="J465" s="125"/>
      <c r="K465" s="13" t="s">
        <v>36</v>
      </c>
      <c r="L465" s="125"/>
      <c r="M465" s="27" t="s">
        <v>88</v>
      </c>
      <c r="N465" s="13" t="s">
        <v>40</v>
      </c>
      <c r="O465" s="13" t="s">
        <v>42</v>
      </c>
      <c r="P465" s="156"/>
      <c r="Q465" s="13" t="s">
        <v>863</v>
      </c>
      <c r="R465" s="13"/>
      <c r="S465" s="13"/>
      <c r="T465" s="125"/>
      <c r="U465" s="125"/>
      <c r="V465" s="156">
        <v>0.0</v>
      </c>
    </row>
    <row r="466">
      <c r="A466" s="13">
        <v>465.0</v>
      </c>
      <c r="B466" s="125">
        <v>46166.0</v>
      </c>
      <c r="C466" s="13" t="s">
        <v>58</v>
      </c>
      <c r="D466" s="13" t="s">
        <v>60</v>
      </c>
      <c r="E466" s="156" t="s">
        <v>27</v>
      </c>
      <c r="F466" s="12">
        <v>5.97233099E8</v>
      </c>
      <c r="G466" s="125"/>
      <c r="H466" s="156" t="s">
        <v>27</v>
      </c>
      <c r="I466" s="130" t="s">
        <v>5806</v>
      </c>
      <c r="J466" s="125"/>
      <c r="K466" s="13" t="s">
        <v>36</v>
      </c>
      <c r="L466" s="125"/>
      <c r="M466" s="27" t="s">
        <v>38</v>
      </c>
      <c r="N466" s="13" t="s">
        <v>40</v>
      </c>
      <c r="O466" s="13" t="s">
        <v>42</v>
      </c>
      <c r="P466" s="156"/>
      <c r="Q466" s="13" t="s">
        <v>863</v>
      </c>
      <c r="R466" s="13"/>
      <c r="S466" s="13"/>
      <c r="T466" s="125"/>
      <c r="U466" s="125"/>
      <c r="V466" s="156">
        <v>0.0</v>
      </c>
    </row>
    <row r="467">
      <c r="A467" s="13">
        <v>466.0</v>
      </c>
      <c r="B467" s="125">
        <v>46166.0</v>
      </c>
      <c r="C467" s="13" t="s">
        <v>58</v>
      </c>
      <c r="D467" s="13" t="s">
        <v>60</v>
      </c>
      <c r="E467" s="156" t="s">
        <v>27</v>
      </c>
      <c r="F467" s="12">
        <v>5.81014123E8</v>
      </c>
      <c r="G467" s="125"/>
      <c r="H467" s="156" t="s">
        <v>27</v>
      </c>
      <c r="I467" s="130" t="s">
        <v>5811</v>
      </c>
      <c r="J467" s="125"/>
      <c r="K467" s="13" t="s">
        <v>36</v>
      </c>
      <c r="L467" s="125"/>
      <c r="M467" s="27" t="s">
        <v>88</v>
      </c>
      <c r="N467" s="13" t="s">
        <v>40</v>
      </c>
      <c r="O467" s="13" t="s">
        <v>42</v>
      </c>
      <c r="P467" s="156"/>
      <c r="Q467" s="13" t="s">
        <v>863</v>
      </c>
      <c r="R467" s="13"/>
      <c r="S467" s="13"/>
      <c r="T467" s="125"/>
      <c r="U467" s="125"/>
      <c r="V467" s="156">
        <v>0.0</v>
      </c>
    </row>
    <row r="468">
      <c r="A468" s="13">
        <v>467.0</v>
      </c>
      <c r="B468" s="125">
        <v>46166.0</v>
      </c>
      <c r="C468" s="13" t="s">
        <v>58</v>
      </c>
      <c r="D468" s="13" t="s">
        <v>60</v>
      </c>
      <c r="E468" s="156" t="s">
        <v>27</v>
      </c>
      <c r="F468" s="12">
        <v>5.5575749E8</v>
      </c>
      <c r="G468" s="125"/>
      <c r="H468" s="156" t="s">
        <v>27</v>
      </c>
      <c r="I468" s="130" t="s">
        <v>5816</v>
      </c>
      <c r="J468" s="125"/>
      <c r="K468" s="13" t="s">
        <v>36</v>
      </c>
      <c r="L468" s="125"/>
      <c r="M468" s="27" t="s">
        <v>88</v>
      </c>
      <c r="N468" s="13" t="s">
        <v>40</v>
      </c>
      <c r="O468" s="13" t="s">
        <v>42</v>
      </c>
      <c r="P468" s="156"/>
      <c r="Q468" s="13" t="s">
        <v>863</v>
      </c>
      <c r="R468" s="13"/>
      <c r="S468" s="13"/>
      <c r="T468" s="125"/>
      <c r="U468" s="125"/>
      <c r="V468" s="156">
        <v>0.0</v>
      </c>
    </row>
    <row r="469">
      <c r="A469" s="13">
        <v>468.0</v>
      </c>
      <c r="B469" s="125">
        <v>46166.0</v>
      </c>
      <c r="C469" s="13" t="s">
        <v>58</v>
      </c>
      <c r="D469" s="13" t="s">
        <v>60</v>
      </c>
      <c r="E469" s="156" t="s">
        <v>27</v>
      </c>
      <c r="F469" s="12">
        <v>5.98673172E8</v>
      </c>
      <c r="G469" s="125"/>
      <c r="H469" s="156" t="s">
        <v>27</v>
      </c>
      <c r="I469" s="156" t="s">
        <v>5820</v>
      </c>
      <c r="J469" s="125"/>
      <c r="K469" s="13" t="s">
        <v>36</v>
      </c>
      <c r="L469" s="125"/>
      <c r="M469" s="27" t="s">
        <v>88</v>
      </c>
      <c r="N469" s="13" t="s">
        <v>40</v>
      </c>
      <c r="O469" s="13" t="s">
        <v>42</v>
      </c>
      <c r="P469" s="156"/>
      <c r="Q469" s="13" t="s">
        <v>863</v>
      </c>
      <c r="R469" s="13"/>
      <c r="S469" s="13"/>
      <c r="T469" s="125"/>
      <c r="U469" s="125"/>
      <c r="V469" s="156">
        <v>0.0</v>
      </c>
    </row>
    <row r="470">
      <c r="A470" s="13">
        <v>469.0</v>
      </c>
      <c r="B470" s="125">
        <v>46166.0</v>
      </c>
      <c r="C470" s="13" t="s">
        <v>58</v>
      </c>
      <c r="D470" s="13" t="s">
        <v>60</v>
      </c>
      <c r="E470" s="156" t="s">
        <v>27</v>
      </c>
      <c r="F470" s="12">
        <v>5.30427455E8</v>
      </c>
      <c r="G470" s="125"/>
      <c r="H470" s="156" t="s">
        <v>27</v>
      </c>
      <c r="I470" s="130" t="s">
        <v>5827</v>
      </c>
      <c r="J470" s="125"/>
      <c r="K470" s="13" t="s">
        <v>36</v>
      </c>
      <c r="L470" s="125"/>
      <c r="M470" s="27" t="s">
        <v>88</v>
      </c>
      <c r="N470" s="13" t="s">
        <v>40</v>
      </c>
      <c r="O470" s="13" t="s">
        <v>42</v>
      </c>
      <c r="P470" s="156"/>
      <c r="Q470" s="13" t="s">
        <v>863</v>
      </c>
      <c r="R470" s="13"/>
      <c r="S470" s="13"/>
      <c r="T470" s="125"/>
      <c r="U470" s="125"/>
      <c r="V470" s="156">
        <v>0.0</v>
      </c>
    </row>
    <row r="471">
      <c r="A471" s="13">
        <v>470.0</v>
      </c>
      <c r="B471" s="125">
        <v>46166.0</v>
      </c>
      <c r="C471" s="13" t="s">
        <v>58</v>
      </c>
      <c r="D471" s="13" t="s">
        <v>60</v>
      </c>
      <c r="E471" s="156" t="s">
        <v>27</v>
      </c>
      <c r="F471" s="12">
        <v>5.51833226E8</v>
      </c>
      <c r="G471" s="125"/>
      <c r="H471" s="156" t="s">
        <v>27</v>
      </c>
      <c r="I471" s="156" t="s">
        <v>5834</v>
      </c>
      <c r="J471" s="125"/>
      <c r="K471" s="13" t="s">
        <v>36</v>
      </c>
      <c r="L471" s="125"/>
      <c r="M471" s="27" t="s">
        <v>88</v>
      </c>
      <c r="N471" s="13" t="s">
        <v>40</v>
      </c>
      <c r="O471" s="13" t="s">
        <v>42</v>
      </c>
      <c r="P471" s="156"/>
      <c r="Q471" s="13" t="s">
        <v>863</v>
      </c>
      <c r="R471" s="13"/>
      <c r="S471" s="13"/>
      <c r="T471" s="125"/>
      <c r="U471" s="125"/>
      <c r="V471" s="156">
        <v>0.0</v>
      </c>
    </row>
    <row r="472">
      <c r="A472" s="13">
        <v>471.0</v>
      </c>
      <c r="B472" s="125">
        <v>46166.0</v>
      </c>
      <c r="C472" s="13" t="s">
        <v>58</v>
      </c>
      <c r="D472" s="13" t="s">
        <v>60</v>
      </c>
      <c r="E472" s="156" t="s">
        <v>27</v>
      </c>
      <c r="F472" s="12">
        <v>5.00640909E8</v>
      </c>
      <c r="G472" s="125"/>
      <c r="H472" s="156" t="s">
        <v>27</v>
      </c>
      <c r="I472" s="130" t="s">
        <v>5841</v>
      </c>
      <c r="J472" s="125"/>
      <c r="K472" s="13" t="s">
        <v>36</v>
      </c>
      <c r="L472" s="125"/>
      <c r="M472" s="27" t="s">
        <v>88</v>
      </c>
      <c r="N472" s="13" t="s">
        <v>40</v>
      </c>
      <c r="O472" s="13" t="s">
        <v>42</v>
      </c>
      <c r="P472" s="156"/>
      <c r="Q472" s="13" t="s">
        <v>863</v>
      </c>
      <c r="R472" s="13"/>
      <c r="S472" s="13"/>
      <c r="T472" s="125"/>
      <c r="U472" s="125"/>
      <c r="V472" s="156">
        <v>0.0</v>
      </c>
    </row>
    <row r="473">
      <c r="A473" s="13">
        <v>472.0</v>
      </c>
      <c r="B473" s="125">
        <v>46166.0</v>
      </c>
      <c r="C473" s="13" t="s">
        <v>21</v>
      </c>
      <c r="D473" s="13" t="s">
        <v>24</v>
      </c>
      <c r="E473" s="130" t="s">
        <v>4947</v>
      </c>
      <c r="F473" s="12">
        <v>5.01507999E8</v>
      </c>
      <c r="G473" s="130" t="s">
        <v>4815</v>
      </c>
      <c r="H473" s="156" t="s">
        <v>27</v>
      </c>
      <c r="I473" s="130" t="s">
        <v>5845</v>
      </c>
      <c r="J473" s="125"/>
      <c r="K473" s="13" t="s">
        <v>36</v>
      </c>
      <c r="L473" s="125"/>
      <c r="M473" s="27" t="s">
        <v>38</v>
      </c>
      <c r="N473" s="13" t="s">
        <v>40</v>
      </c>
      <c r="O473" s="13" t="s">
        <v>42</v>
      </c>
      <c r="P473" s="156"/>
      <c r="Q473" s="13" t="s">
        <v>863</v>
      </c>
      <c r="R473" s="13" t="s">
        <v>46</v>
      </c>
      <c r="S473" s="13"/>
      <c r="T473" s="125"/>
      <c r="U473" s="125"/>
      <c r="V473" s="156">
        <v>0.0</v>
      </c>
    </row>
    <row r="474">
      <c r="A474" s="13">
        <v>473.0</v>
      </c>
      <c r="B474" s="125">
        <v>46166.0</v>
      </c>
      <c r="C474" s="13" t="s">
        <v>58</v>
      </c>
      <c r="D474" s="13" t="s">
        <v>60</v>
      </c>
      <c r="E474" s="156" t="s">
        <v>27</v>
      </c>
      <c r="F474" s="12">
        <v>5.82455054E8</v>
      </c>
      <c r="G474" s="156" t="s">
        <v>27</v>
      </c>
      <c r="H474" s="156" t="s">
        <v>27</v>
      </c>
      <c r="I474" s="130" t="s">
        <v>5851</v>
      </c>
      <c r="J474" s="125"/>
      <c r="K474" s="13" t="s">
        <v>36</v>
      </c>
      <c r="L474" s="125"/>
      <c r="M474" s="27" t="s">
        <v>88</v>
      </c>
      <c r="N474" s="13" t="s">
        <v>40</v>
      </c>
      <c r="O474" s="13" t="s">
        <v>42</v>
      </c>
      <c r="P474" s="156"/>
      <c r="Q474" s="13" t="s">
        <v>863</v>
      </c>
      <c r="R474" s="13"/>
      <c r="S474" s="13"/>
      <c r="T474" s="125"/>
      <c r="U474" s="125"/>
      <c r="V474" s="156">
        <v>0.0</v>
      </c>
    </row>
    <row r="475">
      <c r="A475" s="13">
        <v>474.0</v>
      </c>
      <c r="B475" s="125">
        <v>46166.0</v>
      </c>
      <c r="C475" s="13" t="s">
        <v>58</v>
      </c>
      <c r="D475" s="13" t="s">
        <v>60</v>
      </c>
      <c r="E475" s="156" t="s">
        <v>27</v>
      </c>
      <c r="F475" s="12">
        <v>5.07852572E8</v>
      </c>
      <c r="G475" s="125"/>
      <c r="H475" s="156" t="s">
        <v>27</v>
      </c>
      <c r="I475" s="156" t="s">
        <v>5858</v>
      </c>
      <c r="J475" s="125"/>
      <c r="K475" s="13" t="s">
        <v>36</v>
      </c>
      <c r="L475" s="125"/>
      <c r="M475" s="27" t="s">
        <v>88</v>
      </c>
      <c r="N475" s="13" t="s">
        <v>40</v>
      </c>
      <c r="O475" s="13" t="s">
        <v>42</v>
      </c>
      <c r="P475" s="156"/>
      <c r="Q475" s="13" t="s">
        <v>863</v>
      </c>
      <c r="R475" s="13"/>
      <c r="S475" s="13"/>
      <c r="T475" s="125"/>
      <c r="U475" s="125"/>
      <c r="V475" s="156">
        <v>0.0</v>
      </c>
    </row>
    <row r="476">
      <c r="A476" s="13">
        <v>475.0</v>
      </c>
      <c r="B476" s="125">
        <v>46166.0</v>
      </c>
      <c r="C476" s="13" t="s">
        <v>58</v>
      </c>
      <c r="D476" s="13" t="s">
        <v>60</v>
      </c>
      <c r="E476" s="156" t="s">
        <v>27</v>
      </c>
      <c r="F476" s="12">
        <v>5.90306199E8</v>
      </c>
      <c r="G476" s="125"/>
      <c r="H476" s="156" t="s">
        <v>27</v>
      </c>
      <c r="I476" s="130" t="s">
        <v>5863</v>
      </c>
      <c r="J476" s="125"/>
      <c r="K476" s="13" t="s">
        <v>36</v>
      </c>
      <c r="L476" s="125"/>
      <c r="M476" s="27" t="s">
        <v>88</v>
      </c>
      <c r="N476" s="13" t="s">
        <v>40</v>
      </c>
      <c r="O476" s="13" t="s">
        <v>42</v>
      </c>
      <c r="P476" s="156"/>
      <c r="Q476" s="13" t="s">
        <v>863</v>
      </c>
      <c r="R476" s="13"/>
      <c r="S476" s="13"/>
      <c r="T476" s="125"/>
      <c r="U476" s="125"/>
      <c r="V476" s="156">
        <v>0.0</v>
      </c>
    </row>
    <row r="477">
      <c r="A477" s="13">
        <v>476.0</v>
      </c>
      <c r="B477" s="125">
        <v>46166.0</v>
      </c>
      <c r="C477" s="13" t="s">
        <v>58</v>
      </c>
      <c r="D477" s="13" t="s">
        <v>60</v>
      </c>
      <c r="E477" s="156" t="s">
        <v>27</v>
      </c>
      <c r="F477" s="12">
        <v>5.00616186E8</v>
      </c>
      <c r="G477" s="125"/>
      <c r="H477" s="156" t="s">
        <v>27</v>
      </c>
      <c r="I477" s="130" t="s">
        <v>5868</v>
      </c>
      <c r="J477" s="125"/>
      <c r="K477" s="13" t="s">
        <v>36</v>
      </c>
      <c r="L477" s="125"/>
      <c r="M477" s="27" t="s">
        <v>88</v>
      </c>
      <c r="N477" s="13" t="s">
        <v>40</v>
      </c>
      <c r="O477" s="13" t="s">
        <v>42</v>
      </c>
      <c r="P477" s="156"/>
      <c r="Q477" s="13" t="s">
        <v>863</v>
      </c>
      <c r="R477" s="13"/>
      <c r="S477" s="13"/>
      <c r="T477" s="125"/>
      <c r="U477" s="125"/>
      <c r="V477" s="156">
        <v>0.0</v>
      </c>
    </row>
    <row r="478">
      <c r="A478" s="13">
        <v>477.0</v>
      </c>
      <c r="B478" s="125">
        <v>46166.0</v>
      </c>
      <c r="C478" s="13" t="s">
        <v>58</v>
      </c>
      <c r="D478" s="13" t="s">
        <v>60</v>
      </c>
      <c r="E478" s="156" t="s">
        <v>27</v>
      </c>
      <c r="F478" s="12">
        <v>5.60293812E8</v>
      </c>
      <c r="G478" s="125"/>
      <c r="H478" s="156" t="s">
        <v>27</v>
      </c>
      <c r="I478" s="130" t="s">
        <v>5874</v>
      </c>
      <c r="J478" s="125"/>
      <c r="K478" s="13" t="s">
        <v>36</v>
      </c>
      <c r="L478" s="125"/>
      <c r="M478" s="27" t="s">
        <v>88</v>
      </c>
      <c r="N478" s="13" t="s">
        <v>40</v>
      </c>
      <c r="O478" s="13" t="s">
        <v>42</v>
      </c>
      <c r="P478" s="156"/>
      <c r="Q478" s="13" t="s">
        <v>863</v>
      </c>
      <c r="R478" s="13"/>
      <c r="S478" s="13"/>
      <c r="T478" s="125"/>
      <c r="U478" s="125"/>
      <c r="V478" s="156">
        <v>0.0</v>
      </c>
    </row>
    <row r="479">
      <c r="A479" s="13">
        <v>478.0</v>
      </c>
      <c r="B479" s="125">
        <v>46166.0</v>
      </c>
      <c r="C479" s="13" t="s">
        <v>58</v>
      </c>
      <c r="D479" s="13" t="s">
        <v>60</v>
      </c>
      <c r="E479" s="156" t="s">
        <v>27</v>
      </c>
      <c r="F479" s="12">
        <v>5.57517672E8</v>
      </c>
      <c r="G479" s="125"/>
      <c r="H479" s="156" t="s">
        <v>27</v>
      </c>
      <c r="I479" s="130" t="s">
        <v>5877</v>
      </c>
      <c r="J479" s="125"/>
      <c r="K479" s="13" t="s">
        <v>36</v>
      </c>
      <c r="L479" s="125"/>
      <c r="M479" s="27" t="s">
        <v>88</v>
      </c>
      <c r="N479" s="13" t="s">
        <v>40</v>
      </c>
      <c r="O479" s="13" t="s">
        <v>42</v>
      </c>
      <c r="P479" s="156"/>
      <c r="Q479" s="13" t="s">
        <v>863</v>
      </c>
      <c r="R479" s="13"/>
      <c r="S479" s="13"/>
      <c r="T479" s="125"/>
      <c r="U479" s="125"/>
      <c r="V479" s="156">
        <v>0.0</v>
      </c>
    </row>
    <row r="480">
      <c r="A480" s="13">
        <v>479.0</v>
      </c>
      <c r="B480" s="125">
        <v>46166.0</v>
      </c>
      <c r="C480" s="13" t="s">
        <v>47</v>
      </c>
      <c r="D480" s="13" t="s">
        <v>48</v>
      </c>
      <c r="E480" s="156" t="s">
        <v>5882</v>
      </c>
      <c r="F480" s="12" t="s">
        <v>27</v>
      </c>
      <c r="G480" s="162" t="s">
        <v>41</v>
      </c>
      <c r="H480" s="156" t="s">
        <v>52</v>
      </c>
      <c r="I480" s="130" t="s">
        <v>5886</v>
      </c>
      <c r="J480" s="125"/>
      <c r="K480" s="13" t="s">
        <v>78</v>
      </c>
      <c r="L480" s="125"/>
      <c r="M480" s="27" t="s">
        <v>713</v>
      </c>
      <c r="N480" s="13" t="s">
        <v>40</v>
      </c>
      <c r="O480" s="13" t="s">
        <v>42</v>
      </c>
      <c r="P480" s="156"/>
      <c r="Q480" s="13" t="s">
        <v>863</v>
      </c>
      <c r="R480" s="13" t="s">
        <v>46</v>
      </c>
      <c r="S480" s="13"/>
      <c r="T480" s="125"/>
      <c r="U480" s="125"/>
      <c r="V480" s="156">
        <v>0.0</v>
      </c>
    </row>
    <row r="481">
      <c r="A481" s="13">
        <v>480.0</v>
      </c>
      <c r="B481" s="125">
        <v>46166.0</v>
      </c>
      <c r="C481" s="13" t="s">
        <v>47</v>
      </c>
      <c r="D481" s="13" t="s">
        <v>48</v>
      </c>
      <c r="E481" s="156" t="s">
        <v>5889</v>
      </c>
      <c r="F481" s="12" t="s">
        <v>27</v>
      </c>
      <c r="G481" s="130" t="s">
        <v>4985</v>
      </c>
      <c r="H481" s="156" t="s">
        <v>431</v>
      </c>
      <c r="I481" s="130" t="s">
        <v>5891</v>
      </c>
      <c r="J481" s="125"/>
      <c r="K481" s="13" t="s">
        <v>78</v>
      </c>
      <c r="L481" s="125"/>
      <c r="M481" s="27" t="s">
        <v>101</v>
      </c>
      <c r="N481" s="13" t="s">
        <v>40</v>
      </c>
      <c r="O481" s="13" t="s">
        <v>42</v>
      </c>
      <c r="P481" s="156"/>
      <c r="Q481" s="13" t="s">
        <v>863</v>
      </c>
      <c r="R481" s="13" t="s">
        <v>46</v>
      </c>
      <c r="S481" s="13"/>
      <c r="T481" s="125"/>
      <c r="U481" s="125"/>
      <c r="V481" s="156">
        <v>0.0</v>
      </c>
    </row>
    <row r="482">
      <c r="A482" s="13">
        <v>481.0</v>
      </c>
      <c r="B482" s="125">
        <v>46166.0</v>
      </c>
      <c r="C482" s="13" t="s">
        <v>47</v>
      </c>
      <c r="D482" s="13" t="s">
        <v>48</v>
      </c>
      <c r="E482" s="130" t="s">
        <v>5895</v>
      </c>
      <c r="F482" s="12" t="s">
        <v>27</v>
      </c>
      <c r="G482" s="130" t="s">
        <v>4985</v>
      </c>
      <c r="H482" s="156" t="s">
        <v>451</v>
      </c>
      <c r="I482" s="130" t="s">
        <v>5899</v>
      </c>
      <c r="J482" s="125"/>
      <c r="K482" s="13" t="s">
        <v>78</v>
      </c>
      <c r="L482" s="125"/>
      <c r="M482" s="27" t="s">
        <v>101</v>
      </c>
      <c r="N482" s="13" t="s">
        <v>40</v>
      </c>
      <c r="O482" s="13" t="s">
        <v>42</v>
      </c>
      <c r="P482" s="156"/>
      <c r="Q482" s="13" t="s">
        <v>863</v>
      </c>
      <c r="R482" s="13" t="s">
        <v>46</v>
      </c>
      <c r="S482" s="13"/>
      <c r="T482" s="125"/>
      <c r="U482" s="125"/>
      <c r="V482" s="156">
        <v>0.0</v>
      </c>
    </row>
    <row r="483">
      <c r="A483" s="13">
        <v>482.0</v>
      </c>
      <c r="B483" s="125">
        <v>46166.0</v>
      </c>
      <c r="C483" s="13" t="s">
        <v>21</v>
      </c>
      <c r="D483" s="13" t="s">
        <v>24</v>
      </c>
      <c r="E483" s="130" t="s">
        <v>5903</v>
      </c>
      <c r="F483" s="12">
        <v>5.60542267E8</v>
      </c>
      <c r="G483" s="130" t="s">
        <v>2174</v>
      </c>
      <c r="H483" s="130"/>
      <c r="I483" s="130" t="s">
        <v>5905</v>
      </c>
      <c r="J483" s="125"/>
      <c r="K483" s="13" t="s">
        <v>36</v>
      </c>
      <c r="L483" s="125"/>
      <c r="M483" s="355" t="s">
        <v>1473</v>
      </c>
      <c r="N483" s="13" t="s">
        <v>40</v>
      </c>
      <c r="O483" s="13" t="s">
        <v>42</v>
      </c>
      <c r="P483" s="156"/>
      <c r="Q483" s="13" t="s">
        <v>863</v>
      </c>
      <c r="R483" s="13" t="s">
        <v>46</v>
      </c>
      <c r="S483" s="13"/>
      <c r="T483" s="125"/>
      <c r="U483" s="125"/>
      <c r="V483" s="156">
        <v>0.0</v>
      </c>
    </row>
    <row r="484">
      <c r="A484" s="13">
        <v>483.0</v>
      </c>
      <c r="B484" s="125">
        <v>46166.0</v>
      </c>
      <c r="C484" s="13" t="s">
        <v>58</v>
      </c>
      <c r="D484" s="13" t="s">
        <v>60</v>
      </c>
      <c r="E484" s="156" t="s">
        <v>27</v>
      </c>
      <c r="F484" s="12">
        <v>5.04509789E8</v>
      </c>
      <c r="G484" s="156" t="s">
        <v>27</v>
      </c>
      <c r="H484" s="156"/>
      <c r="I484" s="130" t="s">
        <v>5911</v>
      </c>
      <c r="J484" s="125"/>
      <c r="K484" s="13" t="s">
        <v>36</v>
      </c>
      <c r="L484" s="125"/>
      <c r="M484" s="27" t="s">
        <v>88</v>
      </c>
      <c r="N484" s="13" t="s">
        <v>40</v>
      </c>
      <c r="O484" s="13" t="s">
        <v>42</v>
      </c>
      <c r="P484" s="156"/>
      <c r="Q484" s="13" t="s">
        <v>863</v>
      </c>
      <c r="R484" s="13"/>
      <c r="S484" s="13"/>
      <c r="T484" s="125"/>
      <c r="U484" s="125"/>
      <c r="V484" s="156">
        <v>0.0</v>
      </c>
    </row>
    <row r="485">
      <c r="A485" s="13">
        <v>484.0</v>
      </c>
      <c r="B485" s="125">
        <v>46166.0</v>
      </c>
      <c r="C485" s="13" t="s">
        <v>58</v>
      </c>
      <c r="D485" s="13" t="s">
        <v>57</v>
      </c>
      <c r="E485" s="156" t="s">
        <v>27</v>
      </c>
      <c r="F485" s="12">
        <v>5.00323446E8</v>
      </c>
      <c r="G485" s="156" t="s">
        <v>27</v>
      </c>
      <c r="H485" s="156"/>
      <c r="I485" s="130" t="s">
        <v>5913</v>
      </c>
      <c r="J485" s="125"/>
      <c r="K485" s="13" t="s">
        <v>36</v>
      </c>
      <c r="L485" s="125"/>
      <c r="M485" s="27" t="s">
        <v>88</v>
      </c>
      <c r="N485" s="13" t="s">
        <v>40</v>
      </c>
      <c r="O485" s="13" t="s">
        <v>42</v>
      </c>
      <c r="P485" s="156"/>
      <c r="Q485" s="13" t="s">
        <v>863</v>
      </c>
      <c r="R485" s="13"/>
      <c r="S485" s="13"/>
      <c r="T485" s="125"/>
      <c r="U485" s="125"/>
      <c r="V485" s="156">
        <v>0.0</v>
      </c>
    </row>
    <row r="486">
      <c r="A486" s="13">
        <v>485.0</v>
      </c>
      <c r="B486" s="125">
        <v>46166.0</v>
      </c>
      <c r="C486" s="13" t="s">
        <v>21</v>
      </c>
      <c r="D486" s="13" t="s">
        <v>22</v>
      </c>
      <c r="E486" s="130" t="s">
        <v>5919</v>
      </c>
      <c r="F486" s="12">
        <v>5.04656533E8</v>
      </c>
      <c r="G486" s="130" t="s">
        <v>5920</v>
      </c>
      <c r="H486" s="156" t="s">
        <v>27</v>
      </c>
      <c r="I486" s="130" t="s">
        <v>5922</v>
      </c>
      <c r="J486" s="125"/>
      <c r="K486" s="13" t="s">
        <v>36</v>
      </c>
      <c r="L486" s="125"/>
      <c r="M486" s="27" t="s">
        <v>125</v>
      </c>
      <c r="N486" s="13" t="s">
        <v>40</v>
      </c>
      <c r="O486" s="13" t="s">
        <v>42</v>
      </c>
      <c r="P486" s="156"/>
      <c r="Q486" s="13" t="s">
        <v>863</v>
      </c>
      <c r="R486" s="13" t="s">
        <v>46</v>
      </c>
      <c r="S486" s="13"/>
      <c r="T486" s="125"/>
      <c r="U486" s="125"/>
      <c r="V486" s="156">
        <v>0.0</v>
      </c>
    </row>
    <row r="487">
      <c r="A487" s="13">
        <v>486.0</v>
      </c>
      <c r="B487" s="125">
        <v>46166.0</v>
      </c>
      <c r="C487" s="13" t="s">
        <v>47</v>
      </c>
      <c r="D487" s="13" t="s">
        <v>92</v>
      </c>
      <c r="E487" s="156" t="s">
        <v>942</v>
      </c>
      <c r="F487" s="12">
        <v>5.03068586E8</v>
      </c>
      <c r="G487" s="130" t="s">
        <v>3439</v>
      </c>
      <c r="H487" s="358" t="s">
        <v>735</v>
      </c>
      <c r="I487" s="359" t="s">
        <v>5927</v>
      </c>
      <c r="J487" s="125"/>
      <c r="K487" s="13" t="s">
        <v>62</v>
      </c>
      <c r="L487" s="125"/>
      <c r="M487" s="27" t="s">
        <v>55</v>
      </c>
      <c r="N487" s="13" t="s">
        <v>40</v>
      </c>
      <c r="O487" s="13" t="s">
        <v>42</v>
      </c>
      <c r="P487" s="156"/>
      <c r="Q487" s="13" t="s">
        <v>863</v>
      </c>
      <c r="R487" s="13" t="s">
        <v>46</v>
      </c>
      <c r="S487" s="13"/>
      <c r="T487" s="125"/>
      <c r="U487" s="125"/>
      <c r="V487" s="156">
        <v>0.0</v>
      </c>
    </row>
    <row r="488">
      <c r="A488" s="13">
        <v>487.0</v>
      </c>
      <c r="B488" s="125">
        <v>46166.0</v>
      </c>
      <c r="C488" s="13" t="s">
        <v>58</v>
      </c>
      <c r="D488" s="13" t="s">
        <v>57</v>
      </c>
      <c r="E488" s="130" t="s">
        <v>5931</v>
      </c>
      <c r="F488" s="12">
        <v>5.09773889E8</v>
      </c>
      <c r="G488" s="130" t="s">
        <v>4985</v>
      </c>
      <c r="H488" s="130"/>
      <c r="I488" s="130" t="s">
        <v>5932</v>
      </c>
      <c r="J488" s="125"/>
      <c r="K488" s="13" t="s">
        <v>62</v>
      </c>
      <c r="L488" s="125"/>
      <c r="M488" s="27" t="s">
        <v>3401</v>
      </c>
      <c r="N488" s="13" t="s">
        <v>56</v>
      </c>
      <c r="O488" s="13" t="s">
        <v>42</v>
      </c>
      <c r="P488" s="156"/>
      <c r="Q488" s="13" t="s">
        <v>863</v>
      </c>
      <c r="R488" s="13" t="s">
        <v>46</v>
      </c>
      <c r="S488" s="13"/>
      <c r="T488" s="125"/>
      <c r="U488" s="125"/>
      <c r="V488" s="156">
        <v>0.0</v>
      </c>
    </row>
    <row r="489">
      <c r="A489" s="13">
        <v>488.0</v>
      </c>
      <c r="B489" s="125">
        <v>46166.0</v>
      </c>
      <c r="C489" s="13" t="s">
        <v>47</v>
      </c>
      <c r="D489" s="13" t="s">
        <v>48</v>
      </c>
      <c r="E489" s="130" t="s">
        <v>5935</v>
      </c>
      <c r="F489" s="360">
        <v>5.54079394E8</v>
      </c>
      <c r="G489" s="20" t="s">
        <v>2715</v>
      </c>
      <c r="H489" s="156" t="s">
        <v>2716</v>
      </c>
      <c r="I489" s="130" t="s">
        <v>5937</v>
      </c>
      <c r="J489" s="125"/>
      <c r="K489" s="13" t="s">
        <v>62</v>
      </c>
      <c r="L489" s="159">
        <v>0.6111111111111112</v>
      </c>
      <c r="M489" s="27" t="s">
        <v>101</v>
      </c>
      <c r="N489" s="13" t="s">
        <v>40</v>
      </c>
      <c r="O489" s="13" t="s">
        <v>42</v>
      </c>
      <c r="P489" s="156"/>
      <c r="Q489" s="13" t="s">
        <v>863</v>
      </c>
      <c r="R489" s="13" t="s">
        <v>46</v>
      </c>
      <c r="S489" s="20" t="s">
        <v>2632</v>
      </c>
      <c r="T489" s="159">
        <v>0.6666666666666666</v>
      </c>
      <c r="U489" s="156" t="s">
        <v>49</v>
      </c>
      <c r="V489" s="156">
        <v>0.0</v>
      </c>
    </row>
    <row r="490" ht="51.0" customHeight="1">
      <c r="A490" s="13">
        <v>489.0</v>
      </c>
      <c r="B490" s="125">
        <v>46166.0</v>
      </c>
      <c r="C490" s="13" t="s">
        <v>47</v>
      </c>
      <c r="D490" s="13" t="s">
        <v>60</v>
      </c>
      <c r="E490" s="130" t="s">
        <v>5942</v>
      </c>
      <c r="F490" s="12">
        <v>5.05833767E8</v>
      </c>
      <c r="G490" s="156" t="s">
        <v>27</v>
      </c>
      <c r="H490" s="156" t="s">
        <v>27</v>
      </c>
      <c r="I490" s="361" t="s">
        <v>5946</v>
      </c>
      <c r="J490" s="125"/>
      <c r="K490" s="13" t="s">
        <v>62</v>
      </c>
      <c r="L490" s="125"/>
      <c r="M490" s="27" t="s">
        <v>611</v>
      </c>
      <c r="N490" s="13" t="s">
        <v>40</v>
      </c>
      <c r="O490" s="13" t="s">
        <v>42</v>
      </c>
      <c r="P490" s="156"/>
      <c r="Q490" s="13" t="s">
        <v>863</v>
      </c>
      <c r="R490" s="13"/>
      <c r="S490" s="13"/>
      <c r="T490" s="125"/>
      <c r="U490" s="125"/>
      <c r="V490" s="156">
        <v>0.0</v>
      </c>
    </row>
    <row r="491">
      <c r="A491" s="13">
        <v>490.0</v>
      </c>
      <c r="B491" s="125">
        <v>46166.0</v>
      </c>
      <c r="C491" s="13" t="s">
        <v>47</v>
      </c>
      <c r="D491" s="13" t="s">
        <v>48</v>
      </c>
      <c r="E491" s="130" t="s">
        <v>5951</v>
      </c>
      <c r="F491" s="12">
        <v>5.51277546E8</v>
      </c>
      <c r="G491" s="20" t="s">
        <v>28</v>
      </c>
      <c r="H491" s="156" t="s">
        <v>830</v>
      </c>
      <c r="I491" s="130" t="s">
        <v>5953</v>
      </c>
      <c r="J491" s="125"/>
      <c r="K491" s="13" t="s">
        <v>62</v>
      </c>
      <c r="L491" s="159">
        <v>0.625</v>
      </c>
      <c r="M491" s="27" t="s">
        <v>55</v>
      </c>
      <c r="N491" s="13" t="s">
        <v>40</v>
      </c>
      <c r="O491" s="13" t="s">
        <v>42</v>
      </c>
      <c r="P491" s="156"/>
      <c r="Q491" s="13" t="s">
        <v>863</v>
      </c>
      <c r="R491" s="13" t="s">
        <v>46</v>
      </c>
      <c r="S491" s="20" t="s">
        <v>2632</v>
      </c>
      <c r="T491" s="159">
        <v>0.625</v>
      </c>
      <c r="U491" s="156" t="s">
        <v>863</v>
      </c>
      <c r="V491" s="156">
        <v>0.0</v>
      </c>
    </row>
    <row r="492" ht="39.0" customHeight="1">
      <c r="A492" s="13">
        <v>491.0</v>
      </c>
      <c r="B492" s="125">
        <v>46166.0</v>
      </c>
      <c r="C492" s="13" t="s">
        <v>21</v>
      </c>
      <c r="D492" s="13" t="s">
        <v>22</v>
      </c>
      <c r="E492" s="130" t="s">
        <v>5958</v>
      </c>
      <c r="F492" s="362">
        <v>5.0216118E8</v>
      </c>
      <c r="G492" s="130" t="s">
        <v>426</v>
      </c>
      <c r="H492" s="156" t="s">
        <v>27</v>
      </c>
      <c r="I492" s="130" t="s">
        <v>5961</v>
      </c>
      <c r="J492" s="125"/>
      <c r="K492" s="13" t="s">
        <v>62</v>
      </c>
      <c r="L492" s="125"/>
      <c r="M492" s="27" t="s">
        <v>1883</v>
      </c>
      <c r="N492" s="13" t="s">
        <v>40</v>
      </c>
      <c r="O492" s="13" t="s">
        <v>42</v>
      </c>
      <c r="P492" s="156"/>
      <c r="Q492" s="13" t="s">
        <v>863</v>
      </c>
      <c r="R492" s="13" t="s">
        <v>46</v>
      </c>
      <c r="S492" s="13"/>
      <c r="T492" s="125"/>
      <c r="U492" s="125"/>
      <c r="V492" s="156">
        <v>0.0</v>
      </c>
    </row>
    <row r="493">
      <c r="A493" s="13">
        <v>492.0</v>
      </c>
      <c r="B493" s="125">
        <v>46166.0</v>
      </c>
      <c r="C493" s="13" t="s">
        <v>21</v>
      </c>
      <c r="D493" s="13" t="s">
        <v>24</v>
      </c>
      <c r="E493" s="130" t="s">
        <v>5969</v>
      </c>
      <c r="F493" s="12">
        <v>5.0632491E8</v>
      </c>
      <c r="G493" s="130" t="s">
        <v>4513</v>
      </c>
      <c r="H493" s="156" t="s">
        <v>27</v>
      </c>
      <c r="I493" s="130" t="s">
        <v>5970</v>
      </c>
      <c r="J493" s="125"/>
      <c r="K493" s="13" t="s">
        <v>62</v>
      </c>
      <c r="L493" s="125"/>
      <c r="M493" s="27" t="s">
        <v>5973</v>
      </c>
      <c r="N493" s="13" t="s">
        <v>40</v>
      </c>
      <c r="O493" s="13" t="s">
        <v>42</v>
      </c>
      <c r="P493" s="156"/>
      <c r="Q493" s="13" t="s">
        <v>863</v>
      </c>
      <c r="R493" s="13" t="s">
        <v>46</v>
      </c>
      <c r="S493" s="13"/>
      <c r="T493" s="125"/>
      <c r="U493" s="125"/>
      <c r="V493" s="156">
        <v>0.0</v>
      </c>
    </row>
    <row r="494">
      <c r="A494" s="13">
        <v>493.0</v>
      </c>
      <c r="B494" s="125">
        <v>46166.0</v>
      </c>
      <c r="C494" s="13" t="s">
        <v>21</v>
      </c>
      <c r="D494" s="13" t="s">
        <v>22</v>
      </c>
      <c r="E494" s="130" t="s">
        <v>5976</v>
      </c>
      <c r="F494" s="12">
        <v>5.57375162E8</v>
      </c>
      <c r="G494" s="130" t="s">
        <v>4513</v>
      </c>
      <c r="H494" s="156" t="s">
        <v>27</v>
      </c>
      <c r="I494" s="130" t="s">
        <v>5978</v>
      </c>
      <c r="J494" s="125"/>
      <c r="K494" s="13" t="s">
        <v>62</v>
      </c>
      <c r="L494" s="125"/>
      <c r="M494" s="27" t="s">
        <v>101</v>
      </c>
      <c r="N494" s="13" t="s">
        <v>40</v>
      </c>
      <c r="O494" s="13" t="s">
        <v>42</v>
      </c>
      <c r="P494" s="156"/>
      <c r="Q494" s="13" t="s">
        <v>863</v>
      </c>
      <c r="R494" s="13" t="s">
        <v>46</v>
      </c>
      <c r="S494" s="13"/>
      <c r="T494" s="125"/>
      <c r="U494" s="125"/>
      <c r="V494" s="156">
        <v>0.0</v>
      </c>
    </row>
    <row r="495">
      <c r="A495" s="13">
        <v>494.0</v>
      </c>
      <c r="B495" s="125">
        <v>46166.0</v>
      </c>
      <c r="C495" s="13" t="s">
        <v>21</v>
      </c>
      <c r="D495" s="13" t="s">
        <v>24</v>
      </c>
      <c r="E495" s="130" t="s">
        <v>5982</v>
      </c>
      <c r="F495" s="12">
        <v>5.65500804E8</v>
      </c>
      <c r="G495" s="130" t="s">
        <v>4513</v>
      </c>
      <c r="H495" s="156" t="s">
        <v>27</v>
      </c>
      <c r="I495" s="130" t="s">
        <v>5985</v>
      </c>
      <c r="J495" s="125"/>
      <c r="K495" s="13" t="s">
        <v>62</v>
      </c>
      <c r="L495" s="125"/>
      <c r="M495" s="27" t="s">
        <v>2143</v>
      </c>
      <c r="N495" s="13" t="s">
        <v>40</v>
      </c>
      <c r="O495" s="13" t="s">
        <v>42</v>
      </c>
      <c r="P495" s="156"/>
      <c r="Q495" s="13" t="s">
        <v>863</v>
      </c>
      <c r="R495" s="13" t="s">
        <v>46</v>
      </c>
      <c r="S495" s="13"/>
      <c r="T495" s="125"/>
      <c r="U495" s="125"/>
      <c r="V495" s="156">
        <v>0.0</v>
      </c>
    </row>
    <row r="496" ht="109.5" customHeight="1">
      <c r="A496" s="13">
        <v>495.0</v>
      </c>
      <c r="B496" s="125">
        <v>46166.0</v>
      </c>
      <c r="C496" s="13" t="s">
        <v>47</v>
      </c>
      <c r="D496" s="13" t="s">
        <v>60</v>
      </c>
      <c r="E496" s="130" t="s">
        <v>5990</v>
      </c>
      <c r="F496" s="12">
        <v>5.60293812E8</v>
      </c>
      <c r="G496" s="130" t="s">
        <v>1332</v>
      </c>
      <c r="H496" s="156" t="s">
        <v>27</v>
      </c>
      <c r="I496" s="130" t="s">
        <v>5993</v>
      </c>
      <c r="J496" s="125"/>
      <c r="K496" s="13" t="s">
        <v>62</v>
      </c>
      <c r="L496" s="125"/>
      <c r="M496" s="27" t="s">
        <v>101</v>
      </c>
      <c r="N496" s="13" t="s">
        <v>40</v>
      </c>
      <c r="O496" s="13" t="s">
        <v>42</v>
      </c>
      <c r="P496" s="156"/>
      <c r="Q496" s="13" t="s">
        <v>863</v>
      </c>
      <c r="R496" s="13"/>
      <c r="S496" s="13"/>
      <c r="T496" s="125"/>
      <c r="U496" s="125"/>
      <c r="V496" s="156">
        <v>0.0</v>
      </c>
    </row>
    <row r="497">
      <c r="A497" s="13">
        <v>496.0</v>
      </c>
      <c r="B497" s="125">
        <v>46166.0</v>
      </c>
      <c r="C497" s="13" t="s">
        <v>21</v>
      </c>
      <c r="D497" s="13" t="s">
        <v>24</v>
      </c>
      <c r="E497" s="130" t="s">
        <v>5996</v>
      </c>
      <c r="F497" s="12">
        <v>5.51833226E8</v>
      </c>
      <c r="G497" s="130" t="s">
        <v>4287</v>
      </c>
      <c r="H497" s="130"/>
      <c r="I497" s="130" t="s">
        <v>5999</v>
      </c>
      <c r="J497" s="125"/>
      <c r="K497" s="13" t="s">
        <v>36</v>
      </c>
      <c r="L497" s="366">
        <v>0.5541666666666667</v>
      </c>
      <c r="M497" s="27" t="s">
        <v>101</v>
      </c>
      <c r="N497" s="13" t="s">
        <v>40</v>
      </c>
      <c r="O497" s="13" t="s">
        <v>42</v>
      </c>
      <c r="P497" s="156"/>
      <c r="Q497" s="13" t="s">
        <v>863</v>
      </c>
      <c r="R497" s="13" t="s">
        <v>46</v>
      </c>
      <c r="S497" s="20" t="s">
        <v>2632</v>
      </c>
      <c r="T497" s="159">
        <v>0.5854166666666667</v>
      </c>
      <c r="U497" s="156" t="s">
        <v>49</v>
      </c>
      <c r="V497" s="156">
        <v>0.0</v>
      </c>
    </row>
    <row r="498" ht="78.75" customHeight="1">
      <c r="A498" s="13">
        <v>497.0</v>
      </c>
      <c r="B498" s="125">
        <v>46166.0</v>
      </c>
      <c r="C498" s="13" t="s">
        <v>47</v>
      </c>
      <c r="D498" s="13" t="s">
        <v>138</v>
      </c>
      <c r="E498" s="130" t="s">
        <v>1260</v>
      </c>
      <c r="F498" s="12">
        <v>5.06615112E8</v>
      </c>
      <c r="G498" s="130" t="s">
        <v>41</v>
      </c>
      <c r="H498" s="156" t="s">
        <v>146</v>
      </c>
      <c r="I498" s="112" t="s">
        <v>6005</v>
      </c>
      <c r="J498" s="130" t="s">
        <v>6007</v>
      </c>
      <c r="K498" s="13" t="s">
        <v>36</v>
      </c>
      <c r="L498" s="367">
        <v>0.5541666666666667</v>
      </c>
      <c r="M498" s="27" t="s">
        <v>55</v>
      </c>
      <c r="N498" s="13" t="s">
        <v>56</v>
      </c>
      <c r="O498" s="13" t="s">
        <v>42</v>
      </c>
      <c r="P498" s="156"/>
      <c r="Q498" s="13" t="s">
        <v>863</v>
      </c>
      <c r="R498" s="13" t="s">
        <v>46</v>
      </c>
      <c r="S498" s="20" t="s">
        <v>2632</v>
      </c>
      <c r="T498" s="159">
        <v>0.5854166666666667</v>
      </c>
      <c r="U498" s="156" t="s">
        <v>863</v>
      </c>
      <c r="V498" s="156">
        <v>0.0</v>
      </c>
    </row>
    <row r="499">
      <c r="A499" s="13">
        <v>498.0</v>
      </c>
      <c r="B499" s="125">
        <v>46166.0</v>
      </c>
      <c r="C499" s="13" t="s">
        <v>21</v>
      </c>
      <c r="D499" s="13" t="s">
        <v>24</v>
      </c>
      <c r="E499" s="130" t="s">
        <v>6012</v>
      </c>
      <c r="F499" s="12">
        <v>5.82890007E8</v>
      </c>
      <c r="G499" s="130" t="s">
        <v>4287</v>
      </c>
      <c r="H499" s="125"/>
      <c r="I499" s="130" t="s">
        <v>6013</v>
      </c>
      <c r="J499" s="125"/>
      <c r="K499" s="13" t="s">
        <v>36</v>
      </c>
      <c r="L499" s="125"/>
      <c r="M499" s="27" t="s">
        <v>38</v>
      </c>
      <c r="N499" s="13" t="s">
        <v>40</v>
      </c>
      <c r="O499" s="13" t="s">
        <v>42</v>
      </c>
      <c r="P499" s="156"/>
      <c r="Q499" s="13" t="s">
        <v>863</v>
      </c>
      <c r="R499" s="13" t="s">
        <v>46</v>
      </c>
      <c r="S499" s="13"/>
      <c r="T499" s="125"/>
      <c r="U499" s="125"/>
      <c r="V499" s="156">
        <v>0.0</v>
      </c>
    </row>
    <row r="500">
      <c r="A500" s="13">
        <v>499.0</v>
      </c>
      <c r="B500" s="125">
        <v>46166.0</v>
      </c>
      <c r="C500" s="13" t="s">
        <v>58</v>
      </c>
      <c r="D500" s="13" t="s">
        <v>48</v>
      </c>
      <c r="E500" s="130" t="s">
        <v>6020</v>
      </c>
      <c r="F500" s="12">
        <v>5.55178092E8</v>
      </c>
      <c r="G500" s="130" t="s">
        <v>4091</v>
      </c>
      <c r="H500" s="156"/>
      <c r="I500" s="130" t="s">
        <v>6021</v>
      </c>
      <c r="J500" s="125"/>
      <c r="K500" s="13" t="s">
        <v>36</v>
      </c>
      <c r="L500" s="125"/>
      <c r="M500" s="27" t="s">
        <v>88</v>
      </c>
      <c r="N500" s="13" t="s">
        <v>40</v>
      </c>
      <c r="O500" s="13" t="s">
        <v>42</v>
      </c>
      <c r="P500" s="156"/>
      <c r="Q500" s="13" t="s">
        <v>863</v>
      </c>
      <c r="R500" s="13"/>
      <c r="S500" s="13"/>
      <c r="T500" s="125"/>
      <c r="U500" s="125"/>
      <c r="V500" s="156">
        <v>0.0</v>
      </c>
    </row>
    <row r="501" ht="83.25" customHeight="1">
      <c r="A501" s="13">
        <v>500.0</v>
      </c>
      <c r="B501" s="125">
        <v>46166.0</v>
      </c>
      <c r="C501" s="13" t="s">
        <v>58</v>
      </c>
      <c r="D501" s="13" t="s">
        <v>48</v>
      </c>
      <c r="E501" s="130" t="s">
        <v>6029</v>
      </c>
      <c r="F501" s="12">
        <v>5.66603425E8</v>
      </c>
      <c r="G501" s="130" t="s">
        <v>4091</v>
      </c>
      <c r="H501" s="156" t="s">
        <v>72</v>
      </c>
      <c r="I501" s="130" t="s">
        <v>6031</v>
      </c>
      <c r="J501" s="125"/>
      <c r="K501" s="13" t="s">
        <v>36</v>
      </c>
      <c r="L501" s="125"/>
      <c r="M501" s="27" t="s">
        <v>88</v>
      </c>
      <c r="N501" s="13" t="s">
        <v>40</v>
      </c>
      <c r="O501" s="13" t="s">
        <v>42</v>
      </c>
      <c r="P501" s="156"/>
      <c r="Q501" s="13" t="s">
        <v>863</v>
      </c>
      <c r="R501" s="13"/>
      <c r="S501" s="13"/>
      <c r="T501" s="125"/>
      <c r="U501" s="125"/>
      <c r="V501" s="156">
        <v>0.0</v>
      </c>
    </row>
    <row r="502">
      <c r="A502" s="13">
        <v>501.0</v>
      </c>
      <c r="B502" s="125">
        <v>46166.0</v>
      </c>
      <c r="C502" s="13" t="s">
        <v>47</v>
      </c>
      <c r="D502" s="13" t="s">
        <v>48</v>
      </c>
      <c r="E502" s="183" t="s">
        <v>6035</v>
      </c>
      <c r="F502" s="12" t="s">
        <v>27</v>
      </c>
      <c r="G502" s="162" t="s">
        <v>41</v>
      </c>
      <c r="H502" s="156" t="s">
        <v>791</v>
      </c>
      <c r="I502" s="130" t="s">
        <v>6036</v>
      </c>
      <c r="J502" s="125"/>
      <c r="K502" s="13" t="s">
        <v>78</v>
      </c>
      <c r="L502" s="125"/>
      <c r="M502" s="27" t="s">
        <v>55</v>
      </c>
      <c r="N502" s="13" t="s">
        <v>40</v>
      </c>
      <c r="O502" s="13" t="s">
        <v>42</v>
      </c>
      <c r="P502" s="156"/>
      <c r="Q502" s="13" t="s">
        <v>49</v>
      </c>
      <c r="R502" s="13" t="s">
        <v>46</v>
      </c>
      <c r="S502" s="13"/>
      <c r="T502" s="125"/>
      <c r="U502" s="125"/>
      <c r="V502" s="156">
        <v>0.0</v>
      </c>
    </row>
    <row r="503">
      <c r="A503" s="13">
        <v>502.0</v>
      </c>
      <c r="B503" s="125">
        <v>46166.0</v>
      </c>
      <c r="C503" s="13" t="s">
        <v>47</v>
      </c>
      <c r="D503" s="13" t="s">
        <v>251</v>
      </c>
      <c r="E503" s="156" t="s">
        <v>6041</v>
      </c>
      <c r="F503" s="12" t="s">
        <v>27</v>
      </c>
      <c r="G503" s="130" t="s">
        <v>1332</v>
      </c>
      <c r="H503" s="156" t="s">
        <v>638</v>
      </c>
      <c r="I503" s="130" t="s">
        <v>6042</v>
      </c>
      <c r="J503" s="125"/>
      <c r="K503" s="13" t="s">
        <v>78</v>
      </c>
      <c r="L503" s="125"/>
      <c r="M503" s="27" t="s">
        <v>55</v>
      </c>
      <c r="N503" s="13" t="s">
        <v>40</v>
      </c>
      <c r="O503" s="13" t="s">
        <v>42</v>
      </c>
      <c r="P503" s="156"/>
      <c r="Q503" s="13" t="s">
        <v>49</v>
      </c>
      <c r="R503" s="13" t="s">
        <v>46</v>
      </c>
      <c r="S503" s="13"/>
      <c r="T503" s="125"/>
      <c r="U503" s="125"/>
      <c r="V503" s="156">
        <v>0.0</v>
      </c>
    </row>
  </sheetData>
  <autoFilter ref="$A$1:$V$503"/>
  <dataValidations>
    <dataValidation type="list" allowBlank="1" showErrorMessage="1" sqref="C2:C503">
      <formula1>"Complaint,Requests,inquiries"</formula1>
    </dataValidation>
    <dataValidation type="list" allowBlank="1" showErrorMessage="1" sqref="O2:O503">
      <formula1>"High,Medium,Low,Urgent"</formula1>
    </dataValidation>
    <dataValidation type="list" allowBlank="1" showErrorMessage="1" sqref="N2:N503">
      <formula1>"In process,Closed"</formula1>
    </dataValidation>
    <dataValidation type="list" allowBlank="1" showErrorMessage="1" sqref="R2:R503">
      <formula1>"Uploaded,Non"</formula1>
    </dataValidation>
    <dataValidation type="list" allowBlank="1" showErrorMessage="1" sqref="Q2:Q503 U2:U503">
      <formula1>"Samia,Amani,Dania"</formula1>
    </dataValidation>
    <dataValidation type="list" allowBlank="1" showErrorMessage="1" sqref="K2:K503">
      <formula1>"Call,Google maps,X,Tiktok,SurveyApp,Email,Website,Instgram,Voicemaill,WhatsApp"</formula1>
    </dataValidation>
    <dataValidation type="list" allowBlank="1" showErrorMessage="1" sqref="V2:V503">
      <formula1>"0,1,2,3,4,5"</formula1>
    </dataValidation>
    <dataValidation type="list" allowBlank="1" showErrorMessage="1" sqref="D2:D503">
      <formula1>"Customer S,Operations ,Investment,Real Estate,Franchise ,Marketing ,Maintenance,Environment,Project M,HR,Procurement,Finance,IT"</formula1>
    </dataValidation>
    <dataValidation type="list" allowBlank="1" showErrorMessage="1" sqref="S2:S6 S8:S503">
      <formula1>"خلال 12 ساعة عمل ,خلال 24 ساعة عمل ,اكثر من 24 ساعة عمل "</formula1>
    </dataValidation>
  </dataValidations>
  <hyperlinks>
    <hyperlink r:id="rId1" ref="I85"/>
    <hyperlink r:id="rId2" ref="I144"/>
    <hyperlink r:id="rId3" ref="I226"/>
    <hyperlink r:id="rId4" ref="I424"/>
    <hyperlink r:id="rId5" ref="I438"/>
  </hyperlinks>
  <printOptions gridLines="1" horizontalCentered="1"/>
  <pageMargins bottom="0.75" footer="0.0" header="0.0" left="0.7" right="0.7" top="0.75"/>
  <pageSetup fitToHeight="0" paperSize="13" cellComments="atEnd" orientation="landscape" pageOrder="overThenDown"/>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8.13"/>
    <col customWidth="1" min="3" max="3" width="13.38"/>
    <col customWidth="1" min="4" max="4" width="18.0"/>
    <col customWidth="1" min="5" max="5" width="10.38"/>
    <col customWidth="1" min="6" max="6" width="10.63"/>
    <col customWidth="1" min="7" max="7" width="6.75"/>
    <col customWidth="1" min="8" max="8" width="6.63"/>
    <col customWidth="1" min="9" max="9" width="41.63"/>
    <col customWidth="1" min="10" max="10" width="34.0"/>
    <col customWidth="1" min="11" max="11" width="15.38"/>
    <col customWidth="1" min="12" max="12" width="0.38"/>
    <col customWidth="1" min="13" max="13" width="19.13"/>
    <col customWidth="1" min="14" max="14" width="14.88"/>
    <col customWidth="1" min="15" max="15" width="12.38"/>
    <col customWidth="1" min="16" max="16" width="13.38"/>
    <col customWidth="1" min="17" max="17" width="11.0"/>
    <col customWidth="1" min="18" max="18" width="14.75"/>
    <col customWidth="1" min="19" max="21" width="13.5"/>
    <col customWidth="1" min="22" max="22" width="11.0"/>
  </cols>
  <sheetData>
    <row r="1" ht="30.75" customHeight="1">
      <c r="A1" s="3"/>
      <c r="B1" s="5" t="s">
        <v>0</v>
      </c>
      <c r="C1" s="5" t="s">
        <v>1</v>
      </c>
      <c r="D1" s="3" t="s">
        <v>2</v>
      </c>
      <c r="E1" s="5" t="s">
        <v>4</v>
      </c>
      <c r="F1" s="5" t="s">
        <v>5</v>
      </c>
      <c r="G1" s="3" t="s">
        <v>6</v>
      </c>
      <c r="H1" s="3" t="s">
        <v>7</v>
      </c>
      <c r="I1" s="5" t="s">
        <v>8</v>
      </c>
      <c r="J1" s="3" t="s">
        <v>9</v>
      </c>
      <c r="K1" s="5" t="s">
        <v>10</v>
      </c>
      <c r="L1" s="3" t="s">
        <v>11</v>
      </c>
      <c r="M1" s="7" t="s">
        <v>12</v>
      </c>
      <c r="N1" s="11" t="s">
        <v>13</v>
      </c>
      <c r="O1" s="7" t="s">
        <v>14</v>
      </c>
      <c r="P1" s="7" t="s">
        <v>15</v>
      </c>
      <c r="Q1" s="3" t="s">
        <v>16</v>
      </c>
      <c r="R1" s="3" t="s">
        <v>17</v>
      </c>
      <c r="S1" s="3" t="s">
        <v>18</v>
      </c>
      <c r="T1" s="3" t="s">
        <v>15</v>
      </c>
      <c r="U1" s="3" t="s">
        <v>19</v>
      </c>
      <c r="V1" s="5" t="s">
        <v>20</v>
      </c>
    </row>
    <row r="2" ht="64.5" customHeight="1">
      <c r="A2" s="175">
        <v>1.0</v>
      </c>
      <c r="B2" s="176">
        <v>46174.0</v>
      </c>
      <c r="C2" s="175" t="s">
        <v>58</v>
      </c>
      <c r="D2" s="175" t="s">
        <v>60</v>
      </c>
      <c r="E2" s="177" t="s">
        <v>3557</v>
      </c>
      <c r="F2" s="178">
        <v>5.92619353E8</v>
      </c>
      <c r="G2" s="177" t="s">
        <v>41</v>
      </c>
      <c r="H2" s="175" t="s">
        <v>956</v>
      </c>
      <c r="I2" s="179" t="s">
        <v>3559</v>
      </c>
      <c r="J2" s="177"/>
      <c r="K2" s="175" t="s">
        <v>65</v>
      </c>
      <c r="L2" s="180"/>
      <c r="M2" s="181" t="s">
        <v>88</v>
      </c>
      <c r="N2" s="175" t="s">
        <v>40</v>
      </c>
      <c r="O2" s="175" t="s">
        <v>42</v>
      </c>
      <c r="P2" s="175"/>
      <c r="Q2" s="175" t="s">
        <v>44</v>
      </c>
      <c r="R2" s="175"/>
      <c r="S2" s="180"/>
      <c r="T2" s="177" t="s">
        <v>3566</v>
      </c>
      <c r="U2" s="175"/>
      <c r="V2" s="175">
        <v>5.0</v>
      </c>
    </row>
    <row r="3" ht="18.75" customHeight="1">
      <c r="A3" s="175">
        <v>2.0</v>
      </c>
      <c r="B3" s="176">
        <v>46174.0</v>
      </c>
      <c r="C3" s="175" t="s">
        <v>58</v>
      </c>
      <c r="D3" s="175" t="s">
        <v>60</v>
      </c>
      <c r="E3" s="175" t="s">
        <v>27</v>
      </c>
      <c r="F3" s="178">
        <v>5.67081747E8</v>
      </c>
      <c r="G3" s="175" t="s">
        <v>27</v>
      </c>
      <c r="H3" s="175" t="s">
        <v>27</v>
      </c>
      <c r="I3" s="179" t="s">
        <v>944</v>
      </c>
      <c r="J3" s="177"/>
      <c r="K3" s="175" t="s">
        <v>36</v>
      </c>
      <c r="L3" s="180"/>
      <c r="M3" s="181" t="s">
        <v>88</v>
      </c>
      <c r="N3" s="175" t="s">
        <v>40</v>
      </c>
      <c r="O3" s="175" t="s">
        <v>42</v>
      </c>
      <c r="P3" s="175"/>
      <c r="Q3" s="175" t="s">
        <v>44</v>
      </c>
      <c r="R3" s="175"/>
      <c r="S3" s="180"/>
      <c r="T3" s="177"/>
      <c r="U3" s="175"/>
      <c r="V3" s="175">
        <v>5.0</v>
      </c>
    </row>
    <row r="4" ht="28.5" customHeight="1">
      <c r="A4" s="175">
        <v>3.0</v>
      </c>
      <c r="B4" s="176">
        <v>46174.0</v>
      </c>
      <c r="C4" s="175" t="s">
        <v>58</v>
      </c>
      <c r="D4" s="175" t="s">
        <v>60</v>
      </c>
      <c r="E4" s="175" t="s">
        <v>27</v>
      </c>
      <c r="F4" s="178">
        <v>5.01807637E8</v>
      </c>
      <c r="G4" s="175" t="s">
        <v>27</v>
      </c>
      <c r="H4" s="175" t="s">
        <v>27</v>
      </c>
      <c r="I4" s="179" t="s">
        <v>3574</v>
      </c>
      <c r="J4" s="177"/>
      <c r="K4" s="175" t="s">
        <v>65</v>
      </c>
      <c r="L4" s="180"/>
      <c r="M4" s="181" t="s">
        <v>88</v>
      </c>
      <c r="N4" s="175" t="s">
        <v>40</v>
      </c>
      <c r="O4" s="175" t="s">
        <v>42</v>
      </c>
      <c r="P4" s="175"/>
      <c r="Q4" s="175" t="s">
        <v>44</v>
      </c>
      <c r="R4" s="175"/>
      <c r="S4" s="180"/>
      <c r="T4" s="177"/>
      <c r="U4" s="175"/>
      <c r="V4" s="175">
        <v>5.0</v>
      </c>
    </row>
    <row r="5">
      <c r="A5" s="175">
        <v>4.0</v>
      </c>
      <c r="B5" s="176">
        <v>46174.0</v>
      </c>
      <c r="C5" s="175" t="s">
        <v>58</v>
      </c>
      <c r="D5" s="175" t="s">
        <v>60</v>
      </c>
      <c r="E5" s="175" t="s">
        <v>27</v>
      </c>
      <c r="F5" s="178">
        <v>5.00600557E8</v>
      </c>
      <c r="G5" s="175" t="s">
        <v>27</v>
      </c>
      <c r="H5" s="175" t="s">
        <v>27</v>
      </c>
      <c r="I5" s="179" t="s">
        <v>3577</v>
      </c>
      <c r="J5" s="177"/>
      <c r="K5" s="175" t="s">
        <v>65</v>
      </c>
      <c r="L5" s="180"/>
      <c r="M5" s="181" t="s">
        <v>88</v>
      </c>
      <c r="N5" s="175" t="s">
        <v>40</v>
      </c>
      <c r="O5" s="175" t="s">
        <v>42</v>
      </c>
      <c r="P5" s="175"/>
      <c r="Q5" s="175" t="s">
        <v>44</v>
      </c>
      <c r="R5" s="175"/>
      <c r="S5" s="180"/>
      <c r="T5" s="177"/>
      <c r="U5" s="175"/>
      <c r="V5" s="175">
        <v>5.0</v>
      </c>
    </row>
    <row r="6">
      <c r="A6" s="175">
        <v>5.0</v>
      </c>
      <c r="B6" s="176">
        <v>46174.0</v>
      </c>
      <c r="C6" s="175" t="s">
        <v>58</v>
      </c>
      <c r="D6" s="175" t="s">
        <v>60</v>
      </c>
      <c r="E6" s="177" t="s">
        <v>3582</v>
      </c>
      <c r="F6" s="178">
        <v>5.04178939E8</v>
      </c>
      <c r="G6" s="177" t="s">
        <v>152</v>
      </c>
      <c r="H6" s="175" t="s">
        <v>27</v>
      </c>
      <c r="I6" s="179" t="s">
        <v>554</v>
      </c>
      <c r="J6" s="177"/>
      <c r="K6" s="175" t="s">
        <v>36</v>
      </c>
      <c r="L6" s="180"/>
      <c r="M6" s="181" t="s">
        <v>88</v>
      </c>
      <c r="N6" s="175" t="s">
        <v>40</v>
      </c>
      <c r="O6" s="175" t="s">
        <v>42</v>
      </c>
      <c r="P6" s="175"/>
      <c r="Q6" s="175" t="s">
        <v>44</v>
      </c>
      <c r="R6" s="175"/>
      <c r="S6" s="180"/>
      <c r="T6" s="177"/>
      <c r="U6" s="175"/>
      <c r="V6" s="175">
        <v>5.0</v>
      </c>
    </row>
    <row r="7">
      <c r="A7" s="175">
        <v>6.0</v>
      </c>
      <c r="B7" s="176">
        <v>46174.0</v>
      </c>
      <c r="C7" s="175" t="s">
        <v>58</v>
      </c>
      <c r="D7" s="175" t="s">
        <v>60</v>
      </c>
      <c r="E7" s="175" t="s">
        <v>27</v>
      </c>
      <c r="F7" s="178">
        <v>5.04480135E8</v>
      </c>
      <c r="G7" s="177" t="s">
        <v>152</v>
      </c>
      <c r="H7" s="175" t="s">
        <v>27</v>
      </c>
      <c r="I7" s="179" t="s">
        <v>3587</v>
      </c>
      <c r="J7" s="177"/>
      <c r="K7" s="175" t="s">
        <v>36</v>
      </c>
      <c r="L7" s="180"/>
      <c r="M7" s="181" t="s">
        <v>88</v>
      </c>
      <c r="N7" s="175" t="s">
        <v>40</v>
      </c>
      <c r="O7" s="175" t="s">
        <v>42</v>
      </c>
      <c r="P7" s="175"/>
      <c r="Q7" s="175" t="s">
        <v>44</v>
      </c>
      <c r="R7" s="175"/>
      <c r="S7" s="180"/>
      <c r="T7" s="177"/>
      <c r="U7" s="175"/>
      <c r="V7" s="175">
        <v>5.0</v>
      </c>
    </row>
    <row r="8">
      <c r="A8" s="175">
        <v>7.0</v>
      </c>
      <c r="B8" s="176">
        <v>46174.0</v>
      </c>
      <c r="C8" s="175" t="s">
        <v>58</v>
      </c>
      <c r="D8" s="175" t="s">
        <v>60</v>
      </c>
      <c r="E8" s="175" t="s">
        <v>27</v>
      </c>
      <c r="F8" s="178">
        <v>5.59133287E8</v>
      </c>
      <c r="G8" s="177" t="s">
        <v>152</v>
      </c>
      <c r="H8" s="175" t="s">
        <v>27</v>
      </c>
      <c r="I8" s="179" t="s">
        <v>3590</v>
      </c>
      <c r="J8" s="177"/>
      <c r="K8" s="175" t="s">
        <v>36</v>
      </c>
      <c r="L8" s="180"/>
      <c r="M8" s="181" t="s">
        <v>88</v>
      </c>
      <c r="N8" s="175" t="s">
        <v>40</v>
      </c>
      <c r="O8" s="175" t="s">
        <v>42</v>
      </c>
      <c r="P8" s="175"/>
      <c r="Q8" s="175" t="s">
        <v>44</v>
      </c>
      <c r="R8" s="175"/>
      <c r="S8" s="180"/>
      <c r="T8" s="177"/>
      <c r="U8" s="175"/>
      <c r="V8" s="175">
        <v>5.0</v>
      </c>
    </row>
    <row r="9">
      <c r="A9" s="175">
        <v>8.0</v>
      </c>
      <c r="B9" s="176">
        <v>46174.0</v>
      </c>
      <c r="C9" s="175" t="s">
        <v>21</v>
      </c>
      <c r="D9" s="175" t="s">
        <v>24</v>
      </c>
      <c r="E9" s="177" t="s">
        <v>3593</v>
      </c>
      <c r="F9" s="178" t="s">
        <v>3594</v>
      </c>
      <c r="G9" s="175" t="s">
        <v>27</v>
      </c>
      <c r="H9" s="175" t="s">
        <v>27</v>
      </c>
      <c r="I9" s="179" t="s">
        <v>3596</v>
      </c>
      <c r="J9" s="177"/>
      <c r="K9" s="175" t="s">
        <v>62</v>
      </c>
      <c r="L9" s="180"/>
      <c r="M9" s="177" t="s">
        <v>38</v>
      </c>
      <c r="N9" s="175" t="s">
        <v>56</v>
      </c>
      <c r="O9" s="175" t="s">
        <v>42</v>
      </c>
      <c r="P9" s="175"/>
      <c r="Q9" s="175" t="s">
        <v>44</v>
      </c>
      <c r="R9" s="175" t="s">
        <v>46</v>
      </c>
      <c r="S9" s="180"/>
      <c r="T9" s="177"/>
      <c r="U9" s="175"/>
      <c r="V9" s="175">
        <v>5.0</v>
      </c>
    </row>
    <row r="10">
      <c r="A10" s="175">
        <v>9.0</v>
      </c>
      <c r="B10" s="176">
        <v>46174.0</v>
      </c>
      <c r="C10" s="175" t="s">
        <v>58</v>
      </c>
      <c r="D10" s="175" t="s">
        <v>60</v>
      </c>
      <c r="E10" s="175" t="s">
        <v>27</v>
      </c>
      <c r="F10" s="178">
        <v>5.59883419E8</v>
      </c>
      <c r="G10" s="175" t="s">
        <v>27</v>
      </c>
      <c r="H10" s="175" t="s">
        <v>27</v>
      </c>
      <c r="I10" s="179" t="s">
        <v>3601</v>
      </c>
      <c r="J10" s="177"/>
      <c r="K10" s="175" t="s">
        <v>62</v>
      </c>
      <c r="L10" s="180"/>
      <c r="M10" s="181" t="s">
        <v>38</v>
      </c>
      <c r="N10" s="175" t="s">
        <v>40</v>
      </c>
      <c r="O10" s="175" t="s">
        <v>42</v>
      </c>
      <c r="P10" s="175"/>
      <c r="Q10" s="175" t="s">
        <v>44</v>
      </c>
      <c r="R10" s="175"/>
      <c r="S10" s="180"/>
      <c r="T10" s="177"/>
      <c r="U10" s="175"/>
      <c r="V10" s="175">
        <v>5.0</v>
      </c>
    </row>
    <row r="11">
      <c r="A11" s="175">
        <v>10.0</v>
      </c>
      <c r="B11" s="176">
        <v>46174.0</v>
      </c>
      <c r="C11" s="175" t="s">
        <v>58</v>
      </c>
      <c r="D11" s="175" t="s">
        <v>57</v>
      </c>
      <c r="E11" s="175" t="s">
        <v>27</v>
      </c>
      <c r="F11" s="178">
        <v>5.05654655E8</v>
      </c>
      <c r="G11" s="175" t="s">
        <v>27</v>
      </c>
      <c r="H11" s="175" t="s">
        <v>27</v>
      </c>
      <c r="I11" s="179" t="s">
        <v>3606</v>
      </c>
      <c r="J11" s="177"/>
      <c r="K11" s="175" t="s">
        <v>62</v>
      </c>
      <c r="L11" s="180"/>
      <c r="M11" s="177" t="s">
        <v>88</v>
      </c>
      <c r="N11" s="175" t="s">
        <v>40</v>
      </c>
      <c r="O11" s="175" t="s">
        <v>42</v>
      </c>
      <c r="P11" s="175"/>
      <c r="Q11" s="175" t="s">
        <v>44</v>
      </c>
      <c r="R11" s="175"/>
      <c r="S11" s="180"/>
      <c r="T11" s="177"/>
      <c r="U11" s="175"/>
      <c r="V11" s="175">
        <v>5.0</v>
      </c>
    </row>
    <row r="12">
      <c r="A12" s="175">
        <v>11.0</v>
      </c>
      <c r="B12" s="176">
        <v>46174.0</v>
      </c>
      <c r="C12" s="175" t="s">
        <v>58</v>
      </c>
      <c r="D12" s="175" t="s">
        <v>60</v>
      </c>
      <c r="E12" s="175" t="s">
        <v>27</v>
      </c>
      <c r="F12" s="178">
        <v>5.02239006E8</v>
      </c>
      <c r="G12" s="175" t="s">
        <v>27</v>
      </c>
      <c r="H12" s="175" t="s">
        <v>27</v>
      </c>
      <c r="I12" s="179" t="s">
        <v>3615</v>
      </c>
      <c r="J12" s="177" t="s">
        <v>3617</v>
      </c>
      <c r="K12" s="175" t="s">
        <v>62</v>
      </c>
      <c r="L12" s="180"/>
      <c r="M12" s="181" t="s">
        <v>88</v>
      </c>
      <c r="N12" s="175" t="s">
        <v>40</v>
      </c>
      <c r="O12" s="175" t="s">
        <v>42</v>
      </c>
      <c r="P12" s="175"/>
      <c r="Q12" s="175" t="s">
        <v>44</v>
      </c>
      <c r="R12" s="175"/>
      <c r="S12" s="180"/>
      <c r="T12" s="177"/>
      <c r="U12" s="175"/>
      <c r="V12" s="175">
        <v>5.0</v>
      </c>
    </row>
    <row r="13">
      <c r="A13" s="175">
        <v>12.0</v>
      </c>
      <c r="B13" s="176">
        <v>46174.0</v>
      </c>
      <c r="C13" s="175" t="s">
        <v>58</v>
      </c>
      <c r="D13" s="175" t="s">
        <v>60</v>
      </c>
      <c r="E13" s="175" t="s">
        <v>3621</v>
      </c>
      <c r="F13" s="178">
        <v>5.5554312E8</v>
      </c>
      <c r="G13" s="175" t="s">
        <v>27</v>
      </c>
      <c r="H13" s="175" t="s">
        <v>27</v>
      </c>
      <c r="I13" s="179" t="s">
        <v>88</v>
      </c>
      <c r="J13" s="177"/>
      <c r="K13" s="175" t="s">
        <v>62</v>
      </c>
      <c r="L13" s="180"/>
      <c r="M13" s="181" t="s">
        <v>88</v>
      </c>
      <c r="N13" s="175" t="s">
        <v>40</v>
      </c>
      <c r="O13" s="175" t="s">
        <v>42</v>
      </c>
      <c r="P13" s="175"/>
      <c r="Q13" s="175" t="s">
        <v>44</v>
      </c>
      <c r="R13" s="175"/>
      <c r="S13" s="180"/>
      <c r="T13" s="177"/>
      <c r="U13" s="175"/>
      <c r="V13" s="175">
        <v>5.0</v>
      </c>
    </row>
    <row r="14">
      <c r="A14" s="175">
        <v>13.0</v>
      </c>
      <c r="B14" s="176">
        <v>46174.0</v>
      </c>
      <c r="C14" s="175" t="s">
        <v>58</v>
      </c>
      <c r="D14" s="175" t="s">
        <v>60</v>
      </c>
      <c r="E14" s="177" t="s">
        <v>3625</v>
      </c>
      <c r="F14" s="178">
        <v>5.08117542E8</v>
      </c>
      <c r="G14" s="175" t="s">
        <v>27</v>
      </c>
      <c r="H14" s="175" t="s">
        <v>27</v>
      </c>
      <c r="I14" s="179" t="s">
        <v>3626</v>
      </c>
      <c r="J14" s="177"/>
      <c r="K14" s="175" t="s">
        <v>62</v>
      </c>
      <c r="L14" s="180"/>
      <c r="M14" s="181" t="s">
        <v>88</v>
      </c>
      <c r="N14" s="175" t="s">
        <v>40</v>
      </c>
      <c r="O14" s="175" t="s">
        <v>42</v>
      </c>
      <c r="P14" s="175"/>
      <c r="Q14" s="175" t="s">
        <v>44</v>
      </c>
      <c r="R14" s="175"/>
      <c r="S14" s="180"/>
      <c r="T14" s="177"/>
      <c r="U14" s="175"/>
      <c r="V14" s="175">
        <v>5.0</v>
      </c>
    </row>
    <row r="15">
      <c r="A15" s="175">
        <v>14.0</v>
      </c>
      <c r="B15" s="176">
        <v>46174.0</v>
      </c>
      <c r="C15" s="175" t="s">
        <v>58</v>
      </c>
      <c r="D15" s="175" t="s">
        <v>60</v>
      </c>
      <c r="E15" s="175" t="s">
        <v>27</v>
      </c>
      <c r="F15" s="178">
        <v>5.81020566E8</v>
      </c>
      <c r="G15" s="177" t="s">
        <v>318</v>
      </c>
      <c r="H15" s="175" t="s">
        <v>27</v>
      </c>
      <c r="I15" s="179" t="s">
        <v>3633</v>
      </c>
      <c r="J15" s="177"/>
      <c r="K15" s="175" t="s">
        <v>62</v>
      </c>
      <c r="L15" s="180"/>
      <c r="M15" s="181" t="s">
        <v>38</v>
      </c>
      <c r="N15" s="175" t="s">
        <v>40</v>
      </c>
      <c r="O15" s="175" t="s">
        <v>42</v>
      </c>
      <c r="P15" s="175"/>
      <c r="Q15" s="175" t="s">
        <v>44</v>
      </c>
      <c r="R15" s="175"/>
      <c r="S15" s="180"/>
      <c r="T15" s="177"/>
      <c r="U15" s="175"/>
      <c r="V15" s="175">
        <v>5.0</v>
      </c>
    </row>
    <row r="16">
      <c r="A16" s="175">
        <v>15.0</v>
      </c>
      <c r="B16" s="176">
        <v>46174.0</v>
      </c>
      <c r="C16" s="175" t="s">
        <v>58</v>
      </c>
      <c r="D16" s="175" t="s">
        <v>60</v>
      </c>
      <c r="E16" s="177" t="s">
        <v>3639</v>
      </c>
      <c r="F16" s="178">
        <v>5.38860847E8</v>
      </c>
      <c r="G16" s="177"/>
      <c r="H16" s="175" t="s">
        <v>27</v>
      </c>
      <c r="I16" s="179" t="s">
        <v>3642</v>
      </c>
      <c r="J16" s="177"/>
      <c r="K16" s="175" t="s">
        <v>62</v>
      </c>
      <c r="L16" s="180"/>
      <c r="M16" s="181" t="s">
        <v>88</v>
      </c>
      <c r="N16" s="175" t="s">
        <v>40</v>
      </c>
      <c r="O16" s="175" t="s">
        <v>42</v>
      </c>
      <c r="P16" s="175"/>
      <c r="Q16" s="175" t="s">
        <v>44</v>
      </c>
      <c r="R16" s="175"/>
      <c r="S16" s="180"/>
      <c r="T16" s="177"/>
      <c r="U16" s="175"/>
      <c r="V16" s="175">
        <v>5.0</v>
      </c>
    </row>
    <row r="17">
      <c r="A17" s="175">
        <v>16.0</v>
      </c>
      <c r="B17" s="176">
        <v>46174.0</v>
      </c>
      <c r="C17" s="175" t="s">
        <v>21</v>
      </c>
      <c r="D17" s="175" t="s">
        <v>22</v>
      </c>
      <c r="E17" s="177" t="s">
        <v>2786</v>
      </c>
      <c r="F17" s="178">
        <v>5.60404162E8</v>
      </c>
      <c r="G17" s="177" t="s">
        <v>319</v>
      </c>
      <c r="H17" s="175" t="s">
        <v>27</v>
      </c>
      <c r="I17" s="179" t="s">
        <v>3650</v>
      </c>
      <c r="J17" s="177"/>
      <c r="K17" s="175" t="s">
        <v>62</v>
      </c>
      <c r="L17" s="180"/>
      <c r="M17" s="181" t="s">
        <v>38</v>
      </c>
      <c r="N17" s="175" t="s">
        <v>40</v>
      </c>
      <c r="O17" s="175" t="s">
        <v>42</v>
      </c>
      <c r="P17" s="175"/>
      <c r="Q17" s="175" t="s">
        <v>44</v>
      </c>
      <c r="R17" s="175" t="s">
        <v>46</v>
      </c>
      <c r="S17" s="180"/>
      <c r="T17" s="177"/>
      <c r="U17" s="175"/>
      <c r="V17" s="175">
        <v>5.0</v>
      </c>
    </row>
    <row r="18">
      <c r="A18" s="175">
        <v>17.0</v>
      </c>
      <c r="B18" s="176">
        <v>46174.0</v>
      </c>
      <c r="C18" s="175" t="s">
        <v>58</v>
      </c>
      <c r="D18" s="175" t="s">
        <v>60</v>
      </c>
      <c r="E18" s="177" t="s">
        <v>3656</v>
      </c>
      <c r="F18" s="178">
        <v>5.50225432E8</v>
      </c>
      <c r="G18" s="175" t="s">
        <v>27</v>
      </c>
      <c r="H18" s="175" t="s">
        <v>27</v>
      </c>
      <c r="I18" s="179" t="s">
        <v>3658</v>
      </c>
      <c r="J18" s="177"/>
      <c r="K18" s="175" t="s">
        <v>62</v>
      </c>
      <c r="L18" s="180"/>
      <c r="M18" s="181" t="s">
        <v>88</v>
      </c>
      <c r="N18" s="175" t="s">
        <v>40</v>
      </c>
      <c r="O18" s="175" t="s">
        <v>42</v>
      </c>
      <c r="P18" s="175"/>
      <c r="Q18" s="175" t="s">
        <v>44</v>
      </c>
      <c r="R18" s="175"/>
      <c r="S18" s="180"/>
      <c r="T18" s="177"/>
      <c r="U18" s="175"/>
      <c r="V18" s="175">
        <v>5.0</v>
      </c>
    </row>
    <row r="19">
      <c r="A19" s="175">
        <v>18.0</v>
      </c>
      <c r="B19" s="176">
        <v>46174.0</v>
      </c>
      <c r="C19" s="175" t="s">
        <v>58</v>
      </c>
      <c r="D19" s="175" t="s">
        <v>60</v>
      </c>
      <c r="E19" s="177" t="s">
        <v>3665</v>
      </c>
      <c r="F19" s="178">
        <v>5.43506393E8</v>
      </c>
      <c r="G19" s="175" t="s">
        <v>27</v>
      </c>
      <c r="H19" s="175" t="s">
        <v>27</v>
      </c>
      <c r="I19" s="179" t="s">
        <v>3667</v>
      </c>
      <c r="J19" s="177"/>
      <c r="K19" s="175" t="s">
        <v>62</v>
      </c>
      <c r="L19" s="180"/>
      <c r="M19" s="181" t="s">
        <v>88</v>
      </c>
      <c r="N19" s="175" t="s">
        <v>40</v>
      </c>
      <c r="O19" s="175" t="s">
        <v>42</v>
      </c>
      <c r="P19" s="175"/>
      <c r="Q19" s="175" t="s">
        <v>44</v>
      </c>
      <c r="R19" s="175"/>
      <c r="S19" s="180"/>
      <c r="T19" s="177"/>
      <c r="U19" s="175"/>
      <c r="V19" s="175">
        <v>5.0</v>
      </c>
    </row>
    <row r="20">
      <c r="A20" s="175">
        <v>19.0</v>
      </c>
      <c r="B20" s="176">
        <v>46174.0</v>
      </c>
      <c r="C20" s="175" t="s">
        <v>58</v>
      </c>
      <c r="D20" s="175" t="s">
        <v>60</v>
      </c>
      <c r="E20" s="175" t="s">
        <v>27</v>
      </c>
      <c r="F20" s="178">
        <v>5.3024035E8</v>
      </c>
      <c r="G20" s="175" t="s">
        <v>27</v>
      </c>
      <c r="H20" s="175" t="s">
        <v>27</v>
      </c>
      <c r="I20" s="179" t="s">
        <v>3673</v>
      </c>
      <c r="J20" s="177"/>
      <c r="K20" s="175" t="s">
        <v>62</v>
      </c>
      <c r="L20" s="180"/>
      <c r="M20" s="181" t="s">
        <v>88</v>
      </c>
      <c r="N20" s="175" t="s">
        <v>40</v>
      </c>
      <c r="O20" s="175" t="s">
        <v>42</v>
      </c>
      <c r="P20" s="175"/>
      <c r="Q20" s="175" t="s">
        <v>44</v>
      </c>
      <c r="R20" s="175"/>
      <c r="S20" s="180"/>
      <c r="T20" s="177"/>
      <c r="U20" s="175"/>
      <c r="V20" s="175">
        <v>5.0</v>
      </c>
    </row>
    <row r="21">
      <c r="A21" s="175">
        <v>20.0</v>
      </c>
      <c r="B21" s="176">
        <v>46174.0</v>
      </c>
      <c r="C21" s="175" t="s">
        <v>58</v>
      </c>
      <c r="D21" s="175" t="s">
        <v>60</v>
      </c>
      <c r="E21" s="175" t="s">
        <v>27</v>
      </c>
      <c r="F21" s="178">
        <v>5.30990365E8</v>
      </c>
      <c r="G21" s="175" t="s">
        <v>27</v>
      </c>
      <c r="H21" s="175" t="s">
        <v>27</v>
      </c>
      <c r="I21" s="179" t="s">
        <v>554</v>
      </c>
      <c r="J21" s="177"/>
      <c r="K21" s="175" t="s">
        <v>36</v>
      </c>
      <c r="L21" s="180"/>
      <c r="M21" s="181" t="s">
        <v>88</v>
      </c>
      <c r="N21" s="175" t="s">
        <v>40</v>
      </c>
      <c r="O21" s="175" t="s">
        <v>42</v>
      </c>
      <c r="P21" s="175"/>
      <c r="Q21" s="175" t="s">
        <v>49</v>
      </c>
      <c r="R21" s="175"/>
      <c r="S21" s="180"/>
      <c r="T21" s="177"/>
      <c r="U21" s="175"/>
      <c r="V21" s="175">
        <v>5.0</v>
      </c>
    </row>
    <row r="22" ht="18.75" customHeight="1">
      <c r="A22" s="175">
        <v>21.0</v>
      </c>
      <c r="B22" s="176">
        <v>46174.0</v>
      </c>
      <c r="C22" s="175" t="s">
        <v>58</v>
      </c>
      <c r="D22" s="175" t="s">
        <v>60</v>
      </c>
      <c r="E22" s="175" t="s">
        <v>27</v>
      </c>
      <c r="F22" s="178">
        <v>5.09439071E8</v>
      </c>
      <c r="G22" s="175" t="s">
        <v>27</v>
      </c>
      <c r="H22" s="175" t="s">
        <v>27</v>
      </c>
      <c r="I22" s="179" t="s">
        <v>3687</v>
      </c>
      <c r="J22" s="177"/>
      <c r="K22" s="175" t="s">
        <v>36</v>
      </c>
      <c r="L22" s="180"/>
      <c r="M22" s="181" t="s">
        <v>88</v>
      </c>
      <c r="N22" s="175" t="s">
        <v>40</v>
      </c>
      <c r="O22" s="175" t="s">
        <v>42</v>
      </c>
      <c r="P22" s="175"/>
      <c r="Q22" s="175" t="s">
        <v>49</v>
      </c>
      <c r="R22" s="175"/>
      <c r="S22" s="180"/>
      <c r="T22" s="177"/>
      <c r="U22" s="175"/>
      <c r="V22" s="175">
        <v>5.0</v>
      </c>
    </row>
    <row r="23">
      <c r="A23" s="175">
        <v>22.0</v>
      </c>
      <c r="B23" s="176">
        <v>46174.0</v>
      </c>
      <c r="C23" s="175" t="s">
        <v>47</v>
      </c>
      <c r="D23" s="175" t="s">
        <v>138</v>
      </c>
      <c r="E23" s="177" t="s">
        <v>3693</v>
      </c>
      <c r="F23" s="178">
        <v>5.35228495E8</v>
      </c>
      <c r="G23" s="177" t="s">
        <v>41</v>
      </c>
      <c r="H23" s="175" t="s">
        <v>3695</v>
      </c>
      <c r="I23" s="179" t="s">
        <v>3696</v>
      </c>
      <c r="J23" s="177" t="s">
        <v>3697</v>
      </c>
      <c r="K23" s="175" t="s">
        <v>457</v>
      </c>
      <c r="L23" s="180">
        <v>0.4930555555555556</v>
      </c>
      <c r="M23" s="184" t="s">
        <v>183</v>
      </c>
      <c r="N23" s="175" t="s">
        <v>56</v>
      </c>
      <c r="O23" s="175" t="s">
        <v>518</v>
      </c>
      <c r="P23" s="177" t="s">
        <v>3566</v>
      </c>
      <c r="Q23" s="175" t="s">
        <v>49</v>
      </c>
      <c r="R23" s="175" t="s">
        <v>46</v>
      </c>
      <c r="S23" s="180"/>
      <c r="T23" s="177"/>
      <c r="U23" s="175"/>
      <c r="V23" s="175">
        <v>5.0</v>
      </c>
    </row>
    <row r="24">
      <c r="A24" s="175">
        <v>23.0</v>
      </c>
      <c r="B24" s="176">
        <v>46174.0</v>
      </c>
      <c r="C24" s="175" t="s">
        <v>58</v>
      </c>
      <c r="D24" s="175" t="s">
        <v>60</v>
      </c>
      <c r="E24" s="177" t="s">
        <v>3704</v>
      </c>
      <c r="F24" s="178">
        <v>5.54495889E8</v>
      </c>
      <c r="G24" s="177"/>
      <c r="H24" s="175" t="s">
        <v>27</v>
      </c>
      <c r="I24" s="179" t="s">
        <v>3707</v>
      </c>
      <c r="J24" s="177"/>
      <c r="K24" s="175" t="s">
        <v>36</v>
      </c>
      <c r="L24" s="180"/>
      <c r="M24" s="181" t="s">
        <v>88</v>
      </c>
      <c r="N24" s="175" t="s">
        <v>40</v>
      </c>
      <c r="O24" s="175" t="s">
        <v>42</v>
      </c>
      <c r="P24" s="175"/>
      <c r="Q24" s="175" t="s">
        <v>49</v>
      </c>
      <c r="R24" s="175"/>
      <c r="S24" s="180"/>
      <c r="T24" s="177"/>
      <c r="U24" s="175"/>
      <c r="V24" s="175">
        <v>5.0</v>
      </c>
    </row>
    <row r="25" ht="23.25" customHeight="1">
      <c r="A25" s="175">
        <v>24.0</v>
      </c>
      <c r="B25" s="176">
        <v>46174.0</v>
      </c>
      <c r="C25" s="175" t="s">
        <v>58</v>
      </c>
      <c r="D25" s="175" t="s">
        <v>60</v>
      </c>
      <c r="E25" s="177" t="s">
        <v>3713</v>
      </c>
      <c r="F25" s="178">
        <v>5.41208174E8</v>
      </c>
      <c r="G25" s="177"/>
      <c r="H25" s="175" t="s">
        <v>3715</v>
      </c>
      <c r="I25" s="179" t="s">
        <v>2389</v>
      </c>
      <c r="J25" s="177"/>
      <c r="K25" s="175" t="s">
        <v>36</v>
      </c>
      <c r="L25" s="180"/>
      <c r="M25" s="181" t="s">
        <v>88</v>
      </c>
      <c r="N25" s="175" t="s">
        <v>40</v>
      </c>
      <c r="O25" s="175" t="s">
        <v>42</v>
      </c>
      <c r="P25" s="175"/>
      <c r="Q25" s="175" t="s">
        <v>49</v>
      </c>
      <c r="R25" s="175"/>
      <c r="S25" s="180"/>
      <c r="T25" s="177"/>
      <c r="U25" s="175"/>
      <c r="V25" s="175">
        <v>5.0</v>
      </c>
    </row>
    <row r="26" ht="33.0" customHeight="1">
      <c r="A26" s="175">
        <v>25.0</v>
      </c>
      <c r="B26" s="176">
        <v>46174.0</v>
      </c>
      <c r="C26" s="175" t="s">
        <v>21</v>
      </c>
      <c r="D26" s="175" t="s">
        <v>57</v>
      </c>
      <c r="E26" s="177" t="s">
        <v>3722</v>
      </c>
      <c r="F26" s="178">
        <v>5.92086663E8</v>
      </c>
      <c r="G26" s="177" t="s">
        <v>1332</v>
      </c>
      <c r="H26" s="175" t="s">
        <v>3715</v>
      </c>
      <c r="I26" s="179" t="s">
        <v>3723</v>
      </c>
      <c r="J26" s="177" t="s">
        <v>3724</v>
      </c>
      <c r="K26" s="175" t="s">
        <v>36</v>
      </c>
      <c r="L26" s="180"/>
      <c r="M26" s="177" t="s">
        <v>38</v>
      </c>
      <c r="N26" s="175" t="s">
        <v>40</v>
      </c>
      <c r="O26" s="175" t="s">
        <v>42</v>
      </c>
      <c r="P26" s="175"/>
      <c r="Q26" s="175" t="s">
        <v>49</v>
      </c>
      <c r="R26" s="175"/>
      <c r="S26" s="180"/>
      <c r="T26" s="177"/>
      <c r="U26" s="175"/>
      <c r="V26" s="175">
        <v>5.0</v>
      </c>
    </row>
    <row r="27" ht="54.75" customHeight="1">
      <c r="A27" s="175">
        <v>26.0</v>
      </c>
      <c r="B27" s="176">
        <v>46174.0</v>
      </c>
      <c r="C27" s="175" t="s">
        <v>58</v>
      </c>
      <c r="D27" s="175" t="s">
        <v>57</v>
      </c>
      <c r="E27" s="177" t="s">
        <v>276</v>
      </c>
      <c r="F27" s="178">
        <v>5.50481216E8</v>
      </c>
      <c r="G27" s="177" t="s">
        <v>1332</v>
      </c>
      <c r="H27" s="175" t="s">
        <v>3715</v>
      </c>
      <c r="I27" s="179" t="s">
        <v>3729</v>
      </c>
      <c r="J27" s="177"/>
      <c r="K27" s="175" t="s">
        <v>36</v>
      </c>
      <c r="L27" s="180"/>
      <c r="M27" s="177" t="s">
        <v>88</v>
      </c>
      <c r="N27" s="175" t="s">
        <v>40</v>
      </c>
      <c r="O27" s="175" t="s">
        <v>42</v>
      </c>
      <c r="P27" s="175"/>
      <c r="Q27" s="175" t="s">
        <v>49</v>
      </c>
      <c r="R27" s="175"/>
      <c r="S27" s="180"/>
      <c r="T27" s="177"/>
      <c r="U27" s="175"/>
      <c r="V27" s="175">
        <v>5.0</v>
      </c>
    </row>
    <row r="28" ht="51.0" customHeight="1">
      <c r="A28" s="175">
        <v>27.0</v>
      </c>
      <c r="B28" s="176">
        <v>46174.0</v>
      </c>
      <c r="C28" s="175" t="s">
        <v>58</v>
      </c>
      <c r="D28" s="175" t="s">
        <v>57</v>
      </c>
      <c r="E28" s="177" t="s">
        <v>3734</v>
      </c>
      <c r="F28" s="178">
        <v>5.30774853E8</v>
      </c>
      <c r="G28" s="177" t="s">
        <v>1332</v>
      </c>
      <c r="H28" s="175" t="s">
        <v>27</v>
      </c>
      <c r="I28" s="179" t="s">
        <v>2389</v>
      </c>
      <c r="J28" s="177"/>
      <c r="K28" s="175" t="s">
        <v>36</v>
      </c>
      <c r="L28" s="180"/>
      <c r="M28" s="177" t="s">
        <v>88</v>
      </c>
      <c r="N28" s="175" t="s">
        <v>40</v>
      </c>
      <c r="O28" s="175" t="s">
        <v>42</v>
      </c>
      <c r="P28" s="175"/>
      <c r="Q28" s="175" t="s">
        <v>49</v>
      </c>
      <c r="R28" s="175"/>
      <c r="S28" s="180"/>
      <c r="T28" s="177"/>
      <c r="U28" s="175"/>
      <c r="V28" s="175">
        <v>5.0</v>
      </c>
    </row>
    <row r="29" ht="28.5" customHeight="1">
      <c r="A29" s="175">
        <v>28.0</v>
      </c>
      <c r="B29" s="176">
        <v>46174.0</v>
      </c>
      <c r="C29" s="175" t="s">
        <v>21</v>
      </c>
      <c r="D29" s="175" t="s">
        <v>24</v>
      </c>
      <c r="E29" s="177" t="s">
        <v>463</v>
      </c>
      <c r="F29" s="178">
        <v>5.555142E8</v>
      </c>
      <c r="G29" s="177" t="s">
        <v>1332</v>
      </c>
      <c r="H29" s="175" t="s">
        <v>27</v>
      </c>
      <c r="I29" s="179" t="s">
        <v>3737</v>
      </c>
      <c r="J29" s="177"/>
      <c r="K29" s="175" t="s">
        <v>36</v>
      </c>
      <c r="L29" s="180"/>
      <c r="M29" s="177" t="s">
        <v>38</v>
      </c>
      <c r="N29" s="175" t="s">
        <v>56</v>
      </c>
      <c r="O29" s="175" t="s">
        <v>42</v>
      </c>
      <c r="P29" s="175"/>
      <c r="Q29" s="175" t="s">
        <v>863</v>
      </c>
      <c r="R29" s="175" t="s">
        <v>46</v>
      </c>
      <c r="S29" s="180"/>
      <c r="T29" s="177"/>
      <c r="U29" s="175"/>
      <c r="V29" s="175">
        <v>5.0</v>
      </c>
    </row>
    <row r="30" ht="40.5" customHeight="1">
      <c r="A30" s="175">
        <v>29.0</v>
      </c>
      <c r="B30" s="176">
        <v>46174.0</v>
      </c>
      <c r="C30" s="175" t="s">
        <v>58</v>
      </c>
      <c r="D30" s="175" t="s">
        <v>60</v>
      </c>
      <c r="E30" s="177" t="s">
        <v>3741</v>
      </c>
      <c r="F30" s="178">
        <v>5.59221283E8</v>
      </c>
      <c r="G30" s="177" t="s">
        <v>1332</v>
      </c>
      <c r="H30" s="175" t="s">
        <v>27</v>
      </c>
      <c r="I30" s="179" t="s">
        <v>2389</v>
      </c>
      <c r="J30" s="177"/>
      <c r="K30" s="175" t="s">
        <v>36</v>
      </c>
      <c r="L30" s="180"/>
      <c r="M30" s="181" t="s">
        <v>88</v>
      </c>
      <c r="N30" s="175" t="s">
        <v>40</v>
      </c>
      <c r="O30" s="175" t="s">
        <v>42</v>
      </c>
      <c r="P30" s="175"/>
      <c r="Q30" s="175" t="s">
        <v>49</v>
      </c>
      <c r="R30" s="175"/>
      <c r="S30" s="180"/>
      <c r="T30" s="177"/>
      <c r="U30" s="175"/>
      <c r="V30" s="175">
        <v>5.0</v>
      </c>
    </row>
    <row r="31">
      <c r="A31" s="175">
        <v>30.0</v>
      </c>
      <c r="B31" s="176">
        <v>46174.0</v>
      </c>
      <c r="C31" s="175" t="s">
        <v>21</v>
      </c>
      <c r="D31" s="175" t="s">
        <v>22</v>
      </c>
      <c r="E31" s="177" t="s">
        <v>3748</v>
      </c>
      <c r="F31" s="178">
        <v>5.32772299E8</v>
      </c>
      <c r="G31" s="177" t="s">
        <v>237</v>
      </c>
      <c r="H31" s="175" t="s">
        <v>27</v>
      </c>
      <c r="I31" s="179" t="s">
        <v>3749</v>
      </c>
      <c r="J31" s="177"/>
      <c r="K31" s="175" t="s">
        <v>457</v>
      </c>
      <c r="L31" s="180"/>
      <c r="M31" s="177" t="s">
        <v>38</v>
      </c>
      <c r="N31" s="175" t="s">
        <v>40</v>
      </c>
      <c r="O31" s="175" t="s">
        <v>42</v>
      </c>
      <c r="P31" s="175"/>
      <c r="Q31" s="175" t="s">
        <v>863</v>
      </c>
      <c r="R31" s="175" t="s">
        <v>46</v>
      </c>
      <c r="S31" s="180"/>
      <c r="T31" s="177"/>
      <c r="U31" s="175"/>
      <c r="V31" s="175">
        <v>5.0</v>
      </c>
    </row>
    <row r="32">
      <c r="A32" s="26">
        <v>31.0</v>
      </c>
      <c r="B32" s="188">
        <v>46174.0</v>
      </c>
      <c r="C32" s="26" t="s">
        <v>47</v>
      </c>
      <c r="D32" s="26" t="s">
        <v>48</v>
      </c>
      <c r="E32" s="27" t="s">
        <v>3758</v>
      </c>
      <c r="F32" s="21">
        <v>5.38761223E8</v>
      </c>
      <c r="G32" s="27" t="s">
        <v>362</v>
      </c>
      <c r="H32" s="26" t="s">
        <v>1029</v>
      </c>
      <c r="I32" s="179" t="s">
        <v>3760</v>
      </c>
      <c r="J32" s="27" t="s">
        <v>3762</v>
      </c>
      <c r="K32" s="26" t="s">
        <v>36</v>
      </c>
      <c r="L32" s="35">
        <v>0.5798611111111112</v>
      </c>
      <c r="M32" s="192" t="s">
        <v>3764</v>
      </c>
      <c r="N32" s="26" t="s">
        <v>56</v>
      </c>
      <c r="O32" s="26" t="s">
        <v>518</v>
      </c>
      <c r="P32" s="27" t="s">
        <v>3765</v>
      </c>
      <c r="Q32" s="26" t="s">
        <v>44</v>
      </c>
      <c r="R32" s="26" t="s">
        <v>46</v>
      </c>
      <c r="S32" s="35">
        <v>0.5798611111111112</v>
      </c>
      <c r="T32" s="27" t="s">
        <v>3566</v>
      </c>
      <c r="U32" s="26" t="s">
        <v>44</v>
      </c>
      <c r="V32" s="26">
        <v>5.0</v>
      </c>
    </row>
    <row r="33">
      <c r="A33" s="175">
        <v>32.0</v>
      </c>
      <c r="B33" s="176">
        <v>46174.0</v>
      </c>
      <c r="C33" s="175" t="s">
        <v>21</v>
      </c>
      <c r="D33" s="175" t="s">
        <v>24</v>
      </c>
      <c r="E33" s="177" t="s">
        <v>3772</v>
      </c>
      <c r="F33" s="178">
        <v>5.33531541E8</v>
      </c>
      <c r="G33" s="177" t="s">
        <v>3774</v>
      </c>
      <c r="H33" s="175" t="s">
        <v>27</v>
      </c>
      <c r="I33" s="179" t="s">
        <v>3775</v>
      </c>
      <c r="J33" s="177"/>
      <c r="K33" s="175" t="s">
        <v>36</v>
      </c>
      <c r="L33" s="180"/>
      <c r="M33" s="177" t="s">
        <v>38</v>
      </c>
      <c r="N33" s="175" t="s">
        <v>56</v>
      </c>
      <c r="O33" s="175" t="s">
        <v>42</v>
      </c>
      <c r="P33" s="175"/>
      <c r="Q33" s="175" t="s">
        <v>44</v>
      </c>
      <c r="R33" s="175" t="s">
        <v>46</v>
      </c>
      <c r="S33" s="180"/>
      <c r="T33" s="177"/>
      <c r="U33" s="175"/>
      <c r="V33" s="175">
        <v>5.0</v>
      </c>
    </row>
    <row r="34">
      <c r="A34" s="175">
        <v>33.0</v>
      </c>
      <c r="B34" s="176">
        <v>46174.0</v>
      </c>
      <c r="C34" s="175" t="s">
        <v>58</v>
      </c>
      <c r="D34" s="175" t="s">
        <v>60</v>
      </c>
      <c r="E34" s="175" t="s">
        <v>27</v>
      </c>
      <c r="F34" s="178">
        <v>5.51627441E8</v>
      </c>
      <c r="G34" s="175" t="s">
        <v>27</v>
      </c>
      <c r="H34" s="175" t="s">
        <v>27</v>
      </c>
      <c r="I34" s="179" t="s">
        <v>554</v>
      </c>
      <c r="J34" s="177"/>
      <c r="K34" s="175" t="s">
        <v>36</v>
      </c>
      <c r="L34" s="180"/>
      <c r="M34" s="181" t="s">
        <v>88</v>
      </c>
      <c r="N34" s="175" t="s">
        <v>40</v>
      </c>
      <c r="O34" s="175" t="s">
        <v>42</v>
      </c>
      <c r="P34" s="175"/>
      <c r="Q34" s="175" t="s">
        <v>44</v>
      </c>
      <c r="R34" s="175"/>
      <c r="S34" s="180"/>
      <c r="T34" s="177"/>
      <c r="U34" s="175"/>
      <c r="V34" s="175">
        <v>5.0</v>
      </c>
    </row>
    <row r="35">
      <c r="A35" s="175">
        <v>34.0</v>
      </c>
      <c r="B35" s="176">
        <v>46174.0</v>
      </c>
      <c r="C35" s="175" t="s">
        <v>21</v>
      </c>
      <c r="D35" s="175" t="s">
        <v>22</v>
      </c>
      <c r="E35" s="198" t="s">
        <v>3783</v>
      </c>
      <c r="F35" s="178">
        <v>5.5965989E8</v>
      </c>
      <c r="G35" s="177" t="s">
        <v>41</v>
      </c>
      <c r="H35" s="175" t="s">
        <v>27</v>
      </c>
      <c r="I35" s="179" t="s">
        <v>3784</v>
      </c>
      <c r="J35" s="177"/>
      <c r="K35" s="175" t="s">
        <v>36</v>
      </c>
      <c r="L35" s="180"/>
      <c r="M35" s="181" t="s">
        <v>1389</v>
      </c>
      <c r="N35" s="175" t="s">
        <v>40</v>
      </c>
      <c r="O35" s="175" t="s">
        <v>42</v>
      </c>
      <c r="P35" s="175"/>
      <c r="Q35" s="175" t="s">
        <v>44</v>
      </c>
      <c r="R35" s="175" t="s">
        <v>46</v>
      </c>
      <c r="S35" s="180"/>
      <c r="T35" s="177"/>
      <c r="U35" s="175"/>
      <c r="V35" s="175">
        <v>5.0</v>
      </c>
    </row>
    <row r="36">
      <c r="A36" s="175">
        <v>35.0</v>
      </c>
      <c r="B36" s="176">
        <v>46174.0</v>
      </c>
      <c r="C36" s="175" t="s">
        <v>47</v>
      </c>
      <c r="D36" s="175" t="s">
        <v>92</v>
      </c>
      <c r="E36" s="177" t="s">
        <v>873</v>
      </c>
      <c r="F36" s="178">
        <v>5.53324202E8</v>
      </c>
      <c r="G36" s="177" t="s">
        <v>71</v>
      </c>
      <c r="H36" s="175" t="s">
        <v>94</v>
      </c>
      <c r="I36" s="179" t="s">
        <v>3786</v>
      </c>
      <c r="J36" s="177"/>
      <c r="K36" s="175" t="s">
        <v>36</v>
      </c>
      <c r="L36" s="180">
        <v>0.4027777777777778</v>
      </c>
      <c r="M36" s="27" t="s">
        <v>101</v>
      </c>
      <c r="N36" s="175" t="s">
        <v>40</v>
      </c>
      <c r="O36" s="175" t="s">
        <v>518</v>
      </c>
      <c r="P36" s="177" t="s">
        <v>3765</v>
      </c>
      <c r="Q36" s="175" t="s">
        <v>44</v>
      </c>
      <c r="R36" s="175" t="s">
        <v>46</v>
      </c>
      <c r="S36" s="199">
        <v>0.4027777777777778</v>
      </c>
      <c r="T36" s="177" t="s">
        <v>3566</v>
      </c>
      <c r="U36" s="175" t="s">
        <v>44</v>
      </c>
      <c r="V36" s="175">
        <v>5.0</v>
      </c>
    </row>
    <row r="37">
      <c r="A37" s="175">
        <v>36.0</v>
      </c>
      <c r="B37" s="176">
        <v>46174.0</v>
      </c>
      <c r="C37" s="175" t="s">
        <v>21</v>
      </c>
      <c r="D37" s="175" t="s">
        <v>57</v>
      </c>
      <c r="E37" s="177" t="s">
        <v>3791</v>
      </c>
      <c r="F37" s="178">
        <v>5.5486556E8</v>
      </c>
      <c r="G37" s="175" t="s">
        <v>27</v>
      </c>
      <c r="H37" s="175" t="s">
        <v>27</v>
      </c>
      <c r="I37" s="179" t="s">
        <v>3792</v>
      </c>
      <c r="J37" s="177"/>
      <c r="K37" s="175" t="s">
        <v>62</v>
      </c>
      <c r="L37" s="180"/>
      <c r="M37" s="177" t="s">
        <v>38</v>
      </c>
      <c r="N37" s="175" t="s">
        <v>40</v>
      </c>
      <c r="O37" s="175" t="s">
        <v>42</v>
      </c>
      <c r="P37" s="177" t="s">
        <v>3566</v>
      </c>
      <c r="Q37" s="175" t="s">
        <v>44</v>
      </c>
      <c r="R37" s="175"/>
      <c r="S37" s="180"/>
      <c r="T37" s="177"/>
      <c r="U37" s="175"/>
      <c r="V37" s="175">
        <v>5.0</v>
      </c>
    </row>
    <row r="38">
      <c r="A38" s="175">
        <v>37.0</v>
      </c>
      <c r="B38" s="176">
        <v>46174.0</v>
      </c>
      <c r="C38" s="175" t="s">
        <v>47</v>
      </c>
      <c r="D38" s="175" t="s">
        <v>48</v>
      </c>
      <c r="E38" s="177" t="s">
        <v>3796</v>
      </c>
      <c r="F38" s="178">
        <v>5.09412152E8</v>
      </c>
      <c r="G38" s="177" t="s">
        <v>2715</v>
      </c>
      <c r="H38" s="200" t="s">
        <v>2716</v>
      </c>
      <c r="I38" s="179" t="s">
        <v>3798</v>
      </c>
      <c r="J38" s="27" t="s">
        <v>3800</v>
      </c>
      <c r="K38" s="175" t="s">
        <v>62</v>
      </c>
      <c r="L38" s="180">
        <v>0.6145833333333334</v>
      </c>
      <c r="M38" s="201" t="s">
        <v>3764</v>
      </c>
      <c r="N38" s="175" t="s">
        <v>56</v>
      </c>
      <c r="O38" s="175" t="s">
        <v>518</v>
      </c>
      <c r="P38" s="177" t="s">
        <v>3765</v>
      </c>
      <c r="Q38" s="175" t="s">
        <v>44</v>
      </c>
      <c r="R38" s="175" t="s">
        <v>46</v>
      </c>
      <c r="S38" s="180">
        <v>0.6145833333333334</v>
      </c>
      <c r="T38" s="177" t="s">
        <v>3566</v>
      </c>
      <c r="U38" s="175" t="s">
        <v>44</v>
      </c>
      <c r="V38" s="175">
        <v>5.0</v>
      </c>
    </row>
    <row r="39">
      <c r="A39" s="175">
        <v>38.0</v>
      </c>
      <c r="B39" s="176">
        <v>46174.0</v>
      </c>
      <c r="C39" s="175" t="s">
        <v>47</v>
      </c>
      <c r="D39" s="175" t="s">
        <v>367</v>
      </c>
      <c r="E39" s="177" t="s">
        <v>2586</v>
      </c>
      <c r="F39" s="178">
        <v>5.58776985E8</v>
      </c>
      <c r="G39" s="177" t="s">
        <v>79</v>
      </c>
      <c r="H39" s="200" t="s">
        <v>487</v>
      </c>
      <c r="I39" s="179" t="s">
        <v>3808</v>
      </c>
      <c r="J39" s="27" t="s">
        <v>3809</v>
      </c>
      <c r="K39" s="175" t="s">
        <v>36</v>
      </c>
      <c r="L39" s="180"/>
      <c r="M39" s="177" t="s">
        <v>98</v>
      </c>
      <c r="N39" s="175" t="s">
        <v>56</v>
      </c>
      <c r="O39" s="175" t="s">
        <v>3811</v>
      </c>
      <c r="P39" s="177" t="s">
        <v>3566</v>
      </c>
      <c r="Q39" s="175" t="s">
        <v>44</v>
      </c>
      <c r="R39" s="175" t="s">
        <v>46</v>
      </c>
      <c r="S39" s="180"/>
      <c r="T39" s="177"/>
      <c r="U39" s="175"/>
      <c r="V39" s="175">
        <v>5.0</v>
      </c>
    </row>
    <row r="40">
      <c r="A40" s="26">
        <v>39.0</v>
      </c>
      <c r="B40" s="188">
        <v>46174.0</v>
      </c>
      <c r="C40" s="26" t="s">
        <v>47</v>
      </c>
      <c r="D40" s="26" t="s">
        <v>48</v>
      </c>
      <c r="E40" s="27" t="s">
        <v>3817</v>
      </c>
      <c r="F40" s="21">
        <v>5.3680009E8</v>
      </c>
      <c r="G40" s="27" t="s">
        <v>79</v>
      </c>
      <c r="H40" s="26" t="s">
        <v>638</v>
      </c>
      <c r="I40" s="179" t="s">
        <v>3818</v>
      </c>
      <c r="J40" s="27" t="s">
        <v>3819</v>
      </c>
      <c r="K40" s="26" t="s">
        <v>36</v>
      </c>
      <c r="L40" s="35">
        <v>0.5277777777777778</v>
      </c>
      <c r="M40" s="27" t="s">
        <v>101</v>
      </c>
      <c r="N40" s="26" t="s">
        <v>56</v>
      </c>
      <c r="O40" s="26" t="s">
        <v>518</v>
      </c>
      <c r="P40" s="27" t="s">
        <v>3765</v>
      </c>
      <c r="Q40" s="26" t="s">
        <v>44</v>
      </c>
      <c r="R40" s="26" t="s">
        <v>46</v>
      </c>
      <c r="S40" s="35">
        <v>0.5277777777777778</v>
      </c>
      <c r="T40" s="27" t="s">
        <v>3566</v>
      </c>
      <c r="U40" s="26" t="s">
        <v>44</v>
      </c>
      <c r="V40" s="26">
        <v>5.0</v>
      </c>
    </row>
    <row r="41">
      <c r="A41" s="175">
        <v>40.0</v>
      </c>
      <c r="B41" s="176">
        <v>46174.0</v>
      </c>
      <c r="C41" s="175" t="s">
        <v>21</v>
      </c>
      <c r="D41" s="175" t="s">
        <v>24</v>
      </c>
      <c r="E41" s="175" t="s">
        <v>3829</v>
      </c>
      <c r="F41" s="178">
        <v>5.33026703E8</v>
      </c>
      <c r="G41" s="175" t="s">
        <v>27</v>
      </c>
      <c r="H41" s="175" t="s">
        <v>27</v>
      </c>
      <c r="I41" s="179" t="s">
        <v>3830</v>
      </c>
      <c r="J41" s="177"/>
      <c r="K41" s="175" t="s">
        <v>36</v>
      </c>
      <c r="L41" s="180"/>
      <c r="M41" s="177" t="s">
        <v>38</v>
      </c>
      <c r="N41" s="175" t="s">
        <v>56</v>
      </c>
      <c r="O41" s="175" t="s">
        <v>42</v>
      </c>
      <c r="P41" s="177" t="s">
        <v>3566</v>
      </c>
      <c r="Q41" s="175" t="s">
        <v>44</v>
      </c>
      <c r="R41" s="175" t="s">
        <v>46</v>
      </c>
      <c r="S41" s="180"/>
      <c r="T41" s="177"/>
      <c r="U41" s="175"/>
      <c r="V41" s="175">
        <v>5.0</v>
      </c>
    </row>
    <row r="42">
      <c r="A42" s="175">
        <v>41.0</v>
      </c>
      <c r="B42" s="176">
        <v>46174.0</v>
      </c>
      <c r="C42" s="175" t="s">
        <v>58</v>
      </c>
      <c r="D42" s="175" t="s">
        <v>60</v>
      </c>
      <c r="E42" s="175" t="s">
        <v>27</v>
      </c>
      <c r="F42" s="178">
        <v>5.07114221E8</v>
      </c>
      <c r="G42" s="175" t="s">
        <v>27</v>
      </c>
      <c r="H42" s="175" t="s">
        <v>27</v>
      </c>
      <c r="I42" s="179" t="s">
        <v>554</v>
      </c>
      <c r="J42" s="177"/>
      <c r="K42" s="175" t="s">
        <v>36</v>
      </c>
      <c r="L42" s="180"/>
      <c r="M42" s="181" t="s">
        <v>88</v>
      </c>
      <c r="N42" s="175" t="s">
        <v>40</v>
      </c>
      <c r="O42" s="175" t="s">
        <v>42</v>
      </c>
      <c r="P42" s="177" t="s">
        <v>3566</v>
      </c>
      <c r="Q42" s="175" t="s">
        <v>44</v>
      </c>
      <c r="R42" s="175"/>
      <c r="S42" s="180"/>
      <c r="T42" s="177"/>
      <c r="U42" s="175"/>
      <c r="V42" s="175">
        <v>5.0</v>
      </c>
    </row>
    <row r="43">
      <c r="A43" s="175">
        <v>42.0</v>
      </c>
      <c r="B43" s="176">
        <v>46174.0</v>
      </c>
      <c r="C43" s="175" t="s">
        <v>58</v>
      </c>
      <c r="D43" s="175" t="s">
        <v>60</v>
      </c>
      <c r="E43" s="175" t="s">
        <v>27</v>
      </c>
      <c r="F43" s="178">
        <v>5.57983181E8</v>
      </c>
      <c r="G43" s="177" t="s">
        <v>333</v>
      </c>
      <c r="H43" s="175" t="s">
        <v>27</v>
      </c>
      <c r="I43" s="179" t="s">
        <v>3844</v>
      </c>
      <c r="J43" s="177" t="s">
        <v>3845</v>
      </c>
      <c r="K43" s="175" t="s">
        <v>36</v>
      </c>
      <c r="L43" s="180"/>
      <c r="M43" s="181" t="s">
        <v>88</v>
      </c>
      <c r="N43" s="175" t="s">
        <v>40</v>
      </c>
      <c r="O43" s="175" t="s">
        <v>301</v>
      </c>
      <c r="P43" s="177" t="s">
        <v>3566</v>
      </c>
      <c r="Q43" s="175" t="s">
        <v>44</v>
      </c>
      <c r="R43" s="175"/>
      <c r="S43" s="180"/>
      <c r="T43" s="177"/>
      <c r="U43" s="175"/>
      <c r="V43" s="175">
        <v>5.0</v>
      </c>
    </row>
    <row r="44">
      <c r="A44" s="175">
        <v>43.0</v>
      </c>
      <c r="B44" s="176">
        <v>46174.0</v>
      </c>
      <c r="C44" s="175" t="s">
        <v>21</v>
      </c>
      <c r="D44" s="175" t="s">
        <v>60</v>
      </c>
      <c r="E44" s="177" t="s">
        <v>3848</v>
      </c>
      <c r="F44" s="178">
        <v>5.55584952E8</v>
      </c>
      <c r="G44" s="175" t="s">
        <v>27</v>
      </c>
      <c r="H44" s="175" t="s">
        <v>27</v>
      </c>
      <c r="I44" s="179" t="s">
        <v>3852</v>
      </c>
      <c r="J44" s="177" t="s">
        <v>3853</v>
      </c>
      <c r="K44" s="175" t="s">
        <v>36</v>
      </c>
      <c r="L44" s="180"/>
      <c r="M44" s="181" t="s">
        <v>88</v>
      </c>
      <c r="N44" s="175" t="s">
        <v>40</v>
      </c>
      <c r="O44" s="175" t="s">
        <v>42</v>
      </c>
      <c r="P44" s="177" t="s">
        <v>3566</v>
      </c>
      <c r="Q44" s="175" t="s">
        <v>44</v>
      </c>
      <c r="R44" s="175"/>
      <c r="S44" s="180"/>
      <c r="T44" s="177"/>
      <c r="U44" s="175"/>
      <c r="V44" s="175">
        <v>5.0</v>
      </c>
    </row>
    <row r="45">
      <c r="A45" s="175">
        <v>44.0</v>
      </c>
      <c r="B45" s="176">
        <v>46174.0</v>
      </c>
      <c r="C45" s="175" t="s">
        <v>58</v>
      </c>
      <c r="D45" s="175" t="s">
        <v>60</v>
      </c>
      <c r="E45" s="175" t="s">
        <v>27</v>
      </c>
      <c r="F45" s="178">
        <v>5.03233388E8</v>
      </c>
      <c r="G45" s="175" t="s">
        <v>27</v>
      </c>
      <c r="H45" s="175" t="s">
        <v>27</v>
      </c>
      <c r="I45" s="179" t="s">
        <v>124</v>
      </c>
      <c r="J45" s="177"/>
      <c r="K45" s="175" t="s">
        <v>36</v>
      </c>
      <c r="L45" s="180"/>
      <c r="M45" s="181" t="s">
        <v>88</v>
      </c>
      <c r="N45" s="175" t="s">
        <v>40</v>
      </c>
      <c r="O45" s="175" t="s">
        <v>42</v>
      </c>
      <c r="P45" s="177" t="s">
        <v>3566</v>
      </c>
      <c r="Q45" s="175" t="s">
        <v>44</v>
      </c>
      <c r="R45" s="175"/>
      <c r="S45" s="180"/>
      <c r="T45" s="177"/>
      <c r="U45" s="175"/>
      <c r="V45" s="175">
        <v>5.0</v>
      </c>
    </row>
    <row r="46">
      <c r="A46" s="26">
        <v>45.0</v>
      </c>
      <c r="B46" s="188">
        <v>46174.0</v>
      </c>
      <c r="C46" s="26" t="s">
        <v>47</v>
      </c>
      <c r="D46" s="26" t="s">
        <v>48</v>
      </c>
      <c r="E46" s="27" t="s">
        <v>3863</v>
      </c>
      <c r="F46" s="21">
        <v>5.52055194E8</v>
      </c>
      <c r="G46" s="177" t="s">
        <v>2715</v>
      </c>
      <c r="H46" s="204" t="s">
        <v>2716</v>
      </c>
      <c r="I46" s="179" t="s">
        <v>3865</v>
      </c>
      <c r="J46" s="27" t="s">
        <v>3866</v>
      </c>
      <c r="K46" s="26" t="s">
        <v>36</v>
      </c>
      <c r="L46" s="35">
        <v>0.6145833333333334</v>
      </c>
      <c r="M46" s="192" t="s">
        <v>3764</v>
      </c>
      <c r="N46" s="26" t="s">
        <v>56</v>
      </c>
      <c r="O46" s="26" t="s">
        <v>518</v>
      </c>
      <c r="P46" s="27" t="s">
        <v>3765</v>
      </c>
      <c r="Q46" s="26" t="s">
        <v>44</v>
      </c>
      <c r="R46" s="26" t="s">
        <v>46</v>
      </c>
      <c r="S46" s="35">
        <v>0.6145833333333334</v>
      </c>
      <c r="T46" s="27" t="s">
        <v>3566</v>
      </c>
      <c r="U46" s="26" t="s">
        <v>44</v>
      </c>
      <c r="V46" s="26">
        <v>5.0</v>
      </c>
    </row>
    <row r="47">
      <c r="A47" s="175">
        <v>46.0</v>
      </c>
      <c r="B47" s="176">
        <v>46174.0</v>
      </c>
      <c r="C47" s="175" t="s">
        <v>58</v>
      </c>
      <c r="D47" s="175" t="s">
        <v>60</v>
      </c>
      <c r="E47" s="177" t="s">
        <v>3871</v>
      </c>
      <c r="F47" s="178">
        <v>5.52354557E8</v>
      </c>
      <c r="G47" s="175" t="s">
        <v>27</v>
      </c>
      <c r="H47" s="175" t="s">
        <v>27</v>
      </c>
      <c r="I47" s="179" t="s">
        <v>3872</v>
      </c>
      <c r="J47" s="177"/>
      <c r="K47" s="175" t="s">
        <v>62</v>
      </c>
      <c r="L47" s="180"/>
      <c r="M47" s="181" t="s">
        <v>88</v>
      </c>
      <c r="N47" s="175" t="s">
        <v>40</v>
      </c>
      <c r="O47" s="175" t="s">
        <v>42</v>
      </c>
      <c r="P47" s="177" t="s">
        <v>3566</v>
      </c>
      <c r="Q47" s="175" t="s">
        <v>44</v>
      </c>
      <c r="R47" s="175"/>
      <c r="S47" s="180"/>
      <c r="T47" s="177"/>
      <c r="U47" s="175"/>
      <c r="V47" s="175">
        <v>5.0</v>
      </c>
    </row>
    <row r="48">
      <c r="A48" s="175">
        <v>47.0</v>
      </c>
      <c r="B48" s="176">
        <v>46174.0</v>
      </c>
      <c r="C48" s="175" t="s">
        <v>58</v>
      </c>
      <c r="D48" s="175" t="s">
        <v>60</v>
      </c>
      <c r="E48" s="177" t="s">
        <v>3876</v>
      </c>
      <c r="F48" s="178">
        <v>5.55700021E8</v>
      </c>
      <c r="G48" s="175" t="s">
        <v>27</v>
      </c>
      <c r="H48" s="175" t="s">
        <v>27</v>
      </c>
      <c r="I48" s="179" t="s">
        <v>3881</v>
      </c>
      <c r="J48" s="177"/>
      <c r="K48" s="175" t="s">
        <v>62</v>
      </c>
      <c r="L48" s="180"/>
      <c r="M48" s="181" t="s">
        <v>38</v>
      </c>
      <c r="N48" s="175" t="s">
        <v>40</v>
      </c>
      <c r="O48" s="175" t="s">
        <v>42</v>
      </c>
      <c r="P48" s="177" t="s">
        <v>3566</v>
      </c>
      <c r="Q48" s="175" t="s">
        <v>44</v>
      </c>
      <c r="R48" s="175"/>
      <c r="S48" s="180"/>
      <c r="T48" s="177"/>
      <c r="U48" s="175"/>
      <c r="V48" s="175">
        <v>5.0</v>
      </c>
    </row>
    <row r="49">
      <c r="A49" s="175">
        <v>48.0</v>
      </c>
      <c r="B49" s="176">
        <v>46174.0</v>
      </c>
      <c r="C49" s="175" t="s">
        <v>58</v>
      </c>
      <c r="D49" s="175" t="s">
        <v>60</v>
      </c>
      <c r="E49" s="175" t="s">
        <v>27</v>
      </c>
      <c r="F49" s="178">
        <v>5.3197775E8</v>
      </c>
      <c r="G49" s="175" t="s">
        <v>27</v>
      </c>
      <c r="H49" s="175" t="s">
        <v>27</v>
      </c>
      <c r="I49" s="179" t="s">
        <v>3887</v>
      </c>
      <c r="J49" s="177"/>
      <c r="K49" s="175" t="s">
        <v>62</v>
      </c>
      <c r="L49" s="180"/>
      <c r="M49" s="181" t="s">
        <v>88</v>
      </c>
      <c r="N49" s="175" t="s">
        <v>40</v>
      </c>
      <c r="O49" s="175" t="s">
        <v>42</v>
      </c>
      <c r="P49" s="177" t="s">
        <v>3566</v>
      </c>
      <c r="Q49" s="175" t="s">
        <v>44</v>
      </c>
      <c r="R49" s="175"/>
      <c r="S49" s="180"/>
      <c r="T49" s="177"/>
      <c r="U49" s="175"/>
      <c r="V49" s="175">
        <v>5.0</v>
      </c>
    </row>
    <row r="50">
      <c r="A50" s="175">
        <v>49.0</v>
      </c>
      <c r="B50" s="176">
        <v>46174.0</v>
      </c>
      <c r="C50" s="175" t="s">
        <v>58</v>
      </c>
      <c r="D50" s="175" t="s">
        <v>60</v>
      </c>
      <c r="E50" s="175" t="s">
        <v>27</v>
      </c>
      <c r="F50" s="178">
        <v>5.51348764E8</v>
      </c>
      <c r="G50" s="175" t="s">
        <v>27</v>
      </c>
      <c r="H50" s="175" t="s">
        <v>27</v>
      </c>
      <c r="I50" s="179" t="s">
        <v>3891</v>
      </c>
      <c r="J50" s="177"/>
      <c r="K50" s="175" t="s">
        <v>62</v>
      </c>
      <c r="L50" s="180"/>
      <c r="M50" s="181" t="s">
        <v>38</v>
      </c>
      <c r="N50" s="175" t="s">
        <v>40</v>
      </c>
      <c r="O50" s="175" t="s">
        <v>42</v>
      </c>
      <c r="P50" s="177" t="s">
        <v>3566</v>
      </c>
      <c r="Q50" s="175" t="s">
        <v>44</v>
      </c>
      <c r="R50" s="175"/>
      <c r="S50" s="180"/>
      <c r="T50" s="177"/>
      <c r="U50" s="175"/>
      <c r="V50" s="175">
        <v>5.0</v>
      </c>
    </row>
    <row r="51">
      <c r="A51" s="175">
        <v>50.0</v>
      </c>
      <c r="B51" s="176">
        <v>46174.0</v>
      </c>
      <c r="C51" s="175" t="s">
        <v>58</v>
      </c>
      <c r="D51" s="175" t="s">
        <v>60</v>
      </c>
      <c r="E51" s="175" t="s">
        <v>27</v>
      </c>
      <c r="F51" s="178">
        <v>5.56604297E8</v>
      </c>
      <c r="G51" s="175" t="s">
        <v>27</v>
      </c>
      <c r="H51" s="175" t="s">
        <v>27</v>
      </c>
      <c r="I51" s="179" t="s">
        <v>298</v>
      </c>
      <c r="J51" s="177"/>
      <c r="K51" s="175" t="s">
        <v>62</v>
      </c>
      <c r="L51" s="180"/>
      <c r="M51" s="181" t="s">
        <v>88</v>
      </c>
      <c r="N51" s="175" t="s">
        <v>40</v>
      </c>
      <c r="O51" s="175" t="s">
        <v>42</v>
      </c>
      <c r="P51" s="177" t="s">
        <v>3566</v>
      </c>
      <c r="Q51" s="175" t="s">
        <v>44</v>
      </c>
      <c r="R51" s="175"/>
      <c r="S51" s="180"/>
      <c r="T51" s="177"/>
      <c r="U51" s="175"/>
      <c r="V51" s="175">
        <v>5.0</v>
      </c>
    </row>
    <row r="52">
      <c r="A52" s="175">
        <v>51.0</v>
      </c>
      <c r="B52" s="176">
        <v>46174.0</v>
      </c>
      <c r="C52" s="175" t="s">
        <v>58</v>
      </c>
      <c r="D52" s="175" t="s">
        <v>60</v>
      </c>
      <c r="E52" s="175" t="s">
        <v>27</v>
      </c>
      <c r="F52" s="178">
        <v>5.00638328E8</v>
      </c>
      <c r="G52" s="175" t="s">
        <v>27</v>
      </c>
      <c r="H52" s="175" t="s">
        <v>27</v>
      </c>
      <c r="I52" s="27" t="s">
        <v>3901</v>
      </c>
      <c r="J52" s="177"/>
      <c r="K52" s="175" t="s">
        <v>62</v>
      </c>
      <c r="L52" s="180"/>
      <c r="M52" s="181" t="s">
        <v>88</v>
      </c>
      <c r="N52" s="175" t="s">
        <v>40</v>
      </c>
      <c r="O52" s="175" t="s">
        <v>42</v>
      </c>
      <c r="P52" s="177" t="s">
        <v>3566</v>
      </c>
      <c r="Q52" s="175" t="s">
        <v>44</v>
      </c>
      <c r="R52" s="175"/>
      <c r="S52" s="180"/>
      <c r="T52" s="177"/>
      <c r="U52" s="175"/>
      <c r="V52" s="175">
        <v>5.0</v>
      </c>
    </row>
    <row r="53">
      <c r="A53" s="175">
        <v>52.0</v>
      </c>
      <c r="B53" s="176">
        <v>46174.0</v>
      </c>
      <c r="C53" s="175" t="s">
        <v>58</v>
      </c>
      <c r="D53" s="175" t="s">
        <v>60</v>
      </c>
      <c r="E53" s="175" t="s">
        <v>27</v>
      </c>
      <c r="F53" s="178">
        <v>5.02158355E8</v>
      </c>
      <c r="G53" s="175" t="s">
        <v>27</v>
      </c>
      <c r="H53" s="175" t="s">
        <v>27</v>
      </c>
      <c r="I53" s="179" t="s">
        <v>3887</v>
      </c>
      <c r="J53" s="177"/>
      <c r="K53" s="175" t="s">
        <v>62</v>
      </c>
      <c r="L53" s="180"/>
      <c r="M53" s="181" t="s">
        <v>88</v>
      </c>
      <c r="N53" s="175" t="s">
        <v>40</v>
      </c>
      <c r="O53" s="175" t="s">
        <v>42</v>
      </c>
      <c r="P53" s="177" t="s">
        <v>3566</v>
      </c>
      <c r="Q53" s="175" t="s">
        <v>44</v>
      </c>
      <c r="R53" s="175"/>
      <c r="S53" s="180"/>
      <c r="T53" s="177"/>
      <c r="U53" s="175"/>
      <c r="V53" s="175">
        <v>5.0</v>
      </c>
    </row>
    <row r="54">
      <c r="A54" s="175">
        <v>53.0</v>
      </c>
      <c r="B54" s="176">
        <v>46174.0</v>
      </c>
      <c r="C54" s="175" t="s">
        <v>47</v>
      </c>
      <c r="D54" s="175" t="s">
        <v>48</v>
      </c>
      <c r="E54" s="177" t="s">
        <v>3909</v>
      </c>
      <c r="F54" s="178">
        <v>5.56809239E8</v>
      </c>
      <c r="G54" s="177" t="s">
        <v>2715</v>
      </c>
      <c r="H54" s="175" t="s">
        <v>2716</v>
      </c>
      <c r="I54" s="179" t="s">
        <v>3910</v>
      </c>
      <c r="J54" s="27" t="s">
        <v>3911</v>
      </c>
      <c r="K54" s="175" t="s">
        <v>148</v>
      </c>
      <c r="L54" s="180">
        <v>0.0</v>
      </c>
      <c r="M54" s="177" t="s">
        <v>101</v>
      </c>
      <c r="N54" s="175" t="s">
        <v>56</v>
      </c>
      <c r="O54" s="175" t="s">
        <v>518</v>
      </c>
      <c r="P54" s="177" t="s">
        <v>3765</v>
      </c>
      <c r="Q54" s="175" t="s">
        <v>44</v>
      </c>
      <c r="R54" s="175" t="s">
        <v>46</v>
      </c>
      <c r="S54" s="180">
        <v>0.6388888888888888</v>
      </c>
      <c r="T54" s="177" t="s">
        <v>3566</v>
      </c>
      <c r="U54" s="175" t="s">
        <v>44</v>
      </c>
      <c r="V54" s="175">
        <v>5.0</v>
      </c>
    </row>
    <row r="55">
      <c r="A55" s="175">
        <v>54.0</v>
      </c>
      <c r="B55" s="176">
        <v>46174.0</v>
      </c>
      <c r="C55" s="175" t="s">
        <v>47</v>
      </c>
      <c r="D55" s="175" t="s">
        <v>48</v>
      </c>
      <c r="E55" s="177" t="s">
        <v>3913</v>
      </c>
      <c r="F55" s="178">
        <v>5.37555538E8</v>
      </c>
      <c r="G55" s="177" t="s">
        <v>2715</v>
      </c>
      <c r="H55" s="175" t="s">
        <v>2716</v>
      </c>
      <c r="I55" s="179" t="s">
        <v>3916</v>
      </c>
      <c r="J55" s="27" t="s">
        <v>3918</v>
      </c>
      <c r="K55" s="175" t="s">
        <v>148</v>
      </c>
      <c r="L55" s="180">
        <v>0.8055555555555556</v>
      </c>
      <c r="M55" s="201" t="s">
        <v>3764</v>
      </c>
      <c r="N55" s="175" t="s">
        <v>56</v>
      </c>
      <c r="O55" s="175" t="s">
        <v>518</v>
      </c>
      <c r="P55" s="177" t="s">
        <v>3765</v>
      </c>
      <c r="Q55" s="175" t="s">
        <v>44</v>
      </c>
      <c r="R55" s="175" t="s">
        <v>46</v>
      </c>
      <c r="S55" s="180">
        <v>0.6444444444444445</v>
      </c>
      <c r="T55" s="177" t="s">
        <v>3566</v>
      </c>
      <c r="U55" s="175" t="s">
        <v>44</v>
      </c>
      <c r="V55" s="175">
        <v>5.0</v>
      </c>
    </row>
    <row r="56">
      <c r="A56" s="175">
        <v>55.0</v>
      </c>
      <c r="B56" s="176">
        <v>46174.0</v>
      </c>
      <c r="C56" s="175" t="s">
        <v>47</v>
      </c>
      <c r="D56" s="175" t="s">
        <v>48</v>
      </c>
      <c r="E56" s="177" t="s">
        <v>763</v>
      </c>
      <c r="F56" s="178">
        <v>5.06072531E8</v>
      </c>
      <c r="G56" s="177" t="s">
        <v>28</v>
      </c>
      <c r="H56" s="206" t="s">
        <v>3190</v>
      </c>
      <c r="I56" s="179" t="s">
        <v>3924</v>
      </c>
      <c r="J56" s="27" t="s">
        <v>3925</v>
      </c>
      <c r="K56" s="175" t="s">
        <v>148</v>
      </c>
      <c r="L56" s="180">
        <v>0.4486111111111111</v>
      </c>
      <c r="M56" s="201" t="s">
        <v>3926</v>
      </c>
      <c r="N56" s="175" t="s">
        <v>56</v>
      </c>
      <c r="O56" s="175" t="s">
        <v>301</v>
      </c>
      <c r="P56" s="177" t="s">
        <v>3566</v>
      </c>
      <c r="Q56" s="175" t="s">
        <v>44</v>
      </c>
      <c r="R56" s="175" t="s">
        <v>46</v>
      </c>
      <c r="S56" s="180">
        <v>0.6673611111111111</v>
      </c>
      <c r="T56" s="177" t="s">
        <v>3566</v>
      </c>
      <c r="U56" s="175" t="s">
        <v>44</v>
      </c>
      <c r="V56" s="175">
        <v>5.0</v>
      </c>
    </row>
    <row r="57">
      <c r="A57" s="175">
        <v>56.0</v>
      </c>
      <c r="B57" s="176">
        <v>46174.0</v>
      </c>
      <c r="C57" s="175" t="s">
        <v>47</v>
      </c>
      <c r="D57" s="175" t="s">
        <v>138</v>
      </c>
      <c r="E57" s="177" t="s">
        <v>3927</v>
      </c>
      <c r="F57" s="178">
        <v>5.32856861E8</v>
      </c>
      <c r="G57" s="177" t="s">
        <v>28</v>
      </c>
      <c r="H57" s="175" t="s">
        <v>548</v>
      </c>
      <c r="I57" s="179" t="s">
        <v>3929</v>
      </c>
      <c r="J57" s="177" t="s">
        <v>3931</v>
      </c>
      <c r="K57" s="175" t="s">
        <v>148</v>
      </c>
      <c r="L57" s="180">
        <v>0.4930555555555556</v>
      </c>
      <c r="M57" s="184" t="s">
        <v>183</v>
      </c>
      <c r="N57" s="175" t="s">
        <v>56</v>
      </c>
      <c r="O57" s="175" t="s">
        <v>518</v>
      </c>
      <c r="P57" s="177" t="s">
        <v>3566</v>
      </c>
      <c r="Q57" s="175" t="s">
        <v>44</v>
      </c>
      <c r="R57" s="175" t="s">
        <v>46</v>
      </c>
      <c r="S57" s="180"/>
      <c r="T57" s="177"/>
      <c r="U57" s="175"/>
      <c r="V57" s="175">
        <v>5.0</v>
      </c>
    </row>
    <row r="58">
      <c r="A58" s="175">
        <v>57.0</v>
      </c>
      <c r="B58" s="176">
        <v>46174.0</v>
      </c>
      <c r="C58" s="175" t="s">
        <v>47</v>
      </c>
      <c r="D58" s="175" t="s">
        <v>138</v>
      </c>
      <c r="E58" s="177" t="s">
        <v>3938</v>
      </c>
      <c r="F58" s="178">
        <v>5.02582939E8</v>
      </c>
      <c r="G58" s="177" t="s">
        <v>28</v>
      </c>
      <c r="H58" s="175" t="s">
        <v>3190</v>
      </c>
      <c r="I58" s="179" t="s">
        <v>3941</v>
      </c>
      <c r="J58" s="177" t="s">
        <v>3942</v>
      </c>
      <c r="K58" s="175" t="s">
        <v>148</v>
      </c>
      <c r="L58" s="180">
        <v>0.4930555555555556</v>
      </c>
      <c r="M58" s="177" t="s">
        <v>183</v>
      </c>
      <c r="N58" s="175" t="s">
        <v>56</v>
      </c>
      <c r="O58" s="175" t="s">
        <v>518</v>
      </c>
      <c r="P58" s="177" t="s">
        <v>3566</v>
      </c>
      <c r="Q58" s="175" t="s">
        <v>44</v>
      </c>
      <c r="R58" s="175" t="s">
        <v>46</v>
      </c>
      <c r="S58" s="180"/>
      <c r="T58" s="177"/>
      <c r="U58" s="175"/>
      <c r="V58" s="175">
        <v>5.0</v>
      </c>
    </row>
    <row r="59">
      <c r="A59" s="175">
        <v>58.0</v>
      </c>
      <c r="B59" s="176">
        <v>46174.0</v>
      </c>
      <c r="C59" s="175" t="s">
        <v>47</v>
      </c>
      <c r="D59" s="175" t="s">
        <v>48</v>
      </c>
      <c r="E59" s="177" t="s">
        <v>3949</v>
      </c>
      <c r="F59" s="178">
        <v>5.55116395E8</v>
      </c>
      <c r="G59" s="177" t="s">
        <v>333</v>
      </c>
      <c r="H59" s="175" t="s">
        <v>1114</v>
      </c>
      <c r="I59" s="179" t="s">
        <v>3951</v>
      </c>
      <c r="J59" s="27" t="s">
        <v>3952</v>
      </c>
      <c r="K59" s="175" t="s">
        <v>148</v>
      </c>
      <c r="L59" s="180">
        <v>0.13541666666666666</v>
      </c>
      <c r="M59" s="177" t="s">
        <v>101</v>
      </c>
      <c r="N59" s="175" t="s">
        <v>56</v>
      </c>
      <c r="O59" s="175" t="s">
        <v>518</v>
      </c>
      <c r="P59" s="177" t="s">
        <v>3765</v>
      </c>
      <c r="Q59" s="175" t="s">
        <v>44</v>
      </c>
      <c r="R59" s="175" t="s">
        <v>46</v>
      </c>
      <c r="S59" s="180">
        <v>0.6701388888888888</v>
      </c>
      <c r="T59" s="177" t="s">
        <v>3566</v>
      </c>
      <c r="U59" s="175" t="s">
        <v>44</v>
      </c>
      <c r="V59" s="175">
        <v>5.0</v>
      </c>
    </row>
    <row r="60">
      <c r="A60" s="175">
        <v>59.0</v>
      </c>
      <c r="B60" s="176">
        <v>46174.0</v>
      </c>
      <c r="C60" s="175" t="s">
        <v>47</v>
      </c>
      <c r="D60" s="175" t="s">
        <v>92</v>
      </c>
      <c r="E60" s="177" t="s">
        <v>1260</v>
      </c>
      <c r="F60" s="207">
        <v>5.00027458E8</v>
      </c>
      <c r="G60" s="208" t="s">
        <v>120</v>
      </c>
      <c r="H60" s="175" t="s">
        <v>3958</v>
      </c>
      <c r="I60" s="209" t="s">
        <v>3959</v>
      </c>
      <c r="J60" s="177"/>
      <c r="K60" s="175" t="s">
        <v>148</v>
      </c>
      <c r="L60" s="180">
        <v>0.4930555555555556</v>
      </c>
      <c r="M60" s="27" t="s">
        <v>183</v>
      </c>
      <c r="N60" s="175" t="s">
        <v>40</v>
      </c>
      <c r="O60" s="175" t="s">
        <v>518</v>
      </c>
      <c r="P60" s="177" t="s">
        <v>3765</v>
      </c>
      <c r="Q60" s="175" t="s">
        <v>44</v>
      </c>
      <c r="R60" s="175" t="s">
        <v>46</v>
      </c>
      <c r="S60" s="180"/>
      <c r="T60" s="177"/>
      <c r="U60" s="175"/>
      <c r="V60" s="175">
        <v>5.0</v>
      </c>
    </row>
    <row r="61">
      <c r="A61" s="175">
        <v>60.0</v>
      </c>
      <c r="B61" s="176">
        <v>46174.0</v>
      </c>
      <c r="C61" s="175" t="s">
        <v>47</v>
      </c>
      <c r="D61" s="175" t="s">
        <v>92</v>
      </c>
      <c r="E61" s="177" t="s">
        <v>1197</v>
      </c>
      <c r="F61" s="178">
        <v>5.34288851E8</v>
      </c>
      <c r="G61" s="210" t="s">
        <v>152</v>
      </c>
      <c r="H61" s="175" t="s">
        <v>3958</v>
      </c>
      <c r="I61" s="179" t="s">
        <v>3970</v>
      </c>
      <c r="J61" s="177"/>
      <c r="K61" s="175" t="s">
        <v>148</v>
      </c>
      <c r="L61" s="180">
        <v>0.6597222222222222</v>
      </c>
      <c r="M61" s="27" t="s">
        <v>183</v>
      </c>
      <c r="N61" s="175" t="s">
        <v>40</v>
      </c>
      <c r="O61" s="175" t="s">
        <v>518</v>
      </c>
      <c r="P61" s="177" t="s">
        <v>3765</v>
      </c>
      <c r="Q61" s="175" t="s">
        <v>44</v>
      </c>
      <c r="R61" s="175" t="s">
        <v>46</v>
      </c>
      <c r="S61" s="180"/>
      <c r="T61" s="177"/>
      <c r="U61" s="175"/>
      <c r="V61" s="175">
        <v>5.0</v>
      </c>
    </row>
    <row r="62">
      <c r="A62" s="175">
        <v>61.0</v>
      </c>
      <c r="B62" s="176">
        <v>46174.0</v>
      </c>
      <c r="C62" s="175" t="s">
        <v>47</v>
      </c>
      <c r="D62" s="175" t="s">
        <v>138</v>
      </c>
      <c r="E62" s="177" t="s">
        <v>1671</v>
      </c>
      <c r="F62" s="178">
        <v>5.39300486E8</v>
      </c>
      <c r="G62" s="200" t="s">
        <v>79</v>
      </c>
      <c r="H62" s="175" t="s">
        <v>142</v>
      </c>
      <c r="I62" s="179" t="s">
        <v>3975</v>
      </c>
      <c r="J62" s="177" t="s">
        <v>3976</v>
      </c>
      <c r="K62" s="175" t="s">
        <v>148</v>
      </c>
      <c r="L62" s="180">
        <v>0.4930555555555556</v>
      </c>
      <c r="M62" s="184" t="s">
        <v>183</v>
      </c>
      <c r="N62" s="175" t="s">
        <v>56</v>
      </c>
      <c r="O62" s="175" t="s">
        <v>518</v>
      </c>
      <c r="P62" s="177" t="s">
        <v>3566</v>
      </c>
      <c r="Q62" s="175" t="s">
        <v>44</v>
      </c>
      <c r="R62" s="175" t="s">
        <v>46</v>
      </c>
      <c r="S62" s="180"/>
      <c r="T62" s="177"/>
      <c r="U62" s="175"/>
      <c r="V62" s="175">
        <v>5.0</v>
      </c>
    </row>
    <row r="63">
      <c r="A63" s="175">
        <v>62.0</v>
      </c>
      <c r="B63" s="176">
        <v>46174.0</v>
      </c>
      <c r="C63" s="175" t="s">
        <v>47</v>
      </c>
      <c r="D63" s="175" t="s">
        <v>138</v>
      </c>
      <c r="E63" s="175" t="s">
        <v>3980</v>
      </c>
      <c r="F63" s="178">
        <v>5.08261839E8</v>
      </c>
      <c r="G63" s="200" t="s">
        <v>79</v>
      </c>
      <c r="H63" s="175" t="s">
        <v>178</v>
      </c>
      <c r="I63" s="209" t="s">
        <v>3981</v>
      </c>
      <c r="J63" s="177"/>
      <c r="K63" s="175" t="s">
        <v>148</v>
      </c>
      <c r="L63" s="180">
        <v>0.4930555555555556</v>
      </c>
      <c r="M63" s="177" t="s">
        <v>713</v>
      </c>
      <c r="N63" s="175" t="s">
        <v>40</v>
      </c>
      <c r="O63" s="175" t="s">
        <v>518</v>
      </c>
      <c r="P63" s="177" t="s">
        <v>3566</v>
      </c>
      <c r="Q63" s="175" t="s">
        <v>44</v>
      </c>
      <c r="R63" s="175" t="s">
        <v>46</v>
      </c>
      <c r="S63" s="180"/>
      <c r="T63" s="177"/>
      <c r="U63" s="175"/>
      <c r="V63" s="175">
        <v>5.0</v>
      </c>
    </row>
    <row r="64">
      <c r="A64" s="175">
        <v>63.0</v>
      </c>
      <c r="B64" s="176">
        <v>46174.0</v>
      </c>
      <c r="C64" s="175" t="s">
        <v>47</v>
      </c>
      <c r="D64" s="175" t="s">
        <v>138</v>
      </c>
      <c r="E64" s="177" t="s">
        <v>463</v>
      </c>
      <c r="F64" s="178">
        <v>5.37432786E8</v>
      </c>
      <c r="G64" s="177" t="s">
        <v>41</v>
      </c>
      <c r="H64" s="175" t="s">
        <v>956</v>
      </c>
      <c r="I64" s="209" t="s">
        <v>3986</v>
      </c>
      <c r="J64" s="177"/>
      <c r="K64" s="175" t="s">
        <v>148</v>
      </c>
      <c r="L64" s="180">
        <v>0.4930555555555556</v>
      </c>
      <c r="M64" s="177" t="s">
        <v>150</v>
      </c>
      <c r="N64" s="175" t="s">
        <v>40</v>
      </c>
      <c r="O64" s="175" t="s">
        <v>518</v>
      </c>
      <c r="P64" s="177" t="s">
        <v>3566</v>
      </c>
      <c r="Q64" s="175" t="s">
        <v>44</v>
      </c>
      <c r="R64" s="175" t="s">
        <v>46</v>
      </c>
      <c r="S64" s="180"/>
      <c r="T64" s="177"/>
      <c r="U64" s="175"/>
      <c r="V64" s="175">
        <v>5.0</v>
      </c>
    </row>
    <row r="65">
      <c r="A65" s="175">
        <v>64.0</v>
      </c>
      <c r="B65" s="176">
        <v>46174.0</v>
      </c>
      <c r="C65" s="175" t="s">
        <v>47</v>
      </c>
      <c r="D65" s="175" t="s">
        <v>138</v>
      </c>
      <c r="E65" s="177" t="s">
        <v>3991</v>
      </c>
      <c r="F65" s="178">
        <v>5.58833406E8</v>
      </c>
      <c r="G65" s="177" t="s">
        <v>41</v>
      </c>
      <c r="H65" s="175" t="s">
        <v>956</v>
      </c>
      <c r="I65" s="209" t="s">
        <v>3993</v>
      </c>
      <c r="J65" s="177"/>
      <c r="K65" s="175" t="s">
        <v>148</v>
      </c>
      <c r="L65" s="180">
        <v>0.4930555555555556</v>
      </c>
      <c r="M65" s="177" t="s">
        <v>150</v>
      </c>
      <c r="N65" s="175" t="s">
        <v>40</v>
      </c>
      <c r="O65" s="175" t="s">
        <v>518</v>
      </c>
      <c r="P65" s="177" t="s">
        <v>3566</v>
      </c>
      <c r="Q65" s="175" t="s">
        <v>44</v>
      </c>
      <c r="R65" s="175" t="s">
        <v>46</v>
      </c>
      <c r="S65" s="180"/>
      <c r="T65" s="177"/>
      <c r="U65" s="175"/>
      <c r="V65" s="175">
        <v>5.0</v>
      </c>
    </row>
    <row r="66">
      <c r="A66" s="175">
        <v>65.0</v>
      </c>
      <c r="B66" s="176">
        <v>46174.0</v>
      </c>
      <c r="C66" s="175" t="s">
        <v>47</v>
      </c>
      <c r="D66" s="175" t="s">
        <v>138</v>
      </c>
      <c r="E66" s="177" t="s">
        <v>3998</v>
      </c>
      <c r="F66" s="178">
        <v>5.0472913E8</v>
      </c>
      <c r="G66" s="177" t="s">
        <v>41</v>
      </c>
      <c r="H66" s="175" t="s">
        <v>222</v>
      </c>
      <c r="I66" s="209" t="s">
        <v>4001</v>
      </c>
      <c r="J66" s="177"/>
      <c r="K66" s="175" t="s">
        <v>148</v>
      </c>
      <c r="L66" s="180">
        <v>0.4930555555555556</v>
      </c>
      <c r="M66" s="184" t="s">
        <v>183</v>
      </c>
      <c r="N66" s="175" t="s">
        <v>40</v>
      </c>
      <c r="O66" s="175" t="s">
        <v>518</v>
      </c>
      <c r="P66" s="177" t="s">
        <v>3566</v>
      </c>
      <c r="Q66" s="175" t="s">
        <v>44</v>
      </c>
      <c r="R66" s="175" t="s">
        <v>46</v>
      </c>
      <c r="S66" s="180"/>
      <c r="T66" s="177"/>
      <c r="U66" s="175"/>
      <c r="V66" s="175">
        <v>5.0</v>
      </c>
    </row>
    <row r="67">
      <c r="A67" s="175">
        <v>66.0</v>
      </c>
      <c r="B67" s="176">
        <v>46174.0</v>
      </c>
      <c r="C67" s="175" t="s">
        <v>47</v>
      </c>
      <c r="D67" s="175" t="s">
        <v>138</v>
      </c>
      <c r="E67" s="175" t="s">
        <v>1958</v>
      </c>
      <c r="F67" s="178" t="s">
        <v>27</v>
      </c>
      <c r="G67" s="177" t="s">
        <v>71</v>
      </c>
      <c r="H67" s="175" t="s">
        <v>185</v>
      </c>
      <c r="I67" s="209" t="s">
        <v>4009</v>
      </c>
      <c r="J67" s="177"/>
      <c r="K67" s="175" t="s">
        <v>148</v>
      </c>
      <c r="L67" s="180">
        <v>0.4930555555555556</v>
      </c>
      <c r="M67" s="184" t="s">
        <v>183</v>
      </c>
      <c r="N67" s="175" t="s">
        <v>40</v>
      </c>
      <c r="O67" s="175" t="s">
        <v>518</v>
      </c>
      <c r="P67" s="177" t="s">
        <v>3566</v>
      </c>
      <c r="Q67" s="175" t="s">
        <v>44</v>
      </c>
      <c r="R67" s="175" t="s">
        <v>46</v>
      </c>
      <c r="S67" s="180"/>
      <c r="T67" s="177"/>
      <c r="U67" s="175"/>
      <c r="V67" s="175">
        <v>5.0</v>
      </c>
    </row>
    <row r="68">
      <c r="A68" s="175">
        <v>67.0</v>
      </c>
      <c r="B68" s="176">
        <v>46174.0</v>
      </c>
      <c r="C68" s="175" t="s">
        <v>47</v>
      </c>
      <c r="D68" s="175" t="s">
        <v>138</v>
      </c>
      <c r="E68" s="177" t="s">
        <v>4015</v>
      </c>
      <c r="F68" s="178">
        <v>5.07731254E8</v>
      </c>
      <c r="G68" s="177" t="s">
        <v>41</v>
      </c>
      <c r="H68" s="175" t="s">
        <v>513</v>
      </c>
      <c r="I68" s="209" t="s">
        <v>4018</v>
      </c>
      <c r="J68" s="177"/>
      <c r="K68" s="175" t="s">
        <v>148</v>
      </c>
      <c r="L68" s="180">
        <v>0.4930555555555556</v>
      </c>
      <c r="M68" s="177" t="s">
        <v>150</v>
      </c>
      <c r="N68" s="175" t="s">
        <v>40</v>
      </c>
      <c r="O68" s="175" t="s">
        <v>518</v>
      </c>
      <c r="P68" s="177" t="s">
        <v>3566</v>
      </c>
      <c r="Q68" s="175" t="s">
        <v>44</v>
      </c>
      <c r="R68" s="175" t="s">
        <v>46</v>
      </c>
      <c r="S68" s="180"/>
      <c r="T68" s="177"/>
      <c r="U68" s="175"/>
      <c r="V68" s="175">
        <v>5.0</v>
      </c>
    </row>
    <row r="69">
      <c r="A69" s="175">
        <v>68.0</v>
      </c>
      <c r="B69" s="176">
        <v>46174.0</v>
      </c>
      <c r="C69" s="175" t="s">
        <v>47</v>
      </c>
      <c r="D69" s="175" t="s">
        <v>138</v>
      </c>
      <c r="E69" s="175" t="s">
        <v>4023</v>
      </c>
      <c r="F69" s="178">
        <v>5.57582223E8</v>
      </c>
      <c r="G69" s="200" t="s">
        <v>79</v>
      </c>
      <c r="H69" s="175" t="s">
        <v>178</v>
      </c>
      <c r="I69" s="209" t="s">
        <v>4024</v>
      </c>
      <c r="J69" s="177"/>
      <c r="K69" s="175" t="s">
        <v>148</v>
      </c>
      <c r="L69" s="180">
        <v>0.4930555555555556</v>
      </c>
      <c r="M69" s="184" t="s">
        <v>183</v>
      </c>
      <c r="N69" s="175" t="s">
        <v>40</v>
      </c>
      <c r="O69" s="175" t="s">
        <v>518</v>
      </c>
      <c r="P69" s="177" t="s">
        <v>3566</v>
      </c>
      <c r="Q69" s="175" t="s">
        <v>44</v>
      </c>
      <c r="R69" s="175" t="s">
        <v>46</v>
      </c>
      <c r="S69" s="180"/>
      <c r="T69" s="177"/>
      <c r="U69" s="175"/>
      <c r="V69" s="175">
        <v>5.0</v>
      </c>
    </row>
    <row r="70">
      <c r="A70" s="175">
        <v>69.0</v>
      </c>
      <c r="B70" s="176">
        <v>46174.0</v>
      </c>
      <c r="C70" s="175" t="s">
        <v>47</v>
      </c>
      <c r="D70" s="175" t="s">
        <v>138</v>
      </c>
      <c r="E70" s="175" t="s">
        <v>4029</v>
      </c>
      <c r="F70" s="178">
        <v>5.52637773E8</v>
      </c>
      <c r="G70" s="200" t="s">
        <v>79</v>
      </c>
      <c r="H70" s="175" t="s">
        <v>142</v>
      </c>
      <c r="I70" s="209" t="s">
        <v>4030</v>
      </c>
      <c r="J70" s="177"/>
      <c r="K70" s="175" t="s">
        <v>148</v>
      </c>
      <c r="L70" s="180">
        <v>0.4930555555555556</v>
      </c>
      <c r="M70" s="184" t="s">
        <v>183</v>
      </c>
      <c r="N70" s="175" t="s">
        <v>40</v>
      </c>
      <c r="O70" s="175" t="s">
        <v>518</v>
      </c>
      <c r="P70" s="177" t="s">
        <v>3566</v>
      </c>
      <c r="Q70" s="175" t="s">
        <v>44</v>
      </c>
      <c r="R70" s="175" t="s">
        <v>46</v>
      </c>
      <c r="S70" s="180"/>
      <c r="T70" s="177"/>
      <c r="U70" s="175"/>
      <c r="V70" s="175">
        <v>5.0</v>
      </c>
    </row>
    <row r="71">
      <c r="A71" s="175">
        <v>70.0</v>
      </c>
      <c r="B71" s="176">
        <v>46174.0</v>
      </c>
      <c r="C71" s="175" t="s">
        <v>58</v>
      </c>
      <c r="D71" s="175" t="s">
        <v>60</v>
      </c>
      <c r="E71" s="175" t="s">
        <v>27</v>
      </c>
      <c r="F71" s="207">
        <v>5.51577243E8</v>
      </c>
      <c r="G71" s="177"/>
      <c r="H71" s="175" t="s">
        <v>27</v>
      </c>
      <c r="I71" s="179" t="s">
        <v>4036</v>
      </c>
      <c r="J71" s="177"/>
      <c r="K71" s="175" t="s">
        <v>36</v>
      </c>
      <c r="L71" s="180"/>
      <c r="M71" s="181" t="s">
        <v>88</v>
      </c>
      <c r="N71" s="175" t="s">
        <v>40</v>
      </c>
      <c r="O71" s="175" t="s">
        <v>42</v>
      </c>
      <c r="P71" s="177" t="s">
        <v>3566</v>
      </c>
      <c r="Q71" s="175" t="s">
        <v>49</v>
      </c>
      <c r="R71" s="175"/>
      <c r="S71" s="180"/>
      <c r="T71" s="177"/>
      <c r="U71" s="175"/>
      <c r="V71" s="175">
        <v>5.0</v>
      </c>
    </row>
    <row r="72">
      <c r="A72" s="175">
        <v>71.0</v>
      </c>
      <c r="B72" s="176">
        <v>46174.0</v>
      </c>
      <c r="C72" s="175" t="s">
        <v>58</v>
      </c>
      <c r="D72" s="175" t="s">
        <v>60</v>
      </c>
      <c r="E72" s="175" t="s">
        <v>27</v>
      </c>
      <c r="F72" s="207">
        <v>5.37822883E8</v>
      </c>
      <c r="G72" s="177"/>
      <c r="H72" s="175" t="s">
        <v>27</v>
      </c>
      <c r="I72" s="179" t="s">
        <v>4043</v>
      </c>
      <c r="J72" s="177"/>
      <c r="K72" s="175" t="s">
        <v>36</v>
      </c>
      <c r="L72" s="180"/>
      <c r="M72" s="181" t="s">
        <v>88</v>
      </c>
      <c r="N72" s="175" t="s">
        <v>40</v>
      </c>
      <c r="O72" s="175" t="s">
        <v>42</v>
      </c>
      <c r="P72" s="177" t="s">
        <v>3566</v>
      </c>
      <c r="Q72" s="175" t="s">
        <v>49</v>
      </c>
      <c r="R72" s="175"/>
      <c r="S72" s="180"/>
      <c r="T72" s="177"/>
      <c r="U72" s="175"/>
      <c r="V72" s="175">
        <v>5.0</v>
      </c>
    </row>
    <row r="73">
      <c r="A73" s="175">
        <v>72.0</v>
      </c>
      <c r="B73" s="176">
        <v>46174.0</v>
      </c>
      <c r="C73" s="175" t="s">
        <v>58</v>
      </c>
      <c r="D73" s="175" t="s">
        <v>60</v>
      </c>
      <c r="E73" s="175" t="s">
        <v>27</v>
      </c>
      <c r="F73" s="207">
        <v>5.05753113E8</v>
      </c>
      <c r="G73" s="177"/>
      <c r="H73" s="175" t="s">
        <v>27</v>
      </c>
      <c r="I73" s="179" t="s">
        <v>4047</v>
      </c>
      <c r="J73" s="177"/>
      <c r="K73" s="175" t="s">
        <v>36</v>
      </c>
      <c r="L73" s="180"/>
      <c r="M73" s="181" t="s">
        <v>88</v>
      </c>
      <c r="N73" s="175" t="s">
        <v>40</v>
      </c>
      <c r="O73" s="175" t="s">
        <v>42</v>
      </c>
      <c r="P73" s="177" t="s">
        <v>3566</v>
      </c>
      <c r="Q73" s="175" t="s">
        <v>49</v>
      </c>
      <c r="R73" s="175"/>
      <c r="S73" s="180"/>
      <c r="T73" s="177"/>
      <c r="U73" s="175"/>
      <c r="V73" s="175">
        <v>5.0</v>
      </c>
    </row>
    <row r="74">
      <c r="A74" s="175">
        <v>73.0</v>
      </c>
      <c r="B74" s="176">
        <v>46174.0</v>
      </c>
      <c r="C74" s="175" t="s">
        <v>58</v>
      </c>
      <c r="D74" s="175" t="s">
        <v>60</v>
      </c>
      <c r="E74" s="175" t="s">
        <v>27</v>
      </c>
      <c r="F74" s="207">
        <v>5.31112732E8</v>
      </c>
      <c r="G74" s="177"/>
      <c r="H74" s="175" t="s">
        <v>27</v>
      </c>
      <c r="I74" s="179" t="s">
        <v>2389</v>
      </c>
      <c r="J74" s="177"/>
      <c r="K74" s="175" t="s">
        <v>36</v>
      </c>
      <c r="L74" s="180"/>
      <c r="M74" s="181" t="s">
        <v>88</v>
      </c>
      <c r="N74" s="175" t="s">
        <v>40</v>
      </c>
      <c r="O74" s="175" t="s">
        <v>42</v>
      </c>
      <c r="P74" s="177" t="s">
        <v>3566</v>
      </c>
      <c r="Q74" s="175" t="s">
        <v>49</v>
      </c>
      <c r="R74" s="175"/>
      <c r="S74" s="180"/>
      <c r="T74" s="177"/>
      <c r="U74" s="175"/>
      <c r="V74" s="175">
        <v>5.0</v>
      </c>
    </row>
    <row r="75" ht="27.0" customHeight="1">
      <c r="A75" s="175">
        <v>74.0</v>
      </c>
      <c r="B75" s="176">
        <v>46174.0</v>
      </c>
      <c r="C75" s="175" t="s">
        <v>58</v>
      </c>
      <c r="D75" s="175" t="s">
        <v>60</v>
      </c>
      <c r="E75" s="175" t="s">
        <v>27</v>
      </c>
      <c r="F75" s="207">
        <v>5.30199464E8</v>
      </c>
      <c r="G75" s="175" t="s">
        <v>27</v>
      </c>
      <c r="H75" s="175" t="s">
        <v>27</v>
      </c>
      <c r="I75" s="179" t="s">
        <v>4057</v>
      </c>
      <c r="J75" s="177"/>
      <c r="K75" s="175" t="s">
        <v>36</v>
      </c>
      <c r="L75" s="180"/>
      <c r="M75" s="181" t="s">
        <v>88</v>
      </c>
      <c r="N75" s="175" t="s">
        <v>40</v>
      </c>
      <c r="O75" s="175" t="s">
        <v>42</v>
      </c>
      <c r="P75" s="177" t="s">
        <v>3566</v>
      </c>
      <c r="Q75" s="175" t="s">
        <v>49</v>
      </c>
      <c r="R75" s="175"/>
      <c r="S75" s="180"/>
      <c r="T75" s="177"/>
      <c r="U75" s="175"/>
      <c r="V75" s="175">
        <v>5.0</v>
      </c>
    </row>
    <row r="76" ht="41.25" customHeight="1">
      <c r="A76" s="26">
        <v>75.0</v>
      </c>
      <c r="B76" s="188">
        <v>46174.0</v>
      </c>
      <c r="C76" s="26" t="s">
        <v>47</v>
      </c>
      <c r="D76" s="26" t="s">
        <v>48</v>
      </c>
      <c r="E76" s="27" t="s">
        <v>4062</v>
      </c>
      <c r="F76" s="36">
        <v>5.05729852E8</v>
      </c>
      <c r="G76" s="27" t="s">
        <v>79</v>
      </c>
      <c r="H76" s="26" t="s">
        <v>431</v>
      </c>
      <c r="I76" s="27" t="s">
        <v>4063</v>
      </c>
      <c r="J76" s="27"/>
      <c r="K76" s="26" t="s">
        <v>36</v>
      </c>
      <c r="L76" s="35">
        <v>0.625</v>
      </c>
      <c r="M76" s="27" t="s">
        <v>101</v>
      </c>
      <c r="N76" s="26" t="s">
        <v>40</v>
      </c>
      <c r="O76" s="26" t="s">
        <v>518</v>
      </c>
      <c r="P76" s="27" t="s">
        <v>3765</v>
      </c>
      <c r="Q76" s="26" t="s">
        <v>863</v>
      </c>
      <c r="R76" s="26" t="s">
        <v>46</v>
      </c>
      <c r="S76" s="35">
        <v>0.625</v>
      </c>
      <c r="T76" s="27" t="s">
        <v>3566</v>
      </c>
      <c r="U76" s="26" t="s">
        <v>49</v>
      </c>
      <c r="V76" s="26">
        <v>5.0</v>
      </c>
    </row>
    <row r="77" ht="31.5" customHeight="1">
      <c r="A77" s="175">
        <v>76.0</v>
      </c>
      <c r="B77" s="176">
        <v>46174.0</v>
      </c>
      <c r="C77" s="175" t="s">
        <v>58</v>
      </c>
      <c r="D77" s="175" t="s">
        <v>60</v>
      </c>
      <c r="E77" s="175" t="s">
        <v>27</v>
      </c>
      <c r="F77" s="175">
        <v>5.58339971E8</v>
      </c>
      <c r="G77" s="175" t="s">
        <v>27</v>
      </c>
      <c r="H77" s="175" t="s">
        <v>27</v>
      </c>
      <c r="I77" s="179" t="s">
        <v>484</v>
      </c>
      <c r="J77" s="177"/>
      <c r="K77" s="175" t="s">
        <v>36</v>
      </c>
      <c r="L77" s="180"/>
      <c r="M77" s="181" t="s">
        <v>88</v>
      </c>
      <c r="N77" s="175" t="s">
        <v>40</v>
      </c>
      <c r="O77" s="175" t="s">
        <v>42</v>
      </c>
      <c r="P77" s="177" t="s">
        <v>3566</v>
      </c>
      <c r="Q77" s="175" t="s">
        <v>49</v>
      </c>
      <c r="R77" s="175"/>
      <c r="S77" s="180"/>
      <c r="T77" s="177"/>
      <c r="U77" s="175"/>
      <c r="V77" s="175">
        <v>5.0</v>
      </c>
    </row>
    <row r="78">
      <c r="A78" s="175">
        <v>77.0</v>
      </c>
      <c r="B78" s="176">
        <v>46174.0</v>
      </c>
      <c r="C78" s="175" t="s">
        <v>58</v>
      </c>
      <c r="D78" s="175" t="s">
        <v>60</v>
      </c>
      <c r="E78" s="175" t="s">
        <v>27</v>
      </c>
      <c r="F78" s="175">
        <v>5.94704237E8</v>
      </c>
      <c r="G78" s="175" t="s">
        <v>27</v>
      </c>
      <c r="H78" s="175" t="s">
        <v>27</v>
      </c>
      <c r="I78" s="179" t="s">
        <v>4043</v>
      </c>
      <c r="J78" s="177"/>
      <c r="K78" s="175" t="s">
        <v>65</v>
      </c>
      <c r="L78" s="180"/>
      <c r="M78" s="181" t="s">
        <v>88</v>
      </c>
      <c r="N78" s="175" t="s">
        <v>40</v>
      </c>
      <c r="O78" s="175" t="s">
        <v>42</v>
      </c>
      <c r="P78" s="177" t="s">
        <v>3566</v>
      </c>
      <c r="Q78" s="175" t="s">
        <v>49</v>
      </c>
      <c r="R78" s="175"/>
      <c r="S78" s="180"/>
      <c r="T78" s="177"/>
      <c r="U78" s="175"/>
      <c r="V78" s="175">
        <v>5.0</v>
      </c>
    </row>
    <row r="79">
      <c r="A79" s="175">
        <v>78.0</v>
      </c>
      <c r="B79" s="176">
        <v>46174.0</v>
      </c>
      <c r="C79" s="175" t="s">
        <v>58</v>
      </c>
      <c r="D79" s="175" t="s">
        <v>60</v>
      </c>
      <c r="E79" s="175" t="s">
        <v>27</v>
      </c>
      <c r="F79" s="175">
        <v>5.37381911E8</v>
      </c>
      <c r="G79" s="177"/>
      <c r="H79" s="175" t="s">
        <v>27</v>
      </c>
      <c r="I79" s="179" t="s">
        <v>90</v>
      </c>
      <c r="J79" s="177"/>
      <c r="K79" s="175" t="s">
        <v>65</v>
      </c>
      <c r="L79" s="180"/>
      <c r="M79" s="181" t="s">
        <v>88</v>
      </c>
      <c r="N79" s="175" t="s">
        <v>40</v>
      </c>
      <c r="O79" s="175" t="s">
        <v>42</v>
      </c>
      <c r="P79" s="177" t="s">
        <v>3566</v>
      </c>
      <c r="Q79" s="175" t="s">
        <v>49</v>
      </c>
      <c r="R79" s="175"/>
      <c r="S79" s="180"/>
      <c r="T79" s="177"/>
      <c r="U79" s="175"/>
      <c r="V79" s="175">
        <v>5.0</v>
      </c>
    </row>
    <row r="80">
      <c r="A80" s="175">
        <v>79.0</v>
      </c>
      <c r="B80" s="176">
        <v>46174.0</v>
      </c>
      <c r="C80" s="175" t="s">
        <v>58</v>
      </c>
      <c r="D80" s="175" t="s">
        <v>60</v>
      </c>
      <c r="E80" s="175" t="s">
        <v>27</v>
      </c>
      <c r="F80" s="175">
        <v>5.58480609E8</v>
      </c>
      <c r="G80" s="177"/>
      <c r="H80" s="175" t="s">
        <v>27</v>
      </c>
      <c r="I80" s="179" t="s">
        <v>4043</v>
      </c>
      <c r="J80" s="177"/>
      <c r="K80" s="175" t="s">
        <v>36</v>
      </c>
      <c r="L80" s="180"/>
      <c r="M80" s="181" t="s">
        <v>88</v>
      </c>
      <c r="N80" s="175" t="s">
        <v>40</v>
      </c>
      <c r="O80" s="175" t="s">
        <v>42</v>
      </c>
      <c r="P80" s="177" t="s">
        <v>3566</v>
      </c>
      <c r="Q80" s="175" t="s">
        <v>49</v>
      </c>
      <c r="R80" s="175"/>
      <c r="S80" s="180"/>
      <c r="T80" s="177"/>
      <c r="U80" s="175"/>
      <c r="V80" s="175">
        <v>5.0</v>
      </c>
    </row>
    <row r="81">
      <c r="A81" s="175">
        <v>80.0</v>
      </c>
      <c r="B81" s="176">
        <v>46174.0</v>
      </c>
      <c r="C81" s="175" t="s">
        <v>58</v>
      </c>
      <c r="D81" s="175" t="s">
        <v>60</v>
      </c>
      <c r="E81" s="175" t="s">
        <v>27</v>
      </c>
      <c r="F81" s="175">
        <v>5.36788936E8</v>
      </c>
      <c r="G81" s="177" t="s">
        <v>2715</v>
      </c>
      <c r="H81" s="175" t="s">
        <v>735</v>
      </c>
      <c r="I81" s="179" t="s">
        <v>4101</v>
      </c>
      <c r="J81" s="177"/>
      <c r="K81" s="175" t="s">
        <v>36</v>
      </c>
      <c r="L81" s="180"/>
      <c r="M81" s="181" t="s">
        <v>88</v>
      </c>
      <c r="N81" s="175" t="s">
        <v>40</v>
      </c>
      <c r="O81" s="175" t="s">
        <v>42</v>
      </c>
      <c r="P81" s="177" t="s">
        <v>3566</v>
      </c>
      <c r="Q81" s="175" t="s">
        <v>49</v>
      </c>
      <c r="R81" s="175"/>
      <c r="S81" s="180"/>
      <c r="T81" s="177"/>
      <c r="U81" s="175"/>
      <c r="V81" s="175">
        <v>5.0</v>
      </c>
    </row>
    <row r="82">
      <c r="A82" s="175">
        <v>81.0</v>
      </c>
      <c r="B82" s="176">
        <v>46174.0</v>
      </c>
      <c r="C82" s="175" t="s">
        <v>58</v>
      </c>
      <c r="D82" s="175" t="s">
        <v>34</v>
      </c>
      <c r="E82" s="175" t="s">
        <v>27</v>
      </c>
      <c r="F82" s="175">
        <v>5.56596231E8</v>
      </c>
      <c r="G82" s="175" t="s">
        <v>27</v>
      </c>
      <c r="H82" s="175" t="s">
        <v>27</v>
      </c>
      <c r="I82" s="179" t="s">
        <v>298</v>
      </c>
      <c r="J82" s="177"/>
      <c r="K82" s="175" t="s">
        <v>36</v>
      </c>
      <c r="L82" s="180"/>
      <c r="M82" s="181" t="s">
        <v>88</v>
      </c>
      <c r="N82" s="175" t="s">
        <v>40</v>
      </c>
      <c r="O82" s="175" t="s">
        <v>42</v>
      </c>
      <c r="P82" s="177" t="s">
        <v>3566</v>
      </c>
      <c r="Q82" s="175" t="s">
        <v>49</v>
      </c>
      <c r="R82" s="175"/>
      <c r="S82" s="180"/>
      <c r="T82" s="177"/>
      <c r="U82" s="175"/>
      <c r="V82" s="175">
        <v>5.0</v>
      </c>
    </row>
    <row r="83" ht="41.25" customHeight="1">
      <c r="A83" s="175">
        <v>82.0</v>
      </c>
      <c r="B83" s="176">
        <v>46174.0</v>
      </c>
      <c r="C83" s="175" t="s">
        <v>21</v>
      </c>
      <c r="D83" s="175" t="s">
        <v>66</v>
      </c>
      <c r="E83" s="177" t="s">
        <v>118</v>
      </c>
      <c r="F83" s="175">
        <v>5.66661579E8</v>
      </c>
      <c r="G83" s="177" t="s">
        <v>333</v>
      </c>
      <c r="H83" s="175" t="s">
        <v>27</v>
      </c>
      <c r="I83" s="209" t="s">
        <v>4108</v>
      </c>
      <c r="J83" s="177" t="s">
        <v>4110</v>
      </c>
      <c r="K83" s="175" t="s">
        <v>36</v>
      </c>
      <c r="L83" s="180"/>
      <c r="M83" s="181" t="s">
        <v>208</v>
      </c>
      <c r="N83" s="175" t="s">
        <v>40</v>
      </c>
      <c r="O83" s="175" t="s">
        <v>42</v>
      </c>
      <c r="P83" s="177" t="s">
        <v>3566</v>
      </c>
      <c r="Q83" s="175" t="s">
        <v>49</v>
      </c>
      <c r="R83" s="175"/>
      <c r="S83" s="180"/>
      <c r="T83" s="177"/>
      <c r="U83" s="175"/>
      <c r="V83" s="175">
        <v>5.0</v>
      </c>
    </row>
    <row r="84">
      <c r="A84" s="175">
        <v>83.0</v>
      </c>
      <c r="B84" s="176">
        <v>46174.0</v>
      </c>
      <c r="C84" s="175" t="s">
        <v>21</v>
      </c>
      <c r="D84" s="175" t="s">
        <v>66</v>
      </c>
      <c r="E84" s="177" t="s">
        <v>463</v>
      </c>
      <c r="F84" s="175">
        <v>5.9950005E8</v>
      </c>
      <c r="G84" s="175" t="s">
        <v>27</v>
      </c>
      <c r="H84" s="175" t="s">
        <v>27</v>
      </c>
      <c r="I84" s="179" t="s">
        <v>4114</v>
      </c>
      <c r="J84" s="177"/>
      <c r="K84" s="175" t="s">
        <v>39</v>
      </c>
      <c r="L84" s="180"/>
      <c r="M84" s="181" t="s">
        <v>208</v>
      </c>
      <c r="N84" s="175" t="s">
        <v>40</v>
      </c>
      <c r="O84" s="175" t="s">
        <v>42</v>
      </c>
      <c r="P84" s="177" t="s">
        <v>3566</v>
      </c>
      <c r="Q84" s="175" t="s">
        <v>49</v>
      </c>
      <c r="R84" s="175"/>
      <c r="S84" s="180"/>
      <c r="T84" s="177"/>
      <c r="U84" s="175"/>
      <c r="V84" s="175">
        <v>5.0</v>
      </c>
    </row>
    <row r="85">
      <c r="A85" s="175">
        <v>84.0</v>
      </c>
      <c r="B85" s="176">
        <v>46174.0</v>
      </c>
      <c r="C85" s="175" t="s">
        <v>58</v>
      </c>
      <c r="D85" s="175" t="s">
        <v>60</v>
      </c>
      <c r="E85" s="175" t="s">
        <v>27</v>
      </c>
      <c r="F85" s="178">
        <v>5.54578242E8</v>
      </c>
      <c r="G85" s="175" t="s">
        <v>27</v>
      </c>
      <c r="H85" s="175" t="s">
        <v>27</v>
      </c>
      <c r="I85" s="179" t="s">
        <v>554</v>
      </c>
      <c r="J85" s="177"/>
      <c r="K85" s="175" t="s">
        <v>36</v>
      </c>
      <c r="L85" s="180"/>
      <c r="M85" s="181" t="s">
        <v>88</v>
      </c>
      <c r="N85" s="175" t="s">
        <v>40</v>
      </c>
      <c r="O85" s="175" t="s">
        <v>42</v>
      </c>
      <c r="P85" s="177" t="s">
        <v>3566</v>
      </c>
      <c r="Q85" s="175" t="s">
        <v>49</v>
      </c>
      <c r="R85" s="175"/>
      <c r="S85" s="180"/>
      <c r="T85" s="177"/>
      <c r="U85" s="175"/>
      <c r="V85" s="175">
        <v>5.0</v>
      </c>
    </row>
    <row r="86">
      <c r="A86" s="175">
        <v>85.0</v>
      </c>
      <c r="B86" s="176">
        <v>46174.0</v>
      </c>
      <c r="C86" s="175" t="s">
        <v>21</v>
      </c>
      <c r="D86" s="175" t="s">
        <v>24</v>
      </c>
      <c r="E86" s="177" t="s">
        <v>2940</v>
      </c>
      <c r="F86" s="178">
        <v>5.5544513E8</v>
      </c>
      <c r="G86" s="177" t="s">
        <v>71</v>
      </c>
      <c r="H86" s="175" t="s">
        <v>27</v>
      </c>
      <c r="I86" s="179" t="s">
        <v>4128</v>
      </c>
      <c r="J86" s="177"/>
      <c r="K86" s="175" t="s">
        <v>36</v>
      </c>
      <c r="L86" s="180"/>
      <c r="M86" s="177" t="s">
        <v>38</v>
      </c>
      <c r="N86" s="175" t="s">
        <v>56</v>
      </c>
      <c r="O86" s="175" t="s">
        <v>42</v>
      </c>
      <c r="P86" s="177" t="s">
        <v>3566</v>
      </c>
      <c r="Q86" s="175" t="s">
        <v>863</v>
      </c>
      <c r="R86" s="175" t="s">
        <v>46</v>
      </c>
      <c r="S86" s="180"/>
      <c r="T86" s="177"/>
      <c r="U86" s="175"/>
      <c r="V86" s="175">
        <v>5.0</v>
      </c>
    </row>
    <row r="87">
      <c r="A87" s="175">
        <v>86.0</v>
      </c>
      <c r="B87" s="176">
        <v>46174.0</v>
      </c>
      <c r="C87" s="175" t="s">
        <v>58</v>
      </c>
      <c r="D87" s="175" t="s">
        <v>60</v>
      </c>
      <c r="E87" s="177" t="s">
        <v>4136</v>
      </c>
      <c r="F87" s="178">
        <v>5.66659461E8</v>
      </c>
      <c r="G87" s="177" t="s">
        <v>71</v>
      </c>
      <c r="H87" s="175" t="s">
        <v>1906</v>
      </c>
      <c r="I87" s="209" t="s">
        <v>4137</v>
      </c>
      <c r="J87" s="177" t="s">
        <v>4138</v>
      </c>
      <c r="K87" s="175" t="s">
        <v>36</v>
      </c>
      <c r="L87" s="180"/>
      <c r="M87" s="181" t="s">
        <v>88</v>
      </c>
      <c r="N87" s="175" t="s">
        <v>40</v>
      </c>
      <c r="O87" s="175" t="s">
        <v>42</v>
      </c>
      <c r="P87" s="177" t="s">
        <v>3566</v>
      </c>
      <c r="Q87" s="175" t="s">
        <v>49</v>
      </c>
      <c r="R87" s="175"/>
      <c r="S87" s="180"/>
      <c r="T87" s="177"/>
      <c r="U87" s="175"/>
      <c r="V87" s="175">
        <v>5.0</v>
      </c>
    </row>
    <row r="88">
      <c r="A88" s="26">
        <v>87.0</v>
      </c>
      <c r="B88" s="188">
        <v>46174.0</v>
      </c>
      <c r="C88" s="26" t="s">
        <v>47</v>
      </c>
      <c r="D88" s="26" t="s">
        <v>48</v>
      </c>
      <c r="E88" s="27" t="s">
        <v>1174</v>
      </c>
      <c r="F88" s="36">
        <v>5.53383726E8</v>
      </c>
      <c r="G88" s="27" t="s">
        <v>28</v>
      </c>
      <c r="H88" s="26" t="s">
        <v>3190</v>
      </c>
      <c r="I88" s="23" t="s">
        <v>4143</v>
      </c>
      <c r="J88" s="27"/>
      <c r="K88" s="26" t="s">
        <v>36</v>
      </c>
      <c r="L88" s="35">
        <v>0.5833333333333334</v>
      </c>
      <c r="M88" s="192" t="s">
        <v>3926</v>
      </c>
      <c r="N88" s="26" t="s">
        <v>40</v>
      </c>
      <c r="O88" s="26" t="s">
        <v>301</v>
      </c>
      <c r="P88" s="27" t="s">
        <v>3566</v>
      </c>
      <c r="Q88" s="26" t="s">
        <v>863</v>
      </c>
      <c r="R88" s="26" t="s">
        <v>46</v>
      </c>
      <c r="S88" s="35">
        <v>0.6666666666666666</v>
      </c>
      <c r="T88" s="27" t="s">
        <v>3566</v>
      </c>
      <c r="U88" s="26" t="s">
        <v>863</v>
      </c>
      <c r="V88" s="26">
        <v>5.0</v>
      </c>
    </row>
    <row r="89">
      <c r="A89" s="175">
        <v>88.0</v>
      </c>
      <c r="B89" s="176">
        <v>46174.0</v>
      </c>
      <c r="C89" s="175" t="s">
        <v>21</v>
      </c>
      <c r="D89" s="175" t="s">
        <v>22</v>
      </c>
      <c r="E89" s="177" t="s">
        <v>4148</v>
      </c>
      <c r="F89" s="178">
        <v>5.48148E8</v>
      </c>
      <c r="G89" s="177" t="s">
        <v>71</v>
      </c>
      <c r="H89" s="175" t="s">
        <v>27</v>
      </c>
      <c r="I89" s="179" t="s">
        <v>4151</v>
      </c>
      <c r="J89" s="177"/>
      <c r="K89" s="175" t="s">
        <v>321</v>
      </c>
      <c r="L89" s="180"/>
      <c r="M89" s="177" t="s">
        <v>125</v>
      </c>
      <c r="N89" s="175" t="s">
        <v>40</v>
      </c>
      <c r="O89" s="175" t="s">
        <v>42</v>
      </c>
      <c r="P89" s="177" t="s">
        <v>3566</v>
      </c>
      <c r="Q89" s="175" t="s">
        <v>863</v>
      </c>
      <c r="R89" s="175" t="s">
        <v>46</v>
      </c>
      <c r="S89" s="180"/>
      <c r="T89" s="177"/>
      <c r="U89" s="175"/>
      <c r="V89" s="175">
        <v>5.0</v>
      </c>
    </row>
    <row r="90">
      <c r="A90" s="175">
        <v>89.0</v>
      </c>
      <c r="B90" s="176">
        <v>46174.0</v>
      </c>
      <c r="C90" s="175" t="s">
        <v>21</v>
      </c>
      <c r="D90" s="175" t="s">
        <v>24</v>
      </c>
      <c r="E90" s="177" t="s">
        <v>405</v>
      </c>
      <c r="F90" s="178">
        <v>5.02038305E8</v>
      </c>
      <c r="G90" s="177" t="s">
        <v>4155</v>
      </c>
      <c r="H90" s="175" t="s">
        <v>27</v>
      </c>
      <c r="I90" s="179" t="s">
        <v>4156</v>
      </c>
      <c r="J90" s="177"/>
      <c r="K90" s="175" t="s">
        <v>36</v>
      </c>
      <c r="L90" s="180"/>
      <c r="M90" s="177" t="s">
        <v>38</v>
      </c>
      <c r="N90" s="175" t="s">
        <v>56</v>
      </c>
      <c r="O90" s="175" t="s">
        <v>42</v>
      </c>
      <c r="P90" s="177" t="s">
        <v>3566</v>
      </c>
      <c r="Q90" s="175" t="s">
        <v>863</v>
      </c>
      <c r="R90" s="175" t="s">
        <v>46</v>
      </c>
      <c r="S90" s="180"/>
      <c r="T90" s="177"/>
      <c r="U90" s="175"/>
      <c r="V90" s="175">
        <v>5.0</v>
      </c>
    </row>
    <row r="91">
      <c r="A91" s="175">
        <v>90.0</v>
      </c>
      <c r="B91" s="176">
        <v>46174.0</v>
      </c>
      <c r="C91" s="175" t="s">
        <v>47</v>
      </c>
      <c r="D91" s="175" t="s">
        <v>138</v>
      </c>
      <c r="E91" s="177" t="s">
        <v>284</v>
      </c>
      <c r="F91" s="178">
        <v>5.4949468E8</v>
      </c>
      <c r="G91" s="177" t="s">
        <v>41</v>
      </c>
      <c r="H91" s="175" t="s">
        <v>1751</v>
      </c>
      <c r="I91" s="179" t="s">
        <v>4160</v>
      </c>
      <c r="J91" s="177" t="s">
        <v>4161</v>
      </c>
      <c r="K91" s="175" t="s">
        <v>148</v>
      </c>
      <c r="L91" s="180"/>
      <c r="M91" s="177" t="s">
        <v>150</v>
      </c>
      <c r="N91" s="175" t="s">
        <v>56</v>
      </c>
      <c r="O91" s="175" t="s">
        <v>518</v>
      </c>
      <c r="P91" s="177" t="s">
        <v>3566</v>
      </c>
      <c r="Q91" s="175" t="s">
        <v>863</v>
      </c>
      <c r="R91" s="175" t="s">
        <v>46</v>
      </c>
      <c r="S91" s="180"/>
      <c r="T91" s="177"/>
      <c r="U91" s="175"/>
      <c r="V91" s="175">
        <v>5.0</v>
      </c>
    </row>
    <row r="92">
      <c r="A92" s="175">
        <v>91.0</v>
      </c>
      <c r="B92" s="176">
        <v>46174.0</v>
      </c>
      <c r="C92" s="175" t="s">
        <v>47</v>
      </c>
      <c r="D92" s="175" t="s">
        <v>92</v>
      </c>
      <c r="E92" s="177" t="s">
        <v>405</v>
      </c>
      <c r="F92" s="178">
        <v>5.38258264E8</v>
      </c>
      <c r="G92" s="177" t="s">
        <v>71</v>
      </c>
      <c r="H92" s="175" t="s">
        <v>1801</v>
      </c>
      <c r="I92" s="179" t="s">
        <v>4167</v>
      </c>
      <c r="J92" s="177"/>
      <c r="K92" s="175" t="s">
        <v>148</v>
      </c>
      <c r="L92" s="180"/>
      <c r="M92" s="27" t="s">
        <v>953</v>
      </c>
      <c r="N92" s="175" t="s">
        <v>40</v>
      </c>
      <c r="O92" s="175" t="s">
        <v>518</v>
      </c>
      <c r="P92" s="177" t="s">
        <v>3765</v>
      </c>
      <c r="Q92" s="175" t="s">
        <v>863</v>
      </c>
      <c r="R92" s="175" t="s">
        <v>46</v>
      </c>
      <c r="S92" s="180"/>
      <c r="T92" s="177"/>
      <c r="U92" s="175"/>
      <c r="V92" s="175">
        <v>5.0</v>
      </c>
    </row>
    <row r="93">
      <c r="A93" s="175">
        <v>92.0</v>
      </c>
      <c r="B93" s="176">
        <v>46174.0</v>
      </c>
      <c r="C93" s="175" t="s">
        <v>47</v>
      </c>
      <c r="D93" s="175" t="s">
        <v>138</v>
      </c>
      <c r="E93" s="175" t="s">
        <v>4169</v>
      </c>
      <c r="F93" s="178">
        <v>5.56622164E8</v>
      </c>
      <c r="G93" s="177" t="s">
        <v>41</v>
      </c>
      <c r="H93" s="231" t="s">
        <v>4172</v>
      </c>
      <c r="I93" s="179" t="s">
        <v>4174</v>
      </c>
      <c r="J93" s="177"/>
      <c r="K93" s="175" t="s">
        <v>148</v>
      </c>
      <c r="L93" s="180"/>
      <c r="M93" s="184" t="s">
        <v>183</v>
      </c>
      <c r="N93" s="175" t="s">
        <v>40</v>
      </c>
      <c r="O93" s="175" t="s">
        <v>518</v>
      </c>
      <c r="P93" s="177" t="s">
        <v>3566</v>
      </c>
      <c r="Q93" s="175" t="s">
        <v>863</v>
      </c>
      <c r="R93" s="175" t="s">
        <v>46</v>
      </c>
      <c r="S93" s="180"/>
      <c r="T93" s="177"/>
      <c r="U93" s="175"/>
      <c r="V93" s="175">
        <v>5.0</v>
      </c>
    </row>
    <row r="94">
      <c r="A94" s="175">
        <v>93.0</v>
      </c>
      <c r="B94" s="176">
        <v>46174.0</v>
      </c>
      <c r="C94" s="175" t="s">
        <v>47</v>
      </c>
      <c r="D94" s="175" t="s">
        <v>367</v>
      </c>
      <c r="E94" s="177" t="s">
        <v>1260</v>
      </c>
      <c r="F94" s="178">
        <v>5.600071E8</v>
      </c>
      <c r="G94" s="177" t="s">
        <v>41</v>
      </c>
      <c r="H94" s="231" t="s">
        <v>4172</v>
      </c>
      <c r="I94" s="179" t="s">
        <v>4179</v>
      </c>
      <c r="J94" s="177" t="s">
        <v>4181</v>
      </c>
      <c r="K94" s="175" t="s">
        <v>148</v>
      </c>
      <c r="L94" s="180"/>
      <c r="M94" s="232" t="s">
        <v>3759</v>
      </c>
      <c r="N94" s="175" t="s">
        <v>56</v>
      </c>
      <c r="O94" s="175" t="s">
        <v>518</v>
      </c>
      <c r="P94" s="177" t="s">
        <v>3566</v>
      </c>
      <c r="Q94" s="175" t="s">
        <v>863</v>
      </c>
      <c r="R94" s="175" t="s">
        <v>46</v>
      </c>
      <c r="S94" s="180"/>
      <c r="T94" s="177"/>
      <c r="U94" s="175"/>
      <c r="V94" s="175">
        <v>5.0</v>
      </c>
    </row>
    <row r="95">
      <c r="A95" s="175">
        <v>94.0</v>
      </c>
      <c r="B95" s="176">
        <v>46174.0</v>
      </c>
      <c r="C95" s="175" t="s">
        <v>47</v>
      </c>
      <c r="D95" s="175" t="s">
        <v>24</v>
      </c>
      <c r="E95" s="177" t="s">
        <v>4186</v>
      </c>
      <c r="F95" s="178" t="s">
        <v>27</v>
      </c>
      <c r="G95" s="177" t="s">
        <v>41</v>
      </c>
      <c r="H95" s="175" t="s">
        <v>97</v>
      </c>
      <c r="I95" s="179" t="s">
        <v>4189</v>
      </c>
      <c r="J95" s="177"/>
      <c r="K95" s="175" t="s">
        <v>78</v>
      </c>
      <c r="L95" s="180"/>
      <c r="M95" s="177" t="s">
        <v>101</v>
      </c>
      <c r="N95" s="175" t="s">
        <v>56</v>
      </c>
      <c r="O95" s="175" t="s">
        <v>42</v>
      </c>
      <c r="P95" s="177" t="s">
        <v>3566</v>
      </c>
      <c r="Q95" s="175" t="s">
        <v>863</v>
      </c>
      <c r="R95" s="175"/>
      <c r="S95" s="180"/>
      <c r="T95" s="177"/>
      <c r="U95" s="175"/>
      <c r="V95" s="175">
        <v>5.0</v>
      </c>
    </row>
    <row r="96">
      <c r="A96" s="175">
        <v>95.0</v>
      </c>
      <c r="B96" s="176">
        <v>46174.0</v>
      </c>
      <c r="C96" s="175" t="s">
        <v>47</v>
      </c>
      <c r="D96" s="175" t="s">
        <v>24</v>
      </c>
      <c r="E96" s="175" t="s">
        <v>4194</v>
      </c>
      <c r="F96" s="178" t="s">
        <v>27</v>
      </c>
      <c r="G96" s="177" t="s">
        <v>41</v>
      </c>
      <c r="H96" s="175" t="s">
        <v>914</v>
      </c>
      <c r="I96" s="179" t="s">
        <v>4199</v>
      </c>
      <c r="J96" s="177"/>
      <c r="K96" s="175" t="s">
        <v>78</v>
      </c>
      <c r="L96" s="180"/>
      <c r="M96" s="177" t="s">
        <v>55</v>
      </c>
      <c r="N96" s="175" t="s">
        <v>56</v>
      </c>
      <c r="O96" s="175" t="s">
        <v>42</v>
      </c>
      <c r="P96" s="177" t="s">
        <v>3566</v>
      </c>
      <c r="Q96" s="175" t="s">
        <v>863</v>
      </c>
      <c r="R96" s="175"/>
      <c r="S96" s="180"/>
      <c r="T96" s="177"/>
      <c r="U96" s="175"/>
      <c r="V96" s="175">
        <v>5.0</v>
      </c>
    </row>
    <row r="97">
      <c r="A97" s="175">
        <v>96.0</v>
      </c>
      <c r="B97" s="176">
        <v>46174.0</v>
      </c>
      <c r="C97" s="175" t="s">
        <v>47</v>
      </c>
      <c r="D97" s="175" t="s">
        <v>48</v>
      </c>
      <c r="E97" s="175" t="s">
        <v>4201</v>
      </c>
      <c r="F97" s="178" t="s">
        <v>27</v>
      </c>
      <c r="G97" s="177" t="s">
        <v>41</v>
      </c>
      <c r="H97" s="175" t="s">
        <v>253</v>
      </c>
      <c r="I97" s="179" t="s">
        <v>4203</v>
      </c>
      <c r="J97" s="177"/>
      <c r="K97" s="175" t="s">
        <v>78</v>
      </c>
      <c r="L97" s="180"/>
      <c r="M97" s="74" t="s">
        <v>3355</v>
      </c>
      <c r="N97" s="175" t="s">
        <v>40</v>
      </c>
      <c r="O97" s="175" t="s">
        <v>3811</v>
      </c>
      <c r="P97" s="177" t="s">
        <v>3566</v>
      </c>
      <c r="Q97" s="175" t="s">
        <v>863</v>
      </c>
      <c r="R97" s="175" t="s">
        <v>46</v>
      </c>
      <c r="S97" s="180"/>
      <c r="T97" s="177"/>
      <c r="U97" s="175"/>
      <c r="V97" s="175">
        <v>5.0</v>
      </c>
    </row>
    <row r="98" ht="20.25" customHeight="1">
      <c r="A98" s="175">
        <v>97.0</v>
      </c>
      <c r="B98" s="176">
        <v>46174.0</v>
      </c>
      <c r="C98" s="175" t="s">
        <v>47</v>
      </c>
      <c r="D98" s="175" t="s">
        <v>48</v>
      </c>
      <c r="E98" s="177" t="s">
        <v>4206</v>
      </c>
      <c r="F98" s="178" t="s">
        <v>27</v>
      </c>
      <c r="G98" s="177" t="s">
        <v>41</v>
      </c>
      <c r="H98" s="175" t="s">
        <v>4208</v>
      </c>
      <c r="I98" s="179" t="s">
        <v>4210</v>
      </c>
      <c r="J98" s="27" t="s">
        <v>4211</v>
      </c>
      <c r="K98" s="175" t="s">
        <v>78</v>
      </c>
      <c r="L98" s="180"/>
      <c r="M98" s="234" t="s">
        <v>2247</v>
      </c>
      <c r="N98" s="175" t="s">
        <v>56</v>
      </c>
      <c r="O98" s="175" t="s">
        <v>42</v>
      </c>
      <c r="P98" s="177" t="s">
        <v>3997</v>
      </c>
      <c r="Q98" s="175" t="s">
        <v>863</v>
      </c>
      <c r="R98" s="175" t="s">
        <v>46</v>
      </c>
      <c r="S98" s="180"/>
      <c r="T98" s="177"/>
      <c r="U98" s="175"/>
      <c r="V98" s="175">
        <v>5.0</v>
      </c>
    </row>
    <row r="99">
      <c r="A99" s="175">
        <v>98.0</v>
      </c>
      <c r="B99" s="176">
        <v>46174.0</v>
      </c>
      <c r="C99" s="175" t="s">
        <v>47</v>
      </c>
      <c r="D99" s="175" t="s">
        <v>48</v>
      </c>
      <c r="E99" s="177" t="s">
        <v>4217</v>
      </c>
      <c r="F99" s="178" t="s">
        <v>27</v>
      </c>
      <c r="G99" s="177" t="s">
        <v>41</v>
      </c>
      <c r="H99" s="175" t="s">
        <v>222</v>
      </c>
      <c r="I99" s="179" t="s">
        <v>4221</v>
      </c>
      <c r="J99" s="27" t="s">
        <v>4222</v>
      </c>
      <c r="K99" s="175" t="s">
        <v>78</v>
      </c>
      <c r="L99" s="180"/>
      <c r="M99" s="177" t="s">
        <v>101</v>
      </c>
      <c r="N99" s="175" t="s">
        <v>56</v>
      </c>
      <c r="O99" s="175" t="s">
        <v>518</v>
      </c>
      <c r="P99" s="177" t="s">
        <v>3765</v>
      </c>
      <c r="Q99" s="175" t="s">
        <v>863</v>
      </c>
      <c r="R99" s="175" t="s">
        <v>46</v>
      </c>
      <c r="S99" s="180"/>
      <c r="T99" s="177"/>
      <c r="U99" s="175"/>
      <c r="V99" s="175">
        <v>5.0</v>
      </c>
    </row>
    <row r="100">
      <c r="A100" s="175">
        <v>99.0</v>
      </c>
      <c r="B100" s="176">
        <v>46174.0</v>
      </c>
      <c r="C100" s="175" t="s">
        <v>47</v>
      </c>
      <c r="D100" s="175" t="s">
        <v>48</v>
      </c>
      <c r="E100" s="175" t="s">
        <v>4226</v>
      </c>
      <c r="F100" s="178" t="s">
        <v>27</v>
      </c>
      <c r="G100" s="177" t="s">
        <v>41</v>
      </c>
      <c r="H100" s="175" t="s">
        <v>956</v>
      </c>
      <c r="I100" s="179" t="s">
        <v>4229</v>
      </c>
      <c r="J100" s="177"/>
      <c r="K100" s="175" t="s">
        <v>78</v>
      </c>
      <c r="L100" s="180"/>
      <c r="M100" s="234" t="s">
        <v>4232</v>
      </c>
      <c r="N100" s="175" t="s">
        <v>40</v>
      </c>
      <c r="O100" s="175" t="s">
        <v>518</v>
      </c>
      <c r="P100" s="177" t="s">
        <v>3765</v>
      </c>
      <c r="Q100" s="175" t="s">
        <v>863</v>
      </c>
      <c r="R100" s="175" t="s">
        <v>46</v>
      </c>
      <c r="S100" s="180"/>
      <c r="T100" s="177"/>
      <c r="U100" s="175"/>
      <c r="V100" s="175">
        <v>5.0</v>
      </c>
    </row>
    <row r="101">
      <c r="A101" s="175">
        <v>100.0</v>
      </c>
      <c r="B101" s="176">
        <v>46174.0</v>
      </c>
      <c r="C101" s="175" t="s">
        <v>47</v>
      </c>
      <c r="D101" s="175" t="s">
        <v>48</v>
      </c>
      <c r="E101" s="177" t="s">
        <v>4236</v>
      </c>
      <c r="F101" s="178" t="s">
        <v>27</v>
      </c>
      <c r="G101" s="177" t="s">
        <v>41</v>
      </c>
      <c r="H101" s="175" t="s">
        <v>222</v>
      </c>
      <c r="I101" s="179" t="s">
        <v>4238</v>
      </c>
      <c r="J101" s="27" t="s">
        <v>4240</v>
      </c>
      <c r="K101" s="175" t="s">
        <v>78</v>
      </c>
      <c r="L101" s="180"/>
      <c r="M101" s="177" t="s">
        <v>101</v>
      </c>
      <c r="N101" s="175" t="s">
        <v>56</v>
      </c>
      <c r="O101" s="175" t="s">
        <v>518</v>
      </c>
      <c r="P101" s="177" t="s">
        <v>3765</v>
      </c>
      <c r="Q101" s="175" t="s">
        <v>863</v>
      </c>
      <c r="R101" s="175" t="s">
        <v>46</v>
      </c>
      <c r="S101" s="180"/>
      <c r="T101" s="177"/>
      <c r="U101" s="175"/>
      <c r="V101" s="175">
        <v>5.0</v>
      </c>
    </row>
    <row r="102">
      <c r="A102" s="175">
        <v>101.0</v>
      </c>
      <c r="B102" s="176">
        <v>46174.0</v>
      </c>
      <c r="C102" s="175" t="s">
        <v>58</v>
      </c>
      <c r="D102" s="175" t="s">
        <v>60</v>
      </c>
      <c r="E102" s="175" t="s">
        <v>27</v>
      </c>
      <c r="F102" s="178">
        <v>5.37666875E8</v>
      </c>
      <c r="G102" s="175" t="s">
        <v>27</v>
      </c>
      <c r="H102" s="175" t="s">
        <v>27</v>
      </c>
      <c r="I102" s="179" t="s">
        <v>484</v>
      </c>
      <c r="J102" s="177"/>
      <c r="K102" s="175" t="s">
        <v>36</v>
      </c>
      <c r="L102" s="180"/>
      <c r="M102" s="181" t="s">
        <v>88</v>
      </c>
      <c r="N102" s="175" t="s">
        <v>40</v>
      </c>
      <c r="O102" s="175" t="s">
        <v>42</v>
      </c>
      <c r="P102" s="177" t="s">
        <v>3566</v>
      </c>
      <c r="Q102" s="175" t="s">
        <v>863</v>
      </c>
      <c r="R102" s="175"/>
      <c r="S102" s="180"/>
      <c r="T102" s="177"/>
      <c r="U102" s="175"/>
      <c r="V102" s="175">
        <v>5.0</v>
      </c>
    </row>
    <row r="103">
      <c r="A103" s="175">
        <v>102.0</v>
      </c>
      <c r="B103" s="176">
        <v>46174.0</v>
      </c>
      <c r="C103" s="175" t="s">
        <v>58</v>
      </c>
      <c r="D103" s="175" t="s">
        <v>60</v>
      </c>
      <c r="E103" s="177" t="s">
        <v>4249</v>
      </c>
      <c r="F103" s="178">
        <v>5.36788936E8</v>
      </c>
      <c r="G103" s="175" t="s">
        <v>27</v>
      </c>
      <c r="H103" s="175" t="s">
        <v>27</v>
      </c>
      <c r="I103" s="179" t="s">
        <v>4251</v>
      </c>
      <c r="J103" s="177"/>
      <c r="K103" s="175" t="s">
        <v>62</v>
      </c>
      <c r="L103" s="180"/>
      <c r="M103" s="181" t="s">
        <v>88</v>
      </c>
      <c r="N103" s="175" t="s">
        <v>40</v>
      </c>
      <c r="O103" s="175" t="s">
        <v>42</v>
      </c>
      <c r="P103" s="177" t="s">
        <v>3566</v>
      </c>
      <c r="Q103" s="175" t="s">
        <v>44</v>
      </c>
      <c r="R103" s="175"/>
      <c r="S103" s="180"/>
      <c r="T103" s="177"/>
      <c r="U103" s="175"/>
      <c r="V103" s="175">
        <v>5.0</v>
      </c>
    </row>
    <row r="104">
      <c r="A104" s="175">
        <v>103.0</v>
      </c>
      <c r="B104" s="235">
        <v>46174.0</v>
      </c>
      <c r="C104" s="206" t="s">
        <v>47</v>
      </c>
      <c r="D104" s="206" t="s">
        <v>138</v>
      </c>
      <c r="E104" s="198" t="s">
        <v>3110</v>
      </c>
      <c r="F104" s="178">
        <v>5.96677409E8</v>
      </c>
      <c r="G104" s="177" t="s">
        <v>79</v>
      </c>
      <c r="H104" s="206" t="s">
        <v>487</v>
      </c>
      <c r="I104" s="179" t="s">
        <v>4258</v>
      </c>
      <c r="J104" s="128" t="s">
        <v>4259</v>
      </c>
      <c r="K104" s="206" t="s">
        <v>62</v>
      </c>
      <c r="L104" s="236">
        <v>0.46875</v>
      </c>
      <c r="M104" s="177" t="s">
        <v>101</v>
      </c>
      <c r="N104" s="206" t="s">
        <v>40</v>
      </c>
      <c r="O104" s="206" t="s">
        <v>518</v>
      </c>
      <c r="P104" s="177" t="s">
        <v>3566</v>
      </c>
      <c r="Q104" s="206" t="s">
        <v>44</v>
      </c>
      <c r="R104" s="206" t="s">
        <v>46</v>
      </c>
      <c r="S104" s="236">
        <v>0.6708333333333333</v>
      </c>
      <c r="T104" s="198" t="s">
        <v>3566</v>
      </c>
      <c r="U104" s="206" t="s">
        <v>44</v>
      </c>
      <c r="V104" s="206">
        <v>5.0</v>
      </c>
    </row>
    <row r="105">
      <c r="A105" s="175">
        <v>104.0</v>
      </c>
      <c r="B105" s="176">
        <v>46174.0</v>
      </c>
      <c r="C105" s="175" t="s">
        <v>58</v>
      </c>
      <c r="D105" s="175" t="s">
        <v>60</v>
      </c>
      <c r="E105" s="177" t="s">
        <v>4115</v>
      </c>
      <c r="F105" s="178">
        <v>5.97227869E8</v>
      </c>
      <c r="G105" s="177" t="s">
        <v>319</v>
      </c>
      <c r="H105" s="175" t="s">
        <v>27</v>
      </c>
      <c r="I105" s="179" t="s">
        <v>4267</v>
      </c>
      <c r="J105" s="177" t="s">
        <v>124</v>
      </c>
      <c r="K105" s="175" t="s">
        <v>62</v>
      </c>
      <c r="L105" s="180"/>
      <c r="M105" s="181" t="s">
        <v>88</v>
      </c>
      <c r="N105" s="175" t="s">
        <v>40</v>
      </c>
      <c r="O105" s="175" t="s">
        <v>42</v>
      </c>
      <c r="P105" s="177" t="s">
        <v>3566</v>
      </c>
      <c r="Q105" s="175" t="s">
        <v>44</v>
      </c>
      <c r="R105" s="175"/>
      <c r="S105" s="180"/>
      <c r="T105" s="177"/>
      <c r="U105" s="175"/>
      <c r="V105" s="175">
        <v>5.0</v>
      </c>
    </row>
    <row r="106">
      <c r="A106" s="175">
        <v>105.0</v>
      </c>
      <c r="B106" s="176">
        <v>46174.0</v>
      </c>
      <c r="C106" s="175" t="s">
        <v>58</v>
      </c>
      <c r="D106" s="175" t="s">
        <v>60</v>
      </c>
      <c r="E106" s="177" t="s">
        <v>4270</v>
      </c>
      <c r="F106" s="178">
        <v>5.37355842E8</v>
      </c>
      <c r="G106" s="177"/>
      <c r="H106" s="175" t="s">
        <v>27</v>
      </c>
      <c r="I106" s="179" t="s">
        <v>88</v>
      </c>
      <c r="J106" s="177" t="s">
        <v>124</v>
      </c>
      <c r="K106" s="175" t="s">
        <v>62</v>
      </c>
      <c r="L106" s="180"/>
      <c r="M106" s="181" t="s">
        <v>88</v>
      </c>
      <c r="N106" s="175" t="s">
        <v>40</v>
      </c>
      <c r="O106" s="175" t="s">
        <v>42</v>
      </c>
      <c r="P106" s="177" t="s">
        <v>3566</v>
      </c>
      <c r="Q106" s="175" t="s">
        <v>44</v>
      </c>
      <c r="R106" s="175"/>
      <c r="S106" s="180"/>
      <c r="T106" s="177"/>
      <c r="U106" s="175"/>
      <c r="V106" s="175">
        <v>5.0</v>
      </c>
    </row>
    <row r="107">
      <c r="A107" s="175">
        <v>106.0</v>
      </c>
      <c r="B107" s="176">
        <v>46174.0</v>
      </c>
      <c r="C107" s="175" t="s">
        <v>21</v>
      </c>
      <c r="D107" s="175" t="s">
        <v>22</v>
      </c>
      <c r="E107" s="177" t="s">
        <v>4277</v>
      </c>
      <c r="F107" s="178">
        <v>5.67529094E8</v>
      </c>
      <c r="G107" s="177" t="s">
        <v>319</v>
      </c>
      <c r="H107" s="175" t="s">
        <v>27</v>
      </c>
      <c r="I107" s="179" t="s">
        <v>4281</v>
      </c>
      <c r="J107" s="177"/>
      <c r="K107" s="175" t="s">
        <v>62</v>
      </c>
      <c r="L107" s="180"/>
      <c r="M107" s="177" t="s">
        <v>38</v>
      </c>
      <c r="N107" s="175" t="s">
        <v>40</v>
      </c>
      <c r="O107" s="175" t="s">
        <v>42</v>
      </c>
      <c r="P107" s="177" t="s">
        <v>3566</v>
      </c>
      <c r="Q107" s="175" t="s">
        <v>44</v>
      </c>
      <c r="R107" s="175" t="s">
        <v>46</v>
      </c>
      <c r="S107" s="180"/>
      <c r="T107" s="177"/>
      <c r="U107" s="175"/>
      <c r="V107" s="175">
        <v>5.0</v>
      </c>
    </row>
    <row r="108" ht="56.25" customHeight="1">
      <c r="A108" s="175">
        <v>107.0</v>
      </c>
      <c r="B108" s="176">
        <v>46174.0</v>
      </c>
      <c r="C108" s="175" t="s">
        <v>58</v>
      </c>
      <c r="D108" s="175" t="s">
        <v>24</v>
      </c>
      <c r="E108" s="177" t="s">
        <v>4291</v>
      </c>
      <c r="F108" s="178">
        <v>5.31605096E8</v>
      </c>
      <c r="G108" s="177" t="s">
        <v>319</v>
      </c>
      <c r="H108" s="175" t="s">
        <v>27</v>
      </c>
      <c r="I108" s="209" t="s">
        <v>4294</v>
      </c>
      <c r="J108" s="177" t="s">
        <v>4296</v>
      </c>
      <c r="K108" s="175" t="s">
        <v>36</v>
      </c>
      <c r="L108" s="180"/>
      <c r="M108" s="177" t="s">
        <v>88</v>
      </c>
      <c r="N108" s="175" t="s">
        <v>56</v>
      </c>
      <c r="O108" s="175" t="s">
        <v>42</v>
      </c>
      <c r="P108" s="177" t="s">
        <v>3566</v>
      </c>
      <c r="Q108" s="175" t="s">
        <v>44</v>
      </c>
      <c r="R108" s="175" t="s">
        <v>46</v>
      </c>
      <c r="S108" s="180"/>
      <c r="T108" s="177"/>
      <c r="U108" s="175"/>
      <c r="V108" s="175">
        <v>5.0</v>
      </c>
    </row>
    <row r="109">
      <c r="A109" s="175">
        <v>108.0</v>
      </c>
      <c r="B109" s="176">
        <v>46174.0</v>
      </c>
      <c r="C109" s="175" t="s">
        <v>21</v>
      </c>
      <c r="D109" s="175" t="s">
        <v>22</v>
      </c>
      <c r="E109" s="177" t="s">
        <v>4299</v>
      </c>
      <c r="F109" s="178">
        <v>5.04159728E8</v>
      </c>
      <c r="G109" s="175" t="s">
        <v>27</v>
      </c>
      <c r="H109" s="175" t="s">
        <v>27</v>
      </c>
      <c r="I109" s="179" t="s">
        <v>4301</v>
      </c>
      <c r="J109" s="177"/>
      <c r="K109" s="175" t="s">
        <v>36</v>
      </c>
      <c r="L109" s="180"/>
      <c r="M109" s="177" t="s">
        <v>38</v>
      </c>
      <c r="N109" s="175" t="s">
        <v>40</v>
      </c>
      <c r="O109" s="175" t="s">
        <v>42</v>
      </c>
      <c r="P109" s="177" t="s">
        <v>3566</v>
      </c>
      <c r="Q109" s="175" t="s">
        <v>863</v>
      </c>
      <c r="R109" s="175" t="s">
        <v>46</v>
      </c>
      <c r="S109" s="180"/>
      <c r="T109" s="177"/>
      <c r="U109" s="175"/>
      <c r="V109" s="175">
        <v>5.0</v>
      </c>
    </row>
    <row r="110">
      <c r="A110" s="175">
        <v>109.0</v>
      </c>
      <c r="B110" s="176">
        <v>46174.0</v>
      </c>
      <c r="C110" s="175" t="s">
        <v>21</v>
      </c>
      <c r="D110" s="175" t="s">
        <v>24</v>
      </c>
      <c r="E110" s="177" t="s">
        <v>4308</v>
      </c>
      <c r="F110" s="178">
        <v>5.41696009E8</v>
      </c>
      <c r="G110" s="175" t="s">
        <v>27</v>
      </c>
      <c r="H110" s="175" t="s">
        <v>27</v>
      </c>
      <c r="I110" s="179" t="s">
        <v>4311</v>
      </c>
      <c r="J110" s="177"/>
      <c r="K110" s="175" t="s">
        <v>36</v>
      </c>
      <c r="L110" s="180"/>
      <c r="M110" s="177" t="s">
        <v>38</v>
      </c>
      <c r="N110" s="175" t="s">
        <v>56</v>
      </c>
      <c r="O110" s="175" t="s">
        <v>42</v>
      </c>
      <c r="P110" s="177" t="s">
        <v>3566</v>
      </c>
      <c r="Q110" s="175" t="s">
        <v>863</v>
      </c>
      <c r="R110" s="175" t="s">
        <v>46</v>
      </c>
      <c r="S110" s="180"/>
      <c r="T110" s="177"/>
      <c r="U110" s="175"/>
      <c r="V110" s="175">
        <v>5.0</v>
      </c>
    </row>
    <row r="111">
      <c r="A111" s="175">
        <v>110.0</v>
      </c>
      <c r="B111" s="176">
        <v>46174.0</v>
      </c>
      <c r="C111" s="175" t="s">
        <v>58</v>
      </c>
      <c r="D111" s="175" t="s">
        <v>60</v>
      </c>
      <c r="E111" s="175" t="s">
        <v>27</v>
      </c>
      <c r="F111" s="178">
        <v>5.41791187E8</v>
      </c>
      <c r="G111" s="175" t="s">
        <v>27</v>
      </c>
      <c r="H111" s="175" t="s">
        <v>27</v>
      </c>
      <c r="I111" s="179" t="s">
        <v>4319</v>
      </c>
      <c r="J111" s="177"/>
      <c r="K111" s="175" t="s">
        <v>36</v>
      </c>
      <c r="L111" s="180"/>
      <c r="M111" s="181" t="s">
        <v>88</v>
      </c>
      <c r="N111" s="175" t="s">
        <v>40</v>
      </c>
      <c r="O111" s="175" t="s">
        <v>42</v>
      </c>
      <c r="P111" s="177" t="s">
        <v>3566</v>
      </c>
      <c r="Q111" s="175" t="s">
        <v>863</v>
      </c>
      <c r="R111" s="175"/>
      <c r="S111" s="180"/>
      <c r="T111" s="177"/>
      <c r="U111" s="175"/>
      <c r="V111" s="175">
        <v>5.0</v>
      </c>
    </row>
    <row r="112">
      <c r="A112" s="175">
        <v>111.0</v>
      </c>
      <c r="B112" s="176">
        <v>46174.0</v>
      </c>
      <c r="C112" s="175" t="s">
        <v>21</v>
      </c>
      <c r="D112" s="175" t="s">
        <v>22</v>
      </c>
      <c r="E112" s="177" t="s">
        <v>4326</v>
      </c>
      <c r="F112" s="178">
        <v>5.42450015E8</v>
      </c>
      <c r="G112" s="177" t="s">
        <v>4327</v>
      </c>
      <c r="H112" s="175" t="s">
        <v>27</v>
      </c>
      <c r="I112" s="179" t="s">
        <v>4328</v>
      </c>
      <c r="J112" s="177"/>
      <c r="K112" s="175" t="s">
        <v>36</v>
      </c>
      <c r="L112" s="180"/>
      <c r="M112" s="177" t="s">
        <v>38</v>
      </c>
      <c r="N112" s="175" t="s">
        <v>40</v>
      </c>
      <c r="O112" s="175" t="s">
        <v>42</v>
      </c>
      <c r="P112" s="177" t="s">
        <v>3566</v>
      </c>
      <c r="Q112" s="175" t="s">
        <v>863</v>
      </c>
      <c r="R112" s="175" t="s">
        <v>46</v>
      </c>
      <c r="S112" s="180"/>
      <c r="T112" s="177"/>
      <c r="U112" s="175"/>
      <c r="V112" s="175">
        <v>5.0</v>
      </c>
    </row>
    <row r="113">
      <c r="A113" s="175">
        <v>112.0</v>
      </c>
      <c r="B113" s="176">
        <v>46174.0</v>
      </c>
      <c r="C113" s="175" t="s">
        <v>21</v>
      </c>
      <c r="D113" s="175" t="s">
        <v>66</v>
      </c>
      <c r="E113" s="177" t="s">
        <v>4335</v>
      </c>
      <c r="F113" s="178">
        <v>5.4102195E8</v>
      </c>
      <c r="G113" s="177"/>
      <c r="H113" s="175" t="s">
        <v>27</v>
      </c>
      <c r="I113" s="179" t="s">
        <v>4337</v>
      </c>
      <c r="J113" s="177"/>
      <c r="K113" s="175" t="s">
        <v>36</v>
      </c>
      <c r="L113" s="180"/>
      <c r="M113" s="181" t="s">
        <v>208</v>
      </c>
      <c r="N113" s="175" t="s">
        <v>40</v>
      </c>
      <c r="O113" s="175" t="s">
        <v>42</v>
      </c>
      <c r="P113" s="177" t="s">
        <v>3566</v>
      </c>
      <c r="Q113" s="175" t="s">
        <v>863</v>
      </c>
      <c r="R113" s="175"/>
      <c r="S113" s="180"/>
      <c r="T113" s="177"/>
      <c r="U113" s="175"/>
      <c r="V113" s="175">
        <v>5.0</v>
      </c>
    </row>
    <row r="114">
      <c r="A114" s="175">
        <v>113.0</v>
      </c>
      <c r="B114" s="176">
        <v>46174.0</v>
      </c>
      <c r="C114" s="175" t="s">
        <v>21</v>
      </c>
      <c r="D114" s="175" t="s">
        <v>66</v>
      </c>
      <c r="E114" s="242" t="s">
        <v>4343</v>
      </c>
      <c r="F114" s="243">
        <v>5.07484968E8</v>
      </c>
      <c r="G114" s="243" t="s">
        <v>27</v>
      </c>
      <c r="H114" s="243" t="s">
        <v>27</v>
      </c>
      <c r="I114" s="30" t="s">
        <v>4346</v>
      </c>
      <c r="J114" s="177" t="s">
        <v>4347</v>
      </c>
      <c r="K114" s="175" t="s">
        <v>36</v>
      </c>
      <c r="L114" s="180"/>
      <c r="M114" s="181" t="s">
        <v>208</v>
      </c>
      <c r="N114" s="175" t="s">
        <v>40</v>
      </c>
      <c r="O114" s="175" t="s">
        <v>42</v>
      </c>
      <c r="P114" s="177" t="s">
        <v>3566</v>
      </c>
      <c r="Q114" s="175" t="s">
        <v>863</v>
      </c>
      <c r="R114" s="175"/>
      <c r="S114" s="180"/>
      <c r="T114" s="177"/>
      <c r="U114" s="175"/>
      <c r="V114" s="175">
        <v>5.0</v>
      </c>
    </row>
    <row r="115">
      <c r="A115" s="175">
        <v>114.0</v>
      </c>
      <c r="B115" s="176">
        <v>46174.0</v>
      </c>
      <c r="C115" s="175" t="s">
        <v>21</v>
      </c>
      <c r="D115" s="175" t="s">
        <v>24</v>
      </c>
      <c r="E115" s="177" t="s">
        <v>812</v>
      </c>
      <c r="F115" s="178">
        <v>5.53289333E8</v>
      </c>
      <c r="G115" s="177" t="s">
        <v>120</v>
      </c>
      <c r="H115" s="175" t="s">
        <v>27</v>
      </c>
      <c r="I115" s="179" t="s">
        <v>4352</v>
      </c>
      <c r="J115" s="177"/>
      <c r="K115" s="175" t="s">
        <v>36</v>
      </c>
      <c r="L115" s="180"/>
      <c r="M115" s="177" t="s">
        <v>38</v>
      </c>
      <c r="N115" s="175" t="s">
        <v>56</v>
      </c>
      <c r="O115" s="175" t="s">
        <v>42</v>
      </c>
      <c r="P115" s="177" t="s">
        <v>3566</v>
      </c>
      <c r="Q115" s="175" t="s">
        <v>863</v>
      </c>
      <c r="R115" s="175" t="s">
        <v>46</v>
      </c>
      <c r="S115" s="180"/>
      <c r="T115" s="177"/>
      <c r="U115" s="175"/>
      <c r="V115" s="175">
        <v>5.0</v>
      </c>
    </row>
    <row r="116">
      <c r="A116" s="175">
        <v>115.0</v>
      </c>
      <c r="B116" s="176">
        <v>46174.0</v>
      </c>
      <c r="C116" s="175" t="s">
        <v>47</v>
      </c>
      <c r="D116" s="175" t="s">
        <v>60</v>
      </c>
      <c r="E116" s="175" t="s">
        <v>27</v>
      </c>
      <c r="F116" s="207">
        <v>5.0618879E8</v>
      </c>
      <c r="G116" s="175" t="s">
        <v>27</v>
      </c>
      <c r="H116" s="175" t="s">
        <v>27</v>
      </c>
      <c r="I116" s="179" t="s">
        <v>2093</v>
      </c>
      <c r="J116" s="177"/>
      <c r="K116" s="175" t="s">
        <v>36</v>
      </c>
      <c r="L116" s="180"/>
      <c r="M116" s="181" t="s">
        <v>88</v>
      </c>
      <c r="N116" s="175" t="s">
        <v>40</v>
      </c>
      <c r="O116" s="175" t="s">
        <v>42</v>
      </c>
      <c r="P116" s="177" t="s">
        <v>3566</v>
      </c>
      <c r="Q116" s="175" t="s">
        <v>49</v>
      </c>
      <c r="R116" s="175"/>
      <c r="S116" s="180"/>
      <c r="T116" s="177"/>
      <c r="U116" s="175"/>
      <c r="V116" s="175">
        <v>5.0</v>
      </c>
    </row>
    <row r="117">
      <c r="A117" s="26">
        <v>116.0</v>
      </c>
      <c r="B117" s="188">
        <v>46174.0</v>
      </c>
      <c r="C117" s="26" t="s">
        <v>47</v>
      </c>
      <c r="D117" s="26" t="s">
        <v>48</v>
      </c>
      <c r="E117" s="27" t="s">
        <v>4364</v>
      </c>
      <c r="F117" s="36">
        <v>5.03125237E8</v>
      </c>
      <c r="G117" s="27" t="s">
        <v>426</v>
      </c>
      <c r="H117" s="26" t="s">
        <v>1708</v>
      </c>
      <c r="I117" s="179" t="s">
        <v>4366</v>
      </c>
      <c r="J117" s="27"/>
      <c r="K117" s="26" t="s">
        <v>36</v>
      </c>
      <c r="L117" s="35">
        <v>0.6319444444444444</v>
      </c>
      <c r="M117" s="245" t="s">
        <v>4368</v>
      </c>
      <c r="N117" s="26" t="s">
        <v>40</v>
      </c>
      <c r="O117" s="26" t="s">
        <v>42</v>
      </c>
      <c r="P117" s="27" t="s">
        <v>3997</v>
      </c>
      <c r="Q117" s="26" t="s">
        <v>863</v>
      </c>
      <c r="R117" s="26" t="s">
        <v>46</v>
      </c>
      <c r="S117" s="35">
        <v>0.6319444444444444</v>
      </c>
      <c r="T117" s="27" t="s">
        <v>3566</v>
      </c>
      <c r="U117" s="26" t="s">
        <v>49</v>
      </c>
      <c r="V117" s="26">
        <v>5.0</v>
      </c>
    </row>
    <row r="118">
      <c r="A118" s="26">
        <v>117.0</v>
      </c>
      <c r="B118" s="188">
        <v>46174.0</v>
      </c>
      <c r="C118" s="26" t="s">
        <v>47</v>
      </c>
      <c r="D118" s="26" t="s">
        <v>48</v>
      </c>
      <c r="E118" s="27" t="s">
        <v>4375</v>
      </c>
      <c r="F118" s="36">
        <v>5.43000488E8</v>
      </c>
      <c r="G118" s="27" t="s">
        <v>41</v>
      </c>
      <c r="H118" s="26" t="s">
        <v>956</v>
      </c>
      <c r="I118" s="179" t="s">
        <v>4376</v>
      </c>
      <c r="J118" s="27"/>
      <c r="K118" s="26" t="s">
        <v>36</v>
      </c>
      <c r="L118" s="35">
        <v>0.5208333333333334</v>
      </c>
      <c r="M118" s="27" t="s">
        <v>101</v>
      </c>
      <c r="N118" s="26" t="s">
        <v>40</v>
      </c>
      <c r="O118" s="26" t="s">
        <v>518</v>
      </c>
      <c r="P118" s="27" t="s">
        <v>3765</v>
      </c>
      <c r="Q118" s="26" t="s">
        <v>863</v>
      </c>
      <c r="R118" s="26" t="s">
        <v>46</v>
      </c>
      <c r="S118" s="35">
        <v>0.6743055555555556</v>
      </c>
      <c r="T118" s="27" t="s">
        <v>3566</v>
      </c>
      <c r="U118" s="26" t="s">
        <v>863</v>
      </c>
      <c r="V118" s="26">
        <v>5.0</v>
      </c>
    </row>
    <row r="119">
      <c r="A119" s="175">
        <v>118.0</v>
      </c>
      <c r="B119" s="176">
        <v>46174.0</v>
      </c>
      <c r="C119" s="175" t="s">
        <v>58</v>
      </c>
      <c r="D119" s="175" t="s">
        <v>60</v>
      </c>
      <c r="E119" s="175" t="s">
        <v>27</v>
      </c>
      <c r="F119" s="175">
        <v>5.03125237E8</v>
      </c>
      <c r="G119" s="175" t="s">
        <v>27</v>
      </c>
      <c r="H119" s="175" t="s">
        <v>27</v>
      </c>
      <c r="I119" s="179" t="s">
        <v>4384</v>
      </c>
      <c r="J119" s="177"/>
      <c r="K119" s="175" t="s">
        <v>65</v>
      </c>
      <c r="L119" s="180"/>
      <c r="M119" s="181" t="s">
        <v>88</v>
      </c>
      <c r="N119" s="175" t="s">
        <v>40</v>
      </c>
      <c r="O119" s="175" t="s">
        <v>42</v>
      </c>
      <c r="P119" s="177" t="s">
        <v>3566</v>
      </c>
      <c r="Q119" s="175" t="s">
        <v>863</v>
      </c>
      <c r="R119" s="175"/>
      <c r="S119" s="180"/>
      <c r="T119" s="177"/>
      <c r="U119" s="175"/>
      <c r="V119" s="175">
        <v>5.0</v>
      </c>
    </row>
    <row r="120">
      <c r="A120" s="175">
        <v>119.0</v>
      </c>
      <c r="B120" s="176">
        <v>46174.0</v>
      </c>
      <c r="C120" s="175" t="s">
        <v>21</v>
      </c>
      <c r="D120" s="175" t="s">
        <v>24</v>
      </c>
      <c r="E120" s="177" t="s">
        <v>4389</v>
      </c>
      <c r="F120" s="207">
        <v>5.41100064E8</v>
      </c>
      <c r="G120" s="177" t="s">
        <v>4091</v>
      </c>
      <c r="H120" s="175" t="s">
        <v>27</v>
      </c>
      <c r="I120" s="30" t="s">
        <v>4395</v>
      </c>
      <c r="J120" s="176"/>
      <c r="K120" s="175" t="s">
        <v>36</v>
      </c>
      <c r="L120" s="246"/>
      <c r="M120" s="177" t="s">
        <v>38</v>
      </c>
      <c r="N120" s="175" t="s">
        <v>56</v>
      </c>
      <c r="O120" s="175" t="s">
        <v>42</v>
      </c>
      <c r="P120" s="177" t="s">
        <v>3566</v>
      </c>
      <c r="Q120" s="175" t="s">
        <v>863</v>
      </c>
      <c r="R120" s="175" t="s">
        <v>46</v>
      </c>
      <c r="S120" s="180"/>
      <c r="T120" s="175"/>
      <c r="U120" s="176"/>
      <c r="V120" s="175">
        <v>0.0</v>
      </c>
    </row>
    <row r="121">
      <c r="A121" s="175">
        <v>120.0</v>
      </c>
      <c r="B121" s="176">
        <v>46174.0</v>
      </c>
      <c r="C121" s="175" t="s">
        <v>21</v>
      </c>
      <c r="D121" s="175" t="s">
        <v>22</v>
      </c>
      <c r="E121" s="177" t="s">
        <v>4148</v>
      </c>
      <c r="F121" s="207">
        <v>5.48148E8</v>
      </c>
      <c r="G121" s="175" t="s">
        <v>27</v>
      </c>
      <c r="H121" s="175" t="s">
        <v>27</v>
      </c>
      <c r="I121" s="209" t="s">
        <v>4151</v>
      </c>
      <c r="J121" s="177"/>
      <c r="K121" s="175" t="s">
        <v>321</v>
      </c>
      <c r="L121" s="180"/>
      <c r="M121" s="177" t="s">
        <v>125</v>
      </c>
      <c r="N121" s="175" t="s">
        <v>40</v>
      </c>
      <c r="O121" s="175" t="s">
        <v>42</v>
      </c>
      <c r="P121" s="177" t="s">
        <v>3566</v>
      </c>
      <c r="Q121" s="175" t="s">
        <v>49</v>
      </c>
      <c r="R121" s="175" t="s">
        <v>46</v>
      </c>
      <c r="S121" s="180"/>
      <c r="T121" s="177"/>
      <c r="U121" s="175"/>
      <c r="V121" s="175">
        <v>5.0</v>
      </c>
    </row>
    <row r="122">
      <c r="A122" s="175">
        <v>121.0</v>
      </c>
      <c r="B122" s="176">
        <v>46174.0</v>
      </c>
      <c r="C122" s="175" t="s">
        <v>58</v>
      </c>
      <c r="D122" s="175" t="s">
        <v>66</v>
      </c>
      <c r="E122" s="247" t="s">
        <v>4404</v>
      </c>
      <c r="F122" s="248">
        <v>5.0607048E8</v>
      </c>
      <c r="G122" s="247" t="s">
        <v>2595</v>
      </c>
      <c r="H122" s="250" t="s">
        <v>27</v>
      </c>
      <c r="I122" s="251" t="s">
        <v>4407</v>
      </c>
      <c r="J122" s="247"/>
      <c r="K122" s="175" t="s">
        <v>36</v>
      </c>
      <c r="L122" s="246"/>
      <c r="M122" s="252" t="s">
        <v>208</v>
      </c>
      <c r="N122" s="175" t="s">
        <v>40</v>
      </c>
      <c r="O122" s="175" t="s">
        <v>42</v>
      </c>
      <c r="P122" s="177" t="s">
        <v>3566</v>
      </c>
      <c r="Q122" s="175" t="s">
        <v>863</v>
      </c>
      <c r="R122" s="175"/>
      <c r="S122" s="180"/>
      <c r="T122" s="177"/>
      <c r="U122" s="175"/>
      <c r="V122" s="175">
        <v>5.0</v>
      </c>
    </row>
    <row r="123">
      <c r="A123" s="175">
        <v>122.0</v>
      </c>
      <c r="B123" s="176">
        <v>46174.0</v>
      </c>
      <c r="C123" s="175" t="s">
        <v>21</v>
      </c>
      <c r="D123" s="175" t="s">
        <v>34</v>
      </c>
      <c r="E123" s="177" t="s">
        <v>4413</v>
      </c>
      <c r="F123" s="207">
        <v>5.00349044E8</v>
      </c>
      <c r="G123" s="175" t="s">
        <v>27</v>
      </c>
      <c r="H123" s="175" t="s">
        <v>27</v>
      </c>
      <c r="I123" s="209" t="s">
        <v>4416</v>
      </c>
      <c r="J123" s="177" t="s">
        <v>4417</v>
      </c>
      <c r="K123" s="175" t="s">
        <v>39</v>
      </c>
      <c r="L123" s="180">
        <v>0.4791666666666667</v>
      </c>
      <c r="M123" s="253" t="s">
        <v>51</v>
      </c>
      <c r="N123" s="175" t="s">
        <v>56</v>
      </c>
      <c r="O123" s="175" t="s">
        <v>42</v>
      </c>
      <c r="P123" s="177" t="s">
        <v>3566</v>
      </c>
      <c r="Q123" s="175" t="s">
        <v>44</v>
      </c>
      <c r="R123" s="175"/>
      <c r="S123" s="246">
        <v>0.4791666666666667</v>
      </c>
      <c r="T123" s="177" t="s">
        <v>3566</v>
      </c>
      <c r="U123" s="175" t="s">
        <v>44</v>
      </c>
      <c r="V123" s="175">
        <v>5.0</v>
      </c>
    </row>
    <row r="124">
      <c r="A124" s="175">
        <v>123.0</v>
      </c>
      <c r="B124" s="176">
        <v>46174.0</v>
      </c>
      <c r="C124" s="175" t="s">
        <v>21</v>
      </c>
      <c r="D124" s="175" t="s">
        <v>34</v>
      </c>
      <c r="E124" s="250" t="s">
        <v>4419</v>
      </c>
      <c r="F124" s="248">
        <v>5.01440326E8</v>
      </c>
      <c r="G124" s="250" t="s">
        <v>27</v>
      </c>
      <c r="H124" s="250" t="s">
        <v>27</v>
      </c>
      <c r="I124" s="251" t="s">
        <v>4422</v>
      </c>
      <c r="J124" s="177" t="s">
        <v>4417</v>
      </c>
      <c r="K124" s="250" t="s">
        <v>39</v>
      </c>
      <c r="L124" s="246">
        <v>0.4791666666666667</v>
      </c>
      <c r="M124" s="252" t="s">
        <v>51</v>
      </c>
      <c r="N124" s="175" t="s">
        <v>56</v>
      </c>
      <c r="O124" s="175" t="s">
        <v>42</v>
      </c>
      <c r="P124" s="177" t="s">
        <v>3566</v>
      </c>
      <c r="Q124" s="175" t="s">
        <v>44</v>
      </c>
      <c r="R124" s="175"/>
      <c r="S124" s="180">
        <v>0.4791666666666667</v>
      </c>
      <c r="T124" s="177" t="s">
        <v>3566</v>
      </c>
      <c r="U124" s="175" t="s">
        <v>44</v>
      </c>
      <c r="V124" s="175">
        <v>5.0</v>
      </c>
    </row>
    <row r="125">
      <c r="A125" s="175">
        <v>124.0</v>
      </c>
      <c r="B125" s="176">
        <v>46174.0</v>
      </c>
      <c r="C125" s="175" t="s">
        <v>21</v>
      </c>
      <c r="D125" s="175" t="s">
        <v>34</v>
      </c>
      <c r="E125" s="177" t="s">
        <v>4428</v>
      </c>
      <c r="F125" s="207">
        <v>5.49500475E8</v>
      </c>
      <c r="G125" s="175" t="s">
        <v>27</v>
      </c>
      <c r="H125" s="175" t="s">
        <v>27</v>
      </c>
      <c r="I125" s="209" t="s">
        <v>4430</v>
      </c>
      <c r="J125" s="177" t="s">
        <v>4417</v>
      </c>
      <c r="K125" s="175" t="s">
        <v>39</v>
      </c>
      <c r="L125" s="180">
        <v>0.4791666666666667</v>
      </c>
      <c r="M125" s="253" t="s">
        <v>51</v>
      </c>
      <c r="N125" s="175" t="s">
        <v>56</v>
      </c>
      <c r="O125" s="175" t="s">
        <v>42</v>
      </c>
      <c r="P125" s="177" t="s">
        <v>3566</v>
      </c>
      <c r="Q125" s="175" t="s">
        <v>44</v>
      </c>
      <c r="R125" s="175"/>
      <c r="S125" s="246">
        <v>0.4791666666666667</v>
      </c>
      <c r="T125" s="177" t="s">
        <v>3566</v>
      </c>
      <c r="U125" s="175" t="s">
        <v>44</v>
      </c>
      <c r="V125" s="175">
        <v>5.0</v>
      </c>
    </row>
    <row r="126">
      <c r="A126" s="175">
        <v>125.0</v>
      </c>
      <c r="B126" s="176">
        <v>46174.0</v>
      </c>
      <c r="C126" s="175" t="s">
        <v>21</v>
      </c>
      <c r="D126" s="175" t="s">
        <v>24</v>
      </c>
      <c r="E126" s="247" t="s">
        <v>3716</v>
      </c>
      <c r="F126" s="248">
        <v>5.91889684E8</v>
      </c>
      <c r="G126" s="247" t="s">
        <v>71</v>
      </c>
      <c r="H126" s="250" t="s">
        <v>27</v>
      </c>
      <c r="I126" s="251" t="s">
        <v>4438</v>
      </c>
      <c r="J126" s="250" t="s">
        <v>4439</v>
      </c>
      <c r="K126" s="250" t="s">
        <v>39</v>
      </c>
      <c r="L126" s="246">
        <v>0.4791666666666667</v>
      </c>
      <c r="M126" s="177" t="s">
        <v>38</v>
      </c>
      <c r="N126" s="175" t="s">
        <v>56</v>
      </c>
      <c r="O126" s="175" t="s">
        <v>42</v>
      </c>
      <c r="P126" s="177" t="s">
        <v>3566</v>
      </c>
      <c r="Q126" s="175" t="s">
        <v>44</v>
      </c>
      <c r="R126" s="175" t="s">
        <v>46</v>
      </c>
      <c r="S126" s="180"/>
      <c r="T126" s="177"/>
      <c r="U126" s="175"/>
      <c r="V126" s="175">
        <v>5.0</v>
      </c>
    </row>
    <row r="127">
      <c r="A127" s="175">
        <v>126.0</v>
      </c>
      <c r="B127" s="176">
        <v>46174.0</v>
      </c>
      <c r="C127" s="175" t="s">
        <v>21</v>
      </c>
      <c r="D127" s="175" t="s">
        <v>34</v>
      </c>
      <c r="E127" s="177" t="s">
        <v>4443</v>
      </c>
      <c r="F127" s="207">
        <v>5.83303414E8</v>
      </c>
      <c r="G127" s="175" t="s">
        <v>27</v>
      </c>
      <c r="H127" s="175" t="s">
        <v>27</v>
      </c>
      <c r="I127" s="209" t="s">
        <v>4444</v>
      </c>
      <c r="J127" s="177" t="s">
        <v>4417</v>
      </c>
      <c r="K127" s="175" t="s">
        <v>39</v>
      </c>
      <c r="L127" s="180">
        <v>0.4791666666666667</v>
      </c>
      <c r="M127" s="253" t="s">
        <v>51</v>
      </c>
      <c r="N127" s="175" t="s">
        <v>56</v>
      </c>
      <c r="O127" s="175" t="s">
        <v>42</v>
      </c>
      <c r="P127" s="177" t="s">
        <v>3566</v>
      </c>
      <c r="Q127" s="175" t="s">
        <v>44</v>
      </c>
      <c r="R127" s="175"/>
      <c r="S127" s="246">
        <v>0.4791666666666667</v>
      </c>
      <c r="T127" s="177" t="s">
        <v>3566</v>
      </c>
      <c r="U127" s="175" t="s">
        <v>44</v>
      </c>
      <c r="V127" s="175">
        <v>5.0</v>
      </c>
    </row>
    <row r="128">
      <c r="A128" s="175">
        <v>127.0</v>
      </c>
      <c r="B128" s="176">
        <v>46174.0</v>
      </c>
      <c r="C128" s="175" t="s">
        <v>21</v>
      </c>
      <c r="D128" s="175" t="s">
        <v>34</v>
      </c>
      <c r="E128" s="247" t="s">
        <v>4450</v>
      </c>
      <c r="F128" s="248">
        <v>5.10146393E8</v>
      </c>
      <c r="G128" s="250" t="s">
        <v>27</v>
      </c>
      <c r="H128" s="250" t="s">
        <v>27</v>
      </c>
      <c r="I128" s="251" t="s">
        <v>4452</v>
      </c>
      <c r="J128" s="177" t="s">
        <v>4417</v>
      </c>
      <c r="K128" s="250" t="s">
        <v>39</v>
      </c>
      <c r="L128" s="246">
        <v>0.4791666666666667</v>
      </c>
      <c r="M128" s="252" t="s">
        <v>51</v>
      </c>
      <c r="N128" s="175" t="s">
        <v>56</v>
      </c>
      <c r="O128" s="175" t="s">
        <v>42</v>
      </c>
      <c r="P128" s="177" t="s">
        <v>3566</v>
      </c>
      <c r="Q128" s="175" t="s">
        <v>44</v>
      </c>
      <c r="R128" s="175"/>
      <c r="S128" s="180">
        <v>0.4791666666666667</v>
      </c>
      <c r="T128" s="177" t="s">
        <v>3566</v>
      </c>
      <c r="U128" s="175" t="s">
        <v>44</v>
      </c>
      <c r="V128" s="175">
        <v>5.0</v>
      </c>
    </row>
    <row r="129">
      <c r="A129" s="175">
        <v>128.0</v>
      </c>
      <c r="B129" s="176">
        <v>46174.0</v>
      </c>
      <c r="C129" s="175" t="s">
        <v>21</v>
      </c>
      <c r="D129" s="175" t="s">
        <v>34</v>
      </c>
      <c r="E129" s="177" t="s">
        <v>4457</v>
      </c>
      <c r="F129" s="207">
        <v>5.3504947E8</v>
      </c>
      <c r="G129" s="175" t="s">
        <v>27</v>
      </c>
      <c r="H129" s="175" t="s">
        <v>27</v>
      </c>
      <c r="I129" s="209" t="s">
        <v>4460</v>
      </c>
      <c r="J129" s="177" t="s">
        <v>4417</v>
      </c>
      <c r="K129" s="175" t="s">
        <v>39</v>
      </c>
      <c r="L129" s="180">
        <v>0.4791666666666667</v>
      </c>
      <c r="M129" s="253" t="s">
        <v>51</v>
      </c>
      <c r="N129" s="175" t="s">
        <v>56</v>
      </c>
      <c r="O129" s="175" t="s">
        <v>42</v>
      </c>
      <c r="P129" s="177" t="s">
        <v>3566</v>
      </c>
      <c r="Q129" s="175" t="s">
        <v>44</v>
      </c>
      <c r="R129" s="175"/>
      <c r="S129" s="246">
        <v>0.4791666666666667</v>
      </c>
      <c r="T129" s="177" t="s">
        <v>3566</v>
      </c>
      <c r="U129" s="175" t="s">
        <v>44</v>
      </c>
      <c r="V129" s="175">
        <v>5.0</v>
      </c>
    </row>
    <row r="130">
      <c r="A130" s="175">
        <v>129.0</v>
      </c>
      <c r="B130" s="176">
        <v>46174.0</v>
      </c>
      <c r="C130" s="175" t="s">
        <v>21</v>
      </c>
      <c r="D130" s="175" t="s">
        <v>34</v>
      </c>
      <c r="E130" s="247" t="s">
        <v>2549</v>
      </c>
      <c r="F130" s="248">
        <v>5.56596231E8</v>
      </c>
      <c r="G130" s="250" t="s">
        <v>27</v>
      </c>
      <c r="H130" s="250" t="s">
        <v>27</v>
      </c>
      <c r="I130" s="251" t="s">
        <v>4466</v>
      </c>
      <c r="J130" s="177" t="s">
        <v>4417</v>
      </c>
      <c r="K130" s="250" t="s">
        <v>39</v>
      </c>
      <c r="L130" s="246">
        <v>0.4791666666666667</v>
      </c>
      <c r="M130" s="252" t="s">
        <v>51</v>
      </c>
      <c r="N130" s="175" t="s">
        <v>56</v>
      </c>
      <c r="O130" s="175" t="s">
        <v>42</v>
      </c>
      <c r="P130" s="177" t="s">
        <v>3566</v>
      </c>
      <c r="Q130" s="175" t="s">
        <v>44</v>
      </c>
      <c r="R130" s="175"/>
      <c r="S130" s="180">
        <v>0.4791666666666667</v>
      </c>
      <c r="T130" s="177" t="s">
        <v>3566</v>
      </c>
      <c r="U130" s="175" t="s">
        <v>44</v>
      </c>
      <c r="V130" s="175">
        <v>5.0</v>
      </c>
    </row>
    <row r="131">
      <c r="A131" s="175">
        <v>130.0</v>
      </c>
      <c r="B131" s="176">
        <v>46174.0</v>
      </c>
      <c r="C131" s="175" t="s">
        <v>21</v>
      </c>
      <c r="D131" s="175" t="s">
        <v>34</v>
      </c>
      <c r="E131" s="177" t="s">
        <v>4474</v>
      </c>
      <c r="F131" s="207">
        <v>5.53195744E8</v>
      </c>
      <c r="G131" s="175" t="s">
        <v>27</v>
      </c>
      <c r="H131" s="175" t="s">
        <v>27</v>
      </c>
      <c r="I131" s="209" t="s">
        <v>4478</v>
      </c>
      <c r="J131" s="177" t="s">
        <v>4417</v>
      </c>
      <c r="K131" s="175" t="s">
        <v>39</v>
      </c>
      <c r="L131" s="180">
        <v>0.4791666666666667</v>
      </c>
      <c r="M131" s="253" t="s">
        <v>51</v>
      </c>
      <c r="N131" s="175" t="s">
        <v>56</v>
      </c>
      <c r="O131" s="175" t="s">
        <v>42</v>
      </c>
      <c r="P131" s="177" t="s">
        <v>3566</v>
      </c>
      <c r="Q131" s="175" t="s">
        <v>44</v>
      </c>
      <c r="R131" s="175"/>
      <c r="S131" s="246">
        <v>0.4791666666666667</v>
      </c>
      <c r="T131" s="177" t="s">
        <v>3566</v>
      </c>
      <c r="U131" s="175" t="s">
        <v>44</v>
      </c>
      <c r="V131" s="175">
        <v>5.0</v>
      </c>
    </row>
    <row r="132">
      <c r="A132" s="175">
        <v>131.0</v>
      </c>
      <c r="B132" s="176">
        <v>46174.0</v>
      </c>
      <c r="C132" s="175" t="s">
        <v>21</v>
      </c>
      <c r="D132" s="175" t="s">
        <v>34</v>
      </c>
      <c r="E132" s="247" t="s">
        <v>4487</v>
      </c>
      <c r="F132" s="248">
        <v>5.53195744E8</v>
      </c>
      <c r="G132" s="250" t="s">
        <v>27</v>
      </c>
      <c r="H132" s="250" t="s">
        <v>27</v>
      </c>
      <c r="I132" s="251" t="s">
        <v>4430</v>
      </c>
      <c r="J132" s="177" t="s">
        <v>4417</v>
      </c>
      <c r="K132" s="250" t="s">
        <v>39</v>
      </c>
      <c r="L132" s="246">
        <v>0.4791666666666667</v>
      </c>
      <c r="M132" s="252" t="s">
        <v>51</v>
      </c>
      <c r="N132" s="175" t="s">
        <v>56</v>
      </c>
      <c r="O132" s="175" t="s">
        <v>42</v>
      </c>
      <c r="P132" s="177" t="s">
        <v>3566</v>
      </c>
      <c r="Q132" s="175" t="s">
        <v>44</v>
      </c>
      <c r="R132" s="175"/>
      <c r="S132" s="180">
        <v>0.4791666666666667</v>
      </c>
      <c r="T132" s="177" t="s">
        <v>3566</v>
      </c>
      <c r="U132" s="175" t="s">
        <v>44</v>
      </c>
      <c r="V132" s="175">
        <v>5.0</v>
      </c>
    </row>
    <row r="133">
      <c r="A133" s="175">
        <v>132.0</v>
      </c>
      <c r="B133" s="176">
        <v>46174.0</v>
      </c>
      <c r="C133" s="175" t="s">
        <v>21</v>
      </c>
      <c r="D133" s="175" t="s">
        <v>34</v>
      </c>
      <c r="E133" s="177" t="s">
        <v>4495</v>
      </c>
      <c r="F133" s="207">
        <v>5.98990099E8</v>
      </c>
      <c r="G133" s="175" t="s">
        <v>27</v>
      </c>
      <c r="H133" s="175" t="s">
        <v>27</v>
      </c>
      <c r="I133" s="209" t="s">
        <v>4496</v>
      </c>
      <c r="J133" s="177" t="s">
        <v>4417</v>
      </c>
      <c r="K133" s="175" t="s">
        <v>39</v>
      </c>
      <c r="L133" s="180">
        <v>0.4791666666666667</v>
      </c>
      <c r="M133" s="253" t="s">
        <v>51</v>
      </c>
      <c r="N133" s="175" t="s">
        <v>56</v>
      </c>
      <c r="O133" s="175" t="s">
        <v>42</v>
      </c>
      <c r="P133" s="177" t="s">
        <v>3566</v>
      </c>
      <c r="Q133" s="175" t="s">
        <v>44</v>
      </c>
      <c r="R133" s="175"/>
      <c r="S133" s="246">
        <v>0.4791666666666667</v>
      </c>
      <c r="T133" s="177" t="s">
        <v>3566</v>
      </c>
      <c r="U133" s="175" t="s">
        <v>44</v>
      </c>
      <c r="V133" s="175">
        <v>5.0</v>
      </c>
    </row>
    <row r="134">
      <c r="A134" s="175">
        <v>133.0</v>
      </c>
      <c r="B134" s="176">
        <v>46174.0</v>
      </c>
      <c r="C134" s="175" t="s">
        <v>21</v>
      </c>
      <c r="D134" s="175" t="s">
        <v>34</v>
      </c>
      <c r="E134" s="247" t="s">
        <v>1103</v>
      </c>
      <c r="F134" s="248">
        <v>5.43969801E8</v>
      </c>
      <c r="G134" s="250" t="s">
        <v>27</v>
      </c>
      <c r="H134" s="250" t="s">
        <v>27</v>
      </c>
      <c r="I134" s="251" t="s">
        <v>4503</v>
      </c>
      <c r="J134" s="177" t="s">
        <v>4417</v>
      </c>
      <c r="K134" s="250" t="s">
        <v>39</v>
      </c>
      <c r="L134" s="246">
        <v>0.4791666666666667</v>
      </c>
      <c r="M134" s="252" t="s">
        <v>51</v>
      </c>
      <c r="N134" s="175" t="s">
        <v>56</v>
      </c>
      <c r="O134" s="175" t="s">
        <v>42</v>
      </c>
      <c r="P134" s="177" t="s">
        <v>3566</v>
      </c>
      <c r="Q134" s="175" t="s">
        <v>44</v>
      </c>
      <c r="R134" s="175"/>
      <c r="S134" s="180">
        <v>0.4791666666666667</v>
      </c>
      <c r="T134" s="177" t="s">
        <v>3566</v>
      </c>
      <c r="U134" s="175" t="s">
        <v>44</v>
      </c>
      <c r="V134" s="175">
        <v>5.0</v>
      </c>
    </row>
    <row r="135">
      <c r="A135" s="175">
        <v>134.0</v>
      </c>
      <c r="B135" s="176">
        <v>46174.0</v>
      </c>
      <c r="C135" s="175" t="s">
        <v>21</v>
      </c>
      <c r="D135" s="175" t="s">
        <v>34</v>
      </c>
      <c r="E135" s="177" t="s">
        <v>501</v>
      </c>
      <c r="F135" s="207">
        <v>5.4489961E8</v>
      </c>
      <c r="G135" s="175" t="s">
        <v>27</v>
      </c>
      <c r="H135" s="175" t="s">
        <v>27</v>
      </c>
      <c r="I135" s="209" t="s">
        <v>4430</v>
      </c>
      <c r="J135" s="177" t="s">
        <v>4417</v>
      </c>
      <c r="K135" s="175" t="s">
        <v>39</v>
      </c>
      <c r="L135" s="180">
        <v>0.4791666666666667</v>
      </c>
      <c r="M135" s="253" t="s">
        <v>51</v>
      </c>
      <c r="N135" s="175" t="s">
        <v>56</v>
      </c>
      <c r="O135" s="175" t="s">
        <v>42</v>
      </c>
      <c r="P135" s="177" t="s">
        <v>3566</v>
      </c>
      <c r="Q135" s="175" t="s">
        <v>44</v>
      </c>
      <c r="R135" s="175"/>
      <c r="S135" s="246">
        <v>0.4791666666666667</v>
      </c>
      <c r="T135" s="177" t="s">
        <v>3566</v>
      </c>
      <c r="U135" s="175" t="s">
        <v>44</v>
      </c>
      <c r="V135" s="175">
        <v>5.0</v>
      </c>
    </row>
    <row r="136">
      <c r="A136" s="175">
        <v>135.0</v>
      </c>
      <c r="B136" s="176">
        <v>46174.0</v>
      </c>
      <c r="C136" s="175" t="s">
        <v>21</v>
      </c>
      <c r="D136" s="175" t="s">
        <v>34</v>
      </c>
      <c r="E136" s="247" t="s">
        <v>4509</v>
      </c>
      <c r="F136" s="248">
        <v>5.47651438E8</v>
      </c>
      <c r="G136" s="250" t="s">
        <v>27</v>
      </c>
      <c r="H136" s="250" t="s">
        <v>27</v>
      </c>
      <c r="I136" s="251" t="s">
        <v>4510</v>
      </c>
      <c r="J136" s="177" t="s">
        <v>4417</v>
      </c>
      <c r="K136" s="250" t="s">
        <v>39</v>
      </c>
      <c r="L136" s="246">
        <v>0.4791666666666667</v>
      </c>
      <c r="M136" s="252" t="s">
        <v>51</v>
      </c>
      <c r="N136" s="175" t="s">
        <v>56</v>
      </c>
      <c r="O136" s="175" t="s">
        <v>42</v>
      </c>
      <c r="P136" s="177" t="s">
        <v>3566</v>
      </c>
      <c r="Q136" s="175" t="s">
        <v>44</v>
      </c>
      <c r="R136" s="175"/>
      <c r="S136" s="180">
        <v>0.4791666666666667</v>
      </c>
      <c r="T136" s="177" t="s">
        <v>3566</v>
      </c>
      <c r="U136" s="175" t="s">
        <v>44</v>
      </c>
      <c r="V136" s="175">
        <v>5.0</v>
      </c>
    </row>
    <row r="137">
      <c r="A137" s="175">
        <v>136.0</v>
      </c>
      <c r="B137" s="176">
        <v>46174.0</v>
      </c>
      <c r="C137" s="175" t="s">
        <v>21</v>
      </c>
      <c r="D137" s="175" t="s">
        <v>34</v>
      </c>
      <c r="E137" s="177" t="s">
        <v>1197</v>
      </c>
      <c r="F137" s="207">
        <v>5.9096511E8</v>
      </c>
      <c r="G137" s="175" t="s">
        <v>27</v>
      </c>
      <c r="H137" s="175" t="s">
        <v>27</v>
      </c>
      <c r="I137" s="209" t="s">
        <v>4518</v>
      </c>
      <c r="J137" s="177" t="s">
        <v>4417</v>
      </c>
      <c r="K137" s="175" t="s">
        <v>39</v>
      </c>
      <c r="L137" s="180">
        <v>0.4791666666666667</v>
      </c>
      <c r="M137" s="253" t="s">
        <v>51</v>
      </c>
      <c r="N137" s="175" t="s">
        <v>56</v>
      </c>
      <c r="O137" s="175" t="s">
        <v>42</v>
      </c>
      <c r="P137" s="177" t="s">
        <v>3566</v>
      </c>
      <c r="Q137" s="175" t="s">
        <v>44</v>
      </c>
      <c r="R137" s="175"/>
      <c r="S137" s="246">
        <v>0.4791666666666667</v>
      </c>
      <c r="T137" s="177" t="s">
        <v>3566</v>
      </c>
      <c r="U137" s="175" t="s">
        <v>44</v>
      </c>
      <c r="V137" s="175">
        <v>5.0</v>
      </c>
    </row>
    <row r="138">
      <c r="A138" s="175">
        <v>137.0</v>
      </c>
      <c r="B138" s="176">
        <v>46174.0</v>
      </c>
      <c r="C138" s="175" t="s">
        <v>21</v>
      </c>
      <c r="D138" s="175" t="s">
        <v>22</v>
      </c>
      <c r="E138" s="247" t="s">
        <v>4521</v>
      </c>
      <c r="F138" s="248">
        <v>5.55819475E8</v>
      </c>
      <c r="G138" s="250" t="s">
        <v>27</v>
      </c>
      <c r="H138" s="250" t="s">
        <v>27</v>
      </c>
      <c r="I138" s="251" t="s">
        <v>4523</v>
      </c>
      <c r="J138" s="247"/>
      <c r="K138" s="250" t="s">
        <v>39</v>
      </c>
      <c r="L138" s="246">
        <v>0.4791666666666667</v>
      </c>
      <c r="M138" s="252" t="s">
        <v>125</v>
      </c>
      <c r="N138" s="175" t="s">
        <v>40</v>
      </c>
      <c r="O138" s="175" t="s">
        <v>42</v>
      </c>
      <c r="P138" s="177" t="s">
        <v>3566</v>
      </c>
      <c r="Q138" s="175" t="s">
        <v>44</v>
      </c>
      <c r="R138" s="175" t="s">
        <v>46</v>
      </c>
      <c r="S138" s="180"/>
      <c r="T138" s="177"/>
      <c r="U138" s="175"/>
      <c r="V138" s="175">
        <v>5.0</v>
      </c>
    </row>
    <row r="139">
      <c r="A139" s="175">
        <v>138.0</v>
      </c>
      <c r="B139" s="176">
        <v>46174.0</v>
      </c>
      <c r="C139" s="175" t="s">
        <v>21</v>
      </c>
      <c r="D139" s="175" t="s">
        <v>22</v>
      </c>
      <c r="E139" s="177" t="s">
        <v>4526</v>
      </c>
      <c r="F139" s="207">
        <v>5.62550062E8</v>
      </c>
      <c r="G139" s="175" t="s">
        <v>27</v>
      </c>
      <c r="H139" s="175" t="s">
        <v>27</v>
      </c>
      <c r="I139" s="209" t="s">
        <v>4528</v>
      </c>
      <c r="J139" s="177"/>
      <c r="K139" s="175" t="s">
        <v>39</v>
      </c>
      <c r="L139" s="180">
        <v>0.4791666666666667</v>
      </c>
      <c r="M139" s="177" t="s">
        <v>38</v>
      </c>
      <c r="N139" s="175" t="s">
        <v>40</v>
      </c>
      <c r="O139" s="175" t="s">
        <v>42</v>
      </c>
      <c r="P139" s="177" t="s">
        <v>3566</v>
      </c>
      <c r="Q139" s="175" t="s">
        <v>44</v>
      </c>
      <c r="R139" s="175" t="s">
        <v>46</v>
      </c>
      <c r="S139" s="246"/>
      <c r="T139" s="177"/>
      <c r="U139" s="175"/>
      <c r="V139" s="175">
        <v>5.0</v>
      </c>
    </row>
    <row r="140">
      <c r="A140" s="175">
        <v>139.0</v>
      </c>
      <c r="B140" s="176">
        <v>46174.0</v>
      </c>
      <c r="C140" s="175" t="s">
        <v>21</v>
      </c>
      <c r="D140" s="175" t="s">
        <v>34</v>
      </c>
      <c r="E140" s="247" t="s">
        <v>4532</v>
      </c>
      <c r="F140" s="248">
        <v>5.31505038E8</v>
      </c>
      <c r="G140" s="250" t="s">
        <v>27</v>
      </c>
      <c r="H140" s="250" t="s">
        <v>27</v>
      </c>
      <c r="I140" s="251" t="s">
        <v>4533</v>
      </c>
      <c r="J140" s="177" t="s">
        <v>4417</v>
      </c>
      <c r="K140" s="250" t="s">
        <v>39</v>
      </c>
      <c r="L140" s="246">
        <v>0.4791666666666667</v>
      </c>
      <c r="M140" s="252" t="s">
        <v>51</v>
      </c>
      <c r="N140" s="175" t="s">
        <v>56</v>
      </c>
      <c r="O140" s="175" t="s">
        <v>42</v>
      </c>
      <c r="P140" s="177" t="s">
        <v>3566</v>
      </c>
      <c r="Q140" s="175" t="s">
        <v>44</v>
      </c>
      <c r="R140" s="175"/>
      <c r="S140" s="180">
        <v>0.4791666666666667</v>
      </c>
      <c r="T140" s="177" t="s">
        <v>3566</v>
      </c>
      <c r="U140" s="175" t="s">
        <v>44</v>
      </c>
      <c r="V140" s="175">
        <v>5.0</v>
      </c>
    </row>
    <row r="141">
      <c r="A141" s="175">
        <v>140.0</v>
      </c>
      <c r="B141" s="176">
        <v>46174.0</v>
      </c>
      <c r="C141" s="175" t="s">
        <v>21</v>
      </c>
      <c r="D141" s="175" t="s">
        <v>34</v>
      </c>
      <c r="E141" s="177" t="s">
        <v>4539</v>
      </c>
      <c r="F141" s="207">
        <v>5.54957066E8</v>
      </c>
      <c r="G141" s="175" t="s">
        <v>27</v>
      </c>
      <c r="H141" s="175" t="s">
        <v>27</v>
      </c>
      <c r="I141" s="209" t="s">
        <v>4541</v>
      </c>
      <c r="J141" s="177" t="s">
        <v>4417</v>
      </c>
      <c r="K141" s="175" t="s">
        <v>39</v>
      </c>
      <c r="L141" s="180">
        <v>0.4791666666666667</v>
      </c>
      <c r="M141" s="253" t="s">
        <v>51</v>
      </c>
      <c r="N141" s="175" t="s">
        <v>56</v>
      </c>
      <c r="O141" s="175" t="s">
        <v>42</v>
      </c>
      <c r="P141" s="177" t="s">
        <v>3566</v>
      </c>
      <c r="Q141" s="175" t="s">
        <v>44</v>
      </c>
      <c r="R141" s="175"/>
      <c r="S141" s="246">
        <v>0.4791666666666667</v>
      </c>
      <c r="T141" s="177" t="s">
        <v>3566</v>
      </c>
      <c r="U141" s="175" t="s">
        <v>44</v>
      </c>
      <c r="V141" s="175">
        <v>5.0</v>
      </c>
    </row>
    <row r="142">
      <c r="A142" s="175">
        <v>141.0</v>
      </c>
      <c r="B142" s="176">
        <v>46174.0</v>
      </c>
      <c r="C142" s="175" t="s">
        <v>21</v>
      </c>
      <c r="D142" s="175" t="s">
        <v>34</v>
      </c>
      <c r="E142" s="250" t="s">
        <v>4546</v>
      </c>
      <c r="F142" s="248">
        <v>5.00990892E8</v>
      </c>
      <c r="G142" s="250" t="s">
        <v>27</v>
      </c>
      <c r="H142" s="250" t="s">
        <v>27</v>
      </c>
      <c r="I142" s="264" t="s">
        <v>4547</v>
      </c>
      <c r="J142" s="177" t="s">
        <v>4417</v>
      </c>
      <c r="K142" s="250" t="s">
        <v>39</v>
      </c>
      <c r="L142" s="246">
        <v>0.4791666666666667</v>
      </c>
      <c r="M142" s="252" t="s">
        <v>51</v>
      </c>
      <c r="N142" s="175" t="s">
        <v>56</v>
      </c>
      <c r="O142" s="175" t="s">
        <v>42</v>
      </c>
      <c r="P142" s="177" t="s">
        <v>3566</v>
      </c>
      <c r="Q142" s="175" t="s">
        <v>44</v>
      </c>
      <c r="R142" s="175"/>
      <c r="S142" s="180">
        <v>0.4791666666666667</v>
      </c>
      <c r="T142" s="177" t="s">
        <v>3566</v>
      </c>
      <c r="U142" s="175" t="s">
        <v>44</v>
      </c>
      <c r="V142" s="175">
        <v>5.0</v>
      </c>
    </row>
    <row r="143" ht="255.0" customHeight="1">
      <c r="A143" s="175">
        <v>142.0</v>
      </c>
      <c r="B143" s="176">
        <v>46174.0</v>
      </c>
      <c r="C143" s="175" t="s">
        <v>21</v>
      </c>
      <c r="D143" s="175" t="s">
        <v>22</v>
      </c>
      <c r="E143" s="177" t="s">
        <v>1297</v>
      </c>
      <c r="F143" s="207">
        <v>5.38390007E8</v>
      </c>
      <c r="G143" s="177" t="s">
        <v>319</v>
      </c>
      <c r="H143" s="175" t="s">
        <v>27</v>
      </c>
      <c r="I143" s="209" t="s">
        <v>4556</v>
      </c>
      <c r="J143" s="177"/>
      <c r="K143" s="175" t="s">
        <v>39</v>
      </c>
      <c r="L143" s="180">
        <v>0.4791666666666667</v>
      </c>
      <c r="M143" s="177" t="s">
        <v>38</v>
      </c>
      <c r="N143" s="175" t="s">
        <v>40</v>
      </c>
      <c r="O143" s="175" t="s">
        <v>42</v>
      </c>
      <c r="P143" s="177" t="s">
        <v>3566</v>
      </c>
      <c r="Q143" s="175" t="s">
        <v>44</v>
      </c>
      <c r="R143" s="175" t="s">
        <v>46</v>
      </c>
      <c r="S143" s="246"/>
      <c r="T143" s="177"/>
      <c r="U143" s="175"/>
      <c r="V143" s="175">
        <v>5.0</v>
      </c>
    </row>
    <row r="144">
      <c r="A144" s="175">
        <v>143.0</v>
      </c>
      <c r="B144" s="176">
        <v>46174.0</v>
      </c>
      <c r="C144" s="175" t="s">
        <v>21</v>
      </c>
      <c r="D144" s="175" t="s">
        <v>22</v>
      </c>
      <c r="E144" s="247" t="s">
        <v>4562</v>
      </c>
      <c r="F144" s="248">
        <v>5.52552482E8</v>
      </c>
      <c r="G144" s="247" t="s">
        <v>362</v>
      </c>
      <c r="H144" s="250" t="s">
        <v>27</v>
      </c>
      <c r="I144" s="251" t="s">
        <v>4563</v>
      </c>
      <c r="J144" s="247"/>
      <c r="K144" s="250" t="s">
        <v>36</v>
      </c>
      <c r="L144" s="246"/>
      <c r="M144" s="252" t="s">
        <v>125</v>
      </c>
      <c r="N144" s="175" t="s">
        <v>40</v>
      </c>
      <c r="O144" s="175" t="s">
        <v>42</v>
      </c>
      <c r="P144" s="177" t="s">
        <v>3566</v>
      </c>
      <c r="Q144" s="175" t="s">
        <v>863</v>
      </c>
      <c r="R144" s="175" t="s">
        <v>46</v>
      </c>
      <c r="S144" s="180"/>
      <c r="T144" s="177"/>
      <c r="U144" s="175"/>
      <c r="V144" s="175">
        <v>5.0</v>
      </c>
    </row>
    <row r="145">
      <c r="A145" s="175">
        <v>144.0</v>
      </c>
      <c r="B145" s="176">
        <v>46174.0</v>
      </c>
      <c r="C145" s="175" t="s">
        <v>21</v>
      </c>
      <c r="D145" s="175" t="s">
        <v>24</v>
      </c>
      <c r="E145" s="177" t="s">
        <v>4568</v>
      </c>
      <c r="F145" s="207">
        <v>5.38565525E8</v>
      </c>
      <c r="G145" s="177" t="s">
        <v>4091</v>
      </c>
      <c r="H145" s="175" t="s">
        <v>27</v>
      </c>
      <c r="I145" s="209" t="s">
        <v>4569</v>
      </c>
      <c r="J145" s="177"/>
      <c r="K145" s="175" t="s">
        <v>36</v>
      </c>
      <c r="L145" s="180"/>
      <c r="M145" s="177" t="s">
        <v>38</v>
      </c>
      <c r="N145" s="175" t="s">
        <v>56</v>
      </c>
      <c r="O145" s="175" t="s">
        <v>42</v>
      </c>
      <c r="P145" s="177" t="s">
        <v>3566</v>
      </c>
      <c r="Q145" s="175" t="s">
        <v>863</v>
      </c>
      <c r="R145" s="175" t="s">
        <v>46</v>
      </c>
      <c r="S145" s="246"/>
      <c r="T145" s="177"/>
      <c r="U145" s="175"/>
      <c r="V145" s="175">
        <v>5.0</v>
      </c>
    </row>
    <row r="146">
      <c r="A146" s="175">
        <v>145.0</v>
      </c>
      <c r="B146" s="176">
        <v>46174.0</v>
      </c>
      <c r="C146" s="175" t="s">
        <v>21</v>
      </c>
      <c r="D146" s="175" t="s">
        <v>22</v>
      </c>
      <c r="E146" s="247" t="s">
        <v>4575</v>
      </c>
      <c r="F146" s="248">
        <v>5.03661049E8</v>
      </c>
      <c r="G146" s="177" t="s">
        <v>41</v>
      </c>
      <c r="H146" s="250" t="s">
        <v>27</v>
      </c>
      <c r="I146" s="251" t="s">
        <v>4576</v>
      </c>
      <c r="J146" s="247"/>
      <c r="K146" s="250" t="s">
        <v>36</v>
      </c>
      <c r="L146" s="246"/>
      <c r="M146" s="177" t="s">
        <v>38</v>
      </c>
      <c r="N146" s="175" t="s">
        <v>40</v>
      </c>
      <c r="O146" s="175" t="s">
        <v>42</v>
      </c>
      <c r="P146" s="177" t="s">
        <v>3566</v>
      </c>
      <c r="Q146" s="175" t="s">
        <v>863</v>
      </c>
      <c r="R146" s="175" t="s">
        <v>46</v>
      </c>
      <c r="S146" s="180"/>
      <c r="T146" s="177"/>
      <c r="U146" s="175"/>
      <c r="V146" s="175">
        <v>5.0</v>
      </c>
    </row>
    <row r="147">
      <c r="A147" s="175">
        <v>146.0</v>
      </c>
      <c r="B147" s="176">
        <v>46174.0</v>
      </c>
      <c r="C147" s="175" t="s">
        <v>21</v>
      </c>
      <c r="D147" s="175" t="s">
        <v>24</v>
      </c>
      <c r="E147" s="177" t="s">
        <v>4581</v>
      </c>
      <c r="F147" s="207">
        <v>5.55561999E8</v>
      </c>
      <c r="G147" s="177" t="s">
        <v>2174</v>
      </c>
      <c r="H147" s="175" t="s">
        <v>27</v>
      </c>
      <c r="I147" s="209" t="s">
        <v>4584</v>
      </c>
      <c r="J147" s="177"/>
      <c r="K147" s="175" t="s">
        <v>36</v>
      </c>
      <c r="L147" s="180"/>
      <c r="M147" s="177" t="s">
        <v>38</v>
      </c>
      <c r="N147" s="175" t="s">
        <v>56</v>
      </c>
      <c r="O147" s="175" t="s">
        <v>42</v>
      </c>
      <c r="P147" s="177" t="s">
        <v>3566</v>
      </c>
      <c r="Q147" s="175" t="s">
        <v>863</v>
      </c>
      <c r="R147" s="175" t="s">
        <v>46</v>
      </c>
      <c r="S147" s="246"/>
      <c r="T147" s="177"/>
      <c r="U147" s="175"/>
      <c r="V147" s="175">
        <v>5.0</v>
      </c>
    </row>
    <row r="148">
      <c r="A148" s="175">
        <v>147.0</v>
      </c>
      <c r="B148" s="176">
        <v>46175.0</v>
      </c>
      <c r="C148" s="175" t="s">
        <v>21</v>
      </c>
      <c r="D148" s="175" t="s">
        <v>22</v>
      </c>
      <c r="E148" s="247" t="s">
        <v>4587</v>
      </c>
      <c r="F148" s="248">
        <v>5.31404212E8</v>
      </c>
      <c r="G148" s="247"/>
      <c r="H148" s="250" t="s">
        <v>27</v>
      </c>
      <c r="I148" s="251" t="s">
        <v>4588</v>
      </c>
      <c r="J148" s="247"/>
      <c r="K148" s="250" t="s">
        <v>36</v>
      </c>
      <c r="L148" s="246"/>
      <c r="M148" s="177" t="s">
        <v>38</v>
      </c>
      <c r="N148" s="175" t="s">
        <v>40</v>
      </c>
      <c r="O148" s="175" t="s">
        <v>42</v>
      </c>
      <c r="P148" s="177" t="s">
        <v>3566</v>
      </c>
      <c r="Q148" s="175" t="s">
        <v>44</v>
      </c>
      <c r="R148" s="175" t="s">
        <v>46</v>
      </c>
      <c r="S148" s="180"/>
      <c r="T148" s="177"/>
      <c r="U148" s="175"/>
      <c r="V148" s="175">
        <v>5.0</v>
      </c>
    </row>
    <row r="149">
      <c r="A149" s="175">
        <v>148.0</v>
      </c>
      <c r="B149" s="176">
        <v>46175.0</v>
      </c>
      <c r="C149" s="175" t="s">
        <v>58</v>
      </c>
      <c r="D149" s="175" t="s">
        <v>60</v>
      </c>
      <c r="E149" s="175" t="s">
        <v>27</v>
      </c>
      <c r="F149" s="207">
        <v>5.07487956E8</v>
      </c>
      <c r="G149" s="175" t="s">
        <v>27</v>
      </c>
      <c r="H149" s="175" t="s">
        <v>27</v>
      </c>
      <c r="I149" s="209" t="s">
        <v>233</v>
      </c>
      <c r="J149" s="177"/>
      <c r="K149" s="175" t="s">
        <v>36</v>
      </c>
      <c r="L149" s="180"/>
      <c r="M149" s="253" t="s">
        <v>88</v>
      </c>
      <c r="N149" s="175" t="s">
        <v>40</v>
      </c>
      <c r="O149" s="175" t="s">
        <v>42</v>
      </c>
      <c r="P149" s="177" t="s">
        <v>3566</v>
      </c>
      <c r="Q149" s="175" t="s">
        <v>44</v>
      </c>
      <c r="R149" s="175"/>
      <c r="S149" s="246"/>
      <c r="T149" s="177"/>
      <c r="U149" s="175"/>
      <c r="V149" s="175">
        <v>5.0</v>
      </c>
    </row>
    <row r="150">
      <c r="A150" s="175">
        <v>149.0</v>
      </c>
      <c r="B150" s="176">
        <v>46175.0</v>
      </c>
      <c r="C150" s="175" t="s">
        <v>58</v>
      </c>
      <c r="D150" s="175" t="s">
        <v>60</v>
      </c>
      <c r="E150" s="175" t="s">
        <v>27</v>
      </c>
      <c r="F150" s="207">
        <v>5.11306894E8</v>
      </c>
      <c r="G150" s="250"/>
      <c r="H150" s="250" t="s">
        <v>27</v>
      </c>
      <c r="I150" s="251" t="s">
        <v>4597</v>
      </c>
      <c r="J150" s="247"/>
      <c r="K150" s="250" t="s">
        <v>36</v>
      </c>
      <c r="L150" s="246"/>
      <c r="M150" s="252" t="s">
        <v>88</v>
      </c>
      <c r="N150" s="175" t="s">
        <v>40</v>
      </c>
      <c r="O150" s="175" t="s">
        <v>42</v>
      </c>
      <c r="P150" s="177" t="s">
        <v>3566</v>
      </c>
      <c r="Q150" s="175" t="s">
        <v>863</v>
      </c>
      <c r="R150" s="175"/>
      <c r="S150" s="180"/>
      <c r="T150" s="177"/>
      <c r="U150" s="175"/>
      <c r="V150" s="175">
        <v>5.0</v>
      </c>
    </row>
    <row r="151">
      <c r="A151" s="175">
        <v>150.0</v>
      </c>
      <c r="B151" s="176">
        <v>46175.0</v>
      </c>
      <c r="C151" s="175" t="s">
        <v>21</v>
      </c>
      <c r="D151" s="175" t="s">
        <v>24</v>
      </c>
      <c r="E151" s="177" t="s">
        <v>4601</v>
      </c>
      <c r="F151" s="207">
        <v>5.70753316E8</v>
      </c>
      <c r="G151" s="177" t="s">
        <v>4091</v>
      </c>
      <c r="H151" s="175" t="s">
        <v>27</v>
      </c>
      <c r="I151" s="179" t="s">
        <v>4602</v>
      </c>
      <c r="J151" s="177"/>
      <c r="K151" s="175" t="s">
        <v>36</v>
      </c>
      <c r="L151" s="180"/>
      <c r="M151" s="177" t="s">
        <v>38</v>
      </c>
      <c r="N151" s="175" t="s">
        <v>56</v>
      </c>
      <c r="O151" s="175" t="s">
        <v>42</v>
      </c>
      <c r="P151" s="177" t="s">
        <v>3566</v>
      </c>
      <c r="Q151" s="175" t="s">
        <v>863</v>
      </c>
      <c r="R151" s="175" t="s">
        <v>46</v>
      </c>
      <c r="S151" s="180"/>
      <c r="T151" s="177"/>
      <c r="U151" s="175"/>
      <c r="V151" s="175">
        <v>5.0</v>
      </c>
    </row>
    <row r="152">
      <c r="A152" s="175">
        <v>151.0</v>
      </c>
      <c r="B152" s="176">
        <v>46175.0</v>
      </c>
      <c r="C152" s="175" t="s">
        <v>47</v>
      </c>
      <c r="D152" s="175" t="s">
        <v>48</v>
      </c>
      <c r="E152" s="177" t="s">
        <v>4206</v>
      </c>
      <c r="F152" s="178">
        <v>5.58902364E8</v>
      </c>
      <c r="G152" s="177" t="s">
        <v>41</v>
      </c>
      <c r="H152" s="175" t="s">
        <v>1220</v>
      </c>
      <c r="I152" s="179" t="s">
        <v>4604</v>
      </c>
      <c r="J152" s="27" t="s">
        <v>4605</v>
      </c>
      <c r="K152" s="175" t="s">
        <v>148</v>
      </c>
      <c r="L152" s="180"/>
      <c r="M152" s="201" t="s">
        <v>3764</v>
      </c>
      <c r="N152" s="175" t="s">
        <v>56</v>
      </c>
      <c r="O152" s="175" t="s">
        <v>518</v>
      </c>
      <c r="P152" s="177" t="s">
        <v>3765</v>
      </c>
      <c r="Q152" s="175" t="s">
        <v>863</v>
      </c>
      <c r="R152" s="175" t="s">
        <v>46</v>
      </c>
      <c r="S152" s="180"/>
      <c r="T152" s="177"/>
      <c r="U152" s="175"/>
      <c r="V152" s="175">
        <v>5.0</v>
      </c>
    </row>
    <row r="153">
      <c r="A153" s="175">
        <v>152.0</v>
      </c>
      <c r="B153" s="176">
        <v>46175.0</v>
      </c>
      <c r="C153" s="175" t="s">
        <v>47</v>
      </c>
      <c r="D153" s="175" t="s">
        <v>48</v>
      </c>
      <c r="E153" s="177" t="s">
        <v>4609</v>
      </c>
      <c r="F153" s="178">
        <v>5.93479378E8</v>
      </c>
      <c r="G153" s="177" t="s">
        <v>41</v>
      </c>
      <c r="H153" s="175" t="s">
        <v>52</v>
      </c>
      <c r="I153" s="179" t="s">
        <v>4610</v>
      </c>
      <c r="J153" s="27" t="s">
        <v>4611</v>
      </c>
      <c r="K153" s="175" t="s">
        <v>148</v>
      </c>
      <c r="L153" s="180"/>
      <c r="M153" s="177" t="s">
        <v>611</v>
      </c>
      <c r="N153" s="175" t="s">
        <v>56</v>
      </c>
      <c r="O153" s="175" t="s">
        <v>518</v>
      </c>
      <c r="P153" s="177" t="s">
        <v>3765</v>
      </c>
      <c r="Q153" s="175" t="s">
        <v>863</v>
      </c>
      <c r="R153" s="175" t="s">
        <v>46</v>
      </c>
      <c r="S153" s="180"/>
      <c r="T153" s="177"/>
      <c r="U153" s="175"/>
      <c r="V153" s="175">
        <v>5.0</v>
      </c>
    </row>
    <row r="154">
      <c r="A154" s="175">
        <v>153.0</v>
      </c>
      <c r="B154" s="176">
        <v>46175.0</v>
      </c>
      <c r="C154" s="175" t="s">
        <v>58</v>
      </c>
      <c r="D154" s="175" t="s">
        <v>60</v>
      </c>
      <c r="E154" s="175" t="s">
        <v>27</v>
      </c>
      <c r="F154" s="178">
        <v>5.49027096E8</v>
      </c>
      <c r="G154" s="177" t="s">
        <v>41</v>
      </c>
      <c r="H154" s="175" t="s">
        <v>27</v>
      </c>
      <c r="I154" s="179" t="s">
        <v>4615</v>
      </c>
      <c r="J154" s="177"/>
      <c r="K154" s="175" t="s">
        <v>36</v>
      </c>
      <c r="L154" s="180"/>
      <c r="M154" s="181" t="s">
        <v>88</v>
      </c>
      <c r="N154" s="175" t="s">
        <v>40</v>
      </c>
      <c r="O154" s="175" t="s">
        <v>42</v>
      </c>
      <c r="P154" s="177" t="s">
        <v>3566</v>
      </c>
      <c r="Q154" s="175" t="s">
        <v>44</v>
      </c>
      <c r="R154" s="175"/>
      <c r="S154" s="180"/>
      <c r="T154" s="177"/>
      <c r="U154" s="175"/>
      <c r="V154" s="175">
        <v>5.0</v>
      </c>
    </row>
    <row r="155">
      <c r="A155" s="175">
        <v>154.0</v>
      </c>
      <c r="B155" s="176">
        <v>46175.0</v>
      </c>
      <c r="C155" s="175" t="s">
        <v>47</v>
      </c>
      <c r="D155" s="175" t="s">
        <v>92</v>
      </c>
      <c r="E155" s="177" t="s">
        <v>4618</v>
      </c>
      <c r="F155" s="178" t="s">
        <v>27</v>
      </c>
      <c r="G155" s="177" t="s">
        <v>41</v>
      </c>
      <c r="H155" s="175" t="s">
        <v>94</v>
      </c>
      <c r="I155" s="270" t="s">
        <v>4621</v>
      </c>
      <c r="J155" s="177"/>
      <c r="K155" s="175" t="s">
        <v>78</v>
      </c>
      <c r="L155" s="180"/>
      <c r="M155" s="27" t="s">
        <v>98</v>
      </c>
      <c r="N155" s="175" t="s">
        <v>40</v>
      </c>
      <c r="O155" s="175" t="s">
        <v>3811</v>
      </c>
      <c r="P155" s="177" t="s">
        <v>3997</v>
      </c>
      <c r="Q155" s="175" t="s">
        <v>863</v>
      </c>
      <c r="R155" s="175" t="s">
        <v>46</v>
      </c>
      <c r="S155" s="180"/>
      <c r="T155" s="177"/>
      <c r="U155" s="175"/>
      <c r="V155" s="175">
        <v>5.0</v>
      </c>
    </row>
    <row r="156">
      <c r="A156" s="175">
        <v>155.0</v>
      </c>
      <c r="B156" s="176">
        <v>46175.0</v>
      </c>
      <c r="C156" s="175" t="s">
        <v>21</v>
      </c>
      <c r="D156" s="175" t="s">
        <v>22</v>
      </c>
      <c r="E156" s="177" t="s">
        <v>4625</v>
      </c>
      <c r="F156" s="178">
        <v>5.34355588E8</v>
      </c>
      <c r="G156" s="175" t="s">
        <v>27</v>
      </c>
      <c r="H156" s="175" t="s">
        <v>27</v>
      </c>
      <c r="I156" s="179" t="s">
        <v>4324</v>
      </c>
      <c r="J156" s="177"/>
      <c r="K156" s="175" t="s">
        <v>457</v>
      </c>
      <c r="L156" s="180"/>
      <c r="M156" s="177" t="s">
        <v>38</v>
      </c>
      <c r="N156" s="175" t="s">
        <v>40</v>
      </c>
      <c r="O156" s="175" t="s">
        <v>42</v>
      </c>
      <c r="P156" s="177" t="s">
        <v>3566</v>
      </c>
      <c r="Q156" s="175" t="s">
        <v>44</v>
      </c>
      <c r="R156" s="175" t="s">
        <v>46</v>
      </c>
      <c r="S156" s="180"/>
      <c r="T156" s="177"/>
      <c r="U156" s="175"/>
      <c r="V156" s="175">
        <v>5.0</v>
      </c>
    </row>
    <row r="157">
      <c r="A157" s="175">
        <v>156.0</v>
      </c>
      <c r="B157" s="176">
        <v>46175.0</v>
      </c>
      <c r="C157" s="175" t="s">
        <v>21</v>
      </c>
      <c r="D157" s="175" t="s">
        <v>24</v>
      </c>
      <c r="E157" s="177" t="s">
        <v>4628</v>
      </c>
      <c r="F157" s="178">
        <v>5.50033131E8</v>
      </c>
      <c r="G157" s="177" t="s">
        <v>41</v>
      </c>
      <c r="H157" s="175" t="s">
        <v>27</v>
      </c>
      <c r="I157" s="179" t="s">
        <v>4631</v>
      </c>
      <c r="J157" s="177"/>
      <c r="K157" s="175" t="s">
        <v>62</v>
      </c>
      <c r="L157" s="180"/>
      <c r="M157" s="177" t="s">
        <v>38</v>
      </c>
      <c r="N157" s="175" t="s">
        <v>56</v>
      </c>
      <c r="O157" s="175" t="s">
        <v>42</v>
      </c>
      <c r="P157" s="177" t="s">
        <v>3566</v>
      </c>
      <c r="Q157" s="175" t="s">
        <v>863</v>
      </c>
      <c r="R157" s="175" t="s">
        <v>46</v>
      </c>
      <c r="S157" s="180"/>
      <c r="T157" s="177"/>
      <c r="U157" s="175"/>
      <c r="V157" s="175">
        <v>5.0</v>
      </c>
    </row>
    <row r="158">
      <c r="A158" s="175">
        <v>157.0</v>
      </c>
      <c r="B158" s="176">
        <v>46175.0</v>
      </c>
      <c r="C158" s="175" t="s">
        <v>21</v>
      </c>
      <c r="D158" s="175" t="s">
        <v>24</v>
      </c>
      <c r="E158" s="177" t="s">
        <v>4633</v>
      </c>
      <c r="F158" s="178">
        <v>5.01769493E8</v>
      </c>
      <c r="G158" s="177" t="s">
        <v>1332</v>
      </c>
      <c r="H158" s="175" t="s">
        <v>27</v>
      </c>
      <c r="I158" s="179" t="s">
        <v>4635</v>
      </c>
      <c r="J158" s="177"/>
      <c r="K158" s="175" t="s">
        <v>36</v>
      </c>
      <c r="L158" s="180"/>
      <c r="M158" s="177" t="s">
        <v>38</v>
      </c>
      <c r="N158" s="175" t="s">
        <v>56</v>
      </c>
      <c r="O158" s="175" t="s">
        <v>42</v>
      </c>
      <c r="P158" s="177" t="s">
        <v>3566</v>
      </c>
      <c r="Q158" s="175" t="s">
        <v>863</v>
      </c>
      <c r="R158" s="175" t="s">
        <v>46</v>
      </c>
      <c r="S158" s="180"/>
      <c r="T158" s="177"/>
      <c r="U158" s="175"/>
      <c r="V158" s="175">
        <v>5.0</v>
      </c>
    </row>
    <row r="159">
      <c r="A159" s="175">
        <v>158.0</v>
      </c>
      <c r="B159" s="176">
        <v>46175.0</v>
      </c>
      <c r="C159" s="175" t="s">
        <v>21</v>
      </c>
      <c r="D159" s="175" t="s">
        <v>24</v>
      </c>
      <c r="E159" s="177" t="s">
        <v>4308</v>
      </c>
      <c r="F159" s="178">
        <v>5.32849942E8</v>
      </c>
      <c r="G159" s="177" t="s">
        <v>4091</v>
      </c>
      <c r="H159" s="175" t="s">
        <v>27</v>
      </c>
      <c r="I159" s="179" t="s">
        <v>4636</v>
      </c>
      <c r="J159" s="177"/>
      <c r="K159" s="175" t="s">
        <v>36</v>
      </c>
      <c r="L159" s="180"/>
      <c r="M159" s="177" t="s">
        <v>38</v>
      </c>
      <c r="N159" s="175" t="s">
        <v>56</v>
      </c>
      <c r="O159" s="175" t="s">
        <v>42</v>
      </c>
      <c r="P159" s="177" t="s">
        <v>3566</v>
      </c>
      <c r="Q159" s="175" t="s">
        <v>863</v>
      </c>
      <c r="R159" s="175" t="s">
        <v>46</v>
      </c>
      <c r="S159" s="180"/>
      <c r="T159" s="177"/>
      <c r="U159" s="175"/>
      <c r="V159" s="175">
        <v>5.0</v>
      </c>
    </row>
    <row r="160">
      <c r="A160" s="175">
        <v>159.0</v>
      </c>
      <c r="B160" s="176">
        <v>46175.0</v>
      </c>
      <c r="C160" s="175" t="s">
        <v>58</v>
      </c>
      <c r="D160" s="175" t="s">
        <v>60</v>
      </c>
      <c r="E160" s="175" t="s">
        <v>27</v>
      </c>
      <c r="F160" s="178">
        <v>5.4844854E8</v>
      </c>
      <c r="G160" s="175" t="s">
        <v>27</v>
      </c>
      <c r="H160" s="175" t="s">
        <v>27</v>
      </c>
      <c r="I160" s="179" t="s">
        <v>4639</v>
      </c>
      <c r="J160" s="177"/>
      <c r="K160" s="175" t="s">
        <v>62</v>
      </c>
      <c r="L160" s="180"/>
      <c r="M160" s="181" t="s">
        <v>38</v>
      </c>
      <c r="N160" s="175" t="s">
        <v>40</v>
      </c>
      <c r="O160" s="175" t="s">
        <v>42</v>
      </c>
      <c r="P160" s="177" t="s">
        <v>3566</v>
      </c>
      <c r="Q160" s="175" t="s">
        <v>44</v>
      </c>
      <c r="R160" s="175"/>
      <c r="S160" s="180"/>
      <c r="T160" s="177"/>
      <c r="U160" s="175"/>
      <c r="V160" s="175">
        <v>5.0</v>
      </c>
    </row>
    <row r="161">
      <c r="A161" s="175">
        <v>160.0</v>
      </c>
      <c r="B161" s="176">
        <v>46175.0</v>
      </c>
      <c r="C161" s="175" t="s">
        <v>58</v>
      </c>
      <c r="D161" s="175" t="s">
        <v>60</v>
      </c>
      <c r="E161" s="175" t="s">
        <v>27</v>
      </c>
      <c r="F161" s="178">
        <v>5.68810834E8</v>
      </c>
      <c r="G161" s="177" t="s">
        <v>71</v>
      </c>
      <c r="H161" s="175" t="s">
        <v>27</v>
      </c>
      <c r="I161" s="179" t="s">
        <v>4639</v>
      </c>
      <c r="J161" s="177"/>
      <c r="K161" s="175" t="s">
        <v>62</v>
      </c>
      <c r="L161" s="180"/>
      <c r="M161" s="181" t="s">
        <v>38</v>
      </c>
      <c r="N161" s="175" t="s">
        <v>40</v>
      </c>
      <c r="O161" s="175" t="s">
        <v>42</v>
      </c>
      <c r="P161" s="177" t="s">
        <v>3566</v>
      </c>
      <c r="Q161" s="175" t="s">
        <v>44</v>
      </c>
      <c r="R161" s="175"/>
      <c r="S161" s="180"/>
      <c r="T161" s="177"/>
      <c r="U161" s="175"/>
      <c r="V161" s="175">
        <v>5.0</v>
      </c>
    </row>
    <row r="162">
      <c r="A162" s="175">
        <v>161.0</v>
      </c>
      <c r="B162" s="176">
        <v>46175.0</v>
      </c>
      <c r="C162" s="175" t="s">
        <v>21</v>
      </c>
      <c r="D162" s="175" t="s">
        <v>24</v>
      </c>
      <c r="E162" s="177" t="s">
        <v>4644</v>
      </c>
      <c r="F162" s="207">
        <v>5.35882534E8</v>
      </c>
      <c r="G162" s="177" t="s">
        <v>71</v>
      </c>
      <c r="H162" s="175" t="s">
        <v>27</v>
      </c>
      <c r="I162" s="179" t="s">
        <v>4646</v>
      </c>
      <c r="J162" s="177"/>
      <c r="K162" s="175" t="s">
        <v>62</v>
      </c>
      <c r="L162" s="180"/>
      <c r="M162" s="177" t="s">
        <v>38</v>
      </c>
      <c r="N162" s="175" t="s">
        <v>56</v>
      </c>
      <c r="O162" s="175" t="s">
        <v>42</v>
      </c>
      <c r="P162" s="177" t="s">
        <v>3566</v>
      </c>
      <c r="Q162" s="175" t="s">
        <v>863</v>
      </c>
      <c r="R162" s="175" t="s">
        <v>46</v>
      </c>
      <c r="S162" s="180"/>
      <c r="T162" s="177"/>
      <c r="U162" s="175"/>
      <c r="V162" s="175">
        <v>5.0</v>
      </c>
    </row>
    <row r="163">
      <c r="A163" s="175">
        <v>162.0</v>
      </c>
      <c r="B163" s="176">
        <v>46175.0</v>
      </c>
      <c r="C163" s="175" t="s">
        <v>21</v>
      </c>
      <c r="D163" s="175" t="s">
        <v>24</v>
      </c>
      <c r="E163" s="177" t="s">
        <v>4649</v>
      </c>
      <c r="F163" s="178">
        <v>5.50993381E8</v>
      </c>
      <c r="G163" s="177" t="s">
        <v>41</v>
      </c>
      <c r="H163" s="175" t="s">
        <v>27</v>
      </c>
      <c r="I163" s="179" t="s">
        <v>4651</v>
      </c>
      <c r="J163" s="177"/>
      <c r="K163" s="175" t="s">
        <v>62</v>
      </c>
      <c r="L163" s="180"/>
      <c r="M163" s="177" t="s">
        <v>38</v>
      </c>
      <c r="N163" s="175" t="s">
        <v>56</v>
      </c>
      <c r="O163" s="175" t="s">
        <v>42</v>
      </c>
      <c r="P163" s="177" t="s">
        <v>3566</v>
      </c>
      <c r="Q163" s="175" t="s">
        <v>863</v>
      </c>
      <c r="R163" s="175" t="s">
        <v>46</v>
      </c>
      <c r="S163" s="180"/>
      <c r="T163" s="177"/>
      <c r="U163" s="175"/>
      <c r="V163" s="175">
        <v>5.0</v>
      </c>
    </row>
    <row r="164">
      <c r="A164" s="175">
        <v>163.0</v>
      </c>
      <c r="B164" s="176">
        <v>46175.0</v>
      </c>
      <c r="C164" s="175" t="s">
        <v>21</v>
      </c>
      <c r="D164" s="175" t="s">
        <v>22</v>
      </c>
      <c r="E164" s="177" t="s">
        <v>4656</v>
      </c>
      <c r="F164" s="178">
        <v>5.55819475E8</v>
      </c>
      <c r="G164" s="177" t="s">
        <v>4657</v>
      </c>
      <c r="H164" s="175" t="s">
        <v>27</v>
      </c>
      <c r="I164" s="179" t="s">
        <v>4659</v>
      </c>
      <c r="J164" s="177"/>
      <c r="K164" s="175" t="s">
        <v>62</v>
      </c>
      <c r="L164" s="180"/>
      <c r="M164" s="177" t="s">
        <v>38</v>
      </c>
      <c r="N164" s="175" t="s">
        <v>40</v>
      </c>
      <c r="O164" s="175" t="s">
        <v>42</v>
      </c>
      <c r="P164" s="177" t="s">
        <v>3566</v>
      </c>
      <c r="Q164" s="175" t="s">
        <v>863</v>
      </c>
      <c r="R164" s="175" t="s">
        <v>46</v>
      </c>
      <c r="S164" s="180"/>
      <c r="T164" s="177"/>
      <c r="U164" s="175"/>
      <c r="V164" s="175">
        <v>5.0</v>
      </c>
    </row>
    <row r="165">
      <c r="A165" s="175">
        <v>164.0</v>
      </c>
      <c r="B165" s="176">
        <v>46175.0</v>
      </c>
      <c r="C165" s="175" t="s">
        <v>21</v>
      </c>
      <c r="D165" s="175" t="s">
        <v>34</v>
      </c>
      <c r="E165" s="175" t="s">
        <v>4663</v>
      </c>
      <c r="F165" s="178">
        <v>5.32277444E8</v>
      </c>
      <c r="G165" s="175" t="s">
        <v>27</v>
      </c>
      <c r="H165" s="175" t="s">
        <v>27</v>
      </c>
      <c r="I165" s="179" t="s">
        <v>4665</v>
      </c>
      <c r="J165" s="177" t="s">
        <v>4417</v>
      </c>
      <c r="K165" s="175" t="s">
        <v>39</v>
      </c>
      <c r="L165" s="180">
        <v>0.4861111111111111</v>
      </c>
      <c r="M165" s="181" t="s">
        <v>51</v>
      </c>
      <c r="N165" s="175" t="s">
        <v>56</v>
      </c>
      <c r="O165" s="175" t="s">
        <v>42</v>
      </c>
      <c r="P165" s="177" t="s">
        <v>3566</v>
      </c>
      <c r="Q165" s="175" t="s">
        <v>44</v>
      </c>
      <c r="R165" s="175"/>
      <c r="S165" s="180">
        <v>0.4861111111111111</v>
      </c>
      <c r="T165" s="177" t="s">
        <v>3566</v>
      </c>
      <c r="U165" s="175" t="s">
        <v>44</v>
      </c>
      <c r="V165" s="175">
        <v>5.0</v>
      </c>
    </row>
    <row r="166">
      <c r="A166" s="175">
        <v>165.0</v>
      </c>
      <c r="B166" s="176">
        <v>46175.0</v>
      </c>
      <c r="C166" s="175" t="s">
        <v>21</v>
      </c>
      <c r="D166" s="175" t="s">
        <v>34</v>
      </c>
      <c r="E166" s="177" t="s">
        <v>937</v>
      </c>
      <c r="F166" s="178">
        <v>5.59022546E8</v>
      </c>
      <c r="G166" s="175" t="s">
        <v>27</v>
      </c>
      <c r="H166" s="175" t="s">
        <v>27</v>
      </c>
      <c r="I166" s="179" t="s">
        <v>4430</v>
      </c>
      <c r="J166" s="177" t="s">
        <v>4417</v>
      </c>
      <c r="K166" s="175" t="s">
        <v>39</v>
      </c>
      <c r="L166" s="180">
        <v>0.4861111111111111</v>
      </c>
      <c r="M166" s="181" t="s">
        <v>51</v>
      </c>
      <c r="N166" s="175" t="s">
        <v>56</v>
      </c>
      <c r="O166" s="175" t="s">
        <v>42</v>
      </c>
      <c r="P166" s="177" t="s">
        <v>3566</v>
      </c>
      <c r="Q166" s="175" t="s">
        <v>44</v>
      </c>
      <c r="R166" s="175"/>
      <c r="S166" s="180">
        <v>0.4861111111111111</v>
      </c>
      <c r="T166" s="177" t="s">
        <v>3566</v>
      </c>
      <c r="U166" s="175" t="s">
        <v>44</v>
      </c>
      <c r="V166" s="175">
        <v>5.0</v>
      </c>
    </row>
    <row r="167">
      <c r="A167" s="175">
        <v>166.0</v>
      </c>
      <c r="B167" s="176">
        <v>46175.0</v>
      </c>
      <c r="C167" s="175" t="s">
        <v>21</v>
      </c>
      <c r="D167" s="175" t="s">
        <v>34</v>
      </c>
      <c r="E167" s="177" t="s">
        <v>4673</v>
      </c>
      <c r="F167" s="178">
        <v>5.6099629E8</v>
      </c>
      <c r="G167" s="175" t="s">
        <v>27</v>
      </c>
      <c r="H167" s="175" t="s">
        <v>27</v>
      </c>
      <c r="I167" s="179" t="s">
        <v>4674</v>
      </c>
      <c r="J167" s="177" t="s">
        <v>4417</v>
      </c>
      <c r="K167" s="175" t="s">
        <v>39</v>
      </c>
      <c r="L167" s="180">
        <v>0.4861111111111111</v>
      </c>
      <c r="M167" s="181" t="s">
        <v>51</v>
      </c>
      <c r="N167" s="175" t="s">
        <v>56</v>
      </c>
      <c r="O167" s="175" t="s">
        <v>42</v>
      </c>
      <c r="P167" s="177" t="s">
        <v>3566</v>
      </c>
      <c r="Q167" s="175" t="s">
        <v>44</v>
      </c>
      <c r="R167" s="175"/>
      <c r="S167" s="180">
        <v>0.4861111111111111</v>
      </c>
      <c r="T167" s="177" t="s">
        <v>3566</v>
      </c>
      <c r="U167" s="175" t="s">
        <v>44</v>
      </c>
      <c r="V167" s="175">
        <v>5.0</v>
      </c>
    </row>
    <row r="168">
      <c r="A168" s="175">
        <v>167.0</v>
      </c>
      <c r="B168" s="176">
        <v>46175.0</v>
      </c>
      <c r="C168" s="175" t="s">
        <v>21</v>
      </c>
      <c r="D168" s="175" t="s">
        <v>34</v>
      </c>
      <c r="E168" s="177" t="s">
        <v>4678</v>
      </c>
      <c r="F168" s="178">
        <v>5.64644755E8</v>
      </c>
      <c r="G168" s="175" t="s">
        <v>27</v>
      </c>
      <c r="H168" s="175" t="s">
        <v>27</v>
      </c>
      <c r="I168" s="179" t="s">
        <v>4680</v>
      </c>
      <c r="J168" s="177" t="s">
        <v>4417</v>
      </c>
      <c r="K168" s="175" t="s">
        <v>39</v>
      </c>
      <c r="L168" s="180">
        <v>0.4861111111111111</v>
      </c>
      <c r="M168" s="181" t="s">
        <v>51</v>
      </c>
      <c r="N168" s="175" t="s">
        <v>56</v>
      </c>
      <c r="O168" s="175" t="s">
        <v>42</v>
      </c>
      <c r="P168" s="177" t="s">
        <v>3566</v>
      </c>
      <c r="Q168" s="175" t="s">
        <v>44</v>
      </c>
      <c r="R168" s="175"/>
      <c r="S168" s="180">
        <v>0.4861111111111111</v>
      </c>
      <c r="T168" s="177" t="s">
        <v>3566</v>
      </c>
      <c r="U168" s="175" t="s">
        <v>44</v>
      </c>
      <c r="V168" s="175">
        <v>5.0</v>
      </c>
    </row>
    <row r="169">
      <c r="A169" s="175">
        <v>168.0</v>
      </c>
      <c r="B169" s="176">
        <v>46175.0</v>
      </c>
      <c r="C169" s="175" t="s">
        <v>21</v>
      </c>
      <c r="D169" s="175" t="s">
        <v>34</v>
      </c>
      <c r="E169" s="177" t="s">
        <v>4685</v>
      </c>
      <c r="F169" s="178">
        <v>5.66860128E8</v>
      </c>
      <c r="G169" s="175" t="s">
        <v>27</v>
      </c>
      <c r="H169" s="175" t="s">
        <v>27</v>
      </c>
      <c r="I169" s="179" t="s">
        <v>4686</v>
      </c>
      <c r="J169" s="177" t="s">
        <v>4417</v>
      </c>
      <c r="K169" s="175" t="s">
        <v>39</v>
      </c>
      <c r="L169" s="180">
        <v>0.4861111111111111</v>
      </c>
      <c r="M169" s="181" t="s">
        <v>51</v>
      </c>
      <c r="N169" s="175" t="s">
        <v>56</v>
      </c>
      <c r="O169" s="175" t="s">
        <v>42</v>
      </c>
      <c r="P169" s="177" t="s">
        <v>3566</v>
      </c>
      <c r="Q169" s="175" t="s">
        <v>44</v>
      </c>
      <c r="R169" s="175"/>
      <c r="S169" s="180">
        <v>0.4861111111111111</v>
      </c>
      <c r="T169" s="177" t="s">
        <v>3566</v>
      </c>
      <c r="U169" s="175" t="s">
        <v>44</v>
      </c>
      <c r="V169" s="175">
        <v>5.0</v>
      </c>
    </row>
    <row r="170">
      <c r="A170" s="175">
        <v>169.0</v>
      </c>
      <c r="B170" s="176">
        <v>46175.0</v>
      </c>
      <c r="C170" s="175" t="s">
        <v>21</v>
      </c>
      <c r="D170" s="175" t="s">
        <v>34</v>
      </c>
      <c r="E170" s="177" t="s">
        <v>4689</v>
      </c>
      <c r="F170" s="178">
        <v>5.63169462E8</v>
      </c>
      <c r="G170" s="175" t="s">
        <v>27</v>
      </c>
      <c r="H170" s="175" t="s">
        <v>27</v>
      </c>
      <c r="I170" s="179" t="s">
        <v>4692</v>
      </c>
      <c r="J170" s="177" t="s">
        <v>4417</v>
      </c>
      <c r="K170" s="175" t="s">
        <v>39</v>
      </c>
      <c r="L170" s="180">
        <v>0.4861111111111111</v>
      </c>
      <c r="M170" s="181" t="s">
        <v>51</v>
      </c>
      <c r="N170" s="175" t="s">
        <v>56</v>
      </c>
      <c r="O170" s="175" t="s">
        <v>42</v>
      </c>
      <c r="P170" s="177" t="s">
        <v>3566</v>
      </c>
      <c r="Q170" s="175" t="s">
        <v>44</v>
      </c>
      <c r="R170" s="175"/>
      <c r="S170" s="180">
        <v>0.4861111111111111</v>
      </c>
      <c r="T170" s="177" t="s">
        <v>3566</v>
      </c>
      <c r="U170" s="175" t="s">
        <v>44</v>
      </c>
      <c r="V170" s="175">
        <v>5.0</v>
      </c>
    </row>
    <row r="171">
      <c r="A171" s="175">
        <v>170.0</v>
      </c>
      <c r="B171" s="176">
        <v>46175.0</v>
      </c>
      <c r="C171" s="175" t="s">
        <v>21</v>
      </c>
      <c r="D171" s="175" t="s">
        <v>34</v>
      </c>
      <c r="E171" s="175" t="s">
        <v>4695</v>
      </c>
      <c r="F171" s="178">
        <v>5.72165318E8</v>
      </c>
      <c r="G171" s="175" t="s">
        <v>27</v>
      </c>
      <c r="H171" s="175" t="s">
        <v>27</v>
      </c>
      <c r="I171" s="289" t="s">
        <v>4696</v>
      </c>
      <c r="J171" s="177" t="s">
        <v>4417</v>
      </c>
      <c r="K171" s="175" t="s">
        <v>39</v>
      </c>
      <c r="L171" s="180">
        <v>0.4861111111111111</v>
      </c>
      <c r="M171" s="181" t="s">
        <v>51</v>
      </c>
      <c r="N171" s="175" t="s">
        <v>56</v>
      </c>
      <c r="O171" s="175" t="s">
        <v>42</v>
      </c>
      <c r="P171" s="177" t="s">
        <v>3566</v>
      </c>
      <c r="Q171" s="175" t="s">
        <v>44</v>
      </c>
      <c r="R171" s="175"/>
      <c r="S171" s="180">
        <v>0.4861111111111111</v>
      </c>
      <c r="T171" s="177" t="s">
        <v>3566</v>
      </c>
      <c r="U171" s="175" t="s">
        <v>44</v>
      </c>
      <c r="V171" s="175">
        <v>5.0</v>
      </c>
    </row>
    <row r="172">
      <c r="A172" s="175">
        <v>171.0</v>
      </c>
      <c r="B172" s="176">
        <v>46175.0</v>
      </c>
      <c r="C172" s="175" t="s">
        <v>21</v>
      </c>
      <c r="D172" s="175" t="s">
        <v>34</v>
      </c>
      <c r="E172" s="177" t="s">
        <v>4702</v>
      </c>
      <c r="F172" s="178">
        <v>5.94475542E8</v>
      </c>
      <c r="G172" s="175" t="s">
        <v>27</v>
      </c>
      <c r="H172" s="175" t="s">
        <v>27</v>
      </c>
      <c r="I172" s="179" t="s">
        <v>4704</v>
      </c>
      <c r="J172" s="177" t="s">
        <v>4417</v>
      </c>
      <c r="K172" s="175" t="s">
        <v>39</v>
      </c>
      <c r="L172" s="180">
        <v>0.4861111111111111</v>
      </c>
      <c r="M172" s="181" t="s">
        <v>51</v>
      </c>
      <c r="N172" s="175" t="s">
        <v>56</v>
      </c>
      <c r="O172" s="175" t="s">
        <v>42</v>
      </c>
      <c r="P172" s="177" t="s">
        <v>3566</v>
      </c>
      <c r="Q172" s="175" t="s">
        <v>44</v>
      </c>
      <c r="R172" s="175"/>
      <c r="S172" s="180">
        <v>0.4861111111111111</v>
      </c>
      <c r="T172" s="177" t="s">
        <v>3566</v>
      </c>
      <c r="U172" s="175" t="s">
        <v>44</v>
      </c>
      <c r="V172" s="175">
        <v>5.0</v>
      </c>
    </row>
    <row r="173">
      <c r="A173" s="175">
        <v>172.0</v>
      </c>
      <c r="B173" s="176">
        <v>46175.0</v>
      </c>
      <c r="C173" s="175" t="s">
        <v>21</v>
      </c>
      <c r="D173" s="175" t="s">
        <v>34</v>
      </c>
      <c r="E173" s="177" t="s">
        <v>4707</v>
      </c>
      <c r="F173" s="178">
        <v>5.08984984E8</v>
      </c>
      <c r="G173" s="175" t="s">
        <v>27</v>
      </c>
      <c r="H173" s="175" t="s">
        <v>27</v>
      </c>
      <c r="I173" s="179" t="s">
        <v>4711</v>
      </c>
      <c r="J173" s="177" t="s">
        <v>4417</v>
      </c>
      <c r="K173" s="175" t="s">
        <v>39</v>
      </c>
      <c r="L173" s="180">
        <v>0.4861111111111111</v>
      </c>
      <c r="M173" s="181" t="s">
        <v>51</v>
      </c>
      <c r="N173" s="175" t="s">
        <v>56</v>
      </c>
      <c r="O173" s="175" t="s">
        <v>42</v>
      </c>
      <c r="P173" s="177" t="s">
        <v>3566</v>
      </c>
      <c r="Q173" s="175" t="s">
        <v>44</v>
      </c>
      <c r="R173" s="175"/>
      <c r="S173" s="180">
        <v>0.4861111111111111</v>
      </c>
      <c r="T173" s="177" t="s">
        <v>3566</v>
      </c>
      <c r="U173" s="175" t="s">
        <v>44</v>
      </c>
      <c r="V173" s="175">
        <v>5.0</v>
      </c>
    </row>
    <row r="174">
      <c r="A174" s="175">
        <v>173.0</v>
      </c>
      <c r="B174" s="176">
        <v>46175.0</v>
      </c>
      <c r="C174" s="175" t="s">
        <v>21</v>
      </c>
      <c r="D174" s="175" t="s">
        <v>34</v>
      </c>
      <c r="E174" s="177" t="s">
        <v>4712</v>
      </c>
      <c r="F174" s="178">
        <v>5.586319E8</v>
      </c>
      <c r="G174" s="175" t="s">
        <v>27</v>
      </c>
      <c r="H174" s="175" t="s">
        <v>27</v>
      </c>
      <c r="I174" s="179" t="s">
        <v>4714</v>
      </c>
      <c r="J174" s="177" t="s">
        <v>4417</v>
      </c>
      <c r="K174" s="175" t="s">
        <v>39</v>
      </c>
      <c r="L174" s="180">
        <v>0.4861111111111111</v>
      </c>
      <c r="M174" s="181" t="s">
        <v>51</v>
      </c>
      <c r="N174" s="175" t="s">
        <v>56</v>
      </c>
      <c r="O174" s="175" t="s">
        <v>42</v>
      </c>
      <c r="P174" s="177" t="s">
        <v>3566</v>
      </c>
      <c r="Q174" s="175" t="s">
        <v>44</v>
      </c>
      <c r="R174" s="175"/>
      <c r="S174" s="180">
        <v>0.4861111111111111</v>
      </c>
      <c r="T174" s="177" t="s">
        <v>3566</v>
      </c>
      <c r="U174" s="175" t="s">
        <v>44</v>
      </c>
      <c r="V174" s="175">
        <v>5.0</v>
      </c>
    </row>
    <row r="175">
      <c r="A175" s="175">
        <v>174.0</v>
      </c>
      <c r="B175" s="176">
        <v>46175.0</v>
      </c>
      <c r="C175" s="175" t="s">
        <v>47</v>
      </c>
      <c r="D175" s="175" t="s">
        <v>48</v>
      </c>
      <c r="E175" s="177" t="s">
        <v>4719</v>
      </c>
      <c r="F175" s="178">
        <v>5.30562719E8</v>
      </c>
      <c r="G175" s="177" t="s">
        <v>2715</v>
      </c>
      <c r="H175" s="175" t="s">
        <v>2716</v>
      </c>
      <c r="I175" s="179" t="s">
        <v>4721</v>
      </c>
      <c r="J175" s="27" t="s">
        <v>4722</v>
      </c>
      <c r="K175" s="175" t="s">
        <v>148</v>
      </c>
      <c r="L175" s="180">
        <v>0.4097222222222222</v>
      </c>
      <c r="M175" s="177" t="s">
        <v>101</v>
      </c>
      <c r="N175" s="175" t="s">
        <v>56</v>
      </c>
      <c r="O175" s="175" t="s">
        <v>518</v>
      </c>
      <c r="P175" s="177" t="s">
        <v>3765</v>
      </c>
      <c r="Q175" s="175" t="s">
        <v>44</v>
      </c>
      <c r="R175" s="175" t="s">
        <v>46</v>
      </c>
      <c r="S175" s="180">
        <v>0.4097222222222222</v>
      </c>
      <c r="T175" s="177" t="s">
        <v>3566</v>
      </c>
      <c r="U175" s="175" t="s">
        <v>44</v>
      </c>
      <c r="V175" s="175">
        <v>5.0</v>
      </c>
    </row>
    <row r="176">
      <c r="A176" s="175">
        <v>175.0</v>
      </c>
      <c r="B176" s="176">
        <v>46175.0</v>
      </c>
      <c r="C176" s="175" t="s">
        <v>47</v>
      </c>
      <c r="D176" s="175" t="s">
        <v>92</v>
      </c>
      <c r="E176" s="178" t="s">
        <v>27</v>
      </c>
      <c r="F176" s="178" t="s">
        <v>27</v>
      </c>
      <c r="G176" s="177" t="s">
        <v>76</v>
      </c>
      <c r="H176" s="175" t="s">
        <v>4163</v>
      </c>
      <c r="I176" s="179" t="s">
        <v>4725</v>
      </c>
      <c r="J176" s="177"/>
      <c r="K176" s="175" t="s">
        <v>148</v>
      </c>
      <c r="L176" s="180">
        <v>0.7240740740740741</v>
      </c>
      <c r="M176" s="81" t="s">
        <v>4727</v>
      </c>
      <c r="N176" s="175" t="s">
        <v>40</v>
      </c>
      <c r="O176" s="175" t="s">
        <v>3811</v>
      </c>
      <c r="P176" s="177" t="s">
        <v>3997</v>
      </c>
      <c r="Q176" s="175" t="s">
        <v>44</v>
      </c>
      <c r="R176" s="175" t="s">
        <v>46</v>
      </c>
      <c r="S176" s="180"/>
      <c r="T176" s="177"/>
      <c r="U176" s="175"/>
      <c r="V176" s="175">
        <v>5.0</v>
      </c>
    </row>
    <row r="177">
      <c r="A177" s="175">
        <v>176.0</v>
      </c>
      <c r="B177" s="176">
        <v>46175.0</v>
      </c>
      <c r="C177" s="175" t="s">
        <v>47</v>
      </c>
      <c r="D177" s="175" t="s">
        <v>92</v>
      </c>
      <c r="E177" s="177" t="s">
        <v>4732</v>
      </c>
      <c r="F177" s="178" t="s">
        <v>27</v>
      </c>
      <c r="G177" s="177" t="s">
        <v>76</v>
      </c>
      <c r="H177" s="175" t="s">
        <v>735</v>
      </c>
      <c r="I177" s="179" t="s">
        <v>4734</v>
      </c>
      <c r="J177" s="177"/>
      <c r="K177" s="175" t="s">
        <v>148</v>
      </c>
      <c r="L177" s="180">
        <v>0.6338773148148148</v>
      </c>
      <c r="M177" s="27" t="s">
        <v>150</v>
      </c>
      <c r="N177" s="175" t="s">
        <v>40</v>
      </c>
      <c r="O177" s="175" t="s">
        <v>518</v>
      </c>
      <c r="P177" s="177" t="s">
        <v>3765</v>
      </c>
      <c r="Q177" s="175" t="s">
        <v>44</v>
      </c>
      <c r="R177" s="175" t="s">
        <v>46</v>
      </c>
      <c r="S177" s="180"/>
      <c r="T177" s="177"/>
      <c r="U177" s="175"/>
      <c r="V177" s="175">
        <v>5.0</v>
      </c>
    </row>
    <row r="178">
      <c r="A178" s="175">
        <v>177.0</v>
      </c>
      <c r="B178" s="176">
        <v>46175.0</v>
      </c>
      <c r="C178" s="175" t="s">
        <v>47</v>
      </c>
      <c r="D178" s="175" t="s">
        <v>138</v>
      </c>
      <c r="E178" s="177" t="s">
        <v>4738</v>
      </c>
      <c r="F178" s="178">
        <v>5.66322272E8</v>
      </c>
      <c r="G178" s="177" t="s">
        <v>28</v>
      </c>
      <c r="H178" s="175" t="s">
        <v>830</v>
      </c>
      <c r="I178" s="179" t="s">
        <v>4741</v>
      </c>
      <c r="J178" s="177" t="s">
        <v>4743</v>
      </c>
      <c r="K178" s="175" t="s">
        <v>148</v>
      </c>
      <c r="L178" s="180">
        <v>0.6527777777777778</v>
      </c>
      <c r="M178" s="177" t="s">
        <v>795</v>
      </c>
      <c r="N178" s="175" t="s">
        <v>40</v>
      </c>
      <c r="O178" s="175" t="s">
        <v>518</v>
      </c>
      <c r="P178" s="177" t="s">
        <v>3566</v>
      </c>
      <c r="Q178" s="175" t="s">
        <v>44</v>
      </c>
      <c r="R178" s="175" t="s">
        <v>46</v>
      </c>
      <c r="S178" s="180"/>
      <c r="T178" s="177"/>
      <c r="U178" s="175"/>
      <c r="V178" s="175">
        <v>5.0</v>
      </c>
    </row>
    <row r="179">
      <c r="A179" s="175">
        <v>178.0</v>
      </c>
      <c r="B179" s="176">
        <v>46175.0</v>
      </c>
      <c r="C179" s="175" t="s">
        <v>47</v>
      </c>
      <c r="D179" s="175" t="s">
        <v>138</v>
      </c>
      <c r="E179" s="175" t="s">
        <v>3182</v>
      </c>
      <c r="F179" s="178">
        <v>5.02192535E8</v>
      </c>
      <c r="G179" s="177" t="s">
        <v>28</v>
      </c>
      <c r="H179" s="175" t="s">
        <v>830</v>
      </c>
      <c r="I179" s="179" t="s">
        <v>4749</v>
      </c>
      <c r="J179" s="177"/>
      <c r="K179" s="175" t="s">
        <v>148</v>
      </c>
      <c r="L179" s="180">
        <v>0.6527777777777778</v>
      </c>
      <c r="M179" s="177" t="s">
        <v>150</v>
      </c>
      <c r="N179" s="175" t="s">
        <v>40</v>
      </c>
      <c r="O179" s="175" t="s">
        <v>518</v>
      </c>
      <c r="P179" s="177" t="s">
        <v>3566</v>
      </c>
      <c r="Q179" s="175" t="s">
        <v>44</v>
      </c>
      <c r="R179" s="175" t="s">
        <v>46</v>
      </c>
      <c r="S179" s="180"/>
      <c r="T179" s="177"/>
      <c r="U179" s="175"/>
      <c r="V179" s="175">
        <v>5.0</v>
      </c>
    </row>
    <row r="180">
      <c r="A180" s="175">
        <v>179.0</v>
      </c>
      <c r="B180" s="176">
        <v>46175.0</v>
      </c>
      <c r="C180" s="175" t="s">
        <v>47</v>
      </c>
      <c r="D180" s="175" t="s">
        <v>48</v>
      </c>
      <c r="E180" s="175" t="s">
        <v>4753</v>
      </c>
      <c r="F180" s="178">
        <v>5.38021706E8</v>
      </c>
      <c r="G180" s="177" t="s">
        <v>362</v>
      </c>
      <c r="H180" s="175" t="s">
        <v>1029</v>
      </c>
      <c r="I180" s="179" t="s">
        <v>4755</v>
      </c>
      <c r="J180" s="27" t="s">
        <v>4756</v>
      </c>
      <c r="K180" s="175" t="s">
        <v>148</v>
      </c>
      <c r="L180" s="180">
        <v>0.4152777777777778</v>
      </c>
      <c r="M180" s="177" t="s">
        <v>101</v>
      </c>
      <c r="N180" s="175" t="s">
        <v>56</v>
      </c>
      <c r="O180" s="175" t="s">
        <v>518</v>
      </c>
      <c r="P180" s="177" t="s">
        <v>3765</v>
      </c>
      <c r="Q180" s="175" t="s">
        <v>44</v>
      </c>
      <c r="R180" s="175" t="s">
        <v>46</v>
      </c>
      <c r="S180" s="180">
        <v>0.4152777777777778</v>
      </c>
      <c r="T180" s="177" t="s">
        <v>3566</v>
      </c>
      <c r="U180" s="175" t="s">
        <v>44</v>
      </c>
      <c r="V180" s="175">
        <v>5.0</v>
      </c>
    </row>
    <row r="181">
      <c r="A181" s="175">
        <v>180.0</v>
      </c>
      <c r="B181" s="176">
        <v>46175.0</v>
      </c>
      <c r="C181" s="175" t="s">
        <v>47</v>
      </c>
      <c r="D181" s="175" t="s">
        <v>367</v>
      </c>
      <c r="E181" s="177" t="s">
        <v>463</v>
      </c>
      <c r="F181" s="178">
        <v>7.269162626E9</v>
      </c>
      <c r="G181" s="177" t="s">
        <v>874</v>
      </c>
      <c r="H181" s="175" t="s">
        <v>876</v>
      </c>
      <c r="I181" s="179" t="s">
        <v>4759</v>
      </c>
      <c r="J181" s="177" t="s">
        <v>4760</v>
      </c>
      <c r="K181" s="175" t="s">
        <v>148</v>
      </c>
      <c r="L181" s="180"/>
      <c r="M181" s="177" t="s">
        <v>602</v>
      </c>
      <c r="N181" s="175" t="s">
        <v>56</v>
      </c>
      <c r="O181" s="175" t="s">
        <v>518</v>
      </c>
      <c r="P181" s="177" t="s">
        <v>3566</v>
      </c>
      <c r="Q181" s="175" t="s">
        <v>44</v>
      </c>
      <c r="R181" s="175" t="s">
        <v>46</v>
      </c>
      <c r="S181" s="180"/>
      <c r="T181" s="177"/>
      <c r="U181" s="175"/>
      <c r="V181" s="175">
        <v>5.0</v>
      </c>
    </row>
    <row r="182">
      <c r="A182" s="175">
        <v>181.0</v>
      </c>
      <c r="B182" s="176">
        <v>46175.0</v>
      </c>
      <c r="C182" s="175" t="s">
        <v>47</v>
      </c>
      <c r="D182" s="175" t="s">
        <v>138</v>
      </c>
      <c r="E182" s="177" t="s">
        <v>3170</v>
      </c>
      <c r="F182" s="178">
        <v>5.37234712E8</v>
      </c>
      <c r="G182" s="177" t="s">
        <v>79</v>
      </c>
      <c r="H182" s="175" t="s">
        <v>239</v>
      </c>
      <c r="I182" s="179" t="s">
        <v>4767</v>
      </c>
      <c r="J182" s="177" t="s">
        <v>4768</v>
      </c>
      <c r="K182" s="175" t="s">
        <v>148</v>
      </c>
      <c r="L182" s="180">
        <v>0.6527777777777778</v>
      </c>
      <c r="M182" s="177" t="s">
        <v>150</v>
      </c>
      <c r="N182" s="175" t="s">
        <v>56</v>
      </c>
      <c r="O182" s="175" t="s">
        <v>518</v>
      </c>
      <c r="P182" s="177" t="s">
        <v>3566</v>
      </c>
      <c r="Q182" s="175" t="s">
        <v>44</v>
      </c>
      <c r="R182" s="175" t="s">
        <v>46</v>
      </c>
      <c r="S182" s="180"/>
      <c r="T182" s="177"/>
      <c r="U182" s="175"/>
      <c r="V182" s="175">
        <v>5.0</v>
      </c>
    </row>
    <row r="183">
      <c r="A183" s="175">
        <v>182.0</v>
      </c>
      <c r="B183" s="176">
        <v>46175.0</v>
      </c>
      <c r="C183" s="175" t="s">
        <v>47</v>
      </c>
      <c r="D183" s="175" t="s">
        <v>138</v>
      </c>
      <c r="E183" s="177" t="s">
        <v>4771</v>
      </c>
      <c r="F183" s="178">
        <v>5.54538077E8</v>
      </c>
      <c r="G183" s="177" t="s">
        <v>79</v>
      </c>
      <c r="H183" s="175" t="s">
        <v>239</v>
      </c>
      <c r="I183" s="179" t="s">
        <v>4773</v>
      </c>
      <c r="J183" s="177" t="s">
        <v>4774</v>
      </c>
      <c r="K183" s="175" t="s">
        <v>148</v>
      </c>
      <c r="L183" s="180">
        <v>0.6527777777777778</v>
      </c>
      <c r="M183" s="177" t="s">
        <v>150</v>
      </c>
      <c r="N183" s="175" t="s">
        <v>56</v>
      </c>
      <c r="O183" s="175" t="s">
        <v>518</v>
      </c>
      <c r="P183" s="177" t="s">
        <v>3566</v>
      </c>
      <c r="Q183" s="175" t="s">
        <v>44</v>
      </c>
      <c r="R183" s="175" t="s">
        <v>46</v>
      </c>
      <c r="S183" s="180"/>
      <c r="T183" s="177"/>
      <c r="U183" s="175"/>
      <c r="V183" s="175">
        <v>5.0</v>
      </c>
    </row>
    <row r="184">
      <c r="A184" s="175">
        <v>183.0</v>
      </c>
      <c r="B184" s="176">
        <v>46175.0</v>
      </c>
      <c r="C184" s="175" t="s">
        <v>47</v>
      </c>
      <c r="D184" s="175" t="s">
        <v>138</v>
      </c>
      <c r="E184" s="178" t="s">
        <v>4780</v>
      </c>
      <c r="F184" s="178">
        <v>5.00640249E8</v>
      </c>
      <c r="G184" s="177" t="s">
        <v>79</v>
      </c>
      <c r="H184" s="175" t="s">
        <v>142</v>
      </c>
      <c r="I184" s="179" t="s">
        <v>4781</v>
      </c>
      <c r="J184" s="177" t="s">
        <v>4782</v>
      </c>
      <c r="K184" s="175" t="s">
        <v>148</v>
      </c>
      <c r="L184" s="180">
        <v>0.6527777777777778</v>
      </c>
      <c r="M184" s="184" t="s">
        <v>183</v>
      </c>
      <c r="N184" s="175" t="s">
        <v>40</v>
      </c>
      <c r="O184" s="175" t="s">
        <v>518</v>
      </c>
      <c r="P184" s="177" t="s">
        <v>3566</v>
      </c>
      <c r="Q184" s="175" t="s">
        <v>44</v>
      </c>
      <c r="R184" s="175" t="s">
        <v>46</v>
      </c>
      <c r="S184" s="180"/>
      <c r="T184" s="177"/>
      <c r="U184" s="175"/>
      <c r="V184" s="175">
        <v>5.0</v>
      </c>
    </row>
    <row r="185">
      <c r="A185" s="175">
        <v>184.0</v>
      </c>
      <c r="B185" s="176">
        <v>46175.0</v>
      </c>
      <c r="C185" s="175" t="s">
        <v>47</v>
      </c>
      <c r="D185" s="175" t="s">
        <v>138</v>
      </c>
      <c r="E185" s="175" t="s">
        <v>4788</v>
      </c>
      <c r="F185" s="178">
        <v>5.03040119E8</v>
      </c>
      <c r="G185" s="177" t="s">
        <v>79</v>
      </c>
      <c r="H185" s="175" t="s">
        <v>638</v>
      </c>
      <c r="I185" s="179" t="s">
        <v>4790</v>
      </c>
      <c r="J185" s="177" t="s">
        <v>4792</v>
      </c>
      <c r="K185" s="175" t="s">
        <v>148</v>
      </c>
      <c r="L185" s="180">
        <v>0.6527777777777778</v>
      </c>
      <c r="M185" s="184" t="s">
        <v>183</v>
      </c>
      <c r="N185" s="175" t="s">
        <v>56</v>
      </c>
      <c r="O185" s="175" t="s">
        <v>518</v>
      </c>
      <c r="P185" s="177" t="s">
        <v>3566</v>
      </c>
      <c r="Q185" s="175" t="s">
        <v>44</v>
      </c>
      <c r="R185" s="175" t="s">
        <v>46</v>
      </c>
      <c r="S185" s="180"/>
      <c r="T185" s="177"/>
      <c r="U185" s="175"/>
      <c r="V185" s="175">
        <v>5.0</v>
      </c>
    </row>
    <row r="186">
      <c r="A186" s="175">
        <v>185.0</v>
      </c>
      <c r="B186" s="176">
        <v>46175.0</v>
      </c>
      <c r="C186" s="175" t="s">
        <v>47</v>
      </c>
      <c r="D186" s="175" t="s">
        <v>138</v>
      </c>
      <c r="E186" s="175" t="s">
        <v>4798</v>
      </c>
      <c r="F186" s="178">
        <v>5.41994517E8</v>
      </c>
      <c r="G186" s="177" t="s">
        <v>79</v>
      </c>
      <c r="H186" s="175" t="s">
        <v>239</v>
      </c>
      <c r="I186" s="179" t="s">
        <v>4800</v>
      </c>
      <c r="J186" s="300" t="s">
        <v>4801</v>
      </c>
      <c r="K186" s="175" t="s">
        <v>148</v>
      </c>
      <c r="L186" s="180">
        <v>0.6527777777777778</v>
      </c>
      <c r="M186" s="177" t="s">
        <v>150</v>
      </c>
      <c r="N186" s="175" t="s">
        <v>56</v>
      </c>
      <c r="O186" s="175" t="s">
        <v>518</v>
      </c>
      <c r="P186" s="177" t="s">
        <v>3566</v>
      </c>
      <c r="Q186" s="175" t="s">
        <v>44</v>
      </c>
      <c r="R186" s="175" t="s">
        <v>46</v>
      </c>
      <c r="S186" s="180"/>
      <c r="T186" s="177"/>
      <c r="U186" s="175"/>
      <c r="V186" s="175">
        <v>5.0</v>
      </c>
    </row>
    <row r="187">
      <c r="A187" s="175">
        <v>186.0</v>
      </c>
      <c r="B187" s="176">
        <v>46175.0</v>
      </c>
      <c r="C187" s="175" t="s">
        <v>47</v>
      </c>
      <c r="D187" s="175" t="s">
        <v>367</v>
      </c>
      <c r="E187" s="175" t="s">
        <v>4807</v>
      </c>
      <c r="F187" s="178">
        <v>5.03423795E8</v>
      </c>
      <c r="G187" s="177" t="s">
        <v>79</v>
      </c>
      <c r="H187" s="175" t="s">
        <v>80</v>
      </c>
      <c r="I187" s="179" t="s">
        <v>4811</v>
      </c>
      <c r="J187" s="177" t="s">
        <v>4812</v>
      </c>
      <c r="K187" s="175" t="s">
        <v>148</v>
      </c>
      <c r="L187" s="180">
        <v>0.6527777777777778</v>
      </c>
      <c r="M187" s="232" t="s">
        <v>4813</v>
      </c>
      <c r="N187" s="175" t="s">
        <v>56</v>
      </c>
      <c r="O187" s="175" t="s">
        <v>518</v>
      </c>
      <c r="P187" s="177" t="s">
        <v>3566</v>
      </c>
      <c r="Q187" s="175" t="s">
        <v>44</v>
      </c>
      <c r="R187" s="175" t="s">
        <v>46</v>
      </c>
      <c r="S187" s="180"/>
      <c r="T187" s="177"/>
      <c r="U187" s="175"/>
      <c r="V187" s="175">
        <v>5.0</v>
      </c>
    </row>
    <row r="188" ht="29.25" customHeight="1">
      <c r="A188" s="175">
        <v>187.0</v>
      </c>
      <c r="B188" s="176">
        <v>46175.0</v>
      </c>
      <c r="C188" s="175" t="s">
        <v>21</v>
      </c>
      <c r="D188" s="175" t="s">
        <v>22</v>
      </c>
      <c r="E188" s="177" t="s">
        <v>4814</v>
      </c>
      <c r="F188" s="178">
        <v>5.36644446E8</v>
      </c>
      <c r="G188" s="177" t="s">
        <v>318</v>
      </c>
      <c r="H188" s="175" t="s">
        <v>27</v>
      </c>
      <c r="I188" s="179" t="s">
        <v>4818</v>
      </c>
      <c r="J188" s="177"/>
      <c r="K188" s="175" t="s">
        <v>39</v>
      </c>
      <c r="L188" s="301">
        <v>0.4791666666666667</v>
      </c>
      <c r="M188" s="177" t="s">
        <v>38</v>
      </c>
      <c r="N188" s="175" t="s">
        <v>40</v>
      </c>
      <c r="O188" s="175" t="s">
        <v>42</v>
      </c>
      <c r="P188" s="177" t="s">
        <v>3566</v>
      </c>
      <c r="Q188" s="175" t="s">
        <v>44</v>
      </c>
      <c r="R188" s="175" t="s">
        <v>46</v>
      </c>
      <c r="S188" s="180"/>
      <c r="T188" s="177"/>
      <c r="U188" s="175"/>
      <c r="V188" s="175">
        <v>5.0</v>
      </c>
    </row>
    <row r="189">
      <c r="A189" s="175">
        <v>188.0</v>
      </c>
      <c r="B189" s="176">
        <v>46175.0</v>
      </c>
      <c r="C189" s="175" t="s">
        <v>21</v>
      </c>
      <c r="D189" s="175" t="s">
        <v>24</v>
      </c>
      <c r="E189" s="177" t="s">
        <v>4472</v>
      </c>
      <c r="F189" s="178">
        <v>5.32779306E8</v>
      </c>
      <c r="G189" s="177" t="s">
        <v>2083</v>
      </c>
      <c r="H189" s="175" t="s">
        <v>27</v>
      </c>
      <c r="I189" s="179" t="s">
        <v>4821</v>
      </c>
      <c r="J189" s="177"/>
      <c r="K189" s="175" t="s">
        <v>62</v>
      </c>
      <c r="L189" s="180"/>
      <c r="M189" s="177" t="s">
        <v>38</v>
      </c>
      <c r="N189" s="175" t="s">
        <v>56</v>
      </c>
      <c r="O189" s="175" t="s">
        <v>42</v>
      </c>
      <c r="P189" s="177" t="s">
        <v>3566</v>
      </c>
      <c r="Q189" s="175" t="s">
        <v>863</v>
      </c>
      <c r="R189" s="175" t="s">
        <v>46</v>
      </c>
      <c r="S189" s="180"/>
      <c r="T189" s="177"/>
      <c r="U189" s="175"/>
      <c r="V189" s="175">
        <v>5.0</v>
      </c>
    </row>
    <row r="190">
      <c r="A190" s="175">
        <v>190.0</v>
      </c>
      <c r="B190" s="176">
        <v>46175.0</v>
      </c>
      <c r="C190" s="175" t="s">
        <v>47</v>
      </c>
      <c r="D190" s="175" t="s">
        <v>92</v>
      </c>
      <c r="E190" s="177" t="s">
        <v>4828</v>
      </c>
      <c r="F190" s="207">
        <v>5.52126168E8</v>
      </c>
      <c r="G190" s="177" t="s">
        <v>41</v>
      </c>
      <c r="H190" s="175" t="s">
        <v>4831</v>
      </c>
      <c r="I190" s="27" t="s">
        <v>4832</v>
      </c>
      <c r="J190" s="175"/>
      <c r="K190" s="175" t="s">
        <v>457</v>
      </c>
      <c r="L190" s="180">
        <v>0.7006944444444444</v>
      </c>
      <c r="M190" s="27" t="s">
        <v>183</v>
      </c>
      <c r="N190" s="175" t="s">
        <v>40</v>
      </c>
      <c r="O190" s="175" t="s">
        <v>518</v>
      </c>
      <c r="P190" s="177" t="s">
        <v>3765</v>
      </c>
      <c r="Q190" s="175" t="s">
        <v>49</v>
      </c>
      <c r="R190" s="175" t="s">
        <v>46</v>
      </c>
      <c r="S190" s="246">
        <v>0.38819444444444445</v>
      </c>
      <c r="T190" s="177" t="s">
        <v>2632</v>
      </c>
      <c r="U190" s="175" t="s">
        <v>49</v>
      </c>
      <c r="V190" s="175">
        <v>5.0</v>
      </c>
    </row>
    <row r="191">
      <c r="A191" s="175">
        <v>191.0</v>
      </c>
      <c r="B191" s="176">
        <v>46175.0</v>
      </c>
      <c r="C191" s="175" t="s">
        <v>21</v>
      </c>
      <c r="D191" s="175" t="s">
        <v>22</v>
      </c>
      <c r="E191" s="177" t="s">
        <v>4835</v>
      </c>
      <c r="F191" s="207">
        <v>5.03934025E8</v>
      </c>
      <c r="G191" s="177" t="s">
        <v>4248</v>
      </c>
      <c r="H191" s="175" t="s">
        <v>27</v>
      </c>
      <c r="I191" s="27" t="s">
        <v>4837</v>
      </c>
      <c r="J191" s="175"/>
      <c r="K191" s="175" t="s">
        <v>321</v>
      </c>
      <c r="L191" s="180"/>
      <c r="M191" s="177" t="s">
        <v>38</v>
      </c>
      <c r="N191" s="175" t="s">
        <v>40</v>
      </c>
      <c r="O191" s="175" t="s">
        <v>42</v>
      </c>
      <c r="P191" s="177" t="s">
        <v>3566</v>
      </c>
      <c r="Q191" s="175" t="s">
        <v>49</v>
      </c>
      <c r="R191" s="175" t="s">
        <v>46</v>
      </c>
      <c r="S191" s="180"/>
      <c r="T191" s="177"/>
      <c r="U191" s="175"/>
      <c r="V191" s="175">
        <v>5.0</v>
      </c>
    </row>
    <row r="192">
      <c r="A192" s="175">
        <v>192.0</v>
      </c>
      <c r="B192" s="176">
        <v>46176.0</v>
      </c>
      <c r="C192" s="175" t="s">
        <v>21</v>
      </c>
      <c r="D192" s="175" t="s">
        <v>24</v>
      </c>
      <c r="E192" s="177" t="s">
        <v>4841</v>
      </c>
      <c r="F192" s="207">
        <v>5.07025487E8</v>
      </c>
      <c r="G192" s="247" t="s">
        <v>4155</v>
      </c>
      <c r="H192" s="250" t="s">
        <v>27</v>
      </c>
      <c r="I192" s="27" t="s">
        <v>4843</v>
      </c>
      <c r="J192" s="250"/>
      <c r="K192" s="250" t="s">
        <v>62</v>
      </c>
      <c r="L192" s="180"/>
      <c r="M192" s="177" t="s">
        <v>38</v>
      </c>
      <c r="N192" s="175" t="s">
        <v>56</v>
      </c>
      <c r="O192" s="175" t="s">
        <v>42</v>
      </c>
      <c r="P192" s="177" t="s">
        <v>3566</v>
      </c>
      <c r="Q192" s="175" t="s">
        <v>863</v>
      </c>
      <c r="R192" s="175" t="s">
        <v>46</v>
      </c>
      <c r="S192" s="246"/>
      <c r="T192" s="177"/>
      <c r="U192" s="175"/>
      <c r="V192" s="175">
        <v>5.0</v>
      </c>
    </row>
    <row r="193">
      <c r="A193" s="175">
        <v>193.0</v>
      </c>
      <c r="B193" s="176">
        <v>46176.0</v>
      </c>
      <c r="C193" s="175" t="s">
        <v>21</v>
      </c>
      <c r="D193" s="175" t="s">
        <v>57</v>
      </c>
      <c r="E193" s="175" t="s">
        <v>4849</v>
      </c>
      <c r="F193" s="178">
        <v>5.58971132E8</v>
      </c>
      <c r="G193" s="175" t="s">
        <v>27</v>
      </c>
      <c r="H193" s="175" t="s">
        <v>27</v>
      </c>
      <c r="I193" s="289" t="s">
        <v>4853</v>
      </c>
      <c r="J193" s="175" t="s">
        <v>4854</v>
      </c>
      <c r="K193" s="175" t="s">
        <v>62</v>
      </c>
      <c r="L193" s="180"/>
      <c r="M193" s="177" t="s">
        <v>38</v>
      </c>
      <c r="N193" s="175" t="s">
        <v>40</v>
      </c>
      <c r="O193" s="175" t="s">
        <v>42</v>
      </c>
      <c r="P193" s="177" t="s">
        <v>3566</v>
      </c>
      <c r="Q193" s="175" t="s">
        <v>44</v>
      </c>
      <c r="R193" s="175"/>
      <c r="S193" s="180"/>
      <c r="T193" s="177"/>
      <c r="U193" s="175"/>
      <c r="V193" s="175">
        <v>5.0</v>
      </c>
    </row>
    <row r="194">
      <c r="A194" s="175">
        <v>194.0</v>
      </c>
      <c r="B194" s="176">
        <v>46176.0</v>
      </c>
      <c r="C194" s="175" t="s">
        <v>21</v>
      </c>
      <c r="D194" s="175" t="s">
        <v>22</v>
      </c>
      <c r="E194" s="177" t="s">
        <v>4856</v>
      </c>
      <c r="F194" s="178">
        <v>5.68030565E8</v>
      </c>
      <c r="G194" s="177" t="s">
        <v>28</v>
      </c>
      <c r="H194" s="175" t="s">
        <v>27</v>
      </c>
      <c r="I194" s="305" t="s">
        <v>4858</v>
      </c>
      <c r="J194" s="177"/>
      <c r="K194" s="175" t="s">
        <v>62</v>
      </c>
      <c r="L194" s="180"/>
      <c r="M194" s="177" t="s">
        <v>38</v>
      </c>
      <c r="N194" s="175" t="s">
        <v>40</v>
      </c>
      <c r="O194" s="175" t="s">
        <v>42</v>
      </c>
      <c r="P194" s="177" t="s">
        <v>3566</v>
      </c>
      <c r="Q194" s="175" t="s">
        <v>44</v>
      </c>
      <c r="R194" s="175" t="s">
        <v>46</v>
      </c>
      <c r="S194" s="180"/>
      <c r="T194" s="177"/>
      <c r="U194" s="175"/>
      <c r="V194" s="175">
        <v>5.0</v>
      </c>
    </row>
    <row r="195">
      <c r="A195" s="175">
        <v>195.0</v>
      </c>
      <c r="B195" s="176">
        <v>46176.0</v>
      </c>
      <c r="C195" s="175" t="s">
        <v>21</v>
      </c>
      <c r="D195" s="175" t="s">
        <v>22</v>
      </c>
      <c r="E195" s="177" t="s">
        <v>4867</v>
      </c>
      <c r="F195" s="178">
        <v>5.53792167E8</v>
      </c>
      <c r="G195" s="177" t="s">
        <v>120</v>
      </c>
      <c r="H195" s="175" t="s">
        <v>27</v>
      </c>
      <c r="I195" s="179" t="s">
        <v>4869</v>
      </c>
      <c r="J195" s="177"/>
      <c r="K195" s="175" t="s">
        <v>36</v>
      </c>
      <c r="L195" s="180"/>
      <c r="M195" s="181" t="s">
        <v>125</v>
      </c>
      <c r="N195" s="175" t="s">
        <v>40</v>
      </c>
      <c r="O195" s="175" t="s">
        <v>42</v>
      </c>
      <c r="P195" s="177" t="s">
        <v>3566</v>
      </c>
      <c r="Q195" s="175" t="s">
        <v>863</v>
      </c>
      <c r="R195" s="175" t="s">
        <v>46</v>
      </c>
      <c r="S195" s="180"/>
      <c r="T195" s="177"/>
      <c r="U195" s="175"/>
      <c r="V195" s="175">
        <v>5.0</v>
      </c>
    </row>
    <row r="196">
      <c r="A196" s="26">
        <v>196.0</v>
      </c>
      <c r="B196" s="188">
        <v>46176.0</v>
      </c>
      <c r="C196" s="26" t="s">
        <v>47</v>
      </c>
      <c r="D196" s="26" t="s">
        <v>48</v>
      </c>
      <c r="E196" s="27" t="s">
        <v>4874</v>
      </c>
      <c r="F196" s="36">
        <v>5.619334E8</v>
      </c>
      <c r="G196" s="27" t="s">
        <v>2580</v>
      </c>
      <c r="H196" s="26" t="s">
        <v>516</v>
      </c>
      <c r="I196" s="27" t="s">
        <v>4875</v>
      </c>
      <c r="J196" s="27" t="s">
        <v>4876</v>
      </c>
      <c r="K196" s="26" t="s">
        <v>36</v>
      </c>
      <c r="L196" s="35">
        <v>0.625</v>
      </c>
      <c r="M196" s="290" t="s">
        <v>3764</v>
      </c>
      <c r="N196" s="26" t="s">
        <v>56</v>
      </c>
      <c r="O196" s="26" t="s">
        <v>518</v>
      </c>
      <c r="P196" s="27" t="s">
        <v>3765</v>
      </c>
      <c r="Q196" s="26" t="s">
        <v>863</v>
      </c>
      <c r="R196" s="26" t="s">
        <v>46</v>
      </c>
      <c r="S196" s="95"/>
      <c r="T196" s="27" t="s">
        <v>3566</v>
      </c>
      <c r="U196" s="188"/>
      <c r="V196" s="26">
        <v>0.0</v>
      </c>
    </row>
    <row r="197">
      <c r="A197" s="175">
        <v>197.0</v>
      </c>
      <c r="B197" s="176">
        <v>46176.0</v>
      </c>
      <c r="C197" s="175" t="s">
        <v>21</v>
      </c>
      <c r="D197" s="175" t="s">
        <v>24</v>
      </c>
      <c r="E197" s="177" t="s">
        <v>4882</v>
      </c>
      <c r="F197" s="207">
        <v>5.65663124E8</v>
      </c>
      <c r="G197" s="177" t="s">
        <v>41</v>
      </c>
      <c r="H197" s="175" t="s">
        <v>27</v>
      </c>
      <c r="I197" s="27" t="s">
        <v>4883</v>
      </c>
      <c r="J197" s="175"/>
      <c r="K197" s="175" t="s">
        <v>36</v>
      </c>
      <c r="L197" s="180"/>
      <c r="M197" s="177" t="s">
        <v>38</v>
      </c>
      <c r="N197" s="175" t="s">
        <v>56</v>
      </c>
      <c r="O197" s="175" t="s">
        <v>42</v>
      </c>
      <c r="P197" s="177" t="s">
        <v>3566</v>
      </c>
      <c r="Q197" s="175" t="s">
        <v>863</v>
      </c>
      <c r="R197" s="175" t="s">
        <v>46</v>
      </c>
      <c r="S197" s="180"/>
      <c r="T197" s="177"/>
      <c r="U197" s="175"/>
      <c r="V197" s="175">
        <v>5.0</v>
      </c>
    </row>
    <row r="198">
      <c r="A198" s="175">
        <v>198.0</v>
      </c>
      <c r="B198" s="176">
        <v>46176.0</v>
      </c>
      <c r="C198" s="175" t="s">
        <v>47</v>
      </c>
      <c r="D198" s="175" t="s">
        <v>48</v>
      </c>
      <c r="E198" s="247" t="s">
        <v>4887</v>
      </c>
      <c r="F198" s="248" t="s">
        <v>942</v>
      </c>
      <c r="G198" s="247" t="s">
        <v>120</v>
      </c>
      <c r="H198" s="250" t="s">
        <v>272</v>
      </c>
      <c r="I198" s="237" t="s">
        <v>4890</v>
      </c>
      <c r="J198" s="237" t="s">
        <v>4892</v>
      </c>
      <c r="K198" s="250" t="s">
        <v>78</v>
      </c>
      <c r="L198" s="180"/>
      <c r="M198" s="177" t="s">
        <v>101</v>
      </c>
      <c r="N198" s="175" t="s">
        <v>56</v>
      </c>
      <c r="O198" s="175" t="s">
        <v>518</v>
      </c>
      <c r="P198" s="177" t="s">
        <v>3765</v>
      </c>
      <c r="Q198" s="175" t="s">
        <v>863</v>
      </c>
      <c r="R198" s="175" t="s">
        <v>46</v>
      </c>
      <c r="S198" s="246"/>
      <c r="T198" s="177"/>
      <c r="U198" s="175"/>
      <c r="V198" s="175">
        <v>5.0</v>
      </c>
    </row>
    <row r="199">
      <c r="A199" s="175">
        <v>199.0</v>
      </c>
      <c r="B199" s="176">
        <v>46176.0</v>
      </c>
      <c r="C199" s="175" t="s">
        <v>47</v>
      </c>
      <c r="D199" s="175" t="s">
        <v>24</v>
      </c>
      <c r="E199" s="175" t="s">
        <v>4893</v>
      </c>
      <c r="F199" s="207" t="s">
        <v>942</v>
      </c>
      <c r="G199" s="177" t="s">
        <v>41</v>
      </c>
      <c r="H199" s="175" t="s">
        <v>263</v>
      </c>
      <c r="I199" s="27" t="s">
        <v>4895</v>
      </c>
      <c r="J199" s="175"/>
      <c r="K199" s="175" t="s">
        <v>78</v>
      </c>
      <c r="L199" s="180"/>
      <c r="M199" s="177" t="s">
        <v>630</v>
      </c>
      <c r="N199" s="175" t="s">
        <v>56</v>
      </c>
      <c r="O199" s="175" t="s">
        <v>42</v>
      </c>
      <c r="P199" s="177" t="s">
        <v>3566</v>
      </c>
      <c r="Q199" s="175" t="s">
        <v>863</v>
      </c>
      <c r="R199" s="175"/>
      <c r="S199" s="180"/>
      <c r="T199" s="177"/>
      <c r="U199" s="175"/>
      <c r="V199" s="175">
        <v>5.0</v>
      </c>
    </row>
    <row r="200" ht="46.5" customHeight="1">
      <c r="A200" s="175">
        <v>200.0</v>
      </c>
      <c r="B200" s="176">
        <v>46176.0</v>
      </c>
      <c r="C200" s="175" t="s">
        <v>47</v>
      </c>
      <c r="D200" s="175" t="s">
        <v>48</v>
      </c>
      <c r="E200" s="247" t="s">
        <v>4901</v>
      </c>
      <c r="F200" s="248" t="s">
        <v>942</v>
      </c>
      <c r="G200" s="177" t="s">
        <v>79</v>
      </c>
      <c r="H200" s="250" t="s">
        <v>4902</v>
      </c>
      <c r="I200" s="237" t="s">
        <v>4903</v>
      </c>
      <c r="J200" s="237" t="s">
        <v>4904</v>
      </c>
      <c r="K200" s="250" t="s">
        <v>78</v>
      </c>
      <c r="L200" s="180"/>
      <c r="M200" s="177" t="s">
        <v>101</v>
      </c>
      <c r="N200" s="175" t="s">
        <v>56</v>
      </c>
      <c r="O200" s="175" t="s">
        <v>518</v>
      </c>
      <c r="P200" s="177" t="s">
        <v>3765</v>
      </c>
      <c r="Q200" s="175" t="s">
        <v>863</v>
      </c>
      <c r="R200" s="175" t="s">
        <v>46</v>
      </c>
      <c r="S200" s="246"/>
      <c r="T200" s="177"/>
      <c r="U200" s="175"/>
      <c r="V200" s="175">
        <v>5.0</v>
      </c>
    </row>
    <row r="201">
      <c r="A201" s="175">
        <v>201.0</v>
      </c>
      <c r="B201" s="176">
        <v>46176.0</v>
      </c>
      <c r="C201" s="175" t="s">
        <v>47</v>
      </c>
      <c r="D201" s="175" t="s">
        <v>48</v>
      </c>
      <c r="E201" s="175" t="s">
        <v>27</v>
      </c>
      <c r="F201" s="207" t="s">
        <v>942</v>
      </c>
      <c r="G201" s="177" t="s">
        <v>4910</v>
      </c>
      <c r="H201" s="175" t="s">
        <v>4911</v>
      </c>
      <c r="I201" s="27" t="s">
        <v>4912</v>
      </c>
      <c r="J201" s="27" t="s">
        <v>4914</v>
      </c>
      <c r="K201" s="175" t="s">
        <v>78</v>
      </c>
      <c r="L201" s="180"/>
      <c r="M201" s="307" t="s">
        <v>4232</v>
      </c>
      <c r="N201" s="175" t="s">
        <v>56</v>
      </c>
      <c r="O201" s="175" t="s">
        <v>518</v>
      </c>
      <c r="P201" s="177" t="s">
        <v>3765</v>
      </c>
      <c r="Q201" s="175" t="s">
        <v>863</v>
      </c>
      <c r="R201" s="175" t="s">
        <v>46</v>
      </c>
      <c r="S201" s="180"/>
      <c r="T201" s="177"/>
      <c r="U201" s="175"/>
      <c r="V201" s="175">
        <v>5.0</v>
      </c>
    </row>
    <row r="202">
      <c r="A202" s="175">
        <v>202.0</v>
      </c>
      <c r="B202" s="176">
        <v>46176.0</v>
      </c>
      <c r="C202" s="175" t="s">
        <v>47</v>
      </c>
      <c r="D202" s="175" t="s">
        <v>24</v>
      </c>
      <c r="E202" s="177" t="s">
        <v>4920</v>
      </c>
      <c r="F202" s="248" t="s">
        <v>942</v>
      </c>
      <c r="G202" s="177" t="s">
        <v>41</v>
      </c>
      <c r="H202" s="250" t="s">
        <v>2375</v>
      </c>
      <c r="I202" s="237" t="s">
        <v>4921</v>
      </c>
      <c r="J202" s="250"/>
      <c r="K202" s="250" t="s">
        <v>78</v>
      </c>
      <c r="L202" s="180"/>
      <c r="M202" s="177" t="s">
        <v>55</v>
      </c>
      <c r="N202" s="175" t="s">
        <v>56</v>
      </c>
      <c r="O202" s="175" t="s">
        <v>42</v>
      </c>
      <c r="P202" s="177" t="s">
        <v>3566</v>
      </c>
      <c r="Q202" s="175" t="s">
        <v>863</v>
      </c>
      <c r="R202" s="175"/>
      <c r="S202" s="246"/>
      <c r="T202" s="177"/>
      <c r="U202" s="175"/>
      <c r="V202" s="175">
        <v>5.0</v>
      </c>
    </row>
    <row r="203">
      <c r="A203" s="175">
        <v>203.0</v>
      </c>
      <c r="B203" s="176">
        <v>46176.0</v>
      </c>
      <c r="C203" s="175" t="s">
        <v>47</v>
      </c>
      <c r="D203" s="175" t="s">
        <v>48</v>
      </c>
      <c r="E203" s="175" t="s">
        <v>4927</v>
      </c>
      <c r="F203" s="207" t="s">
        <v>942</v>
      </c>
      <c r="G203" s="177" t="s">
        <v>41</v>
      </c>
      <c r="H203" s="175" t="s">
        <v>4928</v>
      </c>
      <c r="I203" s="27" t="s">
        <v>4929</v>
      </c>
      <c r="J203" s="27" t="s">
        <v>4930</v>
      </c>
      <c r="K203" s="175" t="s">
        <v>78</v>
      </c>
      <c r="L203" s="180"/>
      <c r="M203" s="177" t="s">
        <v>101</v>
      </c>
      <c r="N203" s="175" t="s">
        <v>56</v>
      </c>
      <c r="O203" s="175" t="s">
        <v>518</v>
      </c>
      <c r="P203" s="177" t="s">
        <v>3765</v>
      </c>
      <c r="Q203" s="175" t="s">
        <v>863</v>
      </c>
      <c r="R203" s="175" t="s">
        <v>46</v>
      </c>
      <c r="S203" s="180"/>
      <c r="T203" s="177"/>
      <c r="U203" s="175"/>
      <c r="V203" s="175">
        <v>5.0</v>
      </c>
    </row>
    <row r="204">
      <c r="A204" s="175">
        <v>204.0</v>
      </c>
      <c r="B204" s="176">
        <v>46176.0</v>
      </c>
      <c r="C204" s="175" t="s">
        <v>47</v>
      </c>
      <c r="D204" s="175" t="s">
        <v>92</v>
      </c>
      <c r="E204" s="177" t="s">
        <v>284</v>
      </c>
      <c r="F204" s="248" t="s">
        <v>942</v>
      </c>
      <c r="G204" s="247" t="s">
        <v>426</v>
      </c>
      <c r="H204" s="250" t="s">
        <v>777</v>
      </c>
      <c r="I204" s="237" t="s">
        <v>4934</v>
      </c>
      <c r="J204" s="250"/>
      <c r="K204" s="250" t="s">
        <v>78</v>
      </c>
      <c r="L204" s="180"/>
      <c r="M204" s="27" t="s">
        <v>101</v>
      </c>
      <c r="N204" s="175" t="s">
        <v>40</v>
      </c>
      <c r="O204" s="175" t="s">
        <v>518</v>
      </c>
      <c r="P204" s="177" t="s">
        <v>3765</v>
      </c>
      <c r="Q204" s="175" t="s">
        <v>863</v>
      </c>
      <c r="R204" s="175" t="s">
        <v>46</v>
      </c>
      <c r="S204" s="246"/>
      <c r="T204" s="177"/>
      <c r="U204" s="175"/>
      <c r="V204" s="175">
        <v>5.0</v>
      </c>
    </row>
    <row r="205">
      <c r="A205" s="175">
        <v>205.0</v>
      </c>
      <c r="B205" s="176">
        <v>46176.0</v>
      </c>
      <c r="C205" s="175" t="s">
        <v>47</v>
      </c>
      <c r="D205" s="175" t="s">
        <v>92</v>
      </c>
      <c r="E205" s="175" t="s">
        <v>942</v>
      </c>
      <c r="F205" s="207" t="s">
        <v>942</v>
      </c>
      <c r="G205" s="177" t="s">
        <v>120</v>
      </c>
      <c r="H205" s="175" t="s">
        <v>4937</v>
      </c>
      <c r="I205" s="27" t="s">
        <v>4938</v>
      </c>
      <c r="J205" s="175"/>
      <c r="K205" s="175" t="s">
        <v>78</v>
      </c>
      <c r="L205" s="180"/>
      <c r="M205" s="27" t="s">
        <v>101</v>
      </c>
      <c r="N205" s="175" t="s">
        <v>40</v>
      </c>
      <c r="O205" s="175" t="s">
        <v>518</v>
      </c>
      <c r="P205" s="177" t="s">
        <v>3765</v>
      </c>
      <c r="Q205" s="175" t="s">
        <v>863</v>
      </c>
      <c r="R205" s="175" t="s">
        <v>46</v>
      </c>
      <c r="S205" s="180"/>
      <c r="T205" s="177"/>
      <c r="U205" s="175"/>
      <c r="V205" s="175">
        <v>5.0</v>
      </c>
    </row>
    <row r="206">
      <c r="A206" s="175">
        <v>206.0</v>
      </c>
      <c r="B206" s="176">
        <v>46176.0</v>
      </c>
      <c r="C206" s="175" t="s">
        <v>21</v>
      </c>
      <c r="D206" s="175" t="s">
        <v>34</v>
      </c>
      <c r="E206" s="175" t="s">
        <v>27</v>
      </c>
      <c r="F206" s="178">
        <v>5.57804837E8</v>
      </c>
      <c r="G206" s="175" t="s">
        <v>27</v>
      </c>
      <c r="H206" s="175" t="s">
        <v>27</v>
      </c>
      <c r="I206" s="179" t="s">
        <v>4045</v>
      </c>
      <c r="J206" s="177"/>
      <c r="K206" s="175" t="s">
        <v>36</v>
      </c>
      <c r="L206" s="180"/>
      <c r="M206" s="181" t="s">
        <v>51</v>
      </c>
      <c r="N206" s="175" t="s">
        <v>40</v>
      </c>
      <c r="O206" s="175" t="s">
        <v>42</v>
      </c>
      <c r="P206" s="177" t="s">
        <v>3566</v>
      </c>
      <c r="Q206" s="175" t="s">
        <v>44</v>
      </c>
      <c r="R206" s="175"/>
      <c r="S206" s="180"/>
      <c r="T206" s="177"/>
      <c r="U206" s="175"/>
      <c r="V206" s="175">
        <v>5.0</v>
      </c>
    </row>
    <row r="207">
      <c r="A207" s="175">
        <v>207.0</v>
      </c>
      <c r="B207" s="176">
        <v>46176.0</v>
      </c>
      <c r="C207" s="175" t="s">
        <v>58</v>
      </c>
      <c r="D207" s="175" t="s">
        <v>60</v>
      </c>
      <c r="E207" s="177" t="s">
        <v>4947</v>
      </c>
      <c r="F207" s="178">
        <v>5.555783371E9</v>
      </c>
      <c r="G207" s="177" t="s">
        <v>4091</v>
      </c>
      <c r="H207" s="175" t="s">
        <v>27</v>
      </c>
      <c r="I207" s="179" t="s">
        <v>4949</v>
      </c>
      <c r="J207" s="177"/>
      <c r="K207" s="175" t="s">
        <v>36</v>
      </c>
      <c r="L207" s="180"/>
      <c r="M207" s="181" t="s">
        <v>88</v>
      </c>
      <c r="N207" s="175" t="s">
        <v>40</v>
      </c>
      <c r="O207" s="175" t="s">
        <v>42</v>
      </c>
      <c r="P207" s="177" t="s">
        <v>3566</v>
      </c>
      <c r="Q207" s="175" t="s">
        <v>863</v>
      </c>
      <c r="R207" s="175"/>
      <c r="S207" s="180"/>
      <c r="T207" s="177"/>
      <c r="U207" s="175"/>
      <c r="V207" s="175">
        <v>5.0</v>
      </c>
    </row>
    <row r="208" ht="63.75" customHeight="1">
      <c r="A208" s="26">
        <v>208.0</v>
      </c>
      <c r="B208" s="188">
        <v>46176.0</v>
      </c>
      <c r="C208" s="26" t="s">
        <v>47</v>
      </c>
      <c r="D208" s="26" t="s">
        <v>48</v>
      </c>
      <c r="E208" s="27" t="s">
        <v>4953</v>
      </c>
      <c r="F208" s="36">
        <v>5.45065555E8</v>
      </c>
      <c r="G208" s="27" t="s">
        <v>41</v>
      </c>
      <c r="H208" s="26" t="s">
        <v>4795</v>
      </c>
      <c r="I208" s="27" t="s">
        <v>4954</v>
      </c>
      <c r="J208" s="26" t="s">
        <v>27</v>
      </c>
      <c r="K208" s="26" t="s">
        <v>36</v>
      </c>
      <c r="L208" s="35">
        <v>0.6527777777777778</v>
      </c>
      <c r="M208" s="290" t="s">
        <v>3764</v>
      </c>
      <c r="N208" s="26" t="s">
        <v>40</v>
      </c>
      <c r="O208" s="26" t="s">
        <v>518</v>
      </c>
      <c r="P208" s="27" t="s">
        <v>3765</v>
      </c>
      <c r="Q208" s="26" t="s">
        <v>863</v>
      </c>
      <c r="R208" s="26" t="s">
        <v>46</v>
      </c>
      <c r="S208" s="95">
        <v>0.6972222222222222</v>
      </c>
      <c r="T208" s="27" t="s">
        <v>3566</v>
      </c>
      <c r="U208" s="26" t="s">
        <v>863</v>
      </c>
      <c r="V208" s="26">
        <v>0.0</v>
      </c>
    </row>
    <row r="209">
      <c r="A209" s="175">
        <v>209.0</v>
      </c>
      <c r="B209" s="176">
        <v>46176.0</v>
      </c>
      <c r="C209" s="175" t="s">
        <v>21</v>
      </c>
      <c r="D209" s="175" t="s">
        <v>22</v>
      </c>
      <c r="E209" s="177" t="s">
        <v>4959</v>
      </c>
      <c r="F209" s="207">
        <v>5.51505568E8</v>
      </c>
      <c r="G209" s="175" t="s">
        <v>27</v>
      </c>
      <c r="H209" s="175" t="s">
        <v>27</v>
      </c>
      <c r="I209" s="27" t="s">
        <v>4960</v>
      </c>
      <c r="J209" s="175"/>
      <c r="K209" s="175" t="s">
        <v>36</v>
      </c>
      <c r="L209" s="180"/>
      <c r="M209" s="177" t="s">
        <v>38</v>
      </c>
      <c r="N209" s="175" t="s">
        <v>40</v>
      </c>
      <c r="O209" s="175" t="s">
        <v>42</v>
      </c>
      <c r="P209" s="177" t="s">
        <v>3566</v>
      </c>
      <c r="Q209" s="175" t="s">
        <v>863</v>
      </c>
      <c r="R209" s="175" t="s">
        <v>46</v>
      </c>
      <c r="S209" s="180"/>
      <c r="T209" s="177"/>
      <c r="U209" s="175"/>
      <c r="V209" s="175">
        <v>5.0</v>
      </c>
    </row>
    <row r="210">
      <c r="A210" s="175">
        <v>210.0</v>
      </c>
      <c r="B210" s="176">
        <v>46176.0</v>
      </c>
      <c r="C210" s="175" t="s">
        <v>21</v>
      </c>
      <c r="D210" s="175" t="s">
        <v>57</v>
      </c>
      <c r="E210" s="247" t="s">
        <v>4964</v>
      </c>
      <c r="F210" s="248">
        <v>5.61007704E8</v>
      </c>
      <c r="G210" s="250" t="s">
        <v>27</v>
      </c>
      <c r="H210" s="250" t="s">
        <v>27</v>
      </c>
      <c r="I210" s="237" t="s">
        <v>4965</v>
      </c>
      <c r="J210" s="247" t="s">
        <v>4967</v>
      </c>
      <c r="K210" s="250" t="s">
        <v>36</v>
      </c>
      <c r="L210" s="180"/>
      <c r="M210" s="177" t="s">
        <v>38</v>
      </c>
      <c r="N210" s="175" t="s">
        <v>40</v>
      </c>
      <c r="O210" s="175" t="s">
        <v>42</v>
      </c>
      <c r="P210" s="177" t="s">
        <v>3566</v>
      </c>
      <c r="Q210" s="175" t="s">
        <v>863</v>
      </c>
      <c r="R210" s="175"/>
      <c r="S210" s="246"/>
      <c r="T210" s="177"/>
      <c r="U210" s="175"/>
      <c r="V210" s="175">
        <v>5.0</v>
      </c>
    </row>
    <row r="211">
      <c r="A211" s="175">
        <v>211.0</v>
      </c>
      <c r="B211" s="176">
        <v>46176.0</v>
      </c>
      <c r="C211" s="175" t="s">
        <v>21</v>
      </c>
      <c r="D211" s="175" t="s">
        <v>22</v>
      </c>
      <c r="E211" s="177" t="s">
        <v>4971</v>
      </c>
      <c r="F211" s="207">
        <v>5.06788996E8</v>
      </c>
      <c r="G211" s="175" t="s">
        <v>27</v>
      </c>
      <c r="H211" s="175" t="s">
        <v>27</v>
      </c>
      <c r="I211" s="27" t="s">
        <v>4973</v>
      </c>
      <c r="J211" s="177"/>
      <c r="K211" s="175" t="s">
        <v>36</v>
      </c>
      <c r="L211" s="180"/>
      <c r="M211" s="177" t="s">
        <v>38</v>
      </c>
      <c r="N211" s="175" t="s">
        <v>40</v>
      </c>
      <c r="O211" s="175" t="s">
        <v>42</v>
      </c>
      <c r="P211" s="177" t="s">
        <v>3566</v>
      </c>
      <c r="Q211" s="175" t="s">
        <v>863</v>
      </c>
      <c r="R211" s="175" t="s">
        <v>46</v>
      </c>
      <c r="S211" s="180"/>
      <c r="T211" s="177"/>
      <c r="U211" s="175"/>
      <c r="V211" s="175">
        <v>5.0</v>
      </c>
    </row>
    <row r="212">
      <c r="A212" s="175">
        <v>212.0</v>
      </c>
      <c r="B212" s="176">
        <v>46176.0</v>
      </c>
      <c r="C212" s="175" t="s">
        <v>21</v>
      </c>
      <c r="D212" s="175" t="s">
        <v>24</v>
      </c>
      <c r="E212" s="247" t="s">
        <v>4978</v>
      </c>
      <c r="F212" s="248">
        <v>5.36036306E8</v>
      </c>
      <c r="G212" s="247" t="s">
        <v>198</v>
      </c>
      <c r="H212" s="175" t="s">
        <v>27</v>
      </c>
      <c r="I212" s="237" t="s">
        <v>4979</v>
      </c>
      <c r="J212" s="247"/>
      <c r="K212" s="250" t="s">
        <v>36</v>
      </c>
      <c r="L212" s="180"/>
      <c r="M212" s="177" t="s">
        <v>38</v>
      </c>
      <c r="N212" s="175" t="s">
        <v>56</v>
      </c>
      <c r="O212" s="175" t="s">
        <v>42</v>
      </c>
      <c r="P212" s="177" t="s">
        <v>3566</v>
      </c>
      <c r="Q212" s="175" t="s">
        <v>44</v>
      </c>
      <c r="R212" s="175" t="s">
        <v>46</v>
      </c>
      <c r="S212" s="246"/>
      <c r="T212" s="177"/>
      <c r="U212" s="175"/>
      <c r="V212" s="175">
        <v>5.0</v>
      </c>
    </row>
    <row r="213">
      <c r="A213" s="175">
        <v>213.0</v>
      </c>
      <c r="B213" s="176">
        <v>46177.0</v>
      </c>
      <c r="C213" s="175" t="s">
        <v>21</v>
      </c>
      <c r="D213" s="175" t="s">
        <v>24</v>
      </c>
      <c r="E213" s="177" t="s">
        <v>4983</v>
      </c>
      <c r="F213" s="178">
        <v>5.56798498E8</v>
      </c>
      <c r="G213" s="177" t="s">
        <v>4985</v>
      </c>
      <c r="H213" s="175" t="s">
        <v>27</v>
      </c>
      <c r="I213" s="179" t="s">
        <v>4988</v>
      </c>
      <c r="J213" s="177"/>
      <c r="K213" s="175" t="s">
        <v>62</v>
      </c>
      <c r="L213" s="180"/>
      <c r="M213" s="177" t="s">
        <v>38</v>
      </c>
      <c r="N213" s="175" t="s">
        <v>56</v>
      </c>
      <c r="O213" s="175" t="s">
        <v>42</v>
      </c>
      <c r="P213" s="177" t="s">
        <v>3566</v>
      </c>
      <c r="Q213" s="175" t="s">
        <v>863</v>
      </c>
      <c r="R213" s="175" t="s">
        <v>46</v>
      </c>
      <c r="S213" s="180"/>
      <c r="T213" s="177"/>
      <c r="U213" s="175"/>
      <c r="V213" s="175">
        <v>5.0</v>
      </c>
    </row>
    <row r="214">
      <c r="A214" s="175">
        <v>214.0</v>
      </c>
      <c r="B214" s="176">
        <v>46177.0</v>
      </c>
      <c r="C214" s="175" t="s">
        <v>21</v>
      </c>
      <c r="D214" s="175" t="s">
        <v>22</v>
      </c>
      <c r="E214" s="177" t="s">
        <v>4995</v>
      </c>
      <c r="F214" s="178">
        <v>5.00657745E8</v>
      </c>
      <c r="G214" s="175" t="s">
        <v>27</v>
      </c>
      <c r="H214" s="175" t="s">
        <v>27</v>
      </c>
      <c r="I214" s="179" t="s">
        <v>4996</v>
      </c>
      <c r="J214" s="177"/>
      <c r="K214" s="175" t="s">
        <v>62</v>
      </c>
      <c r="L214" s="180"/>
      <c r="M214" s="177" t="s">
        <v>38</v>
      </c>
      <c r="N214" s="175" t="s">
        <v>40</v>
      </c>
      <c r="O214" s="175" t="s">
        <v>42</v>
      </c>
      <c r="P214" s="177" t="s">
        <v>3566</v>
      </c>
      <c r="Q214" s="175" t="s">
        <v>863</v>
      </c>
      <c r="R214" s="175" t="s">
        <v>46</v>
      </c>
      <c r="S214" s="180"/>
      <c r="T214" s="177"/>
      <c r="U214" s="175"/>
      <c r="V214" s="175">
        <v>5.0</v>
      </c>
    </row>
    <row r="215">
      <c r="A215" s="175">
        <v>215.0</v>
      </c>
      <c r="B215" s="176">
        <v>46177.0</v>
      </c>
      <c r="C215" s="175" t="s">
        <v>21</v>
      </c>
      <c r="D215" s="175" t="s">
        <v>22</v>
      </c>
      <c r="E215" s="177" t="s">
        <v>4299</v>
      </c>
      <c r="F215" s="207">
        <v>5.54649696E8</v>
      </c>
      <c r="G215" s="177" t="s">
        <v>426</v>
      </c>
      <c r="H215" s="175" t="s">
        <v>27</v>
      </c>
      <c r="I215" s="179" t="s">
        <v>5002</v>
      </c>
      <c r="J215" s="177"/>
      <c r="K215" s="175" t="s">
        <v>62</v>
      </c>
      <c r="L215" s="180"/>
      <c r="M215" s="177" t="s">
        <v>38</v>
      </c>
      <c r="N215" s="175" t="s">
        <v>40</v>
      </c>
      <c r="O215" s="175" t="s">
        <v>42</v>
      </c>
      <c r="P215" s="177" t="s">
        <v>3566</v>
      </c>
      <c r="Q215" s="175" t="s">
        <v>863</v>
      </c>
      <c r="R215" s="175" t="s">
        <v>46</v>
      </c>
      <c r="S215" s="180"/>
      <c r="T215" s="177"/>
      <c r="U215" s="175"/>
      <c r="V215" s="175">
        <v>5.0</v>
      </c>
    </row>
    <row r="216">
      <c r="A216" s="175">
        <v>216.0</v>
      </c>
      <c r="B216" s="176">
        <v>46177.0</v>
      </c>
      <c r="C216" s="175" t="s">
        <v>21</v>
      </c>
      <c r="D216" s="175" t="s">
        <v>22</v>
      </c>
      <c r="E216" s="177" t="s">
        <v>5005</v>
      </c>
      <c r="F216" s="178">
        <v>5.04229233E8</v>
      </c>
      <c r="G216" s="177" t="s">
        <v>120</v>
      </c>
      <c r="H216" s="175" t="s">
        <v>27</v>
      </c>
      <c r="I216" s="179" t="s">
        <v>5006</v>
      </c>
      <c r="J216" s="177"/>
      <c r="K216" s="175" t="s">
        <v>62</v>
      </c>
      <c r="L216" s="180"/>
      <c r="M216" s="181" t="s">
        <v>125</v>
      </c>
      <c r="N216" s="175" t="s">
        <v>40</v>
      </c>
      <c r="O216" s="175" t="s">
        <v>42</v>
      </c>
      <c r="P216" s="177" t="s">
        <v>3566</v>
      </c>
      <c r="Q216" s="175" t="s">
        <v>863</v>
      </c>
      <c r="R216" s="175" t="s">
        <v>46</v>
      </c>
      <c r="S216" s="180"/>
      <c r="T216" s="177"/>
      <c r="U216" s="175"/>
      <c r="V216" s="175">
        <v>5.0</v>
      </c>
    </row>
    <row r="217">
      <c r="A217" s="175">
        <v>217.0</v>
      </c>
      <c r="B217" s="235">
        <v>46177.0</v>
      </c>
      <c r="C217" s="206" t="s">
        <v>21</v>
      </c>
      <c r="D217" s="206" t="s">
        <v>22</v>
      </c>
      <c r="E217" s="198" t="s">
        <v>5012</v>
      </c>
      <c r="F217" s="178">
        <v>5.05751372E8</v>
      </c>
      <c r="G217" s="206" t="s">
        <v>27</v>
      </c>
      <c r="H217" s="206" t="s">
        <v>27</v>
      </c>
      <c r="I217" s="179" t="s">
        <v>5013</v>
      </c>
      <c r="J217" s="198"/>
      <c r="K217" s="206" t="s">
        <v>62</v>
      </c>
      <c r="L217" s="236"/>
      <c r="M217" s="198" t="s">
        <v>38</v>
      </c>
      <c r="N217" s="206" t="s">
        <v>40</v>
      </c>
      <c r="O217" s="206" t="s">
        <v>42</v>
      </c>
      <c r="P217" s="177" t="s">
        <v>3566</v>
      </c>
      <c r="Q217" s="206" t="s">
        <v>44</v>
      </c>
      <c r="R217" s="206" t="s">
        <v>46</v>
      </c>
      <c r="S217" s="236"/>
      <c r="T217" s="198"/>
      <c r="U217" s="206"/>
      <c r="V217" s="206">
        <v>5.0</v>
      </c>
    </row>
    <row r="218">
      <c r="A218" s="175">
        <v>218.0</v>
      </c>
      <c r="B218" s="176">
        <v>46177.0</v>
      </c>
      <c r="C218" s="175" t="s">
        <v>58</v>
      </c>
      <c r="D218" s="175" t="s">
        <v>57</v>
      </c>
      <c r="E218" s="175" t="s">
        <v>27</v>
      </c>
      <c r="F218" s="178">
        <v>5.09022178E8</v>
      </c>
      <c r="G218" s="175" t="s">
        <v>27</v>
      </c>
      <c r="H218" s="175" t="s">
        <v>27</v>
      </c>
      <c r="I218" s="179" t="s">
        <v>5016</v>
      </c>
      <c r="J218" s="177"/>
      <c r="K218" s="175" t="s">
        <v>62</v>
      </c>
      <c r="L218" s="180"/>
      <c r="M218" s="177" t="s">
        <v>88</v>
      </c>
      <c r="N218" s="175" t="s">
        <v>40</v>
      </c>
      <c r="O218" s="175" t="s">
        <v>42</v>
      </c>
      <c r="P218" s="177" t="s">
        <v>3566</v>
      </c>
      <c r="Q218" s="175" t="s">
        <v>863</v>
      </c>
      <c r="R218" s="175"/>
      <c r="S218" s="180"/>
      <c r="T218" s="177"/>
      <c r="U218" s="175"/>
      <c r="V218" s="175">
        <v>5.0</v>
      </c>
    </row>
    <row r="219">
      <c r="A219" s="175">
        <v>219.0</v>
      </c>
      <c r="B219" s="176">
        <v>46177.0</v>
      </c>
      <c r="C219" s="175" t="s">
        <v>58</v>
      </c>
      <c r="D219" s="175" t="s">
        <v>60</v>
      </c>
      <c r="E219" s="177" t="s">
        <v>5021</v>
      </c>
      <c r="F219" s="178">
        <v>5.03355769E8</v>
      </c>
      <c r="G219" s="177" t="s">
        <v>4985</v>
      </c>
      <c r="H219" s="175" t="s">
        <v>27</v>
      </c>
      <c r="I219" s="179" t="s">
        <v>5022</v>
      </c>
      <c r="J219" s="177" t="s">
        <v>1307</v>
      </c>
      <c r="K219" s="175" t="s">
        <v>62</v>
      </c>
      <c r="L219" s="180"/>
      <c r="M219" s="181" t="s">
        <v>38</v>
      </c>
      <c r="N219" s="175" t="s">
        <v>40</v>
      </c>
      <c r="O219" s="175" t="s">
        <v>42</v>
      </c>
      <c r="P219" s="177" t="s">
        <v>3566</v>
      </c>
      <c r="Q219" s="175" t="s">
        <v>863</v>
      </c>
      <c r="R219" s="175"/>
      <c r="S219" s="180"/>
      <c r="T219" s="177"/>
      <c r="U219" s="175"/>
      <c r="V219" s="175">
        <v>5.0</v>
      </c>
    </row>
    <row r="220">
      <c r="A220" s="175">
        <v>220.0</v>
      </c>
      <c r="B220" s="176">
        <v>46177.0</v>
      </c>
      <c r="C220" s="175" t="s">
        <v>21</v>
      </c>
      <c r="D220" s="175" t="s">
        <v>24</v>
      </c>
      <c r="E220" s="177" t="s">
        <v>5028</v>
      </c>
      <c r="F220" s="207">
        <v>5.68658765E8</v>
      </c>
      <c r="G220" s="177" t="s">
        <v>319</v>
      </c>
      <c r="H220" s="175" t="s">
        <v>27</v>
      </c>
      <c r="I220" s="179" t="s">
        <v>5029</v>
      </c>
      <c r="J220" s="177"/>
      <c r="K220" s="175" t="s">
        <v>62</v>
      </c>
      <c r="L220" s="180"/>
      <c r="M220" s="177" t="s">
        <v>38</v>
      </c>
      <c r="N220" s="175" t="s">
        <v>56</v>
      </c>
      <c r="O220" s="175" t="s">
        <v>42</v>
      </c>
      <c r="P220" s="177" t="s">
        <v>3566</v>
      </c>
      <c r="Q220" s="175" t="s">
        <v>863</v>
      </c>
      <c r="R220" s="175" t="s">
        <v>46</v>
      </c>
      <c r="S220" s="180"/>
      <c r="T220" s="177"/>
      <c r="U220" s="175"/>
      <c r="V220" s="175">
        <v>5.0</v>
      </c>
    </row>
    <row r="221">
      <c r="A221" s="175">
        <v>221.0</v>
      </c>
      <c r="B221" s="235">
        <v>46177.0</v>
      </c>
      <c r="C221" s="206" t="s">
        <v>21</v>
      </c>
      <c r="D221" s="206" t="s">
        <v>22</v>
      </c>
      <c r="E221" s="198" t="s">
        <v>5032</v>
      </c>
      <c r="F221" s="178">
        <v>5.33386669E8</v>
      </c>
      <c r="G221" s="206" t="s">
        <v>27</v>
      </c>
      <c r="H221" s="206" t="s">
        <v>27</v>
      </c>
      <c r="I221" s="179" t="s">
        <v>5033</v>
      </c>
      <c r="J221" s="198"/>
      <c r="K221" s="206" t="s">
        <v>62</v>
      </c>
      <c r="L221" s="236"/>
      <c r="M221" s="198" t="s">
        <v>38</v>
      </c>
      <c r="N221" s="206" t="s">
        <v>40</v>
      </c>
      <c r="O221" s="206" t="s">
        <v>42</v>
      </c>
      <c r="P221" s="177" t="s">
        <v>3566</v>
      </c>
      <c r="Q221" s="206" t="s">
        <v>863</v>
      </c>
      <c r="R221" s="206" t="s">
        <v>46</v>
      </c>
      <c r="S221" s="236"/>
      <c r="T221" s="198"/>
      <c r="U221" s="206"/>
      <c r="V221" s="206">
        <v>5.0</v>
      </c>
    </row>
    <row r="222">
      <c r="A222" s="175">
        <v>222.0</v>
      </c>
      <c r="B222" s="176">
        <v>46177.0</v>
      </c>
      <c r="C222" s="175" t="s">
        <v>58</v>
      </c>
      <c r="D222" s="175" t="s">
        <v>60</v>
      </c>
      <c r="E222" s="177" t="s">
        <v>5037</v>
      </c>
      <c r="F222" s="178">
        <v>5.75267061E8</v>
      </c>
      <c r="G222" s="177" t="s">
        <v>120</v>
      </c>
      <c r="H222" s="175" t="s">
        <v>27</v>
      </c>
      <c r="I222" s="179" t="s">
        <v>5039</v>
      </c>
      <c r="J222" s="177" t="s">
        <v>5040</v>
      </c>
      <c r="K222" s="175" t="s">
        <v>62</v>
      </c>
      <c r="L222" s="180"/>
      <c r="M222" s="181" t="s">
        <v>38</v>
      </c>
      <c r="N222" s="175" t="s">
        <v>40</v>
      </c>
      <c r="O222" s="175" t="s">
        <v>42</v>
      </c>
      <c r="P222" s="177" t="s">
        <v>3566</v>
      </c>
      <c r="Q222" s="175" t="s">
        <v>863</v>
      </c>
      <c r="R222" s="175"/>
      <c r="S222" s="180"/>
      <c r="T222" s="177"/>
      <c r="U222" s="175"/>
      <c r="V222" s="175">
        <v>5.0</v>
      </c>
    </row>
    <row r="223">
      <c r="A223" s="26">
        <v>223.0</v>
      </c>
      <c r="B223" s="188">
        <v>46177.0</v>
      </c>
      <c r="C223" s="26" t="s">
        <v>47</v>
      </c>
      <c r="D223" s="26" t="s">
        <v>48</v>
      </c>
      <c r="E223" s="27" t="s">
        <v>5043</v>
      </c>
      <c r="F223" s="21">
        <v>5.90095509E8</v>
      </c>
      <c r="G223" s="27" t="s">
        <v>426</v>
      </c>
      <c r="H223" s="26" t="s">
        <v>3190</v>
      </c>
      <c r="I223" s="209" t="s">
        <v>5044</v>
      </c>
      <c r="J223" s="310" t="s">
        <v>5045</v>
      </c>
      <c r="K223" s="26" t="s">
        <v>36</v>
      </c>
      <c r="L223" s="35">
        <v>0.4097222222222222</v>
      </c>
      <c r="M223" s="192" t="s">
        <v>3764</v>
      </c>
      <c r="N223" s="26" t="s">
        <v>56</v>
      </c>
      <c r="O223" s="26" t="s">
        <v>518</v>
      </c>
      <c r="P223" s="27" t="s">
        <v>3765</v>
      </c>
      <c r="Q223" s="26" t="s">
        <v>44</v>
      </c>
      <c r="R223" s="26" t="s">
        <v>46</v>
      </c>
      <c r="S223" s="311">
        <v>0.9166666666666666</v>
      </c>
      <c r="T223" s="27" t="s">
        <v>3566</v>
      </c>
      <c r="U223" s="26" t="s">
        <v>44</v>
      </c>
      <c r="V223" s="26">
        <v>5.0</v>
      </c>
    </row>
    <row r="224">
      <c r="A224" s="175">
        <v>224.0</v>
      </c>
      <c r="B224" s="176">
        <v>46177.0</v>
      </c>
      <c r="C224" s="175" t="s">
        <v>21</v>
      </c>
      <c r="D224" s="175" t="s">
        <v>24</v>
      </c>
      <c r="E224" s="177" t="s">
        <v>5049</v>
      </c>
      <c r="F224" s="207">
        <v>5.55787973E8</v>
      </c>
      <c r="G224" s="177" t="s">
        <v>2740</v>
      </c>
      <c r="H224" s="175" t="s">
        <v>27</v>
      </c>
      <c r="I224" s="179" t="s">
        <v>5050</v>
      </c>
      <c r="J224" s="177"/>
      <c r="K224" s="175" t="s">
        <v>62</v>
      </c>
      <c r="L224" s="180"/>
      <c r="M224" s="177" t="s">
        <v>38</v>
      </c>
      <c r="N224" s="175" t="s">
        <v>56</v>
      </c>
      <c r="O224" s="175" t="s">
        <v>42</v>
      </c>
      <c r="P224" s="177" t="s">
        <v>3566</v>
      </c>
      <c r="Q224" s="175" t="s">
        <v>863</v>
      </c>
      <c r="R224" s="175" t="s">
        <v>46</v>
      </c>
      <c r="S224" s="180"/>
      <c r="T224" s="177"/>
      <c r="U224" s="175"/>
      <c r="V224" s="175">
        <v>5.0</v>
      </c>
    </row>
    <row r="225">
      <c r="A225" s="175">
        <v>225.0</v>
      </c>
      <c r="B225" s="176">
        <v>46177.0</v>
      </c>
      <c r="C225" s="175" t="s">
        <v>58</v>
      </c>
      <c r="D225" s="175" t="s">
        <v>57</v>
      </c>
      <c r="E225" s="177" t="s">
        <v>5055</v>
      </c>
      <c r="F225" s="178">
        <v>5.0851991E8</v>
      </c>
      <c r="G225" s="177" t="s">
        <v>1332</v>
      </c>
      <c r="H225" s="175" t="s">
        <v>942</v>
      </c>
      <c r="I225" s="209" t="s">
        <v>5056</v>
      </c>
      <c r="J225" s="177"/>
      <c r="K225" s="175" t="s">
        <v>36</v>
      </c>
      <c r="L225" s="180"/>
      <c r="M225" s="177" t="s">
        <v>88</v>
      </c>
      <c r="N225" s="175" t="s">
        <v>40</v>
      </c>
      <c r="O225" s="175" t="s">
        <v>42</v>
      </c>
      <c r="P225" s="177" t="s">
        <v>3566</v>
      </c>
      <c r="Q225" s="175" t="s">
        <v>863</v>
      </c>
      <c r="R225" s="175"/>
      <c r="S225" s="180"/>
      <c r="T225" s="177"/>
      <c r="U225" s="175"/>
      <c r="V225" s="175">
        <v>5.0</v>
      </c>
    </row>
    <row r="226">
      <c r="A226" s="175">
        <v>226.0</v>
      </c>
      <c r="B226" s="176">
        <v>46177.0</v>
      </c>
      <c r="C226" s="175" t="s">
        <v>58</v>
      </c>
      <c r="D226" s="175" t="s">
        <v>34</v>
      </c>
      <c r="E226" s="175" t="s">
        <v>27</v>
      </c>
      <c r="F226" s="178">
        <v>5.55853037E8</v>
      </c>
      <c r="G226" s="175" t="s">
        <v>27</v>
      </c>
      <c r="H226" s="175" t="s">
        <v>942</v>
      </c>
      <c r="I226" s="179" t="s">
        <v>5058</v>
      </c>
      <c r="J226" s="177"/>
      <c r="K226" s="175" t="s">
        <v>36</v>
      </c>
      <c r="L226" s="180"/>
      <c r="M226" s="181" t="s">
        <v>88</v>
      </c>
      <c r="N226" s="175" t="s">
        <v>40</v>
      </c>
      <c r="O226" s="175" t="s">
        <v>42</v>
      </c>
      <c r="P226" s="177" t="s">
        <v>3566</v>
      </c>
      <c r="Q226" s="175" t="s">
        <v>863</v>
      </c>
      <c r="R226" s="175"/>
      <c r="S226" s="180"/>
      <c r="T226" s="177"/>
      <c r="U226" s="175"/>
      <c r="V226" s="175">
        <v>5.0</v>
      </c>
    </row>
    <row r="227">
      <c r="A227" s="175">
        <v>227.0</v>
      </c>
      <c r="B227" s="176">
        <v>46177.0</v>
      </c>
      <c r="C227" s="175" t="s">
        <v>21</v>
      </c>
      <c r="D227" s="175" t="s">
        <v>22</v>
      </c>
      <c r="E227" s="177" t="s">
        <v>2177</v>
      </c>
      <c r="F227" s="178">
        <v>5.07919397E8</v>
      </c>
      <c r="G227" s="177" t="s">
        <v>319</v>
      </c>
      <c r="H227" s="175" t="s">
        <v>27</v>
      </c>
      <c r="I227" s="179" t="s">
        <v>5064</v>
      </c>
      <c r="J227" s="177"/>
      <c r="K227" s="175" t="s">
        <v>62</v>
      </c>
      <c r="L227" s="180"/>
      <c r="M227" s="177" t="s">
        <v>38</v>
      </c>
      <c r="N227" s="175" t="s">
        <v>40</v>
      </c>
      <c r="O227" s="175" t="s">
        <v>42</v>
      </c>
      <c r="P227" s="177" t="s">
        <v>3566</v>
      </c>
      <c r="Q227" s="175" t="s">
        <v>44</v>
      </c>
      <c r="R227" s="175" t="s">
        <v>46</v>
      </c>
      <c r="S227" s="180"/>
      <c r="T227" s="177"/>
      <c r="U227" s="175"/>
      <c r="V227" s="175">
        <v>5.0</v>
      </c>
    </row>
    <row r="228">
      <c r="A228" s="175">
        <v>228.0</v>
      </c>
      <c r="B228" s="176">
        <v>46177.0</v>
      </c>
      <c r="C228" s="175" t="s">
        <v>47</v>
      </c>
      <c r="D228" s="175" t="s">
        <v>367</v>
      </c>
      <c r="E228" s="175" t="s">
        <v>3097</v>
      </c>
      <c r="F228" s="178">
        <v>5.38122661E8</v>
      </c>
      <c r="G228" s="177" t="s">
        <v>41</v>
      </c>
      <c r="H228" s="175" t="s">
        <v>146</v>
      </c>
      <c r="I228" s="179" t="s">
        <v>5067</v>
      </c>
      <c r="J228" s="177" t="s">
        <v>5069</v>
      </c>
      <c r="K228" s="175" t="s">
        <v>148</v>
      </c>
      <c r="L228" s="180"/>
      <c r="M228" s="232" t="s">
        <v>3759</v>
      </c>
      <c r="N228" s="175" t="s">
        <v>56</v>
      </c>
      <c r="O228" s="175" t="s">
        <v>518</v>
      </c>
      <c r="P228" s="177" t="s">
        <v>3566</v>
      </c>
      <c r="Q228" s="175" t="s">
        <v>863</v>
      </c>
      <c r="R228" s="175" t="s">
        <v>46</v>
      </c>
      <c r="S228" s="180"/>
      <c r="T228" s="177"/>
      <c r="U228" s="175"/>
      <c r="V228" s="175">
        <v>5.0</v>
      </c>
    </row>
    <row r="229">
      <c r="A229" s="175">
        <v>229.0</v>
      </c>
      <c r="B229" s="176">
        <v>46177.0</v>
      </c>
      <c r="C229" s="175" t="s">
        <v>47</v>
      </c>
      <c r="D229" s="175" t="s">
        <v>48</v>
      </c>
      <c r="E229" s="175" t="s">
        <v>27</v>
      </c>
      <c r="F229" s="178" t="s">
        <v>27</v>
      </c>
      <c r="G229" s="177" t="s">
        <v>120</v>
      </c>
      <c r="H229" s="175" t="s">
        <v>272</v>
      </c>
      <c r="I229" s="179" t="s">
        <v>5074</v>
      </c>
      <c r="J229" s="27" t="s">
        <v>5075</v>
      </c>
      <c r="K229" s="175" t="s">
        <v>78</v>
      </c>
      <c r="L229" s="180"/>
      <c r="M229" s="234" t="s">
        <v>4232</v>
      </c>
      <c r="N229" s="175" t="s">
        <v>56</v>
      </c>
      <c r="O229" s="175" t="s">
        <v>518</v>
      </c>
      <c r="P229" s="177" t="s">
        <v>3765</v>
      </c>
      <c r="Q229" s="175" t="s">
        <v>863</v>
      </c>
      <c r="R229" s="175" t="s">
        <v>46</v>
      </c>
      <c r="S229" s="180"/>
      <c r="T229" s="177"/>
      <c r="U229" s="175"/>
      <c r="V229" s="175">
        <v>5.0</v>
      </c>
    </row>
    <row r="230">
      <c r="A230" s="175">
        <v>230.0</v>
      </c>
      <c r="B230" s="176">
        <v>46177.0</v>
      </c>
      <c r="C230" s="175" t="s">
        <v>3766</v>
      </c>
      <c r="D230" s="175" t="s">
        <v>57</v>
      </c>
      <c r="E230" s="175" t="s">
        <v>27</v>
      </c>
      <c r="F230" s="178" t="s">
        <v>1582</v>
      </c>
      <c r="G230" s="177" t="s">
        <v>4985</v>
      </c>
      <c r="H230" s="175" t="s">
        <v>487</v>
      </c>
      <c r="I230" s="179" t="s">
        <v>5081</v>
      </c>
      <c r="J230" s="177"/>
      <c r="K230" s="175" t="s">
        <v>78</v>
      </c>
      <c r="L230" s="180"/>
      <c r="M230" s="177" t="s">
        <v>3776</v>
      </c>
      <c r="N230" s="175" t="s">
        <v>40</v>
      </c>
      <c r="O230" s="175" t="s">
        <v>42</v>
      </c>
      <c r="P230" s="177" t="s">
        <v>3566</v>
      </c>
      <c r="Q230" s="175" t="s">
        <v>863</v>
      </c>
      <c r="R230" s="175"/>
      <c r="S230" s="180"/>
      <c r="T230" s="177"/>
      <c r="U230" s="175"/>
      <c r="V230" s="175">
        <v>5.0</v>
      </c>
    </row>
    <row r="231">
      <c r="A231" s="175">
        <v>231.0</v>
      </c>
      <c r="B231" s="176">
        <v>46177.0</v>
      </c>
      <c r="C231" s="175" t="s">
        <v>21</v>
      </c>
      <c r="D231" s="175" t="s">
        <v>22</v>
      </c>
      <c r="E231" s="177" t="s">
        <v>5085</v>
      </c>
      <c r="F231" s="178">
        <v>5.09728284E8</v>
      </c>
      <c r="G231" s="177" t="s">
        <v>4910</v>
      </c>
      <c r="H231" s="175" t="s">
        <v>27</v>
      </c>
      <c r="I231" s="179" t="s">
        <v>5086</v>
      </c>
      <c r="J231" s="177"/>
      <c r="K231" s="175" t="s">
        <v>36</v>
      </c>
      <c r="L231" s="180"/>
      <c r="M231" s="177" t="s">
        <v>38</v>
      </c>
      <c r="N231" s="175" t="s">
        <v>40</v>
      </c>
      <c r="O231" s="175" t="s">
        <v>42</v>
      </c>
      <c r="P231" s="177" t="s">
        <v>3566</v>
      </c>
      <c r="Q231" s="175" t="s">
        <v>863</v>
      </c>
      <c r="R231" s="175" t="s">
        <v>46</v>
      </c>
      <c r="S231" s="27" t="s">
        <v>3566</v>
      </c>
      <c r="T231" s="177"/>
      <c r="U231" s="175"/>
      <c r="V231" s="175">
        <v>5.0</v>
      </c>
    </row>
    <row r="232">
      <c r="A232" s="175">
        <v>232.0</v>
      </c>
      <c r="B232" s="176">
        <v>46177.0</v>
      </c>
      <c r="C232" s="175" t="s">
        <v>21</v>
      </c>
      <c r="D232" s="175" t="s">
        <v>22</v>
      </c>
      <c r="E232" s="177" t="s">
        <v>5091</v>
      </c>
      <c r="F232" s="178">
        <v>5.40792249E8</v>
      </c>
      <c r="G232" s="177" t="s">
        <v>2740</v>
      </c>
      <c r="H232" s="175" t="s">
        <v>27</v>
      </c>
      <c r="I232" s="179" t="s">
        <v>5092</v>
      </c>
      <c r="J232" s="177"/>
      <c r="K232" s="175" t="s">
        <v>36</v>
      </c>
      <c r="L232" s="180"/>
      <c r="M232" s="177" t="s">
        <v>38</v>
      </c>
      <c r="N232" s="175" t="s">
        <v>40</v>
      </c>
      <c r="O232" s="175" t="s">
        <v>42</v>
      </c>
      <c r="P232" s="177" t="s">
        <v>3566</v>
      </c>
      <c r="Q232" s="175" t="s">
        <v>863</v>
      </c>
      <c r="R232" s="175" t="s">
        <v>46</v>
      </c>
      <c r="S232" s="180"/>
      <c r="T232" s="177"/>
      <c r="U232" s="175"/>
      <c r="V232" s="175">
        <v>5.0</v>
      </c>
    </row>
    <row r="233">
      <c r="A233" s="175">
        <v>233.0</v>
      </c>
      <c r="B233" s="176">
        <v>46177.0</v>
      </c>
      <c r="C233" s="175" t="s">
        <v>58</v>
      </c>
      <c r="D233" s="175" t="s">
        <v>60</v>
      </c>
      <c r="E233" s="198" t="s">
        <v>5097</v>
      </c>
      <c r="F233" s="178">
        <v>5.94201764E8</v>
      </c>
      <c r="G233" s="177" t="s">
        <v>2580</v>
      </c>
      <c r="H233" s="175" t="s">
        <v>1114</v>
      </c>
      <c r="I233" s="179" t="s">
        <v>5098</v>
      </c>
      <c r="J233" s="316" t="s">
        <v>5099</v>
      </c>
      <c r="K233" s="175" t="s">
        <v>36</v>
      </c>
      <c r="L233" s="180"/>
      <c r="M233" s="181" t="s">
        <v>88</v>
      </c>
      <c r="N233" s="175" t="s">
        <v>56</v>
      </c>
      <c r="O233" s="175" t="s">
        <v>42</v>
      </c>
      <c r="P233" s="177" t="s">
        <v>3566</v>
      </c>
      <c r="Q233" s="175" t="s">
        <v>863</v>
      </c>
      <c r="R233" s="175"/>
      <c r="S233" s="180"/>
      <c r="T233" s="177"/>
      <c r="U233" s="175"/>
      <c r="V233" s="175">
        <v>5.0</v>
      </c>
    </row>
    <row r="234">
      <c r="A234" s="175">
        <v>234.0</v>
      </c>
      <c r="B234" s="176">
        <v>46177.0</v>
      </c>
      <c r="C234" s="175" t="s">
        <v>21</v>
      </c>
      <c r="D234" s="175" t="s">
        <v>22</v>
      </c>
      <c r="E234" s="177" t="s">
        <v>405</v>
      </c>
      <c r="F234" s="178">
        <v>5.47657076E8</v>
      </c>
      <c r="G234" s="177" t="s">
        <v>4091</v>
      </c>
      <c r="H234" s="206" t="s">
        <v>27</v>
      </c>
      <c r="I234" s="179" t="s">
        <v>5105</v>
      </c>
      <c r="J234" s="177"/>
      <c r="K234" s="175" t="s">
        <v>62</v>
      </c>
      <c r="L234" s="180"/>
      <c r="M234" s="177" t="s">
        <v>38</v>
      </c>
      <c r="N234" s="175" t="s">
        <v>40</v>
      </c>
      <c r="O234" s="175" t="s">
        <v>42</v>
      </c>
      <c r="P234" s="177" t="s">
        <v>3566</v>
      </c>
      <c r="Q234" s="175" t="s">
        <v>44</v>
      </c>
      <c r="R234" s="206" t="s">
        <v>46</v>
      </c>
      <c r="S234" s="180"/>
      <c r="T234" s="177"/>
      <c r="U234" s="175"/>
      <c r="V234" s="175">
        <v>5.0</v>
      </c>
    </row>
    <row r="235">
      <c r="A235" s="175">
        <v>235.0</v>
      </c>
      <c r="B235" s="176">
        <v>46177.0</v>
      </c>
      <c r="C235" s="175" t="s">
        <v>47</v>
      </c>
      <c r="D235" s="175" t="s">
        <v>92</v>
      </c>
      <c r="E235" s="177" t="s">
        <v>5109</v>
      </c>
      <c r="F235" s="178">
        <v>5.6446449E8</v>
      </c>
      <c r="G235" s="177" t="s">
        <v>71</v>
      </c>
      <c r="H235" s="175" t="s">
        <v>94</v>
      </c>
      <c r="I235" s="270" t="s">
        <v>5110</v>
      </c>
      <c r="J235" s="316"/>
      <c r="K235" s="175" t="s">
        <v>62</v>
      </c>
      <c r="L235" s="180">
        <v>0.3680555555555556</v>
      </c>
      <c r="M235" s="27" t="s">
        <v>98</v>
      </c>
      <c r="N235" s="175" t="s">
        <v>40</v>
      </c>
      <c r="O235" s="175" t="s">
        <v>3811</v>
      </c>
      <c r="P235" s="177" t="s">
        <v>3997</v>
      </c>
      <c r="Q235" s="175" t="s">
        <v>863</v>
      </c>
      <c r="R235" s="175" t="s">
        <v>46</v>
      </c>
      <c r="S235" s="180"/>
      <c r="T235" s="177" t="s">
        <v>2632</v>
      </c>
      <c r="U235" s="175" t="s">
        <v>863</v>
      </c>
      <c r="V235" s="175">
        <v>5.0</v>
      </c>
    </row>
    <row r="236">
      <c r="A236" s="175">
        <v>236.0</v>
      </c>
      <c r="B236" s="176">
        <v>46177.0</v>
      </c>
      <c r="C236" s="175" t="s">
        <v>58</v>
      </c>
      <c r="D236" s="175" t="s">
        <v>60</v>
      </c>
      <c r="E236" s="175" t="s">
        <v>27</v>
      </c>
      <c r="F236" s="178">
        <v>5.55598818E8</v>
      </c>
      <c r="G236" s="175" t="s">
        <v>27</v>
      </c>
      <c r="H236" s="175" t="s">
        <v>27</v>
      </c>
      <c r="I236" s="179" t="s">
        <v>5112</v>
      </c>
      <c r="J236" s="177" t="s">
        <v>5113</v>
      </c>
      <c r="K236" s="175" t="s">
        <v>62</v>
      </c>
      <c r="L236" s="180"/>
      <c r="M236" s="181" t="s">
        <v>38</v>
      </c>
      <c r="N236" s="175" t="s">
        <v>40</v>
      </c>
      <c r="O236" s="175" t="s">
        <v>42</v>
      </c>
      <c r="P236" s="177" t="s">
        <v>3566</v>
      </c>
      <c r="Q236" s="175" t="s">
        <v>863</v>
      </c>
      <c r="R236" s="175"/>
      <c r="S236" s="180"/>
      <c r="T236" s="177"/>
      <c r="U236" s="175"/>
      <c r="V236" s="175">
        <v>5.0</v>
      </c>
    </row>
    <row r="237">
      <c r="A237" s="175">
        <v>237.0</v>
      </c>
      <c r="B237" s="176">
        <v>46177.0</v>
      </c>
      <c r="C237" s="175" t="s">
        <v>58</v>
      </c>
      <c r="D237" s="175" t="s">
        <v>60</v>
      </c>
      <c r="E237" s="175" t="s">
        <v>27</v>
      </c>
      <c r="F237" s="178">
        <v>5.00894255E8</v>
      </c>
      <c r="G237" s="175" t="s">
        <v>27</v>
      </c>
      <c r="H237" s="175" t="s">
        <v>27</v>
      </c>
      <c r="I237" s="179" t="s">
        <v>484</v>
      </c>
      <c r="J237" s="177"/>
      <c r="K237" s="175" t="s">
        <v>36</v>
      </c>
      <c r="L237" s="180"/>
      <c r="M237" s="181" t="s">
        <v>88</v>
      </c>
      <c r="N237" s="175" t="s">
        <v>40</v>
      </c>
      <c r="O237" s="175" t="s">
        <v>42</v>
      </c>
      <c r="P237" s="177" t="s">
        <v>3566</v>
      </c>
      <c r="Q237" s="175" t="s">
        <v>863</v>
      </c>
      <c r="R237" s="175"/>
      <c r="S237" s="180"/>
      <c r="T237" s="177"/>
      <c r="U237" s="175"/>
      <c r="V237" s="175">
        <v>5.0</v>
      </c>
    </row>
    <row r="238" ht="44.25" customHeight="1">
      <c r="A238" s="26">
        <v>238.0</v>
      </c>
      <c r="B238" s="188">
        <v>46177.0</v>
      </c>
      <c r="C238" s="26" t="s">
        <v>47</v>
      </c>
      <c r="D238" s="26" t="s">
        <v>48</v>
      </c>
      <c r="E238" s="27" t="s">
        <v>5120</v>
      </c>
      <c r="F238" s="21">
        <v>5.5555018E8</v>
      </c>
      <c r="G238" s="27" t="s">
        <v>79</v>
      </c>
      <c r="H238" s="26" t="s">
        <v>431</v>
      </c>
      <c r="I238" s="179" t="s">
        <v>5121</v>
      </c>
      <c r="J238" s="310" t="s">
        <v>5122</v>
      </c>
      <c r="K238" s="26" t="s">
        <v>36</v>
      </c>
      <c r="L238" s="35"/>
      <c r="M238" s="27" t="s">
        <v>101</v>
      </c>
      <c r="N238" s="26" t="s">
        <v>56</v>
      </c>
      <c r="O238" s="26" t="s">
        <v>518</v>
      </c>
      <c r="P238" s="27" t="s">
        <v>3765</v>
      </c>
      <c r="Q238" s="26" t="s">
        <v>863</v>
      </c>
      <c r="R238" s="26" t="s">
        <v>46</v>
      </c>
      <c r="S238" s="35">
        <v>0.39791666666666664</v>
      </c>
      <c r="T238" s="27" t="s">
        <v>3566</v>
      </c>
      <c r="U238" s="26" t="s">
        <v>863</v>
      </c>
      <c r="V238" s="26">
        <v>5.0</v>
      </c>
    </row>
    <row r="239">
      <c r="A239" s="26">
        <v>239.0</v>
      </c>
      <c r="B239" s="188">
        <v>46177.0</v>
      </c>
      <c r="C239" s="26" t="s">
        <v>47</v>
      </c>
      <c r="D239" s="26" t="s">
        <v>48</v>
      </c>
      <c r="E239" s="27" t="s">
        <v>5126</v>
      </c>
      <c r="F239" s="21">
        <v>5.05550143E8</v>
      </c>
      <c r="G239" s="27" t="s">
        <v>41</v>
      </c>
      <c r="H239" s="26" t="s">
        <v>414</v>
      </c>
      <c r="I239" s="179" t="s">
        <v>5128</v>
      </c>
      <c r="J239" s="27" t="s">
        <v>5129</v>
      </c>
      <c r="K239" s="26" t="s">
        <v>36</v>
      </c>
      <c r="L239" s="35">
        <v>0.6527777777777778</v>
      </c>
      <c r="M239" s="245" t="s">
        <v>4368</v>
      </c>
      <c r="N239" s="26" t="s">
        <v>56</v>
      </c>
      <c r="O239" s="26" t="s">
        <v>42</v>
      </c>
      <c r="P239" s="27" t="s">
        <v>3997</v>
      </c>
      <c r="Q239" s="26" t="s">
        <v>44</v>
      </c>
      <c r="R239" s="26" t="s">
        <v>46</v>
      </c>
      <c r="S239" s="35">
        <v>0.65625</v>
      </c>
      <c r="T239" s="27" t="s">
        <v>3566</v>
      </c>
      <c r="U239" s="26" t="s">
        <v>44</v>
      </c>
      <c r="V239" s="26">
        <v>5.0</v>
      </c>
    </row>
    <row r="240">
      <c r="A240" s="175">
        <v>240.0</v>
      </c>
      <c r="B240" s="176">
        <v>46177.0</v>
      </c>
      <c r="C240" s="175" t="s">
        <v>21</v>
      </c>
      <c r="D240" s="175" t="s">
        <v>22</v>
      </c>
      <c r="E240" s="177" t="s">
        <v>4206</v>
      </c>
      <c r="F240" s="178">
        <v>5.5002359E8</v>
      </c>
      <c r="G240" s="177" t="s">
        <v>41</v>
      </c>
      <c r="H240" s="206" t="s">
        <v>27</v>
      </c>
      <c r="I240" s="179" t="s">
        <v>5135</v>
      </c>
      <c r="J240" s="177"/>
      <c r="K240" s="175" t="s">
        <v>36</v>
      </c>
      <c r="L240" s="180"/>
      <c r="M240" s="181" t="s">
        <v>125</v>
      </c>
      <c r="N240" s="175" t="s">
        <v>40</v>
      </c>
      <c r="O240" s="175" t="s">
        <v>42</v>
      </c>
      <c r="P240" s="177" t="s">
        <v>3566</v>
      </c>
      <c r="Q240" s="175" t="s">
        <v>44</v>
      </c>
      <c r="R240" s="206" t="s">
        <v>46</v>
      </c>
      <c r="S240" s="180"/>
      <c r="T240" s="177"/>
      <c r="U240" s="175"/>
      <c r="V240" s="175">
        <v>5.0</v>
      </c>
    </row>
    <row r="241">
      <c r="A241" s="175">
        <v>241.0</v>
      </c>
      <c r="B241" s="176">
        <v>46177.0</v>
      </c>
      <c r="C241" s="175" t="s">
        <v>21</v>
      </c>
      <c r="D241" s="175" t="s">
        <v>24</v>
      </c>
      <c r="E241" s="177" t="s">
        <v>5139</v>
      </c>
      <c r="F241" s="178">
        <v>5.03336892E8</v>
      </c>
      <c r="G241" s="177" t="s">
        <v>2083</v>
      </c>
      <c r="H241" s="175" t="s">
        <v>27</v>
      </c>
      <c r="I241" s="179" t="s">
        <v>5140</v>
      </c>
      <c r="J241" s="177"/>
      <c r="K241" s="175" t="s">
        <v>62</v>
      </c>
      <c r="L241" s="180"/>
      <c r="M241" s="177" t="s">
        <v>38</v>
      </c>
      <c r="N241" s="175" t="s">
        <v>56</v>
      </c>
      <c r="O241" s="175" t="s">
        <v>42</v>
      </c>
      <c r="P241" s="177" t="s">
        <v>3566</v>
      </c>
      <c r="Q241" s="175" t="s">
        <v>44</v>
      </c>
      <c r="R241" s="175" t="s">
        <v>46</v>
      </c>
      <c r="S241" s="180"/>
      <c r="T241" s="177"/>
      <c r="U241" s="175"/>
      <c r="V241" s="175">
        <v>5.0</v>
      </c>
    </row>
    <row r="242">
      <c r="A242" s="175">
        <v>242.0</v>
      </c>
      <c r="B242" s="176">
        <v>46180.0</v>
      </c>
      <c r="C242" s="175" t="s">
        <v>21</v>
      </c>
      <c r="D242" s="175" t="s">
        <v>24</v>
      </c>
      <c r="E242" s="177" t="s">
        <v>118</v>
      </c>
      <c r="F242" s="178">
        <v>5.0068502E8</v>
      </c>
      <c r="G242" s="177" t="s">
        <v>319</v>
      </c>
      <c r="H242" s="175" t="s">
        <v>27</v>
      </c>
      <c r="I242" s="179" t="s">
        <v>5147</v>
      </c>
      <c r="J242" s="177"/>
      <c r="K242" s="175" t="s">
        <v>36</v>
      </c>
      <c r="L242" s="180"/>
      <c r="M242" s="177" t="s">
        <v>38</v>
      </c>
      <c r="N242" s="175" t="s">
        <v>56</v>
      </c>
      <c r="O242" s="175" t="s">
        <v>42</v>
      </c>
      <c r="P242" s="177" t="s">
        <v>3566</v>
      </c>
      <c r="Q242" s="175" t="s">
        <v>44</v>
      </c>
      <c r="R242" s="175" t="s">
        <v>46</v>
      </c>
      <c r="S242" s="180"/>
      <c r="T242" s="177"/>
      <c r="U242" s="175"/>
      <c r="V242" s="175">
        <v>5.0</v>
      </c>
    </row>
    <row r="243">
      <c r="A243" s="175">
        <v>243.0</v>
      </c>
      <c r="B243" s="176">
        <v>46180.0</v>
      </c>
      <c r="C243" s="175" t="s">
        <v>21</v>
      </c>
      <c r="D243" s="175" t="s">
        <v>22</v>
      </c>
      <c r="E243" s="177" t="s">
        <v>5037</v>
      </c>
      <c r="F243" s="178">
        <v>5.75267061E8</v>
      </c>
      <c r="G243" s="177" t="s">
        <v>120</v>
      </c>
      <c r="H243" s="175" t="s">
        <v>27</v>
      </c>
      <c r="I243" s="179" t="s">
        <v>5152</v>
      </c>
      <c r="J243" s="177"/>
      <c r="K243" s="175" t="s">
        <v>62</v>
      </c>
      <c r="L243" s="180"/>
      <c r="M243" s="177" t="s">
        <v>38</v>
      </c>
      <c r="N243" s="175" t="s">
        <v>40</v>
      </c>
      <c r="O243" s="175" t="s">
        <v>42</v>
      </c>
      <c r="P243" s="177" t="s">
        <v>3566</v>
      </c>
      <c r="Q243" s="175" t="s">
        <v>44</v>
      </c>
      <c r="R243" s="206" t="s">
        <v>46</v>
      </c>
      <c r="S243" s="180"/>
      <c r="T243" s="177"/>
      <c r="U243" s="175"/>
      <c r="V243" s="175">
        <v>5.0</v>
      </c>
    </row>
    <row r="244">
      <c r="A244" s="175">
        <v>244.0</v>
      </c>
      <c r="B244" s="176">
        <v>46180.0</v>
      </c>
      <c r="C244" s="175" t="s">
        <v>58</v>
      </c>
      <c r="D244" s="175" t="s">
        <v>60</v>
      </c>
      <c r="E244" s="175" t="s">
        <v>27</v>
      </c>
      <c r="F244" s="178">
        <v>5.58343584E8</v>
      </c>
      <c r="G244" s="175" t="s">
        <v>27</v>
      </c>
      <c r="H244" s="175" t="s">
        <v>27</v>
      </c>
      <c r="I244" s="179" t="s">
        <v>5156</v>
      </c>
      <c r="J244" s="177" t="s">
        <v>5157</v>
      </c>
      <c r="K244" s="175" t="s">
        <v>62</v>
      </c>
      <c r="L244" s="180"/>
      <c r="M244" s="181" t="s">
        <v>88</v>
      </c>
      <c r="N244" s="175" t="s">
        <v>40</v>
      </c>
      <c r="O244" s="175" t="s">
        <v>42</v>
      </c>
      <c r="P244" s="177" t="s">
        <v>3566</v>
      </c>
      <c r="Q244" s="175" t="s">
        <v>44</v>
      </c>
      <c r="R244" s="175"/>
      <c r="S244" s="180"/>
      <c r="T244" s="177"/>
      <c r="U244" s="175"/>
      <c r="V244" s="175">
        <v>5.0</v>
      </c>
    </row>
    <row r="245">
      <c r="A245" s="175">
        <v>245.0</v>
      </c>
      <c r="B245" s="176">
        <v>46180.0</v>
      </c>
      <c r="C245" s="175" t="s">
        <v>58</v>
      </c>
      <c r="D245" s="175" t="s">
        <v>60</v>
      </c>
      <c r="E245" s="177" t="s">
        <v>482</v>
      </c>
      <c r="F245" s="178">
        <v>5.57417763E8</v>
      </c>
      <c r="G245" s="177" t="s">
        <v>71</v>
      </c>
      <c r="H245" s="175" t="s">
        <v>27</v>
      </c>
      <c r="I245" s="179" t="s">
        <v>5159</v>
      </c>
      <c r="J245" s="177" t="s">
        <v>5160</v>
      </c>
      <c r="K245" s="175" t="s">
        <v>62</v>
      </c>
      <c r="L245" s="180"/>
      <c r="M245" s="181" t="s">
        <v>88</v>
      </c>
      <c r="N245" s="175" t="s">
        <v>56</v>
      </c>
      <c r="O245" s="175" t="s">
        <v>42</v>
      </c>
      <c r="P245" s="177" t="s">
        <v>3566</v>
      </c>
      <c r="Q245" s="175" t="s">
        <v>44</v>
      </c>
      <c r="R245" s="175"/>
      <c r="S245" s="180"/>
      <c r="T245" s="177"/>
      <c r="U245" s="175"/>
      <c r="V245" s="175">
        <v>5.0</v>
      </c>
    </row>
    <row r="246">
      <c r="A246" s="175">
        <v>246.0</v>
      </c>
      <c r="B246" s="176">
        <v>46180.0</v>
      </c>
      <c r="C246" s="175" t="s">
        <v>21</v>
      </c>
      <c r="D246" s="175" t="s">
        <v>22</v>
      </c>
      <c r="E246" s="177" t="s">
        <v>463</v>
      </c>
      <c r="F246" s="178">
        <v>5.69586025E8</v>
      </c>
      <c r="G246" s="177" t="s">
        <v>41</v>
      </c>
      <c r="H246" s="175" t="s">
        <v>27</v>
      </c>
      <c r="I246" s="179" t="s">
        <v>5164</v>
      </c>
      <c r="J246" s="177"/>
      <c r="K246" s="175" t="s">
        <v>62</v>
      </c>
      <c r="L246" s="180"/>
      <c r="M246" s="177" t="s">
        <v>38</v>
      </c>
      <c r="N246" s="175" t="s">
        <v>40</v>
      </c>
      <c r="O246" s="175" t="s">
        <v>42</v>
      </c>
      <c r="P246" s="177" t="s">
        <v>3566</v>
      </c>
      <c r="Q246" s="175" t="s">
        <v>44</v>
      </c>
      <c r="R246" s="206" t="s">
        <v>46</v>
      </c>
      <c r="S246" s="180"/>
      <c r="T246" s="177"/>
      <c r="U246" s="175"/>
      <c r="V246" s="175">
        <v>5.0</v>
      </c>
    </row>
    <row r="247">
      <c r="A247" s="175">
        <v>247.0</v>
      </c>
      <c r="B247" s="176">
        <v>46180.0</v>
      </c>
      <c r="C247" s="175" t="s">
        <v>21</v>
      </c>
      <c r="D247" s="175" t="s">
        <v>22</v>
      </c>
      <c r="E247" s="177" t="s">
        <v>5168</v>
      </c>
      <c r="F247" s="178">
        <v>5.58544253E8</v>
      </c>
      <c r="G247" s="177"/>
      <c r="H247" s="175" t="s">
        <v>27</v>
      </c>
      <c r="I247" s="179" t="s">
        <v>5170</v>
      </c>
      <c r="J247" s="177"/>
      <c r="K247" s="175" t="s">
        <v>62</v>
      </c>
      <c r="L247" s="180"/>
      <c r="M247" s="177" t="s">
        <v>38</v>
      </c>
      <c r="N247" s="175" t="s">
        <v>40</v>
      </c>
      <c r="O247" s="175" t="s">
        <v>42</v>
      </c>
      <c r="P247" s="177" t="s">
        <v>3566</v>
      </c>
      <c r="Q247" s="175" t="s">
        <v>44</v>
      </c>
      <c r="R247" s="206" t="s">
        <v>46</v>
      </c>
      <c r="S247" s="180"/>
      <c r="T247" s="177"/>
      <c r="U247" s="175"/>
      <c r="V247" s="175">
        <v>5.0</v>
      </c>
    </row>
    <row r="248">
      <c r="A248" s="175">
        <v>248.0</v>
      </c>
      <c r="B248" s="176">
        <v>46180.0</v>
      </c>
      <c r="C248" s="175" t="s">
        <v>58</v>
      </c>
      <c r="D248" s="175" t="s">
        <v>57</v>
      </c>
      <c r="E248" s="177" t="s">
        <v>2316</v>
      </c>
      <c r="F248" s="178">
        <v>5.02499133E8</v>
      </c>
      <c r="G248" s="177" t="s">
        <v>1452</v>
      </c>
      <c r="H248" s="175" t="s">
        <v>27</v>
      </c>
      <c r="I248" s="209" t="s">
        <v>5174</v>
      </c>
      <c r="J248" s="177"/>
      <c r="K248" s="175" t="s">
        <v>62</v>
      </c>
      <c r="L248" s="180"/>
      <c r="M248" s="177" t="s">
        <v>88</v>
      </c>
      <c r="N248" s="175" t="s">
        <v>40</v>
      </c>
      <c r="O248" s="175" t="s">
        <v>42</v>
      </c>
      <c r="P248" s="177" t="s">
        <v>3566</v>
      </c>
      <c r="Q248" s="175" t="s">
        <v>44</v>
      </c>
      <c r="R248" s="175"/>
      <c r="S248" s="180"/>
      <c r="T248" s="177"/>
      <c r="U248" s="175"/>
      <c r="V248" s="175">
        <v>5.0</v>
      </c>
    </row>
    <row r="249">
      <c r="A249" s="175">
        <v>249.0</v>
      </c>
      <c r="B249" s="176">
        <v>46180.0</v>
      </c>
      <c r="C249" s="175" t="s">
        <v>47</v>
      </c>
      <c r="D249" s="175" t="s">
        <v>57</v>
      </c>
      <c r="E249" s="177" t="s">
        <v>5181</v>
      </c>
      <c r="F249" s="207">
        <v>5.33097479E8</v>
      </c>
      <c r="G249" s="177" t="s">
        <v>319</v>
      </c>
      <c r="H249" s="175" t="s">
        <v>3826</v>
      </c>
      <c r="I249" s="209" t="s">
        <v>5182</v>
      </c>
      <c r="J249" s="177"/>
      <c r="K249" s="175" t="s">
        <v>36</v>
      </c>
      <c r="L249" s="180"/>
      <c r="M249" s="177" t="s">
        <v>55</v>
      </c>
      <c r="N249" s="175" t="s">
        <v>56</v>
      </c>
      <c r="O249" s="175" t="s">
        <v>518</v>
      </c>
      <c r="P249" s="177" t="s">
        <v>3566</v>
      </c>
      <c r="Q249" s="175" t="s">
        <v>44</v>
      </c>
      <c r="R249" s="175"/>
      <c r="S249" s="180"/>
      <c r="T249" s="177"/>
      <c r="U249" s="175"/>
      <c r="V249" s="175">
        <v>5.0</v>
      </c>
    </row>
    <row r="250">
      <c r="A250" s="175">
        <v>250.0</v>
      </c>
      <c r="B250" s="176">
        <v>46180.0</v>
      </c>
      <c r="C250" s="175" t="s">
        <v>47</v>
      </c>
      <c r="D250" s="175" t="s">
        <v>57</v>
      </c>
      <c r="E250" s="177" t="s">
        <v>5186</v>
      </c>
      <c r="F250" s="207">
        <v>5.02432429E8</v>
      </c>
      <c r="G250" s="177" t="s">
        <v>319</v>
      </c>
      <c r="H250" s="175" t="s">
        <v>3826</v>
      </c>
      <c r="I250" s="209" t="s">
        <v>5189</v>
      </c>
      <c r="J250" s="177"/>
      <c r="K250" s="175" t="s">
        <v>62</v>
      </c>
      <c r="L250" s="180"/>
      <c r="M250" s="177" t="s">
        <v>55</v>
      </c>
      <c r="N250" s="175" t="s">
        <v>56</v>
      </c>
      <c r="O250" s="175" t="s">
        <v>518</v>
      </c>
      <c r="P250" s="177" t="s">
        <v>3566</v>
      </c>
      <c r="Q250" s="175" t="s">
        <v>44</v>
      </c>
      <c r="R250" s="175"/>
      <c r="S250" s="180"/>
      <c r="T250" s="177"/>
      <c r="U250" s="175"/>
      <c r="V250" s="175">
        <v>5.0</v>
      </c>
    </row>
    <row r="251">
      <c r="A251" s="175">
        <v>251.0</v>
      </c>
      <c r="B251" s="176">
        <v>46180.0</v>
      </c>
      <c r="C251" s="175" t="s">
        <v>21</v>
      </c>
      <c r="D251" s="175" t="s">
        <v>24</v>
      </c>
      <c r="E251" s="198" t="s">
        <v>1297</v>
      </c>
      <c r="F251" s="178">
        <v>5.64000433E8</v>
      </c>
      <c r="G251" s="177" t="s">
        <v>41</v>
      </c>
      <c r="H251" s="175" t="s">
        <v>27</v>
      </c>
      <c r="I251" s="179" t="s">
        <v>5194</v>
      </c>
      <c r="J251" s="177"/>
      <c r="K251" s="175" t="s">
        <v>62</v>
      </c>
      <c r="L251" s="180"/>
      <c r="M251" s="177" t="s">
        <v>38</v>
      </c>
      <c r="N251" s="175" t="s">
        <v>56</v>
      </c>
      <c r="O251" s="175" t="s">
        <v>42</v>
      </c>
      <c r="P251" s="177" t="s">
        <v>3566</v>
      </c>
      <c r="Q251" s="175" t="s">
        <v>44</v>
      </c>
      <c r="R251" s="175" t="s">
        <v>46</v>
      </c>
      <c r="S251" s="180"/>
      <c r="T251" s="177"/>
      <c r="U251" s="175"/>
      <c r="V251" s="175">
        <v>5.0</v>
      </c>
    </row>
    <row r="252">
      <c r="A252" s="175">
        <v>252.0</v>
      </c>
      <c r="B252" s="176">
        <v>46180.0</v>
      </c>
      <c r="C252" s="175" t="s">
        <v>58</v>
      </c>
      <c r="D252" s="175" t="s">
        <v>60</v>
      </c>
      <c r="E252" s="175" t="s">
        <v>27</v>
      </c>
      <c r="F252" s="178">
        <v>5.67513772E8</v>
      </c>
      <c r="G252" s="177"/>
      <c r="H252" s="175" t="s">
        <v>27</v>
      </c>
      <c r="I252" s="179" t="s">
        <v>5058</v>
      </c>
      <c r="J252" s="177"/>
      <c r="K252" s="175" t="s">
        <v>36</v>
      </c>
      <c r="L252" s="180"/>
      <c r="M252" s="181" t="s">
        <v>88</v>
      </c>
      <c r="N252" s="175" t="s">
        <v>40</v>
      </c>
      <c r="O252" s="175" t="s">
        <v>42</v>
      </c>
      <c r="P252" s="177" t="s">
        <v>3566</v>
      </c>
      <c r="Q252" s="175" t="s">
        <v>44</v>
      </c>
      <c r="R252" s="175"/>
      <c r="S252" s="180"/>
      <c r="T252" s="177"/>
      <c r="U252" s="175"/>
      <c r="V252" s="175">
        <v>5.0</v>
      </c>
    </row>
    <row r="253">
      <c r="A253" s="175">
        <v>253.0</v>
      </c>
      <c r="B253" s="176">
        <v>46180.0</v>
      </c>
      <c r="C253" s="175" t="s">
        <v>47</v>
      </c>
      <c r="D253" s="175" t="s">
        <v>92</v>
      </c>
      <c r="E253" s="177" t="s">
        <v>108</v>
      </c>
      <c r="F253" s="178">
        <v>5.55943337E8</v>
      </c>
      <c r="G253" s="177" t="s">
        <v>28</v>
      </c>
      <c r="H253" s="175" t="s">
        <v>777</v>
      </c>
      <c r="I253" s="179" t="s">
        <v>5209</v>
      </c>
      <c r="J253" s="177"/>
      <c r="K253" s="175" t="s">
        <v>62</v>
      </c>
      <c r="L253" s="180">
        <v>0.6388888888888888</v>
      </c>
      <c r="M253" s="27" t="s">
        <v>101</v>
      </c>
      <c r="N253" s="175" t="s">
        <v>40</v>
      </c>
      <c r="O253" s="175" t="s">
        <v>518</v>
      </c>
      <c r="P253" s="177" t="s">
        <v>3765</v>
      </c>
      <c r="Q253" s="175" t="s">
        <v>44</v>
      </c>
      <c r="R253" s="175" t="s">
        <v>46</v>
      </c>
      <c r="S253" s="180"/>
      <c r="T253" s="177"/>
      <c r="U253" s="175"/>
      <c r="V253" s="175">
        <v>5.0</v>
      </c>
    </row>
    <row r="254">
      <c r="A254" s="175">
        <v>254.0</v>
      </c>
      <c r="B254" s="176">
        <v>46180.0</v>
      </c>
      <c r="C254" s="175" t="s">
        <v>58</v>
      </c>
      <c r="D254" s="175" t="s">
        <v>60</v>
      </c>
      <c r="E254" s="177" t="s">
        <v>5215</v>
      </c>
      <c r="F254" s="178">
        <v>5.59112119E8</v>
      </c>
      <c r="G254" s="175" t="s">
        <v>27</v>
      </c>
      <c r="H254" s="175" t="s">
        <v>27</v>
      </c>
      <c r="I254" s="179" t="s">
        <v>4337</v>
      </c>
      <c r="J254" s="177"/>
      <c r="K254" s="175" t="s">
        <v>62</v>
      </c>
      <c r="L254" s="180"/>
      <c r="M254" s="181" t="s">
        <v>88</v>
      </c>
      <c r="N254" s="175" t="s">
        <v>40</v>
      </c>
      <c r="O254" s="175" t="s">
        <v>42</v>
      </c>
      <c r="P254" s="177" t="s">
        <v>3566</v>
      </c>
      <c r="Q254" s="175" t="s">
        <v>44</v>
      </c>
      <c r="R254" s="175"/>
      <c r="S254" s="180"/>
      <c r="T254" s="177"/>
      <c r="U254" s="175"/>
      <c r="V254" s="175">
        <v>5.0</v>
      </c>
    </row>
    <row r="255">
      <c r="A255" s="175">
        <v>255.0</v>
      </c>
      <c r="B255" s="176">
        <v>46180.0</v>
      </c>
      <c r="C255" s="175" t="s">
        <v>58</v>
      </c>
      <c r="D255" s="175" t="s">
        <v>60</v>
      </c>
      <c r="E255" s="175" t="s">
        <v>27</v>
      </c>
      <c r="F255" s="178">
        <v>5.06911017E8</v>
      </c>
      <c r="G255" s="177" t="s">
        <v>5222</v>
      </c>
      <c r="H255" s="175" t="s">
        <v>27</v>
      </c>
      <c r="I255" s="179" t="s">
        <v>5225</v>
      </c>
      <c r="J255" s="177" t="s">
        <v>5226</v>
      </c>
      <c r="K255" s="175" t="s">
        <v>36</v>
      </c>
      <c r="L255" s="180"/>
      <c r="M255" s="181" t="s">
        <v>88</v>
      </c>
      <c r="N255" s="175" t="s">
        <v>40</v>
      </c>
      <c r="O255" s="175" t="s">
        <v>42</v>
      </c>
      <c r="P255" s="177" t="s">
        <v>3566</v>
      </c>
      <c r="Q255" s="175" t="s">
        <v>44</v>
      </c>
      <c r="R255" s="175"/>
      <c r="S255" s="180"/>
      <c r="T255" s="177"/>
      <c r="U255" s="175"/>
      <c r="V255" s="175">
        <v>5.0</v>
      </c>
    </row>
    <row r="256">
      <c r="A256" s="175">
        <v>256.0</v>
      </c>
      <c r="B256" s="176">
        <v>46180.0</v>
      </c>
      <c r="C256" s="175" t="s">
        <v>58</v>
      </c>
      <c r="D256" s="175" t="s">
        <v>60</v>
      </c>
      <c r="E256" s="175" t="s">
        <v>27</v>
      </c>
      <c r="F256" s="178">
        <v>5.07334623E8</v>
      </c>
      <c r="G256" s="177"/>
      <c r="H256" s="175" t="s">
        <v>27</v>
      </c>
      <c r="I256" s="179" t="s">
        <v>5229</v>
      </c>
      <c r="J256" s="177"/>
      <c r="K256" s="175" t="s">
        <v>36</v>
      </c>
      <c r="L256" s="180"/>
      <c r="M256" s="181" t="s">
        <v>88</v>
      </c>
      <c r="N256" s="175" t="s">
        <v>40</v>
      </c>
      <c r="O256" s="175" t="s">
        <v>42</v>
      </c>
      <c r="P256" s="177" t="s">
        <v>3566</v>
      </c>
      <c r="Q256" s="175" t="s">
        <v>44</v>
      </c>
      <c r="R256" s="175"/>
      <c r="S256" s="180"/>
      <c r="T256" s="177"/>
      <c r="U256" s="175"/>
      <c r="V256" s="175">
        <v>5.0</v>
      </c>
    </row>
    <row r="257">
      <c r="A257" s="175">
        <v>257.0</v>
      </c>
      <c r="B257" s="176">
        <v>46180.0</v>
      </c>
      <c r="C257" s="175" t="s">
        <v>58</v>
      </c>
      <c r="D257" s="175" t="s">
        <v>57</v>
      </c>
      <c r="E257" s="175" t="s">
        <v>27</v>
      </c>
      <c r="F257" s="178">
        <v>5.44066579E8</v>
      </c>
      <c r="G257" s="177"/>
      <c r="H257" s="175" t="s">
        <v>27</v>
      </c>
      <c r="I257" s="179" t="s">
        <v>5232</v>
      </c>
      <c r="J257" s="177" t="s">
        <v>500</v>
      </c>
      <c r="K257" s="175" t="s">
        <v>36</v>
      </c>
      <c r="L257" s="180"/>
      <c r="M257" s="177" t="s">
        <v>88</v>
      </c>
      <c r="N257" s="175" t="s">
        <v>40</v>
      </c>
      <c r="O257" s="175" t="s">
        <v>42</v>
      </c>
      <c r="P257" s="177" t="s">
        <v>3566</v>
      </c>
      <c r="Q257" s="175" t="s">
        <v>44</v>
      </c>
      <c r="R257" s="175"/>
      <c r="S257" s="180"/>
      <c r="T257" s="177"/>
      <c r="U257" s="175"/>
      <c r="V257" s="175">
        <v>5.0</v>
      </c>
    </row>
    <row r="258">
      <c r="A258" s="26">
        <v>258.0</v>
      </c>
      <c r="B258" s="188">
        <v>46180.0</v>
      </c>
      <c r="C258" s="26" t="s">
        <v>47</v>
      </c>
      <c r="D258" s="26" t="s">
        <v>48</v>
      </c>
      <c r="E258" s="27" t="s">
        <v>5236</v>
      </c>
      <c r="F258" s="21">
        <v>5.32009063E8</v>
      </c>
      <c r="G258" s="27" t="s">
        <v>41</v>
      </c>
      <c r="H258" s="26" t="s">
        <v>146</v>
      </c>
      <c r="I258" s="179" t="s">
        <v>5237</v>
      </c>
      <c r="J258" s="27" t="s">
        <v>5238</v>
      </c>
      <c r="K258" s="26" t="s">
        <v>36</v>
      </c>
      <c r="L258" s="35">
        <v>0.625</v>
      </c>
      <c r="M258" s="27" t="s">
        <v>101</v>
      </c>
      <c r="N258" s="26" t="s">
        <v>56</v>
      </c>
      <c r="O258" s="26" t="s">
        <v>518</v>
      </c>
      <c r="P258" s="27" t="s">
        <v>3765</v>
      </c>
      <c r="Q258" s="26" t="s">
        <v>44</v>
      </c>
      <c r="R258" s="26" t="s">
        <v>46</v>
      </c>
      <c r="S258" s="35">
        <v>0.6604166666666667</v>
      </c>
      <c r="T258" s="27" t="s">
        <v>3566</v>
      </c>
      <c r="U258" s="26" t="s">
        <v>44</v>
      </c>
      <c r="V258" s="26">
        <v>5.0</v>
      </c>
    </row>
    <row r="259">
      <c r="A259" s="175">
        <v>259.0</v>
      </c>
      <c r="B259" s="176">
        <v>46180.0</v>
      </c>
      <c r="C259" s="175" t="s">
        <v>58</v>
      </c>
      <c r="D259" s="175" t="s">
        <v>60</v>
      </c>
      <c r="E259" s="175" t="s">
        <v>27</v>
      </c>
      <c r="F259" s="178">
        <v>5.03043108E8</v>
      </c>
      <c r="G259" s="177"/>
      <c r="H259" s="175" t="s">
        <v>27</v>
      </c>
      <c r="I259" s="179" t="s">
        <v>5241</v>
      </c>
      <c r="J259" s="177"/>
      <c r="K259" s="175" t="s">
        <v>36</v>
      </c>
      <c r="L259" s="180"/>
      <c r="M259" s="181" t="s">
        <v>88</v>
      </c>
      <c r="N259" s="175" t="s">
        <v>40</v>
      </c>
      <c r="O259" s="175" t="s">
        <v>42</v>
      </c>
      <c r="P259" s="177" t="s">
        <v>3566</v>
      </c>
      <c r="Q259" s="175" t="s">
        <v>44</v>
      </c>
      <c r="R259" s="175"/>
      <c r="S259" s="180"/>
      <c r="T259" s="177"/>
      <c r="U259" s="175"/>
      <c r="V259" s="175">
        <v>5.0</v>
      </c>
    </row>
    <row r="260">
      <c r="A260" s="175">
        <v>260.0</v>
      </c>
      <c r="B260" s="176">
        <v>46180.0</v>
      </c>
      <c r="C260" s="175" t="s">
        <v>21</v>
      </c>
      <c r="D260" s="175" t="s">
        <v>22</v>
      </c>
      <c r="E260" s="177" t="s">
        <v>5245</v>
      </c>
      <c r="F260" s="178">
        <v>5.31341465E8</v>
      </c>
      <c r="G260" s="177" t="s">
        <v>318</v>
      </c>
      <c r="H260" s="175" t="s">
        <v>27</v>
      </c>
      <c r="I260" s="179" t="s">
        <v>5246</v>
      </c>
      <c r="J260" s="177"/>
      <c r="K260" s="175" t="s">
        <v>36</v>
      </c>
      <c r="L260" s="180"/>
      <c r="M260" s="177" t="s">
        <v>38</v>
      </c>
      <c r="N260" s="175" t="s">
        <v>40</v>
      </c>
      <c r="O260" s="175" t="s">
        <v>42</v>
      </c>
      <c r="P260" s="177" t="s">
        <v>3566</v>
      </c>
      <c r="Q260" s="175" t="s">
        <v>44</v>
      </c>
      <c r="R260" s="206" t="s">
        <v>46</v>
      </c>
      <c r="S260" s="180"/>
      <c r="T260" s="177"/>
      <c r="U260" s="175"/>
      <c r="V260" s="175">
        <v>5.0</v>
      </c>
    </row>
    <row r="261">
      <c r="A261" s="175">
        <v>261.0</v>
      </c>
      <c r="B261" s="176">
        <v>46180.0</v>
      </c>
      <c r="C261" s="175" t="s">
        <v>58</v>
      </c>
      <c r="D261" s="175" t="s">
        <v>60</v>
      </c>
      <c r="E261" s="175" t="s">
        <v>27</v>
      </c>
      <c r="F261" s="178">
        <v>5.05371308E8</v>
      </c>
      <c r="G261" s="175" t="s">
        <v>27</v>
      </c>
      <c r="H261" s="175" t="s">
        <v>27</v>
      </c>
      <c r="I261" s="179" t="s">
        <v>554</v>
      </c>
      <c r="J261" s="177"/>
      <c r="K261" s="175" t="s">
        <v>36</v>
      </c>
      <c r="L261" s="180"/>
      <c r="M261" s="181" t="s">
        <v>88</v>
      </c>
      <c r="N261" s="175" t="s">
        <v>40</v>
      </c>
      <c r="O261" s="175" t="s">
        <v>42</v>
      </c>
      <c r="P261" s="177" t="s">
        <v>3566</v>
      </c>
      <c r="Q261" s="175" t="s">
        <v>44</v>
      </c>
      <c r="R261" s="175"/>
      <c r="S261" s="180"/>
      <c r="T261" s="177"/>
      <c r="U261" s="175"/>
      <c r="V261" s="175">
        <v>5.0</v>
      </c>
    </row>
    <row r="262">
      <c r="A262" s="175">
        <v>262.0</v>
      </c>
      <c r="B262" s="176">
        <v>46180.0</v>
      </c>
      <c r="C262" s="175" t="s">
        <v>58</v>
      </c>
      <c r="D262" s="175" t="s">
        <v>60</v>
      </c>
      <c r="E262" s="175" t="s">
        <v>27</v>
      </c>
      <c r="F262" s="178">
        <v>5.54489543E8</v>
      </c>
      <c r="G262" s="175" t="s">
        <v>27</v>
      </c>
      <c r="H262" s="175" t="s">
        <v>27</v>
      </c>
      <c r="I262" s="179" t="s">
        <v>5255</v>
      </c>
      <c r="J262" s="177"/>
      <c r="K262" s="175" t="s">
        <v>65</v>
      </c>
      <c r="L262" s="180"/>
      <c r="M262" s="181" t="s">
        <v>88</v>
      </c>
      <c r="N262" s="175" t="s">
        <v>40</v>
      </c>
      <c r="O262" s="175" t="s">
        <v>42</v>
      </c>
      <c r="P262" s="177" t="s">
        <v>3566</v>
      </c>
      <c r="Q262" s="175" t="s">
        <v>44</v>
      </c>
      <c r="R262" s="175"/>
      <c r="S262" s="180"/>
      <c r="T262" s="177"/>
      <c r="U262" s="175"/>
      <c r="V262" s="175">
        <v>5.0</v>
      </c>
    </row>
    <row r="263">
      <c r="A263" s="175">
        <v>263.0</v>
      </c>
      <c r="B263" s="176">
        <v>46180.0</v>
      </c>
      <c r="C263" s="175" t="s">
        <v>58</v>
      </c>
      <c r="D263" s="175" t="s">
        <v>60</v>
      </c>
      <c r="E263" s="175" t="s">
        <v>27</v>
      </c>
      <c r="F263" s="178">
        <v>5.91532551E8</v>
      </c>
      <c r="G263" s="175" t="s">
        <v>27</v>
      </c>
      <c r="H263" s="175" t="s">
        <v>27</v>
      </c>
      <c r="I263" s="179" t="s">
        <v>5260</v>
      </c>
      <c r="J263" s="177"/>
      <c r="K263" s="175" t="s">
        <v>65</v>
      </c>
      <c r="L263" s="180"/>
      <c r="M263" s="181" t="s">
        <v>88</v>
      </c>
      <c r="N263" s="175" t="s">
        <v>40</v>
      </c>
      <c r="O263" s="175" t="s">
        <v>42</v>
      </c>
      <c r="P263" s="177" t="s">
        <v>3566</v>
      </c>
      <c r="Q263" s="175" t="s">
        <v>44</v>
      </c>
      <c r="R263" s="175"/>
      <c r="S263" s="180"/>
      <c r="T263" s="177"/>
      <c r="U263" s="175"/>
      <c r="V263" s="175">
        <v>5.0</v>
      </c>
    </row>
    <row r="264">
      <c r="A264" s="175">
        <v>264.0</v>
      </c>
      <c r="B264" s="176">
        <v>46180.0</v>
      </c>
      <c r="C264" s="175" t="s">
        <v>58</v>
      </c>
      <c r="D264" s="175" t="s">
        <v>60</v>
      </c>
      <c r="E264" s="175" t="s">
        <v>27</v>
      </c>
      <c r="F264" s="178">
        <v>5.02423628E8</v>
      </c>
      <c r="G264" s="175" t="s">
        <v>27</v>
      </c>
      <c r="H264" s="175" t="s">
        <v>27</v>
      </c>
      <c r="I264" s="179" t="s">
        <v>5264</v>
      </c>
      <c r="J264" s="177"/>
      <c r="K264" s="175" t="s">
        <v>36</v>
      </c>
      <c r="L264" s="180"/>
      <c r="M264" s="181" t="s">
        <v>88</v>
      </c>
      <c r="N264" s="175" t="s">
        <v>40</v>
      </c>
      <c r="O264" s="175" t="s">
        <v>42</v>
      </c>
      <c r="P264" s="177" t="s">
        <v>3566</v>
      </c>
      <c r="Q264" s="175" t="s">
        <v>44</v>
      </c>
      <c r="R264" s="175"/>
      <c r="S264" s="180"/>
      <c r="T264" s="177"/>
      <c r="U264" s="175"/>
      <c r="V264" s="175">
        <v>5.0</v>
      </c>
    </row>
    <row r="265">
      <c r="A265" s="175">
        <v>265.0</v>
      </c>
      <c r="B265" s="176">
        <v>46180.0</v>
      </c>
      <c r="C265" s="175" t="s">
        <v>58</v>
      </c>
      <c r="D265" s="175" t="s">
        <v>60</v>
      </c>
      <c r="E265" s="175" t="s">
        <v>27</v>
      </c>
      <c r="F265" s="178">
        <v>5.0688221E8</v>
      </c>
      <c r="G265" s="175" t="s">
        <v>27</v>
      </c>
      <c r="H265" s="175" t="s">
        <v>27</v>
      </c>
      <c r="I265" s="179" t="s">
        <v>5268</v>
      </c>
      <c r="J265" s="177"/>
      <c r="K265" s="175" t="s">
        <v>65</v>
      </c>
      <c r="L265" s="180"/>
      <c r="M265" s="181" t="s">
        <v>88</v>
      </c>
      <c r="N265" s="175" t="s">
        <v>40</v>
      </c>
      <c r="O265" s="175" t="s">
        <v>42</v>
      </c>
      <c r="P265" s="177" t="s">
        <v>3566</v>
      </c>
      <c r="Q265" s="175" t="s">
        <v>44</v>
      </c>
      <c r="R265" s="175"/>
      <c r="S265" s="180"/>
      <c r="T265" s="177"/>
      <c r="U265" s="175"/>
      <c r="V265" s="175">
        <v>5.0</v>
      </c>
    </row>
    <row r="266">
      <c r="A266" s="175">
        <v>266.0</v>
      </c>
      <c r="B266" s="176">
        <v>46180.0</v>
      </c>
      <c r="C266" s="175" t="s">
        <v>58</v>
      </c>
      <c r="D266" s="175" t="s">
        <v>60</v>
      </c>
      <c r="E266" s="175" t="s">
        <v>27</v>
      </c>
      <c r="F266" s="178">
        <v>5.47480193E8</v>
      </c>
      <c r="G266" s="175" t="s">
        <v>27</v>
      </c>
      <c r="H266" s="175" t="s">
        <v>27</v>
      </c>
      <c r="I266" s="179" t="s">
        <v>5274</v>
      </c>
      <c r="J266" s="177"/>
      <c r="K266" s="175" t="s">
        <v>65</v>
      </c>
      <c r="L266" s="180"/>
      <c r="M266" s="181" t="s">
        <v>88</v>
      </c>
      <c r="N266" s="175" t="s">
        <v>40</v>
      </c>
      <c r="O266" s="175" t="s">
        <v>42</v>
      </c>
      <c r="P266" s="177" t="s">
        <v>3566</v>
      </c>
      <c r="Q266" s="175" t="s">
        <v>44</v>
      </c>
      <c r="R266" s="175"/>
      <c r="S266" s="180"/>
      <c r="T266" s="177"/>
      <c r="U266" s="175"/>
      <c r="V266" s="175">
        <v>5.0</v>
      </c>
    </row>
    <row r="267">
      <c r="A267" s="175">
        <v>267.0</v>
      </c>
      <c r="B267" s="176">
        <v>46180.0</v>
      </c>
      <c r="C267" s="175" t="s">
        <v>21</v>
      </c>
      <c r="D267" s="175" t="s">
        <v>34</v>
      </c>
      <c r="E267" s="177" t="s">
        <v>5279</v>
      </c>
      <c r="F267" s="178">
        <v>5.95550785E8</v>
      </c>
      <c r="G267" s="175" t="s">
        <v>27</v>
      </c>
      <c r="H267" s="175" t="s">
        <v>27</v>
      </c>
      <c r="I267" s="179" t="s">
        <v>5281</v>
      </c>
      <c r="J267" s="177" t="s">
        <v>4417</v>
      </c>
      <c r="K267" s="175" t="s">
        <v>39</v>
      </c>
      <c r="L267" s="180">
        <v>0.4444444444444444</v>
      </c>
      <c r="M267" s="181" t="s">
        <v>51</v>
      </c>
      <c r="N267" s="175" t="s">
        <v>56</v>
      </c>
      <c r="O267" s="175" t="s">
        <v>42</v>
      </c>
      <c r="P267" s="177" t="s">
        <v>3566</v>
      </c>
      <c r="Q267" s="175" t="s">
        <v>44</v>
      </c>
      <c r="R267" s="175"/>
      <c r="S267" s="180">
        <v>0.4444444444444444</v>
      </c>
      <c r="T267" s="177" t="s">
        <v>3566</v>
      </c>
      <c r="U267" s="175" t="s">
        <v>44</v>
      </c>
      <c r="V267" s="175">
        <v>5.0</v>
      </c>
    </row>
    <row r="268">
      <c r="A268" s="175">
        <v>268.0</v>
      </c>
      <c r="B268" s="176">
        <v>46180.0</v>
      </c>
      <c r="C268" s="175" t="s">
        <v>21</v>
      </c>
      <c r="D268" s="175" t="s">
        <v>34</v>
      </c>
      <c r="E268" s="175" t="s">
        <v>5286</v>
      </c>
      <c r="F268" s="178">
        <v>5.56476715E8</v>
      </c>
      <c r="G268" s="175" t="s">
        <v>27</v>
      </c>
      <c r="H268" s="175" t="s">
        <v>27</v>
      </c>
      <c r="I268" s="289" t="s">
        <v>5287</v>
      </c>
      <c r="J268" s="177" t="s">
        <v>4417</v>
      </c>
      <c r="K268" s="175" t="s">
        <v>39</v>
      </c>
      <c r="L268" s="180">
        <v>0.4444444444444444</v>
      </c>
      <c r="M268" s="181" t="s">
        <v>51</v>
      </c>
      <c r="N268" s="175" t="s">
        <v>56</v>
      </c>
      <c r="O268" s="175" t="s">
        <v>42</v>
      </c>
      <c r="P268" s="177" t="s">
        <v>3566</v>
      </c>
      <c r="Q268" s="175" t="s">
        <v>44</v>
      </c>
      <c r="R268" s="175"/>
      <c r="S268" s="180">
        <v>0.4444444444444444</v>
      </c>
      <c r="T268" s="177" t="s">
        <v>3566</v>
      </c>
      <c r="U268" s="175" t="s">
        <v>44</v>
      </c>
      <c r="V268" s="175">
        <v>5.0</v>
      </c>
    </row>
    <row r="269">
      <c r="A269" s="175">
        <v>269.0</v>
      </c>
      <c r="B269" s="176">
        <v>46180.0</v>
      </c>
      <c r="C269" s="175" t="s">
        <v>21</v>
      </c>
      <c r="D269" s="175" t="s">
        <v>34</v>
      </c>
      <c r="E269" s="177" t="s">
        <v>5290</v>
      </c>
      <c r="F269" s="178">
        <v>5.41695434E8</v>
      </c>
      <c r="G269" s="175" t="s">
        <v>27</v>
      </c>
      <c r="H269" s="175" t="s">
        <v>27</v>
      </c>
      <c r="I269" s="179" t="s">
        <v>5291</v>
      </c>
      <c r="J269" s="177" t="s">
        <v>4417</v>
      </c>
      <c r="K269" s="175" t="s">
        <v>39</v>
      </c>
      <c r="L269" s="180">
        <v>0.4444444444444444</v>
      </c>
      <c r="M269" s="181" t="s">
        <v>51</v>
      </c>
      <c r="N269" s="175" t="s">
        <v>56</v>
      </c>
      <c r="O269" s="175" t="s">
        <v>42</v>
      </c>
      <c r="P269" s="177" t="s">
        <v>3566</v>
      </c>
      <c r="Q269" s="175" t="s">
        <v>44</v>
      </c>
      <c r="R269" s="175"/>
      <c r="S269" s="180">
        <v>0.4444444444444444</v>
      </c>
      <c r="T269" s="177" t="s">
        <v>3566</v>
      </c>
      <c r="U269" s="175" t="s">
        <v>44</v>
      </c>
      <c r="V269" s="175">
        <v>5.0</v>
      </c>
    </row>
    <row r="270">
      <c r="A270" s="175">
        <v>270.0</v>
      </c>
      <c r="B270" s="176">
        <v>46180.0</v>
      </c>
      <c r="C270" s="175" t="s">
        <v>21</v>
      </c>
      <c r="D270" s="175" t="s">
        <v>34</v>
      </c>
      <c r="E270" s="175" t="s">
        <v>27</v>
      </c>
      <c r="F270" s="178">
        <v>5.75854779E8</v>
      </c>
      <c r="G270" s="175" t="s">
        <v>27</v>
      </c>
      <c r="H270" s="175" t="s">
        <v>27</v>
      </c>
      <c r="I270" s="179" t="s">
        <v>298</v>
      </c>
      <c r="J270" s="177" t="s">
        <v>4417</v>
      </c>
      <c r="K270" s="175" t="s">
        <v>39</v>
      </c>
      <c r="L270" s="180">
        <v>0.4444444444444444</v>
      </c>
      <c r="M270" s="181" t="s">
        <v>51</v>
      </c>
      <c r="N270" s="175" t="s">
        <v>56</v>
      </c>
      <c r="O270" s="175" t="s">
        <v>42</v>
      </c>
      <c r="P270" s="177" t="s">
        <v>3566</v>
      </c>
      <c r="Q270" s="175" t="s">
        <v>44</v>
      </c>
      <c r="R270" s="175"/>
      <c r="S270" s="180">
        <v>0.4444444444444444</v>
      </c>
      <c r="T270" s="177" t="s">
        <v>3566</v>
      </c>
      <c r="U270" s="175" t="s">
        <v>44</v>
      </c>
      <c r="V270" s="175">
        <v>5.0</v>
      </c>
    </row>
    <row r="271">
      <c r="A271" s="175">
        <v>271.0</v>
      </c>
      <c r="B271" s="176">
        <v>46180.0</v>
      </c>
      <c r="C271" s="175" t="s">
        <v>21</v>
      </c>
      <c r="D271" s="175" t="s">
        <v>34</v>
      </c>
      <c r="E271" s="177" t="s">
        <v>5297</v>
      </c>
      <c r="F271" s="178">
        <v>5.3540733E8</v>
      </c>
      <c r="G271" s="175" t="s">
        <v>27</v>
      </c>
      <c r="H271" s="175" t="s">
        <v>27</v>
      </c>
      <c r="I271" s="179" t="s">
        <v>5300</v>
      </c>
      <c r="J271" s="177" t="s">
        <v>4417</v>
      </c>
      <c r="K271" s="175" t="s">
        <v>39</v>
      </c>
      <c r="L271" s="180">
        <v>0.4444444444444444</v>
      </c>
      <c r="M271" s="181" t="s">
        <v>51</v>
      </c>
      <c r="N271" s="175" t="s">
        <v>56</v>
      </c>
      <c r="O271" s="175" t="s">
        <v>42</v>
      </c>
      <c r="P271" s="177" t="s">
        <v>3566</v>
      </c>
      <c r="Q271" s="175" t="s">
        <v>44</v>
      </c>
      <c r="R271" s="175"/>
      <c r="S271" s="180">
        <v>0.4444444444444444</v>
      </c>
      <c r="T271" s="177" t="s">
        <v>3566</v>
      </c>
      <c r="U271" s="175" t="s">
        <v>44</v>
      </c>
      <c r="V271" s="175">
        <v>5.0</v>
      </c>
    </row>
    <row r="272">
      <c r="A272" s="175">
        <v>272.0</v>
      </c>
      <c r="B272" s="176">
        <v>46180.0</v>
      </c>
      <c r="C272" s="175" t="s">
        <v>21</v>
      </c>
      <c r="D272" s="175" t="s">
        <v>24</v>
      </c>
      <c r="E272" s="175" t="s">
        <v>4849</v>
      </c>
      <c r="F272" s="178">
        <v>5.58971132E8</v>
      </c>
      <c r="G272" s="175" t="s">
        <v>27</v>
      </c>
      <c r="H272" s="175" t="s">
        <v>27</v>
      </c>
      <c r="I272" s="289" t="s">
        <v>5305</v>
      </c>
      <c r="J272" s="177"/>
      <c r="K272" s="175" t="s">
        <v>39</v>
      </c>
      <c r="L272" s="301">
        <v>0.4791666666666667</v>
      </c>
      <c r="M272" s="177" t="s">
        <v>38</v>
      </c>
      <c r="N272" s="175" t="s">
        <v>56</v>
      </c>
      <c r="O272" s="175" t="s">
        <v>42</v>
      </c>
      <c r="P272" s="177" t="s">
        <v>3566</v>
      </c>
      <c r="Q272" s="175" t="s">
        <v>44</v>
      </c>
      <c r="R272" s="175" t="s">
        <v>46</v>
      </c>
      <c r="S272" s="180"/>
      <c r="T272" s="177"/>
      <c r="U272" s="175"/>
      <c r="V272" s="175">
        <v>5.0</v>
      </c>
    </row>
    <row r="273">
      <c r="A273" s="175">
        <v>273.0</v>
      </c>
      <c r="B273" s="176">
        <v>46180.0</v>
      </c>
      <c r="C273" s="175" t="s">
        <v>21</v>
      </c>
      <c r="D273" s="175" t="s">
        <v>34</v>
      </c>
      <c r="E273" s="177" t="s">
        <v>5310</v>
      </c>
      <c r="F273" s="178">
        <v>5.33226375E8</v>
      </c>
      <c r="G273" s="175" t="s">
        <v>27</v>
      </c>
      <c r="H273" s="175" t="s">
        <v>27</v>
      </c>
      <c r="I273" s="179" t="s">
        <v>5311</v>
      </c>
      <c r="J273" s="177" t="s">
        <v>4417</v>
      </c>
      <c r="K273" s="175" t="s">
        <v>39</v>
      </c>
      <c r="L273" s="180">
        <v>0.4444444444444444</v>
      </c>
      <c r="M273" s="181" t="s">
        <v>51</v>
      </c>
      <c r="N273" s="175" t="s">
        <v>56</v>
      </c>
      <c r="O273" s="175" t="s">
        <v>42</v>
      </c>
      <c r="P273" s="177" t="s">
        <v>3566</v>
      </c>
      <c r="Q273" s="175" t="s">
        <v>44</v>
      </c>
      <c r="R273" s="175"/>
      <c r="S273" s="180">
        <v>0.4444444444444444</v>
      </c>
      <c r="T273" s="177" t="s">
        <v>3566</v>
      </c>
      <c r="U273" s="175" t="s">
        <v>44</v>
      </c>
      <c r="V273" s="175">
        <v>5.0</v>
      </c>
    </row>
    <row r="274">
      <c r="A274" s="175">
        <v>274.0</v>
      </c>
      <c r="B274" s="176">
        <v>46180.0</v>
      </c>
      <c r="C274" s="175" t="s">
        <v>21</v>
      </c>
      <c r="D274" s="175" t="s">
        <v>34</v>
      </c>
      <c r="E274" s="177" t="s">
        <v>5317</v>
      </c>
      <c r="F274" s="178"/>
      <c r="G274" s="175" t="s">
        <v>27</v>
      </c>
      <c r="H274" s="175" t="s">
        <v>27</v>
      </c>
      <c r="I274" s="179" t="s">
        <v>5318</v>
      </c>
      <c r="J274" s="177" t="s">
        <v>4417</v>
      </c>
      <c r="K274" s="175" t="s">
        <v>39</v>
      </c>
      <c r="L274" s="180">
        <v>0.4444444444444444</v>
      </c>
      <c r="M274" s="181" t="s">
        <v>51</v>
      </c>
      <c r="N274" s="175" t="s">
        <v>56</v>
      </c>
      <c r="O274" s="175" t="s">
        <v>42</v>
      </c>
      <c r="P274" s="177" t="s">
        <v>3566</v>
      </c>
      <c r="Q274" s="175" t="s">
        <v>44</v>
      </c>
      <c r="R274" s="175"/>
      <c r="S274" s="180">
        <v>0.4444444444444444</v>
      </c>
      <c r="T274" s="177" t="s">
        <v>3566</v>
      </c>
      <c r="U274" s="175" t="s">
        <v>44</v>
      </c>
      <c r="V274" s="175">
        <v>5.0</v>
      </c>
    </row>
    <row r="275">
      <c r="A275" s="175">
        <v>275.0</v>
      </c>
      <c r="B275" s="176">
        <v>46180.0</v>
      </c>
      <c r="C275" s="175" t="s">
        <v>21</v>
      </c>
      <c r="D275" s="175" t="s">
        <v>24</v>
      </c>
      <c r="E275" s="177" t="s">
        <v>5325</v>
      </c>
      <c r="F275" s="178">
        <v>5.90826563E8</v>
      </c>
      <c r="G275" s="177" t="s">
        <v>41</v>
      </c>
      <c r="H275" s="175" t="s">
        <v>27</v>
      </c>
      <c r="I275" s="179" t="s">
        <v>5326</v>
      </c>
      <c r="J275" s="177"/>
      <c r="K275" s="175" t="s">
        <v>39</v>
      </c>
      <c r="L275" s="301">
        <v>0.4791666666666667</v>
      </c>
      <c r="M275" s="177" t="s">
        <v>38</v>
      </c>
      <c r="N275" s="175" t="s">
        <v>56</v>
      </c>
      <c r="O275" s="175" t="s">
        <v>42</v>
      </c>
      <c r="P275" s="177" t="s">
        <v>3566</v>
      </c>
      <c r="Q275" s="175" t="s">
        <v>44</v>
      </c>
      <c r="R275" s="175" t="s">
        <v>46</v>
      </c>
      <c r="S275" s="180"/>
      <c r="T275" s="177"/>
      <c r="U275" s="175"/>
      <c r="V275" s="175">
        <v>5.0</v>
      </c>
    </row>
    <row r="276">
      <c r="A276" s="175">
        <v>276.0</v>
      </c>
      <c r="B276" s="176">
        <v>46180.0</v>
      </c>
      <c r="C276" s="175" t="s">
        <v>21</v>
      </c>
      <c r="D276" s="175" t="s">
        <v>34</v>
      </c>
      <c r="E276" s="177" t="s">
        <v>5332</v>
      </c>
      <c r="F276" s="178">
        <v>5.08898884E8</v>
      </c>
      <c r="G276" s="175" t="s">
        <v>27</v>
      </c>
      <c r="H276" s="175" t="s">
        <v>27</v>
      </c>
      <c r="I276" s="179" t="s">
        <v>5333</v>
      </c>
      <c r="J276" s="177" t="s">
        <v>4417</v>
      </c>
      <c r="K276" s="175" t="s">
        <v>39</v>
      </c>
      <c r="L276" s="180">
        <v>0.4444444444444444</v>
      </c>
      <c r="M276" s="181" t="s">
        <v>51</v>
      </c>
      <c r="N276" s="175" t="s">
        <v>56</v>
      </c>
      <c r="O276" s="175" t="s">
        <v>42</v>
      </c>
      <c r="P276" s="177" t="s">
        <v>3566</v>
      </c>
      <c r="Q276" s="175" t="s">
        <v>44</v>
      </c>
      <c r="R276" s="175"/>
      <c r="S276" s="180">
        <v>0.4444444444444444</v>
      </c>
      <c r="T276" s="177" t="s">
        <v>3566</v>
      </c>
      <c r="U276" s="175" t="s">
        <v>44</v>
      </c>
      <c r="V276" s="175">
        <v>5.0</v>
      </c>
    </row>
    <row r="277">
      <c r="A277" s="175">
        <v>277.0</v>
      </c>
      <c r="B277" s="176">
        <v>46180.0</v>
      </c>
      <c r="C277" s="175" t="s">
        <v>21</v>
      </c>
      <c r="D277" s="175" t="s">
        <v>34</v>
      </c>
      <c r="E277" s="175" t="s">
        <v>5339</v>
      </c>
      <c r="F277" s="178">
        <v>5.44313763E8</v>
      </c>
      <c r="G277" s="177" t="s">
        <v>319</v>
      </c>
      <c r="H277" s="175" t="s">
        <v>27</v>
      </c>
      <c r="I277" s="179" t="s">
        <v>5340</v>
      </c>
      <c r="J277" s="177" t="s">
        <v>4417</v>
      </c>
      <c r="K277" s="175" t="s">
        <v>39</v>
      </c>
      <c r="L277" s="180">
        <v>0.4444444444444444</v>
      </c>
      <c r="M277" s="181" t="s">
        <v>51</v>
      </c>
      <c r="N277" s="175" t="s">
        <v>56</v>
      </c>
      <c r="O277" s="175" t="s">
        <v>42</v>
      </c>
      <c r="P277" s="177" t="s">
        <v>3566</v>
      </c>
      <c r="Q277" s="175" t="s">
        <v>44</v>
      </c>
      <c r="R277" s="175"/>
      <c r="S277" s="180">
        <v>0.4444444444444444</v>
      </c>
      <c r="T277" s="177" t="s">
        <v>3566</v>
      </c>
      <c r="U277" s="175" t="s">
        <v>44</v>
      </c>
      <c r="V277" s="175">
        <v>5.0</v>
      </c>
    </row>
    <row r="278">
      <c r="A278" s="175">
        <v>278.0</v>
      </c>
      <c r="B278" s="176">
        <v>46180.0</v>
      </c>
      <c r="C278" s="175" t="s">
        <v>21</v>
      </c>
      <c r="D278" s="175" t="s">
        <v>34</v>
      </c>
      <c r="E278" s="177" t="s">
        <v>3624</v>
      </c>
      <c r="F278" s="178">
        <v>5.33386669E8</v>
      </c>
      <c r="G278" s="175" t="s">
        <v>27</v>
      </c>
      <c r="H278" s="175" t="s">
        <v>27</v>
      </c>
      <c r="I278" s="179" t="s">
        <v>5345</v>
      </c>
      <c r="J278" s="177" t="s">
        <v>4417</v>
      </c>
      <c r="K278" s="175" t="s">
        <v>39</v>
      </c>
      <c r="L278" s="180">
        <v>0.4444444444444444</v>
      </c>
      <c r="M278" s="181" t="s">
        <v>51</v>
      </c>
      <c r="N278" s="175" t="s">
        <v>56</v>
      </c>
      <c r="O278" s="175" t="s">
        <v>42</v>
      </c>
      <c r="P278" s="177" t="s">
        <v>3566</v>
      </c>
      <c r="Q278" s="175" t="s">
        <v>44</v>
      </c>
      <c r="R278" s="175"/>
      <c r="S278" s="180">
        <v>0.4444444444444444</v>
      </c>
      <c r="T278" s="177" t="s">
        <v>3566</v>
      </c>
      <c r="U278" s="175" t="s">
        <v>44</v>
      </c>
      <c r="V278" s="175">
        <v>5.0</v>
      </c>
    </row>
    <row r="279">
      <c r="A279" s="175">
        <v>279.0</v>
      </c>
      <c r="B279" s="176">
        <v>46180.0</v>
      </c>
      <c r="C279" s="175" t="s">
        <v>21</v>
      </c>
      <c r="D279" s="175" t="s">
        <v>22</v>
      </c>
      <c r="E279" s="177" t="s">
        <v>5349</v>
      </c>
      <c r="F279" s="178">
        <v>5.56706999E8</v>
      </c>
      <c r="G279" s="175" t="s">
        <v>27</v>
      </c>
      <c r="H279" s="175" t="s">
        <v>27</v>
      </c>
      <c r="I279" s="179" t="s">
        <v>5350</v>
      </c>
      <c r="J279" s="177"/>
      <c r="K279" s="175" t="s">
        <v>39</v>
      </c>
      <c r="L279" s="301">
        <v>0.4791666666666667</v>
      </c>
      <c r="M279" s="177" t="s">
        <v>38</v>
      </c>
      <c r="N279" s="175" t="s">
        <v>40</v>
      </c>
      <c r="O279" s="175" t="s">
        <v>42</v>
      </c>
      <c r="P279" s="177" t="s">
        <v>3566</v>
      </c>
      <c r="Q279" s="175" t="s">
        <v>44</v>
      </c>
      <c r="R279" s="206" t="s">
        <v>46</v>
      </c>
      <c r="S279" s="180"/>
      <c r="T279" s="177"/>
      <c r="U279" s="175"/>
      <c r="V279" s="175">
        <v>5.0</v>
      </c>
    </row>
    <row r="280">
      <c r="A280" s="175">
        <v>280.0</v>
      </c>
      <c r="B280" s="176">
        <v>46180.0</v>
      </c>
      <c r="C280" s="175" t="s">
        <v>21</v>
      </c>
      <c r="D280" s="175" t="s">
        <v>34</v>
      </c>
      <c r="E280" s="177" t="s">
        <v>5355</v>
      </c>
      <c r="F280" s="178">
        <v>5.66997519E8</v>
      </c>
      <c r="G280" s="175" t="s">
        <v>27</v>
      </c>
      <c r="H280" s="175" t="s">
        <v>27</v>
      </c>
      <c r="I280" s="179" t="s">
        <v>5356</v>
      </c>
      <c r="J280" s="177" t="s">
        <v>4417</v>
      </c>
      <c r="K280" s="175" t="s">
        <v>39</v>
      </c>
      <c r="L280" s="180">
        <v>0.4444444444444444</v>
      </c>
      <c r="M280" s="181" t="s">
        <v>51</v>
      </c>
      <c r="N280" s="175" t="s">
        <v>56</v>
      </c>
      <c r="O280" s="175" t="s">
        <v>42</v>
      </c>
      <c r="P280" s="177" t="s">
        <v>3566</v>
      </c>
      <c r="Q280" s="175" t="s">
        <v>44</v>
      </c>
      <c r="R280" s="175"/>
      <c r="S280" s="180">
        <v>0.4444444444444444</v>
      </c>
      <c r="T280" s="177" t="s">
        <v>3566</v>
      </c>
      <c r="U280" s="175" t="s">
        <v>44</v>
      </c>
      <c r="V280" s="175">
        <v>5.0</v>
      </c>
    </row>
    <row r="281">
      <c r="A281" s="175">
        <v>281.0</v>
      </c>
      <c r="B281" s="176">
        <v>46180.0</v>
      </c>
      <c r="C281" s="175" t="s">
        <v>21</v>
      </c>
      <c r="D281" s="175" t="s">
        <v>34</v>
      </c>
      <c r="E281" s="177" t="s">
        <v>5359</v>
      </c>
      <c r="F281" s="178">
        <v>5.60492913E8</v>
      </c>
      <c r="G281" s="175" t="s">
        <v>27</v>
      </c>
      <c r="H281" s="175" t="s">
        <v>27</v>
      </c>
      <c r="I281" s="179" t="s">
        <v>5360</v>
      </c>
      <c r="J281" s="177" t="s">
        <v>4417</v>
      </c>
      <c r="K281" s="175" t="s">
        <v>39</v>
      </c>
      <c r="L281" s="180">
        <v>0.4444444444444444</v>
      </c>
      <c r="M281" s="181" t="s">
        <v>51</v>
      </c>
      <c r="N281" s="175" t="s">
        <v>56</v>
      </c>
      <c r="O281" s="175" t="s">
        <v>42</v>
      </c>
      <c r="P281" s="177" t="s">
        <v>3566</v>
      </c>
      <c r="Q281" s="175" t="s">
        <v>44</v>
      </c>
      <c r="R281" s="175"/>
      <c r="S281" s="180">
        <v>0.4444444444444444</v>
      </c>
      <c r="T281" s="177" t="s">
        <v>3566</v>
      </c>
      <c r="U281" s="175" t="s">
        <v>44</v>
      </c>
      <c r="V281" s="175">
        <v>5.0</v>
      </c>
    </row>
    <row r="282">
      <c r="A282" s="175">
        <v>282.0</v>
      </c>
      <c r="B282" s="176">
        <v>46180.0</v>
      </c>
      <c r="C282" s="175" t="s">
        <v>21</v>
      </c>
      <c r="D282" s="175" t="s">
        <v>34</v>
      </c>
      <c r="E282" s="177" t="s">
        <v>5363</v>
      </c>
      <c r="F282" s="178">
        <v>5.06910166E8</v>
      </c>
      <c r="G282" s="175" t="s">
        <v>27</v>
      </c>
      <c r="H282" s="175" t="s">
        <v>27</v>
      </c>
      <c r="I282" s="179" t="s">
        <v>5364</v>
      </c>
      <c r="J282" s="177" t="s">
        <v>4417</v>
      </c>
      <c r="K282" s="175" t="s">
        <v>39</v>
      </c>
      <c r="L282" s="180">
        <v>0.4444444444444444</v>
      </c>
      <c r="M282" s="181" t="s">
        <v>51</v>
      </c>
      <c r="N282" s="175" t="s">
        <v>56</v>
      </c>
      <c r="O282" s="175" t="s">
        <v>42</v>
      </c>
      <c r="P282" s="177" t="s">
        <v>3566</v>
      </c>
      <c r="Q282" s="175" t="s">
        <v>44</v>
      </c>
      <c r="R282" s="175"/>
      <c r="S282" s="180">
        <v>0.4444444444444444</v>
      </c>
      <c r="T282" s="177" t="s">
        <v>3566</v>
      </c>
      <c r="U282" s="175" t="s">
        <v>44</v>
      </c>
      <c r="V282" s="175">
        <v>5.0</v>
      </c>
    </row>
    <row r="283">
      <c r="A283" s="175">
        <v>283.0</v>
      </c>
      <c r="B283" s="176">
        <v>46180.0</v>
      </c>
      <c r="C283" s="175" t="s">
        <v>21</v>
      </c>
      <c r="D283" s="175" t="s">
        <v>24</v>
      </c>
      <c r="E283" s="175" t="s">
        <v>5369</v>
      </c>
      <c r="F283" s="178">
        <v>5.45552377E8</v>
      </c>
      <c r="G283" s="177" t="s">
        <v>71</v>
      </c>
      <c r="H283" s="175" t="s">
        <v>27</v>
      </c>
      <c r="I283" s="179" t="s">
        <v>5370</v>
      </c>
      <c r="J283" s="177"/>
      <c r="K283" s="175" t="s">
        <v>39</v>
      </c>
      <c r="L283" s="301">
        <v>0.4791666666666667</v>
      </c>
      <c r="M283" s="177" t="s">
        <v>38</v>
      </c>
      <c r="N283" s="175" t="s">
        <v>56</v>
      </c>
      <c r="O283" s="175" t="s">
        <v>42</v>
      </c>
      <c r="P283" s="177" t="s">
        <v>3566</v>
      </c>
      <c r="Q283" s="175" t="s">
        <v>44</v>
      </c>
      <c r="R283" s="175" t="s">
        <v>46</v>
      </c>
      <c r="S283" s="180"/>
      <c r="T283" s="177"/>
      <c r="U283" s="175"/>
      <c r="V283" s="175">
        <v>5.0</v>
      </c>
    </row>
    <row r="284">
      <c r="A284" s="175">
        <v>284.0</v>
      </c>
      <c r="B284" s="176">
        <v>46180.0</v>
      </c>
      <c r="C284" s="175" t="s">
        <v>21</v>
      </c>
      <c r="D284" s="175" t="s">
        <v>34</v>
      </c>
      <c r="E284" s="177" t="s">
        <v>5372</v>
      </c>
      <c r="F284" s="178">
        <v>5.5553479E8</v>
      </c>
      <c r="G284" s="175" t="s">
        <v>27</v>
      </c>
      <c r="H284" s="175" t="s">
        <v>27</v>
      </c>
      <c r="I284" s="179" t="s">
        <v>5373</v>
      </c>
      <c r="J284" s="177" t="s">
        <v>4417</v>
      </c>
      <c r="K284" s="175" t="s">
        <v>39</v>
      </c>
      <c r="L284" s="180">
        <v>0.4444444444444444</v>
      </c>
      <c r="M284" s="181" t="s">
        <v>51</v>
      </c>
      <c r="N284" s="175" t="s">
        <v>56</v>
      </c>
      <c r="O284" s="175" t="s">
        <v>42</v>
      </c>
      <c r="P284" s="177" t="s">
        <v>3566</v>
      </c>
      <c r="Q284" s="175" t="s">
        <v>44</v>
      </c>
      <c r="R284" s="175"/>
      <c r="S284" s="180">
        <v>0.4444444444444444</v>
      </c>
      <c r="T284" s="177" t="s">
        <v>3566</v>
      </c>
      <c r="U284" s="175" t="s">
        <v>44</v>
      </c>
      <c r="V284" s="175">
        <v>5.0</v>
      </c>
    </row>
    <row r="285">
      <c r="A285" s="175">
        <v>285.0</v>
      </c>
      <c r="B285" s="176">
        <v>46180.0</v>
      </c>
      <c r="C285" s="175" t="s">
        <v>21</v>
      </c>
      <c r="D285" s="175" t="s">
        <v>66</v>
      </c>
      <c r="E285" s="177" t="s">
        <v>5379</v>
      </c>
      <c r="F285" s="178">
        <v>5.60351796E8</v>
      </c>
      <c r="G285" s="177" t="s">
        <v>79</v>
      </c>
      <c r="H285" s="175" t="s">
        <v>27</v>
      </c>
      <c r="I285" s="179" t="s">
        <v>5382</v>
      </c>
      <c r="J285" s="177"/>
      <c r="K285" s="175" t="s">
        <v>39</v>
      </c>
      <c r="L285" s="301">
        <v>0.4791666666666667</v>
      </c>
      <c r="M285" s="181" t="s">
        <v>208</v>
      </c>
      <c r="N285" s="175" t="s">
        <v>40</v>
      </c>
      <c r="O285" s="175" t="s">
        <v>42</v>
      </c>
      <c r="P285" s="177" t="s">
        <v>3566</v>
      </c>
      <c r="Q285" s="175" t="s">
        <v>44</v>
      </c>
      <c r="R285" s="175"/>
      <c r="S285" s="180"/>
      <c r="T285" s="177"/>
      <c r="U285" s="175"/>
      <c r="V285" s="175">
        <v>5.0</v>
      </c>
    </row>
    <row r="286">
      <c r="A286" s="175">
        <v>286.0</v>
      </c>
      <c r="B286" s="176">
        <v>46180.0</v>
      </c>
      <c r="C286" s="175" t="s">
        <v>21</v>
      </c>
      <c r="D286" s="175" t="s">
        <v>34</v>
      </c>
      <c r="E286" s="177" t="s">
        <v>3716</v>
      </c>
      <c r="F286" s="178">
        <v>5.96969636E8</v>
      </c>
      <c r="G286" s="175" t="s">
        <v>27</v>
      </c>
      <c r="H286" s="175" t="s">
        <v>27</v>
      </c>
      <c r="I286" s="179" t="s">
        <v>5387</v>
      </c>
      <c r="J286" s="177" t="s">
        <v>4417</v>
      </c>
      <c r="K286" s="175" t="s">
        <v>39</v>
      </c>
      <c r="L286" s="180">
        <v>0.4444444444444444</v>
      </c>
      <c r="M286" s="181" t="s">
        <v>51</v>
      </c>
      <c r="N286" s="175" t="s">
        <v>56</v>
      </c>
      <c r="O286" s="175" t="s">
        <v>42</v>
      </c>
      <c r="P286" s="177" t="s">
        <v>3566</v>
      </c>
      <c r="Q286" s="175" t="s">
        <v>44</v>
      </c>
      <c r="R286" s="175"/>
      <c r="S286" s="180">
        <v>0.4444444444444444</v>
      </c>
      <c r="T286" s="177" t="s">
        <v>3566</v>
      </c>
      <c r="U286" s="175" t="s">
        <v>44</v>
      </c>
      <c r="V286" s="175">
        <v>5.0</v>
      </c>
    </row>
    <row r="287">
      <c r="A287" s="175">
        <v>287.0</v>
      </c>
      <c r="B287" s="176">
        <v>46180.0</v>
      </c>
      <c r="C287" s="175" t="s">
        <v>21</v>
      </c>
      <c r="D287" s="175" t="s">
        <v>34</v>
      </c>
      <c r="E287" s="177" t="s">
        <v>5392</v>
      </c>
      <c r="F287" s="178"/>
      <c r="G287" s="175" t="s">
        <v>27</v>
      </c>
      <c r="H287" s="175" t="s">
        <v>27</v>
      </c>
      <c r="I287" s="179" t="s">
        <v>5393</v>
      </c>
      <c r="J287" s="177" t="s">
        <v>4417</v>
      </c>
      <c r="K287" s="175" t="s">
        <v>39</v>
      </c>
      <c r="L287" s="180">
        <v>0.4444444444444444</v>
      </c>
      <c r="M287" s="181" t="s">
        <v>51</v>
      </c>
      <c r="N287" s="175" t="s">
        <v>56</v>
      </c>
      <c r="O287" s="175" t="s">
        <v>42</v>
      </c>
      <c r="P287" s="177" t="s">
        <v>3566</v>
      </c>
      <c r="Q287" s="175" t="s">
        <v>44</v>
      </c>
      <c r="R287" s="175"/>
      <c r="S287" s="180">
        <v>0.4444444444444444</v>
      </c>
      <c r="T287" s="177" t="s">
        <v>3566</v>
      </c>
      <c r="U287" s="175" t="s">
        <v>44</v>
      </c>
      <c r="V287" s="175">
        <v>5.0</v>
      </c>
    </row>
    <row r="288">
      <c r="A288" s="175">
        <v>288.0</v>
      </c>
      <c r="B288" s="176">
        <v>46180.0</v>
      </c>
      <c r="C288" s="175" t="s">
        <v>21</v>
      </c>
      <c r="D288" s="175" t="s">
        <v>34</v>
      </c>
      <c r="E288" s="177" t="s">
        <v>5397</v>
      </c>
      <c r="F288" s="178">
        <v>5.00217239E8</v>
      </c>
      <c r="G288" s="177" t="s">
        <v>319</v>
      </c>
      <c r="H288" s="175" t="s">
        <v>27</v>
      </c>
      <c r="I288" s="179" t="s">
        <v>5398</v>
      </c>
      <c r="J288" s="177" t="s">
        <v>4417</v>
      </c>
      <c r="K288" s="175" t="s">
        <v>39</v>
      </c>
      <c r="L288" s="180">
        <v>0.4444444444444444</v>
      </c>
      <c r="M288" s="181" t="s">
        <v>51</v>
      </c>
      <c r="N288" s="175" t="s">
        <v>56</v>
      </c>
      <c r="O288" s="175" t="s">
        <v>42</v>
      </c>
      <c r="P288" s="177" t="s">
        <v>3566</v>
      </c>
      <c r="Q288" s="175" t="s">
        <v>44</v>
      </c>
      <c r="R288" s="175"/>
      <c r="S288" s="180">
        <v>0.4444444444444444</v>
      </c>
      <c r="T288" s="177" t="s">
        <v>3566</v>
      </c>
      <c r="U288" s="175" t="s">
        <v>44</v>
      </c>
      <c r="V288" s="175">
        <v>5.0</v>
      </c>
    </row>
    <row r="289">
      <c r="A289" s="175">
        <v>289.0</v>
      </c>
      <c r="B289" s="176">
        <v>46180.0</v>
      </c>
      <c r="C289" s="175" t="s">
        <v>21</v>
      </c>
      <c r="D289" s="175" t="s">
        <v>34</v>
      </c>
      <c r="E289" s="175" t="s">
        <v>5403</v>
      </c>
      <c r="F289" s="178">
        <v>5.33660228E8</v>
      </c>
      <c r="G289" s="175" t="s">
        <v>27</v>
      </c>
      <c r="H289" s="175" t="s">
        <v>27</v>
      </c>
      <c r="I289" s="289" t="s">
        <v>5406</v>
      </c>
      <c r="J289" s="177" t="s">
        <v>4417</v>
      </c>
      <c r="K289" s="175" t="s">
        <v>39</v>
      </c>
      <c r="L289" s="180">
        <v>0.4444444444444444</v>
      </c>
      <c r="M289" s="181" t="s">
        <v>51</v>
      </c>
      <c r="N289" s="175" t="s">
        <v>56</v>
      </c>
      <c r="O289" s="175" t="s">
        <v>42</v>
      </c>
      <c r="P289" s="177" t="s">
        <v>3566</v>
      </c>
      <c r="Q289" s="175" t="s">
        <v>44</v>
      </c>
      <c r="R289" s="175"/>
      <c r="S289" s="180">
        <v>0.4444444444444444</v>
      </c>
      <c r="T289" s="177" t="s">
        <v>3566</v>
      </c>
      <c r="U289" s="175" t="s">
        <v>44</v>
      </c>
      <c r="V289" s="175">
        <v>5.0</v>
      </c>
    </row>
    <row r="290">
      <c r="A290" s="175">
        <v>290.0</v>
      </c>
      <c r="B290" s="176">
        <v>46180.0</v>
      </c>
      <c r="C290" s="175" t="s">
        <v>21</v>
      </c>
      <c r="D290" s="175" t="s">
        <v>22</v>
      </c>
      <c r="E290" s="177" t="s">
        <v>330</v>
      </c>
      <c r="F290" s="178">
        <v>5.5002359E8</v>
      </c>
      <c r="G290" s="175" t="s">
        <v>27</v>
      </c>
      <c r="H290" s="175" t="s">
        <v>27</v>
      </c>
      <c r="I290" s="179" t="s">
        <v>5413</v>
      </c>
      <c r="J290" s="177"/>
      <c r="K290" s="175" t="s">
        <v>39</v>
      </c>
      <c r="L290" s="301">
        <v>0.4791666666666667</v>
      </c>
      <c r="M290" s="177" t="s">
        <v>38</v>
      </c>
      <c r="N290" s="175" t="s">
        <v>40</v>
      </c>
      <c r="O290" s="175" t="s">
        <v>42</v>
      </c>
      <c r="P290" s="177" t="s">
        <v>3566</v>
      </c>
      <c r="Q290" s="175" t="s">
        <v>44</v>
      </c>
      <c r="R290" s="206" t="s">
        <v>46</v>
      </c>
      <c r="S290" s="180"/>
      <c r="T290" s="177"/>
      <c r="U290" s="175"/>
      <c r="V290" s="175">
        <v>5.0</v>
      </c>
    </row>
    <row r="291">
      <c r="A291" s="175">
        <v>291.0</v>
      </c>
      <c r="B291" s="176">
        <v>46180.0</v>
      </c>
      <c r="C291" s="175" t="s">
        <v>21</v>
      </c>
      <c r="D291" s="175" t="s">
        <v>34</v>
      </c>
      <c r="E291" s="177" t="s">
        <v>5416</v>
      </c>
      <c r="F291" s="178">
        <v>5.70211544E8</v>
      </c>
      <c r="G291" s="175" t="s">
        <v>27</v>
      </c>
      <c r="H291" s="175" t="s">
        <v>27</v>
      </c>
      <c r="I291" s="179" t="s">
        <v>4430</v>
      </c>
      <c r="J291" s="177" t="s">
        <v>4417</v>
      </c>
      <c r="K291" s="175" t="s">
        <v>39</v>
      </c>
      <c r="L291" s="180">
        <v>0.4444444444444444</v>
      </c>
      <c r="M291" s="181" t="s">
        <v>51</v>
      </c>
      <c r="N291" s="175" t="s">
        <v>56</v>
      </c>
      <c r="O291" s="175" t="s">
        <v>42</v>
      </c>
      <c r="P291" s="177" t="s">
        <v>3566</v>
      </c>
      <c r="Q291" s="175" t="s">
        <v>44</v>
      </c>
      <c r="R291" s="175"/>
      <c r="S291" s="180">
        <v>0.4444444444444444</v>
      </c>
      <c r="T291" s="177" t="s">
        <v>3566</v>
      </c>
      <c r="U291" s="175" t="s">
        <v>44</v>
      </c>
      <c r="V291" s="175">
        <v>5.0</v>
      </c>
    </row>
    <row r="292">
      <c r="A292" s="175">
        <v>292.0</v>
      </c>
      <c r="B292" s="176">
        <v>46180.0</v>
      </c>
      <c r="C292" s="175" t="s">
        <v>21</v>
      </c>
      <c r="D292" s="175" t="s">
        <v>34</v>
      </c>
      <c r="E292" s="177" t="s">
        <v>5419</v>
      </c>
      <c r="F292" s="178">
        <v>5.02787763E8</v>
      </c>
      <c r="G292" s="175" t="s">
        <v>27</v>
      </c>
      <c r="H292" s="175" t="s">
        <v>27</v>
      </c>
      <c r="I292" s="179" t="s">
        <v>5422</v>
      </c>
      <c r="J292" s="177" t="s">
        <v>4417</v>
      </c>
      <c r="K292" s="175" t="s">
        <v>39</v>
      </c>
      <c r="L292" s="180">
        <v>0.4444444444444444</v>
      </c>
      <c r="M292" s="181" t="s">
        <v>51</v>
      </c>
      <c r="N292" s="175" t="s">
        <v>56</v>
      </c>
      <c r="O292" s="175" t="s">
        <v>42</v>
      </c>
      <c r="P292" s="177" t="s">
        <v>3566</v>
      </c>
      <c r="Q292" s="175" t="s">
        <v>44</v>
      </c>
      <c r="R292" s="175"/>
      <c r="S292" s="180">
        <v>0.4444444444444444</v>
      </c>
      <c r="T292" s="177" t="s">
        <v>3566</v>
      </c>
      <c r="U292" s="175" t="s">
        <v>44</v>
      </c>
      <c r="V292" s="175">
        <v>5.0</v>
      </c>
    </row>
    <row r="293">
      <c r="A293" s="175">
        <v>293.0</v>
      </c>
      <c r="B293" s="176">
        <v>46180.0</v>
      </c>
      <c r="C293" s="175" t="s">
        <v>21</v>
      </c>
      <c r="D293" s="175" t="s">
        <v>24</v>
      </c>
      <c r="E293" s="177" t="s">
        <v>5426</v>
      </c>
      <c r="F293" s="178">
        <v>5.59559105E8</v>
      </c>
      <c r="G293" s="177" t="s">
        <v>71</v>
      </c>
      <c r="H293" s="175" t="s">
        <v>27</v>
      </c>
      <c r="I293" s="179" t="s">
        <v>5428</v>
      </c>
      <c r="J293" s="177"/>
      <c r="K293" s="175" t="s">
        <v>39</v>
      </c>
      <c r="L293" s="301">
        <v>0.4791666666666667</v>
      </c>
      <c r="M293" s="177" t="s">
        <v>38</v>
      </c>
      <c r="N293" s="175" t="s">
        <v>56</v>
      </c>
      <c r="O293" s="175" t="s">
        <v>42</v>
      </c>
      <c r="P293" s="177" t="s">
        <v>3566</v>
      </c>
      <c r="Q293" s="175" t="s">
        <v>44</v>
      </c>
      <c r="R293" s="175" t="s">
        <v>46</v>
      </c>
      <c r="S293" s="180"/>
      <c r="T293" s="177"/>
      <c r="U293" s="175"/>
      <c r="V293" s="175">
        <v>5.0</v>
      </c>
    </row>
    <row r="294">
      <c r="A294" s="175">
        <v>294.0</v>
      </c>
      <c r="B294" s="176">
        <v>46180.0</v>
      </c>
      <c r="C294" s="175" t="s">
        <v>21</v>
      </c>
      <c r="D294" s="175" t="s">
        <v>34</v>
      </c>
      <c r="E294" s="175" t="s">
        <v>5431</v>
      </c>
      <c r="F294" s="178">
        <v>5.06907071E8</v>
      </c>
      <c r="G294" s="175" t="s">
        <v>27</v>
      </c>
      <c r="H294" s="175" t="s">
        <v>27</v>
      </c>
      <c r="I294" s="179" t="s">
        <v>5432</v>
      </c>
      <c r="J294" s="177" t="s">
        <v>4417</v>
      </c>
      <c r="K294" s="175" t="s">
        <v>39</v>
      </c>
      <c r="L294" s="180">
        <v>0.4444444444444444</v>
      </c>
      <c r="M294" s="181" t="s">
        <v>51</v>
      </c>
      <c r="N294" s="175" t="s">
        <v>56</v>
      </c>
      <c r="O294" s="175" t="s">
        <v>42</v>
      </c>
      <c r="P294" s="177" t="s">
        <v>3566</v>
      </c>
      <c r="Q294" s="175" t="s">
        <v>44</v>
      </c>
      <c r="R294" s="175"/>
      <c r="S294" s="180">
        <v>0.4444444444444444</v>
      </c>
      <c r="T294" s="177" t="s">
        <v>3566</v>
      </c>
      <c r="U294" s="175" t="s">
        <v>44</v>
      </c>
      <c r="V294" s="175">
        <v>5.0</v>
      </c>
    </row>
    <row r="295">
      <c r="A295" s="175">
        <v>295.0</v>
      </c>
      <c r="B295" s="176">
        <v>46180.0</v>
      </c>
      <c r="C295" s="175" t="s">
        <v>21</v>
      </c>
      <c r="D295" s="175" t="s">
        <v>34</v>
      </c>
      <c r="E295" s="177" t="s">
        <v>5438</v>
      </c>
      <c r="F295" s="178">
        <v>5.04388531E8</v>
      </c>
      <c r="G295" s="175" t="s">
        <v>27</v>
      </c>
      <c r="H295" s="175" t="s">
        <v>27</v>
      </c>
      <c r="I295" s="179" t="s">
        <v>5439</v>
      </c>
      <c r="J295" s="177" t="s">
        <v>4417</v>
      </c>
      <c r="K295" s="175" t="s">
        <v>39</v>
      </c>
      <c r="L295" s="180">
        <v>0.4444444444444444</v>
      </c>
      <c r="M295" s="181" t="s">
        <v>51</v>
      </c>
      <c r="N295" s="175" t="s">
        <v>56</v>
      </c>
      <c r="O295" s="175" t="s">
        <v>42</v>
      </c>
      <c r="P295" s="177" t="s">
        <v>3566</v>
      </c>
      <c r="Q295" s="175" t="s">
        <v>44</v>
      </c>
      <c r="R295" s="175"/>
      <c r="S295" s="180">
        <v>0.4444444444444444</v>
      </c>
      <c r="T295" s="177" t="s">
        <v>3566</v>
      </c>
      <c r="U295" s="175" t="s">
        <v>44</v>
      </c>
      <c r="V295" s="175">
        <v>5.0</v>
      </c>
    </row>
    <row r="296">
      <c r="A296" s="175">
        <v>296.0</v>
      </c>
      <c r="B296" s="176">
        <v>46180.0</v>
      </c>
      <c r="C296" s="175" t="s">
        <v>21</v>
      </c>
      <c r="D296" s="175" t="s">
        <v>34</v>
      </c>
      <c r="E296" s="177" t="s">
        <v>5445</v>
      </c>
      <c r="F296" s="178">
        <v>5.34949244E8</v>
      </c>
      <c r="G296" s="175" t="s">
        <v>27</v>
      </c>
      <c r="H296" s="175" t="s">
        <v>27</v>
      </c>
      <c r="I296" s="179" t="s">
        <v>5446</v>
      </c>
      <c r="J296" s="177" t="s">
        <v>4417</v>
      </c>
      <c r="K296" s="175" t="s">
        <v>39</v>
      </c>
      <c r="L296" s="180">
        <v>0.4444444444444444</v>
      </c>
      <c r="M296" s="181" t="s">
        <v>51</v>
      </c>
      <c r="N296" s="175" t="s">
        <v>56</v>
      </c>
      <c r="O296" s="175" t="s">
        <v>42</v>
      </c>
      <c r="P296" s="177" t="s">
        <v>3566</v>
      </c>
      <c r="Q296" s="175" t="s">
        <v>44</v>
      </c>
      <c r="R296" s="175"/>
      <c r="S296" s="180">
        <v>0.4444444444444444</v>
      </c>
      <c r="T296" s="177" t="s">
        <v>3566</v>
      </c>
      <c r="U296" s="175" t="s">
        <v>44</v>
      </c>
      <c r="V296" s="175">
        <v>5.0</v>
      </c>
    </row>
    <row r="297">
      <c r="A297" s="175">
        <v>297.0</v>
      </c>
      <c r="B297" s="176">
        <v>46180.0</v>
      </c>
      <c r="C297" s="175" t="s">
        <v>21</v>
      </c>
      <c r="D297" s="175" t="s">
        <v>34</v>
      </c>
      <c r="E297" s="177" t="s">
        <v>5454</v>
      </c>
      <c r="F297" s="178">
        <v>5.01017287E8</v>
      </c>
      <c r="G297" s="175" t="s">
        <v>27</v>
      </c>
      <c r="H297" s="175" t="s">
        <v>27</v>
      </c>
      <c r="I297" s="179" t="s">
        <v>5456</v>
      </c>
      <c r="J297" s="177" t="s">
        <v>4417</v>
      </c>
      <c r="K297" s="175" t="s">
        <v>39</v>
      </c>
      <c r="L297" s="180">
        <v>0.4444444444444444</v>
      </c>
      <c r="M297" s="181" t="s">
        <v>51</v>
      </c>
      <c r="N297" s="175" t="s">
        <v>56</v>
      </c>
      <c r="O297" s="175" t="s">
        <v>42</v>
      </c>
      <c r="P297" s="177" t="s">
        <v>3566</v>
      </c>
      <c r="Q297" s="175" t="s">
        <v>44</v>
      </c>
      <c r="R297" s="175"/>
      <c r="S297" s="180">
        <v>0.4444444444444444</v>
      </c>
      <c r="T297" s="177" t="s">
        <v>3566</v>
      </c>
      <c r="U297" s="175" t="s">
        <v>44</v>
      </c>
      <c r="V297" s="175">
        <v>5.0</v>
      </c>
    </row>
    <row r="298">
      <c r="A298" s="175">
        <v>298.0</v>
      </c>
      <c r="B298" s="176">
        <v>46180.0</v>
      </c>
      <c r="C298" s="175" t="s">
        <v>21</v>
      </c>
      <c r="D298" s="175" t="s">
        <v>34</v>
      </c>
      <c r="E298" s="177" t="s">
        <v>5426</v>
      </c>
      <c r="F298" s="178">
        <v>5.56922275E8</v>
      </c>
      <c r="G298" s="175" t="s">
        <v>27</v>
      </c>
      <c r="H298" s="175" t="s">
        <v>27</v>
      </c>
      <c r="I298" s="179" t="s">
        <v>5459</v>
      </c>
      <c r="J298" s="177" t="s">
        <v>4417</v>
      </c>
      <c r="K298" s="175" t="s">
        <v>39</v>
      </c>
      <c r="L298" s="180">
        <v>0.4444444444444444</v>
      </c>
      <c r="M298" s="181" t="s">
        <v>51</v>
      </c>
      <c r="N298" s="175" t="s">
        <v>56</v>
      </c>
      <c r="O298" s="175" t="s">
        <v>42</v>
      </c>
      <c r="P298" s="177" t="s">
        <v>3566</v>
      </c>
      <c r="Q298" s="175" t="s">
        <v>44</v>
      </c>
      <c r="R298" s="175"/>
      <c r="S298" s="180">
        <v>0.4444444444444444</v>
      </c>
      <c r="T298" s="177" t="s">
        <v>3566</v>
      </c>
      <c r="U298" s="175" t="s">
        <v>44</v>
      </c>
      <c r="V298" s="175">
        <v>5.0</v>
      </c>
    </row>
    <row r="299">
      <c r="A299" s="175">
        <v>299.0</v>
      </c>
      <c r="B299" s="176">
        <v>46180.0</v>
      </c>
      <c r="C299" s="175" t="s">
        <v>21</v>
      </c>
      <c r="D299" s="175" t="s">
        <v>34</v>
      </c>
      <c r="E299" s="177" t="s">
        <v>5463</v>
      </c>
      <c r="F299" s="178">
        <v>5.00757826E8</v>
      </c>
      <c r="G299" s="175" t="s">
        <v>27</v>
      </c>
      <c r="H299" s="175" t="s">
        <v>27</v>
      </c>
      <c r="I299" s="179" t="s">
        <v>5466</v>
      </c>
      <c r="J299" s="177" t="s">
        <v>4417</v>
      </c>
      <c r="K299" s="175" t="s">
        <v>39</v>
      </c>
      <c r="L299" s="180">
        <v>0.4444444444444444</v>
      </c>
      <c r="M299" s="181" t="s">
        <v>51</v>
      </c>
      <c r="N299" s="175" t="s">
        <v>56</v>
      </c>
      <c r="O299" s="175" t="s">
        <v>42</v>
      </c>
      <c r="P299" s="177" t="s">
        <v>3566</v>
      </c>
      <c r="Q299" s="175" t="s">
        <v>44</v>
      </c>
      <c r="R299" s="175"/>
      <c r="S299" s="180">
        <v>0.4444444444444444</v>
      </c>
      <c r="T299" s="177" t="s">
        <v>3566</v>
      </c>
      <c r="U299" s="175" t="s">
        <v>44</v>
      </c>
      <c r="V299" s="175">
        <v>5.0</v>
      </c>
    </row>
    <row r="300">
      <c r="A300" s="175">
        <v>300.0</v>
      </c>
      <c r="B300" s="176">
        <v>46180.0</v>
      </c>
      <c r="C300" s="175" t="s">
        <v>21</v>
      </c>
      <c r="D300" s="175" t="s">
        <v>24</v>
      </c>
      <c r="E300" s="177" t="s">
        <v>5469</v>
      </c>
      <c r="F300" s="178">
        <v>5.08346588E8</v>
      </c>
      <c r="G300" s="177" t="s">
        <v>71</v>
      </c>
      <c r="H300" s="175" t="s">
        <v>27</v>
      </c>
      <c r="I300" s="179" t="s">
        <v>5472</v>
      </c>
      <c r="J300" s="177"/>
      <c r="K300" s="175" t="s">
        <v>39</v>
      </c>
      <c r="L300" s="301">
        <v>0.4791666666666667</v>
      </c>
      <c r="M300" s="177" t="s">
        <v>38</v>
      </c>
      <c r="N300" s="175" t="s">
        <v>56</v>
      </c>
      <c r="O300" s="175" t="s">
        <v>42</v>
      </c>
      <c r="P300" s="177" t="s">
        <v>3566</v>
      </c>
      <c r="Q300" s="175" t="s">
        <v>44</v>
      </c>
      <c r="R300" s="175" t="s">
        <v>46</v>
      </c>
      <c r="S300" s="180"/>
      <c r="T300" s="177"/>
      <c r="U300" s="175"/>
      <c r="V300" s="175">
        <v>5.0</v>
      </c>
    </row>
    <row r="301">
      <c r="A301" s="175">
        <v>301.0</v>
      </c>
      <c r="B301" s="176">
        <v>46180.0</v>
      </c>
      <c r="C301" s="175" t="s">
        <v>21</v>
      </c>
      <c r="D301" s="175" t="s">
        <v>34</v>
      </c>
      <c r="E301" s="175" t="s">
        <v>5475</v>
      </c>
      <c r="F301" s="178">
        <v>5.94146779E8</v>
      </c>
      <c r="G301" s="175" t="s">
        <v>27</v>
      </c>
      <c r="H301" s="175" t="s">
        <v>27</v>
      </c>
      <c r="I301" s="179" t="s">
        <v>5477</v>
      </c>
      <c r="J301" s="177" t="s">
        <v>4417</v>
      </c>
      <c r="K301" s="175" t="s">
        <v>39</v>
      </c>
      <c r="L301" s="180">
        <v>0.4444444444444444</v>
      </c>
      <c r="M301" s="181" t="s">
        <v>51</v>
      </c>
      <c r="N301" s="175" t="s">
        <v>56</v>
      </c>
      <c r="O301" s="175" t="s">
        <v>42</v>
      </c>
      <c r="P301" s="177" t="s">
        <v>3566</v>
      </c>
      <c r="Q301" s="175" t="s">
        <v>44</v>
      </c>
      <c r="R301" s="175"/>
      <c r="S301" s="180">
        <v>0.4444444444444444</v>
      </c>
      <c r="T301" s="177" t="s">
        <v>3566</v>
      </c>
      <c r="U301" s="175" t="s">
        <v>44</v>
      </c>
      <c r="V301" s="175">
        <v>5.0</v>
      </c>
    </row>
    <row r="302">
      <c r="A302" s="175">
        <v>302.0</v>
      </c>
      <c r="B302" s="176">
        <v>46180.0</v>
      </c>
      <c r="C302" s="175" t="s">
        <v>21</v>
      </c>
      <c r="D302" s="175" t="s">
        <v>34</v>
      </c>
      <c r="E302" s="177" t="s">
        <v>5481</v>
      </c>
      <c r="F302" s="178">
        <v>5.61189707E8</v>
      </c>
      <c r="G302" s="175" t="s">
        <v>27</v>
      </c>
      <c r="H302" s="175" t="s">
        <v>27</v>
      </c>
      <c r="I302" s="179" t="s">
        <v>5483</v>
      </c>
      <c r="J302" s="177" t="s">
        <v>4417</v>
      </c>
      <c r="K302" s="175" t="s">
        <v>39</v>
      </c>
      <c r="L302" s="180">
        <v>0.4444444444444444</v>
      </c>
      <c r="M302" s="181" t="s">
        <v>51</v>
      </c>
      <c r="N302" s="175" t="s">
        <v>56</v>
      </c>
      <c r="O302" s="175" t="s">
        <v>42</v>
      </c>
      <c r="P302" s="177" t="s">
        <v>3566</v>
      </c>
      <c r="Q302" s="175" t="s">
        <v>44</v>
      </c>
      <c r="R302" s="175"/>
      <c r="S302" s="180">
        <v>0.4444444444444444</v>
      </c>
      <c r="T302" s="177" t="s">
        <v>3566</v>
      </c>
      <c r="U302" s="175" t="s">
        <v>44</v>
      </c>
      <c r="V302" s="175">
        <v>5.0</v>
      </c>
    </row>
    <row r="303">
      <c r="A303" s="175">
        <v>303.0</v>
      </c>
      <c r="B303" s="176">
        <v>46180.0</v>
      </c>
      <c r="C303" s="175" t="s">
        <v>21</v>
      </c>
      <c r="D303" s="175" t="s">
        <v>34</v>
      </c>
      <c r="E303" s="177" t="s">
        <v>5486</v>
      </c>
      <c r="F303" s="178">
        <v>5.07981375E8</v>
      </c>
      <c r="G303" s="175" t="s">
        <v>27</v>
      </c>
      <c r="H303" s="175" t="s">
        <v>27</v>
      </c>
      <c r="I303" s="179" t="s">
        <v>5490</v>
      </c>
      <c r="J303" s="177" t="s">
        <v>4417</v>
      </c>
      <c r="K303" s="175" t="s">
        <v>39</v>
      </c>
      <c r="L303" s="180">
        <v>0.4444444444444444</v>
      </c>
      <c r="M303" s="181" t="s">
        <v>51</v>
      </c>
      <c r="N303" s="175" t="s">
        <v>56</v>
      </c>
      <c r="O303" s="175" t="s">
        <v>42</v>
      </c>
      <c r="P303" s="177" t="s">
        <v>3566</v>
      </c>
      <c r="Q303" s="175" t="s">
        <v>44</v>
      </c>
      <c r="R303" s="175"/>
      <c r="S303" s="180">
        <v>0.4444444444444444</v>
      </c>
      <c r="T303" s="177" t="s">
        <v>3566</v>
      </c>
      <c r="U303" s="175" t="s">
        <v>44</v>
      </c>
      <c r="V303" s="175">
        <v>5.0</v>
      </c>
    </row>
    <row r="304">
      <c r="A304" s="175">
        <v>304.0</v>
      </c>
      <c r="B304" s="176">
        <v>46180.0</v>
      </c>
      <c r="C304" s="175" t="s">
        <v>21</v>
      </c>
      <c r="D304" s="175" t="s">
        <v>34</v>
      </c>
      <c r="E304" s="177" t="s">
        <v>5494</v>
      </c>
      <c r="F304" s="178">
        <v>5.42844427E8</v>
      </c>
      <c r="G304" s="175" t="s">
        <v>27</v>
      </c>
      <c r="H304" s="175" t="s">
        <v>27</v>
      </c>
      <c r="I304" s="179" t="s">
        <v>5496</v>
      </c>
      <c r="J304" s="177" t="s">
        <v>4417</v>
      </c>
      <c r="K304" s="175" t="s">
        <v>39</v>
      </c>
      <c r="L304" s="180">
        <v>0.4444444444444444</v>
      </c>
      <c r="M304" s="181" t="s">
        <v>51</v>
      </c>
      <c r="N304" s="175" t="s">
        <v>56</v>
      </c>
      <c r="O304" s="175" t="s">
        <v>42</v>
      </c>
      <c r="P304" s="177" t="s">
        <v>3566</v>
      </c>
      <c r="Q304" s="175" t="s">
        <v>44</v>
      </c>
      <c r="R304" s="175"/>
      <c r="S304" s="180">
        <v>0.4444444444444444</v>
      </c>
      <c r="T304" s="177" t="s">
        <v>3566</v>
      </c>
      <c r="U304" s="175" t="s">
        <v>44</v>
      </c>
      <c r="V304" s="175">
        <v>5.0</v>
      </c>
    </row>
    <row r="305">
      <c r="A305" s="26">
        <v>305.0</v>
      </c>
      <c r="B305" s="188">
        <v>46180.0</v>
      </c>
      <c r="C305" s="26" t="s">
        <v>47</v>
      </c>
      <c r="D305" s="26" t="s">
        <v>48</v>
      </c>
      <c r="E305" s="27" t="s">
        <v>3442</v>
      </c>
      <c r="F305" s="21">
        <v>5.73754223E8</v>
      </c>
      <c r="G305" s="27" t="s">
        <v>28</v>
      </c>
      <c r="H305" s="26" t="s">
        <v>830</v>
      </c>
      <c r="I305" s="197" t="s">
        <v>5500</v>
      </c>
      <c r="J305" s="27" t="s">
        <v>5501</v>
      </c>
      <c r="K305" s="26" t="s">
        <v>36</v>
      </c>
      <c r="L305" s="35">
        <v>0.3958333333333333</v>
      </c>
      <c r="M305" s="27" t="s">
        <v>101</v>
      </c>
      <c r="N305" s="26" t="s">
        <v>56</v>
      </c>
      <c r="O305" s="26" t="s">
        <v>518</v>
      </c>
      <c r="P305" s="27" t="s">
        <v>3765</v>
      </c>
      <c r="Q305" s="26" t="s">
        <v>44</v>
      </c>
      <c r="R305" s="26" t="s">
        <v>46</v>
      </c>
      <c r="S305" s="35">
        <v>0.6180555555555556</v>
      </c>
      <c r="T305" s="27" t="s">
        <v>3566</v>
      </c>
      <c r="U305" s="26" t="s">
        <v>44</v>
      </c>
      <c r="V305" s="26">
        <v>5.0</v>
      </c>
    </row>
    <row r="306">
      <c r="A306" s="175">
        <v>306.0</v>
      </c>
      <c r="B306" s="176">
        <v>46180.0</v>
      </c>
      <c r="C306" s="175" t="s">
        <v>47</v>
      </c>
      <c r="D306" s="175" t="s">
        <v>92</v>
      </c>
      <c r="E306" s="177" t="s">
        <v>5505</v>
      </c>
      <c r="F306" s="178">
        <v>5.58135551E8</v>
      </c>
      <c r="G306" s="177" t="s">
        <v>76</v>
      </c>
      <c r="H306" s="175" t="s">
        <v>735</v>
      </c>
      <c r="I306" s="179" t="s">
        <v>5508</v>
      </c>
      <c r="J306" s="177"/>
      <c r="K306" s="175" t="s">
        <v>148</v>
      </c>
      <c r="L306" s="180">
        <v>0.4444444444444444</v>
      </c>
      <c r="M306" s="27" t="s">
        <v>101</v>
      </c>
      <c r="N306" s="175" t="s">
        <v>40</v>
      </c>
      <c r="O306" s="175" t="s">
        <v>518</v>
      </c>
      <c r="P306" s="177" t="s">
        <v>3765</v>
      </c>
      <c r="Q306" s="175" t="s">
        <v>44</v>
      </c>
      <c r="R306" s="175" t="s">
        <v>46</v>
      </c>
      <c r="S306" s="180"/>
      <c r="T306" s="177"/>
      <c r="U306" s="175"/>
      <c r="V306" s="175">
        <v>5.0</v>
      </c>
    </row>
    <row r="307">
      <c r="A307" s="175">
        <v>307.0</v>
      </c>
      <c r="B307" s="176">
        <v>46180.0</v>
      </c>
      <c r="C307" s="175" t="s">
        <v>47</v>
      </c>
      <c r="D307" s="175" t="s">
        <v>92</v>
      </c>
      <c r="E307" s="177" t="s">
        <v>5510</v>
      </c>
      <c r="F307" s="178">
        <v>5.57759456E8</v>
      </c>
      <c r="G307" s="177" t="s">
        <v>76</v>
      </c>
      <c r="H307" s="175" t="s">
        <v>735</v>
      </c>
      <c r="I307" s="209" t="s">
        <v>5512</v>
      </c>
      <c r="J307" s="177"/>
      <c r="K307" s="175" t="s">
        <v>148</v>
      </c>
      <c r="L307" s="180">
        <v>0.4444444444444444</v>
      </c>
      <c r="M307" s="81" t="s">
        <v>4727</v>
      </c>
      <c r="N307" s="175" t="s">
        <v>40</v>
      </c>
      <c r="O307" s="175" t="s">
        <v>3811</v>
      </c>
      <c r="P307" s="177" t="s">
        <v>3997</v>
      </c>
      <c r="Q307" s="175" t="s">
        <v>44</v>
      </c>
      <c r="R307" s="175" t="s">
        <v>46</v>
      </c>
      <c r="S307" s="180"/>
      <c r="T307" s="177"/>
      <c r="U307" s="175"/>
      <c r="V307" s="175">
        <v>5.0</v>
      </c>
    </row>
    <row r="308">
      <c r="A308" s="175">
        <v>308.0</v>
      </c>
      <c r="B308" s="176">
        <v>46180.0</v>
      </c>
      <c r="C308" s="175" t="s">
        <v>47</v>
      </c>
      <c r="D308" s="175" t="s">
        <v>48</v>
      </c>
      <c r="E308" s="175" t="s">
        <v>5514</v>
      </c>
      <c r="F308" s="178">
        <v>5.04571365E8</v>
      </c>
      <c r="G308" s="177" t="s">
        <v>28</v>
      </c>
      <c r="H308" s="175" t="s">
        <v>830</v>
      </c>
      <c r="I308" s="179" t="s">
        <v>5517</v>
      </c>
      <c r="J308" s="177"/>
      <c r="K308" s="175" t="s">
        <v>148</v>
      </c>
      <c r="L308" s="180">
        <v>0.4652777777777778</v>
      </c>
      <c r="M308" s="177" t="s">
        <v>101</v>
      </c>
      <c r="N308" s="175" t="s">
        <v>40</v>
      </c>
      <c r="O308" s="175" t="s">
        <v>518</v>
      </c>
      <c r="P308" s="177" t="s">
        <v>3765</v>
      </c>
      <c r="Q308" s="175" t="s">
        <v>44</v>
      </c>
      <c r="R308" s="175" t="s">
        <v>46</v>
      </c>
      <c r="S308" s="180">
        <v>0.4652777777777778</v>
      </c>
      <c r="T308" s="177" t="s">
        <v>3566</v>
      </c>
      <c r="U308" s="175" t="s">
        <v>44</v>
      </c>
      <c r="V308" s="175">
        <v>5.0</v>
      </c>
    </row>
    <row r="309">
      <c r="A309" s="175">
        <v>309.0</v>
      </c>
      <c r="B309" s="176">
        <v>46180.0</v>
      </c>
      <c r="C309" s="175" t="s">
        <v>47</v>
      </c>
      <c r="D309" s="175" t="s">
        <v>48</v>
      </c>
      <c r="E309" s="177" t="s">
        <v>5518</v>
      </c>
      <c r="F309" s="207">
        <v>5.57769094E8</v>
      </c>
      <c r="G309" s="177" t="s">
        <v>28</v>
      </c>
      <c r="H309" s="175" t="s">
        <v>3190</v>
      </c>
      <c r="I309" s="209" t="s">
        <v>5519</v>
      </c>
      <c r="J309" s="27" t="s">
        <v>5521</v>
      </c>
      <c r="K309" s="175" t="s">
        <v>148</v>
      </c>
      <c r="L309" s="180">
        <v>0.4652777777777778</v>
      </c>
      <c r="M309" s="201" t="s">
        <v>5522</v>
      </c>
      <c r="N309" s="175" t="s">
        <v>56</v>
      </c>
      <c r="O309" s="175" t="s">
        <v>3811</v>
      </c>
      <c r="P309" s="177" t="s">
        <v>3566</v>
      </c>
      <c r="Q309" s="175" t="s">
        <v>44</v>
      </c>
      <c r="R309" s="175" t="s">
        <v>46</v>
      </c>
      <c r="S309" s="180"/>
      <c r="T309" s="177"/>
      <c r="U309" s="175"/>
      <c r="V309" s="175">
        <v>5.0</v>
      </c>
    </row>
    <row r="310">
      <c r="A310" s="175">
        <v>310.0</v>
      </c>
      <c r="B310" s="176">
        <v>46180.0</v>
      </c>
      <c r="C310" s="175" t="s">
        <v>47</v>
      </c>
      <c r="D310" s="175" t="s">
        <v>138</v>
      </c>
      <c r="E310" s="177" t="s">
        <v>5524</v>
      </c>
      <c r="F310" s="178">
        <v>5.04124717E8</v>
      </c>
      <c r="G310" s="177" t="s">
        <v>28</v>
      </c>
      <c r="H310" s="175" t="s">
        <v>830</v>
      </c>
      <c r="I310" s="179" t="s">
        <v>5527</v>
      </c>
      <c r="J310" s="177" t="s">
        <v>5529</v>
      </c>
      <c r="K310" s="175" t="s">
        <v>148</v>
      </c>
      <c r="L310" s="180">
        <v>0.4652777777777778</v>
      </c>
      <c r="M310" s="177" t="s">
        <v>795</v>
      </c>
      <c r="N310" s="175" t="s">
        <v>40</v>
      </c>
      <c r="O310" s="175" t="s">
        <v>518</v>
      </c>
      <c r="P310" s="177" t="s">
        <v>3566</v>
      </c>
      <c r="Q310" s="175" t="s">
        <v>44</v>
      </c>
      <c r="R310" s="175" t="s">
        <v>46</v>
      </c>
      <c r="S310" s="180"/>
      <c r="T310" s="177"/>
      <c r="U310" s="175"/>
      <c r="V310" s="175">
        <v>5.0</v>
      </c>
    </row>
    <row r="311">
      <c r="A311" s="175">
        <v>311.0</v>
      </c>
      <c r="B311" s="176">
        <v>46180.0</v>
      </c>
      <c r="C311" s="175" t="s">
        <v>47</v>
      </c>
      <c r="D311" s="175" t="s">
        <v>367</v>
      </c>
      <c r="E311" s="175" t="s">
        <v>5530</v>
      </c>
      <c r="F311" s="178">
        <v>5.53081101E8</v>
      </c>
      <c r="G311" s="177" t="s">
        <v>28</v>
      </c>
      <c r="H311" s="175" t="s">
        <v>548</v>
      </c>
      <c r="I311" s="179" t="s">
        <v>5532</v>
      </c>
      <c r="J311" s="177" t="s">
        <v>5533</v>
      </c>
      <c r="K311" s="175" t="s">
        <v>148</v>
      </c>
      <c r="L311" s="180">
        <v>0.4652777777777778</v>
      </c>
      <c r="M311" s="177" t="s">
        <v>602</v>
      </c>
      <c r="N311" s="175" t="s">
        <v>40</v>
      </c>
      <c r="O311" s="175" t="s">
        <v>518</v>
      </c>
      <c r="P311" s="177" t="s">
        <v>3566</v>
      </c>
      <c r="Q311" s="175" t="s">
        <v>44</v>
      </c>
      <c r="R311" s="175" t="s">
        <v>46</v>
      </c>
      <c r="S311" s="180"/>
      <c r="T311" s="177"/>
      <c r="U311" s="175"/>
      <c r="V311" s="175">
        <v>5.0</v>
      </c>
    </row>
    <row r="312">
      <c r="A312" s="175">
        <v>312.0</v>
      </c>
      <c r="B312" s="176">
        <v>46180.0</v>
      </c>
      <c r="C312" s="175" t="s">
        <v>3766</v>
      </c>
      <c r="D312" s="175" t="s">
        <v>57</v>
      </c>
      <c r="E312" s="175" t="s">
        <v>4769</v>
      </c>
      <c r="F312" s="178">
        <v>5.5837773E8</v>
      </c>
      <c r="G312" s="177" t="s">
        <v>79</v>
      </c>
      <c r="H312" s="175" t="s">
        <v>80</v>
      </c>
      <c r="I312" s="179" t="s">
        <v>5535</v>
      </c>
      <c r="J312" s="177"/>
      <c r="K312" s="175" t="s">
        <v>148</v>
      </c>
      <c r="L312" s="180"/>
      <c r="M312" s="177" t="s">
        <v>3776</v>
      </c>
      <c r="N312" s="175" t="s">
        <v>40</v>
      </c>
      <c r="O312" s="175" t="s">
        <v>42</v>
      </c>
      <c r="P312" s="177" t="s">
        <v>3566</v>
      </c>
      <c r="Q312" s="175" t="s">
        <v>44</v>
      </c>
      <c r="R312" s="175"/>
      <c r="S312" s="180"/>
      <c r="T312" s="177"/>
      <c r="U312" s="175"/>
      <c r="V312" s="175">
        <v>5.0</v>
      </c>
    </row>
    <row r="313">
      <c r="A313" s="175">
        <v>313.0</v>
      </c>
      <c r="B313" s="176">
        <v>46180.0</v>
      </c>
      <c r="C313" s="175" t="s">
        <v>47</v>
      </c>
      <c r="D313" s="175" t="s">
        <v>138</v>
      </c>
      <c r="E313" s="175" t="s">
        <v>27</v>
      </c>
      <c r="F313" s="178">
        <v>5.0087701E8</v>
      </c>
      <c r="G313" s="177" t="s">
        <v>79</v>
      </c>
      <c r="H313" s="175" t="s">
        <v>431</v>
      </c>
      <c r="I313" s="179" t="s">
        <v>5539</v>
      </c>
      <c r="J313" s="177" t="s">
        <v>5540</v>
      </c>
      <c r="K313" s="175" t="s">
        <v>148</v>
      </c>
      <c r="L313" s="180">
        <v>0.4652777777777778</v>
      </c>
      <c r="M313" s="184" t="s">
        <v>183</v>
      </c>
      <c r="N313" s="175" t="s">
        <v>56</v>
      </c>
      <c r="O313" s="175" t="s">
        <v>518</v>
      </c>
      <c r="P313" s="177" t="s">
        <v>3566</v>
      </c>
      <c r="Q313" s="175" t="s">
        <v>44</v>
      </c>
      <c r="R313" s="175" t="s">
        <v>46</v>
      </c>
      <c r="S313" s="180"/>
      <c r="T313" s="177"/>
      <c r="U313" s="175"/>
      <c r="V313" s="175">
        <v>5.0</v>
      </c>
    </row>
    <row r="314">
      <c r="A314" s="175">
        <v>314.0</v>
      </c>
      <c r="B314" s="176">
        <v>46180.0</v>
      </c>
      <c r="C314" s="175" t="s">
        <v>21</v>
      </c>
      <c r="D314" s="175" t="s">
        <v>22</v>
      </c>
      <c r="E314" s="177" t="s">
        <v>5546</v>
      </c>
      <c r="F314" s="178">
        <v>5.31341465E8</v>
      </c>
      <c r="G314" s="177" t="s">
        <v>318</v>
      </c>
      <c r="H314" s="175" t="s">
        <v>27</v>
      </c>
      <c r="I314" s="179" t="s">
        <v>5547</v>
      </c>
      <c r="J314" s="177"/>
      <c r="K314" s="175" t="s">
        <v>36</v>
      </c>
      <c r="L314" s="180"/>
      <c r="M314" s="177" t="s">
        <v>38</v>
      </c>
      <c r="N314" s="175" t="s">
        <v>40</v>
      </c>
      <c r="O314" s="175" t="s">
        <v>42</v>
      </c>
      <c r="P314" s="177" t="s">
        <v>3566</v>
      </c>
      <c r="Q314" s="175" t="s">
        <v>44</v>
      </c>
      <c r="R314" s="206" t="s">
        <v>46</v>
      </c>
      <c r="S314" s="180"/>
      <c r="T314" s="177"/>
      <c r="U314" s="175"/>
      <c r="V314" s="175">
        <v>5.0</v>
      </c>
    </row>
    <row r="315">
      <c r="A315" s="175">
        <v>315.0</v>
      </c>
      <c r="B315" s="176">
        <v>46180.0</v>
      </c>
      <c r="C315" s="175" t="s">
        <v>21</v>
      </c>
      <c r="D315" s="175" t="s">
        <v>24</v>
      </c>
      <c r="E315" s="177" t="s">
        <v>845</v>
      </c>
      <c r="F315" s="178">
        <v>5.05751372E8</v>
      </c>
      <c r="G315" s="177" t="s">
        <v>5549</v>
      </c>
      <c r="H315" s="175" t="s">
        <v>27</v>
      </c>
      <c r="I315" s="179" t="s">
        <v>5552</v>
      </c>
      <c r="J315" s="177"/>
      <c r="K315" s="175" t="s">
        <v>36</v>
      </c>
      <c r="L315" s="180"/>
      <c r="M315" s="177" t="s">
        <v>38</v>
      </c>
      <c r="N315" s="175" t="s">
        <v>56</v>
      </c>
      <c r="O315" s="175" t="s">
        <v>42</v>
      </c>
      <c r="P315" s="177" t="s">
        <v>3566</v>
      </c>
      <c r="Q315" s="175" t="s">
        <v>49</v>
      </c>
      <c r="R315" s="175" t="s">
        <v>46</v>
      </c>
      <c r="S315" s="180"/>
      <c r="T315" s="177"/>
      <c r="U315" s="175"/>
      <c r="V315" s="175">
        <v>5.0</v>
      </c>
    </row>
    <row r="316">
      <c r="A316" s="175">
        <v>316.0</v>
      </c>
      <c r="B316" s="176">
        <v>46180.0</v>
      </c>
      <c r="C316" s="175" t="s">
        <v>21</v>
      </c>
      <c r="D316" s="175" t="s">
        <v>22</v>
      </c>
      <c r="E316" s="177" t="s">
        <v>5554</v>
      </c>
      <c r="F316" s="178">
        <v>5.06766626E8</v>
      </c>
      <c r="G316" s="177" t="s">
        <v>28</v>
      </c>
      <c r="H316" s="175" t="s">
        <v>27</v>
      </c>
      <c r="I316" s="179" t="s">
        <v>5556</v>
      </c>
      <c r="J316" s="177"/>
      <c r="K316" s="175" t="s">
        <v>36</v>
      </c>
      <c r="L316" s="180"/>
      <c r="M316" s="177" t="s">
        <v>38</v>
      </c>
      <c r="N316" s="175" t="s">
        <v>40</v>
      </c>
      <c r="O316" s="175" t="s">
        <v>42</v>
      </c>
      <c r="P316" s="177" t="s">
        <v>3566</v>
      </c>
      <c r="Q316" s="175" t="s">
        <v>44</v>
      </c>
      <c r="R316" s="206" t="s">
        <v>46</v>
      </c>
      <c r="S316" s="180"/>
      <c r="T316" s="177"/>
      <c r="U316" s="175"/>
      <c r="V316" s="175">
        <v>5.0</v>
      </c>
    </row>
    <row r="317">
      <c r="A317" s="175">
        <v>317.0</v>
      </c>
      <c r="B317" s="176">
        <v>46180.0</v>
      </c>
      <c r="C317" s="175" t="s">
        <v>21</v>
      </c>
      <c r="D317" s="175" t="s">
        <v>24</v>
      </c>
      <c r="E317" s="177" t="s">
        <v>5560</v>
      </c>
      <c r="F317" s="178">
        <v>5.95771881E8</v>
      </c>
      <c r="G317" s="177" t="s">
        <v>71</v>
      </c>
      <c r="H317" s="175" t="s">
        <v>27</v>
      </c>
      <c r="I317" s="179" t="s">
        <v>93</v>
      </c>
      <c r="J317" s="177"/>
      <c r="K317" s="175" t="s">
        <v>36</v>
      </c>
      <c r="L317" s="180"/>
      <c r="M317" s="177" t="s">
        <v>38</v>
      </c>
      <c r="N317" s="175" t="s">
        <v>56</v>
      </c>
      <c r="O317" s="175" t="s">
        <v>42</v>
      </c>
      <c r="P317" s="177" t="s">
        <v>3566</v>
      </c>
      <c r="Q317" s="175" t="s">
        <v>44</v>
      </c>
      <c r="R317" s="175" t="s">
        <v>46</v>
      </c>
      <c r="S317" s="180"/>
      <c r="T317" s="177"/>
      <c r="U317" s="175"/>
      <c r="V317" s="175">
        <v>5.0</v>
      </c>
    </row>
    <row r="318" ht="20.25" customHeight="1">
      <c r="A318" s="175">
        <v>318.0</v>
      </c>
      <c r="B318" s="176">
        <v>46180.0</v>
      </c>
      <c r="C318" s="175" t="s">
        <v>21</v>
      </c>
      <c r="D318" s="175" t="s">
        <v>22</v>
      </c>
      <c r="E318" s="177" t="s">
        <v>5567</v>
      </c>
      <c r="F318" s="178">
        <v>5.51567145E8</v>
      </c>
      <c r="G318" s="177" t="s">
        <v>5569</v>
      </c>
      <c r="H318" s="175" t="s">
        <v>27</v>
      </c>
      <c r="I318" s="179" t="s">
        <v>5570</v>
      </c>
      <c r="J318" s="177"/>
      <c r="K318" s="175" t="s">
        <v>36</v>
      </c>
      <c r="L318" s="180"/>
      <c r="M318" s="177" t="s">
        <v>38</v>
      </c>
      <c r="N318" s="175" t="s">
        <v>40</v>
      </c>
      <c r="O318" s="175" t="s">
        <v>42</v>
      </c>
      <c r="P318" s="177" t="s">
        <v>3566</v>
      </c>
      <c r="Q318" s="175" t="s">
        <v>49</v>
      </c>
      <c r="R318" s="175" t="s">
        <v>46</v>
      </c>
      <c r="S318" s="180"/>
      <c r="T318" s="177"/>
      <c r="U318" s="175"/>
      <c r="V318" s="175">
        <v>5.0</v>
      </c>
    </row>
    <row r="319" ht="33.0" customHeight="1">
      <c r="A319" s="175">
        <v>319.0</v>
      </c>
      <c r="B319" s="176">
        <v>46180.0</v>
      </c>
      <c r="C319" s="175" t="s">
        <v>21</v>
      </c>
      <c r="D319" s="175" t="s">
        <v>22</v>
      </c>
      <c r="E319" s="177" t="s">
        <v>5574</v>
      </c>
      <c r="F319" s="178">
        <v>5.59555455E8</v>
      </c>
      <c r="G319" s="177" t="s">
        <v>908</v>
      </c>
      <c r="H319" s="175" t="s">
        <v>27</v>
      </c>
      <c r="I319" s="179" t="s">
        <v>5576</v>
      </c>
      <c r="J319" s="177"/>
      <c r="K319" s="175" t="s">
        <v>36</v>
      </c>
      <c r="L319" s="180"/>
      <c r="M319" s="177" t="s">
        <v>38</v>
      </c>
      <c r="N319" s="175" t="s">
        <v>40</v>
      </c>
      <c r="O319" s="175" t="s">
        <v>42</v>
      </c>
      <c r="P319" s="177" t="s">
        <v>3566</v>
      </c>
      <c r="Q319" s="175" t="s">
        <v>49</v>
      </c>
      <c r="R319" s="175" t="s">
        <v>46</v>
      </c>
      <c r="S319" s="180"/>
      <c r="T319" s="177"/>
      <c r="U319" s="175"/>
      <c r="V319" s="175">
        <v>5.0</v>
      </c>
    </row>
    <row r="320" ht="30.0" customHeight="1">
      <c r="A320" s="175">
        <v>320.0</v>
      </c>
      <c r="B320" s="176">
        <v>46180.0</v>
      </c>
      <c r="C320" s="175" t="s">
        <v>21</v>
      </c>
      <c r="D320" s="175" t="s">
        <v>24</v>
      </c>
      <c r="E320" s="177" t="s">
        <v>5578</v>
      </c>
      <c r="F320" s="178">
        <v>5.67845728E8</v>
      </c>
      <c r="G320" s="177" t="s">
        <v>71</v>
      </c>
      <c r="H320" s="175" t="s">
        <v>27</v>
      </c>
      <c r="I320" s="179" t="s">
        <v>5579</v>
      </c>
      <c r="J320" s="177"/>
      <c r="K320" s="175" t="s">
        <v>36</v>
      </c>
      <c r="L320" s="180"/>
      <c r="M320" s="177" t="s">
        <v>38</v>
      </c>
      <c r="N320" s="175" t="s">
        <v>56</v>
      </c>
      <c r="O320" s="175" t="s">
        <v>42</v>
      </c>
      <c r="P320" s="177" t="s">
        <v>3566</v>
      </c>
      <c r="Q320" s="175" t="s">
        <v>44</v>
      </c>
      <c r="R320" s="175" t="s">
        <v>46</v>
      </c>
      <c r="S320" s="180"/>
      <c r="T320" s="177"/>
      <c r="U320" s="175"/>
      <c r="V320" s="175">
        <v>5.0</v>
      </c>
    </row>
    <row r="321" ht="24.75" customHeight="1">
      <c r="A321" s="175">
        <v>321.0</v>
      </c>
      <c r="B321" s="176">
        <v>46180.0</v>
      </c>
      <c r="C321" s="175" t="s">
        <v>21</v>
      </c>
      <c r="D321" s="175" t="s">
        <v>34</v>
      </c>
      <c r="E321" s="175" t="s">
        <v>27</v>
      </c>
      <c r="F321" s="178">
        <v>5.55789182E8</v>
      </c>
      <c r="G321" s="175" t="s">
        <v>27</v>
      </c>
      <c r="H321" s="175" t="s">
        <v>27</v>
      </c>
      <c r="I321" s="179" t="s">
        <v>5584</v>
      </c>
      <c r="J321" s="177"/>
      <c r="K321" s="175" t="s">
        <v>36</v>
      </c>
      <c r="L321" s="180"/>
      <c r="M321" s="181" t="s">
        <v>51</v>
      </c>
      <c r="N321" s="175" t="s">
        <v>40</v>
      </c>
      <c r="O321" s="175" t="s">
        <v>42</v>
      </c>
      <c r="P321" s="177" t="s">
        <v>3566</v>
      </c>
      <c r="Q321" s="175" t="s">
        <v>49</v>
      </c>
      <c r="R321" s="175"/>
      <c r="S321" s="180"/>
      <c r="T321" s="177"/>
      <c r="U321" s="175"/>
      <c r="V321" s="175">
        <v>5.0</v>
      </c>
    </row>
    <row r="322" ht="30.0" customHeight="1">
      <c r="A322" s="175">
        <v>322.0</v>
      </c>
      <c r="B322" s="176">
        <v>46180.0</v>
      </c>
      <c r="C322" s="175" t="s">
        <v>21</v>
      </c>
      <c r="D322" s="175" t="s">
        <v>22</v>
      </c>
      <c r="E322" s="177" t="s">
        <v>463</v>
      </c>
      <c r="F322" s="178">
        <v>5.55444112E8</v>
      </c>
      <c r="G322" s="177" t="s">
        <v>333</v>
      </c>
      <c r="H322" s="175" t="s">
        <v>27</v>
      </c>
      <c r="I322" s="179" t="s">
        <v>5594</v>
      </c>
      <c r="J322" s="177"/>
      <c r="K322" s="175" t="s">
        <v>36</v>
      </c>
      <c r="L322" s="180"/>
      <c r="M322" s="181" t="s">
        <v>125</v>
      </c>
      <c r="N322" s="175" t="s">
        <v>40</v>
      </c>
      <c r="O322" s="175" t="s">
        <v>42</v>
      </c>
      <c r="P322" s="177" t="s">
        <v>3566</v>
      </c>
      <c r="Q322" s="175" t="s">
        <v>49</v>
      </c>
      <c r="R322" s="175" t="s">
        <v>46</v>
      </c>
      <c r="S322" s="180"/>
      <c r="T322" s="177"/>
      <c r="U322" s="175"/>
      <c r="V322" s="175">
        <v>5.0</v>
      </c>
    </row>
    <row r="323" ht="43.5" customHeight="1">
      <c r="A323" s="175">
        <v>323.0</v>
      </c>
      <c r="B323" s="176">
        <v>46180.0</v>
      </c>
      <c r="C323" s="175" t="s">
        <v>21</v>
      </c>
      <c r="D323" s="175" t="s">
        <v>34</v>
      </c>
      <c r="E323" s="175" t="s">
        <v>27</v>
      </c>
      <c r="F323" s="178">
        <v>5.54598847E8</v>
      </c>
      <c r="G323" s="175" t="s">
        <v>27</v>
      </c>
      <c r="H323" s="175" t="s">
        <v>27</v>
      </c>
      <c r="I323" s="179" t="s">
        <v>298</v>
      </c>
      <c r="J323" s="177"/>
      <c r="K323" s="175" t="s">
        <v>36</v>
      </c>
      <c r="L323" s="180"/>
      <c r="M323" s="181" t="s">
        <v>51</v>
      </c>
      <c r="N323" s="175" t="s">
        <v>40</v>
      </c>
      <c r="O323" s="175" t="s">
        <v>42</v>
      </c>
      <c r="P323" s="177" t="s">
        <v>3566</v>
      </c>
      <c r="Q323" s="175" t="s">
        <v>49</v>
      </c>
      <c r="R323" s="175"/>
      <c r="S323" s="180"/>
      <c r="T323" s="177"/>
      <c r="U323" s="175"/>
      <c r="V323" s="175">
        <v>5.0</v>
      </c>
    </row>
    <row r="324">
      <c r="A324" s="175">
        <v>324.0</v>
      </c>
      <c r="B324" s="176">
        <v>46180.0</v>
      </c>
      <c r="C324" s="175" t="s">
        <v>21</v>
      </c>
      <c r="D324" s="175" t="s">
        <v>24</v>
      </c>
      <c r="E324" s="177" t="s">
        <v>5603</v>
      </c>
      <c r="F324" s="178">
        <v>5.44109438E8</v>
      </c>
      <c r="G324" s="177" t="s">
        <v>71</v>
      </c>
      <c r="H324" s="175" t="s">
        <v>27</v>
      </c>
      <c r="I324" s="179" t="s">
        <v>5606</v>
      </c>
      <c r="J324" s="177"/>
      <c r="K324" s="175" t="s">
        <v>36</v>
      </c>
      <c r="L324" s="180"/>
      <c r="M324" s="177" t="s">
        <v>38</v>
      </c>
      <c r="N324" s="175" t="s">
        <v>56</v>
      </c>
      <c r="O324" s="175" t="s">
        <v>42</v>
      </c>
      <c r="P324" s="177" t="s">
        <v>3566</v>
      </c>
      <c r="Q324" s="175" t="s">
        <v>44</v>
      </c>
      <c r="R324" s="175" t="s">
        <v>46</v>
      </c>
      <c r="S324" s="180"/>
      <c r="T324" s="177"/>
      <c r="U324" s="175"/>
      <c r="V324" s="175">
        <v>5.0</v>
      </c>
    </row>
    <row r="325">
      <c r="A325" s="175">
        <v>325.0</v>
      </c>
      <c r="B325" s="176">
        <v>46180.0</v>
      </c>
      <c r="C325" s="175" t="s">
        <v>21</v>
      </c>
      <c r="D325" s="175" t="s">
        <v>22</v>
      </c>
      <c r="E325" s="177" t="s">
        <v>5610</v>
      </c>
      <c r="F325" s="178">
        <v>5.60006133E8</v>
      </c>
      <c r="G325" s="177" t="s">
        <v>41</v>
      </c>
      <c r="H325" s="175" t="s">
        <v>27</v>
      </c>
      <c r="I325" s="179" t="s">
        <v>5612</v>
      </c>
      <c r="J325" s="177"/>
      <c r="K325" s="175" t="s">
        <v>36</v>
      </c>
      <c r="L325" s="180"/>
      <c r="M325" s="177" t="s">
        <v>38</v>
      </c>
      <c r="N325" s="175" t="s">
        <v>40</v>
      </c>
      <c r="O325" s="175" t="s">
        <v>42</v>
      </c>
      <c r="P325" s="177" t="s">
        <v>3566</v>
      </c>
      <c r="Q325" s="175" t="s">
        <v>44</v>
      </c>
      <c r="R325" s="175" t="s">
        <v>46</v>
      </c>
      <c r="S325" s="180"/>
      <c r="T325" s="177"/>
      <c r="U325" s="175"/>
      <c r="V325" s="175">
        <v>5.0</v>
      </c>
    </row>
    <row r="326" ht="48.75" customHeight="1">
      <c r="A326" s="175">
        <v>326.0</v>
      </c>
      <c r="B326" s="176">
        <v>46180.0</v>
      </c>
      <c r="C326" s="175" t="s">
        <v>21</v>
      </c>
      <c r="D326" s="175" t="s">
        <v>22</v>
      </c>
      <c r="E326" s="177" t="s">
        <v>5617</v>
      </c>
      <c r="F326" s="178">
        <v>5.6482875E8</v>
      </c>
      <c r="G326" s="177" t="s">
        <v>362</v>
      </c>
      <c r="H326" s="175" t="s">
        <v>27</v>
      </c>
      <c r="I326" s="179" t="s">
        <v>5618</v>
      </c>
      <c r="J326" s="177"/>
      <c r="K326" s="175" t="s">
        <v>36</v>
      </c>
      <c r="L326" s="180"/>
      <c r="M326" s="177" t="s">
        <v>38</v>
      </c>
      <c r="N326" s="175" t="s">
        <v>40</v>
      </c>
      <c r="O326" s="175" t="s">
        <v>42</v>
      </c>
      <c r="P326" s="177" t="s">
        <v>3566</v>
      </c>
      <c r="Q326" s="175" t="s">
        <v>44</v>
      </c>
      <c r="R326" s="175" t="s">
        <v>46</v>
      </c>
      <c r="S326" s="180"/>
      <c r="T326" s="177"/>
      <c r="U326" s="175"/>
      <c r="V326" s="175">
        <v>5.0</v>
      </c>
    </row>
    <row r="327">
      <c r="A327" s="175">
        <v>327.0</v>
      </c>
      <c r="B327" s="176">
        <v>46180.0</v>
      </c>
      <c r="C327" s="175" t="s">
        <v>21</v>
      </c>
      <c r="D327" s="175" t="s">
        <v>22</v>
      </c>
      <c r="E327" s="177" t="s">
        <v>5621</v>
      </c>
      <c r="F327" s="178">
        <v>5.53755557E8</v>
      </c>
      <c r="G327" s="177" t="s">
        <v>5622</v>
      </c>
      <c r="H327" s="175" t="s">
        <v>27</v>
      </c>
      <c r="I327" s="179" t="s">
        <v>5624</v>
      </c>
      <c r="J327" s="177"/>
      <c r="K327" s="175" t="s">
        <v>36</v>
      </c>
      <c r="L327" s="180"/>
      <c r="M327" s="177" t="s">
        <v>38</v>
      </c>
      <c r="N327" s="175" t="s">
        <v>40</v>
      </c>
      <c r="O327" s="175" t="s">
        <v>42</v>
      </c>
      <c r="P327" s="177" t="s">
        <v>3566</v>
      </c>
      <c r="Q327" s="175" t="s">
        <v>44</v>
      </c>
      <c r="R327" s="175" t="s">
        <v>46</v>
      </c>
      <c r="S327" s="180"/>
      <c r="T327" s="177"/>
      <c r="U327" s="175"/>
      <c r="V327" s="175">
        <v>5.0</v>
      </c>
    </row>
    <row r="328">
      <c r="A328" s="175">
        <v>328.0</v>
      </c>
      <c r="B328" s="176">
        <v>46180.0</v>
      </c>
      <c r="C328" s="175" t="s">
        <v>21</v>
      </c>
      <c r="D328" s="175" t="s">
        <v>24</v>
      </c>
      <c r="E328" s="177" t="s">
        <v>5480</v>
      </c>
      <c r="F328" s="178">
        <v>5.0688221E8</v>
      </c>
      <c r="G328" s="177" t="s">
        <v>318</v>
      </c>
      <c r="H328" s="175" t="s">
        <v>27</v>
      </c>
      <c r="I328" s="179" t="s">
        <v>5625</v>
      </c>
      <c r="J328" s="177"/>
      <c r="K328" s="175" t="s">
        <v>36</v>
      </c>
      <c r="L328" s="180"/>
      <c r="M328" s="177" t="s">
        <v>38</v>
      </c>
      <c r="N328" s="175" t="s">
        <v>56</v>
      </c>
      <c r="O328" s="175" t="s">
        <v>42</v>
      </c>
      <c r="P328" s="177" t="s">
        <v>3566</v>
      </c>
      <c r="Q328" s="175" t="s">
        <v>44</v>
      </c>
      <c r="R328" s="175" t="s">
        <v>46</v>
      </c>
      <c r="S328" s="180"/>
      <c r="T328" s="177"/>
      <c r="U328" s="175"/>
      <c r="V328" s="175">
        <v>5.0</v>
      </c>
    </row>
    <row r="329">
      <c r="A329" s="175">
        <v>329.0</v>
      </c>
      <c r="B329" s="176">
        <v>46181.0</v>
      </c>
      <c r="C329" s="175" t="s">
        <v>58</v>
      </c>
      <c r="D329" s="175" t="s">
        <v>60</v>
      </c>
      <c r="E329" s="175" t="s">
        <v>27</v>
      </c>
      <c r="F329" s="178">
        <v>5.10305405E8</v>
      </c>
      <c r="G329" s="175" t="s">
        <v>27</v>
      </c>
      <c r="H329" s="175" t="s">
        <v>27</v>
      </c>
      <c r="I329" s="197" t="s">
        <v>484</v>
      </c>
      <c r="J329" s="177"/>
      <c r="K329" s="175" t="s">
        <v>36</v>
      </c>
      <c r="L329" s="180"/>
      <c r="M329" s="181" t="s">
        <v>88</v>
      </c>
      <c r="N329" s="175" t="s">
        <v>40</v>
      </c>
      <c r="O329" s="175" t="s">
        <v>42</v>
      </c>
      <c r="P329" s="177" t="s">
        <v>3566</v>
      </c>
      <c r="Q329" s="175" t="s">
        <v>44</v>
      </c>
      <c r="R329" s="175"/>
      <c r="S329" s="180"/>
      <c r="T329" s="177"/>
      <c r="U329" s="175"/>
      <c r="V329" s="175">
        <v>5.0</v>
      </c>
    </row>
    <row r="330">
      <c r="A330" s="175">
        <v>330.0</v>
      </c>
      <c r="B330" s="176">
        <v>46181.0</v>
      </c>
      <c r="C330" s="175" t="s">
        <v>21</v>
      </c>
      <c r="D330" s="175" t="s">
        <v>66</v>
      </c>
      <c r="E330" s="177" t="s">
        <v>5635</v>
      </c>
      <c r="F330" s="178">
        <v>5.47045088E8</v>
      </c>
      <c r="G330" s="177"/>
      <c r="H330" s="175" t="s">
        <v>27</v>
      </c>
      <c r="I330" s="179" t="s">
        <v>5638</v>
      </c>
      <c r="J330" s="177" t="s">
        <v>1195</v>
      </c>
      <c r="K330" s="175" t="s">
        <v>62</v>
      </c>
      <c r="L330" s="180"/>
      <c r="M330" s="181" t="s">
        <v>208</v>
      </c>
      <c r="N330" s="175" t="s">
        <v>40</v>
      </c>
      <c r="O330" s="175" t="s">
        <v>42</v>
      </c>
      <c r="P330" s="177" t="s">
        <v>3566</v>
      </c>
      <c r="Q330" s="175" t="s">
        <v>44</v>
      </c>
      <c r="R330" s="175"/>
      <c r="S330" s="180"/>
      <c r="T330" s="177"/>
      <c r="U330" s="175"/>
      <c r="V330" s="175">
        <v>5.0</v>
      </c>
    </row>
    <row r="331">
      <c r="A331" s="175">
        <v>331.0</v>
      </c>
      <c r="B331" s="176">
        <v>46181.0</v>
      </c>
      <c r="C331" s="175" t="s">
        <v>21</v>
      </c>
      <c r="D331" s="175" t="s">
        <v>24</v>
      </c>
      <c r="E331" s="177" t="s">
        <v>5643</v>
      </c>
      <c r="F331" s="178">
        <v>5.62509563E8</v>
      </c>
      <c r="G331" s="177" t="s">
        <v>41</v>
      </c>
      <c r="H331" s="175" t="s">
        <v>27</v>
      </c>
      <c r="I331" s="197" t="s">
        <v>5645</v>
      </c>
      <c r="J331" s="177"/>
      <c r="K331" s="175" t="s">
        <v>62</v>
      </c>
      <c r="L331" s="180"/>
      <c r="M331" s="177" t="s">
        <v>38</v>
      </c>
      <c r="N331" s="175" t="s">
        <v>56</v>
      </c>
      <c r="O331" s="175" t="s">
        <v>42</v>
      </c>
      <c r="P331" s="177" t="s">
        <v>3566</v>
      </c>
      <c r="Q331" s="175" t="s">
        <v>44</v>
      </c>
      <c r="R331" s="175" t="s">
        <v>46</v>
      </c>
      <c r="S331" s="180"/>
      <c r="T331" s="177"/>
      <c r="U331" s="175"/>
      <c r="V331" s="175">
        <v>5.0</v>
      </c>
    </row>
    <row r="332">
      <c r="A332" s="175">
        <v>332.0</v>
      </c>
      <c r="B332" s="176">
        <v>46181.0</v>
      </c>
      <c r="C332" s="175" t="s">
        <v>47</v>
      </c>
      <c r="D332" s="175" t="s">
        <v>138</v>
      </c>
      <c r="E332" s="178" t="s">
        <v>5650</v>
      </c>
      <c r="F332" s="178" t="s">
        <v>27</v>
      </c>
      <c r="G332" s="177" t="s">
        <v>4985</v>
      </c>
      <c r="H332" s="175" t="s">
        <v>638</v>
      </c>
      <c r="I332" s="179" t="s">
        <v>5652</v>
      </c>
      <c r="J332" s="177" t="s">
        <v>5654</v>
      </c>
      <c r="K332" s="175" t="s">
        <v>78</v>
      </c>
      <c r="L332" s="180"/>
      <c r="M332" s="177" t="s">
        <v>713</v>
      </c>
      <c r="N332" s="175" t="s">
        <v>40</v>
      </c>
      <c r="O332" s="175" t="s">
        <v>518</v>
      </c>
      <c r="P332" s="177" t="s">
        <v>3566</v>
      </c>
      <c r="Q332" s="175" t="s">
        <v>49</v>
      </c>
      <c r="R332" s="175" t="s">
        <v>46</v>
      </c>
      <c r="S332" s="180"/>
      <c r="T332" s="177"/>
      <c r="U332" s="175"/>
      <c r="V332" s="175">
        <v>5.0</v>
      </c>
    </row>
    <row r="333">
      <c r="A333" s="175">
        <v>333.0</v>
      </c>
      <c r="B333" s="176">
        <v>46181.0</v>
      </c>
      <c r="C333" s="175" t="s">
        <v>47</v>
      </c>
      <c r="D333" s="175" t="s">
        <v>48</v>
      </c>
      <c r="E333" s="348" t="s">
        <v>5658</v>
      </c>
      <c r="F333" s="178" t="s">
        <v>27</v>
      </c>
      <c r="G333" s="177" t="s">
        <v>874</v>
      </c>
      <c r="H333" s="200" t="s">
        <v>876</v>
      </c>
      <c r="I333" s="179" t="s">
        <v>5660</v>
      </c>
      <c r="J333" s="27" t="s">
        <v>5661</v>
      </c>
      <c r="K333" s="175" t="s">
        <v>78</v>
      </c>
      <c r="L333" s="180"/>
      <c r="M333" s="177" t="s">
        <v>1205</v>
      </c>
      <c r="N333" s="175" t="s">
        <v>56</v>
      </c>
      <c r="O333" s="175" t="s">
        <v>301</v>
      </c>
      <c r="P333" s="177" t="s">
        <v>3566</v>
      </c>
      <c r="Q333" s="175" t="s">
        <v>49</v>
      </c>
      <c r="R333" s="175" t="s">
        <v>46</v>
      </c>
      <c r="S333" s="180"/>
      <c r="T333" s="177"/>
      <c r="U333" s="175"/>
      <c r="V333" s="175">
        <v>5.0</v>
      </c>
    </row>
    <row r="334">
      <c r="A334" s="175">
        <v>334.0</v>
      </c>
      <c r="B334" s="176">
        <v>46181.0</v>
      </c>
      <c r="C334" s="175" t="s">
        <v>47</v>
      </c>
      <c r="D334" s="175" t="s">
        <v>48</v>
      </c>
      <c r="E334" s="178" t="s">
        <v>5665</v>
      </c>
      <c r="F334" s="178" t="s">
        <v>27</v>
      </c>
      <c r="G334" s="177" t="s">
        <v>79</v>
      </c>
      <c r="H334" s="175" t="s">
        <v>80</v>
      </c>
      <c r="I334" s="179" t="s">
        <v>5666</v>
      </c>
      <c r="J334" s="177"/>
      <c r="K334" s="175" t="s">
        <v>78</v>
      </c>
      <c r="L334" s="180"/>
      <c r="M334" s="177" t="s">
        <v>101</v>
      </c>
      <c r="N334" s="175" t="s">
        <v>40</v>
      </c>
      <c r="O334" s="175" t="s">
        <v>518</v>
      </c>
      <c r="P334" s="177" t="s">
        <v>3765</v>
      </c>
      <c r="Q334" s="175" t="s">
        <v>49</v>
      </c>
      <c r="R334" s="175" t="s">
        <v>46</v>
      </c>
      <c r="S334" s="180"/>
      <c r="T334" s="177"/>
      <c r="U334" s="175"/>
      <c r="V334" s="175">
        <v>5.0</v>
      </c>
    </row>
    <row r="335">
      <c r="A335" s="175">
        <v>335.0</v>
      </c>
      <c r="B335" s="176">
        <v>46181.0</v>
      </c>
      <c r="C335" s="175" t="s">
        <v>47</v>
      </c>
      <c r="D335" s="175" t="s">
        <v>48</v>
      </c>
      <c r="E335" s="348" t="s">
        <v>5672</v>
      </c>
      <c r="F335" s="178" t="s">
        <v>27</v>
      </c>
      <c r="G335" s="177" t="s">
        <v>28</v>
      </c>
      <c r="H335" s="200" t="s">
        <v>830</v>
      </c>
      <c r="I335" s="179" t="s">
        <v>5673</v>
      </c>
      <c r="J335" s="27" t="s">
        <v>5674</v>
      </c>
      <c r="K335" s="175" t="s">
        <v>78</v>
      </c>
      <c r="L335" s="180"/>
      <c r="M335" s="177" t="s">
        <v>101</v>
      </c>
      <c r="N335" s="175" t="s">
        <v>56</v>
      </c>
      <c r="O335" s="175" t="s">
        <v>518</v>
      </c>
      <c r="P335" s="177" t="s">
        <v>3765</v>
      </c>
      <c r="Q335" s="175" t="s">
        <v>49</v>
      </c>
      <c r="R335" s="175" t="s">
        <v>46</v>
      </c>
      <c r="S335" s="180"/>
      <c r="T335" s="177"/>
      <c r="U335" s="175"/>
      <c r="V335" s="175">
        <v>5.0</v>
      </c>
    </row>
    <row r="336">
      <c r="A336" s="175">
        <v>336.0</v>
      </c>
      <c r="B336" s="176">
        <v>46181.0</v>
      </c>
      <c r="C336" s="175" t="s">
        <v>47</v>
      </c>
      <c r="D336" s="175" t="s">
        <v>57</v>
      </c>
      <c r="E336" s="349" t="s">
        <v>5680</v>
      </c>
      <c r="F336" s="349" t="s">
        <v>27</v>
      </c>
      <c r="G336" s="177" t="s">
        <v>319</v>
      </c>
      <c r="H336" s="200" t="s">
        <v>3826</v>
      </c>
      <c r="I336" s="179" t="s">
        <v>5682</v>
      </c>
      <c r="J336" s="177"/>
      <c r="K336" s="175" t="s">
        <v>78</v>
      </c>
      <c r="L336" s="180"/>
      <c r="M336" s="177" t="s">
        <v>55</v>
      </c>
      <c r="N336" s="175" t="s">
        <v>40</v>
      </c>
      <c r="O336" s="175" t="s">
        <v>518</v>
      </c>
      <c r="P336" s="177" t="s">
        <v>3566</v>
      </c>
      <c r="Q336" s="175" t="s">
        <v>49</v>
      </c>
      <c r="R336" s="175"/>
      <c r="S336" s="180"/>
      <c r="T336" s="177"/>
      <c r="U336" s="175"/>
      <c r="V336" s="175">
        <v>5.0</v>
      </c>
    </row>
    <row r="337">
      <c r="A337" s="175">
        <v>337.0</v>
      </c>
      <c r="B337" s="176">
        <v>46181.0</v>
      </c>
      <c r="C337" s="175" t="s">
        <v>47</v>
      </c>
      <c r="D337" s="175" t="s">
        <v>48</v>
      </c>
      <c r="E337" s="178" t="s">
        <v>5685</v>
      </c>
      <c r="F337" s="178" t="s">
        <v>27</v>
      </c>
      <c r="G337" s="177" t="s">
        <v>28</v>
      </c>
      <c r="H337" s="175" t="s">
        <v>548</v>
      </c>
      <c r="I337" s="179" t="s">
        <v>5686</v>
      </c>
      <c r="J337" s="27" t="s">
        <v>5687</v>
      </c>
      <c r="K337" s="175" t="s">
        <v>78</v>
      </c>
      <c r="L337" s="180"/>
      <c r="M337" s="177" t="s">
        <v>101</v>
      </c>
      <c r="N337" s="175" t="s">
        <v>56</v>
      </c>
      <c r="O337" s="175" t="s">
        <v>518</v>
      </c>
      <c r="P337" s="177" t="s">
        <v>3765</v>
      </c>
      <c r="Q337" s="175" t="s">
        <v>49</v>
      </c>
      <c r="R337" s="175" t="s">
        <v>46</v>
      </c>
      <c r="S337" s="180"/>
      <c r="T337" s="177"/>
      <c r="U337" s="175"/>
      <c r="V337" s="175">
        <v>5.0</v>
      </c>
    </row>
    <row r="338">
      <c r="A338" s="175">
        <v>338.0</v>
      </c>
      <c r="B338" s="176">
        <v>46181.0</v>
      </c>
      <c r="C338" s="175" t="s">
        <v>47</v>
      </c>
      <c r="D338" s="175" t="s">
        <v>48</v>
      </c>
      <c r="E338" s="348" t="s">
        <v>5692</v>
      </c>
      <c r="F338" s="178" t="s">
        <v>27</v>
      </c>
      <c r="G338" s="177" t="s">
        <v>79</v>
      </c>
      <c r="H338" s="175" t="s">
        <v>142</v>
      </c>
      <c r="I338" s="179" t="s">
        <v>5693</v>
      </c>
      <c r="J338" s="27" t="s">
        <v>5694</v>
      </c>
      <c r="K338" s="175" t="s">
        <v>78</v>
      </c>
      <c r="L338" s="180"/>
      <c r="M338" s="177" t="s">
        <v>101</v>
      </c>
      <c r="N338" s="175" t="s">
        <v>56</v>
      </c>
      <c r="O338" s="175" t="s">
        <v>518</v>
      </c>
      <c r="P338" s="177" t="s">
        <v>3765</v>
      </c>
      <c r="Q338" s="175" t="s">
        <v>49</v>
      </c>
      <c r="R338" s="175" t="s">
        <v>46</v>
      </c>
      <c r="S338" s="180"/>
      <c r="T338" s="177"/>
      <c r="U338" s="175"/>
      <c r="V338" s="175">
        <v>5.0</v>
      </c>
    </row>
    <row r="339">
      <c r="A339" s="175">
        <v>339.0</v>
      </c>
      <c r="B339" s="176">
        <v>46181.0</v>
      </c>
      <c r="C339" s="175" t="s">
        <v>47</v>
      </c>
      <c r="D339" s="175" t="s">
        <v>57</v>
      </c>
      <c r="E339" s="348" t="s">
        <v>5697</v>
      </c>
      <c r="F339" s="349" t="s">
        <v>27</v>
      </c>
      <c r="G339" s="177" t="s">
        <v>319</v>
      </c>
      <c r="H339" s="200" t="s">
        <v>3826</v>
      </c>
      <c r="I339" s="179" t="s">
        <v>5699</v>
      </c>
      <c r="J339" s="177"/>
      <c r="K339" s="175" t="s">
        <v>78</v>
      </c>
      <c r="L339" s="180"/>
      <c r="M339" s="177" t="s">
        <v>55</v>
      </c>
      <c r="N339" s="175" t="s">
        <v>40</v>
      </c>
      <c r="O339" s="175" t="s">
        <v>518</v>
      </c>
      <c r="P339" s="177" t="s">
        <v>3566</v>
      </c>
      <c r="Q339" s="175" t="s">
        <v>49</v>
      </c>
      <c r="R339" s="175"/>
      <c r="S339" s="180"/>
      <c r="T339" s="177"/>
      <c r="U339" s="175"/>
      <c r="V339" s="175">
        <v>5.0</v>
      </c>
    </row>
    <row r="340">
      <c r="A340" s="175">
        <v>340.0</v>
      </c>
      <c r="B340" s="176">
        <v>46181.0</v>
      </c>
      <c r="C340" s="175" t="s">
        <v>47</v>
      </c>
      <c r="D340" s="175" t="s">
        <v>92</v>
      </c>
      <c r="E340" s="178" t="s">
        <v>5704</v>
      </c>
      <c r="F340" s="178" t="s">
        <v>27</v>
      </c>
      <c r="G340" s="177" t="s">
        <v>71</v>
      </c>
      <c r="H340" s="175" t="s">
        <v>1801</v>
      </c>
      <c r="I340" s="179" t="s">
        <v>5705</v>
      </c>
      <c r="J340" s="177"/>
      <c r="K340" s="175" t="s">
        <v>78</v>
      </c>
      <c r="L340" s="180"/>
      <c r="M340" s="27" t="s">
        <v>953</v>
      </c>
      <c r="N340" s="175" t="s">
        <v>40</v>
      </c>
      <c r="O340" s="175" t="s">
        <v>518</v>
      </c>
      <c r="P340" s="177" t="s">
        <v>3765</v>
      </c>
      <c r="Q340" s="175" t="s">
        <v>49</v>
      </c>
      <c r="R340" s="175" t="s">
        <v>46</v>
      </c>
      <c r="S340" s="180"/>
      <c r="T340" s="177"/>
      <c r="U340" s="175"/>
      <c r="V340" s="175"/>
    </row>
    <row r="341">
      <c r="A341" s="175">
        <v>341.0</v>
      </c>
      <c r="B341" s="176">
        <v>46181.0</v>
      </c>
      <c r="C341" s="175" t="s">
        <v>47</v>
      </c>
      <c r="D341" s="175" t="s">
        <v>57</v>
      </c>
      <c r="E341" s="349" t="s">
        <v>5708</v>
      </c>
      <c r="F341" s="349" t="s">
        <v>27</v>
      </c>
      <c r="G341" s="177" t="s">
        <v>319</v>
      </c>
      <c r="H341" s="200" t="s">
        <v>3826</v>
      </c>
      <c r="I341" s="179" t="s">
        <v>5710</v>
      </c>
      <c r="J341" s="177"/>
      <c r="K341" s="175" t="s">
        <v>78</v>
      </c>
      <c r="L341" s="180"/>
      <c r="M341" s="177" t="s">
        <v>55</v>
      </c>
      <c r="N341" s="175" t="s">
        <v>40</v>
      </c>
      <c r="O341" s="175" t="s">
        <v>518</v>
      </c>
      <c r="P341" s="177" t="s">
        <v>3566</v>
      </c>
      <c r="Q341" s="175" t="s">
        <v>49</v>
      </c>
      <c r="R341" s="175"/>
      <c r="S341" s="180"/>
      <c r="T341" s="177"/>
      <c r="U341" s="175"/>
      <c r="V341" s="175"/>
    </row>
    <row r="342">
      <c r="A342" s="175">
        <v>342.0</v>
      </c>
      <c r="B342" s="176">
        <v>46181.0</v>
      </c>
      <c r="C342" s="175" t="s">
        <v>47</v>
      </c>
      <c r="D342" s="175" t="s">
        <v>57</v>
      </c>
      <c r="E342" s="348" t="s">
        <v>5186</v>
      </c>
      <c r="F342" s="349" t="s">
        <v>27</v>
      </c>
      <c r="G342" s="177" t="s">
        <v>319</v>
      </c>
      <c r="H342" s="200" t="s">
        <v>3826</v>
      </c>
      <c r="I342" s="179" t="s">
        <v>5714</v>
      </c>
      <c r="J342" s="177"/>
      <c r="K342" s="175" t="s">
        <v>78</v>
      </c>
      <c r="L342" s="180"/>
      <c r="M342" s="177" t="s">
        <v>55</v>
      </c>
      <c r="N342" s="175" t="s">
        <v>40</v>
      </c>
      <c r="O342" s="175" t="s">
        <v>518</v>
      </c>
      <c r="P342" s="177" t="s">
        <v>3566</v>
      </c>
      <c r="Q342" s="175" t="s">
        <v>49</v>
      </c>
      <c r="R342" s="175"/>
      <c r="S342" s="180"/>
      <c r="T342" s="177"/>
      <c r="U342" s="175"/>
      <c r="V342" s="175"/>
    </row>
    <row r="343">
      <c r="A343" s="175">
        <v>343.0</v>
      </c>
      <c r="B343" s="176">
        <v>46181.0</v>
      </c>
      <c r="C343" s="175" t="s">
        <v>47</v>
      </c>
      <c r="D343" s="175" t="s">
        <v>57</v>
      </c>
      <c r="E343" s="178" t="s">
        <v>5718</v>
      </c>
      <c r="F343" s="349" t="s">
        <v>27</v>
      </c>
      <c r="G343" s="177" t="s">
        <v>319</v>
      </c>
      <c r="H343" s="200" t="s">
        <v>3826</v>
      </c>
      <c r="I343" s="179" t="s">
        <v>5720</v>
      </c>
      <c r="J343" s="177"/>
      <c r="K343" s="175" t="s">
        <v>78</v>
      </c>
      <c r="L343" s="180"/>
      <c r="M343" s="177" t="s">
        <v>55</v>
      </c>
      <c r="N343" s="175" t="s">
        <v>40</v>
      </c>
      <c r="O343" s="175" t="s">
        <v>518</v>
      </c>
      <c r="P343" s="177" t="s">
        <v>3566</v>
      </c>
      <c r="Q343" s="175" t="s">
        <v>49</v>
      </c>
      <c r="R343" s="175"/>
      <c r="S343" s="180"/>
      <c r="T343" s="177"/>
      <c r="U343" s="175"/>
      <c r="V343" s="175"/>
    </row>
    <row r="344">
      <c r="A344" s="175">
        <v>344.0</v>
      </c>
      <c r="B344" s="176">
        <v>46181.0</v>
      </c>
      <c r="C344" s="175" t="s">
        <v>47</v>
      </c>
      <c r="D344" s="175" t="s">
        <v>57</v>
      </c>
      <c r="E344" s="349" t="s">
        <v>5724</v>
      </c>
      <c r="F344" s="349" t="s">
        <v>27</v>
      </c>
      <c r="G344" s="177" t="s">
        <v>319</v>
      </c>
      <c r="H344" s="200" t="s">
        <v>3826</v>
      </c>
      <c r="I344" s="179" t="s">
        <v>5725</v>
      </c>
      <c r="J344" s="177"/>
      <c r="K344" s="175" t="s">
        <v>78</v>
      </c>
      <c r="L344" s="180"/>
      <c r="M344" s="177" t="s">
        <v>55</v>
      </c>
      <c r="N344" s="175" t="s">
        <v>40</v>
      </c>
      <c r="O344" s="175" t="s">
        <v>42</v>
      </c>
      <c r="P344" s="177" t="s">
        <v>3566</v>
      </c>
      <c r="Q344" s="175" t="s">
        <v>49</v>
      </c>
      <c r="R344" s="175"/>
      <c r="S344" s="180"/>
      <c r="T344" s="177"/>
      <c r="U344" s="175"/>
      <c r="V344" s="175"/>
    </row>
    <row r="345">
      <c r="A345" s="175">
        <v>345.0</v>
      </c>
      <c r="B345" s="176">
        <v>46181.0</v>
      </c>
      <c r="C345" s="175" t="s">
        <v>47</v>
      </c>
      <c r="D345" s="175" t="s">
        <v>367</v>
      </c>
      <c r="E345" s="177" t="s">
        <v>5731</v>
      </c>
      <c r="F345" s="178" t="s">
        <v>27</v>
      </c>
      <c r="G345" s="177" t="s">
        <v>71</v>
      </c>
      <c r="H345" s="175" t="s">
        <v>72</v>
      </c>
      <c r="I345" s="353" t="s">
        <v>5732</v>
      </c>
      <c r="J345" s="27" t="s">
        <v>5734</v>
      </c>
      <c r="K345" s="175" t="s">
        <v>78</v>
      </c>
      <c r="L345" s="180"/>
      <c r="M345" s="177" t="s">
        <v>98</v>
      </c>
      <c r="N345" s="175" t="s">
        <v>56</v>
      </c>
      <c r="O345" s="175" t="s">
        <v>3811</v>
      </c>
      <c r="P345" s="177" t="s">
        <v>3566</v>
      </c>
      <c r="Q345" s="175" t="s">
        <v>49</v>
      </c>
      <c r="R345" s="175" t="s">
        <v>46</v>
      </c>
      <c r="S345" s="180"/>
      <c r="T345" s="177"/>
      <c r="U345" s="175"/>
      <c r="V345" s="175"/>
    </row>
    <row r="346">
      <c r="A346" s="175">
        <v>346.0</v>
      </c>
      <c r="B346" s="176">
        <v>46181.0</v>
      </c>
      <c r="C346" s="175" t="s">
        <v>21</v>
      </c>
      <c r="D346" s="175" t="s">
        <v>22</v>
      </c>
      <c r="E346" s="177" t="s">
        <v>276</v>
      </c>
      <c r="F346" s="178">
        <v>5.90568667E8</v>
      </c>
      <c r="G346" s="177" t="s">
        <v>28</v>
      </c>
      <c r="H346" s="175" t="s">
        <v>27</v>
      </c>
      <c r="I346" s="179" t="s">
        <v>5736</v>
      </c>
      <c r="J346" s="177"/>
      <c r="K346" s="175" t="s">
        <v>36</v>
      </c>
      <c r="L346" s="180"/>
      <c r="M346" s="177" t="s">
        <v>38</v>
      </c>
      <c r="N346" s="175" t="s">
        <v>40</v>
      </c>
      <c r="O346" s="175" t="s">
        <v>42</v>
      </c>
      <c r="P346" s="177" t="s">
        <v>3566</v>
      </c>
      <c r="Q346" s="175" t="s">
        <v>44</v>
      </c>
      <c r="R346" s="175" t="s">
        <v>46</v>
      </c>
      <c r="S346" s="180"/>
      <c r="T346" s="177"/>
      <c r="U346" s="175"/>
      <c r="V346" s="175">
        <v>5.0</v>
      </c>
    </row>
    <row r="347">
      <c r="A347" s="175">
        <v>347.0</v>
      </c>
      <c r="B347" s="176">
        <v>46181.0</v>
      </c>
      <c r="C347" s="175" t="s">
        <v>21</v>
      </c>
      <c r="D347" s="175" t="s">
        <v>24</v>
      </c>
      <c r="E347" s="177" t="s">
        <v>5741</v>
      </c>
      <c r="F347" s="178">
        <v>5.0413152E8</v>
      </c>
      <c r="G347" s="175" t="s">
        <v>27</v>
      </c>
      <c r="H347" s="175" t="s">
        <v>27</v>
      </c>
      <c r="I347" s="179" t="s">
        <v>5742</v>
      </c>
      <c r="J347" s="177"/>
      <c r="K347" s="175" t="s">
        <v>36</v>
      </c>
      <c r="L347" s="180"/>
      <c r="M347" s="177" t="s">
        <v>38</v>
      </c>
      <c r="N347" s="175" t="s">
        <v>56</v>
      </c>
      <c r="O347" s="175" t="s">
        <v>42</v>
      </c>
      <c r="P347" s="177" t="s">
        <v>3566</v>
      </c>
      <c r="Q347" s="175" t="s">
        <v>49</v>
      </c>
      <c r="R347" s="175" t="s">
        <v>46</v>
      </c>
      <c r="S347" s="180"/>
      <c r="T347" s="177"/>
      <c r="U347" s="175"/>
      <c r="V347" s="175">
        <v>5.0</v>
      </c>
    </row>
    <row r="348" ht="24.75" customHeight="1">
      <c r="A348" s="175">
        <v>348.0</v>
      </c>
      <c r="B348" s="176">
        <v>46181.0</v>
      </c>
      <c r="C348" s="175" t="s">
        <v>47</v>
      </c>
      <c r="D348" s="175" t="s">
        <v>48</v>
      </c>
      <c r="E348" s="177" t="s">
        <v>5745</v>
      </c>
      <c r="F348" s="178" t="s">
        <v>27</v>
      </c>
      <c r="G348" s="177" t="s">
        <v>41</v>
      </c>
      <c r="H348" s="175" t="s">
        <v>222</v>
      </c>
      <c r="I348" s="179" t="s">
        <v>5746</v>
      </c>
      <c r="J348" s="27" t="s">
        <v>5749</v>
      </c>
      <c r="K348" s="175" t="s">
        <v>78</v>
      </c>
      <c r="L348" s="180"/>
      <c r="M348" s="177" t="s">
        <v>101</v>
      </c>
      <c r="N348" s="175" t="s">
        <v>56</v>
      </c>
      <c r="O348" s="175" t="s">
        <v>518</v>
      </c>
      <c r="P348" s="177" t="s">
        <v>3765</v>
      </c>
      <c r="Q348" s="175" t="s">
        <v>49</v>
      </c>
      <c r="R348" s="175" t="s">
        <v>46</v>
      </c>
      <c r="S348" s="180"/>
      <c r="T348" s="177"/>
      <c r="U348" s="175"/>
      <c r="V348" s="175">
        <v>5.0</v>
      </c>
    </row>
    <row r="349" ht="29.25" customHeight="1">
      <c r="A349" s="175">
        <v>349.0</v>
      </c>
      <c r="B349" s="176">
        <v>46181.0</v>
      </c>
      <c r="C349" s="175" t="s">
        <v>58</v>
      </c>
      <c r="D349" s="175" t="s">
        <v>92</v>
      </c>
      <c r="E349" s="177" t="s">
        <v>5752</v>
      </c>
      <c r="F349" s="178" t="s">
        <v>27</v>
      </c>
      <c r="G349" s="177" t="s">
        <v>71</v>
      </c>
      <c r="H349" s="175" t="s">
        <v>1906</v>
      </c>
      <c r="I349" s="179" t="s">
        <v>5753</v>
      </c>
      <c r="J349" s="177"/>
      <c r="K349" s="175" t="s">
        <v>78</v>
      </c>
      <c r="L349" s="180"/>
      <c r="M349" s="177" t="s">
        <v>4703</v>
      </c>
      <c r="N349" s="175" t="s">
        <v>40</v>
      </c>
      <c r="O349" s="175" t="s">
        <v>42</v>
      </c>
      <c r="P349" s="177" t="s">
        <v>3566</v>
      </c>
      <c r="Q349" s="175" t="s">
        <v>49</v>
      </c>
      <c r="R349" s="175"/>
      <c r="S349" s="180"/>
      <c r="T349" s="177"/>
      <c r="U349" s="175"/>
      <c r="V349" s="175">
        <v>5.0</v>
      </c>
    </row>
    <row r="350">
      <c r="A350" s="175">
        <v>350.0</v>
      </c>
      <c r="B350" s="176">
        <v>46181.0</v>
      </c>
      <c r="C350" s="175" t="s">
        <v>47</v>
      </c>
      <c r="D350" s="175" t="s">
        <v>138</v>
      </c>
      <c r="E350" s="175" t="s">
        <v>5756</v>
      </c>
      <c r="F350" s="178"/>
      <c r="G350" s="177" t="s">
        <v>41</v>
      </c>
      <c r="H350" s="175" t="s">
        <v>253</v>
      </c>
      <c r="I350" s="179" t="s">
        <v>5757</v>
      </c>
      <c r="J350" s="177" t="s">
        <v>5758</v>
      </c>
      <c r="K350" s="175" t="s">
        <v>78</v>
      </c>
      <c r="L350" s="180"/>
      <c r="M350" s="184" t="s">
        <v>183</v>
      </c>
      <c r="N350" s="175" t="s">
        <v>56</v>
      </c>
      <c r="O350" s="175" t="s">
        <v>518</v>
      </c>
      <c r="P350" s="177" t="s">
        <v>3566</v>
      </c>
      <c r="Q350" s="175" t="s">
        <v>49</v>
      </c>
      <c r="R350" s="175" t="s">
        <v>46</v>
      </c>
      <c r="S350" s="180"/>
      <c r="T350" s="177"/>
      <c r="U350" s="175"/>
      <c r="V350" s="175">
        <v>5.0</v>
      </c>
    </row>
    <row r="351">
      <c r="A351" s="175">
        <v>351.0</v>
      </c>
      <c r="B351" s="176">
        <v>46181.0</v>
      </c>
      <c r="C351" s="175" t="s">
        <v>58</v>
      </c>
      <c r="D351" s="175" t="s">
        <v>60</v>
      </c>
      <c r="E351" s="175" t="s">
        <v>27</v>
      </c>
      <c r="F351" s="178">
        <v>5.49070211E8</v>
      </c>
      <c r="G351" s="175" t="s">
        <v>27</v>
      </c>
      <c r="H351" s="175" t="s">
        <v>27</v>
      </c>
      <c r="I351" s="179" t="s">
        <v>554</v>
      </c>
      <c r="J351" s="177"/>
      <c r="K351" s="175" t="s">
        <v>36</v>
      </c>
      <c r="L351" s="180"/>
      <c r="M351" s="181" t="s">
        <v>88</v>
      </c>
      <c r="N351" s="175" t="s">
        <v>40</v>
      </c>
      <c r="O351" s="175" t="s">
        <v>42</v>
      </c>
      <c r="P351" s="177" t="s">
        <v>3566</v>
      </c>
      <c r="Q351" s="175" t="s">
        <v>49</v>
      </c>
      <c r="R351" s="175"/>
      <c r="S351" s="180"/>
      <c r="T351" s="177"/>
      <c r="U351" s="175"/>
      <c r="V351" s="175">
        <v>5.0</v>
      </c>
    </row>
    <row r="352">
      <c r="A352" s="175">
        <v>352.0</v>
      </c>
      <c r="B352" s="176">
        <v>46181.0</v>
      </c>
      <c r="C352" s="175" t="s">
        <v>47</v>
      </c>
      <c r="D352" s="175" t="s">
        <v>92</v>
      </c>
      <c r="E352" s="348" t="s">
        <v>5763</v>
      </c>
      <c r="F352" s="178" t="s">
        <v>27</v>
      </c>
      <c r="G352" s="177" t="s">
        <v>71</v>
      </c>
      <c r="H352" s="175" t="s">
        <v>1801</v>
      </c>
      <c r="I352" s="179" t="s">
        <v>5765</v>
      </c>
      <c r="J352" s="177"/>
      <c r="K352" s="175" t="s">
        <v>148</v>
      </c>
      <c r="L352" s="180"/>
      <c r="M352" s="27" t="s">
        <v>953</v>
      </c>
      <c r="N352" s="175" t="s">
        <v>40</v>
      </c>
      <c r="O352" s="175" t="s">
        <v>518</v>
      </c>
      <c r="P352" s="177" t="s">
        <v>3765</v>
      </c>
      <c r="Q352" s="175" t="s">
        <v>49</v>
      </c>
      <c r="R352" s="175" t="s">
        <v>46</v>
      </c>
      <c r="S352" s="180"/>
      <c r="T352" s="177"/>
      <c r="U352" s="175"/>
      <c r="V352" s="175">
        <v>5.0</v>
      </c>
    </row>
    <row r="353">
      <c r="A353" s="175">
        <v>353.0</v>
      </c>
      <c r="B353" s="176">
        <v>46181.0</v>
      </c>
      <c r="C353" s="175" t="s">
        <v>3766</v>
      </c>
      <c r="D353" s="175" t="s">
        <v>60</v>
      </c>
      <c r="E353" s="177" t="s">
        <v>5768</v>
      </c>
      <c r="F353" s="178" t="s">
        <v>27</v>
      </c>
      <c r="G353" s="177" t="s">
        <v>41</v>
      </c>
      <c r="H353" s="175" t="s">
        <v>253</v>
      </c>
      <c r="I353" s="179" t="s">
        <v>5770</v>
      </c>
      <c r="J353" s="177"/>
      <c r="K353" s="175" t="s">
        <v>148</v>
      </c>
      <c r="L353" s="180"/>
      <c r="M353" s="181" t="s">
        <v>88</v>
      </c>
      <c r="N353" s="175" t="s">
        <v>40</v>
      </c>
      <c r="O353" s="175" t="s">
        <v>42</v>
      </c>
      <c r="P353" s="177" t="s">
        <v>3566</v>
      </c>
      <c r="Q353" s="175" t="s">
        <v>49</v>
      </c>
      <c r="R353" s="175"/>
      <c r="S353" s="180"/>
      <c r="T353" s="177"/>
      <c r="U353" s="175"/>
      <c r="V353" s="175">
        <v>5.0</v>
      </c>
    </row>
    <row r="354">
      <c r="A354" s="175">
        <v>354.0</v>
      </c>
      <c r="B354" s="176">
        <v>46181.0</v>
      </c>
      <c r="C354" s="175" t="s">
        <v>47</v>
      </c>
      <c r="D354" s="175" t="s">
        <v>138</v>
      </c>
      <c r="E354" s="177" t="s">
        <v>463</v>
      </c>
      <c r="F354" s="178">
        <v>5.68337146E8</v>
      </c>
      <c r="G354" s="177" t="s">
        <v>41</v>
      </c>
      <c r="H354" s="175" t="s">
        <v>188</v>
      </c>
      <c r="I354" s="179" t="s">
        <v>5774</v>
      </c>
      <c r="J354" s="177" t="s">
        <v>5777</v>
      </c>
      <c r="K354" s="175" t="s">
        <v>148</v>
      </c>
      <c r="L354" s="180"/>
      <c r="M354" s="177" t="s">
        <v>150</v>
      </c>
      <c r="N354" s="175" t="s">
        <v>56</v>
      </c>
      <c r="O354" s="175" t="s">
        <v>518</v>
      </c>
      <c r="P354" s="177" t="s">
        <v>3566</v>
      </c>
      <c r="Q354" s="175" t="s">
        <v>49</v>
      </c>
      <c r="R354" s="175" t="s">
        <v>46</v>
      </c>
      <c r="S354" s="180"/>
      <c r="T354" s="177"/>
      <c r="U354" s="175"/>
      <c r="V354" s="175">
        <v>5.0</v>
      </c>
    </row>
    <row r="355">
      <c r="A355" s="175">
        <v>355.0</v>
      </c>
      <c r="B355" s="176">
        <v>46181.0</v>
      </c>
      <c r="C355" s="175" t="s">
        <v>3766</v>
      </c>
      <c r="D355" s="175" t="s">
        <v>60</v>
      </c>
      <c r="E355" s="177" t="s">
        <v>5780</v>
      </c>
      <c r="F355" s="178">
        <v>5.70320176E8</v>
      </c>
      <c r="G355" s="177" t="s">
        <v>41</v>
      </c>
      <c r="H355" s="175" t="s">
        <v>263</v>
      </c>
      <c r="I355" s="179" t="s">
        <v>5781</v>
      </c>
      <c r="J355" s="177"/>
      <c r="K355" s="175" t="s">
        <v>148</v>
      </c>
      <c r="L355" s="180"/>
      <c r="M355" s="181" t="s">
        <v>88</v>
      </c>
      <c r="N355" s="175" t="s">
        <v>40</v>
      </c>
      <c r="O355" s="175" t="s">
        <v>42</v>
      </c>
      <c r="P355" s="177" t="s">
        <v>3566</v>
      </c>
      <c r="Q355" s="175" t="s">
        <v>49</v>
      </c>
      <c r="R355" s="175"/>
      <c r="S355" s="180"/>
      <c r="T355" s="177"/>
      <c r="U355" s="175"/>
      <c r="V355" s="175">
        <v>5.0</v>
      </c>
    </row>
    <row r="356">
      <c r="A356" s="175">
        <v>356.0</v>
      </c>
      <c r="B356" s="176">
        <v>46181.0</v>
      </c>
      <c r="C356" s="175" t="s">
        <v>47</v>
      </c>
      <c r="D356" s="175" t="s">
        <v>138</v>
      </c>
      <c r="E356" s="175" t="s">
        <v>3654</v>
      </c>
      <c r="F356" s="178">
        <v>5.36479582E8</v>
      </c>
      <c r="G356" s="177" t="s">
        <v>41</v>
      </c>
      <c r="H356" s="175" t="s">
        <v>146</v>
      </c>
      <c r="I356" s="179" t="s">
        <v>5785</v>
      </c>
      <c r="J356" s="177" t="s">
        <v>5786</v>
      </c>
      <c r="K356" s="175" t="s">
        <v>148</v>
      </c>
      <c r="L356" s="180"/>
      <c r="M356" s="184" t="s">
        <v>183</v>
      </c>
      <c r="N356" s="175" t="s">
        <v>56</v>
      </c>
      <c r="O356" s="175" t="s">
        <v>518</v>
      </c>
      <c r="P356" s="177" t="s">
        <v>3566</v>
      </c>
      <c r="Q356" s="175" t="s">
        <v>49</v>
      </c>
      <c r="R356" s="175" t="s">
        <v>46</v>
      </c>
      <c r="S356" s="180"/>
      <c r="T356" s="177"/>
      <c r="U356" s="175"/>
      <c r="V356" s="175">
        <v>5.0</v>
      </c>
    </row>
    <row r="357">
      <c r="A357" s="175">
        <v>357.0</v>
      </c>
      <c r="B357" s="176">
        <v>46181.0</v>
      </c>
      <c r="C357" s="175" t="s">
        <v>58</v>
      </c>
      <c r="D357" s="175" t="s">
        <v>60</v>
      </c>
      <c r="E357" s="175" t="s">
        <v>27</v>
      </c>
      <c r="F357" s="178">
        <v>5.34879809E8</v>
      </c>
      <c r="G357" s="175" t="s">
        <v>27</v>
      </c>
      <c r="H357" s="175" t="s">
        <v>27</v>
      </c>
      <c r="I357" s="179" t="s">
        <v>5790</v>
      </c>
      <c r="J357" s="177"/>
      <c r="K357" s="175" t="s">
        <v>36</v>
      </c>
      <c r="L357" s="180"/>
      <c r="M357" s="181" t="s">
        <v>88</v>
      </c>
      <c r="N357" s="175" t="s">
        <v>40</v>
      </c>
      <c r="O357" s="175" t="s">
        <v>42</v>
      </c>
      <c r="P357" s="177" t="s">
        <v>3566</v>
      </c>
      <c r="Q357" s="175" t="s">
        <v>49</v>
      </c>
      <c r="R357" s="175"/>
      <c r="S357" s="180"/>
      <c r="T357" s="177"/>
      <c r="U357" s="175"/>
      <c r="V357" s="175">
        <v>5.0</v>
      </c>
    </row>
    <row r="358" ht="76.5" customHeight="1">
      <c r="A358" s="175">
        <v>358.0</v>
      </c>
      <c r="B358" s="176">
        <v>46181.0</v>
      </c>
      <c r="C358" s="175" t="s">
        <v>47</v>
      </c>
      <c r="D358" s="175" t="s">
        <v>367</v>
      </c>
      <c r="E358" s="177" t="s">
        <v>5795</v>
      </c>
      <c r="F358" s="207">
        <v>5.32194184E8</v>
      </c>
      <c r="G358" s="177" t="s">
        <v>41</v>
      </c>
      <c r="H358" s="175" t="s">
        <v>146</v>
      </c>
      <c r="I358" s="209" t="s">
        <v>5798</v>
      </c>
      <c r="J358" s="177" t="s">
        <v>5800</v>
      </c>
      <c r="K358" s="175" t="s">
        <v>36</v>
      </c>
      <c r="L358" s="180">
        <v>0.5986111111111111</v>
      </c>
      <c r="M358" s="177" t="s">
        <v>1073</v>
      </c>
      <c r="N358" s="175" t="s">
        <v>56</v>
      </c>
      <c r="O358" s="175" t="s">
        <v>42</v>
      </c>
      <c r="P358" s="177" t="s">
        <v>3566</v>
      </c>
      <c r="Q358" s="175" t="s">
        <v>49</v>
      </c>
      <c r="R358" s="175" t="s">
        <v>46</v>
      </c>
      <c r="S358" s="180">
        <v>0.7006944444444444</v>
      </c>
      <c r="T358" s="177" t="s">
        <v>3765</v>
      </c>
      <c r="U358" s="175" t="s">
        <v>49</v>
      </c>
      <c r="V358" s="175">
        <v>5.0</v>
      </c>
    </row>
    <row r="359" ht="27.0" customHeight="1">
      <c r="A359" s="175">
        <v>359.0</v>
      </c>
      <c r="B359" s="176">
        <v>46181.0</v>
      </c>
      <c r="C359" s="175" t="s">
        <v>21</v>
      </c>
      <c r="D359" s="175" t="s">
        <v>24</v>
      </c>
      <c r="E359" s="177" t="s">
        <v>5805</v>
      </c>
      <c r="F359" s="178">
        <v>5.76795927E8</v>
      </c>
      <c r="G359" s="177" t="s">
        <v>41</v>
      </c>
      <c r="H359" s="175" t="s">
        <v>27</v>
      </c>
      <c r="I359" s="197" t="s">
        <v>5807</v>
      </c>
      <c r="J359" s="177"/>
      <c r="K359" s="175" t="s">
        <v>62</v>
      </c>
      <c r="L359" s="180"/>
      <c r="M359" s="177" t="s">
        <v>38</v>
      </c>
      <c r="N359" s="175" t="s">
        <v>56</v>
      </c>
      <c r="O359" s="175" t="s">
        <v>42</v>
      </c>
      <c r="P359" s="177" t="s">
        <v>3566</v>
      </c>
      <c r="Q359" s="175" t="s">
        <v>44</v>
      </c>
      <c r="R359" s="175" t="s">
        <v>46</v>
      </c>
      <c r="S359" s="180"/>
      <c r="T359" s="177"/>
      <c r="U359" s="175"/>
      <c r="V359" s="175">
        <v>5.0</v>
      </c>
    </row>
    <row r="360" ht="37.5" customHeight="1">
      <c r="A360" s="175">
        <v>360.0</v>
      </c>
      <c r="B360" s="176">
        <v>46181.0</v>
      </c>
      <c r="C360" s="175" t="s">
        <v>58</v>
      </c>
      <c r="D360" s="175" t="s">
        <v>60</v>
      </c>
      <c r="E360" s="175" t="s">
        <v>27</v>
      </c>
      <c r="F360" s="178">
        <v>5.38657851E8</v>
      </c>
      <c r="G360" s="175" t="s">
        <v>27</v>
      </c>
      <c r="H360" s="175" t="s">
        <v>27</v>
      </c>
      <c r="I360" s="197" t="s">
        <v>5080</v>
      </c>
      <c r="J360" s="177" t="s">
        <v>2003</v>
      </c>
      <c r="K360" s="175" t="s">
        <v>62</v>
      </c>
      <c r="L360" s="180"/>
      <c r="M360" s="181" t="s">
        <v>88</v>
      </c>
      <c r="N360" s="175" t="s">
        <v>40</v>
      </c>
      <c r="O360" s="175" t="s">
        <v>42</v>
      </c>
      <c r="P360" s="177" t="s">
        <v>3566</v>
      </c>
      <c r="Q360" s="175" t="s">
        <v>44</v>
      </c>
      <c r="R360" s="175"/>
      <c r="S360" s="180"/>
      <c r="T360" s="177"/>
      <c r="U360" s="175"/>
      <c r="V360" s="175">
        <v>5.0</v>
      </c>
    </row>
    <row r="361" ht="30.0" customHeight="1">
      <c r="A361" s="175">
        <v>361.0</v>
      </c>
      <c r="B361" s="176">
        <v>46181.0</v>
      </c>
      <c r="C361" s="175" t="s">
        <v>58</v>
      </c>
      <c r="D361" s="175" t="s">
        <v>60</v>
      </c>
      <c r="E361" s="175" t="s">
        <v>27</v>
      </c>
      <c r="F361" s="178">
        <v>5.52341009E8</v>
      </c>
      <c r="G361" s="175" t="s">
        <v>27</v>
      </c>
      <c r="H361" s="175" t="s">
        <v>27</v>
      </c>
      <c r="I361" s="197" t="s">
        <v>5817</v>
      </c>
      <c r="J361" s="177" t="s">
        <v>2003</v>
      </c>
      <c r="K361" s="175" t="s">
        <v>62</v>
      </c>
      <c r="L361" s="180"/>
      <c r="M361" s="181" t="s">
        <v>88</v>
      </c>
      <c r="N361" s="175" t="s">
        <v>40</v>
      </c>
      <c r="O361" s="175" t="s">
        <v>42</v>
      </c>
      <c r="P361" s="177" t="s">
        <v>3566</v>
      </c>
      <c r="Q361" s="175" t="s">
        <v>44</v>
      </c>
      <c r="R361" s="175"/>
      <c r="S361" s="180"/>
      <c r="T361" s="177"/>
      <c r="U361" s="175"/>
      <c r="V361" s="175">
        <v>5.0</v>
      </c>
    </row>
    <row r="362">
      <c r="A362" s="175">
        <v>362.0</v>
      </c>
      <c r="B362" s="176">
        <v>46181.0</v>
      </c>
      <c r="C362" s="175" t="s">
        <v>58</v>
      </c>
      <c r="D362" s="175" t="s">
        <v>60</v>
      </c>
      <c r="E362" s="175" t="s">
        <v>27</v>
      </c>
      <c r="F362" s="178">
        <v>5.09241491E8</v>
      </c>
      <c r="G362" s="175" t="s">
        <v>27</v>
      </c>
      <c r="H362" s="175" t="s">
        <v>27</v>
      </c>
      <c r="I362" s="197" t="s">
        <v>5817</v>
      </c>
      <c r="J362" s="177"/>
      <c r="K362" s="175" t="s">
        <v>62</v>
      </c>
      <c r="L362" s="180"/>
      <c r="M362" s="181" t="s">
        <v>88</v>
      </c>
      <c r="N362" s="175" t="s">
        <v>40</v>
      </c>
      <c r="O362" s="175" t="s">
        <v>42</v>
      </c>
      <c r="P362" s="177" t="s">
        <v>3566</v>
      </c>
      <c r="Q362" s="175" t="s">
        <v>44</v>
      </c>
      <c r="R362" s="175"/>
      <c r="S362" s="180"/>
      <c r="T362" s="177"/>
      <c r="U362" s="175"/>
      <c r="V362" s="175">
        <v>5.0</v>
      </c>
    </row>
    <row r="363">
      <c r="A363" s="175">
        <v>363.0</v>
      </c>
      <c r="B363" s="176">
        <v>46181.0</v>
      </c>
      <c r="C363" s="175" t="s">
        <v>21</v>
      </c>
      <c r="D363" s="175" t="s">
        <v>34</v>
      </c>
      <c r="E363" s="175" t="s">
        <v>27</v>
      </c>
      <c r="F363" s="178">
        <v>5.41995705E8</v>
      </c>
      <c r="G363" s="177" t="s">
        <v>319</v>
      </c>
      <c r="H363" s="175" t="s">
        <v>27</v>
      </c>
      <c r="I363" s="197" t="s">
        <v>5824</v>
      </c>
      <c r="J363" s="177"/>
      <c r="K363" s="175" t="s">
        <v>62</v>
      </c>
      <c r="L363" s="180"/>
      <c r="M363" s="181" t="s">
        <v>51</v>
      </c>
      <c r="N363" s="175" t="s">
        <v>40</v>
      </c>
      <c r="O363" s="175" t="s">
        <v>42</v>
      </c>
      <c r="P363" s="177" t="s">
        <v>3566</v>
      </c>
      <c r="Q363" s="175" t="s">
        <v>44</v>
      </c>
      <c r="R363" s="175"/>
      <c r="S363" s="180"/>
      <c r="T363" s="177"/>
      <c r="U363" s="175"/>
      <c r="V363" s="175">
        <v>5.0</v>
      </c>
    </row>
    <row r="364">
      <c r="A364" s="175">
        <v>364.0</v>
      </c>
      <c r="B364" s="176">
        <v>46181.0</v>
      </c>
      <c r="C364" s="175" t="s">
        <v>21</v>
      </c>
      <c r="D364" s="175" t="s">
        <v>24</v>
      </c>
      <c r="E364" s="177" t="s">
        <v>5829</v>
      </c>
      <c r="F364" s="178">
        <v>5.07862633E8</v>
      </c>
      <c r="G364" s="175" t="s">
        <v>27</v>
      </c>
      <c r="H364" s="175" t="s">
        <v>27</v>
      </c>
      <c r="I364" s="197" t="s">
        <v>5833</v>
      </c>
      <c r="J364" s="177"/>
      <c r="K364" s="175" t="s">
        <v>62</v>
      </c>
      <c r="L364" s="180"/>
      <c r="M364" s="177" t="s">
        <v>38</v>
      </c>
      <c r="N364" s="175" t="s">
        <v>56</v>
      </c>
      <c r="O364" s="175" t="s">
        <v>42</v>
      </c>
      <c r="P364" s="177" t="s">
        <v>3566</v>
      </c>
      <c r="Q364" s="175" t="s">
        <v>44</v>
      </c>
      <c r="R364" s="175" t="s">
        <v>46</v>
      </c>
      <c r="S364" s="180"/>
      <c r="T364" s="177"/>
      <c r="U364" s="175"/>
      <c r="V364" s="175">
        <v>5.0</v>
      </c>
    </row>
    <row r="365">
      <c r="A365" s="175">
        <v>365.0</v>
      </c>
      <c r="B365" s="176">
        <v>46181.0</v>
      </c>
      <c r="C365" s="175" t="s">
        <v>58</v>
      </c>
      <c r="D365" s="175" t="s">
        <v>57</v>
      </c>
      <c r="E365" s="175" t="s">
        <v>27</v>
      </c>
      <c r="F365" s="178">
        <v>5.38943667E8</v>
      </c>
      <c r="G365" s="177" t="s">
        <v>319</v>
      </c>
      <c r="H365" s="175" t="s">
        <v>27</v>
      </c>
      <c r="I365" s="197" t="s">
        <v>5837</v>
      </c>
      <c r="J365" s="177" t="s">
        <v>2003</v>
      </c>
      <c r="K365" s="175" t="s">
        <v>62</v>
      </c>
      <c r="L365" s="180"/>
      <c r="M365" s="177" t="s">
        <v>88</v>
      </c>
      <c r="N365" s="175" t="s">
        <v>40</v>
      </c>
      <c r="O365" s="175" t="s">
        <v>42</v>
      </c>
      <c r="P365" s="177" t="s">
        <v>3566</v>
      </c>
      <c r="Q365" s="175" t="s">
        <v>44</v>
      </c>
      <c r="R365" s="175"/>
      <c r="S365" s="180"/>
      <c r="T365" s="177"/>
      <c r="U365" s="175"/>
      <c r="V365" s="175">
        <v>5.0</v>
      </c>
    </row>
    <row r="366">
      <c r="A366" s="175">
        <v>366.0</v>
      </c>
      <c r="B366" s="176">
        <v>46181.0</v>
      </c>
      <c r="C366" s="175" t="s">
        <v>58</v>
      </c>
      <c r="D366" s="175" t="s">
        <v>57</v>
      </c>
      <c r="E366" s="175" t="s">
        <v>27</v>
      </c>
      <c r="F366" s="178">
        <v>5.37305717E8</v>
      </c>
      <c r="G366" s="177" t="s">
        <v>319</v>
      </c>
      <c r="H366" s="175" t="s">
        <v>27</v>
      </c>
      <c r="I366" s="197" t="s">
        <v>5842</v>
      </c>
      <c r="J366" s="177" t="s">
        <v>2003</v>
      </c>
      <c r="K366" s="175" t="s">
        <v>62</v>
      </c>
      <c r="L366" s="180"/>
      <c r="M366" s="177" t="s">
        <v>88</v>
      </c>
      <c r="N366" s="175" t="s">
        <v>40</v>
      </c>
      <c r="O366" s="175" t="s">
        <v>42</v>
      </c>
      <c r="P366" s="177" t="s">
        <v>3566</v>
      </c>
      <c r="Q366" s="175" t="s">
        <v>44</v>
      </c>
      <c r="R366" s="175"/>
      <c r="S366" s="180"/>
      <c r="T366" s="177"/>
      <c r="U366" s="175"/>
      <c r="V366" s="175">
        <v>5.0</v>
      </c>
    </row>
    <row r="367">
      <c r="A367" s="175">
        <v>367.0</v>
      </c>
      <c r="B367" s="176">
        <v>46181.0</v>
      </c>
      <c r="C367" s="175" t="s">
        <v>21</v>
      </c>
      <c r="D367" s="175" t="s">
        <v>34</v>
      </c>
      <c r="E367" s="175" t="s">
        <v>5846</v>
      </c>
      <c r="F367" s="178">
        <v>5.09077992E8</v>
      </c>
      <c r="G367" s="175" t="s">
        <v>27</v>
      </c>
      <c r="H367" s="175" t="s">
        <v>27</v>
      </c>
      <c r="I367" s="197" t="s">
        <v>5848</v>
      </c>
      <c r="J367" s="177" t="s">
        <v>4417</v>
      </c>
      <c r="K367" s="175" t="s">
        <v>39</v>
      </c>
      <c r="L367" s="180">
        <v>0.3958333333333333</v>
      </c>
      <c r="M367" s="181" t="s">
        <v>51</v>
      </c>
      <c r="N367" s="175" t="s">
        <v>56</v>
      </c>
      <c r="O367" s="175" t="s">
        <v>42</v>
      </c>
      <c r="P367" s="177" t="s">
        <v>3566</v>
      </c>
      <c r="Q367" s="175" t="s">
        <v>44</v>
      </c>
      <c r="R367" s="175"/>
      <c r="S367" s="180">
        <v>0.3958333333333333</v>
      </c>
      <c r="T367" s="177" t="s">
        <v>3566</v>
      </c>
      <c r="U367" s="175" t="s">
        <v>44</v>
      </c>
      <c r="V367" s="175">
        <v>5.0</v>
      </c>
    </row>
    <row r="368">
      <c r="A368" s="175">
        <v>368.0</v>
      </c>
      <c r="B368" s="176">
        <v>46181.0</v>
      </c>
      <c r="C368" s="175" t="s">
        <v>21</v>
      </c>
      <c r="D368" s="175" t="s">
        <v>34</v>
      </c>
      <c r="E368" s="177" t="s">
        <v>5856</v>
      </c>
      <c r="F368" s="178">
        <v>5.00586023E8</v>
      </c>
      <c r="G368" s="175" t="s">
        <v>27</v>
      </c>
      <c r="H368" s="175" t="s">
        <v>27</v>
      </c>
      <c r="I368" s="197" t="s">
        <v>5857</v>
      </c>
      <c r="J368" s="177" t="s">
        <v>4417</v>
      </c>
      <c r="K368" s="175" t="s">
        <v>39</v>
      </c>
      <c r="L368" s="180">
        <v>0.3958333333333333</v>
      </c>
      <c r="M368" s="181" t="s">
        <v>51</v>
      </c>
      <c r="N368" s="175" t="s">
        <v>56</v>
      </c>
      <c r="O368" s="175" t="s">
        <v>42</v>
      </c>
      <c r="P368" s="177" t="s">
        <v>3566</v>
      </c>
      <c r="Q368" s="175" t="s">
        <v>44</v>
      </c>
      <c r="R368" s="175"/>
      <c r="S368" s="180">
        <v>0.3958333333333333</v>
      </c>
      <c r="T368" s="177" t="s">
        <v>3566</v>
      </c>
      <c r="U368" s="175" t="s">
        <v>44</v>
      </c>
      <c r="V368" s="175">
        <v>5.0</v>
      </c>
    </row>
    <row r="369">
      <c r="A369" s="175">
        <v>369.0</v>
      </c>
      <c r="B369" s="176">
        <v>46181.0</v>
      </c>
      <c r="C369" s="175" t="s">
        <v>21</v>
      </c>
      <c r="D369" s="175" t="s">
        <v>34</v>
      </c>
      <c r="E369" s="177" t="s">
        <v>5860</v>
      </c>
      <c r="F369" s="178">
        <v>5.43025086E8</v>
      </c>
      <c r="G369" s="175" t="s">
        <v>27</v>
      </c>
      <c r="H369" s="175" t="s">
        <v>27</v>
      </c>
      <c r="I369" s="197" t="s">
        <v>5861</v>
      </c>
      <c r="J369" s="177" t="s">
        <v>4417</v>
      </c>
      <c r="K369" s="175" t="s">
        <v>39</v>
      </c>
      <c r="L369" s="180">
        <v>0.3958333333333333</v>
      </c>
      <c r="M369" s="181" t="s">
        <v>51</v>
      </c>
      <c r="N369" s="175" t="s">
        <v>56</v>
      </c>
      <c r="O369" s="175" t="s">
        <v>42</v>
      </c>
      <c r="P369" s="177" t="s">
        <v>3566</v>
      </c>
      <c r="Q369" s="175" t="s">
        <v>44</v>
      </c>
      <c r="R369" s="175"/>
      <c r="S369" s="180">
        <v>0.3958333333333333</v>
      </c>
      <c r="T369" s="177" t="s">
        <v>3566</v>
      </c>
      <c r="U369" s="175" t="s">
        <v>44</v>
      </c>
      <c r="V369" s="175">
        <v>5.0</v>
      </c>
    </row>
    <row r="370">
      <c r="A370" s="175">
        <v>370.0</v>
      </c>
      <c r="B370" s="176">
        <v>46181.0</v>
      </c>
      <c r="C370" s="175" t="s">
        <v>21</v>
      </c>
      <c r="D370" s="175" t="s">
        <v>34</v>
      </c>
      <c r="E370" s="177" t="s">
        <v>5864</v>
      </c>
      <c r="F370" s="178">
        <v>5.44093499E8</v>
      </c>
      <c r="G370" s="175" t="s">
        <v>27</v>
      </c>
      <c r="H370" s="175" t="s">
        <v>27</v>
      </c>
      <c r="I370" s="230" t="s">
        <v>5866</v>
      </c>
      <c r="J370" s="177" t="s">
        <v>4417</v>
      </c>
      <c r="K370" s="175" t="s">
        <v>39</v>
      </c>
      <c r="L370" s="180">
        <v>0.3958333333333333</v>
      </c>
      <c r="M370" s="181" t="s">
        <v>51</v>
      </c>
      <c r="N370" s="175" t="s">
        <v>56</v>
      </c>
      <c r="O370" s="175" t="s">
        <v>42</v>
      </c>
      <c r="P370" s="177" t="s">
        <v>3566</v>
      </c>
      <c r="Q370" s="175" t="s">
        <v>44</v>
      </c>
      <c r="R370" s="175"/>
      <c r="S370" s="180">
        <v>0.3958333333333333</v>
      </c>
      <c r="T370" s="177" t="s">
        <v>3566</v>
      </c>
      <c r="U370" s="175" t="s">
        <v>44</v>
      </c>
      <c r="V370" s="175">
        <v>5.0</v>
      </c>
    </row>
    <row r="371">
      <c r="A371" s="175">
        <v>371.0</v>
      </c>
      <c r="B371" s="176">
        <v>46181.0</v>
      </c>
      <c r="C371" s="175" t="s">
        <v>21</v>
      </c>
      <c r="D371" s="175" t="s">
        <v>34</v>
      </c>
      <c r="E371" s="177" t="s">
        <v>5870</v>
      </c>
      <c r="F371" s="178">
        <v>5.44478292E8</v>
      </c>
      <c r="G371" s="175" t="s">
        <v>27</v>
      </c>
      <c r="H371" s="175" t="s">
        <v>27</v>
      </c>
      <c r="I371" s="197" t="s">
        <v>5871</v>
      </c>
      <c r="J371" s="177" t="s">
        <v>4417</v>
      </c>
      <c r="K371" s="175" t="s">
        <v>39</v>
      </c>
      <c r="L371" s="180">
        <v>0.3958333333333333</v>
      </c>
      <c r="M371" s="181" t="s">
        <v>51</v>
      </c>
      <c r="N371" s="175" t="s">
        <v>56</v>
      </c>
      <c r="O371" s="175" t="s">
        <v>42</v>
      </c>
      <c r="P371" s="177" t="s">
        <v>3566</v>
      </c>
      <c r="Q371" s="175" t="s">
        <v>44</v>
      </c>
      <c r="R371" s="175"/>
      <c r="S371" s="180">
        <v>0.3958333333333333</v>
      </c>
      <c r="T371" s="177" t="s">
        <v>3566</v>
      </c>
      <c r="U371" s="175" t="s">
        <v>44</v>
      </c>
      <c r="V371" s="175">
        <v>5.0</v>
      </c>
    </row>
    <row r="372">
      <c r="A372" s="175">
        <v>372.0</v>
      </c>
      <c r="B372" s="176">
        <v>46181.0</v>
      </c>
      <c r="C372" s="175" t="s">
        <v>21</v>
      </c>
      <c r="D372" s="175" t="s">
        <v>34</v>
      </c>
      <c r="E372" s="177" t="s">
        <v>5876</v>
      </c>
      <c r="F372" s="178">
        <v>5.03528789E8</v>
      </c>
      <c r="G372" s="175" t="s">
        <v>27</v>
      </c>
      <c r="H372" s="175" t="s">
        <v>27</v>
      </c>
      <c r="I372" s="197" t="s">
        <v>5878</v>
      </c>
      <c r="J372" s="177" t="s">
        <v>4417</v>
      </c>
      <c r="K372" s="175" t="s">
        <v>39</v>
      </c>
      <c r="L372" s="180">
        <v>0.3958333333333333</v>
      </c>
      <c r="M372" s="181" t="s">
        <v>51</v>
      </c>
      <c r="N372" s="175" t="s">
        <v>56</v>
      </c>
      <c r="O372" s="175" t="s">
        <v>42</v>
      </c>
      <c r="P372" s="177" t="s">
        <v>3566</v>
      </c>
      <c r="Q372" s="175" t="s">
        <v>44</v>
      </c>
      <c r="R372" s="175"/>
      <c r="S372" s="180">
        <v>0.3958333333333333</v>
      </c>
      <c r="T372" s="177" t="s">
        <v>3566</v>
      </c>
      <c r="U372" s="175" t="s">
        <v>44</v>
      </c>
      <c r="V372" s="175">
        <v>5.0</v>
      </c>
    </row>
    <row r="373">
      <c r="A373" s="175">
        <v>373.0</v>
      </c>
      <c r="B373" s="176">
        <v>46181.0</v>
      </c>
      <c r="C373" s="175" t="s">
        <v>21</v>
      </c>
      <c r="D373" s="175" t="s">
        <v>34</v>
      </c>
      <c r="E373" s="177" t="s">
        <v>5883</v>
      </c>
      <c r="F373" s="178">
        <v>5.54598847E8</v>
      </c>
      <c r="G373" s="175" t="s">
        <v>27</v>
      </c>
      <c r="H373" s="175" t="s">
        <v>27</v>
      </c>
      <c r="I373" s="197" t="s">
        <v>5885</v>
      </c>
      <c r="J373" s="177" t="s">
        <v>4417</v>
      </c>
      <c r="K373" s="175" t="s">
        <v>39</v>
      </c>
      <c r="L373" s="180">
        <v>0.3958333333333333</v>
      </c>
      <c r="M373" s="181" t="s">
        <v>51</v>
      </c>
      <c r="N373" s="175" t="s">
        <v>56</v>
      </c>
      <c r="O373" s="175" t="s">
        <v>42</v>
      </c>
      <c r="P373" s="177" t="s">
        <v>3566</v>
      </c>
      <c r="Q373" s="175" t="s">
        <v>44</v>
      </c>
      <c r="R373" s="175"/>
      <c r="S373" s="180">
        <v>0.3958333333333333</v>
      </c>
      <c r="T373" s="177" t="s">
        <v>3566</v>
      </c>
      <c r="U373" s="175" t="s">
        <v>44</v>
      </c>
      <c r="V373" s="175">
        <v>5.0</v>
      </c>
    </row>
    <row r="374">
      <c r="A374" s="175">
        <v>374.0</v>
      </c>
      <c r="B374" s="176">
        <v>46181.0</v>
      </c>
      <c r="C374" s="175" t="s">
        <v>21</v>
      </c>
      <c r="D374" s="175" t="s">
        <v>34</v>
      </c>
      <c r="E374" s="175" t="s">
        <v>416</v>
      </c>
      <c r="F374" s="178">
        <v>5.06798911E8</v>
      </c>
      <c r="G374" s="175" t="s">
        <v>27</v>
      </c>
      <c r="H374" s="175" t="s">
        <v>27</v>
      </c>
      <c r="I374" s="230" t="s">
        <v>5890</v>
      </c>
      <c r="J374" s="177" t="s">
        <v>4417</v>
      </c>
      <c r="K374" s="175" t="s">
        <v>39</v>
      </c>
      <c r="L374" s="180">
        <v>0.3958333333333333</v>
      </c>
      <c r="M374" s="181" t="s">
        <v>51</v>
      </c>
      <c r="N374" s="175" t="s">
        <v>56</v>
      </c>
      <c r="O374" s="175" t="s">
        <v>42</v>
      </c>
      <c r="P374" s="177" t="s">
        <v>3566</v>
      </c>
      <c r="Q374" s="175" t="s">
        <v>44</v>
      </c>
      <c r="R374" s="175"/>
      <c r="S374" s="180">
        <v>0.3958333333333333</v>
      </c>
      <c r="T374" s="177" t="s">
        <v>3566</v>
      </c>
      <c r="U374" s="175" t="s">
        <v>44</v>
      </c>
      <c r="V374" s="175">
        <v>5.0</v>
      </c>
    </row>
    <row r="375">
      <c r="A375" s="175">
        <v>375.0</v>
      </c>
      <c r="B375" s="176">
        <v>46181.0</v>
      </c>
      <c r="C375" s="175" t="s">
        <v>21</v>
      </c>
      <c r="D375" s="175" t="s">
        <v>34</v>
      </c>
      <c r="E375" s="177" t="s">
        <v>5897</v>
      </c>
      <c r="F375" s="178">
        <v>5.06730446E8</v>
      </c>
      <c r="G375" s="175" t="s">
        <v>27</v>
      </c>
      <c r="H375" s="175" t="s">
        <v>27</v>
      </c>
      <c r="I375" s="197" t="s">
        <v>5900</v>
      </c>
      <c r="J375" s="177" t="s">
        <v>4417</v>
      </c>
      <c r="K375" s="175" t="s">
        <v>39</v>
      </c>
      <c r="L375" s="180">
        <v>0.3958333333333333</v>
      </c>
      <c r="M375" s="181" t="s">
        <v>51</v>
      </c>
      <c r="N375" s="175" t="s">
        <v>56</v>
      </c>
      <c r="O375" s="175" t="s">
        <v>42</v>
      </c>
      <c r="P375" s="177" t="s">
        <v>3566</v>
      </c>
      <c r="Q375" s="175" t="s">
        <v>44</v>
      </c>
      <c r="R375" s="175"/>
      <c r="S375" s="180">
        <v>0.3958333333333333</v>
      </c>
      <c r="T375" s="177" t="s">
        <v>3566</v>
      </c>
      <c r="U375" s="175" t="s">
        <v>44</v>
      </c>
      <c r="V375" s="175">
        <v>5.0</v>
      </c>
    </row>
    <row r="376">
      <c r="A376" s="175">
        <v>376.0</v>
      </c>
      <c r="B376" s="176">
        <v>46181.0</v>
      </c>
      <c r="C376" s="175" t="s">
        <v>21</v>
      </c>
      <c r="D376" s="175" t="s">
        <v>34</v>
      </c>
      <c r="E376" s="177" t="s">
        <v>5904</v>
      </c>
      <c r="F376" s="178">
        <v>5.05652094E8</v>
      </c>
      <c r="G376" s="177" t="s">
        <v>319</v>
      </c>
      <c r="H376" s="175" t="s">
        <v>27</v>
      </c>
      <c r="I376" s="197" t="s">
        <v>5906</v>
      </c>
      <c r="J376" s="177" t="s">
        <v>4417</v>
      </c>
      <c r="K376" s="175" t="s">
        <v>39</v>
      </c>
      <c r="L376" s="180">
        <v>0.3958333333333333</v>
      </c>
      <c r="M376" s="181" t="s">
        <v>51</v>
      </c>
      <c r="N376" s="175" t="s">
        <v>56</v>
      </c>
      <c r="O376" s="175" t="s">
        <v>42</v>
      </c>
      <c r="P376" s="177" t="s">
        <v>3566</v>
      </c>
      <c r="Q376" s="175" t="s">
        <v>44</v>
      </c>
      <c r="R376" s="175"/>
      <c r="S376" s="180">
        <v>0.3958333333333333</v>
      </c>
      <c r="T376" s="177" t="s">
        <v>3566</v>
      </c>
      <c r="U376" s="175" t="s">
        <v>44</v>
      </c>
      <c r="V376" s="175">
        <v>5.0</v>
      </c>
    </row>
    <row r="377">
      <c r="A377" s="175">
        <v>377.0</v>
      </c>
      <c r="B377" s="176">
        <v>46181.0</v>
      </c>
      <c r="C377" s="175" t="s">
        <v>21</v>
      </c>
      <c r="D377" s="175" t="s">
        <v>34</v>
      </c>
      <c r="E377" s="177" t="s">
        <v>1788</v>
      </c>
      <c r="F377" s="178">
        <v>5.03560653E8</v>
      </c>
      <c r="G377" s="175" t="s">
        <v>27</v>
      </c>
      <c r="H377" s="175" t="s">
        <v>27</v>
      </c>
      <c r="I377" s="197" t="s">
        <v>5910</v>
      </c>
      <c r="J377" s="177" t="s">
        <v>4417</v>
      </c>
      <c r="K377" s="175" t="s">
        <v>39</v>
      </c>
      <c r="L377" s="180">
        <v>0.3958333333333333</v>
      </c>
      <c r="M377" s="181" t="s">
        <v>51</v>
      </c>
      <c r="N377" s="175" t="s">
        <v>56</v>
      </c>
      <c r="O377" s="175" t="s">
        <v>42</v>
      </c>
      <c r="P377" s="177" t="s">
        <v>3566</v>
      </c>
      <c r="Q377" s="175" t="s">
        <v>44</v>
      </c>
      <c r="R377" s="175"/>
      <c r="S377" s="180">
        <v>0.3958333333333333</v>
      </c>
      <c r="T377" s="177" t="s">
        <v>3566</v>
      </c>
      <c r="U377" s="175" t="s">
        <v>44</v>
      </c>
      <c r="V377" s="175">
        <v>5.0</v>
      </c>
    </row>
    <row r="378">
      <c r="A378" s="175">
        <v>378.0</v>
      </c>
      <c r="B378" s="176">
        <v>46181.0</v>
      </c>
      <c r="C378" s="175" t="s">
        <v>58</v>
      </c>
      <c r="D378" s="175" t="s">
        <v>60</v>
      </c>
      <c r="E378" s="175" t="s">
        <v>27</v>
      </c>
      <c r="F378" s="178">
        <v>5.53633469E8</v>
      </c>
      <c r="G378" s="175" t="s">
        <v>27</v>
      </c>
      <c r="H378" s="175" t="s">
        <v>27</v>
      </c>
      <c r="I378" s="197" t="s">
        <v>5914</v>
      </c>
      <c r="J378" s="177" t="s">
        <v>5915</v>
      </c>
      <c r="K378" s="175" t="s">
        <v>36</v>
      </c>
      <c r="L378" s="180"/>
      <c r="M378" s="181" t="s">
        <v>88</v>
      </c>
      <c r="N378" s="175" t="s">
        <v>40</v>
      </c>
      <c r="O378" s="175" t="s">
        <v>42</v>
      </c>
      <c r="P378" s="177" t="s">
        <v>3566</v>
      </c>
      <c r="Q378" s="175" t="s">
        <v>44</v>
      </c>
      <c r="R378" s="175"/>
      <c r="S378" s="180"/>
      <c r="T378" s="177"/>
      <c r="U378" s="175"/>
      <c r="V378" s="175">
        <v>5.0</v>
      </c>
    </row>
    <row r="379">
      <c r="A379" s="175">
        <v>379.0</v>
      </c>
      <c r="B379" s="176">
        <v>46181.0</v>
      </c>
      <c r="C379" s="175" t="s">
        <v>21</v>
      </c>
      <c r="D379" s="175" t="s">
        <v>22</v>
      </c>
      <c r="E379" s="177" t="s">
        <v>449</v>
      </c>
      <c r="F379" s="178">
        <v>5.00545157E8</v>
      </c>
      <c r="G379" s="177" t="s">
        <v>752</v>
      </c>
      <c r="H379" s="175" t="s">
        <v>27</v>
      </c>
      <c r="I379" s="197" t="s">
        <v>5921</v>
      </c>
      <c r="J379" s="177"/>
      <c r="K379" s="175" t="s">
        <v>36</v>
      </c>
      <c r="L379" s="180"/>
      <c r="M379" s="357" t="s">
        <v>38</v>
      </c>
      <c r="N379" s="175" t="s">
        <v>40</v>
      </c>
      <c r="O379" s="175" t="s">
        <v>42</v>
      </c>
      <c r="P379" s="177" t="s">
        <v>3566</v>
      </c>
      <c r="Q379" s="175" t="s">
        <v>44</v>
      </c>
      <c r="R379" s="175" t="s">
        <v>46</v>
      </c>
      <c r="S379" s="180"/>
      <c r="T379" s="177"/>
      <c r="U379" s="175"/>
      <c r="V379" s="175">
        <v>5.0</v>
      </c>
    </row>
    <row r="380">
      <c r="A380" s="26">
        <v>380.0</v>
      </c>
      <c r="B380" s="188">
        <v>46181.0</v>
      </c>
      <c r="C380" s="26" t="s">
        <v>47</v>
      </c>
      <c r="D380" s="26" t="s">
        <v>48</v>
      </c>
      <c r="E380" s="27" t="s">
        <v>1197</v>
      </c>
      <c r="F380" s="21">
        <v>5.01028413E8</v>
      </c>
      <c r="G380" s="27" t="s">
        <v>41</v>
      </c>
      <c r="H380" s="26" t="s">
        <v>956</v>
      </c>
      <c r="I380" s="197" t="s">
        <v>5926</v>
      </c>
      <c r="J380" s="27" t="s">
        <v>5928</v>
      </c>
      <c r="K380" s="26" t="s">
        <v>36</v>
      </c>
      <c r="L380" s="35">
        <v>0.5138888888888888</v>
      </c>
      <c r="M380" s="245" t="s">
        <v>5522</v>
      </c>
      <c r="N380" s="26" t="s">
        <v>56</v>
      </c>
      <c r="O380" s="26" t="s">
        <v>3811</v>
      </c>
      <c r="P380" s="27" t="s">
        <v>3566</v>
      </c>
      <c r="Q380" s="26" t="s">
        <v>44</v>
      </c>
      <c r="R380" s="26" t="s">
        <v>46</v>
      </c>
      <c r="S380" s="35">
        <v>0.6013888888888889</v>
      </c>
      <c r="T380" s="27" t="s">
        <v>3765</v>
      </c>
      <c r="U380" s="26" t="s">
        <v>44</v>
      </c>
      <c r="V380" s="26">
        <v>5.0</v>
      </c>
    </row>
    <row r="381">
      <c r="A381" s="175">
        <v>381.0</v>
      </c>
      <c r="B381" s="176">
        <v>46181.0</v>
      </c>
      <c r="C381" s="175" t="s">
        <v>47</v>
      </c>
      <c r="D381" s="175" t="s">
        <v>60</v>
      </c>
      <c r="E381" s="177" t="s">
        <v>5901</v>
      </c>
      <c r="F381" s="178">
        <v>5.73734554E8</v>
      </c>
      <c r="G381" s="177" t="s">
        <v>41</v>
      </c>
      <c r="H381" s="175" t="s">
        <v>188</v>
      </c>
      <c r="I381" s="197" t="s">
        <v>5933</v>
      </c>
      <c r="J381" s="177"/>
      <c r="K381" s="175" t="s">
        <v>36</v>
      </c>
      <c r="L381" s="180"/>
      <c r="M381" s="181" t="s">
        <v>88</v>
      </c>
      <c r="N381" s="175" t="s">
        <v>40</v>
      </c>
      <c r="O381" s="175" t="s">
        <v>42</v>
      </c>
      <c r="P381" s="177" t="s">
        <v>3566</v>
      </c>
      <c r="Q381" s="175" t="s">
        <v>44</v>
      </c>
      <c r="R381" s="175" t="s">
        <v>46</v>
      </c>
      <c r="S381" s="180"/>
      <c r="T381" s="177"/>
      <c r="U381" s="175"/>
      <c r="V381" s="175">
        <v>5.0</v>
      </c>
    </row>
    <row r="382">
      <c r="A382" s="175">
        <v>382.0</v>
      </c>
      <c r="B382" s="176">
        <v>46181.0</v>
      </c>
      <c r="C382" s="175" t="s">
        <v>21</v>
      </c>
      <c r="D382" s="175" t="s">
        <v>66</v>
      </c>
      <c r="E382" s="177" t="s">
        <v>5936</v>
      </c>
      <c r="F382" s="178">
        <v>1.38280009E8</v>
      </c>
      <c r="G382" s="177" t="s">
        <v>1452</v>
      </c>
      <c r="H382" s="175" t="s">
        <v>27</v>
      </c>
      <c r="I382" s="197" t="s">
        <v>5939</v>
      </c>
      <c r="J382" s="177"/>
      <c r="K382" s="175" t="s">
        <v>36</v>
      </c>
      <c r="L382" s="180"/>
      <c r="M382" s="181" t="s">
        <v>208</v>
      </c>
      <c r="N382" s="175" t="s">
        <v>40</v>
      </c>
      <c r="O382" s="175" t="s">
        <v>42</v>
      </c>
      <c r="P382" s="177" t="s">
        <v>3566</v>
      </c>
      <c r="Q382" s="175" t="s">
        <v>44</v>
      </c>
      <c r="R382" s="175"/>
      <c r="S382" s="180"/>
      <c r="T382" s="177"/>
      <c r="U382" s="175"/>
      <c r="V382" s="175">
        <v>5.0</v>
      </c>
    </row>
    <row r="383">
      <c r="A383" s="175">
        <v>383.0</v>
      </c>
      <c r="B383" s="176">
        <v>46181.0</v>
      </c>
      <c r="C383" s="175" t="s">
        <v>21</v>
      </c>
      <c r="D383" s="175" t="s">
        <v>22</v>
      </c>
      <c r="E383" s="177" t="s">
        <v>5944</v>
      </c>
      <c r="F383" s="178">
        <v>5.48404691E8</v>
      </c>
      <c r="G383" s="177" t="s">
        <v>71</v>
      </c>
      <c r="H383" s="175" t="s">
        <v>27</v>
      </c>
      <c r="I383" s="197" t="s">
        <v>5947</v>
      </c>
      <c r="J383" s="177"/>
      <c r="K383" s="175" t="s">
        <v>36</v>
      </c>
      <c r="L383" s="180"/>
      <c r="M383" s="357" t="s">
        <v>38</v>
      </c>
      <c r="N383" s="175" t="s">
        <v>40</v>
      </c>
      <c r="O383" s="175" t="s">
        <v>42</v>
      </c>
      <c r="P383" s="177" t="s">
        <v>3566</v>
      </c>
      <c r="Q383" s="175" t="s">
        <v>44</v>
      </c>
      <c r="R383" s="175" t="s">
        <v>46</v>
      </c>
      <c r="S383" s="180"/>
      <c r="T383" s="177"/>
      <c r="U383" s="175"/>
      <c r="V383" s="175">
        <v>5.0</v>
      </c>
    </row>
    <row r="384">
      <c r="A384" s="175">
        <v>384.0</v>
      </c>
      <c r="B384" s="176">
        <v>46181.0</v>
      </c>
      <c r="C384" s="175" t="s">
        <v>21</v>
      </c>
      <c r="D384" s="175" t="s">
        <v>34</v>
      </c>
      <c r="E384" s="177" t="s">
        <v>5950</v>
      </c>
      <c r="F384" s="178">
        <v>5.44527402E8</v>
      </c>
      <c r="G384" s="177" t="s">
        <v>71</v>
      </c>
      <c r="H384" s="175" t="s">
        <v>27</v>
      </c>
      <c r="I384" s="197" t="s">
        <v>5952</v>
      </c>
      <c r="J384" s="177"/>
      <c r="K384" s="175" t="s">
        <v>36</v>
      </c>
      <c r="L384" s="180"/>
      <c r="M384" s="181" t="s">
        <v>51</v>
      </c>
      <c r="N384" s="175" t="s">
        <v>40</v>
      </c>
      <c r="O384" s="175" t="s">
        <v>42</v>
      </c>
      <c r="P384" s="177" t="s">
        <v>3566</v>
      </c>
      <c r="Q384" s="175" t="s">
        <v>44</v>
      </c>
      <c r="R384" s="175"/>
      <c r="S384" s="180"/>
      <c r="T384" s="177"/>
      <c r="U384" s="175"/>
      <c r="V384" s="175">
        <v>5.0</v>
      </c>
    </row>
    <row r="385">
      <c r="A385" s="175">
        <v>385.0</v>
      </c>
      <c r="B385" s="176">
        <v>46181.0</v>
      </c>
      <c r="C385" s="175" t="s">
        <v>21</v>
      </c>
      <c r="D385" s="175" t="s">
        <v>34</v>
      </c>
      <c r="E385" s="177" t="s">
        <v>5956</v>
      </c>
      <c r="F385" s="178">
        <v>5.43717093E8</v>
      </c>
      <c r="G385" s="177" t="s">
        <v>5957</v>
      </c>
      <c r="H385" s="175" t="s">
        <v>27</v>
      </c>
      <c r="I385" s="197" t="s">
        <v>5959</v>
      </c>
      <c r="J385" s="177"/>
      <c r="K385" s="175" t="s">
        <v>36</v>
      </c>
      <c r="L385" s="180"/>
      <c r="M385" s="181" t="s">
        <v>51</v>
      </c>
      <c r="N385" s="175" t="s">
        <v>40</v>
      </c>
      <c r="O385" s="175" t="s">
        <v>42</v>
      </c>
      <c r="P385" s="177" t="s">
        <v>3566</v>
      </c>
      <c r="Q385" s="175" t="s">
        <v>44</v>
      </c>
      <c r="R385" s="175"/>
      <c r="S385" s="180"/>
      <c r="T385" s="177"/>
      <c r="U385" s="175"/>
      <c r="V385" s="175">
        <v>5.0</v>
      </c>
    </row>
    <row r="386">
      <c r="A386" s="26">
        <v>386.0</v>
      </c>
      <c r="B386" s="188">
        <v>46181.0</v>
      </c>
      <c r="C386" s="26" t="s">
        <v>47</v>
      </c>
      <c r="D386" s="26" t="s">
        <v>48</v>
      </c>
      <c r="E386" s="27" t="s">
        <v>5102</v>
      </c>
      <c r="F386" s="21">
        <v>5.53100055E8</v>
      </c>
      <c r="G386" s="27" t="s">
        <v>41</v>
      </c>
      <c r="H386" s="26" t="s">
        <v>783</v>
      </c>
      <c r="I386" s="209" t="s">
        <v>5963</v>
      </c>
      <c r="J386" s="27" t="s">
        <v>5965</v>
      </c>
      <c r="K386" s="26" t="s">
        <v>36</v>
      </c>
      <c r="L386" s="35">
        <v>0.4791666666666667</v>
      </c>
      <c r="M386" s="245" t="s">
        <v>5968</v>
      </c>
      <c r="N386" s="26" t="s">
        <v>56</v>
      </c>
      <c r="O386" s="26" t="s">
        <v>301</v>
      </c>
      <c r="P386" s="27" t="s">
        <v>3566</v>
      </c>
      <c r="Q386" s="26" t="s">
        <v>44</v>
      </c>
      <c r="R386" s="26" t="s">
        <v>46</v>
      </c>
      <c r="S386" s="35">
        <v>0.6076388888888888</v>
      </c>
      <c r="T386" s="27" t="s">
        <v>3997</v>
      </c>
      <c r="U386" s="26" t="s">
        <v>49</v>
      </c>
      <c r="V386" s="26"/>
    </row>
    <row r="387">
      <c r="A387" s="175">
        <v>387.0</v>
      </c>
      <c r="B387" s="176">
        <v>46181.0</v>
      </c>
      <c r="C387" s="175" t="s">
        <v>21</v>
      </c>
      <c r="D387" s="175" t="s">
        <v>24</v>
      </c>
      <c r="E387" s="177" t="s">
        <v>5972</v>
      </c>
      <c r="F387" s="178">
        <v>5.06424594E8</v>
      </c>
      <c r="G387" s="177" t="s">
        <v>152</v>
      </c>
      <c r="H387" s="175" t="s">
        <v>27</v>
      </c>
      <c r="I387" s="179" t="s">
        <v>5975</v>
      </c>
      <c r="J387" s="177"/>
      <c r="K387" s="175" t="s">
        <v>36</v>
      </c>
      <c r="L387" s="180"/>
      <c r="M387" s="177" t="s">
        <v>38</v>
      </c>
      <c r="N387" s="175" t="s">
        <v>56</v>
      </c>
      <c r="O387" s="175" t="s">
        <v>42</v>
      </c>
      <c r="P387" s="177" t="s">
        <v>3566</v>
      </c>
      <c r="Q387" s="175" t="s">
        <v>44</v>
      </c>
      <c r="R387" s="175" t="s">
        <v>46</v>
      </c>
      <c r="S387" s="180"/>
      <c r="T387" s="177"/>
      <c r="U387" s="175"/>
      <c r="V387" s="175"/>
    </row>
    <row r="388">
      <c r="A388" s="175">
        <v>388.0</v>
      </c>
      <c r="B388" s="176">
        <v>46181.0</v>
      </c>
      <c r="C388" s="175" t="s">
        <v>58</v>
      </c>
      <c r="D388" s="175" t="s">
        <v>60</v>
      </c>
      <c r="E388" s="175" t="s">
        <v>27</v>
      </c>
      <c r="F388" s="178">
        <v>5.47739061E8</v>
      </c>
      <c r="G388" s="175" t="s">
        <v>27</v>
      </c>
      <c r="H388" s="175" t="s">
        <v>27</v>
      </c>
      <c r="I388" s="179" t="s">
        <v>5980</v>
      </c>
      <c r="J388" s="177" t="s">
        <v>123</v>
      </c>
      <c r="K388" s="175" t="s">
        <v>36</v>
      </c>
      <c r="L388" s="180"/>
      <c r="M388" s="181" t="s">
        <v>88</v>
      </c>
      <c r="N388" s="175" t="s">
        <v>40</v>
      </c>
      <c r="O388" s="175" t="s">
        <v>42</v>
      </c>
      <c r="P388" s="177" t="s">
        <v>3566</v>
      </c>
      <c r="Q388" s="175" t="s">
        <v>44</v>
      </c>
      <c r="R388" s="175"/>
      <c r="S388" s="180"/>
      <c r="T388" s="177"/>
      <c r="U388" s="175"/>
      <c r="V388" s="175"/>
    </row>
    <row r="389">
      <c r="A389" s="175">
        <v>389.0</v>
      </c>
      <c r="B389" s="176">
        <v>46182.0</v>
      </c>
      <c r="C389" s="175" t="s">
        <v>21</v>
      </c>
      <c r="D389" s="175" t="s">
        <v>22</v>
      </c>
      <c r="E389" s="177" t="s">
        <v>5984</v>
      </c>
      <c r="F389" s="178">
        <v>5.34147439E8</v>
      </c>
      <c r="G389" s="177" t="s">
        <v>76</v>
      </c>
      <c r="H389" s="175" t="s">
        <v>27</v>
      </c>
      <c r="I389" s="179" t="s">
        <v>5986</v>
      </c>
      <c r="J389" s="177"/>
      <c r="K389" s="175" t="s">
        <v>36</v>
      </c>
      <c r="L389" s="180"/>
      <c r="M389" s="177" t="s">
        <v>38</v>
      </c>
      <c r="N389" s="175" t="s">
        <v>40</v>
      </c>
      <c r="O389" s="175" t="s">
        <v>42</v>
      </c>
      <c r="P389" s="177" t="s">
        <v>3566</v>
      </c>
      <c r="Q389" s="175" t="s">
        <v>44</v>
      </c>
      <c r="R389" s="175" t="s">
        <v>46</v>
      </c>
      <c r="S389" s="180"/>
      <c r="T389" s="177"/>
      <c r="U389" s="175"/>
      <c r="V389" s="175"/>
    </row>
    <row r="390">
      <c r="A390" s="175">
        <v>390.0</v>
      </c>
      <c r="B390" s="176">
        <v>46182.0</v>
      </c>
      <c r="C390" s="175" t="s">
        <v>58</v>
      </c>
      <c r="D390" s="175" t="s">
        <v>60</v>
      </c>
      <c r="E390" s="177" t="s">
        <v>5989</v>
      </c>
      <c r="F390" s="178">
        <v>5.38887038E8</v>
      </c>
      <c r="G390" s="177" t="s">
        <v>79</v>
      </c>
      <c r="H390" s="200" t="s">
        <v>142</v>
      </c>
      <c r="I390" s="179" t="s">
        <v>5991</v>
      </c>
      <c r="J390" s="177" t="s">
        <v>5992</v>
      </c>
      <c r="K390" s="175" t="s">
        <v>36</v>
      </c>
      <c r="L390" s="180"/>
      <c r="M390" s="181" t="s">
        <v>88</v>
      </c>
      <c r="N390" s="175" t="s">
        <v>40</v>
      </c>
      <c r="O390" s="175" t="s">
        <v>42</v>
      </c>
      <c r="P390" s="177" t="s">
        <v>3566</v>
      </c>
      <c r="Q390" s="175" t="s">
        <v>44</v>
      </c>
      <c r="R390" s="175"/>
      <c r="S390" s="180"/>
      <c r="T390" s="177"/>
      <c r="U390" s="175"/>
      <c r="V390" s="175"/>
    </row>
    <row r="391">
      <c r="A391" s="175">
        <v>391.0</v>
      </c>
      <c r="B391" s="176">
        <v>46182.0</v>
      </c>
      <c r="C391" s="175" t="s">
        <v>21</v>
      </c>
      <c r="D391" s="175" t="s">
        <v>24</v>
      </c>
      <c r="E391" s="177" t="s">
        <v>858</v>
      </c>
      <c r="F391" s="178">
        <v>5.08346588E8</v>
      </c>
      <c r="G391" s="177" t="s">
        <v>71</v>
      </c>
      <c r="H391" s="175" t="s">
        <v>27</v>
      </c>
      <c r="I391" s="179" t="s">
        <v>5998</v>
      </c>
      <c r="J391" s="177"/>
      <c r="K391" s="175" t="s">
        <v>39</v>
      </c>
      <c r="L391" s="301">
        <v>0.4791666666666667</v>
      </c>
      <c r="M391" s="177" t="s">
        <v>38</v>
      </c>
      <c r="N391" s="175" t="s">
        <v>56</v>
      </c>
      <c r="O391" s="175" t="s">
        <v>42</v>
      </c>
      <c r="P391" s="177" t="s">
        <v>3566</v>
      </c>
      <c r="Q391" s="175" t="s">
        <v>44</v>
      </c>
      <c r="R391" s="175" t="s">
        <v>46</v>
      </c>
      <c r="S391" s="180"/>
      <c r="T391" s="177"/>
      <c r="U391" s="175"/>
      <c r="V391" s="175"/>
    </row>
    <row r="392">
      <c r="A392" s="175">
        <v>392.0</v>
      </c>
      <c r="B392" s="176">
        <v>46182.0</v>
      </c>
      <c r="C392" s="175" t="s">
        <v>58</v>
      </c>
      <c r="D392" s="175" t="s">
        <v>57</v>
      </c>
      <c r="E392" s="177" t="s">
        <v>6003</v>
      </c>
      <c r="F392" s="178">
        <v>5.6663765E8</v>
      </c>
      <c r="G392" s="177" t="s">
        <v>319</v>
      </c>
      <c r="H392" s="175" t="s">
        <v>3826</v>
      </c>
      <c r="I392" s="179" t="s">
        <v>6004</v>
      </c>
      <c r="J392" s="177"/>
      <c r="K392" s="175" t="s">
        <v>36</v>
      </c>
      <c r="L392" s="180"/>
      <c r="M392" s="177" t="s">
        <v>88</v>
      </c>
      <c r="N392" s="175" t="s">
        <v>40</v>
      </c>
      <c r="O392" s="175" t="s">
        <v>42</v>
      </c>
      <c r="P392" s="177" t="s">
        <v>3566</v>
      </c>
      <c r="Q392" s="175" t="s">
        <v>44</v>
      </c>
      <c r="R392" s="175"/>
      <c r="S392" s="180"/>
      <c r="T392" s="177"/>
      <c r="U392" s="175"/>
      <c r="V392" s="175"/>
    </row>
    <row r="393">
      <c r="A393" s="175">
        <v>393.0</v>
      </c>
      <c r="B393" s="176">
        <v>46182.0</v>
      </c>
      <c r="C393" s="175" t="s">
        <v>21</v>
      </c>
      <c r="D393" s="175" t="s">
        <v>22</v>
      </c>
      <c r="E393" s="177" t="s">
        <v>276</v>
      </c>
      <c r="F393" s="178">
        <v>5.99305528E8</v>
      </c>
      <c r="G393" s="177" t="s">
        <v>172</v>
      </c>
      <c r="H393" s="175" t="s">
        <v>27</v>
      </c>
      <c r="I393" s="179" t="s">
        <v>6010</v>
      </c>
      <c r="J393" s="177"/>
      <c r="K393" s="175" t="s">
        <v>39</v>
      </c>
      <c r="L393" s="301">
        <v>0.4791666666666667</v>
      </c>
      <c r="M393" s="177" t="s">
        <v>38</v>
      </c>
      <c r="N393" s="175" t="s">
        <v>40</v>
      </c>
      <c r="O393" s="175" t="s">
        <v>42</v>
      </c>
      <c r="P393" s="177" t="s">
        <v>3566</v>
      </c>
      <c r="Q393" s="175" t="s">
        <v>44</v>
      </c>
      <c r="R393" s="175" t="s">
        <v>46</v>
      </c>
      <c r="S393" s="180"/>
      <c r="T393" s="177"/>
      <c r="U393" s="175"/>
      <c r="V393" s="175"/>
    </row>
    <row r="394">
      <c r="A394" s="175">
        <v>394.0</v>
      </c>
      <c r="B394" s="176">
        <v>46182.0</v>
      </c>
      <c r="C394" s="175" t="s">
        <v>21</v>
      </c>
      <c r="D394" s="175" t="s">
        <v>34</v>
      </c>
      <c r="E394" s="177" t="s">
        <v>6018</v>
      </c>
      <c r="F394" s="178">
        <v>5.35492057E8</v>
      </c>
      <c r="G394" s="175" t="s">
        <v>27</v>
      </c>
      <c r="H394" s="175" t="s">
        <v>27</v>
      </c>
      <c r="I394" s="179" t="s">
        <v>6019</v>
      </c>
      <c r="J394" s="177" t="s">
        <v>4417</v>
      </c>
      <c r="K394" s="175" t="s">
        <v>39</v>
      </c>
      <c r="L394" s="180">
        <v>0.3819444444444444</v>
      </c>
      <c r="M394" s="181" t="s">
        <v>51</v>
      </c>
      <c r="N394" s="175" t="s">
        <v>56</v>
      </c>
      <c r="O394" s="175" t="s">
        <v>42</v>
      </c>
      <c r="P394" s="177" t="s">
        <v>3566</v>
      </c>
      <c r="Q394" s="175" t="s">
        <v>44</v>
      </c>
      <c r="R394" s="175"/>
      <c r="S394" s="180">
        <v>0.3819444444444444</v>
      </c>
      <c r="T394" s="177" t="s">
        <v>3566</v>
      </c>
      <c r="U394" s="175" t="s">
        <v>44</v>
      </c>
      <c r="V394" s="175"/>
    </row>
    <row r="395">
      <c r="A395" s="175">
        <v>395.0</v>
      </c>
      <c r="B395" s="176">
        <v>46182.0</v>
      </c>
      <c r="C395" s="175" t="s">
        <v>21</v>
      </c>
      <c r="D395" s="175" t="s">
        <v>34</v>
      </c>
      <c r="E395" s="175" t="s">
        <v>6026</v>
      </c>
      <c r="F395" s="178">
        <v>5.45563602E8</v>
      </c>
      <c r="G395" s="175" t="s">
        <v>27</v>
      </c>
      <c r="H395" s="175" t="s">
        <v>27</v>
      </c>
      <c r="I395" s="289" t="s">
        <v>6027</v>
      </c>
      <c r="J395" s="177" t="s">
        <v>4417</v>
      </c>
      <c r="K395" s="175" t="s">
        <v>39</v>
      </c>
      <c r="L395" s="180">
        <v>0.3819444444444444</v>
      </c>
      <c r="M395" s="181" t="s">
        <v>51</v>
      </c>
      <c r="N395" s="175" t="s">
        <v>56</v>
      </c>
      <c r="O395" s="175" t="s">
        <v>42</v>
      </c>
      <c r="P395" s="177" t="s">
        <v>3566</v>
      </c>
      <c r="Q395" s="175" t="s">
        <v>44</v>
      </c>
      <c r="R395" s="175"/>
      <c r="S395" s="180">
        <v>0.3819444444444444</v>
      </c>
      <c r="T395" s="177" t="s">
        <v>3566</v>
      </c>
      <c r="U395" s="175" t="s">
        <v>44</v>
      </c>
      <c r="V395" s="175"/>
    </row>
    <row r="396">
      <c r="A396" s="175">
        <v>396.0</v>
      </c>
      <c r="B396" s="176">
        <v>46182.0</v>
      </c>
      <c r="C396" s="175" t="s">
        <v>21</v>
      </c>
      <c r="D396" s="175" t="s">
        <v>34</v>
      </c>
      <c r="E396" s="177" t="s">
        <v>6032</v>
      </c>
      <c r="F396" s="178">
        <v>5.91064929E8</v>
      </c>
      <c r="G396" s="175" t="s">
        <v>27</v>
      </c>
      <c r="H396" s="175" t="s">
        <v>27</v>
      </c>
      <c r="I396" s="179" t="s">
        <v>6034</v>
      </c>
      <c r="J396" s="177" t="s">
        <v>4417</v>
      </c>
      <c r="K396" s="175" t="s">
        <v>39</v>
      </c>
      <c r="L396" s="180">
        <v>0.3819444444444444</v>
      </c>
      <c r="M396" s="181" t="s">
        <v>51</v>
      </c>
      <c r="N396" s="175" t="s">
        <v>56</v>
      </c>
      <c r="O396" s="175" t="s">
        <v>42</v>
      </c>
      <c r="P396" s="177" t="s">
        <v>3566</v>
      </c>
      <c r="Q396" s="175" t="s">
        <v>44</v>
      </c>
      <c r="R396" s="175"/>
      <c r="S396" s="180">
        <v>0.3819444444444444</v>
      </c>
      <c r="T396" s="177" t="s">
        <v>3566</v>
      </c>
      <c r="U396" s="175" t="s">
        <v>44</v>
      </c>
      <c r="V396" s="175"/>
    </row>
    <row r="397">
      <c r="A397" s="175">
        <v>397.0</v>
      </c>
      <c r="B397" s="176">
        <v>46182.0</v>
      </c>
      <c r="C397" s="175" t="s">
        <v>21</v>
      </c>
      <c r="D397" s="175" t="s">
        <v>34</v>
      </c>
      <c r="E397" s="177" t="s">
        <v>6038</v>
      </c>
      <c r="F397" s="178">
        <v>5.81314509E8</v>
      </c>
      <c r="G397" s="175" t="s">
        <v>27</v>
      </c>
      <c r="H397" s="175" t="s">
        <v>27</v>
      </c>
      <c r="I397" s="179" t="s">
        <v>6039</v>
      </c>
      <c r="J397" s="177" t="s">
        <v>4417</v>
      </c>
      <c r="K397" s="175" t="s">
        <v>39</v>
      </c>
      <c r="L397" s="180">
        <v>0.3819444444444444</v>
      </c>
      <c r="M397" s="181" t="s">
        <v>51</v>
      </c>
      <c r="N397" s="175" t="s">
        <v>56</v>
      </c>
      <c r="O397" s="175" t="s">
        <v>42</v>
      </c>
      <c r="P397" s="177" t="s">
        <v>3566</v>
      </c>
      <c r="Q397" s="175" t="s">
        <v>44</v>
      </c>
      <c r="R397" s="175"/>
      <c r="S397" s="180">
        <v>0.3819444444444444</v>
      </c>
      <c r="T397" s="177" t="s">
        <v>3566</v>
      </c>
      <c r="U397" s="175" t="s">
        <v>44</v>
      </c>
      <c r="V397" s="175"/>
    </row>
    <row r="398">
      <c r="A398" s="175">
        <v>398.0</v>
      </c>
      <c r="B398" s="176">
        <v>46182.0</v>
      </c>
      <c r="C398" s="175" t="s">
        <v>21</v>
      </c>
      <c r="D398" s="175" t="s">
        <v>34</v>
      </c>
      <c r="E398" s="177" t="s">
        <v>6043</v>
      </c>
      <c r="F398" s="178">
        <v>5.45404308E8</v>
      </c>
      <c r="G398" s="175" t="s">
        <v>27</v>
      </c>
      <c r="H398" s="175" t="s">
        <v>27</v>
      </c>
      <c r="I398" s="179" t="s">
        <v>6044</v>
      </c>
      <c r="J398" s="177" t="s">
        <v>4417</v>
      </c>
      <c r="K398" s="175" t="s">
        <v>39</v>
      </c>
      <c r="L398" s="180">
        <v>0.3819444444444444</v>
      </c>
      <c r="M398" s="181" t="s">
        <v>51</v>
      </c>
      <c r="N398" s="175" t="s">
        <v>56</v>
      </c>
      <c r="O398" s="175" t="s">
        <v>42</v>
      </c>
      <c r="P398" s="177" t="s">
        <v>3566</v>
      </c>
      <c r="Q398" s="175" t="s">
        <v>44</v>
      </c>
      <c r="R398" s="175"/>
      <c r="S398" s="180">
        <v>0.3819444444444444</v>
      </c>
      <c r="T398" s="177" t="s">
        <v>3566</v>
      </c>
      <c r="U398" s="175" t="s">
        <v>44</v>
      </c>
      <c r="V398" s="175"/>
    </row>
    <row r="399">
      <c r="A399" s="175">
        <v>399.0</v>
      </c>
      <c r="B399" s="176">
        <v>46182.0</v>
      </c>
      <c r="C399" s="175" t="s">
        <v>21</v>
      </c>
      <c r="D399" s="175" t="s">
        <v>24</v>
      </c>
      <c r="E399" s="177" t="s">
        <v>6048</v>
      </c>
      <c r="F399" s="178">
        <v>5.44753129E8</v>
      </c>
      <c r="G399" s="177" t="s">
        <v>71</v>
      </c>
      <c r="H399" s="175" t="s">
        <v>27</v>
      </c>
      <c r="I399" s="179" t="s">
        <v>6049</v>
      </c>
      <c r="J399" s="177"/>
      <c r="K399" s="175" t="s">
        <v>39</v>
      </c>
      <c r="L399" s="301">
        <v>0.4791666666666667</v>
      </c>
      <c r="M399" s="177" t="s">
        <v>38</v>
      </c>
      <c r="N399" s="175" t="s">
        <v>56</v>
      </c>
      <c r="O399" s="175" t="s">
        <v>42</v>
      </c>
      <c r="P399" s="177" t="s">
        <v>3566</v>
      </c>
      <c r="Q399" s="175" t="s">
        <v>44</v>
      </c>
      <c r="R399" s="175" t="s">
        <v>46</v>
      </c>
      <c r="S399" s="180"/>
      <c r="T399" s="177"/>
      <c r="U399" s="175"/>
      <c r="V399" s="175"/>
    </row>
    <row r="400">
      <c r="A400" s="175">
        <v>400.0</v>
      </c>
      <c r="B400" s="176">
        <v>46182.0</v>
      </c>
      <c r="C400" s="175" t="s">
        <v>21</v>
      </c>
      <c r="D400" s="175" t="s">
        <v>24</v>
      </c>
      <c r="E400" s="177" t="s">
        <v>763</v>
      </c>
      <c r="F400" s="178">
        <v>5.68367499E8</v>
      </c>
      <c r="G400" s="177" t="s">
        <v>71</v>
      </c>
      <c r="H400" s="175" t="s">
        <v>27</v>
      </c>
      <c r="I400" s="179" t="s">
        <v>6053</v>
      </c>
      <c r="J400" s="177"/>
      <c r="K400" s="175" t="s">
        <v>39</v>
      </c>
      <c r="L400" s="301">
        <v>0.4791666666666667</v>
      </c>
      <c r="M400" s="177" t="s">
        <v>38</v>
      </c>
      <c r="N400" s="175" t="s">
        <v>56</v>
      </c>
      <c r="O400" s="175" t="s">
        <v>42</v>
      </c>
      <c r="P400" s="177" t="s">
        <v>3566</v>
      </c>
      <c r="Q400" s="175" t="s">
        <v>44</v>
      </c>
      <c r="R400" s="175" t="s">
        <v>46</v>
      </c>
      <c r="S400" s="180"/>
      <c r="T400" s="177"/>
      <c r="U400" s="175"/>
      <c r="V400" s="175"/>
    </row>
    <row r="401">
      <c r="A401" s="175">
        <v>401.0</v>
      </c>
      <c r="B401" s="176">
        <v>46182.0</v>
      </c>
      <c r="C401" s="175" t="s">
        <v>58</v>
      </c>
      <c r="D401" s="175" t="s">
        <v>60</v>
      </c>
      <c r="E401" s="177" t="s">
        <v>751</v>
      </c>
      <c r="F401" s="178">
        <v>5.96562619E8</v>
      </c>
      <c r="G401" s="177" t="s">
        <v>71</v>
      </c>
      <c r="H401" s="175" t="s">
        <v>27</v>
      </c>
      <c r="I401" s="179" t="s">
        <v>6055</v>
      </c>
      <c r="J401" s="177"/>
      <c r="K401" s="175" t="s">
        <v>62</v>
      </c>
      <c r="L401" s="180"/>
      <c r="M401" s="181" t="s">
        <v>88</v>
      </c>
      <c r="N401" s="175" t="s">
        <v>40</v>
      </c>
      <c r="O401" s="175" t="s">
        <v>42</v>
      </c>
      <c r="P401" s="177" t="s">
        <v>3566</v>
      </c>
      <c r="Q401" s="175" t="s">
        <v>44</v>
      </c>
      <c r="R401" s="175"/>
      <c r="S401" s="180"/>
      <c r="T401" s="177"/>
      <c r="U401" s="175"/>
      <c r="V401" s="175"/>
    </row>
    <row r="402">
      <c r="A402" s="175">
        <v>402.0</v>
      </c>
      <c r="B402" s="176">
        <v>46182.0</v>
      </c>
      <c r="C402" s="175" t="s">
        <v>21</v>
      </c>
      <c r="D402" s="175" t="s">
        <v>22</v>
      </c>
      <c r="E402" s="177" t="s">
        <v>6059</v>
      </c>
      <c r="F402" s="178">
        <v>5.62472975E8</v>
      </c>
      <c r="G402" s="177" t="s">
        <v>71</v>
      </c>
      <c r="H402" s="175" t="s">
        <v>27</v>
      </c>
      <c r="I402" s="179" t="s">
        <v>6061</v>
      </c>
      <c r="J402" s="177"/>
      <c r="K402" s="175" t="s">
        <v>62</v>
      </c>
      <c r="L402" s="180"/>
      <c r="M402" s="177" t="s">
        <v>38</v>
      </c>
      <c r="N402" s="175" t="s">
        <v>40</v>
      </c>
      <c r="O402" s="175" t="s">
        <v>42</v>
      </c>
      <c r="P402" s="177" t="s">
        <v>3566</v>
      </c>
      <c r="Q402" s="175" t="s">
        <v>44</v>
      </c>
      <c r="R402" s="175" t="s">
        <v>46</v>
      </c>
      <c r="S402" s="180"/>
      <c r="T402" s="177"/>
      <c r="U402" s="175"/>
      <c r="V402" s="175"/>
    </row>
    <row r="403">
      <c r="A403" s="175">
        <v>403.0</v>
      </c>
      <c r="B403" s="176">
        <v>46182.0</v>
      </c>
      <c r="C403" s="175" t="s">
        <v>58</v>
      </c>
      <c r="D403" s="175" t="s">
        <v>60</v>
      </c>
      <c r="E403" s="175" t="s">
        <v>27</v>
      </c>
      <c r="F403" s="178">
        <v>5.38475418E8</v>
      </c>
      <c r="G403" s="175" t="s">
        <v>27</v>
      </c>
      <c r="H403" s="175" t="s">
        <v>27</v>
      </c>
      <c r="I403" s="179" t="s">
        <v>6063</v>
      </c>
      <c r="J403" s="177" t="s">
        <v>6064</v>
      </c>
      <c r="K403" s="175" t="s">
        <v>62</v>
      </c>
      <c r="L403" s="180"/>
      <c r="M403" s="181" t="s">
        <v>88</v>
      </c>
      <c r="N403" s="175" t="s">
        <v>40</v>
      </c>
      <c r="O403" s="175" t="s">
        <v>42</v>
      </c>
      <c r="P403" s="177" t="s">
        <v>3566</v>
      </c>
      <c r="Q403" s="175" t="s">
        <v>44</v>
      </c>
      <c r="R403" s="175"/>
      <c r="S403" s="180"/>
      <c r="T403" s="177"/>
      <c r="U403" s="175"/>
      <c r="V403" s="175"/>
    </row>
    <row r="404">
      <c r="A404" s="175">
        <v>404.0</v>
      </c>
      <c r="B404" s="176">
        <v>46182.0</v>
      </c>
      <c r="C404" s="175" t="s">
        <v>58</v>
      </c>
      <c r="D404" s="175" t="s">
        <v>22</v>
      </c>
      <c r="E404" s="177" t="s">
        <v>887</v>
      </c>
      <c r="F404" s="178">
        <v>5.62472975E8</v>
      </c>
      <c r="G404" s="177" t="s">
        <v>71</v>
      </c>
      <c r="H404" s="175" t="s">
        <v>27</v>
      </c>
      <c r="I404" s="179" t="s">
        <v>6068</v>
      </c>
      <c r="J404" s="177"/>
      <c r="K404" s="175" t="s">
        <v>36</v>
      </c>
      <c r="L404" s="180"/>
      <c r="M404" s="177" t="s">
        <v>88</v>
      </c>
      <c r="N404" s="175" t="s">
        <v>40</v>
      </c>
      <c r="O404" s="175" t="s">
        <v>42</v>
      </c>
      <c r="P404" s="177" t="s">
        <v>3566</v>
      </c>
      <c r="Q404" s="175" t="s">
        <v>44</v>
      </c>
      <c r="R404" s="175" t="s">
        <v>46</v>
      </c>
      <c r="S404" s="180"/>
      <c r="T404" s="177"/>
      <c r="U404" s="175"/>
      <c r="V404" s="175"/>
    </row>
    <row r="405">
      <c r="A405" s="26">
        <v>405.0</v>
      </c>
      <c r="B405" s="188">
        <v>46182.0</v>
      </c>
      <c r="C405" s="26" t="s">
        <v>47</v>
      </c>
      <c r="D405" s="26" t="s">
        <v>48</v>
      </c>
      <c r="E405" s="27" t="s">
        <v>6070</v>
      </c>
      <c r="F405" s="21">
        <v>5.44485907E8</v>
      </c>
      <c r="G405" s="27" t="s">
        <v>41</v>
      </c>
      <c r="H405" s="26" t="s">
        <v>222</v>
      </c>
      <c r="I405" s="179" t="s">
        <v>6071</v>
      </c>
      <c r="J405" s="27" t="s">
        <v>6072</v>
      </c>
      <c r="K405" s="26" t="s">
        <v>36</v>
      </c>
      <c r="L405" s="35">
        <v>0.5708333333333333</v>
      </c>
      <c r="M405" s="27" t="s">
        <v>101</v>
      </c>
      <c r="N405" s="26" t="s">
        <v>56</v>
      </c>
      <c r="O405" s="26" t="s">
        <v>518</v>
      </c>
      <c r="P405" s="27" t="s">
        <v>3765</v>
      </c>
      <c r="Q405" s="26" t="s">
        <v>44</v>
      </c>
      <c r="R405" s="26" t="s">
        <v>46</v>
      </c>
      <c r="S405" s="35">
        <v>0.7013888888888888</v>
      </c>
      <c r="T405" s="27" t="s">
        <v>3765</v>
      </c>
      <c r="U405" s="26" t="s">
        <v>49</v>
      </c>
      <c r="V405" s="26">
        <v>5.0</v>
      </c>
    </row>
    <row r="406">
      <c r="A406" s="175">
        <v>406.0</v>
      </c>
      <c r="B406" s="176">
        <v>46182.0</v>
      </c>
      <c r="C406" s="175" t="s">
        <v>58</v>
      </c>
      <c r="D406" s="175" t="s">
        <v>60</v>
      </c>
      <c r="E406" s="175" t="s">
        <v>27</v>
      </c>
      <c r="F406" s="178">
        <v>5.42528028E8</v>
      </c>
      <c r="G406" s="177"/>
      <c r="H406" s="175" t="s">
        <v>27</v>
      </c>
      <c r="I406" s="179" t="s">
        <v>554</v>
      </c>
      <c r="J406" s="177"/>
      <c r="K406" s="175" t="s">
        <v>36</v>
      </c>
      <c r="L406" s="180"/>
      <c r="M406" s="181" t="s">
        <v>88</v>
      </c>
      <c r="N406" s="175" t="s">
        <v>40</v>
      </c>
      <c r="O406" s="175" t="s">
        <v>42</v>
      </c>
      <c r="P406" s="177" t="s">
        <v>3566</v>
      </c>
      <c r="Q406" s="175" t="s">
        <v>44</v>
      </c>
      <c r="R406" s="175"/>
      <c r="S406" s="180"/>
      <c r="T406" s="177"/>
      <c r="U406" s="175"/>
      <c r="V406" s="175"/>
    </row>
    <row r="407" ht="53.25" customHeight="1">
      <c r="A407" s="175">
        <v>407.0</v>
      </c>
      <c r="B407" s="176">
        <v>46182.0</v>
      </c>
      <c r="C407" s="175" t="s">
        <v>47</v>
      </c>
      <c r="D407" s="175" t="s">
        <v>92</v>
      </c>
      <c r="E407" s="175" t="s">
        <v>27</v>
      </c>
      <c r="F407" s="178" t="s">
        <v>27</v>
      </c>
      <c r="G407" s="177" t="s">
        <v>71</v>
      </c>
      <c r="H407" s="175" t="s">
        <v>1801</v>
      </c>
      <c r="I407" s="305" t="s">
        <v>6078</v>
      </c>
      <c r="J407" s="177"/>
      <c r="K407" s="175" t="s">
        <v>3070</v>
      </c>
      <c r="L407" s="180"/>
      <c r="M407" s="27" t="s">
        <v>953</v>
      </c>
      <c r="N407" s="175" t="s">
        <v>40</v>
      </c>
      <c r="O407" s="175" t="s">
        <v>518</v>
      </c>
      <c r="P407" s="177" t="s">
        <v>3765</v>
      </c>
      <c r="Q407" s="175" t="s">
        <v>49</v>
      </c>
      <c r="R407" s="175" t="s">
        <v>46</v>
      </c>
      <c r="S407" s="180"/>
      <c r="T407" s="177"/>
      <c r="U407" s="175"/>
      <c r="V407" s="175"/>
    </row>
    <row r="408">
      <c r="A408" s="175">
        <v>408.0</v>
      </c>
      <c r="B408" s="176">
        <v>46182.0</v>
      </c>
      <c r="C408" s="175" t="s">
        <v>47</v>
      </c>
      <c r="D408" s="175" t="s">
        <v>138</v>
      </c>
      <c r="E408" s="175" t="s">
        <v>6085</v>
      </c>
      <c r="F408" s="178" t="s">
        <v>27</v>
      </c>
      <c r="G408" s="177" t="s">
        <v>79</v>
      </c>
      <c r="H408" s="175" t="s">
        <v>638</v>
      </c>
      <c r="I408" s="179" t="s">
        <v>6086</v>
      </c>
      <c r="J408" s="177" t="s">
        <v>6087</v>
      </c>
      <c r="K408" s="175" t="s">
        <v>148</v>
      </c>
      <c r="L408" s="180"/>
      <c r="M408" s="177" t="s">
        <v>713</v>
      </c>
      <c r="N408" s="175" t="s">
        <v>40</v>
      </c>
      <c r="O408" s="175" t="s">
        <v>518</v>
      </c>
      <c r="P408" s="177" t="s">
        <v>3566</v>
      </c>
      <c r="Q408" s="175" t="s">
        <v>49</v>
      </c>
      <c r="R408" s="175" t="s">
        <v>46</v>
      </c>
      <c r="S408" s="180"/>
      <c r="T408" s="177"/>
      <c r="U408" s="175"/>
      <c r="V408" s="175"/>
    </row>
    <row r="409">
      <c r="A409" s="175">
        <v>409.0</v>
      </c>
      <c r="B409" s="176">
        <v>46182.0</v>
      </c>
      <c r="C409" s="175" t="s">
        <v>21</v>
      </c>
      <c r="D409" s="175" t="s">
        <v>22</v>
      </c>
      <c r="E409" s="177" t="s">
        <v>6093</v>
      </c>
      <c r="F409" s="178">
        <v>5.55583319E8</v>
      </c>
      <c r="G409" s="177" t="s">
        <v>333</v>
      </c>
      <c r="H409" s="175" t="s">
        <v>27</v>
      </c>
      <c r="I409" s="179" t="s">
        <v>6094</v>
      </c>
      <c r="J409" s="177"/>
      <c r="K409" s="175" t="s">
        <v>36</v>
      </c>
      <c r="L409" s="180"/>
      <c r="M409" s="177" t="s">
        <v>38</v>
      </c>
      <c r="N409" s="175" t="s">
        <v>40</v>
      </c>
      <c r="O409" s="175" t="s">
        <v>42</v>
      </c>
      <c r="P409" s="177" t="s">
        <v>3566</v>
      </c>
      <c r="Q409" s="175" t="s">
        <v>44</v>
      </c>
      <c r="R409" s="175" t="s">
        <v>46</v>
      </c>
      <c r="S409" s="180"/>
      <c r="T409" s="177"/>
      <c r="U409" s="175"/>
      <c r="V409" s="175"/>
    </row>
    <row r="410">
      <c r="A410" s="175">
        <v>410.0</v>
      </c>
      <c r="B410" s="176">
        <v>46182.0</v>
      </c>
      <c r="C410" s="175" t="s">
        <v>21</v>
      </c>
      <c r="D410" s="175" t="s">
        <v>22</v>
      </c>
      <c r="E410" s="177" t="s">
        <v>6098</v>
      </c>
      <c r="F410" s="178">
        <v>5.6125206E8</v>
      </c>
      <c r="G410" s="177" t="s">
        <v>41</v>
      </c>
      <c r="H410" s="175" t="s">
        <v>27</v>
      </c>
      <c r="I410" s="179" t="s">
        <v>6100</v>
      </c>
      <c r="J410" s="177"/>
      <c r="K410" s="175" t="s">
        <v>36</v>
      </c>
      <c r="L410" s="180"/>
      <c r="M410" s="177" t="s">
        <v>38</v>
      </c>
      <c r="N410" s="175" t="s">
        <v>40</v>
      </c>
      <c r="O410" s="175" t="s">
        <v>42</v>
      </c>
      <c r="P410" s="177" t="s">
        <v>3566</v>
      </c>
      <c r="Q410" s="175" t="s">
        <v>44</v>
      </c>
      <c r="R410" s="175" t="s">
        <v>46</v>
      </c>
      <c r="S410" s="180"/>
      <c r="T410" s="177"/>
      <c r="U410" s="175"/>
      <c r="V410" s="175"/>
    </row>
    <row r="411">
      <c r="A411" s="175">
        <v>411.0</v>
      </c>
      <c r="B411" s="176">
        <v>46182.0</v>
      </c>
      <c r="C411" s="175" t="s">
        <v>21</v>
      </c>
      <c r="D411" s="175" t="s">
        <v>22</v>
      </c>
      <c r="E411" s="177" t="s">
        <v>6101</v>
      </c>
      <c r="F411" s="178">
        <v>5.66701155E8</v>
      </c>
      <c r="G411" s="177" t="s">
        <v>362</v>
      </c>
      <c r="H411" s="175" t="s">
        <v>27</v>
      </c>
      <c r="I411" s="305" t="s">
        <v>6102</v>
      </c>
      <c r="J411" s="177"/>
      <c r="K411" s="175" t="s">
        <v>62</v>
      </c>
      <c r="L411" s="180"/>
      <c r="M411" s="177" t="s">
        <v>1389</v>
      </c>
      <c r="N411" s="175" t="s">
        <v>40</v>
      </c>
      <c r="O411" s="175" t="s">
        <v>42</v>
      </c>
      <c r="P411" s="177" t="s">
        <v>3566</v>
      </c>
      <c r="Q411" s="175" t="s">
        <v>44</v>
      </c>
      <c r="R411" s="175" t="s">
        <v>46</v>
      </c>
      <c r="S411" s="180"/>
      <c r="T411" s="177"/>
      <c r="U411" s="175"/>
      <c r="V411" s="175"/>
    </row>
    <row r="412">
      <c r="A412" s="175">
        <v>412.0</v>
      </c>
      <c r="B412" s="176">
        <v>46182.0</v>
      </c>
      <c r="C412" s="175" t="s">
        <v>47</v>
      </c>
      <c r="D412" s="175" t="s">
        <v>92</v>
      </c>
      <c r="E412" s="177" t="s">
        <v>6108</v>
      </c>
      <c r="F412" s="178">
        <v>5.44423294E8</v>
      </c>
      <c r="G412" s="177" t="s">
        <v>71</v>
      </c>
      <c r="H412" s="175" t="s">
        <v>6109</v>
      </c>
      <c r="I412" s="305" t="s">
        <v>6110</v>
      </c>
      <c r="J412" s="177" t="s">
        <v>6111</v>
      </c>
      <c r="K412" s="175" t="s">
        <v>62</v>
      </c>
      <c r="L412" s="180">
        <v>0.6666666666666666</v>
      </c>
      <c r="M412" s="27" t="s">
        <v>2143</v>
      </c>
      <c r="N412" s="175" t="s">
        <v>40</v>
      </c>
      <c r="O412" s="175" t="s">
        <v>518</v>
      </c>
      <c r="P412" s="177" t="s">
        <v>3765</v>
      </c>
      <c r="Q412" s="175" t="s">
        <v>44</v>
      </c>
      <c r="R412" s="175" t="s">
        <v>46</v>
      </c>
      <c r="S412" s="180">
        <v>0.6909722222222222</v>
      </c>
      <c r="T412" s="177" t="s">
        <v>3566</v>
      </c>
      <c r="U412" s="175" t="s">
        <v>44</v>
      </c>
      <c r="V412" s="175"/>
    </row>
    <row r="413">
      <c r="A413" s="175">
        <v>413.0</v>
      </c>
      <c r="B413" s="176">
        <v>46182.0</v>
      </c>
      <c r="C413" s="175" t="s">
        <v>47</v>
      </c>
      <c r="D413" s="175" t="s">
        <v>92</v>
      </c>
      <c r="E413" s="177" t="s">
        <v>6115</v>
      </c>
      <c r="F413" s="178">
        <v>5.45215554E8</v>
      </c>
      <c r="G413" s="177" t="s">
        <v>76</v>
      </c>
      <c r="H413" s="175" t="s">
        <v>1150</v>
      </c>
      <c r="I413" s="179" t="s">
        <v>6116</v>
      </c>
      <c r="J413" s="369"/>
      <c r="K413" s="175" t="s">
        <v>36</v>
      </c>
      <c r="L413" s="180">
        <v>0.6944444444444444</v>
      </c>
      <c r="M413" s="112" t="s">
        <v>4703</v>
      </c>
      <c r="N413" s="175" t="s">
        <v>40</v>
      </c>
      <c r="O413" s="175" t="s">
        <v>518</v>
      </c>
      <c r="P413" s="177" t="s">
        <v>3765</v>
      </c>
      <c r="Q413" s="175" t="s">
        <v>44</v>
      </c>
      <c r="R413" s="175" t="s">
        <v>46</v>
      </c>
      <c r="S413" s="199">
        <v>0.6083333333333333</v>
      </c>
      <c r="T413" s="177" t="s">
        <v>3765</v>
      </c>
      <c r="U413" s="175" t="s">
        <v>44</v>
      </c>
      <c r="V413" s="175"/>
    </row>
    <row r="414" ht="67.5" customHeight="1">
      <c r="A414" s="26">
        <v>414.0</v>
      </c>
      <c r="B414" s="188">
        <v>46183.0</v>
      </c>
      <c r="C414" s="26" t="s">
        <v>47</v>
      </c>
      <c r="D414" s="26" t="s">
        <v>48</v>
      </c>
      <c r="E414" s="27" t="s">
        <v>6119</v>
      </c>
      <c r="F414" s="21">
        <v>5.31505456E8</v>
      </c>
      <c r="G414" s="27" t="s">
        <v>41</v>
      </c>
      <c r="H414" s="26" t="s">
        <v>956</v>
      </c>
      <c r="I414" s="179" t="s">
        <v>6121</v>
      </c>
      <c r="J414" s="27" t="s">
        <v>6122</v>
      </c>
      <c r="K414" s="26" t="s">
        <v>36</v>
      </c>
      <c r="L414" s="35">
        <v>0.669224537037037</v>
      </c>
      <c r="M414" s="27" t="s">
        <v>101</v>
      </c>
      <c r="N414" s="26" t="s">
        <v>56</v>
      </c>
      <c r="O414" s="26" t="s">
        <v>518</v>
      </c>
      <c r="P414" s="27" t="s">
        <v>3765</v>
      </c>
      <c r="Q414" s="26" t="s">
        <v>44</v>
      </c>
      <c r="R414" s="26" t="s">
        <v>46</v>
      </c>
      <c r="S414" s="35">
        <v>0.5972222222222222</v>
      </c>
      <c r="T414" s="27" t="s">
        <v>3997</v>
      </c>
      <c r="U414" s="26" t="s">
        <v>44</v>
      </c>
      <c r="V414" s="26"/>
    </row>
    <row r="415">
      <c r="A415" s="26">
        <v>415.0</v>
      </c>
      <c r="B415" s="188">
        <v>46183.0</v>
      </c>
      <c r="C415" s="26" t="s">
        <v>47</v>
      </c>
      <c r="D415" s="26" t="s">
        <v>48</v>
      </c>
      <c r="E415" s="27" t="s">
        <v>6124</v>
      </c>
      <c r="F415" s="21">
        <v>5.47342109E8</v>
      </c>
      <c r="G415" s="27" t="s">
        <v>41</v>
      </c>
      <c r="H415" s="26" t="s">
        <v>513</v>
      </c>
      <c r="I415" s="179" t="s">
        <v>6125</v>
      </c>
      <c r="J415" s="27"/>
      <c r="K415" s="26" t="s">
        <v>36</v>
      </c>
      <c r="L415" s="35">
        <v>0.6747453703703704</v>
      </c>
      <c r="M415" s="245" t="s">
        <v>3926</v>
      </c>
      <c r="N415" s="26" t="s">
        <v>40</v>
      </c>
      <c r="O415" s="26" t="s">
        <v>301</v>
      </c>
      <c r="P415" s="27" t="s">
        <v>3566</v>
      </c>
      <c r="Q415" s="26" t="s">
        <v>44</v>
      </c>
      <c r="R415" s="26" t="s">
        <v>46</v>
      </c>
      <c r="S415" s="35">
        <v>0.6159722222222223</v>
      </c>
      <c r="T415" s="27" t="s">
        <v>3566</v>
      </c>
      <c r="U415" s="26" t="s">
        <v>44</v>
      </c>
      <c r="V415" s="26">
        <v>5.0</v>
      </c>
    </row>
    <row r="416">
      <c r="A416" s="175">
        <v>416.0</v>
      </c>
      <c r="B416" s="176">
        <v>46183.0</v>
      </c>
      <c r="C416" s="175" t="s">
        <v>21</v>
      </c>
      <c r="D416" s="175" t="s">
        <v>66</v>
      </c>
      <c r="E416" s="177" t="s">
        <v>6129</v>
      </c>
      <c r="F416" s="178">
        <v>5.9407339E8</v>
      </c>
      <c r="G416" s="177" t="s">
        <v>1452</v>
      </c>
      <c r="H416" s="175" t="s">
        <v>27</v>
      </c>
      <c r="I416" s="179" t="s">
        <v>6130</v>
      </c>
      <c r="J416" s="177" t="s">
        <v>6131</v>
      </c>
      <c r="K416" s="175" t="s">
        <v>39</v>
      </c>
      <c r="L416" s="301">
        <v>0.4791666666666667</v>
      </c>
      <c r="M416" s="181" t="s">
        <v>208</v>
      </c>
      <c r="N416" s="175" t="s">
        <v>40</v>
      </c>
      <c r="O416" s="175" t="s">
        <v>42</v>
      </c>
      <c r="P416" s="177" t="s">
        <v>3566</v>
      </c>
      <c r="Q416" s="175" t="s">
        <v>44</v>
      </c>
      <c r="R416" s="175"/>
      <c r="S416" s="180"/>
      <c r="T416" s="177"/>
      <c r="U416" s="175"/>
      <c r="V416" s="175"/>
    </row>
    <row r="417">
      <c r="A417" s="175">
        <v>417.0</v>
      </c>
      <c r="B417" s="176">
        <v>46183.0</v>
      </c>
      <c r="C417" s="175" t="s">
        <v>58</v>
      </c>
      <c r="D417" s="175" t="s">
        <v>66</v>
      </c>
      <c r="E417" s="177" t="s">
        <v>6132</v>
      </c>
      <c r="F417" s="178">
        <v>5.0650955E8</v>
      </c>
      <c r="G417" s="177" t="s">
        <v>71</v>
      </c>
      <c r="H417" s="175" t="s">
        <v>27</v>
      </c>
      <c r="I417" s="179" t="s">
        <v>6134</v>
      </c>
      <c r="J417" s="177" t="s">
        <v>6001</v>
      </c>
      <c r="K417" s="175" t="s">
        <v>62</v>
      </c>
      <c r="L417" s="180"/>
      <c r="M417" s="181" t="s">
        <v>208</v>
      </c>
      <c r="N417" s="175" t="s">
        <v>40</v>
      </c>
      <c r="O417" s="175" t="s">
        <v>42</v>
      </c>
      <c r="P417" s="177" t="s">
        <v>3566</v>
      </c>
      <c r="Q417" s="175" t="s">
        <v>44</v>
      </c>
      <c r="R417" s="175"/>
      <c r="S417" s="180"/>
      <c r="T417" s="177"/>
      <c r="U417" s="175"/>
      <c r="V417" s="175"/>
    </row>
    <row r="418">
      <c r="A418" s="175">
        <v>418.0</v>
      </c>
      <c r="B418" s="176">
        <v>46183.0</v>
      </c>
      <c r="C418" s="175" t="s">
        <v>21</v>
      </c>
      <c r="D418" s="175" t="s">
        <v>24</v>
      </c>
      <c r="E418" s="348" t="s">
        <v>6139</v>
      </c>
      <c r="F418" s="371">
        <v>5.36145614E8</v>
      </c>
      <c r="G418" s="177" t="s">
        <v>319</v>
      </c>
      <c r="H418" s="175" t="s">
        <v>27</v>
      </c>
      <c r="I418" s="179" t="s">
        <v>6140</v>
      </c>
      <c r="J418" s="177"/>
      <c r="K418" s="175" t="s">
        <v>62</v>
      </c>
      <c r="L418" s="180"/>
      <c r="M418" s="177" t="s">
        <v>38</v>
      </c>
      <c r="N418" s="175" t="s">
        <v>56</v>
      </c>
      <c r="O418" s="175" t="s">
        <v>42</v>
      </c>
      <c r="P418" s="177" t="s">
        <v>3566</v>
      </c>
      <c r="Q418" s="175" t="s">
        <v>44</v>
      </c>
      <c r="R418" s="175" t="s">
        <v>46</v>
      </c>
      <c r="S418" s="180"/>
      <c r="T418" s="177"/>
      <c r="U418" s="175"/>
      <c r="V418" s="175"/>
    </row>
    <row r="419">
      <c r="A419" s="175">
        <v>419.0</v>
      </c>
      <c r="B419" s="176">
        <v>46183.0</v>
      </c>
      <c r="C419" s="175" t="s">
        <v>58</v>
      </c>
      <c r="D419" s="175" t="s">
        <v>60</v>
      </c>
      <c r="E419" s="175" t="s">
        <v>27</v>
      </c>
      <c r="F419" s="178">
        <v>5.04121163E8</v>
      </c>
      <c r="G419" s="177"/>
      <c r="H419" s="175" t="s">
        <v>27</v>
      </c>
      <c r="I419" s="179" t="s">
        <v>6141</v>
      </c>
      <c r="J419" s="177"/>
      <c r="K419" s="175" t="s">
        <v>62</v>
      </c>
      <c r="L419" s="180"/>
      <c r="M419" s="181" t="s">
        <v>88</v>
      </c>
      <c r="N419" s="175" t="s">
        <v>40</v>
      </c>
      <c r="O419" s="175" t="s">
        <v>42</v>
      </c>
      <c r="P419" s="177" t="s">
        <v>3566</v>
      </c>
      <c r="Q419" s="175" t="s">
        <v>44</v>
      </c>
      <c r="R419" s="175"/>
      <c r="S419" s="180"/>
      <c r="T419" s="177"/>
      <c r="U419" s="175"/>
      <c r="V419" s="175"/>
    </row>
    <row r="420">
      <c r="A420" s="175">
        <v>420.0</v>
      </c>
      <c r="B420" s="176">
        <v>46183.0</v>
      </c>
      <c r="C420" s="175" t="s">
        <v>21</v>
      </c>
      <c r="D420" s="175" t="s">
        <v>66</v>
      </c>
      <c r="E420" s="175" t="s">
        <v>27</v>
      </c>
      <c r="F420" s="178">
        <v>5.0284646E8</v>
      </c>
      <c r="G420" s="175" t="s">
        <v>27</v>
      </c>
      <c r="H420" s="175" t="s">
        <v>27</v>
      </c>
      <c r="I420" s="305" t="s">
        <v>6147</v>
      </c>
      <c r="J420" s="177" t="s">
        <v>6131</v>
      </c>
      <c r="K420" s="175" t="s">
        <v>62</v>
      </c>
      <c r="L420" s="180"/>
      <c r="M420" s="181" t="s">
        <v>208</v>
      </c>
      <c r="N420" s="175" t="s">
        <v>40</v>
      </c>
      <c r="O420" s="175" t="s">
        <v>42</v>
      </c>
      <c r="P420" s="177" t="s">
        <v>3566</v>
      </c>
      <c r="Q420" s="175" t="s">
        <v>44</v>
      </c>
      <c r="R420" s="175"/>
      <c r="S420" s="180"/>
      <c r="T420" s="177"/>
      <c r="U420" s="175"/>
      <c r="V420" s="175"/>
    </row>
    <row r="421">
      <c r="A421" s="175">
        <v>421.0</v>
      </c>
      <c r="B421" s="176">
        <v>46183.0</v>
      </c>
      <c r="C421" s="175" t="s">
        <v>21</v>
      </c>
      <c r="D421" s="175" t="s">
        <v>22</v>
      </c>
      <c r="E421" s="177" t="s">
        <v>6151</v>
      </c>
      <c r="F421" s="178">
        <v>5.54178531E8</v>
      </c>
      <c r="G421" s="175" t="s">
        <v>27</v>
      </c>
      <c r="H421" s="175" t="s">
        <v>27</v>
      </c>
      <c r="I421" s="179" t="s">
        <v>6152</v>
      </c>
      <c r="J421" s="177"/>
      <c r="K421" s="175" t="s">
        <v>62</v>
      </c>
      <c r="L421" s="180">
        <v>0.4375</v>
      </c>
      <c r="M421" s="177" t="s">
        <v>38</v>
      </c>
      <c r="N421" s="175" t="s">
        <v>40</v>
      </c>
      <c r="O421" s="175" t="s">
        <v>42</v>
      </c>
      <c r="P421" s="177" t="s">
        <v>3566</v>
      </c>
      <c r="Q421" s="175" t="s">
        <v>44</v>
      </c>
      <c r="R421" s="175" t="s">
        <v>46</v>
      </c>
      <c r="S421" s="180"/>
      <c r="T421" s="177"/>
      <c r="U421" s="175"/>
      <c r="V421" s="175"/>
    </row>
    <row r="422">
      <c r="A422" s="175">
        <v>422.0</v>
      </c>
      <c r="B422" s="176">
        <v>46183.0</v>
      </c>
      <c r="C422" s="175" t="s">
        <v>58</v>
      </c>
      <c r="D422" s="175" t="s">
        <v>60</v>
      </c>
      <c r="E422" s="175" t="s">
        <v>27</v>
      </c>
      <c r="F422" s="178">
        <v>5.79413851E8</v>
      </c>
      <c r="G422" s="175" t="s">
        <v>27</v>
      </c>
      <c r="H422" s="175" t="s">
        <v>27</v>
      </c>
      <c r="I422" s="179" t="s">
        <v>2833</v>
      </c>
      <c r="J422" s="177" t="s">
        <v>6156</v>
      </c>
      <c r="K422" s="175" t="s">
        <v>36</v>
      </c>
      <c r="L422" s="180">
        <v>0.3680555555555556</v>
      </c>
      <c r="M422" s="181" t="s">
        <v>88</v>
      </c>
      <c r="N422" s="175" t="s">
        <v>56</v>
      </c>
      <c r="O422" s="175" t="s">
        <v>42</v>
      </c>
      <c r="P422" s="177" t="s">
        <v>3566</v>
      </c>
      <c r="Q422" s="175" t="s">
        <v>44</v>
      </c>
      <c r="R422" s="175"/>
      <c r="S422" s="180"/>
      <c r="T422" s="177"/>
      <c r="U422" s="175"/>
      <c r="V422" s="175"/>
    </row>
    <row r="423">
      <c r="A423" s="175">
        <v>423.0</v>
      </c>
      <c r="B423" s="176">
        <v>46183.0</v>
      </c>
      <c r="C423" s="175" t="s">
        <v>21</v>
      </c>
      <c r="D423" s="175" t="s">
        <v>57</v>
      </c>
      <c r="E423" s="177" t="s">
        <v>6159</v>
      </c>
      <c r="F423" s="178">
        <v>5.02499133E8</v>
      </c>
      <c r="G423" s="177" t="s">
        <v>1452</v>
      </c>
      <c r="H423" s="175" t="s">
        <v>27</v>
      </c>
      <c r="I423" s="209" t="s">
        <v>6160</v>
      </c>
      <c r="J423" s="177" t="s">
        <v>6161</v>
      </c>
      <c r="K423" s="175" t="s">
        <v>36</v>
      </c>
      <c r="L423" s="180">
        <v>0.4027777777777778</v>
      </c>
      <c r="M423" s="177" t="s">
        <v>38</v>
      </c>
      <c r="N423" s="175" t="s">
        <v>56</v>
      </c>
      <c r="O423" s="175" t="s">
        <v>42</v>
      </c>
      <c r="P423" s="177" t="s">
        <v>3566</v>
      </c>
      <c r="Q423" s="175" t="s">
        <v>44</v>
      </c>
      <c r="R423" s="175"/>
      <c r="S423" s="180"/>
      <c r="T423" s="177"/>
      <c r="U423" s="175"/>
      <c r="V423" s="175"/>
    </row>
    <row r="424">
      <c r="A424" s="175">
        <v>424.0</v>
      </c>
      <c r="B424" s="176">
        <v>46183.0</v>
      </c>
      <c r="C424" s="175" t="s">
        <v>21</v>
      </c>
      <c r="D424" s="175" t="s">
        <v>22</v>
      </c>
      <c r="E424" s="177" t="s">
        <v>6164</v>
      </c>
      <c r="F424" s="178">
        <v>5.66344611E8</v>
      </c>
      <c r="G424" s="177" t="s">
        <v>2756</v>
      </c>
      <c r="H424" s="175" t="s">
        <v>27</v>
      </c>
      <c r="I424" s="179" t="s">
        <v>6167</v>
      </c>
      <c r="J424" s="177"/>
      <c r="K424" s="175" t="s">
        <v>62</v>
      </c>
      <c r="L424" s="180">
        <v>0.4375</v>
      </c>
      <c r="M424" s="181" t="s">
        <v>125</v>
      </c>
      <c r="N424" s="175" t="s">
        <v>40</v>
      </c>
      <c r="O424" s="175" t="s">
        <v>42</v>
      </c>
      <c r="P424" s="177" t="s">
        <v>3566</v>
      </c>
      <c r="Q424" s="175" t="s">
        <v>44</v>
      </c>
      <c r="R424" s="175" t="s">
        <v>46</v>
      </c>
      <c r="S424" s="180"/>
      <c r="T424" s="177"/>
      <c r="U424" s="175"/>
      <c r="V424" s="175"/>
    </row>
    <row r="425">
      <c r="A425" s="175">
        <v>425.0</v>
      </c>
      <c r="B425" s="176">
        <v>46183.0</v>
      </c>
      <c r="C425" s="175" t="s">
        <v>21</v>
      </c>
      <c r="D425" s="175" t="s">
        <v>22</v>
      </c>
      <c r="E425" s="177" t="s">
        <v>6169</v>
      </c>
      <c r="F425" s="178">
        <v>5.80089932E8</v>
      </c>
      <c r="G425" s="177" t="s">
        <v>71</v>
      </c>
      <c r="H425" s="175" t="s">
        <v>27</v>
      </c>
      <c r="I425" s="179" t="s">
        <v>6170</v>
      </c>
      <c r="J425" s="177"/>
      <c r="K425" s="175" t="s">
        <v>39</v>
      </c>
      <c r="L425" s="301">
        <v>0.4791666666666667</v>
      </c>
      <c r="M425" s="181" t="s">
        <v>125</v>
      </c>
      <c r="N425" s="175" t="s">
        <v>40</v>
      </c>
      <c r="O425" s="175" t="s">
        <v>42</v>
      </c>
      <c r="P425" s="177" t="s">
        <v>3566</v>
      </c>
      <c r="Q425" s="175" t="s">
        <v>44</v>
      </c>
      <c r="R425" s="175" t="s">
        <v>46</v>
      </c>
      <c r="S425" s="180"/>
      <c r="T425" s="177"/>
      <c r="U425" s="175"/>
      <c r="V425" s="175"/>
    </row>
    <row r="426">
      <c r="A426" s="175">
        <v>426.0</v>
      </c>
      <c r="B426" s="176">
        <v>46183.0</v>
      </c>
      <c r="C426" s="175" t="s">
        <v>47</v>
      </c>
      <c r="D426" s="175" t="s">
        <v>48</v>
      </c>
      <c r="E426" s="177" t="s">
        <v>6172</v>
      </c>
      <c r="F426" s="178" t="s">
        <v>27</v>
      </c>
      <c r="G426" s="177" t="s">
        <v>28</v>
      </c>
      <c r="H426" s="175" t="s">
        <v>587</v>
      </c>
      <c r="I426" s="179" t="s">
        <v>6173</v>
      </c>
      <c r="J426" s="27" t="s">
        <v>6174</v>
      </c>
      <c r="K426" s="175" t="s">
        <v>78</v>
      </c>
      <c r="L426" s="180"/>
      <c r="M426" s="177" t="s">
        <v>101</v>
      </c>
      <c r="N426" s="175" t="s">
        <v>56</v>
      </c>
      <c r="O426" s="175" t="s">
        <v>518</v>
      </c>
      <c r="P426" s="177" t="s">
        <v>3765</v>
      </c>
      <c r="Q426" s="175" t="s">
        <v>49</v>
      </c>
      <c r="R426" s="175" t="s">
        <v>46</v>
      </c>
      <c r="S426" s="180"/>
      <c r="T426" s="177"/>
      <c r="U426" s="175"/>
      <c r="V426" s="175"/>
    </row>
    <row r="427">
      <c r="A427" s="175">
        <v>427.0</v>
      </c>
      <c r="B427" s="176">
        <v>46183.0</v>
      </c>
      <c r="C427" s="175" t="s">
        <v>47</v>
      </c>
      <c r="D427" s="175" t="s">
        <v>138</v>
      </c>
      <c r="E427" s="175" t="s">
        <v>6178</v>
      </c>
      <c r="F427" s="178" t="s">
        <v>27</v>
      </c>
      <c r="G427" s="177" t="s">
        <v>41</v>
      </c>
      <c r="H427" s="175" t="s">
        <v>146</v>
      </c>
      <c r="I427" s="179" t="s">
        <v>6180</v>
      </c>
      <c r="J427" s="177" t="s">
        <v>6181</v>
      </c>
      <c r="K427" s="175" t="s">
        <v>78</v>
      </c>
      <c r="L427" s="180"/>
      <c r="M427" s="177" t="s">
        <v>713</v>
      </c>
      <c r="N427" s="175" t="s">
        <v>56</v>
      </c>
      <c r="O427" s="175" t="s">
        <v>518</v>
      </c>
      <c r="P427" s="177" t="s">
        <v>3566</v>
      </c>
      <c r="Q427" s="175" t="s">
        <v>49</v>
      </c>
      <c r="R427" s="175" t="s">
        <v>46</v>
      </c>
      <c r="S427" s="180"/>
      <c r="T427" s="177"/>
      <c r="U427" s="175"/>
      <c r="V427" s="175"/>
    </row>
    <row r="428">
      <c r="A428" s="175">
        <v>428.0</v>
      </c>
      <c r="B428" s="176">
        <v>46183.0</v>
      </c>
      <c r="C428" s="175" t="s">
        <v>47</v>
      </c>
      <c r="D428" s="175" t="s">
        <v>48</v>
      </c>
      <c r="E428" s="348" t="s">
        <v>6184</v>
      </c>
      <c r="F428" s="178" t="s">
        <v>27</v>
      </c>
      <c r="G428" s="177" t="s">
        <v>41</v>
      </c>
      <c r="H428" s="175" t="s">
        <v>956</v>
      </c>
      <c r="I428" s="27" t="s">
        <v>6185</v>
      </c>
      <c r="J428" s="27" t="s">
        <v>6186</v>
      </c>
      <c r="K428" s="175" t="s">
        <v>78</v>
      </c>
      <c r="L428" s="180"/>
      <c r="M428" s="177" t="s">
        <v>101</v>
      </c>
      <c r="N428" s="175" t="s">
        <v>56</v>
      </c>
      <c r="O428" s="175" t="s">
        <v>518</v>
      </c>
      <c r="P428" s="177" t="s">
        <v>3765</v>
      </c>
      <c r="Q428" s="175" t="s">
        <v>49</v>
      </c>
      <c r="R428" s="175" t="s">
        <v>46</v>
      </c>
      <c r="S428" s="180"/>
      <c r="T428" s="177"/>
      <c r="U428" s="175"/>
      <c r="V428" s="175"/>
    </row>
    <row r="429">
      <c r="A429" s="175">
        <v>429.0</v>
      </c>
      <c r="B429" s="176">
        <v>46183.0</v>
      </c>
      <c r="C429" s="175" t="s">
        <v>21</v>
      </c>
      <c r="D429" s="175" t="s">
        <v>22</v>
      </c>
      <c r="E429" s="177" t="s">
        <v>6189</v>
      </c>
      <c r="F429" s="178">
        <v>5.09520138E8</v>
      </c>
      <c r="G429" s="177" t="s">
        <v>71</v>
      </c>
      <c r="H429" s="175" t="s">
        <v>27</v>
      </c>
      <c r="I429" s="179" t="s">
        <v>6190</v>
      </c>
      <c r="J429" s="177"/>
      <c r="K429" s="175" t="s">
        <v>36</v>
      </c>
      <c r="L429" s="180"/>
      <c r="M429" s="177" t="s">
        <v>38</v>
      </c>
      <c r="N429" s="175" t="s">
        <v>40</v>
      </c>
      <c r="O429" s="175" t="s">
        <v>42</v>
      </c>
      <c r="P429" s="177" t="s">
        <v>3566</v>
      </c>
      <c r="Q429" s="175" t="s">
        <v>49</v>
      </c>
      <c r="R429" s="175" t="s">
        <v>46</v>
      </c>
      <c r="S429" s="180"/>
      <c r="T429" s="177"/>
      <c r="U429" s="175"/>
      <c r="V429" s="175"/>
    </row>
    <row r="430">
      <c r="A430" s="175">
        <v>430.0</v>
      </c>
      <c r="B430" s="176">
        <v>46183.0</v>
      </c>
      <c r="C430" s="175" t="s">
        <v>58</v>
      </c>
      <c r="D430" s="175" t="s">
        <v>60</v>
      </c>
      <c r="E430" s="175" t="s">
        <v>27</v>
      </c>
      <c r="F430" s="178">
        <v>5.09486445E8</v>
      </c>
      <c r="G430" s="175" t="s">
        <v>27</v>
      </c>
      <c r="H430" s="175" t="s">
        <v>27</v>
      </c>
      <c r="I430" s="179" t="s">
        <v>6193</v>
      </c>
      <c r="J430" s="177" t="s">
        <v>6195</v>
      </c>
      <c r="K430" s="175" t="s">
        <v>36</v>
      </c>
      <c r="L430" s="180"/>
      <c r="M430" s="181" t="s">
        <v>88</v>
      </c>
      <c r="N430" s="175" t="s">
        <v>40</v>
      </c>
      <c r="O430" s="175" t="s">
        <v>42</v>
      </c>
      <c r="P430" s="177" t="s">
        <v>3566</v>
      </c>
      <c r="Q430" s="175" t="s">
        <v>44</v>
      </c>
      <c r="R430" s="175"/>
      <c r="S430" s="180"/>
      <c r="T430" s="177"/>
      <c r="U430" s="175"/>
      <c r="V430" s="175"/>
    </row>
    <row r="431">
      <c r="A431" s="175">
        <v>431.0</v>
      </c>
      <c r="B431" s="176">
        <v>46183.0</v>
      </c>
      <c r="C431" s="175" t="s">
        <v>21</v>
      </c>
      <c r="D431" s="175" t="s">
        <v>57</v>
      </c>
      <c r="E431" s="177" t="s">
        <v>6198</v>
      </c>
      <c r="F431" s="178">
        <v>5.4217196E8</v>
      </c>
      <c r="G431" s="177" t="s">
        <v>319</v>
      </c>
      <c r="H431" s="175" t="s">
        <v>27</v>
      </c>
      <c r="I431" s="179" t="s">
        <v>6200</v>
      </c>
      <c r="J431" s="177" t="s">
        <v>6202</v>
      </c>
      <c r="K431" s="175" t="s">
        <v>36</v>
      </c>
      <c r="L431" s="180"/>
      <c r="M431" s="177" t="s">
        <v>38</v>
      </c>
      <c r="N431" s="175" t="s">
        <v>56</v>
      </c>
      <c r="O431" s="175" t="s">
        <v>42</v>
      </c>
      <c r="P431" s="177" t="s">
        <v>3566</v>
      </c>
      <c r="Q431" s="175" t="s">
        <v>44</v>
      </c>
      <c r="R431" s="175"/>
      <c r="S431" s="180"/>
      <c r="T431" s="177"/>
      <c r="U431" s="175"/>
      <c r="V431" s="175"/>
    </row>
    <row r="432">
      <c r="A432" s="175">
        <v>432.0</v>
      </c>
      <c r="B432" s="176">
        <v>46183.0</v>
      </c>
      <c r="C432" s="175" t="s">
        <v>21</v>
      </c>
      <c r="D432" s="175" t="s">
        <v>22</v>
      </c>
      <c r="E432" s="177" t="s">
        <v>3742</v>
      </c>
      <c r="F432" s="178">
        <v>5.03155532E8</v>
      </c>
      <c r="G432" s="177" t="s">
        <v>447</v>
      </c>
      <c r="H432" s="175" t="s">
        <v>27</v>
      </c>
      <c r="I432" s="179" t="s">
        <v>6204</v>
      </c>
      <c r="J432" s="177"/>
      <c r="K432" s="175" t="s">
        <v>36</v>
      </c>
      <c r="L432" s="180">
        <v>0.4861111111111111</v>
      </c>
      <c r="M432" s="177" t="s">
        <v>38</v>
      </c>
      <c r="N432" s="175" t="s">
        <v>40</v>
      </c>
      <c r="O432" s="175" t="s">
        <v>42</v>
      </c>
      <c r="P432" s="177" t="s">
        <v>3566</v>
      </c>
      <c r="Q432" s="175" t="s">
        <v>44</v>
      </c>
      <c r="R432" s="175" t="s">
        <v>46</v>
      </c>
      <c r="S432" s="180"/>
      <c r="T432" s="177"/>
      <c r="U432" s="175"/>
      <c r="V432" s="175"/>
    </row>
    <row r="433">
      <c r="A433" s="26">
        <v>433.0</v>
      </c>
      <c r="B433" s="188">
        <v>46183.0</v>
      </c>
      <c r="C433" s="26" t="s">
        <v>47</v>
      </c>
      <c r="D433" s="26" t="s">
        <v>48</v>
      </c>
      <c r="E433" s="27" t="s">
        <v>6208</v>
      </c>
      <c r="F433" s="21">
        <v>5.55566339E8</v>
      </c>
      <c r="G433" s="27" t="s">
        <v>41</v>
      </c>
      <c r="H433" s="375" t="s">
        <v>97</v>
      </c>
      <c r="I433" s="179" t="s">
        <v>6209</v>
      </c>
      <c r="J433" s="376" t="s">
        <v>6210</v>
      </c>
      <c r="K433" s="26" t="s">
        <v>36</v>
      </c>
      <c r="L433" s="35">
        <v>0.48194444444444445</v>
      </c>
      <c r="M433" s="245" t="s">
        <v>5968</v>
      </c>
      <c r="N433" s="26" t="s">
        <v>56</v>
      </c>
      <c r="O433" s="26" t="s">
        <v>301</v>
      </c>
      <c r="P433" s="27" t="s">
        <v>3566</v>
      </c>
      <c r="Q433" s="26" t="s">
        <v>44</v>
      </c>
      <c r="R433" s="26" t="s">
        <v>46</v>
      </c>
      <c r="S433" s="35">
        <v>0.6027777777777777</v>
      </c>
      <c r="T433" s="27" t="s">
        <v>3765</v>
      </c>
      <c r="U433" s="26" t="s">
        <v>44</v>
      </c>
      <c r="V433" s="26">
        <v>5.0</v>
      </c>
    </row>
    <row r="434">
      <c r="A434" s="175">
        <v>434.0</v>
      </c>
      <c r="B434" s="176">
        <v>46183.0</v>
      </c>
      <c r="C434" s="175" t="s">
        <v>21</v>
      </c>
      <c r="D434" s="175" t="s">
        <v>22</v>
      </c>
      <c r="E434" s="177" t="s">
        <v>6213</v>
      </c>
      <c r="F434" s="178">
        <v>5.09839994E8</v>
      </c>
      <c r="G434" s="177" t="s">
        <v>1107</v>
      </c>
      <c r="H434" s="175" t="s">
        <v>27</v>
      </c>
      <c r="I434" s="179" t="s">
        <v>6215</v>
      </c>
      <c r="J434" s="177"/>
      <c r="K434" s="175" t="s">
        <v>36</v>
      </c>
      <c r="L434" s="180">
        <v>0.4930555555555556</v>
      </c>
      <c r="M434" s="177" t="s">
        <v>38</v>
      </c>
      <c r="N434" s="175" t="s">
        <v>40</v>
      </c>
      <c r="O434" s="175" t="s">
        <v>42</v>
      </c>
      <c r="P434" s="177" t="s">
        <v>3566</v>
      </c>
      <c r="Q434" s="175" t="s">
        <v>44</v>
      </c>
      <c r="R434" s="175" t="s">
        <v>46</v>
      </c>
      <c r="S434" s="180"/>
      <c r="T434" s="177"/>
      <c r="U434" s="175"/>
      <c r="V434" s="175"/>
    </row>
    <row r="435">
      <c r="A435" s="175">
        <v>435.0</v>
      </c>
      <c r="B435" s="176">
        <v>46183.0</v>
      </c>
      <c r="C435" s="175" t="s">
        <v>58</v>
      </c>
      <c r="D435" s="175" t="s">
        <v>60</v>
      </c>
      <c r="E435" s="175" t="s">
        <v>27</v>
      </c>
      <c r="F435" s="178">
        <v>5.07720468E8</v>
      </c>
      <c r="G435" s="175" t="s">
        <v>27</v>
      </c>
      <c r="H435" s="175" t="s">
        <v>27</v>
      </c>
      <c r="I435" s="179" t="s">
        <v>554</v>
      </c>
      <c r="J435" s="177"/>
      <c r="K435" s="175" t="s">
        <v>36</v>
      </c>
      <c r="L435" s="180"/>
      <c r="M435" s="181" t="s">
        <v>88</v>
      </c>
      <c r="N435" s="175" t="s">
        <v>40</v>
      </c>
      <c r="O435" s="175" t="s">
        <v>42</v>
      </c>
      <c r="P435" s="177" t="s">
        <v>3566</v>
      </c>
      <c r="Q435" s="175" t="s">
        <v>49</v>
      </c>
      <c r="R435" s="175"/>
      <c r="S435" s="180"/>
      <c r="T435" s="177"/>
      <c r="U435" s="175"/>
      <c r="V435" s="175"/>
    </row>
    <row r="436">
      <c r="A436" s="175">
        <v>436.0</v>
      </c>
      <c r="B436" s="176">
        <v>46183.0</v>
      </c>
      <c r="C436" s="175" t="s">
        <v>47</v>
      </c>
      <c r="D436" s="175" t="s">
        <v>92</v>
      </c>
      <c r="E436" s="175" t="s">
        <v>27</v>
      </c>
      <c r="F436" s="178">
        <v>5.45077726E8</v>
      </c>
      <c r="G436" s="177" t="s">
        <v>132</v>
      </c>
      <c r="H436" s="377" t="s">
        <v>406</v>
      </c>
      <c r="I436" s="179" t="s">
        <v>6221</v>
      </c>
      <c r="J436" s="177"/>
      <c r="K436" s="175" t="s">
        <v>36</v>
      </c>
      <c r="L436" s="180">
        <v>0.5479166666666667</v>
      </c>
      <c r="M436" s="275" t="s">
        <v>4368</v>
      </c>
      <c r="N436" s="175" t="s">
        <v>40</v>
      </c>
      <c r="O436" s="175" t="s">
        <v>518</v>
      </c>
      <c r="P436" s="177" t="s">
        <v>3765</v>
      </c>
      <c r="Q436" s="175" t="s">
        <v>49</v>
      </c>
      <c r="R436" s="175" t="s">
        <v>46</v>
      </c>
      <c r="S436" s="199">
        <v>0.55625</v>
      </c>
      <c r="T436" s="177" t="s">
        <v>3566</v>
      </c>
      <c r="U436" s="175" t="s">
        <v>49</v>
      </c>
      <c r="V436" s="175"/>
    </row>
    <row r="437">
      <c r="A437" s="175">
        <v>437.0</v>
      </c>
      <c r="B437" s="235">
        <v>46183.0</v>
      </c>
      <c r="C437" s="206" t="s">
        <v>47</v>
      </c>
      <c r="D437" s="206" t="s">
        <v>92</v>
      </c>
      <c r="E437" s="198" t="s">
        <v>6224</v>
      </c>
      <c r="F437" s="178">
        <v>5.61709495E8</v>
      </c>
      <c r="G437" s="198" t="s">
        <v>71</v>
      </c>
      <c r="H437" s="175" t="s">
        <v>1906</v>
      </c>
      <c r="I437" s="209" t="s">
        <v>6225</v>
      </c>
      <c r="J437" s="198"/>
      <c r="K437" s="206" t="s">
        <v>36</v>
      </c>
      <c r="L437" s="236">
        <v>0.4361111111111111</v>
      </c>
      <c r="M437" s="378" t="s">
        <v>3355</v>
      </c>
      <c r="N437" s="206" t="s">
        <v>40</v>
      </c>
      <c r="O437" s="206" t="s">
        <v>3811</v>
      </c>
      <c r="P437" s="177" t="s">
        <v>3997</v>
      </c>
      <c r="Q437" s="206" t="s">
        <v>44</v>
      </c>
      <c r="R437" s="206" t="s">
        <v>46</v>
      </c>
      <c r="S437" s="379">
        <v>0.6104166666666667</v>
      </c>
      <c r="T437" s="198" t="s">
        <v>3566</v>
      </c>
      <c r="U437" s="206" t="s">
        <v>44</v>
      </c>
      <c r="V437" s="206"/>
    </row>
    <row r="438">
      <c r="A438" s="175">
        <v>438.0</v>
      </c>
      <c r="B438" s="176">
        <v>46183.0</v>
      </c>
      <c r="C438" s="175" t="s">
        <v>58</v>
      </c>
      <c r="D438" s="175" t="s">
        <v>60</v>
      </c>
      <c r="E438" s="175" t="s">
        <v>27</v>
      </c>
      <c r="F438" s="178">
        <v>5.75174941E8</v>
      </c>
      <c r="G438" s="177" t="s">
        <v>41</v>
      </c>
      <c r="H438" s="175" t="s">
        <v>27</v>
      </c>
      <c r="I438" s="179" t="s">
        <v>6228</v>
      </c>
      <c r="J438" s="177" t="s">
        <v>2003</v>
      </c>
      <c r="K438" s="175" t="s">
        <v>36</v>
      </c>
      <c r="L438" s="180"/>
      <c r="M438" s="181" t="s">
        <v>88</v>
      </c>
      <c r="N438" s="175" t="s">
        <v>40</v>
      </c>
      <c r="O438" s="175" t="s">
        <v>42</v>
      </c>
      <c r="P438" s="177" t="s">
        <v>3566</v>
      </c>
      <c r="Q438" s="175" t="s">
        <v>44</v>
      </c>
      <c r="R438" s="175"/>
      <c r="S438" s="180"/>
      <c r="T438" s="177"/>
      <c r="U438" s="175"/>
      <c r="V438" s="175"/>
    </row>
    <row r="439">
      <c r="A439" s="175">
        <v>439.0</v>
      </c>
      <c r="B439" s="176">
        <v>46183.0</v>
      </c>
      <c r="C439" s="175" t="s">
        <v>47</v>
      </c>
      <c r="D439" s="175" t="s">
        <v>92</v>
      </c>
      <c r="E439" s="177" t="s">
        <v>1145</v>
      </c>
      <c r="F439" s="178">
        <v>5.06800777E8</v>
      </c>
      <c r="G439" s="177" t="s">
        <v>76</v>
      </c>
      <c r="H439" s="175" t="s">
        <v>735</v>
      </c>
      <c r="I439" s="179" t="s">
        <v>6232</v>
      </c>
      <c r="J439" s="177"/>
      <c r="K439" s="175" t="s">
        <v>36</v>
      </c>
      <c r="L439" s="180">
        <v>0.6208333333333333</v>
      </c>
      <c r="M439" s="275" t="s">
        <v>5968</v>
      </c>
      <c r="N439" s="175" t="s">
        <v>40</v>
      </c>
      <c r="O439" s="175" t="s">
        <v>301</v>
      </c>
      <c r="P439" s="177" t="s">
        <v>3997</v>
      </c>
      <c r="Q439" s="175" t="s">
        <v>44</v>
      </c>
      <c r="R439" s="175" t="s">
        <v>46</v>
      </c>
      <c r="S439" s="199">
        <v>0.6118055555555556</v>
      </c>
      <c r="T439" s="177" t="s">
        <v>3765</v>
      </c>
      <c r="U439" s="175" t="s">
        <v>44</v>
      </c>
      <c r="V439" s="175"/>
    </row>
    <row r="440">
      <c r="A440" s="175">
        <v>440.0</v>
      </c>
      <c r="B440" s="176">
        <v>46183.0</v>
      </c>
      <c r="C440" s="175" t="s">
        <v>21</v>
      </c>
      <c r="D440" s="175" t="s">
        <v>24</v>
      </c>
      <c r="E440" s="177" t="s">
        <v>6235</v>
      </c>
      <c r="F440" s="178">
        <v>5.32204977E8</v>
      </c>
      <c r="G440" s="177" t="s">
        <v>1452</v>
      </c>
      <c r="H440" s="175" t="s">
        <v>27</v>
      </c>
      <c r="I440" s="179" t="s">
        <v>6236</v>
      </c>
      <c r="J440" s="177"/>
      <c r="K440" s="175" t="s">
        <v>36</v>
      </c>
      <c r="L440" s="180"/>
      <c r="M440" s="177" t="s">
        <v>38</v>
      </c>
      <c r="N440" s="175" t="s">
        <v>56</v>
      </c>
      <c r="O440" s="175" t="s">
        <v>42</v>
      </c>
      <c r="P440" s="177" t="s">
        <v>3566</v>
      </c>
      <c r="Q440" s="175" t="s">
        <v>44</v>
      </c>
      <c r="R440" s="175" t="s">
        <v>46</v>
      </c>
      <c r="S440" s="180"/>
      <c r="T440" s="177"/>
      <c r="U440" s="175"/>
      <c r="V440" s="175"/>
    </row>
    <row r="441">
      <c r="A441" s="175">
        <v>441.0</v>
      </c>
      <c r="B441" s="176">
        <v>46183.0</v>
      </c>
      <c r="C441" s="175" t="s">
        <v>21</v>
      </c>
      <c r="D441" s="175" t="s">
        <v>22</v>
      </c>
      <c r="E441" s="177" t="s">
        <v>6240</v>
      </c>
      <c r="F441" s="178">
        <v>5.54649696E8</v>
      </c>
      <c r="G441" s="177" t="s">
        <v>28</v>
      </c>
      <c r="H441" s="175" t="s">
        <v>27</v>
      </c>
      <c r="I441" s="179" t="s">
        <v>6241</v>
      </c>
      <c r="J441" s="177"/>
      <c r="K441" s="175" t="s">
        <v>62</v>
      </c>
      <c r="L441" s="180">
        <v>0.6597222222222222</v>
      </c>
      <c r="M441" s="177" t="s">
        <v>38</v>
      </c>
      <c r="N441" s="175" t="s">
        <v>40</v>
      </c>
      <c r="O441" s="175" t="s">
        <v>42</v>
      </c>
      <c r="P441" s="177" t="s">
        <v>3566</v>
      </c>
      <c r="Q441" s="175" t="s">
        <v>44</v>
      </c>
      <c r="R441" s="175" t="s">
        <v>46</v>
      </c>
      <c r="S441" s="180"/>
      <c r="T441" s="177"/>
      <c r="U441" s="175"/>
      <c r="V441" s="175"/>
    </row>
    <row r="442">
      <c r="A442" s="26">
        <v>442.0</v>
      </c>
      <c r="B442" s="188">
        <v>46183.0</v>
      </c>
      <c r="C442" s="26" t="s">
        <v>47</v>
      </c>
      <c r="D442" s="26" t="s">
        <v>48</v>
      </c>
      <c r="E442" s="27" t="s">
        <v>1911</v>
      </c>
      <c r="F442" s="21">
        <v>5.98825229E8</v>
      </c>
      <c r="G442" s="27" t="s">
        <v>79</v>
      </c>
      <c r="H442" s="26" t="s">
        <v>638</v>
      </c>
      <c r="I442" s="179" t="s">
        <v>6245</v>
      </c>
      <c r="J442" s="27" t="s">
        <v>6246</v>
      </c>
      <c r="K442" s="26" t="s">
        <v>36</v>
      </c>
      <c r="L442" s="35">
        <v>0.66875</v>
      </c>
      <c r="M442" s="27" t="s">
        <v>101</v>
      </c>
      <c r="N442" s="26" t="s">
        <v>56</v>
      </c>
      <c r="O442" s="26" t="s">
        <v>518</v>
      </c>
      <c r="P442" s="27" t="s">
        <v>3765</v>
      </c>
      <c r="Q442" s="26" t="s">
        <v>44</v>
      </c>
      <c r="R442" s="26" t="s">
        <v>46</v>
      </c>
      <c r="S442" s="35">
        <v>0.6055555555555555</v>
      </c>
      <c r="T442" s="27" t="s">
        <v>3765</v>
      </c>
      <c r="U442" s="26" t="s">
        <v>44</v>
      </c>
      <c r="V442" s="26">
        <v>5.0</v>
      </c>
    </row>
    <row r="443">
      <c r="A443" s="175">
        <v>443.0</v>
      </c>
      <c r="B443" s="176">
        <v>46183.0</v>
      </c>
      <c r="C443" s="175" t="s">
        <v>58</v>
      </c>
      <c r="D443" s="175" t="s">
        <v>60</v>
      </c>
      <c r="E443" s="177" t="s">
        <v>6249</v>
      </c>
      <c r="F443" s="178">
        <v>5.92992548E8</v>
      </c>
      <c r="G443" s="175" t="s">
        <v>27</v>
      </c>
      <c r="H443" s="175" t="s">
        <v>27</v>
      </c>
      <c r="I443" s="179" t="s">
        <v>6251</v>
      </c>
      <c r="J443" s="177"/>
      <c r="K443" s="175" t="s">
        <v>36</v>
      </c>
      <c r="L443" s="180"/>
      <c r="M443" s="181" t="s">
        <v>88</v>
      </c>
      <c r="N443" s="175" t="s">
        <v>40</v>
      </c>
      <c r="O443" s="175" t="s">
        <v>42</v>
      </c>
      <c r="P443" s="177" t="s">
        <v>3566</v>
      </c>
      <c r="Q443" s="175" t="s">
        <v>49</v>
      </c>
      <c r="R443" s="175"/>
      <c r="S443" s="180"/>
      <c r="T443" s="177"/>
      <c r="U443" s="175"/>
      <c r="V443" s="175"/>
    </row>
    <row r="444" ht="42.75" customHeight="1">
      <c r="A444" s="175">
        <v>444.0</v>
      </c>
      <c r="B444" s="176">
        <v>46183.0</v>
      </c>
      <c r="C444" s="175" t="s">
        <v>47</v>
      </c>
      <c r="D444" s="175" t="s">
        <v>92</v>
      </c>
      <c r="E444" s="177" t="s">
        <v>6108</v>
      </c>
      <c r="F444" s="178">
        <v>5.44423294E8</v>
      </c>
      <c r="G444" s="177" t="s">
        <v>71</v>
      </c>
      <c r="H444" s="175" t="s">
        <v>6109</v>
      </c>
      <c r="I444" s="179" t="s">
        <v>6255</v>
      </c>
      <c r="J444" s="177" t="s">
        <v>6256</v>
      </c>
      <c r="K444" s="175" t="s">
        <v>62</v>
      </c>
      <c r="L444" s="180">
        <v>0.625</v>
      </c>
      <c r="M444" s="27" t="s">
        <v>2143</v>
      </c>
      <c r="N444" s="175" t="s">
        <v>40</v>
      </c>
      <c r="O444" s="175" t="s">
        <v>518</v>
      </c>
      <c r="P444" s="177" t="s">
        <v>3765</v>
      </c>
      <c r="Q444" s="175" t="s">
        <v>44</v>
      </c>
      <c r="R444" s="175" t="s">
        <v>46</v>
      </c>
      <c r="S444" s="180"/>
      <c r="T444" s="177"/>
      <c r="U444" s="175"/>
      <c r="V444" s="175"/>
    </row>
    <row r="445" ht="63.0" customHeight="1">
      <c r="A445" s="175">
        <v>445.0</v>
      </c>
      <c r="B445" s="176">
        <v>46183.0</v>
      </c>
      <c r="C445" s="175" t="s">
        <v>47</v>
      </c>
      <c r="D445" s="175" t="s">
        <v>92</v>
      </c>
      <c r="E445" s="177" t="s">
        <v>6259</v>
      </c>
      <c r="F445" s="178">
        <v>5.6608032E8</v>
      </c>
      <c r="G445" s="177" t="s">
        <v>152</v>
      </c>
      <c r="H445" s="175" t="s">
        <v>6260</v>
      </c>
      <c r="I445" s="179" t="s">
        <v>6261</v>
      </c>
      <c r="J445" s="177"/>
      <c r="K445" s="175" t="s">
        <v>62</v>
      </c>
      <c r="L445" s="180">
        <v>0.6666666666666666</v>
      </c>
      <c r="M445" s="275" t="s">
        <v>4368</v>
      </c>
      <c r="N445" s="175" t="s">
        <v>40</v>
      </c>
      <c r="O445" s="175" t="s">
        <v>518</v>
      </c>
      <c r="P445" s="177" t="s">
        <v>3765</v>
      </c>
      <c r="Q445" s="175" t="s">
        <v>44</v>
      </c>
      <c r="R445" s="175" t="s">
        <v>46</v>
      </c>
      <c r="S445" s="180">
        <v>0.6152777777777778</v>
      </c>
      <c r="T445" s="177" t="s">
        <v>3765</v>
      </c>
      <c r="U445" s="175" t="s">
        <v>44</v>
      </c>
      <c r="V445" s="175"/>
    </row>
    <row r="446" ht="63.0" customHeight="1">
      <c r="A446" s="175">
        <v>446.0</v>
      </c>
      <c r="B446" s="176">
        <v>46183.0</v>
      </c>
      <c r="C446" s="175" t="s">
        <v>58</v>
      </c>
      <c r="D446" s="175" t="s">
        <v>22</v>
      </c>
      <c r="E446" s="177" t="s">
        <v>734</v>
      </c>
      <c r="F446" s="178">
        <v>5.41441424E8</v>
      </c>
      <c r="G446" s="177" t="s">
        <v>71</v>
      </c>
      <c r="H446" s="175" t="s">
        <v>27</v>
      </c>
      <c r="I446" s="179" t="s">
        <v>6263</v>
      </c>
      <c r="J446" s="177" t="s">
        <v>6264</v>
      </c>
      <c r="K446" s="175" t="s">
        <v>36</v>
      </c>
      <c r="L446" s="180"/>
      <c r="M446" s="177" t="s">
        <v>88</v>
      </c>
      <c r="N446" s="175" t="s">
        <v>40</v>
      </c>
      <c r="O446" s="175" t="s">
        <v>42</v>
      </c>
      <c r="P446" s="177" t="s">
        <v>3566</v>
      </c>
      <c r="Q446" s="175" t="s">
        <v>44</v>
      </c>
      <c r="R446" s="175"/>
      <c r="S446" s="180"/>
      <c r="T446" s="177"/>
      <c r="U446" s="175"/>
      <c r="V446" s="175"/>
    </row>
    <row r="447" ht="63.0" customHeight="1">
      <c r="A447" s="175">
        <v>447.0</v>
      </c>
      <c r="B447" s="176">
        <v>46183.0</v>
      </c>
      <c r="C447" s="175" t="s">
        <v>47</v>
      </c>
      <c r="D447" s="175" t="s">
        <v>60</v>
      </c>
      <c r="E447" s="175" t="s">
        <v>27</v>
      </c>
      <c r="F447" s="178">
        <v>5.58807426E8</v>
      </c>
      <c r="G447" s="177" t="s">
        <v>41</v>
      </c>
      <c r="H447" s="175" t="s">
        <v>193</v>
      </c>
      <c r="I447" s="179" t="s">
        <v>6268</v>
      </c>
      <c r="J447" s="177"/>
      <c r="K447" s="175" t="s">
        <v>36</v>
      </c>
      <c r="L447" s="180"/>
      <c r="M447" s="181" t="s">
        <v>88</v>
      </c>
      <c r="N447" s="175" t="s">
        <v>40</v>
      </c>
      <c r="O447" s="175" t="s">
        <v>42</v>
      </c>
      <c r="P447" s="177" t="s">
        <v>3566</v>
      </c>
      <c r="Q447" s="175" t="s">
        <v>49</v>
      </c>
      <c r="R447" s="175"/>
      <c r="S447" s="180"/>
      <c r="T447" s="177"/>
      <c r="U447" s="175"/>
      <c r="V447" s="175"/>
    </row>
    <row r="448" ht="63.0" customHeight="1">
      <c r="A448" s="175">
        <v>448.0</v>
      </c>
      <c r="B448" s="176">
        <v>46183.0</v>
      </c>
      <c r="C448" s="175" t="s">
        <v>21</v>
      </c>
      <c r="D448" s="175" t="s">
        <v>22</v>
      </c>
      <c r="E448" s="177" t="s">
        <v>6269</v>
      </c>
      <c r="F448" s="178">
        <v>5.04731403E8</v>
      </c>
      <c r="G448" s="175" t="s">
        <v>27</v>
      </c>
      <c r="H448" s="175" t="s">
        <v>27</v>
      </c>
      <c r="I448" s="179" t="s">
        <v>6270</v>
      </c>
      <c r="J448" s="177"/>
      <c r="K448" s="175" t="s">
        <v>321</v>
      </c>
      <c r="L448" s="180"/>
      <c r="M448" s="177" t="s">
        <v>38</v>
      </c>
      <c r="N448" s="175" t="s">
        <v>40</v>
      </c>
      <c r="O448" s="175" t="s">
        <v>42</v>
      </c>
      <c r="P448" s="177" t="s">
        <v>3566</v>
      </c>
      <c r="Q448" s="175" t="s">
        <v>49</v>
      </c>
      <c r="R448" s="175" t="s">
        <v>46</v>
      </c>
      <c r="S448" s="180"/>
      <c r="T448" s="177"/>
      <c r="U448" s="175"/>
      <c r="V448" s="175"/>
    </row>
    <row r="449" ht="63.0" customHeight="1">
      <c r="A449" s="175">
        <v>449.0</v>
      </c>
      <c r="B449" s="176">
        <v>46184.0</v>
      </c>
      <c r="C449" s="175" t="s">
        <v>21</v>
      </c>
      <c r="D449" s="175" t="s">
        <v>57</v>
      </c>
      <c r="E449" s="175" t="s">
        <v>27</v>
      </c>
      <c r="F449" s="178">
        <v>5.38524612E8</v>
      </c>
      <c r="G449" s="177"/>
      <c r="H449" s="175" t="s">
        <v>27</v>
      </c>
      <c r="I449" s="179" t="s">
        <v>6273</v>
      </c>
      <c r="J449" s="177"/>
      <c r="K449" s="175" t="s">
        <v>36</v>
      </c>
      <c r="L449" s="180"/>
      <c r="M449" s="177" t="s">
        <v>38</v>
      </c>
      <c r="N449" s="175" t="s">
        <v>40</v>
      </c>
      <c r="O449" s="175" t="s">
        <v>42</v>
      </c>
      <c r="P449" s="177" t="s">
        <v>3566</v>
      </c>
      <c r="Q449" s="175" t="s">
        <v>44</v>
      </c>
      <c r="R449" s="175"/>
      <c r="S449" s="180"/>
      <c r="T449" s="177"/>
      <c r="U449" s="175"/>
      <c r="V449" s="175"/>
    </row>
    <row r="450" ht="118.5" customHeight="1">
      <c r="A450" s="175">
        <v>450.0</v>
      </c>
      <c r="B450" s="176">
        <v>46184.0</v>
      </c>
      <c r="C450" s="175" t="s">
        <v>58</v>
      </c>
      <c r="D450" s="175" t="s">
        <v>367</v>
      </c>
      <c r="E450" s="177" t="s">
        <v>6276</v>
      </c>
      <c r="F450" s="178">
        <v>5.71086176E8</v>
      </c>
      <c r="G450" s="177" t="s">
        <v>79</v>
      </c>
      <c r="H450" s="175" t="s">
        <v>638</v>
      </c>
      <c r="I450" s="179" t="s">
        <v>6278</v>
      </c>
      <c r="J450" s="177" t="s">
        <v>6280</v>
      </c>
      <c r="K450" s="175" t="s">
        <v>62</v>
      </c>
      <c r="L450" s="180">
        <v>0.3611111111111111</v>
      </c>
      <c r="M450" s="177" t="s">
        <v>88</v>
      </c>
      <c r="N450" s="175" t="s">
        <v>56</v>
      </c>
      <c r="O450" s="175" t="s">
        <v>42</v>
      </c>
      <c r="P450" s="177" t="s">
        <v>3566</v>
      </c>
      <c r="Q450" s="175" t="s">
        <v>44</v>
      </c>
      <c r="R450" s="175"/>
      <c r="S450" s="180">
        <v>0.6125</v>
      </c>
      <c r="T450" s="177" t="s">
        <v>3566</v>
      </c>
      <c r="U450" s="175"/>
      <c r="V450" s="175"/>
    </row>
    <row r="451" ht="63.0" customHeight="1">
      <c r="A451" s="175">
        <v>451.0</v>
      </c>
      <c r="B451" s="176">
        <v>46184.0</v>
      </c>
      <c r="C451" s="175" t="s">
        <v>58</v>
      </c>
      <c r="D451" s="175" t="s">
        <v>60</v>
      </c>
      <c r="E451" s="175" t="s">
        <v>27</v>
      </c>
      <c r="F451" s="178">
        <v>5.06329731E8</v>
      </c>
      <c r="G451" s="177" t="s">
        <v>3176</v>
      </c>
      <c r="H451" s="175" t="s">
        <v>27</v>
      </c>
      <c r="I451" s="179" t="s">
        <v>6282</v>
      </c>
      <c r="J451" s="177" t="s">
        <v>6283</v>
      </c>
      <c r="K451" s="175" t="s">
        <v>62</v>
      </c>
      <c r="L451" s="180">
        <v>0.36041666666666666</v>
      </c>
      <c r="M451" s="181" t="s">
        <v>88</v>
      </c>
      <c r="N451" s="175" t="s">
        <v>56</v>
      </c>
      <c r="O451" s="175" t="s">
        <v>42</v>
      </c>
      <c r="P451" s="177" t="s">
        <v>3566</v>
      </c>
      <c r="Q451" s="175" t="s">
        <v>44</v>
      </c>
      <c r="R451" s="175"/>
      <c r="S451" s="180">
        <v>0.36041666666666666</v>
      </c>
      <c r="T451" s="177" t="s">
        <v>2632</v>
      </c>
      <c r="U451" s="175" t="s">
        <v>44</v>
      </c>
      <c r="V451" s="175">
        <v>5.0</v>
      </c>
    </row>
    <row r="452" ht="95.25" customHeight="1">
      <c r="A452" s="175">
        <v>452.0</v>
      </c>
      <c r="B452" s="176">
        <v>46184.0</v>
      </c>
      <c r="C452" s="175" t="s">
        <v>47</v>
      </c>
      <c r="D452" s="175" t="s">
        <v>48</v>
      </c>
      <c r="E452" s="177" t="s">
        <v>6285</v>
      </c>
      <c r="F452" s="178" t="s">
        <v>27</v>
      </c>
      <c r="G452" s="177" t="s">
        <v>41</v>
      </c>
      <c r="H452" s="175" t="s">
        <v>97</v>
      </c>
      <c r="I452" s="179" t="s">
        <v>6286</v>
      </c>
      <c r="J452" s="177"/>
      <c r="K452" s="175" t="s">
        <v>78</v>
      </c>
      <c r="L452" s="180"/>
      <c r="M452" s="234" t="s">
        <v>5968</v>
      </c>
      <c r="N452" s="175" t="s">
        <v>40</v>
      </c>
      <c r="O452" s="175" t="s">
        <v>301</v>
      </c>
      <c r="P452" s="177" t="s">
        <v>3566</v>
      </c>
      <c r="Q452" s="175" t="s">
        <v>49</v>
      </c>
      <c r="R452" s="175" t="s">
        <v>46</v>
      </c>
      <c r="S452" s="180"/>
      <c r="T452" s="177"/>
      <c r="U452" s="175"/>
      <c r="V452" s="175"/>
    </row>
    <row r="453" ht="24.0" customHeight="1">
      <c r="A453" s="175">
        <v>453.0</v>
      </c>
      <c r="B453" s="176">
        <v>46184.0</v>
      </c>
      <c r="C453" s="175" t="s">
        <v>47</v>
      </c>
      <c r="D453" s="175" t="s">
        <v>48</v>
      </c>
      <c r="E453" s="175" t="s">
        <v>156</v>
      </c>
      <c r="F453" s="178">
        <v>5.5776664E8</v>
      </c>
      <c r="G453" s="177" t="s">
        <v>28</v>
      </c>
      <c r="H453" s="175" t="s">
        <v>1708</v>
      </c>
      <c r="I453" s="179" t="s">
        <v>6287</v>
      </c>
      <c r="J453" s="177"/>
      <c r="K453" s="175" t="s">
        <v>148</v>
      </c>
      <c r="L453" s="180">
        <v>0.3736111111111111</v>
      </c>
      <c r="M453" s="234" t="s">
        <v>2247</v>
      </c>
      <c r="N453" s="175" t="s">
        <v>40</v>
      </c>
      <c r="O453" s="175" t="s">
        <v>42</v>
      </c>
      <c r="P453" s="177" t="s">
        <v>3997</v>
      </c>
      <c r="Q453" s="175" t="s">
        <v>44</v>
      </c>
      <c r="R453" s="175" t="s">
        <v>46</v>
      </c>
      <c r="S453" s="180">
        <v>0.6055555555555555</v>
      </c>
      <c r="T453" s="177"/>
      <c r="U453" s="175" t="s">
        <v>44</v>
      </c>
      <c r="V453" s="175"/>
    </row>
    <row r="454" ht="23.25" customHeight="1">
      <c r="A454" s="175">
        <v>454.0</v>
      </c>
      <c r="B454" s="176">
        <v>46184.0</v>
      </c>
      <c r="C454" s="175" t="s">
        <v>47</v>
      </c>
      <c r="D454" s="175" t="s">
        <v>48</v>
      </c>
      <c r="E454" s="177" t="s">
        <v>302</v>
      </c>
      <c r="F454" s="178">
        <v>5.65551501E8</v>
      </c>
      <c r="G454" s="177" t="s">
        <v>28</v>
      </c>
      <c r="H454" s="175" t="s">
        <v>3190</v>
      </c>
      <c r="I454" s="179" t="s">
        <v>6288</v>
      </c>
      <c r="J454" s="27" t="s">
        <v>6289</v>
      </c>
      <c r="K454" s="175" t="s">
        <v>148</v>
      </c>
      <c r="L454" s="180">
        <v>0.3736111111111111</v>
      </c>
      <c r="M454" s="177" t="s">
        <v>101</v>
      </c>
      <c r="N454" s="175" t="s">
        <v>56</v>
      </c>
      <c r="O454" s="175" t="s">
        <v>518</v>
      </c>
      <c r="P454" s="177" t="s">
        <v>3765</v>
      </c>
      <c r="Q454" s="175" t="s">
        <v>44</v>
      </c>
      <c r="R454" s="175" t="s">
        <v>46</v>
      </c>
      <c r="S454" s="180">
        <v>0.6055555555555555</v>
      </c>
      <c r="T454" s="177"/>
      <c r="U454" s="175" t="s">
        <v>44</v>
      </c>
      <c r="V454" s="175"/>
    </row>
    <row r="455" ht="41.25" customHeight="1">
      <c r="A455" s="175">
        <v>455.0</v>
      </c>
      <c r="B455" s="176">
        <v>46184.0</v>
      </c>
      <c r="C455" s="175" t="s">
        <v>47</v>
      </c>
      <c r="D455" s="175" t="s">
        <v>138</v>
      </c>
      <c r="E455" s="177" t="s">
        <v>6293</v>
      </c>
      <c r="F455" s="178">
        <v>5.38042243E8</v>
      </c>
      <c r="G455" s="177" t="s">
        <v>874</v>
      </c>
      <c r="H455" s="175" t="s">
        <v>876</v>
      </c>
      <c r="I455" s="179" t="s">
        <v>6294</v>
      </c>
      <c r="J455" s="177" t="s">
        <v>6295</v>
      </c>
      <c r="K455" s="175" t="s">
        <v>148</v>
      </c>
      <c r="L455" s="180">
        <v>0.3736111111111111</v>
      </c>
      <c r="M455" s="184" t="s">
        <v>183</v>
      </c>
      <c r="N455" s="175" t="s">
        <v>56</v>
      </c>
      <c r="O455" s="175" t="s">
        <v>518</v>
      </c>
      <c r="P455" s="177" t="s">
        <v>3566</v>
      </c>
      <c r="Q455" s="175" t="s">
        <v>44</v>
      </c>
      <c r="R455" s="175" t="s">
        <v>46</v>
      </c>
      <c r="S455" s="180"/>
      <c r="T455" s="177"/>
      <c r="U455" s="175"/>
      <c r="V455" s="175"/>
    </row>
    <row r="456" ht="33.0" customHeight="1">
      <c r="A456" s="175">
        <v>456.0</v>
      </c>
      <c r="B456" s="176">
        <v>46184.0</v>
      </c>
      <c r="C456" s="175" t="s">
        <v>47</v>
      </c>
      <c r="D456" s="175" t="s">
        <v>138</v>
      </c>
      <c r="E456" s="175" t="s">
        <v>583</v>
      </c>
      <c r="F456" s="178">
        <v>5.3118888E8</v>
      </c>
      <c r="G456" s="177" t="s">
        <v>333</v>
      </c>
      <c r="H456" s="175" t="s">
        <v>650</v>
      </c>
      <c r="I456" s="179" t="s">
        <v>6298</v>
      </c>
      <c r="J456" s="177" t="s">
        <v>6300</v>
      </c>
      <c r="K456" s="175" t="s">
        <v>148</v>
      </c>
      <c r="L456" s="180">
        <v>0.375</v>
      </c>
      <c r="M456" s="177" t="s">
        <v>795</v>
      </c>
      <c r="N456" s="175" t="s">
        <v>56</v>
      </c>
      <c r="O456" s="175" t="s">
        <v>518</v>
      </c>
      <c r="P456" s="177" t="s">
        <v>3566</v>
      </c>
      <c r="Q456" s="175" t="s">
        <v>44</v>
      </c>
      <c r="R456" s="175" t="s">
        <v>46</v>
      </c>
      <c r="S456" s="180"/>
      <c r="T456" s="177"/>
      <c r="U456" s="175"/>
      <c r="V456" s="175"/>
    </row>
    <row r="457" ht="45.0" customHeight="1">
      <c r="A457" s="175">
        <v>457.0</v>
      </c>
      <c r="B457" s="176">
        <v>46184.0</v>
      </c>
      <c r="C457" s="175" t="s">
        <v>47</v>
      </c>
      <c r="D457" s="175" t="s">
        <v>92</v>
      </c>
      <c r="E457" s="177" t="s">
        <v>5763</v>
      </c>
      <c r="F457" s="178">
        <v>5.555555555E9</v>
      </c>
      <c r="G457" s="177" t="s">
        <v>71</v>
      </c>
      <c r="H457" s="175" t="s">
        <v>1801</v>
      </c>
      <c r="I457" s="179" t="s">
        <v>6303</v>
      </c>
      <c r="J457" s="177"/>
      <c r="K457" s="175" t="s">
        <v>148</v>
      </c>
      <c r="L457" s="180"/>
      <c r="M457" s="27" t="s">
        <v>953</v>
      </c>
      <c r="N457" s="175" t="s">
        <v>40</v>
      </c>
      <c r="O457" s="175" t="s">
        <v>518</v>
      </c>
      <c r="P457" s="177" t="s">
        <v>3765</v>
      </c>
      <c r="Q457" s="175" t="s">
        <v>44</v>
      </c>
      <c r="R457" s="175" t="s">
        <v>46</v>
      </c>
      <c r="S457" s="180"/>
      <c r="T457" s="177"/>
      <c r="U457" s="175"/>
      <c r="V457" s="175"/>
    </row>
    <row r="458" ht="30.75" customHeight="1">
      <c r="A458" s="175">
        <v>458.0</v>
      </c>
      <c r="B458" s="176">
        <v>46184.0</v>
      </c>
      <c r="C458" s="175" t="s">
        <v>58</v>
      </c>
      <c r="D458" s="175" t="s">
        <v>60</v>
      </c>
      <c r="E458" s="177" t="s">
        <v>6308</v>
      </c>
      <c r="F458" s="178">
        <v>5.45605363E8</v>
      </c>
      <c r="G458" s="177" t="s">
        <v>79</v>
      </c>
      <c r="H458" s="175" t="s">
        <v>239</v>
      </c>
      <c r="I458" s="179" t="s">
        <v>6309</v>
      </c>
      <c r="J458" s="177"/>
      <c r="K458" s="175" t="s">
        <v>148</v>
      </c>
      <c r="L458" s="180">
        <v>0.3784722222222222</v>
      </c>
      <c r="M458" s="181" t="s">
        <v>88</v>
      </c>
      <c r="N458" s="175" t="s">
        <v>40</v>
      </c>
      <c r="O458" s="175" t="s">
        <v>42</v>
      </c>
      <c r="P458" s="177" t="s">
        <v>3566</v>
      </c>
      <c r="Q458" s="175" t="s">
        <v>44</v>
      </c>
      <c r="R458" s="175" t="s">
        <v>46</v>
      </c>
      <c r="S458" s="180">
        <v>0.6055555555555555</v>
      </c>
      <c r="T458" s="177"/>
      <c r="U458" s="175" t="s">
        <v>44</v>
      </c>
      <c r="V458" s="175"/>
    </row>
    <row r="459" ht="63.0" customHeight="1">
      <c r="A459" s="175">
        <v>459.0</v>
      </c>
      <c r="B459" s="176">
        <v>46184.0</v>
      </c>
      <c r="C459" s="175" t="s">
        <v>47</v>
      </c>
      <c r="D459" s="175" t="s">
        <v>48</v>
      </c>
      <c r="E459" s="175" t="s">
        <v>6312</v>
      </c>
      <c r="F459" s="178" t="s">
        <v>27</v>
      </c>
      <c r="G459" s="177" t="s">
        <v>79</v>
      </c>
      <c r="H459" s="175" t="s">
        <v>638</v>
      </c>
      <c r="I459" s="179" t="s">
        <v>6314</v>
      </c>
      <c r="J459" s="27" t="s">
        <v>6315</v>
      </c>
      <c r="K459" s="175" t="s">
        <v>78</v>
      </c>
      <c r="L459" s="180"/>
      <c r="M459" s="177" t="s">
        <v>101</v>
      </c>
      <c r="N459" s="175" t="s">
        <v>56</v>
      </c>
      <c r="O459" s="175" t="s">
        <v>518</v>
      </c>
      <c r="P459" s="177" t="s">
        <v>3765</v>
      </c>
      <c r="Q459" s="175" t="s">
        <v>49</v>
      </c>
      <c r="R459" s="175" t="s">
        <v>46</v>
      </c>
      <c r="S459" s="180"/>
      <c r="T459" s="177"/>
      <c r="U459" s="175"/>
      <c r="V459" s="175"/>
    </row>
    <row r="460" ht="63.0" customHeight="1">
      <c r="A460" s="175">
        <v>460.0</v>
      </c>
      <c r="B460" s="176">
        <v>46184.0</v>
      </c>
      <c r="C460" s="175" t="s">
        <v>47</v>
      </c>
      <c r="D460" s="175" t="s">
        <v>48</v>
      </c>
      <c r="E460" s="177" t="s">
        <v>6320</v>
      </c>
      <c r="F460" s="178" t="s">
        <v>27</v>
      </c>
      <c r="G460" s="177" t="s">
        <v>874</v>
      </c>
      <c r="H460" s="377" t="s">
        <v>876</v>
      </c>
      <c r="I460" s="179" t="s">
        <v>6323</v>
      </c>
      <c r="J460" s="27" t="s">
        <v>6324</v>
      </c>
      <c r="K460" s="175" t="s">
        <v>78</v>
      </c>
      <c r="L460" s="180"/>
      <c r="M460" s="177" t="s">
        <v>1205</v>
      </c>
      <c r="N460" s="175" t="s">
        <v>56</v>
      </c>
      <c r="O460" s="175" t="s">
        <v>301</v>
      </c>
      <c r="P460" s="177" t="s">
        <v>3566</v>
      </c>
      <c r="Q460" s="175" t="s">
        <v>49</v>
      </c>
      <c r="R460" s="175" t="s">
        <v>46</v>
      </c>
      <c r="S460" s="180"/>
      <c r="T460" s="177"/>
      <c r="U460" s="175"/>
      <c r="V460" s="175"/>
    </row>
    <row r="461" ht="35.25" customHeight="1">
      <c r="A461" s="175">
        <v>461.0</v>
      </c>
      <c r="B461" s="176">
        <v>46184.0</v>
      </c>
      <c r="C461" s="175" t="s">
        <v>47</v>
      </c>
      <c r="D461" s="175" t="s">
        <v>92</v>
      </c>
      <c r="E461" s="175" t="s">
        <v>27</v>
      </c>
      <c r="F461" s="178">
        <v>5.3576567E8</v>
      </c>
      <c r="G461" s="177" t="s">
        <v>71</v>
      </c>
      <c r="H461" s="175" t="s">
        <v>94</v>
      </c>
      <c r="I461" s="179" t="s">
        <v>6327</v>
      </c>
      <c r="J461" s="177"/>
      <c r="K461" s="175" t="s">
        <v>148</v>
      </c>
      <c r="L461" s="180"/>
      <c r="M461" s="27" t="s">
        <v>150</v>
      </c>
      <c r="N461" s="175" t="s">
        <v>40</v>
      </c>
      <c r="O461" s="175" t="s">
        <v>518</v>
      </c>
      <c r="P461" s="177" t="s">
        <v>3765</v>
      </c>
      <c r="Q461" s="175" t="s">
        <v>49</v>
      </c>
      <c r="R461" s="175" t="s">
        <v>46</v>
      </c>
      <c r="S461" s="180"/>
      <c r="T461" s="177"/>
      <c r="U461" s="175"/>
      <c r="V461" s="175"/>
    </row>
    <row r="462" ht="63.0" customHeight="1">
      <c r="A462" s="26">
        <v>462.0</v>
      </c>
      <c r="B462" s="188">
        <v>46184.0</v>
      </c>
      <c r="C462" s="26" t="s">
        <v>47</v>
      </c>
      <c r="D462" s="26" t="s">
        <v>48</v>
      </c>
      <c r="E462" s="27" t="s">
        <v>1055</v>
      </c>
      <c r="F462" s="36">
        <v>5.415855131E9</v>
      </c>
      <c r="G462" s="27" t="s">
        <v>41</v>
      </c>
      <c r="H462" s="26" t="s">
        <v>188</v>
      </c>
      <c r="I462" s="209" t="s">
        <v>6328</v>
      </c>
      <c r="J462" s="27" t="s">
        <v>6329</v>
      </c>
      <c r="K462" s="26" t="s">
        <v>36</v>
      </c>
      <c r="L462" s="35">
        <v>0.3784722222222222</v>
      </c>
      <c r="M462" s="27" t="s">
        <v>101</v>
      </c>
      <c r="N462" s="26" t="s">
        <v>56</v>
      </c>
      <c r="O462" s="26" t="s">
        <v>518</v>
      </c>
      <c r="P462" s="27" t="s">
        <v>3765</v>
      </c>
      <c r="Q462" s="26" t="s">
        <v>49</v>
      </c>
      <c r="R462" s="26" t="s">
        <v>46</v>
      </c>
      <c r="S462" s="35">
        <v>0.175</v>
      </c>
      <c r="T462" s="27" t="s">
        <v>3566</v>
      </c>
      <c r="U462" s="26" t="s">
        <v>49</v>
      </c>
      <c r="V462" s="26">
        <v>5.0</v>
      </c>
    </row>
    <row r="463" ht="63.0" customHeight="1">
      <c r="A463" s="175">
        <v>463.0</v>
      </c>
      <c r="B463" s="176">
        <v>46184.0</v>
      </c>
      <c r="C463" s="175" t="s">
        <v>21</v>
      </c>
      <c r="D463" s="175" t="s">
        <v>57</v>
      </c>
      <c r="E463" s="177" t="s">
        <v>6198</v>
      </c>
      <c r="F463" s="178">
        <v>5.4217196E8</v>
      </c>
      <c r="G463" s="177" t="s">
        <v>319</v>
      </c>
      <c r="H463" s="175" t="s">
        <v>27</v>
      </c>
      <c r="I463" s="209" t="s">
        <v>6331</v>
      </c>
      <c r="J463" s="177" t="s">
        <v>6332</v>
      </c>
      <c r="K463" s="175" t="s">
        <v>36</v>
      </c>
      <c r="L463" s="180">
        <v>0.4076388888888889</v>
      </c>
      <c r="M463" s="177" t="s">
        <v>38</v>
      </c>
      <c r="N463" s="175" t="s">
        <v>56</v>
      </c>
      <c r="O463" s="175" t="s">
        <v>42</v>
      </c>
      <c r="P463" s="177" t="s">
        <v>3566</v>
      </c>
      <c r="Q463" s="175" t="s">
        <v>49</v>
      </c>
      <c r="R463" s="175"/>
      <c r="S463" s="180"/>
      <c r="T463" s="177"/>
      <c r="U463" s="175"/>
      <c r="V463" s="175"/>
    </row>
    <row r="464" ht="63.0" customHeight="1">
      <c r="A464" s="175">
        <v>464.0</v>
      </c>
      <c r="B464" s="176">
        <v>46184.0</v>
      </c>
      <c r="C464" s="175" t="s">
        <v>58</v>
      </c>
      <c r="D464" s="175" t="s">
        <v>22</v>
      </c>
      <c r="E464" s="177" t="s">
        <v>5617</v>
      </c>
      <c r="F464" s="207">
        <v>5.6482875E8</v>
      </c>
      <c r="G464" s="177" t="s">
        <v>362</v>
      </c>
      <c r="H464" s="175" t="s">
        <v>27</v>
      </c>
      <c r="I464" s="209" t="s">
        <v>6337</v>
      </c>
      <c r="J464" s="177"/>
      <c r="K464" s="175" t="s">
        <v>36</v>
      </c>
      <c r="L464" s="180"/>
      <c r="M464" s="177" t="s">
        <v>88</v>
      </c>
      <c r="N464" s="175" t="s">
        <v>40</v>
      </c>
      <c r="O464" s="175" t="s">
        <v>42</v>
      </c>
      <c r="P464" s="177" t="s">
        <v>3566</v>
      </c>
      <c r="Q464" s="175" t="s">
        <v>49</v>
      </c>
      <c r="R464" s="175"/>
      <c r="S464" s="180"/>
      <c r="T464" s="177"/>
      <c r="U464" s="175"/>
      <c r="V464" s="175"/>
    </row>
    <row r="465" ht="27.75" customHeight="1">
      <c r="A465" s="175">
        <v>465.0</v>
      </c>
      <c r="B465" s="176">
        <v>46184.0</v>
      </c>
      <c r="C465" s="175" t="s">
        <v>21</v>
      </c>
      <c r="D465" s="175" t="s">
        <v>22</v>
      </c>
      <c r="E465" s="177" t="s">
        <v>6340</v>
      </c>
      <c r="F465" s="178">
        <v>5.04222156E8</v>
      </c>
      <c r="G465" s="177" t="s">
        <v>1849</v>
      </c>
      <c r="H465" s="175" t="s">
        <v>27</v>
      </c>
      <c r="I465" s="179" t="s">
        <v>6341</v>
      </c>
      <c r="J465" s="177"/>
      <c r="K465" s="175" t="s">
        <v>36</v>
      </c>
      <c r="L465" s="180"/>
      <c r="M465" s="177" t="s">
        <v>38</v>
      </c>
      <c r="N465" s="175" t="s">
        <v>40</v>
      </c>
      <c r="O465" s="175" t="s">
        <v>42</v>
      </c>
      <c r="P465" s="177" t="s">
        <v>3566</v>
      </c>
      <c r="Q465" s="175" t="s">
        <v>44</v>
      </c>
      <c r="R465" s="175" t="s">
        <v>46</v>
      </c>
      <c r="S465" s="180"/>
      <c r="T465" s="177"/>
      <c r="U465" s="175"/>
      <c r="V465" s="175"/>
    </row>
    <row r="466" ht="14.25" customHeight="1">
      <c r="A466" s="175">
        <v>466.0</v>
      </c>
      <c r="B466" s="176">
        <v>46184.0</v>
      </c>
      <c r="C466" s="175" t="s">
        <v>21</v>
      </c>
      <c r="D466" s="175" t="s">
        <v>22</v>
      </c>
      <c r="E466" s="177" t="s">
        <v>6344</v>
      </c>
      <c r="F466" s="178">
        <v>5.05208345E8</v>
      </c>
      <c r="G466" s="175" t="s">
        <v>27</v>
      </c>
      <c r="H466" s="175" t="s">
        <v>27</v>
      </c>
      <c r="I466" s="179" t="s">
        <v>6345</v>
      </c>
      <c r="J466" s="177"/>
      <c r="K466" s="175" t="s">
        <v>36</v>
      </c>
      <c r="L466" s="180"/>
      <c r="M466" s="177" t="s">
        <v>38</v>
      </c>
      <c r="N466" s="175" t="s">
        <v>40</v>
      </c>
      <c r="O466" s="175" t="s">
        <v>42</v>
      </c>
      <c r="P466" s="177" t="s">
        <v>3566</v>
      </c>
      <c r="Q466" s="175" t="s">
        <v>44</v>
      </c>
      <c r="R466" s="175" t="s">
        <v>46</v>
      </c>
      <c r="S466" s="180"/>
      <c r="T466" s="177"/>
      <c r="U466" s="175"/>
      <c r="V466" s="175"/>
    </row>
    <row r="467" ht="63.0" customHeight="1">
      <c r="A467" s="175">
        <v>467.0</v>
      </c>
      <c r="B467" s="176">
        <v>46184.0</v>
      </c>
      <c r="C467" s="175" t="s">
        <v>58</v>
      </c>
      <c r="D467" s="175" t="s">
        <v>60</v>
      </c>
      <c r="E467" s="175" t="s">
        <v>27</v>
      </c>
      <c r="F467" s="178">
        <v>5.07484968E8</v>
      </c>
      <c r="G467" s="175" t="s">
        <v>27</v>
      </c>
      <c r="H467" s="175" t="s">
        <v>27</v>
      </c>
      <c r="I467" s="179" t="s">
        <v>6346</v>
      </c>
      <c r="J467" s="177"/>
      <c r="K467" s="175" t="s">
        <v>36</v>
      </c>
      <c r="L467" s="180"/>
      <c r="M467" s="181" t="s">
        <v>88</v>
      </c>
      <c r="N467" s="175" t="s">
        <v>40</v>
      </c>
      <c r="O467" s="175" t="s">
        <v>42</v>
      </c>
      <c r="P467" s="177" t="s">
        <v>3566</v>
      </c>
      <c r="Q467" s="175" t="s">
        <v>44</v>
      </c>
      <c r="R467" s="175"/>
      <c r="S467" s="180"/>
      <c r="T467" s="177"/>
      <c r="U467" s="175"/>
      <c r="V467" s="175"/>
    </row>
    <row r="468" ht="63.0" customHeight="1">
      <c r="A468" s="175">
        <v>468.0</v>
      </c>
      <c r="B468" s="176">
        <v>46184.0</v>
      </c>
      <c r="C468" s="175" t="s">
        <v>21</v>
      </c>
      <c r="D468" s="175" t="s">
        <v>57</v>
      </c>
      <c r="E468" s="177" t="s">
        <v>437</v>
      </c>
      <c r="F468" s="178">
        <v>5.99314675E8</v>
      </c>
      <c r="G468" s="177" t="s">
        <v>152</v>
      </c>
      <c r="H468" s="175" t="s">
        <v>27</v>
      </c>
      <c r="I468" s="179" t="s">
        <v>6350</v>
      </c>
      <c r="J468" s="177"/>
      <c r="K468" s="175" t="s">
        <v>36</v>
      </c>
      <c r="L468" s="180"/>
      <c r="M468" s="177" t="s">
        <v>38</v>
      </c>
      <c r="N468" s="175" t="s">
        <v>40</v>
      </c>
      <c r="O468" s="175" t="s">
        <v>42</v>
      </c>
      <c r="P468" s="177" t="s">
        <v>3566</v>
      </c>
      <c r="Q468" s="175" t="s">
        <v>44</v>
      </c>
      <c r="R468" s="175"/>
      <c r="S468" s="180"/>
      <c r="T468" s="177"/>
      <c r="U468" s="175"/>
      <c r="V468" s="175"/>
    </row>
    <row r="469" ht="63.0" customHeight="1">
      <c r="A469" s="175">
        <v>469.0</v>
      </c>
      <c r="B469" s="176">
        <v>46184.0</v>
      </c>
      <c r="C469" s="175" t="s">
        <v>21</v>
      </c>
      <c r="D469" s="175" t="s">
        <v>48</v>
      </c>
      <c r="E469" s="177" t="s">
        <v>6352</v>
      </c>
      <c r="F469" s="207">
        <v>1.12626069E8</v>
      </c>
      <c r="G469" s="177" t="s">
        <v>152</v>
      </c>
      <c r="H469" s="175" t="s">
        <v>27</v>
      </c>
      <c r="I469" s="179" t="s">
        <v>6353</v>
      </c>
      <c r="J469" s="177" t="s">
        <v>3932</v>
      </c>
      <c r="K469" s="175" t="s">
        <v>36</v>
      </c>
      <c r="L469" s="180">
        <v>0.6111111111111112</v>
      </c>
      <c r="M469" s="177" t="s">
        <v>38</v>
      </c>
      <c r="N469" s="175" t="s">
        <v>56</v>
      </c>
      <c r="O469" s="175" t="s">
        <v>42</v>
      </c>
      <c r="P469" s="177" t="s">
        <v>3566</v>
      </c>
      <c r="Q469" s="175" t="s">
        <v>44</v>
      </c>
      <c r="R469" s="175"/>
      <c r="S469" s="180"/>
      <c r="T469" s="177"/>
      <c r="U469" s="175"/>
      <c r="V469" s="175"/>
    </row>
    <row r="470" ht="16.5" customHeight="1">
      <c r="A470" s="175">
        <v>470.0</v>
      </c>
      <c r="B470" s="176">
        <v>46184.0</v>
      </c>
      <c r="C470" s="175" t="s">
        <v>21</v>
      </c>
      <c r="D470" s="175" t="s">
        <v>22</v>
      </c>
      <c r="E470" s="177" t="s">
        <v>6189</v>
      </c>
      <c r="F470" s="178">
        <v>5.35742188E8</v>
      </c>
      <c r="G470" s="175" t="s">
        <v>27</v>
      </c>
      <c r="H470" s="175" t="s">
        <v>27</v>
      </c>
      <c r="I470" s="179" t="s">
        <v>6354</v>
      </c>
      <c r="J470" s="177"/>
      <c r="K470" s="175" t="s">
        <v>36</v>
      </c>
      <c r="L470" s="180"/>
      <c r="M470" s="177" t="s">
        <v>38</v>
      </c>
      <c r="N470" s="175" t="s">
        <v>40</v>
      </c>
      <c r="O470" s="175" t="s">
        <v>42</v>
      </c>
      <c r="P470" s="177" t="s">
        <v>3566</v>
      </c>
      <c r="Q470" s="175" t="s">
        <v>44</v>
      </c>
      <c r="R470" s="175" t="s">
        <v>46</v>
      </c>
      <c r="S470" s="180"/>
      <c r="T470" s="177"/>
      <c r="U470" s="175"/>
      <c r="V470" s="175"/>
    </row>
    <row r="471" ht="63.0" customHeight="1">
      <c r="A471" s="175">
        <v>471.0</v>
      </c>
      <c r="B471" s="176">
        <v>46184.0</v>
      </c>
      <c r="C471" s="175" t="s">
        <v>21</v>
      </c>
      <c r="D471" s="175" t="s">
        <v>66</v>
      </c>
      <c r="E471" s="177" t="s">
        <v>405</v>
      </c>
      <c r="F471" s="178">
        <v>5.9950005E8</v>
      </c>
      <c r="G471" s="175" t="s">
        <v>27</v>
      </c>
      <c r="H471" s="175" t="s">
        <v>27</v>
      </c>
      <c r="I471" s="102" t="s">
        <v>6361</v>
      </c>
      <c r="J471" s="177"/>
      <c r="K471" s="175" t="s">
        <v>36</v>
      </c>
      <c r="L471" s="180"/>
      <c r="M471" s="181" t="s">
        <v>208</v>
      </c>
      <c r="N471" s="175" t="s">
        <v>40</v>
      </c>
      <c r="O471" s="175" t="s">
        <v>42</v>
      </c>
      <c r="P471" s="177" t="s">
        <v>3566</v>
      </c>
      <c r="Q471" s="175" t="s">
        <v>49</v>
      </c>
      <c r="R471" s="175"/>
      <c r="S471" s="180"/>
      <c r="T471" s="177"/>
      <c r="U471" s="175"/>
      <c r="V471" s="175"/>
    </row>
    <row r="472" ht="63.0" customHeight="1">
      <c r="A472" s="175">
        <v>472.0</v>
      </c>
      <c r="B472" s="176">
        <v>46184.0</v>
      </c>
      <c r="C472" s="175" t="s">
        <v>58</v>
      </c>
      <c r="D472" s="175" t="s">
        <v>57</v>
      </c>
      <c r="E472" s="175" t="s">
        <v>27</v>
      </c>
      <c r="F472" s="178">
        <v>5.53547945E8</v>
      </c>
      <c r="G472" s="177" t="s">
        <v>28</v>
      </c>
      <c r="H472" s="175" t="s">
        <v>27</v>
      </c>
      <c r="I472" s="179" t="s">
        <v>6363</v>
      </c>
      <c r="J472" s="177"/>
      <c r="K472" s="175" t="s">
        <v>36</v>
      </c>
      <c r="L472" s="180"/>
      <c r="M472" s="177" t="s">
        <v>88</v>
      </c>
      <c r="N472" s="175" t="s">
        <v>40</v>
      </c>
      <c r="O472" s="175" t="s">
        <v>42</v>
      </c>
      <c r="P472" s="177" t="s">
        <v>3566</v>
      </c>
      <c r="Q472" s="175" t="s">
        <v>44</v>
      </c>
      <c r="R472" s="175"/>
      <c r="S472" s="180"/>
      <c r="T472" s="177"/>
      <c r="U472" s="175"/>
      <c r="V472" s="175"/>
    </row>
    <row r="473" ht="15.0" customHeight="1">
      <c r="A473" s="175">
        <v>473.0</v>
      </c>
      <c r="B473" s="176">
        <v>46184.0</v>
      </c>
      <c r="C473" s="175" t="s">
        <v>21</v>
      </c>
      <c r="D473" s="175" t="s">
        <v>22</v>
      </c>
      <c r="E473" s="177" t="s">
        <v>6365</v>
      </c>
      <c r="F473" s="178">
        <v>5.48277413E8</v>
      </c>
      <c r="G473" s="177" t="s">
        <v>41</v>
      </c>
      <c r="H473" s="175" t="s">
        <v>27</v>
      </c>
      <c r="I473" s="179" t="s">
        <v>6366</v>
      </c>
      <c r="J473" s="177"/>
      <c r="K473" s="175" t="s">
        <v>36</v>
      </c>
      <c r="L473" s="180"/>
      <c r="M473" s="177" t="s">
        <v>38</v>
      </c>
      <c r="N473" s="175" t="s">
        <v>40</v>
      </c>
      <c r="O473" s="175" t="s">
        <v>42</v>
      </c>
      <c r="P473" s="177" t="s">
        <v>3566</v>
      </c>
      <c r="Q473" s="175" t="s">
        <v>44</v>
      </c>
      <c r="R473" s="175" t="s">
        <v>46</v>
      </c>
      <c r="S473" s="180"/>
      <c r="T473" s="177"/>
      <c r="U473" s="175"/>
      <c r="V473" s="175"/>
    </row>
    <row r="474" ht="15.75" customHeight="1">
      <c r="A474" s="175">
        <v>474.0</v>
      </c>
      <c r="B474" s="176">
        <v>46184.0</v>
      </c>
      <c r="C474" s="175" t="s">
        <v>58</v>
      </c>
      <c r="D474" s="175" t="s">
        <v>22</v>
      </c>
      <c r="E474" s="177" t="s">
        <v>5567</v>
      </c>
      <c r="F474" s="207">
        <v>5.05647837E8</v>
      </c>
      <c r="G474" s="177" t="s">
        <v>5569</v>
      </c>
      <c r="H474" s="175" t="s">
        <v>27</v>
      </c>
      <c r="I474" s="209" t="s">
        <v>6370</v>
      </c>
      <c r="J474" s="177"/>
      <c r="K474" s="175" t="s">
        <v>36</v>
      </c>
      <c r="L474" s="180"/>
      <c r="M474" s="177" t="s">
        <v>88</v>
      </c>
      <c r="N474" s="175" t="s">
        <v>40</v>
      </c>
      <c r="O474" s="175" t="s">
        <v>42</v>
      </c>
      <c r="P474" s="177" t="s">
        <v>3566</v>
      </c>
      <c r="Q474" s="175" t="s">
        <v>44</v>
      </c>
      <c r="R474" s="175"/>
      <c r="S474" s="180"/>
      <c r="T474" s="177"/>
      <c r="U474" s="175"/>
      <c r="V474" s="175"/>
    </row>
    <row r="475" ht="14.25" customHeight="1">
      <c r="A475" s="175">
        <v>475.0</v>
      </c>
      <c r="B475" s="176">
        <v>46184.0</v>
      </c>
      <c r="C475" s="175" t="s">
        <v>58</v>
      </c>
      <c r="D475" s="175" t="s">
        <v>22</v>
      </c>
      <c r="E475" s="177" t="s">
        <v>5567</v>
      </c>
      <c r="F475" s="207">
        <v>5.51567145E8</v>
      </c>
      <c r="G475" s="177" t="s">
        <v>5569</v>
      </c>
      <c r="H475" s="175" t="s">
        <v>27</v>
      </c>
      <c r="I475" s="209" t="s">
        <v>6373</v>
      </c>
      <c r="J475" s="177"/>
      <c r="K475" s="175" t="s">
        <v>36</v>
      </c>
      <c r="L475" s="180"/>
      <c r="M475" s="177" t="s">
        <v>88</v>
      </c>
      <c r="N475" s="175" t="s">
        <v>40</v>
      </c>
      <c r="O475" s="175" t="s">
        <v>42</v>
      </c>
      <c r="P475" s="177" t="s">
        <v>3566</v>
      </c>
      <c r="Q475" s="175" t="s">
        <v>44</v>
      </c>
      <c r="R475" s="175"/>
      <c r="S475" s="180"/>
      <c r="T475" s="177"/>
      <c r="U475" s="175"/>
      <c r="V475" s="175"/>
    </row>
    <row r="476" ht="63.0" customHeight="1">
      <c r="A476" s="175">
        <v>476.0</v>
      </c>
      <c r="B476" s="176">
        <v>46184.0</v>
      </c>
      <c r="C476" s="175" t="s">
        <v>58</v>
      </c>
      <c r="D476" s="175" t="s">
        <v>57</v>
      </c>
      <c r="E476" s="175" t="s">
        <v>27</v>
      </c>
      <c r="F476" s="178">
        <v>5.53547945E8</v>
      </c>
      <c r="G476" s="177" t="s">
        <v>28</v>
      </c>
      <c r="H476" s="175" t="s">
        <v>27</v>
      </c>
      <c r="I476" s="179" t="s">
        <v>6363</v>
      </c>
      <c r="J476" s="177"/>
      <c r="K476" s="175" t="s">
        <v>36</v>
      </c>
      <c r="L476" s="180"/>
      <c r="M476" s="177" t="s">
        <v>88</v>
      </c>
      <c r="N476" s="175" t="s">
        <v>40</v>
      </c>
      <c r="O476" s="175" t="s">
        <v>42</v>
      </c>
      <c r="P476" s="177" t="s">
        <v>3566</v>
      </c>
      <c r="Q476" s="175" t="s">
        <v>44</v>
      </c>
      <c r="R476" s="175"/>
      <c r="S476" s="180"/>
      <c r="T476" s="177"/>
      <c r="U476" s="175"/>
      <c r="V476" s="175"/>
    </row>
    <row r="477" ht="15.0" customHeight="1">
      <c r="A477" s="175">
        <v>477.0</v>
      </c>
      <c r="B477" s="176">
        <v>46184.0</v>
      </c>
      <c r="C477" s="175" t="s">
        <v>21</v>
      </c>
      <c r="D477" s="175" t="s">
        <v>22</v>
      </c>
      <c r="E477" s="177" t="s">
        <v>6378</v>
      </c>
      <c r="F477" s="178">
        <v>5.34197763E8</v>
      </c>
      <c r="G477" s="177" t="s">
        <v>76</v>
      </c>
      <c r="H477" s="175" t="s">
        <v>27</v>
      </c>
      <c r="I477" s="179" t="s">
        <v>6379</v>
      </c>
      <c r="J477" s="177"/>
      <c r="K477" s="175" t="s">
        <v>36</v>
      </c>
      <c r="L477" s="180"/>
      <c r="M477" s="181" t="s">
        <v>125</v>
      </c>
      <c r="N477" s="175" t="s">
        <v>40</v>
      </c>
      <c r="O477" s="175" t="s">
        <v>42</v>
      </c>
      <c r="P477" s="177" t="s">
        <v>3566</v>
      </c>
      <c r="Q477" s="175" t="s">
        <v>44</v>
      </c>
      <c r="R477" s="175" t="s">
        <v>46</v>
      </c>
      <c r="S477" s="180"/>
      <c r="T477" s="177"/>
      <c r="U477" s="175"/>
      <c r="V477" s="175"/>
    </row>
    <row r="478" ht="77.25" customHeight="1">
      <c r="A478" s="175">
        <v>478.0</v>
      </c>
      <c r="B478" s="176">
        <v>46184.0</v>
      </c>
      <c r="C478" s="175" t="s">
        <v>47</v>
      </c>
      <c r="D478" s="175" t="s">
        <v>138</v>
      </c>
      <c r="E478" s="177" t="s">
        <v>6383</v>
      </c>
      <c r="F478" s="178">
        <v>5.07900306E8</v>
      </c>
      <c r="G478" s="177" t="s">
        <v>41</v>
      </c>
      <c r="H478" s="175" t="s">
        <v>146</v>
      </c>
      <c r="I478" s="179" t="s">
        <v>6385</v>
      </c>
      <c r="J478" s="177" t="s">
        <v>6386</v>
      </c>
      <c r="K478" s="175" t="s">
        <v>62</v>
      </c>
      <c r="L478" s="180"/>
      <c r="M478" s="177" t="s">
        <v>713</v>
      </c>
      <c r="N478" s="175" t="s">
        <v>56</v>
      </c>
      <c r="O478" s="175" t="s">
        <v>518</v>
      </c>
      <c r="P478" s="177" t="s">
        <v>3566</v>
      </c>
      <c r="Q478" s="175" t="s">
        <v>44</v>
      </c>
      <c r="R478" s="175" t="s">
        <v>46</v>
      </c>
      <c r="S478" s="180"/>
      <c r="T478" s="177"/>
      <c r="U478" s="175"/>
      <c r="V478" s="175"/>
    </row>
    <row r="479" ht="15.0" customHeight="1">
      <c r="A479" s="175">
        <v>479.0</v>
      </c>
      <c r="B479" s="176">
        <v>46184.0</v>
      </c>
      <c r="C479" s="175" t="s">
        <v>21</v>
      </c>
      <c r="D479" s="175" t="s">
        <v>22</v>
      </c>
      <c r="E479" s="177" t="s">
        <v>6389</v>
      </c>
      <c r="F479" s="178">
        <v>5.04706555E8</v>
      </c>
      <c r="G479" s="175" t="s">
        <v>27</v>
      </c>
      <c r="H479" s="175" t="s">
        <v>27</v>
      </c>
      <c r="I479" s="179" t="s">
        <v>6390</v>
      </c>
      <c r="J479" s="177"/>
      <c r="K479" s="175" t="s">
        <v>36</v>
      </c>
      <c r="L479" s="180"/>
      <c r="M479" s="177" t="s">
        <v>38</v>
      </c>
      <c r="N479" s="175" t="s">
        <v>40</v>
      </c>
      <c r="O479" s="175" t="s">
        <v>42</v>
      </c>
      <c r="P479" s="177" t="s">
        <v>3566</v>
      </c>
      <c r="Q479" s="175" t="s">
        <v>44</v>
      </c>
      <c r="R479" s="175" t="s">
        <v>46</v>
      </c>
      <c r="S479" s="180"/>
      <c r="T479" s="177"/>
      <c r="U479" s="175"/>
      <c r="V479" s="175"/>
    </row>
    <row r="480" ht="36.0" customHeight="1">
      <c r="A480" s="26">
        <v>480.0</v>
      </c>
      <c r="B480" s="188">
        <v>46184.0</v>
      </c>
      <c r="C480" s="26" t="s">
        <v>47</v>
      </c>
      <c r="D480" s="26" t="s">
        <v>48</v>
      </c>
      <c r="E480" s="27" t="s">
        <v>6393</v>
      </c>
      <c r="F480" s="21">
        <v>5.51966599E8</v>
      </c>
      <c r="G480" s="27" t="s">
        <v>2580</v>
      </c>
      <c r="H480" s="26" t="s">
        <v>1114</v>
      </c>
      <c r="I480" s="179" t="s">
        <v>6395</v>
      </c>
      <c r="J480" s="27"/>
      <c r="K480" s="26" t="s">
        <v>36</v>
      </c>
      <c r="L480" s="35">
        <v>0.6111111111111112</v>
      </c>
      <c r="M480" s="27" t="s">
        <v>101</v>
      </c>
      <c r="N480" s="26" t="s">
        <v>40</v>
      </c>
      <c r="O480" s="26" t="s">
        <v>518</v>
      </c>
      <c r="P480" s="27" t="s">
        <v>3765</v>
      </c>
      <c r="Q480" s="26" t="s">
        <v>44</v>
      </c>
      <c r="R480" s="26" t="s">
        <v>46</v>
      </c>
      <c r="S480" s="35">
        <v>0.6055555555555555</v>
      </c>
      <c r="T480" s="27" t="s">
        <v>3765</v>
      </c>
      <c r="U480" s="26" t="s">
        <v>44</v>
      </c>
      <c r="V480" s="26">
        <v>5.0</v>
      </c>
    </row>
    <row r="481" ht="75.75" customHeight="1">
      <c r="A481" s="175">
        <v>481.0</v>
      </c>
      <c r="B481" s="176">
        <v>46184.0</v>
      </c>
      <c r="C481" s="175" t="s">
        <v>47</v>
      </c>
      <c r="D481" s="175" t="s">
        <v>92</v>
      </c>
      <c r="E481" s="177" t="s">
        <v>6397</v>
      </c>
      <c r="F481" s="207">
        <v>5.53335447E8</v>
      </c>
      <c r="G481" s="177" t="s">
        <v>28</v>
      </c>
      <c r="H481" s="175" t="s">
        <v>5830</v>
      </c>
      <c r="I481" s="209" t="s">
        <v>6399</v>
      </c>
      <c r="J481" s="177"/>
      <c r="K481" s="175" t="s">
        <v>36</v>
      </c>
      <c r="L481" s="180">
        <v>0.6208333333333333</v>
      </c>
      <c r="M481" s="27" t="s">
        <v>98</v>
      </c>
      <c r="N481" s="175" t="s">
        <v>40</v>
      </c>
      <c r="O481" s="175" t="s">
        <v>3811</v>
      </c>
      <c r="P481" s="177" t="s">
        <v>3997</v>
      </c>
      <c r="Q481" s="175" t="s">
        <v>44</v>
      </c>
      <c r="R481" s="175" t="s">
        <v>46</v>
      </c>
      <c r="S481" s="200" t="s">
        <v>27</v>
      </c>
      <c r="T481" s="177" t="s">
        <v>3997</v>
      </c>
      <c r="U481" s="175" t="s">
        <v>49</v>
      </c>
      <c r="V481" s="175"/>
    </row>
    <row r="482" ht="63.0" customHeight="1">
      <c r="A482" s="175">
        <v>482.0</v>
      </c>
      <c r="B482" s="176">
        <v>46187.0</v>
      </c>
      <c r="C482" s="175" t="s">
        <v>21</v>
      </c>
      <c r="D482" s="175" t="s">
        <v>22</v>
      </c>
      <c r="E482" s="177" t="s">
        <v>6403</v>
      </c>
      <c r="F482" s="178">
        <v>5.67529094E8</v>
      </c>
      <c r="G482" s="177" t="s">
        <v>319</v>
      </c>
      <c r="H482" s="175" t="s">
        <v>27</v>
      </c>
      <c r="I482" s="179" t="s">
        <v>6404</v>
      </c>
      <c r="J482" s="177"/>
      <c r="K482" s="175" t="s">
        <v>321</v>
      </c>
      <c r="L482" s="180"/>
      <c r="M482" s="177" t="s">
        <v>38</v>
      </c>
      <c r="N482" s="175" t="s">
        <v>40</v>
      </c>
      <c r="O482" s="175" t="s">
        <v>42</v>
      </c>
      <c r="P482" s="177" t="s">
        <v>3566</v>
      </c>
      <c r="Q482" s="175" t="s">
        <v>49</v>
      </c>
      <c r="R482" s="175" t="s">
        <v>46</v>
      </c>
      <c r="S482" s="180"/>
      <c r="T482" s="177"/>
      <c r="U482" s="175"/>
      <c r="V482" s="175"/>
    </row>
    <row r="483" ht="15.0" customHeight="1">
      <c r="A483" s="175">
        <v>483.0</v>
      </c>
      <c r="B483" s="176">
        <v>46187.0</v>
      </c>
      <c r="C483" s="175" t="s">
        <v>21</v>
      </c>
      <c r="D483" s="175" t="s">
        <v>34</v>
      </c>
      <c r="E483" s="175" t="s">
        <v>27</v>
      </c>
      <c r="F483" s="178">
        <v>5.3635325E8</v>
      </c>
      <c r="G483" s="177"/>
      <c r="H483" s="175" t="s">
        <v>27</v>
      </c>
      <c r="I483" s="179" t="s">
        <v>643</v>
      </c>
      <c r="J483" s="177"/>
      <c r="K483" s="175" t="s">
        <v>36</v>
      </c>
      <c r="L483" s="180">
        <v>0.6458333333333334</v>
      </c>
      <c r="M483" s="181" t="s">
        <v>51</v>
      </c>
      <c r="N483" s="175" t="s">
        <v>40</v>
      </c>
      <c r="O483" s="175" t="s">
        <v>42</v>
      </c>
      <c r="P483" s="177" t="s">
        <v>3566</v>
      </c>
      <c r="Q483" s="175" t="s">
        <v>44</v>
      </c>
      <c r="R483" s="175"/>
      <c r="S483" s="180"/>
      <c r="T483" s="177"/>
      <c r="U483" s="175"/>
      <c r="V483" s="175"/>
    </row>
    <row r="484" ht="15.0" customHeight="1">
      <c r="A484" s="175">
        <v>484.0</v>
      </c>
      <c r="B484" s="176">
        <v>46187.0</v>
      </c>
      <c r="C484" s="175" t="s">
        <v>21</v>
      </c>
      <c r="D484" s="175" t="s">
        <v>22</v>
      </c>
      <c r="E484" s="177" t="s">
        <v>6407</v>
      </c>
      <c r="F484" s="178">
        <v>5.65783638E8</v>
      </c>
      <c r="G484" s="177" t="s">
        <v>319</v>
      </c>
      <c r="H484" s="175" t="s">
        <v>27</v>
      </c>
      <c r="I484" s="179" t="s">
        <v>1389</v>
      </c>
      <c r="J484" s="177"/>
      <c r="K484" s="175" t="s">
        <v>36</v>
      </c>
      <c r="L484" s="180">
        <v>0.6638888888888889</v>
      </c>
      <c r="M484" s="177" t="s">
        <v>1389</v>
      </c>
      <c r="N484" s="175" t="s">
        <v>40</v>
      </c>
      <c r="O484" s="175" t="s">
        <v>42</v>
      </c>
      <c r="P484" s="177" t="s">
        <v>3566</v>
      </c>
      <c r="Q484" s="175" t="s">
        <v>44</v>
      </c>
      <c r="R484" s="175" t="s">
        <v>46</v>
      </c>
      <c r="S484" s="180"/>
      <c r="T484" s="177"/>
      <c r="U484" s="175"/>
      <c r="V484" s="175"/>
    </row>
    <row r="485" ht="15.0" customHeight="1">
      <c r="A485" s="175">
        <v>485.0</v>
      </c>
      <c r="B485" s="176">
        <v>46187.0</v>
      </c>
      <c r="C485" s="175" t="s">
        <v>58</v>
      </c>
      <c r="D485" s="175" t="s">
        <v>60</v>
      </c>
      <c r="E485" s="177" t="s">
        <v>6412</v>
      </c>
      <c r="F485" s="178">
        <v>5.44485907E8</v>
      </c>
      <c r="G485" s="177" t="s">
        <v>41</v>
      </c>
      <c r="H485" s="175" t="s">
        <v>222</v>
      </c>
      <c r="I485" s="179" t="s">
        <v>6413</v>
      </c>
      <c r="J485" s="177" t="s">
        <v>6414</v>
      </c>
      <c r="K485" s="175" t="s">
        <v>36</v>
      </c>
      <c r="L485" s="180">
        <v>0.6680555555555555</v>
      </c>
      <c r="M485" s="181" t="s">
        <v>88</v>
      </c>
      <c r="N485" s="175" t="s">
        <v>40</v>
      </c>
      <c r="O485" s="175" t="s">
        <v>42</v>
      </c>
      <c r="P485" s="177" t="s">
        <v>3566</v>
      </c>
      <c r="Q485" s="175" t="s">
        <v>44</v>
      </c>
      <c r="R485" s="175"/>
      <c r="S485" s="180"/>
      <c r="T485" s="177"/>
      <c r="U485" s="175" t="s">
        <v>44</v>
      </c>
      <c r="V485" s="175"/>
    </row>
    <row r="486" ht="42.75" customHeight="1">
      <c r="A486" s="26">
        <v>486.0</v>
      </c>
      <c r="B486" s="188">
        <v>46187.0</v>
      </c>
      <c r="C486" s="26" t="s">
        <v>47</v>
      </c>
      <c r="D486" s="26" t="s">
        <v>48</v>
      </c>
      <c r="E486" s="27" t="s">
        <v>6416</v>
      </c>
      <c r="F486" s="21">
        <v>5.54160982E8</v>
      </c>
      <c r="G486" s="27" t="s">
        <v>41</v>
      </c>
      <c r="H486" s="26" t="s">
        <v>263</v>
      </c>
      <c r="I486" s="179" t="s">
        <v>6419</v>
      </c>
      <c r="J486" s="27" t="s">
        <v>6420</v>
      </c>
      <c r="K486" s="26" t="s">
        <v>36</v>
      </c>
      <c r="L486" s="35">
        <v>0.6993055555555555</v>
      </c>
      <c r="M486" s="74" t="s">
        <v>3355</v>
      </c>
      <c r="N486" s="26" t="s">
        <v>56</v>
      </c>
      <c r="O486" s="26" t="s">
        <v>3811</v>
      </c>
      <c r="P486" s="27" t="s">
        <v>3566</v>
      </c>
      <c r="Q486" s="26" t="s">
        <v>44</v>
      </c>
      <c r="R486" s="26" t="s">
        <v>46</v>
      </c>
      <c r="S486" s="35">
        <v>0.7652777777777777</v>
      </c>
      <c r="T486" s="27" t="s">
        <v>3566</v>
      </c>
      <c r="U486" s="26" t="s">
        <v>44</v>
      </c>
      <c r="V486" s="26"/>
    </row>
    <row r="487" ht="37.5" customHeight="1">
      <c r="A487" s="175">
        <v>487.0</v>
      </c>
      <c r="B487" s="176">
        <v>46187.0</v>
      </c>
      <c r="C487" s="175" t="s">
        <v>21</v>
      </c>
      <c r="D487" s="175" t="s">
        <v>22</v>
      </c>
      <c r="E487" s="177" t="s">
        <v>6421</v>
      </c>
      <c r="F487" s="178">
        <v>5.46681556E8</v>
      </c>
      <c r="G487" s="177" t="s">
        <v>79</v>
      </c>
      <c r="H487" s="175" t="s">
        <v>27</v>
      </c>
      <c r="I487" s="179" t="s">
        <v>6422</v>
      </c>
      <c r="J487" s="177"/>
      <c r="K487" s="175" t="s">
        <v>62</v>
      </c>
      <c r="L487" s="180">
        <v>0.6791666666666667</v>
      </c>
      <c r="M487" s="177" t="s">
        <v>125</v>
      </c>
      <c r="N487" s="175" t="s">
        <v>40</v>
      </c>
      <c r="O487" s="175" t="s">
        <v>42</v>
      </c>
      <c r="P487" s="177" t="s">
        <v>3566</v>
      </c>
      <c r="Q487" s="175" t="s">
        <v>44</v>
      </c>
      <c r="R487" s="175" t="s">
        <v>46</v>
      </c>
      <c r="S487" s="180"/>
      <c r="T487" s="177"/>
      <c r="U487" s="175"/>
      <c r="V487" s="175"/>
    </row>
    <row r="488" ht="28.5" customHeight="1">
      <c r="A488" s="175">
        <v>488.0</v>
      </c>
      <c r="B488" s="176">
        <v>46187.0</v>
      </c>
      <c r="C488" s="175" t="s">
        <v>58</v>
      </c>
      <c r="D488" s="175" t="s">
        <v>57</v>
      </c>
      <c r="E488" s="177" t="s">
        <v>6426</v>
      </c>
      <c r="F488" s="178">
        <v>5.33149396E8</v>
      </c>
      <c r="G488" s="177" t="s">
        <v>41</v>
      </c>
      <c r="H488" s="175" t="s">
        <v>27</v>
      </c>
      <c r="I488" s="179" t="s">
        <v>6427</v>
      </c>
      <c r="J488" s="177"/>
      <c r="K488" s="175" t="s">
        <v>36</v>
      </c>
      <c r="L488" s="180">
        <v>0.3472222222222222</v>
      </c>
      <c r="M488" s="177" t="s">
        <v>88</v>
      </c>
      <c r="N488" s="175" t="s">
        <v>40</v>
      </c>
      <c r="O488" s="175" t="s">
        <v>42</v>
      </c>
      <c r="P488" s="177" t="s">
        <v>3566</v>
      </c>
      <c r="Q488" s="175" t="s">
        <v>44</v>
      </c>
      <c r="R488" s="175"/>
      <c r="S488" s="180"/>
      <c r="T488" s="177"/>
      <c r="U488" s="175"/>
      <c r="V488" s="175"/>
    </row>
    <row r="489" ht="15.75" customHeight="1">
      <c r="A489" s="175">
        <v>489.0</v>
      </c>
      <c r="B489" s="176">
        <v>46187.0</v>
      </c>
      <c r="C489" s="175" t="s">
        <v>21</v>
      </c>
      <c r="D489" s="175" t="s">
        <v>22</v>
      </c>
      <c r="E489" s="177" t="s">
        <v>2724</v>
      </c>
      <c r="F489" s="178">
        <v>5.58554436E8</v>
      </c>
      <c r="G489" s="177" t="s">
        <v>41</v>
      </c>
      <c r="H489" s="175" t="s">
        <v>27</v>
      </c>
      <c r="I489" s="179" t="s">
        <v>6431</v>
      </c>
      <c r="J489" s="177"/>
      <c r="K489" s="175" t="s">
        <v>36</v>
      </c>
      <c r="L489" s="180">
        <v>0.35347222222222224</v>
      </c>
      <c r="M489" s="177" t="s">
        <v>38</v>
      </c>
      <c r="N489" s="175" t="s">
        <v>40</v>
      </c>
      <c r="O489" s="175" t="s">
        <v>42</v>
      </c>
      <c r="P489" s="177" t="s">
        <v>3566</v>
      </c>
      <c r="Q489" s="175" t="s">
        <v>44</v>
      </c>
      <c r="R489" s="175" t="s">
        <v>46</v>
      </c>
      <c r="S489" s="180"/>
      <c r="T489" s="177"/>
      <c r="U489" s="175"/>
      <c r="V489" s="175"/>
    </row>
    <row r="490">
      <c r="A490" s="175">
        <v>490.0</v>
      </c>
      <c r="B490" s="176">
        <v>46187.0</v>
      </c>
      <c r="C490" s="175" t="s">
        <v>47</v>
      </c>
      <c r="D490" s="175" t="s">
        <v>48</v>
      </c>
      <c r="E490" s="177" t="s">
        <v>6436</v>
      </c>
      <c r="F490" s="178" t="s">
        <v>27</v>
      </c>
      <c r="G490" s="177" t="s">
        <v>41</v>
      </c>
      <c r="H490" s="175" t="s">
        <v>222</v>
      </c>
      <c r="I490" s="179" t="s">
        <v>6437</v>
      </c>
      <c r="J490" s="27" t="s">
        <v>6438</v>
      </c>
      <c r="K490" s="175" t="s">
        <v>78</v>
      </c>
      <c r="L490" s="180"/>
      <c r="M490" s="201" t="s">
        <v>4232</v>
      </c>
      <c r="N490" s="175" t="s">
        <v>56</v>
      </c>
      <c r="O490" s="175" t="s">
        <v>518</v>
      </c>
      <c r="P490" s="177" t="s">
        <v>3765</v>
      </c>
      <c r="Q490" s="175" t="s">
        <v>49</v>
      </c>
      <c r="R490" s="175" t="s">
        <v>46</v>
      </c>
      <c r="S490" s="180"/>
      <c r="T490" s="177"/>
      <c r="U490" s="175"/>
      <c r="V490" s="175"/>
    </row>
    <row r="491" ht="31.5" customHeight="1">
      <c r="A491" s="175">
        <v>491.0</v>
      </c>
      <c r="B491" s="176">
        <v>46187.0</v>
      </c>
      <c r="C491" s="175" t="s">
        <v>47</v>
      </c>
      <c r="D491" s="175" t="s">
        <v>367</v>
      </c>
      <c r="E491" s="175" t="s">
        <v>6441</v>
      </c>
      <c r="F491" s="178" t="s">
        <v>27</v>
      </c>
      <c r="G491" s="177" t="s">
        <v>41</v>
      </c>
      <c r="H491" s="175" t="s">
        <v>956</v>
      </c>
      <c r="I491" s="179" t="s">
        <v>6442</v>
      </c>
      <c r="J491" s="177" t="s">
        <v>6443</v>
      </c>
      <c r="K491" s="175" t="s">
        <v>78</v>
      </c>
      <c r="L491" s="180"/>
      <c r="M491" s="232" t="s">
        <v>1273</v>
      </c>
      <c r="N491" s="175" t="s">
        <v>56</v>
      </c>
      <c r="O491" s="175" t="s">
        <v>301</v>
      </c>
      <c r="P491" s="177" t="s">
        <v>3566</v>
      </c>
      <c r="Q491" s="175" t="s">
        <v>49</v>
      </c>
      <c r="R491" s="175" t="s">
        <v>46</v>
      </c>
      <c r="S491" s="180"/>
      <c r="T491" s="177"/>
      <c r="U491" s="175"/>
      <c r="V491" s="175"/>
    </row>
    <row r="492">
      <c r="A492" s="175">
        <v>492.0</v>
      </c>
      <c r="B492" s="176">
        <v>46187.0</v>
      </c>
      <c r="C492" s="175" t="s">
        <v>47</v>
      </c>
      <c r="D492" s="175" t="s">
        <v>92</v>
      </c>
      <c r="E492" s="175" t="s">
        <v>3130</v>
      </c>
      <c r="F492" s="178" t="s">
        <v>27</v>
      </c>
      <c r="G492" s="177" t="s">
        <v>28</v>
      </c>
      <c r="H492" s="175" t="s">
        <v>777</v>
      </c>
      <c r="I492" s="209" t="s">
        <v>6447</v>
      </c>
      <c r="J492" s="177"/>
      <c r="K492" s="175" t="s">
        <v>78</v>
      </c>
      <c r="L492" s="180"/>
      <c r="M492" s="27" t="s">
        <v>101</v>
      </c>
      <c r="N492" s="175" t="s">
        <v>40</v>
      </c>
      <c r="O492" s="175" t="s">
        <v>518</v>
      </c>
      <c r="P492" s="177" t="s">
        <v>3765</v>
      </c>
      <c r="Q492" s="175" t="s">
        <v>49</v>
      </c>
      <c r="R492" s="175" t="s">
        <v>46</v>
      </c>
      <c r="S492" s="180"/>
      <c r="T492" s="177"/>
      <c r="U492" s="175"/>
      <c r="V492" s="175"/>
    </row>
    <row r="493">
      <c r="A493" s="175">
        <v>493.0</v>
      </c>
      <c r="B493" s="176">
        <v>46187.0</v>
      </c>
      <c r="C493" s="175" t="s">
        <v>47</v>
      </c>
      <c r="D493" s="175" t="s">
        <v>92</v>
      </c>
      <c r="E493" s="175" t="s">
        <v>6450</v>
      </c>
      <c r="F493" s="178" t="s">
        <v>27</v>
      </c>
      <c r="G493" s="177" t="s">
        <v>28</v>
      </c>
      <c r="H493" s="175" t="s">
        <v>777</v>
      </c>
      <c r="I493" s="209" t="s">
        <v>6451</v>
      </c>
      <c r="J493" s="177"/>
      <c r="K493" s="175" t="s">
        <v>78</v>
      </c>
      <c r="L493" s="180"/>
      <c r="M493" s="27" t="s">
        <v>2143</v>
      </c>
      <c r="N493" s="175" t="s">
        <v>40</v>
      </c>
      <c r="O493" s="175" t="s">
        <v>518</v>
      </c>
      <c r="P493" s="177" t="s">
        <v>3765</v>
      </c>
      <c r="Q493" s="175" t="s">
        <v>49</v>
      </c>
      <c r="R493" s="175" t="s">
        <v>46</v>
      </c>
      <c r="S493" s="180"/>
      <c r="T493" s="177"/>
      <c r="U493" s="175"/>
      <c r="V493" s="175"/>
    </row>
    <row r="494">
      <c r="A494" s="175">
        <v>494.0</v>
      </c>
      <c r="B494" s="176">
        <v>46187.0</v>
      </c>
      <c r="C494" s="175" t="s">
        <v>47</v>
      </c>
      <c r="D494" s="175" t="s">
        <v>48</v>
      </c>
      <c r="E494" s="175" t="s">
        <v>6455</v>
      </c>
      <c r="F494" s="178" t="s">
        <v>27</v>
      </c>
      <c r="G494" s="177" t="s">
        <v>79</v>
      </c>
      <c r="H494" s="175" t="s">
        <v>2109</v>
      </c>
      <c r="I494" s="179" t="s">
        <v>6456</v>
      </c>
      <c r="J494" s="177"/>
      <c r="K494" s="175" t="s">
        <v>78</v>
      </c>
      <c r="L494" s="180"/>
      <c r="M494" s="177" t="s">
        <v>101</v>
      </c>
      <c r="N494" s="175" t="s">
        <v>40</v>
      </c>
      <c r="O494" s="175" t="s">
        <v>518</v>
      </c>
      <c r="P494" s="177" t="s">
        <v>3765</v>
      </c>
      <c r="Q494" s="175" t="s">
        <v>49</v>
      </c>
      <c r="R494" s="175" t="s">
        <v>46</v>
      </c>
      <c r="S494" s="180"/>
      <c r="T494" s="177"/>
      <c r="U494" s="175"/>
      <c r="V494" s="175"/>
    </row>
    <row r="495">
      <c r="A495" s="175">
        <v>495.0</v>
      </c>
      <c r="B495" s="176">
        <v>46187.0</v>
      </c>
      <c r="C495" s="175" t="s">
        <v>47</v>
      </c>
      <c r="D495" s="175" t="s">
        <v>48</v>
      </c>
      <c r="E495" s="175" t="s">
        <v>27</v>
      </c>
      <c r="F495" s="178" t="s">
        <v>27</v>
      </c>
      <c r="G495" s="177" t="s">
        <v>79</v>
      </c>
      <c r="H495" s="175" t="s">
        <v>142</v>
      </c>
      <c r="I495" s="179" t="s">
        <v>6461</v>
      </c>
      <c r="J495" s="27" t="s">
        <v>6462</v>
      </c>
      <c r="K495" s="175" t="s">
        <v>78</v>
      </c>
      <c r="L495" s="180"/>
      <c r="M495" s="177" t="s">
        <v>101</v>
      </c>
      <c r="N495" s="175" t="s">
        <v>56</v>
      </c>
      <c r="O495" s="175" t="s">
        <v>518</v>
      </c>
      <c r="P495" s="177" t="s">
        <v>3765</v>
      </c>
      <c r="Q495" s="175" t="s">
        <v>49</v>
      </c>
      <c r="R495" s="175" t="s">
        <v>46</v>
      </c>
      <c r="S495" s="180"/>
      <c r="T495" s="177"/>
      <c r="U495" s="175"/>
      <c r="V495" s="175"/>
    </row>
    <row r="496">
      <c r="A496" s="175">
        <v>496.0</v>
      </c>
      <c r="B496" s="176">
        <v>46187.0</v>
      </c>
      <c r="C496" s="175" t="s">
        <v>21</v>
      </c>
      <c r="D496" s="175" t="s">
        <v>22</v>
      </c>
      <c r="E496" s="177" t="s">
        <v>6465</v>
      </c>
      <c r="F496" s="178">
        <v>5.00770606E8</v>
      </c>
      <c r="G496" s="177" t="s">
        <v>362</v>
      </c>
      <c r="H496" s="175" t="s">
        <v>27</v>
      </c>
      <c r="I496" s="179" t="s">
        <v>6467</v>
      </c>
      <c r="J496" s="177"/>
      <c r="K496" s="175" t="s">
        <v>62</v>
      </c>
      <c r="L496" s="180">
        <v>0.3680555555555556</v>
      </c>
      <c r="M496" s="181" t="s">
        <v>125</v>
      </c>
      <c r="N496" s="175" t="s">
        <v>40</v>
      </c>
      <c r="O496" s="175" t="s">
        <v>42</v>
      </c>
      <c r="P496" s="177" t="s">
        <v>3566</v>
      </c>
      <c r="Q496" s="175" t="s">
        <v>44</v>
      </c>
      <c r="R496" s="175" t="s">
        <v>46</v>
      </c>
      <c r="S496" s="180"/>
      <c r="T496" s="177"/>
      <c r="U496" s="175"/>
      <c r="V496" s="175"/>
    </row>
    <row r="497">
      <c r="A497" s="175">
        <v>497.0</v>
      </c>
      <c r="B497" s="176">
        <v>46187.0</v>
      </c>
      <c r="C497" s="175" t="s">
        <v>21</v>
      </c>
      <c r="D497" s="175" t="s">
        <v>24</v>
      </c>
      <c r="E497" s="177" t="s">
        <v>6470</v>
      </c>
      <c r="F497" s="178">
        <v>5.34964627E8</v>
      </c>
      <c r="G497" s="177" t="s">
        <v>41</v>
      </c>
      <c r="H497" s="175" t="s">
        <v>27</v>
      </c>
      <c r="I497" s="179" t="s">
        <v>6471</v>
      </c>
      <c r="J497" s="177"/>
      <c r="K497" s="175" t="s">
        <v>62</v>
      </c>
      <c r="L497" s="180">
        <v>0.3680555555555556</v>
      </c>
      <c r="M497" s="177" t="s">
        <v>38</v>
      </c>
      <c r="N497" s="175" t="s">
        <v>56</v>
      </c>
      <c r="O497" s="175" t="s">
        <v>42</v>
      </c>
      <c r="P497" s="177" t="s">
        <v>3566</v>
      </c>
      <c r="Q497" s="175" t="s">
        <v>44</v>
      </c>
      <c r="R497" s="175" t="s">
        <v>46</v>
      </c>
      <c r="S497" s="180">
        <v>0.4166666666666667</v>
      </c>
      <c r="T497" s="177"/>
      <c r="U497" s="175" t="s">
        <v>44</v>
      </c>
      <c r="V497" s="175">
        <v>5.0</v>
      </c>
    </row>
    <row r="498">
      <c r="A498" s="175">
        <v>498.0</v>
      </c>
      <c r="B498" s="176">
        <v>46187.0</v>
      </c>
      <c r="C498" s="175" t="s">
        <v>21</v>
      </c>
      <c r="D498" s="175" t="s">
        <v>22</v>
      </c>
      <c r="E498" s="177" t="s">
        <v>463</v>
      </c>
      <c r="F498" s="178">
        <v>5.65959991E8</v>
      </c>
      <c r="G498" s="177" t="s">
        <v>394</v>
      </c>
      <c r="H498" s="175" t="s">
        <v>27</v>
      </c>
      <c r="I498" s="179" t="s">
        <v>6474</v>
      </c>
      <c r="J498" s="177"/>
      <c r="K498" s="175" t="s">
        <v>62</v>
      </c>
      <c r="L498" s="180">
        <v>0.3680555555555556</v>
      </c>
      <c r="M498" s="177" t="s">
        <v>38</v>
      </c>
      <c r="N498" s="175" t="s">
        <v>40</v>
      </c>
      <c r="O498" s="175" t="s">
        <v>42</v>
      </c>
      <c r="P498" s="177" t="s">
        <v>3566</v>
      </c>
      <c r="Q498" s="175" t="s">
        <v>44</v>
      </c>
      <c r="R498" s="175" t="s">
        <v>46</v>
      </c>
      <c r="S498" s="180"/>
      <c r="T498" s="177"/>
      <c r="U498" s="175"/>
      <c r="V498" s="175"/>
    </row>
    <row r="499">
      <c r="A499" s="175">
        <v>499.0</v>
      </c>
      <c r="B499" s="176">
        <v>46187.0</v>
      </c>
      <c r="C499" s="175" t="s">
        <v>58</v>
      </c>
      <c r="D499" s="175" t="s">
        <v>60</v>
      </c>
      <c r="E499" s="175" t="s">
        <v>6476</v>
      </c>
      <c r="F499" s="178">
        <v>5.57553088E8</v>
      </c>
      <c r="G499" s="175" t="s">
        <v>27</v>
      </c>
      <c r="H499" s="175" t="s">
        <v>27</v>
      </c>
      <c r="I499" s="179" t="s">
        <v>6477</v>
      </c>
      <c r="J499" s="177"/>
      <c r="K499" s="175" t="s">
        <v>62</v>
      </c>
      <c r="L499" s="180">
        <v>0.3680555555555556</v>
      </c>
      <c r="M499" s="181" t="s">
        <v>38</v>
      </c>
      <c r="N499" s="175" t="s">
        <v>40</v>
      </c>
      <c r="O499" s="175" t="s">
        <v>42</v>
      </c>
      <c r="P499" s="177" t="s">
        <v>3566</v>
      </c>
      <c r="Q499" s="175" t="s">
        <v>44</v>
      </c>
      <c r="R499" s="175"/>
      <c r="S499" s="180"/>
      <c r="T499" s="177"/>
      <c r="U499" s="175"/>
      <c r="V499" s="175"/>
    </row>
    <row r="500">
      <c r="A500" s="175">
        <v>500.0</v>
      </c>
      <c r="B500" s="176">
        <v>46187.0</v>
      </c>
      <c r="C500" s="175" t="s">
        <v>21</v>
      </c>
      <c r="D500" s="175" t="s">
        <v>22</v>
      </c>
      <c r="E500" s="177" t="s">
        <v>6479</v>
      </c>
      <c r="F500" s="178">
        <v>5.8333202E8</v>
      </c>
      <c r="G500" s="177" t="s">
        <v>41</v>
      </c>
      <c r="H500" s="175" t="s">
        <v>27</v>
      </c>
      <c r="I500" s="179" t="s">
        <v>6481</v>
      </c>
      <c r="J500" s="177"/>
      <c r="K500" s="175" t="s">
        <v>62</v>
      </c>
      <c r="L500" s="180">
        <v>0.3680555555555556</v>
      </c>
      <c r="M500" s="177" t="s">
        <v>38</v>
      </c>
      <c r="N500" s="175" t="s">
        <v>40</v>
      </c>
      <c r="O500" s="175" t="s">
        <v>518</v>
      </c>
      <c r="P500" s="177" t="s">
        <v>3566</v>
      </c>
      <c r="Q500" s="175" t="s">
        <v>44</v>
      </c>
      <c r="R500" s="175" t="s">
        <v>46</v>
      </c>
      <c r="S500" s="180"/>
      <c r="T500" s="177"/>
      <c r="U500" s="175"/>
      <c r="V500" s="175"/>
    </row>
    <row r="501">
      <c r="A501" s="175">
        <v>501.0</v>
      </c>
      <c r="B501" s="176">
        <v>46187.0</v>
      </c>
      <c r="C501" s="175" t="s">
        <v>21</v>
      </c>
      <c r="D501" s="175" t="s">
        <v>24</v>
      </c>
      <c r="E501" s="177" t="s">
        <v>6484</v>
      </c>
      <c r="F501" s="178">
        <v>5.00108633E8</v>
      </c>
      <c r="G501" s="177" t="s">
        <v>1452</v>
      </c>
      <c r="H501" s="175" t="s">
        <v>27</v>
      </c>
      <c r="I501" s="179" t="s">
        <v>6485</v>
      </c>
      <c r="J501" s="177"/>
      <c r="K501" s="175" t="s">
        <v>62</v>
      </c>
      <c r="L501" s="180">
        <v>0.3680555555555556</v>
      </c>
      <c r="M501" s="177" t="s">
        <v>38</v>
      </c>
      <c r="N501" s="175" t="s">
        <v>56</v>
      </c>
      <c r="O501" s="175" t="s">
        <v>42</v>
      </c>
      <c r="P501" s="177" t="s">
        <v>3566</v>
      </c>
      <c r="Q501" s="175" t="s">
        <v>44</v>
      </c>
      <c r="R501" s="175" t="s">
        <v>46</v>
      </c>
      <c r="S501" s="180">
        <v>0.4166666666666667</v>
      </c>
      <c r="T501" s="177"/>
      <c r="U501" s="175" t="s">
        <v>44</v>
      </c>
      <c r="V501" s="175">
        <v>5.0</v>
      </c>
    </row>
    <row r="502">
      <c r="A502" s="175">
        <v>502.0</v>
      </c>
      <c r="B502" s="176">
        <v>46187.0</v>
      </c>
      <c r="C502" s="175" t="s">
        <v>58</v>
      </c>
      <c r="D502" s="175" t="s">
        <v>60</v>
      </c>
      <c r="E502" s="175" t="s">
        <v>27</v>
      </c>
      <c r="F502" s="178">
        <v>5.57333121E8</v>
      </c>
      <c r="G502" s="175" t="s">
        <v>27</v>
      </c>
      <c r="H502" s="175" t="s">
        <v>27</v>
      </c>
      <c r="I502" s="179" t="s">
        <v>4974</v>
      </c>
      <c r="J502" s="177"/>
      <c r="K502" s="175" t="s">
        <v>62</v>
      </c>
      <c r="L502" s="180">
        <v>0.3680555555555556</v>
      </c>
      <c r="M502" s="181" t="s">
        <v>88</v>
      </c>
      <c r="N502" s="175" t="s">
        <v>40</v>
      </c>
      <c r="O502" s="175" t="s">
        <v>42</v>
      </c>
      <c r="P502" s="177" t="s">
        <v>3566</v>
      </c>
      <c r="Q502" s="175" t="s">
        <v>44</v>
      </c>
      <c r="R502" s="175"/>
      <c r="S502" s="180"/>
      <c r="T502" s="177"/>
      <c r="U502" s="175"/>
      <c r="V502" s="175"/>
    </row>
    <row r="503" ht="16.5" customHeight="1">
      <c r="A503" s="175">
        <v>503.0</v>
      </c>
      <c r="B503" s="176">
        <v>46187.0</v>
      </c>
      <c r="C503" s="175" t="s">
        <v>58</v>
      </c>
      <c r="D503" s="175" t="s">
        <v>60</v>
      </c>
      <c r="E503" s="175" t="s">
        <v>27</v>
      </c>
      <c r="F503" s="178">
        <v>5.36503345E8</v>
      </c>
      <c r="G503" s="175" t="s">
        <v>27</v>
      </c>
      <c r="H503" s="175" t="s">
        <v>27</v>
      </c>
      <c r="I503" s="289" t="s">
        <v>6489</v>
      </c>
      <c r="J503" s="177" t="s">
        <v>124</v>
      </c>
      <c r="K503" s="175" t="s">
        <v>65</v>
      </c>
      <c r="L503" s="180">
        <v>0.3611111111111111</v>
      </c>
      <c r="M503" s="181" t="s">
        <v>88</v>
      </c>
      <c r="N503" s="175" t="s">
        <v>40</v>
      </c>
      <c r="O503" s="175" t="s">
        <v>42</v>
      </c>
      <c r="P503" s="177" t="s">
        <v>3566</v>
      </c>
      <c r="Q503" s="175" t="s">
        <v>44</v>
      </c>
      <c r="R503" s="175"/>
      <c r="S503" s="180"/>
      <c r="T503" s="177"/>
      <c r="U503" s="175"/>
      <c r="V503" s="175"/>
    </row>
    <row r="504">
      <c r="A504" s="175">
        <v>504.0</v>
      </c>
      <c r="B504" s="176">
        <v>46187.0</v>
      </c>
      <c r="C504" s="175" t="s">
        <v>58</v>
      </c>
      <c r="D504" s="175" t="s">
        <v>60</v>
      </c>
      <c r="E504" s="177" t="s">
        <v>6492</v>
      </c>
      <c r="F504" s="178">
        <v>5.64101382E8</v>
      </c>
      <c r="G504" s="177" t="s">
        <v>79</v>
      </c>
      <c r="H504" s="175" t="s">
        <v>638</v>
      </c>
      <c r="I504" s="179" t="s">
        <v>6493</v>
      </c>
      <c r="J504" s="177"/>
      <c r="K504" s="175" t="s">
        <v>36</v>
      </c>
      <c r="L504" s="180">
        <v>0.3611111111111111</v>
      </c>
      <c r="M504" s="181" t="s">
        <v>88</v>
      </c>
      <c r="N504" s="175" t="s">
        <v>40</v>
      </c>
      <c r="O504" s="175" t="s">
        <v>42</v>
      </c>
      <c r="P504" s="177" t="s">
        <v>3566</v>
      </c>
      <c r="Q504" s="175" t="s">
        <v>44</v>
      </c>
      <c r="R504" s="175"/>
      <c r="S504" s="180"/>
      <c r="T504" s="177"/>
      <c r="U504" s="175"/>
      <c r="V504" s="175"/>
    </row>
    <row r="505">
      <c r="A505" s="175">
        <v>505.0</v>
      </c>
      <c r="B505" s="176">
        <v>46187.0</v>
      </c>
      <c r="C505" s="175" t="s">
        <v>47</v>
      </c>
      <c r="D505" s="175" t="s">
        <v>367</v>
      </c>
      <c r="E505" s="177" t="s">
        <v>6495</v>
      </c>
      <c r="F505" s="178">
        <v>5.31450305E8</v>
      </c>
      <c r="G505" s="177" t="s">
        <v>874</v>
      </c>
      <c r="H505" s="175" t="s">
        <v>876</v>
      </c>
      <c r="I505" s="179" t="s">
        <v>6496</v>
      </c>
      <c r="J505" s="27" t="s">
        <v>6497</v>
      </c>
      <c r="K505" s="175" t="s">
        <v>62</v>
      </c>
      <c r="L505" s="180">
        <v>0.375</v>
      </c>
      <c r="M505" s="177" t="s">
        <v>98</v>
      </c>
      <c r="N505" s="175" t="s">
        <v>40</v>
      </c>
      <c r="O505" s="175" t="s">
        <v>3811</v>
      </c>
      <c r="P505" s="177" t="s">
        <v>3566</v>
      </c>
      <c r="Q505" s="175" t="s">
        <v>44</v>
      </c>
      <c r="R505" s="175" t="s">
        <v>46</v>
      </c>
      <c r="S505" s="180"/>
      <c r="T505" s="177"/>
      <c r="U505" s="175"/>
      <c r="V505" s="175"/>
    </row>
    <row r="506">
      <c r="A506" s="175">
        <v>506.0</v>
      </c>
      <c r="B506" s="176">
        <v>46187.0</v>
      </c>
      <c r="C506" s="175" t="s">
        <v>58</v>
      </c>
      <c r="D506" s="175" t="s">
        <v>22</v>
      </c>
      <c r="E506" s="177" t="s">
        <v>5567</v>
      </c>
      <c r="F506" s="178">
        <v>5.05647837E8</v>
      </c>
      <c r="G506" s="177" t="s">
        <v>5569</v>
      </c>
      <c r="H506" s="175" t="s">
        <v>27</v>
      </c>
      <c r="I506" s="209" t="s">
        <v>6498</v>
      </c>
      <c r="J506" s="177"/>
      <c r="K506" s="175" t="s">
        <v>36</v>
      </c>
      <c r="L506" s="180">
        <v>0.38055555555555554</v>
      </c>
      <c r="M506" s="177" t="s">
        <v>88</v>
      </c>
      <c r="N506" s="175" t="s">
        <v>40</v>
      </c>
      <c r="O506" s="175" t="s">
        <v>42</v>
      </c>
      <c r="P506" s="177" t="s">
        <v>3566</v>
      </c>
      <c r="Q506" s="175" t="s">
        <v>44</v>
      </c>
      <c r="R506" s="175"/>
      <c r="S506" s="180"/>
      <c r="T506" s="177"/>
      <c r="U506" s="175"/>
      <c r="V506" s="175"/>
    </row>
    <row r="507">
      <c r="A507" s="175">
        <v>507.0</v>
      </c>
      <c r="B507" s="176">
        <v>46187.0</v>
      </c>
      <c r="C507" s="175" t="s">
        <v>21</v>
      </c>
      <c r="D507" s="175" t="s">
        <v>34</v>
      </c>
      <c r="E507" s="177" t="s">
        <v>276</v>
      </c>
      <c r="F507" s="178">
        <v>5.56965409E8</v>
      </c>
      <c r="G507" s="175" t="s">
        <v>27</v>
      </c>
      <c r="H507" s="175" t="s">
        <v>27</v>
      </c>
      <c r="I507" s="179" t="s">
        <v>6499</v>
      </c>
      <c r="J507" s="177"/>
      <c r="K507" s="175" t="s">
        <v>62</v>
      </c>
      <c r="L507" s="180">
        <v>0.3958333333333333</v>
      </c>
      <c r="M507" s="181" t="s">
        <v>51</v>
      </c>
      <c r="N507" s="175" t="s">
        <v>40</v>
      </c>
      <c r="O507" s="175" t="s">
        <v>42</v>
      </c>
      <c r="P507" s="177" t="s">
        <v>3566</v>
      </c>
      <c r="Q507" s="175" t="s">
        <v>44</v>
      </c>
      <c r="R507" s="175"/>
      <c r="S507" s="180"/>
      <c r="T507" s="177"/>
      <c r="U507" s="175"/>
      <c r="V507" s="175"/>
    </row>
    <row r="508">
      <c r="A508" s="175">
        <v>508.0</v>
      </c>
      <c r="B508" s="176">
        <v>46187.0</v>
      </c>
      <c r="C508" s="175" t="s">
        <v>21</v>
      </c>
      <c r="D508" s="175" t="s">
        <v>34</v>
      </c>
      <c r="E508" s="177" t="s">
        <v>437</v>
      </c>
      <c r="F508" s="178">
        <v>5.52609197E8</v>
      </c>
      <c r="G508" s="175" t="s">
        <v>27</v>
      </c>
      <c r="H508" s="175" t="s">
        <v>27</v>
      </c>
      <c r="I508" s="179" t="s">
        <v>6500</v>
      </c>
      <c r="J508" s="177"/>
      <c r="K508" s="175" t="s">
        <v>62</v>
      </c>
      <c r="L508" s="180">
        <v>0.3958333333333333</v>
      </c>
      <c r="M508" s="181" t="s">
        <v>51</v>
      </c>
      <c r="N508" s="175" t="s">
        <v>40</v>
      </c>
      <c r="O508" s="175" t="s">
        <v>42</v>
      </c>
      <c r="P508" s="177" t="s">
        <v>3566</v>
      </c>
      <c r="Q508" s="175" t="s">
        <v>44</v>
      </c>
      <c r="R508" s="175"/>
      <c r="S508" s="180"/>
      <c r="T508" s="177"/>
      <c r="U508" s="175"/>
      <c r="V508" s="175"/>
    </row>
    <row r="509">
      <c r="A509" s="175">
        <v>509.0</v>
      </c>
      <c r="B509" s="176">
        <v>46187.0</v>
      </c>
      <c r="C509" s="175" t="s">
        <v>58</v>
      </c>
      <c r="D509" s="175" t="s">
        <v>60</v>
      </c>
      <c r="E509" s="177" t="s">
        <v>6501</v>
      </c>
      <c r="F509" s="178">
        <v>5.42542233E8</v>
      </c>
      <c r="G509" s="177"/>
      <c r="H509" s="175" t="s">
        <v>27</v>
      </c>
      <c r="I509" s="179" t="s">
        <v>3095</v>
      </c>
      <c r="J509" s="177"/>
      <c r="K509" s="175" t="s">
        <v>62</v>
      </c>
      <c r="L509" s="180">
        <v>0.3958333333333333</v>
      </c>
      <c r="M509" s="181" t="s">
        <v>88</v>
      </c>
      <c r="N509" s="175" t="s">
        <v>40</v>
      </c>
      <c r="O509" s="175" t="s">
        <v>42</v>
      </c>
      <c r="P509" s="177" t="s">
        <v>3566</v>
      </c>
      <c r="Q509" s="175" t="s">
        <v>44</v>
      </c>
      <c r="R509" s="175"/>
      <c r="S509" s="180"/>
      <c r="T509" s="177"/>
      <c r="U509" s="175"/>
      <c r="V509" s="175"/>
    </row>
    <row r="510">
      <c r="A510" s="175">
        <v>510.0</v>
      </c>
      <c r="B510" s="176">
        <v>46187.0</v>
      </c>
      <c r="C510" s="175" t="s">
        <v>21</v>
      </c>
      <c r="D510" s="175" t="s">
        <v>24</v>
      </c>
      <c r="E510" s="177" t="s">
        <v>302</v>
      </c>
      <c r="F510" s="178">
        <v>5.55525073E8</v>
      </c>
      <c r="G510" s="177" t="s">
        <v>152</v>
      </c>
      <c r="H510" s="175" t="s">
        <v>27</v>
      </c>
      <c r="I510" s="179" t="s">
        <v>6506</v>
      </c>
      <c r="J510" s="177"/>
      <c r="K510" s="175" t="s">
        <v>62</v>
      </c>
      <c r="L510" s="180">
        <v>0.3958333333333333</v>
      </c>
      <c r="M510" s="177" t="s">
        <v>38</v>
      </c>
      <c r="N510" s="175" t="s">
        <v>56</v>
      </c>
      <c r="O510" s="175" t="s">
        <v>42</v>
      </c>
      <c r="P510" s="177" t="s">
        <v>3566</v>
      </c>
      <c r="Q510" s="175" t="s">
        <v>44</v>
      </c>
      <c r="R510" s="175" t="s">
        <v>46</v>
      </c>
      <c r="S510" s="180"/>
      <c r="T510" s="177"/>
      <c r="U510" s="175"/>
      <c r="V510" s="175"/>
    </row>
    <row r="511">
      <c r="A511" s="175">
        <v>511.0</v>
      </c>
      <c r="B511" s="176">
        <v>46187.0</v>
      </c>
      <c r="C511" s="175" t="s">
        <v>47</v>
      </c>
      <c r="D511" s="175" t="s">
        <v>367</v>
      </c>
      <c r="E511" s="175" t="s">
        <v>6509</v>
      </c>
      <c r="F511" s="178">
        <v>5.32217266E8</v>
      </c>
      <c r="G511" s="177" t="s">
        <v>41</v>
      </c>
      <c r="H511" s="175" t="s">
        <v>146</v>
      </c>
      <c r="I511" s="179" t="s">
        <v>6510</v>
      </c>
      <c r="J511" s="177" t="s">
        <v>6511</v>
      </c>
      <c r="K511" s="175" t="s">
        <v>148</v>
      </c>
      <c r="L511" s="180"/>
      <c r="M511" s="232" t="s">
        <v>3759</v>
      </c>
      <c r="N511" s="175" t="s">
        <v>56</v>
      </c>
      <c r="O511" s="175" t="s">
        <v>518</v>
      </c>
      <c r="P511" s="177" t="s">
        <v>3566</v>
      </c>
      <c r="Q511" s="175" t="s">
        <v>49</v>
      </c>
      <c r="R511" s="175" t="s">
        <v>46</v>
      </c>
      <c r="S511" s="180"/>
      <c r="T511" s="177"/>
      <c r="U511" s="175"/>
      <c r="V511" s="175"/>
    </row>
    <row r="512">
      <c r="A512" s="175">
        <v>512.0</v>
      </c>
      <c r="B512" s="176">
        <v>46187.0</v>
      </c>
      <c r="C512" s="175" t="s">
        <v>47</v>
      </c>
      <c r="D512" s="175" t="s">
        <v>138</v>
      </c>
      <c r="E512" s="177" t="s">
        <v>1260</v>
      </c>
      <c r="F512" s="178">
        <v>5.67227269E8</v>
      </c>
      <c r="G512" s="177" t="s">
        <v>41</v>
      </c>
      <c r="H512" s="175" t="s">
        <v>193</v>
      </c>
      <c r="I512" s="179" t="s">
        <v>6513</v>
      </c>
      <c r="J512" s="177" t="s">
        <v>6514</v>
      </c>
      <c r="K512" s="175" t="s">
        <v>148</v>
      </c>
      <c r="L512" s="180"/>
      <c r="M512" s="184" t="s">
        <v>183</v>
      </c>
      <c r="N512" s="175" t="s">
        <v>56</v>
      </c>
      <c r="O512" s="175" t="s">
        <v>518</v>
      </c>
      <c r="P512" s="177" t="s">
        <v>3566</v>
      </c>
      <c r="Q512" s="175" t="s">
        <v>49</v>
      </c>
      <c r="R512" s="175" t="s">
        <v>46</v>
      </c>
      <c r="S512" s="180"/>
      <c r="T512" s="177"/>
      <c r="U512" s="175"/>
      <c r="V512" s="175"/>
    </row>
    <row r="513">
      <c r="A513" s="175">
        <v>513.0</v>
      </c>
      <c r="B513" s="176">
        <v>46187.0</v>
      </c>
      <c r="C513" s="175" t="s">
        <v>58</v>
      </c>
      <c r="D513" s="175" t="s">
        <v>60</v>
      </c>
      <c r="E513" s="177" t="s">
        <v>2523</v>
      </c>
      <c r="F513" s="178">
        <v>5.31304811E8</v>
      </c>
      <c r="G513" s="177"/>
      <c r="H513" s="175" t="s">
        <v>27</v>
      </c>
      <c r="I513" s="179" t="s">
        <v>6517</v>
      </c>
      <c r="J513" s="177"/>
      <c r="K513" s="175" t="s">
        <v>62</v>
      </c>
      <c r="L513" s="180">
        <v>0.3958333333333333</v>
      </c>
      <c r="M513" s="181" t="s">
        <v>88</v>
      </c>
      <c r="N513" s="175" t="s">
        <v>40</v>
      </c>
      <c r="O513" s="175" t="s">
        <v>42</v>
      </c>
      <c r="P513" s="177" t="s">
        <v>3566</v>
      </c>
      <c r="Q513" s="175" t="s">
        <v>44</v>
      </c>
      <c r="R513" s="175"/>
      <c r="S513" s="180"/>
      <c r="T513" s="177"/>
      <c r="U513" s="175"/>
      <c r="V513" s="175"/>
    </row>
    <row r="514">
      <c r="A514" s="175">
        <v>514.0</v>
      </c>
      <c r="B514" s="176">
        <v>46187.0</v>
      </c>
      <c r="C514" s="175" t="s">
        <v>58</v>
      </c>
      <c r="D514" s="175" t="s">
        <v>57</v>
      </c>
      <c r="E514" s="175" t="s">
        <v>6520</v>
      </c>
      <c r="F514" s="178">
        <v>5.55634585E8</v>
      </c>
      <c r="G514" s="177"/>
      <c r="H514" s="175" t="s">
        <v>27</v>
      </c>
      <c r="I514" s="179" t="s">
        <v>6521</v>
      </c>
      <c r="J514" s="177"/>
      <c r="K514" s="175" t="s">
        <v>62</v>
      </c>
      <c r="L514" s="180">
        <v>0.3958333333333333</v>
      </c>
      <c r="M514" s="177" t="s">
        <v>88</v>
      </c>
      <c r="N514" s="175" t="s">
        <v>40</v>
      </c>
      <c r="O514" s="175" t="s">
        <v>42</v>
      </c>
      <c r="P514" s="177" t="s">
        <v>3566</v>
      </c>
      <c r="Q514" s="175" t="s">
        <v>44</v>
      </c>
      <c r="R514" s="175"/>
      <c r="S514" s="180"/>
      <c r="T514" s="177"/>
      <c r="U514" s="175"/>
      <c r="V514" s="175"/>
    </row>
    <row r="515">
      <c r="A515" s="175">
        <v>515.0</v>
      </c>
      <c r="B515" s="176">
        <v>46187.0</v>
      </c>
      <c r="C515" s="175" t="s">
        <v>58</v>
      </c>
      <c r="D515" s="175" t="s">
        <v>24</v>
      </c>
      <c r="E515" s="177" t="s">
        <v>501</v>
      </c>
      <c r="F515" s="178">
        <v>5.63971008E8</v>
      </c>
      <c r="G515" s="175" t="s">
        <v>27</v>
      </c>
      <c r="H515" s="175" t="s">
        <v>27</v>
      </c>
      <c r="I515" s="179" t="s">
        <v>6523</v>
      </c>
      <c r="J515" s="177"/>
      <c r="K515" s="175" t="s">
        <v>62</v>
      </c>
      <c r="L515" s="180">
        <v>0.3958333333333333</v>
      </c>
      <c r="M515" s="177" t="s">
        <v>88</v>
      </c>
      <c r="N515" s="175" t="s">
        <v>56</v>
      </c>
      <c r="O515" s="175" t="s">
        <v>42</v>
      </c>
      <c r="P515" s="177" t="s">
        <v>3566</v>
      </c>
      <c r="Q515" s="175" t="s">
        <v>44</v>
      </c>
      <c r="R515" s="175"/>
      <c r="S515" s="180"/>
      <c r="T515" s="177"/>
      <c r="U515" s="175"/>
      <c r="V515" s="175"/>
    </row>
    <row r="516">
      <c r="A516" s="175">
        <v>516.0</v>
      </c>
      <c r="B516" s="176">
        <v>46187.0</v>
      </c>
      <c r="C516" s="175" t="s">
        <v>58</v>
      </c>
      <c r="D516" s="175" t="s">
        <v>60</v>
      </c>
      <c r="E516" s="177" t="s">
        <v>5829</v>
      </c>
      <c r="F516" s="178">
        <v>5.07862633E8</v>
      </c>
      <c r="G516" s="177"/>
      <c r="H516" s="175" t="s">
        <v>27</v>
      </c>
      <c r="I516" s="179" t="s">
        <v>6527</v>
      </c>
      <c r="J516" s="177" t="s">
        <v>6528</v>
      </c>
      <c r="K516" s="175" t="s">
        <v>62</v>
      </c>
      <c r="L516" s="180">
        <v>0.3958333333333333</v>
      </c>
      <c r="M516" s="181" t="s">
        <v>88</v>
      </c>
      <c r="N516" s="175" t="s">
        <v>40</v>
      </c>
      <c r="O516" s="175" t="s">
        <v>42</v>
      </c>
      <c r="P516" s="177" t="s">
        <v>3566</v>
      </c>
      <c r="Q516" s="175" t="s">
        <v>44</v>
      </c>
      <c r="R516" s="175"/>
      <c r="S516" s="180"/>
      <c r="T516" s="177"/>
      <c r="U516" s="175"/>
      <c r="V516" s="175"/>
    </row>
    <row r="517">
      <c r="A517" s="175">
        <v>517.0</v>
      </c>
      <c r="B517" s="176">
        <v>46187.0</v>
      </c>
      <c r="C517" s="175" t="s">
        <v>21</v>
      </c>
      <c r="D517" s="175" t="s">
        <v>24</v>
      </c>
      <c r="E517" s="175" t="s">
        <v>6531</v>
      </c>
      <c r="F517" s="178">
        <v>5.05329939E8</v>
      </c>
      <c r="G517" s="177" t="s">
        <v>71</v>
      </c>
      <c r="H517" s="175" t="s">
        <v>27</v>
      </c>
      <c r="I517" s="179" t="s">
        <v>6533</v>
      </c>
      <c r="J517" s="177"/>
      <c r="K517" s="175" t="s">
        <v>39</v>
      </c>
      <c r="L517" s="180">
        <v>0.4166666666666667</v>
      </c>
      <c r="M517" s="177" t="s">
        <v>38</v>
      </c>
      <c r="N517" s="175" t="s">
        <v>56</v>
      </c>
      <c r="O517" s="175" t="s">
        <v>42</v>
      </c>
      <c r="P517" s="177" t="s">
        <v>3566</v>
      </c>
      <c r="Q517" s="175" t="s">
        <v>44</v>
      </c>
      <c r="R517" s="175" t="s">
        <v>46</v>
      </c>
      <c r="S517" s="180">
        <v>0.4166666666666667</v>
      </c>
      <c r="T517" s="177"/>
      <c r="U517" s="175" t="s">
        <v>44</v>
      </c>
      <c r="V517" s="175">
        <v>5.0</v>
      </c>
    </row>
    <row r="518">
      <c r="A518" s="175">
        <v>518.0</v>
      </c>
      <c r="B518" s="176">
        <v>46187.0</v>
      </c>
      <c r="C518" s="175" t="s">
        <v>21</v>
      </c>
      <c r="D518" s="175" t="s">
        <v>34</v>
      </c>
      <c r="E518" s="177" t="s">
        <v>277</v>
      </c>
      <c r="F518" s="178">
        <v>5.45540058E8</v>
      </c>
      <c r="G518" s="175" t="s">
        <v>27</v>
      </c>
      <c r="H518" s="175" t="s">
        <v>27</v>
      </c>
      <c r="I518" s="179" t="s">
        <v>6538</v>
      </c>
      <c r="J518" s="177" t="s">
        <v>4417</v>
      </c>
      <c r="K518" s="175" t="s">
        <v>39</v>
      </c>
      <c r="L518" s="180">
        <v>0.4166666666666667</v>
      </c>
      <c r="M518" s="181" t="s">
        <v>51</v>
      </c>
      <c r="N518" s="175" t="s">
        <v>56</v>
      </c>
      <c r="O518" s="175" t="s">
        <v>42</v>
      </c>
      <c r="P518" s="177" t="s">
        <v>3566</v>
      </c>
      <c r="Q518" s="175" t="s">
        <v>44</v>
      </c>
      <c r="R518" s="175"/>
      <c r="S518" s="180">
        <v>0.4166666666666667</v>
      </c>
      <c r="T518" s="177" t="s">
        <v>3566</v>
      </c>
      <c r="U518" s="175" t="s">
        <v>44</v>
      </c>
      <c r="V518" s="175"/>
    </row>
    <row r="519">
      <c r="A519" s="175">
        <v>519.0</v>
      </c>
      <c r="B519" s="176">
        <v>46187.0</v>
      </c>
      <c r="C519" s="175" t="s">
        <v>21</v>
      </c>
      <c r="D519" s="175" t="s">
        <v>34</v>
      </c>
      <c r="E519" s="177" t="s">
        <v>6541</v>
      </c>
      <c r="F519" s="178">
        <v>2.01033433398E11</v>
      </c>
      <c r="G519" s="175" t="s">
        <v>27</v>
      </c>
      <c r="H519" s="175" t="s">
        <v>27</v>
      </c>
      <c r="I519" s="179" t="s">
        <v>6542</v>
      </c>
      <c r="J519" s="177" t="s">
        <v>4417</v>
      </c>
      <c r="K519" s="175" t="s">
        <v>39</v>
      </c>
      <c r="L519" s="180">
        <v>0.4166666666666667</v>
      </c>
      <c r="M519" s="181" t="s">
        <v>51</v>
      </c>
      <c r="N519" s="175" t="s">
        <v>56</v>
      </c>
      <c r="O519" s="175" t="s">
        <v>42</v>
      </c>
      <c r="P519" s="177" t="s">
        <v>3566</v>
      </c>
      <c r="Q519" s="175" t="s">
        <v>44</v>
      </c>
      <c r="R519" s="175"/>
      <c r="S519" s="180">
        <v>0.4166666666666667</v>
      </c>
      <c r="T519" s="177" t="s">
        <v>3566</v>
      </c>
      <c r="U519" s="175" t="s">
        <v>44</v>
      </c>
      <c r="V519" s="175"/>
    </row>
    <row r="520">
      <c r="A520" s="175">
        <v>520.0</v>
      </c>
      <c r="B520" s="176">
        <v>46187.0</v>
      </c>
      <c r="C520" s="175" t="s">
        <v>21</v>
      </c>
      <c r="D520" s="175" t="s">
        <v>34</v>
      </c>
      <c r="E520" s="175" t="s">
        <v>6544</v>
      </c>
      <c r="F520" s="178">
        <v>5.56170938E8</v>
      </c>
      <c r="G520" s="175" t="s">
        <v>27</v>
      </c>
      <c r="H520" s="175" t="s">
        <v>27</v>
      </c>
      <c r="I520" s="305" t="s">
        <v>6545</v>
      </c>
      <c r="J520" s="177" t="s">
        <v>4417</v>
      </c>
      <c r="K520" s="175" t="s">
        <v>39</v>
      </c>
      <c r="L520" s="180">
        <v>0.4166666666666667</v>
      </c>
      <c r="M520" s="181" t="s">
        <v>51</v>
      </c>
      <c r="N520" s="175" t="s">
        <v>56</v>
      </c>
      <c r="O520" s="175" t="s">
        <v>42</v>
      </c>
      <c r="P520" s="177" t="s">
        <v>3566</v>
      </c>
      <c r="Q520" s="175" t="s">
        <v>44</v>
      </c>
      <c r="R520" s="175"/>
      <c r="S520" s="180">
        <v>0.4166666666666667</v>
      </c>
      <c r="T520" s="177" t="s">
        <v>3566</v>
      </c>
      <c r="U520" s="175" t="s">
        <v>44</v>
      </c>
      <c r="V520" s="175"/>
    </row>
    <row r="521">
      <c r="A521" s="175">
        <v>521.0</v>
      </c>
      <c r="B521" s="176">
        <v>46187.0</v>
      </c>
      <c r="C521" s="175" t="s">
        <v>21</v>
      </c>
      <c r="D521" s="175" t="s">
        <v>34</v>
      </c>
      <c r="E521" s="177" t="s">
        <v>6548</v>
      </c>
      <c r="F521" s="178">
        <v>2.010079117E11</v>
      </c>
      <c r="G521" s="175" t="s">
        <v>27</v>
      </c>
      <c r="H521" s="175" t="s">
        <v>27</v>
      </c>
      <c r="I521" s="179" t="s">
        <v>6549</v>
      </c>
      <c r="J521" s="177" t="s">
        <v>4417</v>
      </c>
      <c r="K521" s="175" t="s">
        <v>39</v>
      </c>
      <c r="L521" s="180">
        <v>0.4166666666666667</v>
      </c>
      <c r="M521" s="181" t="s">
        <v>51</v>
      </c>
      <c r="N521" s="175" t="s">
        <v>56</v>
      </c>
      <c r="O521" s="175" t="s">
        <v>42</v>
      </c>
      <c r="P521" s="177" t="s">
        <v>3566</v>
      </c>
      <c r="Q521" s="175" t="s">
        <v>44</v>
      </c>
      <c r="R521" s="175"/>
      <c r="S521" s="180">
        <v>0.4166666666666667</v>
      </c>
      <c r="T521" s="177" t="s">
        <v>3566</v>
      </c>
      <c r="U521" s="175" t="s">
        <v>44</v>
      </c>
      <c r="V521" s="175"/>
    </row>
    <row r="522">
      <c r="A522" s="175">
        <v>522.0</v>
      </c>
      <c r="B522" s="176">
        <v>46187.0</v>
      </c>
      <c r="C522" s="175" t="s">
        <v>21</v>
      </c>
      <c r="D522" s="175" t="s">
        <v>34</v>
      </c>
      <c r="E522" s="177" t="s">
        <v>6551</v>
      </c>
      <c r="F522" s="178">
        <v>5.57612739E8</v>
      </c>
      <c r="G522" s="175" t="s">
        <v>27</v>
      </c>
      <c r="H522" s="175" t="s">
        <v>27</v>
      </c>
      <c r="I522" s="179" t="s">
        <v>6552</v>
      </c>
      <c r="J522" s="177" t="s">
        <v>4417</v>
      </c>
      <c r="K522" s="175" t="s">
        <v>39</v>
      </c>
      <c r="L522" s="180">
        <v>0.4166666666666667</v>
      </c>
      <c r="M522" s="181" t="s">
        <v>51</v>
      </c>
      <c r="N522" s="175" t="s">
        <v>56</v>
      </c>
      <c r="O522" s="175" t="s">
        <v>42</v>
      </c>
      <c r="P522" s="177" t="s">
        <v>3566</v>
      </c>
      <c r="Q522" s="175" t="s">
        <v>44</v>
      </c>
      <c r="R522" s="175"/>
      <c r="S522" s="180">
        <v>0.4166666666666667</v>
      </c>
      <c r="T522" s="177" t="s">
        <v>3566</v>
      </c>
      <c r="U522" s="175" t="s">
        <v>44</v>
      </c>
      <c r="V522" s="175"/>
    </row>
    <row r="523">
      <c r="A523" s="175">
        <v>523.0</v>
      </c>
      <c r="B523" s="176">
        <v>46187.0</v>
      </c>
      <c r="C523" s="175" t="s">
        <v>21</v>
      </c>
      <c r="D523" s="175" t="s">
        <v>34</v>
      </c>
      <c r="E523" s="177" t="s">
        <v>6554</v>
      </c>
      <c r="F523" s="178">
        <v>5.68000296E8</v>
      </c>
      <c r="G523" s="175" t="s">
        <v>27</v>
      </c>
      <c r="H523" s="175" t="s">
        <v>27</v>
      </c>
      <c r="I523" s="179" t="s">
        <v>6556</v>
      </c>
      <c r="J523" s="177" t="s">
        <v>4417</v>
      </c>
      <c r="K523" s="175" t="s">
        <v>39</v>
      </c>
      <c r="L523" s="180">
        <v>0.4166666666666667</v>
      </c>
      <c r="M523" s="181" t="s">
        <v>51</v>
      </c>
      <c r="N523" s="175" t="s">
        <v>56</v>
      </c>
      <c r="O523" s="175" t="s">
        <v>42</v>
      </c>
      <c r="P523" s="177" t="s">
        <v>3566</v>
      </c>
      <c r="Q523" s="175" t="s">
        <v>44</v>
      </c>
      <c r="R523" s="175"/>
      <c r="S523" s="180">
        <v>0.4166666666666667</v>
      </c>
      <c r="T523" s="177" t="s">
        <v>3566</v>
      </c>
      <c r="U523" s="175" t="s">
        <v>44</v>
      </c>
      <c r="V523" s="175"/>
    </row>
    <row r="524">
      <c r="A524" s="175">
        <v>524.0</v>
      </c>
      <c r="B524" s="176">
        <v>46187.0</v>
      </c>
      <c r="C524" s="175" t="s">
        <v>21</v>
      </c>
      <c r="D524" s="175" t="s">
        <v>24</v>
      </c>
      <c r="E524" s="177" t="s">
        <v>6560</v>
      </c>
      <c r="F524" s="178">
        <v>5.67618386E8</v>
      </c>
      <c r="G524" s="177" t="s">
        <v>3774</v>
      </c>
      <c r="H524" s="175" t="s">
        <v>27</v>
      </c>
      <c r="I524" s="179" t="s">
        <v>6561</v>
      </c>
      <c r="J524" s="177"/>
      <c r="K524" s="175" t="s">
        <v>39</v>
      </c>
      <c r="L524" s="180">
        <v>0.4166666666666667</v>
      </c>
      <c r="M524" s="177" t="s">
        <v>38</v>
      </c>
      <c r="N524" s="175" t="s">
        <v>56</v>
      </c>
      <c r="O524" s="175" t="s">
        <v>42</v>
      </c>
      <c r="P524" s="177" t="s">
        <v>3566</v>
      </c>
      <c r="Q524" s="175" t="s">
        <v>44</v>
      </c>
      <c r="R524" s="175" t="s">
        <v>46</v>
      </c>
      <c r="S524" s="180">
        <v>0.4166666666666667</v>
      </c>
      <c r="T524" s="177"/>
      <c r="U524" s="175" t="s">
        <v>44</v>
      </c>
      <c r="V524" s="175">
        <v>5.0</v>
      </c>
    </row>
    <row r="525">
      <c r="A525" s="175">
        <v>525.0</v>
      </c>
      <c r="B525" s="176">
        <v>46187.0</v>
      </c>
      <c r="C525" s="175" t="s">
        <v>21</v>
      </c>
      <c r="D525" s="175" t="s">
        <v>22</v>
      </c>
      <c r="E525" s="177" t="s">
        <v>6563</v>
      </c>
      <c r="F525" s="178">
        <v>5.62746666E8</v>
      </c>
      <c r="G525" s="177" t="s">
        <v>79</v>
      </c>
      <c r="H525" s="175" t="s">
        <v>27</v>
      </c>
      <c r="I525" s="179" t="s">
        <v>6564</v>
      </c>
      <c r="J525" s="177"/>
      <c r="K525" s="175" t="s">
        <v>39</v>
      </c>
      <c r="L525" s="180">
        <v>0.4166666666666667</v>
      </c>
      <c r="M525" s="177" t="s">
        <v>38</v>
      </c>
      <c r="N525" s="175" t="s">
        <v>40</v>
      </c>
      <c r="O525" s="175" t="s">
        <v>42</v>
      </c>
      <c r="P525" s="177" t="s">
        <v>3566</v>
      </c>
      <c r="Q525" s="175" t="s">
        <v>44</v>
      </c>
      <c r="R525" s="175" t="s">
        <v>46</v>
      </c>
      <c r="S525" s="180"/>
      <c r="T525" s="177"/>
      <c r="U525" s="175"/>
      <c r="V525" s="175"/>
    </row>
    <row r="526">
      <c r="A526" s="175">
        <v>526.0</v>
      </c>
      <c r="B526" s="176">
        <v>46187.0</v>
      </c>
      <c r="C526" s="175" t="s">
        <v>21</v>
      </c>
      <c r="D526" s="175" t="s">
        <v>34</v>
      </c>
      <c r="E526" s="177" t="s">
        <v>6565</v>
      </c>
      <c r="F526" s="178">
        <v>5.07200489E8</v>
      </c>
      <c r="G526" s="175" t="s">
        <v>27</v>
      </c>
      <c r="H526" s="175" t="s">
        <v>27</v>
      </c>
      <c r="I526" s="179" t="s">
        <v>6566</v>
      </c>
      <c r="J526" s="177" t="s">
        <v>4417</v>
      </c>
      <c r="K526" s="175" t="s">
        <v>39</v>
      </c>
      <c r="L526" s="180">
        <v>0.4166666666666667</v>
      </c>
      <c r="M526" s="181" t="s">
        <v>51</v>
      </c>
      <c r="N526" s="175" t="s">
        <v>56</v>
      </c>
      <c r="O526" s="175" t="s">
        <v>42</v>
      </c>
      <c r="P526" s="177" t="s">
        <v>3566</v>
      </c>
      <c r="Q526" s="175" t="s">
        <v>44</v>
      </c>
      <c r="R526" s="175"/>
      <c r="S526" s="180">
        <v>0.4166666666666667</v>
      </c>
      <c r="T526" s="177" t="s">
        <v>3566</v>
      </c>
      <c r="U526" s="175" t="s">
        <v>44</v>
      </c>
      <c r="V526" s="175"/>
    </row>
    <row r="527">
      <c r="A527" s="175">
        <v>527.0</v>
      </c>
      <c r="B527" s="176">
        <v>46187.0</v>
      </c>
      <c r="C527" s="175" t="s">
        <v>21</v>
      </c>
      <c r="D527" s="175" t="s">
        <v>24</v>
      </c>
      <c r="E527" s="177" t="s">
        <v>6569</v>
      </c>
      <c r="F527" s="178">
        <v>5.0911552E8</v>
      </c>
      <c r="G527" s="177" t="s">
        <v>71</v>
      </c>
      <c r="H527" s="175" t="s">
        <v>27</v>
      </c>
      <c r="I527" s="179" t="s">
        <v>6570</v>
      </c>
      <c r="J527" s="177"/>
      <c r="K527" s="175" t="s">
        <v>39</v>
      </c>
      <c r="L527" s="180">
        <v>0.4166666666666667</v>
      </c>
      <c r="M527" s="177" t="s">
        <v>38</v>
      </c>
      <c r="N527" s="175" t="s">
        <v>56</v>
      </c>
      <c r="O527" s="175" t="s">
        <v>42</v>
      </c>
      <c r="P527" s="177" t="s">
        <v>3566</v>
      </c>
      <c r="Q527" s="175" t="s">
        <v>44</v>
      </c>
      <c r="R527" s="175" t="s">
        <v>46</v>
      </c>
      <c r="S527" s="180">
        <v>0.4166666666666667</v>
      </c>
      <c r="T527" s="177"/>
      <c r="U527" s="175" t="s">
        <v>44</v>
      </c>
      <c r="V527" s="175">
        <v>5.0</v>
      </c>
    </row>
    <row r="528">
      <c r="A528" s="175">
        <v>528.0</v>
      </c>
      <c r="B528" s="176">
        <v>46187.0</v>
      </c>
      <c r="C528" s="175" t="s">
        <v>21</v>
      </c>
      <c r="D528" s="175" t="s">
        <v>34</v>
      </c>
      <c r="E528" s="177" t="s">
        <v>6573</v>
      </c>
      <c r="F528" s="178">
        <v>5.64247417E8</v>
      </c>
      <c r="G528" s="175" t="s">
        <v>27</v>
      </c>
      <c r="H528" s="175" t="s">
        <v>27</v>
      </c>
      <c r="I528" s="179" t="s">
        <v>6574</v>
      </c>
      <c r="J528" s="177" t="s">
        <v>4417</v>
      </c>
      <c r="K528" s="175" t="s">
        <v>39</v>
      </c>
      <c r="L528" s="180">
        <v>0.4166666666666667</v>
      </c>
      <c r="M528" s="181" t="s">
        <v>51</v>
      </c>
      <c r="N528" s="175" t="s">
        <v>56</v>
      </c>
      <c r="O528" s="175" t="s">
        <v>42</v>
      </c>
      <c r="P528" s="177" t="s">
        <v>3566</v>
      </c>
      <c r="Q528" s="175" t="s">
        <v>44</v>
      </c>
      <c r="R528" s="175"/>
      <c r="S528" s="180">
        <v>0.4166666666666667</v>
      </c>
      <c r="T528" s="177" t="s">
        <v>3566</v>
      </c>
      <c r="U528" s="175" t="s">
        <v>44</v>
      </c>
      <c r="V528" s="175"/>
    </row>
    <row r="529">
      <c r="A529" s="175">
        <v>529.0</v>
      </c>
      <c r="B529" s="176">
        <v>46187.0</v>
      </c>
      <c r="C529" s="175" t="s">
        <v>21</v>
      </c>
      <c r="D529" s="175" t="s">
        <v>34</v>
      </c>
      <c r="E529" s="177" t="s">
        <v>6576</v>
      </c>
      <c r="F529" s="178">
        <v>5.6464054E8</v>
      </c>
      <c r="G529" s="175" t="s">
        <v>27</v>
      </c>
      <c r="H529" s="175" t="s">
        <v>27</v>
      </c>
      <c r="I529" s="179" t="s">
        <v>6579</v>
      </c>
      <c r="J529" s="177" t="s">
        <v>4417</v>
      </c>
      <c r="K529" s="175" t="s">
        <v>39</v>
      </c>
      <c r="L529" s="180">
        <v>0.4166666666666667</v>
      </c>
      <c r="M529" s="181" t="s">
        <v>51</v>
      </c>
      <c r="N529" s="175" t="s">
        <v>56</v>
      </c>
      <c r="O529" s="175" t="s">
        <v>42</v>
      </c>
      <c r="P529" s="177" t="s">
        <v>3566</v>
      </c>
      <c r="Q529" s="175" t="s">
        <v>44</v>
      </c>
      <c r="R529" s="175"/>
      <c r="S529" s="180">
        <v>0.4166666666666667</v>
      </c>
      <c r="T529" s="177" t="s">
        <v>3566</v>
      </c>
      <c r="U529" s="175" t="s">
        <v>44</v>
      </c>
      <c r="V529" s="175"/>
    </row>
    <row r="530">
      <c r="A530" s="175">
        <v>530.0</v>
      </c>
      <c r="B530" s="176">
        <v>46187.0</v>
      </c>
      <c r="C530" s="175" t="s">
        <v>21</v>
      </c>
      <c r="D530" s="175" t="s">
        <v>24</v>
      </c>
      <c r="E530" s="175" t="s">
        <v>6580</v>
      </c>
      <c r="F530" s="178">
        <v>5.58844011E8</v>
      </c>
      <c r="G530" s="177" t="s">
        <v>318</v>
      </c>
      <c r="H530" s="175" t="s">
        <v>27</v>
      </c>
      <c r="I530" s="179" t="s">
        <v>6581</v>
      </c>
      <c r="J530" s="177"/>
      <c r="K530" s="175" t="s">
        <v>39</v>
      </c>
      <c r="L530" s="180">
        <v>0.4166666666666667</v>
      </c>
      <c r="M530" s="177" t="s">
        <v>38</v>
      </c>
      <c r="N530" s="175" t="s">
        <v>56</v>
      </c>
      <c r="O530" s="175" t="s">
        <v>42</v>
      </c>
      <c r="P530" s="177" t="s">
        <v>3566</v>
      </c>
      <c r="Q530" s="175" t="s">
        <v>44</v>
      </c>
      <c r="R530" s="175" t="s">
        <v>46</v>
      </c>
      <c r="S530" s="180">
        <v>0.4166666666666667</v>
      </c>
      <c r="T530" s="177"/>
      <c r="U530" s="175" t="s">
        <v>44</v>
      </c>
      <c r="V530" s="175">
        <v>5.0</v>
      </c>
    </row>
    <row r="531">
      <c r="A531" s="175">
        <v>531.0</v>
      </c>
      <c r="B531" s="176">
        <v>46187.0</v>
      </c>
      <c r="C531" s="175" t="s">
        <v>21</v>
      </c>
      <c r="D531" s="175" t="s">
        <v>60</v>
      </c>
      <c r="E531" s="177" t="s">
        <v>6585</v>
      </c>
      <c r="F531" s="178">
        <v>5.5536146E8</v>
      </c>
      <c r="G531" s="177" t="s">
        <v>71</v>
      </c>
      <c r="H531" s="175" t="s">
        <v>27</v>
      </c>
      <c r="I531" s="179" t="s">
        <v>6586</v>
      </c>
      <c r="J531" s="177" t="s">
        <v>6587</v>
      </c>
      <c r="K531" s="175" t="s">
        <v>36</v>
      </c>
      <c r="L531" s="180">
        <v>0.4222222222222222</v>
      </c>
      <c r="M531" s="181" t="s">
        <v>88</v>
      </c>
      <c r="N531" s="175" t="s">
        <v>40</v>
      </c>
      <c r="O531" s="175" t="s">
        <v>42</v>
      </c>
      <c r="P531" s="177" t="s">
        <v>3566</v>
      </c>
      <c r="Q531" s="175" t="s">
        <v>44</v>
      </c>
      <c r="R531" s="175"/>
      <c r="S531" s="180">
        <v>0.4222222222222222</v>
      </c>
      <c r="T531" s="177"/>
      <c r="U531" s="175"/>
      <c r="V531" s="175"/>
    </row>
    <row r="532">
      <c r="A532" s="175">
        <v>532.0</v>
      </c>
      <c r="B532" s="176">
        <v>46187.0</v>
      </c>
      <c r="C532" s="175" t="s">
        <v>21</v>
      </c>
      <c r="D532" s="175" t="s">
        <v>34</v>
      </c>
      <c r="E532" s="177" t="s">
        <v>6590</v>
      </c>
      <c r="F532" s="178">
        <v>5.42476405E8</v>
      </c>
      <c r="G532" s="175" t="s">
        <v>27</v>
      </c>
      <c r="H532" s="175" t="s">
        <v>27</v>
      </c>
      <c r="I532" s="179" t="s">
        <v>6591</v>
      </c>
      <c r="J532" s="177" t="s">
        <v>4417</v>
      </c>
      <c r="K532" s="175" t="s">
        <v>39</v>
      </c>
      <c r="L532" s="180">
        <v>0.4270833333333333</v>
      </c>
      <c r="M532" s="181" t="s">
        <v>51</v>
      </c>
      <c r="N532" s="175" t="s">
        <v>56</v>
      </c>
      <c r="O532" s="175" t="s">
        <v>42</v>
      </c>
      <c r="P532" s="177" t="s">
        <v>3566</v>
      </c>
      <c r="Q532" s="175" t="s">
        <v>44</v>
      </c>
      <c r="R532" s="175"/>
      <c r="S532" s="180">
        <v>0.4270833333333333</v>
      </c>
      <c r="T532" s="177" t="s">
        <v>3566</v>
      </c>
      <c r="U532" s="175" t="s">
        <v>44</v>
      </c>
      <c r="V532" s="175"/>
    </row>
    <row r="533">
      <c r="A533" s="175">
        <v>533.0</v>
      </c>
      <c r="B533" s="176">
        <v>46187.0</v>
      </c>
      <c r="C533" s="175" t="s">
        <v>21</v>
      </c>
      <c r="D533" s="175" t="s">
        <v>24</v>
      </c>
      <c r="E533" s="177" t="s">
        <v>873</v>
      </c>
      <c r="F533" s="178">
        <v>5.50178113E8</v>
      </c>
      <c r="G533" s="177" t="s">
        <v>71</v>
      </c>
      <c r="H533" s="175" t="s">
        <v>27</v>
      </c>
      <c r="I533" s="179" t="s">
        <v>6594</v>
      </c>
      <c r="J533" s="177"/>
      <c r="K533" s="175" t="s">
        <v>39</v>
      </c>
      <c r="L533" s="180">
        <v>0.4270833333333333</v>
      </c>
      <c r="M533" s="177" t="s">
        <v>38</v>
      </c>
      <c r="N533" s="175" t="s">
        <v>56</v>
      </c>
      <c r="O533" s="175" t="s">
        <v>42</v>
      </c>
      <c r="P533" s="177" t="s">
        <v>3566</v>
      </c>
      <c r="Q533" s="175" t="s">
        <v>44</v>
      </c>
      <c r="R533" s="175" t="s">
        <v>46</v>
      </c>
      <c r="S533" s="180">
        <v>0.4270833333333333</v>
      </c>
      <c r="T533" s="177"/>
      <c r="U533" s="175" t="s">
        <v>44</v>
      </c>
      <c r="V533" s="175">
        <v>5.0</v>
      </c>
    </row>
    <row r="534">
      <c r="A534" s="175">
        <v>534.0</v>
      </c>
      <c r="B534" s="176">
        <v>46187.0</v>
      </c>
      <c r="C534" s="175" t="s">
        <v>21</v>
      </c>
      <c r="D534" s="175" t="s">
        <v>34</v>
      </c>
      <c r="E534" s="177" t="s">
        <v>6596</v>
      </c>
      <c r="F534" s="178">
        <v>5.55812764E8</v>
      </c>
      <c r="G534" s="175" t="s">
        <v>27</v>
      </c>
      <c r="H534" s="175" t="s">
        <v>27</v>
      </c>
      <c r="I534" s="179" t="s">
        <v>6597</v>
      </c>
      <c r="J534" s="177" t="s">
        <v>4417</v>
      </c>
      <c r="K534" s="175" t="s">
        <v>39</v>
      </c>
      <c r="L534" s="180">
        <v>0.4270833333333333</v>
      </c>
      <c r="M534" s="181" t="s">
        <v>51</v>
      </c>
      <c r="N534" s="175" t="s">
        <v>56</v>
      </c>
      <c r="O534" s="175" t="s">
        <v>42</v>
      </c>
      <c r="P534" s="177" t="s">
        <v>3566</v>
      </c>
      <c r="Q534" s="175" t="s">
        <v>44</v>
      </c>
      <c r="R534" s="175"/>
      <c r="S534" s="180">
        <v>0.4270833333333333</v>
      </c>
      <c r="T534" s="177" t="s">
        <v>3566</v>
      </c>
      <c r="U534" s="175" t="s">
        <v>44</v>
      </c>
      <c r="V534" s="175"/>
    </row>
    <row r="535">
      <c r="A535" s="175">
        <v>535.0</v>
      </c>
      <c r="B535" s="176">
        <v>46187.0</v>
      </c>
      <c r="C535" s="175" t="s">
        <v>58</v>
      </c>
      <c r="D535" s="175" t="s">
        <v>60</v>
      </c>
      <c r="E535" s="175" t="s">
        <v>27</v>
      </c>
      <c r="F535" s="178">
        <v>5.45966964E8</v>
      </c>
      <c r="G535" s="177" t="s">
        <v>41</v>
      </c>
      <c r="H535" s="175" t="s">
        <v>27</v>
      </c>
      <c r="I535" s="179" t="s">
        <v>6599</v>
      </c>
      <c r="J535" s="177" t="s">
        <v>2806</v>
      </c>
      <c r="K535" s="175" t="s">
        <v>36</v>
      </c>
      <c r="L535" s="180">
        <v>0.4361111111111111</v>
      </c>
      <c r="M535" s="181" t="s">
        <v>88</v>
      </c>
      <c r="N535" s="175" t="s">
        <v>56</v>
      </c>
      <c r="O535" s="175" t="s">
        <v>42</v>
      </c>
      <c r="P535" s="177" t="s">
        <v>3566</v>
      </c>
      <c r="Q535" s="175" t="s">
        <v>44</v>
      </c>
      <c r="R535" s="175"/>
      <c r="S535" s="180">
        <v>0.4361111111111111</v>
      </c>
      <c r="T535" s="177" t="s">
        <v>3566</v>
      </c>
      <c r="U535" s="175"/>
      <c r="V535" s="175"/>
    </row>
    <row r="536">
      <c r="A536" s="175">
        <v>536.0</v>
      </c>
      <c r="B536" s="176">
        <v>46187.0</v>
      </c>
      <c r="C536" s="175" t="s">
        <v>21</v>
      </c>
      <c r="D536" s="175" t="s">
        <v>24</v>
      </c>
      <c r="E536" s="177" t="s">
        <v>6602</v>
      </c>
      <c r="F536" s="178">
        <v>5.82588808E8</v>
      </c>
      <c r="G536" s="177" t="s">
        <v>71</v>
      </c>
      <c r="H536" s="175" t="s">
        <v>27</v>
      </c>
      <c r="I536" s="179" t="s">
        <v>6604</v>
      </c>
      <c r="J536" s="177"/>
      <c r="K536" s="175" t="s">
        <v>36</v>
      </c>
      <c r="L536" s="180">
        <v>0.48125</v>
      </c>
      <c r="M536" s="177" t="s">
        <v>38</v>
      </c>
      <c r="N536" s="175" t="s">
        <v>56</v>
      </c>
      <c r="O536" s="175" t="s">
        <v>42</v>
      </c>
      <c r="P536" s="177" t="s">
        <v>3566</v>
      </c>
      <c r="Q536" s="175" t="s">
        <v>44</v>
      </c>
      <c r="R536" s="175" t="s">
        <v>46</v>
      </c>
      <c r="S536" s="180"/>
      <c r="T536" s="177"/>
      <c r="U536" s="175"/>
      <c r="V536" s="175"/>
    </row>
    <row r="537">
      <c r="A537" s="175">
        <v>537.0</v>
      </c>
      <c r="B537" s="176">
        <v>46187.0</v>
      </c>
      <c r="C537" s="175" t="s">
        <v>21</v>
      </c>
      <c r="D537" s="175" t="s">
        <v>22</v>
      </c>
      <c r="E537" s="177" t="s">
        <v>887</v>
      </c>
      <c r="F537" s="178">
        <v>5.62472975E8</v>
      </c>
      <c r="G537" s="177" t="s">
        <v>71</v>
      </c>
      <c r="H537" s="175"/>
      <c r="I537" s="179" t="s">
        <v>6606</v>
      </c>
      <c r="J537" s="177"/>
      <c r="K537" s="175" t="s">
        <v>36</v>
      </c>
      <c r="L537" s="180">
        <v>0.4979166666666667</v>
      </c>
      <c r="M537" s="177" t="s">
        <v>38</v>
      </c>
      <c r="N537" s="175" t="s">
        <v>40</v>
      </c>
      <c r="O537" s="175" t="s">
        <v>42</v>
      </c>
      <c r="P537" s="177" t="s">
        <v>3566</v>
      </c>
      <c r="Q537" s="175" t="s">
        <v>44</v>
      </c>
      <c r="R537" s="175" t="s">
        <v>46</v>
      </c>
      <c r="S537" s="180"/>
      <c r="T537" s="177"/>
      <c r="U537" s="175"/>
      <c r="V537" s="175"/>
    </row>
    <row r="538">
      <c r="A538" s="175">
        <v>538.0</v>
      </c>
      <c r="B538" s="176">
        <v>46187.0</v>
      </c>
      <c r="C538" s="175" t="s">
        <v>47</v>
      </c>
      <c r="D538" s="175" t="s">
        <v>367</v>
      </c>
      <c r="E538" s="175" t="s">
        <v>27</v>
      </c>
      <c r="F538" s="178" t="s">
        <v>27</v>
      </c>
      <c r="G538" s="177" t="s">
        <v>79</v>
      </c>
      <c r="H538" s="175" t="s">
        <v>80</v>
      </c>
      <c r="I538" s="179" t="s">
        <v>6610</v>
      </c>
      <c r="J538" s="177" t="s">
        <v>6611</v>
      </c>
      <c r="K538" s="175" t="s">
        <v>3070</v>
      </c>
      <c r="L538" s="180">
        <v>0.51875</v>
      </c>
      <c r="M538" s="232" t="s">
        <v>6612</v>
      </c>
      <c r="N538" s="175" t="s">
        <v>56</v>
      </c>
      <c r="O538" s="175" t="s">
        <v>301</v>
      </c>
      <c r="P538" s="177" t="s">
        <v>3566</v>
      </c>
      <c r="Q538" s="175" t="s">
        <v>44</v>
      </c>
      <c r="R538" s="175" t="s">
        <v>46</v>
      </c>
      <c r="S538" s="180"/>
      <c r="T538" s="177"/>
      <c r="U538" s="175"/>
      <c r="V538" s="175"/>
    </row>
    <row r="539">
      <c r="A539" s="175">
        <v>539.0</v>
      </c>
      <c r="B539" s="176">
        <v>46187.0</v>
      </c>
      <c r="C539" s="175" t="s">
        <v>21</v>
      </c>
      <c r="D539" s="175" t="s">
        <v>22</v>
      </c>
      <c r="E539" s="177" t="s">
        <v>184</v>
      </c>
      <c r="F539" s="178">
        <v>5.57573113E8</v>
      </c>
      <c r="G539" s="177" t="s">
        <v>3176</v>
      </c>
      <c r="H539" s="175" t="s">
        <v>27</v>
      </c>
      <c r="I539" s="179" t="s">
        <v>6614</v>
      </c>
      <c r="J539" s="177"/>
      <c r="K539" s="175" t="s">
        <v>36</v>
      </c>
      <c r="L539" s="180"/>
      <c r="M539" s="177" t="s">
        <v>38</v>
      </c>
      <c r="N539" s="175" t="s">
        <v>40</v>
      </c>
      <c r="O539" s="175" t="s">
        <v>42</v>
      </c>
      <c r="P539" s="177" t="s">
        <v>3566</v>
      </c>
      <c r="Q539" s="175" t="s">
        <v>49</v>
      </c>
      <c r="R539" s="175" t="s">
        <v>46</v>
      </c>
      <c r="S539" s="180"/>
      <c r="T539" s="177"/>
      <c r="U539" s="175"/>
      <c r="V539" s="175"/>
    </row>
    <row r="540">
      <c r="A540" s="175">
        <v>540.0</v>
      </c>
      <c r="B540" s="176">
        <v>46187.0</v>
      </c>
      <c r="C540" s="175" t="s">
        <v>58</v>
      </c>
      <c r="D540" s="175" t="s">
        <v>60</v>
      </c>
      <c r="E540" s="175" t="s">
        <v>27</v>
      </c>
      <c r="F540" s="178">
        <v>5.55084065E8</v>
      </c>
      <c r="G540" s="175" t="s">
        <v>27</v>
      </c>
      <c r="H540" s="175" t="s">
        <v>27</v>
      </c>
      <c r="I540" s="179" t="s">
        <v>6617</v>
      </c>
      <c r="J540" s="177" t="s">
        <v>2003</v>
      </c>
      <c r="K540" s="175" t="s">
        <v>36</v>
      </c>
      <c r="L540" s="180">
        <v>0.5416666666666666</v>
      </c>
      <c r="M540" s="181" t="s">
        <v>88</v>
      </c>
      <c r="N540" s="175" t="s">
        <v>56</v>
      </c>
      <c r="O540" s="175" t="s">
        <v>42</v>
      </c>
      <c r="P540" s="177" t="s">
        <v>3566</v>
      </c>
      <c r="Q540" s="175" t="s">
        <v>44</v>
      </c>
      <c r="R540" s="175"/>
      <c r="S540" s="180">
        <v>0.5416666666666666</v>
      </c>
      <c r="T540" s="177"/>
      <c r="U540" s="175"/>
      <c r="V540" s="175"/>
    </row>
    <row r="541" ht="45.75" customHeight="1">
      <c r="A541" s="175">
        <v>541.0</v>
      </c>
      <c r="B541" s="235">
        <v>46187.0</v>
      </c>
      <c r="C541" s="206" t="s">
        <v>47</v>
      </c>
      <c r="D541" s="206" t="s">
        <v>92</v>
      </c>
      <c r="E541" s="198" t="s">
        <v>405</v>
      </c>
      <c r="F541" s="178">
        <v>5.63555722E8</v>
      </c>
      <c r="G541" s="198" t="s">
        <v>28</v>
      </c>
      <c r="H541" s="175" t="s">
        <v>5830</v>
      </c>
      <c r="I541" s="209" t="s">
        <v>6619</v>
      </c>
      <c r="J541" s="198"/>
      <c r="K541" s="206" t="s">
        <v>36</v>
      </c>
      <c r="L541" s="236">
        <v>0.5277777777777778</v>
      </c>
      <c r="M541" s="275" t="s">
        <v>5968</v>
      </c>
      <c r="N541" s="206" t="s">
        <v>40</v>
      </c>
      <c r="O541" s="206" t="s">
        <v>301</v>
      </c>
      <c r="P541" s="177" t="s">
        <v>3997</v>
      </c>
      <c r="Q541" s="206" t="s">
        <v>44</v>
      </c>
      <c r="R541" s="206" t="s">
        <v>46</v>
      </c>
      <c r="S541" s="430" t="s">
        <v>27</v>
      </c>
      <c r="T541" s="198" t="s">
        <v>3997</v>
      </c>
      <c r="U541" s="206" t="s">
        <v>49</v>
      </c>
      <c r="V541" s="206"/>
    </row>
    <row r="542">
      <c r="A542" s="175">
        <v>542.0</v>
      </c>
      <c r="B542" s="176">
        <v>46187.0</v>
      </c>
      <c r="C542" s="175" t="s">
        <v>58</v>
      </c>
      <c r="D542" s="175" t="s">
        <v>22</v>
      </c>
      <c r="E542" s="177" t="s">
        <v>6479</v>
      </c>
      <c r="F542" s="178">
        <v>5.8333202E8</v>
      </c>
      <c r="G542" s="177" t="s">
        <v>41</v>
      </c>
      <c r="H542" s="175" t="s">
        <v>27</v>
      </c>
      <c r="I542" s="209" t="s">
        <v>4107</v>
      </c>
      <c r="J542" s="177"/>
      <c r="K542" s="175" t="s">
        <v>36</v>
      </c>
      <c r="L542" s="180">
        <v>0.6041666666666666</v>
      </c>
      <c r="M542" s="177" t="s">
        <v>88</v>
      </c>
      <c r="N542" s="175" t="s">
        <v>40</v>
      </c>
      <c r="O542" s="175" t="s">
        <v>42</v>
      </c>
      <c r="P542" s="177" t="s">
        <v>3566</v>
      </c>
      <c r="Q542" s="175" t="s">
        <v>44</v>
      </c>
      <c r="R542" s="175"/>
      <c r="S542" s="180"/>
      <c r="T542" s="177"/>
      <c r="U542" s="175"/>
      <c r="V542" s="175"/>
    </row>
    <row r="543">
      <c r="A543" s="175">
        <v>543.0</v>
      </c>
      <c r="B543" s="176">
        <v>46187.0</v>
      </c>
      <c r="C543" s="175" t="s">
        <v>58</v>
      </c>
      <c r="D543" s="175" t="s">
        <v>60</v>
      </c>
      <c r="E543" s="175" t="s">
        <v>27</v>
      </c>
      <c r="F543" s="178">
        <v>5.00500438E8</v>
      </c>
      <c r="G543" s="177" t="s">
        <v>29</v>
      </c>
      <c r="H543" s="175" t="s">
        <v>72</v>
      </c>
      <c r="I543" s="179" t="s">
        <v>6625</v>
      </c>
      <c r="J543" s="177"/>
      <c r="K543" s="175" t="s">
        <v>36</v>
      </c>
      <c r="L543" s="180"/>
      <c r="M543" s="181" t="s">
        <v>88</v>
      </c>
      <c r="N543" s="175" t="s">
        <v>40</v>
      </c>
      <c r="O543" s="175" t="s">
        <v>42</v>
      </c>
      <c r="P543" s="177" t="s">
        <v>3566</v>
      </c>
      <c r="Q543" s="175" t="s">
        <v>44</v>
      </c>
      <c r="R543" s="175"/>
      <c r="S543" s="180"/>
      <c r="T543" s="177"/>
      <c r="U543" s="175"/>
      <c r="V543" s="175"/>
    </row>
    <row r="544">
      <c r="A544" s="175">
        <v>544.0</v>
      </c>
      <c r="B544" s="176">
        <v>46187.0</v>
      </c>
      <c r="C544" s="175" t="s">
        <v>21</v>
      </c>
      <c r="D544" s="175" t="s">
        <v>22</v>
      </c>
      <c r="E544" s="177" t="s">
        <v>6627</v>
      </c>
      <c r="F544" s="178">
        <v>5.51774606E8</v>
      </c>
      <c r="G544" s="177" t="s">
        <v>76</v>
      </c>
      <c r="H544" s="175" t="s">
        <v>27</v>
      </c>
      <c r="I544" s="179" t="s">
        <v>6628</v>
      </c>
      <c r="J544" s="177"/>
      <c r="K544" s="175" t="s">
        <v>36</v>
      </c>
      <c r="L544" s="180">
        <v>0.6173611111111111</v>
      </c>
      <c r="M544" s="177" t="s">
        <v>38</v>
      </c>
      <c r="N544" s="175" t="s">
        <v>40</v>
      </c>
      <c r="O544" s="175" t="s">
        <v>42</v>
      </c>
      <c r="P544" s="177" t="s">
        <v>3566</v>
      </c>
      <c r="Q544" s="175" t="s">
        <v>44</v>
      </c>
      <c r="R544" s="175" t="s">
        <v>46</v>
      </c>
      <c r="S544" s="180"/>
      <c r="T544" s="177"/>
      <c r="U544" s="175"/>
      <c r="V544" s="175"/>
    </row>
    <row r="545">
      <c r="A545" s="175">
        <v>545.0</v>
      </c>
      <c r="B545" s="176">
        <v>46187.0</v>
      </c>
      <c r="C545" s="175" t="s">
        <v>21</v>
      </c>
      <c r="D545" s="175" t="s">
        <v>66</v>
      </c>
      <c r="E545" s="175" t="s">
        <v>6629</v>
      </c>
      <c r="F545" s="178">
        <v>5.544262E8</v>
      </c>
      <c r="G545" s="175" t="s">
        <v>27</v>
      </c>
      <c r="H545" s="175" t="s">
        <v>27</v>
      </c>
      <c r="I545" s="179" t="s">
        <v>6630</v>
      </c>
      <c r="J545" s="177" t="s">
        <v>6631</v>
      </c>
      <c r="K545" s="175" t="s">
        <v>62</v>
      </c>
      <c r="L545" s="180">
        <v>0.6180555555555556</v>
      </c>
      <c r="M545" s="181" t="s">
        <v>208</v>
      </c>
      <c r="N545" s="175" t="s">
        <v>40</v>
      </c>
      <c r="O545" s="175" t="s">
        <v>42</v>
      </c>
      <c r="P545" s="177" t="s">
        <v>3566</v>
      </c>
      <c r="Q545" s="175" t="s">
        <v>44</v>
      </c>
      <c r="R545" s="175"/>
      <c r="S545" s="180">
        <v>0.6180555555555556</v>
      </c>
      <c r="T545" s="177" t="s">
        <v>3566</v>
      </c>
      <c r="U545" s="175" t="s">
        <v>44</v>
      </c>
      <c r="V545" s="175">
        <v>5.0</v>
      </c>
    </row>
    <row r="546">
      <c r="A546" s="175">
        <v>546.0</v>
      </c>
      <c r="B546" s="176">
        <v>46187.0</v>
      </c>
      <c r="C546" s="175" t="s">
        <v>21</v>
      </c>
      <c r="D546" s="175" t="s">
        <v>22</v>
      </c>
      <c r="E546" s="177" t="s">
        <v>6634</v>
      </c>
      <c r="F546" s="178">
        <v>5.80089932E8</v>
      </c>
      <c r="G546" s="177" t="s">
        <v>29</v>
      </c>
      <c r="H546" s="175" t="s">
        <v>27</v>
      </c>
      <c r="I546" s="179" t="s">
        <v>6170</v>
      </c>
      <c r="J546" s="177"/>
      <c r="K546" s="175" t="s">
        <v>62</v>
      </c>
      <c r="L546" s="180">
        <v>0.5395833333333333</v>
      </c>
      <c r="M546" s="181" t="s">
        <v>125</v>
      </c>
      <c r="N546" s="175" t="s">
        <v>40</v>
      </c>
      <c r="O546" s="175" t="s">
        <v>42</v>
      </c>
      <c r="P546" s="177" t="s">
        <v>3566</v>
      </c>
      <c r="Q546" s="175" t="s">
        <v>44</v>
      </c>
      <c r="R546" s="175" t="s">
        <v>46</v>
      </c>
      <c r="S546" s="180"/>
      <c r="T546" s="177"/>
      <c r="U546" s="175"/>
      <c r="V546" s="175"/>
    </row>
    <row r="547">
      <c r="A547" s="175">
        <v>547.0</v>
      </c>
      <c r="B547" s="176">
        <v>46187.0</v>
      </c>
      <c r="C547" s="175" t="s">
        <v>21</v>
      </c>
      <c r="D547" s="175" t="s">
        <v>57</v>
      </c>
      <c r="E547" s="177" t="s">
        <v>6637</v>
      </c>
      <c r="F547" s="178">
        <v>5.51703284E8</v>
      </c>
      <c r="G547" s="177" t="s">
        <v>152</v>
      </c>
      <c r="H547" s="175" t="s">
        <v>27</v>
      </c>
      <c r="I547" s="209" t="s">
        <v>6638</v>
      </c>
      <c r="J547" s="177"/>
      <c r="K547" s="175" t="s">
        <v>36</v>
      </c>
      <c r="L547" s="180"/>
      <c r="M547" s="177" t="s">
        <v>38</v>
      </c>
      <c r="N547" s="175" t="s">
        <v>40</v>
      </c>
      <c r="O547" s="175" t="s">
        <v>42</v>
      </c>
      <c r="P547" s="177" t="s">
        <v>3566</v>
      </c>
      <c r="Q547" s="175" t="s">
        <v>44</v>
      </c>
      <c r="R547" s="175"/>
      <c r="S547" s="180"/>
      <c r="T547" s="177"/>
      <c r="U547" s="175"/>
      <c r="V547" s="175"/>
    </row>
    <row r="548">
      <c r="A548" s="175">
        <v>548.0</v>
      </c>
      <c r="B548" s="176">
        <v>46188.0</v>
      </c>
      <c r="C548" s="175" t="s">
        <v>58</v>
      </c>
      <c r="D548" s="175" t="s">
        <v>60</v>
      </c>
      <c r="E548" s="175" t="s">
        <v>27</v>
      </c>
      <c r="F548" s="178">
        <v>5.47333121E8</v>
      </c>
      <c r="G548" s="175" t="s">
        <v>27</v>
      </c>
      <c r="H548" s="175" t="s">
        <v>27</v>
      </c>
      <c r="I548" s="179" t="s">
        <v>6644</v>
      </c>
      <c r="J548" s="177"/>
      <c r="K548" s="175" t="s">
        <v>36</v>
      </c>
      <c r="L548" s="180">
        <v>0.7069444444444445</v>
      </c>
      <c r="M548" s="181" t="s">
        <v>88</v>
      </c>
      <c r="N548" s="175" t="s">
        <v>40</v>
      </c>
      <c r="O548" s="175" t="s">
        <v>42</v>
      </c>
      <c r="P548" s="177" t="s">
        <v>3566</v>
      </c>
      <c r="Q548" s="175" t="s">
        <v>44</v>
      </c>
      <c r="R548" s="175"/>
      <c r="S548" s="180"/>
      <c r="T548" s="177"/>
      <c r="U548" s="175"/>
      <c r="V548" s="175"/>
    </row>
    <row r="549">
      <c r="A549" s="175">
        <v>549.0</v>
      </c>
      <c r="B549" s="176">
        <v>46188.0</v>
      </c>
      <c r="C549" s="175" t="s">
        <v>21</v>
      </c>
      <c r="D549" s="175" t="s">
        <v>34</v>
      </c>
      <c r="E549" s="177" t="s">
        <v>6389</v>
      </c>
      <c r="F549" s="178">
        <v>5.04706555E8</v>
      </c>
      <c r="G549" s="177" t="s">
        <v>319</v>
      </c>
      <c r="H549" s="175"/>
      <c r="I549" s="179" t="s">
        <v>6648</v>
      </c>
      <c r="J549" s="177"/>
      <c r="K549" s="175" t="s">
        <v>62</v>
      </c>
      <c r="L549" s="180"/>
      <c r="M549" s="181" t="s">
        <v>51</v>
      </c>
      <c r="N549" s="175" t="s">
        <v>40</v>
      </c>
      <c r="O549" s="175" t="s">
        <v>42</v>
      </c>
      <c r="P549" s="177" t="s">
        <v>3566</v>
      </c>
      <c r="Q549" s="175" t="s">
        <v>44</v>
      </c>
      <c r="R549" s="175"/>
      <c r="S549" s="180"/>
      <c r="T549" s="177"/>
      <c r="U549" s="175"/>
      <c r="V549" s="175"/>
    </row>
    <row r="550">
      <c r="A550" s="175">
        <v>550.0</v>
      </c>
      <c r="B550" s="176">
        <v>46188.0</v>
      </c>
      <c r="C550" s="175" t="s">
        <v>47</v>
      </c>
      <c r="D550" s="175" t="s">
        <v>48</v>
      </c>
      <c r="E550" s="177" t="s">
        <v>6651</v>
      </c>
      <c r="F550" s="178">
        <v>5.5560654E8</v>
      </c>
      <c r="G550" s="177" t="s">
        <v>41</v>
      </c>
      <c r="H550" s="206" t="s">
        <v>956</v>
      </c>
      <c r="I550" s="179" t="s">
        <v>6652</v>
      </c>
      <c r="J550" s="177"/>
      <c r="K550" s="175" t="s">
        <v>62</v>
      </c>
      <c r="L550" s="180">
        <v>0.46458333333333335</v>
      </c>
      <c r="M550" s="201" t="s">
        <v>3764</v>
      </c>
      <c r="N550" s="175" t="s">
        <v>40</v>
      </c>
      <c r="O550" s="175" t="s">
        <v>518</v>
      </c>
      <c r="P550" s="177" t="s">
        <v>3765</v>
      </c>
      <c r="Q550" s="175" t="s">
        <v>44</v>
      </c>
      <c r="R550" s="175" t="s">
        <v>46</v>
      </c>
      <c r="S550" s="180">
        <v>0.6729166666666667</v>
      </c>
      <c r="T550" s="177" t="s">
        <v>3566</v>
      </c>
      <c r="U550" s="175" t="s">
        <v>44</v>
      </c>
      <c r="V550" s="175">
        <v>5.0</v>
      </c>
    </row>
    <row r="551">
      <c r="A551" s="175">
        <v>551.0</v>
      </c>
      <c r="B551" s="176">
        <v>46188.0</v>
      </c>
      <c r="C551" s="175" t="s">
        <v>21</v>
      </c>
      <c r="D551" s="175" t="s">
        <v>34</v>
      </c>
      <c r="E551" s="175" t="s">
        <v>6655</v>
      </c>
      <c r="F551" s="178">
        <v>5.6601916E8</v>
      </c>
      <c r="G551" s="177" t="s">
        <v>41</v>
      </c>
      <c r="H551" s="175" t="s">
        <v>27</v>
      </c>
      <c r="I551" s="179" t="s">
        <v>6656</v>
      </c>
      <c r="J551" s="177" t="s">
        <v>35</v>
      </c>
      <c r="K551" s="175" t="s">
        <v>62</v>
      </c>
      <c r="L551" s="180"/>
      <c r="M551" s="181" t="s">
        <v>51</v>
      </c>
      <c r="N551" s="175" t="s">
        <v>40</v>
      </c>
      <c r="O551" s="175" t="s">
        <v>42</v>
      </c>
      <c r="P551" s="177" t="s">
        <v>3566</v>
      </c>
      <c r="Q551" s="175" t="s">
        <v>44</v>
      </c>
      <c r="R551" s="175"/>
      <c r="S551" s="180"/>
      <c r="T551" s="177"/>
      <c r="U551" s="175"/>
      <c r="V551" s="175"/>
    </row>
    <row r="552">
      <c r="A552" s="175">
        <v>552.0</v>
      </c>
      <c r="B552" s="176">
        <v>46188.0</v>
      </c>
      <c r="C552" s="175" t="s">
        <v>58</v>
      </c>
      <c r="D552" s="175" t="s">
        <v>60</v>
      </c>
      <c r="E552" s="175" t="s">
        <v>6660</v>
      </c>
      <c r="F552" s="178">
        <v>5.58884202E8</v>
      </c>
      <c r="G552" s="175" t="s">
        <v>27</v>
      </c>
      <c r="H552" s="175" t="s">
        <v>27</v>
      </c>
      <c r="I552" s="179" t="s">
        <v>6661</v>
      </c>
      <c r="J552" s="177" t="s">
        <v>6663</v>
      </c>
      <c r="K552" s="175" t="s">
        <v>62</v>
      </c>
      <c r="L552" s="180"/>
      <c r="M552" s="181" t="s">
        <v>88</v>
      </c>
      <c r="N552" s="175" t="s">
        <v>40</v>
      </c>
      <c r="O552" s="175" t="s">
        <v>42</v>
      </c>
      <c r="P552" s="177" t="s">
        <v>3566</v>
      </c>
      <c r="Q552" s="175" t="s">
        <v>44</v>
      </c>
      <c r="R552" s="175"/>
      <c r="S552" s="180"/>
      <c r="T552" s="177"/>
      <c r="U552" s="175"/>
      <c r="V552" s="175"/>
    </row>
    <row r="553">
      <c r="A553" s="175">
        <v>553.0</v>
      </c>
      <c r="B553" s="176">
        <v>46188.0</v>
      </c>
      <c r="C553" s="175" t="s">
        <v>58</v>
      </c>
      <c r="D553" s="175" t="s">
        <v>60</v>
      </c>
      <c r="E553" s="177" t="s">
        <v>6501</v>
      </c>
      <c r="F553" s="178">
        <v>5.42542233E8</v>
      </c>
      <c r="G553" s="175" t="s">
        <v>27</v>
      </c>
      <c r="H553" s="175" t="s">
        <v>27</v>
      </c>
      <c r="I553" s="179" t="s">
        <v>6477</v>
      </c>
      <c r="J553" s="177"/>
      <c r="K553" s="175" t="s">
        <v>62</v>
      </c>
      <c r="L553" s="180"/>
      <c r="M553" s="181" t="s">
        <v>38</v>
      </c>
      <c r="N553" s="175" t="s">
        <v>40</v>
      </c>
      <c r="O553" s="175" t="s">
        <v>42</v>
      </c>
      <c r="P553" s="177" t="s">
        <v>3566</v>
      </c>
      <c r="Q553" s="175" t="s">
        <v>44</v>
      </c>
      <c r="R553" s="175"/>
      <c r="S553" s="180"/>
      <c r="T553" s="177"/>
      <c r="U553" s="175"/>
      <c r="V553" s="175"/>
    </row>
    <row r="554">
      <c r="A554" s="175">
        <v>554.0</v>
      </c>
      <c r="B554" s="176">
        <v>46188.0</v>
      </c>
      <c r="C554" s="175" t="s">
        <v>58</v>
      </c>
      <c r="D554" s="175" t="s">
        <v>60</v>
      </c>
      <c r="E554" s="175" t="s">
        <v>27</v>
      </c>
      <c r="F554" s="178">
        <v>5.83959985E8</v>
      </c>
      <c r="G554" s="177" t="s">
        <v>41</v>
      </c>
      <c r="H554" s="175" t="s">
        <v>27</v>
      </c>
      <c r="I554" s="179" t="s">
        <v>6668</v>
      </c>
      <c r="J554" s="177" t="s">
        <v>6669</v>
      </c>
      <c r="K554" s="175" t="s">
        <v>36</v>
      </c>
      <c r="L554" s="180"/>
      <c r="M554" s="181" t="s">
        <v>88</v>
      </c>
      <c r="N554" s="175" t="s">
        <v>40</v>
      </c>
      <c r="O554" s="175" t="s">
        <v>42</v>
      </c>
      <c r="P554" s="177" t="s">
        <v>3566</v>
      </c>
      <c r="Q554" s="175" t="s">
        <v>44</v>
      </c>
      <c r="R554" s="175"/>
      <c r="S554" s="180"/>
      <c r="T554" s="177"/>
      <c r="U554" s="175"/>
      <c r="V554" s="175"/>
    </row>
    <row r="555">
      <c r="A555" s="175">
        <v>555.0</v>
      </c>
      <c r="B555" s="176">
        <v>46188.0</v>
      </c>
      <c r="C555" s="175" t="s">
        <v>58</v>
      </c>
      <c r="D555" s="175" t="s">
        <v>60</v>
      </c>
      <c r="E555" s="175" t="s">
        <v>27</v>
      </c>
      <c r="F555" s="178">
        <v>5.05583194E8</v>
      </c>
      <c r="G555" s="175" t="s">
        <v>27</v>
      </c>
      <c r="H555" s="175" t="s">
        <v>27</v>
      </c>
      <c r="I555" s="179" t="s">
        <v>6673</v>
      </c>
      <c r="J555" s="177"/>
      <c r="K555" s="175" t="s">
        <v>65</v>
      </c>
      <c r="L555" s="180">
        <v>0.3611111111111111</v>
      </c>
      <c r="M555" s="181" t="s">
        <v>88</v>
      </c>
      <c r="N555" s="175" t="s">
        <v>40</v>
      </c>
      <c r="O555" s="175" t="s">
        <v>42</v>
      </c>
      <c r="P555" s="177" t="s">
        <v>3566</v>
      </c>
      <c r="Q555" s="175" t="s">
        <v>44</v>
      </c>
      <c r="R555" s="175"/>
      <c r="S555" s="180"/>
      <c r="T555" s="177"/>
      <c r="U555" s="175"/>
      <c r="V555" s="175"/>
    </row>
    <row r="556">
      <c r="A556" s="175">
        <v>556.0</v>
      </c>
      <c r="B556" s="176">
        <v>46188.0</v>
      </c>
      <c r="C556" s="175" t="s">
        <v>58</v>
      </c>
      <c r="D556" s="175" t="s">
        <v>60</v>
      </c>
      <c r="E556" s="177" t="s">
        <v>6676</v>
      </c>
      <c r="F556" s="178">
        <v>5.64101382E8</v>
      </c>
      <c r="G556" s="177" t="s">
        <v>79</v>
      </c>
      <c r="H556" s="175" t="s">
        <v>27</v>
      </c>
      <c r="I556" s="179" t="s">
        <v>6677</v>
      </c>
      <c r="J556" s="177"/>
      <c r="K556" s="175" t="s">
        <v>36</v>
      </c>
      <c r="L556" s="180"/>
      <c r="M556" s="181" t="s">
        <v>88</v>
      </c>
      <c r="N556" s="175" t="s">
        <v>40</v>
      </c>
      <c r="O556" s="175" t="s">
        <v>42</v>
      </c>
      <c r="P556" s="177" t="s">
        <v>3566</v>
      </c>
      <c r="Q556" s="175" t="s">
        <v>44</v>
      </c>
      <c r="R556" s="175"/>
      <c r="S556" s="180"/>
      <c r="T556" s="177"/>
      <c r="U556" s="175"/>
      <c r="V556" s="175"/>
    </row>
    <row r="557">
      <c r="A557" s="175">
        <v>557.0</v>
      </c>
      <c r="B557" s="176">
        <v>46188.0</v>
      </c>
      <c r="C557" s="175" t="s">
        <v>58</v>
      </c>
      <c r="D557" s="175" t="s">
        <v>57</v>
      </c>
      <c r="E557" s="177" t="s">
        <v>6679</v>
      </c>
      <c r="F557" s="178">
        <v>5.97227869E8</v>
      </c>
      <c r="G557" s="175" t="s">
        <v>27</v>
      </c>
      <c r="H557" s="175" t="s">
        <v>27</v>
      </c>
      <c r="I557" s="179" t="s">
        <v>6682</v>
      </c>
      <c r="J557" s="177" t="s">
        <v>6683</v>
      </c>
      <c r="K557" s="175" t="s">
        <v>62</v>
      </c>
      <c r="L557" s="180"/>
      <c r="M557" s="177" t="s">
        <v>88</v>
      </c>
      <c r="N557" s="175" t="s">
        <v>40</v>
      </c>
      <c r="O557" s="175" t="s">
        <v>42</v>
      </c>
      <c r="P557" s="177" t="s">
        <v>3566</v>
      </c>
      <c r="Q557" s="175" t="s">
        <v>44</v>
      </c>
      <c r="R557" s="175"/>
      <c r="S557" s="180"/>
      <c r="T557" s="177"/>
      <c r="U557" s="175"/>
      <c r="V557" s="175"/>
    </row>
    <row r="558">
      <c r="A558" s="175">
        <v>558.0</v>
      </c>
      <c r="B558" s="176">
        <v>46188.0</v>
      </c>
      <c r="C558" s="175" t="s">
        <v>58</v>
      </c>
      <c r="D558" s="175" t="s">
        <v>57</v>
      </c>
      <c r="E558" s="177" t="s">
        <v>6426</v>
      </c>
      <c r="F558" s="178">
        <v>5.33938139E8</v>
      </c>
      <c r="G558" s="177" t="s">
        <v>41</v>
      </c>
      <c r="H558" s="175" t="s">
        <v>27</v>
      </c>
      <c r="I558" s="179" t="s">
        <v>6687</v>
      </c>
      <c r="J558" s="177" t="s">
        <v>6688</v>
      </c>
      <c r="K558" s="175" t="s">
        <v>62</v>
      </c>
      <c r="L558" s="180"/>
      <c r="M558" s="177" t="s">
        <v>88</v>
      </c>
      <c r="N558" s="175" t="s">
        <v>40</v>
      </c>
      <c r="O558" s="175" t="s">
        <v>42</v>
      </c>
      <c r="P558" s="177" t="s">
        <v>3566</v>
      </c>
      <c r="Q558" s="175" t="s">
        <v>44</v>
      </c>
      <c r="R558" s="175"/>
      <c r="S558" s="180"/>
      <c r="T558" s="177"/>
      <c r="U558" s="175"/>
      <c r="V558" s="175"/>
    </row>
    <row r="559">
      <c r="A559" s="175">
        <v>559.0</v>
      </c>
      <c r="B559" s="176">
        <v>46188.0</v>
      </c>
      <c r="C559" s="175" t="s">
        <v>21</v>
      </c>
      <c r="D559" s="175" t="s">
        <v>22</v>
      </c>
      <c r="E559" s="177" t="s">
        <v>1197</v>
      </c>
      <c r="F559" s="178">
        <v>5.75267061E8</v>
      </c>
      <c r="G559" s="177" t="s">
        <v>120</v>
      </c>
      <c r="H559" s="206" t="s">
        <v>27</v>
      </c>
      <c r="I559" s="305" t="s">
        <v>6691</v>
      </c>
      <c r="J559" s="177"/>
      <c r="K559" s="175" t="s">
        <v>62</v>
      </c>
      <c r="L559" s="180"/>
      <c r="M559" s="181" t="s">
        <v>125</v>
      </c>
      <c r="N559" s="175" t="s">
        <v>40</v>
      </c>
      <c r="O559" s="175" t="s">
        <v>42</v>
      </c>
      <c r="P559" s="177" t="s">
        <v>3566</v>
      </c>
      <c r="Q559" s="175" t="s">
        <v>44</v>
      </c>
      <c r="R559" s="175" t="s">
        <v>46</v>
      </c>
      <c r="S559" s="180"/>
      <c r="T559" s="177"/>
      <c r="U559" s="175"/>
      <c r="V559" s="175"/>
    </row>
    <row r="560">
      <c r="A560" s="175">
        <v>560.0</v>
      </c>
      <c r="B560" s="176">
        <v>46188.0</v>
      </c>
      <c r="C560" s="175" t="s">
        <v>47</v>
      </c>
      <c r="D560" s="175" t="s">
        <v>60</v>
      </c>
      <c r="E560" s="177" t="s">
        <v>6696</v>
      </c>
      <c r="F560" s="178">
        <v>5.57333121E8</v>
      </c>
      <c r="G560" s="177" t="s">
        <v>41</v>
      </c>
      <c r="H560" s="440"/>
      <c r="I560" s="179" t="s">
        <v>6697</v>
      </c>
      <c r="J560" s="177"/>
      <c r="K560" s="175" t="s">
        <v>62</v>
      </c>
      <c r="L560" s="180"/>
      <c r="M560" s="181" t="s">
        <v>38</v>
      </c>
      <c r="N560" s="175" t="s">
        <v>40</v>
      </c>
      <c r="O560" s="175" t="s">
        <v>42</v>
      </c>
      <c r="P560" s="177" t="s">
        <v>3566</v>
      </c>
      <c r="Q560" s="175" t="s">
        <v>44</v>
      </c>
      <c r="R560" s="175"/>
      <c r="S560" s="180"/>
      <c r="T560" s="177"/>
      <c r="U560" s="175"/>
      <c r="V560" s="175"/>
    </row>
    <row r="561">
      <c r="A561" s="175">
        <v>561.0</v>
      </c>
      <c r="B561" s="176">
        <v>46188.0</v>
      </c>
      <c r="C561" s="175" t="s">
        <v>58</v>
      </c>
      <c r="D561" s="175" t="s">
        <v>60</v>
      </c>
      <c r="E561" s="177" t="s">
        <v>6702</v>
      </c>
      <c r="F561" s="178">
        <v>5.10104752E8</v>
      </c>
      <c r="G561" s="175" t="s">
        <v>27</v>
      </c>
      <c r="H561" s="175" t="s">
        <v>27</v>
      </c>
      <c r="I561" s="179" t="s">
        <v>6703</v>
      </c>
      <c r="J561" s="177" t="s">
        <v>6704</v>
      </c>
      <c r="K561" s="175" t="s">
        <v>62</v>
      </c>
      <c r="L561" s="180">
        <v>0.3770833333333333</v>
      </c>
      <c r="M561" s="181" t="s">
        <v>88</v>
      </c>
      <c r="N561" s="175" t="s">
        <v>40</v>
      </c>
      <c r="O561" s="175" t="s">
        <v>42</v>
      </c>
      <c r="P561" s="177" t="s">
        <v>3566</v>
      </c>
      <c r="Q561" s="175" t="s">
        <v>44</v>
      </c>
      <c r="R561" s="175"/>
      <c r="S561" s="180"/>
      <c r="T561" s="177"/>
      <c r="U561" s="175"/>
      <c r="V561" s="175"/>
    </row>
    <row r="562">
      <c r="A562" s="175">
        <v>562.0</v>
      </c>
      <c r="B562" s="176">
        <v>46188.0</v>
      </c>
      <c r="C562" s="175" t="s">
        <v>58</v>
      </c>
      <c r="D562" s="175" t="s">
        <v>57</v>
      </c>
      <c r="E562" s="177" t="s">
        <v>6426</v>
      </c>
      <c r="F562" s="178">
        <v>5.33149396E8</v>
      </c>
      <c r="G562" s="177" t="s">
        <v>41</v>
      </c>
      <c r="H562" s="175" t="s">
        <v>27</v>
      </c>
      <c r="I562" s="179" t="s">
        <v>6707</v>
      </c>
      <c r="J562" s="177"/>
      <c r="K562" s="175" t="s">
        <v>36</v>
      </c>
      <c r="L562" s="180">
        <v>0.3819444444444444</v>
      </c>
      <c r="M562" s="177" t="s">
        <v>88</v>
      </c>
      <c r="N562" s="175" t="s">
        <v>40</v>
      </c>
      <c r="O562" s="175" t="s">
        <v>42</v>
      </c>
      <c r="P562" s="177" t="s">
        <v>3566</v>
      </c>
      <c r="Q562" s="175" t="s">
        <v>44</v>
      </c>
      <c r="R562" s="175"/>
      <c r="S562" s="180"/>
      <c r="T562" s="177"/>
      <c r="U562" s="175"/>
      <c r="V562" s="175"/>
    </row>
    <row r="563">
      <c r="A563" s="175">
        <v>563.0</v>
      </c>
      <c r="B563" s="176">
        <v>46188.0</v>
      </c>
      <c r="C563" s="175" t="s">
        <v>47</v>
      </c>
      <c r="D563" s="175" t="s">
        <v>48</v>
      </c>
      <c r="E563" s="175" t="s">
        <v>6709</v>
      </c>
      <c r="F563" s="178" t="s">
        <v>27</v>
      </c>
      <c r="G563" s="177" t="s">
        <v>41</v>
      </c>
      <c r="H563" s="175" t="s">
        <v>783</v>
      </c>
      <c r="I563" s="179" t="s">
        <v>6710</v>
      </c>
      <c r="J563" s="27" t="s">
        <v>6711</v>
      </c>
      <c r="K563" s="175" t="s">
        <v>78</v>
      </c>
      <c r="L563" s="180"/>
      <c r="M563" s="201" t="s">
        <v>4232</v>
      </c>
      <c r="N563" s="175" t="s">
        <v>56</v>
      </c>
      <c r="O563" s="175" t="s">
        <v>518</v>
      </c>
      <c r="P563" s="177" t="s">
        <v>3765</v>
      </c>
      <c r="Q563" s="175" t="s">
        <v>49</v>
      </c>
      <c r="R563" s="175" t="s">
        <v>46</v>
      </c>
      <c r="S563" s="180"/>
      <c r="T563" s="177"/>
      <c r="U563" s="175"/>
      <c r="V563" s="175"/>
    </row>
    <row r="564" ht="33.75" customHeight="1">
      <c r="A564" s="175">
        <v>564.0</v>
      </c>
      <c r="B564" s="176">
        <v>46188.0</v>
      </c>
      <c r="C564" s="175" t="s">
        <v>47</v>
      </c>
      <c r="D564" s="175" t="s">
        <v>92</v>
      </c>
      <c r="E564" s="175" t="s">
        <v>6715</v>
      </c>
      <c r="F564" s="178" t="s">
        <v>27</v>
      </c>
      <c r="G564" s="177" t="s">
        <v>71</v>
      </c>
      <c r="H564" s="175" t="s">
        <v>291</v>
      </c>
      <c r="I564" s="209" t="s">
        <v>6716</v>
      </c>
      <c r="J564" s="177"/>
      <c r="K564" s="175" t="s">
        <v>78</v>
      </c>
      <c r="L564" s="180"/>
      <c r="M564" s="27" t="s">
        <v>101</v>
      </c>
      <c r="N564" s="175" t="s">
        <v>40</v>
      </c>
      <c r="O564" s="175" t="s">
        <v>518</v>
      </c>
      <c r="P564" s="177" t="s">
        <v>3765</v>
      </c>
      <c r="Q564" s="175" t="s">
        <v>49</v>
      </c>
      <c r="R564" s="175" t="s">
        <v>46</v>
      </c>
      <c r="S564" s="180"/>
      <c r="T564" s="177"/>
      <c r="U564" s="175"/>
      <c r="V564" s="175"/>
    </row>
    <row r="565" ht="30.75" customHeight="1">
      <c r="A565" s="175">
        <v>565.0</v>
      </c>
      <c r="B565" s="176">
        <v>46188.0</v>
      </c>
      <c r="C565" s="175" t="s">
        <v>47</v>
      </c>
      <c r="D565" s="175" t="s">
        <v>48</v>
      </c>
      <c r="E565" s="177" t="s">
        <v>6719</v>
      </c>
      <c r="F565" s="178">
        <v>5.04518519E8</v>
      </c>
      <c r="G565" s="177" t="s">
        <v>41</v>
      </c>
      <c r="H565" s="175" t="s">
        <v>956</v>
      </c>
      <c r="I565" s="179" t="s">
        <v>6722</v>
      </c>
      <c r="J565" s="177"/>
      <c r="K565" s="175" t="s">
        <v>148</v>
      </c>
      <c r="L565" s="180"/>
      <c r="M565" s="201" t="s">
        <v>3764</v>
      </c>
      <c r="N565" s="175" t="s">
        <v>40</v>
      </c>
      <c r="O565" s="175" t="s">
        <v>518</v>
      </c>
      <c r="P565" s="177" t="s">
        <v>3765</v>
      </c>
      <c r="Q565" s="175" t="s">
        <v>49</v>
      </c>
      <c r="R565" s="175" t="s">
        <v>46</v>
      </c>
      <c r="S565" s="180"/>
      <c r="T565" s="177"/>
      <c r="U565" s="175"/>
      <c r="V565" s="175"/>
    </row>
    <row r="566">
      <c r="A566" s="441">
        <v>566.0</v>
      </c>
      <c r="B566" s="442">
        <v>46188.0</v>
      </c>
      <c r="C566" s="441" t="s">
        <v>58</v>
      </c>
      <c r="D566" s="441" t="s">
        <v>60</v>
      </c>
      <c r="E566" s="443" t="s">
        <v>482</v>
      </c>
      <c r="F566" s="444">
        <v>5.65111081E8</v>
      </c>
      <c r="G566" s="443" t="s">
        <v>41</v>
      </c>
      <c r="H566" s="441" t="s">
        <v>146</v>
      </c>
      <c r="I566" s="445" t="s">
        <v>6726</v>
      </c>
      <c r="J566" s="443"/>
      <c r="K566" s="441" t="s">
        <v>148</v>
      </c>
      <c r="L566" s="446"/>
      <c r="M566" s="443" t="s">
        <v>6727</v>
      </c>
      <c r="N566" s="441" t="s">
        <v>40</v>
      </c>
      <c r="O566" s="441" t="s">
        <v>42</v>
      </c>
      <c r="P566" s="443" t="s">
        <v>3566</v>
      </c>
      <c r="Q566" s="441" t="s">
        <v>49</v>
      </c>
      <c r="R566" s="441" t="s">
        <v>46</v>
      </c>
      <c r="S566" s="446"/>
      <c r="T566" s="443"/>
      <c r="U566" s="441"/>
      <c r="V566" s="441"/>
    </row>
    <row r="567">
      <c r="A567" s="175">
        <v>567.0</v>
      </c>
      <c r="B567" s="176">
        <v>46188.0</v>
      </c>
      <c r="C567" s="175" t="s">
        <v>21</v>
      </c>
      <c r="D567" s="175" t="s">
        <v>57</v>
      </c>
      <c r="E567" s="177" t="s">
        <v>276</v>
      </c>
      <c r="F567" s="178">
        <v>5.37561833E8</v>
      </c>
      <c r="G567" s="177" t="s">
        <v>319</v>
      </c>
      <c r="H567" s="175" t="s">
        <v>27</v>
      </c>
      <c r="I567" s="179" t="s">
        <v>6731</v>
      </c>
      <c r="J567" s="177" t="s">
        <v>3270</v>
      </c>
      <c r="K567" s="175" t="s">
        <v>62</v>
      </c>
      <c r="L567" s="180">
        <v>0.4513888888888889</v>
      </c>
      <c r="M567" s="177" t="s">
        <v>38</v>
      </c>
      <c r="N567" s="175" t="s">
        <v>40</v>
      </c>
      <c r="O567" s="175" t="s">
        <v>42</v>
      </c>
      <c r="P567" s="177" t="s">
        <v>3566</v>
      </c>
      <c r="Q567" s="175" t="s">
        <v>44</v>
      </c>
      <c r="R567" s="175"/>
      <c r="S567" s="180"/>
      <c r="T567" s="177"/>
      <c r="U567" s="175"/>
      <c r="V567" s="175"/>
    </row>
    <row r="568">
      <c r="A568" s="175">
        <v>568.0</v>
      </c>
      <c r="B568" s="176">
        <v>46188.0</v>
      </c>
      <c r="C568" s="175" t="s">
        <v>58</v>
      </c>
      <c r="D568" s="175" t="s">
        <v>22</v>
      </c>
      <c r="E568" s="177" t="s">
        <v>184</v>
      </c>
      <c r="F568" s="178">
        <v>5.57573113E8</v>
      </c>
      <c r="G568" s="177" t="s">
        <v>3176</v>
      </c>
      <c r="H568" s="175" t="s">
        <v>27</v>
      </c>
      <c r="I568" s="179" t="s">
        <v>6733</v>
      </c>
      <c r="J568" s="177"/>
      <c r="K568" s="175" t="s">
        <v>36</v>
      </c>
      <c r="L568" s="180"/>
      <c r="M568" s="177" t="s">
        <v>88</v>
      </c>
      <c r="N568" s="175" t="s">
        <v>40</v>
      </c>
      <c r="O568" s="175" t="s">
        <v>42</v>
      </c>
      <c r="P568" s="177" t="s">
        <v>3566</v>
      </c>
      <c r="Q568" s="175" t="s">
        <v>44</v>
      </c>
      <c r="R568" s="175"/>
      <c r="S568" s="180"/>
      <c r="T568" s="177"/>
      <c r="U568" s="175"/>
      <c r="V568" s="175"/>
    </row>
    <row r="569">
      <c r="A569" s="175">
        <v>569.0</v>
      </c>
      <c r="B569" s="176">
        <v>46188.0</v>
      </c>
      <c r="C569" s="175" t="s">
        <v>58</v>
      </c>
      <c r="D569" s="175" t="s">
        <v>60</v>
      </c>
      <c r="E569" s="175" t="s">
        <v>27</v>
      </c>
      <c r="F569" s="178">
        <v>5.55598818E8</v>
      </c>
      <c r="G569" s="175" t="s">
        <v>27</v>
      </c>
      <c r="H569" s="175" t="s">
        <v>27</v>
      </c>
      <c r="I569" s="179" t="s">
        <v>6737</v>
      </c>
      <c r="J569" s="177" t="s">
        <v>6738</v>
      </c>
      <c r="K569" s="175" t="s">
        <v>62</v>
      </c>
      <c r="L569" s="180"/>
      <c r="M569" s="181" t="s">
        <v>38</v>
      </c>
      <c r="N569" s="175" t="s">
        <v>40</v>
      </c>
      <c r="O569" s="175" t="s">
        <v>42</v>
      </c>
      <c r="P569" s="177" t="s">
        <v>3566</v>
      </c>
      <c r="Q569" s="175" t="s">
        <v>44</v>
      </c>
      <c r="R569" s="175"/>
      <c r="S569" s="180"/>
      <c r="T569" s="177"/>
      <c r="U569" s="175"/>
      <c r="V569" s="175"/>
    </row>
    <row r="570">
      <c r="A570" s="175">
        <v>570.0</v>
      </c>
      <c r="B570" s="176">
        <v>46188.0</v>
      </c>
      <c r="C570" s="175" t="s">
        <v>21</v>
      </c>
      <c r="D570" s="175" t="s">
        <v>24</v>
      </c>
      <c r="E570" s="177" t="s">
        <v>6741</v>
      </c>
      <c r="F570" s="178">
        <v>5.3322706E8</v>
      </c>
      <c r="G570" s="177" t="s">
        <v>41</v>
      </c>
      <c r="H570" s="175" t="s">
        <v>27</v>
      </c>
      <c r="I570" s="179" t="s">
        <v>6742</v>
      </c>
      <c r="J570" s="177"/>
      <c r="K570" s="175" t="s">
        <v>62</v>
      </c>
      <c r="L570" s="180">
        <v>0.3680555555555556</v>
      </c>
      <c r="M570" s="177" t="s">
        <v>38</v>
      </c>
      <c r="N570" s="175" t="s">
        <v>56</v>
      </c>
      <c r="O570" s="175" t="s">
        <v>42</v>
      </c>
      <c r="P570" s="177" t="s">
        <v>3566</v>
      </c>
      <c r="Q570" s="175" t="s">
        <v>44</v>
      </c>
      <c r="R570" s="175" t="s">
        <v>46</v>
      </c>
      <c r="S570" s="180"/>
      <c r="T570" s="177"/>
      <c r="U570" s="175"/>
      <c r="V570" s="175"/>
    </row>
    <row r="571">
      <c r="A571" s="175">
        <v>571.0</v>
      </c>
      <c r="B571" s="176">
        <v>46188.0</v>
      </c>
      <c r="C571" s="175" t="s">
        <v>21</v>
      </c>
      <c r="D571" s="175" t="s">
        <v>24</v>
      </c>
      <c r="E571" s="177" t="s">
        <v>6746</v>
      </c>
      <c r="F571" s="178">
        <v>5.66638995E8</v>
      </c>
      <c r="G571" s="177" t="s">
        <v>71</v>
      </c>
      <c r="H571" s="175" t="s">
        <v>27</v>
      </c>
      <c r="I571" s="179" t="s">
        <v>6747</v>
      </c>
      <c r="J571" s="177"/>
      <c r="K571" s="175" t="s">
        <v>36</v>
      </c>
      <c r="L571" s="180">
        <v>0.4</v>
      </c>
      <c r="M571" s="177" t="s">
        <v>38</v>
      </c>
      <c r="N571" s="175" t="s">
        <v>56</v>
      </c>
      <c r="O571" s="175" t="s">
        <v>42</v>
      </c>
      <c r="P571" s="177" t="s">
        <v>3566</v>
      </c>
      <c r="Q571" s="175" t="s">
        <v>44</v>
      </c>
      <c r="R571" s="175" t="s">
        <v>46</v>
      </c>
      <c r="S571" s="180"/>
      <c r="T571" s="177"/>
      <c r="U571" s="175"/>
      <c r="V571" s="175"/>
    </row>
    <row r="572">
      <c r="A572" s="175">
        <v>572.0</v>
      </c>
      <c r="B572" s="176">
        <v>46188.0</v>
      </c>
      <c r="C572" s="175" t="s">
        <v>58</v>
      </c>
      <c r="D572" s="175" t="s">
        <v>60</v>
      </c>
      <c r="E572" s="177" t="s">
        <v>6750</v>
      </c>
      <c r="F572" s="178">
        <v>5.32234147E8</v>
      </c>
      <c r="G572" s="175" t="s">
        <v>27</v>
      </c>
      <c r="H572" s="175" t="s">
        <v>27</v>
      </c>
      <c r="I572" s="179" t="s">
        <v>6751</v>
      </c>
      <c r="J572" s="177" t="s">
        <v>6752</v>
      </c>
      <c r="K572" s="175" t="s">
        <v>62</v>
      </c>
      <c r="L572" s="180"/>
      <c r="M572" s="181" t="s">
        <v>38</v>
      </c>
      <c r="N572" s="175" t="s">
        <v>40</v>
      </c>
      <c r="O572" s="175" t="s">
        <v>42</v>
      </c>
      <c r="P572" s="177" t="s">
        <v>3566</v>
      </c>
      <c r="Q572" s="175" t="s">
        <v>44</v>
      </c>
      <c r="R572" s="175"/>
      <c r="S572" s="180"/>
      <c r="T572" s="177"/>
      <c r="U572" s="175"/>
      <c r="V572" s="175"/>
    </row>
    <row r="573">
      <c r="A573" s="175">
        <v>573.0</v>
      </c>
      <c r="B573" s="176">
        <v>46188.0</v>
      </c>
      <c r="C573" s="175" t="s">
        <v>58</v>
      </c>
      <c r="D573" s="175" t="s">
        <v>60</v>
      </c>
      <c r="E573" s="175" t="s">
        <v>27</v>
      </c>
      <c r="F573" s="178">
        <v>5.56061666E8</v>
      </c>
      <c r="G573" s="177" t="s">
        <v>152</v>
      </c>
      <c r="H573" s="175" t="s">
        <v>27</v>
      </c>
      <c r="I573" s="179" t="s">
        <v>6754</v>
      </c>
      <c r="J573" s="177" t="s">
        <v>1969</v>
      </c>
      <c r="K573" s="175" t="s">
        <v>36</v>
      </c>
      <c r="L573" s="180">
        <v>0.4791666666666667</v>
      </c>
      <c r="M573" s="181" t="s">
        <v>88</v>
      </c>
      <c r="N573" s="175" t="s">
        <v>56</v>
      </c>
      <c r="O573" s="175" t="s">
        <v>42</v>
      </c>
      <c r="P573" s="177" t="s">
        <v>3566</v>
      </c>
      <c r="Q573" s="175" t="s">
        <v>44</v>
      </c>
      <c r="R573" s="175"/>
      <c r="S573" s="180"/>
      <c r="T573" s="177"/>
      <c r="U573" s="175"/>
      <c r="V573" s="175"/>
    </row>
    <row r="574">
      <c r="A574" s="175">
        <v>574.0</v>
      </c>
      <c r="B574" s="176">
        <v>46188.0</v>
      </c>
      <c r="C574" s="175" t="s">
        <v>21</v>
      </c>
      <c r="D574" s="175" t="s">
        <v>24</v>
      </c>
      <c r="E574" s="177" t="s">
        <v>6756</v>
      </c>
      <c r="F574" s="178">
        <v>5.62066523E8</v>
      </c>
      <c r="G574" s="177" t="s">
        <v>1107</v>
      </c>
      <c r="H574" s="175" t="s">
        <v>27</v>
      </c>
      <c r="I574" s="179" t="s">
        <v>6758</v>
      </c>
      <c r="J574" s="177"/>
      <c r="K574" s="175" t="s">
        <v>62</v>
      </c>
      <c r="L574" s="180">
        <v>0.5020833333333333</v>
      </c>
      <c r="M574" s="177" t="s">
        <v>38</v>
      </c>
      <c r="N574" s="175" t="s">
        <v>56</v>
      </c>
      <c r="O574" s="175" t="s">
        <v>42</v>
      </c>
      <c r="P574" s="177" t="s">
        <v>3566</v>
      </c>
      <c r="Q574" s="175" t="s">
        <v>44</v>
      </c>
      <c r="R574" s="175" t="s">
        <v>46</v>
      </c>
      <c r="S574" s="180"/>
      <c r="T574" s="177"/>
      <c r="U574" s="175"/>
      <c r="V574" s="175"/>
    </row>
    <row r="575">
      <c r="A575" s="26">
        <v>575.0</v>
      </c>
      <c r="B575" s="188">
        <v>46188.0</v>
      </c>
      <c r="C575" s="26" t="s">
        <v>47</v>
      </c>
      <c r="D575" s="26" t="s">
        <v>48</v>
      </c>
      <c r="E575" s="27" t="s">
        <v>6760</v>
      </c>
      <c r="F575" s="21">
        <v>5.95113404E8</v>
      </c>
      <c r="G575" s="27" t="s">
        <v>41</v>
      </c>
      <c r="H575" s="26" t="s">
        <v>567</v>
      </c>
      <c r="I575" s="209" t="s">
        <v>6761</v>
      </c>
      <c r="J575" s="27"/>
      <c r="K575" s="26" t="s">
        <v>36</v>
      </c>
      <c r="L575" s="35">
        <v>0.55625</v>
      </c>
      <c r="M575" s="192" t="s">
        <v>5968</v>
      </c>
      <c r="N575" s="26" t="s">
        <v>40</v>
      </c>
      <c r="O575" s="26" t="s">
        <v>301</v>
      </c>
      <c r="P575" s="27" t="s">
        <v>3566</v>
      </c>
      <c r="Q575" s="26" t="s">
        <v>49</v>
      </c>
      <c r="R575" s="26" t="s">
        <v>46</v>
      </c>
      <c r="S575" s="35">
        <v>0.39861111111111114</v>
      </c>
      <c r="T575" s="27" t="s">
        <v>3566</v>
      </c>
      <c r="U575" s="26" t="s">
        <v>44</v>
      </c>
      <c r="V575" s="26"/>
    </row>
    <row r="576">
      <c r="A576" s="175">
        <v>576.0</v>
      </c>
      <c r="B576" s="176">
        <v>46188.0</v>
      </c>
      <c r="C576" s="175" t="s">
        <v>21</v>
      </c>
      <c r="D576" s="175" t="s">
        <v>24</v>
      </c>
      <c r="E576" s="177" t="s">
        <v>6764</v>
      </c>
      <c r="F576" s="178">
        <v>5.63336071E8</v>
      </c>
      <c r="G576" s="177" t="s">
        <v>394</v>
      </c>
      <c r="H576" s="175" t="s">
        <v>27</v>
      </c>
      <c r="I576" s="179" t="s">
        <v>6765</v>
      </c>
      <c r="J576" s="177"/>
      <c r="K576" s="175" t="s">
        <v>62</v>
      </c>
      <c r="L576" s="180">
        <v>0.6083333333333333</v>
      </c>
      <c r="M576" s="177" t="s">
        <v>38</v>
      </c>
      <c r="N576" s="175" t="s">
        <v>56</v>
      </c>
      <c r="O576" s="175" t="s">
        <v>42</v>
      </c>
      <c r="P576" s="177" t="s">
        <v>3566</v>
      </c>
      <c r="Q576" s="175" t="s">
        <v>44</v>
      </c>
      <c r="R576" s="175" t="s">
        <v>46</v>
      </c>
      <c r="S576" s="180"/>
      <c r="T576" s="177"/>
      <c r="U576" s="175"/>
      <c r="V576" s="175"/>
    </row>
    <row r="577">
      <c r="A577" s="175">
        <v>577.0</v>
      </c>
      <c r="B577" s="176">
        <v>46189.0</v>
      </c>
      <c r="C577" s="175" t="s">
        <v>58</v>
      </c>
      <c r="D577" s="175" t="s">
        <v>60</v>
      </c>
      <c r="E577" s="175" t="s">
        <v>27</v>
      </c>
      <c r="F577" s="178">
        <v>5.0370871E8</v>
      </c>
      <c r="G577" s="175" t="s">
        <v>27</v>
      </c>
      <c r="H577" s="175" t="s">
        <v>27</v>
      </c>
      <c r="I577" s="289" t="s">
        <v>6768</v>
      </c>
      <c r="J577" s="177" t="s">
        <v>124</v>
      </c>
      <c r="K577" s="175" t="s">
        <v>65</v>
      </c>
      <c r="L577" s="180"/>
      <c r="M577" s="181" t="s">
        <v>88</v>
      </c>
      <c r="N577" s="175" t="s">
        <v>40</v>
      </c>
      <c r="O577" s="175" t="s">
        <v>42</v>
      </c>
      <c r="P577" s="177" t="s">
        <v>3566</v>
      </c>
      <c r="Q577" s="175" t="s">
        <v>44</v>
      </c>
      <c r="R577" s="175"/>
      <c r="S577" s="180"/>
      <c r="T577" s="177"/>
      <c r="U577" s="175"/>
      <c r="V577" s="175"/>
    </row>
    <row r="578">
      <c r="A578" s="175">
        <v>578.0</v>
      </c>
      <c r="B578" s="176">
        <v>46189.0</v>
      </c>
      <c r="C578" s="175" t="s">
        <v>58</v>
      </c>
      <c r="D578" s="175" t="s">
        <v>60</v>
      </c>
      <c r="E578" s="175" t="s">
        <v>27</v>
      </c>
      <c r="F578" s="178">
        <v>5.51049227E8</v>
      </c>
      <c r="G578" s="175" t="s">
        <v>27</v>
      </c>
      <c r="H578" s="175" t="s">
        <v>27</v>
      </c>
      <c r="I578" s="289" t="s">
        <v>6769</v>
      </c>
      <c r="J578" s="177" t="s">
        <v>124</v>
      </c>
      <c r="K578" s="175" t="s">
        <v>65</v>
      </c>
      <c r="L578" s="180"/>
      <c r="M578" s="181" t="s">
        <v>88</v>
      </c>
      <c r="N578" s="175" t="s">
        <v>40</v>
      </c>
      <c r="O578" s="175" t="s">
        <v>42</v>
      </c>
      <c r="P578" s="177" t="s">
        <v>3566</v>
      </c>
      <c r="Q578" s="175" t="s">
        <v>44</v>
      </c>
      <c r="R578" s="175"/>
      <c r="S578" s="180"/>
      <c r="T578" s="177"/>
      <c r="U578" s="175"/>
      <c r="V578" s="175"/>
    </row>
    <row r="579">
      <c r="A579" s="175">
        <v>579.0</v>
      </c>
      <c r="B579" s="176">
        <v>46189.0</v>
      </c>
      <c r="C579" s="175" t="s">
        <v>58</v>
      </c>
      <c r="D579" s="175" t="s">
        <v>60</v>
      </c>
      <c r="E579" s="175" t="s">
        <v>27</v>
      </c>
      <c r="F579" s="178">
        <v>5.40547438E8</v>
      </c>
      <c r="G579" s="175" t="s">
        <v>27</v>
      </c>
      <c r="H579" s="175" t="s">
        <v>27</v>
      </c>
      <c r="I579" s="289" t="s">
        <v>6771</v>
      </c>
      <c r="J579" s="177" t="s">
        <v>124</v>
      </c>
      <c r="K579" s="175" t="s">
        <v>65</v>
      </c>
      <c r="L579" s="180"/>
      <c r="M579" s="181" t="s">
        <v>88</v>
      </c>
      <c r="N579" s="175" t="s">
        <v>40</v>
      </c>
      <c r="O579" s="175" t="s">
        <v>42</v>
      </c>
      <c r="P579" s="177" t="s">
        <v>3566</v>
      </c>
      <c r="Q579" s="175" t="s">
        <v>44</v>
      </c>
      <c r="R579" s="175"/>
      <c r="S579" s="180"/>
      <c r="T579" s="177"/>
      <c r="U579" s="175"/>
      <c r="V579" s="175"/>
    </row>
    <row r="580">
      <c r="A580" s="175">
        <v>580.0</v>
      </c>
      <c r="B580" s="176">
        <v>46189.0</v>
      </c>
      <c r="C580" s="175" t="s">
        <v>58</v>
      </c>
      <c r="D580" s="175" t="s">
        <v>60</v>
      </c>
      <c r="E580" s="177" t="s">
        <v>6772</v>
      </c>
      <c r="F580" s="178">
        <v>5.0655598E8</v>
      </c>
      <c r="G580" s="177" t="s">
        <v>41</v>
      </c>
      <c r="H580" s="175" t="s">
        <v>27</v>
      </c>
      <c r="I580" s="179" t="s">
        <v>6773</v>
      </c>
      <c r="J580" s="177" t="s">
        <v>35</v>
      </c>
      <c r="K580" s="175" t="s">
        <v>62</v>
      </c>
      <c r="L580" s="180"/>
      <c r="M580" s="181" t="s">
        <v>88</v>
      </c>
      <c r="N580" s="175" t="s">
        <v>40</v>
      </c>
      <c r="O580" s="175" t="s">
        <v>42</v>
      </c>
      <c r="P580" s="177" t="s">
        <v>3566</v>
      </c>
      <c r="Q580" s="175" t="s">
        <v>44</v>
      </c>
      <c r="R580" s="175"/>
      <c r="S580" s="180"/>
      <c r="T580" s="177"/>
      <c r="U580" s="175"/>
      <c r="V580" s="175"/>
    </row>
    <row r="581">
      <c r="A581" s="175">
        <v>581.0</v>
      </c>
      <c r="B581" s="176">
        <v>46189.0</v>
      </c>
      <c r="C581" s="175" t="s">
        <v>58</v>
      </c>
      <c r="D581" s="175" t="s">
        <v>24</v>
      </c>
      <c r="E581" s="177" t="s">
        <v>6776</v>
      </c>
      <c r="F581" s="178">
        <v>5.96562619E8</v>
      </c>
      <c r="G581" s="177" t="s">
        <v>71</v>
      </c>
      <c r="H581" s="175" t="s">
        <v>27</v>
      </c>
      <c r="I581" s="179" t="s">
        <v>6777</v>
      </c>
      <c r="J581" s="177"/>
      <c r="K581" s="175" t="s">
        <v>62</v>
      </c>
      <c r="L581" s="180"/>
      <c r="M581" s="177" t="s">
        <v>88</v>
      </c>
      <c r="N581" s="175" t="s">
        <v>56</v>
      </c>
      <c r="O581" s="175" t="s">
        <v>42</v>
      </c>
      <c r="P581" s="177" t="s">
        <v>3566</v>
      </c>
      <c r="Q581" s="175" t="s">
        <v>44</v>
      </c>
      <c r="R581" s="175"/>
      <c r="S581" s="180"/>
      <c r="T581" s="177"/>
      <c r="U581" s="175"/>
      <c r="V581" s="175"/>
    </row>
    <row r="582">
      <c r="A582" s="175">
        <v>582.0</v>
      </c>
      <c r="B582" s="176">
        <v>46189.0</v>
      </c>
      <c r="C582" s="175" t="s">
        <v>21</v>
      </c>
      <c r="D582" s="175" t="s">
        <v>22</v>
      </c>
      <c r="E582" s="177" t="s">
        <v>6779</v>
      </c>
      <c r="F582" s="178">
        <v>5.68808888E8</v>
      </c>
      <c r="G582" s="177" t="s">
        <v>319</v>
      </c>
      <c r="H582" s="175" t="s">
        <v>27</v>
      </c>
      <c r="I582" s="179" t="s">
        <v>6781</v>
      </c>
      <c r="J582" s="177"/>
      <c r="K582" s="175" t="s">
        <v>62</v>
      </c>
      <c r="L582" s="180"/>
      <c r="M582" s="181" t="s">
        <v>125</v>
      </c>
      <c r="N582" s="175" t="s">
        <v>40</v>
      </c>
      <c r="O582" s="175" t="s">
        <v>42</v>
      </c>
      <c r="P582" s="177" t="s">
        <v>3566</v>
      </c>
      <c r="Q582" s="175" t="s">
        <v>44</v>
      </c>
      <c r="R582" s="175" t="s">
        <v>46</v>
      </c>
      <c r="S582" s="180"/>
      <c r="T582" s="177"/>
      <c r="U582" s="175"/>
      <c r="V582" s="175"/>
    </row>
    <row r="583">
      <c r="A583" s="175">
        <v>583.0</v>
      </c>
      <c r="B583" s="176">
        <v>46189.0</v>
      </c>
      <c r="C583" s="175" t="s">
        <v>58</v>
      </c>
      <c r="D583" s="175" t="s">
        <v>60</v>
      </c>
      <c r="E583" s="177" t="s">
        <v>2105</v>
      </c>
      <c r="F583" s="178">
        <v>5.51705575E8</v>
      </c>
      <c r="G583" s="177" t="s">
        <v>6783</v>
      </c>
      <c r="H583" s="175" t="s">
        <v>27</v>
      </c>
      <c r="I583" s="179" t="s">
        <v>6785</v>
      </c>
      <c r="J583" s="177"/>
      <c r="K583" s="175" t="s">
        <v>62</v>
      </c>
      <c r="L583" s="180"/>
      <c r="M583" s="181" t="s">
        <v>38</v>
      </c>
      <c r="N583" s="175" t="s">
        <v>40</v>
      </c>
      <c r="O583" s="175" t="s">
        <v>42</v>
      </c>
      <c r="P583" s="177" t="s">
        <v>3566</v>
      </c>
      <c r="Q583" s="175" t="s">
        <v>44</v>
      </c>
      <c r="R583" s="175"/>
      <c r="S583" s="180"/>
      <c r="T583" s="177"/>
      <c r="U583" s="175"/>
      <c r="V583" s="175"/>
    </row>
    <row r="584">
      <c r="A584" s="175">
        <v>584.0</v>
      </c>
      <c r="B584" s="176">
        <v>46189.0</v>
      </c>
      <c r="C584" s="175" t="s">
        <v>58</v>
      </c>
      <c r="D584" s="175" t="s">
        <v>60</v>
      </c>
      <c r="E584" s="177" t="s">
        <v>6787</v>
      </c>
      <c r="F584" s="178">
        <v>5.31470613E8</v>
      </c>
      <c r="G584" s="175" t="s">
        <v>27</v>
      </c>
      <c r="H584" s="175" t="s">
        <v>27</v>
      </c>
      <c r="I584" s="179" t="s">
        <v>6788</v>
      </c>
      <c r="J584" s="177"/>
      <c r="K584" s="175" t="s">
        <v>62</v>
      </c>
      <c r="L584" s="180"/>
      <c r="M584" s="181" t="s">
        <v>88</v>
      </c>
      <c r="N584" s="175" t="s">
        <v>40</v>
      </c>
      <c r="O584" s="175" t="s">
        <v>42</v>
      </c>
      <c r="P584" s="177" t="s">
        <v>3566</v>
      </c>
      <c r="Q584" s="175" t="s">
        <v>44</v>
      </c>
      <c r="R584" s="175"/>
      <c r="S584" s="180"/>
      <c r="T584" s="177"/>
      <c r="U584" s="175"/>
      <c r="V584" s="175"/>
    </row>
    <row r="585">
      <c r="A585" s="175">
        <v>585.0</v>
      </c>
      <c r="B585" s="176">
        <v>46189.0</v>
      </c>
      <c r="C585" s="175" t="s">
        <v>58</v>
      </c>
      <c r="D585" s="175" t="s">
        <v>60</v>
      </c>
      <c r="E585" s="175" t="s">
        <v>27</v>
      </c>
      <c r="F585" s="178">
        <v>5.04721274E8</v>
      </c>
      <c r="G585" s="175" t="s">
        <v>27</v>
      </c>
      <c r="H585" s="175" t="s">
        <v>27</v>
      </c>
      <c r="I585" s="179" t="s">
        <v>6477</v>
      </c>
      <c r="J585" s="177"/>
      <c r="K585" s="175" t="s">
        <v>62</v>
      </c>
      <c r="L585" s="180"/>
      <c r="M585" s="181" t="s">
        <v>38</v>
      </c>
      <c r="N585" s="175" t="s">
        <v>40</v>
      </c>
      <c r="O585" s="175" t="s">
        <v>42</v>
      </c>
      <c r="P585" s="177" t="s">
        <v>3566</v>
      </c>
      <c r="Q585" s="175" t="s">
        <v>44</v>
      </c>
      <c r="R585" s="175"/>
      <c r="S585" s="180"/>
      <c r="T585" s="177"/>
      <c r="U585" s="175"/>
      <c r="V585" s="175"/>
    </row>
    <row r="586">
      <c r="A586" s="175">
        <v>586.0</v>
      </c>
      <c r="B586" s="176">
        <v>46189.0</v>
      </c>
      <c r="C586" s="175" t="s">
        <v>58</v>
      </c>
      <c r="D586" s="175" t="s">
        <v>60</v>
      </c>
      <c r="E586" s="175" t="s">
        <v>27</v>
      </c>
      <c r="F586" s="178">
        <v>5.33131152E8</v>
      </c>
      <c r="G586" s="175" t="s">
        <v>27</v>
      </c>
      <c r="H586" s="175" t="s">
        <v>27</v>
      </c>
      <c r="I586" s="179" t="s">
        <v>298</v>
      </c>
      <c r="J586" s="177" t="s">
        <v>35</v>
      </c>
      <c r="K586" s="175" t="s">
        <v>62</v>
      </c>
      <c r="L586" s="180"/>
      <c r="M586" s="181" t="s">
        <v>88</v>
      </c>
      <c r="N586" s="175" t="s">
        <v>40</v>
      </c>
      <c r="O586" s="175" t="s">
        <v>42</v>
      </c>
      <c r="P586" s="177" t="s">
        <v>3566</v>
      </c>
      <c r="Q586" s="175" t="s">
        <v>44</v>
      </c>
      <c r="R586" s="175"/>
      <c r="S586" s="180"/>
      <c r="T586" s="177"/>
      <c r="U586" s="175"/>
      <c r="V586" s="175"/>
    </row>
    <row r="587">
      <c r="A587" s="175">
        <v>587.0</v>
      </c>
      <c r="B587" s="176">
        <v>46189.0</v>
      </c>
      <c r="C587" s="175" t="s">
        <v>58</v>
      </c>
      <c r="D587" s="175" t="s">
        <v>60</v>
      </c>
      <c r="E587" s="177" t="s">
        <v>6792</v>
      </c>
      <c r="F587" s="178">
        <v>5.59359353E8</v>
      </c>
      <c r="G587" s="175" t="s">
        <v>27</v>
      </c>
      <c r="H587" s="175" t="s">
        <v>27</v>
      </c>
      <c r="I587" s="179" t="s">
        <v>6793</v>
      </c>
      <c r="J587" s="177"/>
      <c r="K587" s="175" t="s">
        <v>62</v>
      </c>
      <c r="L587" s="180"/>
      <c r="M587" s="181" t="s">
        <v>38</v>
      </c>
      <c r="N587" s="175" t="s">
        <v>40</v>
      </c>
      <c r="O587" s="175" t="s">
        <v>42</v>
      </c>
      <c r="P587" s="177" t="s">
        <v>3566</v>
      </c>
      <c r="Q587" s="175" t="s">
        <v>44</v>
      </c>
      <c r="R587" s="175"/>
      <c r="S587" s="180"/>
      <c r="T587" s="177"/>
      <c r="U587" s="175"/>
      <c r="V587" s="175"/>
    </row>
    <row r="588">
      <c r="A588" s="175">
        <v>588.0</v>
      </c>
      <c r="B588" s="176">
        <v>46189.0</v>
      </c>
      <c r="C588" s="175" t="s">
        <v>58</v>
      </c>
      <c r="D588" s="175" t="s">
        <v>60</v>
      </c>
      <c r="E588" s="177" t="s">
        <v>6796</v>
      </c>
      <c r="F588" s="178">
        <v>5.52661496E8</v>
      </c>
      <c r="G588" s="175" t="s">
        <v>27</v>
      </c>
      <c r="H588" s="175" t="s">
        <v>27</v>
      </c>
      <c r="I588" s="179" t="s">
        <v>6477</v>
      </c>
      <c r="J588" s="177"/>
      <c r="K588" s="175" t="s">
        <v>62</v>
      </c>
      <c r="L588" s="180"/>
      <c r="M588" s="181" t="s">
        <v>38</v>
      </c>
      <c r="N588" s="175" t="s">
        <v>40</v>
      </c>
      <c r="O588" s="175" t="s">
        <v>42</v>
      </c>
      <c r="P588" s="177" t="s">
        <v>3566</v>
      </c>
      <c r="Q588" s="175" t="s">
        <v>44</v>
      </c>
      <c r="R588" s="175"/>
      <c r="S588" s="180"/>
      <c r="T588" s="177"/>
      <c r="U588" s="175"/>
      <c r="V588" s="175"/>
    </row>
    <row r="589">
      <c r="A589" s="175">
        <v>589.0</v>
      </c>
      <c r="B589" s="176">
        <v>46189.0</v>
      </c>
      <c r="C589" s="175" t="s">
        <v>58</v>
      </c>
      <c r="D589" s="175" t="s">
        <v>60</v>
      </c>
      <c r="E589" s="175" t="s">
        <v>27</v>
      </c>
      <c r="F589" s="178">
        <v>5.3486486E8</v>
      </c>
      <c r="G589" s="175" t="s">
        <v>27</v>
      </c>
      <c r="H589" s="175" t="s">
        <v>27</v>
      </c>
      <c r="I589" s="179" t="s">
        <v>6477</v>
      </c>
      <c r="J589" s="177"/>
      <c r="K589" s="175" t="s">
        <v>62</v>
      </c>
      <c r="L589" s="180"/>
      <c r="M589" s="181" t="s">
        <v>38</v>
      </c>
      <c r="N589" s="175" t="s">
        <v>40</v>
      </c>
      <c r="O589" s="175" t="s">
        <v>42</v>
      </c>
      <c r="P589" s="177" t="s">
        <v>3566</v>
      </c>
      <c r="Q589" s="175" t="s">
        <v>44</v>
      </c>
      <c r="R589" s="175"/>
      <c r="S589" s="180"/>
      <c r="T589" s="177"/>
      <c r="U589" s="175"/>
      <c r="V589" s="175"/>
    </row>
    <row r="590">
      <c r="A590" s="175">
        <v>590.0</v>
      </c>
      <c r="B590" s="176">
        <v>46189.0</v>
      </c>
      <c r="C590" s="175" t="s">
        <v>58</v>
      </c>
      <c r="D590" s="175" t="s">
        <v>60</v>
      </c>
      <c r="E590" s="175" t="s">
        <v>439</v>
      </c>
      <c r="F590" s="178">
        <v>5.99181907E8</v>
      </c>
      <c r="G590" s="175" t="s">
        <v>27</v>
      </c>
      <c r="H590" s="175" t="s">
        <v>27</v>
      </c>
      <c r="I590" s="179" t="s">
        <v>6803</v>
      </c>
      <c r="J590" s="177" t="s">
        <v>6805</v>
      </c>
      <c r="K590" s="175" t="s">
        <v>62</v>
      </c>
      <c r="L590" s="180"/>
      <c r="M590" s="181" t="s">
        <v>88</v>
      </c>
      <c r="N590" s="175" t="s">
        <v>40</v>
      </c>
      <c r="O590" s="175" t="s">
        <v>42</v>
      </c>
      <c r="P590" s="177" t="s">
        <v>3566</v>
      </c>
      <c r="Q590" s="175" t="s">
        <v>44</v>
      </c>
      <c r="R590" s="175"/>
      <c r="S590" s="180"/>
      <c r="T590" s="177"/>
      <c r="U590" s="175"/>
      <c r="V590" s="175"/>
    </row>
    <row r="591">
      <c r="A591" s="175">
        <v>591.0</v>
      </c>
      <c r="B591" s="176">
        <v>46189.0</v>
      </c>
      <c r="C591" s="175" t="s">
        <v>58</v>
      </c>
      <c r="D591" s="175" t="s">
        <v>60</v>
      </c>
      <c r="E591" s="177" t="s">
        <v>6807</v>
      </c>
      <c r="F591" s="178">
        <v>5.95959202E8</v>
      </c>
      <c r="G591" s="175" t="s">
        <v>27</v>
      </c>
      <c r="H591" s="175" t="s">
        <v>27</v>
      </c>
      <c r="I591" s="179" t="s">
        <v>6793</v>
      </c>
      <c r="J591" s="177"/>
      <c r="K591" s="175" t="s">
        <v>62</v>
      </c>
      <c r="L591" s="180"/>
      <c r="M591" s="181" t="s">
        <v>38</v>
      </c>
      <c r="N591" s="175" t="s">
        <v>40</v>
      </c>
      <c r="O591" s="175" t="s">
        <v>42</v>
      </c>
      <c r="P591" s="177" t="s">
        <v>3566</v>
      </c>
      <c r="Q591" s="175" t="s">
        <v>44</v>
      </c>
      <c r="R591" s="175"/>
      <c r="S591" s="180"/>
      <c r="T591" s="177"/>
      <c r="U591" s="175"/>
      <c r="V591" s="175"/>
    </row>
    <row r="592">
      <c r="A592" s="175">
        <v>592.0</v>
      </c>
      <c r="B592" s="176">
        <v>46189.0</v>
      </c>
      <c r="C592" s="175" t="s">
        <v>58</v>
      </c>
      <c r="D592" s="175" t="s">
        <v>60</v>
      </c>
      <c r="E592" s="177" t="s">
        <v>3231</v>
      </c>
      <c r="F592" s="178">
        <v>5.42570018E8</v>
      </c>
      <c r="G592" s="175" t="s">
        <v>27</v>
      </c>
      <c r="H592" s="175" t="s">
        <v>27</v>
      </c>
      <c r="I592" s="179" t="s">
        <v>298</v>
      </c>
      <c r="J592" s="177"/>
      <c r="K592" s="175" t="s">
        <v>62</v>
      </c>
      <c r="L592" s="180"/>
      <c r="M592" s="181" t="s">
        <v>88</v>
      </c>
      <c r="N592" s="175" t="s">
        <v>40</v>
      </c>
      <c r="O592" s="175" t="s">
        <v>42</v>
      </c>
      <c r="P592" s="177" t="s">
        <v>3566</v>
      </c>
      <c r="Q592" s="175" t="s">
        <v>44</v>
      </c>
      <c r="R592" s="175"/>
      <c r="S592" s="180"/>
      <c r="T592" s="177"/>
      <c r="U592" s="175"/>
      <c r="V592" s="175"/>
    </row>
    <row r="593">
      <c r="A593" s="175">
        <v>593.0</v>
      </c>
      <c r="B593" s="176">
        <v>46189.0</v>
      </c>
      <c r="C593" s="175" t="s">
        <v>58</v>
      </c>
      <c r="D593" s="175" t="s">
        <v>60</v>
      </c>
      <c r="E593" s="177" t="s">
        <v>6810</v>
      </c>
      <c r="F593" s="178">
        <v>5.51168994E8</v>
      </c>
      <c r="G593" s="175" t="s">
        <v>27</v>
      </c>
      <c r="H593" s="175" t="s">
        <v>27</v>
      </c>
      <c r="I593" s="179" t="s">
        <v>6811</v>
      </c>
      <c r="J593" s="177" t="s">
        <v>6812</v>
      </c>
      <c r="K593" s="175" t="s">
        <v>62</v>
      </c>
      <c r="L593" s="180"/>
      <c r="M593" s="181" t="s">
        <v>88</v>
      </c>
      <c r="N593" s="175" t="s">
        <v>40</v>
      </c>
      <c r="O593" s="175" t="s">
        <v>42</v>
      </c>
      <c r="P593" s="177" t="s">
        <v>3566</v>
      </c>
      <c r="Q593" s="175" t="s">
        <v>44</v>
      </c>
      <c r="R593" s="175"/>
      <c r="S593" s="180"/>
      <c r="T593" s="177"/>
      <c r="U593" s="175"/>
      <c r="V593" s="175"/>
    </row>
    <row r="594">
      <c r="A594" s="175">
        <v>594.0</v>
      </c>
      <c r="B594" s="176">
        <v>46189.0</v>
      </c>
      <c r="C594" s="175" t="s">
        <v>58</v>
      </c>
      <c r="D594" s="175" t="s">
        <v>60</v>
      </c>
      <c r="E594" s="175" t="s">
        <v>27</v>
      </c>
      <c r="F594" s="178">
        <v>5.02067049E8</v>
      </c>
      <c r="G594" s="175" t="s">
        <v>27</v>
      </c>
      <c r="H594" s="175" t="s">
        <v>27</v>
      </c>
      <c r="I594" s="179" t="s">
        <v>6815</v>
      </c>
      <c r="J594" s="177" t="s">
        <v>2806</v>
      </c>
      <c r="K594" s="175" t="s">
        <v>36</v>
      </c>
      <c r="L594" s="180"/>
      <c r="M594" s="181" t="s">
        <v>88</v>
      </c>
      <c r="N594" s="175" t="s">
        <v>40</v>
      </c>
      <c r="O594" s="175" t="s">
        <v>42</v>
      </c>
      <c r="P594" s="177" t="s">
        <v>3566</v>
      </c>
      <c r="Q594" s="175" t="s">
        <v>44</v>
      </c>
      <c r="R594" s="175"/>
      <c r="S594" s="180"/>
      <c r="T594" s="177"/>
      <c r="U594" s="175"/>
      <c r="V594" s="175"/>
    </row>
    <row r="595">
      <c r="A595" s="26">
        <v>595.0</v>
      </c>
      <c r="B595" s="188">
        <v>46189.0</v>
      </c>
      <c r="C595" s="26" t="s">
        <v>47</v>
      </c>
      <c r="D595" s="26" t="s">
        <v>48</v>
      </c>
      <c r="E595" s="27" t="s">
        <v>751</v>
      </c>
      <c r="F595" s="21">
        <v>5.0410882E8</v>
      </c>
      <c r="G595" s="27" t="s">
        <v>152</v>
      </c>
      <c r="H595" s="26" t="s">
        <v>272</v>
      </c>
      <c r="I595" s="179" t="s">
        <v>6819</v>
      </c>
      <c r="J595" s="27" t="s">
        <v>6820</v>
      </c>
      <c r="K595" s="26" t="s">
        <v>36</v>
      </c>
      <c r="L595" s="35">
        <v>0.4027777777777778</v>
      </c>
      <c r="M595" s="27" t="s">
        <v>611</v>
      </c>
      <c r="N595" s="26" t="s">
        <v>56</v>
      </c>
      <c r="O595" s="26" t="s">
        <v>518</v>
      </c>
      <c r="P595" s="27" t="s">
        <v>3765</v>
      </c>
      <c r="Q595" s="26" t="s">
        <v>44</v>
      </c>
      <c r="R595" s="26" t="s">
        <v>46</v>
      </c>
      <c r="S595" s="35">
        <v>0.3784722222222222</v>
      </c>
      <c r="T595" s="27" t="s">
        <v>3566</v>
      </c>
      <c r="U595" s="26" t="s">
        <v>44</v>
      </c>
      <c r="V595" s="26">
        <v>5.0</v>
      </c>
    </row>
    <row r="596">
      <c r="A596" s="175">
        <v>596.0</v>
      </c>
      <c r="B596" s="176">
        <v>46189.0</v>
      </c>
      <c r="C596" s="175" t="s">
        <v>21</v>
      </c>
      <c r="D596" s="175" t="s">
        <v>22</v>
      </c>
      <c r="E596" s="177" t="s">
        <v>6823</v>
      </c>
      <c r="F596" s="178">
        <v>5.58899347E8</v>
      </c>
      <c r="G596" s="177" t="s">
        <v>6825</v>
      </c>
      <c r="H596" s="175" t="s">
        <v>27</v>
      </c>
      <c r="I596" s="179" t="s">
        <v>6826</v>
      </c>
      <c r="J596" s="177"/>
      <c r="K596" s="175" t="s">
        <v>321</v>
      </c>
      <c r="L596" s="180"/>
      <c r="M596" s="177" t="s">
        <v>1389</v>
      </c>
      <c r="N596" s="175" t="s">
        <v>40</v>
      </c>
      <c r="O596" s="175" t="s">
        <v>42</v>
      </c>
      <c r="P596" s="177" t="s">
        <v>3566</v>
      </c>
      <c r="Q596" s="175" t="s">
        <v>49</v>
      </c>
      <c r="R596" s="175" t="s">
        <v>46</v>
      </c>
      <c r="S596" s="180"/>
      <c r="T596" s="177"/>
      <c r="U596" s="175"/>
      <c r="V596" s="175"/>
    </row>
    <row r="597" ht="20.25" customHeight="1">
      <c r="A597" s="175">
        <v>597.0</v>
      </c>
      <c r="B597" s="176">
        <v>46189.0</v>
      </c>
      <c r="C597" s="175" t="s">
        <v>21</v>
      </c>
      <c r="D597" s="175" t="s">
        <v>24</v>
      </c>
      <c r="E597" s="177" t="s">
        <v>1948</v>
      </c>
      <c r="F597" s="178">
        <v>5.56424228E8</v>
      </c>
      <c r="G597" s="177" t="s">
        <v>3774</v>
      </c>
      <c r="H597" s="175" t="s">
        <v>27</v>
      </c>
      <c r="I597" s="179" t="s">
        <v>6828</v>
      </c>
      <c r="J597" s="177"/>
      <c r="K597" s="175" t="s">
        <v>36</v>
      </c>
      <c r="L597" s="180"/>
      <c r="M597" s="177" t="s">
        <v>38</v>
      </c>
      <c r="N597" s="175" t="s">
        <v>56</v>
      </c>
      <c r="O597" s="175" t="s">
        <v>42</v>
      </c>
      <c r="P597" s="177" t="s">
        <v>3566</v>
      </c>
      <c r="Q597" s="175" t="s">
        <v>49</v>
      </c>
      <c r="R597" s="175" t="s">
        <v>46</v>
      </c>
      <c r="S597" s="180"/>
      <c r="T597" s="177"/>
      <c r="U597" s="175"/>
      <c r="V597" s="175"/>
    </row>
    <row r="598">
      <c r="A598" s="175">
        <v>598.0</v>
      </c>
      <c r="B598" s="176">
        <v>46189.0</v>
      </c>
      <c r="C598" s="175" t="s">
        <v>21</v>
      </c>
      <c r="D598" s="175" t="s">
        <v>34</v>
      </c>
      <c r="E598" s="177" t="s">
        <v>6831</v>
      </c>
      <c r="F598" s="178">
        <v>5.65507207E8</v>
      </c>
      <c r="G598" s="175" t="s">
        <v>27</v>
      </c>
      <c r="H598" s="175" t="s">
        <v>27</v>
      </c>
      <c r="I598" s="179" t="s">
        <v>896</v>
      </c>
      <c r="J598" s="177" t="s">
        <v>4417</v>
      </c>
      <c r="K598" s="175" t="s">
        <v>39</v>
      </c>
      <c r="L598" s="180">
        <v>0.4305555555555556</v>
      </c>
      <c r="M598" s="181" t="s">
        <v>51</v>
      </c>
      <c r="N598" s="175" t="s">
        <v>40</v>
      </c>
      <c r="O598" s="175" t="s">
        <v>42</v>
      </c>
      <c r="P598" s="177" t="s">
        <v>3566</v>
      </c>
      <c r="Q598" s="175" t="s">
        <v>44</v>
      </c>
      <c r="R598" s="175"/>
      <c r="S598" s="180"/>
      <c r="T598" s="177"/>
      <c r="U598" s="175" t="s">
        <v>44</v>
      </c>
      <c r="V598" s="175"/>
    </row>
    <row r="599">
      <c r="A599" s="175">
        <v>599.0</v>
      </c>
      <c r="B599" s="176">
        <v>46189.0</v>
      </c>
      <c r="C599" s="175" t="s">
        <v>21</v>
      </c>
      <c r="D599" s="175" t="s">
        <v>34</v>
      </c>
      <c r="E599" s="177" t="s">
        <v>5795</v>
      </c>
      <c r="F599" s="178">
        <v>5.46460603E8</v>
      </c>
      <c r="G599" s="175" t="s">
        <v>27</v>
      </c>
      <c r="H599" s="175" t="s">
        <v>27</v>
      </c>
      <c r="I599" s="179" t="s">
        <v>896</v>
      </c>
      <c r="J599" s="177" t="s">
        <v>4417</v>
      </c>
      <c r="K599" s="175" t="s">
        <v>39</v>
      </c>
      <c r="L599" s="180">
        <v>0.4305555555555556</v>
      </c>
      <c r="M599" s="181" t="s">
        <v>51</v>
      </c>
      <c r="N599" s="175" t="s">
        <v>40</v>
      </c>
      <c r="O599" s="175" t="s">
        <v>42</v>
      </c>
      <c r="P599" s="177" t="s">
        <v>3566</v>
      </c>
      <c r="Q599" s="175" t="s">
        <v>44</v>
      </c>
      <c r="R599" s="175"/>
      <c r="S599" s="180"/>
      <c r="T599" s="177"/>
      <c r="U599" s="175" t="s">
        <v>44</v>
      </c>
      <c r="V599" s="175"/>
    </row>
    <row r="600">
      <c r="A600" s="175">
        <v>600.0</v>
      </c>
      <c r="B600" s="176">
        <v>46189.0</v>
      </c>
      <c r="C600" s="175" t="s">
        <v>21</v>
      </c>
      <c r="D600" s="175" t="s">
        <v>34</v>
      </c>
      <c r="E600" s="177" t="s">
        <v>6838</v>
      </c>
      <c r="F600" s="178">
        <v>5.01075061E8</v>
      </c>
      <c r="G600" s="175" t="s">
        <v>27</v>
      </c>
      <c r="H600" s="175" t="s">
        <v>27</v>
      </c>
      <c r="I600" s="179" t="s">
        <v>6839</v>
      </c>
      <c r="J600" s="177" t="s">
        <v>4417</v>
      </c>
      <c r="K600" s="175" t="s">
        <v>39</v>
      </c>
      <c r="L600" s="180">
        <v>0.4305555555555556</v>
      </c>
      <c r="M600" s="181" t="s">
        <v>51</v>
      </c>
      <c r="N600" s="175" t="s">
        <v>40</v>
      </c>
      <c r="O600" s="175" t="s">
        <v>42</v>
      </c>
      <c r="P600" s="177" t="s">
        <v>3566</v>
      </c>
      <c r="Q600" s="175" t="s">
        <v>44</v>
      </c>
      <c r="R600" s="175"/>
      <c r="S600" s="180"/>
      <c r="T600" s="177"/>
      <c r="U600" s="175" t="s">
        <v>44</v>
      </c>
      <c r="V600" s="175"/>
    </row>
    <row r="601">
      <c r="A601" s="175">
        <v>601.0</v>
      </c>
      <c r="B601" s="176">
        <v>46189.0</v>
      </c>
      <c r="C601" s="175" t="s">
        <v>21</v>
      </c>
      <c r="D601" s="175" t="s">
        <v>34</v>
      </c>
      <c r="E601" s="177" t="s">
        <v>2635</v>
      </c>
      <c r="F601" s="178">
        <v>5.63405299E8</v>
      </c>
      <c r="G601" s="175" t="s">
        <v>27</v>
      </c>
      <c r="H601" s="175" t="s">
        <v>27</v>
      </c>
      <c r="I601" s="179" t="s">
        <v>6841</v>
      </c>
      <c r="J601" s="177" t="s">
        <v>4417</v>
      </c>
      <c r="K601" s="175" t="s">
        <v>39</v>
      </c>
      <c r="L601" s="180">
        <v>0.4305555555555556</v>
      </c>
      <c r="M601" s="181" t="s">
        <v>51</v>
      </c>
      <c r="N601" s="175" t="s">
        <v>40</v>
      </c>
      <c r="O601" s="175" t="s">
        <v>42</v>
      </c>
      <c r="P601" s="177" t="s">
        <v>3566</v>
      </c>
      <c r="Q601" s="175" t="s">
        <v>44</v>
      </c>
      <c r="R601" s="175"/>
      <c r="S601" s="180"/>
      <c r="T601" s="177"/>
      <c r="U601" s="175" t="s">
        <v>44</v>
      </c>
      <c r="V601" s="175"/>
    </row>
    <row r="602">
      <c r="A602" s="175">
        <v>602.0</v>
      </c>
      <c r="B602" s="176">
        <v>46189.0</v>
      </c>
      <c r="C602" s="175" t="s">
        <v>21</v>
      </c>
      <c r="D602" s="175" t="s">
        <v>34</v>
      </c>
      <c r="E602" s="177" t="s">
        <v>6844</v>
      </c>
      <c r="F602" s="178">
        <v>5.43517736E8</v>
      </c>
      <c r="G602" s="175" t="s">
        <v>27</v>
      </c>
      <c r="H602" s="175" t="s">
        <v>27</v>
      </c>
      <c r="I602" s="179" t="s">
        <v>6845</v>
      </c>
      <c r="J602" s="177" t="s">
        <v>4417</v>
      </c>
      <c r="K602" s="175" t="s">
        <v>39</v>
      </c>
      <c r="L602" s="180">
        <v>0.4305555555555556</v>
      </c>
      <c r="M602" s="181" t="s">
        <v>51</v>
      </c>
      <c r="N602" s="175" t="s">
        <v>40</v>
      </c>
      <c r="O602" s="175" t="s">
        <v>42</v>
      </c>
      <c r="P602" s="177" t="s">
        <v>3566</v>
      </c>
      <c r="Q602" s="175" t="s">
        <v>44</v>
      </c>
      <c r="R602" s="175"/>
      <c r="S602" s="180"/>
      <c r="T602" s="177"/>
      <c r="U602" s="175" t="s">
        <v>44</v>
      </c>
      <c r="V602" s="175"/>
    </row>
    <row r="603">
      <c r="A603" s="175">
        <v>603.0</v>
      </c>
      <c r="B603" s="176">
        <v>46189.0</v>
      </c>
      <c r="C603" s="175" t="s">
        <v>21</v>
      </c>
      <c r="D603" s="175" t="s">
        <v>34</v>
      </c>
      <c r="E603" s="177" t="s">
        <v>6847</v>
      </c>
      <c r="F603" s="178">
        <v>5.57514247E8</v>
      </c>
      <c r="G603" s="175" t="s">
        <v>27</v>
      </c>
      <c r="H603" s="175" t="s">
        <v>27</v>
      </c>
      <c r="I603" s="179" t="s">
        <v>6848</v>
      </c>
      <c r="J603" s="177" t="s">
        <v>4417</v>
      </c>
      <c r="K603" s="175" t="s">
        <v>39</v>
      </c>
      <c r="L603" s="180">
        <v>0.4305555555555556</v>
      </c>
      <c r="M603" s="181" t="s">
        <v>51</v>
      </c>
      <c r="N603" s="175" t="s">
        <v>40</v>
      </c>
      <c r="O603" s="175" t="s">
        <v>42</v>
      </c>
      <c r="P603" s="177" t="s">
        <v>3566</v>
      </c>
      <c r="Q603" s="175" t="s">
        <v>44</v>
      </c>
      <c r="R603" s="175"/>
      <c r="S603" s="180"/>
      <c r="T603" s="177"/>
      <c r="U603" s="175" t="s">
        <v>44</v>
      </c>
      <c r="V603" s="175"/>
    </row>
    <row r="604">
      <c r="A604" s="175">
        <v>604.0</v>
      </c>
      <c r="B604" s="176">
        <v>46189.0</v>
      </c>
      <c r="C604" s="175" t="s">
        <v>21</v>
      </c>
      <c r="D604" s="175" t="s">
        <v>34</v>
      </c>
      <c r="E604" s="177" t="s">
        <v>6853</v>
      </c>
      <c r="F604" s="178">
        <v>5.49960841E8</v>
      </c>
      <c r="G604" s="175" t="s">
        <v>27</v>
      </c>
      <c r="H604" s="175" t="s">
        <v>27</v>
      </c>
      <c r="I604" s="179" t="s">
        <v>6854</v>
      </c>
      <c r="J604" s="177" t="s">
        <v>4417</v>
      </c>
      <c r="K604" s="175" t="s">
        <v>39</v>
      </c>
      <c r="L604" s="180">
        <v>0.4305555555555556</v>
      </c>
      <c r="M604" s="181" t="s">
        <v>51</v>
      </c>
      <c r="N604" s="175" t="s">
        <v>40</v>
      </c>
      <c r="O604" s="175" t="s">
        <v>42</v>
      </c>
      <c r="P604" s="177" t="s">
        <v>3566</v>
      </c>
      <c r="Q604" s="175" t="s">
        <v>44</v>
      </c>
      <c r="R604" s="175"/>
      <c r="S604" s="180"/>
      <c r="T604" s="177"/>
      <c r="U604" s="175" t="s">
        <v>44</v>
      </c>
      <c r="V604" s="175"/>
    </row>
    <row r="605">
      <c r="A605" s="175">
        <v>605.0</v>
      </c>
      <c r="B605" s="176">
        <v>46189.0</v>
      </c>
      <c r="C605" s="175" t="s">
        <v>21</v>
      </c>
      <c r="D605" s="175" t="s">
        <v>34</v>
      </c>
      <c r="E605" s="177" t="s">
        <v>1310</v>
      </c>
      <c r="F605" s="178">
        <v>5.47934507E8</v>
      </c>
      <c r="G605" s="175" t="s">
        <v>27</v>
      </c>
      <c r="H605" s="175" t="s">
        <v>27</v>
      </c>
      <c r="I605" s="179" t="s">
        <v>6858</v>
      </c>
      <c r="J605" s="177" t="s">
        <v>4417</v>
      </c>
      <c r="K605" s="175" t="s">
        <v>39</v>
      </c>
      <c r="L605" s="180">
        <v>0.4305555555555556</v>
      </c>
      <c r="M605" s="181" t="s">
        <v>51</v>
      </c>
      <c r="N605" s="175" t="s">
        <v>40</v>
      </c>
      <c r="O605" s="175" t="s">
        <v>42</v>
      </c>
      <c r="P605" s="177" t="s">
        <v>3566</v>
      </c>
      <c r="Q605" s="175" t="s">
        <v>44</v>
      </c>
      <c r="R605" s="175"/>
      <c r="S605" s="180"/>
      <c r="T605" s="177"/>
      <c r="U605" s="175" t="s">
        <v>44</v>
      </c>
      <c r="V605" s="175"/>
    </row>
    <row r="606">
      <c r="A606" s="175">
        <v>606.0</v>
      </c>
      <c r="B606" s="176">
        <v>46189.0</v>
      </c>
      <c r="C606" s="175" t="s">
        <v>21</v>
      </c>
      <c r="D606" s="175" t="s">
        <v>34</v>
      </c>
      <c r="E606" s="175" t="s">
        <v>6863</v>
      </c>
      <c r="F606" s="178">
        <v>5.45481873E8</v>
      </c>
      <c r="G606" s="175" t="s">
        <v>27</v>
      </c>
      <c r="H606" s="175" t="s">
        <v>27</v>
      </c>
      <c r="I606" s="289" t="s">
        <v>6864</v>
      </c>
      <c r="J606" s="177" t="s">
        <v>4417</v>
      </c>
      <c r="K606" s="175" t="s">
        <v>39</v>
      </c>
      <c r="L606" s="180">
        <v>0.4305555555555556</v>
      </c>
      <c r="M606" s="181" t="s">
        <v>51</v>
      </c>
      <c r="N606" s="175" t="s">
        <v>40</v>
      </c>
      <c r="O606" s="175" t="s">
        <v>42</v>
      </c>
      <c r="P606" s="177" t="s">
        <v>3566</v>
      </c>
      <c r="Q606" s="175" t="s">
        <v>44</v>
      </c>
      <c r="R606" s="175"/>
      <c r="S606" s="180"/>
      <c r="T606" s="177"/>
      <c r="U606" s="175" t="s">
        <v>44</v>
      </c>
      <c r="V606" s="175"/>
    </row>
    <row r="607">
      <c r="A607" s="175">
        <v>607.0</v>
      </c>
      <c r="B607" s="176">
        <v>46189.0</v>
      </c>
      <c r="C607" s="175" t="s">
        <v>21</v>
      </c>
      <c r="D607" s="175" t="s">
        <v>34</v>
      </c>
      <c r="E607" s="177" t="s">
        <v>6867</v>
      </c>
      <c r="F607" s="178">
        <v>5.30166932E8</v>
      </c>
      <c r="G607" s="175" t="s">
        <v>27</v>
      </c>
      <c r="H607" s="175" t="s">
        <v>27</v>
      </c>
      <c r="I607" s="179" t="s">
        <v>6869</v>
      </c>
      <c r="J607" s="177" t="s">
        <v>4417</v>
      </c>
      <c r="K607" s="175" t="s">
        <v>39</v>
      </c>
      <c r="L607" s="180">
        <v>0.4305555555555556</v>
      </c>
      <c r="M607" s="181" t="s">
        <v>51</v>
      </c>
      <c r="N607" s="175" t="s">
        <v>40</v>
      </c>
      <c r="O607" s="175" t="s">
        <v>42</v>
      </c>
      <c r="P607" s="177" t="s">
        <v>3566</v>
      </c>
      <c r="Q607" s="175" t="s">
        <v>44</v>
      </c>
      <c r="R607" s="175"/>
      <c r="S607" s="180"/>
      <c r="T607" s="177"/>
      <c r="U607" s="175" t="s">
        <v>44</v>
      </c>
      <c r="V607" s="175"/>
    </row>
    <row r="608">
      <c r="A608" s="175">
        <v>608.0</v>
      </c>
      <c r="B608" s="176">
        <v>46189.0</v>
      </c>
      <c r="C608" s="175" t="s">
        <v>21</v>
      </c>
      <c r="D608" s="175" t="s">
        <v>34</v>
      </c>
      <c r="E608" s="177" t="s">
        <v>6873</v>
      </c>
      <c r="F608" s="178">
        <v>5.63534574E8</v>
      </c>
      <c r="G608" s="175" t="s">
        <v>27</v>
      </c>
      <c r="H608" s="175" t="s">
        <v>27</v>
      </c>
      <c r="I608" s="179" t="s">
        <v>6874</v>
      </c>
      <c r="J608" s="177" t="s">
        <v>4417</v>
      </c>
      <c r="K608" s="175" t="s">
        <v>39</v>
      </c>
      <c r="L608" s="180">
        <v>0.4305555555555556</v>
      </c>
      <c r="M608" s="181" t="s">
        <v>51</v>
      </c>
      <c r="N608" s="175" t="s">
        <v>40</v>
      </c>
      <c r="O608" s="175" t="s">
        <v>42</v>
      </c>
      <c r="P608" s="177" t="s">
        <v>3566</v>
      </c>
      <c r="Q608" s="175" t="s">
        <v>44</v>
      </c>
      <c r="R608" s="175"/>
      <c r="S608" s="180"/>
      <c r="T608" s="177"/>
      <c r="U608" s="175" t="s">
        <v>44</v>
      </c>
      <c r="V608" s="175"/>
    </row>
    <row r="609">
      <c r="A609" s="175">
        <v>609.0</v>
      </c>
      <c r="B609" s="176">
        <v>46189.0</v>
      </c>
      <c r="C609" s="175" t="s">
        <v>21</v>
      </c>
      <c r="D609" s="175" t="s">
        <v>34</v>
      </c>
      <c r="E609" s="177" t="s">
        <v>6875</v>
      </c>
      <c r="F609" s="178">
        <v>5.56151925E8</v>
      </c>
      <c r="G609" s="175" t="s">
        <v>27</v>
      </c>
      <c r="H609" s="175" t="s">
        <v>27</v>
      </c>
      <c r="I609" s="179" t="s">
        <v>6876</v>
      </c>
      <c r="J609" s="177" t="s">
        <v>4417</v>
      </c>
      <c r="K609" s="175" t="s">
        <v>39</v>
      </c>
      <c r="L609" s="180">
        <v>0.4305555555555556</v>
      </c>
      <c r="M609" s="181" t="s">
        <v>51</v>
      </c>
      <c r="N609" s="175" t="s">
        <v>40</v>
      </c>
      <c r="O609" s="175" t="s">
        <v>42</v>
      </c>
      <c r="P609" s="177" t="s">
        <v>3566</v>
      </c>
      <c r="Q609" s="175" t="s">
        <v>44</v>
      </c>
      <c r="R609" s="175"/>
      <c r="S609" s="180"/>
      <c r="T609" s="177"/>
      <c r="U609" s="175" t="s">
        <v>44</v>
      </c>
      <c r="V609" s="175"/>
    </row>
    <row r="610">
      <c r="A610" s="175">
        <v>610.0</v>
      </c>
      <c r="B610" s="176">
        <v>46189.0</v>
      </c>
      <c r="C610" s="175" t="s">
        <v>21</v>
      </c>
      <c r="D610" s="175" t="s">
        <v>34</v>
      </c>
      <c r="E610" s="177" t="s">
        <v>6878</v>
      </c>
      <c r="F610" s="178">
        <v>5.42160084E8</v>
      </c>
      <c r="G610" s="175" t="s">
        <v>27</v>
      </c>
      <c r="H610" s="175" t="s">
        <v>27</v>
      </c>
      <c r="I610" s="179" t="s">
        <v>896</v>
      </c>
      <c r="J610" s="177" t="s">
        <v>4417</v>
      </c>
      <c r="K610" s="175" t="s">
        <v>39</v>
      </c>
      <c r="L610" s="180">
        <v>0.4305555555555556</v>
      </c>
      <c r="M610" s="181" t="s">
        <v>51</v>
      </c>
      <c r="N610" s="175" t="s">
        <v>40</v>
      </c>
      <c r="O610" s="175" t="s">
        <v>42</v>
      </c>
      <c r="P610" s="177" t="s">
        <v>3566</v>
      </c>
      <c r="Q610" s="175" t="s">
        <v>44</v>
      </c>
      <c r="R610" s="175"/>
      <c r="S610" s="180"/>
      <c r="T610" s="177"/>
      <c r="U610" s="175" t="s">
        <v>44</v>
      </c>
      <c r="V610" s="175"/>
    </row>
    <row r="611">
      <c r="A611" s="175">
        <v>611.0</v>
      </c>
      <c r="B611" s="176">
        <v>46189.0</v>
      </c>
      <c r="C611" s="175" t="s">
        <v>21</v>
      </c>
      <c r="D611" s="175" t="s">
        <v>34</v>
      </c>
      <c r="E611" s="177" t="s">
        <v>6880</v>
      </c>
      <c r="F611" s="178">
        <v>5.66331609E8</v>
      </c>
      <c r="G611" s="175" t="s">
        <v>27</v>
      </c>
      <c r="H611" s="175" t="s">
        <v>27</v>
      </c>
      <c r="I611" s="179" t="s">
        <v>896</v>
      </c>
      <c r="J611" s="177" t="s">
        <v>4417</v>
      </c>
      <c r="K611" s="175" t="s">
        <v>39</v>
      </c>
      <c r="L611" s="180">
        <v>0.4305555555555556</v>
      </c>
      <c r="M611" s="181" t="s">
        <v>51</v>
      </c>
      <c r="N611" s="175" t="s">
        <v>40</v>
      </c>
      <c r="O611" s="175" t="s">
        <v>42</v>
      </c>
      <c r="P611" s="177" t="s">
        <v>3566</v>
      </c>
      <c r="Q611" s="175" t="s">
        <v>44</v>
      </c>
      <c r="R611" s="175"/>
      <c r="S611" s="180"/>
      <c r="T611" s="177"/>
      <c r="U611" s="175" t="s">
        <v>44</v>
      </c>
      <c r="V611" s="175"/>
    </row>
    <row r="612">
      <c r="A612" s="175">
        <v>612.0</v>
      </c>
      <c r="B612" s="176">
        <v>46189.0</v>
      </c>
      <c r="C612" s="175" t="s">
        <v>21</v>
      </c>
      <c r="D612" s="175" t="s">
        <v>34</v>
      </c>
      <c r="E612" s="177" t="s">
        <v>6883</v>
      </c>
      <c r="F612" s="178">
        <v>5.33357549E8</v>
      </c>
      <c r="G612" s="175" t="s">
        <v>27</v>
      </c>
      <c r="H612" s="175" t="s">
        <v>27</v>
      </c>
      <c r="I612" s="179" t="s">
        <v>6884</v>
      </c>
      <c r="J612" s="177" t="s">
        <v>4417</v>
      </c>
      <c r="K612" s="175" t="s">
        <v>39</v>
      </c>
      <c r="L612" s="180">
        <v>0.4305555555555556</v>
      </c>
      <c r="M612" s="181" t="s">
        <v>51</v>
      </c>
      <c r="N612" s="175" t="s">
        <v>40</v>
      </c>
      <c r="O612" s="175" t="s">
        <v>42</v>
      </c>
      <c r="P612" s="177" t="s">
        <v>3566</v>
      </c>
      <c r="Q612" s="175" t="s">
        <v>44</v>
      </c>
      <c r="R612" s="175"/>
      <c r="S612" s="180"/>
      <c r="T612" s="177"/>
      <c r="U612" s="175" t="s">
        <v>44</v>
      </c>
      <c r="V612" s="175"/>
    </row>
    <row r="613">
      <c r="A613" s="175">
        <v>613.0</v>
      </c>
      <c r="B613" s="176">
        <v>46189.0</v>
      </c>
      <c r="C613" s="175" t="s">
        <v>21</v>
      </c>
      <c r="D613" s="175" t="s">
        <v>34</v>
      </c>
      <c r="E613" s="177" t="s">
        <v>6887</v>
      </c>
      <c r="F613" s="178">
        <v>5.63585044E8</v>
      </c>
      <c r="G613" s="175" t="s">
        <v>27</v>
      </c>
      <c r="H613" s="175" t="s">
        <v>27</v>
      </c>
      <c r="I613" s="179" t="s">
        <v>6889</v>
      </c>
      <c r="J613" s="177" t="s">
        <v>4417</v>
      </c>
      <c r="K613" s="175" t="s">
        <v>39</v>
      </c>
      <c r="L613" s="180">
        <v>0.4305555555555556</v>
      </c>
      <c r="M613" s="181" t="s">
        <v>51</v>
      </c>
      <c r="N613" s="175" t="s">
        <v>40</v>
      </c>
      <c r="O613" s="175" t="s">
        <v>42</v>
      </c>
      <c r="P613" s="177" t="s">
        <v>3566</v>
      </c>
      <c r="Q613" s="175" t="s">
        <v>44</v>
      </c>
      <c r="R613" s="175"/>
      <c r="S613" s="180"/>
      <c r="T613" s="177"/>
      <c r="U613" s="175" t="s">
        <v>44</v>
      </c>
      <c r="V613" s="175"/>
    </row>
    <row r="614">
      <c r="A614" s="175">
        <v>614.0</v>
      </c>
      <c r="B614" s="176">
        <v>46189.0</v>
      </c>
      <c r="C614" s="175" t="s">
        <v>21</v>
      </c>
      <c r="D614" s="175" t="s">
        <v>34</v>
      </c>
      <c r="E614" s="175" t="s">
        <v>403</v>
      </c>
      <c r="F614" s="178">
        <v>5.6334514E8</v>
      </c>
      <c r="G614" s="175" t="s">
        <v>27</v>
      </c>
      <c r="H614" s="175" t="s">
        <v>27</v>
      </c>
      <c r="I614" s="179" t="s">
        <v>896</v>
      </c>
      <c r="J614" s="177" t="s">
        <v>4417</v>
      </c>
      <c r="K614" s="175" t="s">
        <v>39</v>
      </c>
      <c r="L614" s="180">
        <v>0.4305555555555556</v>
      </c>
      <c r="M614" s="181" t="s">
        <v>51</v>
      </c>
      <c r="N614" s="175" t="s">
        <v>40</v>
      </c>
      <c r="O614" s="175" t="s">
        <v>42</v>
      </c>
      <c r="P614" s="177" t="s">
        <v>3566</v>
      </c>
      <c r="Q614" s="175" t="s">
        <v>44</v>
      </c>
      <c r="R614" s="175"/>
      <c r="S614" s="180"/>
      <c r="T614" s="177"/>
      <c r="U614" s="175" t="s">
        <v>44</v>
      </c>
      <c r="V614" s="175"/>
    </row>
    <row r="615">
      <c r="A615" s="175">
        <v>615.0</v>
      </c>
      <c r="B615" s="176">
        <v>46189.0</v>
      </c>
      <c r="C615" s="175" t="s">
        <v>21</v>
      </c>
      <c r="D615" s="175" t="s">
        <v>34</v>
      </c>
      <c r="E615" s="177" t="s">
        <v>6893</v>
      </c>
      <c r="F615" s="178">
        <v>5.65875613E8</v>
      </c>
      <c r="G615" s="175" t="s">
        <v>27</v>
      </c>
      <c r="H615" s="175" t="s">
        <v>27</v>
      </c>
      <c r="I615" s="179" t="s">
        <v>896</v>
      </c>
      <c r="J615" s="177" t="s">
        <v>4417</v>
      </c>
      <c r="K615" s="175" t="s">
        <v>39</v>
      </c>
      <c r="L615" s="180">
        <v>0.4305555555555556</v>
      </c>
      <c r="M615" s="181" t="s">
        <v>51</v>
      </c>
      <c r="N615" s="175" t="s">
        <v>40</v>
      </c>
      <c r="O615" s="175" t="s">
        <v>42</v>
      </c>
      <c r="P615" s="177" t="s">
        <v>3566</v>
      </c>
      <c r="Q615" s="175" t="s">
        <v>44</v>
      </c>
      <c r="R615" s="175"/>
      <c r="S615" s="180"/>
      <c r="T615" s="177"/>
      <c r="U615" s="175" t="s">
        <v>44</v>
      </c>
      <c r="V615" s="175"/>
    </row>
    <row r="616">
      <c r="A616" s="175">
        <v>616.0</v>
      </c>
      <c r="B616" s="176">
        <v>46189.0</v>
      </c>
      <c r="C616" s="175" t="s">
        <v>21</v>
      </c>
      <c r="D616" s="175" t="s">
        <v>34</v>
      </c>
      <c r="E616" s="177" t="s">
        <v>6895</v>
      </c>
      <c r="F616" s="178">
        <v>5.44205587E8</v>
      </c>
      <c r="G616" s="175" t="s">
        <v>27</v>
      </c>
      <c r="H616" s="175" t="s">
        <v>27</v>
      </c>
      <c r="I616" s="179" t="s">
        <v>6896</v>
      </c>
      <c r="J616" s="177" t="s">
        <v>4417</v>
      </c>
      <c r="K616" s="175" t="s">
        <v>39</v>
      </c>
      <c r="L616" s="180">
        <v>0.4305555555555556</v>
      </c>
      <c r="M616" s="181" t="s">
        <v>51</v>
      </c>
      <c r="N616" s="175" t="s">
        <v>40</v>
      </c>
      <c r="O616" s="175" t="s">
        <v>42</v>
      </c>
      <c r="P616" s="177" t="s">
        <v>3566</v>
      </c>
      <c r="Q616" s="175" t="s">
        <v>44</v>
      </c>
      <c r="R616" s="175"/>
      <c r="S616" s="180"/>
      <c r="T616" s="177"/>
      <c r="U616" s="175" t="s">
        <v>44</v>
      </c>
      <c r="V616" s="175"/>
    </row>
    <row r="617">
      <c r="A617" s="175">
        <v>617.0</v>
      </c>
      <c r="B617" s="176">
        <v>46189.0</v>
      </c>
      <c r="C617" s="175" t="s">
        <v>21</v>
      </c>
      <c r="D617" s="175" t="s">
        <v>34</v>
      </c>
      <c r="E617" s="177" t="s">
        <v>6899</v>
      </c>
      <c r="F617" s="178">
        <v>5.32303363E8</v>
      </c>
      <c r="G617" s="175" t="s">
        <v>27</v>
      </c>
      <c r="H617" s="175" t="s">
        <v>27</v>
      </c>
      <c r="I617" s="179" t="s">
        <v>6900</v>
      </c>
      <c r="J617" s="177" t="s">
        <v>4417</v>
      </c>
      <c r="K617" s="175" t="s">
        <v>39</v>
      </c>
      <c r="L617" s="180">
        <v>0.4305555555555556</v>
      </c>
      <c r="M617" s="181" t="s">
        <v>51</v>
      </c>
      <c r="N617" s="175" t="s">
        <v>40</v>
      </c>
      <c r="O617" s="175" t="s">
        <v>42</v>
      </c>
      <c r="P617" s="177" t="s">
        <v>3566</v>
      </c>
      <c r="Q617" s="175" t="s">
        <v>44</v>
      </c>
      <c r="R617" s="175"/>
      <c r="S617" s="180"/>
      <c r="T617" s="177"/>
      <c r="U617" s="175" t="s">
        <v>44</v>
      </c>
      <c r="V617" s="175"/>
    </row>
    <row r="618">
      <c r="A618" s="175">
        <v>618.0</v>
      </c>
      <c r="B618" s="176">
        <v>46189.0</v>
      </c>
      <c r="C618" s="175" t="s">
        <v>21</v>
      </c>
      <c r="D618" s="175" t="s">
        <v>34</v>
      </c>
      <c r="E618" s="177" t="s">
        <v>6903</v>
      </c>
      <c r="F618" s="178">
        <v>5.49256578E8</v>
      </c>
      <c r="G618" s="175" t="s">
        <v>27</v>
      </c>
      <c r="H618" s="175" t="s">
        <v>27</v>
      </c>
      <c r="I618" s="179" t="s">
        <v>896</v>
      </c>
      <c r="J618" s="177" t="s">
        <v>4417</v>
      </c>
      <c r="K618" s="175" t="s">
        <v>39</v>
      </c>
      <c r="L618" s="180">
        <v>0.4305555555555556</v>
      </c>
      <c r="M618" s="181" t="s">
        <v>51</v>
      </c>
      <c r="N618" s="175" t="s">
        <v>40</v>
      </c>
      <c r="O618" s="175" t="s">
        <v>42</v>
      </c>
      <c r="P618" s="177" t="s">
        <v>3566</v>
      </c>
      <c r="Q618" s="175" t="s">
        <v>44</v>
      </c>
      <c r="R618" s="175"/>
      <c r="S618" s="180"/>
      <c r="T618" s="177"/>
      <c r="U618" s="175" t="s">
        <v>44</v>
      </c>
      <c r="V618" s="175"/>
    </row>
    <row r="619">
      <c r="A619" s="175">
        <v>619.0</v>
      </c>
      <c r="B619" s="176">
        <v>46189.0</v>
      </c>
      <c r="C619" s="175" t="s">
        <v>21</v>
      </c>
      <c r="D619" s="175" t="s">
        <v>34</v>
      </c>
      <c r="E619" s="177" t="s">
        <v>6907</v>
      </c>
      <c r="F619" s="178">
        <v>5.47053604E8</v>
      </c>
      <c r="G619" s="175" t="s">
        <v>27</v>
      </c>
      <c r="H619" s="175" t="s">
        <v>27</v>
      </c>
      <c r="I619" s="179" t="s">
        <v>896</v>
      </c>
      <c r="J619" s="177" t="s">
        <v>4417</v>
      </c>
      <c r="K619" s="175" t="s">
        <v>39</v>
      </c>
      <c r="L619" s="180">
        <v>0.4305555555555556</v>
      </c>
      <c r="M619" s="181" t="s">
        <v>51</v>
      </c>
      <c r="N619" s="175" t="s">
        <v>40</v>
      </c>
      <c r="O619" s="175" t="s">
        <v>42</v>
      </c>
      <c r="P619" s="177" t="s">
        <v>3566</v>
      </c>
      <c r="Q619" s="175" t="s">
        <v>44</v>
      </c>
      <c r="R619" s="175"/>
      <c r="S619" s="180"/>
      <c r="T619" s="177"/>
      <c r="U619" s="175" t="s">
        <v>44</v>
      </c>
      <c r="V619" s="175"/>
    </row>
    <row r="620">
      <c r="A620" s="175">
        <v>620.0</v>
      </c>
      <c r="B620" s="176">
        <v>46189.0</v>
      </c>
      <c r="C620" s="175" t="s">
        <v>21</v>
      </c>
      <c r="D620" s="175" t="s">
        <v>34</v>
      </c>
      <c r="E620" s="177" t="s">
        <v>6883</v>
      </c>
      <c r="F620" s="178">
        <v>5.33357549E8</v>
      </c>
      <c r="G620" s="175" t="s">
        <v>27</v>
      </c>
      <c r="H620" s="175" t="s">
        <v>27</v>
      </c>
      <c r="I620" s="179" t="s">
        <v>6910</v>
      </c>
      <c r="J620" s="177" t="s">
        <v>4417</v>
      </c>
      <c r="K620" s="175" t="s">
        <v>39</v>
      </c>
      <c r="L620" s="180">
        <v>0.4305555555555556</v>
      </c>
      <c r="M620" s="181" t="s">
        <v>51</v>
      </c>
      <c r="N620" s="175" t="s">
        <v>40</v>
      </c>
      <c r="O620" s="175" t="s">
        <v>42</v>
      </c>
      <c r="P620" s="177" t="s">
        <v>3566</v>
      </c>
      <c r="Q620" s="175" t="s">
        <v>44</v>
      </c>
      <c r="R620" s="175"/>
      <c r="S620" s="180"/>
      <c r="T620" s="177"/>
      <c r="U620" s="175" t="s">
        <v>44</v>
      </c>
      <c r="V620" s="175"/>
    </row>
    <row r="621">
      <c r="A621" s="175">
        <v>621.0</v>
      </c>
      <c r="B621" s="176">
        <v>46189.0</v>
      </c>
      <c r="C621" s="175" t="s">
        <v>21</v>
      </c>
      <c r="D621" s="175" t="s">
        <v>34</v>
      </c>
      <c r="E621" s="177" t="s">
        <v>6912</v>
      </c>
      <c r="F621" s="178">
        <v>5.61494567E8</v>
      </c>
      <c r="G621" s="175" t="s">
        <v>27</v>
      </c>
      <c r="H621" s="175" t="s">
        <v>27</v>
      </c>
      <c r="I621" s="179" t="s">
        <v>896</v>
      </c>
      <c r="J621" s="177" t="s">
        <v>4417</v>
      </c>
      <c r="K621" s="175" t="s">
        <v>39</v>
      </c>
      <c r="L621" s="180">
        <v>0.4305555555555556</v>
      </c>
      <c r="M621" s="181" t="s">
        <v>51</v>
      </c>
      <c r="N621" s="175" t="s">
        <v>40</v>
      </c>
      <c r="O621" s="175" t="s">
        <v>42</v>
      </c>
      <c r="P621" s="177" t="s">
        <v>3566</v>
      </c>
      <c r="Q621" s="175" t="s">
        <v>44</v>
      </c>
      <c r="R621" s="175"/>
      <c r="S621" s="180"/>
      <c r="T621" s="177"/>
      <c r="U621" s="175" t="s">
        <v>44</v>
      </c>
      <c r="V621" s="175"/>
    </row>
    <row r="622">
      <c r="A622" s="175">
        <v>622.0</v>
      </c>
      <c r="B622" s="176">
        <v>46189.0</v>
      </c>
      <c r="C622" s="175" t="s">
        <v>21</v>
      </c>
      <c r="D622" s="175" t="s">
        <v>34</v>
      </c>
      <c r="E622" s="177" t="s">
        <v>3346</v>
      </c>
      <c r="F622" s="178">
        <v>5.04104065E8</v>
      </c>
      <c r="G622" s="175" t="s">
        <v>27</v>
      </c>
      <c r="H622" s="175" t="s">
        <v>27</v>
      </c>
      <c r="I622" s="179" t="s">
        <v>6915</v>
      </c>
      <c r="J622" s="177" t="s">
        <v>4417</v>
      </c>
      <c r="K622" s="175" t="s">
        <v>39</v>
      </c>
      <c r="L622" s="180">
        <v>0.4305555555555556</v>
      </c>
      <c r="M622" s="181" t="s">
        <v>51</v>
      </c>
      <c r="N622" s="175" t="s">
        <v>40</v>
      </c>
      <c r="O622" s="175" t="s">
        <v>42</v>
      </c>
      <c r="P622" s="177" t="s">
        <v>3566</v>
      </c>
      <c r="Q622" s="175" t="s">
        <v>44</v>
      </c>
      <c r="R622" s="175"/>
      <c r="S622" s="180"/>
      <c r="T622" s="177"/>
      <c r="U622" s="175" t="s">
        <v>44</v>
      </c>
      <c r="V622" s="175"/>
    </row>
    <row r="623">
      <c r="A623" s="175">
        <v>623.0</v>
      </c>
      <c r="B623" s="176">
        <v>46189.0</v>
      </c>
      <c r="C623" s="175" t="s">
        <v>21</v>
      </c>
      <c r="D623" s="175" t="s">
        <v>34</v>
      </c>
      <c r="E623" s="177" t="s">
        <v>947</v>
      </c>
      <c r="F623" s="178">
        <v>5.44478968E8</v>
      </c>
      <c r="G623" s="175" t="s">
        <v>27</v>
      </c>
      <c r="H623" s="175" t="s">
        <v>27</v>
      </c>
      <c r="I623" s="179" t="s">
        <v>6920</v>
      </c>
      <c r="J623" s="177" t="s">
        <v>4417</v>
      </c>
      <c r="K623" s="175" t="s">
        <v>39</v>
      </c>
      <c r="L623" s="180">
        <v>0.4305555555555556</v>
      </c>
      <c r="M623" s="181" t="s">
        <v>51</v>
      </c>
      <c r="N623" s="175" t="s">
        <v>40</v>
      </c>
      <c r="O623" s="175" t="s">
        <v>42</v>
      </c>
      <c r="P623" s="177" t="s">
        <v>3566</v>
      </c>
      <c r="Q623" s="175" t="s">
        <v>44</v>
      </c>
      <c r="R623" s="175"/>
      <c r="S623" s="180"/>
      <c r="T623" s="177"/>
      <c r="U623" s="175" t="s">
        <v>44</v>
      </c>
      <c r="V623" s="175"/>
    </row>
    <row r="624">
      <c r="A624" s="175">
        <v>624.0</v>
      </c>
      <c r="B624" s="176">
        <v>46189.0</v>
      </c>
      <c r="C624" s="175" t="s">
        <v>21</v>
      </c>
      <c r="D624" s="175" t="s">
        <v>34</v>
      </c>
      <c r="E624" s="177" t="s">
        <v>6922</v>
      </c>
      <c r="F624" s="178">
        <v>5.65885076E8</v>
      </c>
      <c r="G624" s="175" t="s">
        <v>27</v>
      </c>
      <c r="H624" s="175" t="s">
        <v>27</v>
      </c>
      <c r="I624" s="179" t="s">
        <v>6923</v>
      </c>
      <c r="J624" s="177" t="s">
        <v>4417</v>
      </c>
      <c r="K624" s="175" t="s">
        <v>39</v>
      </c>
      <c r="L624" s="180">
        <v>0.4305555555555556</v>
      </c>
      <c r="M624" s="181" t="s">
        <v>51</v>
      </c>
      <c r="N624" s="175" t="s">
        <v>40</v>
      </c>
      <c r="O624" s="175" t="s">
        <v>42</v>
      </c>
      <c r="P624" s="177" t="s">
        <v>3566</v>
      </c>
      <c r="Q624" s="175" t="s">
        <v>44</v>
      </c>
      <c r="R624" s="175"/>
      <c r="S624" s="180"/>
      <c r="T624" s="177"/>
      <c r="U624" s="175" t="s">
        <v>44</v>
      </c>
      <c r="V624" s="175"/>
    </row>
    <row r="625">
      <c r="A625" s="175">
        <v>625.0</v>
      </c>
      <c r="B625" s="176">
        <v>46189.0</v>
      </c>
      <c r="C625" s="175" t="s">
        <v>21</v>
      </c>
      <c r="D625" s="175" t="s">
        <v>34</v>
      </c>
      <c r="E625" s="177" t="s">
        <v>6927</v>
      </c>
      <c r="F625" s="178">
        <v>5.66369857E8</v>
      </c>
      <c r="G625" s="175" t="s">
        <v>27</v>
      </c>
      <c r="H625" s="175" t="s">
        <v>27</v>
      </c>
      <c r="I625" s="179" t="s">
        <v>6928</v>
      </c>
      <c r="J625" s="177" t="s">
        <v>4417</v>
      </c>
      <c r="K625" s="175" t="s">
        <v>39</v>
      </c>
      <c r="L625" s="180">
        <v>0.4305555555555556</v>
      </c>
      <c r="M625" s="181" t="s">
        <v>51</v>
      </c>
      <c r="N625" s="175" t="s">
        <v>40</v>
      </c>
      <c r="O625" s="175" t="s">
        <v>42</v>
      </c>
      <c r="P625" s="177" t="s">
        <v>3566</v>
      </c>
      <c r="Q625" s="175" t="s">
        <v>44</v>
      </c>
      <c r="R625" s="175"/>
      <c r="S625" s="180"/>
      <c r="T625" s="177"/>
      <c r="U625" s="175" t="s">
        <v>44</v>
      </c>
      <c r="V625" s="175"/>
    </row>
    <row r="626">
      <c r="A626" s="175">
        <v>626.0</v>
      </c>
      <c r="B626" s="176">
        <v>46189.0</v>
      </c>
      <c r="C626" s="175" t="s">
        <v>21</v>
      </c>
      <c r="D626" s="175" t="s">
        <v>34</v>
      </c>
      <c r="E626" s="177" t="s">
        <v>6930</v>
      </c>
      <c r="F626" s="178">
        <v>5.56872829E8</v>
      </c>
      <c r="G626" s="175" t="s">
        <v>27</v>
      </c>
      <c r="H626" s="175" t="s">
        <v>27</v>
      </c>
      <c r="I626" s="179" t="s">
        <v>6931</v>
      </c>
      <c r="J626" s="177" t="s">
        <v>4417</v>
      </c>
      <c r="K626" s="175" t="s">
        <v>39</v>
      </c>
      <c r="L626" s="180">
        <v>0.4305555555555556</v>
      </c>
      <c r="M626" s="181" t="s">
        <v>51</v>
      </c>
      <c r="N626" s="175" t="s">
        <v>40</v>
      </c>
      <c r="O626" s="175" t="s">
        <v>42</v>
      </c>
      <c r="P626" s="177" t="s">
        <v>3566</v>
      </c>
      <c r="Q626" s="175" t="s">
        <v>44</v>
      </c>
      <c r="R626" s="175"/>
      <c r="S626" s="180"/>
      <c r="T626" s="177"/>
      <c r="U626" s="175" t="s">
        <v>44</v>
      </c>
      <c r="V626" s="175"/>
    </row>
    <row r="627">
      <c r="A627" s="175">
        <v>627.0</v>
      </c>
      <c r="B627" s="176">
        <v>46189.0</v>
      </c>
      <c r="C627" s="175" t="s">
        <v>21</v>
      </c>
      <c r="D627" s="175" t="s">
        <v>34</v>
      </c>
      <c r="E627" s="177" t="s">
        <v>6933</v>
      </c>
      <c r="F627" s="178">
        <v>5.64113889E8</v>
      </c>
      <c r="G627" s="175" t="s">
        <v>27</v>
      </c>
      <c r="H627" s="175" t="s">
        <v>27</v>
      </c>
      <c r="I627" s="179" t="s">
        <v>896</v>
      </c>
      <c r="J627" s="177" t="s">
        <v>4417</v>
      </c>
      <c r="K627" s="175" t="s">
        <v>39</v>
      </c>
      <c r="L627" s="180">
        <v>0.4305555555555556</v>
      </c>
      <c r="M627" s="181" t="s">
        <v>51</v>
      </c>
      <c r="N627" s="175" t="s">
        <v>40</v>
      </c>
      <c r="O627" s="175" t="s">
        <v>42</v>
      </c>
      <c r="P627" s="177" t="s">
        <v>3566</v>
      </c>
      <c r="Q627" s="175" t="s">
        <v>44</v>
      </c>
      <c r="R627" s="175"/>
      <c r="S627" s="180"/>
      <c r="T627" s="177"/>
      <c r="U627" s="175" t="s">
        <v>44</v>
      </c>
      <c r="V627" s="175"/>
    </row>
    <row r="628">
      <c r="A628" s="175">
        <v>628.0</v>
      </c>
      <c r="B628" s="176">
        <v>46189.0</v>
      </c>
      <c r="C628" s="175" t="s">
        <v>21</v>
      </c>
      <c r="D628" s="175" t="s">
        <v>34</v>
      </c>
      <c r="E628" s="177" t="s">
        <v>6936</v>
      </c>
      <c r="F628" s="178">
        <v>5.48872602E8</v>
      </c>
      <c r="G628" s="175" t="s">
        <v>27</v>
      </c>
      <c r="H628" s="175" t="s">
        <v>27</v>
      </c>
      <c r="I628" s="179" t="s">
        <v>6937</v>
      </c>
      <c r="J628" s="177" t="s">
        <v>4417</v>
      </c>
      <c r="K628" s="175" t="s">
        <v>39</v>
      </c>
      <c r="L628" s="180">
        <v>0.4305555555555556</v>
      </c>
      <c r="M628" s="181" t="s">
        <v>51</v>
      </c>
      <c r="N628" s="175" t="s">
        <v>40</v>
      </c>
      <c r="O628" s="175" t="s">
        <v>42</v>
      </c>
      <c r="P628" s="177" t="s">
        <v>3566</v>
      </c>
      <c r="Q628" s="175" t="s">
        <v>44</v>
      </c>
      <c r="R628" s="175"/>
      <c r="S628" s="180"/>
      <c r="T628" s="177"/>
      <c r="U628" s="175" t="s">
        <v>44</v>
      </c>
      <c r="V628" s="175"/>
    </row>
    <row r="629">
      <c r="A629" s="175">
        <v>629.0</v>
      </c>
      <c r="B629" s="176">
        <v>46189.0</v>
      </c>
      <c r="C629" s="175" t="s">
        <v>21</v>
      </c>
      <c r="D629" s="175" t="s">
        <v>34</v>
      </c>
      <c r="E629" s="177" t="s">
        <v>6942</v>
      </c>
      <c r="F629" s="178">
        <v>5.06572965E8</v>
      </c>
      <c r="G629" s="175" t="s">
        <v>27</v>
      </c>
      <c r="H629" s="175" t="s">
        <v>27</v>
      </c>
      <c r="I629" s="179" t="s">
        <v>6943</v>
      </c>
      <c r="J629" s="177" t="s">
        <v>4417</v>
      </c>
      <c r="K629" s="175" t="s">
        <v>39</v>
      </c>
      <c r="L629" s="180">
        <v>0.4305555555555556</v>
      </c>
      <c r="M629" s="181" t="s">
        <v>51</v>
      </c>
      <c r="N629" s="175" t="s">
        <v>40</v>
      </c>
      <c r="O629" s="175" t="s">
        <v>42</v>
      </c>
      <c r="P629" s="177" t="s">
        <v>3566</v>
      </c>
      <c r="Q629" s="175" t="s">
        <v>44</v>
      </c>
      <c r="R629" s="175"/>
      <c r="S629" s="180"/>
      <c r="T629" s="177"/>
      <c r="U629" s="175" t="s">
        <v>44</v>
      </c>
      <c r="V629" s="175"/>
    </row>
    <row r="630">
      <c r="A630" s="175">
        <v>630.0</v>
      </c>
      <c r="B630" s="176">
        <v>46189.0</v>
      </c>
      <c r="C630" s="175" t="s">
        <v>21</v>
      </c>
      <c r="D630" s="175" t="s">
        <v>34</v>
      </c>
      <c r="E630" s="177" t="s">
        <v>6944</v>
      </c>
      <c r="F630" s="178">
        <v>5.6533538E8</v>
      </c>
      <c r="G630" s="175" t="s">
        <v>27</v>
      </c>
      <c r="H630" s="175" t="s">
        <v>27</v>
      </c>
      <c r="I630" s="179" t="s">
        <v>6945</v>
      </c>
      <c r="J630" s="177" t="s">
        <v>4417</v>
      </c>
      <c r="K630" s="175" t="s">
        <v>39</v>
      </c>
      <c r="L630" s="180">
        <v>0.4305555555555556</v>
      </c>
      <c r="M630" s="181" t="s">
        <v>51</v>
      </c>
      <c r="N630" s="175" t="s">
        <v>40</v>
      </c>
      <c r="O630" s="175" t="s">
        <v>42</v>
      </c>
      <c r="P630" s="177" t="s">
        <v>3566</v>
      </c>
      <c r="Q630" s="175" t="s">
        <v>44</v>
      </c>
      <c r="R630" s="175"/>
      <c r="S630" s="180"/>
      <c r="T630" s="177"/>
      <c r="U630" s="175" t="s">
        <v>44</v>
      </c>
      <c r="V630" s="175"/>
    </row>
    <row r="631">
      <c r="A631" s="175">
        <v>631.0</v>
      </c>
      <c r="B631" s="176">
        <v>46189.0</v>
      </c>
      <c r="C631" s="175" t="s">
        <v>21</v>
      </c>
      <c r="D631" s="175" t="s">
        <v>34</v>
      </c>
      <c r="E631" s="177" t="s">
        <v>6946</v>
      </c>
      <c r="F631" s="178">
        <v>5.6270061E8</v>
      </c>
      <c r="G631" s="175" t="s">
        <v>27</v>
      </c>
      <c r="H631" s="175" t="s">
        <v>27</v>
      </c>
      <c r="I631" s="179" t="s">
        <v>6947</v>
      </c>
      <c r="J631" s="177" t="s">
        <v>4417</v>
      </c>
      <c r="K631" s="175" t="s">
        <v>39</v>
      </c>
      <c r="L631" s="180">
        <v>0.4305555555555556</v>
      </c>
      <c r="M631" s="181" t="s">
        <v>51</v>
      </c>
      <c r="N631" s="175" t="s">
        <v>40</v>
      </c>
      <c r="O631" s="175" t="s">
        <v>42</v>
      </c>
      <c r="P631" s="177" t="s">
        <v>3566</v>
      </c>
      <c r="Q631" s="175" t="s">
        <v>44</v>
      </c>
      <c r="R631" s="175"/>
      <c r="S631" s="180"/>
      <c r="T631" s="177"/>
      <c r="U631" s="175" t="s">
        <v>44</v>
      </c>
      <c r="V631" s="175"/>
    </row>
    <row r="632">
      <c r="A632" s="175">
        <v>632.0</v>
      </c>
      <c r="B632" s="176">
        <v>46189.0</v>
      </c>
      <c r="C632" s="175" t="s">
        <v>21</v>
      </c>
      <c r="D632" s="175" t="s">
        <v>34</v>
      </c>
      <c r="E632" s="177" t="s">
        <v>2493</v>
      </c>
      <c r="F632" s="178">
        <v>5.95220902E8</v>
      </c>
      <c r="G632" s="175" t="s">
        <v>27</v>
      </c>
      <c r="H632" s="175" t="s">
        <v>27</v>
      </c>
      <c r="I632" s="179" t="s">
        <v>6949</v>
      </c>
      <c r="J632" s="177" t="s">
        <v>4417</v>
      </c>
      <c r="K632" s="175" t="s">
        <v>39</v>
      </c>
      <c r="L632" s="180">
        <v>0.4305555555555556</v>
      </c>
      <c r="M632" s="181" t="s">
        <v>51</v>
      </c>
      <c r="N632" s="175" t="s">
        <v>40</v>
      </c>
      <c r="O632" s="175" t="s">
        <v>42</v>
      </c>
      <c r="P632" s="177" t="s">
        <v>3566</v>
      </c>
      <c r="Q632" s="175" t="s">
        <v>44</v>
      </c>
      <c r="R632" s="175"/>
      <c r="S632" s="180"/>
      <c r="T632" s="177"/>
      <c r="U632" s="175" t="s">
        <v>44</v>
      </c>
      <c r="V632" s="175"/>
    </row>
    <row r="633">
      <c r="A633" s="175">
        <v>633.0</v>
      </c>
      <c r="B633" s="176">
        <v>46189.0</v>
      </c>
      <c r="C633" s="175" t="s">
        <v>21</v>
      </c>
      <c r="D633" s="175" t="s">
        <v>34</v>
      </c>
      <c r="E633" s="177" t="s">
        <v>6952</v>
      </c>
      <c r="F633" s="178">
        <v>5.6727264E8</v>
      </c>
      <c r="G633" s="175" t="s">
        <v>27</v>
      </c>
      <c r="H633" s="175" t="s">
        <v>27</v>
      </c>
      <c r="I633" s="179" t="s">
        <v>6954</v>
      </c>
      <c r="J633" s="177" t="s">
        <v>4417</v>
      </c>
      <c r="K633" s="175" t="s">
        <v>39</v>
      </c>
      <c r="L633" s="180">
        <v>0.4305555555555556</v>
      </c>
      <c r="M633" s="181" t="s">
        <v>51</v>
      </c>
      <c r="N633" s="175" t="s">
        <v>40</v>
      </c>
      <c r="O633" s="175" t="s">
        <v>42</v>
      </c>
      <c r="P633" s="177" t="s">
        <v>3566</v>
      </c>
      <c r="Q633" s="175" t="s">
        <v>44</v>
      </c>
      <c r="R633" s="175"/>
      <c r="S633" s="180"/>
      <c r="T633" s="177"/>
      <c r="U633" s="175" t="s">
        <v>44</v>
      </c>
      <c r="V633" s="175"/>
    </row>
    <row r="634">
      <c r="A634" s="175">
        <v>634.0</v>
      </c>
      <c r="B634" s="176">
        <v>46189.0</v>
      </c>
      <c r="C634" s="175" t="s">
        <v>21</v>
      </c>
      <c r="D634" s="175" t="s">
        <v>34</v>
      </c>
      <c r="E634" s="177" t="s">
        <v>6957</v>
      </c>
      <c r="F634" s="178">
        <v>5.64755302E8</v>
      </c>
      <c r="G634" s="175" t="s">
        <v>27</v>
      </c>
      <c r="H634" s="175" t="s">
        <v>27</v>
      </c>
      <c r="I634" s="179" t="s">
        <v>6959</v>
      </c>
      <c r="J634" s="177" t="s">
        <v>4417</v>
      </c>
      <c r="K634" s="175" t="s">
        <v>39</v>
      </c>
      <c r="L634" s="180">
        <v>0.4305555555555556</v>
      </c>
      <c r="M634" s="181" t="s">
        <v>51</v>
      </c>
      <c r="N634" s="175" t="s">
        <v>40</v>
      </c>
      <c r="O634" s="175" t="s">
        <v>42</v>
      </c>
      <c r="P634" s="177" t="s">
        <v>3566</v>
      </c>
      <c r="Q634" s="175" t="s">
        <v>44</v>
      </c>
      <c r="R634" s="175"/>
      <c r="S634" s="180"/>
      <c r="T634" s="177"/>
      <c r="U634" s="175" t="s">
        <v>44</v>
      </c>
      <c r="V634" s="175"/>
    </row>
    <row r="635">
      <c r="A635" s="175">
        <v>635.0</v>
      </c>
      <c r="B635" s="176">
        <v>46189.0</v>
      </c>
      <c r="C635" s="175" t="s">
        <v>21</v>
      </c>
      <c r="D635" s="175" t="s">
        <v>34</v>
      </c>
      <c r="E635" s="177" t="s">
        <v>6960</v>
      </c>
      <c r="F635" s="178">
        <v>5.46563431E8</v>
      </c>
      <c r="G635" s="175" t="s">
        <v>27</v>
      </c>
      <c r="H635" s="175" t="s">
        <v>27</v>
      </c>
      <c r="I635" s="179" t="s">
        <v>896</v>
      </c>
      <c r="J635" s="177" t="s">
        <v>4417</v>
      </c>
      <c r="K635" s="175" t="s">
        <v>39</v>
      </c>
      <c r="L635" s="180">
        <v>0.4305555555555556</v>
      </c>
      <c r="M635" s="181" t="s">
        <v>51</v>
      </c>
      <c r="N635" s="175" t="s">
        <v>40</v>
      </c>
      <c r="O635" s="175" t="s">
        <v>42</v>
      </c>
      <c r="P635" s="177" t="s">
        <v>3566</v>
      </c>
      <c r="Q635" s="175" t="s">
        <v>44</v>
      </c>
      <c r="R635" s="175"/>
      <c r="S635" s="180"/>
      <c r="T635" s="177"/>
      <c r="U635" s="175" t="s">
        <v>44</v>
      </c>
      <c r="V635" s="175"/>
    </row>
    <row r="636">
      <c r="A636" s="175">
        <v>636.0</v>
      </c>
      <c r="B636" s="176">
        <v>46189.0</v>
      </c>
      <c r="C636" s="175" t="s">
        <v>21</v>
      </c>
      <c r="D636" s="175" t="s">
        <v>34</v>
      </c>
      <c r="E636" s="177" t="s">
        <v>6961</v>
      </c>
      <c r="F636" s="178">
        <v>5.37265327E8</v>
      </c>
      <c r="G636" s="175" t="s">
        <v>27</v>
      </c>
      <c r="H636" s="175" t="s">
        <v>27</v>
      </c>
      <c r="I636" s="179" t="s">
        <v>6963</v>
      </c>
      <c r="J636" s="177" t="s">
        <v>4417</v>
      </c>
      <c r="K636" s="175" t="s">
        <v>39</v>
      </c>
      <c r="L636" s="180">
        <v>0.4305555555555556</v>
      </c>
      <c r="M636" s="181" t="s">
        <v>51</v>
      </c>
      <c r="N636" s="175" t="s">
        <v>40</v>
      </c>
      <c r="O636" s="175" t="s">
        <v>42</v>
      </c>
      <c r="P636" s="177" t="s">
        <v>3566</v>
      </c>
      <c r="Q636" s="175" t="s">
        <v>44</v>
      </c>
      <c r="R636" s="175"/>
      <c r="S636" s="180"/>
      <c r="T636" s="177"/>
      <c r="U636" s="175" t="s">
        <v>44</v>
      </c>
      <c r="V636" s="175"/>
    </row>
    <row r="637">
      <c r="A637" s="175">
        <v>637.0</v>
      </c>
      <c r="B637" s="176">
        <v>46189.0</v>
      </c>
      <c r="C637" s="175" t="s">
        <v>21</v>
      </c>
      <c r="D637" s="175" t="s">
        <v>34</v>
      </c>
      <c r="E637" s="177" t="s">
        <v>6965</v>
      </c>
      <c r="F637" s="178">
        <v>5.46396086E8</v>
      </c>
      <c r="G637" s="175" t="s">
        <v>27</v>
      </c>
      <c r="H637" s="175" t="s">
        <v>27</v>
      </c>
      <c r="I637" s="179" t="s">
        <v>6967</v>
      </c>
      <c r="J637" s="177" t="s">
        <v>4417</v>
      </c>
      <c r="K637" s="175" t="s">
        <v>39</v>
      </c>
      <c r="L637" s="180">
        <v>0.4305555555555556</v>
      </c>
      <c r="M637" s="181" t="s">
        <v>51</v>
      </c>
      <c r="N637" s="175" t="s">
        <v>40</v>
      </c>
      <c r="O637" s="175" t="s">
        <v>42</v>
      </c>
      <c r="P637" s="177" t="s">
        <v>3566</v>
      </c>
      <c r="Q637" s="175" t="s">
        <v>44</v>
      </c>
      <c r="R637" s="175"/>
      <c r="S637" s="180"/>
      <c r="T637" s="177"/>
      <c r="U637" s="175" t="s">
        <v>44</v>
      </c>
      <c r="V637" s="175"/>
    </row>
    <row r="638">
      <c r="A638" s="175">
        <v>638.0</v>
      </c>
      <c r="B638" s="176">
        <v>46189.0</v>
      </c>
      <c r="C638" s="175" t="s">
        <v>21</v>
      </c>
      <c r="D638" s="175" t="s">
        <v>34</v>
      </c>
      <c r="E638" s="177" t="s">
        <v>275</v>
      </c>
      <c r="F638" s="178">
        <v>5.00552805E8</v>
      </c>
      <c r="G638" s="175" t="s">
        <v>27</v>
      </c>
      <c r="H638" s="175" t="s">
        <v>27</v>
      </c>
      <c r="I638" s="179" t="s">
        <v>6969</v>
      </c>
      <c r="J638" s="177" t="s">
        <v>4417</v>
      </c>
      <c r="K638" s="175" t="s">
        <v>39</v>
      </c>
      <c r="L638" s="180">
        <v>0.4305555555555556</v>
      </c>
      <c r="M638" s="181" t="s">
        <v>51</v>
      </c>
      <c r="N638" s="175" t="s">
        <v>40</v>
      </c>
      <c r="O638" s="175" t="s">
        <v>42</v>
      </c>
      <c r="P638" s="177" t="s">
        <v>3566</v>
      </c>
      <c r="Q638" s="175" t="s">
        <v>44</v>
      </c>
      <c r="R638" s="175"/>
      <c r="S638" s="180"/>
      <c r="T638" s="177"/>
      <c r="U638" s="175" t="s">
        <v>44</v>
      </c>
      <c r="V638" s="175"/>
    </row>
    <row r="639">
      <c r="A639" s="175">
        <v>639.0</v>
      </c>
      <c r="B639" s="176">
        <v>46189.0</v>
      </c>
      <c r="C639" s="175" t="s">
        <v>21</v>
      </c>
      <c r="D639" s="175" t="s">
        <v>34</v>
      </c>
      <c r="E639" s="177" t="s">
        <v>6973</v>
      </c>
      <c r="F639" s="178">
        <v>5.30789963E8</v>
      </c>
      <c r="G639" s="175" t="s">
        <v>27</v>
      </c>
      <c r="H639" s="175" t="s">
        <v>27</v>
      </c>
      <c r="I639" s="179" t="s">
        <v>6974</v>
      </c>
      <c r="J639" s="177" t="s">
        <v>4417</v>
      </c>
      <c r="K639" s="175" t="s">
        <v>39</v>
      </c>
      <c r="L639" s="180">
        <v>0.4305555555555556</v>
      </c>
      <c r="M639" s="181" t="s">
        <v>51</v>
      </c>
      <c r="N639" s="175" t="s">
        <v>40</v>
      </c>
      <c r="O639" s="175" t="s">
        <v>42</v>
      </c>
      <c r="P639" s="177" t="s">
        <v>3566</v>
      </c>
      <c r="Q639" s="175" t="s">
        <v>44</v>
      </c>
      <c r="R639" s="175"/>
      <c r="S639" s="180"/>
      <c r="T639" s="177"/>
      <c r="U639" s="175" t="s">
        <v>44</v>
      </c>
      <c r="V639" s="175"/>
    </row>
    <row r="640">
      <c r="A640" s="175">
        <v>640.0</v>
      </c>
      <c r="B640" s="176">
        <v>46189.0</v>
      </c>
      <c r="C640" s="175" t="s">
        <v>21</v>
      </c>
      <c r="D640" s="175" t="s">
        <v>34</v>
      </c>
      <c r="E640" s="177" t="s">
        <v>6977</v>
      </c>
      <c r="F640" s="178">
        <v>5.6282721E8</v>
      </c>
      <c r="G640" s="175" t="s">
        <v>27</v>
      </c>
      <c r="H640" s="175" t="s">
        <v>27</v>
      </c>
      <c r="I640" s="179" t="s">
        <v>6978</v>
      </c>
      <c r="J640" s="177" t="s">
        <v>4417</v>
      </c>
      <c r="K640" s="175" t="s">
        <v>39</v>
      </c>
      <c r="L640" s="180">
        <v>0.4305555555555556</v>
      </c>
      <c r="M640" s="181" t="s">
        <v>51</v>
      </c>
      <c r="N640" s="175" t="s">
        <v>40</v>
      </c>
      <c r="O640" s="175" t="s">
        <v>42</v>
      </c>
      <c r="P640" s="177" t="s">
        <v>3566</v>
      </c>
      <c r="Q640" s="175" t="s">
        <v>44</v>
      </c>
      <c r="R640" s="175"/>
      <c r="S640" s="180"/>
      <c r="T640" s="177"/>
      <c r="U640" s="175" t="s">
        <v>44</v>
      </c>
      <c r="V640" s="175"/>
    </row>
    <row r="641">
      <c r="A641" s="175">
        <v>641.0</v>
      </c>
      <c r="B641" s="176">
        <v>46189.0</v>
      </c>
      <c r="C641" s="175" t="s">
        <v>21</v>
      </c>
      <c r="D641" s="175" t="s">
        <v>34</v>
      </c>
      <c r="E641" s="177" t="s">
        <v>6980</v>
      </c>
      <c r="F641" s="178">
        <v>5.07551832E8</v>
      </c>
      <c r="G641" s="175" t="s">
        <v>27</v>
      </c>
      <c r="H641" s="175" t="s">
        <v>27</v>
      </c>
      <c r="I641" s="179" t="s">
        <v>6982</v>
      </c>
      <c r="J641" s="177" t="s">
        <v>4417</v>
      </c>
      <c r="K641" s="175" t="s">
        <v>39</v>
      </c>
      <c r="L641" s="180">
        <v>0.4305555555555556</v>
      </c>
      <c r="M641" s="181" t="s">
        <v>51</v>
      </c>
      <c r="N641" s="175" t="s">
        <v>40</v>
      </c>
      <c r="O641" s="175" t="s">
        <v>42</v>
      </c>
      <c r="P641" s="177" t="s">
        <v>3566</v>
      </c>
      <c r="Q641" s="175" t="s">
        <v>44</v>
      </c>
      <c r="R641" s="175"/>
      <c r="S641" s="180"/>
      <c r="T641" s="177"/>
      <c r="U641" s="175" t="s">
        <v>44</v>
      </c>
      <c r="V641" s="175"/>
    </row>
    <row r="642">
      <c r="A642" s="175">
        <v>642.0</v>
      </c>
      <c r="B642" s="176">
        <v>46189.0</v>
      </c>
      <c r="C642" s="175" t="s">
        <v>21</v>
      </c>
      <c r="D642" s="175" t="s">
        <v>34</v>
      </c>
      <c r="E642" s="177" t="s">
        <v>6984</v>
      </c>
      <c r="F642" s="178">
        <v>5.67895888E8</v>
      </c>
      <c r="G642" s="175" t="s">
        <v>27</v>
      </c>
      <c r="H642" s="175" t="s">
        <v>27</v>
      </c>
      <c r="I642" s="179" t="s">
        <v>896</v>
      </c>
      <c r="J642" s="177" t="s">
        <v>4417</v>
      </c>
      <c r="K642" s="175" t="s">
        <v>39</v>
      </c>
      <c r="L642" s="180">
        <v>0.4305555555555556</v>
      </c>
      <c r="M642" s="181" t="s">
        <v>51</v>
      </c>
      <c r="N642" s="175" t="s">
        <v>40</v>
      </c>
      <c r="O642" s="175" t="s">
        <v>42</v>
      </c>
      <c r="P642" s="177" t="s">
        <v>3566</v>
      </c>
      <c r="Q642" s="175" t="s">
        <v>44</v>
      </c>
      <c r="R642" s="175"/>
      <c r="S642" s="180"/>
      <c r="T642" s="177"/>
      <c r="U642" s="175" t="s">
        <v>44</v>
      </c>
      <c r="V642" s="175"/>
    </row>
    <row r="643">
      <c r="A643" s="175">
        <v>643.0</v>
      </c>
      <c r="B643" s="176">
        <v>46189.0</v>
      </c>
      <c r="C643" s="175" t="s">
        <v>21</v>
      </c>
      <c r="D643" s="175" t="s">
        <v>34</v>
      </c>
      <c r="E643" s="177" t="s">
        <v>2635</v>
      </c>
      <c r="F643" s="178">
        <v>5.50533488E8</v>
      </c>
      <c r="G643" s="175" t="s">
        <v>27</v>
      </c>
      <c r="H643" s="175" t="s">
        <v>27</v>
      </c>
      <c r="I643" s="179" t="s">
        <v>6986</v>
      </c>
      <c r="J643" s="177" t="s">
        <v>4417</v>
      </c>
      <c r="K643" s="175" t="s">
        <v>39</v>
      </c>
      <c r="L643" s="180">
        <v>0.4305555555555556</v>
      </c>
      <c r="M643" s="181" t="s">
        <v>51</v>
      </c>
      <c r="N643" s="175" t="s">
        <v>40</v>
      </c>
      <c r="O643" s="175" t="s">
        <v>42</v>
      </c>
      <c r="P643" s="177" t="s">
        <v>3566</v>
      </c>
      <c r="Q643" s="175" t="s">
        <v>44</v>
      </c>
      <c r="R643" s="175"/>
      <c r="S643" s="180"/>
      <c r="T643" s="177"/>
      <c r="U643" s="175" t="s">
        <v>44</v>
      </c>
      <c r="V643" s="175"/>
    </row>
    <row r="644">
      <c r="A644" s="175">
        <v>644.0</v>
      </c>
      <c r="B644" s="176">
        <v>46189.0</v>
      </c>
      <c r="C644" s="175" t="s">
        <v>21</v>
      </c>
      <c r="D644" s="175" t="s">
        <v>34</v>
      </c>
      <c r="E644" s="177" t="s">
        <v>6990</v>
      </c>
      <c r="F644" s="178">
        <v>5.0717733E8</v>
      </c>
      <c r="G644" s="175" t="s">
        <v>27</v>
      </c>
      <c r="H644" s="175" t="s">
        <v>27</v>
      </c>
      <c r="I644" s="179" t="s">
        <v>6991</v>
      </c>
      <c r="J644" s="177" t="s">
        <v>4417</v>
      </c>
      <c r="K644" s="175" t="s">
        <v>39</v>
      </c>
      <c r="L644" s="180">
        <v>0.4305555555555556</v>
      </c>
      <c r="M644" s="181" t="s">
        <v>51</v>
      </c>
      <c r="N644" s="175" t="s">
        <v>40</v>
      </c>
      <c r="O644" s="175" t="s">
        <v>42</v>
      </c>
      <c r="P644" s="177" t="s">
        <v>3566</v>
      </c>
      <c r="Q644" s="175" t="s">
        <v>44</v>
      </c>
      <c r="R644" s="175"/>
      <c r="S644" s="180"/>
      <c r="T644" s="177"/>
      <c r="U644" s="175" t="s">
        <v>44</v>
      </c>
      <c r="V644" s="175"/>
    </row>
    <row r="645">
      <c r="A645" s="175">
        <v>645.0</v>
      </c>
      <c r="B645" s="176">
        <v>46189.0</v>
      </c>
      <c r="C645" s="175" t="s">
        <v>21</v>
      </c>
      <c r="D645" s="175" t="s">
        <v>34</v>
      </c>
      <c r="E645" s="177" t="s">
        <v>6995</v>
      </c>
      <c r="F645" s="178">
        <v>5.42986848E8</v>
      </c>
      <c r="G645" s="175" t="s">
        <v>27</v>
      </c>
      <c r="H645" s="175" t="s">
        <v>27</v>
      </c>
      <c r="I645" s="289" t="s">
        <v>6996</v>
      </c>
      <c r="J645" s="177" t="s">
        <v>4417</v>
      </c>
      <c r="K645" s="175" t="s">
        <v>39</v>
      </c>
      <c r="L645" s="180">
        <v>0.4305555555555556</v>
      </c>
      <c r="M645" s="181" t="s">
        <v>51</v>
      </c>
      <c r="N645" s="175" t="s">
        <v>40</v>
      </c>
      <c r="O645" s="175" t="s">
        <v>42</v>
      </c>
      <c r="P645" s="177" t="s">
        <v>3566</v>
      </c>
      <c r="Q645" s="175" t="s">
        <v>44</v>
      </c>
      <c r="R645" s="175"/>
      <c r="S645" s="180"/>
      <c r="T645" s="177"/>
      <c r="U645" s="175" t="s">
        <v>44</v>
      </c>
      <c r="V645" s="175"/>
    </row>
    <row r="646">
      <c r="A646" s="175">
        <v>646.0</v>
      </c>
      <c r="B646" s="176">
        <v>46189.0</v>
      </c>
      <c r="C646" s="175" t="s">
        <v>21</v>
      </c>
      <c r="D646" s="175" t="s">
        <v>34</v>
      </c>
      <c r="E646" s="177" t="s">
        <v>6999</v>
      </c>
      <c r="F646" s="178">
        <v>5.35822611E8</v>
      </c>
      <c r="G646" s="175" t="s">
        <v>27</v>
      </c>
      <c r="H646" s="175" t="s">
        <v>27</v>
      </c>
      <c r="I646" s="179" t="s">
        <v>7001</v>
      </c>
      <c r="J646" s="177" t="s">
        <v>4417</v>
      </c>
      <c r="K646" s="175" t="s">
        <v>39</v>
      </c>
      <c r="L646" s="180">
        <v>0.4305555555555556</v>
      </c>
      <c r="M646" s="181" t="s">
        <v>51</v>
      </c>
      <c r="N646" s="175" t="s">
        <v>40</v>
      </c>
      <c r="O646" s="175" t="s">
        <v>42</v>
      </c>
      <c r="P646" s="177" t="s">
        <v>3566</v>
      </c>
      <c r="Q646" s="175" t="s">
        <v>44</v>
      </c>
      <c r="R646" s="175"/>
      <c r="S646" s="180"/>
      <c r="T646" s="177"/>
      <c r="U646" s="175" t="s">
        <v>44</v>
      </c>
      <c r="V646" s="175"/>
    </row>
    <row r="647">
      <c r="A647" s="175">
        <v>647.0</v>
      </c>
      <c r="B647" s="176">
        <v>46189.0</v>
      </c>
      <c r="C647" s="175" t="s">
        <v>21</v>
      </c>
      <c r="D647" s="175" t="s">
        <v>34</v>
      </c>
      <c r="E647" s="177" t="s">
        <v>7003</v>
      </c>
      <c r="F647" s="178">
        <v>5.64442001E8</v>
      </c>
      <c r="G647" s="175" t="s">
        <v>27</v>
      </c>
      <c r="H647" s="175" t="s">
        <v>27</v>
      </c>
      <c r="I647" s="179" t="s">
        <v>7004</v>
      </c>
      <c r="J647" s="177" t="s">
        <v>4417</v>
      </c>
      <c r="K647" s="175" t="s">
        <v>39</v>
      </c>
      <c r="L647" s="180">
        <v>0.4305555555555556</v>
      </c>
      <c r="M647" s="181" t="s">
        <v>51</v>
      </c>
      <c r="N647" s="175" t="s">
        <v>40</v>
      </c>
      <c r="O647" s="175" t="s">
        <v>42</v>
      </c>
      <c r="P647" s="177" t="s">
        <v>3566</v>
      </c>
      <c r="Q647" s="175" t="s">
        <v>44</v>
      </c>
      <c r="R647" s="175"/>
      <c r="S647" s="180"/>
      <c r="T647" s="177"/>
      <c r="U647" s="175" t="s">
        <v>44</v>
      </c>
      <c r="V647" s="175"/>
    </row>
    <row r="648">
      <c r="A648" s="175">
        <v>648.0</v>
      </c>
      <c r="B648" s="176">
        <v>46189.0</v>
      </c>
      <c r="C648" s="175" t="s">
        <v>21</v>
      </c>
      <c r="D648" s="175" t="s">
        <v>34</v>
      </c>
      <c r="E648" s="177" t="s">
        <v>7006</v>
      </c>
      <c r="F648" s="178">
        <v>5.4621552E8</v>
      </c>
      <c r="G648" s="175" t="s">
        <v>27</v>
      </c>
      <c r="H648" s="175" t="s">
        <v>27</v>
      </c>
      <c r="I648" s="179" t="s">
        <v>7007</v>
      </c>
      <c r="J648" s="177" t="s">
        <v>4417</v>
      </c>
      <c r="K648" s="175" t="s">
        <v>39</v>
      </c>
      <c r="L648" s="180">
        <v>0.4305555555555556</v>
      </c>
      <c r="M648" s="181" t="s">
        <v>51</v>
      </c>
      <c r="N648" s="175" t="s">
        <v>40</v>
      </c>
      <c r="O648" s="175" t="s">
        <v>42</v>
      </c>
      <c r="P648" s="177" t="s">
        <v>3566</v>
      </c>
      <c r="Q648" s="175" t="s">
        <v>44</v>
      </c>
      <c r="R648" s="175"/>
      <c r="S648" s="180"/>
      <c r="T648" s="177"/>
      <c r="U648" s="175" t="s">
        <v>44</v>
      </c>
      <c r="V648" s="175"/>
    </row>
    <row r="649">
      <c r="A649" s="175">
        <v>649.0</v>
      </c>
      <c r="B649" s="176">
        <v>46189.0</v>
      </c>
      <c r="C649" s="175" t="s">
        <v>21</v>
      </c>
      <c r="D649" s="175" t="s">
        <v>34</v>
      </c>
      <c r="E649" s="177" t="s">
        <v>7012</v>
      </c>
      <c r="F649" s="178">
        <v>5.34749838E8</v>
      </c>
      <c r="G649" s="175" t="s">
        <v>27</v>
      </c>
      <c r="H649" s="175" t="s">
        <v>27</v>
      </c>
      <c r="I649" s="179" t="s">
        <v>7013</v>
      </c>
      <c r="J649" s="177" t="s">
        <v>4417</v>
      </c>
      <c r="K649" s="175" t="s">
        <v>39</v>
      </c>
      <c r="L649" s="180">
        <v>0.4305555555555556</v>
      </c>
      <c r="M649" s="181" t="s">
        <v>51</v>
      </c>
      <c r="N649" s="175" t="s">
        <v>40</v>
      </c>
      <c r="O649" s="175" t="s">
        <v>42</v>
      </c>
      <c r="P649" s="177" t="s">
        <v>3566</v>
      </c>
      <c r="Q649" s="175" t="s">
        <v>44</v>
      </c>
      <c r="R649" s="175"/>
      <c r="S649" s="180"/>
      <c r="T649" s="177"/>
      <c r="U649" s="175" t="s">
        <v>44</v>
      </c>
      <c r="V649" s="175"/>
    </row>
    <row r="650">
      <c r="A650" s="175">
        <v>650.0</v>
      </c>
      <c r="B650" s="176">
        <v>46189.0</v>
      </c>
      <c r="C650" s="175" t="s">
        <v>21</v>
      </c>
      <c r="D650" s="175" t="s">
        <v>34</v>
      </c>
      <c r="E650" s="177" t="s">
        <v>7016</v>
      </c>
      <c r="F650" s="178">
        <v>5.55852821E8</v>
      </c>
      <c r="G650" s="175" t="s">
        <v>27</v>
      </c>
      <c r="H650" s="175" t="s">
        <v>27</v>
      </c>
      <c r="I650" s="179" t="s">
        <v>7017</v>
      </c>
      <c r="J650" s="177" t="s">
        <v>4417</v>
      </c>
      <c r="K650" s="175" t="s">
        <v>39</v>
      </c>
      <c r="L650" s="180">
        <v>0.4305555555555556</v>
      </c>
      <c r="M650" s="181" t="s">
        <v>51</v>
      </c>
      <c r="N650" s="175" t="s">
        <v>40</v>
      </c>
      <c r="O650" s="175" t="s">
        <v>42</v>
      </c>
      <c r="P650" s="177" t="s">
        <v>3566</v>
      </c>
      <c r="Q650" s="175" t="s">
        <v>44</v>
      </c>
      <c r="R650" s="175"/>
      <c r="S650" s="180"/>
      <c r="T650" s="177"/>
      <c r="U650" s="175" t="s">
        <v>44</v>
      </c>
      <c r="V650" s="175"/>
    </row>
    <row r="651">
      <c r="A651" s="175">
        <v>651.0</v>
      </c>
      <c r="B651" s="176">
        <v>46189.0</v>
      </c>
      <c r="C651" s="175" t="s">
        <v>21</v>
      </c>
      <c r="D651" s="175" t="s">
        <v>34</v>
      </c>
      <c r="E651" s="177" t="s">
        <v>7019</v>
      </c>
      <c r="F651" s="178">
        <v>5.30751269E8</v>
      </c>
      <c r="G651" s="175" t="s">
        <v>27</v>
      </c>
      <c r="H651" s="175" t="s">
        <v>27</v>
      </c>
      <c r="I651" s="179" t="s">
        <v>7020</v>
      </c>
      <c r="J651" s="177" t="s">
        <v>4417</v>
      </c>
      <c r="K651" s="175" t="s">
        <v>39</v>
      </c>
      <c r="L651" s="180">
        <v>0.4305555555555556</v>
      </c>
      <c r="M651" s="181" t="s">
        <v>51</v>
      </c>
      <c r="N651" s="175" t="s">
        <v>40</v>
      </c>
      <c r="O651" s="175" t="s">
        <v>42</v>
      </c>
      <c r="P651" s="177" t="s">
        <v>3566</v>
      </c>
      <c r="Q651" s="175" t="s">
        <v>44</v>
      </c>
      <c r="R651" s="175"/>
      <c r="S651" s="180"/>
      <c r="T651" s="177"/>
      <c r="U651" s="175" t="s">
        <v>44</v>
      </c>
      <c r="V651" s="175"/>
    </row>
    <row r="652">
      <c r="A652" s="175">
        <v>652.0</v>
      </c>
      <c r="B652" s="176">
        <v>46189.0</v>
      </c>
      <c r="C652" s="175" t="s">
        <v>21</v>
      </c>
      <c r="D652" s="175" t="s">
        <v>34</v>
      </c>
      <c r="E652" s="177" t="s">
        <v>7022</v>
      </c>
      <c r="F652" s="178">
        <v>5.50850522E8</v>
      </c>
      <c r="G652" s="175" t="s">
        <v>27</v>
      </c>
      <c r="H652" s="175" t="s">
        <v>27</v>
      </c>
      <c r="I652" s="179" t="s">
        <v>7023</v>
      </c>
      <c r="J652" s="177" t="s">
        <v>4417</v>
      </c>
      <c r="K652" s="175" t="s">
        <v>39</v>
      </c>
      <c r="L652" s="180">
        <v>0.4305555555555556</v>
      </c>
      <c r="M652" s="181" t="s">
        <v>51</v>
      </c>
      <c r="N652" s="175" t="s">
        <v>40</v>
      </c>
      <c r="O652" s="175" t="s">
        <v>42</v>
      </c>
      <c r="P652" s="177" t="s">
        <v>3566</v>
      </c>
      <c r="Q652" s="175" t="s">
        <v>44</v>
      </c>
      <c r="R652" s="175"/>
      <c r="S652" s="180"/>
      <c r="T652" s="177"/>
      <c r="U652" s="175" t="s">
        <v>44</v>
      </c>
      <c r="V652" s="175"/>
    </row>
    <row r="653">
      <c r="A653" s="175">
        <v>653.0</v>
      </c>
      <c r="B653" s="176">
        <v>46189.0</v>
      </c>
      <c r="C653" s="175" t="s">
        <v>21</v>
      </c>
      <c r="D653" s="175" t="s">
        <v>34</v>
      </c>
      <c r="E653" s="177" t="s">
        <v>7026</v>
      </c>
      <c r="F653" s="178">
        <v>5.9501614E8</v>
      </c>
      <c r="G653" s="175" t="s">
        <v>27</v>
      </c>
      <c r="H653" s="175" t="s">
        <v>27</v>
      </c>
      <c r="I653" s="179" t="s">
        <v>7028</v>
      </c>
      <c r="J653" s="177" t="s">
        <v>4417</v>
      </c>
      <c r="K653" s="175" t="s">
        <v>39</v>
      </c>
      <c r="L653" s="180">
        <v>0.4305555555555556</v>
      </c>
      <c r="M653" s="181" t="s">
        <v>51</v>
      </c>
      <c r="N653" s="175" t="s">
        <v>40</v>
      </c>
      <c r="O653" s="175" t="s">
        <v>42</v>
      </c>
      <c r="P653" s="177" t="s">
        <v>3566</v>
      </c>
      <c r="Q653" s="175" t="s">
        <v>44</v>
      </c>
      <c r="R653" s="175"/>
      <c r="S653" s="180"/>
      <c r="T653" s="177"/>
      <c r="U653" s="175" t="s">
        <v>44</v>
      </c>
      <c r="V653" s="175"/>
    </row>
    <row r="654">
      <c r="A654" s="175">
        <v>654.0</v>
      </c>
      <c r="B654" s="176">
        <v>46189.0</v>
      </c>
      <c r="C654" s="175" t="s">
        <v>21</v>
      </c>
      <c r="D654" s="175" t="s">
        <v>34</v>
      </c>
      <c r="E654" s="177" t="s">
        <v>7031</v>
      </c>
      <c r="F654" s="178">
        <v>5.63749095E8</v>
      </c>
      <c r="G654" s="175" t="s">
        <v>27</v>
      </c>
      <c r="H654" s="175" t="s">
        <v>27</v>
      </c>
      <c r="I654" s="179" t="s">
        <v>896</v>
      </c>
      <c r="J654" s="177" t="s">
        <v>4417</v>
      </c>
      <c r="K654" s="175" t="s">
        <v>39</v>
      </c>
      <c r="L654" s="180">
        <v>0.4305555555555556</v>
      </c>
      <c r="M654" s="181" t="s">
        <v>51</v>
      </c>
      <c r="N654" s="175" t="s">
        <v>40</v>
      </c>
      <c r="O654" s="175" t="s">
        <v>42</v>
      </c>
      <c r="P654" s="177" t="s">
        <v>3566</v>
      </c>
      <c r="Q654" s="175" t="s">
        <v>44</v>
      </c>
      <c r="R654" s="175"/>
      <c r="S654" s="180"/>
      <c r="T654" s="177"/>
      <c r="U654" s="175" t="s">
        <v>44</v>
      </c>
      <c r="V654" s="175"/>
    </row>
    <row r="655">
      <c r="A655" s="175">
        <v>655.0</v>
      </c>
      <c r="B655" s="176">
        <v>46189.0</v>
      </c>
      <c r="C655" s="175" t="s">
        <v>21</v>
      </c>
      <c r="D655" s="175" t="s">
        <v>34</v>
      </c>
      <c r="E655" s="177" t="s">
        <v>7034</v>
      </c>
      <c r="F655" s="178">
        <v>5.04700122E8</v>
      </c>
      <c r="G655" s="175" t="s">
        <v>27</v>
      </c>
      <c r="H655" s="175" t="s">
        <v>27</v>
      </c>
      <c r="I655" s="179" t="s">
        <v>896</v>
      </c>
      <c r="J655" s="177" t="s">
        <v>4417</v>
      </c>
      <c r="K655" s="175" t="s">
        <v>39</v>
      </c>
      <c r="L655" s="180">
        <v>0.4305555555555556</v>
      </c>
      <c r="M655" s="181" t="s">
        <v>51</v>
      </c>
      <c r="N655" s="175" t="s">
        <v>40</v>
      </c>
      <c r="O655" s="175" t="s">
        <v>42</v>
      </c>
      <c r="P655" s="177" t="s">
        <v>3566</v>
      </c>
      <c r="Q655" s="175" t="s">
        <v>44</v>
      </c>
      <c r="R655" s="175"/>
      <c r="S655" s="180"/>
      <c r="T655" s="177"/>
      <c r="U655" s="175" t="s">
        <v>44</v>
      </c>
      <c r="V655" s="175"/>
    </row>
    <row r="656">
      <c r="A656" s="175">
        <v>656.0</v>
      </c>
      <c r="B656" s="176">
        <v>46189.0</v>
      </c>
      <c r="C656" s="175" t="s">
        <v>21</v>
      </c>
      <c r="D656" s="175" t="s">
        <v>34</v>
      </c>
      <c r="E656" s="177" t="s">
        <v>7037</v>
      </c>
      <c r="F656" s="178">
        <v>5.6944307E8</v>
      </c>
      <c r="G656" s="175" t="s">
        <v>27</v>
      </c>
      <c r="H656" s="175" t="s">
        <v>27</v>
      </c>
      <c r="I656" s="179" t="s">
        <v>7038</v>
      </c>
      <c r="J656" s="177" t="s">
        <v>4417</v>
      </c>
      <c r="K656" s="175" t="s">
        <v>39</v>
      </c>
      <c r="L656" s="180">
        <v>0.4305555555555556</v>
      </c>
      <c r="M656" s="181" t="s">
        <v>51</v>
      </c>
      <c r="N656" s="175" t="s">
        <v>40</v>
      </c>
      <c r="O656" s="175" t="s">
        <v>42</v>
      </c>
      <c r="P656" s="177" t="s">
        <v>3566</v>
      </c>
      <c r="Q656" s="175" t="s">
        <v>44</v>
      </c>
      <c r="R656" s="175"/>
      <c r="S656" s="180"/>
      <c r="T656" s="177"/>
      <c r="U656" s="175" t="s">
        <v>44</v>
      </c>
      <c r="V656" s="175"/>
    </row>
    <row r="657">
      <c r="A657" s="175">
        <v>657.0</v>
      </c>
      <c r="B657" s="176">
        <v>46189.0</v>
      </c>
      <c r="C657" s="175" t="s">
        <v>21</v>
      </c>
      <c r="D657" s="175" t="s">
        <v>34</v>
      </c>
      <c r="E657" s="177" t="s">
        <v>7041</v>
      </c>
      <c r="F657" s="178">
        <v>5.6272795E8</v>
      </c>
      <c r="G657" s="175" t="s">
        <v>27</v>
      </c>
      <c r="H657" s="175" t="s">
        <v>27</v>
      </c>
      <c r="I657" s="179" t="s">
        <v>7042</v>
      </c>
      <c r="J657" s="177" t="s">
        <v>4417</v>
      </c>
      <c r="K657" s="175" t="s">
        <v>39</v>
      </c>
      <c r="L657" s="180">
        <v>0.4305555555555556</v>
      </c>
      <c r="M657" s="181" t="s">
        <v>51</v>
      </c>
      <c r="N657" s="175" t="s">
        <v>40</v>
      </c>
      <c r="O657" s="175" t="s">
        <v>42</v>
      </c>
      <c r="P657" s="177" t="s">
        <v>3566</v>
      </c>
      <c r="Q657" s="175" t="s">
        <v>44</v>
      </c>
      <c r="R657" s="175"/>
      <c r="S657" s="180"/>
      <c r="T657" s="177"/>
      <c r="U657" s="175" t="s">
        <v>44</v>
      </c>
      <c r="V657" s="175"/>
    </row>
    <row r="658">
      <c r="A658" s="175">
        <v>658.0</v>
      </c>
      <c r="B658" s="176">
        <v>46189.0</v>
      </c>
      <c r="C658" s="175" t="s">
        <v>21</v>
      </c>
      <c r="D658" s="175" t="s">
        <v>34</v>
      </c>
      <c r="E658" s="177" t="s">
        <v>7045</v>
      </c>
      <c r="F658" s="178">
        <v>5.4128208E8</v>
      </c>
      <c r="G658" s="175" t="s">
        <v>27</v>
      </c>
      <c r="H658" s="175" t="s">
        <v>27</v>
      </c>
      <c r="I658" s="179" t="s">
        <v>7047</v>
      </c>
      <c r="J658" s="177" t="s">
        <v>4417</v>
      </c>
      <c r="K658" s="175" t="s">
        <v>39</v>
      </c>
      <c r="L658" s="180">
        <v>0.4305555555555556</v>
      </c>
      <c r="M658" s="181" t="s">
        <v>51</v>
      </c>
      <c r="N658" s="175" t="s">
        <v>40</v>
      </c>
      <c r="O658" s="175" t="s">
        <v>42</v>
      </c>
      <c r="P658" s="177" t="s">
        <v>3566</v>
      </c>
      <c r="Q658" s="175" t="s">
        <v>44</v>
      </c>
      <c r="R658" s="175"/>
      <c r="S658" s="180"/>
      <c r="T658" s="177"/>
      <c r="U658" s="175" t="s">
        <v>44</v>
      </c>
      <c r="V658" s="175"/>
    </row>
    <row r="659">
      <c r="A659" s="175">
        <v>659.0</v>
      </c>
      <c r="B659" s="176">
        <v>46189.0</v>
      </c>
      <c r="C659" s="175" t="s">
        <v>21</v>
      </c>
      <c r="D659" s="175" t="s">
        <v>34</v>
      </c>
      <c r="E659" s="177" t="s">
        <v>7050</v>
      </c>
      <c r="F659" s="178">
        <v>5.09631181E8</v>
      </c>
      <c r="G659" s="175" t="s">
        <v>27</v>
      </c>
      <c r="H659" s="175" t="s">
        <v>27</v>
      </c>
      <c r="I659" s="179" t="s">
        <v>896</v>
      </c>
      <c r="J659" s="177" t="s">
        <v>4417</v>
      </c>
      <c r="K659" s="175" t="s">
        <v>39</v>
      </c>
      <c r="L659" s="180">
        <v>0.4305555555555556</v>
      </c>
      <c r="M659" s="181" t="s">
        <v>51</v>
      </c>
      <c r="N659" s="175" t="s">
        <v>40</v>
      </c>
      <c r="O659" s="175" t="s">
        <v>42</v>
      </c>
      <c r="P659" s="177" t="s">
        <v>3566</v>
      </c>
      <c r="Q659" s="175" t="s">
        <v>44</v>
      </c>
      <c r="R659" s="175"/>
      <c r="S659" s="180"/>
      <c r="T659" s="177"/>
      <c r="U659" s="175" t="s">
        <v>44</v>
      </c>
      <c r="V659" s="175"/>
    </row>
    <row r="660">
      <c r="A660" s="175">
        <v>660.0</v>
      </c>
      <c r="B660" s="176">
        <v>46189.0</v>
      </c>
      <c r="C660" s="175" t="s">
        <v>21</v>
      </c>
      <c r="D660" s="175" t="s">
        <v>34</v>
      </c>
      <c r="E660" s="177" t="s">
        <v>7054</v>
      </c>
      <c r="F660" s="178">
        <v>5.04721274E8</v>
      </c>
      <c r="G660" s="175" t="s">
        <v>27</v>
      </c>
      <c r="H660" s="175" t="s">
        <v>27</v>
      </c>
      <c r="I660" s="179" t="s">
        <v>7055</v>
      </c>
      <c r="J660" s="177" t="s">
        <v>4417</v>
      </c>
      <c r="K660" s="175" t="s">
        <v>39</v>
      </c>
      <c r="L660" s="180">
        <v>0.4305555555555556</v>
      </c>
      <c r="M660" s="181" t="s">
        <v>51</v>
      </c>
      <c r="N660" s="175" t="s">
        <v>40</v>
      </c>
      <c r="O660" s="175" t="s">
        <v>42</v>
      </c>
      <c r="P660" s="177" t="s">
        <v>3566</v>
      </c>
      <c r="Q660" s="175" t="s">
        <v>44</v>
      </c>
      <c r="R660" s="175"/>
      <c r="S660" s="180"/>
      <c r="T660" s="177"/>
      <c r="U660" s="175" t="s">
        <v>44</v>
      </c>
      <c r="V660" s="175"/>
    </row>
    <row r="661">
      <c r="A661" s="175">
        <v>661.0</v>
      </c>
      <c r="B661" s="176">
        <v>46189.0</v>
      </c>
      <c r="C661" s="175" t="s">
        <v>21</v>
      </c>
      <c r="D661" s="175" t="s">
        <v>34</v>
      </c>
      <c r="E661" s="177" t="s">
        <v>7057</v>
      </c>
      <c r="F661" s="178">
        <v>5.93611383E8</v>
      </c>
      <c r="G661" s="175" t="s">
        <v>27</v>
      </c>
      <c r="H661" s="175" t="s">
        <v>27</v>
      </c>
      <c r="I661" s="179" t="s">
        <v>7059</v>
      </c>
      <c r="J661" s="177" t="s">
        <v>4417</v>
      </c>
      <c r="K661" s="175" t="s">
        <v>39</v>
      </c>
      <c r="L661" s="180">
        <v>0.4305555555555556</v>
      </c>
      <c r="M661" s="181" t="s">
        <v>51</v>
      </c>
      <c r="N661" s="175" t="s">
        <v>40</v>
      </c>
      <c r="O661" s="175" t="s">
        <v>42</v>
      </c>
      <c r="P661" s="177" t="s">
        <v>3566</v>
      </c>
      <c r="Q661" s="175" t="s">
        <v>44</v>
      </c>
      <c r="R661" s="175"/>
      <c r="S661" s="180"/>
      <c r="T661" s="177"/>
      <c r="U661" s="175" t="s">
        <v>44</v>
      </c>
      <c r="V661" s="175"/>
    </row>
    <row r="662">
      <c r="A662" s="175">
        <v>662.0</v>
      </c>
      <c r="B662" s="176">
        <v>46189.0</v>
      </c>
      <c r="C662" s="175" t="s">
        <v>21</v>
      </c>
      <c r="D662" s="175" t="s">
        <v>34</v>
      </c>
      <c r="E662" s="177" t="s">
        <v>7063</v>
      </c>
      <c r="F662" s="178">
        <v>5.46882286E8</v>
      </c>
      <c r="G662" s="175" t="s">
        <v>27</v>
      </c>
      <c r="H662" s="175" t="s">
        <v>27</v>
      </c>
      <c r="I662" s="179" t="s">
        <v>896</v>
      </c>
      <c r="J662" s="177" t="s">
        <v>4417</v>
      </c>
      <c r="K662" s="175" t="s">
        <v>39</v>
      </c>
      <c r="L662" s="180">
        <v>0.4305555555555556</v>
      </c>
      <c r="M662" s="181" t="s">
        <v>51</v>
      </c>
      <c r="N662" s="175" t="s">
        <v>40</v>
      </c>
      <c r="O662" s="175" t="s">
        <v>42</v>
      </c>
      <c r="P662" s="177" t="s">
        <v>3566</v>
      </c>
      <c r="Q662" s="175" t="s">
        <v>44</v>
      </c>
      <c r="R662" s="175"/>
      <c r="S662" s="180"/>
      <c r="T662" s="177"/>
      <c r="U662" s="175" t="s">
        <v>44</v>
      </c>
      <c r="V662" s="175"/>
    </row>
    <row r="663">
      <c r="A663" s="175">
        <v>663.0</v>
      </c>
      <c r="B663" s="176">
        <v>46189.0</v>
      </c>
      <c r="C663" s="175" t="s">
        <v>21</v>
      </c>
      <c r="D663" s="175" t="s">
        <v>34</v>
      </c>
      <c r="E663" s="175" t="s">
        <v>7066</v>
      </c>
      <c r="F663" s="178">
        <v>5.0452744E8</v>
      </c>
      <c r="G663" s="175" t="s">
        <v>27</v>
      </c>
      <c r="H663" s="175" t="s">
        <v>27</v>
      </c>
      <c r="I663" s="179" t="s">
        <v>7068</v>
      </c>
      <c r="J663" s="177" t="s">
        <v>4417</v>
      </c>
      <c r="K663" s="175" t="s">
        <v>39</v>
      </c>
      <c r="L663" s="180">
        <v>0.4305555555555556</v>
      </c>
      <c r="M663" s="181" t="s">
        <v>51</v>
      </c>
      <c r="N663" s="175" t="s">
        <v>40</v>
      </c>
      <c r="O663" s="175" t="s">
        <v>42</v>
      </c>
      <c r="P663" s="177" t="s">
        <v>3566</v>
      </c>
      <c r="Q663" s="175" t="s">
        <v>44</v>
      </c>
      <c r="R663" s="175"/>
      <c r="S663" s="180"/>
      <c r="T663" s="177"/>
      <c r="U663" s="175" t="s">
        <v>44</v>
      </c>
      <c r="V663" s="175"/>
    </row>
    <row r="664">
      <c r="A664" s="175">
        <v>664.0</v>
      </c>
      <c r="B664" s="176">
        <v>46189.0</v>
      </c>
      <c r="C664" s="175" t="s">
        <v>21</v>
      </c>
      <c r="D664" s="175" t="s">
        <v>34</v>
      </c>
      <c r="E664" s="177" t="s">
        <v>7072</v>
      </c>
      <c r="F664" s="178">
        <v>5.46419441E8</v>
      </c>
      <c r="G664" s="175" t="s">
        <v>27</v>
      </c>
      <c r="H664" s="175" t="s">
        <v>27</v>
      </c>
      <c r="I664" s="179" t="s">
        <v>896</v>
      </c>
      <c r="J664" s="177" t="s">
        <v>4417</v>
      </c>
      <c r="K664" s="175" t="s">
        <v>39</v>
      </c>
      <c r="L664" s="180">
        <v>0.4305555555555556</v>
      </c>
      <c r="M664" s="181" t="s">
        <v>51</v>
      </c>
      <c r="N664" s="175" t="s">
        <v>40</v>
      </c>
      <c r="O664" s="175" t="s">
        <v>42</v>
      </c>
      <c r="P664" s="177" t="s">
        <v>3566</v>
      </c>
      <c r="Q664" s="175" t="s">
        <v>44</v>
      </c>
      <c r="R664" s="175"/>
      <c r="S664" s="180"/>
      <c r="T664" s="177"/>
      <c r="U664" s="175" t="s">
        <v>44</v>
      </c>
      <c r="V664" s="175"/>
    </row>
    <row r="665">
      <c r="A665" s="175">
        <v>665.0</v>
      </c>
      <c r="B665" s="176">
        <v>46189.0</v>
      </c>
      <c r="C665" s="175" t="s">
        <v>21</v>
      </c>
      <c r="D665" s="175" t="s">
        <v>34</v>
      </c>
      <c r="E665" s="177" t="s">
        <v>7075</v>
      </c>
      <c r="F665" s="178">
        <v>5.92744532E8</v>
      </c>
      <c r="G665" s="175" t="s">
        <v>27</v>
      </c>
      <c r="H665" s="175" t="s">
        <v>27</v>
      </c>
      <c r="I665" s="179" t="s">
        <v>896</v>
      </c>
      <c r="J665" s="177" t="s">
        <v>4417</v>
      </c>
      <c r="K665" s="175" t="s">
        <v>39</v>
      </c>
      <c r="L665" s="180">
        <v>0.4305555555555556</v>
      </c>
      <c r="M665" s="181" t="s">
        <v>51</v>
      </c>
      <c r="N665" s="175" t="s">
        <v>40</v>
      </c>
      <c r="O665" s="175" t="s">
        <v>42</v>
      </c>
      <c r="P665" s="177" t="s">
        <v>3566</v>
      </c>
      <c r="Q665" s="175" t="s">
        <v>44</v>
      </c>
      <c r="R665" s="175"/>
      <c r="S665" s="180"/>
      <c r="T665" s="177"/>
      <c r="U665" s="175" t="s">
        <v>44</v>
      </c>
      <c r="V665" s="175"/>
    </row>
    <row r="666">
      <c r="A666" s="175">
        <v>666.0</v>
      </c>
      <c r="B666" s="176">
        <v>46189.0</v>
      </c>
      <c r="C666" s="175" t="s">
        <v>21</v>
      </c>
      <c r="D666" s="175" t="s">
        <v>34</v>
      </c>
      <c r="E666" s="175" t="s">
        <v>7077</v>
      </c>
      <c r="F666" s="178">
        <v>5.01055466E8</v>
      </c>
      <c r="G666" s="175" t="s">
        <v>27</v>
      </c>
      <c r="H666" s="175" t="s">
        <v>27</v>
      </c>
      <c r="I666" s="179" t="s">
        <v>896</v>
      </c>
      <c r="J666" s="177" t="s">
        <v>4417</v>
      </c>
      <c r="K666" s="175" t="s">
        <v>39</v>
      </c>
      <c r="L666" s="180">
        <v>0.4305555555555556</v>
      </c>
      <c r="M666" s="181" t="s">
        <v>51</v>
      </c>
      <c r="N666" s="175" t="s">
        <v>40</v>
      </c>
      <c r="O666" s="175" t="s">
        <v>42</v>
      </c>
      <c r="P666" s="177" t="s">
        <v>3566</v>
      </c>
      <c r="Q666" s="175" t="s">
        <v>44</v>
      </c>
      <c r="R666" s="175"/>
      <c r="S666" s="180"/>
      <c r="T666" s="177"/>
      <c r="U666" s="175" t="s">
        <v>44</v>
      </c>
      <c r="V666" s="175"/>
    </row>
    <row r="667">
      <c r="A667" s="175">
        <v>667.0</v>
      </c>
      <c r="B667" s="176">
        <v>46189.0</v>
      </c>
      <c r="C667" s="175" t="s">
        <v>21</v>
      </c>
      <c r="D667" s="175" t="s">
        <v>34</v>
      </c>
      <c r="E667" s="177" t="s">
        <v>7079</v>
      </c>
      <c r="F667" s="178">
        <v>5.66837662E8</v>
      </c>
      <c r="G667" s="175" t="s">
        <v>27</v>
      </c>
      <c r="H667" s="175" t="s">
        <v>27</v>
      </c>
      <c r="I667" s="179" t="s">
        <v>7080</v>
      </c>
      <c r="J667" s="177" t="s">
        <v>4417</v>
      </c>
      <c r="K667" s="175" t="s">
        <v>39</v>
      </c>
      <c r="L667" s="180">
        <v>0.4305555555555556</v>
      </c>
      <c r="M667" s="181" t="s">
        <v>51</v>
      </c>
      <c r="N667" s="175" t="s">
        <v>40</v>
      </c>
      <c r="O667" s="175" t="s">
        <v>42</v>
      </c>
      <c r="P667" s="177" t="s">
        <v>3566</v>
      </c>
      <c r="Q667" s="175" t="s">
        <v>44</v>
      </c>
      <c r="R667" s="175"/>
      <c r="S667" s="180"/>
      <c r="T667" s="177"/>
      <c r="U667" s="175" t="s">
        <v>44</v>
      </c>
      <c r="V667" s="175"/>
    </row>
    <row r="668">
      <c r="A668" s="175">
        <v>668.0</v>
      </c>
      <c r="B668" s="176">
        <v>46189.0</v>
      </c>
      <c r="C668" s="175" t="s">
        <v>21</v>
      </c>
      <c r="D668" s="175" t="s">
        <v>34</v>
      </c>
      <c r="E668" s="177" t="s">
        <v>1664</v>
      </c>
      <c r="F668" s="178">
        <v>5.08005997E8</v>
      </c>
      <c r="G668" s="175" t="s">
        <v>27</v>
      </c>
      <c r="H668" s="175" t="s">
        <v>27</v>
      </c>
      <c r="I668" s="179" t="s">
        <v>7085</v>
      </c>
      <c r="J668" s="177" t="s">
        <v>4417</v>
      </c>
      <c r="K668" s="175" t="s">
        <v>39</v>
      </c>
      <c r="L668" s="180">
        <v>0.44583333333333336</v>
      </c>
      <c r="M668" s="181" t="s">
        <v>51</v>
      </c>
      <c r="N668" s="175" t="s">
        <v>40</v>
      </c>
      <c r="O668" s="175" t="s">
        <v>42</v>
      </c>
      <c r="P668" s="177" t="s">
        <v>3566</v>
      </c>
      <c r="Q668" s="175" t="s">
        <v>44</v>
      </c>
      <c r="R668" s="175"/>
      <c r="S668" s="180"/>
      <c r="T668" s="177"/>
      <c r="U668" s="175" t="s">
        <v>44</v>
      </c>
      <c r="V668" s="175"/>
    </row>
    <row r="669">
      <c r="A669" s="175">
        <v>669.0</v>
      </c>
      <c r="B669" s="176">
        <v>46189.0</v>
      </c>
      <c r="C669" s="175" t="s">
        <v>21</v>
      </c>
      <c r="D669" s="175" t="s">
        <v>34</v>
      </c>
      <c r="E669" s="177" t="s">
        <v>7086</v>
      </c>
      <c r="F669" s="178">
        <v>5.99976662E8</v>
      </c>
      <c r="G669" s="175" t="s">
        <v>27</v>
      </c>
      <c r="H669" s="175" t="s">
        <v>27</v>
      </c>
      <c r="I669" s="179" t="s">
        <v>896</v>
      </c>
      <c r="J669" s="177" t="s">
        <v>4417</v>
      </c>
      <c r="K669" s="175" t="s">
        <v>39</v>
      </c>
      <c r="L669" s="180">
        <v>0.44583333333333336</v>
      </c>
      <c r="M669" s="181" t="s">
        <v>51</v>
      </c>
      <c r="N669" s="175" t="s">
        <v>40</v>
      </c>
      <c r="O669" s="175" t="s">
        <v>42</v>
      </c>
      <c r="P669" s="177" t="s">
        <v>3566</v>
      </c>
      <c r="Q669" s="175" t="s">
        <v>44</v>
      </c>
      <c r="R669" s="175"/>
      <c r="S669" s="180"/>
      <c r="T669" s="177"/>
      <c r="U669" s="175" t="s">
        <v>44</v>
      </c>
      <c r="V669" s="175"/>
    </row>
    <row r="670">
      <c r="A670" s="175">
        <v>670.0</v>
      </c>
      <c r="B670" s="176">
        <v>46189.0</v>
      </c>
      <c r="C670" s="175" t="s">
        <v>21</v>
      </c>
      <c r="D670" s="175" t="s">
        <v>34</v>
      </c>
      <c r="E670" s="177" t="s">
        <v>7091</v>
      </c>
      <c r="F670" s="178">
        <v>5.0472119E8</v>
      </c>
      <c r="G670" s="175" t="s">
        <v>27</v>
      </c>
      <c r="H670" s="175" t="s">
        <v>27</v>
      </c>
      <c r="I670" s="179" t="s">
        <v>896</v>
      </c>
      <c r="J670" s="177" t="s">
        <v>4417</v>
      </c>
      <c r="K670" s="175" t="s">
        <v>39</v>
      </c>
      <c r="L670" s="180">
        <v>0.44583333333333336</v>
      </c>
      <c r="M670" s="181" t="s">
        <v>51</v>
      </c>
      <c r="N670" s="175" t="s">
        <v>40</v>
      </c>
      <c r="O670" s="175" t="s">
        <v>42</v>
      </c>
      <c r="P670" s="177" t="s">
        <v>3566</v>
      </c>
      <c r="Q670" s="175" t="s">
        <v>44</v>
      </c>
      <c r="R670" s="175"/>
      <c r="S670" s="180"/>
      <c r="T670" s="177"/>
      <c r="U670" s="175" t="s">
        <v>44</v>
      </c>
      <c r="V670" s="175"/>
    </row>
    <row r="671">
      <c r="A671" s="175">
        <v>671.0</v>
      </c>
      <c r="B671" s="176">
        <v>46189.0</v>
      </c>
      <c r="C671" s="175" t="s">
        <v>21</v>
      </c>
      <c r="D671" s="175" t="s">
        <v>34</v>
      </c>
      <c r="E671" s="177" t="s">
        <v>7097</v>
      </c>
      <c r="F671" s="178">
        <v>5.09799913E8</v>
      </c>
      <c r="G671" s="175" t="s">
        <v>27</v>
      </c>
      <c r="H671" s="175" t="s">
        <v>27</v>
      </c>
      <c r="I671" s="179" t="s">
        <v>7098</v>
      </c>
      <c r="J671" s="177" t="s">
        <v>4417</v>
      </c>
      <c r="K671" s="175" t="s">
        <v>39</v>
      </c>
      <c r="L671" s="180">
        <v>0.44583333333333336</v>
      </c>
      <c r="M671" s="181" t="s">
        <v>51</v>
      </c>
      <c r="N671" s="175" t="s">
        <v>40</v>
      </c>
      <c r="O671" s="175" t="s">
        <v>42</v>
      </c>
      <c r="P671" s="177" t="s">
        <v>3566</v>
      </c>
      <c r="Q671" s="175" t="s">
        <v>44</v>
      </c>
      <c r="R671" s="175"/>
      <c r="S671" s="180"/>
      <c r="T671" s="177"/>
      <c r="U671" s="175" t="s">
        <v>44</v>
      </c>
      <c r="V671" s="175"/>
    </row>
    <row r="672">
      <c r="A672" s="175">
        <v>672.0</v>
      </c>
      <c r="B672" s="176">
        <v>46189.0</v>
      </c>
      <c r="C672" s="175" t="s">
        <v>21</v>
      </c>
      <c r="D672" s="175" t="s">
        <v>34</v>
      </c>
      <c r="E672" s="177" t="s">
        <v>7101</v>
      </c>
      <c r="F672" s="178">
        <v>5.30880523E8</v>
      </c>
      <c r="G672" s="175" t="s">
        <v>27</v>
      </c>
      <c r="H672" s="175" t="s">
        <v>27</v>
      </c>
      <c r="I672" s="179" t="s">
        <v>896</v>
      </c>
      <c r="J672" s="177" t="s">
        <v>4417</v>
      </c>
      <c r="K672" s="175" t="s">
        <v>39</v>
      </c>
      <c r="L672" s="180">
        <v>0.44583333333333336</v>
      </c>
      <c r="M672" s="181" t="s">
        <v>51</v>
      </c>
      <c r="N672" s="175" t="s">
        <v>40</v>
      </c>
      <c r="O672" s="175" t="s">
        <v>42</v>
      </c>
      <c r="P672" s="177" t="s">
        <v>3566</v>
      </c>
      <c r="Q672" s="175" t="s">
        <v>44</v>
      </c>
      <c r="R672" s="175"/>
      <c r="S672" s="180"/>
      <c r="T672" s="177"/>
      <c r="U672" s="175" t="s">
        <v>44</v>
      </c>
      <c r="V672" s="175"/>
    </row>
    <row r="673">
      <c r="A673" s="175">
        <v>673.0</v>
      </c>
      <c r="B673" s="176">
        <v>46189.0</v>
      </c>
      <c r="C673" s="175" t="s">
        <v>21</v>
      </c>
      <c r="D673" s="175" t="s">
        <v>34</v>
      </c>
      <c r="E673" s="177" t="s">
        <v>7106</v>
      </c>
      <c r="F673" s="178">
        <v>5.65920183E8</v>
      </c>
      <c r="G673" s="175" t="s">
        <v>27</v>
      </c>
      <c r="H673" s="175" t="s">
        <v>27</v>
      </c>
      <c r="I673" s="179" t="s">
        <v>7108</v>
      </c>
      <c r="J673" s="177" t="s">
        <v>4417</v>
      </c>
      <c r="K673" s="175" t="s">
        <v>39</v>
      </c>
      <c r="L673" s="180">
        <v>0.44583333333333336</v>
      </c>
      <c r="M673" s="181" t="s">
        <v>51</v>
      </c>
      <c r="N673" s="175" t="s">
        <v>40</v>
      </c>
      <c r="O673" s="175" t="s">
        <v>42</v>
      </c>
      <c r="P673" s="177" t="s">
        <v>3566</v>
      </c>
      <c r="Q673" s="175" t="s">
        <v>44</v>
      </c>
      <c r="R673" s="175"/>
      <c r="S673" s="180"/>
      <c r="T673" s="177"/>
      <c r="U673" s="175" t="s">
        <v>44</v>
      </c>
      <c r="V673" s="175"/>
    </row>
    <row r="674">
      <c r="A674" s="175">
        <v>674.0</v>
      </c>
      <c r="B674" s="176">
        <v>46189.0</v>
      </c>
      <c r="C674" s="175" t="s">
        <v>21</v>
      </c>
      <c r="D674" s="175" t="s">
        <v>34</v>
      </c>
      <c r="E674" s="177" t="s">
        <v>7109</v>
      </c>
      <c r="F674" s="178">
        <v>5.70227619E8</v>
      </c>
      <c r="G674" s="175" t="s">
        <v>27</v>
      </c>
      <c r="H674" s="175" t="s">
        <v>27</v>
      </c>
      <c r="I674" s="179" t="s">
        <v>7110</v>
      </c>
      <c r="J674" s="177" t="s">
        <v>4417</v>
      </c>
      <c r="K674" s="175" t="s">
        <v>39</v>
      </c>
      <c r="L674" s="180">
        <v>0.44583333333333336</v>
      </c>
      <c r="M674" s="181" t="s">
        <v>51</v>
      </c>
      <c r="N674" s="175" t="s">
        <v>40</v>
      </c>
      <c r="O674" s="175" t="s">
        <v>42</v>
      </c>
      <c r="P674" s="177" t="s">
        <v>3566</v>
      </c>
      <c r="Q674" s="175" t="s">
        <v>44</v>
      </c>
      <c r="R674" s="175"/>
      <c r="S674" s="180"/>
      <c r="T674" s="177"/>
      <c r="U674" s="175" t="s">
        <v>44</v>
      </c>
      <c r="V674" s="175"/>
    </row>
    <row r="675">
      <c r="A675" s="175">
        <v>675.0</v>
      </c>
      <c r="B675" s="176">
        <v>46189.0</v>
      </c>
      <c r="C675" s="175" t="s">
        <v>21</v>
      </c>
      <c r="D675" s="175" t="s">
        <v>34</v>
      </c>
      <c r="E675" s="177" t="s">
        <v>7112</v>
      </c>
      <c r="F675" s="178">
        <v>5.05668878E8</v>
      </c>
      <c r="G675" s="175" t="s">
        <v>27</v>
      </c>
      <c r="H675" s="175" t="s">
        <v>27</v>
      </c>
      <c r="I675" s="289" t="s">
        <v>7113</v>
      </c>
      <c r="J675" s="177" t="s">
        <v>4417</v>
      </c>
      <c r="K675" s="175" t="s">
        <v>39</v>
      </c>
      <c r="L675" s="180">
        <v>0.44583333333333336</v>
      </c>
      <c r="M675" s="181" t="s">
        <v>51</v>
      </c>
      <c r="N675" s="175" t="s">
        <v>40</v>
      </c>
      <c r="O675" s="175" t="s">
        <v>42</v>
      </c>
      <c r="P675" s="177" t="s">
        <v>3566</v>
      </c>
      <c r="Q675" s="175" t="s">
        <v>44</v>
      </c>
      <c r="R675" s="175"/>
      <c r="S675" s="180"/>
      <c r="T675" s="177"/>
      <c r="U675" s="175" t="s">
        <v>44</v>
      </c>
      <c r="V675" s="175"/>
    </row>
    <row r="676">
      <c r="A676" s="175">
        <v>676.0</v>
      </c>
      <c r="B676" s="176">
        <v>46189.0</v>
      </c>
      <c r="C676" s="175" t="s">
        <v>21</v>
      </c>
      <c r="D676" s="175" t="s">
        <v>34</v>
      </c>
      <c r="E676" s="177" t="s">
        <v>7115</v>
      </c>
      <c r="F676" s="178">
        <v>5.69509539E8</v>
      </c>
      <c r="G676" s="175" t="s">
        <v>27</v>
      </c>
      <c r="H676" s="175" t="s">
        <v>27</v>
      </c>
      <c r="I676" s="179" t="s">
        <v>7117</v>
      </c>
      <c r="J676" s="177" t="s">
        <v>4417</v>
      </c>
      <c r="K676" s="175" t="s">
        <v>39</v>
      </c>
      <c r="L676" s="180">
        <v>0.44583333333333336</v>
      </c>
      <c r="M676" s="181" t="s">
        <v>51</v>
      </c>
      <c r="N676" s="175" t="s">
        <v>40</v>
      </c>
      <c r="O676" s="175" t="s">
        <v>42</v>
      </c>
      <c r="P676" s="177" t="s">
        <v>3566</v>
      </c>
      <c r="Q676" s="175" t="s">
        <v>44</v>
      </c>
      <c r="R676" s="175"/>
      <c r="S676" s="180"/>
      <c r="T676" s="177"/>
      <c r="U676" s="175" t="s">
        <v>44</v>
      </c>
      <c r="V676" s="175"/>
    </row>
    <row r="677">
      <c r="A677" s="175">
        <v>677.0</v>
      </c>
      <c r="B677" s="176">
        <v>46189.0</v>
      </c>
      <c r="C677" s="175" t="s">
        <v>21</v>
      </c>
      <c r="D677" s="175" t="s">
        <v>34</v>
      </c>
      <c r="E677" s="177" t="s">
        <v>7120</v>
      </c>
      <c r="F677" s="178">
        <v>5.43455734E8</v>
      </c>
      <c r="G677" s="175" t="s">
        <v>27</v>
      </c>
      <c r="H677" s="175" t="s">
        <v>27</v>
      </c>
      <c r="I677" s="179" t="s">
        <v>7121</v>
      </c>
      <c r="J677" s="177" t="s">
        <v>4417</v>
      </c>
      <c r="K677" s="175" t="s">
        <v>39</v>
      </c>
      <c r="L677" s="180">
        <v>0.44583333333333336</v>
      </c>
      <c r="M677" s="181" t="s">
        <v>51</v>
      </c>
      <c r="N677" s="175" t="s">
        <v>40</v>
      </c>
      <c r="O677" s="175" t="s">
        <v>42</v>
      </c>
      <c r="P677" s="177" t="s">
        <v>3566</v>
      </c>
      <c r="Q677" s="175" t="s">
        <v>44</v>
      </c>
      <c r="R677" s="175"/>
      <c r="S677" s="180"/>
      <c r="T677" s="177"/>
      <c r="U677" s="175" t="s">
        <v>44</v>
      </c>
      <c r="V677" s="175"/>
    </row>
    <row r="678">
      <c r="A678" s="175">
        <v>678.0</v>
      </c>
      <c r="B678" s="176">
        <v>46189.0</v>
      </c>
      <c r="C678" s="175" t="s">
        <v>21</v>
      </c>
      <c r="D678" s="175" t="s">
        <v>34</v>
      </c>
      <c r="E678" s="177" t="s">
        <v>7123</v>
      </c>
      <c r="F678" s="178">
        <v>5.30313973E8</v>
      </c>
      <c r="G678" s="175" t="s">
        <v>27</v>
      </c>
      <c r="H678" s="175" t="s">
        <v>27</v>
      </c>
      <c r="I678" s="179" t="s">
        <v>7124</v>
      </c>
      <c r="J678" s="177" t="s">
        <v>4417</v>
      </c>
      <c r="K678" s="175" t="s">
        <v>39</v>
      </c>
      <c r="L678" s="180">
        <v>0.44583333333333336</v>
      </c>
      <c r="M678" s="181" t="s">
        <v>51</v>
      </c>
      <c r="N678" s="175" t="s">
        <v>40</v>
      </c>
      <c r="O678" s="175" t="s">
        <v>42</v>
      </c>
      <c r="P678" s="177" t="s">
        <v>3566</v>
      </c>
      <c r="Q678" s="175" t="s">
        <v>44</v>
      </c>
      <c r="R678" s="175"/>
      <c r="S678" s="180"/>
      <c r="T678" s="177"/>
      <c r="U678" s="175" t="s">
        <v>44</v>
      </c>
      <c r="V678" s="175"/>
    </row>
    <row r="679">
      <c r="A679" s="175">
        <v>679.0</v>
      </c>
      <c r="B679" s="176">
        <v>46189.0</v>
      </c>
      <c r="C679" s="175" t="s">
        <v>21</v>
      </c>
      <c r="D679" s="175" t="s">
        <v>34</v>
      </c>
      <c r="E679" s="177" t="s">
        <v>7126</v>
      </c>
      <c r="F679" s="178">
        <v>5.41300448E8</v>
      </c>
      <c r="G679" s="175" t="s">
        <v>27</v>
      </c>
      <c r="H679" s="175" t="s">
        <v>27</v>
      </c>
      <c r="I679" s="179" t="s">
        <v>896</v>
      </c>
      <c r="J679" s="177" t="s">
        <v>4417</v>
      </c>
      <c r="K679" s="175" t="s">
        <v>39</v>
      </c>
      <c r="L679" s="180">
        <v>0.44583333333333336</v>
      </c>
      <c r="M679" s="181" t="s">
        <v>51</v>
      </c>
      <c r="N679" s="175" t="s">
        <v>40</v>
      </c>
      <c r="O679" s="175" t="s">
        <v>42</v>
      </c>
      <c r="P679" s="177" t="s">
        <v>3566</v>
      </c>
      <c r="Q679" s="175" t="s">
        <v>44</v>
      </c>
      <c r="R679" s="175"/>
      <c r="S679" s="180"/>
      <c r="T679" s="177"/>
      <c r="U679" s="175" t="s">
        <v>44</v>
      </c>
      <c r="V679" s="175"/>
    </row>
    <row r="680">
      <c r="A680" s="175">
        <v>680.0</v>
      </c>
      <c r="B680" s="176">
        <v>46189.0</v>
      </c>
      <c r="C680" s="175" t="s">
        <v>21</v>
      </c>
      <c r="D680" s="175" t="s">
        <v>34</v>
      </c>
      <c r="E680" s="177" t="s">
        <v>7130</v>
      </c>
      <c r="F680" s="178">
        <v>5.46494003E8</v>
      </c>
      <c r="G680" s="175" t="s">
        <v>27</v>
      </c>
      <c r="H680" s="175" t="s">
        <v>27</v>
      </c>
      <c r="I680" s="179" t="s">
        <v>7132</v>
      </c>
      <c r="J680" s="177" t="s">
        <v>4417</v>
      </c>
      <c r="K680" s="175" t="s">
        <v>39</v>
      </c>
      <c r="L680" s="180">
        <v>0.44583333333333336</v>
      </c>
      <c r="M680" s="181" t="s">
        <v>51</v>
      </c>
      <c r="N680" s="175" t="s">
        <v>40</v>
      </c>
      <c r="O680" s="175" t="s">
        <v>42</v>
      </c>
      <c r="P680" s="177" t="s">
        <v>3566</v>
      </c>
      <c r="Q680" s="175" t="s">
        <v>44</v>
      </c>
      <c r="R680" s="175"/>
      <c r="S680" s="180"/>
      <c r="T680" s="177"/>
      <c r="U680" s="175" t="s">
        <v>44</v>
      </c>
      <c r="V680" s="175"/>
    </row>
    <row r="681">
      <c r="A681" s="175">
        <v>681.0</v>
      </c>
      <c r="B681" s="176">
        <v>46189.0</v>
      </c>
      <c r="C681" s="175" t="s">
        <v>21</v>
      </c>
      <c r="D681" s="175" t="s">
        <v>34</v>
      </c>
      <c r="E681" s="177" t="s">
        <v>7136</v>
      </c>
      <c r="F681" s="178">
        <v>5.60553714E8</v>
      </c>
      <c r="G681" s="175" t="s">
        <v>27</v>
      </c>
      <c r="H681" s="175" t="s">
        <v>27</v>
      </c>
      <c r="I681" s="179" t="s">
        <v>896</v>
      </c>
      <c r="J681" s="177" t="s">
        <v>4417</v>
      </c>
      <c r="K681" s="175" t="s">
        <v>39</v>
      </c>
      <c r="L681" s="180">
        <v>0.44583333333333336</v>
      </c>
      <c r="M681" s="181" t="s">
        <v>51</v>
      </c>
      <c r="N681" s="175" t="s">
        <v>40</v>
      </c>
      <c r="O681" s="175" t="s">
        <v>42</v>
      </c>
      <c r="P681" s="177" t="s">
        <v>3566</v>
      </c>
      <c r="Q681" s="175" t="s">
        <v>44</v>
      </c>
      <c r="R681" s="175"/>
      <c r="S681" s="180"/>
      <c r="T681" s="177"/>
      <c r="U681" s="175" t="s">
        <v>44</v>
      </c>
      <c r="V681" s="175"/>
    </row>
    <row r="682">
      <c r="A682" s="175">
        <v>682.0</v>
      </c>
      <c r="B682" s="176">
        <v>46189.0</v>
      </c>
      <c r="C682" s="175" t="s">
        <v>21</v>
      </c>
      <c r="D682" s="175" t="s">
        <v>34</v>
      </c>
      <c r="E682" s="177" t="s">
        <v>7137</v>
      </c>
      <c r="F682" s="178">
        <v>5.56285744E8</v>
      </c>
      <c r="G682" s="175" t="s">
        <v>27</v>
      </c>
      <c r="H682" s="175" t="s">
        <v>27</v>
      </c>
      <c r="I682" s="179" t="s">
        <v>7138</v>
      </c>
      <c r="J682" s="177" t="s">
        <v>4417</v>
      </c>
      <c r="K682" s="175" t="s">
        <v>39</v>
      </c>
      <c r="L682" s="180">
        <v>0.44583333333333336</v>
      </c>
      <c r="M682" s="181" t="s">
        <v>51</v>
      </c>
      <c r="N682" s="175" t="s">
        <v>40</v>
      </c>
      <c r="O682" s="175" t="s">
        <v>42</v>
      </c>
      <c r="P682" s="177" t="s">
        <v>3566</v>
      </c>
      <c r="Q682" s="175" t="s">
        <v>44</v>
      </c>
      <c r="R682" s="175"/>
      <c r="S682" s="180"/>
      <c r="T682" s="177"/>
      <c r="U682" s="175" t="s">
        <v>44</v>
      </c>
      <c r="V682" s="175"/>
    </row>
    <row r="683">
      <c r="A683" s="175">
        <v>683.0</v>
      </c>
      <c r="B683" s="176">
        <v>46189.0</v>
      </c>
      <c r="C683" s="175" t="s">
        <v>21</v>
      </c>
      <c r="D683" s="175" t="s">
        <v>34</v>
      </c>
      <c r="E683" s="177" t="s">
        <v>7140</v>
      </c>
      <c r="F683" s="178">
        <v>5.40777751E8</v>
      </c>
      <c r="G683" s="175" t="s">
        <v>27</v>
      </c>
      <c r="H683" s="175" t="s">
        <v>27</v>
      </c>
      <c r="I683" s="179" t="s">
        <v>7141</v>
      </c>
      <c r="J683" s="177" t="s">
        <v>4417</v>
      </c>
      <c r="K683" s="175" t="s">
        <v>39</v>
      </c>
      <c r="L683" s="180">
        <v>0.44583333333333336</v>
      </c>
      <c r="M683" s="181" t="s">
        <v>51</v>
      </c>
      <c r="N683" s="175" t="s">
        <v>40</v>
      </c>
      <c r="O683" s="175" t="s">
        <v>42</v>
      </c>
      <c r="P683" s="177" t="s">
        <v>3566</v>
      </c>
      <c r="Q683" s="175" t="s">
        <v>44</v>
      </c>
      <c r="R683" s="175"/>
      <c r="S683" s="180"/>
      <c r="T683" s="177"/>
      <c r="U683" s="175" t="s">
        <v>44</v>
      </c>
      <c r="V683" s="175"/>
    </row>
    <row r="684">
      <c r="A684" s="175">
        <v>684.0</v>
      </c>
      <c r="B684" s="176">
        <v>46189.0</v>
      </c>
      <c r="C684" s="175" t="s">
        <v>21</v>
      </c>
      <c r="D684" s="175" t="s">
        <v>34</v>
      </c>
      <c r="E684" s="175" t="s">
        <v>7142</v>
      </c>
      <c r="F684" s="178">
        <v>5.55595002E8</v>
      </c>
      <c r="G684" s="175" t="s">
        <v>27</v>
      </c>
      <c r="H684" s="175" t="s">
        <v>27</v>
      </c>
      <c r="I684" s="179" t="s">
        <v>7144</v>
      </c>
      <c r="J684" s="177" t="s">
        <v>4417</v>
      </c>
      <c r="K684" s="175" t="s">
        <v>39</v>
      </c>
      <c r="L684" s="180">
        <v>0.44583333333333336</v>
      </c>
      <c r="M684" s="181" t="s">
        <v>51</v>
      </c>
      <c r="N684" s="175" t="s">
        <v>40</v>
      </c>
      <c r="O684" s="175" t="s">
        <v>42</v>
      </c>
      <c r="P684" s="177" t="s">
        <v>3566</v>
      </c>
      <c r="Q684" s="175" t="s">
        <v>44</v>
      </c>
      <c r="R684" s="175"/>
      <c r="S684" s="180"/>
      <c r="T684" s="177"/>
      <c r="U684" s="175" t="s">
        <v>44</v>
      </c>
      <c r="V684" s="175"/>
    </row>
    <row r="685">
      <c r="A685" s="175">
        <v>685.0</v>
      </c>
      <c r="B685" s="176">
        <v>46189.0</v>
      </c>
      <c r="C685" s="175" t="s">
        <v>21</v>
      </c>
      <c r="D685" s="175" t="s">
        <v>34</v>
      </c>
      <c r="E685" s="177" t="s">
        <v>7146</v>
      </c>
      <c r="F685" s="178">
        <v>5.54666707E8</v>
      </c>
      <c r="G685" s="175" t="s">
        <v>27</v>
      </c>
      <c r="H685" s="175" t="s">
        <v>27</v>
      </c>
      <c r="I685" s="179" t="s">
        <v>7148</v>
      </c>
      <c r="J685" s="177" t="s">
        <v>4417</v>
      </c>
      <c r="K685" s="175" t="s">
        <v>39</v>
      </c>
      <c r="L685" s="180">
        <v>0.44583333333333336</v>
      </c>
      <c r="M685" s="181" t="s">
        <v>51</v>
      </c>
      <c r="N685" s="175" t="s">
        <v>40</v>
      </c>
      <c r="O685" s="175" t="s">
        <v>42</v>
      </c>
      <c r="P685" s="177" t="s">
        <v>3566</v>
      </c>
      <c r="Q685" s="175" t="s">
        <v>44</v>
      </c>
      <c r="R685" s="175"/>
      <c r="S685" s="180"/>
      <c r="T685" s="177"/>
      <c r="U685" s="175" t="s">
        <v>44</v>
      </c>
      <c r="V685" s="175"/>
    </row>
    <row r="686">
      <c r="A686" s="175">
        <v>686.0</v>
      </c>
      <c r="B686" s="176">
        <v>46189.0</v>
      </c>
      <c r="C686" s="175" t="s">
        <v>21</v>
      </c>
      <c r="D686" s="175" t="s">
        <v>34</v>
      </c>
      <c r="E686" s="175" t="s">
        <v>156</v>
      </c>
      <c r="F686" s="178">
        <v>5.53894609E8</v>
      </c>
      <c r="G686" s="175" t="s">
        <v>27</v>
      </c>
      <c r="H686" s="175" t="s">
        <v>27</v>
      </c>
      <c r="I686" s="179" t="s">
        <v>7149</v>
      </c>
      <c r="J686" s="177" t="s">
        <v>4417</v>
      </c>
      <c r="K686" s="175" t="s">
        <v>39</v>
      </c>
      <c r="L686" s="180">
        <v>0.44583333333333336</v>
      </c>
      <c r="M686" s="181" t="s">
        <v>51</v>
      </c>
      <c r="N686" s="175" t="s">
        <v>40</v>
      </c>
      <c r="O686" s="175" t="s">
        <v>42</v>
      </c>
      <c r="P686" s="177" t="s">
        <v>3566</v>
      </c>
      <c r="Q686" s="175" t="s">
        <v>44</v>
      </c>
      <c r="R686" s="175"/>
      <c r="S686" s="180"/>
      <c r="T686" s="177"/>
      <c r="U686" s="175" t="s">
        <v>44</v>
      </c>
      <c r="V686" s="175"/>
    </row>
    <row r="687">
      <c r="A687" s="175">
        <v>687.0</v>
      </c>
      <c r="B687" s="176">
        <v>46189.0</v>
      </c>
      <c r="C687" s="175" t="s">
        <v>21</v>
      </c>
      <c r="D687" s="175" t="s">
        <v>34</v>
      </c>
      <c r="E687" s="177" t="s">
        <v>7151</v>
      </c>
      <c r="F687" s="178">
        <v>5.68094123E8</v>
      </c>
      <c r="G687" s="175" t="s">
        <v>27</v>
      </c>
      <c r="H687" s="175" t="s">
        <v>27</v>
      </c>
      <c r="I687" s="179" t="s">
        <v>7152</v>
      </c>
      <c r="J687" s="177" t="s">
        <v>4417</v>
      </c>
      <c r="K687" s="175" t="s">
        <v>39</v>
      </c>
      <c r="L687" s="180">
        <v>0.44583333333333336</v>
      </c>
      <c r="M687" s="181" t="s">
        <v>51</v>
      </c>
      <c r="N687" s="175" t="s">
        <v>40</v>
      </c>
      <c r="O687" s="175" t="s">
        <v>42</v>
      </c>
      <c r="P687" s="177" t="s">
        <v>3566</v>
      </c>
      <c r="Q687" s="175" t="s">
        <v>44</v>
      </c>
      <c r="R687" s="175"/>
      <c r="S687" s="180"/>
      <c r="T687" s="177"/>
      <c r="U687" s="175" t="s">
        <v>44</v>
      </c>
      <c r="V687" s="175"/>
    </row>
    <row r="688">
      <c r="A688" s="175">
        <v>688.0</v>
      </c>
      <c r="B688" s="176">
        <v>46189.0</v>
      </c>
      <c r="C688" s="175" t="s">
        <v>21</v>
      </c>
      <c r="D688" s="175" t="s">
        <v>34</v>
      </c>
      <c r="E688" s="177" t="s">
        <v>7154</v>
      </c>
      <c r="F688" s="178">
        <v>5.58001698E8</v>
      </c>
      <c r="G688" s="175" t="s">
        <v>27</v>
      </c>
      <c r="H688" s="175" t="s">
        <v>27</v>
      </c>
      <c r="I688" s="179" t="s">
        <v>7156</v>
      </c>
      <c r="J688" s="177" t="s">
        <v>4417</v>
      </c>
      <c r="K688" s="175" t="s">
        <v>39</v>
      </c>
      <c r="L688" s="180">
        <v>0.44583333333333336</v>
      </c>
      <c r="M688" s="181" t="s">
        <v>51</v>
      </c>
      <c r="N688" s="175" t="s">
        <v>40</v>
      </c>
      <c r="O688" s="175" t="s">
        <v>42</v>
      </c>
      <c r="P688" s="177" t="s">
        <v>3566</v>
      </c>
      <c r="Q688" s="175" t="s">
        <v>44</v>
      </c>
      <c r="R688" s="175"/>
      <c r="S688" s="180"/>
      <c r="T688" s="177"/>
      <c r="U688" s="175" t="s">
        <v>44</v>
      </c>
      <c r="V688" s="175"/>
    </row>
    <row r="689">
      <c r="A689" s="175">
        <v>689.0</v>
      </c>
      <c r="B689" s="176">
        <v>46189.0</v>
      </c>
      <c r="C689" s="175" t="s">
        <v>21</v>
      </c>
      <c r="D689" s="175" t="s">
        <v>34</v>
      </c>
      <c r="E689" s="175" t="s">
        <v>7158</v>
      </c>
      <c r="F689" s="178">
        <v>5.6309101E8</v>
      </c>
      <c r="G689" s="175" t="s">
        <v>27</v>
      </c>
      <c r="H689" s="175" t="s">
        <v>27</v>
      </c>
      <c r="I689" s="179" t="s">
        <v>896</v>
      </c>
      <c r="J689" s="177" t="s">
        <v>4417</v>
      </c>
      <c r="K689" s="175" t="s">
        <v>39</v>
      </c>
      <c r="L689" s="180">
        <v>0.44583333333333336</v>
      </c>
      <c r="M689" s="181" t="s">
        <v>51</v>
      </c>
      <c r="N689" s="175" t="s">
        <v>40</v>
      </c>
      <c r="O689" s="175" t="s">
        <v>42</v>
      </c>
      <c r="P689" s="177" t="s">
        <v>3566</v>
      </c>
      <c r="Q689" s="175" t="s">
        <v>44</v>
      </c>
      <c r="R689" s="175"/>
      <c r="S689" s="180"/>
      <c r="T689" s="177"/>
      <c r="U689" s="175" t="s">
        <v>44</v>
      </c>
      <c r="V689" s="175"/>
    </row>
    <row r="690">
      <c r="A690" s="175">
        <v>690.0</v>
      </c>
      <c r="B690" s="176">
        <v>46189.0</v>
      </c>
      <c r="C690" s="175" t="s">
        <v>21</v>
      </c>
      <c r="D690" s="175" t="s">
        <v>34</v>
      </c>
      <c r="E690" s="177" t="s">
        <v>7163</v>
      </c>
      <c r="F690" s="178">
        <v>5.05300492E8</v>
      </c>
      <c r="G690" s="175" t="s">
        <v>27</v>
      </c>
      <c r="H690" s="175" t="s">
        <v>27</v>
      </c>
      <c r="I690" s="179" t="s">
        <v>896</v>
      </c>
      <c r="J690" s="177" t="s">
        <v>4417</v>
      </c>
      <c r="K690" s="175" t="s">
        <v>39</v>
      </c>
      <c r="L690" s="180">
        <v>0.44583333333333336</v>
      </c>
      <c r="M690" s="181" t="s">
        <v>51</v>
      </c>
      <c r="N690" s="175" t="s">
        <v>40</v>
      </c>
      <c r="O690" s="175" t="s">
        <v>42</v>
      </c>
      <c r="P690" s="177" t="s">
        <v>3566</v>
      </c>
      <c r="Q690" s="175" t="s">
        <v>44</v>
      </c>
      <c r="R690" s="175"/>
      <c r="S690" s="180"/>
      <c r="T690" s="177"/>
      <c r="U690" s="175" t="s">
        <v>44</v>
      </c>
      <c r="V690" s="175"/>
    </row>
    <row r="691">
      <c r="A691" s="175">
        <v>691.0</v>
      </c>
      <c r="B691" s="176">
        <v>46189.0</v>
      </c>
      <c r="C691" s="175" t="s">
        <v>21</v>
      </c>
      <c r="D691" s="175" t="s">
        <v>34</v>
      </c>
      <c r="E691" s="177" t="s">
        <v>7165</v>
      </c>
      <c r="F691" s="178">
        <v>5.54541435E8</v>
      </c>
      <c r="G691" s="175" t="s">
        <v>27</v>
      </c>
      <c r="H691" s="175" t="s">
        <v>27</v>
      </c>
      <c r="I691" s="179" t="s">
        <v>7166</v>
      </c>
      <c r="J691" s="177" t="s">
        <v>4417</v>
      </c>
      <c r="K691" s="175" t="s">
        <v>39</v>
      </c>
      <c r="L691" s="180">
        <v>0.44583333333333336</v>
      </c>
      <c r="M691" s="181" t="s">
        <v>51</v>
      </c>
      <c r="N691" s="175" t="s">
        <v>40</v>
      </c>
      <c r="O691" s="175" t="s">
        <v>42</v>
      </c>
      <c r="P691" s="177" t="s">
        <v>3566</v>
      </c>
      <c r="Q691" s="175" t="s">
        <v>44</v>
      </c>
      <c r="R691" s="175"/>
      <c r="S691" s="180"/>
      <c r="T691" s="177"/>
      <c r="U691" s="175" t="s">
        <v>44</v>
      </c>
      <c r="V691" s="175"/>
    </row>
    <row r="692">
      <c r="A692" s="175">
        <v>692.0</v>
      </c>
      <c r="B692" s="176">
        <v>46189.0</v>
      </c>
      <c r="C692" s="175" t="s">
        <v>21</v>
      </c>
      <c r="D692" s="175" t="s">
        <v>34</v>
      </c>
      <c r="E692" s="177" t="s">
        <v>108</v>
      </c>
      <c r="F692" s="178">
        <v>5.43519414E8</v>
      </c>
      <c r="G692" s="175" t="s">
        <v>27</v>
      </c>
      <c r="H692" s="175" t="s">
        <v>27</v>
      </c>
      <c r="I692" s="179" t="s">
        <v>7172</v>
      </c>
      <c r="J692" s="177" t="s">
        <v>4417</v>
      </c>
      <c r="K692" s="175" t="s">
        <v>39</v>
      </c>
      <c r="L692" s="180">
        <v>0.44583333333333336</v>
      </c>
      <c r="M692" s="181" t="s">
        <v>51</v>
      </c>
      <c r="N692" s="175" t="s">
        <v>40</v>
      </c>
      <c r="O692" s="175" t="s">
        <v>42</v>
      </c>
      <c r="P692" s="177" t="s">
        <v>3566</v>
      </c>
      <c r="Q692" s="175" t="s">
        <v>44</v>
      </c>
      <c r="R692" s="175"/>
      <c r="S692" s="180"/>
      <c r="T692" s="177"/>
      <c r="U692" s="175" t="s">
        <v>44</v>
      </c>
      <c r="V692" s="175"/>
    </row>
    <row r="693">
      <c r="A693" s="175">
        <v>693.0</v>
      </c>
      <c r="B693" s="176">
        <v>46189.0</v>
      </c>
      <c r="C693" s="175" t="s">
        <v>21</v>
      </c>
      <c r="D693" s="175" t="s">
        <v>34</v>
      </c>
      <c r="E693" s="177" t="s">
        <v>7174</v>
      </c>
      <c r="F693" s="178">
        <v>5.36353279E8</v>
      </c>
      <c r="G693" s="175" t="s">
        <v>27</v>
      </c>
      <c r="H693" s="175" t="s">
        <v>27</v>
      </c>
      <c r="I693" s="179" t="s">
        <v>7175</v>
      </c>
      <c r="J693" s="177" t="s">
        <v>4417</v>
      </c>
      <c r="K693" s="175" t="s">
        <v>39</v>
      </c>
      <c r="L693" s="180">
        <v>0.44583333333333336</v>
      </c>
      <c r="M693" s="181" t="s">
        <v>51</v>
      </c>
      <c r="N693" s="175" t="s">
        <v>40</v>
      </c>
      <c r="O693" s="175" t="s">
        <v>42</v>
      </c>
      <c r="P693" s="177" t="s">
        <v>3566</v>
      </c>
      <c r="Q693" s="175" t="s">
        <v>44</v>
      </c>
      <c r="R693" s="175"/>
      <c r="S693" s="180"/>
      <c r="T693" s="177"/>
      <c r="U693" s="175" t="s">
        <v>44</v>
      </c>
      <c r="V693" s="175"/>
    </row>
    <row r="694">
      <c r="A694" s="175">
        <v>694.0</v>
      </c>
      <c r="B694" s="176">
        <v>46189.0</v>
      </c>
      <c r="C694" s="175" t="s">
        <v>21</v>
      </c>
      <c r="D694" s="175" t="s">
        <v>34</v>
      </c>
      <c r="E694" s="177" t="s">
        <v>7177</v>
      </c>
      <c r="F694" s="178">
        <v>5.69550049E8</v>
      </c>
      <c r="G694" s="175" t="s">
        <v>27</v>
      </c>
      <c r="H694" s="175" t="s">
        <v>27</v>
      </c>
      <c r="I694" s="179" t="s">
        <v>7178</v>
      </c>
      <c r="J694" s="177" t="s">
        <v>4417</v>
      </c>
      <c r="K694" s="175" t="s">
        <v>39</v>
      </c>
      <c r="L694" s="180">
        <v>0.44583333333333336</v>
      </c>
      <c r="M694" s="181" t="s">
        <v>51</v>
      </c>
      <c r="N694" s="175" t="s">
        <v>40</v>
      </c>
      <c r="O694" s="175" t="s">
        <v>42</v>
      </c>
      <c r="P694" s="177" t="s">
        <v>3566</v>
      </c>
      <c r="Q694" s="175" t="s">
        <v>44</v>
      </c>
      <c r="R694" s="175"/>
      <c r="S694" s="180"/>
      <c r="T694" s="177"/>
      <c r="U694" s="175" t="s">
        <v>44</v>
      </c>
      <c r="V694" s="175"/>
    </row>
    <row r="695">
      <c r="A695" s="175">
        <v>695.0</v>
      </c>
      <c r="B695" s="176">
        <v>46189.0</v>
      </c>
      <c r="C695" s="175" t="s">
        <v>21</v>
      </c>
      <c r="D695" s="175" t="s">
        <v>34</v>
      </c>
      <c r="E695" s="177" t="s">
        <v>7180</v>
      </c>
      <c r="F695" s="178">
        <v>5.52167844E8</v>
      </c>
      <c r="G695" s="175" t="s">
        <v>27</v>
      </c>
      <c r="H695" s="175" t="s">
        <v>27</v>
      </c>
      <c r="I695" s="179" t="s">
        <v>7182</v>
      </c>
      <c r="J695" s="177" t="s">
        <v>4417</v>
      </c>
      <c r="K695" s="175" t="s">
        <v>39</v>
      </c>
      <c r="L695" s="180">
        <v>0.44583333333333336</v>
      </c>
      <c r="M695" s="181" t="s">
        <v>51</v>
      </c>
      <c r="N695" s="175" t="s">
        <v>40</v>
      </c>
      <c r="O695" s="175" t="s">
        <v>42</v>
      </c>
      <c r="P695" s="177" t="s">
        <v>3566</v>
      </c>
      <c r="Q695" s="175" t="s">
        <v>44</v>
      </c>
      <c r="R695" s="175"/>
      <c r="S695" s="180"/>
      <c r="T695" s="177"/>
      <c r="U695" s="175" t="s">
        <v>44</v>
      </c>
      <c r="V695" s="175"/>
    </row>
    <row r="696">
      <c r="A696" s="175">
        <v>696.0</v>
      </c>
      <c r="B696" s="176">
        <v>46189.0</v>
      </c>
      <c r="C696" s="175" t="s">
        <v>21</v>
      </c>
      <c r="D696" s="175" t="s">
        <v>66</v>
      </c>
      <c r="E696" s="177" t="s">
        <v>108</v>
      </c>
      <c r="F696" s="178">
        <v>5.42986848E8</v>
      </c>
      <c r="G696" s="177"/>
      <c r="H696" s="175"/>
      <c r="I696" s="179" t="s">
        <v>7184</v>
      </c>
      <c r="J696" s="177"/>
      <c r="K696" s="175" t="s">
        <v>36</v>
      </c>
      <c r="L696" s="180"/>
      <c r="M696" s="181" t="s">
        <v>208</v>
      </c>
      <c r="N696" s="175" t="s">
        <v>40</v>
      </c>
      <c r="O696" s="175" t="s">
        <v>42</v>
      </c>
      <c r="P696" s="177" t="s">
        <v>3566</v>
      </c>
      <c r="Q696" s="175" t="s">
        <v>44</v>
      </c>
      <c r="R696" s="175"/>
      <c r="S696" s="180"/>
      <c r="T696" s="177"/>
      <c r="U696" s="175"/>
      <c r="V696" s="175"/>
    </row>
    <row r="697">
      <c r="A697" s="175">
        <v>697.0</v>
      </c>
      <c r="B697" s="176">
        <v>46189.0</v>
      </c>
      <c r="C697" s="175" t="s">
        <v>58</v>
      </c>
      <c r="D697" s="175" t="s">
        <v>60</v>
      </c>
      <c r="E697" s="175" t="s">
        <v>27</v>
      </c>
      <c r="F697" s="178">
        <v>5.40753049E8</v>
      </c>
      <c r="G697" s="175" t="s">
        <v>27</v>
      </c>
      <c r="H697" s="175" t="s">
        <v>27</v>
      </c>
      <c r="I697" s="179" t="s">
        <v>7187</v>
      </c>
      <c r="J697" s="177" t="s">
        <v>2806</v>
      </c>
      <c r="K697" s="175" t="s">
        <v>36</v>
      </c>
      <c r="L697" s="180"/>
      <c r="M697" s="181" t="s">
        <v>88</v>
      </c>
      <c r="N697" s="175" t="s">
        <v>40</v>
      </c>
      <c r="O697" s="175" t="s">
        <v>42</v>
      </c>
      <c r="P697" s="177" t="s">
        <v>3566</v>
      </c>
      <c r="Q697" s="175" t="s">
        <v>44</v>
      </c>
      <c r="R697" s="175"/>
      <c r="S697" s="180"/>
      <c r="T697" s="177"/>
      <c r="U697" s="175"/>
      <c r="V697" s="175"/>
    </row>
    <row r="698">
      <c r="A698" s="175">
        <v>698.0</v>
      </c>
      <c r="B698" s="176">
        <v>46189.0</v>
      </c>
      <c r="C698" s="175" t="s">
        <v>21</v>
      </c>
      <c r="D698" s="175" t="s">
        <v>24</v>
      </c>
      <c r="E698" s="177" t="s">
        <v>1174</v>
      </c>
      <c r="F698" s="178">
        <v>5.51377887E8</v>
      </c>
      <c r="G698" s="177" t="s">
        <v>447</v>
      </c>
      <c r="H698" s="175" t="s">
        <v>27</v>
      </c>
      <c r="I698" s="179" t="s">
        <v>7192</v>
      </c>
      <c r="J698" s="177"/>
      <c r="K698" s="175" t="s">
        <v>36</v>
      </c>
      <c r="L698" s="180"/>
      <c r="M698" s="177" t="s">
        <v>38</v>
      </c>
      <c r="N698" s="175" t="s">
        <v>56</v>
      </c>
      <c r="O698" s="175" t="s">
        <v>42</v>
      </c>
      <c r="P698" s="177" t="s">
        <v>3566</v>
      </c>
      <c r="Q698" s="175" t="s">
        <v>44</v>
      </c>
      <c r="R698" s="175" t="s">
        <v>46</v>
      </c>
      <c r="S698" s="180"/>
      <c r="T698" s="177"/>
      <c r="U698" s="175"/>
      <c r="V698" s="175"/>
    </row>
    <row r="699">
      <c r="A699" s="175">
        <v>699.0</v>
      </c>
      <c r="B699" s="176">
        <v>46190.0</v>
      </c>
      <c r="C699" s="175" t="s">
        <v>58</v>
      </c>
      <c r="D699" s="175" t="s">
        <v>22</v>
      </c>
      <c r="E699" s="177" t="s">
        <v>6421</v>
      </c>
      <c r="F699" s="178">
        <v>5.46681556E8</v>
      </c>
      <c r="G699" s="175" t="s">
        <v>27</v>
      </c>
      <c r="H699" s="175"/>
      <c r="I699" s="179" t="s">
        <v>7197</v>
      </c>
      <c r="J699" s="177"/>
      <c r="K699" s="175" t="s">
        <v>62</v>
      </c>
      <c r="L699" s="180"/>
      <c r="M699" s="177" t="s">
        <v>88</v>
      </c>
      <c r="N699" s="175" t="s">
        <v>40</v>
      </c>
      <c r="O699" s="175" t="s">
        <v>42</v>
      </c>
      <c r="P699" s="177" t="s">
        <v>3566</v>
      </c>
      <c r="Q699" s="175" t="s">
        <v>44</v>
      </c>
      <c r="R699" s="175"/>
      <c r="S699" s="180"/>
      <c r="T699" s="177"/>
      <c r="U699" s="175"/>
      <c r="V699" s="175"/>
    </row>
    <row r="700">
      <c r="A700" s="175">
        <v>700.0</v>
      </c>
      <c r="B700" s="176">
        <v>46189.0</v>
      </c>
      <c r="C700" s="175" t="s">
        <v>3766</v>
      </c>
      <c r="D700" s="175" t="s">
        <v>57</v>
      </c>
      <c r="E700" s="177" t="s">
        <v>751</v>
      </c>
      <c r="F700" s="178">
        <v>5.34122653E8</v>
      </c>
      <c r="G700" s="177" t="s">
        <v>152</v>
      </c>
      <c r="H700" s="175" t="s">
        <v>27</v>
      </c>
      <c r="I700" s="179" t="s">
        <v>7202</v>
      </c>
      <c r="J700" s="177"/>
      <c r="K700" s="175" t="s">
        <v>36</v>
      </c>
      <c r="L700" s="180"/>
      <c r="M700" s="177" t="s">
        <v>3776</v>
      </c>
      <c r="N700" s="175" t="s">
        <v>40</v>
      </c>
      <c r="O700" s="175" t="s">
        <v>42</v>
      </c>
      <c r="P700" s="177" t="s">
        <v>3566</v>
      </c>
      <c r="Q700" s="175" t="s">
        <v>44</v>
      </c>
      <c r="R700" s="175"/>
      <c r="S700" s="180"/>
      <c r="T700" s="177"/>
      <c r="U700" s="175"/>
      <c r="V700" s="175"/>
    </row>
    <row r="701">
      <c r="A701" s="175">
        <v>701.0</v>
      </c>
      <c r="B701" s="176">
        <v>46189.0</v>
      </c>
      <c r="C701" s="175" t="s">
        <v>58</v>
      </c>
      <c r="D701" s="175" t="s">
        <v>60</v>
      </c>
      <c r="E701" s="177" t="s">
        <v>6760</v>
      </c>
      <c r="F701" s="178">
        <v>5.95113404E8</v>
      </c>
      <c r="G701" s="177" t="s">
        <v>41</v>
      </c>
      <c r="H701" s="175" t="s">
        <v>567</v>
      </c>
      <c r="I701" s="179" t="s">
        <v>7207</v>
      </c>
      <c r="J701" s="177" t="s">
        <v>7209</v>
      </c>
      <c r="K701" s="175" t="s">
        <v>36</v>
      </c>
      <c r="L701" s="180"/>
      <c r="M701" s="181" t="s">
        <v>88</v>
      </c>
      <c r="N701" s="175" t="s">
        <v>40</v>
      </c>
      <c r="O701" s="175" t="s">
        <v>42</v>
      </c>
      <c r="P701" s="177" t="s">
        <v>3566</v>
      </c>
      <c r="Q701" s="175" t="s">
        <v>44</v>
      </c>
      <c r="R701" s="175"/>
      <c r="S701" s="180"/>
      <c r="T701" s="177"/>
      <c r="U701" s="175"/>
      <c r="V701" s="175"/>
    </row>
    <row r="702">
      <c r="A702" s="175">
        <v>702.0</v>
      </c>
      <c r="B702" s="176">
        <v>46189.0</v>
      </c>
      <c r="C702" s="175" t="s">
        <v>21</v>
      </c>
      <c r="D702" s="175" t="s">
        <v>22</v>
      </c>
      <c r="E702" s="177" t="s">
        <v>7213</v>
      </c>
      <c r="F702" s="178">
        <v>5.55948688E8</v>
      </c>
      <c r="G702" s="177" t="s">
        <v>318</v>
      </c>
      <c r="H702" s="175"/>
      <c r="I702" s="179" t="s">
        <v>7214</v>
      </c>
      <c r="J702" s="177"/>
      <c r="K702" s="175" t="s">
        <v>36</v>
      </c>
      <c r="L702" s="180"/>
      <c r="M702" s="177" t="s">
        <v>38</v>
      </c>
      <c r="N702" s="175" t="s">
        <v>40</v>
      </c>
      <c r="O702" s="175" t="s">
        <v>42</v>
      </c>
      <c r="P702" s="177" t="s">
        <v>3566</v>
      </c>
      <c r="Q702" s="175" t="s">
        <v>44</v>
      </c>
      <c r="R702" s="175" t="s">
        <v>46</v>
      </c>
      <c r="S702" s="180"/>
      <c r="T702" s="177"/>
      <c r="U702" s="175"/>
      <c r="V702" s="175"/>
    </row>
    <row r="703">
      <c r="A703" s="175">
        <v>703.0</v>
      </c>
      <c r="B703" s="176">
        <v>46189.0</v>
      </c>
      <c r="C703" s="175" t="s">
        <v>58</v>
      </c>
      <c r="D703" s="175" t="s">
        <v>60</v>
      </c>
      <c r="E703" s="175" t="s">
        <v>27</v>
      </c>
      <c r="F703" s="178">
        <v>5.73833711E8</v>
      </c>
      <c r="G703" s="175" t="s">
        <v>27</v>
      </c>
      <c r="H703" s="175" t="s">
        <v>27</v>
      </c>
      <c r="I703" s="179" t="s">
        <v>124</v>
      </c>
      <c r="J703" s="177"/>
      <c r="K703" s="175" t="s">
        <v>3070</v>
      </c>
      <c r="L703" s="180"/>
      <c r="M703" s="181" t="s">
        <v>88</v>
      </c>
      <c r="N703" s="175" t="s">
        <v>40</v>
      </c>
      <c r="O703" s="175" t="s">
        <v>42</v>
      </c>
      <c r="P703" s="177" t="s">
        <v>3566</v>
      </c>
      <c r="Q703" s="175" t="s">
        <v>44</v>
      </c>
      <c r="R703" s="175"/>
      <c r="S703" s="180"/>
      <c r="T703" s="177"/>
      <c r="U703" s="175"/>
      <c r="V703" s="175"/>
    </row>
    <row r="704">
      <c r="A704" s="175">
        <v>704.0</v>
      </c>
      <c r="B704" s="176">
        <v>46189.0</v>
      </c>
      <c r="C704" s="175" t="s">
        <v>21</v>
      </c>
      <c r="D704" s="175" t="s">
        <v>22</v>
      </c>
      <c r="E704" s="177" t="s">
        <v>7217</v>
      </c>
      <c r="F704" s="178">
        <v>5.55522919E8</v>
      </c>
      <c r="G704" s="177" t="s">
        <v>41</v>
      </c>
      <c r="H704" s="175" t="s">
        <v>27</v>
      </c>
      <c r="I704" s="179" t="s">
        <v>7219</v>
      </c>
      <c r="J704" s="177"/>
      <c r="K704" s="175" t="s">
        <v>36</v>
      </c>
      <c r="L704" s="180"/>
      <c r="M704" s="177" t="s">
        <v>38</v>
      </c>
      <c r="N704" s="175" t="s">
        <v>40</v>
      </c>
      <c r="O704" s="175" t="s">
        <v>42</v>
      </c>
      <c r="P704" s="177" t="s">
        <v>3566</v>
      </c>
      <c r="Q704" s="175" t="s">
        <v>44</v>
      </c>
      <c r="R704" s="175" t="s">
        <v>46</v>
      </c>
      <c r="S704" s="180"/>
      <c r="T704" s="177"/>
      <c r="U704" s="175"/>
      <c r="V704" s="175"/>
    </row>
    <row r="705">
      <c r="A705" s="175">
        <v>705.0</v>
      </c>
      <c r="B705" s="176">
        <v>46189.0</v>
      </c>
      <c r="C705" s="175" t="s">
        <v>21</v>
      </c>
      <c r="D705" s="175" t="s">
        <v>66</v>
      </c>
      <c r="E705" s="177" t="s">
        <v>7221</v>
      </c>
      <c r="F705" s="178">
        <v>1.12290318E8</v>
      </c>
      <c r="G705" s="177" t="s">
        <v>152</v>
      </c>
      <c r="H705" s="175"/>
      <c r="I705" s="179" t="s">
        <v>7222</v>
      </c>
      <c r="J705" s="177"/>
      <c r="K705" s="175" t="s">
        <v>36</v>
      </c>
      <c r="L705" s="180"/>
      <c r="M705" s="181" t="s">
        <v>208</v>
      </c>
      <c r="N705" s="175" t="s">
        <v>40</v>
      </c>
      <c r="O705" s="175" t="s">
        <v>42</v>
      </c>
      <c r="P705" s="177" t="s">
        <v>3566</v>
      </c>
      <c r="Q705" s="175" t="s">
        <v>44</v>
      </c>
      <c r="R705" s="175"/>
      <c r="S705" s="180"/>
      <c r="T705" s="177"/>
      <c r="U705" s="175"/>
      <c r="V705" s="175"/>
    </row>
    <row r="706">
      <c r="A706" s="175">
        <v>706.0</v>
      </c>
      <c r="B706" s="176">
        <v>46189.0</v>
      </c>
      <c r="C706" s="175" t="s">
        <v>58</v>
      </c>
      <c r="D706" s="175" t="s">
        <v>60</v>
      </c>
      <c r="E706" s="175" t="s">
        <v>27</v>
      </c>
      <c r="F706" s="178">
        <v>5.57477021E8</v>
      </c>
      <c r="G706" s="175" t="s">
        <v>27</v>
      </c>
      <c r="H706" s="175" t="s">
        <v>27</v>
      </c>
      <c r="I706" s="179" t="s">
        <v>554</v>
      </c>
      <c r="J706" s="177"/>
      <c r="K706" s="175" t="s">
        <v>36</v>
      </c>
      <c r="L706" s="180"/>
      <c r="M706" s="181" t="s">
        <v>88</v>
      </c>
      <c r="N706" s="175" t="s">
        <v>40</v>
      </c>
      <c r="O706" s="175" t="s">
        <v>42</v>
      </c>
      <c r="P706" s="177" t="s">
        <v>3566</v>
      </c>
      <c r="Q706" s="175" t="s">
        <v>44</v>
      </c>
      <c r="R706" s="175"/>
      <c r="S706" s="180"/>
      <c r="T706" s="177"/>
      <c r="U706" s="175"/>
      <c r="V706" s="175"/>
    </row>
    <row r="707">
      <c r="A707" s="175">
        <v>707.0</v>
      </c>
      <c r="B707" s="176">
        <v>46189.0</v>
      </c>
      <c r="C707" s="175" t="s">
        <v>58</v>
      </c>
      <c r="D707" s="175" t="s">
        <v>60</v>
      </c>
      <c r="E707" s="175" t="s">
        <v>27</v>
      </c>
      <c r="F707" s="178">
        <v>5.51826745E8</v>
      </c>
      <c r="G707" s="177"/>
      <c r="H707" s="175"/>
      <c r="I707" s="179" t="s">
        <v>554</v>
      </c>
      <c r="J707" s="177"/>
      <c r="K707" s="175" t="s">
        <v>36</v>
      </c>
      <c r="L707" s="180"/>
      <c r="M707" s="181" t="s">
        <v>88</v>
      </c>
      <c r="N707" s="175" t="s">
        <v>40</v>
      </c>
      <c r="O707" s="175" t="s">
        <v>42</v>
      </c>
      <c r="P707" s="177" t="s">
        <v>3566</v>
      </c>
      <c r="Q707" s="175" t="s">
        <v>44</v>
      </c>
      <c r="R707" s="175"/>
      <c r="S707" s="180"/>
      <c r="T707" s="177"/>
      <c r="U707" s="175"/>
      <c r="V707" s="175"/>
    </row>
    <row r="708">
      <c r="A708" s="175">
        <v>708.0</v>
      </c>
      <c r="B708" s="176">
        <v>46189.0</v>
      </c>
      <c r="C708" s="175" t="s">
        <v>58</v>
      </c>
      <c r="D708" s="175" t="s">
        <v>60</v>
      </c>
      <c r="E708" s="177" t="s">
        <v>6776</v>
      </c>
      <c r="F708" s="178">
        <v>5.96562619E8</v>
      </c>
      <c r="G708" s="177" t="s">
        <v>71</v>
      </c>
      <c r="H708" s="175" t="s">
        <v>27</v>
      </c>
      <c r="I708" s="179" t="s">
        <v>7223</v>
      </c>
      <c r="J708" s="177" t="s">
        <v>7224</v>
      </c>
      <c r="K708" s="175" t="s">
        <v>62</v>
      </c>
      <c r="L708" s="180"/>
      <c r="M708" s="181" t="s">
        <v>88</v>
      </c>
      <c r="N708" s="175" t="s">
        <v>40</v>
      </c>
      <c r="O708" s="175" t="s">
        <v>42</v>
      </c>
      <c r="P708" s="177" t="s">
        <v>3566</v>
      </c>
      <c r="Q708" s="175" t="s">
        <v>44</v>
      </c>
      <c r="R708" s="175"/>
      <c r="S708" s="180"/>
      <c r="T708" s="177"/>
      <c r="U708" s="175"/>
      <c r="V708" s="175"/>
    </row>
    <row r="709">
      <c r="A709" s="175">
        <v>709.0</v>
      </c>
      <c r="B709" s="176">
        <v>46189.0</v>
      </c>
      <c r="C709" s="175" t="s">
        <v>58</v>
      </c>
      <c r="D709" s="175" t="s">
        <v>66</v>
      </c>
      <c r="E709" s="175" t="s">
        <v>27</v>
      </c>
      <c r="F709" s="178">
        <v>5.51510007E8</v>
      </c>
      <c r="G709" s="175" t="s">
        <v>27</v>
      </c>
      <c r="H709" s="175" t="s">
        <v>27</v>
      </c>
      <c r="I709" s="179" t="s">
        <v>6948</v>
      </c>
      <c r="J709" s="177" t="s">
        <v>7225</v>
      </c>
      <c r="K709" s="175" t="s">
        <v>62</v>
      </c>
      <c r="L709" s="180"/>
      <c r="M709" s="181" t="s">
        <v>208</v>
      </c>
      <c r="N709" s="175" t="s">
        <v>40</v>
      </c>
      <c r="O709" s="175" t="s">
        <v>42</v>
      </c>
      <c r="P709" s="177" t="s">
        <v>3566</v>
      </c>
      <c r="Q709" s="175" t="s">
        <v>44</v>
      </c>
      <c r="R709" s="175"/>
      <c r="S709" s="180"/>
      <c r="T709" s="177"/>
      <c r="U709" s="175"/>
      <c r="V709" s="175"/>
    </row>
    <row r="710">
      <c r="A710" s="175">
        <v>710.0</v>
      </c>
      <c r="B710" s="176">
        <v>46189.0</v>
      </c>
      <c r="C710" s="175" t="s">
        <v>21</v>
      </c>
      <c r="D710" s="175" t="s">
        <v>57</v>
      </c>
      <c r="E710" s="177" t="s">
        <v>5433</v>
      </c>
      <c r="F710" s="178">
        <v>4.42030512566E11</v>
      </c>
      <c r="G710" s="175" t="s">
        <v>27</v>
      </c>
      <c r="H710" s="175" t="s">
        <v>27</v>
      </c>
      <c r="I710" s="289" t="s">
        <v>7227</v>
      </c>
      <c r="J710" s="177" t="s">
        <v>7228</v>
      </c>
      <c r="K710" s="175" t="s">
        <v>36</v>
      </c>
      <c r="L710" s="180"/>
      <c r="M710" s="177" t="s">
        <v>38</v>
      </c>
      <c r="N710" s="175" t="s">
        <v>40</v>
      </c>
      <c r="O710" s="175" t="s">
        <v>42</v>
      </c>
      <c r="P710" s="177" t="s">
        <v>3566</v>
      </c>
      <c r="Q710" s="175" t="s">
        <v>44</v>
      </c>
      <c r="R710" s="175"/>
      <c r="S710" s="180"/>
      <c r="T710" s="177"/>
      <c r="U710" s="175"/>
      <c r="V710" s="175"/>
    </row>
    <row r="711">
      <c r="A711" s="175">
        <v>711.0</v>
      </c>
      <c r="B711" s="176">
        <v>46189.0</v>
      </c>
      <c r="C711" s="175" t="s">
        <v>21</v>
      </c>
      <c r="D711" s="175" t="s">
        <v>22</v>
      </c>
      <c r="E711" s="177" t="s">
        <v>108</v>
      </c>
      <c r="F711" s="178">
        <v>5.51168994E8</v>
      </c>
      <c r="G711" s="177" t="s">
        <v>152</v>
      </c>
      <c r="H711" s="175" t="s">
        <v>27</v>
      </c>
      <c r="I711" s="179" t="s">
        <v>7229</v>
      </c>
      <c r="J711" s="177"/>
      <c r="K711" s="175" t="s">
        <v>36</v>
      </c>
      <c r="L711" s="180"/>
      <c r="M711" s="177" t="s">
        <v>38</v>
      </c>
      <c r="N711" s="175" t="s">
        <v>40</v>
      </c>
      <c r="O711" s="175" t="s">
        <v>42</v>
      </c>
      <c r="P711" s="177" t="s">
        <v>3566</v>
      </c>
      <c r="Q711" s="175" t="s">
        <v>44</v>
      </c>
      <c r="R711" s="175" t="s">
        <v>46</v>
      </c>
      <c r="S711" s="180"/>
      <c r="T711" s="177"/>
      <c r="U711" s="175"/>
      <c r="V711" s="175"/>
    </row>
    <row r="712">
      <c r="A712" s="175">
        <v>712.0</v>
      </c>
      <c r="B712" s="176">
        <v>46189.0</v>
      </c>
      <c r="C712" s="175" t="s">
        <v>21</v>
      </c>
      <c r="D712" s="175" t="s">
        <v>60</v>
      </c>
      <c r="E712" s="175" t="s">
        <v>27</v>
      </c>
      <c r="F712" s="178">
        <v>5.99721257E8</v>
      </c>
      <c r="G712" s="177" t="s">
        <v>71</v>
      </c>
      <c r="H712" s="175" t="s">
        <v>27</v>
      </c>
      <c r="I712" s="179" t="s">
        <v>7230</v>
      </c>
      <c r="J712" s="177"/>
      <c r="K712" s="175" t="s">
        <v>36</v>
      </c>
      <c r="L712" s="180"/>
      <c r="M712" s="181" t="s">
        <v>88</v>
      </c>
      <c r="N712" s="175" t="s">
        <v>40</v>
      </c>
      <c r="O712" s="175" t="s">
        <v>42</v>
      </c>
      <c r="P712" s="177" t="s">
        <v>3566</v>
      </c>
      <c r="Q712" s="175" t="s">
        <v>44</v>
      </c>
      <c r="R712" s="175"/>
      <c r="S712" s="180"/>
      <c r="T712" s="177"/>
      <c r="U712" s="175"/>
      <c r="V712" s="175"/>
    </row>
    <row r="713">
      <c r="A713" s="175">
        <v>713.0</v>
      </c>
      <c r="B713" s="176">
        <v>46190.0</v>
      </c>
      <c r="C713" s="175" t="s">
        <v>58</v>
      </c>
      <c r="D713" s="175" t="s">
        <v>60</v>
      </c>
      <c r="E713" s="175" t="s">
        <v>27</v>
      </c>
      <c r="F713" s="178">
        <v>5.52697851E8</v>
      </c>
      <c r="G713" s="175" t="s">
        <v>27</v>
      </c>
      <c r="H713" s="175" t="s">
        <v>27</v>
      </c>
      <c r="I713" s="179" t="s">
        <v>554</v>
      </c>
      <c r="J713" s="177"/>
      <c r="K713" s="175" t="s">
        <v>36</v>
      </c>
      <c r="L713" s="180"/>
      <c r="M713" s="181" t="s">
        <v>88</v>
      </c>
      <c r="N713" s="175" t="s">
        <v>40</v>
      </c>
      <c r="O713" s="175" t="s">
        <v>42</v>
      </c>
      <c r="P713" s="177" t="s">
        <v>3566</v>
      </c>
      <c r="Q713" s="175" t="s">
        <v>44</v>
      </c>
      <c r="R713" s="175"/>
      <c r="S713" s="180"/>
      <c r="T713" s="177"/>
      <c r="U713" s="175"/>
      <c r="V713" s="175"/>
    </row>
    <row r="714" ht="54.0" customHeight="1">
      <c r="A714" s="175">
        <v>714.0</v>
      </c>
      <c r="B714" s="176">
        <v>46190.0</v>
      </c>
      <c r="C714" s="175" t="s">
        <v>47</v>
      </c>
      <c r="D714" s="175" t="s">
        <v>60</v>
      </c>
      <c r="E714" s="175" t="s">
        <v>27</v>
      </c>
      <c r="F714" s="178"/>
      <c r="G714" s="177" t="s">
        <v>41</v>
      </c>
      <c r="H714" s="175" t="s">
        <v>956</v>
      </c>
      <c r="I714" s="179" t="s">
        <v>7231</v>
      </c>
      <c r="J714" s="177"/>
      <c r="K714" s="175" t="s">
        <v>78</v>
      </c>
      <c r="L714" s="180"/>
      <c r="M714" s="181" t="s">
        <v>88</v>
      </c>
      <c r="N714" s="175" t="s">
        <v>40</v>
      </c>
      <c r="O714" s="175" t="s">
        <v>42</v>
      </c>
      <c r="P714" s="177" t="s">
        <v>3566</v>
      </c>
      <c r="Q714" s="175" t="s">
        <v>49</v>
      </c>
      <c r="R714" s="175"/>
      <c r="S714" s="180"/>
      <c r="T714" s="177"/>
      <c r="U714" s="175"/>
      <c r="V714" s="175"/>
    </row>
    <row r="715" ht="53.25" customHeight="1">
      <c r="A715" s="175">
        <v>715.0</v>
      </c>
      <c r="B715" s="176">
        <v>46190.0</v>
      </c>
      <c r="C715" s="175" t="s">
        <v>47</v>
      </c>
      <c r="D715" s="175" t="s">
        <v>60</v>
      </c>
      <c r="E715" s="175" t="s">
        <v>27</v>
      </c>
      <c r="F715" s="178"/>
      <c r="G715" s="177" t="s">
        <v>41</v>
      </c>
      <c r="H715" s="175" t="s">
        <v>513</v>
      </c>
      <c r="I715" s="179" t="s">
        <v>7233</v>
      </c>
      <c r="J715" s="177"/>
      <c r="K715" s="175" t="s">
        <v>78</v>
      </c>
      <c r="L715" s="180"/>
      <c r="M715" s="181" t="s">
        <v>88</v>
      </c>
      <c r="N715" s="175" t="s">
        <v>40</v>
      </c>
      <c r="O715" s="175" t="s">
        <v>42</v>
      </c>
      <c r="P715" s="177" t="s">
        <v>3566</v>
      </c>
      <c r="Q715" s="175" t="s">
        <v>49</v>
      </c>
      <c r="R715" s="175"/>
      <c r="S715" s="180"/>
      <c r="T715" s="177"/>
      <c r="U715" s="175"/>
      <c r="V715" s="175"/>
    </row>
    <row r="716" ht="59.25" customHeight="1">
      <c r="A716" s="175">
        <v>716.0</v>
      </c>
      <c r="B716" s="176">
        <v>46190.0</v>
      </c>
      <c r="C716" s="175" t="s">
        <v>47</v>
      </c>
      <c r="D716" s="175" t="s">
        <v>92</v>
      </c>
      <c r="E716" s="175" t="s">
        <v>27</v>
      </c>
      <c r="F716" s="178" t="s">
        <v>27</v>
      </c>
      <c r="G716" s="177" t="s">
        <v>71</v>
      </c>
      <c r="H716" s="175" t="s">
        <v>1906</v>
      </c>
      <c r="I716" s="209" t="s">
        <v>7235</v>
      </c>
      <c r="J716" s="177"/>
      <c r="K716" s="175" t="s">
        <v>78</v>
      </c>
      <c r="L716" s="180"/>
      <c r="M716" s="112" t="s">
        <v>4703</v>
      </c>
      <c r="N716" s="175" t="s">
        <v>40</v>
      </c>
      <c r="O716" s="175" t="s">
        <v>518</v>
      </c>
      <c r="P716" s="177" t="s">
        <v>3765</v>
      </c>
      <c r="Q716" s="175" t="s">
        <v>49</v>
      </c>
      <c r="R716" s="175" t="s">
        <v>46</v>
      </c>
      <c r="S716" s="180"/>
      <c r="T716" s="177"/>
      <c r="U716" s="175"/>
      <c r="V716" s="175"/>
    </row>
    <row r="717" ht="107.25" customHeight="1">
      <c r="A717" s="175">
        <v>717.0</v>
      </c>
      <c r="B717" s="176">
        <v>46190.0</v>
      </c>
      <c r="C717" s="175" t="s">
        <v>58</v>
      </c>
      <c r="D717" s="175" t="s">
        <v>22</v>
      </c>
      <c r="E717" s="177" t="s">
        <v>6028</v>
      </c>
      <c r="F717" s="178">
        <v>5.30000888E8</v>
      </c>
      <c r="G717" s="177" t="s">
        <v>447</v>
      </c>
      <c r="H717" s="175" t="s">
        <v>27</v>
      </c>
      <c r="I717" s="179" t="s">
        <v>7236</v>
      </c>
      <c r="J717" s="177"/>
      <c r="K717" s="175" t="s">
        <v>78</v>
      </c>
      <c r="L717" s="180"/>
      <c r="M717" s="175" t="s">
        <v>27</v>
      </c>
      <c r="N717" s="175" t="s">
        <v>40</v>
      </c>
      <c r="O717" s="175" t="s">
        <v>42</v>
      </c>
      <c r="P717" s="177" t="s">
        <v>3566</v>
      </c>
      <c r="Q717" s="175" t="s">
        <v>49</v>
      </c>
      <c r="R717" s="175"/>
      <c r="S717" s="180"/>
      <c r="T717" s="177"/>
      <c r="U717" s="175"/>
      <c r="V717" s="175"/>
    </row>
    <row r="718">
      <c r="A718" s="175">
        <v>718.0</v>
      </c>
      <c r="B718" s="176">
        <v>46190.0</v>
      </c>
      <c r="C718" s="175" t="s">
        <v>58</v>
      </c>
      <c r="D718" s="175" t="s">
        <v>60</v>
      </c>
      <c r="E718" s="175" t="s">
        <v>27</v>
      </c>
      <c r="F718" s="178">
        <v>5.44891656E8</v>
      </c>
      <c r="G718" s="175" t="s">
        <v>27</v>
      </c>
      <c r="H718" s="175" t="s">
        <v>27</v>
      </c>
      <c r="I718" s="179" t="s">
        <v>7238</v>
      </c>
      <c r="J718" s="177"/>
      <c r="K718" s="175" t="s">
        <v>65</v>
      </c>
      <c r="L718" s="180"/>
      <c r="M718" s="181" t="s">
        <v>88</v>
      </c>
      <c r="N718" s="175" t="s">
        <v>40</v>
      </c>
      <c r="O718" s="175" t="s">
        <v>42</v>
      </c>
      <c r="P718" s="177" t="s">
        <v>3566</v>
      </c>
      <c r="Q718" s="175" t="s">
        <v>44</v>
      </c>
      <c r="R718" s="175"/>
      <c r="S718" s="175"/>
      <c r="T718" s="180"/>
      <c r="U718" s="175"/>
      <c r="V718" s="175"/>
    </row>
    <row r="719">
      <c r="A719" s="175">
        <v>719.0</v>
      </c>
      <c r="B719" s="176">
        <v>46190.0</v>
      </c>
      <c r="C719" s="175" t="s">
        <v>58</v>
      </c>
      <c r="D719" s="175" t="s">
        <v>60</v>
      </c>
      <c r="E719" s="175" t="s">
        <v>27</v>
      </c>
      <c r="F719" s="178">
        <v>5.99721257E8</v>
      </c>
      <c r="G719" s="175" t="s">
        <v>27</v>
      </c>
      <c r="H719" s="175" t="s">
        <v>27</v>
      </c>
      <c r="I719" s="179" t="s">
        <v>7239</v>
      </c>
      <c r="J719" s="177"/>
      <c r="K719" s="175" t="s">
        <v>36</v>
      </c>
      <c r="L719" s="180"/>
      <c r="M719" s="181" t="s">
        <v>88</v>
      </c>
      <c r="N719" s="175" t="s">
        <v>40</v>
      </c>
      <c r="O719" s="175" t="s">
        <v>42</v>
      </c>
      <c r="P719" s="177" t="s">
        <v>3566</v>
      </c>
      <c r="Q719" s="175" t="s">
        <v>44</v>
      </c>
      <c r="R719" s="175"/>
      <c r="S719" s="175"/>
      <c r="T719" s="180"/>
      <c r="U719" s="175"/>
      <c r="V719" s="175"/>
    </row>
    <row r="720">
      <c r="A720" s="175">
        <v>720.0</v>
      </c>
      <c r="B720" s="176">
        <v>46190.0</v>
      </c>
      <c r="C720" s="175" t="s">
        <v>21</v>
      </c>
      <c r="D720" s="175" t="s">
        <v>24</v>
      </c>
      <c r="E720" s="177" t="s">
        <v>4462</v>
      </c>
      <c r="F720" s="178">
        <v>5.95006877E8</v>
      </c>
      <c r="G720" s="177" t="s">
        <v>152</v>
      </c>
      <c r="H720" s="175" t="s">
        <v>27</v>
      </c>
      <c r="I720" s="179" t="s">
        <v>7240</v>
      </c>
      <c r="J720" s="177"/>
      <c r="K720" s="175" t="s">
        <v>62</v>
      </c>
      <c r="L720" s="180"/>
      <c r="M720" s="177" t="s">
        <v>38</v>
      </c>
      <c r="N720" s="175" t="s">
        <v>56</v>
      </c>
      <c r="O720" s="175" t="s">
        <v>42</v>
      </c>
      <c r="P720" s="177" t="s">
        <v>3566</v>
      </c>
      <c r="Q720" s="175" t="s">
        <v>44</v>
      </c>
      <c r="R720" s="175" t="s">
        <v>46</v>
      </c>
      <c r="S720" s="180"/>
      <c r="T720" s="177"/>
      <c r="U720" s="175"/>
      <c r="V720" s="175"/>
    </row>
    <row r="721" ht="65.25" customHeight="1">
      <c r="A721" s="175">
        <v>721.0</v>
      </c>
      <c r="B721" s="176">
        <v>46190.0</v>
      </c>
      <c r="C721" s="175" t="s">
        <v>47</v>
      </c>
      <c r="D721" s="175" t="s">
        <v>48</v>
      </c>
      <c r="E721" s="177" t="s">
        <v>7241</v>
      </c>
      <c r="F721" s="178">
        <v>5.44484914E8</v>
      </c>
      <c r="G721" s="177" t="s">
        <v>41</v>
      </c>
      <c r="H721" s="175" t="s">
        <v>1751</v>
      </c>
      <c r="I721" s="179" t="s">
        <v>7242</v>
      </c>
      <c r="J721" s="198"/>
      <c r="K721" s="175" t="s">
        <v>62</v>
      </c>
      <c r="L721" s="180">
        <v>0.6090277777777777</v>
      </c>
      <c r="M721" s="74" t="s">
        <v>3355</v>
      </c>
      <c r="N721" s="175" t="s">
        <v>40</v>
      </c>
      <c r="O721" s="175" t="s">
        <v>3811</v>
      </c>
      <c r="P721" s="177" t="s">
        <v>3566</v>
      </c>
      <c r="Q721" s="175" t="s">
        <v>44</v>
      </c>
      <c r="R721" s="175" t="s">
        <v>46</v>
      </c>
      <c r="S721" s="180">
        <v>0.6833333333333333</v>
      </c>
      <c r="T721" s="177" t="s">
        <v>3566</v>
      </c>
      <c r="U721" s="175" t="s">
        <v>44</v>
      </c>
      <c r="V721" s="175">
        <v>5.0</v>
      </c>
    </row>
    <row r="722">
      <c r="A722" s="175">
        <v>722.0</v>
      </c>
      <c r="B722" s="176">
        <v>46190.0</v>
      </c>
      <c r="C722" s="175" t="s">
        <v>21</v>
      </c>
      <c r="D722" s="175" t="s">
        <v>34</v>
      </c>
      <c r="E722" s="177" t="s">
        <v>4170</v>
      </c>
      <c r="F722" s="178">
        <v>5.56965409E8</v>
      </c>
      <c r="G722" s="175" t="s">
        <v>27</v>
      </c>
      <c r="H722" s="175" t="s">
        <v>27</v>
      </c>
      <c r="I722" s="179" t="s">
        <v>7243</v>
      </c>
      <c r="J722" s="177"/>
      <c r="K722" s="175" t="s">
        <v>62</v>
      </c>
      <c r="L722" s="180"/>
      <c r="M722" s="181" t="s">
        <v>51</v>
      </c>
      <c r="N722" s="175" t="s">
        <v>40</v>
      </c>
      <c r="O722" s="175" t="s">
        <v>42</v>
      </c>
      <c r="P722" s="177" t="s">
        <v>3566</v>
      </c>
      <c r="Q722" s="175" t="s">
        <v>44</v>
      </c>
      <c r="R722" s="175"/>
      <c r="S722" s="175"/>
      <c r="T722" s="180"/>
      <c r="U722" s="175"/>
      <c r="V722" s="175">
        <v>5.0</v>
      </c>
    </row>
    <row r="723">
      <c r="A723" s="175">
        <v>723.0</v>
      </c>
      <c r="B723" s="176">
        <v>46190.0</v>
      </c>
      <c r="C723" s="175" t="s">
        <v>21</v>
      </c>
      <c r="D723" s="175" t="s">
        <v>34</v>
      </c>
      <c r="E723" s="175" t="s">
        <v>7244</v>
      </c>
      <c r="F723" s="178">
        <v>5.41500858E8</v>
      </c>
      <c r="G723" s="175" t="s">
        <v>27</v>
      </c>
      <c r="H723" s="175" t="s">
        <v>27</v>
      </c>
      <c r="I723" s="179" t="s">
        <v>4430</v>
      </c>
      <c r="J723" s="177"/>
      <c r="K723" s="175" t="s">
        <v>62</v>
      </c>
      <c r="L723" s="180"/>
      <c r="M723" s="181" t="s">
        <v>51</v>
      </c>
      <c r="N723" s="175" t="s">
        <v>40</v>
      </c>
      <c r="O723" s="175" t="s">
        <v>42</v>
      </c>
      <c r="P723" s="177" t="s">
        <v>3566</v>
      </c>
      <c r="Q723" s="175" t="s">
        <v>44</v>
      </c>
      <c r="R723" s="175"/>
      <c r="S723" s="175"/>
      <c r="T723" s="180"/>
      <c r="U723" s="175"/>
      <c r="V723" s="175">
        <v>5.0</v>
      </c>
    </row>
    <row r="724">
      <c r="A724" s="175">
        <v>724.0</v>
      </c>
      <c r="B724" s="176">
        <v>46190.0</v>
      </c>
      <c r="C724" s="175" t="s">
        <v>58</v>
      </c>
      <c r="D724" s="175" t="s">
        <v>60</v>
      </c>
      <c r="E724" s="175" t="s">
        <v>27</v>
      </c>
      <c r="F724" s="178">
        <v>5.04700477E8</v>
      </c>
      <c r="G724" s="175" t="s">
        <v>27</v>
      </c>
      <c r="H724" s="175" t="s">
        <v>27</v>
      </c>
      <c r="I724" s="179" t="s">
        <v>7245</v>
      </c>
      <c r="J724" s="177"/>
      <c r="K724" s="175" t="s">
        <v>62</v>
      </c>
      <c r="L724" s="180"/>
      <c r="M724" s="181" t="s">
        <v>88</v>
      </c>
      <c r="N724" s="175" t="s">
        <v>40</v>
      </c>
      <c r="O724" s="175" t="s">
        <v>42</v>
      </c>
      <c r="P724" s="177" t="s">
        <v>3566</v>
      </c>
      <c r="Q724" s="175" t="s">
        <v>44</v>
      </c>
      <c r="R724" s="175"/>
      <c r="S724" s="175"/>
      <c r="T724" s="180"/>
      <c r="U724" s="175"/>
      <c r="V724" s="175">
        <v>5.0</v>
      </c>
    </row>
    <row r="725">
      <c r="A725" s="175">
        <v>725.0</v>
      </c>
      <c r="B725" s="176">
        <v>46190.0</v>
      </c>
      <c r="C725" s="175" t="s">
        <v>58</v>
      </c>
      <c r="D725" s="175" t="s">
        <v>24</v>
      </c>
      <c r="E725" s="177" t="s">
        <v>7246</v>
      </c>
      <c r="F725" s="178">
        <v>5.3323095E8</v>
      </c>
      <c r="G725" s="177" t="s">
        <v>172</v>
      </c>
      <c r="H725" s="175" t="s">
        <v>27</v>
      </c>
      <c r="I725" s="179" t="s">
        <v>7247</v>
      </c>
      <c r="J725" s="451"/>
      <c r="K725" s="175" t="s">
        <v>62</v>
      </c>
      <c r="L725" s="180"/>
      <c r="M725" s="177" t="s">
        <v>88</v>
      </c>
      <c r="N725" s="175" t="s">
        <v>56</v>
      </c>
      <c r="O725" s="175" t="s">
        <v>42</v>
      </c>
      <c r="P725" s="177" t="s">
        <v>3566</v>
      </c>
      <c r="Q725" s="175" t="s">
        <v>44</v>
      </c>
      <c r="R725" s="175"/>
      <c r="S725" s="175"/>
      <c r="T725" s="180"/>
      <c r="U725" s="175"/>
      <c r="V725" s="175">
        <v>5.0</v>
      </c>
    </row>
    <row r="726">
      <c r="A726" s="175">
        <v>726.0</v>
      </c>
      <c r="B726" s="176">
        <v>46190.0</v>
      </c>
      <c r="C726" s="175" t="s">
        <v>58</v>
      </c>
      <c r="D726" s="175" t="s">
        <v>60</v>
      </c>
      <c r="E726" s="175" t="s">
        <v>27</v>
      </c>
      <c r="F726" s="178">
        <v>5.09610379E8</v>
      </c>
      <c r="G726" s="175" t="s">
        <v>27</v>
      </c>
      <c r="H726" s="175" t="s">
        <v>27</v>
      </c>
      <c r="I726" s="179" t="s">
        <v>7248</v>
      </c>
      <c r="J726" s="177"/>
      <c r="K726" s="175" t="s">
        <v>62</v>
      </c>
      <c r="L726" s="180"/>
      <c r="M726" s="181" t="s">
        <v>88</v>
      </c>
      <c r="N726" s="175" t="s">
        <v>40</v>
      </c>
      <c r="O726" s="175" t="s">
        <v>42</v>
      </c>
      <c r="P726" s="177" t="s">
        <v>3566</v>
      </c>
      <c r="Q726" s="175" t="s">
        <v>44</v>
      </c>
      <c r="R726" s="175"/>
      <c r="S726" s="175"/>
      <c r="T726" s="180"/>
      <c r="U726" s="175"/>
      <c r="V726" s="175">
        <v>5.0</v>
      </c>
    </row>
    <row r="727">
      <c r="A727" s="175">
        <v>727.0</v>
      </c>
      <c r="B727" s="176">
        <v>46190.0</v>
      </c>
      <c r="C727" s="175" t="s">
        <v>58</v>
      </c>
      <c r="D727" s="175" t="s">
        <v>60</v>
      </c>
      <c r="E727" s="175" t="s">
        <v>27</v>
      </c>
      <c r="F727" s="178">
        <v>5.32649104E8</v>
      </c>
      <c r="G727" s="175" t="s">
        <v>27</v>
      </c>
      <c r="H727" s="175" t="s">
        <v>27</v>
      </c>
      <c r="I727" s="179" t="s">
        <v>7249</v>
      </c>
      <c r="J727" s="177"/>
      <c r="K727" s="175" t="s">
        <v>62</v>
      </c>
      <c r="L727" s="180"/>
      <c r="M727" s="181" t="s">
        <v>88</v>
      </c>
      <c r="N727" s="175" t="s">
        <v>40</v>
      </c>
      <c r="O727" s="175" t="s">
        <v>42</v>
      </c>
      <c r="P727" s="177" t="s">
        <v>3566</v>
      </c>
      <c r="Q727" s="175" t="s">
        <v>44</v>
      </c>
      <c r="R727" s="175"/>
      <c r="S727" s="175"/>
      <c r="T727" s="180"/>
      <c r="U727" s="175"/>
      <c r="V727" s="175">
        <v>5.0</v>
      </c>
    </row>
    <row r="728">
      <c r="A728" s="175">
        <v>728.0</v>
      </c>
      <c r="B728" s="176">
        <v>46190.0</v>
      </c>
      <c r="C728" s="175" t="s">
        <v>21</v>
      </c>
      <c r="D728" s="175" t="s">
        <v>24</v>
      </c>
      <c r="E728" s="177" t="s">
        <v>7250</v>
      </c>
      <c r="F728" s="178">
        <v>5.50033581E8</v>
      </c>
      <c r="G728" s="177" t="s">
        <v>41</v>
      </c>
      <c r="H728" s="175" t="s">
        <v>27</v>
      </c>
      <c r="I728" s="179" t="s">
        <v>7251</v>
      </c>
      <c r="J728" s="177"/>
      <c r="K728" s="175" t="s">
        <v>457</v>
      </c>
      <c r="L728" s="180"/>
      <c r="M728" s="177" t="s">
        <v>38</v>
      </c>
      <c r="N728" s="175" t="s">
        <v>56</v>
      </c>
      <c r="O728" s="175" t="s">
        <v>42</v>
      </c>
      <c r="P728" s="177" t="s">
        <v>3566</v>
      </c>
      <c r="Q728" s="175" t="s">
        <v>44</v>
      </c>
      <c r="R728" s="175" t="s">
        <v>46</v>
      </c>
      <c r="S728" s="180"/>
      <c r="T728" s="177"/>
      <c r="U728" s="175"/>
      <c r="V728" s="175">
        <v>5.0</v>
      </c>
    </row>
    <row r="729">
      <c r="A729" s="175">
        <v>729.0</v>
      </c>
      <c r="B729" s="176">
        <v>46190.0</v>
      </c>
      <c r="C729" s="175" t="s">
        <v>21</v>
      </c>
      <c r="D729" s="175" t="s">
        <v>24</v>
      </c>
      <c r="E729" s="177" t="s">
        <v>7252</v>
      </c>
      <c r="F729" s="178">
        <v>5.054519216E9</v>
      </c>
      <c r="G729" s="177" t="s">
        <v>41</v>
      </c>
      <c r="H729" s="175" t="s">
        <v>27</v>
      </c>
      <c r="I729" s="179" t="s">
        <v>7253</v>
      </c>
      <c r="J729" s="177"/>
      <c r="K729" s="175" t="s">
        <v>457</v>
      </c>
      <c r="L729" s="180"/>
      <c r="M729" s="177" t="s">
        <v>38</v>
      </c>
      <c r="N729" s="175" t="s">
        <v>56</v>
      </c>
      <c r="O729" s="175" t="s">
        <v>42</v>
      </c>
      <c r="P729" s="177" t="s">
        <v>3566</v>
      </c>
      <c r="Q729" s="175" t="s">
        <v>44</v>
      </c>
      <c r="R729" s="175" t="s">
        <v>46</v>
      </c>
      <c r="S729" s="180"/>
      <c r="T729" s="177"/>
      <c r="U729" s="175"/>
      <c r="V729" s="175">
        <v>5.0</v>
      </c>
    </row>
    <row r="730">
      <c r="A730" s="175">
        <v>730.0</v>
      </c>
      <c r="B730" s="176">
        <v>46190.0</v>
      </c>
      <c r="C730" s="175" t="s">
        <v>21</v>
      </c>
      <c r="D730" s="175" t="s">
        <v>24</v>
      </c>
      <c r="E730" s="177" t="s">
        <v>7255</v>
      </c>
      <c r="F730" s="178">
        <v>5.57182813E8</v>
      </c>
      <c r="G730" s="177" t="s">
        <v>41</v>
      </c>
      <c r="H730" s="175" t="s">
        <v>27</v>
      </c>
      <c r="I730" s="179" t="s">
        <v>7256</v>
      </c>
      <c r="J730" s="177"/>
      <c r="K730" s="175" t="s">
        <v>457</v>
      </c>
      <c r="L730" s="180"/>
      <c r="M730" s="177" t="s">
        <v>38</v>
      </c>
      <c r="N730" s="175" t="s">
        <v>56</v>
      </c>
      <c r="O730" s="175" t="s">
        <v>42</v>
      </c>
      <c r="P730" s="177" t="s">
        <v>3566</v>
      </c>
      <c r="Q730" s="175" t="s">
        <v>44</v>
      </c>
      <c r="R730" s="175" t="s">
        <v>46</v>
      </c>
      <c r="S730" s="180"/>
      <c r="T730" s="177"/>
      <c r="U730" s="175"/>
      <c r="V730" s="175">
        <v>5.0</v>
      </c>
    </row>
    <row r="731">
      <c r="A731" s="175">
        <v>731.0</v>
      </c>
      <c r="B731" s="176">
        <v>46190.0</v>
      </c>
      <c r="C731" s="175" t="s">
        <v>21</v>
      </c>
      <c r="D731" s="175" t="s">
        <v>22</v>
      </c>
      <c r="E731" s="177" t="s">
        <v>7257</v>
      </c>
      <c r="F731" s="178">
        <v>5.30686821E8</v>
      </c>
      <c r="G731" s="177" t="s">
        <v>198</v>
      </c>
      <c r="H731" s="175" t="s">
        <v>27</v>
      </c>
      <c r="I731" s="179" t="s">
        <v>7258</v>
      </c>
      <c r="J731" s="177"/>
      <c r="K731" s="175" t="s">
        <v>457</v>
      </c>
      <c r="L731" s="180"/>
      <c r="M731" s="181" t="s">
        <v>125</v>
      </c>
      <c r="N731" s="175" t="s">
        <v>40</v>
      </c>
      <c r="O731" s="175" t="s">
        <v>42</v>
      </c>
      <c r="P731" s="177" t="s">
        <v>3566</v>
      </c>
      <c r="Q731" s="175" t="s">
        <v>44</v>
      </c>
      <c r="R731" s="175" t="s">
        <v>46</v>
      </c>
      <c r="S731" s="180"/>
      <c r="T731" s="180"/>
      <c r="U731" s="175"/>
      <c r="V731" s="175">
        <v>5.0</v>
      </c>
    </row>
    <row r="732">
      <c r="A732" s="175">
        <v>732.0</v>
      </c>
      <c r="B732" s="176">
        <v>46190.0</v>
      </c>
      <c r="C732" s="175" t="s">
        <v>21</v>
      </c>
      <c r="D732" s="175" t="s">
        <v>22</v>
      </c>
      <c r="E732" s="177" t="s">
        <v>7260</v>
      </c>
      <c r="F732" s="178">
        <v>5.64244485E8</v>
      </c>
      <c r="G732" s="177" t="s">
        <v>79</v>
      </c>
      <c r="H732" s="175" t="s">
        <v>27</v>
      </c>
      <c r="I732" s="179" t="s">
        <v>7261</v>
      </c>
      <c r="J732" s="177"/>
      <c r="K732" s="175" t="s">
        <v>457</v>
      </c>
      <c r="L732" s="180"/>
      <c r="M732" s="181" t="s">
        <v>125</v>
      </c>
      <c r="N732" s="175" t="s">
        <v>40</v>
      </c>
      <c r="O732" s="175" t="s">
        <v>42</v>
      </c>
      <c r="P732" s="177" t="s">
        <v>3566</v>
      </c>
      <c r="Q732" s="175" t="s">
        <v>44</v>
      </c>
      <c r="R732" s="175" t="s">
        <v>46</v>
      </c>
      <c r="S732" s="180"/>
      <c r="T732" s="180"/>
      <c r="U732" s="175"/>
      <c r="V732" s="175">
        <v>5.0</v>
      </c>
    </row>
    <row r="733">
      <c r="A733" s="175">
        <v>733.0</v>
      </c>
      <c r="B733" s="176">
        <v>46190.0</v>
      </c>
      <c r="C733" s="175" t="s">
        <v>21</v>
      </c>
      <c r="D733" s="175" t="s">
        <v>22</v>
      </c>
      <c r="E733" s="177" t="s">
        <v>1197</v>
      </c>
      <c r="F733" s="178">
        <v>5.58899347E8</v>
      </c>
      <c r="G733" s="177" t="s">
        <v>6825</v>
      </c>
      <c r="H733" s="175" t="s">
        <v>27</v>
      </c>
      <c r="I733" s="179" t="s">
        <v>7262</v>
      </c>
      <c r="J733" s="177"/>
      <c r="K733" s="175" t="s">
        <v>457</v>
      </c>
      <c r="L733" s="180"/>
      <c r="M733" s="177" t="s">
        <v>1389</v>
      </c>
      <c r="N733" s="175" t="s">
        <v>40</v>
      </c>
      <c r="O733" s="175" t="s">
        <v>42</v>
      </c>
      <c r="P733" s="177" t="s">
        <v>3566</v>
      </c>
      <c r="Q733" s="175" t="s">
        <v>44</v>
      </c>
      <c r="R733" s="175" t="s">
        <v>46</v>
      </c>
      <c r="S733" s="180"/>
      <c r="T733" s="180"/>
      <c r="U733" s="175"/>
      <c r="V733" s="175">
        <v>5.0</v>
      </c>
    </row>
    <row r="734">
      <c r="A734" s="175">
        <v>734.0</v>
      </c>
      <c r="B734" s="176">
        <v>46190.0</v>
      </c>
      <c r="C734" s="175" t="s">
        <v>21</v>
      </c>
      <c r="D734" s="175" t="s">
        <v>22</v>
      </c>
      <c r="E734" s="177" t="s">
        <v>7263</v>
      </c>
      <c r="F734" s="178">
        <v>5.0003053E8</v>
      </c>
      <c r="G734" s="348" t="s">
        <v>1107</v>
      </c>
      <c r="H734" s="175" t="s">
        <v>27</v>
      </c>
      <c r="I734" s="179" t="s">
        <v>7264</v>
      </c>
      <c r="J734" s="177"/>
      <c r="K734" s="175" t="s">
        <v>457</v>
      </c>
      <c r="L734" s="180"/>
      <c r="M734" s="177" t="s">
        <v>38</v>
      </c>
      <c r="N734" s="175" t="s">
        <v>40</v>
      </c>
      <c r="O734" s="175" t="s">
        <v>42</v>
      </c>
      <c r="P734" s="177" t="s">
        <v>3566</v>
      </c>
      <c r="Q734" s="175" t="s">
        <v>44</v>
      </c>
      <c r="R734" s="175" t="s">
        <v>46</v>
      </c>
      <c r="S734" s="180"/>
      <c r="T734" s="180"/>
      <c r="U734" s="175"/>
      <c r="V734" s="175">
        <v>5.0</v>
      </c>
    </row>
    <row r="735">
      <c r="A735" s="175">
        <v>735.0</v>
      </c>
      <c r="B735" s="176">
        <v>46190.0</v>
      </c>
      <c r="C735" s="175" t="s">
        <v>21</v>
      </c>
      <c r="D735" s="175" t="s">
        <v>22</v>
      </c>
      <c r="E735" s="177" t="s">
        <v>184</v>
      </c>
      <c r="F735" s="178">
        <v>5.57573113E8</v>
      </c>
      <c r="G735" s="348" t="s">
        <v>5957</v>
      </c>
      <c r="H735" s="175" t="s">
        <v>27</v>
      </c>
      <c r="I735" s="179" t="s">
        <v>7265</v>
      </c>
      <c r="J735" s="177"/>
      <c r="K735" s="175" t="s">
        <v>457</v>
      </c>
      <c r="L735" s="180"/>
      <c r="M735" s="177" t="s">
        <v>38</v>
      </c>
      <c r="N735" s="175" t="s">
        <v>40</v>
      </c>
      <c r="O735" s="175" t="s">
        <v>42</v>
      </c>
      <c r="P735" s="177" t="s">
        <v>3566</v>
      </c>
      <c r="Q735" s="175" t="s">
        <v>44</v>
      </c>
      <c r="R735" s="175" t="s">
        <v>46</v>
      </c>
      <c r="S735" s="180"/>
      <c r="T735" s="180"/>
      <c r="U735" s="175"/>
      <c r="V735" s="175">
        <v>5.0</v>
      </c>
    </row>
    <row r="736">
      <c r="A736" s="175">
        <v>736.0</v>
      </c>
      <c r="B736" s="176">
        <v>46190.0</v>
      </c>
      <c r="C736" s="175" t="s">
        <v>21</v>
      </c>
      <c r="D736" s="175" t="s">
        <v>22</v>
      </c>
      <c r="E736" s="177" t="s">
        <v>7266</v>
      </c>
      <c r="F736" s="178">
        <v>5.0333606E8</v>
      </c>
      <c r="G736" s="177" t="s">
        <v>362</v>
      </c>
      <c r="H736" s="175" t="s">
        <v>27</v>
      </c>
      <c r="I736" s="179" t="s">
        <v>7267</v>
      </c>
      <c r="J736" s="177"/>
      <c r="K736" s="175" t="s">
        <v>457</v>
      </c>
      <c r="L736" s="180"/>
      <c r="M736" s="181" t="s">
        <v>125</v>
      </c>
      <c r="N736" s="175" t="s">
        <v>40</v>
      </c>
      <c r="O736" s="175" t="s">
        <v>42</v>
      </c>
      <c r="P736" s="177" t="s">
        <v>3566</v>
      </c>
      <c r="Q736" s="175" t="s">
        <v>44</v>
      </c>
      <c r="R736" s="175" t="s">
        <v>46</v>
      </c>
      <c r="S736" s="180"/>
      <c r="T736" s="180"/>
      <c r="U736" s="175"/>
      <c r="V736" s="175">
        <v>5.0</v>
      </c>
    </row>
    <row r="737">
      <c r="A737" s="175">
        <v>737.0</v>
      </c>
      <c r="B737" s="176">
        <v>46190.0</v>
      </c>
      <c r="C737" s="175" t="s">
        <v>21</v>
      </c>
      <c r="D737" s="175" t="s">
        <v>34</v>
      </c>
      <c r="E737" s="177" t="s">
        <v>7268</v>
      </c>
      <c r="F737" s="178">
        <v>5.62848257E8</v>
      </c>
      <c r="G737" s="177" t="s">
        <v>71</v>
      </c>
      <c r="H737" s="175" t="s">
        <v>27</v>
      </c>
      <c r="I737" s="179" t="s">
        <v>7269</v>
      </c>
      <c r="J737" s="177"/>
      <c r="K737" s="175" t="s">
        <v>39</v>
      </c>
      <c r="L737" s="180"/>
      <c r="M737" s="181" t="s">
        <v>51</v>
      </c>
      <c r="N737" s="175" t="s">
        <v>40</v>
      </c>
      <c r="O737" s="175" t="s">
        <v>42</v>
      </c>
      <c r="P737" s="177" t="s">
        <v>3566</v>
      </c>
      <c r="Q737" s="175" t="s">
        <v>44</v>
      </c>
      <c r="R737" s="175"/>
      <c r="S737" s="175"/>
      <c r="T737" s="180"/>
      <c r="U737" s="175"/>
      <c r="V737" s="175">
        <v>5.0</v>
      </c>
    </row>
    <row r="738">
      <c r="A738" s="175">
        <v>738.0</v>
      </c>
      <c r="B738" s="176">
        <v>46190.0</v>
      </c>
      <c r="C738" s="175" t="s">
        <v>21</v>
      </c>
      <c r="D738" s="175" t="s">
        <v>34</v>
      </c>
      <c r="E738" s="177" t="s">
        <v>7270</v>
      </c>
      <c r="F738" s="178">
        <v>5.96368002E8</v>
      </c>
      <c r="G738" s="175" t="s">
        <v>27</v>
      </c>
      <c r="H738" s="175" t="s">
        <v>27</v>
      </c>
      <c r="I738" s="179" t="s">
        <v>7271</v>
      </c>
      <c r="J738" s="177"/>
      <c r="K738" s="175" t="s">
        <v>39</v>
      </c>
      <c r="L738" s="180"/>
      <c r="M738" s="181" t="s">
        <v>51</v>
      </c>
      <c r="N738" s="175" t="s">
        <v>40</v>
      </c>
      <c r="O738" s="175" t="s">
        <v>42</v>
      </c>
      <c r="P738" s="177" t="s">
        <v>3566</v>
      </c>
      <c r="Q738" s="175" t="s">
        <v>44</v>
      </c>
      <c r="R738" s="175"/>
      <c r="S738" s="175"/>
      <c r="T738" s="180"/>
      <c r="U738" s="175"/>
      <c r="V738" s="175">
        <v>5.0</v>
      </c>
    </row>
    <row r="739">
      <c r="A739" s="175">
        <v>739.0</v>
      </c>
      <c r="B739" s="176">
        <v>46190.0</v>
      </c>
      <c r="C739" s="175" t="s">
        <v>21</v>
      </c>
      <c r="D739" s="175" t="s">
        <v>34</v>
      </c>
      <c r="E739" s="177" t="s">
        <v>7272</v>
      </c>
      <c r="F739" s="178">
        <v>5.66835378E8</v>
      </c>
      <c r="G739" s="175" t="s">
        <v>27</v>
      </c>
      <c r="H739" s="175" t="s">
        <v>27</v>
      </c>
      <c r="I739" s="179" t="s">
        <v>7273</v>
      </c>
      <c r="J739" s="177"/>
      <c r="K739" s="175" t="s">
        <v>39</v>
      </c>
      <c r="L739" s="180"/>
      <c r="M739" s="181" t="s">
        <v>51</v>
      </c>
      <c r="N739" s="175" t="s">
        <v>40</v>
      </c>
      <c r="O739" s="175" t="s">
        <v>42</v>
      </c>
      <c r="P739" s="177" t="s">
        <v>3566</v>
      </c>
      <c r="Q739" s="175" t="s">
        <v>44</v>
      </c>
      <c r="R739" s="175"/>
      <c r="S739" s="175"/>
      <c r="T739" s="180"/>
      <c r="U739" s="175"/>
      <c r="V739" s="175">
        <v>5.0</v>
      </c>
    </row>
    <row r="740">
      <c r="A740" s="175">
        <v>740.0</v>
      </c>
      <c r="B740" s="176">
        <v>46190.0</v>
      </c>
      <c r="C740" s="175" t="s">
        <v>21</v>
      </c>
      <c r="D740" s="175" t="s">
        <v>34</v>
      </c>
      <c r="E740" s="177" t="s">
        <v>7274</v>
      </c>
      <c r="F740" s="452">
        <f>+966593019190</f>
        <v>966593019190</v>
      </c>
      <c r="G740" s="175" t="s">
        <v>27</v>
      </c>
      <c r="H740" s="175" t="s">
        <v>27</v>
      </c>
      <c r="I740" s="179" t="s">
        <v>7275</v>
      </c>
      <c r="J740" s="177"/>
      <c r="K740" s="175" t="s">
        <v>39</v>
      </c>
      <c r="L740" s="180"/>
      <c r="M740" s="181" t="s">
        <v>51</v>
      </c>
      <c r="N740" s="175" t="s">
        <v>40</v>
      </c>
      <c r="O740" s="175" t="s">
        <v>42</v>
      </c>
      <c r="P740" s="177" t="s">
        <v>3566</v>
      </c>
      <c r="Q740" s="175" t="s">
        <v>44</v>
      </c>
      <c r="R740" s="175"/>
      <c r="S740" s="175"/>
      <c r="T740" s="180"/>
      <c r="U740" s="175"/>
      <c r="V740" s="175">
        <v>5.0</v>
      </c>
    </row>
    <row r="741">
      <c r="A741" s="175">
        <v>741.0</v>
      </c>
      <c r="B741" s="176">
        <v>46190.0</v>
      </c>
      <c r="C741" s="175" t="s">
        <v>21</v>
      </c>
      <c r="D741" s="175" t="s">
        <v>34</v>
      </c>
      <c r="E741" s="175" t="s">
        <v>7276</v>
      </c>
      <c r="F741" s="452">
        <f>+966571981993</f>
        <v>966571981993</v>
      </c>
      <c r="G741" s="175" t="s">
        <v>27</v>
      </c>
      <c r="H741" s="175" t="s">
        <v>27</v>
      </c>
      <c r="I741" s="289" t="s">
        <v>7277</v>
      </c>
      <c r="J741" s="177"/>
      <c r="K741" s="175" t="s">
        <v>39</v>
      </c>
      <c r="L741" s="180"/>
      <c r="M741" s="181" t="s">
        <v>51</v>
      </c>
      <c r="N741" s="175" t="s">
        <v>40</v>
      </c>
      <c r="O741" s="175" t="s">
        <v>42</v>
      </c>
      <c r="P741" s="177" t="s">
        <v>3566</v>
      </c>
      <c r="Q741" s="175" t="s">
        <v>44</v>
      </c>
      <c r="R741" s="175"/>
      <c r="S741" s="175"/>
      <c r="T741" s="180"/>
      <c r="U741" s="175"/>
      <c r="V741" s="175">
        <v>5.0</v>
      </c>
    </row>
    <row r="742">
      <c r="A742" s="175">
        <v>742.0</v>
      </c>
      <c r="B742" s="176">
        <v>46190.0</v>
      </c>
      <c r="C742" s="175" t="s">
        <v>21</v>
      </c>
      <c r="D742" s="175" t="s">
        <v>34</v>
      </c>
      <c r="E742" s="177" t="s">
        <v>7278</v>
      </c>
      <c r="F742" s="452">
        <f>+966569425560</f>
        <v>966569425560</v>
      </c>
      <c r="G742" s="175" t="s">
        <v>27</v>
      </c>
      <c r="H742" s="175" t="s">
        <v>27</v>
      </c>
      <c r="I742" s="179" t="s">
        <v>7279</v>
      </c>
      <c r="J742" s="177"/>
      <c r="K742" s="175" t="s">
        <v>39</v>
      </c>
      <c r="L742" s="180"/>
      <c r="M742" s="181" t="s">
        <v>51</v>
      </c>
      <c r="N742" s="175" t="s">
        <v>40</v>
      </c>
      <c r="O742" s="175" t="s">
        <v>42</v>
      </c>
      <c r="P742" s="177" t="s">
        <v>3566</v>
      </c>
      <c r="Q742" s="175" t="s">
        <v>44</v>
      </c>
      <c r="R742" s="175"/>
      <c r="S742" s="175"/>
      <c r="T742" s="180"/>
      <c r="U742" s="175"/>
      <c r="V742" s="175">
        <v>5.0</v>
      </c>
    </row>
    <row r="743">
      <c r="A743" s="175">
        <v>743.0</v>
      </c>
      <c r="B743" s="176">
        <v>46190.0</v>
      </c>
      <c r="C743" s="175" t="s">
        <v>21</v>
      </c>
      <c r="D743" s="175" t="s">
        <v>34</v>
      </c>
      <c r="E743" s="177" t="s">
        <v>7280</v>
      </c>
      <c r="F743" s="452">
        <f>+966546067758</f>
        <v>966546067758</v>
      </c>
      <c r="G743" s="175" t="s">
        <v>27</v>
      </c>
      <c r="H743" s="175" t="s">
        <v>27</v>
      </c>
      <c r="I743" s="179" t="s">
        <v>7281</v>
      </c>
      <c r="J743" s="177"/>
      <c r="K743" s="175" t="s">
        <v>39</v>
      </c>
      <c r="L743" s="180"/>
      <c r="M743" s="181" t="s">
        <v>51</v>
      </c>
      <c r="N743" s="175" t="s">
        <v>40</v>
      </c>
      <c r="O743" s="175" t="s">
        <v>42</v>
      </c>
      <c r="P743" s="177" t="s">
        <v>3566</v>
      </c>
      <c r="Q743" s="175" t="s">
        <v>44</v>
      </c>
      <c r="R743" s="175"/>
      <c r="S743" s="175"/>
      <c r="T743" s="180"/>
      <c r="U743" s="175"/>
      <c r="V743" s="175">
        <v>5.0</v>
      </c>
    </row>
    <row r="744">
      <c r="A744" s="175">
        <v>744.0</v>
      </c>
      <c r="B744" s="176">
        <v>46190.0</v>
      </c>
      <c r="C744" s="175" t="s">
        <v>21</v>
      </c>
      <c r="D744" s="175" t="s">
        <v>34</v>
      </c>
      <c r="E744" s="177" t="s">
        <v>7094</v>
      </c>
      <c r="F744" s="452">
        <f>+966580523370</f>
        <v>966580523370</v>
      </c>
      <c r="G744" s="175" t="s">
        <v>27</v>
      </c>
      <c r="H744" s="175" t="s">
        <v>27</v>
      </c>
      <c r="I744" s="179" t="s">
        <v>7282</v>
      </c>
      <c r="J744" s="177"/>
      <c r="K744" s="175" t="s">
        <v>39</v>
      </c>
      <c r="L744" s="180"/>
      <c r="M744" s="181" t="s">
        <v>51</v>
      </c>
      <c r="N744" s="175" t="s">
        <v>40</v>
      </c>
      <c r="O744" s="175" t="s">
        <v>42</v>
      </c>
      <c r="P744" s="177" t="s">
        <v>3566</v>
      </c>
      <c r="Q744" s="175" t="s">
        <v>44</v>
      </c>
      <c r="R744" s="175"/>
      <c r="S744" s="175"/>
      <c r="T744" s="180"/>
      <c r="U744" s="175"/>
      <c r="V744" s="175">
        <v>5.0</v>
      </c>
    </row>
    <row r="745">
      <c r="A745" s="175">
        <v>745.0</v>
      </c>
      <c r="B745" s="176">
        <v>46190.0</v>
      </c>
      <c r="C745" s="175" t="s">
        <v>21</v>
      </c>
      <c r="D745" s="175" t="s">
        <v>34</v>
      </c>
      <c r="E745" s="177" t="s">
        <v>7283</v>
      </c>
      <c r="F745" s="452">
        <f>+966542060908</f>
        <v>966542060908</v>
      </c>
      <c r="G745" s="175" t="s">
        <v>27</v>
      </c>
      <c r="H745" s="175" t="s">
        <v>27</v>
      </c>
      <c r="I745" s="179" t="s">
        <v>7284</v>
      </c>
      <c r="J745" s="177"/>
      <c r="K745" s="175" t="s">
        <v>39</v>
      </c>
      <c r="L745" s="180"/>
      <c r="M745" s="181" t="s">
        <v>51</v>
      </c>
      <c r="N745" s="175" t="s">
        <v>40</v>
      </c>
      <c r="O745" s="175" t="s">
        <v>42</v>
      </c>
      <c r="P745" s="177" t="s">
        <v>3566</v>
      </c>
      <c r="Q745" s="175" t="s">
        <v>44</v>
      </c>
      <c r="R745" s="175"/>
      <c r="S745" s="175"/>
      <c r="T745" s="180"/>
      <c r="U745" s="175"/>
      <c r="V745" s="175">
        <v>5.0</v>
      </c>
    </row>
    <row r="746">
      <c r="A746" s="175">
        <v>746.0</v>
      </c>
      <c r="B746" s="176">
        <v>46190.0</v>
      </c>
      <c r="C746" s="175" t="s">
        <v>21</v>
      </c>
      <c r="D746" s="175" t="s">
        <v>34</v>
      </c>
      <c r="E746" s="177" t="s">
        <v>7285</v>
      </c>
      <c r="F746" s="452">
        <f>+966559274767</f>
        <v>966559274767</v>
      </c>
      <c r="G746" s="175" t="s">
        <v>27</v>
      </c>
      <c r="H746" s="175" t="s">
        <v>27</v>
      </c>
      <c r="I746" s="179" t="s">
        <v>7286</v>
      </c>
      <c r="J746" s="177"/>
      <c r="K746" s="175" t="s">
        <v>39</v>
      </c>
      <c r="L746" s="180"/>
      <c r="M746" s="181" t="s">
        <v>51</v>
      </c>
      <c r="N746" s="175" t="s">
        <v>40</v>
      </c>
      <c r="O746" s="175" t="s">
        <v>42</v>
      </c>
      <c r="P746" s="177" t="s">
        <v>3566</v>
      </c>
      <c r="Q746" s="175" t="s">
        <v>44</v>
      </c>
      <c r="R746" s="175"/>
      <c r="S746" s="175"/>
      <c r="T746" s="180"/>
      <c r="U746" s="175"/>
      <c r="V746" s="175">
        <v>5.0</v>
      </c>
    </row>
    <row r="747">
      <c r="A747" s="175">
        <v>747.0</v>
      </c>
      <c r="B747" s="176">
        <v>46190.0</v>
      </c>
      <c r="C747" s="175" t="s">
        <v>21</v>
      </c>
      <c r="D747" s="175" t="s">
        <v>34</v>
      </c>
      <c r="E747" s="175" t="s">
        <v>7287</v>
      </c>
      <c r="F747" s="452">
        <f>+966564422753</f>
        <v>966564422753</v>
      </c>
      <c r="G747" s="175" t="s">
        <v>27</v>
      </c>
      <c r="H747" s="175" t="s">
        <v>27</v>
      </c>
      <c r="I747" s="179" t="s">
        <v>7288</v>
      </c>
      <c r="J747" s="177"/>
      <c r="K747" s="175" t="s">
        <v>39</v>
      </c>
      <c r="L747" s="180"/>
      <c r="M747" s="181" t="s">
        <v>51</v>
      </c>
      <c r="N747" s="175" t="s">
        <v>40</v>
      </c>
      <c r="O747" s="175" t="s">
        <v>42</v>
      </c>
      <c r="P747" s="177" t="s">
        <v>3566</v>
      </c>
      <c r="Q747" s="175" t="s">
        <v>44</v>
      </c>
      <c r="R747" s="175"/>
      <c r="S747" s="175"/>
      <c r="T747" s="180"/>
      <c r="U747" s="175"/>
      <c r="V747" s="175">
        <v>5.0</v>
      </c>
    </row>
    <row r="748">
      <c r="A748" s="175">
        <v>748.0</v>
      </c>
      <c r="B748" s="176">
        <v>46190.0</v>
      </c>
      <c r="C748" s="175" t="s">
        <v>21</v>
      </c>
      <c r="D748" s="175" t="s">
        <v>34</v>
      </c>
      <c r="E748" s="177" t="s">
        <v>7289</v>
      </c>
      <c r="F748" s="452">
        <f>+966596227010</f>
        <v>966596227010</v>
      </c>
      <c r="G748" s="175" t="s">
        <v>27</v>
      </c>
      <c r="H748" s="175" t="s">
        <v>27</v>
      </c>
      <c r="I748" s="179" t="s">
        <v>7290</v>
      </c>
      <c r="J748" s="177"/>
      <c r="K748" s="175" t="s">
        <v>39</v>
      </c>
      <c r="L748" s="180"/>
      <c r="M748" s="181" t="s">
        <v>51</v>
      </c>
      <c r="N748" s="175" t="s">
        <v>40</v>
      </c>
      <c r="O748" s="175" t="s">
        <v>42</v>
      </c>
      <c r="P748" s="177" t="s">
        <v>3566</v>
      </c>
      <c r="Q748" s="175" t="s">
        <v>44</v>
      </c>
      <c r="R748" s="175"/>
      <c r="S748" s="175"/>
      <c r="T748" s="180"/>
      <c r="U748" s="175"/>
      <c r="V748" s="175">
        <v>5.0</v>
      </c>
    </row>
    <row r="749">
      <c r="A749" s="175">
        <v>749.0</v>
      </c>
      <c r="B749" s="176">
        <v>46190.0</v>
      </c>
      <c r="C749" s="175" t="s">
        <v>21</v>
      </c>
      <c r="D749" s="175" t="s">
        <v>34</v>
      </c>
      <c r="E749" s="177" t="s">
        <v>7292</v>
      </c>
      <c r="F749" s="452">
        <f>+966580404685</f>
        <v>966580404685</v>
      </c>
      <c r="G749" s="175" t="s">
        <v>27</v>
      </c>
      <c r="H749" s="175" t="s">
        <v>27</v>
      </c>
      <c r="I749" s="179" t="s">
        <v>7293</v>
      </c>
      <c r="J749" s="177"/>
      <c r="K749" s="175" t="s">
        <v>39</v>
      </c>
      <c r="L749" s="180"/>
      <c r="M749" s="181" t="s">
        <v>51</v>
      </c>
      <c r="N749" s="175" t="s">
        <v>40</v>
      </c>
      <c r="O749" s="175" t="s">
        <v>42</v>
      </c>
      <c r="P749" s="177" t="s">
        <v>3566</v>
      </c>
      <c r="Q749" s="175" t="s">
        <v>44</v>
      </c>
      <c r="R749" s="175"/>
      <c r="S749" s="175"/>
      <c r="T749" s="180"/>
      <c r="U749" s="175"/>
      <c r="V749" s="175">
        <v>5.0</v>
      </c>
    </row>
    <row r="750">
      <c r="A750" s="175">
        <v>750.0</v>
      </c>
      <c r="B750" s="176">
        <v>46190.0</v>
      </c>
      <c r="C750" s="175" t="s">
        <v>21</v>
      </c>
      <c r="D750" s="175" t="s">
        <v>34</v>
      </c>
      <c r="E750" s="177" t="s">
        <v>7294</v>
      </c>
      <c r="F750" s="452">
        <f>+966598449316</f>
        <v>966598449316</v>
      </c>
      <c r="G750" s="175" t="s">
        <v>27</v>
      </c>
      <c r="H750" s="175" t="s">
        <v>27</v>
      </c>
      <c r="I750" s="179" t="s">
        <v>7295</v>
      </c>
      <c r="J750" s="177"/>
      <c r="K750" s="175" t="s">
        <v>39</v>
      </c>
      <c r="L750" s="180"/>
      <c r="M750" s="181" t="s">
        <v>51</v>
      </c>
      <c r="N750" s="175" t="s">
        <v>40</v>
      </c>
      <c r="O750" s="175" t="s">
        <v>42</v>
      </c>
      <c r="P750" s="177" t="s">
        <v>3566</v>
      </c>
      <c r="Q750" s="175" t="s">
        <v>44</v>
      </c>
      <c r="R750" s="175"/>
      <c r="S750" s="175"/>
      <c r="T750" s="180"/>
      <c r="U750" s="175"/>
      <c r="V750" s="175">
        <v>5.0</v>
      </c>
    </row>
    <row r="751">
      <c r="A751" s="175">
        <v>751.0</v>
      </c>
      <c r="B751" s="176">
        <v>46190.0</v>
      </c>
      <c r="C751" s="175" t="s">
        <v>21</v>
      </c>
      <c r="D751" s="175" t="s">
        <v>34</v>
      </c>
      <c r="E751" s="175" t="s">
        <v>7297</v>
      </c>
      <c r="F751" s="452">
        <f>+966598221144</f>
        <v>966598221144</v>
      </c>
      <c r="G751" s="175" t="s">
        <v>27</v>
      </c>
      <c r="H751" s="175" t="s">
        <v>27</v>
      </c>
      <c r="I751" s="179" t="s">
        <v>7298</v>
      </c>
      <c r="J751" s="177"/>
      <c r="K751" s="175" t="s">
        <v>39</v>
      </c>
      <c r="L751" s="180"/>
      <c r="M751" s="181" t="s">
        <v>51</v>
      </c>
      <c r="N751" s="175" t="s">
        <v>40</v>
      </c>
      <c r="O751" s="175" t="s">
        <v>42</v>
      </c>
      <c r="P751" s="177" t="s">
        <v>3566</v>
      </c>
      <c r="Q751" s="175" t="s">
        <v>44</v>
      </c>
      <c r="R751" s="175"/>
      <c r="S751" s="175"/>
      <c r="T751" s="180"/>
      <c r="U751" s="175"/>
      <c r="V751" s="175">
        <v>5.0</v>
      </c>
    </row>
    <row r="752">
      <c r="A752" s="175">
        <v>752.0</v>
      </c>
      <c r="B752" s="176">
        <v>46190.0</v>
      </c>
      <c r="C752" s="175" t="s">
        <v>21</v>
      </c>
      <c r="D752" s="175" t="s">
        <v>34</v>
      </c>
      <c r="E752" s="177" t="s">
        <v>7300</v>
      </c>
      <c r="F752" s="452">
        <f>+966534361821</f>
        <v>966534361821</v>
      </c>
      <c r="G752" s="175" t="s">
        <v>27</v>
      </c>
      <c r="H752" s="175" t="s">
        <v>27</v>
      </c>
      <c r="I752" s="179" t="s">
        <v>7301</v>
      </c>
      <c r="J752" s="177"/>
      <c r="K752" s="175" t="s">
        <v>39</v>
      </c>
      <c r="L752" s="180"/>
      <c r="M752" s="181" t="s">
        <v>51</v>
      </c>
      <c r="N752" s="175" t="s">
        <v>40</v>
      </c>
      <c r="O752" s="175" t="s">
        <v>42</v>
      </c>
      <c r="P752" s="177" t="s">
        <v>3566</v>
      </c>
      <c r="Q752" s="175" t="s">
        <v>44</v>
      </c>
      <c r="R752" s="175"/>
      <c r="S752" s="175"/>
      <c r="T752" s="180"/>
      <c r="U752" s="175"/>
      <c r="V752" s="175">
        <v>5.0</v>
      </c>
    </row>
    <row r="753">
      <c r="A753" s="175">
        <v>753.0</v>
      </c>
      <c r="B753" s="176">
        <v>46190.0</v>
      </c>
      <c r="C753" s="175" t="s">
        <v>21</v>
      </c>
      <c r="D753" s="175" t="s">
        <v>34</v>
      </c>
      <c r="E753" s="177" t="s">
        <v>7302</v>
      </c>
      <c r="F753" s="452">
        <f>+966561848494</f>
        <v>966561848494</v>
      </c>
      <c r="G753" s="175" t="s">
        <v>27</v>
      </c>
      <c r="H753" s="175" t="s">
        <v>27</v>
      </c>
      <c r="I753" s="179" t="s">
        <v>7303</v>
      </c>
      <c r="J753" s="177"/>
      <c r="K753" s="175" t="s">
        <v>39</v>
      </c>
      <c r="L753" s="180"/>
      <c r="M753" s="181" t="s">
        <v>51</v>
      </c>
      <c r="N753" s="175" t="s">
        <v>40</v>
      </c>
      <c r="O753" s="175" t="s">
        <v>42</v>
      </c>
      <c r="P753" s="177" t="s">
        <v>3566</v>
      </c>
      <c r="Q753" s="175" t="s">
        <v>44</v>
      </c>
      <c r="R753" s="175"/>
      <c r="S753" s="175"/>
      <c r="T753" s="180"/>
      <c r="U753" s="175"/>
      <c r="V753" s="175">
        <v>5.0</v>
      </c>
    </row>
    <row r="754">
      <c r="A754" s="175">
        <v>754.0</v>
      </c>
      <c r="B754" s="176">
        <v>46190.0</v>
      </c>
      <c r="C754" s="175" t="s">
        <v>21</v>
      </c>
      <c r="D754" s="175" t="s">
        <v>34</v>
      </c>
      <c r="E754" s="177" t="s">
        <v>7304</v>
      </c>
      <c r="F754" s="452">
        <f>+966546118954</f>
        <v>966546118954</v>
      </c>
      <c r="G754" s="175" t="s">
        <v>27</v>
      </c>
      <c r="H754" s="175" t="s">
        <v>27</v>
      </c>
      <c r="I754" s="179" t="s">
        <v>7305</v>
      </c>
      <c r="J754" s="177"/>
      <c r="K754" s="175" t="s">
        <v>39</v>
      </c>
      <c r="L754" s="180"/>
      <c r="M754" s="181" t="s">
        <v>51</v>
      </c>
      <c r="N754" s="175" t="s">
        <v>40</v>
      </c>
      <c r="O754" s="175" t="s">
        <v>42</v>
      </c>
      <c r="P754" s="177" t="s">
        <v>3566</v>
      </c>
      <c r="Q754" s="175" t="s">
        <v>44</v>
      </c>
      <c r="R754" s="175"/>
      <c r="S754" s="175"/>
      <c r="T754" s="180"/>
      <c r="U754" s="175"/>
      <c r="V754" s="175">
        <v>5.0</v>
      </c>
    </row>
    <row r="755">
      <c r="A755" s="175">
        <v>755.0</v>
      </c>
      <c r="B755" s="176">
        <v>46190.0</v>
      </c>
      <c r="C755" s="175" t="s">
        <v>21</v>
      </c>
      <c r="D755" s="175" t="s">
        <v>34</v>
      </c>
      <c r="E755" s="177" t="s">
        <v>7306</v>
      </c>
      <c r="F755" s="452">
        <f>+966503432304</f>
        <v>966503432304</v>
      </c>
      <c r="G755" s="175" t="s">
        <v>27</v>
      </c>
      <c r="H755" s="175" t="s">
        <v>27</v>
      </c>
      <c r="I755" s="179" t="s">
        <v>7307</v>
      </c>
      <c r="J755" s="177"/>
      <c r="K755" s="175" t="s">
        <v>39</v>
      </c>
      <c r="L755" s="180"/>
      <c r="M755" s="181" t="s">
        <v>51</v>
      </c>
      <c r="N755" s="175" t="s">
        <v>40</v>
      </c>
      <c r="O755" s="175" t="s">
        <v>42</v>
      </c>
      <c r="P755" s="177" t="s">
        <v>3566</v>
      </c>
      <c r="Q755" s="175" t="s">
        <v>44</v>
      </c>
      <c r="R755" s="175"/>
      <c r="S755" s="175"/>
      <c r="T755" s="180"/>
      <c r="U755" s="175"/>
      <c r="V755" s="175">
        <v>5.0</v>
      </c>
    </row>
    <row r="756">
      <c r="A756" s="175">
        <v>756.0</v>
      </c>
      <c r="B756" s="176">
        <v>46190.0</v>
      </c>
      <c r="C756" s="175" t="s">
        <v>21</v>
      </c>
      <c r="D756" s="175" t="s">
        <v>34</v>
      </c>
      <c r="E756" s="177" t="s">
        <v>7308</v>
      </c>
      <c r="F756" s="452">
        <f>+966590077705</f>
        <v>966590077705</v>
      </c>
      <c r="G756" s="175" t="s">
        <v>27</v>
      </c>
      <c r="H756" s="175" t="s">
        <v>27</v>
      </c>
      <c r="I756" s="179" t="s">
        <v>7309</v>
      </c>
      <c r="J756" s="177"/>
      <c r="K756" s="175" t="s">
        <v>39</v>
      </c>
      <c r="L756" s="180"/>
      <c r="M756" s="181" t="s">
        <v>51</v>
      </c>
      <c r="N756" s="175" t="s">
        <v>40</v>
      </c>
      <c r="O756" s="175" t="s">
        <v>42</v>
      </c>
      <c r="P756" s="177" t="s">
        <v>3566</v>
      </c>
      <c r="Q756" s="175" t="s">
        <v>44</v>
      </c>
      <c r="R756" s="175"/>
      <c r="S756" s="175"/>
      <c r="T756" s="180"/>
      <c r="U756" s="175"/>
      <c r="V756" s="175">
        <v>5.0</v>
      </c>
    </row>
    <row r="757">
      <c r="A757" s="175">
        <v>757.0</v>
      </c>
      <c r="B757" s="176">
        <v>46190.0</v>
      </c>
      <c r="C757" s="175" t="s">
        <v>21</v>
      </c>
      <c r="D757" s="175" t="s">
        <v>34</v>
      </c>
      <c r="E757" s="177" t="s">
        <v>7310</v>
      </c>
      <c r="F757" s="452">
        <f>+966596089911</f>
        <v>966596089911</v>
      </c>
      <c r="G757" s="175" t="s">
        <v>27</v>
      </c>
      <c r="H757" s="175" t="s">
        <v>27</v>
      </c>
      <c r="I757" s="179" t="s">
        <v>7311</v>
      </c>
      <c r="J757" s="177"/>
      <c r="K757" s="175" t="s">
        <v>39</v>
      </c>
      <c r="L757" s="180"/>
      <c r="M757" s="181" t="s">
        <v>51</v>
      </c>
      <c r="N757" s="175" t="s">
        <v>40</v>
      </c>
      <c r="O757" s="175" t="s">
        <v>42</v>
      </c>
      <c r="P757" s="177" t="s">
        <v>3566</v>
      </c>
      <c r="Q757" s="175" t="s">
        <v>44</v>
      </c>
      <c r="R757" s="175"/>
      <c r="S757" s="175"/>
      <c r="T757" s="180"/>
      <c r="U757" s="175"/>
      <c r="V757" s="175">
        <v>5.0</v>
      </c>
    </row>
    <row r="758">
      <c r="A758" s="175">
        <v>758.0</v>
      </c>
      <c r="B758" s="176">
        <v>46190.0</v>
      </c>
      <c r="C758" s="175" t="s">
        <v>21</v>
      </c>
      <c r="D758" s="175" t="s">
        <v>34</v>
      </c>
      <c r="E758" s="177" t="s">
        <v>7312</v>
      </c>
      <c r="F758" s="452">
        <f>+966504413402</f>
        <v>966504413402</v>
      </c>
      <c r="G758" s="175" t="s">
        <v>27</v>
      </c>
      <c r="H758" s="175" t="s">
        <v>27</v>
      </c>
      <c r="I758" s="179" t="s">
        <v>7313</v>
      </c>
      <c r="J758" s="177"/>
      <c r="K758" s="175" t="s">
        <v>39</v>
      </c>
      <c r="L758" s="180"/>
      <c r="M758" s="181" t="s">
        <v>51</v>
      </c>
      <c r="N758" s="175" t="s">
        <v>40</v>
      </c>
      <c r="O758" s="175" t="s">
        <v>42</v>
      </c>
      <c r="P758" s="177" t="s">
        <v>3566</v>
      </c>
      <c r="Q758" s="175" t="s">
        <v>44</v>
      </c>
      <c r="R758" s="175"/>
      <c r="S758" s="175"/>
      <c r="T758" s="180"/>
      <c r="U758" s="175"/>
      <c r="V758" s="175">
        <v>5.0</v>
      </c>
    </row>
    <row r="759">
      <c r="A759" s="175">
        <v>759.0</v>
      </c>
      <c r="B759" s="176">
        <v>46190.0</v>
      </c>
      <c r="C759" s="175" t="s">
        <v>21</v>
      </c>
      <c r="D759" s="175" t="s">
        <v>34</v>
      </c>
      <c r="E759" s="177" t="s">
        <v>7314</v>
      </c>
      <c r="F759" s="452">
        <f>+966535343116</f>
        <v>966535343116</v>
      </c>
      <c r="G759" s="175" t="s">
        <v>27</v>
      </c>
      <c r="H759" s="175" t="s">
        <v>27</v>
      </c>
      <c r="I759" s="179" t="s">
        <v>7315</v>
      </c>
      <c r="J759" s="177"/>
      <c r="K759" s="175" t="s">
        <v>39</v>
      </c>
      <c r="L759" s="180"/>
      <c r="M759" s="181" t="s">
        <v>51</v>
      </c>
      <c r="N759" s="175" t="s">
        <v>40</v>
      </c>
      <c r="O759" s="175" t="s">
        <v>42</v>
      </c>
      <c r="P759" s="177" t="s">
        <v>3566</v>
      </c>
      <c r="Q759" s="175" t="s">
        <v>44</v>
      </c>
      <c r="R759" s="175"/>
      <c r="S759" s="175"/>
      <c r="T759" s="180"/>
      <c r="U759" s="175"/>
      <c r="V759" s="175">
        <v>5.0</v>
      </c>
    </row>
    <row r="760">
      <c r="A760" s="175">
        <v>760.0</v>
      </c>
      <c r="B760" s="176">
        <v>46190.0</v>
      </c>
      <c r="C760" s="175" t="s">
        <v>21</v>
      </c>
      <c r="D760" s="175" t="s">
        <v>34</v>
      </c>
      <c r="E760" s="177" t="s">
        <v>7316</v>
      </c>
      <c r="F760" s="452">
        <f>+966551755970</f>
        <v>966551755970</v>
      </c>
      <c r="G760" s="175" t="s">
        <v>27</v>
      </c>
      <c r="H760" s="175" t="s">
        <v>27</v>
      </c>
      <c r="I760" s="179" t="s">
        <v>7317</v>
      </c>
      <c r="J760" s="177"/>
      <c r="K760" s="175" t="s">
        <v>39</v>
      </c>
      <c r="L760" s="180"/>
      <c r="M760" s="181" t="s">
        <v>51</v>
      </c>
      <c r="N760" s="175" t="s">
        <v>40</v>
      </c>
      <c r="O760" s="175" t="s">
        <v>42</v>
      </c>
      <c r="P760" s="177" t="s">
        <v>3566</v>
      </c>
      <c r="Q760" s="175" t="s">
        <v>44</v>
      </c>
      <c r="R760" s="175"/>
      <c r="S760" s="175"/>
      <c r="T760" s="180"/>
      <c r="U760" s="175"/>
      <c r="V760" s="175">
        <v>5.0</v>
      </c>
    </row>
    <row r="761">
      <c r="A761" s="175">
        <v>761.0</v>
      </c>
      <c r="B761" s="176">
        <v>46190.0</v>
      </c>
      <c r="C761" s="175" t="s">
        <v>21</v>
      </c>
      <c r="D761" s="175" t="s">
        <v>34</v>
      </c>
      <c r="E761" s="177" t="s">
        <v>7318</v>
      </c>
      <c r="F761" s="452">
        <f>+966501887683</f>
        <v>966501887683</v>
      </c>
      <c r="G761" s="175" t="s">
        <v>27</v>
      </c>
      <c r="H761" s="175" t="s">
        <v>27</v>
      </c>
      <c r="I761" s="179" t="s">
        <v>7319</v>
      </c>
      <c r="J761" s="177"/>
      <c r="K761" s="175" t="s">
        <v>39</v>
      </c>
      <c r="L761" s="180"/>
      <c r="M761" s="181" t="s">
        <v>51</v>
      </c>
      <c r="N761" s="175" t="s">
        <v>40</v>
      </c>
      <c r="O761" s="175" t="s">
        <v>42</v>
      </c>
      <c r="P761" s="177" t="s">
        <v>3566</v>
      </c>
      <c r="Q761" s="175" t="s">
        <v>44</v>
      </c>
      <c r="R761" s="175"/>
      <c r="S761" s="175"/>
      <c r="T761" s="180"/>
      <c r="U761" s="175"/>
      <c r="V761" s="175">
        <v>5.0</v>
      </c>
    </row>
    <row r="762">
      <c r="A762" s="175">
        <v>762.0</v>
      </c>
      <c r="B762" s="176">
        <v>46190.0</v>
      </c>
      <c r="C762" s="175" t="s">
        <v>21</v>
      </c>
      <c r="D762" s="175" t="s">
        <v>34</v>
      </c>
      <c r="E762" s="175" t="s">
        <v>7320</v>
      </c>
      <c r="F762" s="452">
        <f>+966555518796</f>
        <v>966555518796</v>
      </c>
      <c r="G762" s="175" t="s">
        <v>27</v>
      </c>
      <c r="H762" s="175" t="s">
        <v>27</v>
      </c>
      <c r="I762" s="179" t="s">
        <v>7321</v>
      </c>
      <c r="J762" s="177"/>
      <c r="K762" s="175" t="s">
        <v>39</v>
      </c>
      <c r="L762" s="180"/>
      <c r="M762" s="181" t="s">
        <v>51</v>
      </c>
      <c r="N762" s="175" t="s">
        <v>40</v>
      </c>
      <c r="O762" s="175" t="s">
        <v>42</v>
      </c>
      <c r="P762" s="177" t="s">
        <v>3566</v>
      </c>
      <c r="Q762" s="175" t="s">
        <v>44</v>
      </c>
      <c r="R762" s="175"/>
      <c r="S762" s="175"/>
      <c r="T762" s="180"/>
      <c r="U762" s="175"/>
      <c r="V762" s="175">
        <v>5.0</v>
      </c>
    </row>
    <row r="763">
      <c r="A763" s="175">
        <v>763.0</v>
      </c>
      <c r="B763" s="176">
        <v>46190.0</v>
      </c>
      <c r="C763" s="175" t="s">
        <v>21</v>
      </c>
      <c r="D763" s="175" t="s">
        <v>34</v>
      </c>
      <c r="E763" s="175" t="s">
        <v>7322</v>
      </c>
      <c r="F763" s="452">
        <f>+966595959202</f>
        <v>966595959202</v>
      </c>
      <c r="G763" s="175" t="s">
        <v>27</v>
      </c>
      <c r="H763" s="175" t="s">
        <v>27</v>
      </c>
      <c r="I763" s="289" t="s">
        <v>34</v>
      </c>
      <c r="J763" s="177"/>
      <c r="K763" s="175" t="s">
        <v>39</v>
      </c>
      <c r="L763" s="180"/>
      <c r="M763" s="181" t="s">
        <v>51</v>
      </c>
      <c r="N763" s="175" t="s">
        <v>40</v>
      </c>
      <c r="O763" s="175" t="s">
        <v>42</v>
      </c>
      <c r="P763" s="177" t="s">
        <v>3566</v>
      </c>
      <c r="Q763" s="175" t="s">
        <v>44</v>
      </c>
      <c r="R763" s="175"/>
      <c r="S763" s="175"/>
      <c r="T763" s="180"/>
      <c r="U763" s="175"/>
      <c r="V763" s="175">
        <v>5.0</v>
      </c>
    </row>
    <row r="764">
      <c r="A764" s="175">
        <v>764.0</v>
      </c>
      <c r="B764" s="176">
        <v>46190.0</v>
      </c>
      <c r="C764" s="175" t="s">
        <v>21</v>
      </c>
      <c r="D764" s="175" t="s">
        <v>34</v>
      </c>
      <c r="E764" s="177" t="s">
        <v>7323</v>
      </c>
      <c r="F764" s="452">
        <f>+966530510175</f>
        <v>966530510175</v>
      </c>
      <c r="G764" s="175" t="s">
        <v>27</v>
      </c>
      <c r="H764" s="175" t="s">
        <v>27</v>
      </c>
      <c r="I764" s="179" t="s">
        <v>7324</v>
      </c>
      <c r="J764" s="177"/>
      <c r="K764" s="175" t="s">
        <v>39</v>
      </c>
      <c r="L764" s="180"/>
      <c r="M764" s="181" t="s">
        <v>51</v>
      </c>
      <c r="N764" s="175" t="s">
        <v>40</v>
      </c>
      <c r="O764" s="175" t="s">
        <v>42</v>
      </c>
      <c r="P764" s="177" t="s">
        <v>3566</v>
      </c>
      <c r="Q764" s="175" t="s">
        <v>44</v>
      </c>
      <c r="R764" s="175"/>
      <c r="S764" s="175"/>
      <c r="T764" s="180"/>
      <c r="U764" s="175"/>
      <c r="V764" s="175">
        <v>5.0</v>
      </c>
    </row>
    <row r="765">
      <c r="A765" s="175">
        <v>765.0</v>
      </c>
      <c r="B765" s="176">
        <v>46190.0</v>
      </c>
      <c r="C765" s="175" t="s">
        <v>21</v>
      </c>
      <c r="D765" s="175" t="s">
        <v>34</v>
      </c>
      <c r="E765" s="177" t="s">
        <v>7325</v>
      </c>
      <c r="F765" s="452">
        <f>+966561111172</f>
        <v>966561111172</v>
      </c>
      <c r="G765" s="175" t="s">
        <v>27</v>
      </c>
      <c r="H765" s="175" t="s">
        <v>27</v>
      </c>
      <c r="I765" s="179" t="s">
        <v>7326</v>
      </c>
      <c r="J765" s="177"/>
      <c r="K765" s="175" t="s">
        <v>39</v>
      </c>
      <c r="L765" s="180"/>
      <c r="M765" s="181" t="s">
        <v>51</v>
      </c>
      <c r="N765" s="175" t="s">
        <v>40</v>
      </c>
      <c r="O765" s="175" t="s">
        <v>42</v>
      </c>
      <c r="P765" s="177" t="s">
        <v>3566</v>
      </c>
      <c r="Q765" s="175" t="s">
        <v>44</v>
      </c>
      <c r="R765" s="175"/>
      <c r="S765" s="175"/>
      <c r="T765" s="180"/>
      <c r="U765" s="175"/>
      <c r="V765" s="175">
        <v>5.0</v>
      </c>
    </row>
    <row r="766">
      <c r="A766" s="175">
        <v>766.0</v>
      </c>
      <c r="B766" s="176">
        <v>46190.0</v>
      </c>
      <c r="C766" s="175" t="s">
        <v>21</v>
      </c>
      <c r="D766" s="175" t="s">
        <v>34</v>
      </c>
      <c r="E766" s="177" t="s">
        <v>7091</v>
      </c>
      <c r="F766" s="452">
        <f>+966504721190</f>
        <v>966504721190</v>
      </c>
      <c r="G766" s="175" t="s">
        <v>27</v>
      </c>
      <c r="H766" s="175" t="s">
        <v>27</v>
      </c>
      <c r="I766" s="179" t="s">
        <v>7327</v>
      </c>
      <c r="J766" s="177"/>
      <c r="K766" s="175" t="s">
        <v>39</v>
      </c>
      <c r="L766" s="180"/>
      <c r="M766" s="181" t="s">
        <v>51</v>
      </c>
      <c r="N766" s="175" t="s">
        <v>40</v>
      </c>
      <c r="O766" s="175" t="s">
        <v>42</v>
      </c>
      <c r="P766" s="177" t="s">
        <v>3566</v>
      </c>
      <c r="Q766" s="175" t="s">
        <v>44</v>
      </c>
      <c r="R766" s="175"/>
      <c r="S766" s="175"/>
      <c r="T766" s="180"/>
      <c r="U766" s="175"/>
      <c r="V766" s="175">
        <v>5.0</v>
      </c>
    </row>
    <row r="767">
      <c r="A767" s="175">
        <v>767.0</v>
      </c>
      <c r="B767" s="176">
        <v>46190.0</v>
      </c>
      <c r="C767" s="175" t="s">
        <v>21</v>
      </c>
      <c r="D767" s="175" t="s">
        <v>34</v>
      </c>
      <c r="E767" s="177" t="s">
        <v>7328</v>
      </c>
      <c r="F767" s="452">
        <f>+966580610585</f>
        <v>966580610585</v>
      </c>
      <c r="G767" s="175" t="s">
        <v>27</v>
      </c>
      <c r="H767" s="175" t="s">
        <v>27</v>
      </c>
      <c r="I767" s="179" t="s">
        <v>7329</v>
      </c>
      <c r="J767" s="177"/>
      <c r="K767" s="175" t="s">
        <v>39</v>
      </c>
      <c r="L767" s="180"/>
      <c r="M767" s="181" t="s">
        <v>51</v>
      </c>
      <c r="N767" s="175" t="s">
        <v>40</v>
      </c>
      <c r="O767" s="175" t="s">
        <v>42</v>
      </c>
      <c r="P767" s="177" t="s">
        <v>3566</v>
      </c>
      <c r="Q767" s="175" t="s">
        <v>44</v>
      </c>
      <c r="R767" s="175"/>
      <c r="S767" s="175"/>
      <c r="T767" s="180"/>
      <c r="U767" s="175"/>
      <c r="V767" s="175">
        <v>5.0</v>
      </c>
    </row>
    <row r="768">
      <c r="A768" s="175">
        <v>768.0</v>
      </c>
      <c r="B768" s="176">
        <v>46190.0</v>
      </c>
      <c r="C768" s="175" t="s">
        <v>21</v>
      </c>
      <c r="D768" s="175" t="s">
        <v>34</v>
      </c>
      <c r="E768" s="177" t="s">
        <v>7330</v>
      </c>
      <c r="F768" s="452">
        <f>+966555077603</f>
        <v>966555077603</v>
      </c>
      <c r="G768" s="175" t="s">
        <v>27</v>
      </c>
      <c r="H768" s="175" t="s">
        <v>27</v>
      </c>
      <c r="I768" s="179" t="s">
        <v>7331</v>
      </c>
      <c r="J768" s="177"/>
      <c r="K768" s="175" t="s">
        <v>39</v>
      </c>
      <c r="L768" s="180"/>
      <c r="M768" s="181" t="s">
        <v>51</v>
      </c>
      <c r="N768" s="175" t="s">
        <v>40</v>
      </c>
      <c r="O768" s="175" t="s">
        <v>42</v>
      </c>
      <c r="P768" s="177" t="s">
        <v>3566</v>
      </c>
      <c r="Q768" s="175" t="s">
        <v>44</v>
      </c>
      <c r="R768" s="175"/>
      <c r="S768" s="175"/>
      <c r="T768" s="180"/>
      <c r="U768" s="175"/>
      <c r="V768" s="175">
        <v>5.0</v>
      </c>
    </row>
    <row r="769">
      <c r="A769" s="175">
        <v>769.0</v>
      </c>
      <c r="B769" s="176">
        <v>46190.0</v>
      </c>
      <c r="C769" s="175" t="s">
        <v>21</v>
      </c>
      <c r="D769" s="175" t="s">
        <v>34</v>
      </c>
      <c r="E769" s="177" t="s">
        <v>7332</v>
      </c>
      <c r="F769" s="452">
        <f>+966531982735</f>
        <v>966531982735</v>
      </c>
      <c r="G769" s="175" t="s">
        <v>27</v>
      </c>
      <c r="H769" s="175" t="s">
        <v>27</v>
      </c>
      <c r="I769" s="179" t="s">
        <v>7333</v>
      </c>
      <c r="J769" s="177"/>
      <c r="K769" s="175" t="s">
        <v>39</v>
      </c>
      <c r="L769" s="180"/>
      <c r="M769" s="181" t="s">
        <v>51</v>
      </c>
      <c r="N769" s="175" t="s">
        <v>40</v>
      </c>
      <c r="O769" s="175" t="s">
        <v>42</v>
      </c>
      <c r="P769" s="177" t="s">
        <v>3566</v>
      </c>
      <c r="Q769" s="175" t="s">
        <v>44</v>
      </c>
      <c r="R769" s="175"/>
      <c r="S769" s="175"/>
      <c r="T769" s="180"/>
      <c r="U769" s="175"/>
      <c r="V769" s="175">
        <v>5.0</v>
      </c>
    </row>
    <row r="770">
      <c r="A770" s="175">
        <v>770.0</v>
      </c>
      <c r="B770" s="176">
        <v>46190.0</v>
      </c>
      <c r="C770" s="175" t="s">
        <v>21</v>
      </c>
      <c r="D770" s="175" t="s">
        <v>34</v>
      </c>
      <c r="E770" s="177" t="s">
        <v>7334</v>
      </c>
      <c r="F770" s="452">
        <f>+966566420622</f>
        <v>966566420622</v>
      </c>
      <c r="G770" s="175" t="s">
        <v>27</v>
      </c>
      <c r="H770" s="175" t="s">
        <v>27</v>
      </c>
      <c r="I770" s="179" t="s">
        <v>7335</v>
      </c>
      <c r="J770" s="177"/>
      <c r="K770" s="175" t="s">
        <v>39</v>
      </c>
      <c r="L770" s="180"/>
      <c r="M770" s="181" t="s">
        <v>51</v>
      </c>
      <c r="N770" s="175" t="s">
        <v>40</v>
      </c>
      <c r="O770" s="175" t="s">
        <v>42</v>
      </c>
      <c r="P770" s="177" t="s">
        <v>3566</v>
      </c>
      <c r="Q770" s="175" t="s">
        <v>44</v>
      </c>
      <c r="R770" s="175"/>
      <c r="S770" s="175"/>
      <c r="T770" s="180"/>
      <c r="U770" s="175"/>
      <c r="V770" s="175">
        <v>5.0</v>
      </c>
    </row>
    <row r="771">
      <c r="A771" s="175">
        <v>771.0</v>
      </c>
      <c r="B771" s="176">
        <v>46190.0</v>
      </c>
      <c r="C771" s="175" t="s">
        <v>21</v>
      </c>
      <c r="D771" s="175" t="s">
        <v>34</v>
      </c>
      <c r="E771" s="177" t="s">
        <v>7336</v>
      </c>
      <c r="F771" s="452">
        <f>+966569977660</f>
        <v>966569977660</v>
      </c>
      <c r="G771" s="175" t="s">
        <v>27</v>
      </c>
      <c r="H771" s="175" t="s">
        <v>27</v>
      </c>
      <c r="I771" s="179" t="s">
        <v>7337</v>
      </c>
      <c r="J771" s="177"/>
      <c r="K771" s="175" t="s">
        <v>39</v>
      </c>
      <c r="L771" s="180"/>
      <c r="M771" s="181" t="s">
        <v>51</v>
      </c>
      <c r="N771" s="175" t="s">
        <v>40</v>
      </c>
      <c r="O771" s="175" t="s">
        <v>42</v>
      </c>
      <c r="P771" s="177" t="s">
        <v>3566</v>
      </c>
      <c r="Q771" s="175" t="s">
        <v>44</v>
      </c>
      <c r="R771" s="175"/>
      <c r="S771" s="175"/>
      <c r="T771" s="180"/>
      <c r="U771" s="175"/>
      <c r="V771" s="175">
        <v>5.0</v>
      </c>
    </row>
    <row r="772">
      <c r="A772" s="175">
        <v>772.0</v>
      </c>
      <c r="B772" s="176">
        <v>46190.0</v>
      </c>
      <c r="C772" s="175" t="s">
        <v>21</v>
      </c>
      <c r="D772" s="175" t="s">
        <v>34</v>
      </c>
      <c r="E772" s="177" t="s">
        <v>7338</v>
      </c>
      <c r="F772" s="452">
        <f>+966565845500</f>
        <v>966565845500</v>
      </c>
      <c r="G772" s="175" t="s">
        <v>27</v>
      </c>
      <c r="H772" s="175" t="s">
        <v>27</v>
      </c>
      <c r="I772" s="179" t="s">
        <v>7339</v>
      </c>
      <c r="J772" s="177"/>
      <c r="K772" s="175" t="s">
        <v>39</v>
      </c>
      <c r="L772" s="180"/>
      <c r="M772" s="181" t="s">
        <v>51</v>
      </c>
      <c r="N772" s="175" t="s">
        <v>40</v>
      </c>
      <c r="O772" s="175" t="s">
        <v>42</v>
      </c>
      <c r="P772" s="177" t="s">
        <v>3566</v>
      </c>
      <c r="Q772" s="175" t="s">
        <v>44</v>
      </c>
      <c r="R772" s="175"/>
      <c r="S772" s="175"/>
      <c r="T772" s="180"/>
      <c r="U772" s="175"/>
      <c r="V772" s="175">
        <v>5.0</v>
      </c>
    </row>
    <row r="773">
      <c r="A773" s="175">
        <v>773.0</v>
      </c>
      <c r="B773" s="176">
        <v>46190.0</v>
      </c>
      <c r="C773" s="175" t="s">
        <v>21</v>
      </c>
      <c r="D773" s="175" t="s">
        <v>34</v>
      </c>
      <c r="E773" s="175" t="s">
        <v>7340</v>
      </c>
      <c r="F773" s="452">
        <f>+966546942202</f>
        <v>966546942202</v>
      </c>
      <c r="G773" s="175" t="s">
        <v>27</v>
      </c>
      <c r="H773" s="175" t="s">
        <v>27</v>
      </c>
      <c r="I773" s="179" t="s">
        <v>7341</v>
      </c>
      <c r="J773" s="177"/>
      <c r="K773" s="175" t="s">
        <v>39</v>
      </c>
      <c r="L773" s="180"/>
      <c r="M773" s="181" t="s">
        <v>51</v>
      </c>
      <c r="N773" s="175" t="s">
        <v>40</v>
      </c>
      <c r="O773" s="175" t="s">
        <v>42</v>
      </c>
      <c r="P773" s="177" t="s">
        <v>3566</v>
      </c>
      <c r="Q773" s="175" t="s">
        <v>44</v>
      </c>
      <c r="R773" s="175"/>
      <c r="S773" s="175"/>
      <c r="T773" s="180"/>
      <c r="U773" s="175"/>
      <c r="V773" s="175">
        <v>5.0</v>
      </c>
    </row>
    <row r="774">
      <c r="A774" s="175">
        <v>774.0</v>
      </c>
      <c r="B774" s="176">
        <v>46190.0</v>
      </c>
      <c r="C774" s="175" t="s">
        <v>21</v>
      </c>
      <c r="D774" s="175" t="s">
        <v>34</v>
      </c>
      <c r="E774" s="177" t="s">
        <v>7342</v>
      </c>
      <c r="F774" s="452">
        <f>+966535854810</f>
        <v>966535854810</v>
      </c>
      <c r="G774" s="175" t="s">
        <v>27</v>
      </c>
      <c r="H774" s="175" t="s">
        <v>27</v>
      </c>
      <c r="I774" s="179" t="s">
        <v>7343</v>
      </c>
      <c r="J774" s="177"/>
      <c r="K774" s="175" t="s">
        <v>39</v>
      </c>
      <c r="L774" s="180"/>
      <c r="M774" s="181" t="s">
        <v>51</v>
      </c>
      <c r="N774" s="175" t="s">
        <v>40</v>
      </c>
      <c r="O774" s="175" t="s">
        <v>42</v>
      </c>
      <c r="P774" s="177" t="s">
        <v>3566</v>
      </c>
      <c r="Q774" s="175" t="s">
        <v>44</v>
      </c>
      <c r="R774" s="175"/>
      <c r="S774" s="175"/>
      <c r="T774" s="180"/>
      <c r="U774" s="175"/>
      <c r="V774" s="175">
        <v>5.0</v>
      </c>
    </row>
    <row r="775">
      <c r="A775" s="175">
        <v>775.0</v>
      </c>
      <c r="B775" s="176">
        <v>46190.0</v>
      </c>
      <c r="C775" s="175" t="s">
        <v>21</v>
      </c>
      <c r="D775" s="175" t="s">
        <v>34</v>
      </c>
      <c r="E775" s="177" t="s">
        <v>7344</v>
      </c>
      <c r="F775" s="452">
        <f>+966509893904</f>
        <v>966509893904</v>
      </c>
      <c r="G775" s="175" t="s">
        <v>27</v>
      </c>
      <c r="H775" s="175" t="s">
        <v>27</v>
      </c>
      <c r="I775" s="179" t="s">
        <v>7345</v>
      </c>
      <c r="J775" s="177"/>
      <c r="K775" s="175" t="s">
        <v>39</v>
      </c>
      <c r="L775" s="180"/>
      <c r="M775" s="181" t="s">
        <v>51</v>
      </c>
      <c r="N775" s="175" t="s">
        <v>40</v>
      </c>
      <c r="O775" s="175" t="s">
        <v>42</v>
      </c>
      <c r="P775" s="177" t="s">
        <v>3566</v>
      </c>
      <c r="Q775" s="175" t="s">
        <v>44</v>
      </c>
      <c r="R775" s="175"/>
      <c r="S775" s="175"/>
      <c r="T775" s="180"/>
      <c r="U775" s="175"/>
      <c r="V775" s="175">
        <v>5.0</v>
      </c>
    </row>
    <row r="776">
      <c r="A776" s="175">
        <v>776.0</v>
      </c>
      <c r="B776" s="176">
        <v>46190.0</v>
      </c>
      <c r="C776" s="175" t="s">
        <v>21</v>
      </c>
      <c r="D776" s="175" t="s">
        <v>34</v>
      </c>
      <c r="E776" s="177" t="s">
        <v>7346</v>
      </c>
      <c r="F776" s="452">
        <f>+966560695385</f>
        <v>966560695385</v>
      </c>
      <c r="G776" s="175" t="s">
        <v>27</v>
      </c>
      <c r="H776" s="175" t="s">
        <v>27</v>
      </c>
      <c r="I776" s="179" t="s">
        <v>7347</v>
      </c>
      <c r="J776" s="177"/>
      <c r="K776" s="175" t="s">
        <v>39</v>
      </c>
      <c r="L776" s="180"/>
      <c r="M776" s="181" t="s">
        <v>51</v>
      </c>
      <c r="N776" s="175" t="s">
        <v>40</v>
      </c>
      <c r="O776" s="175" t="s">
        <v>42</v>
      </c>
      <c r="P776" s="177" t="s">
        <v>3566</v>
      </c>
      <c r="Q776" s="175" t="s">
        <v>44</v>
      </c>
      <c r="R776" s="175"/>
      <c r="S776" s="175"/>
      <c r="T776" s="180"/>
      <c r="U776" s="175"/>
      <c r="V776" s="175">
        <v>5.0</v>
      </c>
    </row>
    <row r="777">
      <c r="A777" s="175">
        <v>777.0</v>
      </c>
      <c r="B777" s="176">
        <v>46190.0</v>
      </c>
      <c r="C777" s="175" t="s">
        <v>21</v>
      </c>
      <c r="D777" s="175" t="s">
        <v>34</v>
      </c>
      <c r="E777" s="177" t="s">
        <v>7348</v>
      </c>
      <c r="F777" s="452">
        <f t="shared" ref="F777:F778" si="1">+966575674908</f>
        <v>966575674908</v>
      </c>
      <c r="G777" s="175" t="s">
        <v>27</v>
      </c>
      <c r="H777" s="175" t="s">
        <v>27</v>
      </c>
      <c r="I777" s="179" t="s">
        <v>7349</v>
      </c>
      <c r="J777" s="177"/>
      <c r="K777" s="175" t="s">
        <v>39</v>
      </c>
      <c r="L777" s="180"/>
      <c r="M777" s="181" t="s">
        <v>51</v>
      </c>
      <c r="N777" s="175" t="s">
        <v>40</v>
      </c>
      <c r="O777" s="175" t="s">
        <v>42</v>
      </c>
      <c r="P777" s="177" t="s">
        <v>3566</v>
      </c>
      <c r="Q777" s="175" t="s">
        <v>44</v>
      </c>
      <c r="R777" s="175"/>
      <c r="S777" s="175"/>
      <c r="T777" s="180"/>
      <c r="U777" s="175"/>
      <c r="V777" s="175">
        <v>5.0</v>
      </c>
    </row>
    <row r="778">
      <c r="A778" s="175">
        <v>778.0</v>
      </c>
      <c r="B778" s="176">
        <v>46190.0</v>
      </c>
      <c r="C778" s="175" t="s">
        <v>21</v>
      </c>
      <c r="D778" s="175" t="s">
        <v>34</v>
      </c>
      <c r="E778" s="177" t="s">
        <v>7348</v>
      </c>
      <c r="F778" s="452">
        <f t="shared" si="1"/>
        <v>966575674908</v>
      </c>
      <c r="G778" s="175" t="s">
        <v>27</v>
      </c>
      <c r="H778" s="175" t="s">
        <v>27</v>
      </c>
      <c r="I778" s="179" t="s">
        <v>7350</v>
      </c>
      <c r="J778" s="177"/>
      <c r="K778" s="175" t="s">
        <v>39</v>
      </c>
      <c r="L778" s="180"/>
      <c r="M778" s="181" t="s">
        <v>51</v>
      </c>
      <c r="N778" s="175" t="s">
        <v>40</v>
      </c>
      <c r="O778" s="175" t="s">
        <v>42</v>
      </c>
      <c r="P778" s="177" t="s">
        <v>3566</v>
      </c>
      <c r="Q778" s="175" t="s">
        <v>44</v>
      </c>
      <c r="R778" s="175"/>
      <c r="S778" s="175"/>
      <c r="T778" s="180"/>
      <c r="U778" s="175"/>
      <c r="V778" s="175">
        <v>5.0</v>
      </c>
    </row>
    <row r="779">
      <c r="A779" s="175">
        <v>779.0</v>
      </c>
      <c r="B779" s="176">
        <v>46190.0</v>
      </c>
      <c r="C779" s="175" t="s">
        <v>21</v>
      </c>
      <c r="D779" s="175" t="s">
        <v>34</v>
      </c>
      <c r="E779" s="177" t="s">
        <v>7351</v>
      </c>
      <c r="F779" s="452">
        <f>+966590775540</f>
        <v>966590775540</v>
      </c>
      <c r="G779" s="175" t="s">
        <v>27</v>
      </c>
      <c r="H779" s="175" t="s">
        <v>27</v>
      </c>
      <c r="I779" s="179" t="s">
        <v>7352</v>
      </c>
      <c r="J779" s="177"/>
      <c r="K779" s="175" t="s">
        <v>39</v>
      </c>
      <c r="L779" s="180"/>
      <c r="M779" s="181" t="s">
        <v>51</v>
      </c>
      <c r="N779" s="175" t="s">
        <v>40</v>
      </c>
      <c r="O779" s="175" t="s">
        <v>42</v>
      </c>
      <c r="P779" s="177" t="s">
        <v>3566</v>
      </c>
      <c r="Q779" s="175" t="s">
        <v>44</v>
      </c>
      <c r="R779" s="175"/>
      <c r="S779" s="175"/>
      <c r="T779" s="180"/>
      <c r="U779" s="175"/>
      <c r="V779" s="175">
        <v>5.0</v>
      </c>
    </row>
    <row r="780">
      <c r="A780" s="175">
        <v>780.0</v>
      </c>
      <c r="B780" s="176">
        <v>46190.0</v>
      </c>
      <c r="C780" s="175" t="s">
        <v>21</v>
      </c>
      <c r="D780" s="175" t="s">
        <v>34</v>
      </c>
      <c r="E780" s="177" t="s">
        <v>7353</v>
      </c>
      <c r="F780" s="452">
        <f t="shared" ref="F780:F781" si="2">+966542769383</f>
        <v>966542769383</v>
      </c>
      <c r="G780" s="175" t="s">
        <v>27</v>
      </c>
      <c r="H780" s="175" t="s">
        <v>27</v>
      </c>
      <c r="I780" s="179" t="s">
        <v>7354</v>
      </c>
      <c r="J780" s="177"/>
      <c r="K780" s="175" t="s">
        <v>39</v>
      </c>
      <c r="L780" s="180"/>
      <c r="M780" s="181" t="s">
        <v>51</v>
      </c>
      <c r="N780" s="175" t="s">
        <v>40</v>
      </c>
      <c r="O780" s="175" t="s">
        <v>42</v>
      </c>
      <c r="P780" s="177" t="s">
        <v>3566</v>
      </c>
      <c r="Q780" s="175" t="s">
        <v>44</v>
      </c>
      <c r="R780" s="175"/>
      <c r="S780" s="175"/>
      <c r="T780" s="180"/>
      <c r="U780" s="175"/>
      <c r="V780" s="175">
        <v>5.0</v>
      </c>
    </row>
    <row r="781">
      <c r="A781" s="175">
        <v>781.0</v>
      </c>
      <c r="B781" s="176">
        <v>46190.0</v>
      </c>
      <c r="C781" s="175" t="s">
        <v>21</v>
      </c>
      <c r="D781" s="175" t="s">
        <v>34</v>
      </c>
      <c r="E781" s="177" t="s">
        <v>7353</v>
      </c>
      <c r="F781" s="452">
        <f t="shared" si="2"/>
        <v>966542769383</v>
      </c>
      <c r="G781" s="175" t="s">
        <v>27</v>
      </c>
      <c r="H781" s="175" t="s">
        <v>27</v>
      </c>
      <c r="I781" s="179" t="s">
        <v>7355</v>
      </c>
      <c r="J781" s="177"/>
      <c r="K781" s="175" t="s">
        <v>39</v>
      </c>
      <c r="L781" s="180"/>
      <c r="M781" s="181" t="s">
        <v>51</v>
      </c>
      <c r="N781" s="175" t="s">
        <v>40</v>
      </c>
      <c r="O781" s="175" t="s">
        <v>42</v>
      </c>
      <c r="P781" s="177" t="s">
        <v>3566</v>
      </c>
      <c r="Q781" s="175" t="s">
        <v>44</v>
      </c>
      <c r="R781" s="175"/>
      <c r="S781" s="175"/>
      <c r="T781" s="180"/>
      <c r="U781" s="175"/>
      <c r="V781" s="175">
        <v>5.0</v>
      </c>
    </row>
    <row r="782">
      <c r="A782" s="175">
        <v>782.0</v>
      </c>
      <c r="B782" s="176">
        <v>46190.0</v>
      </c>
      <c r="C782" s="175" t="s">
        <v>21</v>
      </c>
      <c r="D782" s="175" t="s">
        <v>34</v>
      </c>
      <c r="E782" s="177" t="s">
        <v>6772</v>
      </c>
      <c r="F782" s="452">
        <f>+966557898002</f>
        <v>966557898002</v>
      </c>
      <c r="G782" s="175" t="s">
        <v>27</v>
      </c>
      <c r="H782" s="175" t="s">
        <v>27</v>
      </c>
      <c r="I782" s="179" t="s">
        <v>7356</v>
      </c>
      <c r="J782" s="177"/>
      <c r="K782" s="175" t="s">
        <v>39</v>
      </c>
      <c r="L782" s="180"/>
      <c r="M782" s="181" t="s">
        <v>51</v>
      </c>
      <c r="N782" s="175" t="s">
        <v>40</v>
      </c>
      <c r="O782" s="175" t="s">
        <v>42</v>
      </c>
      <c r="P782" s="177" t="s">
        <v>3566</v>
      </c>
      <c r="Q782" s="175" t="s">
        <v>44</v>
      </c>
      <c r="R782" s="175"/>
      <c r="S782" s="175"/>
      <c r="T782" s="180"/>
      <c r="U782" s="175"/>
      <c r="V782" s="175">
        <v>5.0</v>
      </c>
    </row>
    <row r="783">
      <c r="A783" s="175">
        <v>783.0</v>
      </c>
      <c r="B783" s="176">
        <v>46190.0</v>
      </c>
      <c r="C783" s="175" t="s">
        <v>21</v>
      </c>
      <c r="D783" s="175" t="s">
        <v>34</v>
      </c>
      <c r="E783" s="177" t="s">
        <v>7357</v>
      </c>
      <c r="F783" s="452">
        <f>+966565689300</f>
        <v>966565689300</v>
      </c>
      <c r="G783" s="175" t="s">
        <v>27</v>
      </c>
      <c r="H783" s="175" t="s">
        <v>27</v>
      </c>
      <c r="I783" s="179" t="s">
        <v>7359</v>
      </c>
      <c r="J783" s="177"/>
      <c r="K783" s="175" t="s">
        <v>39</v>
      </c>
      <c r="L783" s="180"/>
      <c r="M783" s="181" t="s">
        <v>51</v>
      </c>
      <c r="N783" s="175" t="s">
        <v>40</v>
      </c>
      <c r="O783" s="175" t="s">
        <v>42</v>
      </c>
      <c r="P783" s="177" t="s">
        <v>3566</v>
      </c>
      <c r="Q783" s="175" t="s">
        <v>44</v>
      </c>
      <c r="R783" s="175"/>
      <c r="S783" s="175"/>
      <c r="T783" s="180"/>
      <c r="U783" s="175"/>
      <c r="V783" s="175">
        <v>5.0</v>
      </c>
    </row>
    <row r="784">
      <c r="A784" s="175">
        <v>784.0</v>
      </c>
      <c r="B784" s="176">
        <v>46190.0</v>
      </c>
      <c r="C784" s="175" t="s">
        <v>21</v>
      </c>
      <c r="D784" s="175" t="s">
        <v>34</v>
      </c>
      <c r="E784" s="177" t="s">
        <v>4136</v>
      </c>
      <c r="F784" s="452">
        <f>+966561346904</f>
        <v>966561346904</v>
      </c>
      <c r="G784" s="175" t="s">
        <v>27</v>
      </c>
      <c r="H784" s="175" t="s">
        <v>27</v>
      </c>
      <c r="I784" s="179" t="s">
        <v>7360</v>
      </c>
      <c r="J784" s="177"/>
      <c r="K784" s="175" t="s">
        <v>39</v>
      </c>
      <c r="L784" s="180"/>
      <c r="M784" s="181" t="s">
        <v>51</v>
      </c>
      <c r="N784" s="175" t="s">
        <v>40</v>
      </c>
      <c r="O784" s="175" t="s">
        <v>42</v>
      </c>
      <c r="P784" s="177" t="s">
        <v>3566</v>
      </c>
      <c r="Q784" s="175" t="s">
        <v>44</v>
      </c>
      <c r="R784" s="175"/>
      <c r="S784" s="175"/>
      <c r="T784" s="180"/>
      <c r="U784" s="175"/>
      <c r="V784" s="175">
        <v>5.0</v>
      </c>
    </row>
    <row r="785">
      <c r="A785" s="175">
        <v>785.0</v>
      </c>
      <c r="B785" s="176">
        <v>46190.0</v>
      </c>
      <c r="C785" s="175" t="s">
        <v>21</v>
      </c>
      <c r="D785" s="175" t="s">
        <v>34</v>
      </c>
      <c r="E785" s="175" t="s">
        <v>7361</v>
      </c>
      <c r="F785" s="452">
        <f>+966533942422</f>
        <v>966533942422</v>
      </c>
      <c r="G785" s="175" t="s">
        <v>27</v>
      </c>
      <c r="H785" s="175" t="s">
        <v>27</v>
      </c>
      <c r="I785" s="179" t="s">
        <v>7362</v>
      </c>
      <c r="J785" s="177"/>
      <c r="K785" s="175" t="s">
        <v>39</v>
      </c>
      <c r="L785" s="180"/>
      <c r="M785" s="181" t="s">
        <v>51</v>
      </c>
      <c r="N785" s="175" t="s">
        <v>40</v>
      </c>
      <c r="O785" s="175" t="s">
        <v>42</v>
      </c>
      <c r="P785" s="177" t="s">
        <v>3566</v>
      </c>
      <c r="Q785" s="175" t="s">
        <v>44</v>
      </c>
      <c r="R785" s="175"/>
      <c r="S785" s="175"/>
      <c r="T785" s="180"/>
      <c r="U785" s="175"/>
      <c r="V785" s="175">
        <v>5.0</v>
      </c>
    </row>
    <row r="786">
      <c r="A786" s="175">
        <v>786.0</v>
      </c>
      <c r="B786" s="176">
        <v>46190.0</v>
      </c>
      <c r="C786" s="175" t="s">
        <v>21</v>
      </c>
      <c r="D786" s="175" t="s">
        <v>34</v>
      </c>
      <c r="E786" s="177" t="s">
        <v>5352</v>
      </c>
      <c r="F786" s="452">
        <f>+966531338714</f>
        <v>966531338714</v>
      </c>
      <c r="G786" s="175" t="s">
        <v>27</v>
      </c>
      <c r="H786" s="175" t="s">
        <v>27</v>
      </c>
      <c r="I786" s="179" t="s">
        <v>7363</v>
      </c>
      <c r="J786" s="177"/>
      <c r="K786" s="175" t="s">
        <v>39</v>
      </c>
      <c r="L786" s="180"/>
      <c r="M786" s="181" t="s">
        <v>51</v>
      </c>
      <c r="N786" s="175" t="s">
        <v>40</v>
      </c>
      <c r="O786" s="175" t="s">
        <v>42</v>
      </c>
      <c r="P786" s="177" t="s">
        <v>3566</v>
      </c>
      <c r="Q786" s="175" t="s">
        <v>44</v>
      </c>
      <c r="R786" s="175"/>
      <c r="S786" s="175"/>
      <c r="T786" s="180"/>
      <c r="U786" s="175"/>
      <c r="V786" s="175">
        <v>5.0</v>
      </c>
    </row>
    <row r="787">
      <c r="A787" s="175">
        <v>787.0</v>
      </c>
      <c r="B787" s="176">
        <v>46190.0</v>
      </c>
      <c r="C787" s="175" t="s">
        <v>21</v>
      </c>
      <c r="D787" s="175" t="s">
        <v>34</v>
      </c>
      <c r="E787" s="177" t="s">
        <v>7364</v>
      </c>
      <c r="F787" s="452">
        <f>+966556001206</f>
        <v>966556001206</v>
      </c>
      <c r="G787" s="175" t="s">
        <v>27</v>
      </c>
      <c r="H787" s="175" t="s">
        <v>27</v>
      </c>
      <c r="I787" s="179" t="s">
        <v>7365</v>
      </c>
      <c r="J787" s="177"/>
      <c r="K787" s="175" t="s">
        <v>39</v>
      </c>
      <c r="L787" s="180"/>
      <c r="M787" s="181" t="s">
        <v>51</v>
      </c>
      <c r="N787" s="175" t="s">
        <v>40</v>
      </c>
      <c r="O787" s="175" t="s">
        <v>42</v>
      </c>
      <c r="P787" s="177" t="s">
        <v>3566</v>
      </c>
      <c r="Q787" s="175" t="s">
        <v>44</v>
      </c>
      <c r="R787" s="175"/>
      <c r="S787" s="175"/>
      <c r="T787" s="180"/>
      <c r="U787" s="175"/>
      <c r="V787" s="175">
        <v>5.0</v>
      </c>
    </row>
    <row r="788">
      <c r="A788" s="175">
        <v>788.0</v>
      </c>
      <c r="B788" s="176">
        <v>46190.0</v>
      </c>
      <c r="C788" s="175" t="s">
        <v>21</v>
      </c>
      <c r="D788" s="175" t="s">
        <v>34</v>
      </c>
      <c r="E788" s="177" t="s">
        <v>7367</v>
      </c>
      <c r="F788" s="452">
        <f>+966565606503</f>
        <v>966565606503</v>
      </c>
      <c r="G788" s="175" t="s">
        <v>27</v>
      </c>
      <c r="H788" s="175" t="s">
        <v>27</v>
      </c>
      <c r="I788" s="179" t="s">
        <v>7368</v>
      </c>
      <c r="J788" s="177"/>
      <c r="K788" s="175" t="s">
        <v>39</v>
      </c>
      <c r="L788" s="180"/>
      <c r="M788" s="181" t="s">
        <v>51</v>
      </c>
      <c r="N788" s="175" t="s">
        <v>40</v>
      </c>
      <c r="O788" s="175" t="s">
        <v>42</v>
      </c>
      <c r="P788" s="177" t="s">
        <v>3566</v>
      </c>
      <c r="Q788" s="175" t="s">
        <v>44</v>
      </c>
      <c r="R788" s="175"/>
      <c r="S788" s="175"/>
      <c r="T788" s="180"/>
      <c r="U788" s="175"/>
      <c r="V788" s="175">
        <v>5.0</v>
      </c>
    </row>
    <row r="789">
      <c r="A789" s="175">
        <v>789.0</v>
      </c>
      <c r="B789" s="176">
        <v>46190.0</v>
      </c>
      <c r="C789" s="175" t="s">
        <v>21</v>
      </c>
      <c r="D789" s="175" t="s">
        <v>34</v>
      </c>
      <c r="E789" s="177" t="s">
        <v>7369</v>
      </c>
      <c r="F789" s="452">
        <f>+966565616213</f>
        <v>966565616213</v>
      </c>
      <c r="G789" s="175" t="s">
        <v>27</v>
      </c>
      <c r="H789" s="175" t="s">
        <v>27</v>
      </c>
      <c r="I789" s="179" t="s">
        <v>7370</v>
      </c>
      <c r="J789" s="177"/>
      <c r="K789" s="175" t="s">
        <v>39</v>
      </c>
      <c r="L789" s="180"/>
      <c r="M789" s="181" t="s">
        <v>51</v>
      </c>
      <c r="N789" s="175" t="s">
        <v>40</v>
      </c>
      <c r="O789" s="175" t="s">
        <v>42</v>
      </c>
      <c r="P789" s="177" t="s">
        <v>3566</v>
      </c>
      <c r="Q789" s="175" t="s">
        <v>44</v>
      </c>
      <c r="R789" s="175"/>
      <c r="S789" s="175"/>
      <c r="T789" s="180"/>
      <c r="U789" s="175"/>
      <c r="V789" s="175">
        <v>5.0</v>
      </c>
    </row>
    <row r="790">
      <c r="A790" s="175">
        <v>790.0</v>
      </c>
      <c r="B790" s="176">
        <v>46190.0</v>
      </c>
      <c r="C790" s="175" t="s">
        <v>21</v>
      </c>
      <c r="D790" s="175" t="s">
        <v>34</v>
      </c>
      <c r="E790" s="175" t="s">
        <v>7371</v>
      </c>
      <c r="F790" s="452">
        <f>+966592990447</f>
        <v>966592990447</v>
      </c>
      <c r="G790" s="175" t="s">
        <v>27</v>
      </c>
      <c r="H790" s="175" t="s">
        <v>27</v>
      </c>
      <c r="I790" s="179" t="s">
        <v>7372</v>
      </c>
      <c r="J790" s="177"/>
      <c r="K790" s="175" t="s">
        <v>39</v>
      </c>
      <c r="L790" s="180"/>
      <c r="M790" s="181" t="s">
        <v>51</v>
      </c>
      <c r="N790" s="175" t="s">
        <v>40</v>
      </c>
      <c r="O790" s="175" t="s">
        <v>42</v>
      </c>
      <c r="P790" s="177" t="s">
        <v>3566</v>
      </c>
      <c r="Q790" s="175" t="s">
        <v>44</v>
      </c>
      <c r="R790" s="175"/>
      <c r="S790" s="175"/>
      <c r="T790" s="180"/>
      <c r="U790" s="175"/>
      <c r="V790" s="175">
        <v>5.0</v>
      </c>
    </row>
    <row r="791">
      <c r="A791" s="175">
        <v>791.0</v>
      </c>
      <c r="B791" s="176">
        <v>46190.0</v>
      </c>
      <c r="C791" s="175" t="s">
        <v>21</v>
      </c>
      <c r="D791" s="175" t="s">
        <v>34</v>
      </c>
      <c r="E791" s="177" t="s">
        <v>7373</v>
      </c>
      <c r="F791" s="452">
        <f>+966580187283</f>
        <v>966580187283</v>
      </c>
      <c r="G791" s="175" t="s">
        <v>27</v>
      </c>
      <c r="H791" s="175" t="s">
        <v>27</v>
      </c>
      <c r="I791" s="179" t="s">
        <v>7374</v>
      </c>
      <c r="J791" s="177"/>
      <c r="K791" s="175" t="s">
        <v>39</v>
      </c>
      <c r="L791" s="180"/>
      <c r="M791" s="181" t="s">
        <v>51</v>
      </c>
      <c r="N791" s="175" t="s">
        <v>40</v>
      </c>
      <c r="O791" s="175" t="s">
        <v>42</v>
      </c>
      <c r="P791" s="177" t="s">
        <v>3566</v>
      </c>
      <c r="Q791" s="175" t="s">
        <v>44</v>
      </c>
      <c r="R791" s="175"/>
      <c r="S791" s="175"/>
      <c r="T791" s="180"/>
      <c r="U791" s="175"/>
      <c r="V791" s="175">
        <v>5.0</v>
      </c>
    </row>
    <row r="792">
      <c r="A792" s="175">
        <v>792.0</v>
      </c>
      <c r="B792" s="176">
        <v>46190.0</v>
      </c>
      <c r="C792" s="175" t="s">
        <v>21</v>
      </c>
      <c r="D792" s="175" t="s">
        <v>34</v>
      </c>
      <c r="E792" s="175" t="s">
        <v>7375</v>
      </c>
      <c r="F792" s="452">
        <f>+966535783535</f>
        <v>966535783535</v>
      </c>
      <c r="G792" s="175" t="s">
        <v>27</v>
      </c>
      <c r="H792" s="175" t="s">
        <v>27</v>
      </c>
      <c r="I792" s="289" t="s">
        <v>7376</v>
      </c>
      <c r="J792" s="177"/>
      <c r="K792" s="175" t="s">
        <v>39</v>
      </c>
      <c r="L792" s="180"/>
      <c r="M792" s="181" t="s">
        <v>51</v>
      </c>
      <c r="N792" s="175" t="s">
        <v>40</v>
      </c>
      <c r="O792" s="175" t="s">
        <v>42</v>
      </c>
      <c r="P792" s="177" t="s">
        <v>3566</v>
      </c>
      <c r="Q792" s="175" t="s">
        <v>44</v>
      </c>
      <c r="R792" s="175"/>
      <c r="S792" s="175"/>
      <c r="T792" s="180"/>
      <c r="U792" s="175"/>
      <c r="V792" s="175">
        <v>5.0</v>
      </c>
    </row>
    <row r="793">
      <c r="A793" s="175">
        <v>793.0</v>
      </c>
      <c r="B793" s="176">
        <v>46190.0</v>
      </c>
      <c r="C793" s="175" t="s">
        <v>21</v>
      </c>
      <c r="D793" s="175" t="s">
        <v>34</v>
      </c>
      <c r="E793" s="177" t="s">
        <v>7377</v>
      </c>
      <c r="F793" s="452">
        <f>+966555234935</f>
        <v>966555234935</v>
      </c>
      <c r="G793" s="175" t="s">
        <v>27</v>
      </c>
      <c r="H793" s="175" t="s">
        <v>27</v>
      </c>
      <c r="I793" s="179" t="s">
        <v>7378</v>
      </c>
      <c r="J793" s="177"/>
      <c r="K793" s="175" t="s">
        <v>39</v>
      </c>
      <c r="L793" s="180"/>
      <c r="M793" s="181" t="s">
        <v>51</v>
      </c>
      <c r="N793" s="175" t="s">
        <v>40</v>
      </c>
      <c r="O793" s="175" t="s">
        <v>42</v>
      </c>
      <c r="P793" s="177" t="s">
        <v>3566</v>
      </c>
      <c r="Q793" s="175" t="s">
        <v>44</v>
      </c>
      <c r="R793" s="175"/>
      <c r="S793" s="175"/>
      <c r="T793" s="180"/>
      <c r="U793" s="175"/>
      <c r="V793" s="175">
        <v>5.0</v>
      </c>
    </row>
    <row r="794">
      <c r="A794" s="175">
        <v>794.0</v>
      </c>
      <c r="B794" s="176">
        <v>46190.0</v>
      </c>
      <c r="C794" s="175" t="s">
        <v>21</v>
      </c>
      <c r="D794" s="175" t="s">
        <v>34</v>
      </c>
      <c r="E794" s="177" t="s">
        <v>7379</v>
      </c>
      <c r="F794" s="452">
        <f>+966500466406</f>
        <v>966500466406</v>
      </c>
      <c r="G794" s="175" t="s">
        <v>27</v>
      </c>
      <c r="H794" s="175" t="s">
        <v>27</v>
      </c>
      <c r="I794" s="179" t="s">
        <v>7380</v>
      </c>
      <c r="J794" s="177"/>
      <c r="K794" s="175" t="s">
        <v>39</v>
      </c>
      <c r="L794" s="180"/>
      <c r="M794" s="181" t="s">
        <v>51</v>
      </c>
      <c r="N794" s="175" t="s">
        <v>40</v>
      </c>
      <c r="O794" s="175" t="s">
        <v>42</v>
      </c>
      <c r="P794" s="177" t="s">
        <v>3566</v>
      </c>
      <c r="Q794" s="175" t="s">
        <v>44</v>
      </c>
      <c r="R794" s="175"/>
      <c r="S794" s="175"/>
      <c r="T794" s="180"/>
      <c r="U794" s="175"/>
      <c r="V794" s="175">
        <v>5.0</v>
      </c>
    </row>
    <row r="795">
      <c r="A795" s="175">
        <v>795.0</v>
      </c>
      <c r="B795" s="176">
        <v>46190.0</v>
      </c>
      <c r="C795" s="175" t="s">
        <v>21</v>
      </c>
      <c r="D795" s="175" t="s">
        <v>34</v>
      </c>
      <c r="E795" s="177" t="s">
        <v>7381</v>
      </c>
      <c r="F795" s="452">
        <f>+966532288878</f>
        <v>966532288878</v>
      </c>
      <c r="G795" s="175" t="s">
        <v>27</v>
      </c>
      <c r="H795" s="175" t="s">
        <v>27</v>
      </c>
      <c r="I795" s="179" t="s">
        <v>7382</v>
      </c>
      <c r="J795" s="177"/>
      <c r="K795" s="175" t="s">
        <v>39</v>
      </c>
      <c r="L795" s="180"/>
      <c r="M795" s="181" t="s">
        <v>51</v>
      </c>
      <c r="N795" s="175" t="s">
        <v>40</v>
      </c>
      <c r="O795" s="175" t="s">
        <v>42</v>
      </c>
      <c r="P795" s="177" t="s">
        <v>3566</v>
      </c>
      <c r="Q795" s="175" t="s">
        <v>44</v>
      </c>
      <c r="R795" s="175"/>
      <c r="S795" s="175"/>
      <c r="T795" s="180"/>
      <c r="U795" s="175"/>
      <c r="V795" s="175">
        <v>5.0</v>
      </c>
    </row>
    <row r="796">
      <c r="A796" s="175">
        <v>796.0</v>
      </c>
      <c r="B796" s="176">
        <v>46190.0</v>
      </c>
      <c r="C796" s="175" t="s">
        <v>21</v>
      </c>
      <c r="D796" s="175" t="s">
        <v>34</v>
      </c>
      <c r="E796" s="175" t="s">
        <v>7383</v>
      </c>
      <c r="F796" s="452">
        <f>+966503335066</f>
        <v>966503335066</v>
      </c>
      <c r="G796" s="175" t="s">
        <v>27</v>
      </c>
      <c r="H796" s="175" t="s">
        <v>27</v>
      </c>
      <c r="I796" s="179" t="s">
        <v>7384</v>
      </c>
      <c r="J796" s="177"/>
      <c r="K796" s="175" t="s">
        <v>39</v>
      </c>
      <c r="L796" s="180"/>
      <c r="M796" s="181" t="s">
        <v>51</v>
      </c>
      <c r="N796" s="175" t="s">
        <v>40</v>
      </c>
      <c r="O796" s="175" t="s">
        <v>42</v>
      </c>
      <c r="P796" s="177" t="s">
        <v>3566</v>
      </c>
      <c r="Q796" s="175" t="s">
        <v>44</v>
      </c>
      <c r="R796" s="175"/>
      <c r="S796" s="175"/>
      <c r="T796" s="180"/>
      <c r="U796" s="175"/>
      <c r="V796" s="175">
        <v>5.0</v>
      </c>
    </row>
    <row r="797">
      <c r="A797" s="175">
        <v>797.0</v>
      </c>
      <c r="B797" s="176">
        <v>46190.0</v>
      </c>
      <c r="C797" s="175" t="s">
        <v>21</v>
      </c>
      <c r="D797" s="175" t="s">
        <v>34</v>
      </c>
      <c r="E797" s="177" t="s">
        <v>7385</v>
      </c>
      <c r="F797" s="452">
        <f>+966568763965</f>
        <v>966568763965</v>
      </c>
      <c r="G797" s="175" t="s">
        <v>27</v>
      </c>
      <c r="H797" s="175" t="s">
        <v>27</v>
      </c>
      <c r="I797" s="179" t="s">
        <v>7386</v>
      </c>
      <c r="J797" s="177"/>
      <c r="K797" s="175" t="s">
        <v>39</v>
      </c>
      <c r="L797" s="180"/>
      <c r="M797" s="181" t="s">
        <v>51</v>
      </c>
      <c r="N797" s="175" t="s">
        <v>40</v>
      </c>
      <c r="O797" s="175" t="s">
        <v>42</v>
      </c>
      <c r="P797" s="177" t="s">
        <v>3566</v>
      </c>
      <c r="Q797" s="175" t="s">
        <v>44</v>
      </c>
      <c r="R797" s="175"/>
      <c r="S797" s="175"/>
      <c r="T797" s="180"/>
      <c r="U797" s="175"/>
      <c r="V797" s="175">
        <v>5.0</v>
      </c>
    </row>
    <row r="798">
      <c r="A798" s="175">
        <v>798.0</v>
      </c>
      <c r="B798" s="176">
        <v>46190.0</v>
      </c>
      <c r="C798" s="175" t="s">
        <v>21</v>
      </c>
      <c r="D798" s="175" t="s">
        <v>34</v>
      </c>
      <c r="E798" s="177" t="s">
        <v>7387</v>
      </c>
      <c r="F798" s="452">
        <f>+966538115309</f>
        <v>966538115309</v>
      </c>
      <c r="G798" s="175" t="s">
        <v>27</v>
      </c>
      <c r="H798" s="175" t="s">
        <v>27</v>
      </c>
      <c r="I798" s="179" t="s">
        <v>7388</v>
      </c>
      <c r="J798" s="177"/>
      <c r="K798" s="175" t="s">
        <v>39</v>
      </c>
      <c r="L798" s="180"/>
      <c r="M798" s="181" t="s">
        <v>51</v>
      </c>
      <c r="N798" s="175" t="s">
        <v>40</v>
      </c>
      <c r="O798" s="175" t="s">
        <v>42</v>
      </c>
      <c r="P798" s="177" t="s">
        <v>3566</v>
      </c>
      <c r="Q798" s="175" t="s">
        <v>44</v>
      </c>
      <c r="R798" s="175"/>
      <c r="S798" s="175"/>
      <c r="T798" s="180"/>
      <c r="U798" s="175"/>
      <c r="V798" s="175">
        <v>5.0</v>
      </c>
    </row>
    <row r="799">
      <c r="A799" s="175">
        <v>799.0</v>
      </c>
      <c r="B799" s="176">
        <v>46190.0</v>
      </c>
      <c r="C799" s="175" t="s">
        <v>21</v>
      </c>
      <c r="D799" s="175" t="s">
        <v>34</v>
      </c>
      <c r="E799" s="177" t="s">
        <v>7389</v>
      </c>
      <c r="F799" s="452">
        <f>+966561779001</f>
        <v>966561779001</v>
      </c>
      <c r="G799" s="175" t="s">
        <v>27</v>
      </c>
      <c r="H799" s="175" t="s">
        <v>27</v>
      </c>
      <c r="I799" s="179" t="s">
        <v>7390</v>
      </c>
      <c r="J799" s="177"/>
      <c r="K799" s="175" t="s">
        <v>39</v>
      </c>
      <c r="L799" s="180"/>
      <c r="M799" s="181" t="s">
        <v>51</v>
      </c>
      <c r="N799" s="175" t="s">
        <v>40</v>
      </c>
      <c r="O799" s="175" t="s">
        <v>42</v>
      </c>
      <c r="P799" s="177" t="s">
        <v>3566</v>
      </c>
      <c r="Q799" s="175" t="s">
        <v>44</v>
      </c>
      <c r="R799" s="175"/>
      <c r="S799" s="175"/>
      <c r="T799" s="180"/>
      <c r="U799" s="175"/>
      <c r="V799" s="175">
        <v>5.0</v>
      </c>
    </row>
    <row r="800">
      <c r="A800" s="175">
        <v>800.0</v>
      </c>
      <c r="B800" s="176">
        <v>46190.0</v>
      </c>
      <c r="C800" s="175" t="s">
        <v>21</v>
      </c>
      <c r="D800" s="175" t="s">
        <v>34</v>
      </c>
      <c r="E800" s="175" t="s">
        <v>7391</v>
      </c>
      <c r="F800" s="452">
        <f>+966552085874</f>
        <v>966552085874</v>
      </c>
      <c r="G800" s="175" t="s">
        <v>27</v>
      </c>
      <c r="H800" s="175" t="s">
        <v>27</v>
      </c>
      <c r="I800" s="179" t="s">
        <v>7392</v>
      </c>
      <c r="J800" s="177"/>
      <c r="K800" s="175" t="s">
        <v>39</v>
      </c>
      <c r="L800" s="180"/>
      <c r="M800" s="181" t="s">
        <v>51</v>
      </c>
      <c r="N800" s="175" t="s">
        <v>40</v>
      </c>
      <c r="O800" s="175" t="s">
        <v>42</v>
      </c>
      <c r="P800" s="177" t="s">
        <v>3566</v>
      </c>
      <c r="Q800" s="175" t="s">
        <v>44</v>
      </c>
      <c r="R800" s="175"/>
      <c r="S800" s="175"/>
      <c r="T800" s="180"/>
      <c r="U800" s="175"/>
      <c r="V800" s="175">
        <v>5.0</v>
      </c>
    </row>
    <row r="801">
      <c r="A801" s="175">
        <v>801.0</v>
      </c>
      <c r="B801" s="176">
        <v>46190.0</v>
      </c>
      <c r="C801" s="175" t="s">
        <v>21</v>
      </c>
      <c r="D801" s="175" t="s">
        <v>34</v>
      </c>
      <c r="E801" s="177" t="s">
        <v>7393</v>
      </c>
      <c r="F801" s="452">
        <f>+966567126112</f>
        <v>966567126112</v>
      </c>
      <c r="G801" s="175" t="s">
        <v>27</v>
      </c>
      <c r="H801" s="175" t="s">
        <v>27</v>
      </c>
      <c r="I801" s="179" t="s">
        <v>7394</v>
      </c>
      <c r="J801" s="177"/>
      <c r="K801" s="175" t="s">
        <v>39</v>
      </c>
      <c r="L801" s="180"/>
      <c r="M801" s="181" t="s">
        <v>51</v>
      </c>
      <c r="N801" s="175" t="s">
        <v>40</v>
      </c>
      <c r="O801" s="175" t="s">
        <v>42</v>
      </c>
      <c r="P801" s="177" t="s">
        <v>3566</v>
      </c>
      <c r="Q801" s="175" t="s">
        <v>44</v>
      </c>
      <c r="R801" s="175"/>
      <c r="S801" s="175"/>
      <c r="T801" s="180"/>
      <c r="U801" s="175"/>
      <c r="V801" s="175">
        <v>5.0</v>
      </c>
    </row>
    <row r="802">
      <c r="A802" s="175">
        <v>802.0</v>
      </c>
      <c r="B802" s="176">
        <v>46190.0</v>
      </c>
      <c r="C802" s="175" t="s">
        <v>21</v>
      </c>
      <c r="D802" s="175" t="s">
        <v>34</v>
      </c>
      <c r="E802" s="177" t="s">
        <v>7395</v>
      </c>
      <c r="F802" s="452">
        <f>+966555800381</f>
        <v>966555800381</v>
      </c>
      <c r="G802" s="175" t="s">
        <v>27</v>
      </c>
      <c r="H802" s="175" t="s">
        <v>27</v>
      </c>
      <c r="I802" s="179" t="s">
        <v>7396</v>
      </c>
      <c r="J802" s="177"/>
      <c r="K802" s="175" t="s">
        <v>39</v>
      </c>
      <c r="L802" s="180"/>
      <c r="M802" s="181" t="s">
        <v>51</v>
      </c>
      <c r="N802" s="175" t="s">
        <v>40</v>
      </c>
      <c r="O802" s="175" t="s">
        <v>42</v>
      </c>
      <c r="P802" s="177" t="s">
        <v>3566</v>
      </c>
      <c r="Q802" s="175" t="s">
        <v>44</v>
      </c>
      <c r="R802" s="175"/>
      <c r="S802" s="175"/>
      <c r="T802" s="180"/>
      <c r="U802" s="175"/>
      <c r="V802" s="175">
        <v>5.0</v>
      </c>
    </row>
    <row r="803">
      <c r="A803" s="175">
        <v>803.0</v>
      </c>
      <c r="B803" s="176">
        <v>46190.0</v>
      </c>
      <c r="C803" s="175" t="s">
        <v>21</v>
      </c>
      <c r="D803" s="175" t="s">
        <v>34</v>
      </c>
      <c r="E803" s="177" t="s">
        <v>7397</v>
      </c>
      <c r="F803" s="452">
        <f>+966507923531</f>
        <v>966507923531</v>
      </c>
      <c r="G803" s="175" t="s">
        <v>27</v>
      </c>
      <c r="H803" s="175" t="s">
        <v>27</v>
      </c>
      <c r="I803" s="179" t="s">
        <v>7398</v>
      </c>
      <c r="J803" s="177"/>
      <c r="K803" s="175" t="s">
        <v>39</v>
      </c>
      <c r="L803" s="180"/>
      <c r="M803" s="181" t="s">
        <v>51</v>
      </c>
      <c r="N803" s="175" t="s">
        <v>40</v>
      </c>
      <c r="O803" s="175" t="s">
        <v>42</v>
      </c>
      <c r="P803" s="177" t="s">
        <v>3566</v>
      </c>
      <c r="Q803" s="175" t="s">
        <v>44</v>
      </c>
      <c r="R803" s="175"/>
      <c r="S803" s="175"/>
      <c r="T803" s="180"/>
      <c r="U803" s="175"/>
      <c r="V803" s="175">
        <v>5.0</v>
      </c>
    </row>
    <row r="804">
      <c r="A804" s="175">
        <v>804.0</v>
      </c>
      <c r="B804" s="176">
        <v>46190.0</v>
      </c>
      <c r="C804" s="175" t="s">
        <v>21</v>
      </c>
      <c r="D804" s="175" t="s">
        <v>34</v>
      </c>
      <c r="E804" s="177" t="s">
        <v>1113</v>
      </c>
      <c r="F804" s="452">
        <f>+966553341160</f>
        <v>966553341160</v>
      </c>
      <c r="G804" s="175" t="s">
        <v>27</v>
      </c>
      <c r="H804" s="175" t="s">
        <v>27</v>
      </c>
      <c r="I804" s="179" t="s">
        <v>7399</v>
      </c>
      <c r="J804" s="177"/>
      <c r="K804" s="175" t="s">
        <v>39</v>
      </c>
      <c r="L804" s="180"/>
      <c r="M804" s="181" t="s">
        <v>51</v>
      </c>
      <c r="N804" s="175" t="s">
        <v>40</v>
      </c>
      <c r="O804" s="175" t="s">
        <v>42</v>
      </c>
      <c r="P804" s="177" t="s">
        <v>3566</v>
      </c>
      <c r="Q804" s="175" t="s">
        <v>44</v>
      </c>
      <c r="R804" s="175"/>
      <c r="S804" s="175"/>
      <c r="T804" s="180"/>
      <c r="U804" s="175"/>
      <c r="V804" s="175">
        <v>5.0</v>
      </c>
    </row>
    <row r="805">
      <c r="A805" s="175">
        <v>805.0</v>
      </c>
      <c r="B805" s="176">
        <v>46190.0</v>
      </c>
      <c r="C805" s="175" t="s">
        <v>21</v>
      </c>
      <c r="D805" s="175" t="s">
        <v>34</v>
      </c>
      <c r="E805" s="177" t="s">
        <v>7400</v>
      </c>
      <c r="F805" s="452">
        <f>+966561342401</f>
        <v>966561342401</v>
      </c>
      <c r="G805" s="175" t="s">
        <v>27</v>
      </c>
      <c r="H805" s="175" t="s">
        <v>27</v>
      </c>
      <c r="I805" s="179" t="s">
        <v>7401</v>
      </c>
      <c r="J805" s="177"/>
      <c r="K805" s="175" t="s">
        <v>39</v>
      </c>
      <c r="L805" s="180"/>
      <c r="M805" s="181" t="s">
        <v>51</v>
      </c>
      <c r="N805" s="175" t="s">
        <v>40</v>
      </c>
      <c r="O805" s="175" t="s">
        <v>42</v>
      </c>
      <c r="P805" s="177" t="s">
        <v>3566</v>
      </c>
      <c r="Q805" s="175" t="s">
        <v>44</v>
      </c>
      <c r="R805" s="175"/>
      <c r="S805" s="175"/>
      <c r="T805" s="180"/>
      <c r="U805" s="175"/>
      <c r="V805" s="175">
        <v>5.0</v>
      </c>
    </row>
    <row r="806">
      <c r="A806" s="175">
        <v>806.0</v>
      </c>
      <c r="B806" s="176">
        <v>46190.0</v>
      </c>
      <c r="C806" s="175" t="s">
        <v>21</v>
      </c>
      <c r="D806" s="175" t="s">
        <v>34</v>
      </c>
      <c r="E806" s="177" t="s">
        <v>7402</v>
      </c>
      <c r="F806" s="452">
        <f>+966548054902</f>
        <v>966548054902</v>
      </c>
      <c r="G806" s="175" t="s">
        <v>27</v>
      </c>
      <c r="H806" s="175" t="s">
        <v>27</v>
      </c>
      <c r="I806" s="179" t="s">
        <v>7403</v>
      </c>
      <c r="J806" s="177"/>
      <c r="K806" s="175" t="s">
        <v>39</v>
      </c>
      <c r="L806" s="180"/>
      <c r="M806" s="181" t="s">
        <v>51</v>
      </c>
      <c r="N806" s="175" t="s">
        <v>40</v>
      </c>
      <c r="O806" s="175" t="s">
        <v>42</v>
      </c>
      <c r="P806" s="177" t="s">
        <v>3566</v>
      </c>
      <c r="Q806" s="175" t="s">
        <v>44</v>
      </c>
      <c r="R806" s="175"/>
      <c r="S806" s="175"/>
      <c r="T806" s="180"/>
      <c r="U806" s="175"/>
      <c r="V806" s="175">
        <v>5.0</v>
      </c>
    </row>
    <row r="807">
      <c r="A807" s="175">
        <v>807.0</v>
      </c>
      <c r="B807" s="176">
        <v>46190.0</v>
      </c>
      <c r="C807" s="175" t="s">
        <v>21</v>
      </c>
      <c r="D807" s="175" t="s">
        <v>34</v>
      </c>
      <c r="E807" s="177" t="s">
        <v>7404</v>
      </c>
      <c r="F807" s="452">
        <f>+966558231497</f>
        <v>966558231497</v>
      </c>
      <c r="G807" s="175" t="s">
        <v>27</v>
      </c>
      <c r="H807" s="175" t="s">
        <v>27</v>
      </c>
      <c r="I807" s="179" t="s">
        <v>7405</v>
      </c>
      <c r="J807" s="177"/>
      <c r="K807" s="175" t="s">
        <v>39</v>
      </c>
      <c r="L807" s="180"/>
      <c r="M807" s="181" t="s">
        <v>51</v>
      </c>
      <c r="N807" s="175" t="s">
        <v>40</v>
      </c>
      <c r="O807" s="175" t="s">
        <v>42</v>
      </c>
      <c r="P807" s="177" t="s">
        <v>3566</v>
      </c>
      <c r="Q807" s="175" t="s">
        <v>44</v>
      </c>
      <c r="R807" s="175"/>
      <c r="S807" s="175"/>
      <c r="T807" s="180"/>
      <c r="U807" s="175"/>
      <c r="V807" s="175">
        <v>5.0</v>
      </c>
    </row>
    <row r="808">
      <c r="A808" s="175">
        <v>808.0</v>
      </c>
      <c r="B808" s="176">
        <v>46190.0</v>
      </c>
      <c r="C808" s="175" t="s">
        <v>21</v>
      </c>
      <c r="D808" s="175" t="s">
        <v>34</v>
      </c>
      <c r="E808" s="177" t="s">
        <v>7406</v>
      </c>
      <c r="F808" s="452">
        <f>+966542949480</f>
        <v>966542949480</v>
      </c>
      <c r="G808" s="175" t="s">
        <v>27</v>
      </c>
      <c r="H808" s="175" t="s">
        <v>27</v>
      </c>
      <c r="I808" s="179" t="s">
        <v>7407</v>
      </c>
      <c r="J808" s="177"/>
      <c r="K808" s="175" t="s">
        <v>39</v>
      </c>
      <c r="L808" s="180"/>
      <c r="M808" s="181" t="s">
        <v>51</v>
      </c>
      <c r="N808" s="175" t="s">
        <v>40</v>
      </c>
      <c r="O808" s="175" t="s">
        <v>42</v>
      </c>
      <c r="P808" s="177" t="s">
        <v>3566</v>
      </c>
      <c r="Q808" s="175" t="s">
        <v>44</v>
      </c>
      <c r="R808" s="175"/>
      <c r="S808" s="175"/>
      <c r="T808" s="180"/>
      <c r="U808" s="175"/>
      <c r="V808" s="175">
        <v>5.0</v>
      </c>
    </row>
    <row r="809">
      <c r="A809" s="175">
        <v>809.0</v>
      </c>
      <c r="B809" s="176">
        <v>46190.0</v>
      </c>
      <c r="C809" s="175" t="s">
        <v>21</v>
      </c>
      <c r="D809" s="175" t="s">
        <v>34</v>
      </c>
      <c r="E809" s="175" t="s">
        <v>7408</v>
      </c>
      <c r="F809" s="452">
        <f>+966544970003</f>
        <v>966544970003</v>
      </c>
      <c r="G809" s="175" t="s">
        <v>27</v>
      </c>
      <c r="H809" s="175" t="s">
        <v>27</v>
      </c>
      <c r="I809" s="179" t="s">
        <v>7409</v>
      </c>
      <c r="J809" s="177"/>
      <c r="K809" s="175" t="s">
        <v>39</v>
      </c>
      <c r="L809" s="180"/>
      <c r="M809" s="181" t="s">
        <v>51</v>
      </c>
      <c r="N809" s="175" t="s">
        <v>40</v>
      </c>
      <c r="O809" s="175" t="s">
        <v>42</v>
      </c>
      <c r="P809" s="177" t="s">
        <v>3566</v>
      </c>
      <c r="Q809" s="175" t="s">
        <v>44</v>
      </c>
      <c r="R809" s="175"/>
      <c r="S809" s="175"/>
      <c r="T809" s="180"/>
      <c r="U809" s="175"/>
      <c r="V809" s="175">
        <v>5.0</v>
      </c>
    </row>
    <row r="810">
      <c r="A810" s="175">
        <v>810.0</v>
      </c>
      <c r="B810" s="176">
        <v>46190.0</v>
      </c>
      <c r="C810" s="175" t="s">
        <v>21</v>
      </c>
      <c r="D810" s="175" t="s">
        <v>34</v>
      </c>
      <c r="E810" s="175" t="s">
        <v>7411</v>
      </c>
      <c r="F810" s="452">
        <f>+966565008321</f>
        <v>966565008321</v>
      </c>
      <c r="G810" s="175" t="s">
        <v>27</v>
      </c>
      <c r="H810" s="175" t="s">
        <v>27</v>
      </c>
      <c r="I810" s="289" t="s">
        <v>7412</v>
      </c>
      <c r="J810" s="177"/>
      <c r="K810" s="175" t="s">
        <v>39</v>
      </c>
      <c r="L810" s="180"/>
      <c r="M810" s="181" t="s">
        <v>51</v>
      </c>
      <c r="N810" s="175" t="s">
        <v>40</v>
      </c>
      <c r="O810" s="175" t="s">
        <v>42</v>
      </c>
      <c r="P810" s="177" t="s">
        <v>3566</v>
      </c>
      <c r="Q810" s="175" t="s">
        <v>44</v>
      </c>
      <c r="R810" s="175"/>
      <c r="S810" s="175"/>
      <c r="T810" s="180"/>
      <c r="U810" s="175"/>
      <c r="V810" s="175">
        <v>5.0</v>
      </c>
    </row>
    <row r="811">
      <c r="A811" s="175">
        <v>811.0</v>
      </c>
      <c r="B811" s="176">
        <v>46190.0</v>
      </c>
      <c r="C811" s="175" t="s">
        <v>21</v>
      </c>
      <c r="D811" s="175" t="s">
        <v>34</v>
      </c>
      <c r="E811" s="177" t="s">
        <v>7413</v>
      </c>
      <c r="F811" s="452">
        <f>+966551510007</f>
        <v>966551510007</v>
      </c>
      <c r="G811" s="175" t="s">
        <v>27</v>
      </c>
      <c r="H811" s="175" t="s">
        <v>27</v>
      </c>
      <c r="I811" s="179" t="s">
        <v>7414</v>
      </c>
      <c r="J811" s="177"/>
      <c r="K811" s="175" t="s">
        <v>39</v>
      </c>
      <c r="L811" s="180"/>
      <c r="M811" s="181" t="s">
        <v>51</v>
      </c>
      <c r="N811" s="175" t="s">
        <v>40</v>
      </c>
      <c r="O811" s="175" t="s">
        <v>42</v>
      </c>
      <c r="P811" s="177" t="s">
        <v>3566</v>
      </c>
      <c r="Q811" s="175" t="s">
        <v>44</v>
      </c>
      <c r="R811" s="175"/>
      <c r="S811" s="175"/>
      <c r="T811" s="180"/>
      <c r="U811" s="175"/>
      <c r="V811" s="175">
        <v>5.0</v>
      </c>
    </row>
    <row r="812">
      <c r="A812" s="175">
        <v>812.0</v>
      </c>
      <c r="B812" s="176">
        <v>46190.0</v>
      </c>
      <c r="C812" s="175" t="s">
        <v>21</v>
      </c>
      <c r="D812" s="175" t="s">
        <v>34</v>
      </c>
      <c r="E812" s="175" t="s">
        <v>7415</v>
      </c>
      <c r="F812" s="452">
        <f>+201015293997</f>
        <v>201015293997</v>
      </c>
      <c r="G812" s="175" t="s">
        <v>27</v>
      </c>
      <c r="H812" s="175" t="s">
        <v>27</v>
      </c>
      <c r="I812" s="179" t="s">
        <v>7416</v>
      </c>
      <c r="J812" s="177"/>
      <c r="K812" s="175" t="s">
        <v>39</v>
      </c>
      <c r="L812" s="180"/>
      <c r="M812" s="181" t="s">
        <v>51</v>
      </c>
      <c r="N812" s="175" t="s">
        <v>40</v>
      </c>
      <c r="O812" s="175" t="s">
        <v>42</v>
      </c>
      <c r="P812" s="177" t="s">
        <v>3566</v>
      </c>
      <c r="Q812" s="175" t="s">
        <v>44</v>
      </c>
      <c r="R812" s="175"/>
      <c r="S812" s="175"/>
      <c r="T812" s="180"/>
      <c r="U812" s="175"/>
      <c r="V812" s="175">
        <v>5.0</v>
      </c>
    </row>
    <row r="813">
      <c r="A813" s="175">
        <v>813.0</v>
      </c>
      <c r="B813" s="176">
        <v>46190.0</v>
      </c>
      <c r="C813" s="175" t="s">
        <v>21</v>
      </c>
      <c r="D813" s="175" t="s">
        <v>34</v>
      </c>
      <c r="E813" s="177" t="s">
        <v>7417</v>
      </c>
      <c r="F813" s="452">
        <f>+966548236000</f>
        <v>966548236000</v>
      </c>
      <c r="G813" s="175" t="s">
        <v>27</v>
      </c>
      <c r="H813" s="175" t="s">
        <v>27</v>
      </c>
      <c r="I813" s="179" t="s">
        <v>7418</v>
      </c>
      <c r="J813" s="177"/>
      <c r="K813" s="175" t="s">
        <v>39</v>
      </c>
      <c r="L813" s="180"/>
      <c r="M813" s="181" t="s">
        <v>51</v>
      </c>
      <c r="N813" s="175" t="s">
        <v>40</v>
      </c>
      <c r="O813" s="175" t="s">
        <v>42</v>
      </c>
      <c r="P813" s="177" t="s">
        <v>3566</v>
      </c>
      <c r="Q813" s="175" t="s">
        <v>44</v>
      </c>
      <c r="R813" s="175"/>
      <c r="S813" s="175"/>
      <c r="T813" s="180"/>
      <c r="U813" s="175"/>
      <c r="V813" s="175">
        <v>5.0</v>
      </c>
    </row>
    <row r="814">
      <c r="A814" s="175">
        <v>814.0</v>
      </c>
      <c r="B814" s="176">
        <v>46190.0</v>
      </c>
      <c r="C814" s="175" t="s">
        <v>21</v>
      </c>
      <c r="D814" s="175" t="s">
        <v>34</v>
      </c>
      <c r="E814" s="177" t="s">
        <v>7419</v>
      </c>
      <c r="F814" s="452">
        <f>+966595965656</f>
        <v>966595965656</v>
      </c>
      <c r="G814" s="175" t="s">
        <v>27</v>
      </c>
      <c r="H814" s="175" t="s">
        <v>27</v>
      </c>
      <c r="I814" s="179" t="s">
        <v>7420</v>
      </c>
      <c r="J814" s="177"/>
      <c r="K814" s="175" t="s">
        <v>39</v>
      </c>
      <c r="L814" s="180"/>
      <c r="M814" s="181" t="s">
        <v>51</v>
      </c>
      <c r="N814" s="175" t="s">
        <v>40</v>
      </c>
      <c r="O814" s="175" t="s">
        <v>42</v>
      </c>
      <c r="P814" s="177" t="s">
        <v>3566</v>
      </c>
      <c r="Q814" s="175" t="s">
        <v>44</v>
      </c>
      <c r="R814" s="175"/>
      <c r="S814" s="175"/>
      <c r="T814" s="180"/>
      <c r="U814" s="175"/>
      <c r="V814" s="175">
        <v>5.0</v>
      </c>
    </row>
    <row r="815">
      <c r="A815" s="175">
        <v>815.0</v>
      </c>
      <c r="B815" s="176">
        <v>46190.0</v>
      </c>
      <c r="C815" s="175" t="s">
        <v>21</v>
      </c>
      <c r="D815" s="175" t="s">
        <v>34</v>
      </c>
      <c r="E815" s="177" t="s">
        <v>7421</v>
      </c>
      <c r="F815" s="452">
        <f>+966533270871</f>
        <v>966533270871</v>
      </c>
      <c r="G815" s="175" t="s">
        <v>27</v>
      </c>
      <c r="H815" s="175" t="s">
        <v>27</v>
      </c>
      <c r="I815" s="179" t="s">
        <v>7422</v>
      </c>
      <c r="J815" s="177"/>
      <c r="K815" s="175" t="s">
        <v>39</v>
      </c>
      <c r="L815" s="180"/>
      <c r="M815" s="181" t="s">
        <v>51</v>
      </c>
      <c r="N815" s="175" t="s">
        <v>40</v>
      </c>
      <c r="O815" s="175" t="s">
        <v>42</v>
      </c>
      <c r="P815" s="177" t="s">
        <v>3566</v>
      </c>
      <c r="Q815" s="175" t="s">
        <v>44</v>
      </c>
      <c r="R815" s="175"/>
      <c r="S815" s="175"/>
      <c r="T815" s="180"/>
      <c r="U815" s="175"/>
      <c r="V815" s="175">
        <v>5.0</v>
      </c>
    </row>
    <row r="816">
      <c r="A816" s="175">
        <v>816.0</v>
      </c>
      <c r="B816" s="176">
        <v>46190.0</v>
      </c>
      <c r="C816" s="175" t="s">
        <v>21</v>
      </c>
      <c r="D816" s="175" t="s">
        <v>34</v>
      </c>
      <c r="E816" s="177" t="s">
        <v>7423</v>
      </c>
      <c r="F816" s="452">
        <f>+966543138679</f>
        <v>966543138679</v>
      </c>
      <c r="G816" s="175" t="s">
        <v>27</v>
      </c>
      <c r="H816" s="175" t="s">
        <v>27</v>
      </c>
      <c r="I816" s="179" t="s">
        <v>7424</v>
      </c>
      <c r="J816" s="177"/>
      <c r="K816" s="175" t="s">
        <v>39</v>
      </c>
      <c r="L816" s="180"/>
      <c r="M816" s="181" t="s">
        <v>51</v>
      </c>
      <c r="N816" s="175" t="s">
        <v>40</v>
      </c>
      <c r="O816" s="175" t="s">
        <v>42</v>
      </c>
      <c r="P816" s="177" t="s">
        <v>3566</v>
      </c>
      <c r="Q816" s="175" t="s">
        <v>44</v>
      </c>
      <c r="R816" s="175"/>
      <c r="S816" s="175"/>
      <c r="T816" s="180"/>
      <c r="U816" s="175"/>
      <c r="V816" s="175">
        <v>5.0</v>
      </c>
    </row>
    <row r="817">
      <c r="A817" s="175">
        <v>817.0</v>
      </c>
      <c r="B817" s="176">
        <v>46190.0</v>
      </c>
      <c r="C817" s="175" t="s">
        <v>21</v>
      </c>
      <c r="D817" s="175" t="s">
        <v>34</v>
      </c>
      <c r="E817" s="177" t="s">
        <v>7425</v>
      </c>
      <c r="F817" s="452">
        <f>+966558327716</f>
        <v>966558327716</v>
      </c>
      <c r="G817" s="175" t="s">
        <v>27</v>
      </c>
      <c r="H817" s="175" t="s">
        <v>27</v>
      </c>
      <c r="I817" s="179" t="s">
        <v>7426</v>
      </c>
      <c r="J817" s="177"/>
      <c r="K817" s="175" t="s">
        <v>39</v>
      </c>
      <c r="L817" s="180"/>
      <c r="M817" s="181" t="s">
        <v>51</v>
      </c>
      <c r="N817" s="175" t="s">
        <v>40</v>
      </c>
      <c r="O817" s="175" t="s">
        <v>42</v>
      </c>
      <c r="P817" s="177" t="s">
        <v>3566</v>
      </c>
      <c r="Q817" s="175" t="s">
        <v>44</v>
      </c>
      <c r="R817" s="175"/>
      <c r="S817" s="175"/>
      <c r="T817" s="180"/>
      <c r="U817" s="175"/>
      <c r="V817" s="175">
        <v>5.0</v>
      </c>
    </row>
    <row r="818">
      <c r="A818" s="175">
        <v>818.0</v>
      </c>
      <c r="B818" s="176">
        <v>46190.0</v>
      </c>
      <c r="C818" s="175" t="s">
        <v>21</v>
      </c>
      <c r="D818" s="175" t="s">
        <v>34</v>
      </c>
      <c r="E818" s="177" t="s">
        <v>7379</v>
      </c>
      <c r="F818" s="452">
        <f>+966500466406</f>
        <v>966500466406</v>
      </c>
      <c r="G818" s="175" t="s">
        <v>27</v>
      </c>
      <c r="H818" s="175" t="s">
        <v>27</v>
      </c>
      <c r="I818" s="179" t="s">
        <v>7428</v>
      </c>
      <c r="J818" s="177"/>
      <c r="K818" s="175" t="s">
        <v>39</v>
      </c>
      <c r="L818" s="180"/>
      <c r="M818" s="181" t="s">
        <v>51</v>
      </c>
      <c r="N818" s="175" t="s">
        <v>40</v>
      </c>
      <c r="O818" s="175" t="s">
        <v>42</v>
      </c>
      <c r="P818" s="177" t="s">
        <v>3566</v>
      </c>
      <c r="Q818" s="175" t="s">
        <v>44</v>
      </c>
      <c r="R818" s="175"/>
      <c r="S818" s="175"/>
      <c r="T818" s="180"/>
      <c r="U818" s="175"/>
      <c r="V818" s="175">
        <v>5.0</v>
      </c>
    </row>
    <row r="819">
      <c r="A819" s="175">
        <v>819.0</v>
      </c>
      <c r="B819" s="176">
        <v>46190.0</v>
      </c>
      <c r="C819" s="175" t="s">
        <v>21</v>
      </c>
      <c r="D819" s="175" t="s">
        <v>34</v>
      </c>
      <c r="E819" s="177" t="s">
        <v>7429</v>
      </c>
      <c r="F819" s="452">
        <f>+966558494597</f>
        <v>966558494597</v>
      </c>
      <c r="G819" s="175" t="s">
        <v>27</v>
      </c>
      <c r="H819" s="175" t="s">
        <v>27</v>
      </c>
      <c r="I819" s="289" t="s">
        <v>7430</v>
      </c>
      <c r="J819" s="177"/>
      <c r="K819" s="175" t="s">
        <v>39</v>
      </c>
      <c r="L819" s="180"/>
      <c r="M819" s="181" t="s">
        <v>51</v>
      </c>
      <c r="N819" s="175" t="s">
        <v>40</v>
      </c>
      <c r="O819" s="175" t="s">
        <v>42</v>
      </c>
      <c r="P819" s="177" t="s">
        <v>3566</v>
      </c>
      <c r="Q819" s="175" t="s">
        <v>44</v>
      </c>
      <c r="R819" s="175"/>
      <c r="S819" s="175"/>
      <c r="T819" s="180"/>
      <c r="U819" s="175"/>
      <c r="V819" s="175">
        <v>5.0</v>
      </c>
    </row>
    <row r="820">
      <c r="A820" s="175">
        <v>820.0</v>
      </c>
      <c r="B820" s="176">
        <v>46190.0</v>
      </c>
      <c r="C820" s="175" t="s">
        <v>21</v>
      </c>
      <c r="D820" s="175" t="s">
        <v>34</v>
      </c>
      <c r="E820" s="177" t="s">
        <v>7431</v>
      </c>
      <c r="F820" s="452">
        <f>+966554088919</f>
        <v>966554088919</v>
      </c>
      <c r="G820" s="175" t="s">
        <v>27</v>
      </c>
      <c r="H820" s="175" t="s">
        <v>27</v>
      </c>
      <c r="I820" s="179" t="s">
        <v>7432</v>
      </c>
      <c r="J820" s="177"/>
      <c r="K820" s="175" t="s">
        <v>39</v>
      </c>
      <c r="L820" s="180"/>
      <c r="M820" s="181" t="s">
        <v>51</v>
      </c>
      <c r="N820" s="175" t="s">
        <v>40</v>
      </c>
      <c r="O820" s="175" t="s">
        <v>42</v>
      </c>
      <c r="P820" s="177" t="s">
        <v>3566</v>
      </c>
      <c r="Q820" s="175" t="s">
        <v>44</v>
      </c>
      <c r="R820" s="175"/>
      <c r="S820" s="175"/>
      <c r="T820" s="180"/>
      <c r="U820" s="175"/>
      <c r="V820" s="175">
        <v>5.0</v>
      </c>
    </row>
    <row r="821">
      <c r="A821" s="175">
        <v>821.0</v>
      </c>
      <c r="B821" s="176">
        <v>46190.0</v>
      </c>
      <c r="C821" s="175" t="s">
        <v>21</v>
      </c>
      <c r="D821" s="175" t="s">
        <v>34</v>
      </c>
      <c r="E821" s="177" t="s">
        <v>5944</v>
      </c>
      <c r="F821" s="452">
        <f>+966531182871</f>
        <v>966531182871</v>
      </c>
      <c r="G821" s="175" t="s">
        <v>27</v>
      </c>
      <c r="H821" s="175" t="s">
        <v>27</v>
      </c>
      <c r="I821" s="179" t="s">
        <v>7433</v>
      </c>
      <c r="J821" s="177"/>
      <c r="K821" s="175" t="s">
        <v>39</v>
      </c>
      <c r="L821" s="180"/>
      <c r="M821" s="181" t="s">
        <v>51</v>
      </c>
      <c r="N821" s="175" t="s">
        <v>40</v>
      </c>
      <c r="O821" s="175" t="s">
        <v>42</v>
      </c>
      <c r="P821" s="177" t="s">
        <v>3566</v>
      </c>
      <c r="Q821" s="175" t="s">
        <v>44</v>
      </c>
      <c r="R821" s="175"/>
      <c r="S821" s="175"/>
      <c r="T821" s="180"/>
      <c r="U821" s="175"/>
      <c r="V821" s="175">
        <v>5.0</v>
      </c>
    </row>
    <row r="822">
      <c r="A822" s="175">
        <v>822.0</v>
      </c>
      <c r="B822" s="176">
        <v>46190.0</v>
      </c>
      <c r="C822" s="175" t="s">
        <v>21</v>
      </c>
      <c r="D822" s="175" t="s">
        <v>34</v>
      </c>
      <c r="E822" s="177" t="s">
        <v>7434</v>
      </c>
      <c r="F822" s="452">
        <f>+966503323846</f>
        <v>966503323846</v>
      </c>
      <c r="G822" s="175" t="s">
        <v>27</v>
      </c>
      <c r="H822" s="175" t="s">
        <v>27</v>
      </c>
      <c r="I822" s="289" t="s">
        <v>7435</v>
      </c>
      <c r="J822" s="177"/>
      <c r="K822" s="175" t="s">
        <v>39</v>
      </c>
      <c r="L822" s="180"/>
      <c r="M822" s="181" t="s">
        <v>51</v>
      </c>
      <c r="N822" s="175" t="s">
        <v>40</v>
      </c>
      <c r="O822" s="175" t="s">
        <v>42</v>
      </c>
      <c r="P822" s="177" t="s">
        <v>3566</v>
      </c>
      <c r="Q822" s="175" t="s">
        <v>44</v>
      </c>
      <c r="R822" s="175"/>
      <c r="S822" s="175"/>
      <c r="T822" s="180"/>
      <c r="U822" s="175"/>
      <c r="V822" s="175">
        <v>5.0</v>
      </c>
    </row>
    <row r="823">
      <c r="A823" s="175">
        <v>823.0</v>
      </c>
      <c r="B823" s="176">
        <v>46190.0</v>
      </c>
      <c r="C823" s="175" t="s">
        <v>21</v>
      </c>
      <c r="D823" s="175" t="s">
        <v>34</v>
      </c>
      <c r="E823" s="177" t="s">
        <v>7436</v>
      </c>
      <c r="F823" s="452">
        <f>+966565117407</f>
        <v>966565117407</v>
      </c>
      <c r="G823" s="175" t="s">
        <v>27</v>
      </c>
      <c r="H823" s="175" t="s">
        <v>27</v>
      </c>
      <c r="I823" s="179" t="s">
        <v>7437</v>
      </c>
      <c r="J823" s="177"/>
      <c r="K823" s="175" t="s">
        <v>39</v>
      </c>
      <c r="L823" s="180"/>
      <c r="M823" s="181" t="s">
        <v>51</v>
      </c>
      <c r="N823" s="175" t="s">
        <v>40</v>
      </c>
      <c r="O823" s="175" t="s">
        <v>42</v>
      </c>
      <c r="P823" s="177" t="s">
        <v>3566</v>
      </c>
      <c r="Q823" s="175" t="s">
        <v>44</v>
      </c>
      <c r="R823" s="175"/>
      <c r="S823" s="175"/>
      <c r="T823" s="180"/>
      <c r="U823" s="175"/>
      <c r="V823" s="175">
        <v>5.0</v>
      </c>
    </row>
    <row r="824">
      <c r="A824" s="175">
        <v>824.0</v>
      </c>
      <c r="B824" s="176">
        <v>46190.0</v>
      </c>
      <c r="C824" s="175" t="s">
        <v>21</v>
      </c>
      <c r="D824" s="175" t="s">
        <v>34</v>
      </c>
      <c r="E824" s="177" t="s">
        <v>7438</v>
      </c>
      <c r="F824" s="452">
        <f>+966555709198</f>
        <v>966555709198</v>
      </c>
      <c r="G824" s="175" t="s">
        <v>27</v>
      </c>
      <c r="H824" s="175" t="s">
        <v>27</v>
      </c>
      <c r="I824" s="179" t="s">
        <v>7439</v>
      </c>
      <c r="J824" s="177"/>
      <c r="K824" s="175" t="s">
        <v>39</v>
      </c>
      <c r="L824" s="180"/>
      <c r="M824" s="181" t="s">
        <v>51</v>
      </c>
      <c r="N824" s="175" t="s">
        <v>40</v>
      </c>
      <c r="O824" s="175" t="s">
        <v>42</v>
      </c>
      <c r="P824" s="177" t="s">
        <v>3566</v>
      </c>
      <c r="Q824" s="175" t="s">
        <v>44</v>
      </c>
      <c r="R824" s="175"/>
      <c r="S824" s="175"/>
      <c r="T824" s="180"/>
      <c r="U824" s="175"/>
      <c r="V824" s="175">
        <v>5.0</v>
      </c>
    </row>
    <row r="825">
      <c r="A825" s="175">
        <v>825.0</v>
      </c>
      <c r="B825" s="176">
        <v>46190.0</v>
      </c>
      <c r="C825" s="175" t="s">
        <v>21</v>
      </c>
      <c r="D825" s="175" t="s">
        <v>34</v>
      </c>
      <c r="E825" s="177" t="s">
        <v>7440</v>
      </c>
      <c r="F825" s="452">
        <f>+966555503273</f>
        <v>966555503273</v>
      </c>
      <c r="G825" s="175" t="s">
        <v>27</v>
      </c>
      <c r="H825" s="175" t="s">
        <v>27</v>
      </c>
      <c r="I825" s="179" t="s">
        <v>7441</v>
      </c>
      <c r="J825" s="177"/>
      <c r="K825" s="175" t="s">
        <v>39</v>
      </c>
      <c r="L825" s="180"/>
      <c r="M825" s="181" t="s">
        <v>51</v>
      </c>
      <c r="N825" s="175" t="s">
        <v>40</v>
      </c>
      <c r="O825" s="175" t="s">
        <v>42</v>
      </c>
      <c r="P825" s="177" t="s">
        <v>3566</v>
      </c>
      <c r="Q825" s="175" t="s">
        <v>44</v>
      </c>
      <c r="R825" s="175"/>
      <c r="S825" s="175"/>
      <c r="T825" s="180"/>
      <c r="U825" s="175"/>
      <c r="V825" s="175">
        <v>5.0</v>
      </c>
    </row>
    <row r="826">
      <c r="A826" s="175">
        <v>826.0</v>
      </c>
      <c r="B826" s="176">
        <v>46190.0</v>
      </c>
      <c r="C826" s="175" t="s">
        <v>21</v>
      </c>
      <c r="D826" s="175" t="s">
        <v>34</v>
      </c>
      <c r="E826" s="177" t="s">
        <v>7442</v>
      </c>
      <c r="F826" s="452">
        <f>+966565005569</f>
        <v>966565005569</v>
      </c>
      <c r="G826" s="175" t="s">
        <v>27</v>
      </c>
      <c r="H826" s="175" t="s">
        <v>27</v>
      </c>
      <c r="I826" s="179" t="s">
        <v>7443</v>
      </c>
      <c r="J826" s="177"/>
      <c r="K826" s="175" t="s">
        <v>39</v>
      </c>
      <c r="L826" s="180"/>
      <c r="M826" s="181" t="s">
        <v>51</v>
      </c>
      <c r="N826" s="175" t="s">
        <v>40</v>
      </c>
      <c r="O826" s="175" t="s">
        <v>42</v>
      </c>
      <c r="P826" s="177" t="s">
        <v>3566</v>
      </c>
      <c r="Q826" s="175" t="s">
        <v>44</v>
      </c>
      <c r="R826" s="175"/>
      <c r="S826" s="175"/>
      <c r="T826" s="180"/>
      <c r="U826" s="175"/>
      <c r="V826" s="175">
        <v>5.0</v>
      </c>
    </row>
    <row r="827">
      <c r="A827" s="175">
        <v>827.0</v>
      </c>
      <c r="B827" s="176">
        <v>46190.0</v>
      </c>
      <c r="C827" s="175" t="s">
        <v>21</v>
      </c>
      <c r="D827" s="175" t="s">
        <v>34</v>
      </c>
      <c r="E827" s="177" t="s">
        <v>7444</v>
      </c>
      <c r="F827" s="452">
        <f>+966534678985</f>
        <v>966534678985</v>
      </c>
      <c r="G827" s="175" t="s">
        <v>27</v>
      </c>
      <c r="H827" s="175" t="s">
        <v>27</v>
      </c>
      <c r="I827" s="179" t="s">
        <v>7445</v>
      </c>
      <c r="J827" s="177"/>
      <c r="K827" s="175" t="s">
        <v>39</v>
      </c>
      <c r="L827" s="180"/>
      <c r="M827" s="181" t="s">
        <v>51</v>
      </c>
      <c r="N827" s="175" t="s">
        <v>40</v>
      </c>
      <c r="O827" s="175" t="s">
        <v>42</v>
      </c>
      <c r="P827" s="177" t="s">
        <v>3566</v>
      </c>
      <c r="Q827" s="175" t="s">
        <v>44</v>
      </c>
      <c r="R827" s="175"/>
      <c r="S827" s="175"/>
      <c r="T827" s="180"/>
      <c r="U827" s="175"/>
      <c r="V827" s="175">
        <v>5.0</v>
      </c>
    </row>
    <row r="828">
      <c r="A828" s="175">
        <v>828.0</v>
      </c>
      <c r="B828" s="176">
        <v>46190.0</v>
      </c>
      <c r="C828" s="175" t="s">
        <v>21</v>
      </c>
      <c r="D828" s="175" t="s">
        <v>34</v>
      </c>
      <c r="E828" s="175" t="s">
        <v>7446</v>
      </c>
      <c r="F828" s="452">
        <f>+966546443863</f>
        <v>966546443863</v>
      </c>
      <c r="G828" s="175" t="s">
        <v>27</v>
      </c>
      <c r="H828" s="175" t="s">
        <v>27</v>
      </c>
      <c r="I828" s="289" t="s">
        <v>7448</v>
      </c>
      <c r="J828" s="177"/>
      <c r="K828" s="175" t="s">
        <v>39</v>
      </c>
      <c r="L828" s="180"/>
      <c r="M828" s="181" t="s">
        <v>51</v>
      </c>
      <c r="N828" s="175" t="s">
        <v>40</v>
      </c>
      <c r="O828" s="175" t="s">
        <v>42</v>
      </c>
      <c r="P828" s="177" t="s">
        <v>3566</v>
      </c>
      <c r="Q828" s="175" t="s">
        <v>44</v>
      </c>
      <c r="R828" s="175"/>
      <c r="S828" s="175"/>
      <c r="T828" s="180"/>
      <c r="U828" s="175"/>
      <c r="V828" s="175">
        <v>5.0</v>
      </c>
    </row>
    <row r="829">
      <c r="A829" s="175">
        <v>829.0</v>
      </c>
      <c r="B829" s="176">
        <v>46190.0</v>
      </c>
      <c r="C829" s="175" t="s">
        <v>21</v>
      </c>
      <c r="D829" s="175" t="s">
        <v>34</v>
      </c>
      <c r="E829" s="177" t="s">
        <v>7449</v>
      </c>
      <c r="F829" s="452">
        <f>+966541500858</f>
        <v>966541500858</v>
      </c>
      <c r="G829" s="175" t="s">
        <v>27</v>
      </c>
      <c r="H829" s="175" t="s">
        <v>27</v>
      </c>
      <c r="I829" s="179" t="s">
        <v>7450</v>
      </c>
      <c r="J829" s="177"/>
      <c r="K829" s="175" t="s">
        <v>39</v>
      </c>
      <c r="L829" s="180"/>
      <c r="M829" s="181" t="s">
        <v>51</v>
      </c>
      <c r="N829" s="175" t="s">
        <v>40</v>
      </c>
      <c r="O829" s="175" t="s">
        <v>42</v>
      </c>
      <c r="P829" s="177" t="s">
        <v>3566</v>
      </c>
      <c r="Q829" s="175" t="s">
        <v>44</v>
      </c>
      <c r="R829" s="175"/>
      <c r="S829" s="175"/>
      <c r="T829" s="180"/>
      <c r="U829" s="175"/>
      <c r="V829" s="175">
        <v>5.0</v>
      </c>
    </row>
    <row r="830">
      <c r="A830" s="175">
        <v>830.0</v>
      </c>
      <c r="B830" s="176">
        <v>46190.0</v>
      </c>
      <c r="C830" s="175" t="s">
        <v>21</v>
      </c>
      <c r="D830" s="175" t="s">
        <v>34</v>
      </c>
      <c r="E830" s="177" t="s">
        <v>7451</v>
      </c>
      <c r="F830" s="452">
        <f>+966556051030</f>
        <v>966556051030</v>
      </c>
      <c r="G830" s="175" t="s">
        <v>27</v>
      </c>
      <c r="H830" s="175" t="s">
        <v>27</v>
      </c>
      <c r="I830" s="179" t="s">
        <v>7452</v>
      </c>
      <c r="J830" s="177"/>
      <c r="K830" s="175" t="s">
        <v>39</v>
      </c>
      <c r="L830" s="180"/>
      <c r="M830" s="181" t="s">
        <v>51</v>
      </c>
      <c r="N830" s="175" t="s">
        <v>40</v>
      </c>
      <c r="O830" s="175" t="s">
        <v>42</v>
      </c>
      <c r="P830" s="177" t="s">
        <v>3566</v>
      </c>
      <c r="Q830" s="175" t="s">
        <v>44</v>
      </c>
      <c r="R830" s="175"/>
      <c r="S830" s="175"/>
      <c r="T830" s="180"/>
      <c r="U830" s="175"/>
      <c r="V830" s="175">
        <v>5.0</v>
      </c>
    </row>
    <row r="831">
      <c r="A831" s="175">
        <v>831.0</v>
      </c>
      <c r="B831" s="176">
        <v>46190.0</v>
      </c>
      <c r="C831" s="175" t="s">
        <v>21</v>
      </c>
      <c r="D831" s="175" t="s">
        <v>34</v>
      </c>
      <c r="E831" s="177" t="s">
        <v>7453</v>
      </c>
      <c r="F831" s="452">
        <f>+966550930065</f>
        <v>966550930065</v>
      </c>
      <c r="G831" s="175" t="s">
        <v>27</v>
      </c>
      <c r="H831" s="175" t="s">
        <v>27</v>
      </c>
      <c r="I831" s="179" t="s">
        <v>7454</v>
      </c>
      <c r="J831" s="177"/>
      <c r="K831" s="175" t="s">
        <v>39</v>
      </c>
      <c r="L831" s="180"/>
      <c r="M831" s="181" t="s">
        <v>51</v>
      </c>
      <c r="N831" s="175" t="s">
        <v>40</v>
      </c>
      <c r="O831" s="175" t="s">
        <v>42</v>
      </c>
      <c r="P831" s="177" t="s">
        <v>3566</v>
      </c>
      <c r="Q831" s="175" t="s">
        <v>44</v>
      </c>
      <c r="R831" s="175"/>
      <c r="S831" s="175"/>
      <c r="T831" s="180"/>
      <c r="U831" s="175"/>
      <c r="V831" s="175">
        <v>5.0</v>
      </c>
    </row>
    <row r="832">
      <c r="A832" s="175">
        <v>832.0</v>
      </c>
      <c r="B832" s="176">
        <v>46190.0</v>
      </c>
      <c r="C832" s="175" t="s">
        <v>21</v>
      </c>
      <c r="D832" s="175" t="s">
        <v>24</v>
      </c>
      <c r="E832" s="175" t="s">
        <v>7455</v>
      </c>
      <c r="F832" s="178">
        <v>5.43287124E8</v>
      </c>
      <c r="G832" s="177" t="s">
        <v>874</v>
      </c>
      <c r="H832" s="175" t="s">
        <v>27</v>
      </c>
      <c r="I832" s="179" t="s">
        <v>7456</v>
      </c>
      <c r="J832" s="177"/>
      <c r="K832" s="175" t="s">
        <v>39</v>
      </c>
      <c r="L832" s="180"/>
      <c r="M832" s="177" t="s">
        <v>38</v>
      </c>
      <c r="N832" s="175" t="s">
        <v>56</v>
      </c>
      <c r="O832" s="175" t="s">
        <v>42</v>
      </c>
      <c r="P832" s="177" t="s">
        <v>3566</v>
      </c>
      <c r="Q832" s="175" t="s">
        <v>44</v>
      </c>
      <c r="R832" s="175" t="s">
        <v>46</v>
      </c>
      <c r="S832" s="180"/>
      <c r="T832" s="177"/>
      <c r="U832" s="175"/>
      <c r="V832" s="175">
        <v>5.0</v>
      </c>
    </row>
    <row r="833">
      <c r="A833" s="175">
        <v>833.0</v>
      </c>
      <c r="B833" s="176">
        <v>46190.0</v>
      </c>
      <c r="C833" s="175" t="s">
        <v>21</v>
      </c>
      <c r="D833" s="175" t="s">
        <v>24</v>
      </c>
      <c r="E833" s="177" t="s">
        <v>7457</v>
      </c>
      <c r="F833" s="178">
        <v>5.34209095E8</v>
      </c>
      <c r="G833" s="177" t="s">
        <v>79</v>
      </c>
      <c r="H833" s="175" t="s">
        <v>27</v>
      </c>
      <c r="I833" s="179" t="s">
        <v>7458</v>
      </c>
      <c r="J833" s="177"/>
      <c r="K833" s="175" t="s">
        <v>36</v>
      </c>
      <c r="L833" s="180"/>
      <c r="M833" s="177" t="s">
        <v>38</v>
      </c>
      <c r="N833" s="175" t="s">
        <v>56</v>
      </c>
      <c r="O833" s="175" t="s">
        <v>42</v>
      </c>
      <c r="P833" s="177" t="s">
        <v>3566</v>
      </c>
      <c r="Q833" s="175" t="s">
        <v>44</v>
      </c>
      <c r="R833" s="175" t="s">
        <v>46</v>
      </c>
      <c r="S833" s="180"/>
      <c r="T833" s="177"/>
      <c r="U833" s="175"/>
      <c r="V833" s="175">
        <v>5.0</v>
      </c>
    </row>
    <row r="834">
      <c r="A834" s="175">
        <v>834.0</v>
      </c>
      <c r="B834" s="176">
        <v>46190.0</v>
      </c>
      <c r="C834" s="175" t="s">
        <v>58</v>
      </c>
      <c r="D834" s="175" t="s">
        <v>60</v>
      </c>
      <c r="E834" s="175" t="s">
        <v>27</v>
      </c>
      <c r="F834" s="178">
        <v>5.36537739E8</v>
      </c>
      <c r="G834" s="175" t="s">
        <v>27</v>
      </c>
      <c r="H834" s="175" t="s">
        <v>27</v>
      </c>
      <c r="I834" s="179" t="s">
        <v>7459</v>
      </c>
      <c r="J834" s="177"/>
      <c r="K834" s="175" t="s">
        <v>36</v>
      </c>
      <c r="L834" s="180"/>
      <c r="M834" s="181" t="s">
        <v>88</v>
      </c>
      <c r="N834" s="175" t="s">
        <v>40</v>
      </c>
      <c r="O834" s="175" t="s">
        <v>42</v>
      </c>
      <c r="P834" s="177" t="s">
        <v>3566</v>
      </c>
      <c r="Q834" s="175" t="s">
        <v>44</v>
      </c>
      <c r="R834" s="175"/>
      <c r="S834" s="175"/>
      <c r="T834" s="180"/>
      <c r="U834" s="175"/>
      <c r="V834" s="175">
        <v>5.0</v>
      </c>
    </row>
    <row r="835">
      <c r="A835" s="175">
        <v>835.0</v>
      </c>
      <c r="B835" s="176">
        <v>46190.0</v>
      </c>
      <c r="C835" s="175" t="s">
        <v>21</v>
      </c>
      <c r="D835" s="175" t="s">
        <v>22</v>
      </c>
      <c r="E835" s="177" t="s">
        <v>7460</v>
      </c>
      <c r="F835" s="178">
        <v>5.07999461E8</v>
      </c>
      <c r="G835" s="177" t="s">
        <v>3774</v>
      </c>
      <c r="H835" s="175" t="s">
        <v>27</v>
      </c>
      <c r="I835" s="179" t="s">
        <v>7461</v>
      </c>
      <c r="J835" s="177"/>
      <c r="K835" s="175" t="s">
        <v>36</v>
      </c>
      <c r="L835" s="180"/>
      <c r="M835" s="177" t="s">
        <v>38</v>
      </c>
      <c r="N835" s="175" t="s">
        <v>40</v>
      </c>
      <c r="O835" s="175" t="s">
        <v>42</v>
      </c>
      <c r="P835" s="177" t="s">
        <v>3566</v>
      </c>
      <c r="Q835" s="175" t="s">
        <v>44</v>
      </c>
      <c r="R835" s="175" t="s">
        <v>46</v>
      </c>
      <c r="S835" s="180"/>
      <c r="T835" s="180"/>
      <c r="U835" s="175"/>
      <c r="V835" s="175">
        <v>5.0</v>
      </c>
    </row>
    <row r="836">
      <c r="A836" s="175">
        <v>836.0</v>
      </c>
      <c r="B836" s="176">
        <v>46190.0</v>
      </c>
      <c r="C836" s="175" t="s">
        <v>21</v>
      </c>
      <c r="D836" s="175" t="s">
        <v>22</v>
      </c>
      <c r="E836" s="177" t="s">
        <v>7462</v>
      </c>
      <c r="F836" s="178">
        <v>5.58899347E8</v>
      </c>
      <c r="G836" s="177" t="s">
        <v>41</v>
      </c>
      <c r="H836" s="175" t="s">
        <v>27</v>
      </c>
      <c r="I836" s="179" t="s">
        <v>7463</v>
      </c>
      <c r="J836" s="177"/>
      <c r="K836" s="175" t="s">
        <v>36</v>
      </c>
      <c r="L836" s="180"/>
      <c r="M836" s="177" t="s">
        <v>38</v>
      </c>
      <c r="N836" s="175" t="s">
        <v>40</v>
      </c>
      <c r="O836" s="175" t="s">
        <v>42</v>
      </c>
      <c r="P836" s="177" t="s">
        <v>3566</v>
      </c>
      <c r="Q836" s="175" t="s">
        <v>44</v>
      </c>
      <c r="R836" s="175" t="s">
        <v>46</v>
      </c>
      <c r="S836" s="180"/>
      <c r="T836" s="180"/>
      <c r="U836" s="175"/>
      <c r="V836" s="175">
        <v>5.0</v>
      </c>
    </row>
    <row r="837">
      <c r="A837" s="175">
        <v>837.0</v>
      </c>
      <c r="B837" s="176">
        <v>46190.0</v>
      </c>
      <c r="C837" s="175" t="s">
        <v>21</v>
      </c>
      <c r="D837" s="175" t="s">
        <v>24</v>
      </c>
      <c r="E837" s="177" t="s">
        <v>850</v>
      </c>
      <c r="F837" s="178">
        <v>5.0952571E8</v>
      </c>
      <c r="G837" s="177" t="s">
        <v>1452</v>
      </c>
      <c r="H837" s="175" t="s">
        <v>27</v>
      </c>
      <c r="I837" s="179" t="s">
        <v>7464</v>
      </c>
      <c r="J837" s="177"/>
      <c r="K837" s="175" t="s">
        <v>36</v>
      </c>
      <c r="L837" s="180"/>
      <c r="M837" s="177" t="s">
        <v>38</v>
      </c>
      <c r="N837" s="175" t="s">
        <v>56</v>
      </c>
      <c r="O837" s="175" t="s">
        <v>42</v>
      </c>
      <c r="P837" s="177" t="s">
        <v>3566</v>
      </c>
      <c r="Q837" s="175" t="s">
        <v>44</v>
      </c>
      <c r="R837" s="175" t="s">
        <v>46</v>
      </c>
      <c r="S837" s="180"/>
      <c r="T837" s="177"/>
      <c r="U837" s="175"/>
      <c r="V837" s="175">
        <v>5.0</v>
      </c>
    </row>
    <row r="838">
      <c r="A838" s="175">
        <v>838.0</v>
      </c>
      <c r="B838" s="176">
        <v>46190.0</v>
      </c>
      <c r="C838" s="175" t="s">
        <v>58</v>
      </c>
      <c r="D838" s="175" t="s">
        <v>60</v>
      </c>
      <c r="E838" s="175" t="s">
        <v>27</v>
      </c>
      <c r="F838" s="178">
        <v>5.57013735E8</v>
      </c>
      <c r="G838" s="175" t="s">
        <v>27</v>
      </c>
      <c r="H838" s="175" t="s">
        <v>27</v>
      </c>
      <c r="I838" s="179" t="s">
        <v>7465</v>
      </c>
      <c r="J838" s="177"/>
      <c r="K838" s="175" t="s">
        <v>36</v>
      </c>
      <c r="L838" s="180"/>
      <c r="M838" s="181" t="s">
        <v>88</v>
      </c>
      <c r="N838" s="175" t="s">
        <v>40</v>
      </c>
      <c r="O838" s="175" t="s">
        <v>42</v>
      </c>
      <c r="P838" s="177" t="s">
        <v>3566</v>
      </c>
      <c r="Q838" s="175" t="s">
        <v>44</v>
      </c>
      <c r="R838" s="175"/>
      <c r="S838" s="175"/>
      <c r="T838" s="180"/>
      <c r="U838" s="175"/>
      <c r="V838" s="175">
        <v>5.0</v>
      </c>
    </row>
    <row r="839">
      <c r="A839" s="175">
        <v>839.0</v>
      </c>
      <c r="B839" s="176">
        <v>46190.0</v>
      </c>
      <c r="C839" s="175" t="s">
        <v>21</v>
      </c>
      <c r="D839" s="175" t="s">
        <v>60</v>
      </c>
      <c r="E839" s="175" t="s">
        <v>27</v>
      </c>
      <c r="F839" s="178">
        <v>5.31400912E8</v>
      </c>
      <c r="G839" s="175" t="s">
        <v>27</v>
      </c>
      <c r="H839" s="175" t="s">
        <v>27</v>
      </c>
      <c r="I839" s="179" t="s">
        <v>7466</v>
      </c>
      <c r="J839" s="177"/>
      <c r="K839" s="175" t="s">
        <v>36</v>
      </c>
      <c r="L839" s="180"/>
      <c r="M839" s="181" t="s">
        <v>88</v>
      </c>
      <c r="N839" s="175" t="s">
        <v>40</v>
      </c>
      <c r="O839" s="175" t="s">
        <v>42</v>
      </c>
      <c r="P839" s="177" t="s">
        <v>3566</v>
      </c>
      <c r="Q839" s="175" t="s">
        <v>44</v>
      </c>
      <c r="R839" s="175"/>
      <c r="S839" s="175"/>
      <c r="T839" s="180"/>
      <c r="U839" s="175"/>
      <c r="V839" s="175">
        <v>5.0</v>
      </c>
    </row>
    <row r="840">
      <c r="A840" s="175">
        <v>840.0</v>
      </c>
      <c r="B840" s="176">
        <v>46190.0</v>
      </c>
      <c r="C840" s="175" t="s">
        <v>58</v>
      </c>
      <c r="D840" s="175" t="s">
        <v>60</v>
      </c>
      <c r="E840" s="175" t="s">
        <v>27</v>
      </c>
      <c r="F840" s="178">
        <v>5.54850559E8</v>
      </c>
      <c r="G840" s="175" t="s">
        <v>27</v>
      </c>
      <c r="H840" s="175" t="s">
        <v>27</v>
      </c>
      <c r="I840" s="179" t="s">
        <v>554</v>
      </c>
      <c r="J840" s="177"/>
      <c r="K840" s="175" t="s">
        <v>36</v>
      </c>
      <c r="L840" s="180"/>
      <c r="M840" s="181" t="s">
        <v>88</v>
      </c>
      <c r="N840" s="175" t="s">
        <v>40</v>
      </c>
      <c r="O840" s="175" t="s">
        <v>42</v>
      </c>
      <c r="P840" s="177" t="s">
        <v>3566</v>
      </c>
      <c r="Q840" s="175" t="s">
        <v>44</v>
      </c>
      <c r="R840" s="175"/>
      <c r="S840" s="175"/>
      <c r="T840" s="180"/>
      <c r="U840" s="175"/>
      <c r="V840" s="175">
        <v>5.0</v>
      </c>
    </row>
    <row r="841">
      <c r="A841" s="175">
        <v>841.0</v>
      </c>
      <c r="B841" s="176">
        <v>46190.0</v>
      </c>
      <c r="C841" s="175" t="s">
        <v>21</v>
      </c>
      <c r="D841" s="175" t="s">
        <v>34</v>
      </c>
      <c r="E841" s="177" t="s">
        <v>775</v>
      </c>
      <c r="F841" s="178">
        <v>5.34749838E8</v>
      </c>
      <c r="G841" s="175" t="s">
        <v>27</v>
      </c>
      <c r="H841" s="175" t="s">
        <v>27</v>
      </c>
      <c r="I841" s="179" t="s">
        <v>7467</v>
      </c>
      <c r="J841" s="177"/>
      <c r="K841" s="175" t="s">
        <v>36</v>
      </c>
      <c r="L841" s="180"/>
      <c r="M841" s="181" t="s">
        <v>51</v>
      </c>
      <c r="N841" s="175" t="s">
        <v>40</v>
      </c>
      <c r="O841" s="175" t="s">
        <v>42</v>
      </c>
      <c r="P841" s="177" t="s">
        <v>3566</v>
      </c>
      <c r="Q841" s="175" t="s">
        <v>44</v>
      </c>
      <c r="R841" s="175"/>
      <c r="S841" s="175"/>
      <c r="T841" s="180"/>
      <c r="U841" s="175"/>
      <c r="V841" s="175">
        <v>5.0</v>
      </c>
    </row>
    <row r="842">
      <c r="A842" s="175">
        <v>842.0</v>
      </c>
      <c r="B842" s="176">
        <v>46191.0</v>
      </c>
      <c r="C842" s="175" t="s">
        <v>58</v>
      </c>
      <c r="D842" s="175" t="s">
        <v>367</v>
      </c>
      <c r="E842" s="177" t="s">
        <v>7468</v>
      </c>
      <c r="F842" s="178">
        <v>5.35556704E8</v>
      </c>
      <c r="G842" s="177" t="s">
        <v>41</v>
      </c>
      <c r="H842" s="175" t="s">
        <v>783</v>
      </c>
      <c r="I842" s="179" t="s">
        <v>7469</v>
      </c>
      <c r="J842" s="177" t="s">
        <v>7470</v>
      </c>
      <c r="K842" s="175" t="s">
        <v>36</v>
      </c>
      <c r="L842" s="180"/>
      <c r="M842" s="177" t="s">
        <v>7471</v>
      </c>
      <c r="N842" s="175" t="s">
        <v>56</v>
      </c>
      <c r="O842" s="175" t="s">
        <v>42</v>
      </c>
      <c r="P842" s="177" t="s">
        <v>3566</v>
      </c>
      <c r="Q842" s="175" t="s">
        <v>49</v>
      </c>
      <c r="R842" s="175" t="s">
        <v>46</v>
      </c>
      <c r="S842" s="175"/>
      <c r="T842" s="180">
        <v>0.4486111111111111</v>
      </c>
      <c r="U842" s="175" t="s">
        <v>49</v>
      </c>
      <c r="V842" s="175">
        <v>5.0</v>
      </c>
    </row>
    <row r="843">
      <c r="A843" s="175">
        <v>843.0</v>
      </c>
      <c r="B843" s="176">
        <v>46191.0</v>
      </c>
      <c r="C843" s="175" t="s">
        <v>58</v>
      </c>
      <c r="D843" s="175" t="s">
        <v>60</v>
      </c>
      <c r="E843" s="175" t="s">
        <v>27</v>
      </c>
      <c r="F843" s="178">
        <v>5.70860672E8</v>
      </c>
      <c r="G843" s="175" t="s">
        <v>27</v>
      </c>
      <c r="H843" s="175" t="s">
        <v>27</v>
      </c>
      <c r="I843" s="179" t="s">
        <v>7472</v>
      </c>
      <c r="J843" s="177"/>
      <c r="K843" s="175" t="s">
        <v>65</v>
      </c>
      <c r="L843" s="180"/>
      <c r="M843" s="181" t="s">
        <v>88</v>
      </c>
      <c r="N843" s="175" t="s">
        <v>40</v>
      </c>
      <c r="O843" s="175" t="s">
        <v>42</v>
      </c>
      <c r="P843" s="177" t="s">
        <v>3566</v>
      </c>
      <c r="Q843" s="175" t="s">
        <v>44</v>
      </c>
      <c r="R843" s="175"/>
      <c r="S843" s="175"/>
      <c r="T843" s="180"/>
      <c r="U843" s="175"/>
      <c r="V843" s="175">
        <v>5.0</v>
      </c>
    </row>
    <row r="844">
      <c r="A844" s="175">
        <v>844.0</v>
      </c>
      <c r="B844" s="176">
        <v>46191.0</v>
      </c>
      <c r="C844" s="175" t="s">
        <v>21</v>
      </c>
      <c r="D844" s="175" t="s">
        <v>22</v>
      </c>
      <c r="E844" s="177" t="s">
        <v>1745</v>
      </c>
      <c r="F844" s="178">
        <v>5.56664903E8</v>
      </c>
      <c r="G844" s="177" t="s">
        <v>752</v>
      </c>
      <c r="H844" s="175" t="s">
        <v>27</v>
      </c>
      <c r="I844" s="305" t="s">
        <v>7473</v>
      </c>
      <c r="J844" s="177"/>
      <c r="K844" s="175" t="s">
        <v>62</v>
      </c>
      <c r="L844" s="180"/>
      <c r="M844" s="181" t="s">
        <v>125</v>
      </c>
      <c r="N844" s="175" t="s">
        <v>40</v>
      </c>
      <c r="O844" s="175" t="s">
        <v>42</v>
      </c>
      <c r="P844" s="177" t="s">
        <v>3566</v>
      </c>
      <c r="Q844" s="175" t="s">
        <v>44</v>
      </c>
      <c r="R844" s="175" t="s">
        <v>46</v>
      </c>
      <c r="S844" s="180"/>
      <c r="T844" s="180"/>
      <c r="U844" s="175"/>
      <c r="V844" s="175">
        <v>5.0</v>
      </c>
    </row>
    <row r="845">
      <c r="A845" s="175">
        <v>845.0</v>
      </c>
      <c r="B845" s="176">
        <v>46191.0</v>
      </c>
      <c r="C845" s="175" t="s">
        <v>21</v>
      </c>
      <c r="D845" s="175" t="s">
        <v>48</v>
      </c>
      <c r="E845" s="177" t="s">
        <v>7474</v>
      </c>
      <c r="F845" s="178">
        <v>5.3520922E8</v>
      </c>
      <c r="G845" s="177"/>
      <c r="H845" s="175" t="s">
        <v>27</v>
      </c>
      <c r="I845" s="179" t="s">
        <v>7475</v>
      </c>
      <c r="J845" s="177"/>
      <c r="K845" s="175" t="s">
        <v>62</v>
      </c>
      <c r="L845" s="180"/>
      <c r="M845" s="177" t="s">
        <v>38</v>
      </c>
      <c r="N845" s="175" t="s">
        <v>40</v>
      </c>
      <c r="O845" s="175" t="s">
        <v>42</v>
      </c>
      <c r="P845" s="177" t="s">
        <v>3566</v>
      </c>
      <c r="Q845" s="175" t="s">
        <v>44</v>
      </c>
      <c r="R845" s="175"/>
      <c r="S845" s="175"/>
      <c r="T845" s="180"/>
      <c r="U845" s="175"/>
      <c r="V845" s="175">
        <v>5.0</v>
      </c>
    </row>
    <row r="846">
      <c r="A846" s="175">
        <v>846.0</v>
      </c>
      <c r="B846" s="176">
        <v>46191.0</v>
      </c>
      <c r="C846" s="175" t="s">
        <v>58</v>
      </c>
      <c r="D846" s="175" t="s">
        <v>60</v>
      </c>
      <c r="E846" s="175" t="s">
        <v>27</v>
      </c>
      <c r="F846" s="178">
        <v>5.82180257E8</v>
      </c>
      <c r="G846" s="175" t="s">
        <v>27</v>
      </c>
      <c r="H846" s="175" t="s">
        <v>27</v>
      </c>
      <c r="I846" s="179" t="s">
        <v>7476</v>
      </c>
      <c r="J846" s="177"/>
      <c r="K846" s="175" t="s">
        <v>62</v>
      </c>
      <c r="L846" s="180"/>
      <c r="M846" s="181" t="s">
        <v>38</v>
      </c>
      <c r="N846" s="175" t="s">
        <v>40</v>
      </c>
      <c r="O846" s="175" t="s">
        <v>42</v>
      </c>
      <c r="P846" s="177" t="s">
        <v>3566</v>
      </c>
      <c r="Q846" s="175" t="s">
        <v>44</v>
      </c>
      <c r="R846" s="175"/>
      <c r="S846" s="175"/>
      <c r="T846" s="180"/>
      <c r="U846" s="175"/>
      <c r="V846" s="175">
        <v>5.0</v>
      </c>
    </row>
    <row r="847">
      <c r="A847" s="175">
        <v>847.0</v>
      </c>
      <c r="B847" s="176">
        <v>46191.0</v>
      </c>
      <c r="C847" s="175" t="s">
        <v>21</v>
      </c>
      <c r="D847" s="175" t="s">
        <v>57</v>
      </c>
      <c r="E847" s="175" t="s">
        <v>27</v>
      </c>
      <c r="F847" s="178">
        <v>5.46772194E8</v>
      </c>
      <c r="G847" s="175" t="s">
        <v>27</v>
      </c>
      <c r="H847" s="175" t="s">
        <v>27</v>
      </c>
      <c r="I847" s="179" t="s">
        <v>1306</v>
      </c>
      <c r="J847" s="177"/>
      <c r="K847" s="175" t="s">
        <v>36</v>
      </c>
      <c r="L847" s="180"/>
      <c r="M847" s="177" t="s">
        <v>38</v>
      </c>
      <c r="N847" s="175" t="s">
        <v>40</v>
      </c>
      <c r="O847" s="175" t="s">
        <v>42</v>
      </c>
      <c r="P847" s="177" t="s">
        <v>3566</v>
      </c>
      <c r="Q847" s="175" t="s">
        <v>44</v>
      </c>
      <c r="R847" s="175"/>
      <c r="S847" s="175"/>
      <c r="T847" s="180"/>
      <c r="U847" s="175"/>
      <c r="V847" s="175">
        <v>5.0</v>
      </c>
    </row>
    <row r="848">
      <c r="A848" s="175">
        <v>848.0</v>
      </c>
      <c r="B848" s="176">
        <v>46191.0</v>
      </c>
      <c r="C848" s="175" t="s">
        <v>21</v>
      </c>
      <c r="D848" s="175" t="s">
        <v>66</v>
      </c>
      <c r="E848" s="177" t="s">
        <v>7478</v>
      </c>
      <c r="F848" s="178">
        <v>5.35853333E8</v>
      </c>
      <c r="G848" s="177" t="s">
        <v>3000</v>
      </c>
      <c r="H848" s="175" t="s">
        <v>27</v>
      </c>
      <c r="I848" s="179" t="s">
        <v>7479</v>
      </c>
      <c r="J848" s="177"/>
      <c r="K848" s="175" t="s">
        <v>36</v>
      </c>
      <c r="L848" s="180"/>
      <c r="M848" s="181" t="s">
        <v>208</v>
      </c>
      <c r="N848" s="175" t="s">
        <v>40</v>
      </c>
      <c r="O848" s="175" t="s">
        <v>42</v>
      </c>
      <c r="P848" s="177" t="s">
        <v>3566</v>
      </c>
      <c r="Q848" s="175" t="s">
        <v>44</v>
      </c>
      <c r="R848" s="175"/>
      <c r="S848" s="175"/>
      <c r="T848" s="180"/>
      <c r="U848" s="175"/>
      <c r="V848" s="175">
        <v>5.0</v>
      </c>
    </row>
    <row r="849">
      <c r="A849" s="175">
        <v>849.0</v>
      </c>
      <c r="B849" s="176">
        <v>46191.0</v>
      </c>
      <c r="C849" s="175" t="s">
        <v>21</v>
      </c>
      <c r="D849" s="175" t="s">
        <v>22</v>
      </c>
      <c r="E849" s="177" t="s">
        <v>7480</v>
      </c>
      <c r="F849" s="178">
        <v>5.00499396E8</v>
      </c>
      <c r="G849" s="177" t="s">
        <v>152</v>
      </c>
      <c r="H849" s="175" t="s">
        <v>27</v>
      </c>
      <c r="I849" s="179" t="s">
        <v>7481</v>
      </c>
      <c r="J849" s="177"/>
      <c r="K849" s="206" t="s">
        <v>457</v>
      </c>
      <c r="L849" s="180"/>
      <c r="M849" s="181" t="s">
        <v>125</v>
      </c>
      <c r="N849" s="175" t="s">
        <v>40</v>
      </c>
      <c r="O849" s="175" t="s">
        <v>42</v>
      </c>
      <c r="P849" s="177" t="s">
        <v>3566</v>
      </c>
      <c r="Q849" s="175" t="s">
        <v>44</v>
      </c>
      <c r="R849" s="175" t="s">
        <v>46</v>
      </c>
      <c r="S849" s="180"/>
      <c r="T849" s="180"/>
      <c r="U849" s="175"/>
      <c r="V849" s="175">
        <v>5.0</v>
      </c>
    </row>
    <row r="850">
      <c r="A850" s="175">
        <v>850.0</v>
      </c>
      <c r="B850" s="176">
        <v>46191.0</v>
      </c>
      <c r="C850" s="175" t="s">
        <v>58</v>
      </c>
      <c r="D850" s="175" t="s">
        <v>60</v>
      </c>
      <c r="E850" s="177" t="s">
        <v>1330</v>
      </c>
      <c r="F850" s="178">
        <v>5.57045555E8</v>
      </c>
      <c r="G850" s="177" t="s">
        <v>79</v>
      </c>
      <c r="H850" s="175" t="s">
        <v>239</v>
      </c>
      <c r="I850" s="179" t="s">
        <v>7482</v>
      </c>
      <c r="J850" s="177"/>
      <c r="K850" s="206" t="s">
        <v>36</v>
      </c>
      <c r="L850" s="180"/>
      <c r="M850" s="181" t="s">
        <v>88</v>
      </c>
      <c r="N850" s="175" t="s">
        <v>40</v>
      </c>
      <c r="O850" s="175" t="s">
        <v>42</v>
      </c>
      <c r="P850" s="177" t="s">
        <v>3566</v>
      </c>
      <c r="Q850" s="175" t="s">
        <v>44</v>
      </c>
      <c r="R850" s="175"/>
      <c r="S850" s="175"/>
      <c r="T850" s="180"/>
      <c r="U850" s="175"/>
      <c r="V850" s="175">
        <v>5.0</v>
      </c>
    </row>
    <row r="851">
      <c r="A851" s="175">
        <v>851.0</v>
      </c>
      <c r="B851" s="176">
        <v>46191.0</v>
      </c>
      <c r="C851" s="175" t="s">
        <v>58</v>
      </c>
      <c r="D851" s="175" t="s">
        <v>60</v>
      </c>
      <c r="E851" s="177" t="s">
        <v>1449</v>
      </c>
      <c r="F851" s="178">
        <v>5.50802275E8</v>
      </c>
      <c r="G851" s="175" t="s">
        <v>27</v>
      </c>
      <c r="H851" s="175" t="s">
        <v>27</v>
      </c>
      <c r="I851" s="179" t="s">
        <v>7483</v>
      </c>
      <c r="J851" s="177"/>
      <c r="K851" s="206" t="s">
        <v>36</v>
      </c>
      <c r="L851" s="180"/>
      <c r="M851" s="181" t="s">
        <v>88</v>
      </c>
      <c r="N851" s="175" t="s">
        <v>40</v>
      </c>
      <c r="O851" s="175" t="s">
        <v>42</v>
      </c>
      <c r="P851" s="177" t="s">
        <v>3566</v>
      </c>
      <c r="Q851" s="175" t="s">
        <v>44</v>
      </c>
      <c r="R851" s="175"/>
      <c r="S851" s="175"/>
      <c r="T851" s="180"/>
      <c r="U851" s="175"/>
      <c r="V851" s="175">
        <v>5.0</v>
      </c>
    </row>
    <row r="852" ht="74.25" customHeight="1">
      <c r="A852" s="26">
        <v>852.0</v>
      </c>
      <c r="B852" s="188">
        <v>46191.0</v>
      </c>
      <c r="C852" s="26" t="s">
        <v>47</v>
      </c>
      <c r="D852" s="26" t="s">
        <v>48</v>
      </c>
      <c r="E852" s="27" t="s">
        <v>7484</v>
      </c>
      <c r="F852" s="21">
        <v>5.56891446E8</v>
      </c>
      <c r="G852" s="27" t="s">
        <v>28</v>
      </c>
      <c r="H852" s="26" t="s">
        <v>830</v>
      </c>
      <c r="I852" s="209" t="s">
        <v>7485</v>
      </c>
      <c r="J852" s="27"/>
      <c r="K852" s="26" t="s">
        <v>36</v>
      </c>
      <c r="L852" s="35">
        <v>0.6159722222222223</v>
      </c>
      <c r="M852" s="192" t="s">
        <v>5968</v>
      </c>
      <c r="N852" s="26" t="s">
        <v>40</v>
      </c>
      <c r="O852" s="26" t="s">
        <v>301</v>
      </c>
      <c r="P852" s="27" t="s">
        <v>3566</v>
      </c>
      <c r="Q852" s="26" t="s">
        <v>49</v>
      </c>
      <c r="R852" s="26" t="s">
        <v>46</v>
      </c>
      <c r="S852" s="35">
        <v>0.3611111111111111</v>
      </c>
      <c r="T852" s="27" t="s">
        <v>3566</v>
      </c>
      <c r="U852" s="26" t="s">
        <v>49</v>
      </c>
      <c r="V852" s="26">
        <v>5.0</v>
      </c>
    </row>
    <row r="853">
      <c r="A853" s="175">
        <v>853.0</v>
      </c>
      <c r="B853" s="176">
        <v>46191.0</v>
      </c>
      <c r="C853" s="175" t="s">
        <v>21</v>
      </c>
      <c r="D853" s="175" t="s">
        <v>24</v>
      </c>
      <c r="E853" s="177" t="s">
        <v>1584</v>
      </c>
      <c r="F853" s="178">
        <v>5.06375745E8</v>
      </c>
      <c r="G853" s="177" t="s">
        <v>71</v>
      </c>
      <c r="H853" s="175" t="s">
        <v>27</v>
      </c>
      <c r="I853" s="179" t="s">
        <v>7486</v>
      </c>
      <c r="J853" s="177"/>
      <c r="K853" s="175" t="s">
        <v>36</v>
      </c>
      <c r="L853" s="180"/>
      <c r="M853" s="177" t="s">
        <v>38</v>
      </c>
      <c r="N853" s="175" t="s">
        <v>56</v>
      </c>
      <c r="O853" s="175" t="s">
        <v>42</v>
      </c>
      <c r="P853" s="177" t="s">
        <v>3566</v>
      </c>
      <c r="Q853" s="175" t="s">
        <v>44</v>
      </c>
      <c r="R853" s="175" t="s">
        <v>46</v>
      </c>
      <c r="S853" s="180"/>
      <c r="T853" s="177"/>
      <c r="U853" s="175"/>
      <c r="V853" s="175">
        <v>5.0</v>
      </c>
    </row>
    <row r="854">
      <c r="A854" s="175">
        <v>854.0</v>
      </c>
      <c r="B854" s="176">
        <v>46191.0</v>
      </c>
      <c r="C854" s="175" t="s">
        <v>21</v>
      </c>
      <c r="D854" s="175" t="s">
        <v>24</v>
      </c>
      <c r="E854" s="177" t="s">
        <v>7487</v>
      </c>
      <c r="F854" s="178">
        <v>5.00079622E8</v>
      </c>
      <c r="G854" s="177" t="s">
        <v>152</v>
      </c>
      <c r="H854" s="175" t="s">
        <v>27</v>
      </c>
      <c r="I854" s="179" t="s">
        <v>7488</v>
      </c>
      <c r="J854" s="177"/>
      <c r="K854" s="175" t="s">
        <v>36</v>
      </c>
      <c r="L854" s="180"/>
      <c r="M854" s="177" t="s">
        <v>38</v>
      </c>
      <c r="N854" s="175" t="s">
        <v>56</v>
      </c>
      <c r="O854" s="175" t="s">
        <v>42</v>
      </c>
      <c r="P854" s="177" t="s">
        <v>3566</v>
      </c>
      <c r="Q854" s="175" t="s">
        <v>44</v>
      </c>
      <c r="R854" s="175" t="s">
        <v>46</v>
      </c>
      <c r="S854" s="175"/>
      <c r="T854" s="177"/>
      <c r="U854" s="175"/>
      <c r="V854" s="175">
        <v>5.0</v>
      </c>
    </row>
    <row r="855">
      <c r="A855" s="26">
        <v>855.0</v>
      </c>
      <c r="B855" s="188">
        <v>46194.0</v>
      </c>
      <c r="C855" s="26" t="s">
        <v>47</v>
      </c>
      <c r="D855" s="26" t="s">
        <v>48</v>
      </c>
      <c r="E855" s="26" t="s">
        <v>7489</v>
      </c>
      <c r="F855" s="21">
        <v>5.36535811E8</v>
      </c>
      <c r="G855" s="27" t="s">
        <v>41</v>
      </c>
      <c r="H855" s="26" t="s">
        <v>956</v>
      </c>
      <c r="I855" s="179" t="s">
        <v>7490</v>
      </c>
      <c r="J855" s="27"/>
      <c r="K855" s="26" t="s">
        <v>36</v>
      </c>
      <c r="L855" s="35">
        <v>0.7048611111111112</v>
      </c>
      <c r="M855" s="192" t="s">
        <v>5132</v>
      </c>
      <c r="N855" s="26" t="s">
        <v>40</v>
      </c>
      <c r="O855" s="26" t="s">
        <v>518</v>
      </c>
      <c r="P855" s="27" t="s">
        <v>3765</v>
      </c>
      <c r="Q855" s="26" t="s">
        <v>44</v>
      </c>
      <c r="R855" s="26" t="s">
        <v>46</v>
      </c>
      <c r="S855" s="35">
        <v>0.7048611111111112</v>
      </c>
      <c r="T855" s="27" t="s">
        <v>3566</v>
      </c>
      <c r="U855" s="26" t="s">
        <v>44</v>
      </c>
      <c r="V855" s="26">
        <v>5.0</v>
      </c>
    </row>
    <row r="856">
      <c r="A856" s="175">
        <v>856.0</v>
      </c>
      <c r="B856" s="176">
        <v>46194.0</v>
      </c>
      <c r="C856" s="175" t="s">
        <v>58</v>
      </c>
      <c r="D856" s="175" t="s">
        <v>60</v>
      </c>
      <c r="E856" s="175" t="s">
        <v>27</v>
      </c>
      <c r="F856" s="178">
        <v>5.64599208E8</v>
      </c>
      <c r="G856" s="177"/>
      <c r="H856" s="175"/>
      <c r="I856" s="179" t="s">
        <v>7491</v>
      </c>
      <c r="J856" s="177"/>
      <c r="K856" s="175" t="s">
        <v>65</v>
      </c>
      <c r="L856" s="180"/>
      <c r="M856" s="181" t="s">
        <v>88</v>
      </c>
      <c r="N856" s="175" t="s">
        <v>40</v>
      </c>
      <c r="O856" s="175" t="s">
        <v>42</v>
      </c>
      <c r="P856" s="177" t="s">
        <v>3566</v>
      </c>
      <c r="Q856" s="175" t="s">
        <v>44</v>
      </c>
      <c r="R856" s="175"/>
      <c r="S856" s="175"/>
      <c r="T856" s="180"/>
      <c r="U856" s="175"/>
      <c r="V856" s="175">
        <v>5.0</v>
      </c>
    </row>
    <row r="857">
      <c r="A857" s="175">
        <v>857.0</v>
      </c>
      <c r="B857" s="176">
        <v>46194.0</v>
      </c>
      <c r="C857" s="175" t="s">
        <v>47</v>
      </c>
      <c r="D857" s="175" t="s">
        <v>92</v>
      </c>
      <c r="E857" s="177" t="s">
        <v>7492</v>
      </c>
      <c r="F857" s="178">
        <v>5.08037357E8</v>
      </c>
      <c r="G857" s="177" t="s">
        <v>71</v>
      </c>
      <c r="H857" s="175" t="s">
        <v>94</v>
      </c>
      <c r="I857" s="209" t="s">
        <v>7493</v>
      </c>
      <c r="J857" s="177"/>
      <c r="K857" s="175" t="s">
        <v>36</v>
      </c>
      <c r="L857" s="180">
        <v>0.7240740740740741</v>
      </c>
      <c r="M857" s="27" t="s">
        <v>98</v>
      </c>
      <c r="N857" s="175" t="s">
        <v>40</v>
      </c>
      <c r="O857" s="175" t="s">
        <v>3811</v>
      </c>
      <c r="P857" s="177" t="s">
        <v>3997</v>
      </c>
      <c r="Q857" s="175" t="s">
        <v>44</v>
      </c>
      <c r="R857" s="175" t="s">
        <v>46</v>
      </c>
      <c r="S857" s="200" t="s">
        <v>27</v>
      </c>
      <c r="T857" s="180"/>
      <c r="U857" s="175"/>
      <c r="V857" s="175">
        <v>5.0</v>
      </c>
    </row>
    <row r="858">
      <c r="A858" s="175">
        <v>858.0</v>
      </c>
      <c r="B858" s="176">
        <v>46194.0</v>
      </c>
      <c r="C858" s="175" t="s">
        <v>58</v>
      </c>
      <c r="D858" s="175" t="s">
        <v>60</v>
      </c>
      <c r="E858" s="175" t="s">
        <v>27</v>
      </c>
      <c r="F858" s="178">
        <v>5.5727758E8</v>
      </c>
      <c r="G858" s="175" t="s">
        <v>27</v>
      </c>
      <c r="H858" s="175" t="s">
        <v>27</v>
      </c>
      <c r="I858" s="179" t="s">
        <v>7494</v>
      </c>
      <c r="J858" s="177"/>
      <c r="K858" s="175" t="s">
        <v>65</v>
      </c>
      <c r="L858" s="180"/>
      <c r="M858" s="181" t="s">
        <v>88</v>
      </c>
      <c r="N858" s="175" t="s">
        <v>40</v>
      </c>
      <c r="O858" s="175" t="s">
        <v>42</v>
      </c>
      <c r="P858" s="177" t="s">
        <v>3566</v>
      </c>
      <c r="Q858" s="175" t="s">
        <v>44</v>
      </c>
      <c r="R858" s="175"/>
      <c r="S858" s="175"/>
      <c r="T858" s="180"/>
      <c r="U858" s="175"/>
      <c r="V858" s="175">
        <v>5.0</v>
      </c>
    </row>
    <row r="859">
      <c r="A859" s="175">
        <v>859.0</v>
      </c>
      <c r="B859" s="176">
        <v>46194.0</v>
      </c>
      <c r="C859" s="175" t="s">
        <v>58</v>
      </c>
      <c r="D859" s="175" t="s">
        <v>60</v>
      </c>
      <c r="E859" s="175" t="s">
        <v>27</v>
      </c>
      <c r="F859" s="178">
        <v>5.79827098E8</v>
      </c>
      <c r="G859" s="175" t="s">
        <v>27</v>
      </c>
      <c r="H859" s="175" t="s">
        <v>27</v>
      </c>
      <c r="I859" s="179" t="s">
        <v>554</v>
      </c>
      <c r="J859" s="177"/>
      <c r="K859" s="175" t="s">
        <v>36</v>
      </c>
      <c r="L859" s="180"/>
      <c r="M859" s="181" t="s">
        <v>88</v>
      </c>
      <c r="N859" s="175" t="s">
        <v>40</v>
      </c>
      <c r="O859" s="175" t="s">
        <v>42</v>
      </c>
      <c r="P859" s="177" t="s">
        <v>3566</v>
      </c>
      <c r="Q859" s="175" t="s">
        <v>44</v>
      </c>
      <c r="R859" s="175"/>
      <c r="S859" s="175"/>
      <c r="T859" s="180"/>
      <c r="U859" s="175"/>
      <c r="V859" s="175">
        <v>5.0</v>
      </c>
    </row>
    <row r="860">
      <c r="A860" s="175">
        <v>860.0</v>
      </c>
      <c r="B860" s="176">
        <v>46194.0</v>
      </c>
      <c r="C860" s="175" t="s">
        <v>58</v>
      </c>
      <c r="D860" s="175" t="s">
        <v>60</v>
      </c>
      <c r="E860" s="175" t="s">
        <v>27</v>
      </c>
      <c r="F860" s="178">
        <v>5.5751143E8</v>
      </c>
      <c r="G860" s="177"/>
      <c r="H860" s="175"/>
      <c r="I860" s="179" t="s">
        <v>7496</v>
      </c>
      <c r="J860" s="177"/>
      <c r="K860" s="175" t="s">
        <v>65</v>
      </c>
      <c r="L860" s="180"/>
      <c r="M860" s="181" t="s">
        <v>88</v>
      </c>
      <c r="N860" s="175" t="s">
        <v>40</v>
      </c>
      <c r="O860" s="175" t="s">
        <v>42</v>
      </c>
      <c r="P860" s="177" t="s">
        <v>3566</v>
      </c>
      <c r="Q860" s="175" t="s">
        <v>44</v>
      </c>
      <c r="R860" s="175"/>
      <c r="S860" s="175"/>
      <c r="T860" s="180"/>
      <c r="U860" s="175"/>
      <c r="V860" s="175">
        <v>5.0</v>
      </c>
    </row>
    <row r="861">
      <c r="A861" s="175">
        <v>861.0</v>
      </c>
      <c r="B861" s="176">
        <v>46194.0</v>
      </c>
      <c r="C861" s="175" t="s">
        <v>58</v>
      </c>
      <c r="D861" s="175" t="s">
        <v>60</v>
      </c>
      <c r="E861" s="175" t="s">
        <v>27</v>
      </c>
      <c r="F861" s="178">
        <v>5.33675118E8</v>
      </c>
      <c r="G861" s="177"/>
      <c r="H861" s="175"/>
      <c r="I861" s="289" t="s">
        <v>7497</v>
      </c>
      <c r="J861" s="177"/>
      <c r="K861" s="175" t="s">
        <v>65</v>
      </c>
      <c r="L861" s="180"/>
      <c r="M861" s="181" t="s">
        <v>88</v>
      </c>
      <c r="N861" s="175" t="s">
        <v>40</v>
      </c>
      <c r="O861" s="175" t="s">
        <v>42</v>
      </c>
      <c r="P861" s="177" t="s">
        <v>3566</v>
      </c>
      <c r="Q861" s="175" t="s">
        <v>44</v>
      </c>
      <c r="R861" s="175"/>
      <c r="S861" s="175"/>
      <c r="T861" s="180"/>
      <c r="U861" s="175"/>
      <c r="V861" s="175">
        <v>5.0</v>
      </c>
    </row>
    <row r="862">
      <c r="A862" s="26">
        <v>862.0</v>
      </c>
      <c r="B862" s="188">
        <v>46194.0</v>
      </c>
      <c r="C862" s="26" t="s">
        <v>47</v>
      </c>
      <c r="D862" s="26" t="s">
        <v>48</v>
      </c>
      <c r="E862" s="27" t="s">
        <v>7498</v>
      </c>
      <c r="F862" s="21">
        <v>5.98722404E8</v>
      </c>
      <c r="G862" s="27" t="s">
        <v>41</v>
      </c>
      <c r="H862" s="26" t="s">
        <v>263</v>
      </c>
      <c r="I862" s="179" t="s">
        <v>7499</v>
      </c>
      <c r="J862" s="27" t="s">
        <v>7500</v>
      </c>
      <c r="K862" s="26" t="s">
        <v>36</v>
      </c>
      <c r="L862" s="35">
        <v>0.4166666666666667</v>
      </c>
      <c r="M862" s="192" t="s">
        <v>101</v>
      </c>
      <c r="N862" s="26" t="s">
        <v>56</v>
      </c>
      <c r="O862" s="26" t="s">
        <v>518</v>
      </c>
      <c r="P862" s="27" t="s">
        <v>3765</v>
      </c>
      <c r="Q862" s="26" t="s">
        <v>44</v>
      </c>
      <c r="R862" s="26" t="s">
        <v>46</v>
      </c>
      <c r="S862" s="35">
        <v>0.4166666666666667</v>
      </c>
      <c r="T862" s="27" t="s">
        <v>3566</v>
      </c>
      <c r="U862" s="26" t="s">
        <v>44</v>
      </c>
      <c r="V862" s="26">
        <v>5.0</v>
      </c>
    </row>
    <row r="863" ht="134.25" customHeight="1">
      <c r="A863" s="26">
        <v>863.0</v>
      </c>
      <c r="B863" s="188">
        <v>46194.0</v>
      </c>
      <c r="C863" s="26" t="s">
        <v>47</v>
      </c>
      <c r="D863" s="26" t="s">
        <v>48</v>
      </c>
      <c r="E863" s="27" t="s">
        <v>7501</v>
      </c>
      <c r="F863" s="36">
        <v>5.3428028E8</v>
      </c>
      <c r="G863" s="27" t="s">
        <v>41</v>
      </c>
      <c r="H863" s="26" t="s">
        <v>1751</v>
      </c>
      <c r="I863" s="179" t="s">
        <v>7502</v>
      </c>
      <c r="J863" s="27"/>
      <c r="K863" s="26" t="s">
        <v>36</v>
      </c>
      <c r="L863" s="35">
        <v>0.42569444444444443</v>
      </c>
      <c r="M863" s="192" t="s">
        <v>101</v>
      </c>
      <c r="N863" s="26" t="s">
        <v>40</v>
      </c>
      <c r="O863" s="26" t="s">
        <v>518</v>
      </c>
      <c r="P863" s="27" t="s">
        <v>3765</v>
      </c>
      <c r="Q863" s="26" t="s">
        <v>44</v>
      </c>
      <c r="R863" s="26" t="s">
        <v>46</v>
      </c>
      <c r="S863" s="35">
        <v>0.6180555555555556</v>
      </c>
      <c r="T863" s="27" t="s">
        <v>3765</v>
      </c>
      <c r="U863" s="26" t="s">
        <v>44</v>
      </c>
      <c r="V863" s="26">
        <v>5.0</v>
      </c>
    </row>
    <row r="864">
      <c r="A864" s="175">
        <v>864.0</v>
      </c>
      <c r="B864" s="176">
        <v>46194.0</v>
      </c>
      <c r="C864" s="175" t="s">
        <v>58</v>
      </c>
      <c r="D864" s="175" t="s">
        <v>60</v>
      </c>
      <c r="E864" s="175" t="s">
        <v>27</v>
      </c>
      <c r="F864" s="178">
        <v>5.00555095E8</v>
      </c>
      <c r="G864" s="177"/>
      <c r="H864" s="175"/>
      <c r="I864" s="289" t="s">
        <v>7503</v>
      </c>
      <c r="J864" s="177"/>
      <c r="K864" s="175" t="s">
        <v>65</v>
      </c>
      <c r="L864" s="180"/>
      <c r="M864" s="181" t="s">
        <v>88</v>
      </c>
      <c r="N864" s="175" t="s">
        <v>40</v>
      </c>
      <c r="O864" s="175" t="s">
        <v>42</v>
      </c>
      <c r="P864" s="177" t="s">
        <v>3566</v>
      </c>
      <c r="Q864" s="175" t="s">
        <v>44</v>
      </c>
      <c r="R864" s="175"/>
      <c r="S864" s="175"/>
      <c r="T864" s="180"/>
      <c r="U864" s="175"/>
      <c r="V864" s="175">
        <v>5.0</v>
      </c>
    </row>
    <row r="865">
      <c r="A865" s="175">
        <v>865.0</v>
      </c>
      <c r="B865" s="176">
        <v>46194.0</v>
      </c>
      <c r="C865" s="175" t="s">
        <v>58</v>
      </c>
      <c r="D865" s="175" t="s">
        <v>57</v>
      </c>
      <c r="E865" s="175" t="s">
        <v>27</v>
      </c>
      <c r="F865" s="178">
        <v>5.54254979E8</v>
      </c>
      <c r="G865" s="177" t="s">
        <v>28</v>
      </c>
      <c r="H865" s="175" t="s">
        <v>27</v>
      </c>
      <c r="I865" s="179" t="s">
        <v>7504</v>
      </c>
      <c r="J865" s="177"/>
      <c r="K865" s="175" t="s">
        <v>36</v>
      </c>
      <c r="L865" s="180"/>
      <c r="M865" s="177" t="s">
        <v>88</v>
      </c>
      <c r="N865" s="175" t="s">
        <v>40</v>
      </c>
      <c r="O865" s="175" t="s">
        <v>42</v>
      </c>
      <c r="P865" s="177" t="s">
        <v>3566</v>
      </c>
      <c r="Q865" s="175" t="s">
        <v>44</v>
      </c>
      <c r="R865" s="175"/>
      <c r="S865" s="175"/>
      <c r="T865" s="180"/>
      <c r="U865" s="175"/>
      <c r="V865" s="175">
        <v>5.0</v>
      </c>
    </row>
    <row r="866">
      <c r="A866" s="175">
        <v>866.0</v>
      </c>
      <c r="B866" s="176">
        <v>46194.0</v>
      </c>
      <c r="C866" s="175" t="s">
        <v>47</v>
      </c>
      <c r="D866" s="175" t="s">
        <v>92</v>
      </c>
      <c r="E866" s="177" t="s">
        <v>4136</v>
      </c>
      <c r="F866" s="178">
        <v>5.70681347E8</v>
      </c>
      <c r="G866" s="177" t="s">
        <v>76</v>
      </c>
      <c r="H866" s="175" t="s">
        <v>735</v>
      </c>
      <c r="I866" s="209" t="s">
        <v>7505</v>
      </c>
      <c r="J866" s="177"/>
      <c r="K866" s="175" t="s">
        <v>36</v>
      </c>
      <c r="L866" s="180">
        <v>0.4375</v>
      </c>
      <c r="M866" s="27" t="s">
        <v>4703</v>
      </c>
      <c r="N866" s="175" t="s">
        <v>40</v>
      </c>
      <c r="O866" s="175" t="s">
        <v>518</v>
      </c>
      <c r="P866" s="177" t="s">
        <v>3765</v>
      </c>
      <c r="Q866" s="175" t="s">
        <v>44</v>
      </c>
      <c r="R866" s="175" t="s">
        <v>46</v>
      </c>
      <c r="S866" s="454" t="s">
        <v>27</v>
      </c>
      <c r="T866" s="180"/>
      <c r="U866" s="175"/>
      <c r="V866" s="175">
        <v>5.0</v>
      </c>
    </row>
    <row r="867">
      <c r="A867" s="175">
        <v>867.0</v>
      </c>
      <c r="B867" s="176">
        <v>46194.0</v>
      </c>
      <c r="C867" s="175" t="s">
        <v>47</v>
      </c>
      <c r="D867" s="175" t="s">
        <v>48</v>
      </c>
      <c r="E867" s="177" t="s">
        <v>7506</v>
      </c>
      <c r="F867" s="178">
        <v>5.09029563E8</v>
      </c>
      <c r="G867" s="177" t="s">
        <v>2715</v>
      </c>
      <c r="H867" s="175" t="s">
        <v>2716</v>
      </c>
      <c r="I867" s="179" t="s">
        <v>7507</v>
      </c>
      <c r="J867" s="27" t="s">
        <v>7508</v>
      </c>
      <c r="K867" s="175" t="s">
        <v>148</v>
      </c>
      <c r="L867" s="180"/>
      <c r="M867" s="201" t="s">
        <v>4232</v>
      </c>
      <c r="N867" s="175" t="s">
        <v>56</v>
      </c>
      <c r="O867" s="175" t="s">
        <v>518</v>
      </c>
      <c r="P867" s="177" t="s">
        <v>3765</v>
      </c>
      <c r="Q867" s="175" t="s">
        <v>44</v>
      </c>
      <c r="R867" s="175" t="s">
        <v>46</v>
      </c>
      <c r="S867" s="175"/>
      <c r="T867" s="180"/>
      <c r="U867" s="175"/>
      <c r="V867" s="175">
        <v>5.0</v>
      </c>
    </row>
    <row r="868">
      <c r="A868" s="175">
        <v>868.0</v>
      </c>
      <c r="B868" s="176">
        <v>46194.0</v>
      </c>
      <c r="C868" s="175" t="s">
        <v>47</v>
      </c>
      <c r="D868" s="175" t="s">
        <v>48</v>
      </c>
      <c r="E868" s="177" t="s">
        <v>463</v>
      </c>
      <c r="F868" s="178">
        <v>5.53709954E8</v>
      </c>
      <c r="G868" s="177" t="s">
        <v>2715</v>
      </c>
      <c r="H868" s="175" t="s">
        <v>2716</v>
      </c>
      <c r="I868" s="179" t="s">
        <v>7509</v>
      </c>
      <c r="J868" s="365" t="s">
        <v>7510</v>
      </c>
      <c r="K868" s="175" t="s">
        <v>148</v>
      </c>
      <c r="L868" s="180"/>
      <c r="M868" s="201" t="s">
        <v>4232</v>
      </c>
      <c r="N868" s="175" t="s">
        <v>56</v>
      </c>
      <c r="O868" s="175" t="s">
        <v>518</v>
      </c>
      <c r="P868" s="177" t="s">
        <v>3765</v>
      </c>
      <c r="Q868" s="175" t="s">
        <v>44</v>
      </c>
      <c r="R868" s="175" t="s">
        <v>46</v>
      </c>
      <c r="S868" s="175"/>
      <c r="T868" s="180"/>
      <c r="U868" s="175"/>
      <c r="V868" s="175">
        <v>5.0</v>
      </c>
    </row>
    <row r="869">
      <c r="A869" s="175">
        <v>869.0</v>
      </c>
      <c r="B869" s="176">
        <v>46194.0</v>
      </c>
      <c r="C869" s="175" t="s">
        <v>47</v>
      </c>
      <c r="D869" s="175" t="s">
        <v>48</v>
      </c>
      <c r="E869" s="177" t="s">
        <v>7511</v>
      </c>
      <c r="F869" s="178">
        <v>5.02068873E8</v>
      </c>
      <c r="G869" s="177" t="s">
        <v>2715</v>
      </c>
      <c r="H869" s="175" t="s">
        <v>2716</v>
      </c>
      <c r="I869" s="179" t="s">
        <v>7512</v>
      </c>
      <c r="J869" s="27" t="s">
        <v>7513</v>
      </c>
      <c r="K869" s="175" t="s">
        <v>148</v>
      </c>
      <c r="L869" s="180"/>
      <c r="M869" s="201" t="s">
        <v>4232</v>
      </c>
      <c r="N869" s="175" t="s">
        <v>56</v>
      </c>
      <c r="O869" s="175" t="s">
        <v>518</v>
      </c>
      <c r="P869" s="177" t="s">
        <v>3765</v>
      </c>
      <c r="Q869" s="175" t="s">
        <v>44</v>
      </c>
      <c r="R869" s="175" t="s">
        <v>46</v>
      </c>
      <c r="S869" s="175"/>
      <c r="T869" s="180"/>
      <c r="U869" s="175"/>
      <c r="V869" s="175">
        <v>5.0</v>
      </c>
    </row>
    <row r="870" ht="18.0" customHeight="1">
      <c r="A870" s="175">
        <v>870.0</v>
      </c>
      <c r="B870" s="176">
        <v>46194.0</v>
      </c>
      <c r="C870" s="175" t="s">
        <v>58</v>
      </c>
      <c r="D870" s="175" t="s">
        <v>60</v>
      </c>
      <c r="E870" s="177" t="s">
        <v>7514</v>
      </c>
      <c r="F870" s="178">
        <v>5.9901856E8</v>
      </c>
      <c r="G870" s="177" t="s">
        <v>41</v>
      </c>
      <c r="H870" s="175" t="s">
        <v>1751</v>
      </c>
      <c r="I870" s="179" t="s">
        <v>7515</v>
      </c>
      <c r="J870" s="177"/>
      <c r="K870" s="175" t="s">
        <v>36</v>
      </c>
      <c r="L870" s="180"/>
      <c r="M870" s="181" t="s">
        <v>88</v>
      </c>
      <c r="N870" s="175" t="s">
        <v>40</v>
      </c>
      <c r="O870" s="175" t="s">
        <v>42</v>
      </c>
      <c r="P870" s="177" t="s">
        <v>3566</v>
      </c>
      <c r="Q870" s="175" t="s">
        <v>44</v>
      </c>
      <c r="R870" s="175"/>
      <c r="S870" s="175"/>
      <c r="T870" s="180"/>
      <c r="U870" s="175"/>
      <c r="V870" s="175">
        <v>5.0</v>
      </c>
    </row>
    <row r="871">
      <c r="A871" s="175">
        <v>871.0</v>
      </c>
      <c r="B871" s="176">
        <v>46194.0</v>
      </c>
      <c r="C871" s="175" t="s">
        <v>47</v>
      </c>
      <c r="D871" s="175" t="s">
        <v>48</v>
      </c>
      <c r="E871" s="175" t="s">
        <v>7516</v>
      </c>
      <c r="F871" s="178">
        <v>5.56897014E8</v>
      </c>
      <c r="G871" s="177" t="s">
        <v>2715</v>
      </c>
      <c r="H871" s="175" t="s">
        <v>2716</v>
      </c>
      <c r="I871" s="179" t="s">
        <v>7517</v>
      </c>
      <c r="J871" s="27" t="s">
        <v>7518</v>
      </c>
      <c r="K871" s="175" t="s">
        <v>148</v>
      </c>
      <c r="L871" s="180"/>
      <c r="M871" s="201" t="s">
        <v>4232</v>
      </c>
      <c r="N871" s="175" t="s">
        <v>56</v>
      </c>
      <c r="O871" s="175" t="s">
        <v>518</v>
      </c>
      <c r="P871" s="177" t="s">
        <v>3765</v>
      </c>
      <c r="Q871" s="175" t="s">
        <v>44</v>
      </c>
      <c r="R871" s="175" t="s">
        <v>46</v>
      </c>
      <c r="S871" s="175"/>
      <c r="T871" s="180"/>
      <c r="U871" s="175"/>
      <c r="V871" s="175">
        <v>5.0</v>
      </c>
    </row>
    <row r="872">
      <c r="A872" s="175">
        <v>872.0</v>
      </c>
      <c r="B872" s="176">
        <v>46194.0</v>
      </c>
      <c r="C872" s="175" t="s">
        <v>47</v>
      </c>
      <c r="D872" s="175" t="s">
        <v>92</v>
      </c>
      <c r="E872" s="177" t="s">
        <v>276</v>
      </c>
      <c r="F872" s="178">
        <v>5.65867172E8</v>
      </c>
      <c r="G872" s="177" t="s">
        <v>28</v>
      </c>
      <c r="H872" s="175" t="s">
        <v>7519</v>
      </c>
      <c r="I872" s="209" t="s">
        <v>7520</v>
      </c>
      <c r="J872" s="177"/>
      <c r="K872" s="175" t="s">
        <v>148</v>
      </c>
      <c r="L872" s="180"/>
      <c r="M872" s="275" t="s">
        <v>101</v>
      </c>
      <c r="N872" s="175" t="s">
        <v>40</v>
      </c>
      <c r="O872" s="175" t="s">
        <v>518</v>
      </c>
      <c r="P872" s="177" t="s">
        <v>3765</v>
      </c>
      <c r="Q872" s="175" t="s">
        <v>44</v>
      </c>
      <c r="R872" s="175" t="s">
        <v>46</v>
      </c>
      <c r="S872" s="175"/>
      <c r="T872" s="180"/>
      <c r="U872" s="175"/>
      <c r="V872" s="175">
        <v>5.0</v>
      </c>
    </row>
    <row r="873">
      <c r="A873" s="175">
        <v>873.0</v>
      </c>
      <c r="B873" s="176">
        <v>46194.0</v>
      </c>
      <c r="C873" s="175" t="s">
        <v>21</v>
      </c>
      <c r="D873" s="175" t="s">
        <v>57</v>
      </c>
      <c r="E873" s="177" t="s">
        <v>7521</v>
      </c>
      <c r="F873" s="178">
        <v>5.47949467E8</v>
      </c>
      <c r="G873" s="177" t="s">
        <v>79</v>
      </c>
      <c r="H873" s="175" t="s">
        <v>27</v>
      </c>
      <c r="I873" s="179" t="s">
        <v>7522</v>
      </c>
      <c r="J873" s="177" t="s">
        <v>2278</v>
      </c>
      <c r="K873" s="175" t="s">
        <v>36</v>
      </c>
      <c r="L873" s="180"/>
      <c r="M873" s="177" t="s">
        <v>38</v>
      </c>
      <c r="N873" s="175" t="s">
        <v>40</v>
      </c>
      <c r="O873" s="175" t="s">
        <v>42</v>
      </c>
      <c r="P873" s="177" t="s">
        <v>3566</v>
      </c>
      <c r="Q873" s="175" t="s">
        <v>44</v>
      </c>
      <c r="R873" s="175"/>
      <c r="S873" s="175"/>
      <c r="T873" s="180"/>
      <c r="U873" s="175"/>
      <c r="V873" s="175">
        <v>5.0</v>
      </c>
    </row>
    <row r="874">
      <c r="A874" s="175">
        <v>874.0</v>
      </c>
      <c r="B874" s="176">
        <v>46194.0</v>
      </c>
      <c r="C874" s="175" t="s">
        <v>21</v>
      </c>
      <c r="D874" s="175" t="s">
        <v>48</v>
      </c>
      <c r="E874" s="177" t="s">
        <v>7523</v>
      </c>
      <c r="F874" s="178">
        <v>5.56507159E8</v>
      </c>
      <c r="G874" s="177" t="s">
        <v>41</v>
      </c>
      <c r="H874" s="175" t="s">
        <v>27</v>
      </c>
      <c r="I874" s="179" t="s">
        <v>7524</v>
      </c>
      <c r="J874" s="177" t="s">
        <v>6001</v>
      </c>
      <c r="K874" s="175" t="s">
        <v>36</v>
      </c>
      <c r="L874" s="180"/>
      <c r="M874" s="177" t="s">
        <v>38</v>
      </c>
      <c r="N874" s="175" t="s">
        <v>40</v>
      </c>
      <c r="O874" s="175" t="s">
        <v>42</v>
      </c>
      <c r="P874" s="177" t="s">
        <v>3566</v>
      </c>
      <c r="Q874" s="175" t="s">
        <v>44</v>
      </c>
      <c r="R874" s="175"/>
      <c r="S874" s="175"/>
      <c r="T874" s="180"/>
      <c r="U874" s="175"/>
      <c r="V874" s="175">
        <v>5.0</v>
      </c>
    </row>
    <row r="875">
      <c r="A875" s="175">
        <v>875.0</v>
      </c>
      <c r="B875" s="176">
        <v>46194.0</v>
      </c>
      <c r="C875" s="175" t="s">
        <v>47</v>
      </c>
      <c r="D875" s="175" t="s">
        <v>367</v>
      </c>
      <c r="E875" s="177" t="s">
        <v>7526</v>
      </c>
      <c r="F875" s="178">
        <v>5.67275566E8</v>
      </c>
      <c r="G875" s="177" t="s">
        <v>79</v>
      </c>
      <c r="H875" s="175" t="s">
        <v>142</v>
      </c>
      <c r="I875" s="179" t="s">
        <v>7527</v>
      </c>
      <c r="J875" s="177" t="s">
        <v>7528</v>
      </c>
      <c r="K875" s="175" t="s">
        <v>148</v>
      </c>
      <c r="L875" s="180"/>
      <c r="M875" s="177" t="s">
        <v>346</v>
      </c>
      <c r="N875" s="175" t="s">
        <v>56</v>
      </c>
      <c r="O875" s="175" t="s">
        <v>518</v>
      </c>
      <c r="P875" s="177" t="s">
        <v>3566</v>
      </c>
      <c r="Q875" s="175" t="s">
        <v>44</v>
      </c>
      <c r="R875" s="175" t="s">
        <v>46</v>
      </c>
      <c r="S875" s="175"/>
      <c r="T875" s="180"/>
      <c r="U875" s="175"/>
      <c r="V875" s="175">
        <v>5.0</v>
      </c>
    </row>
    <row r="876">
      <c r="A876" s="175">
        <v>876.0</v>
      </c>
      <c r="B876" s="176">
        <v>46194.0</v>
      </c>
      <c r="C876" s="175" t="s">
        <v>47</v>
      </c>
      <c r="D876" s="175" t="s">
        <v>138</v>
      </c>
      <c r="E876" s="177" t="s">
        <v>118</v>
      </c>
      <c r="F876" s="178">
        <v>5.62282501E8</v>
      </c>
      <c r="G876" s="177" t="s">
        <v>79</v>
      </c>
      <c r="H876" s="175" t="s">
        <v>2109</v>
      </c>
      <c r="I876" s="179" t="s">
        <v>7530</v>
      </c>
      <c r="J876" s="177" t="s">
        <v>7531</v>
      </c>
      <c r="K876" s="175" t="s">
        <v>148</v>
      </c>
      <c r="L876" s="180"/>
      <c r="M876" s="184" t="s">
        <v>183</v>
      </c>
      <c r="N876" s="175" t="s">
        <v>56</v>
      </c>
      <c r="O876" s="175" t="s">
        <v>518</v>
      </c>
      <c r="P876" s="177" t="s">
        <v>3566</v>
      </c>
      <c r="Q876" s="175" t="s">
        <v>44</v>
      </c>
      <c r="R876" s="175" t="s">
        <v>46</v>
      </c>
      <c r="S876" s="175"/>
      <c r="T876" s="180"/>
      <c r="U876" s="175"/>
      <c r="V876" s="175">
        <v>5.0</v>
      </c>
    </row>
    <row r="877">
      <c r="A877" s="175">
        <v>877.0</v>
      </c>
      <c r="B877" s="176">
        <v>46194.0</v>
      </c>
      <c r="C877" s="175" t="s">
        <v>47</v>
      </c>
      <c r="D877" s="175" t="s">
        <v>367</v>
      </c>
      <c r="E877" s="177" t="s">
        <v>108</v>
      </c>
      <c r="F877" s="178">
        <v>5.66922356E8</v>
      </c>
      <c r="G877" s="177" t="s">
        <v>79</v>
      </c>
      <c r="H877" s="175" t="s">
        <v>451</v>
      </c>
      <c r="I877" s="179" t="s">
        <v>7532</v>
      </c>
      <c r="J877" s="177" t="s">
        <v>7533</v>
      </c>
      <c r="K877" s="175" t="s">
        <v>148</v>
      </c>
      <c r="L877" s="180"/>
      <c r="M877" s="177" t="s">
        <v>346</v>
      </c>
      <c r="N877" s="175" t="s">
        <v>56</v>
      </c>
      <c r="O877" s="175" t="s">
        <v>518</v>
      </c>
      <c r="P877" s="177" t="s">
        <v>3566</v>
      </c>
      <c r="Q877" s="175" t="s">
        <v>44</v>
      </c>
      <c r="R877" s="175" t="s">
        <v>46</v>
      </c>
      <c r="S877" s="175"/>
      <c r="T877" s="180"/>
      <c r="U877" s="175"/>
      <c r="V877" s="175">
        <v>5.0</v>
      </c>
    </row>
    <row r="878">
      <c r="A878" s="175">
        <v>878.0</v>
      </c>
      <c r="B878" s="176">
        <v>46194.0</v>
      </c>
      <c r="C878" s="175" t="s">
        <v>58</v>
      </c>
      <c r="D878" s="175" t="s">
        <v>57</v>
      </c>
      <c r="E878" s="177" t="s">
        <v>1310</v>
      </c>
      <c r="F878" s="178">
        <v>5.09322833E8</v>
      </c>
      <c r="G878" s="177" t="s">
        <v>28</v>
      </c>
      <c r="H878" s="175" t="s">
        <v>27</v>
      </c>
      <c r="I878" s="179" t="s">
        <v>7534</v>
      </c>
      <c r="J878" s="177"/>
      <c r="K878" s="175" t="s">
        <v>62</v>
      </c>
      <c r="L878" s="180"/>
      <c r="M878" s="177" t="s">
        <v>88</v>
      </c>
      <c r="N878" s="175" t="s">
        <v>40</v>
      </c>
      <c r="O878" s="175" t="s">
        <v>42</v>
      </c>
      <c r="P878" s="177" t="s">
        <v>3566</v>
      </c>
      <c r="Q878" s="175" t="s">
        <v>44</v>
      </c>
      <c r="R878" s="175"/>
      <c r="S878" s="175"/>
      <c r="T878" s="180"/>
      <c r="U878" s="175"/>
      <c r="V878" s="175">
        <v>5.0</v>
      </c>
    </row>
    <row r="879">
      <c r="A879" s="175">
        <v>879.0</v>
      </c>
      <c r="B879" s="176">
        <v>46194.0</v>
      </c>
      <c r="C879" s="175" t="s">
        <v>58</v>
      </c>
      <c r="D879" s="175" t="s">
        <v>60</v>
      </c>
      <c r="E879" s="177" t="s">
        <v>5055</v>
      </c>
      <c r="F879" s="178">
        <v>5.0851991E8</v>
      </c>
      <c r="G879" s="177" t="s">
        <v>79</v>
      </c>
      <c r="H879" s="175"/>
      <c r="I879" s="179" t="s">
        <v>7535</v>
      </c>
      <c r="J879" s="177"/>
      <c r="K879" s="175" t="s">
        <v>36</v>
      </c>
      <c r="L879" s="180"/>
      <c r="M879" s="181" t="s">
        <v>88</v>
      </c>
      <c r="N879" s="175" t="s">
        <v>40</v>
      </c>
      <c r="O879" s="175" t="s">
        <v>42</v>
      </c>
      <c r="P879" s="177" t="s">
        <v>3566</v>
      </c>
      <c r="Q879" s="175" t="s">
        <v>44</v>
      </c>
      <c r="R879" s="175"/>
      <c r="S879" s="175"/>
      <c r="T879" s="180"/>
      <c r="U879" s="175"/>
      <c r="V879" s="175">
        <v>5.0</v>
      </c>
    </row>
    <row r="880">
      <c r="A880" s="175">
        <v>880.0</v>
      </c>
      <c r="B880" s="176">
        <v>46194.0</v>
      </c>
      <c r="C880" s="175" t="s">
        <v>58</v>
      </c>
      <c r="D880" s="175" t="s">
        <v>60</v>
      </c>
      <c r="E880" s="175" t="s">
        <v>27</v>
      </c>
      <c r="F880" s="178">
        <v>5.92793462E8</v>
      </c>
      <c r="G880" s="175" t="s">
        <v>27</v>
      </c>
      <c r="H880" s="175" t="s">
        <v>27</v>
      </c>
      <c r="I880" s="179" t="s">
        <v>7536</v>
      </c>
      <c r="J880" s="177" t="s">
        <v>1207</v>
      </c>
      <c r="K880" s="175" t="s">
        <v>36</v>
      </c>
      <c r="L880" s="180"/>
      <c r="M880" s="181" t="s">
        <v>88</v>
      </c>
      <c r="N880" s="175" t="s">
        <v>40</v>
      </c>
      <c r="O880" s="175" t="s">
        <v>42</v>
      </c>
      <c r="P880" s="177" t="s">
        <v>3566</v>
      </c>
      <c r="Q880" s="175" t="s">
        <v>44</v>
      </c>
      <c r="R880" s="175"/>
      <c r="S880" s="175"/>
      <c r="T880" s="180"/>
      <c r="U880" s="175"/>
      <c r="V880" s="175">
        <v>5.0</v>
      </c>
    </row>
    <row r="881">
      <c r="A881" s="175">
        <v>881.0</v>
      </c>
      <c r="B881" s="176">
        <v>46194.0</v>
      </c>
      <c r="C881" s="175" t="s">
        <v>21</v>
      </c>
      <c r="D881" s="175" t="s">
        <v>22</v>
      </c>
      <c r="E881" s="177" t="s">
        <v>7537</v>
      </c>
      <c r="F881" s="178">
        <v>5.95377071E8</v>
      </c>
      <c r="G881" s="177" t="s">
        <v>1452</v>
      </c>
      <c r="H881" s="175" t="s">
        <v>27</v>
      </c>
      <c r="I881" s="179" t="s">
        <v>7538</v>
      </c>
      <c r="J881" s="177"/>
      <c r="K881" s="175" t="s">
        <v>62</v>
      </c>
      <c r="L881" s="180"/>
      <c r="M881" s="181" t="s">
        <v>125</v>
      </c>
      <c r="N881" s="175" t="s">
        <v>40</v>
      </c>
      <c r="O881" s="175" t="s">
        <v>42</v>
      </c>
      <c r="P881" s="177" t="s">
        <v>3566</v>
      </c>
      <c r="Q881" s="175" t="s">
        <v>44</v>
      </c>
      <c r="R881" s="175" t="s">
        <v>46</v>
      </c>
      <c r="S881" s="180"/>
      <c r="T881" s="180"/>
      <c r="U881" s="175"/>
      <c r="V881" s="175">
        <v>5.0</v>
      </c>
    </row>
    <row r="882">
      <c r="A882" s="175">
        <v>882.0</v>
      </c>
      <c r="B882" s="176">
        <v>46194.0</v>
      </c>
      <c r="C882" s="175" t="s">
        <v>21</v>
      </c>
      <c r="D882" s="175" t="s">
        <v>66</v>
      </c>
      <c r="E882" s="177" t="s">
        <v>7539</v>
      </c>
      <c r="F882" s="178">
        <v>5.73801101E8</v>
      </c>
      <c r="G882" s="175" t="s">
        <v>27</v>
      </c>
      <c r="H882" s="175" t="s">
        <v>27</v>
      </c>
      <c r="I882" s="179" t="s">
        <v>7540</v>
      </c>
      <c r="J882" s="177"/>
      <c r="K882" s="175" t="s">
        <v>62</v>
      </c>
      <c r="L882" s="180"/>
      <c r="M882" s="181" t="s">
        <v>208</v>
      </c>
      <c r="N882" s="175" t="s">
        <v>40</v>
      </c>
      <c r="O882" s="175" t="s">
        <v>42</v>
      </c>
      <c r="P882" s="177" t="s">
        <v>3566</v>
      </c>
      <c r="Q882" s="175" t="s">
        <v>44</v>
      </c>
      <c r="R882" s="175"/>
      <c r="S882" s="175"/>
      <c r="T882" s="180"/>
      <c r="U882" s="175"/>
      <c r="V882" s="175">
        <v>5.0</v>
      </c>
    </row>
    <row r="883">
      <c r="A883" s="175">
        <v>883.0</v>
      </c>
      <c r="B883" s="176">
        <v>46194.0</v>
      </c>
      <c r="C883" s="175" t="s">
        <v>58</v>
      </c>
      <c r="D883" s="175" t="s">
        <v>60</v>
      </c>
      <c r="E883" s="175" t="s">
        <v>27</v>
      </c>
      <c r="F883" s="178">
        <v>5.04700477E8</v>
      </c>
      <c r="G883" s="177" t="s">
        <v>79</v>
      </c>
      <c r="H883" s="175" t="s">
        <v>27</v>
      </c>
      <c r="I883" s="179" t="s">
        <v>7541</v>
      </c>
      <c r="J883" s="177" t="s">
        <v>7542</v>
      </c>
      <c r="K883" s="175" t="s">
        <v>62</v>
      </c>
      <c r="L883" s="180"/>
      <c r="M883" s="181" t="s">
        <v>88</v>
      </c>
      <c r="N883" s="175" t="s">
        <v>40</v>
      </c>
      <c r="O883" s="175" t="s">
        <v>42</v>
      </c>
      <c r="P883" s="177" t="s">
        <v>3566</v>
      </c>
      <c r="Q883" s="175" t="s">
        <v>44</v>
      </c>
      <c r="R883" s="175"/>
      <c r="S883" s="175"/>
      <c r="T883" s="180"/>
      <c r="U883" s="175"/>
      <c r="V883" s="175">
        <v>5.0</v>
      </c>
    </row>
    <row r="884">
      <c r="A884" s="175">
        <v>884.0</v>
      </c>
      <c r="B884" s="176">
        <v>46194.0</v>
      </c>
      <c r="C884" s="175" t="s">
        <v>58</v>
      </c>
      <c r="D884" s="175" t="s">
        <v>60</v>
      </c>
      <c r="E884" s="177" t="s">
        <v>7543</v>
      </c>
      <c r="F884" s="178" t="s">
        <v>27</v>
      </c>
      <c r="G884" s="177" t="s">
        <v>41</v>
      </c>
      <c r="H884" s="175" t="s">
        <v>27</v>
      </c>
      <c r="I884" s="179" t="s">
        <v>7544</v>
      </c>
      <c r="J884" s="177"/>
      <c r="K884" s="175" t="s">
        <v>321</v>
      </c>
      <c r="L884" s="180"/>
      <c r="M884" s="181" t="s">
        <v>88</v>
      </c>
      <c r="N884" s="175" t="s">
        <v>40</v>
      </c>
      <c r="O884" s="175" t="s">
        <v>42</v>
      </c>
      <c r="P884" s="177" t="s">
        <v>3566</v>
      </c>
      <c r="Q884" s="175" t="s">
        <v>49</v>
      </c>
      <c r="R884" s="175"/>
      <c r="S884" s="175"/>
      <c r="T884" s="180"/>
      <c r="U884" s="175"/>
      <c r="V884" s="175">
        <v>5.0</v>
      </c>
    </row>
    <row r="885" ht="27.75" customHeight="1">
      <c r="A885" s="175">
        <v>885.0</v>
      </c>
      <c r="B885" s="176">
        <v>46194.0</v>
      </c>
      <c r="C885" s="175" t="s">
        <v>21</v>
      </c>
      <c r="D885" s="175" t="s">
        <v>22</v>
      </c>
      <c r="E885" s="177" t="s">
        <v>7545</v>
      </c>
      <c r="F885" s="178">
        <v>5.45468406E8</v>
      </c>
      <c r="G885" s="177" t="s">
        <v>71</v>
      </c>
      <c r="H885" s="175" t="s">
        <v>27</v>
      </c>
      <c r="I885" s="209" t="s">
        <v>7546</v>
      </c>
      <c r="J885" s="177"/>
      <c r="K885" s="175" t="s">
        <v>62</v>
      </c>
      <c r="L885" s="180"/>
      <c r="M885" s="177" t="s">
        <v>38</v>
      </c>
      <c r="N885" s="175" t="s">
        <v>40</v>
      </c>
      <c r="O885" s="175" t="s">
        <v>42</v>
      </c>
      <c r="P885" s="177" t="s">
        <v>3566</v>
      </c>
      <c r="Q885" s="175" t="s">
        <v>49</v>
      </c>
      <c r="R885" s="175" t="s">
        <v>46</v>
      </c>
      <c r="S885" s="180"/>
      <c r="T885" s="180"/>
      <c r="U885" s="175"/>
      <c r="V885" s="175">
        <v>5.0</v>
      </c>
    </row>
    <row r="886">
      <c r="A886" s="175">
        <v>886.0</v>
      </c>
      <c r="B886" s="176">
        <v>46194.0</v>
      </c>
      <c r="C886" s="175" t="s">
        <v>21</v>
      </c>
      <c r="D886" s="175" t="s">
        <v>22</v>
      </c>
      <c r="E886" s="177" t="s">
        <v>7547</v>
      </c>
      <c r="F886" s="178">
        <v>5.09688663E8</v>
      </c>
      <c r="G886" s="177" t="s">
        <v>28</v>
      </c>
      <c r="H886" s="175" t="s">
        <v>27</v>
      </c>
      <c r="I886" s="179" t="s">
        <v>7548</v>
      </c>
      <c r="J886" s="177"/>
      <c r="K886" s="175" t="s">
        <v>62</v>
      </c>
      <c r="L886" s="180"/>
      <c r="M886" s="177" t="s">
        <v>38</v>
      </c>
      <c r="N886" s="175" t="s">
        <v>40</v>
      </c>
      <c r="O886" s="175" t="s">
        <v>42</v>
      </c>
      <c r="P886" s="177" t="s">
        <v>3566</v>
      </c>
      <c r="Q886" s="175" t="s">
        <v>49</v>
      </c>
      <c r="R886" s="175" t="s">
        <v>46</v>
      </c>
      <c r="S886" s="180"/>
      <c r="T886" s="180"/>
      <c r="U886" s="175"/>
      <c r="V886" s="175">
        <v>5.0</v>
      </c>
    </row>
    <row r="887">
      <c r="A887" s="175">
        <v>887.0</v>
      </c>
      <c r="B887" s="176">
        <v>46194.0</v>
      </c>
      <c r="C887" s="175" t="s">
        <v>47</v>
      </c>
      <c r="D887" s="175" t="s">
        <v>92</v>
      </c>
      <c r="E887" s="177" t="s">
        <v>4136</v>
      </c>
      <c r="F887" s="178">
        <v>5.33889741E8</v>
      </c>
      <c r="G887" s="177" t="s">
        <v>76</v>
      </c>
      <c r="H887" s="455" t="s">
        <v>735</v>
      </c>
      <c r="I887" s="209" t="s">
        <v>7549</v>
      </c>
      <c r="J887" s="177"/>
      <c r="K887" s="175" t="s">
        <v>62</v>
      </c>
      <c r="L887" s="180"/>
      <c r="M887" s="112" t="s">
        <v>4703</v>
      </c>
      <c r="N887" s="175" t="s">
        <v>40</v>
      </c>
      <c r="O887" s="175" t="s">
        <v>518</v>
      </c>
      <c r="P887" s="177" t="s">
        <v>3765</v>
      </c>
      <c r="Q887" s="175" t="s">
        <v>49</v>
      </c>
      <c r="R887" s="175" t="s">
        <v>46</v>
      </c>
      <c r="S887" s="175"/>
      <c r="T887" s="180"/>
      <c r="U887" s="175"/>
      <c r="V887" s="175">
        <v>5.0</v>
      </c>
    </row>
    <row r="888" ht="20.25" customHeight="1">
      <c r="A888" s="175">
        <v>888.0</v>
      </c>
      <c r="B888" s="176">
        <v>46194.0</v>
      </c>
      <c r="C888" s="175" t="s">
        <v>21</v>
      </c>
      <c r="D888" s="175" t="s">
        <v>22</v>
      </c>
      <c r="E888" s="177" t="s">
        <v>1297</v>
      </c>
      <c r="F888" s="178">
        <v>5.82180257E8</v>
      </c>
      <c r="G888" s="175" t="s">
        <v>27</v>
      </c>
      <c r="H888" s="175" t="s">
        <v>27</v>
      </c>
      <c r="I888" s="209" t="s">
        <v>7550</v>
      </c>
      <c r="J888" s="451"/>
      <c r="K888" s="175" t="s">
        <v>62</v>
      </c>
      <c r="L888" s="180"/>
      <c r="M888" s="177" t="s">
        <v>38</v>
      </c>
      <c r="N888" s="175" t="s">
        <v>40</v>
      </c>
      <c r="O888" s="175" t="s">
        <v>42</v>
      </c>
      <c r="P888" s="177" t="s">
        <v>3566</v>
      </c>
      <c r="Q888" s="175" t="s">
        <v>49</v>
      </c>
      <c r="R888" s="175" t="s">
        <v>46</v>
      </c>
      <c r="S888" s="180"/>
      <c r="T888" s="180"/>
      <c r="U888" s="175"/>
      <c r="V888" s="175">
        <v>5.0</v>
      </c>
    </row>
    <row r="889" ht="40.5" customHeight="1">
      <c r="A889" s="175">
        <v>889.0</v>
      </c>
      <c r="B889" s="176">
        <v>46194.0</v>
      </c>
      <c r="C889" s="175" t="s">
        <v>47</v>
      </c>
      <c r="D889" s="175" t="s">
        <v>60</v>
      </c>
      <c r="E889" s="177" t="s">
        <v>85</v>
      </c>
      <c r="F889" s="178">
        <v>5.53160009E8</v>
      </c>
      <c r="G889" s="177" t="s">
        <v>152</v>
      </c>
      <c r="H889" s="175" t="s">
        <v>272</v>
      </c>
      <c r="I889" s="209" t="s">
        <v>7551</v>
      </c>
      <c r="J889" s="177"/>
      <c r="K889" s="175" t="s">
        <v>62</v>
      </c>
      <c r="L889" s="180"/>
      <c r="M889" s="181" t="s">
        <v>88</v>
      </c>
      <c r="N889" s="175" t="s">
        <v>40</v>
      </c>
      <c r="O889" s="175" t="s">
        <v>42</v>
      </c>
      <c r="P889" s="177" t="s">
        <v>3566</v>
      </c>
      <c r="Q889" s="175" t="s">
        <v>49</v>
      </c>
      <c r="R889" s="175"/>
      <c r="S889" s="175"/>
      <c r="T889" s="180"/>
      <c r="U889" s="175"/>
      <c r="V889" s="175">
        <v>5.0</v>
      </c>
    </row>
    <row r="890" ht="177.75" customHeight="1">
      <c r="A890" s="175">
        <v>890.0</v>
      </c>
      <c r="B890" s="176">
        <v>46194.0</v>
      </c>
      <c r="C890" s="175" t="s">
        <v>47</v>
      </c>
      <c r="D890" s="175" t="s">
        <v>48</v>
      </c>
      <c r="E890" s="177" t="s">
        <v>1297</v>
      </c>
      <c r="F890" s="178">
        <v>5.32360112E8</v>
      </c>
      <c r="G890" s="177" t="s">
        <v>333</v>
      </c>
      <c r="H890" s="175" t="s">
        <v>650</v>
      </c>
      <c r="I890" s="209" t="s">
        <v>7552</v>
      </c>
      <c r="J890" s="177"/>
      <c r="K890" s="175" t="s">
        <v>62</v>
      </c>
      <c r="L890" s="180">
        <v>0.35625</v>
      </c>
      <c r="M890" s="201" t="s">
        <v>3764</v>
      </c>
      <c r="N890" s="175" t="s">
        <v>40</v>
      </c>
      <c r="O890" s="175" t="s">
        <v>518</v>
      </c>
      <c r="P890" s="177" t="s">
        <v>3765</v>
      </c>
      <c r="Q890" s="175" t="s">
        <v>49</v>
      </c>
      <c r="R890" s="175" t="s">
        <v>46</v>
      </c>
      <c r="S890" s="175"/>
      <c r="T890" s="180"/>
      <c r="U890" s="175"/>
      <c r="V890" s="175">
        <v>5.0</v>
      </c>
    </row>
    <row r="891">
      <c r="A891" s="175">
        <v>891.0</v>
      </c>
      <c r="B891" s="176">
        <v>46194.0</v>
      </c>
      <c r="C891" s="175" t="s">
        <v>58</v>
      </c>
      <c r="D891" s="175" t="s">
        <v>60</v>
      </c>
      <c r="E891" s="177" t="s">
        <v>1297</v>
      </c>
      <c r="F891" s="207">
        <v>5.51955184E8</v>
      </c>
      <c r="G891" s="175" t="s">
        <v>27</v>
      </c>
      <c r="H891" s="175" t="s">
        <v>27</v>
      </c>
      <c r="I891" s="179" t="s">
        <v>7553</v>
      </c>
      <c r="J891" s="177"/>
      <c r="K891" s="175" t="s">
        <v>62</v>
      </c>
      <c r="L891" s="180"/>
      <c r="M891" s="181" t="s">
        <v>88</v>
      </c>
      <c r="N891" s="175" t="s">
        <v>40</v>
      </c>
      <c r="O891" s="175" t="s">
        <v>42</v>
      </c>
      <c r="P891" s="177" t="s">
        <v>3566</v>
      </c>
      <c r="Q891" s="175" t="s">
        <v>49</v>
      </c>
      <c r="R891" s="175"/>
      <c r="S891" s="180"/>
      <c r="T891" s="177"/>
      <c r="U891" s="175"/>
      <c r="V891" s="175">
        <v>5.0</v>
      </c>
    </row>
    <row r="892">
      <c r="A892" s="175">
        <v>892.0</v>
      </c>
      <c r="B892" s="176">
        <v>46194.0</v>
      </c>
      <c r="C892" s="175" t="s">
        <v>21</v>
      </c>
      <c r="D892" s="175" t="s">
        <v>24</v>
      </c>
      <c r="E892" s="177" t="s">
        <v>6310</v>
      </c>
      <c r="F892" s="178">
        <v>5.06416759E8</v>
      </c>
      <c r="G892" s="177" t="s">
        <v>285</v>
      </c>
      <c r="H892" s="175" t="s">
        <v>27</v>
      </c>
      <c r="I892" s="179" t="s">
        <v>7554</v>
      </c>
      <c r="J892" s="177"/>
      <c r="K892" s="175" t="s">
        <v>62</v>
      </c>
      <c r="L892" s="180"/>
      <c r="M892" s="177" t="s">
        <v>38</v>
      </c>
      <c r="N892" s="175" t="s">
        <v>56</v>
      </c>
      <c r="O892" s="175" t="s">
        <v>42</v>
      </c>
      <c r="P892" s="177" t="s">
        <v>3566</v>
      </c>
      <c r="Q892" s="175" t="s">
        <v>49</v>
      </c>
      <c r="R892" s="175" t="s">
        <v>46</v>
      </c>
      <c r="S892" s="180"/>
      <c r="T892" s="177"/>
      <c r="U892" s="175"/>
      <c r="V892" s="175">
        <v>5.0</v>
      </c>
    </row>
    <row r="893">
      <c r="A893" s="175">
        <v>893.0</v>
      </c>
      <c r="B893" s="176">
        <v>46194.0</v>
      </c>
      <c r="C893" s="175" t="s">
        <v>21</v>
      </c>
      <c r="D893" s="175" t="s">
        <v>22</v>
      </c>
      <c r="E893" s="177" t="s">
        <v>7555</v>
      </c>
      <c r="F893" s="178">
        <v>5.05418225E8</v>
      </c>
      <c r="G893" s="177" t="s">
        <v>7556</v>
      </c>
      <c r="H893" s="175" t="s">
        <v>27</v>
      </c>
      <c r="I893" s="179" t="s">
        <v>7557</v>
      </c>
      <c r="J893" s="177"/>
      <c r="K893" s="175" t="s">
        <v>36</v>
      </c>
      <c r="L893" s="180"/>
      <c r="M893" s="177" t="s">
        <v>38</v>
      </c>
      <c r="N893" s="175" t="s">
        <v>40</v>
      </c>
      <c r="O893" s="175" t="s">
        <v>42</v>
      </c>
      <c r="P893" s="177" t="s">
        <v>3566</v>
      </c>
      <c r="Q893" s="175" t="s">
        <v>44</v>
      </c>
      <c r="R893" s="175" t="s">
        <v>46</v>
      </c>
      <c r="S893" s="180"/>
      <c r="T893" s="180"/>
      <c r="U893" s="175"/>
      <c r="V893" s="175">
        <v>5.0</v>
      </c>
    </row>
    <row r="894">
      <c r="A894" s="175">
        <v>894.0</v>
      </c>
      <c r="B894" s="176">
        <v>46194.0</v>
      </c>
      <c r="C894" s="175" t="s">
        <v>58</v>
      </c>
      <c r="D894" s="175" t="s">
        <v>60</v>
      </c>
      <c r="E894" s="175" t="s">
        <v>27</v>
      </c>
      <c r="F894" s="178">
        <v>5.92746715E8</v>
      </c>
      <c r="G894" s="175" t="s">
        <v>27</v>
      </c>
      <c r="H894" s="175" t="s">
        <v>27</v>
      </c>
      <c r="I894" s="179" t="s">
        <v>7558</v>
      </c>
      <c r="J894" s="177"/>
      <c r="K894" s="175" t="s">
        <v>36</v>
      </c>
      <c r="L894" s="180"/>
      <c r="M894" s="181" t="s">
        <v>88</v>
      </c>
      <c r="N894" s="175" t="s">
        <v>40</v>
      </c>
      <c r="O894" s="175" t="s">
        <v>42</v>
      </c>
      <c r="P894" s="177" t="s">
        <v>3566</v>
      </c>
      <c r="Q894" s="175" t="s">
        <v>44</v>
      </c>
      <c r="R894" s="175"/>
      <c r="S894" s="175"/>
      <c r="T894" s="180"/>
      <c r="U894" s="175"/>
      <c r="V894" s="175">
        <v>5.0</v>
      </c>
    </row>
    <row r="895">
      <c r="A895" s="175">
        <v>895.0</v>
      </c>
      <c r="B895" s="176">
        <v>46194.0</v>
      </c>
      <c r="C895" s="175" t="s">
        <v>58</v>
      </c>
      <c r="D895" s="175" t="s">
        <v>60</v>
      </c>
      <c r="E895" s="177" t="s">
        <v>7559</v>
      </c>
      <c r="F895" s="178">
        <v>5.5532289E8</v>
      </c>
      <c r="G895" s="175" t="s">
        <v>27</v>
      </c>
      <c r="H895" s="175" t="s">
        <v>27</v>
      </c>
      <c r="I895" s="179" t="s">
        <v>7560</v>
      </c>
      <c r="J895" s="177" t="s">
        <v>7561</v>
      </c>
      <c r="K895" s="175" t="s">
        <v>36</v>
      </c>
      <c r="L895" s="180"/>
      <c r="M895" s="181" t="s">
        <v>88</v>
      </c>
      <c r="N895" s="175" t="s">
        <v>40</v>
      </c>
      <c r="O895" s="175" t="s">
        <v>42</v>
      </c>
      <c r="P895" s="177" t="s">
        <v>3566</v>
      </c>
      <c r="Q895" s="175" t="s">
        <v>44</v>
      </c>
      <c r="R895" s="175"/>
      <c r="S895" s="175"/>
      <c r="T895" s="180"/>
      <c r="U895" s="175"/>
      <c r="V895" s="175">
        <v>5.0</v>
      </c>
    </row>
    <row r="896">
      <c r="A896" s="26">
        <v>896.0</v>
      </c>
      <c r="B896" s="188">
        <v>46194.0</v>
      </c>
      <c r="C896" s="26" t="s">
        <v>47</v>
      </c>
      <c r="D896" s="26" t="s">
        <v>48</v>
      </c>
      <c r="E896" s="27" t="s">
        <v>2820</v>
      </c>
      <c r="F896" s="21">
        <v>5.5757193E8</v>
      </c>
      <c r="G896" s="177" t="s">
        <v>2715</v>
      </c>
      <c r="H896" s="26" t="s">
        <v>2716</v>
      </c>
      <c r="I896" s="179" t="s">
        <v>7562</v>
      </c>
      <c r="J896" s="27"/>
      <c r="K896" s="26" t="s">
        <v>36</v>
      </c>
      <c r="L896" s="35"/>
      <c r="M896" s="192" t="s">
        <v>3764</v>
      </c>
      <c r="N896" s="26" t="s">
        <v>40</v>
      </c>
      <c r="O896" s="26" t="s">
        <v>518</v>
      </c>
      <c r="P896" s="27" t="s">
        <v>3765</v>
      </c>
      <c r="Q896" s="26" t="s">
        <v>44</v>
      </c>
      <c r="R896" s="26" t="s">
        <v>46</v>
      </c>
      <c r="S896" s="26"/>
      <c r="T896" s="27" t="s">
        <v>3566</v>
      </c>
      <c r="U896" s="26"/>
      <c r="V896" s="26">
        <v>5.0</v>
      </c>
    </row>
    <row r="897">
      <c r="A897" s="175">
        <v>897.0</v>
      </c>
      <c r="B897" s="176">
        <v>46194.0</v>
      </c>
      <c r="C897" s="175" t="s">
        <v>58</v>
      </c>
      <c r="D897" s="175" t="s">
        <v>60</v>
      </c>
      <c r="E897" s="175" t="s">
        <v>27</v>
      </c>
      <c r="F897" s="178">
        <v>5.64862762E8</v>
      </c>
      <c r="G897" s="175" t="s">
        <v>27</v>
      </c>
      <c r="H897" s="175" t="s">
        <v>27</v>
      </c>
      <c r="I897" s="179" t="s">
        <v>7563</v>
      </c>
      <c r="J897" s="177"/>
      <c r="K897" s="175" t="s">
        <v>36</v>
      </c>
      <c r="L897" s="180"/>
      <c r="M897" s="181" t="s">
        <v>88</v>
      </c>
      <c r="N897" s="175" t="s">
        <v>40</v>
      </c>
      <c r="O897" s="175" t="s">
        <v>42</v>
      </c>
      <c r="P897" s="177" t="s">
        <v>3566</v>
      </c>
      <c r="Q897" s="175" t="s">
        <v>44</v>
      </c>
      <c r="R897" s="175"/>
      <c r="S897" s="175"/>
      <c r="T897" s="180"/>
      <c r="U897" s="175"/>
      <c r="V897" s="175">
        <v>5.0</v>
      </c>
    </row>
    <row r="898">
      <c r="A898" s="175">
        <v>898.0</v>
      </c>
      <c r="B898" s="176">
        <v>46194.0</v>
      </c>
      <c r="C898" s="175" t="s">
        <v>58</v>
      </c>
      <c r="D898" s="175" t="s">
        <v>60</v>
      </c>
      <c r="E898" s="177" t="s">
        <v>5795</v>
      </c>
      <c r="F898" s="178">
        <v>5.32194184E8</v>
      </c>
      <c r="G898" s="177" t="s">
        <v>41</v>
      </c>
      <c r="H898" s="175" t="s">
        <v>27</v>
      </c>
      <c r="I898" s="179" t="s">
        <v>7564</v>
      </c>
      <c r="J898" s="177"/>
      <c r="K898" s="175" t="s">
        <v>36</v>
      </c>
      <c r="L898" s="180"/>
      <c r="M898" s="181" t="s">
        <v>88</v>
      </c>
      <c r="N898" s="175" t="s">
        <v>40</v>
      </c>
      <c r="O898" s="175" t="s">
        <v>42</v>
      </c>
      <c r="P898" s="177" t="s">
        <v>3566</v>
      </c>
      <c r="Q898" s="175" t="s">
        <v>44</v>
      </c>
      <c r="R898" s="175"/>
      <c r="S898" s="175"/>
      <c r="T898" s="180"/>
      <c r="U898" s="175"/>
      <c r="V898" s="175">
        <v>5.0</v>
      </c>
    </row>
    <row r="899">
      <c r="A899" s="175">
        <v>899.0</v>
      </c>
      <c r="B899" s="176">
        <v>46194.0</v>
      </c>
      <c r="C899" s="175" t="s">
        <v>21</v>
      </c>
      <c r="D899" s="175" t="s">
        <v>48</v>
      </c>
      <c r="E899" s="177" t="s">
        <v>2940</v>
      </c>
      <c r="F899" s="178">
        <v>5.70654343E8</v>
      </c>
      <c r="G899" s="177"/>
      <c r="H899" s="175"/>
      <c r="I899" s="179" t="s">
        <v>7524</v>
      </c>
      <c r="J899" s="177" t="s">
        <v>6001</v>
      </c>
      <c r="K899" s="175" t="s">
        <v>36</v>
      </c>
      <c r="L899" s="180"/>
      <c r="M899" s="177" t="s">
        <v>38</v>
      </c>
      <c r="N899" s="175" t="s">
        <v>40</v>
      </c>
      <c r="O899" s="175" t="s">
        <v>42</v>
      </c>
      <c r="P899" s="177" t="s">
        <v>3566</v>
      </c>
      <c r="Q899" s="175" t="s">
        <v>44</v>
      </c>
      <c r="R899" s="175"/>
      <c r="S899" s="175"/>
      <c r="T899" s="180"/>
      <c r="U899" s="175"/>
      <c r="V899" s="175">
        <v>5.0</v>
      </c>
    </row>
    <row r="900">
      <c r="A900" s="175">
        <v>900.0</v>
      </c>
      <c r="B900" s="176">
        <v>46194.0</v>
      </c>
      <c r="C900" s="175" t="s">
        <v>58</v>
      </c>
      <c r="D900" s="175" t="s">
        <v>22</v>
      </c>
      <c r="E900" s="177" t="s">
        <v>7565</v>
      </c>
      <c r="F900" s="178">
        <v>5.31341465E8</v>
      </c>
      <c r="G900" s="177" t="s">
        <v>285</v>
      </c>
      <c r="H900" s="175" t="s">
        <v>27</v>
      </c>
      <c r="I900" s="179" t="s">
        <v>7566</v>
      </c>
      <c r="J900" s="177"/>
      <c r="K900" s="175" t="s">
        <v>36</v>
      </c>
      <c r="L900" s="180"/>
      <c r="M900" s="177" t="s">
        <v>88</v>
      </c>
      <c r="N900" s="175" t="s">
        <v>40</v>
      </c>
      <c r="O900" s="175" t="s">
        <v>42</v>
      </c>
      <c r="P900" s="177" t="s">
        <v>3566</v>
      </c>
      <c r="Q900" s="175" t="s">
        <v>44</v>
      </c>
      <c r="R900" s="175"/>
      <c r="S900" s="175"/>
      <c r="T900" s="180"/>
      <c r="U900" s="175"/>
      <c r="V900" s="175">
        <v>5.0</v>
      </c>
    </row>
    <row r="901">
      <c r="A901" s="175">
        <v>901.0</v>
      </c>
      <c r="B901" s="176">
        <v>46195.0</v>
      </c>
      <c r="C901" s="175" t="s">
        <v>21</v>
      </c>
      <c r="D901" s="175" t="s">
        <v>24</v>
      </c>
      <c r="E901" s="177" t="s">
        <v>5025</v>
      </c>
      <c r="F901" s="178">
        <v>5.01333288E8</v>
      </c>
      <c r="G901" s="177" t="s">
        <v>2537</v>
      </c>
      <c r="H901" s="175" t="s">
        <v>27</v>
      </c>
      <c r="I901" s="179" t="s">
        <v>7567</v>
      </c>
      <c r="J901" s="177"/>
      <c r="K901" s="175" t="s">
        <v>36</v>
      </c>
      <c r="L901" s="180"/>
      <c r="M901" s="177" t="s">
        <v>38</v>
      </c>
      <c r="N901" s="175" t="s">
        <v>56</v>
      </c>
      <c r="O901" s="175" t="s">
        <v>42</v>
      </c>
      <c r="P901" s="177" t="s">
        <v>3566</v>
      </c>
      <c r="Q901" s="175" t="s">
        <v>44</v>
      </c>
      <c r="R901" s="175" t="s">
        <v>46</v>
      </c>
      <c r="S901" s="175"/>
      <c r="T901" s="180"/>
      <c r="U901" s="175"/>
      <c r="V901" s="175">
        <v>5.0</v>
      </c>
    </row>
    <row r="902">
      <c r="A902" s="175">
        <v>902.0</v>
      </c>
      <c r="B902" s="176">
        <v>46195.0</v>
      </c>
      <c r="C902" s="175" t="s">
        <v>21</v>
      </c>
      <c r="D902" s="175" t="s">
        <v>24</v>
      </c>
      <c r="E902" s="177" t="s">
        <v>7568</v>
      </c>
      <c r="F902" s="178">
        <v>5.05126858E8</v>
      </c>
      <c r="G902" s="175" t="s">
        <v>27</v>
      </c>
      <c r="H902" s="175" t="s">
        <v>27</v>
      </c>
      <c r="I902" s="179" t="s">
        <v>7569</v>
      </c>
      <c r="J902" s="177"/>
      <c r="K902" s="175" t="s">
        <v>62</v>
      </c>
      <c r="L902" s="180"/>
      <c r="M902" s="177" t="s">
        <v>38</v>
      </c>
      <c r="N902" s="175" t="s">
        <v>56</v>
      </c>
      <c r="O902" s="175" t="s">
        <v>42</v>
      </c>
      <c r="P902" s="177" t="s">
        <v>3566</v>
      </c>
      <c r="Q902" s="175" t="s">
        <v>44</v>
      </c>
      <c r="R902" s="175" t="s">
        <v>46</v>
      </c>
      <c r="S902" s="175"/>
      <c r="T902" s="180"/>
      <c r="U902" s="175"/>
      <c r="V902" s="175">
        <v>5.0</v>
      </c>
    </row>
    <row r="903">
      <c r="A903" s="175">
        <v>903.0</v>
      </c>
      <c r="B903" s="176">
        <v>46195.0</v>
      </c>
      <c r="C903" s="175" t="s">
        <v>58</v>
      </c>
      <c r="D903" s="175" t="s">
        <v>24</v>
      </c>
      <c r="E903" s="175" t="s">
        <v>7570</v>
      </c>
      <c r="F903" s="178">
        <v>5.3323095E8</v>
      </c>
      <c r="G903" s="175" t="s">
        <v>27</v>
      </c>
      <c r="H903" s="175" t="s">
        <v>27</v>
      </c>
      <c r="I903" s="179" t="s">
        <v>7571</v>
      </c>
      <c r="J903" s="177" t="s">
        <v>7572</v>
      </c>
      <c r="K903" s="175" t="s">
        <v>62</v>
      </c>
      <c r="L903" s="180"/>
      <c r="M903" s="177" t="s">
        <v>88</v>
      </c>
      <c r="N903" s="175" t="s">
        <v>56</v>
      </c>
      <c r="O903" s="175" t="s">
        <v>42</v>
      </c>
      <c r="P903" s="177" t="s">
        <v>3566</v>
      </c>
      <c r="Q903" s="175" t="s">
        <v>44</v>
      </c>
      <c r="R903" s="175"/>
      <c r="S903" s="175"/>
      <c r="T903" s="180"/>
      <c r="U903" s="175"/>
      <c r="V903" s="175">
        <v>5.0</v>
      </c>
    </row>
    <row r="904">
      <c r="A904" s="175">
        <v>904.0</v>
      </c>
      <c r="B904" s="176">
        <v>46195.0</v>
      </c>
      <c r="C904" s="175" t="s">
        <v>47</v>
      </c>
      <c r="D904" s="175" t="s">
        <v>92</v>
      </c>
      <c r="E904" s="175" t="s">
        <v>7573</v>
      </c>
      <c r="F904" s="178">
        <v>5.41925338E8</v>
      </c>
      <c r="G904" s="177" t="s">
        <v>71</v>
      </c>
      <c r="H904" s="175" t="s">
        <v>94</v>
      </c>
      <c r="I904" s="209" t="s">
        <v>7574</v>
      </c>
      <c r="J904" s="177"/>
      <c r="K904" s="175" t="s">
        <v>148</v>
      </c>
      <c r="L904" s="180"/>
      <c r="M904" s="27" t="s">
        <v>150</v>
      </c>
      <c r="N904" s="175" t="s">
        <v>40</v>
      </c>
      <c r="O904" s="175" t="s">
        <v>518</v>
      </c>
      <c r="P904" s="177" t="s">
        <v>3765</v>
      </c>
      <c r="Q904" s="175" t="s">
        <v>49</v>
      </c>
      <c r="R904" s="175" t="s">
        <v>46</v>
      </c>
      <c r="S904" s="175"/>
      <c r="T904" s="180"/>
      <c r="U904" s="175"/>
      <c r="V904" s="175">
        <v>5.0</v>
      </c>
    </row>
    <row r="905">
      <c r="A905" s="175">
        <v>905.0</v>
      </c>
      <c r="B905" s="176">
        <v>46195.0</v>
      </c>
      <c r="C905" s="175" t="s">
        <v>47</v>
      </c>
      <c r="D905" s="175" t="s">
        <v>92</v>
      </c>
      <c r="E905" s="177" t="s">
        <v>1664</v>
      </c>
      <c r="F905" s="178">
        <v>5.60699246E8</v>
      </c>
      <c r="G905" s="177" t="s">
        <v>71</v>
      </c>
      <c r="H905" s="175" t="s">
        <v>94</v>
      </c>
      <c r="I905" s="209" t="s">
        <v>7575</v>
      </c>
      <c r="J905" s="177"/>
      <c r="K905" s="175" t="s">
        <v>148</v>
      </c>
      <c r="L905" s="180"/>
      <c r="M905" s="20" t="s">
        <v>7576</v>
      </c>
      <c r="N905" s="175" t="s">
        <v>40</v>
      </c>
      <c r="O905" s="175" t="s">
        <v>518</v>
      </c>
      <c r="P905" s="177" t="s">
        <v>3765</v>
      </c>
      <c r="Q905" s="175" t="s">
        <v>49</v>
      </c>
      <c r="R905" s="175" t="s">
        <v>46</v>
      </c>
      <c r="S905" s="175"/>
      <c r="T905" s="180"/>
      <c r="U905" s="175"/>
      <c r="V905" s="175">
        <v>5.0</v>
      </c>
    </row>
    <row r="906">
      <c r="A906" s="175">
        <v>906.0</v>
      </c>
      <c r="B906" s="176">
        <v>46195.0</v>
      </c>
      <c r="C906" s="175" t="s">
        <v>47</v>
      </c>
      <c r="D906" s="175" t="s">
        <v>138</v>
      </c>
      <c r="E906" s="175" t="s">
        <v>7577</v>
      </c>
      <c r="F906" s="178">
        <v>5.58089716E8</v>
      </c>
      <c r="G906" s="177" t="s">
        <v>41</v>
      </c>
      <c r="H906" s="175" t="s">
        <v>146</v>
      </c>
      <c r="I906" s="179" t="s">
        <v>7578</v>
      </c>
      <c r="J906" s="300" t="s">
        <v>7579</v>
      </c>
      <c r="K906" s="175" t="s">
        <v>148</v>
      </c>
      <c r="L906" s="180"/>
      <c r="M906" s="177" t="s">
        <v>150</v>
      </c>
      <c r="N906" s="175" t="s">
        <v>56</v>
      </c>
      <c r="O906" s="175" t="s">
        <v>518</v>
      </c>
      <c r="P906" s="177" t="s">
        <v>3566</v>
      </c>
      <c r="Q906" s="175" t="s">
        <v>49</v>
      </c>
      <c r="R906" s="175" t="s">
        <v>46</v>
      </c>
      <c r="S906" s="175"/>
      <c r="T906" s="180"/>
      <c r="U906" s="175"/>
      <c r="V906" s="175">
        <v>5.0</v>
      </c>
    </row>
    <row r="907">
      <c r="A907" s="175">
        <v>907.0</v>
      </c>
      <c r="B907" s="176">
        <v>46195.0</v>
      </c>
      <c r="C907" s="175" t="s">
        <v>47</v>
      </c>
      <c r="D907" s="175" t="s">
        <v>138</v>
      </c>
      <c r="E907" s="177" t="s">
        <v>7580</v>
      </c>
      <c r="F907" s="178">
        <v>5.01122253E8</v>
      </c>
      <c r="G907" s="177" t="s">
        <v>41</v>
      </c>
      <c r="H907" s="175" t="s">
        <v>146</v>
      </c>
      <c r="I907" s="179" t="s">
        <v>7581</v>
      </c>
      <c r="J907" s="177" t="s">
        <v>7582</v>
      </c>
      <c r="K907" s="175" t="s">
        <v>148</v>
      </c>
      <c r="L907" s="180"/>
      <c r="M907" s="184" t="s">
        <v>183</v>
      </c>
      <c r="N907" s="175" t="s">
        <v>56</v>
      </c>
      <c r="O907" s="175" t="s">
        <v>518</v>
      </c>
      <c r="P907" s="177" t="s">
        <v>3566</v>
      </c>
      <c r="Q907" s="175" t="s">
        <v>49</v>
      </c>
      <c r="R907" s="175" t="s">
        <v>46</v>
      </c>
      <c r="S907" s="175"/>
      <c r="T907" s="180"/>
      <c r="U907" s="175"/>
      <c r="V907" s="175">
        <v>5.0</v>
      </c>
    </row>
    <row r="908">
      <c r="A908" s="175">
        <v>908.0</v>
      </c>
      <c r="B908" s="176">
        <v>46195.0</v>
      </c>
      <c r="C908" s="175" t="s">
        <v>47</v>
      </c>
      <c r="D908" s="175" t="s">
        <v>48</v>
      </c>
      <c r="E908" s="177" t="s">
        <v>5319</v>
      </c>
      <c r="F908" s="178">
        <v>5.60812179E8</v>
      </c>
      <c r="G908" s="177" t="s">
        <v>41</v>
      </c>
      <c r="H908" s="175" t="s">
        <v>222</v>
      </c>
      <c r="I908" s="179" t="s">
        <v>7583</v>
      </c>
      <c r="J908" s="27" t="s">
        <v>7584</v>
      </c>
      <c r="K908" s="175" t="s">
        <v>148</v>
      </c>
      <c r="L908" s="180"/>
      <c r="M908" s="177" t="s">
        <v>3764</v>
      </c>
      <c r="N908" s="175" t="s">
        <v>56</v>
      </c>
      <c r="O908" s="175" t="s">
        <v>518</v>
      </c>
      <c r="P908" s="177" t="s">
        <v>3765</v>
      </c>
      <c r="Q908" s="175" t="s">
        <v>49</v>
      </c>
      <c r="R908" s="175" t="s">
        <v>46</v>
      </c>
      <c r="S908" s="175"/>
      <c r="T908" s="180"/>
      <c r="U908" s="175"/>
      <c r="V908" s="175">
        <v>5.0</v>
      </c>
    </row>
    <row r="909">
      <c r="A909" s="175">
        <v>909.0</v>
      </c>
      <c r="B909" s="176">
        <v>46195.0</v>
      </c>
      <c r="C909" s="175" t="s">
        <v>47</v>
      </c>
      <c r="D909" s="175" t="s">
        <v>92</v>
      </c>
      <c r="E909" s="177" t="s">
        <v>108</v>
      </c>
      <c r="F909" s="178">
        <v>5.60018174E8</v>
      </c>
      <c r="G909" s="177" t="s">
        <v>41</v>
      </c>
      <c r="H909" s="175" t="s">
        <v>133</v>
      </c>
      <c r="I909" s="209" t="s">
        <v>7585</v>
      </c>
      <c r="J909" s="177"/>
      <c r="K909" s="175" t="s">
        <v>148</v>
      </c>
      <c r="L909" s="180"/>
      <c r="M909" s="27" t="s">
        <v>2247</v>
      </c>
      <c r="N909" s="175" t="s">
        <v>40</v>
      </c>
      <c r="O909" s="175" t="s">
        <v>518</v>
      </c>
      <c r="P909" s="177" t="s">
        <v>3765</v>
      </c>
      <c r="Q909" s="175" t="s">
        <v>49</v>
      </c>
      <c r="R909" s="175" t="s">
        <v>46</v>
      </c>
      <c r="S909" s="175"/>
      <c r="T909" s="180"/>
      <c r="U909" s="175"/>
      <c r="V909" s="175">
        <v>5.0</v>
      </c>
    </row>
    <row r="910">
      <c r="A910" s="175">
        <v>910.0</v>
      </c>
      <c r="B910" s="176">
        <v>46195.0</v>
      </c>
      <c r="C910" s="175" t="s">
        <v>47</v>
      </c>
      <c r="D910" s="175" t="s">
        <v>48</v>
      </c>
      <c r="E910" s="175" t="s">
        <v>27</v>
      </c>
      <c r="F910" s="178" t="s">
        <v>27</v>
      </c>
      <c r="G910" s="177" t="s">
        <v>41</v>
      </c>
      <c r="H910" s="175" t="s">
        <v>329</v>
      </c>
      <c r="I910" s="179" t="s">
        <v>7586</v>
      </c>
      <c r="J910" s="177"/>
      <c r="K910" s="175" t="s">
        <v>148</v>
      </c>
      <c r="L910" s="180"/>
      <c r="M910" s="201" t="s">
        <v>2247</v>
      </c>
      <c r="N910" s="175" t="s">
        <v>40</v>
      </c>
      <c r="O910" s="175" t="s">
        <v>42</v>
      </c>
      <c r="P910" s="177" t="s">
        <v>3997</v>
      </c>
      <c r="Q910" s="175" t="s">
        <v>49</v>
      </c>
      <c r="R910" s="175" t="s">
        <v>46</v>
      </c>
      <c r="S910" s="175"/>
      <c r="T910" s="180"/>
      <c r="U910" s="175"/>
      <c r="V910" s="175">
        <v>5.0</v>
      </c>
    </row>
    <row r="911">
      <c r="A911" s="175">
        <v>911.0</v>
      </c>
      <c r="B911" s="176">
        <v>46195.0</v>
      </c>
      <c r="C911" s="175" t="s">
        <v>47</v>
      </c>
      <c r="D911" s="175" t="s">
        <v>48</v>
      </c>
      <c r="E911" s="175" t="s">
        <v>7587</v>
      </c>
      <c r="F911" s="178" t="s">
        <v>27</v>
      </c>
      <c r="G911" s="177" t="s">
        <v>333</v>
      </c>
      <c r="H911" s="175" t="s">
        <v>516</v>
      </c>
      <c r="I911" s="179" t="s">
        <v>7588</v>
      </c>
      <c r="J911" s="177"/>
      <c r="K911" s="175" t="s">
        <v>78</v>
      </c>
      <c r="L911" s="180"/>
      <c r="M911" s="177" t="s">
        <v>611</v>
      </c>
      <c r="N911" s="175" t="s">
        <v>40</v>
      </c>
      <c r="O911" s="175" t="s">
        <v>518</v>
      </c>
      <c r="P911" s="177" t="s">
        <v>3765</v>
      </c>
      <c r="Q911" s="175" t="s">
        <v>49</v>
      </c>
      <c r="R911" s="175" t="s">
        <v>46</v>
      </c>
      <c r="S911" s="175"/>
      <c r="T911" s="180"/>
      <c r="U911" s="175"/>
      <c r="V911" s="175">
        <v>5.0</v>
      </c>
    </row>
    <row r="912">
      <c r="A912" s="175">
        <v>912.0</v>
      </c>
      <c r="B912" s="176">
        <v>46195.0</v>
      </c>
      <c r="C912" s="175" t="s">
        <v>47</v>
      </c>
      <c r="D912" s="175" t="s">
        <v>48</v>
      </c>
      <c r="E912" s="175" t="s">
        <v>7589</v>
      </c>
      <c r="F912" s="178" t="s">
        <v>27</v>
      </c>
      <c r="G912" s="177" t="s">
        <v>41</v>
      </c>
      <c r="H912" s="175" t="s">
        <v>956</v>
      </c>
      <c r="I912" s="179" t="s">
        <v>7590</v>
      </c>
      <c r="J912" s="27" t="s">
        <v>7591</v>
      </c>
      <c r="K912" s="175" t="s">
        <v>78</v>
      </c>
      <c r="L912" s="180"/>
      <c r="M912" s="201" t="s">
        <v>101</v>
      </c>
      <c r="N912" s="175" t="s">
        <v>56</v>
      </c>
      <c r="O912" s="175" t="s">
        <v>518</v>
      </c>
      <c r="P912" s="177" t="s">
        <v>3765</v>
      </c>
      <c r="Q912" s="175" t="s">
        <v>49</v>
      </c>
      <c r="R912" s="175" t="s">
        <v>46</v>
      </c>
      <c r="S912" s="175"/>
      <c r="T912" s="180"/>
      <c r="U912" s="175"/>
      <c r="V912" s="175">
        <v>5.0</v>
      </c>
    </row>
    <row r="913">
      <c r="A913" s="175">
        <v>913.0</v>
      </c>
      <c r="B913" s="176">
        <v>46195.0</v>
      </c>
      <c r="C913" s="175" t="s">
        <v>58</v>
      </c>
      <c r="D913" s="175" t="s">
        <v>48</v>
      </c>
      <c r="E913" s="175" t="s">
        <v>7592</v>
      </c>
      <c r="F913" s="178" t="s">
        <v>27</v>
      </c>
      <c r="G913" s="177" t="s">
        <v>41</v>
      </c>
      <c r="H913" s="175" t="s">
        <v>222</v>
      </c>
      <c r="I913" s="179" t="s">
        <v>7593</v>
      </c>
      <c r="J913" s="177"/>
      <c r="K913" s="175" t="s">
        <v>78</v>
      </c>
      <c r="L913" s="180"/>
      <c r="M913" s="177" t="s">
        <v>88</v>
      </c>
      <c r="N913" s="175" t="s">
        <v>40</v>
      </c>
      <c r="O913" s="175" t="s">
        <v>42</v>
      </c>
      <c r="P913" s="177" t="s">
        <v>3566</v>
      </c>
      <c r="Q913" s="175" t="s">
        <v>49</v>
      </c>
      <c r="R913" s="175" t="s">
        <v>46</v>
      </c>
      <c r="S913" s="175"/>
      <c r="T913" s="180"/>
      <c r="U913" s="175"/>
      <c r="V913" s="175">
        <v>5.0</v>
      </c>
    </row>
    <row r="914">
      <c r="A914" s="175">
        <v>914.0</v>
      </c>
      <c r="B914" s="176">
        <v>46195.0</v>
      </c>
      <c r="C914" s="175" t="s">
        <v>3766</v>
      </c>
      <c r="D914" s="175" t="s">
        <v>48</v>
      </c>
      <c r="E914" s="177" t="s">
        <v>7594</v>
      </c>
      <c r="F914" s="178" t="s">
        <v>27</v>
      </c>
      <c r="G914" s="177" t="s">
        <v>333</v>
      </c>
      <c r="H914" s="175" t="s">
        <v>650</v>
      </c>
      <c r="I914" s="179" t="s">
        <v>7595</v>
      </c>
      <c r="J914" s="177"/>
      <c r="K914" s="175" t="s">
        <v>78</v>
      </c>
      <c r="L914" s="180"/>
      <c r="M914" s="177" t="s">
        <v>3776</v>
      </c>
      <c r="N914" s="175" t="s">
        <v>40</v>
      </c>
      <c r="O914" s="175" t="s">
        <v>42</v>
      </c>
      <c r="P914" s="177" t="s">
        <v>3566</v>
      </c>
      <c r="Q914" s="175" t="s">
        <v>49</v>
      </c>
      <c r="R914" s="175"/>
      <c r="S914" s="175"/>
      <c r="T914" s="180"/>
      <c r="U914" s="175"/>
      <c r="V914" s="175">
        <v>5.0</v>
      </c>
    </row>
    <row r="915">
      <c r="A915" s="175">
        <v>915.0</v>
      </c>
      <c r="B915" s="176">
        <v>46195.0</v>
      </c>
      <c r="C915" s="175" t="s">
        <v>47</v>
      </c>
      <c r="D915" s="175" t="s">
        <v>92</v>
      </c>
      <c r="E915" s="175" t="s">
        <v>7596</v>
      </c>
      <c r="F915" s="178" t="s">
        <v>27</v>
      </c>
      <c r="G915" s="177" t="s">
        <v>71</v>
      </c>
      <c r="H915" s="175" t="s">
        <v>94</v>
      </c>
      <c r="I915" s="209" t="s">
        <v>7597</v>
      </c>
      <c r="J915" s="177"/>
      <c r="K915" s="175" t="s">
        <v>78</v>
      </c>
      <c r="L915" s="180"/>
      <c r="M915" s="27" t="s">
        <v>98</v>
      </c>
      <c r="N915" s="175" t="s">
        <v>40</v>
      </c>
      <c r="O915" s="175" t="s">
        <v>3811</v>
      </c>
      <c r="P915" s="177" t="s">
        <v>3997</v>
      </c>
      <c r="Q915" s="175" t="s">
        <v>49</v>
      </c>
      <c r="R915" s="175" t="s">
        <v>46</v>
      </c>
      <c r="S915" s="175"/>
      <c r="T915" s="180"/>
      <c r="U915" s="175"/>
      <c r="V915" s="175">
        <v>5.0</v>
      </c>
    </row>
    <row r="916">
      <c r="A916" s="175">
        <v>916.0</v>
      </c>
      <c r="B916" s="176">
        <v>46195.0</v>
      </c>
      <c r="C916" s="175" t="s">
        <v>58</v>
      </c>
      <c r="D916" s="175" t="s">
        <v>57</v>
      </c>
      <c r="E916" s="175" t="s">
        <v>27</v>
      </c>
      <c r="F916" s="178">
        <v>5.37700093E8</v>
      </c>
      <c r="G916" s="175" t="s">
        <v>27</v>
      </c>
      <c r="H916" s="175" t="s">
        <v>27</v>
      </c>
      <c r="I916" s="179" t="s">
        <v>7598</v>
      </c>
      <c r="J916" s="177"/>
      <c r="K916" s="175" t="s">
        <v>36</v>
      </c>
      <c r="L916" s="180"/>
      <c r="M916" s="177" t="s">
        <v>88</v>
      </c>
      <c r="N916" s="175" t="s">
        <v>40</v>
      </c>
      <c r="O916" s="175" t="s">
        <v>42</v>
      </c>
      <c r="P916" s="177" t="s">
        <v>3566</v>
      </c>
      <c r="Q916" s="175" t="s">
        <v>44</v>
      </c>
      <c r="R916" s="175"/>
      <c r="S916" s="175"/>
      <c r="T916" s="180"/>
      <c r="U916" s="175"/>
      <c r="V916" s="175">
        <v>5.0</v>
      </c>
    </row>
    <row r="917">
      <c r="A917" s="175">
        <v>917.0</v>
      </c>
      <c r="B917" s="176">
        <v>46195.0</v>
      </c>
      <c r="C917" s="175" t="s">
        <v>21</v>
      </c>
      <c r="D917" s="175" t="s">
        <v>66</v>
      </c>
      <c r="E917" s="177" t="s">
        <v>7599</v>
      </c>
      <c r="F917" s="178">
        <v>5.36873435E8</v>
      </c>
      <c r="G917" s="175" t="s">
        <v>27</v>
      </c>
      <c r="H917" s="175" t="s">
        <v>27</v>
      </c>
      <c r="I917" s="179" t="s">
        <v>7600</v>
      </c>
      <c r="J917" s="177"/>
      <c r="K917" s="175" t="s">
        <v>36</v>
      </c>
      <c r="L917" s="180"/>
      <c r="M917" s="181" t="s">
        <v>208</v>
      </c>
      <c r="N917" s="175" t="s">
        <v>40</v>
      </c>
      <c r="O917" s="175" t="s">
        <v>42</v>
      </c>
      <c r="P917" s="177" t="s">
        <v>3566</v>
      </c>
      <c r="Q917" s="175" t="s">
        <v>44</v>
      </c>
      <c r="R917" s="175"/>
      <c r="S917" s="175"/>
      <c r="T917" s="180"/>
      <c r="U917" s="175"/>
      <c r="V917" s="175">
        <v>5.0</v>
      </c>
    </row>
    <row r="918">
      <c r="A918" s="175">
        <v>918.0</v>
      </c>
      <c r="B918" s="176">
        <v>46195.0</v>
      </c>
      <c r="C918" s="175" t="s">
        <v>58</v>
      </c>
      <c r="D918" s="175" t="s">
        <v>60</v>
      </c>
      <c r="E918" s="177" t="s">
        <v>7601</v>
      </c>
      <c r="F918" s="178">
        <v>5.01540679E8</v>
      </c>
      <c r="G918" s="177" t="s">
        <v>41</v>
      </c>
      <c r="H918" s="175" t="s">
        <v>188</v>
      </c>
      <c r="I918" s="179" t="s">
        <v>7602</v>
      </c>
      <c r="J918" s="177" t="s">
        <v>7603</v>
      </c>
      <c r="K918" s="175" t="s">
        <v>62</v>
      </c>
      <c r="L918" s="180"/>
      <c r="M918" s="181" t="s">
        <v>88</v>
      </c>
      <c r="N918" s="175" t="s">
        <v>40</v>
      </c>
      <c r="O918" s="175" t="s">
        <v>42</v>
      </c>
      <c r="P918" s="177" t="s">
        <v>3566</v>
      </c>
      <c r="Q918" s="175" t="s">
        <v>44</v>
      </c>
      <c r="R918" s="175"/>
      <c r="S918" s="175"/>
      <c r="T918" s="180"/>
      <c r="U918" s="175"/>
      <c r="V918" s="175">
        <v>5.0</v>
      </c>
    </row>
    <row r="919">
      <c r="A919" s="175">
        <v>919.0</v>
      </c>
      <c r="B919" s="176">
        <v>46195.0</v>
      </c>
      <c r="C919" s="175" t="s">
        <v>21</v>
      </c>
      <c r="D919" s="175" t="s">
        <v>24</v>
      </c>
      <c r="E919" s="177" t="s">
        <v>7604</v>
      </c>
      <c r="F919" s="178">
        <v>5.68111115E8</v>
      </c>
      <c r="G919" s="177" t="s">
        <v>285</v>
      </c>
      <c r="H919" s="175" t="s">
        <v>27</v>
      </c>
      <c r="I919" s="179" t="s">
        <v>7605</v>
      </c>
      <c r="J919" s="177"/>
      <c r="K919" s="175" t="s">
        <v>36</v>
      </c>
      <c r="L919" s="180"/>
      <c r="M919" s="177" t="s">
        <v>38</v>
      </c>
      <c r="N919" s="175" t="s">
        <v>56</v>
      </c>
      <c r="O919" s="175" t="s">
        <v>42</v>
      </c>
      <c r="P919" s="177" t="s">
        <v>3566</v>
      </c>
      <c r="Q919" s="175" t="s">
        <v>44</v>
      </c>
      <c r="R919" s="175" t="s">
        <v>46</v>
      </c>
      <c r="S919" s="175"/>
      <c r="T919" s="180"/>
      <c r="U919" s="175"/>
      <c r="V919" s="175">
        <v>5.0</v>
      </c>
    </row>
    <row r="920">
      <c r="A920" s="175">
        <v>920.0</v>
      </c>
      <c r="B920" s="176">
        <v>46195.0</v>
      </c>
      <c r="C920" s="175" t="s">
        <v>21</v>
      </c>
      <c r="D920" s="175" t="s">
        <v>24</v>
      </c>
      <c r="E920" s="177" t="s">
        <v>7606</v>
      </c>
      <c r="F920" s="178">
        <v>5.40846321E8</v>
      </c>
      <c r="G920" s="177" t="s">
        <v>41</v>
      </c>
      <c r="H920" s="175" t="s">
        <v>27</v>
      </c>
      <c r="I920" s="179" t="s">
        <v>7607</v>
      </c>
      <c r="J920" s="177"/>
      <c r="K920" s="175" t="s">
        <v>36</v>
      </c>
      <c r="L920" s="180"/>
      <c r="M920" s="177" t="s">
        <v>38</v>
      </c>
      <c r="N920" s="175" t="s">
        <v>56</v>
      </c>
      <c r="O920" s="175" t="s">
        <v>42</v>
      </c>
      <c r="P920" s="177" t="s">
        <v>3566</v>
      </c>
      <c r="Q920" s="175" t="s">
        <v>44</v>
      </c>
      <c r="R920" s="175" t="s">
        <v>46</v>
      </c>
      <c r="S920" s="175"/>
      <c r="T920" s="180"/>
      <c r="U920" s="175"/>
      <c r="V920" s="175">
        <v>5.0</v>
      </c>
    </row>
    <row r="921">
      <c r="A921" s="175">
        <v>921.0</v>
      </c>
      <c r="B921" s="176">
        <v>46195.0</v>
      </c>
      <c r="C921" s="175" t="s">
        <v>21</v>
      </c>
      <c r="D921" s="175" t="s">
        <v>34</v>
      </c>
      <c r="E921" s="175" t="s">
        <v>27</v>
      </c>
      <c r="F921" s="178">
        <v>5.42367457E8</v>
      </c>
      <c r="G921" s="175" t="s">
        <v>27</v>
      </c>
      <c r="H921" s="175" t="s">
        <v>27</v>
      </c>
      <c r="I921" s="179" t="s">
        <v>2075</v>
      </c>
      <c r="J921" s="177"/>
      <c r="K921" s="175" t="s">
        <v>36</v>
      </c>
      <c r="L921" s="180"/>
      <c r="M921" s="181" t="s">
        <v>51</v>
      </c>
      <c r="N921" s="175" t="s">
        <v>40</v>
      </c>
      <c r="O921" s="175" t="s">
        <v>42</v>
      </c>
      <c r="P921" s="177" t="s">
        <v>3566</v>
      </c>
      <c r="Q921" s="175" t="s">
        <v>44</v>
      </c>
      <c r="R921" s="175"/>
      <c r="S921" s="175"/>
      <c r="T921" s="180"/>
      <c r="U921" s="175"/>
      <c r="V921" s="175">
        <v>5.0</v>
      </c>
    </row>
    <row r="922">
      <c r="A922" s="175">
        <v>922.0</v>
      </c>
      <c r="B922" s="176">
        <v>46195.0</v>
      </c>
      <c r="C922" s="175" t="s">
        <v>58</v>
      </c>
      <c r="D922" s="175" t="s">
        <v>22</v>
      </c>
      <c r="E922" s="177" t="s">
        <v>1745</v>
      </c>
      <c r="F922" s="178">
        <v>5.56664903E8</v>
      </c>
      <c r="G922" s="177"/>
      <c r="H922" s="175" t="s">
        <v>27</v>
      </c>
      <c r="I922" s="179" t="s">
        <v>6337</v>
      </c>
      <c r="J922" s="177"/>
      <c r="K922" s="175" t="s">
        <v>62</v>
      </c>
      <c r="L922" s="180"/>
      <c r="M922" s="177" t="s">
        <v>88</v>
      </c>
      <c r="N922" s="175" t="s">
        <v>40</v>
      </c>
      <c r="O922" s="175" t="s">
        <v>42</v>
      </c>
      <c r="P922" s="177" t="s">
        <v>3566</v>
      </c>
      <c r="Q922" s="175" t="s">
        <v>44</v>
      </c>
      <c r="R922" s="175"/>
      <c r="S922" s="175"/>
      <c r="T922" s="180"/>
      <c r="U922" s="175"/>
      <c r="V922" s="175">
        <v>5.0</v>
      </c>
    </row>
    <row r="923">
      <c r="A923" s="175">
        <v>923.0</v>
      </c>
      <c r="B923" s="176">
        <v>46195.0</v>
      </c>
      <c r="C923" s="175" t="s">
        <v>21</v>
      </c>
      <c r="D923" s="175" t="s">
        <v>22</v>
      </c>
      <c r="E923" s="177" t="s">
        <v>302</v>
      </c>
      <c r="F923" s="178">
        <v>5.34651873E8</v>
      </c>
      <c r="G923" s="177" t="s">
        <v>41</v>
      </c>
      <c r="H923" s="175" t="s">
        <v>27</v>
      </c>
      <c r="I923" s="179" t="s">
        <v>7608</v>
      </c>
      <c r="J923" s="177"/>
      <c r="K923" s="175" t="s">
        <v>36</v>
      </c>
      <c r="L923" s="180"/>
      <c r="M923" s="177" t="s">
        <v>38</v>
      </c>
      <c r="N923" s="175" t="s">
        <v>40</v>
      </c>
      <c r="O923" s="175" t="s">
        <v>42</v>
      </c>
      <c r="P923" s="177" t="s">
        <v>3566</v>
      </c>
      <c r="Q923" s="175" t="s">
        <v>44</v>
      </c>
      <c r="R923" s="175" t="s">
        <v>46</v>
      </c>
      <c r="S923" s="175"/>
      <c r="T923" s="180"/>
      <c r="U923" s="175"/>
      <c r="V923" s="175">
        <v>5.0</v>
      </c>
    </row>
    <row r="924">
      <c r="A924" s="175">
        <v>924.0</v>
      </c>
      <c r="B924" s="176">
        <v>46195.0</v>
      </c>
      <c r="C924" s="175" t="s">
        <v>21</v>
      </c>
      <c r="D924" s="175" t="s">
        <v>24</v>
      </c>
      <c r="E924" s="177" t="s">
        <v>7609</v>
      </c>
      <c r="F924" s="178">
        <v>5.80772352E8</v>
      </c>
      <c r="G924" s="177" t="s">
        <v>71</v>
      </c>
      <c r="H924" s="175" t="s">
        <v>27</v>
      </c>
      <c r="I924" s="179" t="s">
        <v>7610</v>
      </c>
      <c r="J924" s="177"/>
      <c r="K924" s="175" t="s">
        <v>36</v>
      </c>
      <c r="L924" s="180"/>
      <c r="M924" s="177" t="s">
        <v>38</v>
      </c>
      <c r="N924" s="175" t="s">
        <v>56</v>
      </c>
      <c r="O924" s="175" t="s">
        <v>42</v>
      </c>
      <c r="P924" s="177" t="s">
        <v>3566</v>
      </c>
      <c r="Q924" s="175" t="s">
        <v>44</v>
      </c>
      <c r="R924" s="175" t="s">
        <v>46</v>
      </c>
      <c r="S924" s="175"/>
      <c r="T924" s="180"/>
      <c r="U924" s="175"/>
      <c r="V924" s="175">
        <v>5.0</v>
      </c>
    </row>
    <row r="925">
      <c r="A925" s="175">
        <v>925.0</v>
      </c>
      <c r="B925" s="176">
        <v>46195.0</v>
      </c>
      <c r="C925" s="175" t="s">
        <v>21</v>
      </c>
      <c r="D925" s="175" t="s">
        <v>34</v>
      </c>
      <c r="E925" s="177" t="s">
        <v>7611</v>
      </c>
      <c r="F925" s="178">
        <v>5.08444939E8</v>
      </c>
      <c r="G925" s="175" t="s">
        <v>27</v>
      </c>
      <c r="H925" s="175"/>
      <c r="I925" s="179" t="s">
        <v>7612</v>
      </c>
      <c r="J925" s="177"/>
      <c r="K925" s="175" t="s">
        <v>36</v>
      </c>
      <c r="L925" s="180"/>
      <c r="M925" s="181" t="s">
        <v>208</v>
      </c>
      <c r="N925" s="175" t="s">
        <v>40</v>
      </c>
      <c r="O925" s="175" t="s">
        <v>42</v>
      </c>
      <c r="P925" s="177" t="s">
        <v>3566</v>
      </c>
      <c r="Q925" s="175" t="s">
        <v>44</v>
      </c>
      <c r="R925" s="175"/>
      <c r="S925" s="175"/>
      <c r="T925" s="180"/>
      <c r="U925" s="175"/>
      <c r="V925" s="175">
        <v>5.0</v>
      </c>
    </row>
    <row r="926">
      <c r="A926" s="175">
        <v>926.0</v>
      </c>
      <c r="B926" s="176">
        <v>46195.0</v>
      </c>
      <c r="C926" s="175" t="s">
        <v>21</v>
      </c>
      <c r="D926" s="175" t="s">
        <v>22</v>
      </c>
      <c r="E926" s="177" t="s">
        <v>7613</v>
      </c>
      <c r="F926" s="178">
        <v>5.52504749E8</v>
      </c>
      <c r="G926" s="177" t="s">
        <v>752</v>
      </c>
      <c r="H926" s="175"/>
      <c r="I926" s="179" t="s">
        <v>7614</v>
      </c>
      <c r="J926" s="177"/>
      <c r="K926" s="175" t="s">
        <v>36</v>
      </c>
      <c r="L926" s="180"/>
      <c r="M926" s="177" t="s">
        <v>38</v>
      </c>
      <c r="N926" s="175" t="s">
        <v>40</v>
      </c>
      <c r="O926" s="175" t="s">
        <v>42</v>
      </c>
      <c r="P926" s="177" t="s">
        <v>3566</v>
      </c>
      <c r="Q926" s="175" t="s">
        <v>44</v>
      </c>
      <c r="R926" s="175" t="s">
        <v>46</v>
      </c>
      <c r="S926" s="175"/>
      <c r="T926" s="180"/>
      <c r="U926" s="175"/>
      <c r="V926" s="175">
        <v>5.0</v>
      </c>
    </row>
    <row r="927">
      <c r="A927" s="175">
        <v>927.0</v>
      </c>
      <c r="B927" s="176">
        <v>46195.0</v>
      </c>
      <c r="C927" s="175" t="s">
        <v>21</v>
      </c>
      <c r="D927" s="175" t="s">
        <v>57</v>
      </c>
      <c r="E927" s="177" t="s">
        <v>7615</v>
      </c>
      <c r="F927" s="178">
        <v>5.62326651E8</v>
      </c>
      <c r="G927" s="177" t="s">
        <v>318</v>
      </c>
      <c r="H927" s="175" t="s">
        <v>27</v>
      </c>
      <c r="I927" s="179" t="s">
        <v>7616</v>
      </c>
      <c r="J927" s="177"/>
      <c r="K927" s="175" t="s">
        <v>36</v>
      </c>
      <c r="L927" s="180"/>
      <c r="M927" s="177" t="s">
        <v>38</v>
      </c>
      <c r="N927" s="175" t="s">
        <v>40</v>
      </c>
      <c r="O927" s="175" t="s">
        <v>42</v>
      </c>
      <c r="P927" s="177" t="s">
        <v>3566</v>
      </c>
      <c r="Q927" s="175" t="s">
        <v>44</v>
      </c>
      <c r="R927" s="175"/>
      <c r="S927" s="175"/>
      <c r="T927" s="180"/>
      <c r="U927" s="175"/>
      <c r="V927" s="175">
        <v>5.0</v>
      </c>
    </row>
    <row r="928">
      <c r="A928" s="175">
        <v>928.0</v>
      </c>
      <c r="B928" s="176">
        <v>46195.0</v>
      </c>
      <c r="C928" s="175" t="s">
        <v>58</v>
      </c>
      <c r="D928" s="175" t="s">
        <v>57</v>
      </c>
      <c r="E928" s="175" t="s">
        <v>27</v>
      </c>
      <c r="F928" s="178">
        <v>5.34243126E8</v>
      </c>
      <c r="G928" s="177" t="s">
        <v>318</v>
      </c>
      <c r="H928" s="175" t="s">
        <v>27</v>
      </c>
      <c r="I928" s="179" t="s">
        <v>7617</v>
      </c>
      <c r="J928" s="177" t="s">
        <v>2806</v>
      </c>
      <c r="K928" s="175" t="s">
        <v>36</v>
      </c>
      <c r="L928" s="180"/>
      <c r="M928" s="177" t="s">
        <v>88</v>
      </c>
      <c r="N928" s="175" t="s">
        <v>40</v>
      </c>
      <c r="O928" s="175" t="s">
        <v>42</v>
      </c>
      <c r="P928" s="177" t="s">
        <v>3566</v>
      </c>
      <c r="Q928" s="175" t="s">
        <v>44</v>
      </c>
      <c r="R928" s="175"/>
      <c r="S928" s="175"/>
      <c r="T928" s="180"/>
      <c r="U928" s="175"/>
      <c r="V928" s="175">
        <v>5.0</v>
      </c>
    </row>
    <row r="929">
      <c r="A929" s="175">
        <v>929.0</v>
      </c>
      <c r="B929" s="176">
        <v>46195.0</v>
      </c>
      <c r="C929" s="175" t="s">
        <v>58</v>
      </c>
      <c r="D929" s="175" t="s">
        <v>57</v>
      </c>
      <c r="E929" s="175" t="s">
        <v>27</v>
      </c>
      <c r="F929" s="178">
        <v>5.02659885E8</v>
      </c>
      <c r="G929" s="177" t="s">
        <v>318</v>
      </c>
      <c r="H929" s="175" t="s">
        <v>27</v>
      </c>
      <c r="I929" s="179" t="s">
        <v>7617</v>
      </c>
      <c r="J929" s="177" t="s">
        <v>2806</v>
      </c>
      <c r="K929" s="175" t="s">
        <v>36</v>
      </c>
      <c r="L929" s="180"/>
      <c r="M929" s="177" t="s">
        <v>88</v>
      </c>
      <c r="N929" s="175" t="s">
        <v>40</v>
      </c>
      <c r="O929" s="175" t="s">
        <v>42</v>
      </c>
      <c r="P929" s="177" t="s">
        <v>3566</v>
      </c>
      <c r="Q929" s="175" t="s">
        <v>44</v>
      </c>
      <c r="R929" s="175"/>
      <c r="S929" s="175"/>
      <c r="T929" s="180"/>
      <c r="U929" s="175"/>
      <c r="V929" s="175">
        <v>5.0</v>
      </c>
    </row>
    <row r="930">
      <c r="A930" s="175">
        <v>930.0</v>
      </c>
      <c r="B930" s="176">
        <v>46195.0</v>
      </c>
      <c r="C930" s="175" t="s">
        <v>21</v>
      </c>
      <c r="D930" s="175" t="s">
        <v>22</v>
      </c>
      <c r="E930" s="177" t="s">
        <v>7618</v>
      </c>
      <c r="F930" s="178">
        <v>5.66008239E8</v>
      </c>
      <c r="G930" s="177" t="s">
        <v>752</v>
      </c>
      <c r="H930" s="175" t="s">
        <v>27</v>
      </c>
      <c r="I930" s="179" t="s">
        <v>7619</v>
      </c>
      <c r="J930" s="177"/>
      <c r="K930" s="175" t="s">
        <v>36</v>
      </c>
      <c r="L930" s="180"/>
      <c r="M930" s="177" t="s">
        <v>38</v>
      </c>
      <c r="N930" s="175" t="s">
        <v>40</v>
      </c>
      <c r="O930" s="175" t="s">
        <v>42</v>
      </c>
      <c r="P930" s="177" t="s">
        <v>3566</v>
      </c>
      <c r="Q930" s="175" t="s">
        <v>44</v>
      </c>
      <c r="R930" s="175" t="s">
        <v>46</v>
      </c>
      <c r="S930" s="175"/>
      <c r="T930" s="180"/>
      <c r="U930" s="175"/>
      <c r="V930" s="175">
        <v>5.0</v>
      </c>
    </row>
    <row r="931">
      <c r="A931" s="175">
        <v>931.0</v>
      </c>
      <c r="B931" s="176">
        <v>46195.0</v>
      </c>
      <c r="C931" s="175" t="s">
        <v>21</v>
      </c>
      <c r="D931" s="175" t="s">
        <v>24</v>
      </c>
      <c r="E931" s="177" t="s">
        <v>7620</v>
      </c>
      <c r="F931" s="178">
        <v>5.39500688E8</v>
      </c>
      <c r="G931" s="177" t="s">
        <v>71</v>
      </c>
      <c r="H931" s="175"/>
      <c r="I931" s="179" t="s">
        <v>7621</v>
      </c>
      <c r="J931" s="177"/>
      <c r="K931" s="175" t="s">
        <v>36</v>
      </c>
      <c r="L931" s="180"/>
      <c r="M931" s="177" t="s">
        <v>38</v>
      </c>
      <c r="N931" s="175" t="s">
        <v>56</v>
      </c>
      <c r="O931" s="175" t="s">
        <v>42</v>
      </c>
      <c r="P931" s="177" t="s">
        <v>3566</v>
      </c>
      <c r="Q931" s="175" t="s">
        <v>44</v>
      </c>
      <c r="R931" s="175" t="s">
        <v>46</v>
      </c>
      <c r="S931" s="175"/>
      <c r="T931" s="180"/>
      <c r="U931" s="175"/>
      <c r="V931" s="175">
        <v>5.0</v>
      </c>
    </row>
    <row r="932">
      <c r="A932" s="175">
        <v>932.0</v>
      </c>
      <c r="B932" s="176">
        <v>46195.0</v>
      </c>
      <c r="C932" s="175" t="s">
        <v>58</v>
      </c>
      <c r="D932" s="175" t="s">
        <v>57</v>
      </c>
      <c r="E932" s="175" t="s">
        <v>27</v>
      </c>
      <c r="F932" s="178">
        <v>5.59634516E8</v>
      </c>
      <c r="G932" s="177" t="s">
        <v>318</v>
      </c>
      <c r="H932" s="175"/>
      <c r="I932" s="179" t="s">
        <v>7617</v>
      </c>
      <c r="J932" s="177" t="s">
        <v>2806</v>
      </c>
      <c r="K932" s="175" t="s">
        <v>36</v>
      </c>
      <c r="L932" s="180"/>
      <c r="M932" s="177" t="s">
        <v>88</v>
      </c>
      <c r="N932" s="175" t="s">
        <v>40</v>
      </c>
      <c r="O932" s="175" t="s">
        <v>42</v>
      </c>
      <c r="P932" s="177" t="s">
        <v>3566</v>
      </c>
      <c r="Q932" s="175" t="s">
        <v>44</v>
      </c>
      <c r="R932" s="175"/>
      <c r="S932" s="175"/>
      <c r="T932" s="180"/>
      <c r="U932" s="175"/>
      <c r="V932" s="175">
        <v>5.0</v>
      </c>
    </row>
    <row r="933">
      <c r="A933" s="26">
        <v>933.0</v>
      </c>
      <c r="B933" s="188">
        <v>46195.0</v>
      </c>
      <c r="C933" s="26" t="s">
        <v>47</v>
      </c>
      <c r="D933" s="26" t="s">
        <v>48</v>
      </c>
      <c r="E933" s="27" t="s">
        <v>7622</v>
      </c>
      <c r="F933" s="21">
        <v>5.02799904E8</v>
      </c>
      <c r="G933" s="27" t="s">
        <v>79</v>
      </c>
      <c r="H933" s="26" t="s">
        <v>2109</v>
      </c>
      <c r="I933" s="179" t="s">
        <v>7623</v>
      </c>
      <c r="J933" s="27" t="s">
        <v>7624</v>
      </c>
      <c r="K933" s="26" t="s">
        <v>36</v>
      </c>
      <c r="L933" s="35"/>
      <c r="M933" s="27" t="s">
        <v>3764</v>
      </c>
      <c r="N933" s="26" t="s">
        <v>56</v>
      </c>
      <c r="O933" s="26" t="s">
        <v>518</v>
      </c>
      <c r="P933" s="27" t="s">
        <v>3765</v>
      </c>
      <c r="Q933" s="26" t="s">
        <v>49</v>
      </c>
      <c r="R933" s="26" t="s">
        <v>46</v>
      </c>
      <c r="S933" s="26"/>
      <c r="T933" s="27" t="s">
        <v>3566</v>
      </c>
      <c r="U933" s="26"/>
      <c r="V933" s="26">
        <v>5.0</v>
      </c>
    </row>
    <row r="934">
      <c r="A934" s="175">
        <v>934.0</v>
      </c>
      <c r="B934" s="176">
        <v>46195.0</v>
      </c>
      <c r="C934" s="175" t="s">
        <v>21</v>
      </c>
      <c r="D934" s="175" t="s">
        <v>24</v>
      </c>
      <c r="E934" s="177" t="s">
        <v>7625</v>
      </c>
      <c r="F934" s="178">
        <v>5.4256629E8</v>
      </c>
      <c r="G934" s="177" t="s">
        <v>267</v>
      </c>
      <c r="H934" s="175" t="s">
        <v>27</v>
      </c>
      <c r="I934" s="179" t="s">
        <v>7626</v>
      </c>
      <c r="J934" s="177"/>
      <c r="K934" s="175" t="s">
        <v>36</v>
      </c>
      <c r="L934" s="180"/>
      <c r="M934" s="177" t="s">
        <v>38</v>
      </c>
      <c r="N934" s="175" t="s">
        <v>56</v>
      </c>
      <c r="O934" s="175" t="s">
        <v>42</v>
      </c>
      <c r="P934" s="177" t="s">
        <v>3566</v>
      </c>
      <c r="Q934" s="175" t="s">
        <v>49</v>
      </c>
      <c r="R934" s="175" t="s">
        <v>46</v>
      </c>
      <c r="S934" s="175"/>
      <c r="T934" s="180"/>
      <c r="U934" s="175"/>
      <c r="V934" s="175">
        <v>5.0</v>
      </c>
    </row>
    <row r="935">
      <c r="A935" s="175">
        <v>935.0</v>
      </c>
      <c r="B935" s="176">
        <v>46196.0</v>
      </c>
      <c r="C935" s="175" t="s">
        <v>58</v>
      </c>
      <c r="D935" s="175" t="s">
        <v>57</v>
      </c>
      <c r="E935" s="177" t="s">
        <v>7627</v>
      </c>
      <c r="F935" s="178">
        <v>5.77845265E8</v>
      </c>
      <c r="G935" s="177" t="s">
        <v>152</v>
      </c>
      <c r="H935" s="175" t="s">
        <v>27</v>
      </c>
      <c r="I935" s="179" t="s">
        <v>7628</v>
      </c>
      <c r="J935" s="177" t="s">
        <v>7629</v>
      </c>
      <c r="K935" s="175" t="s">
        <v>62</v>
      </c>
      <c r="L935" s="180"/>
      <c r="M935" s="177" t="s">
        <v>38</v>
      </c>
      <c r="N935" s="175" t="s">
        <v>40</v>
      </c>
      <c r="O935" s="175" t="s">
        <v>42</v>
      </c>
      <c r="P935" s="177" t="s">
        <v>3566</v>
      </c>
      <c r="Q935" s="175" t="s">
        <v>44</v>
      </c>
      <c r="R935" s="175"/>
      <c r="S935" s="175"/>
      <c r="T935" s="180"/>
      <c r="U935" s="175"/>
      <c r="V935" s="175">
        <v>5.0</v>
      </c>
    </row>
    <row r="936">
      <c r="A936" s="175">
        <v>936.0</v>
      </c>
      <c r="B936" s="176">
        <v>46196.0</v>
      </c>
      <c r="C936" s="175" t="s">
        <v>58</v>
      </c>
      <c r="D936" s="175" t="s">
        <v>57</v>
      </c>
      <c r="E936" s="175" t="s">
        <v>27</v>
      </c>
      <c r="F936" s="178">
        <v>5.33811957E8</v>
      </c>
      <c r="G936" s="175" t="s">
        <v>27</v>
      </c>
      <c r="H936" s="175" t="s">
        <v>27</v>
      </c>
      <c r="I936" s="179" t="s">
        <v>1306</v>
      </c>
      <c r="J936" s="177"/>
      <c r="K936" s="175" t="s">
        <v>36</v>
      </c>
      <c r="L936" s="180"/>
      <c r="M936" s="177" t="s">
        <v>88</v>
      </c>
      <c r="N936" s="175" t="s">
        <v>40</v>
      </c>
      <c r="O936" s="175" t="s">
        <v>42</v>
      </c>
      <c r="P936" s="177" t="s">
        <v>3566</v>
      </c>
      <c r="Q936" s="175" t="s">
        <v>44</v>
      </c>
      <c r="R936" s="175"/>
      <c r="S936" s="175"/>
      <c r="T936" s="180"/>
      <c r="U936" s="175"/>
      <c r="V936" s="175">
        <v>5.0</v>
      </c>
    </row>
    <row r="937">
      <c r="A937" s="175">
        <v>937.0</v>
      </c>
      <c r="B937" s="176">
        <v>46196.0</v>
      </c>
      <c r="C937" s="175" t="s">
        <v>21</v>
      </c>
      <c r="D937" s="175" t="s">
        <v>66</v>
      </c>
      <c r="E937" s="177" t="s">
        <v>7630</v>
      </c>
      <c r="F937" s="178">
        <v>5.54712161E8</v>
      </c>
      <c r="G937" s="175"/>
      <c r="H937" s="175"/>
      <c r="I937" s="179" t="s">
        <v>7631</v>
      </c>
      <c r="J937" s="177"/>
      <c r="K937" s="175" t="s">
        <v>62</v>
      </c>
      <c r="L937" s="180"/>
      <c r="M937" s="181" t="s">
        <v>208</v>
      </c>
      <c r="N937" s="175" t="s">
        <v>40</v>
      </c>
      <c r="O937" s="175" t="s">
        <v>42</v>
      </c>
      <c r="P937" s="177" t="s">
        <v>3566</v>
      </c>
      <c r="Q937" s="175" t="s">
        <v>44</v>
      </c>
      <c r="R937" s="175"/>
      <c r="S937" s="175"/>
      <c r="T937" s="180"/>
      <c r="U937" s="175"/>
      <c r="V937" s="175">
        <v>5.0</v>
      </c>
    </row>
    <row r="938">
      <c r="A938" s="175">
        <v>938.0</v>
      </c>
      <c r="B938" s="176">
        <v>46196.0</v>
      </c>
      <c r="C938" s="175" t="s">
        <v>58</v>
      </c>
      <c r="D938" s="175" t="s">
        <v>60</v>
      </c>
      <c r="E938" s="175" t="s">
        <v>27</v>
      </c>
      <c r="F938" s="178">
        <v>5.03606602E8</v>
      </c>
      <c r="G938" s="175" t="s">
        <v>27</v>
      </c>
      <c r="H938" s="175" t="s">
        <v>27</v>
      </c>
      <c r="I938" s="179" t="s">
        <v>7632</v>
      </c>
      <c r="J938" s="177"/>
      <c r="K938" s="175" t="s">
        <v>62</v>
      </c>
      <c r="L938" s="180"/>
      <c r="M938" s="181" t="s">
        <v>88</v>
      </c>
      <c r="N938" s="175" t="s">
        <v>40</v>
      </c>
      <c r="O938" s="175" t="s">
        <v>42</v>
      </c>
      <c r="P938" s="177" t="s">
        <v>3566</v>
      </c>
      <c r="Q938" s="175" t="s">
        <v>44</v>
      </c>
      <c r="R938" s="175"/>
      <c r="S938" s="175"/>
      <c r="T938" s="180"/>
      <c r="U938" s="175"/>
      <c r="V938" s="175">
        <v>5.0</v>
      </c>
    </row>
    <row r="939">
      <c r="A939" s="175">
        <v>939.0</v>
      </c>
      <c r="B939" s="176">
        <v>46196.0</v>
      </c>
      <c r="C939" s="175" t="s">
        <v>21</v>
      </c>
      <c r="D939" s="175" t="s">
        <v>66</v>
      </c>
      <c r="E939" s="177" t="s">
        <v>7633</v>
      </c>
      <c r="F939" s="178">
        <v>5.81211861E8</v>
      </c>
      <c r="G939" s="175"/>
      <c r="H939" s="175"/>
      <c r="I939" s="179" t="s">
        <v>7634</v>
      </c>
      <c r="J939" s="177"/>
      <c r="K939" s="175" t="s">
        <v>62</v>
      </c>
      <c r="L939" s="180"/>
      <c r="M939" s="181" t="s">
        <v>208</v>
      </c>
      <c r="N939" s="175" t="s">
        <v>40</v>
      </c>
      <c r="O939" s="175" t="s">
        <v>42</v>
      </c>
      <c r="P939" s="177" t="s">
        <v>3566</v>
      </c>
      <c r="Q939" s="175" t="s">
        <v>44</v>
      </c>
      <c r="R939" s="175"/>
      <c r="S939" s="175"/>
      <c r="T939" s="180"/>
      <c r="U939" s="175"/>
      <c r="V939" s="175">
        <v>5.0</v>
      </c>
    </row>
    <row r="940">
      <c r="A940" s="175">
        <v>940.0</v>
      </c>
      <c r="B940" s="176">
        <v>46196.0</v>
      </c>
      <c r="C940" s="175" t="s">
        <v>58</v>
      </c>
      <c r="D940" s="175" t="s">
        <v>60</v>
      </c>
      <c r="E940" s="177" t="s">
        <v>7635</v>
      </c>
      <c r="F940" s="178">
        <v>5.68774249E8</v>
      </c>
      <c r="G940" s="175"/>
      <c r="H940" s="175"/>
      <c r="I940" s="179" t="s">
        <v>7636</v>
      </c>
      <c r="J940" s="177"/>
      <c r="K940" s="175" t="s">
        <v>62</v>
      </c>
      <c r="L940" s="180"/>
      <c r="M940" s="181" t="s">
        <v>88</v>
      </c>
      <c r="N940" s="175" t="s">
        <v>40</v>
      </c>
      <c r="O940" s="175" t="s">
        <v>42</v>
      </c>
      <c r="P940" s="177" t="s">
        <v>3566</v>
      </c>
      <c r="Q940" s="175" t="s">
        <v>44</v>
      </c>
      <c r="R940" s="175"/>
      <c r="S940" s="175"/>
      <c r="T940" s="180"/>
      <c r="U940" s="175"/>
      <c r="V940" s="175">
        <v>5.0</v>
      </c>
    </row>
    <row r="941">
      <c r="A941" s="175">
        <v>941.0</v>
      </c>
      <c r="B941" s="176">
        <v>46196.0</v>
      </c>
      <c r="C941" s="175" t="s">
        <v>58</v>
      </c>
      <c r="D941" s="175" t="s">
        <v>57</v>
      </c>
      <c r="E941" s="175" t="s">
        <v>27</v>
      </c>
      <c r="F941" s="178">
        <v>5.72836769E8</v>
      </c>
      <c r="G941" s="175"/>
      <c r="H941" s="175"/>
      <c r="I941" s="179" t="s">
        <v>7617</v>
      </c>
      <c r="J941" s="177"/>
      <c r="K941" s="175" t="s">
        <v>36</v>
      </c>
      <c r="L941" s="180"/>
      <c r="M941" s="177" t="s">
        <v>88</v>
      </c>
      <c r="N941" s="175" t="s">
        <v>40</v>
      </c>
      <c r="O941" s="175" t="s">
        <v>42</v>
      </c>
      <c r="P941" s="177" t="s">
        <v>3566</v>
      </c>
      <c r="Q941" s="175" t="s">
        <v>44</v>
      </c>
      <c r="R941" s="175"/>
      <c r="S941" s="175"/>
      <c r="T941" s="180"/>
      <c r="U941" s="175"/>
      <c r="V941" s="175">
        <v>5.0</v>
      </c>
    </row>
    <row r="942">
      <c r="A942" s="175">
        <v>942.0</v>
      </c>
      <c r="B942" s="176">
        <v>46196.0</v>
      </c>
      <c r="C942" s="175" t="s">
        <v>58</v>
      </c>
      <c r="D942" s="175" t="s">
        <v>60</v>
      </c>
      <c r="E942" s="175" t="s">
        <v>27</v>
      </c>
      <c r="F942" s="178">
        <v>5.69957124E8</v>
      </c>
      <c r="G942" s="175" t="s">
        <v>27</v>
      </c>
      <c r="H942" s="175" t="s">
        <v>27</v>
      </c>
      <c r="I942" s="179" t="s">
        <v>7637</v>
      </c>
      <c r="J942" s="177"/>
      <c r="K942" s="175" t="s">
        <v>36</v>
      </c>
      <c r="L942" s="180"/>
      <c r="M942" s="181" t="s">
        <v>88</v>
      </c>
      <c r="N942" s="175" t="s">
        <v>40</v>
      </c>
      <c r="O942" s="175" t="s">
        <v>42</v>
      </c>
      <c r="P942" s="177" t="s">
        <v>3566</v>
      </c>
      <c r="Q942" s="175" t="s">
        <v>44</v>
      </c>
      <c r="R942" s="175"/>
      <c r="S942" s="175"/>
      <c r="T942" s="180"/>
      <c r="U942" s="175"/>
      <c r="V942" s="175">
        <v>5.0</v>
      </c>
    </row>
    <row r="943">
      <c r="A943" s="26">
        <v>943.0</v>
      </c>
      <c r="B943" s="188">
        <v>46196.0</v>
      </c>
      <c r="C943" s="26" t="s">
        <v>47</v>
      </c>
      <c r="D943" s="26" t="s">
        <v>48</v>
      </c>
      <c r="E943" s="27" t="s">
        <v>7638</v>
      </c>
      <c r="F943" s="21">
        <v>5.07067747E8</v>
      </c>
      <c r="G943" s="27" t="s">
        <v>28</v>
      </c>
      <c r="H943" s="26" t="s">
        <v>3190</v>
      </c>
      <c r="I943" s="179" t="s">
        <v>7639</v>
      </c>
      <c r="J943" s="27" t="s">
        <v>7640</v>
      </c>
      <c r="K943" s="26" t="s">
        <v>36</v>
      </c>
      <c r="L943" s="35"/>
      <c r="M943" s="27" t="s">
        <v>101</v>
      </c>
      <c r="N943" s="26" t="s">
        <v>56</v>
      </c>
      <c r="O943" s="26" t="s">
        <v>518</v>
      </c>
      <c r="P943" s="27" t="s">
        <v>3765</v>
      </c>
      <c r="Q943" s="26" t="s">
        <v>44</v>
      </c>
      <c r="R943" s="26" t="s">
        <v>46</v>
      </c>
      <c r="S943" s="26"/>
      <c r="T943" s="27" t="s">
        <v>3566</v>
      </c>
      <c r="U943" s="26"/>
      <c r="V943" s="26">
        <v>5.0</v>
      </c>
    </row>
    <row r="944" ht="141.75" customHeight="1">
      <c r="A944" s="175">
        <v>944.0</v>
      </c>
      <c r="B944" s="176">
        <v>46196.0</v>
      </c>
      <c r="C944" s="175" t="s">
        <v>47</v>
      </c>
      <c r="D944" s="175" t="s">
        <v>367</v>
      </c>
      <c r="E944" s="177" t="s">
        <v>7641</v>
      </c>
      <c r="F944" s="178">
        <v>5.5730019E8</v>
      </c>
      <c r="G944" s="177" t="s">
        <v>152</v>
      </c>
      <c r="H944" s="175" t="s">
        <v>272</v>
      </c>
      <c r="I944" s="179" t="s">
        <v>7642</v>
      </c>
      <c r="J944" s="27" t="s">
        <v>7643</v>
      </c>
      <c r="K944" s="175" t="s">
        <v>36</v>
      </c>
      <c r="L944" s="180"/>
      <c r="M944" s="177" t="s">
        <v>98</v>
      </c>
      <c r="N944" s="175" t="s">
        <v>56</v>
      </c>
      <c r="O944" s="175" t="s">
        <v>3811</v>
      </c>
      <c r="P944" s="177" t="s">
        <v>3566</v>
      </c>
      <c r="Q944" s="175" t="s">
        <v>49</v>
      </c>
      <c r="R944" s="175" t="s">
        <v>46</v>
      </c>
      <c r="S944" s="175"/>
      <c r="T944" s="180"/>
      <c r="U944" s="175"/>
      <c r="V944" s="175">
        <v>5.0</v>
      </c>
    </row>
    <row r="945">
      <c r="A945" s="175">
        <v>945.0</v>
      </c>
      <c r="B945" s="176">
        <v>46196.0</v>
      </c>
      <c r="C945" s="175" t="s">
        <v>47</v>
      </c>
      <c r="D945" s="175" t="s">
        <v>60</v>
      </c>
      <c r="E945" s="177" t="s">
        <v>5251</v>
      </c>
      <c r="F945" s="178">
        <v>5.55564346E8</v>
      </c>
      <c r="G945" s="177" t="s">
        <v>71</v>
      </c>
      <c r="H945" s="175" t="s">
        <v>27</v>
      </c>
      <c r="I945" s="179" t="s">
        <v>7644</v>
      </c>
      <c r="J945" s="177" t="s">
        <v>7645</v>
      </c>
      <c r="K945" s="175" t="s">
        <v>36</v>
      </c>
      <c r="L945" s="180"/>
      <c r="M945" s="181" t="s">
        <v>88</v>
      </c>
      <c r="N945" s="175" t="s">
        <v>40</v>
      </c>
      <c r="O945" s="175" t="s">
        <v>42</v>
      </c>
      <c r="P945" s="177" t="s">
        <v>3566</v>
      </c>
      <c r="Q945" s="175" t="s">
        <v>44</v>
      </c>
      <c r="R945" s="175"/>
      <c r="S945" s="175"/>
      <c r="T945" s="180"/>
      <c r="U945" s="175"/>
      <c r="V945" s="175">
        <v>5.0</v>
      </c>
    </row>
    <row r="946">
      <c r="A946" s="175">
        <v>946.0</v>
      </c>
      <c r="B946" s="176">
        <v>46196.0</v>
      </c>
      <c r="C946" s="175" t="s">
        <v>58</v>
      </c>
      <c r="D946" s="175" t="s">
        <v>60</v>
      </c>
      <c r="E946" s="177" t="s">
        <v>7646</v>
      </c>
      <c r="F946" s="178">
        <v>5.42419192E8</v>
      </c>
      <c r="G946" s="177" t="s">
        <v>41</v>
      </c>
      <c r="H946" s="175" t="s">
        <v>27</v>
      </c>
      <c r="I946" s="179" t="s">
        <v>7647</v>
      </c>
      <c r="J946" s="177"/>
      <c r="K946" s="175" t="s">
        <v>36</v>
      </c>
      <c r="L946" s="180"/>
      <c r="M946" s="181" t="s">
        <v>88</v>
      </c>
      <c r="N946" s="175" t="s">
        <v>40</v>
      </c>
      <c r="O946" s="175" t="s">
        <v>42</v>
      </c>
      <c r="P946" s="177" t="s">
        <v>3566</v>
      </c>
      <c r="Q946" s="175" t="s">
        <v>44</v>
      </c>
      <c r="R946" s="175"/>
      <c r="S946" s="175"/>
      <c r="T946" s="180"/>
      <c r="U946" s="175"/>
      <c r="V946" s="175">
        <v>5.0</v>
      </c>
    </row>
    <row r="947">
      <c r="A947" s="175">
        <v>947.0</v>
      </c>
      <c r="B947" s="176">
        <v>46196.0</v>
      </c>
      <c r="C947" s="175" t="s">
        <v>58</v>
      </c>
      <c r="D947" s="175" t="s">
        <v>60</v>
      </c>
      <c r="E947" s="175" t="s">
        <v>27</v>
      </c>
      <c r="F947" s="178">
        <v>5.59861828E8</v>
      </c>
      <c r="G947" s="175" t="s">
        <v>27</v>
      </c>
      <c r="H947" s="175" t="s">
        <v>27</v>
      </c>
      <c r="I947" s="179" t="s">
        <v>359</v>
      </c>
      <c r="J947" s="177"/>
      <c r="K947" s="175" t="s">
        <v>36</v>
      </c>
      <c r="L947" s="180"/>
      <c r="M947" s="181" t="s">
        <v>88</v>
      </c>
      <c r="N947" s="175" t="s">
        <v>40</v>
      </c>
      <c r="O947" s="175" t="s">
        <v>42</v>
      </c>
      <c r="P947" s="177" t="s">
        <v>3566</v>
      </c>
      <c r="Q947" s="175" t="s">
        <v>44</v>
      </c>
      <c r="R947" s="175"/>
      <c r="S947" s="175"/>
      <c r="T947" s="180"/>
      <c r="U947" s="175"/>
      <c r="V947" s="175">
        <v>5.0</v>
      </c>
    </row>
    <row r="948">
      <c r="A948" s="175">
        <v>948.0</v>
      </c>
      <c r="B948" s="176">
        <v>46196.0</v>
      </c>
      <c r="C948" s="175" t="s">
        <v>21</v>
      </c>
      <c r="D948" s="175" t="s">
        <v>22</v>
      </c>
      <c r="E948" s="177" t="s">
        <v>7648</v>
      </c>
      <c r="F948" s="178">
        <v>5.54242494E8</v>
      </c>
      <c r="G948" s="177" t="s">
        <v>152</v>
      </c>
      <c r="H948" s="175" t="s">
        <v>27</v>
      </c>
      <c r="I948" s="179" t="s">
        <v>7649</v>
      </c>
      <c r="J948" s="177"/>
      <c r="K948" s="175" t="s">
        <v>36</v>
      </c>
      <c r="L948" s="180"/>
      <c r="M948" s="181" t="s">
        <v>125</v>
      </c>
      <c r="N948" s="175" t="s">
        <v>40</v>
      </c>
      <c r="O948" s="175" t="s">
        <v>42</v>
      </c>
      <c r="P948" s="177" t="s">
        <v>3566</v>
      </c>
      <c r="Q948" s="175" t="s">
        <v>44</v>
      </c>
      <c r="R948" s="175" t="s">
        <v>46</v>
      </c>
      <c r="S948" s="175"/>
      <c r="T948" s="180"/>
      <c r="U948" s="175"/>
      <c r="V948" s="175">
        <v>5.0</v>
      </c>
    </row>
    <row r="949">
      <c r="A949" s="175">
        <v>949.0</v>
      </c>
      <c r="B949" s="176">
        <v>46196.0</v>
      </c>
      <c r="C949" s="175" t="s">
        <v>3766</v>
      </c>
      <c r="D949" s="175" t="s">
        <v>57</v>
      </c>
      <c r="E949" s="175" t="s">
        <v>7650</v>
      </c>
      <c r="F949" s="178" t="s">
        <v>27</v>
      </c>
      <c r="G949" s="177" t="s">
        <v>41</v>
      </c>
      <c r="H949" s="175" t="s">
        <v>27</v>
      </c>
      <c r="I949" s="179" t="s">
        <v>7651</v>
      </c>
      <c r="J949" s="177"/>
      <c r="K949" s="175" t="s">
        <v>3070</v>
      </c>
      <c r="L949" s="180"/>
      <c r="M949" s="177" t="s">
        <v>3776</v>
      </c>
      <c r="N949" s="175" t="s">
        <v>40</v>
      </c>
      <c r="O949" s="175" t="s">
        <v>42</v>
      </c>
      <c r="P949" s="177" t="s">
        <v>3566</v>
      </c>
      <c r="Q949" s="175" t="s">
        <v>44</v>
      </c>
      <c r="R949" s="175"/>
      <c r="S949" s="175"/>
      <c r="T949" s="180"/>
      <c r="U949" s="175"/>
      <c r="V949" s="175">
        <v>5.0</v>
      </c>
    </row>
    <row r="950">
      <c r="A950" s="175">
        <v>950.0</v>
      </c>
      <c r="B950" s="176">
        <v>46196.0</v>
      </c>
      <c r="C950" s="175" t="s">
        <v>21</v>
      </c>
      <c r="D950" s="175" t="s">
        <v>22</v>
      </c>
      <c r="E950" s="177" t="s">
        <v>7652</v>
      </c>
      <c r="F950" s="178">
        <v>5.054771E8</v>
      </c>
      <c r="G950" s="177" t="s">
        <v>152</v>
      </c>
      <c r="H950" s="175" t="s">
        <v>27</v>
      </c>
      <c r="I950" s="179" t="s">
        <v>7653</v>
      </c>
      <c r="J950" s="177"/>
      <c r="K950" s="175" t="s">
        <v>36</v>
      </c>
      <c r="L950" s="180"/>
      <c r="M950" s="177" t="s">
        <v>38</v>
      </c>
      <c r="N950" s="175" t="s">
        <v>40</v>
      </c>
      <c r="O950" s="175" t="s">
        <v>42</v>
      </c>
      <c r="P950" s="177" t="s">
        <v>3566</v>
      </c>
      <c r="Q950" s="175" t="s">
        <v>44</v>
      </c>
      <c r="R950" s="175" t="s">
        <v>46</v>
      </c>
      <c r="S950" s="175"/>
      <c r="T950" s="180"/>
      <c r="U950" s="175"/>
      <c r="V950" s="175">
        <v>5.0</v>
      </c>
    </row>
    <row r="951">
      <c r="A951" s="175">
        <v>951.0</v>
      </c>
      <c r="B951" s="176">
        <v>46196.0</v>
      </c>
      <c r="C951" s="175" t="s">
        <v>47</v>
      </c>
      <c r="D951" s="175" t="s">
        <v>92</v>
      </c>
      <c r="E951" s="177" t="s">
        <v>7654</v>
      </c>
      <c r="F951" s="178">
        <v>5.01876784E8</v>
      </c>
      <c r="G951" s="177" t="s">
        <v>71</v>
      </c>
      <c r="H951" s="175" t="s">
        <v>94</v>
      </c>
      <c r="I951" s="209" t="s">
        <v>7655</v>
      </c>
      <c r="J951" s="177"/>
      <c r="K951" s="175" t="s">
        <v>36</v>
      </c>
      <c r="L951" s="180">
        <v>0.5833333333333334</v>
      </c>
      <c r="M951" s="378" t="s">
        <v>3355</v>
      </c>
      <c r="N951" s="175" t="s">
        <v>40</v>
      </c>
      <c r="O951" s="206" t="s">
        <v>3811</v>
      </c>
      <c r="P951" s="177" t="s">
        <v>3997</v>
      </c>
      <c r="Q951" s="175" t="s">
        <v>44</v>
      </c>
      <c r="R951" s="175" t="s">
        <v>46</v>
      </c>
      <c r="S951" s="200" t="s">
        <v>27</v>
      </c>
      <c r="T951" s="180"/>
      <c r="U951" s="175"/>
      <c r="V951" s="175">
        <v>5.0</v>
      </c>
    </row>
    <row r="952">
      <c r="A952" s="26">
        <v>952.0</v>
      </c>
      <c r="B952" s="188">
        <v>46196.0</v>
      </c>
      <c r="C952" s="26" t="s">
        <v>47</v>
      </c>
      <c r="D952" s="26" t="s">
        <v>48</v>
      </c>
      <c r="E952" s="27" t="s">
        <v>7656</v>
      </c>
      <c r="F952" s="21">
        <v>5.63436668E8</v>
      </c>
      <c r="G952" s="27" t="s">
        <v>79</v>
      </c>
      <c r="H952" s="26" t="s">
        <v>431</v>
      </c>
      <c r="I952" s="179" t="s">
        <v>7657</v>
      </c>
      <c r="J952" s="27"/>
      <c r="K952" s="26" t="s">
        <v>36</v>
      </c>
      <c r="L952" s="35"/>
      <c r="M952" s="27" t="s">
        <v>101</v>
      </c>
      <c r="N952" s="26" t="s">
        <v>40</v>
      </c>
      <c r="O952" s="26" t="s">
        <v>518</v>
      </c>
      <c r="P952" s="27" t="s">
        <v>3765</v>
      </c>
      <c r="Q952" s="26" t="s">
        <v>44</v>
      </c>
      <c r="R952" s="26" t="s">
        <v>46</v>
      </c>
      <c r="S952" s="26"/>
      <c r="T952" s="27" t="s">
        <v>3566</v>
      </c>
      <c r="U952" s="26"/>
      <c r="V952" s="26">
        <v>5.0</v>
      </c>
    </row>
    <row r="953">
      <c r="A953" s="175">
        <v>953.0</v>
      </c>
      <c r="B953" s="176">
        <v>46196.0</v>
      </c>
      <c r="C953" s="175" t="s">
        <v>47</v>
      </c>
      <c r="D953" s="175" t="s">
        <v>92</v>
      </c>
      <c r="E953" s="177" t="s">
        <v>3823</v>
      </c>
      <c r="F953" s="178">
        <v>5.480802E8</v>
      </c>
      <c r="G953" s="177" t="s">
        <v>319</v>
      </c>
      <c r="H953" s="175" t="s">
        <v>3826</v>
      </c>
      <c r="I953" s="179" t="s">
        <v>7658</v>
      </c>
      <c r="J953" s="177"/>
      <c r="K953" s="175" t="s">
        <v>36</v>
      </c>
      <c r="L953" s="180">
        <v>0.5951388888888889</v>
      </c>
      <c r="M953" s="27" t="s">
        <v>101</v>
      </c>
      <c r="N953" s="175" t="s">
        <v>40</v>
      </c>
      <c r="O953" s="175" t="s">
        <v>518</v>
      </c>
      <c r="P953" s="177" t="s">
        <v>3765</v>
      </c>
      <c r="Q953" s="175" t="s">
        <v>44</v>
      </c>
      <c r="R953" s="175" t="s">
        <v>46</v>
      </c>
      <c r="S953" s="454" t="s">
        <v>27</v>
      </c>
      <c r="T953" s="180"/>
      <c r="U953" s="175" t="s">
        <v>44</v>
      </c>
      <c r="V953" s="175">
        <v>5.0</v>
      </c>
    </row>
    <row r="954">
      <c r="A954" s="175">
        <v>954.0</v>
      </c>
      <c r="B954" s="176">
        <v>46196.0</v>
      </c>
      <c r="C954" s="175" t="s">
        <v>21</v>
      </c>
      <c r="D954" s="175" t="s">
        <v>22</v>
      </c>
      <c r="E954" s="177" t="s">
        <v>7659</v>
      </c>
      <c r="F954" s="178">
        <v>5.51514433E8</v>
      </c>
      <c r="G954" s="177" t="s">
        <v>112</v>
      </c>
      <c r="H954" s="175"/>
      <c r="I954" s="179" t="s">
        <v>7660</v>
      </c>
      <c r="J954" s="177"/>
      <c r="K954" s="175" t="s">
        <v>36</v>
      </c>
      <c r="L954" s="180"/>
      <c r="M954" s="177" t="s">
        <v>38</v>
      </c>
      <c r="N954" s="175" t="s">
        <v>40</v>
      </c>
      <c r="O954" s="175" t="s">
        <v>42</v>
      </c>
      <c r="P954" s="177" t="s">
        <v>3566</v>
      </c>
      <c r="Q954" s="175" t="s">
        <v>44</v>
      </c>
      <c r="R954" s="175" t="s">
        <v>46</v>
      </c>
      <c r="S954" s="175"/>
      <c r="T954" s="180"/>
      <c r="U954" s="175"/>
      <c r="V954" s="175">
        <v>5.0</v>
      </c>
    </row>
    <row r="955">
      <c r="A955" s="175">
        <v>955.0</v>
      </c>
      <c r="B955" s="176">
        <v>46196.0</v>
      </c>
      <c r="C955" s="175" t="s">
        <v>47</v>
      </c>
      <c r="D955" s="175" t="s">
        <v>48</v>
      </c>
      <c r="E955" s="177" t="s">
        <v>7661</v>
      </c>
      <c r="F955" s="178">
        <v>5.42419192E8</v>
      </c>
      <c r="G955" s="177" t="s">
        <v>41</v>
      </c>
      <c r="H955" s="175" t="s">
        <v>193</v>
      </c>
      <c r="I955" s="179" t="s">
        <v>7662</v>
      </c>
      <c r="J955" s="27" t="s">
        <v>7663</v>
      </c>
      <c r="K955" s="175" t="s">
        <v>148</v>
      </c>
      <c r="L955" s="180"/>
      <c r="M955" s="177" t="s">
        <v>101</v>
      </c>
      <c r="N955" s="175" t="s">
        <v>56</v>
      </c>
      <c r="O955" s="175" t="s">
        <v>518</v>
      </c>
      <c r="P955" s="177" t="s">
        <v>3765</v>
      </c>
      <c r="Q955" s="175" t="s">
        <v>49</v>
      </c>
      <c r="R955" s="175" t="s">
        <v>46</v>
      </c>
      <c r="S955" s="175"/>
      <c r="T955" s="180"/>
      <c r="U955" s="175"/>
      <c r="V955" s="175">
        <v>5.0</v>
      </c>
    </row>
    <row r="956">
      <c r="A956" s="175">
        <v>956.0</v>
      </c>
      <c r="B956" s="176">
        <v>46196.0</v>
      </c>
      <c r="C956" s="175" t="s">
        <v>21</v>
      </c>
      <c r="D956" s="175" t="s">
        <v>66</v>
      </c>
      <c r="E956" s="177" t="s">
        <v>7664</v>
      </c>
      <c r="F956" s="178">
        <v>1.12690091E8</v>
      </c>
      <c r="G956" s="177" t="s">
        <v>152</v>
      </c>
      <c r="H956" s="175" t="s">
        <v>27</v>
      </c>
      <c r="I956" s="179" t="s">
        <v>7665</v>
      </c>
      <c r="J956" s="177"/>
      <c r="K956" s="175" t="s">
        <v>36</v>
      </c>
      <c r="L956" s="180"/>
      <c r="M956" s="181" t="s">
        <v>208</v>
      </c>
      <c r="N956" s="175" t="s">
        <v>40</v>
      </c>
      <c r="O956" s="175" t="s">
        <v>42</v>
      </c>
      <c r="P956" s="177" t="s">
        <v>3566</v>
      </c>
      <c r="Q956" s="175" t="s">
        <v>44</v>
      </c>
      <c r="R956" s="175"/>
      <c r="S956" s="175"/>
      <c r="T956" s="180"/>
      <c r="U956" s="175"/>
      <c r="V956" s="175">
        <v>5.0</v>
      </c>
    </row>
    <row r="957">
      <c r="A957" s="175">
        <v>957.0</v>
      </c>
      <c r="B957" s="176">
        <v>46196.0</v>
      </c>
      <c r="C957" s="175" t="s">
        <v>58</v>
      </c>
      <c r="D957" s="175" t="s">
        <v>60</v>
      </c>
      <c r="E957" s="175" t="s">
        <v>27</v>
      </c>
      <c r="F957" s="178">
        <v>5.07231541E8</v>
      </c>
      <c r="G957" s="177" t="s">
        <v>71</v>
      </c>
      <c r="H957" s="175" t="s">
        <v>27</v>
      </c>
      <c r="I957" s="179" t="s">
        <v>7637</v>
      </c>
      <c r="J957" s="177"/>
      <c r="K957" s="175" t="s">
        <v>36</v>
      </c>
      <c r="L957" s="180"/>
      <c r="M957" s="181" t="s">
        <v>88</v>
      </c>
      <c r="N957" s="175" t="s">
        <v>40</v>
      </c>
      <c r="O957" s="175" t="s">
        <v>42</v>
      </c>
      <c r="P957" s="177" t="s">
        <v>3566</v>
      </c>
      <c r="Q957" s="175" t="s">
        <v>44</v>
      </c>
      <c r="R957" s="175"/>
      <c r="S957" s="175"/>
      <c r="T957" s="180"/>
      <c r="U957" s="175"/>
      <c r="V957" s="175">
        <v>5.0</v>
      </c>
    </row>
    <row r="958">
      <c r="A958" s="175">
        <v>958.0</v>
      </c>
      <c r="B958" s="176">
        <v>46196.0</v>
      </c>
      <c r="C958" s="175" t="s">
        <v>21</v>
      </c>
      <c r="D958" s="175" t="s">
        <v>66</v>
      </c>
      <c r="E958" s="177" t="s">
        <v>7666</v>
      </c>
      <c r="F958" s="178">
        <v>5.57117643E8</v>
      </c>
      <c r="G958" s="177" t="s">
        <v>152</v>
      </c>
      <c r="H958" s="175" t="s">
        <v>27</v>
      </c>
      <c r="I958" s="179" t="s">
        <v>7667</v>
      </c>
      <c r="J958" s="177"/>
      <c r="K958" s="175" t="s">
        <v>36</v>
      </c>
      <c r="L958" s="180"/>
      <c r="M958" s="181" t="s">
        <v>208</v>
      </c>
      <c r="N958" s="175" t="s">
        <v>40</v>
      </c>
      <c r="O958" s="175" t="s">
        <v>42</v>
      </c>
      <c r="P958" s="177" t="s">
        <v>3566</v>
      </c>
      <c r="Q958" s="175" t="s">
        <v>44</v>
      </c>
      <c r="R958" s="175"/>
      <c r="S958" s="175"/>
      <c r="T958" s="180"/>
      <c r="U958" s="175"/>
      <c r="V958" s="175">
        <v>5.0</v>
      </c>
    </row>
    <row r="959">
      <c r="A959" s="175">
        <v>959.0</v>
      </c>
      <c r="B959" s="176">
        <v>46196.0</v>
      </c>
      <c r="C959" s="175" t="s">
        <v>58</v>
      </c>
      <c r="D959" s="175" t="s">
        <v>66</v>
      </c>
      <c r="E959" s="177"/>
      <c r="F959" s="178">
        <v>5.62868418E8</v>
      </c>
      <c r="G959" s="175"/>
      <c r="H959" s="175"/>
      <c r="I959" s="179" t="s">
        <v>7668</v>
      </c>
      <c r="J959" s="177" t="s">
        <v>7669</v>
      </c>
      <c r="K959" s="175" t="s">
        <v>62</v>
      </c>
      <c r="L959" s="180"/>
      <c r="M959" s="181" t="s">
        <v>208</v>
      </c>
      <c r="N959" s="175" t="s">
        <v>40</v>
      </c>
      <c r="O959" s="175" t="s">
        <v>42</v>
      </c>
      <c r="P959" s="177" t="s">
        <v>3566</v>
      </c>
      <c r="Q959" s="175" t="s">
        <v>44</v>
      </c>
      <c r="R959" s="175"/>
      <c r="S959" s="175"/>
      <c r="T959" s="180"/>
      <c r="U959" s="175"/>
      <c r="V959" s="175">
        <v>5.0</v>
      </c>
    </row>
    <row r="960">
      <c r="A960" s="175">
        <v>960.0</v>
      </c>
      <c r="B960" s="176">
        <v>46197.0</v>
      </c>
      <c r="C960" s="175" t="s">
        <v>21</v>
      </c>
      <c r="D960" s="175" t="s">
        <v>22</v>
      </c>
      <c r="E960" s="177" t="s">
        <v>7670</v>
      </c>
      <c r="F960" s="178">
        <v>5.56644553E8</v>
      </c>
      <c r="G960" s="177" t="s">
        <v>362</v>
      </c>
      <c r="H960" s="175"/>
      <c r="I960" s="179" t="s">
        <v>7671</v>
      </c>
      <c r="J960" s="177"/>
      <c r="K960" s="175" t="s">
        <v>36</v>
      </c>
      <c r="L960" s="180"/>
      <c r="M960" s="181" t="s">
        <v>125</v>
      </c>
      <c r="N960" s="175" t="s">
        <v>40</v>
      </c>
      <c r="O960" s="175" t="s">
        <v>42</v>
      </c>
      <c r="P960" s="177" t="s">
        <v>3566</v>
      </c>
      <c r="Q960" s="175" t="s">
        <v>44</v>
      </c>
      <c r="R960" s="175" t="s">
        <v>46</v>
      </c>
      <c r="S960" s="175"/>
      <c r="T960" s="180"/>
      <c r="U960" s="175"/>
      <c r="V960" s="175">
        <v>5.0</v>
      </c>
    </row>
    <row r="961" ht="20.25" customHeight="1">
      <c r="A961" s="175">
        <v>961.0</v>
      </c>
      <c r="B961" s="176">
        <v>46197.0</v>
      </c>
      <c r="C961" s="175" t="s">
        <v>58</v>
      </c>
      <c r="D961" s="175" t="s">
        <v>60</v>
      </c>
      <c r="E961" s="175" t="s">
        <v>27</v>
      </c>
      <c r="F961" s="178">
        <v>5.61015755E8</v>
      </c>
      <c r="G961" s="177" t="s">
        <v>41</v>
      </c>
      <c r="H961" s="175"/>
      <c r="I961" s="179" t="s">
        <v>7672</v>
      </c>
      <c r="J961" s="177"/>
      <c r="K961" s="175" t="s">
        <v>36</v>
      </c>
      <c r="L961" s="180"/>
      <c r="M961" s="181" t="s">
        <v>88</v>
      </c>
      <c r="N961" s="175" t="s">
        <v>40</v>
      </c>
      <c r="O961" s="175" t="s">
        <v>42</v>
      </c>
      <c r="P961" s="177" t="s">
        <v>3566</v>
      </c>
      <c r="Q961" s="175" t="s">
        <v>49</v>
      </c>
      <c r="R961" s="175"/>
      <c r="S961" s="175"/>
      <c r="T961" s="180"/>
      <c r="U961" s="175"/>
      <c r="V961" s="175">
        <v>5.0</v>
      </c>
    </row>
    <row r="962">
      <c r="A962" s="175">
        <v>962.0</v>
      </c>
      <c r="B962" s="176">
        <v>46197.0</v>
      </c>
      <c r="C962" s="175" t="s">
        <v>21</v>
      </c>
      <c r="D962" s="175" t="s">
        <v>24</v>
      </c>
      <c r="E962" s="177" t="s">
        <v>7673</v>
      </c>
      <c r="F962" s="178">
        <v>5.05126858E8</v>
      </c>
      <c r="G962" s="177" t="s">
        <v>71</v>
      </c>
      <c r="H962" s="175"/>
      <c r="I962" s="179" t="s">
        <v>7674</v>
      </c>
      <c r="J962" s="177"/>
      <c r="K962" s="175" t="s">
        <v>36</v>
      </c>
      <c r="L962" s="180"/>
      <c r="M962" s="177" t="s">
        <v>38</v>
      </c>
      <c r="N962" s="175" t="s">
        <v>56</v>
      </c>
      <c r="O962" s="175" t="s">
        <v>42</v>
      </c>
      <c r="P962" s="177" t="s">
        <v>3566</v>
      </c>
      <c r="Q962" s="175" t="s">
        <v>44</v>
      </c>
      <c r="R962" s="175" t="s">
        <v>46</v>
      </c>
      <c r="S962" s="175"/>
      <c r="T962" s="180"/>
      <c r="U962" s="175"/>
      <c r="V962" s="175">
        <v>5.0</v>
      </c>
    </row>
    <row r="963">
      <c r="A963" s="175">
        <v>963.0</v>
      </c>
      <c r="B963" s="176">
        <v>46197.0</v>
      </c>
      <c r="C963" s="175" t="s">
        <v>58</v>
      </c>
      <c r="D963" s="175" t="s">
        <v>60</v>
      </c>
      <c r="E963" s="177"/>
      <c r="F963" s="178">
        <v>5.61015755E8</v>
      </c>
      <c r="G963" s="175"/>
      <c r="H963" s="175"/>
      <c r="I963" s="179" t="s">
        <v>1945</v>
      </c>
      <c r="J963" s="177"/>
      <c r="K963" s="175" t="s">
        <v>36</v>
      </c>
      <c r="L963" s="180"/>
      <c r="M963" s="181" t="s">
        <v>88</v>
      </c>
      <c r="N963" s="175" t="s">
        <v>40</v>
      </c>
      <c r="O963" s="175" t="s">
        <v>42</v>
      </c>
      <c r="P963" s="177" t="s">
        <v>3566</v>
      </c>
      <c r="Q963" s="175" t="s">
        <v>44</v>
      </c>
      <c r="R963" s="175"/>
      <c r="S963" s="175"/>
      <c r="T963" s="180"/>
      <c r="U963" s="175"/>
      <c r="V963" s="175">
        <v>5.0</v>
      </c>
    </row>
    <row r="964">
      <c r="A964" s="175">
        <v>964.0</v>
      </c>
      <c r="B964" s="176">
        <v>46197.0</v>
      </c>
      <c r="C964" s="175" t="s">
        <v>47</v>
      </c>
      <c r="D964" s="175" t="s">
        <v>48</v>
      </c>
      <c r="E964" s="177" t="s">
        <v>7675</v>
      </c>
      <c r="F964" s="178">
        <v>5.61390548E8</v>
      </c>
      <c r="G964" s="177" t="s">
        <v>41</v>
      </c>
      <c r="H964" s="175" t="s">
        <v>914</v>
      </c>
      <c r="I964" s="179" t="s">
        <v>7676</v>
      </c>
      <c r="J964" s="177"/>
      <c r="K964" s="175" t="s">
        <v>62</v>
      </c>
      <c r="L964" s="180"/>
      <c r="M964" s="177" t="s">
        <v>611</v>
      </c>
      <c r="N964" s="175" t="s">
        <v>40</v>
      </c>
      <c r="O964" s="175" t="s">
        <v>518</v>
      </c>
      <c r="P964" s="177" t="s">
        <v>3765</v>
      </c>
      <c r="Q964" s="175" t="s">
        <v>44</v>
      </c>
      <c r="R964" s="175" t="s">
        <v>46</v>
      </c>
      <c r="S964" s="175"/>
      <c r="T964" s="180"/>
      <c r="U964" s="175"/>
      <c r="V964" s="175">
        <v>5.0</v>
      </c>
    </row>
    <row r="965" ht="32.25" customHeight="1">
      <c r="A965" s="175">
        <v>965.0</v>
      </c>
      <c r="B965" s="176">
        <v>46197.0</v>
      </c>
      <c r="C965" s="175" t="s">
        <v>47</v>
      </c>
      <c r="D965" s="175" t="s">
        <v>24</v>
      </c>
      <c r="E965" s="177" t="s">
        <v>7677</v>
      </c>
      <c r="F965" s="178">
        <v>5.49777758E8</v>
      </c>
      <c r="G965" s="177" t="s">
        <v>333</v>
      </c>
      <c r="H965" s="175" t="s">
        <v>650</v>
      </c>
      <c r="I965" s="368" t="s">
        <v>7678</v>
      </c>
      <c r="J965" s="177" t="s">
        <v>7679</v>
      </c>
      <c r="K965" s="175" t="s">
        <v>62</v>
      </c>
      <c r="L965" s="180"/>
      <c r="M965" s="177" t="s">
        <v>55</v>
      </c>
      <c r="N965" s="175" t="s">
        <v>56</v>
      </c>
      <c r="O965" s="175" t="s">
        <v>42</v>
      </c>
      <c r="P965" s="177" t="s">
        <v>3566</v>
      </c>
      <c r="Q965" s="175" t="s">
        <v>44</v>
      </c>
      <c r="R965" s="175"/>
      <c r="S965" s="175"/>
      <c r="T965" s="180"/>
      <c r="U965" s="175"/>
      <c r="V965" s="175">
        <v>5.0</v>
      </c>
    </row>
    <row r="966">
      <c r="A966" s="175">
        <v>966.0</v>
      </c>
      <c r="B966" s="176">
        <v>46197.0</v>
      </c>
      <c r="C966" s="175" t="s">
        <v>58</v>
      </c>
      <c r="D966" s="175" t="s">
        <v>22</v>
      </c>
      <c r="E966" s="177" t="s">
        <v>4856</v>
      </c>
      <c r="F966" s="456">
        <v>5.68030565E8</v>
      </c>
      <c r="G966" s="457" t="s">
        <v>28</v>
      </c>
      <c r="H966" s="175" t="s">
        <v>27</v>
      </c>
      <c r="I966" s="179" t="s">
        <v>7680</v>
      </c>
      <c r="J966" s="177"/>
      <c r="K966" s="175" t="s">
        <v>62</v>
      </c>
      <c r="L966" s="180"/>
      <c r="M966" s="177" t="s">
        <v>88</v>
      </c>
      <c r="N966" s="175" t="s">
        <v>40</v>
      </c>
      <c r="O966" s="175" t="s">
        <v>42</v>
      </c>
      <c r="P966" s="177" t="s">
        <v>3566</v>
      </c>
      <c r="Q966" s="175" t="s">
        <v>44</v>
      </c>
      <c r="R966" s="175"/>
      <c r="S966" s="175"/>
      <c r="T966" s="180"/>
      <c r="U966" s="175"/>
      <c r="V966" s="175">
        <v>5.0</v>
      </c>
    </row>
    <row r="967">
      <c r="A967" s="175">
        <v>967.0</v>
      </c>
      <c r="B967" s="176">
        <v>46197.0</v>
      </c>
      <c r="C967" s="175" t="s">
        <v>21</v>
      </c>
      <c r="D967" s="175" t="s">
        <v>66</v>
      </c>
      <c r="E967" s="177" t="s">
        <v>7681</v>
      </c>
      <c r="F967" s="178">
        <v>5.33181152E8</v>
      </c>
      <c r="G967" s="175"/>
      <c r="H967" s="175" t="s">
        <v>27</v>
      </c>
      <c r="I967" s="179" t="s">
        <v>7682</v>
      </c>
      <c r="J967" s="177"/>
      <c r="K967" s="175" t="s">
        <v>62</v>
      </c>
      <c r="L967" s="180"/>
      <c r="M967" s="181" t="s">
        <v>208</v>
      </c>
      <c r="N967" s="175" t="s">
        <v>40</v>
      </c>
      <c r="O967" s="175" t="s">
        <v>42</v>
      </c>
      <c r="P967" s="177" t="s">
        <v>3566</v>
      </c>
      <c r="Q967" s="175" t="s">
        <v>44</v>
      </c>
      <c r="R967" s="175"/>
      <c r="S967" s="175"/>
      <c r="T967" s="180"/>
      <c r="U967" s="175"/>
      <c r="V967" s="175">
        <v>5.0</v>
      </c>
    </row>
    <row r="968">
      <c r="A968" s="175">
        <v>968.0</v>
      </c>
      <c r="B968" s="176">
        <v>46197.0</v>
      </c>
      <c r="C968" s="175" t="s">
        <v>21</v>
      </c>
      <c r="D968" s="175" t="s">
        <v>22</v>
      </c>
      <c r="E968" s="177" t="s">
        <v>7683</v>
      </c>
      <c r="F968" s="178">
        <v>5.55700021E8</v>
      </c>
      <c r="G968" s="177" t="s">
        <v>41</v>
      </c>
      <c r="H968" s="175" t="s">
        <v>27</v>
      </c>
      <c r="I968" s="179" t="s">
        <v>7684</v>
      </c>
      <c r="J968" s="177"/>
      <c r="K968" s="175" t="s">
        <v>62</v>
      </c>
      <c r="L968" s="180"/>
      <c r="M968" s="181" t="s">
        <v>125</v>
      </c>
      <c r="N968" s="175" t="s">
        <v>40</v>
      </c>
      <c r="O968" s="175" t="s">
        <v>42</v>
      </c>
      <c r="P968" s="177" t="s">
        <v>3566</v>
      </c>
      <c r="Q968" s="175" t="s">
        <v>44</v>
      </c>
      <c r="R968" s="175" t="s">
        <v>46</v>
      </c>
      <c r="S968" s="175"/>
      <c r="T968" s="180"/>
      <c r="U968" s="175"/>
      <c r="V968" s="175">
        <v>5.0</v>
      </c>
    </row>
    <row r="969">
      <c r="A969" s="175">
        <v>969.0</v>
      </c>
      <c r="B969" s="176">
        <v>46197.0</v>
      </c>
      <c r="C969" s="175" t="s">
        <v>47</v>
      </c>
      <c r="D969" s="175" t="s">
        <v>48</v>
      </c>
      <c r="E969" s="177" t="s">
        <v>7685</v>
      </c>
      <c r="F969" s="178">
        <v>5.32775858E8</v>
      </c>
      <c r="G969" s="177" t="s">
        <v>211</v>
      </c>
      <c r="H969" s="175" t="s">
        <v>97</v>
      </c>
      <c r="I969" s="179" t="s">
        <v>7686</v>
      </c>
      <c r="J969" s="177"/>
      <c r="K969" s="175" t="s">
        <v>62</v>
      </c>
      <c r="L969" s="180"/>
      <c r="M969" s="177" t="s">
        <v>611</v>
      </c>
      <c r="N969" s="175" t="s">
        <v>40</v>
      </c>
      <c r="O969" s="175" t="s">
        <v>518</v>
      </c>
      <c r="P969" s="177" t="s">
        <v>3765</v>
      </c>
      <c r="Q969" s="175" t="s">
        <v>44</v>
      </c>
      <c r="R969" s="175" t="s">
        <v>46</v>
      </c>
      <c r="S969" s="175"/>
      <c r="T969" s="180"/>
      <c r="U969" s="175"/>
      <c r="V969" s="175">
        <v>5.0</v>
      </c>
    </row>
    <row r="970">
      <c r="A970" s="175">
        <v>970.0</v>
      </c>
      <c r="B970" s="176">
        <v>46197.0</v>
      </c>
      <c r="C970" s="175" t="s">
        <v>58</v>
      </c>
      <c r="D970" s="175" t="s">
        <v>60</v>
      </c>
      <c r="E970" s="175" t="s">
        <v>27</v>
      </c>
      <c r="F970" s="178">
        <v>5.31998088E8</v>
      </c>
      <c r="G970" s="175" t="s">
        <v>27</v>
      </c>
      <c r="H970" s="175" t="s">
        <v>27</v>
      </c>
      <c r="I970" s="179" t="s">
        <v>7687</v>
      </c>
      <c r="J970" s="177"/>
      <c r="K970" s="175" t="s">
        <v>62</v>
      </c>
      <c r="L970" s="180"/>
      <c r="M970" s="181" t="s">
        <v>38</v>
      </c>
      <c r="N970" s="175" t="s">
        <v>40</v>
      </c>
      <c r="O970" s="175" t="s">
        <v>42</v>
      </c>
      <c r="P970" s="177" t="s">
        <v>3566</v>
      </c>
      <c r="Q970" s="175" t="s">
        <v>44</v>
      </c>
      <c r="R970" s="175"/>
      <c r="S970" s="175"/>
      <c r="T970" s="180"/>
      <c r="U970" s="175"/>
      <c r="V970" s="175">
        <v>5.0</v>
      </c>
    </row>
    <row r="971">
      <c r="A971" s="175">
        <v>971.0</v>
      </c>
      <c r="B971" s="176">
        <v>46197.0</v>
      </c>
      <c r="C971" s="175" t="s">
        <v>58</v>
      </c>
      <c r="D971" s="175" t="s">
        <v>60</v>
      </c>
      <c r="E971" s="175" t="s">
        <v>27</v>
      </c>
      <c r="F971" s="178">
        <v>7.72022056E8</v>
      </c>
      <c r="G971" s="175" t="s">
        <v>27</v>
      </c>
      <c r="H971" s="175" t="s">
        <v>27</v>
      </c>
      <c r="I971" s="179" t="s">
        <v>7688</v>
      </c>
      <c r="J971" s="177"/>
      <c r="K971" s="175" t="s">
        <v>62</v>
      </c>
      <c r="L971" s="180"/>
      <c r="M971" s="181" t="s">
        <v>38</v>
      </c>
      <c r="N971" s="175" t="s">
        <v>40</v>
      </c>
      <c r="O971" s="175" t="s">
        <v>42</v>
      </c>
      <c r="P971" s="177" t="s">
        <v>3566</v>
      </c>
      <c r="Q971" s="175" t="s">
        <v>44</v>
      </c>
      <c r="R971" s="175"/>
      <c r="S971" s="175"/>
      <c r="T971" s="180"/>
      <c r="U971" s="175"/>
      <c r="V971" s="175">
        <v>5.0</v>
      </c>
    </row>
    <row r="972">
      <c r="A972" s="175">
        <v>972.0</v>
      </c>
      <c r="B972" s="176">
        <v>46197.0</v>
      </c>
      <c r="C972" s="175" t="s">
        <v>58</v>
      </c>
      <c r="D972" s="175" t="s">
        <v>60</v>
      </c>
      <c r="E972" s="175" t="s">
        <v>27</v>
      </c>
      <c r="F972" s="178">
        <v>5.33342365E8</v>
      </c>
      <c r="G972" s="175" t="s">
        <v>27</v>
      </c>
      <c r="H972" s="175" t="s">
        <v>27</v>
      </c>
      <c r="I972" s="179" t="s">
        <v>7689</v>
      </c>
      <c r="J972" s="177"/>
      <c r="K972" s="175" t="s">
        <v>62</v>
      </c>
      <c r="L972" s="180"/>
      <c r="M972" s="181" t="s">
        <v>38</v>
      </c>
      <c r="N972" s="175" t="s">
        <v>40</v>
      </c>
      <c r="O972" s="175" t="s">
        <v>42</v>
      </c>
      <c r="P972" s="177" t="s">
        <v>3566</v>
      </c>
      <c r="Q972" s="175" t="s">
        <v>44</v>
      </c>
      <c r="R972" s="175"/>
      <c r="S972" s="175"/>
      <c r="T972" s="180"/>
      <c r="U972" s="175"/>
      <c r="V972" s="175">
        <v>5.0</v>
      </c>
    </row>
    <row r="973">
      <c r="A973" s="175">
        <v>973.0</v>
      </c>
      <c r="B973" s="176">
        <v>46197.0</v>
      </c>
      <c r="C973" s="175" t="s">
        <v>21</v>
      </c>
      <c r="D973" s="175" t="s">
        <v>24</v>
      </c>
      <c r="E973" s="175" t="s">
        <v>7690</v>
      </c>
      <c r="F973" s="178">
        <v>5.07726874E8</v>
      </c>
      <c r="G973" s="177" t="s">
        <v>318</v>
      </c>
      <c r="H973" s="175"/>
      <c r="I973" s="289" t="s">
        <v>7691</v>
      </c>
      <c r="J973" s="177"/>
      <c r="K973" s="175" t="s">
        <v>62</v>
      </c>
      <c r="L973" s="180"/>
      <c r="M973" s="177" t="s">
        <v>38</v>
      </c>
      <c r="N973" s="175" t="s">
        <v>56</v>
      </c>
      <c r="O973" s="175" t="s">
        <v>42</v>
      </c>
      <c r="P973" s="177" t="s">
        <v>3566</v>
      </c>
      <c r="Q973" s="175" t="s">
        <v>44</v>
      </c>
      <c r="R973" s="175" t="s">
        <v>46</v>
      </c>
      <c r="S973" s="175"/>
      <c r="T973" s="180"/>
      <c r="U973" s="175"/>
      <c r="V973" s="175">
        <v>5.0</v>
      </c>
    </row>
    <row r="974">
      <c r="A974" s="175">
        <v>974.0</v>
      </c>
      <c r="B974" s="176">
        <v>46197.0</v>
      </c>
      <c r="C974" s="175" t="s">
        <v>21</v>
      </c>
      <c r="D974" s="175" t="s">
        <v>48</v>
      </c>
      <c r="E974" s="177" t="s">
        <v>7692</v>
      </c>
      <c r="F974" s="178">
        <v>5.03935304E8</v>
      </c>
      <c r="G974" s="175" t="s">
        <v>27</v>
      </c>
      <c r="H974" s="175" t="s">
        <v>27</v>
      </c>
      <c r="I974" s="179" t="s">
        <v>7693</v>
      </c>
      <c r="J974" s="177"/>
      <c r="K974" s="175" t="s">
        <v>36</v>
      </c>
      <c r="L974" s="180"/>
      <c r="M974" s="177" t="s">
        <v>38</v>
      </c>
      <c r="N974" s="175" t="s">
        <v>40</v>
      </c>
      <c r="O974" s="175" t="s">
        <v>42</v>
      </c>
      <c r="P974" s="177" t="s">
        <v>3566</v>
      </c>
      <c r="Q974" s="175" t="s">
        <v>44</v>
      </c>
      <c r="R974" s="175"/>
      <c r="S974" s="175"/>
      <c r="T974" s="180"/>
      <c r="U974" s="175"/>
      <c r="V974" s="175">
        <v>5.0</v>
      </c>
    </row>
    <row r="975">
      <c r="A975" s="175">
        <v>975.0</v>
      </c>
      <c r="B975" s="176">
        <v>46197.0</v>
      </c>
      <c r="C975" s="175" t="s">
        <v>47</v>
      </c>
      <c r="D975" s="175" t="s">
        <v>48</v>
      </c>
      <c r="E975" s="177" t="s">
        <v>7694</v>
      </c>
      <c r="F975" s="178" t="s">
        <v>27</v>
      </c>
      <c r="G975" s="177" t="s">
        <v>41</v>
      </c>
      <c r="H975" s="175" t="s">
        <v>513</v>
      </c>
      <c r="I975" s="179" t="s">
        <v>7695</v>
      </c>
      <c r="J975" s="27" t="s">
        <v>7696</v>
      </c>
      <c r="K975" s="175" t="s">
        <v>78</v>
      </c>
      <c r="L975" s="180"/>
      <c r="M975" s="201" t="s">
        <v>4232</v>
      </c>
      <c r="N975" s="175" t="s">
        <v>56</v>
      </c>
      <c r="O975" s="175" t="s">
        <v>518</v>
      </c>
      <c r="P975" s="177" t="s">
        <v>3765</v>
      </c>
      <c r="Q975" s="175" t="s">
        <v>49</v>
      </c>
      <c r="R975" s="175" t="s">
        <v>46</v>
      </c>
      <c r="S975" s="175"/>
      <c r="T975" s="180"/>
      <c r="U975" s="175"/>
      <c r="V975" s="175">
        <v>5.0</v>
      </c>
    </row>
    <row r="976">
      <c r="A976" s="175">
        <v>976.0</v>
      </c>
      <c r="B976" s="176">
        <v>46197.0</v>
      </c>
      <c r="C976" s="175" t="s">
        <v>47</v>
      </c>
      <c r="D976" s="175" t="s">
        <v>48</v>
      </c>
      <c r="E976" s="458" t="s">
        <v>7697</v>
      </c>
      <c r="F976" s="178" t="s">
        <v>27</v>
      </c>
      <c r="G976" s="177" t="s">
        <v>41</v>
      </c>
      <c r="H976" s="175" t="s">
        <v>956</v>
      </c>
      <c r="I976" s="179" t="s">
        <v>7698</v>
      </c>
      <c r="J976" s="27" t="s">
        <v>7699</v>
      </c>
      <c r="K976" s="175" t="s">
        <v>78</v>
      </c>
      <c r="L976" s="180"/>
      <c r="M976" s="177" t="s">
        <v>101</v>
      </c>
      <c r="N976" s="175" t="s">
        <v>56</v>
      </c>
      <c r="O976" s="175" t="s">
        <v>518</v>
      </c>
      <c r="P976" s="177" t="s">
        <v>3765</v>
      </c>
      <c r="Q976" s="175" t="s">
        <v>49</v>
      </c>
      <c r="R976" s="175" t="s">
        <v>46</v>
      </c>
      <c r="S976" s="175"/>
      <c r="T976" s="180"/>
      <c r="U976" s="175"/>
      <c r="V976" s="175">
        <v>5.0</v>
      </c>
    </row>
    <row r="977">
      <c r="A977" s="175">
        <v>977.0</v>
      </c>
      <c r="B977" s="176">
        <v>46197.0</v>
      </c>
      <c r="C977" s="175" t="s">
        <v>47</v>
      </c>
      <c r="D977" s="175" t="s">
        <v>92</v>
      </c>
      <c r="E977" s="349" t="s">
        <v>7700</v>
      </c>
      <c r="F977" s="178" t="s">
        <v>27</v>
      </c>
      <c r="G977" s="177" t="s">
        <v>71</v>
      </c>
      <c r="H977" s="175" t="s">
        <v>337</v>
      </c>
      <c r="I977" s="179" t="s">
        <v>7701</v>
      </c>
      <c r="J977" s="177"/>
      <c r="K977" s="175" t="s">
        <v>78</v>
      </c>
      <c r="L977" s="180"/>
      <c r="M977" s="275" t="s">
        <v>101</v>
      </c>
      <c r="N977" s="175" t="s">
        <v>40</v>
      </c>
      <c r="O977" s="175" t="s">
        <v>518</v>
      </c>
      <c r="P977" s="177" t="s">
        <v>3765</v>
      </c>
      <c r="Q977" s="175" t="s">
        <v>49</v>
      </c>
      <c r="R977" s="175" t="s">
        <v>46</v>
      </c>
      <c r="S977" s="175"/>
      <c r="T977" s="180"/>
      <c r="U977" s="175"/>
      <c r="V977" s="175">
        <v>5.0</v>
      </c>
    </row>
    <row r="978">
      <c r="A978" s="175">
        <v>978.0</v>
      </c>
      <c r="B978" s="176">
        <v>46197.0</v>
      </c>
      <c r="C978" s="175" t="s">
        <v>21</v>
      </c>
      <c r="D978" s="175" t="s">
        <v>22</v>
      </c>
      <c r="E978" s="177" t="s">
        <v>7702</v>
      </c>
      <c r="F978" s="178">
        <v>5.00003705E8</v>
      </c>
      <c r="G978" s="177" t="s">
        <v>999</v>
      </c>
      <c r="H978" s="175" t="s">
        <v>27</v>
      </c>
      <c r="I978" s="179" t="s">
        <v>7703</v>
      </c>
      <c r="J978" s="177"/>
      <c r="K978" s="175" t="s">
        <v>36</v>
      </c>
      <c r="L978" s="180"/>
      <c r="M978" s="181" t="s">
        <v>125</v>
      </c>
      <c r="N978" s="175" t="s">
        <v>40</v>
      </c>
      <c r="O978" s="175" t="s">
        <v>42</v>
      </c>
      <c r="P978" s="177" t="s">
        <v>3566</v>
      </c>
      <c r="Q978" s="175" t="s">
        <v>49</v>
      </c>
      <c r="R978" s="175"/>
      <c r="S978" s="175"/>
      <c r="T978" s="180"/>
      <c r="U978" s="175"/>
      <c r="V978" s="175">
        <v>5.0</v>
      </c>
    </row>
    <row r="979">
      <c r="A979" s="175">
        <v>979.0</v>
      </c>
      <c r="B979" s="176">
        <v>46197.0</v>
      </c>
      <c r="C979" s="175" t="s">
        <v>21</v>
      </c>
      <c r="D979" s="175" t="s">
        <v>34</v>
      </c>
      <c r="E979" s="175" t="s">
        <v>27</v>
      </c>
      <c r="F979" s="178">
        <v>5.42367457E8</v>
      </c>
      <c r="G979" s="177" t="s">
        <v>41</v>
      </c>
      <c r="H979" s="175" t="s">
        <v>27</v>
      </c>
      <c r="I979" s="179" t="s">
        <v>298</v>
      </c>
      <c r="J979" s="177"/>
      <c r="K979" s="175" t="s">
        <v>36</v>
      </c>
      <c r="L979" s="180"/>
      <c r="M979" s="181" t="s">
        <v>51</v>
      </c>
      <c r="N979" s="175" t="s">
        <v>40</v>
      </c>
      <c r="O979" s="175" t="s">
        <v>42</v>
      </c>
      <c r="P979" s="177" t="s">
        <v>3566</v>
      </c>
      <c r="Q979" s="175" t="s">
        <v>49</v>
      </c>
      <c r="R979" s="175"/>
      <c r="S979" s="175"/>
      <c r="T979" s="180"/>
      <c r="U979" s="175"/>
      <c r="V979" s="175">
        <v>5.0</v>
      </c>
    </row>
    <row r="980">
      <c r="A980" s="175">
        <v>980.0</v>
      </c>
      <c r="B980" s="176">
        <v>46197.0</v>
      </c>
      <c r="C980" s="175" t="s">
        <v>47</v>
      </c>
      <c r="D980" s="175" t="s">
        <v>24</v>
      </c>
      <c r="E980" s="177" t="s">
        <v>7704</v>
      </c>
      <c r="F980" s="178">
        <v>5.40958267E8</v>
      </c>
      <c r="G980" s="177" t="s">
        <v>41</v>
      </c>
      <c r="H980" s="175" t="s">
        <v>97</v>
      </c>
      <c r="I980" s="179" t="s">
        <v>7705</v>
      </c>
      <c r="J980" s="177"/>
      <c r="K980" s="175" t="s">
        <v>36</v>
      </c>
      <c r="L980" s="180"/>
      <c r="M980" s="177" t="s">
        <v>55</v>
      </c>
      <c r="N980" s="175" t="s">
        <v>56</v>
      </c>
      <c r="O980" s="175" t="s">
        <v>42</v>
      </c>
      <c r="P980" s="177" t="s">
        <v>3566</v>
      </c>
      <c r="Q980" s="175" t="s">
        <v>49</v>
      </c>
      <c r="R980" s="175"/>
      <c r="S980" s="175"/>
      <c r="T980" s="180"/>
      <c r="U980" s="175"/>
      <c r="V980" s="175">
        <v>5.0</v>
      </c>
    </row>
    <row r="981">
      <c r="A981" s="175">
        <v>981.0</v>
      </c>
      <c r="B981" s="176">
        <v>46197.0</v>
      </c>
      <c r="C981" s="175" t="s">
        <v>21</v>
      </c>
      <c r="D981" s="175" t="s">
        <v>22</v>
      </c>
      <c r="E981" s="177" t="s">
        <v>7706</v>
      </c>
      <c r="F981" s="178">
        <v>5.35403666E8</v>
      </c>
      <c r="G981" s="177" t="s">
        <v>3000</v>
      </c>
      <c r="H981" s="175" t="s">
        <v>27</v>
      </c>
      <c r="I981" s="179" t="s">
        <v>7707</v>
      </c>
      <c r="J981" s="177"/>
      <c r="K981" s="175" t="s">
        <v>36</v>
      </c>
      <c r="L981" s="180"/>
      <c r="M981" s="177" t="s">
        <v>38</v>
      </c>
      <c r="N981" s="175" t="s">
        <v>40</v>
      </c>
      <c r="O981" s="175" t="s">
        <v>42</v>
      </c>
      <c r="P981" s="177" t="s">
        <v>3566</v>
      </c>
      <c r="Q981" s="175" t="s">
        <v>44</v>
      </c>
      <c r="R981" s="175" t="s">
        <v>46</v>
      </c>
      <c r="S981" s="175"/>
      <c r="T981" s="180"/>
      <c r="U981" s="175"/>
      <c r="V981" s="175">
        <v>5.0</v>
      </c>
    </row>
    <row r="982">
      <c r="A982" s="175">
        <v>982.0</v>
      </c>
      <c r="B982" s="176">
        <v>46197.0</v>
      </c>
      <c r="C982" s="175" t="s">
        <v>47</v>
      </c>
      <c r="D982" s="175" t="s">
        <v>138</v>
      </c>
      <c r="E982" s="175" t="s">
        <v>7708</v>
      </c>
      <c r="F982" s="178">
        <v>5.52115615E8</v>
      </c>
      <c r="G982" s="177" t="s">
        <v>28</v>
      </c>
      <c r="H982" s="175" t="s">
        <v>830</v>
      </c>
      <c r="I982" s="179" t="s">
        <v>7709</v>
      </c>
      <c r="J982" s="177" t="s">
        <v>7710</v>
      </c>
      <c r="K982" s="175" t="s">
        <v>148</v>
      </c>
      <c r="L982" s="180"/>
      <c r="M982" s="184" t="s">
        <v>183</v>
      </c>
      <c r="N982" s="175" t="s">
        <v>40</v>
      </c>
      <c r="O982" s="175" t="s">
        <v>518</v>
      </c>
      <c r="P982" s="177" t="s">
        <v>3566</v>
      </c>
      <c r="Q982" s="175" t="s">
        <v>44</v>
      </c>
      <c r="R982" s="175" t="s">
        <v>46</v>
      </c>
      <c r="S982" s="175"/>
      <c r="T982" s="180"/>
      <c r="U982" s="175"/>
      <c r="V982" s="175">
        <v>5.0</v>
      </c>
    </row>
    <row r="983">
      <c r="A983" s="175">
        <v>983.0</v>
      </c>
      <c r="B983" s="176">
        <v>46197.0</v>
      </c>
      <c r="C983" s="175" t="s">
        <v>47</v>
      </c>
      <c r="D983" s="175" t="s">
        <v>138</v>
      </c>
      <c r="E983" s="177" t="s">
        <v>922</v>
      </c>
      <c r="F983" s="178">
        <v>5.31595312E8</v>
      </c>
      <c r="G983" s="177" t="s">
        <v>362</v>
      </c>
      <c r="H983" s="175" t="s">
        <v>1029</v>
      </c>
      <c r="I983" s="179" t="s">
        <v>7711</v>
      </c>
      <c r="J983" s="177" t="s">
        <v>7712</v>
      </c>
      <c r="K983" s="175" t="s">
        <v>148</v>
      </c>
      <c r="L983" s="180"/>
      <c r="M983" s="184" t="s">
        <v>183</v>
      </c>
      <c r="N983" s="175" t="s">
        <v>56</v>
      </c>
      <c r="O983" s="175" t="s">
        <v>518</v>
      </c>
      <c r="P983" s="177" t="s">
        <v>3566</v>
      </c>
      <c r="Q983" s="175" t="s">
        <v>44</v>
      </c>
      <c r="R983" s="175" t="s">
        <v>46</v>
      </c>
      <c r="S983" s="175"/>
      <c r="T983" s="180"/>
      <c r="U983" s="175"/>
      <c r="V983" s="175">
        <v>5.0</v>
      </c>
    </row>
    <row r="984">
      <c r="A984" s="175">
        <v>984.0</v>
      </c>
      <c r="B984" s="176">
        <v>46197.0</v>
      </c>
      <c r="C984" s="175" t="s">
        <v>47</v>
      </c>
      <c r="D984" s="175" t="s">
        <v>92</v>
      </c>
      <c r="E984" s="175" t="s">
        <v>7713</v>
      </c>
      <c r="F984" s="178">
        <v>5.45523105E8</v>
      </c>
      <c r="G984" s="177" t="s">
        <v>3774</v>
      </c>
      <c r="H984" s="175" t="s">
        <v>7714</v>
      </c>
      <c r="I984" s="179" t="s">
        <v>7715</v>
      </c>
      <c r="J984" s="177"/>
      <c r="K984" s="175" t="s">
        <v>148</v>
      </c>
      <c r="L984" s="180"/>
      <c r="M984" s="275" t="s">
        <v>101</v>
      </c>
      <c r="N984" s="175" t="s">
        <v>40</v>
      </c>
      <c r="O984" s="175" t="s">
        <v>518</v>
      </c>
      <c r="P984" s="177" t="s">
        <v>3765</v>
      </c>
      <c r="Q984" s="175" t="s">
        <v>44</v>
      </c>
      <c r="R984" s="175" t="s">
        <v>46</v>
      </c>
      <c r="S984" s="175"/>
      <c r="T984" s="180"/>
      <c r="U984" s="175"/>
      <c r="V984" s="175">
        <v>5.0</v>
      </c>
    </row>
    <row r="985">
      <c r="A985" s="175">
        <v>985.0</v>
      </c>
      <c r="B985" s="176">
        <v>46197.0</v>
      </c>
      <c r="C985" s="175" t="s">
        <v>47</v>
      </c>
      <c r="D985" s="175" t="s">
        <v>92</v>
      </c>
      <c r="E985" s="177" t="s">
        <v>1260</v>
      </c>
      <c r="F985" s="178">
        <v>5.00027458E8</v>
      </c>
      <c r="G985" s="177" t="s">
        <v>152</v>
      </c>
      <c r="H985" s="175" t="s">
        <v>3958</v>
      </c>
      <c r="I985" s="179" t="s">
        <v>7716</v>
      </c>
      <c r="J985" s="177"/>
      <c r="K985" s="175" t="s">
        <v>148</v>
      </c>
      <c r="L985" s="180"/>
      <c r="M985" s="27" t="s">
        <v>183</v>
      </c>
      <c r="N985" s="175" t="s">
        <v>40</v>
      </c>
      <c r="O985" s="175" t="s">
        <v>518</v>
      </c>
      <c r="P985" s="177" t="s">
        <v>3765</v>
      </c>
      <c r="Q985" s="175" t="s">
        <v>44</v>
      </c>
      <c r="R985" s="175" t="s">
        <v>46</v>
      </c>
      <c r="S985" s="175"/>
      <c r="T985" s="180"/>
      <c r="U985" s="175"/>
      <c r="V985" s="175">
        <v>5.0</v>
      </c>
    </row>
    <row r="986">
      <c r="A986" s="175">
        <v>986.0</v>
      </c>
      <c r="B986" s="176">
        <v>46197.0</v>
      </c>
      <c r="C986" s="175" t="s">
        <v>47</v>
      </c>
      <c r="D986" s="175" t="s">
        <v>367</v>
      </c>
      <c r="E986" s="177" t="s">
        <v>7717</v>
      </c>
      <c r="F986" s="178">
        <v>5.00045405E8</v>
      </c>
      <c r="G986" s="177" t="s">
        <v>79</v>
      </c>
      <c r="H986" s="175" t="s">
        <v>142</v>
      </c>
      <c r="I986" s="179" t="s">
        <v>7718</v>
      </c>
      <c r="J986" s="177" t="s">
        <v>7719</v>
      </c>
      <c r="K986" s="175" t="s">
        <v>148</v>
      </c>
      <c r="L986" s="180"/>
      <c r="M986" s="232" t="s">
        <v>7720</v>
      </c>
      <c r="N986" s="175" t="s">
        <v>40</v>
      </c>
      <c r="O986" s="175" t="s">
        <v>42</v>
      </c>
      <c r="P986" s="177" t="s">
        <v>3566</v>
      </c>
      <c r="Q986" s="175" t="s">
        <v>44</v>
      </c>
      <c r="R986" s="175" t="s">
        <v>46</v>
      </c>
      <c r="S986" s="175"/>
      <c r="T986" s="180"/>
      <c r="U986" s="175"/>
      <c r="V986" s="175">
        <v>5.0</v>
      </c>
    </row>
    <row r="987">
      <c r="A987" s="175">
        <v>987.0</v>
      </c>
      <c r="B987" s="176">
        <v>46197.0</v>
      </c>
      <c r="C987" s="175" t="s">
        <v>21</v>
      </c>
      <c r="D987" s="175" t="s">
        <v>251</v>
      </c>
      <c r="E987" s="177" t="s">
        <v>7721</v>
      </c>
      <c r="F987" s="178">
        <v>5.44836544E8</v>
      </c>
      <c r="G987" s="177" t="s">
        <v>79</v>
      </c>
      <c r="H987" s="175" t="s">
        <v>487</v>
      </c>
      <c r="I987" s="179" t="s">
        <v>7722</v>
      </c>
      <c r="J987" s="177"/>
      <c r="K987" s="175" t="s">
        <v>148</v>
      </c>
      <c r="L987" s="180"/>
      <c r="M987" s="177" t="s">
        <v>38</v>
      </c>
      <c r="N987" s="175" t="s">
        <v>40</v>
      </c>
      <c r="O987" s="175" t="s">
        <v>42</v>
      </c>
      <c r="P987" s="177" t="s">
        <v>3566</v>
      </c>
      <c r="Q987" s="175" t="s">
        <v>44</v>
      </c>
      <c r="R987" s="175"/>
      <c r="S987" s="175"/>
      <c r="T987" s="180"/>
      <c r="U987" s="175"/>
      <c r="V987" s="175">
        <v>5.0</v>
      </c>
    </row>
    <row r="988">
      <c r="A988" s="175">
        <v>988.0</v>
      </c>
      <c r="B988" s="176">
        <v>46197.0</v>
      </c>
      <c r="C988" s="175" t="s">
        <v>47</v>
      </c>
      <c r="D988" s="175" t="s">
        <v>48</v>
      </c>
      <c r="E988" s="458" t="s">
        <v>7723</v>
      </c>
      <c r="F988" s="178" t="s">
        <v>27</v>
      </c>
      <c r="G988" s="177" t="s">
        <v>41</v>
      </c>
      <c r="H988" s="175" t="s">
        <v>97</v>
      </c>
      <c r="I988" s="179" t="s">
        <v>7724</v>
      </c>
      <c r="J988" s="177"/>
      <c r="K988" s="175" t="s">
        <v>78</v>
      </c>
      <c r="L988" s="180"/>
      <c r="M988" s="177" t="s">
        <v>3926</v>
      </c>
      <c r="N988" s="175" t="s">
        <v>40</v>
      </c>
      <c r="O988" s="175" t="s">
        <v>301</v>
      </c>
      <c r="P988" s="177" t="s">
        <v>3566</v>
      </c>
      <c r="Q988" s="175" t="s">
        <v>49</v>
      </c>
      <c r="R988" s="175" t="s">
        <v>46</v>
      </c>
      <c r="S988" s="175"/>
      <c r="T988" s="180"/>
      <c r="U988" s="175"/>
      <c r="V988" s="175">
        <v>5.0</v>
      </c>
    </row>
    <row r="989">
      <c r="A989" s="175">
        <v>989.0</v>
      </c>
      <c r="B989" s="176">
        <v>46197.0</v>
      </c>
      <c r="C989" s="175" t="s">
        <v>47</v>
      </c>
      <c r="D989" s="175" t="s">
        <v>48</v>
      </c>
      <c r="E989" s="349" t="s">
        <v>7725</v>
      </c>
      <c r="F989" s="178" t="s">
        <v>27</v>
      </c>
      <c r="G989" s="177" t="s">
        <v>2715</v>
      </c>
      <c r="H989" s="175" t="s">
        <v>2716</v>
      </c>
      <c r="I989" s="179" t="s">
        <v>7726</v>
      </c>
      <c r="J989" s="177"/>
      <c r="K989" s="175" t="s">
        <v>78</v>
      </c>
      <c r="L989" s="180"/>
      <c r="M989" s="177" t="s">
        <v>101</v>
      </c>
      <c r="N989" s="175" t="s">
        <v>40</v>
      </c>
      <c r="O989" s="175" t="s">
        <v>518</v>
      </c>
      <c r="P989" s="177" t="s">
        <v>3765</v>
      </c>
      <c r="Q989" s="175" t="s">
        <v>49</v>
      </c>
      <c r="R989" s="175" t="s">
        <v>46</v>
      </c>
      <c r="S989" s="175"/>
      <c r="T989" s="180"/>
      <c r="U989" s="175"/>
      <c r="V989" s="175">
        <v>5.0</v>
      </c>
    </row>
    <row r="990">
      <c r="A990" s="175">
        <v>990.0</v>
      </c>
      <c r="B990" s="176">
        <v>46197.0</v>
      </c>
      <c r="C990" s="175" t="s">
        <v>47</v>
      </c>
      <c r="D990" s="175" t="s">
        <v>48</v>
      </c>
      <c r="E990" s="175" t="s">
        <v>7727</v>
      </c>
      <c r="F990" s="178" t="s">
        <v>27</v>
      </c>
      <c r="G990" s="177" t="s">
        <v>71</v>
      </c>
      <c r="H990" s="175" t="s">
        <v>72</v>
      </c>
      <c r="I990" s="179" t="s">
        <v>7728</v>
      </c>
      <c r="J990" s="177"/>
      <c r="K990" s="175" t="s">
        <v>78</v>
      </c>
      <c r="L990" s="180"/>
      <c r="M990" s="177" t="s">
        <v>3926</v>
      </c>
      <c r="N990" s="175" t="s">
        <v>40</v>
      </c>
      <c r="O990" s="175" t="s">
        <v>301</v>
      </c>
      <c r="P990" s="177" t="s">
        <v>3566</v>
      </c>
      <c r="Q990" s="175" t="s">
        <v>49</v>
      </c>
      <c r="R990" s="175" t="s">
        <v>46</v>
      </c>
      <c r="S990" s="175"/>
      <c r="T990" s="180"/>
      <c r="U990" s="175"/>
      <c r="V990" s="175">
        <v>5.0</v>
      </c>
    </row>
    <row r="991">
      <c r="A991" s="175">
        <v>991.0</v>
      </c>
      <c r="B991" s="176">
        <v>46197.0</v>
      </c>
      <c r="C991" s="175" t="s">
        <v>47</v>
      </c>
      <c r="D991" s="175" t="s">
        <v>92</v>
      </c>
      <c r="E991" s="177" t="s">
        <v>108</v>
      </c>
      <c r="F991" s="178">
        <v>5.55165475E8</v>
      </c>
      <c r="G991" s="177" t="s">
        <v>71</v>
      </c>
      <c r="H991" s="175" t="s">
        <v>1801</v>
      </c>
      <c r="I991" s="179" t="s">
        <v>7729</v>
      </c>
      <c r="J991" s="177"/>
      <c r="K991" s="175" t="s">
        <v>148</v>
      </c>
      <c r="L991" s="180"/>
      <c r="M991" s="20" t="s">
        <v>1273</v>
      </c>
      <c r="N991" s="175" t="s">
        <v>40</v>
      </c>
      <c r="O991" s="175" t="s">
        <v>518</v>
      </c>
      <c r="P991" s="177" t="s">
        <v>3765</v>
      </c>
      <c r="Q991" s="175" t="s">
        <v>49</v>
      </c>
      <c r="R991" s="175" t="s">
        <v>46</v>
      </c>
      <c r="S991" s="175"/>
      <c r="T991" s="180"/>
      <c r="U991" s="175"/>
      <c r="V991" s="175">
        <v>5.0</v>
      </c>
    </row>
    <row r="992">
      <c r="A992" s="175">
        <v>992.0</v>
      </c>
      <c r="B992" s="176">
        <v>46197.0</v>
      </c>
      <c r="C992" s="175" t="s">
        <v>47</v>
      </c>
      <c r="D992" s="175" t="s">
        <v>48</v>
      </c>
      <c r="E992" s="175" t="s">
        <v>27</v>
      </c>
      <c r="F992" s="178" t="s">
        <v>27</v>
      </c>
      <c r="G992" s="177" t="s">
        <v>41</v>
      </c>
      <c r="H992" s="175" t="s">
        <v>146</v>
      </c>
      <c r="I992" s="179" t="s">
        <v>7730</v>
      </c>
      <c r="J992" s="365" t="s">
        <v>7731</v>
      </c>
      <c r="K992" s="175" t="s">
        <v>148</v>
      </c>
      <c r="L992" s="180"/>
      <c r="M992" s="177" t="s">
        <v>101</v>
      </c>
      <c r="N992" s="175" t="s">
        <v>56</v>
      </c>
      <c r="O992" s="175" t="s">
        <v>518</v>
      </c>
      <c r="P992" s="177" t="s">
        <v>3765</v>
      </c>
      <c r="Q992" s="175" t="s">
        <v>49</v>
      </c>
      <c r="R992" s="175" t="s">
        <v>46</v>
      </c>
      <c r="S992" s="175"/>
      <c r="T992" s="180"/>
      <c r="U992" s="175"/>
      <c r="V992" s="175">
        <v>5.0</v>
      </c>
    </row>
    <row r="993">
      <c r="A993" s="175">
        <v>993.0</v>
      </c>
      <c r="B993" s="176">
        <v>46197.0</v>
      </c>
      <c r="C993" s="175" t="s">
        <v>47</v>
      </c>
      <c r="D993" s="175" t="s">
        <v>48</v>
      </c>
      <c r="E993" s="175" t="s">
        <v>27</v>
      </c>
      <c r="F993" s="178" t="s">
        <v>27</v>
      </c>
      <c r="G993" s="177" t="s">
        <v>41</v>
      </c>
      <c r="H993" s="175" t="s">
        <v>914</v>
      </c>
      <c r="I993" s="179" t="s">
        <v>7732</v>
      </c>
      <c r="J993" s="27" t="s">
        <v>7731</v>
      </c>
      <c r="K993" s="175" t="s">
        <v>148</v>
      </c>
      <c r="L993" s="180"/>
      <c r="M993" s="177" t="s">
        <v>101</v>
      </c>
      <c r="N993" s="175" t="s">
        <v>56</v>
      </c>
      <c r="O993" s="175" t="s">
        <v>518</v>
      </c>
      <c r="P993" s="177" t="s">
        <v>3765</v>
      </c>
      <c r="Q993" s="175" t="s">
        <v>49</v>
      </c>
      <c r="R993" s="175" t="s">
        <v>46</v>
      </c>
      <c r="S993" s="175"/>
      <c r="T993" s="180"/>
      <c r="U993" s="175"/>
      <c r="V993" s="175">
        <v>5.0</v>
      </c>
    </row>
    <row r="994">
      <c r="A994" s="175">
        <v>994.0</v>
      </c>
      <c r="B994" s="176">
        <v>46197.0</v>
      </c>
      <c r="C994" s="175" t="s">
        <v>21</v>
      </c>
      <c r="D994" s="175" t="s">
        <v>24</v>
      </c>
      <c r="E994" s="177" t="s">
        <v>7733</v>
      </c>
      <c r="F994" s="459">
        <v>5.43270081E8</v>
      </c>
      <c r="G994" s="175"/>
      <c r="H994" s="175"/>
      <c r="I994" s="179" t="s">
        <v>7734</v>
      </c>
      <c r="J994" s="177"/>
      <c r="K994" s="175" t="s">
        <v>36</v>
      </c>
      <c r="L994" s="180"/>
      <c r="M994" s="177" t="s">
        <v>38</v>
      </c>
      <c r="N994" s="175" t="s">
        <v>56</v>
      </c>
      <c r="O994" s="175" t="s">
        <v>42</v>
      </c>
      <c r="P994" s="177" t="s">
        <v>3566</v>
      </c>
      <c r="Q994" s="175" t="s">
        <v>49</v>
      </c>
      <c r="R994" s="175"/>
      <c r="S994" s="175"/>
      <c r="T994" s="180"/>
      <c r="U994" s="175"/>
      <c r="V994" s="175">
        <v>5.0</v>
      </c>
    </row>
    <row r="995">
      <c r="A995" s="175">
        <v>995.0</v>
      </c>
      <c r="B995" s="176">
        <v>46197.0</v>
      </c>
      <c r="C995" s="175" t="s">
        <v>21</v>
      </c>
      <c r="D995" s="175" t="s">
        <v>24</v>
      </c>
      <c r="E995" s="177" t="s">
        <v>7735</v>
      </c>
      <c r="F995" s="459">
        <v>5.55558542E8</v>
      </c>
      <c r="G995" s="175"/>
      <c r="H995" s="175"/>
      <c r="I995" s="179" t="s">
        <v>7736</v>
      </c>
      <c r="J995" s="177"/>
      <c r="K995" s="175" t="s">
        <v>36</v>
      </c>
      <c r="L995" s="180"/>
      <c r="M995" s="177" t="s">
        <v>51</v>
      </c>
      <c r="N995" s="175" t="s">
        <v>56</v>
      </c>
      <c r="O995" s="175" t="s">
        <v>42</v>
      </c>
      <c r="P995" s="177" t="s">
        <v>3566</v>
      </c>
      <c r="Q995" s="175" t="s">
        <v>49</v>
      </c>
      <c r="R995" s="175"/>
      <c r="S995" s="175"/>
      <c r="T995" s="180"/>
      <c r="U995" s="175"/>
      <c r="V995" s="175">
        <v>5.0</v>
      </c>
    </row>
    <row r="996">
      <c r="A996" s="175">
        <v>996.0</v>
      </c>
      <c r="B996" s="176">
        <v>46197.0</v>
      </c>
      <c r="C996" s="175" t="s">
        <v>21</v>
      </c>
      <c r="D996" s="175" t="s">
        <v>24</v>
      </c>
      <c r="E996" s="177" t="s">
        <v>5480</v>
      </c>
      <c r="F996" s="459">
        <v>5.07407555E8</v>
      </c>
      <c r="G996" s="175"/>
      <c r="H996" s="175"/>
      <c r="I996" s="289" t="s">
        <v>27</v>
      </c>
      <c r="J996" s="177"/>
      <c r="K996" s="175" t="s">
        <v>36</v>
      </c>
      <c r="L996" s="180"/>
      <c r="M996" s="177" t="s">
        <v>38</v>
      </c>
      <c r="N996" s="175" t="s">
        <v>56</v>
      </c>
      <c r="O996" s="175" t="s">
        <v>42</v>
      </c>
      <c r="P996" s="177" t="s">
        <v>3566</v>
      </c>
      <c r="Q996" s="175" t="s">
        <v>49</v>
      </c>
      <c r="R996" s="175"/>
      <c r="S996" s="175"/>
      <c r="T996" s="180"/>
      <c r="U996" s="175"/>
      <c r="V996" s="175">
        <v>5.0</v>
      </c>
    </row>
    <row r="997">
      <c r="A997" s="175">
        <v>997.0</v>
      </c>
      <c r="B997" s="176">
        <v>46197.0</v>
      </c>
      <c r="C997" s="175" t="s">
        <v>21</v>
      </c>
      <c r="D997" s="175" t="s">
        <v>24</v>
      </c>
      <c r="E997" s="177" t="s">
        <v>5558</v>
      </c>
      <c r="F997" s="459">
        <v>5.64847785E8</v>
      </c>
      <c r="G997" s="175"/>
      <c r="H997" s="175"/>
      <c r="I997" s="179" t="s">
        <v>7737</v>
      </c>
      <c r="J997" s="177"/>
      <c r="K997" s="175" t="s">
        <v>36</v>
      </c>
      <c r="L997" s="180"/>
      <c r="M997" s="177" t="s">
        <v>38</v>
      </c>
      <c r="N997" s="175" t="s">
        <v>56</v>
      </c>
      <c r="O997" s="175" t="s">
        <v>42</v>
      </c>
      <c r="P997" s="177" t="s">
        <v>3566</v>
      </c>
      <c r="Q997" s="175" t="s">
        <v>49</v>
      </c>
      <c r="R997" s="175"/>
      <c r="S997" s="175"/>
      <c r="T997" s="180"/>
      <c r="U997" s="175"/>
      <c r="V997" s="175">
        <v>5.0</v>
      </c>
    </row>
    <row r="998">
      <c r="A998" s="175">
        <v>998.0</v>
      </c>
      <c r="B998" s="176">
        <v>46197.0</v>
      </c>
      <c r="C998" s="175" t="s">
        <v>21</v>
      </c>
      <c r="D998" s="175" t="s">
        <v>24</v>
      </c>
      <c r="E998" s="177" t="s">
        <v>7664</v>
      </c>
      <c r="F998" s="459">
        <v>5.05135281E8</v>
      </c>
      <c r="G998" s="175"/>
      <c r="H998" s="175"/>
      <c r="I998" s="179" t="s">
        <v>7738</v>
      </c>
      <c r="J998" s="177"/>
      <c r="K998" s="175" t="s">
        <v>36</v>
      </c>
      <c r="L998" s="180"/>
      <c r="M998" s="177" t="s">
        <v>38</v>
      </c>
      <c r="N998" s="175" t="s">
        <v>56</v>
      </c>
      <c r="O998" s="175" t="s">
        <v>42</v>
      </c>
      <c r="P998" s="177" t="s">
        <v>3566</v>
      </c>
      <c r="Q998" s="175" t="s">
        <v>49</v>
      </c>
      <c r="R998" s="175"/>
      <c r="S998" s="175"/>
      <c r="T998" s="180"/>
      <c r="U998" s="175"/>
      <c r="V998" s="175">
        <v>5.0</v>
      </c>
    </row>
    <row r="999">
      <c r="A999" s="175">
        <v>999.0</v>
      </c>
      <c r="B999" s="176">
        <v>46197.0</v>
      </c>
      <c r="C999" s="175" t="s">
        <v>21</v>
      </c>
      <c r="D999" s="175" t="s">
        <v>24</v>
      </c>
      <c r="E999" s="177" t="s">
        <v>7739</v>
      </c>
      <c r="F999" s="459">
        <v>5.0205561E8</v>
      </c>
      <c r="G999" s="175"/>
      <c r="H999" s="175"/>
      <c r="I999" s="179" t="s">
        <v>7740</v>
      </c>
      <c r="J999" s="177"/>
      <c r="K999" s="175" t="s">
        <v>36</v>
      </c>
      <c r="L999" s="180"/>
      <c r="M999" s="177" t="s">
        <v>38</v>
      </c>
      <c r="N999" s="175" t="s">
        <v>56</v>
      </c>
      <c r="O999" s="175" t="s">
        <v>42</v>
      </c>
      <c r="P999" s="177" t="s">
        <v>3566</v>
      </c>
      <c r="Q999" s="175" t="s">
        <v>49</v>
      </c>
      <c r="R999" s="175"/>
      <c r="S999" s="175"/>
      <c r="T999" s="180"/>
      <c r="U999" s="175"/>
      <c r="V999" s="175">
        <v>5.0</v>
      </c>
    </row>
    <row r="1000">
      <c r="A1000" s="175">
        <v>1000.0</v>
      </c>
      <c r="B1000" s="176">
        <v>46197.0</v>
      </c>
      <c r="C1000" s="175" t="s">
        <v>21</v>
      </c>
      <c r="D1000" s="175" t="s">
        <v>24</v>
      </c>
      <c r="E1000" s="177" t="s">
        <v>7741</v>
      </c>
      <c r="F1000" s="459">
        <v>5.44999536E8</v>
      </c>
      <c r="G1000" s="175"/>
      <c r="H1000" s="175"/>
      <c r="I1000" s="179" t="s">
        <v>7742</v>
      </c>
      <c r="J1000" s="177"/>
      <c r="K1000" s="175" t="s">
        <v>36</v>
      </c>
      <c r="L1000" s="180"/>
      <c r="M1000" s="177" t="s">
        <v>38</v>
      </c>
      <c r="N1000" s="175" t="s">
        <v>56</v>
      </c>
      <c r="O1000" s="175" t="s">
        <v>42</v>
      </c>
      <c r="P1000" s="177" t="s">
        <v>3566</v>
      </c>
      <c r="Q1000" s="175" t="s">
        <v>49</v>
      </c>
      <c r="R1000" s="175"/>
      <c r="S1000" s="175"/>
      <c r="T1000" s="180"/>
      <c r="U1000" s="175"/>
      <c r="V1000" s="175">
        <v>5.0</v>
      </c>
    </row>
    <row r="1001">
      <c r="A1001" s="175">
        <v>1001.0</v>
      </c>
      <c r="B1001" s="176">
        <v>46197.0</v>
      </c>
      <c r="C1001" s="175" t="s">
        <v>21</v>
      </c>
      <c r="D1001" s="175" t="s">
        <v>24</v>
      </c>
      <c r="E1001" s="177" t="s">
        <v>4386</v>
      </c>
      <c r="F1001" s="459">
        <v>5.44501658E8</v>
      </c>
      <c r="G1001" s="175"/>
      <c r="H1001" s="175"/>
      <c r="I1001" s="179" t="s">
        <v>7743</v>
      </c>
      <c r="J1001" s="177"/>
      <c r="K1001" s="175" t="s">
        <v>36</v>
      </c>
      <c r="L1001" s="180"/>
      <c r="M1001" s="177" t="s">
        <v>38</v>
      </c>
      <c r="N1001" s="175" t="s">
        <v>56</v>
      </c>
      <c r="O1001" s="175" t="s">
        <v>42</v>
      </c>
      <c r="P1001" s="177" t="s">
        <v>3566</v>
      </c>
      <c r="Q1001" s="175" t="s">
        <v>49</v>
      </c>
      <c r="R1001" s="175"/>
      <c r="S1001" s="175"/>
      <c r="T1001" s="180"/>
      <c r="U1001" s="175"/>
      <c r="V1001" s="175">
        <v>5.0</v>
      </c>
    </row>
    <row r="1002">
      <c r="A1002" s="175">
        <v>1002.0</v>
      </c>
      <c r="B1002" s="176">
        <v>46197.0</v>
      </c>
      <c r="C1002" s="175" t="s">
        <v>21</v>
      </c>
      <c r="D1002" s="175" t="s">
        <v>24</v>
      </c>
      <c r="E1002" s="177" t="s">
        <v>5795</v>
      </c>
      <c r="F1002" s="459">
        <v>5.44802385E8</v>
      </c>
      <c r="G1002" s="175"/>
      <c r="H1002" s="175"/>
      <c r="I1002" s="179" t="s">
        <v>7744</v>
      </c>
      <c r="J1002" s="177"/>
      <c r="K1002" s="175" t="s">
        <v>36</v>
      </c>
      <c r="L1002" s="180"/>
      <c r="M1002" s="177" t="s">
        <v>38</v>
      </c>
      <c r="N1002" s="175" t="s">
        <v>56</v>
      </c>
      <c r="O1002" s="175" t="s">
        <v>42</v>
      </c>
      <c r="P1002" s="177" t="s">
        <v>3566</v>
      </c>
      <c r="Q1002" s="175" t="s">
        <v>49</v>
      </c>
      <c r="R1002" s="175"/>
      <c r="S1002" s="175"/>
      <c r="T1002" s="180"/>
      <c r="U1002" s="175"/>
      <c r="V1002" s="175">
        <v>5.0</v>
      </c>
    </row>
    <row r="1003">
      <c r="A1003" s="175">
        <v>1003.0</v>
      </c>
      <c r="B1003" s="176">
        <v>46197.0</v>
      </c>
      <c r="C1003" s="175" t="s">
        <v>21</v>
      </c>
      <c r="D1003" s="175" t="s">
        <v>24</v>
      </c>
      <c r="E1003" s="177" t="s">
        <v>108</v>
      </c>
      <c r="F1003" s="459">
        <v>5.08426954E8</v>
      </c>
      <c r="G1003" s="175"/>
      <c r="H1003" s="175"/>
      <c r="I1003" s="179" t="s">
        <v>7745</v>
      </c>
      <c r="J1003" s="177"/>
      <c r="K1003" s="175" t="s">
        <v>36</v>
      </c>
      <c r="L1003" s="180"/>
      <c r="M1003" s="177" t="s">
        <v>38</v>
      </c>
      <c r="N1003" s="175" t="s">
        <v>56</v>
      </c>
      <c r="O1003" s="175" t="s">
        <v>42</v>
      </c>
      <c r="P1003" s="177" t="s">
        <v>3566</v>
      </c>
      <c r="Q1003" s="175" t="s">
        <v>49</v>
      </c>
      <c r="R1003" s="175"/>
      <c r="S1003" s="175"/>
      <c r="T1003" s="180"/>
      <c r="U1003" s="175"/>
      <c r="V1003" s="175">
        <v>5.0</v>
      </c>
    </row>
    <row r="1004">
      <c r="A1004" s="175">
        <v>1004.0</v>
      </c>
      <c r="B1004" s="176">
        <v>46197.0</v>
      </c>
      <c r="C1004" s="175" t="s">
        <v>21</v>
      </c>
      <c r="D1004" s="175" t="s">
        <v>24</v>
      </c>
      <c r="E1004" s="177" t="s">
        <v>7746</v>
      </c>
      <c r="F1004" s="459">
        <v>5.06611194E8</v>
      </c>
      <c r="G1004" s="175"/>
      <c r="H1004" s="175"/>
      <c r="I1004" s="179" t="s">
        <v>7747</v>
      </c>
      <c r="J1004" s="177"/>
      <c r="K1004" s="175" t="s">
        <v>36</v>
      </c>
      <c r="L1004" s="180"/>
      <c r="M1004" s="177" t="s">
        <v>38</v>
      </c>
      <c r="N1004" s="175" t="s">
        <v>56</v>
      </c>
      <c r="O1004" s="175" t="s">
        <v>42</v>
      </c>
      <c r="P1004" s="177" t="s">
        <v>3566</v>
      </c>
      <c r="Q1004" s="175" t="s">
        <v>49</v>
      </c>
      <c r="R1004" s="175"/>
      <c r="S1004" s="175"/>
      <c r="T1004" s="180"/>
      <c r="U1004" s="175"/>
      <c r="V1004" s="175">
        <v>5.0</v>
      </c>
    </row>
    <row r="1005">
      <c r="A1005" s="26">
        <v>1005.0</v>
      </c>
      <c r="B1005" s="188">
        <v>46197.0</v>
      </c>
      <c r="C1005" s="26" t="s">
        <v>47</v>
      </c>
      <c r="D1005" s="26" t="s">
        <v>48</v>
      </c>
      <c r="E1005" s="27" t="s">
        <v>6308</v>
      </c>
      <c r="F1005" s="21">
        <v>5.06280798E8</v>
      </c>
      <c r="G1005" s="27" t="s">
        <v>152</v>
      </c>
      <c r="H1005" s="26" t="s">
        <v>272</v>
      </c>
      <c r="I1005" s="179" t="s">
        <v>7748</v>
      </c>
      <c r="J1005" s="27" t="s">
        <v>7749</v>
      </c>
      <c r="K1005" s="26" t="s">
        <v>36</v>
      </c>
      <c r="L1005" s="35"/>
      <c r="M1005" s="27" t="s">
        <v>101</v>
      </c>
      <c r="N1005" s="26" t="s">
        <v>56</v>
      </c>
      <c r="O1005" s="26" t="s">
        <v>518</v>
      </c>
      <c r="P1005" s="27" t="s">
        <v>3765</v>
      </c>
      <c r="Q1005" s="26" t="s">
        <v>44</v>
      </c>
      <c r="R1005" s="26" t="s">
        <v>46</v>
      </c>
      <c r="S1005" s="26"/>
      <c r="T1005" s="27" t="s">
        <v>3566</v>
      </c>
      <c r="U1005" s="26"/>
      <c r="V1005" s="26">
        <v>5.0</v>
      </c>
    </row>
    <row r="1006">
      <c r="A1006" s="175">
        <v>1006.0</v>
      </c>
      <c r="B1006" s="176">
        <v>46197.0</v>
      </c>
      <c r="C1006" s="175" t="s">
        <v>47</v>
      </c>
      <c r="D1006" s="175" t="s">
        <v>92</v>
      </c>
      <c r="E1006" s="177" t="s">
        <v>7751</v>
      </c>
      <c r="F1006" s="178">
        <v>5.60045047E8</v>
      </c>
      <c r="G1006" s="177" t="s">
        <v>71</v>
      </c>
      <c r="H1006" s="175" t="s">
        <v>94</v>
      </c>
      <c r="I1006" s="179" t="s">
        <v>7752</v>
      </c>
      <c r="J1006" s="177"/>
      <c r="K1006" s="175" t="s">
        <v>36</v>
      </c>
      <c r="L1006" s="180"/>
      <c r="M1006" s="275" t="s">
        <v>4368</v>
      </c>
      <c r="N1006" s="175" t="s">
        <v>40</v>
      </c>
      <c r="O1006" s="175" t="s">
        <v>518</v>
      </c>
      <c r="P1006" s="177" t="s">
        <v>3765</v>
      </c>
      <c r="Q1006" s="175" t="s">
        <v>44</v>
      </c>
      <c r="R1006" s="175" t="s">
        <v>46</v>
      </c>
      <c r="S1006" s="454" t="s">
        <v>27</v>
      </c>
      <c r="T1006" s="180"/>
      <c r="U1006" s="175"/>
      <c r="V1006" s="175">
        <v>5.0</v>
      </c>
    </row>
    <row r="1007">
      <c r="A1007" s="175">
        <v>1007.0</v>
      </c>
      <c r="B1007" s="176">
        <v>46197.0</v>
      </c>
      <c r="C1007" s="175" t="s">
        <v>47</v>
      </c>
      <c r="D1007" s="175" t="s">
        <v>92</v>
      </c>
      <c r="E1007" s="177" t="s">
        <v>7753</v>
      </c>
      <c r="F1007" s="178">
        <v>5.3084471E8</v>
      </c>
      <c r="G1007" s="177" t="s">
        <v>76</v>
      </c>
      <c r="H1007" s="175" t="s">
        <v>735</v>
      </c>
      <c r="I1007" s="179" t="s">
        <v>7754</v>
      </c>
      <c r="J1007" s="177"/>
      <c r="K1007" s="175" t="s">
        <v>36</v>
      </c>
      <c r="L1007" s="180">
        <v>0.6354166666666666</v>
      </c>
      <c r="M1007" s="378" t="s">
        <v>3355</v>
      </c>
      <c r="N1007" s="175" t="s">
        <v>40</v>
      </c>
      <c r="O1007" s="206" t="s">
        <v>3811</v>
      </c>
      <c r="P1007" s="177" t="s">
        <v>3997</v>
      </c>
      <c r="Q1007" s="175" t="s">
        <v>44</v>
      </c>
      <c r="R1007" s="175" t="s">
        <v>46</v>
      </c>
      <c r="S1007" s="200" t="s">
        <v>27</v>
      </c>
      <c r="T1007" s="180"/>
      <c r="U1007" s="175"/>
      <c r="V1007" s="175">
        <v>5.0</v>
      </c>
    </row>
    <row r="1008">
      <c r="A1008" s="175">
        <v>1008.0</v>
      </c>
      <c r="B1008" s="176">
        <v>46197.0</v>
      </c>
      <c r="C1008" s="175" t="s">
        <v>47</v>
      </c>
      <c r="D1008" s="175" t="s">
        <v>92</v>
      </c>
      <c r="E1008" s="177" t="s">
        <v>7755</v>
      </c>
      <c r="F1008" s="178">
        <v>5.06226643E8</v>
      </c>
      <c r="G1008" s="177" t="s">
        <v>71</v>
      </c>
      <c r="H1008" s="175" t="s">
        <v>94</v>
      </c>
      <c r="I1008" s="179" t="s">
        <v>7756</v>
      </c>
      <c r="J1008" s="177"/>
      <c r="K1008" s="175" t="s">
        <v>36</v>
      </c>
      <c r="L1008" s="236">
        <v>0.6402777777777777</v>
      </c>
      <c r="M1008" s="27" t="s">
        <v>101</v>
      </c>
      <c r="N1008" s="175" t="s">
        <v>40</v>
      </c>
      <c r="O1008" s="175" t="s">
        <v>518</v>
      </c>
      <c r="P1008" s="177" t="s">
        <v>3765</v>
      </c>
      <c r="Q1008" s="175" t="s">
        <v>44</v>
      </c>
      <c r="R1008" s="175" t="s">
        <v>46</v>
      </c>
      <c r="S1008" s="454" t="s">
        <v>27</v>
      </c>
      <c r="T1008" s="180"/>
      <c r="U1008" s="175"/>
      <c r="V1008" s="175">
        <v>5.0</v>
      </c>
    </row>
    <row r="1009">
      <c r="A1009" s="175">
        <v>1009.0</v>
      </c>
      <c r="B1009" s="176">
        <v>46197.0</v>
      </c>
      <c r="C1009" s="175" t="s">
        <v>21</v>
      </c>
      <c r="D1009" s="175" t="s">
        <v>24</v>
      </c>
      <c r="E1009" s="177" t="s">
        <v>7757</v>
      </c>
      <c r="F1009" s="178">
        <v>5.33793385E8</v>
      </c>
      <c r="G1009" s="177" t="s">
        <v>172</v>
      </c>
      <c r="H1009" s="175" t="s">
        <v>27</v>
      </c>
      <c r="I1009" s="179" t="s">
        <v>7758</v>
      </c>
      <c r="J1009" s="177"/>
      <c r="K1009" s="175" t="s">
        <v>62</v>
      </c>
      <c r="L1009" s="180"/>
      <c r="M1009" s="177" t="s">
        <v>38</v>
      </c>
      <c r="N1009" s="175" t="s">
        <v>56</v>
      </c>
      <c r="O1009" s="175" t="s">
        <v>42</v>
      </c>
      <c r="P1009" s="177" t="s">
        <v>3566</v>
      </c>
      <c r="Q1009" s="175" t="s">
        <v>44</v>
      </c>
      <c r="R1009" s="175" t="s">
        <v>46</v>
      </c>
      <c r="S1009" s="175"/>
      <c r="T1009" s="180"/>
      <c r="U1009" s="175"/>
      <c r="V1009" s="175">
        <v>5.0</v>
      </c>
    </row>
    <row r="1010">
      <c r="A1010" s="175">
        <v>1010.0</v>
      </c>
      <c r="B1010" s="176">
        <v>46197.0</v>
      </c>
      <c r="C1010" s="175" t="s">
        <v>21</v>
      </c>
      <c r="D1010" s="175" t="s">
        <v>22</v>
      </c>
      <c r="E1010" s="177" t="s">
        <v>7759</v>
      </c>
      <c r="F1010" s="178">
        <v>5.6755231E8</v>
      </c>
      <c r="G1010" s="177" t="s">
        <v>152</v>
      </c>
      <c r="H1010" s="175" t="s">
        <v>27</v>
      </c>
      <c r="I1010" s="179" t="s">
        <v>7760</v>
      </c>
      <c r="J1010" s="177"/>
      <c r="K1010" s="175" t="s">
        <v>36</v>
      </c>
      <c r="L1010" s="180"/>
      <c r="M1010" s="177" t="s">
        <v>38</v>
      </c>
      <c r="N1010" s="175" t="s">
        <v>40</v>
      </c>
      <c r="O1010" s="175" t="s">
        <v>42</v>
      </c>
      <c r="P1010" s="177" t="s">
        <v>3566</v>
      </c>
      <c r="Q1010" s="175" t="s">
        <v>44</v>
      </c>
      <c r="R1010" s="175" t="s">
        <v>46</v>
      </c>
      <c r="S1010" s="175"/>
      <c r="T1010" s="180"/>
      <c r="U1010" s="175"/>
      <c r="V1010" s="175">
        <v>5.0</v>
      </c>
    </row>
    <row r="1011">
      <c r="A1011" s="26">
        <v>1011.0</v>
      </c>
      <c r="B1011" s="188">
        <v>46198.0</v>
      </c>
      <c r="C1011" s="26" t="s">
        <v>47</v>
      </c>
      <c r="D1011" s="26" t="s">
        <v>48</v>
      </c>
      <c r="E1011" s="27" t="s">
        <v>7761</v>
      </c>
      <c r="F1011" s="21" t="s">
        <v>7762</v>
      </c>
      <c r="G1011" s="27" t="s">
        <v>79</v>
      </c>
      <c r="H1011" s="26" t="s">
        <v>2109</v>
      </c>
      <c r="I1011" s="209" t="s">
        <v>7764</v>
      </c>
      <c r="J1011" s="27"/>
      <c r="K1011" s="26" t="s">
        <v>36</v>
      </c>
      <c r="L1011" s="35">
        <v>0.42291666666666666</v>
      </c>
      <c r="M1011" s="74" t="s">
        <v>3355</v>
      </c>
      <c r="N1011" s="26" t="s">
        <v>40</v>
      </c>
      <c r="O1011" s="26" t="s">
        <v>3811</v>
      </c>
      <c r="P1011" s="27" t="s">
        <v>3566</v>
      </c>
      <c r="Q1011" s="26" t="s">
        <v>49</v>
      </c>
      <c r="R1011" s="26" t="s">
        <v>46</v>
      </c>
      <c r="S1011" s="35">
        <v>0.3680555555555556</v>
      </c>
      <c r="T1011" s="27" t="s">
        <v>3566</v>
      </c>
      <c r="U1011" s="26" t="s">
        <v>49</v>
      </c>
      <c r="V1011" s="26">
        <v>5.0</v>
      </c>
    </row>
    <row r="1012">
      <c r="A1012" s="175">
        <v>1012.0</v>
      </c>
      <c r="B1012" s="176">
        <v>46198.0</v>
      </c>
      <c r="C1012" s="175" t="s">
        <v>58</v>
      </c>
      <c r="D1012" s="175" t="s">
        <v>57</v>
      </c>
      <c r="E1012" s="177" t="s">
        <v>7765</v>
      </c>
      <c r="F1012" s="178">
        <v>5.94919946E8</v>
      </c>
      <c r="G1012" s="177" t="s">
        <v>79</v>
      </c>
      <c r="H1012" s="175" t="s">
        <v>27</v>
      </c>
      <c r="I1012" s="179" t="s">
        <v>7766</v>
      </c>
      <c r="J1012" s="177"/>
      <c r="K1012" s="175" t="s">
        <v>36</v>
      </c>
      <c r="L1012" s="180"/>
      <c r="M1012" s="177" t="s">
        <v>38</v>
      </c>
      <c r="N1012" s="175" t="s">
        <v>40</v>
      </c>
      <c r="O1012" s="175" t="s">
        <v>42</v>
      </c>
      <c r="P1012" s="177" t="s">
        <v>3566</v>
      </c>
      <c r="Q1012" s="175" t="s">
        <v>44</v>
      </c>
      <c r="R1012" s="175"/>
      <c r="S1012" s="175"/>
      <c r="T1012" s="180"/>
      <c r="U1012" s="175"/>
      <c r="V1012" s="175">
        <v>5.0</v>
      </c>
    </row>
    <row r="1013">
      <c r="A1013" s="175">
        <v>1013.0</v>
      </c>
      <c r="B1013" s="176">
        <v>46198.0</v>
      </c>
      <c r="C1013" s="175" t="s">
        <v>58</v>
      </c>
      <c r="D1013" s="175" t="s">
        <v>60</v>
      </c>
      <c r="E1013" s="175" t="s">
        <v>27</v>
      </c>
      <c r="F1013" s="178">
        <v>5.06572906E8</v>
      </c>
      <c r="G1013" s="175" t="s">
        <v>27</v>
      </c>
      <c r="H1013" s="175" t="s">
        <v>27</v>
      </c>
      <c r="I1013" s="179" t="s">
        <v>7767</v>
      </c>
      <c r="J1013" s="177"/>
      <c r="K1013" s="175" t="s">
        <v>36</v>
      </c>
      <c r="L1013" s="180"/>
      <c r="M1013" s="181" t="s">
        <v>88</v>
      </c>
      <c r="N1013" s="175" t="s">
        <v>40</v>
      </c>
      <c r="O1013" s="175" t="s">
        <v>42</v>
      </c>
      <c r="P1013" s="177" t="s">
        <v>3566</v>
      </c>
      <c r="Q1013" s="175" t="s">
        <v>44</v>
      </c>
      <c r="R1013" s="175"/>
      <c r="S1013" s="175"/>
      <c r="T1013" s="180"/>
      <c r="U1013" s="175"/>
      <c r="V1013" s="175">
        <v>5.0</v>
      </c>
    </row>
    <row r="1014">
      <c r="A1014" s="175">
        <v>1014.0</v>
      </c>
      <c r="B1014" s="176">
        <v>46198.0</v>
      </c>
      <c r="C1014" s="175" t="s">
        <v>58</v>
      </c>
      <c r="D1014" s="175" t="s">
        <v>60</v>
      </c>
      <c r="E1014" s="175" t="s">
        <v>27</v>
      </c>
      <c r="F1014" s="178">
        <v>5.44904702E8</v>
      </c>
      <c r="G1014" s="175" t="s">
        <v>27</v>
      </c>
      <c r="H1014" s="175" t="s">
        <v>27</v>
      </c>
      <c r="I1014" s="179" t="s">
        <v>124</v>
      </c>
      <c r="J1014" s="177"/>
      <c r="K1014" s="175" t="s">
        <v>36</v>
      </c>
      <c r="L1014" s="180"/>
      <c r="M1014" s="181" t="s">
        <v>88</v>
      </c>
      <c r="N1014" s="175" t="s">
        <v>40</v>
      </c>
      <c r="O1014" s="175" t="s">
        <v>42</v>
      </c>
      <c r="P1014" s="177" t="s">
        <v>3566</v>
      </c>
      <c r="Q1014" s="175" t="s">
        <v>44</v>
      </c>
      <c r="R1014" s="175"/>
      <c r="S1014" s="175"/>
      <c r="T1014" s="180"/>
      <c r="U1014" s="175"/>
      <c r="V1014" s="175">
        <v>5.0</v>
      </c>
    </row>
    <row r="1015">
      <c r="A1015" s="175">
        <v>1015.0</v>
      </c>
      <c r="B1015" s="176">
        <v>46198.0</v>
      </c>
      <c r="C1015" s="175" t="s">
        <v>58</v>
      </c>
      <c r="D1015" s="175" t="s">
        <v>60</v>
      </c>
      <c r="E1015" s="175" t="s">
        <v>27</v>
      </c>
      <c r="F1015" s="178">
        <v>5.80206129E8</v>
      </c>
      <c r="G1015" s="175" t="s">
        <v>27</v>
      </c>
      <c r="H1015" s="175" t="s">
        <v>27</v>
      </c>
      <c r="I1015" s="179" t="s">
        <v>7768</v>
      </c>
      <c r="J1015" s="177"/>
      <c r="K1015" s="175" t="s">
        <v>36</v>
      </c>
      <c r="L1015" s="180"/>
      <c r="M1015" s="181" t="s">
        <v>88</v>
      </c>
      <c r="N1015" s="175" t="s">
        <v>40</v>
      </c>
      <c r="O1015" s="175" t="s">
        <v>42</v>
      </c>
      <c r="P1015" s="177" t="s">
        <v>3566</v>
      </c>
      <c r="Q1015" s="175" t="s">
        <v>44</v>
      </c>
      <c r="R1015" s="175"/>
      <c r="S1015" s="175"/>
      <c r="T1015" s="180"/>
      <c r="U1015" s="175"/>
      <c r="V1015" s="175">
        <v>5.0</v>
      </c>
    </row>
    <row r="1016">
      <c r="A1016" s="175">
        <v>1016.0</v>
      </c>
      <c r="B1016" s="176">
        <v>46198.0</v>
      </c>
      <c r="C1016" s="175" t="s">
        <v>58</v>
      </c>
      <c r="D1016" s="175" t="s">
        <v>60</v>
      </c>
      <c r="E1016" s="175" t="s">
        <v>27</v>
      </c>
      <c r="F1016" s="178">
        <v>5.96794697E8</v>
      </c>
      <c r="G1016" s="175" t="s">
        <v>27</v>
      </c>
      <c r="H1016" s="175" t="s">
        <v>27</v>
      </c>
      <c r="I1016" s="179" t="s">
        <v>7769</v>
      </c>
      <c r="J1016" s="177"/>
      <c r="K1016" s="175" t="s">
        <v>36</v>
      </c>
      <c r="L1016" s="180"/>
      <c r="M1016" s="181" t="s">
        <v>88</v>
      </c>
      <c r="N1016" s="175" t="s">
        <v>40</v>
      </c>
      <c r="O1016" s="175" t="s">
        <v>42</v>
      </c>
      <c r="P1016" s="177" t="s">
        <v>3566</v>
      </c>
      <c r="Q1016" s="175" t="s">
        <v>44</v>
      </c>
      <c r="R1016" s="175"/>
      <c r="S1016" s="175"/>
      <c r="T1016" s="180"/>
      <c r="U1016" s="175"/>
      <c r="V1016" s="175">
        <v>5.0</v>
      </c>
    </row>
    <row r="1017">
      <c r="A1017" s="175">
        <v>1017.0</v>
      </c>
      <c r="B1017" s="176">
        <v>46198.0</v>
      </c>
      <c r="C1017" s="175" t="s">
        <v>58</v>
      </c>
      <c r="D1017" s="175" t="s">
        <v>60</v>
      </c>
      <c r="E1017" s="177" t="s">
        <v>7770</v>
      </c>
      <c r="F1017" s="178">
        <v>5.93603101E8</v>
      </c>
      <c r="G1017" s="175" t="s">
        <v>27</v>
      </c>
      <c r="H1017" s="175" t="s">
        <v>27</v>
      </c>
      <c r="I1017" s="179" t="s">
        <v>7771</v>
      </c>
      <c r="J1017" s="177" t="s">
        <v>7772</v>
      </c>
      <c r="K1017" s="175" t="s">
        <v>36</v>
      </c>
      <c r="L1017" s="180"/>
      <c r="M1017" s="181" t="s">
        <v>88</v>
      </c>
      <c r="N1017" s="175" t="s">
        <v>40</v>
      </c>
      <c r="O1017" s="175" t="s">
        <v>42</v>
      </c>
      <c r="P1017" s="177" t="s">
        <v>3566</v>
      </c>
      <c r="Q1017" s="175" t="s">
        <v>44</v>
      </c>
      <c r="R1017" s="175"/>
      <c r="S1017" s="175"/>
      <c r="T1017" s="180"/>
      <c r="U1017" s="175"/>
      <c r="V1017" s="175">
        <v>5.0</v>
      </c>
    </row>
    <row r="1018">
      <c r="A1018" s="26">
        <v>1018.0</v>
      </c>
      <c r="B1018" s="188">
        <v>46198.0</v>
      </c>
      <c r="C1018" s="26" t="s">
        <v>47</v>
      </c>
      <c r="D1018" s="26" t="s">
        <v>48</v>
      </c>
      <c r="E1018" s="27" t="s">
        <v>7773</v>
      </c>
      <c r="F1018" s="21">
        <v>5.92290934E8</v>
      </c>
      <c r="G1018" s="27" t="s">
        <v>79</v>
      </c>
      <c r="H1018" s="26" t="s">
        <v>80</v>
      </c>
      <c r="I1018" s="179" t="s">
        <v>7774</v>
      </c>
      <c r="J1018" s="27"/>
      <c r="K1018" s="26" t="s">
        <v>36</v>
      </c>
      <c r="L1018" s="35"/>
      <c r="M1018" s="27" t="s">
        <v>4703</v>
      </c>
      <c r="N1018" s="26" t="s">
        <v>40</v>
      </c>
      <c r="O1018" s="26" t="s">
        <v>42</v>
      </c>
      <c r="P1018" s="27" t="s">
        <v>3997</v>
      </c>
      <c r="Q1018" s="26" t="s">
        <v>44</v>
      </c>
      <c r="R1018" s="26" t="s">
        <v>46</v>
      </c>
      <c r="S1018" s="26"/>
      <c r="T1018" s="27" t="s">
        <v>3566</v>
      </c>
      <c r="U1018" s="26"/>
      <c r="V1018" s="26">
        <v>5.0</v>
      </c>
    </row>
    <row r="1019">
      <c r="A1019" s="175">
        <v>1019.0</v>
      </c>
      <c r="B1019" s="176">
        <v>46198.0</v>
      </c>
      <c r="C1019" s="175" t="s">
        <v>21</v>
      </c>
      <c r="D1019" s="175" t="s">
        <v>66</v>
      </c>
      <c r="E1019" s="177" t="s">
        <v>7775</v>
      </c>
      <c r="F1019" s="178">
        <v>5.37504757E8</v>
      </c>
      <c r="G1019" s="175" t="s">
        <v>27</v>
      </c>
      <c r="H1019" s="175" t="s">
        <v>27</v>
      </c>
      <c r="I1019" s="179" t="s">
        <v>7776</v>
      </c>
      <c r="J1019" s="177" t="s">
        <v>7777</v>
      </c>
      <c r="K1019" s="175" t="s">
        <v>62</v>
      </c>
      <c r="L1019" s="180"/>
      <c r="M1019" s="181" t="s">
        <v>208</v>
      </c>
      <c r="N1019" s="175" t="s">
        <v>40</v>
      </c>
      <c r="O1019" s="175" t="s">
        <v>42</v>
      </c>
      <c r="P1019" s="177" t="s">
        <v>3566</v>
      </c>
      <c r="Q1019" s="175" t="s">
        <v>44</v>
      </c>
      <c r="R1019" s="175"/>
      <c r="S1019" s="175"/>
      <c r="T1019" s="180"/>
      <c r="U1019" s="175"/>
      <c r="V1019" s="175">
        <v>5.0</v>
      </c>
    </row>
    <row r="1020">
      <c r="A1020" s="175">
        <v>1020.0</v>
      </c>
      <c r="B1020" s="176">
        <v>46198.0</v>
      </c>
      <c r="C1020" s="175" t="s">
        <v>21</v>
      </c>
      <c r="D1020" s="175" t="s">
        <v>22</v>
      </c>
      <c r="E1020" s="177" t="s">
        <v>7778</v>
      </c>
      <c r="F1020" s="178">
        <v>5.65339466E8</v>
      </c>
      <c r="G1020" s="177" t="s">
        <v>71</v>
      </c>
      <c r="H1020" s="175" t="s">
        <v>27</v>
      </c>
      <c r="I1020" s="179" t="s">
        <v>7779</v>
      </c>
      <c r="J1020" s="177"/>
      <c r="K1020" s="175" t="s">
        <v>36</v>
      </c>
      <c r="L1020" s="180"/>
      <c r="M1020" s="177" t="s">
        <v>38</v>
      </c>
      <c r="N1020" s="175" t="s">
        <v>40</v>
      </c>
      <c r="O1020" s="175" t="s">
        <v>42</v>
      </c>
      <c r="P1020" s="177" t="s">
        <v>3566</v>
      </c>
      <c r="Q1020" s="175" t="s">
        <v>44</v>
      </c>
      <c r="R1020" s="175" t="s">
        <v>46</v>
      </c>
      <c r="S1020" s="175"/>
      <c r="T1020" s="180"/>
      <c r="U1020" s="175"/>
      <c r="V1020" s="175">
        <v>5.0</v>
      </c>
    </row>
    <row r="1021">
      <c r="A1021" s="175">
        <v>1021.0</v>
      </c>
      <c r="B1021" s="176">
        <v>46198.0</v>
      </c>
      <c r="C1021" s="175" t="s">
        <v>47</v>
      </c>
      <c r="D1021" s="175" t="s">
        <v>153</v>
      </c>
      <c r="E1021" s="177" t="s">
        <v>7780</v>
      </c>
      <c r="F1021" s="178">
        <v>5.03935304E8</v>
      </c>
      <c r="G1021" s="175" t="s">
        <v>27</v>
      </c>
      <c r="H1021" s="175" t="s">
        <v>27</v>
      </c>
      <c r="I1021" s="179" t="s">
        <v>7781</v>
      </c>
      <c r="J1021" s="177"/>
      <c r="K1021" s="175" t="s">
        <v>36</v>
      </c>
      <c r="L1021" s="180"/>
      <c r="M1021" s="460" t="s">
        <v>7782</v>
      </c>
      <c r="N1021" s="175" t="s">
        <v>40</v>
      </c>
      <c r="O1021" s="175" t="s">
        <v>42</v>
      </c>
      <c r="P1021" s="177" t="s">
        <v>3566</v>
      </c>
      <c r="Q1021" s="175" t="s">
        <v>44</v>
      </c>
      <c r="R1021" s="175"/>
      <c r="S1021" s="175"/>
      <c r="T1021" s="180"/>
      <c r="U1021" s="175"/>
      <c r="V1021" s="175">
        <v>5.0</v>
      </c>
    </row>
    <row r="1022">
      <c r="A1022" s="175">
        <v>1022.0</v>
      </c>
      <c r="B1022" s="176">
        <v>46198.0</v>
      </c>
      <c r="C1022" s="175" t="s">
        <v>21</v>
      </c>
      <c r="D1022" s="175" t="s">
        <v>22</v>
      </c>
      <c r="E1022" s="177" t="s">
        <v>7783</v>
      </c>
      <c r="F1022" s="178">
        <v>5.95550989E8</v>
      </c>
      <c r="G1022" s="177" t="s">
        <v>41</v>
      </c>
      <c r="H1022" s="175" t="s">
        <v>27</v>
      </c>
      <c r="I1022" s="27" t="s">
        <v>7784</v>
      </c>
      <c r="J1022" s="177"/>
      <c r="K1022" s="175" t="s">
        <v>36</v>
      </c>
      <c r="L1022" s="180"/>
      <c r="M1022" s="177" t="s">
        <v>38</v>
      </c>
      <c r="N1022" s="175" t="s">
        <v>40</v>
      </c>
      <c r="O1022" s="175" t="s">
        <v>42</v>
      </c>
      <c r="P1022" s="177" t="s">
        <v>3566</v>
      </c>
      <c r="Q1022" s="175" t="s">
        <v>44</v>
      </c>
      <c r="R1022" s="175" t="s">
        <v>46</v>
      </c>
      <c r="S1022" s="175"/>
      <c r="T1022" s="180"/>
      <c r="U1022" s="175"/>
      <c r="V1022" s="175">
        <v>5.0</v>
      </c>
    </row>
    <row r="1023">
      <c r="A1023" s="175">
        <v>1023.0</v>
      </c>
      <c r="B1023" s="176">
        <v>46198.0</v>
      </c>
      <c r="C1023" s="175" t="s">
        <v>21</v>
      </c>
      <c r="D1023" s="175" t="s">
        <v>22</v>
      </c>
      <c r="E1023" s="177" t="s">
        <v>6219</v>
      </c>
      <c r="F1023" s="178">
        <v>5.3950709E8</v>
      </c>
      <c r="G1023" s="177" t="s">
        <v>1648</v>
      </c>
      <c r="H1023" s="175" t="s">
        <v>27</v>
      </c>
      <c r="I1023" s="179" t="s">
        <v>7785</v>
      </c>
      <c r="J1023" s="177"/>
      <c r="K1023" s="175" t="s">
        <v>62</v>
      </c>
      <c r="L1023" s="180"/>
      <c r="M1023" s="177" t="s">
        <v>38</v>
      </c>
      <c r="N1023" s="175" t="s">
        <v>40</v>
      </c>
      <c r="O1023" s="175" t="s">
        <v>42</v>
      </c>
      <c r="P1023" s="177" t="s">
        <v>3566</v>
      </c>
      <c r="Q1023" s="175" t="s">
        <v>44</v>
      </c>
      <c r="R1023" s="175" t="s">
        <v>46</v>
      </c>
      <c r="S1023" s="175"/>
      <c r="T1023" s="180"/>
      <c r="U1023" s="175"/>
      <c r="V1023" s="175">
        <v>5.0</v>
      </c>
    </row>
    <row r="1024">
      <c r="A1024" s="175">
        <v>1024.0</v>
      </c>
      <c r="B1024" s="176">
        <v>46198.0</v>
      </c>
      <c r="C1024" s="175" t="s">
        <v>58</v>
      </c>
      <c r="D1024" s="175" t="s">
        <v>60</v>
      </c>
      <c r="E1024" s="177" t="s">
        <v>7786</v>
      </c>
      <c r="F1024" s="178">
        <v>5.35228565E8</v>
      </c>
      <c r="G1024" s="175"/>
      <c r="H1024" s="175" t="s">
        <v>27</v>
      </c>
      <c r="I1024" s="179" t="s">
        <v>7787</v>
      </c>
      <c r="J1024" s="177"/>
      <c r="K1024" s="175" t="s">
        <v>36</v>
      </c>
      <c r="L1024" s="180"/>
      <c r="M1024" s="181" t="s">
        <v>88</v>
      </c>
      <c r="N1024" s="175" t="s">
        <v>40</v>
      </c>
      <c r="O1024" s="175" t="s">
        <v>42</v>
      </c>
      <c r="P1024" s="177" t="s">
        <v>3566</v>
      </c>
      <c r="Q1024" s="175" t="s">
        <v>44</v>
      </c>
      <c r="R1024" s="175"/>
      <c r="S1024" s="175"/>
      <c r="T1024" s="180"/>
      <c r="U1024" s="175"/>
      <c r="V1024" s="175">
        <v>5.0</v>
      </c>
    </row>
    <row r="1025">
      <c r="A1025" s="175">
        <v>1025.0</v>
      </c>
      <c r="B1025" s="176">
        <v>46198.0</v>
      </c>
      <c r="C1025" s="175" t="s">
        <v>21</v>
      </c>
      <c r="D1025" s="175" t="s">
        <v>48</v>
      </c>
      <c r="E1025" s="175" t="s">
        <v>27</v>
      </c>
      <c r="F1025" s="178">
        <v>5.99144739E8</v>
      </c>
      <c r="G1025" s="175" t="s">
        <v>27</v>
      </c>
      <c r="H1025" s="175" t="s">
        <v>27</v>
      </c>
      <c r="I1025" s="179" t="s">
        <v>7788</v>
      </c>
      <c r="J1025" s="177"/>
      <c r="K1025" s="175" t="s">
        <v>62</v>
      </c>
      <c r="L1025" s="180"/>
      <c r="M1025" s="177" t="s">
        <v>38</v>
      </c>
      <c r="N1025" s="175" t="s">
        <v>40</v>
      </c>
      <c r="O1025" s="175" t="s">
        <v>42</v>
      </c>
      <c r="P1025" s="177" t="s">
        <v>3566</v>
      </c>
      <c r="Q1025" s="175" t="s">
        <v>44</v>
      </c>
      <c r="R1025" s="175"/>
      <c r="S1025" s="175"/>
      <c r="T1025" s="180"/>
      <c r="U1025" s="175"/>
      <c r="V1025" s="175">
        <v>5.0</v>
      </c>
    </row>
    <row r="1026">
      <c r="A1026" s="175">
        <v>1026.0</v>
      </c>
      <c r="B1026" s="176">
        <v>46198.0</v>
      </c>
      <c r="C1026" s="175" t="s">
        <v>58</v>
      </c>
      <c r="D1026" s="175" t="s">
        <v>60</v>
      </c>
      <c r="E1026" s="175" t="s">
        <v>27</v>
      </c>
      <c r="F1026" s="178">
        <v>5.05126858E8</v>
      </c>
      <c r="G1026" s="175" t="s">
        <v>27</v>
      </c>
      <c r="H1026" s="175" t="s">
        <v>27</v>
      </c>
      <c r="I1026" s="179" t="s">
        <v>7789</v>
      </c>
      <c r="J1026" s="177"/>
      <c r="K1026" s="175" t="s">
        <v>62</v>
      </c>
      <c r="L1026" s="180"/>
      <c r="M1026" s="181" t="s">
        <v>88</v>
      </c>
      <c r="N1026" s="175" t="s">
        <v>40</v>
      </c>
      <c r="O1026" s="175" t="s">
        <v>42</v>
      </c>
      <c r="P1026" s="177" t="s">
        <v>3566</v>
      </c>
      <c r="Q1026" s="175" t="s">
        <v>44</v>
      </c>
      <c r="R1026" s="175"/>
      <c r="S1026" s="175"/>
      <c r="T1026" s="180"/>
      <c r="U1026" s="175"/>
      <c r="V1026" s="175">
        <v>5.0</v>
      </c>
    </row>
    <row r="1027">
      <c r="A1027" s="175">
        <v>1027.0</v>
      </c>
      <c r="B1027" s="176">
        <v>46198.0</v>
      </c>
      <c r="C1027" s="175" t="s">
        <v>58</v>
      </c>
      <c r="D1027" s="175" t="s">
        <v>60</v>
      </c>
      <c r="E1027" s="198" t="s">
        <v>7790</v>
      </c>
      <c r="F1027" s="178">
        <v>5.50702817E8</v>
      </c>
      <c r="G1027" s="177" t="s">
        <v>41</v>
      </c>
      <c r="H1027" s="175" t="s">
        <v>27</v>
      </c>
      <c r="I1027" s="179" t="s">
        <v>7791</v>
      </c>
      <c r="J1027" s="177" t="s">
        <v>7792</v>
      </c>
      <c r="K1027" s="175" t="s">
        <v>36</v>
      </c>
      <c r="L1027" s="180"/>
      <c r="M1027" s="181" t="s">
        <v>88</v>
      </c>
      <c r="N1027" s="175" t="s">
        <v>40</v>
      </c>
      <c r="O1027" s="175" t="s">
        <v>42</v>
      </c>
      <c r="P1027" s="177" t="s">
        <v>3566</v>
      </c>
      <c r="Q1027" s="175" t="s">
        <v>44</v>
      </c>
      <c r="R1027" s="175"/>
      <c r="S1027" s="175"/>
      <c r="T1027" s="180"/>
      <c r="U1027" s="175"/>
      <c r="V1027" s="175">
        <v>5.0</v>
      </c>
    </row>
    <row r="1028">
      <c r="A1028" s="175">
        <v>1028.0</v>
      </c>
      <c r="B1028" s="176">
        <v>46198.0</v>
      </c>
      <c r="C1028" s="175" t="s">
        <v>21</v>
      </c>
      <c r="D1028" s="175" t="s">
        <v>153</v>
      </c>
      <c r="E1028" s="175" t="s">
        <v>27</v>
      </c>
      <c r="F1028" s="178">
        <v>1.18393193E8</v>
      </c>
      <c r="G1028" s="177" t="s">
        <v>152</v>
      </c>
      <c r="H1028" s="175" t="s">
        <v>27</v>
      </c>
      <c r="I1028" s="179" t="s">
        <v>7793</v>
      </c>
      <c r="J1028" s="177" t="s">
        <v>7794</v>
      </c>
      <c r="K1028" s="175" t="s">
        <v>36</v>
      </c>
      <c r="L1028" s="180"/>
      <c r="M1028" s="460" t="s">
        <v>208</v>
      </c>
      <c r="N1028" s="175" t="s">
        <v>40</v>
      </c>
      <c r="O1028" s="175" t="s">
        <v>42</v>
      </c>
      <c r="P1028" s="177" t="s">
        <v>3566</v>
      </c>
      <c r="Q1028" s="175" t="s">
        <v>44</v>
      </c>
      <c r="R1028" s="175"/>
      <c r="S1028" s="175"/>
      <c r="T1028" s="180"/>
      <c r="U1028" s="175"/>
      <c r="V1028" s="175">
        <v>5.0</v>
      </c>
    </row>
    <row r="1029">
      <c r="A1029" s="175">
        <v>1029.0</v>
      </c>
      <c r="B1029" s="176">
        <v>46198.0</v>
      </c>
      <c r="C1029" s="175" t="s">
        <v>47</v>
      </c>
      <c r="D1029" s="175" t="s">
        <v>92</v>
      </c>
      <c r="E1029" s="175" t="s">
        <v>7795</v>
      </c>
      <c r="F1029" s="178">
        <v>5.37074448E8</v>
      </c>
      <c r="G1029" s="177" t="s">
        <v>76</v>
      </c>
      <c r="H1029" s="175" t="s">
        <v>735</v>
      </c>
      <c r="I1029" s="179" t="s">
        <v>7796</v>
      </c>
      <c r="J1029" s="177"/>
      <c r="K1029" s="175" t="s">
        <v>148</v>
      </c>
      <c r="L1029" s="180"/>
      <c r="M1029" s="27" t="s">
        <v>183</v>
      </c>
      <c r="N1029" s="175" t="s">
        <v>40</v>
      </c>
      <c r="O1029" s="175" t="s">
        <v>518</v>
      </c>
      <c r="P1029" s="177" t="s">
        <v>3765</v>
      </c>
      <c r="Q1029" s="175" t="s">
        <v>44</v>
      </c>
      <c r="R1029" s="175" t="s">
        <v>46</v>
      </c>
      <c r="S1029" s="175"/>
      <c r="T1029" s="180"/>
      <c r="U1029" s="175"/>
      <c r="V1029" s="175">
        <v>5.0</v>
      </c>
    </row>
    <row r="1030">
      <c r="A1030" s="175">
        <v>1030.0</v>
      </c>
      <c r="B1030" s="176">
        <v>46198.0</v>
      </c>
      <c r="C1030" s="175" t="s">
        <v>3766</v>
      </c>
      <c r="D1030" s="175" t="s">
        <v>48</v>
      </c>
      <c r="E1030" s="177" t="s">
        <v>7797</v>
      </c>
      <c r="F1030" s="178">
        <v>5.57157146E8</v>
      </c>
      <c r="G1030" s="175" t="s">
        <v>27</v>
      </c>
      <c r="H1030" s="175" t="s">
        <v>177</v>
      </c>
      <c r="I1030" s="179" t="s">
        <v>7798</v>
      </c>
      <c r="J1030" s="177"/>
      <c r="K1030" s="175" t="s">
        <v>148</v>
      </c>
      <c r="L1030" s="180"/>
      <c r="M1030" s="177" t="s">
        <v>3776</v>
      </c>
      <c r="N1030" s="175" t="s">
        <v>40</v>
      </c>
      <c r="O1030" s="175" t="s">
        <v>42</v>
      </c>
      <c r="P1030" s="177" t="s">
        <v>3566</v>
      </c>
      <c r="Q1030" s="175" t="s">
        <v>44</v>
      </c>
      <c r="R1030" s="175"/>
      <c r="S1030" s="175"/>
      <c r="T1030" s="180"/>
      <c r="U1030" s="175"/>
      <c r="V1030" s="175">
        <v>5.0</v>
      </c>
    </row>
    <row r="1031">
      <c r="A1031" s="175">
        <v>1031.0</v>
      </c>
      <c r="B1031" s="176">
        <v>46198.0</v>
      </c>
      <c r="C1031" s="175" t="s">
        <v>47</v>
      </c>
      <c r="D1031" s="175" t="s">
        <v>138</v>
      </c>
      <c r="E1031" s="175" t="s">
        <v>44</v>
      </c>
      <c r="F1031" s="178">
        <v>5.07945154E8</v>
      </c>
      <c r="G1031" s="177" t="s">
        <v>79</v>
      </c>
      <c r="H1031" s="175" t="s">
        <v>178</v>
      </c>
      <c r="I1031" s="179" t="s">
        <v>7799</v>
      </c>
      <c r="J1031" s="177" t="s">
        <v>7800</v>
      </c>
      <c r="K1031" s="175" t="s">
        <v>148</v>
      </c>
      <c r="L1031" s="180"/>
      <c r="M1031" s="184" t="s">
        <v>183</v>
      </c>
      <c r="N1031" s="175" t="s">
        <v>40</v>
      </c>
      <c r="O1031" s="175" t="s">
        <v>518</v>
      </c>
      <c r="P1031" s="177" t="s">
        <v>3566</v>
      </c>
      <c r="Q1031" s="175" t="s">
        <v>44</v>
      </c>
      <c r="R1031" s="175" t="s">
        <v>46</v>
      </c>
      <c r="S1031" s="175"/>
      <c r="T1031" s="180"/>
      <c r="U1031" s="175"/>
      <c r="V1031" s="175">
        <v>5.0</v>
      </c>
    </row>
    <row r="1032" ht="25.5" customHeight="1">
      <c r="A1032" s="175">
        <v>1032.0</v>
      </c>
      <c r="B1032" s="176">
        <v>46198.0</v>
      </c>
      <c r="C1032" s="175" t="s">
        <v>47</v>
      </c>
      <c r="D1032" s="175" t="s">
        <v>48</v>
      </c>
      <c r="E1032" s="175" t="s">
        <v>7801</v>
      </c>
      <c r="F1032" s="178" t="s">
        <v>27</v>
      </c>
      <c r="G1032" s="177" t="s">
        <v>79</v>
      </c>
      <c r="H1032" s="175" t="s">
        <v>80</v>
      </c>
      <c r="I1032" s="179" t="s">
        <v>7802</v>
      </c>
      <c r="J1032" s="27" t="s">
        <v>7696</v>
      </c>
      <c r="K1032" s="175" t="s">
        <v>78</v>
      </c>
      <c r="L1032" s="180"/>
      <c r="M1032" s="177" t="s">
        <v>101</v>
      </c>
      <c r="N1032" s="175" t="s">
        <v>56</v>
      </c>
      <c r="O1032" s="175" t="s">
        <v>518</v>
      </c>
      <c r="P1032" s="177" t="s">
        <v>3765</v>
      </c>
      <c r="Q1032" s="175" t="s">
        <v>49</v>
      </c>
      <c r="R1032" s="175" t="s">
        <v>46</v>
      </c>
      <c r="S1032" s="175"/>
      <c r="T1032" s="180"/>
      <c r="U1032" s="175" t="s">
        <v>49</v>
      </c>
      <c r="V1032" s="175">
        <v>5.0</v>
      </c>
    </row>
    <row r="1033">
      <c r="A1033" s="175">
        <v>1033.0</v>
      </c>
      <c r="B1033" s="176">
        <v>46198.0</v>
      </c>
      <c r="C1033" s="175" t="s">
        <v>47</v>
      </c>
      <c r="D1033" s="175" t="s">
        <v>48</v>
      </c>
      <c r="E1033" s="175" t="s">
        <v>27</v>
      </c>
      <c r="F1033" s="178" t="s">
        <v>27</v>
      </c>
      <c r="G1033" s="177" t="s">
        <v>41</v>
      </c>
      <c r="H1033" s="175" t="s">
        <v>956</v>
      </c>
      <c r="I1033" s="179" t="s">
        <v>7803</v>
      </c>
      <c r="J1033" s="177"/>
      <c r="K1033" s="175" t="s">
        <v>78</v>
      </c>
      <c r="L1033" s="180"/>
      <c r="M1033" s="177" t="s">
        <v>101</v>
      </c>
      <c r="N1033" s="175" t="s">
        <v>40</v>
      </c>
      <c r="O1033" s="175" t="s">
        <v>518</v>
      </c>
      <c r="P1033" s="177" t="s">
        <v>3765</v>
      </c>
      <c r="Q1033" s="175" t="s">
        <v>49</v>
      </c>
      <c r="R1033" s="175" t="s">
        <v>46</v>
      </c>
      <c r="S1033" s="175"/>
      <c r="T1033" s="180"/>
      <c r="U1033" s="175" t="s">
        <v>49</v>
      </c>
      <c r="V1033" s="175">
        <v>5.0</v>
      </c>
    </row>
    <row r="1034">
      <c r="A1034" s="175">
        <v>1034.0</v>
      </c>
      <c r="B1034" s="176">
        <v>46198.0</v>
      </c>
      <c r="C1034" s="175" t="s">
        <v>58</v>
      </c>
      <c r="D1034" s="175" t="s">
        <v>60</v>
      </c>
      <c r="E1034" s="175" t="s">
        <v>27</v>
      </c>
      <c r="F1034" s="178">
        <v>5.58300177E8</v>
      </c>
      <c r="G1034" s="175" t="s">
        <v>27</v>
      </c>
      <c r="H1034" s="175" t="s">
        <v>27</v>
      </c>
      <c r="I1034" s="179" t="s">
        <v>7804</v>
      </c>
      <c r="J1034" s="177" t="s">
        <v>7805</v>
      </c>
      <c r="K1034" s="175" t="s">
        <v>36</v>
      </c>
      <c r="L1034" s="180"/>
      <c r="M1034" s="181" t="s">
        <v>88</v>
      </c>
      <c r="N1034" s="175" t="s">
        <v>40</v>
      </c>
      <c r="O1034" s="175" t="s">
        <v>42</v>
      </c>
      <c r="P1034" s="177" t="s">
        <v>3566</v>
      </c>
      <c r="Q1034" s="175" t="s">
        <v>44</v>
      </c>
      <c r="R1034" s="175"/>
      <c r="S1034" s="175"/>
      <c r="T1034" s="180"/>
      <c r="U1034" s="175"/>
      <c r="V1034" s="175">
        <v>5.0</v>
      </c>
    </row>
    <row r="1035">
      <c r="A1035" s="175">
        <v>1035.0</v>
      </c>
      <c r="B1035" s="176">
        <v>46198.0</v>
      </c>
      <c r="C1035" s="175" t="s">
        <v>21</v>
      </c>
      <c r="D1035" s="175" t="s">
        <v>24</v>
      </c>
      <c r="E1035" s="177" t="s">
        <v>937</v>
      </c>
      <c r="F1035" s="178">
        <v>5.41866905E8</v>
      </c>
      <c r="G1035" s="175" t="s">
        <v>27</v>
      </c>
      <c r="H1035" s="175" t="s">
        <v>27</v>
      </c>
      <c r="I1035" s="179" t="s">
        <v>7806</v>
      </c>
      <c r="J1035" s="177"/>
      <c r="K1035" s="175" t="s">
        <v>36</v>
      </c>
      <c r="L1035" s="180"/>
      <c r="M1035" s="177" t="s">
        <v>38</v>
      </c>
      <c r="N1035" s="175" t="s">
        <v>56</v>
      </c>
      <c r="O1035" s="175" t="s">
        <v>42</v>
      </c>
      <c r="P1035" s="177" t="s">
        <v>3566</v>
      </c>
      <c r="Q1035" s="175" t="s">
        <v>49</v>
      </c>
      <c r="R1035" s="175"/>
      <c r="S1035" s="175"/>
      <c r="T1035" s="180"/>
      <c r="U1035" s="175"/>
      <c r="V1035" s="175"/>
    </row>
    <row r="1036">
      <c r="A1036" s="175">
        <v>1036.0</v>
      </c>
      <c r="B1036" s="176">
        <v>46198.0</v>
      </c>
      <c r="C1036" s="175" t="s">
        <v>21</v>
      </c>
      <c r="D1036" s="175" t="s">
        <v>24</v>
      </c>
      <c r="E1036" s="177" t="s">
        <v>7807</v>
      </c>
      <c r="F1036" s="178">
        <v>5.4064797E8</v>
      </c>
      <c r="G1036" s="175" t="s">
        <v>27</v>
      </c>
      <c r="H1036" s="175" t="s">
        <v>27</v>
      </c>
      <c r="I1036" s="179" t="s">
        <v>7808</v>
      </c>
      <c r="J1036" s="177"/>
      <c r="K1036" s="175" t="s">
        <v>36</v>
      </c>
      <c r="L1036" s="180"/>
      <c r="M1036" s="177" t="s">
        <v>38</v>
      </c>
      <c r="N1036" s="175" t="s">
        <v>56</v>
      </c>
      <c r="O1036" s="175" t="s">
        <v>42</v>
      </c>
      <c r="P1036" s="177" t="s">
        <v>3566</v>
      </c>
      <c r="Q1036" s="175" t="s">
        <v>49</v>
      </c>
      <c r="R1036" s="175"/>
      <c r="S1036" s="175"/>
      <c r="T1036" s="180"/>
      <c r="U1036" s="175"/>
      <c r="V1036" s="175"/>
    </row>
    <row r="1037">
      <c r="A1037" s="175">
        <v>1037.0</v>
      </c>
      <c r="B1037" s="176">
        <v>46198.0</v>
      </c>
      <c r="C1037" s="175" t="s">
        <v>21</v>
      </c>
      <c r="D1037" s="175" t="s">
        <v>48</v>
      </c>
      <c r="E1037" s="177" t="s">
        <v>7809</v>
      </c>
      <c r="F1037" s="178">
        <v>5.42977782E8</v>
      </c>
      <c r="G1037" s="177" t="s">
        <v>71</v>
      </c>
      <c r="H1037" s="175" t="s">
        <v>27</v>
      </c>
      <c r="I1037" s="179" t="s">
        <v>7810</v>
      </c>
      <c r="J1037" s="177" t="s">
        <v>7811</v>
      </c>
      <c r="K1037" s="175" t="s">
        <v>36</v>
      </c>
      <c r="L1037" s="180"/>
      <c r="M1037" s="177" t="s">
        <v>38</v>
      </c>
      <c r="N1037" s="175" t="s">
        <v>40</v>
      </c>
      <c r="O1037" s="175" t="s">
        <v>42</v>
      </c>
      <c r="P1037" s="177" t="s">
        <v>3566</v>
      </c>
      <c r="Q1037" s="175" t="s">
        <v>44</v>
      </c>
      <c r="R1037" s="175"/>
      <c r="S1037" s="175"/>
      <c r="T1037" s="180"/>
      <c r="U1037" s="175"/>
      <c r="V1037" s="175">
        <v>5.0</v>
      </c>
    </row>
  </sheetData>
  <autoFilter ref="$A$1:$V$1037"/>
  <dataValidations>
    <dataValidation type="list" allowBlank="1" showErrorMessage="1" sqref="O2:O1037">
      <formula1>"High,Medium,Low,Urgent"</formula1>
    </dataValidation>
    <dataValidation type="list" allowBlank="1" showErrorMessage="1" sqref="N2:N1037">
      <formula1>"In process,Closed"</formula1>
    </dataValidation>
    <dataValidation type="list" allowBlank="1" showErrorMessage="1" sqref="R2:R1037">
      <formula1>"Uploaded,Non"</formula1>
    </dataValidation>
    <dataValidation type="list" allowBlank="1" showErrorMessage="1" sqref="U2:U717 S718:S719 S722:S727 S737:S831 S834 S838:S841 S843 S846:S848 S850:S851 S854 S856 S858:S861 S864:S865 S870 S873:S874 S878:S880 S882:S884 S889 S894:S895 S897:S903 S914 S916:S932 S934:S942 S945:S950 S954 S956:S963 S965:S968 S970:S974 S978:S981 S987 S994:S1004 S1009:S1010 S1012:S1017 S1019:S1028 S1030 Q2:Q1037 S1034:S1037 U720:U1037">
      <formula1>"Samia,Amani,Dania"</formula1>
    </dataValidation>
    <dataValidation type="list" allowBlank="1" showErrorMessage="1" sqref="C2:C1037">
      <formula1>"Complaint,Requests,inquiries,suggestion"</formula1>
    </dataValidation>
    <dataValidation type="list" allowBlank="1" showErrorMessage="1" sqref="K2:K1037">
      <formula1>"Call,Google maps,X,Tiktok,SurveyApp,Email,Website,Instgram,Voicemaill,WhatsApp"</formula1>
    </dataValidation>
    <dataValidation type="list" allowBlank="1" showErrorMessage="1" sqref="V2:V717 U718:U719 V720:V1037">
      <formula1>"0,1,2,3,4,5"</formula1>
    </dataValidation>
    <dataValidation type="list" allowBlank="1" showErrorMessage="1" sqref="D2:D1037">
      <formula1>"Customer S,Operations ,Investment,Real Estate,Franchise ,Marketing ,Maintenance,Environment,Project M,HR,Procurement,Finance,IT"</formula1>
    </dataValidation>
    <dataValidation type="list" allowBlank="1" showErrorMessage="1" sqref="P23 P32 T2:T230 S231:T231 P36:P1037 T232:T1037">
      <formula1>"خلال 24 ساعة عمل ,خلال 2-5 ايام عمل ,خلال 7 ايام عمل "</formula1>
    </dataValidation>
  </dataValidations>
  <hyperlinks>
    <hyperlink r:id="rId1" ref="I194"/>
    <hyperlink r:id="rId2" ref="I407"/>
    <hyperlink r:id="rId3" ref="I411"/>
    <hyperlink r:id="rId4" ref="I412"/>
    <hyperlink r:id="rId5" ref="I420"/>
    <hyperlink r:id="rId6" ref="I520"/>
    <hyperlink r:id="rId7" ref="I559"/>
    <hyperlink r:id="rId8" ref="I844"/>
    <hyperlink r:id="rId9" ref="I965"/>
  </hyperlinks>
  <printOptions gridLines="1" horizontalCentered="1"/>
  <pageMargins bottom="0.75" footer="0.0" header="0.0" left="0.7" right="0.7" top="0.75"/>
  <pageSetup fitToHeight="0" paperSize="13" cellComments="atEnd" orientation="landscape" pageOrder="overThenDown"/>
  <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3.13"/>
    <col customWidth="1" min="2" max="2" width="9.25"/>
    <col customWidth="1" min="3" max="3" width="14.88"/>
    <col customWidth="1" min="4" max="4" width="14.0"/>
    <col customWidth="1" min="5" max="5" width="10.25"/>
    <col customWidth="1" min="6" max="6" width="9.75"/>
    <col customWidth="1" min="7" max="7" width="6.5"/>
    <col customWidth="1" min="8" max="8" width="8.75"/>
    <col customWidth="1" min="9" max="9" width="43.25"/>
    <col customWidth="1" min="10" max="10" width="26.5"/>
    <col customWidth="1" min="11" max="11" width="14.63"/>
    <col customWidth="1" min="12" max="12" width="11.38"/>
    <col customWidth="1" min="13" max="13" width="13.38"/>
    <col customWidth="1" min="14" max="14" width="15.13"/>
    <col customWidth="1" min="15" max="15" width="14.13"/>
    <col customWidth="1" min="16" max="16" width="15.13"/>
    <col customWidth="1" min="17" max="17" width="12.13"/>
    <col customWidth="1" min="18" max="18" width="14.75"/>
    <col customWidth="1" min="20" max="20" width="10.38"/>
  </cols>
  <sheetData>
    <row r="1" ht="30.75" customHeight="1">
      <c r="A1" s="186" t="s">
        <v>3750</v>
      </c>
      <c r="B1" s="186" t="s">
        <v>0</v>
      </c>
      <c r="C1" s="187" t="s">
        <v>1</v>
      </c>
      <c r="D1" s="186" t="s">
        <v>2</v>
      </c>
      <c r="E1" s="187" t="s">
        <v>4</v>
      </c>
      <c r="F1" s="186" t="s">
        <v>3751</v>
      </c>
      <c r="G1" s="186" t="s">
        <v>6</v>
      </c>
      <c r="H1" s="186" t="s">
        <v>7</v>
      </c>
      <c r="I1" s="5" t="s">
        <v>8</v>
      </c>
      <c r="J1" s="186" t="s">
        <v>9</v>
      </c>
      <c r="K1" s="187" t="s">
        <v>10</v>
      </c>
      <c r="L1" s="189" t="s">
        <v>14</v>
      </c>
      <c r="M1" s="189" t="s">
        <v>12</v>
      </c>
      <c r="N1" s="189" t="s">
        <v>3756</v>
      </c>
      <c r="O1" s="190" t="s">
        <v>13</v>
      </c>
      <c r="P1" s="189" t="s">
        <v>15</v>
      </c>
      <c r="Q1" s="186" t="s">
        <v>16</v>
      </c>
      <c r="R1" s="186" t="s">
        <v>17</v>
      </c>
      <c r="S1" s="191" t="s">
        <v>19</v>
      </c>
      <c r="T1" s="187" t="s">
        <v>20</v>
      </c>
    </row>
    <row r="2" ht="31.5" hidden="1" customHeight="1">
      <c r="A2" s="193">
        <v>1.0</v>
      </c>
      <c r="B2" s="194">
        <v>46204.0</v>
      </c>
      <c r="C2" s="193" t="s">
        <v>3766</v>
      </c>
      <c r="D2" s="193" t="s">
        <v>57</v>
      </c>
      <c r="E2" s="195" t="s">
        <v>3769</v>
      </c>
      <c r="F2" s="196">
        <v>5.55511709E8</v>
      </c>
      <c r="G2" s="195" t="s">
        <v>41</v>
      </c>
      <c r="H2" s="193" t="s">
        <v>27</v>
      </c>
      <c r="I2" s="197" t="s">
        <v>3773</v>
      </c>
      <c r="J2" s="195"/>
      <c r="K2" s="193" t="s">
        <v>36</v>
      </c>
      <c r="L2" s="193"/>
      <c r="M2" s="195" t="s">
        <v>3776</v>
      </c>
      <c r="N2" s="195"/>
      <c r="O2" s="193" t="s">
        <v>40</v>
      </c>
      <c r="P2" s="195"/>
      <c r="Q2" s="193" t="s">
        <v>44</v>
      </c>
      <c r="R2" s="193"/>
      <c r="S2" s="193"/>
      <c r="T2" s="193">
        <v>5.0</v>
      </c>
    </row>
    <row r="3" ht="114.75" hidden="1" customHeight="1">
      <c r="A3" s="193">
        <v>2.0</v>
      </c>
      <c r="B3" s="194">
        <v>46204.0</v>
      </c>
      <c r="C3" s="193" t="s">
        <v>47</v>
      </c>
      <c r="D3" s="193" t="s">
        <v>24</v>
      </c>
      <c r="E3" s="195" t="s">
        <v>690</v>
      </c>
      <c r="F3" s="196">
        <v>5.91309582E8</v>
      </c>
      <c r="G3" s="195" t="s">
        <v>41</v>
      </c>
      <c r="H3" s="193" t="s">
        <v>791</v>
      </c>
      <c r="I3" s="197" t="s">
        <v>3781</v>
      </c>
      <c r="J3" s="195" t="s">
        <v>3782</v>
      </c>
      <c r="K3" s="193" t="s">
        <v>36</v>
      </c>
      <c r="L3" s="193"/>
      <c r="M3" s="195" t="s">
        <v>55</v>
      </c>
      <c r="N3" s="195"/>
      <c r="O3" s="193" t="s">
        <v>40</v>
      </c>
      <c r="P3" s="195"/>
      <c r="Q3" s="193" t="s">
        <v>44</v>
      </c>
      <c r="R3" s="193"/>
      <c r="S3" s="193"/>
      <c r="T3" s="193">
        <v>5.0</v>
      </c>
    </row>
    <row r="4" ht="43.5" hidden="1" customHeight="1">
      <c r="A4" s="193">
        <v>3.0</v>
      </c>
      <c r="B4" s="194">
        <v>46204.0</v>
      </c>
      <c r="C4" s="193" t="s">
        <v>21</v>
      </c>
      <c r="D4" s="193" t="s">
        <v>22</v>
      </c>
      <c r="E4" s="195" t="s">
        <v>1608</v>
      </c>
      <c r="F4" s="196">
        <v>5.33355932E8</v>
      </c>
      <c r="G4" s="195" t="s">
        <v>79</v>
      </c>
      <c r="H4" s="193" t="s">
        <v>27</v>
      </c>
      <c r="I4" s="197" t="s">
        <v>3785</v>
      </c>
      <c r="J4" s="195"/>
      <c r="K4" s="193" t="s">
        <v>36</v>
      </c>
      <c r="L4" s="193"/>
      <c r="M4" s="195" t="s">
        <v>125</v>
      </c>
      <c r="N4" s="195"/>
      <c r="O4" s="193" t="s">
        <v>40</v>
      </c>
      <c r="P4" s="195"/>
      <c r="Q4" s="193" t="s">
        <v>44</v>
      </c>
      <c r="R4" s="193" t="s">
        <v>46</v>
      </c>
      <c r="S4" s="193"/>
      <c r="T4" s="193">
        <v>5.0</v>
      </c>
    </row>
    <row r="5" hidden="1">
      <c r="A5" s="193">
        <v>4.0</v>
      </c>
      <c r="B5" s="194">
        <v>46204.0</v>
      </c>
      <c r="C5" s="193" t="s">
        <v>21</v>
      </c>
      <c r="D5" s="193" t="s">
        <v>22</v>
      </c>
      <c r="E5" s="195" t="s">
        <v>3787</v>
      </c>
      <c r="F5" s="196">
        <v>5.54242494E8</v>
      </c>
      <c r="G5" s="195" t="s">
        <v>152</v>
      </c>
      <c r="H5" s="193" t="s">
        <v>27</v>
      </c>
      <c r="I5" s="197" t="s">
        <v>3789</v>
      </c>
      <c r="J5" s="195"/>
      <c r="K5" s="193" t="s">
        <v>321</v>
      </c>
      <c r="L5" s="193" t="s">
        <v>42</v>
      </c>
      <c r="M5" s="195" t="s">
        <v>1389</v>
      </c>
      <c r="N5" s="195"/>
      <c r="O5" s="193" t="s">
        <v>40</v>
      </c>
      <c r="P5" s="195"/>
      <c r="Q5" s="193" t="s">
        <v>49</v>
      </c>
      <c r="R5" s="193"/>
      <c r="S5" s="193"/>
      <c r="T5" s="193">
        <v>5.0</v>
      </c>
    </row>
    <row r="6" hidden="1">
      <c r="A6" s="193">
        <v>5.0</v>
      </c>
      <c r="B6" s="194">
        <v>46204.0</v>
      </c>
      <c r="C6" s="193" t="s">
        <v>58</v>
      </c>
      <c r="D6" s="193" t="s">
        <v>60</v>
      </c>
      <c r="E6" s="193" t="s">
        <v>27</v>
      </c>
      <c r="F6" s="196">
        <v>5.40479008E8</v>
      </c>
      <c r="G6" s="193" t="s">
        <v>27</v>
      </c>
      <c r="H6" s="193" t="s">
        <v>27</v>
      </c>
      <c r="I6" s="197" t="s">
        <v>554</v>
      </c>
      <c r="J6" s="195"/>
      <c r="K6" s="193" t="s">
        <v>36</v>
      </c>
      <c r="L6" s="193"/>
      <c r="M6" s="195" t="s">
        <v>88</v>
      </c>
      <c r="N6" s="195"/>
      <c r="O6" s="193" t="s">
        <v>40</v>
      </c>
      <c r="P6" s="195"/>
      <c r="Q6" s="193" t="s">
        <v>44</v>
      </c>
      <c r="R6" s="193"/>
      <c r="S6" s="193"/>
      <c r="T6" s="193">
        <v>5.0</v>
      </c>
    </row>
    <row r="7" hidden="1">
      <c r="A7" s="193">
        <v>6.0</v>
      </c>
      <c r="B7" s="194">
        <v>46204.0</v>
      </c>
      <c r="C7" s="193" t="s">
        <v>58</v>
      </c>
      <c r="D7" s="193" t="s">
        <v>60</v>
      </c>
      <c r="E7" s="193" t="s">
        <v>27</v>
      </c>
      <c r="F7" s="196">
        <v>5.76305313E8</v>
      </c>
      <c r="G7" s="193" t="s">
        <v>27</v>
      </c>
      <c r="H7" s="193" t="s">
        <v>27</v>
      </c>
      <c r="I7" s="197" t="s">
        <v>554</v>
      </c>
      <c r="J7" s="195"/>
      <c r="K7" s="193" t="s">
        <v>36</v>
      </c>
      <c r="L7" s="193"/>
      <c r="M7" s="195" t="s">
        <v>88</v>
      </c>
      <c r="N7" s="195"/>
      <c r="O7" s="193" t="s">
        <v>40</v>
      </c>
      <c r="P7" s="195"/>
      <c r="Q7" s="193" t="s">
        <v>44</v>
      </c>
      <c r="R7" s="193"/>
      <c r="S7" s="193"/>
      <c r="T7" s="193">
        <v>5.0</v>
      </c>
    </row>
    <row r="8" hidden="1">
      <c r="A8" s="193">
        <v>7.0</v>
      </c>
      <c r="B8" s="194">
        <v>46204.0</v>
      </c>
      <c r="C8" s="193" t="s">
        <v>58</v>
      </c>
      <c r="D8" s="193" t="s">
        <v>60</v>
      </c>
      <c r="E8" s="193" t="s">
        <v>27</v>
      </c>
      <c r="F8" s="196">
        <v>5.48189223E8</v>
      </c>
      <c r="G8" s="193" t="s">
        <v>27</v>
      </c>
      <c r="H8" s="193" t="s">
        <v>27</v>
      </c>
      <c r="I8" s="197" t="s">
        <v>554</v>
      </c>
      <c r="J8" s="195"/>
      <c r="K8" s="193" t="s">
        <v>36</v>
      </c>
      <c r="L8" s="193"/>
      <c r="M8" s="195" t="s">
        <v>88</v>
      </c>
      <c r="N8" s="195"/>
      <c r="O8" s="193" t="s">
        <v>40</v>
      </c>
      <c r="P8" s="195"/>
      <c r="Q8" s="193" t="s">
        <v>44</v>
      </c>
      <c r="R8" s="193"/>
      <c r="S8" s="193"/>
      <c r="T8" s="193">
        <v>5.0</v>
      </c>
    </row>
    <row r="9" hidden="1">
      <c r="A9" s="193">
        <v>8.0</v>
      </c>
      <c r="B9" s="194">
        <v>46204.0</v>
      </c>
      <c r="C9" s="193" t="s">
        <v>21</v>
      </c>
      <c r="D9" s="193" t="s">
        <v>60</v>
      </c>
      <c r="E9" s="193" t="s">
        <v>27</v>
      </c>
      <c r="F9" s="196">
        <v>5.55506657E8</v>
      </c>
      <c r="G9" s="193" t="s">
        <v>27</v>
      </c>
      <c r="H9" s="193" t="s">
        <v>27</v>
      </c>
      <c r="I9" s="197" t="s">
        <v>90</v>
      </c>
      <c r="J9" s="195"/>
      <c r="K9" s="193" t="s">
        <v>36</v>
      </c>
      <c r="L9" s="193"/>
      <c r="M9" s="195" t="s">
        <v>38</v>
      </c>
      <c r="N9" s="195"/>
      <c r="O9" s="193" t="s">
        <v>40</v>
      </c>
      <c r="P9" s="195"/>
      <c r="Q9" s="193" t="s">
        <v>44</v>
      </c>
      <c r="R9" s="193"/>
      <c r="S9" s="193"/>
      <c r="T9" s="193">
        <v>5.0</v>
      </c>
    </row>
    <row r="10" hidden="1">
      <c r="A10" s="193">
        <v>9.0</v>
      </c>
      <c r="B10" s="194">
        <v>46204.0</v>
      </c>
      <c r="C10" s="193" t="s">
        <v>21</v>
      </c>
      <c r="D10" s="193" t="s">
        <v>60</v>
      </c>
      <c r="E10" s="193" t="s">
        <v>27</v>
      </c>
      <c r="F10" s="196">
        <v>5.09849571E8</v>
      </c>
      <c r="G10" s="193" t="s">
        <v>27</v>
      </c>
      <c r="H10" s="193" t="s">
        <v>27</v>
      </c>
      <c r="I10" s="197" t="s">
        <v>3804</v>
      </c>
      <c r="J10" s="195"/>
      <c r="K10" s="193" t="s">
        <v>65</v>
      </c>
      <c r="L10" s="193"/>
      <c r="M10" s="195" t="s">
        <v>38</v>
      </c>
      <c r="N10" s="195"/>
      <c r="O10" s="193" t="s">
        <v>40</v>
      </c>
      <c r="P10" s="195"/>
      <c r="Q10" s="193" t="s">
        <v>44</v>
      </c>
      <c r="R10" s="193"/>
      <c r="S10" s="193"/>
      <c r="T10" s="193">
        <v>5.0</v>
      </c>
    </row>
    <row r="11" hidden="1">
      <c r="A11" s="193">
        <v>10.0</v>
      </c>
      <c r="B11" s="194">
        <v>46204.0</v>
      </c>
      <c r="C11" s="193" t="s">
        <v>21</v>
      </c>
      <c r="D11" s="193" t="s">
        <v>60</v>
      </c>
      <c r="E11" s="193" t="s">
        <v>27</v>
      </c>
      <c r="F11" s="196">
        <v>5.82203909E8</v>
      </c>
      <c r="G11" s="193" t="s">
        <v>27</v>
      </c>
      <c r="H11" s="193" t="s">
        <v>27</v>
      </c>
      <c r="I11" s="197" t="s">
        <v>3810</v>
      </c>
      <c r="J11" s="195"/>
      <c r="K11" s="193" t="s">
        <v>65</v>
      </c>
      <c r="L11" s="193"/>
      <c r="M11" s="195" t="s">
        <v>38</v>
      </c>
      <c r="N11" s="195"/>
      <c r="O11" s="193" t="s">
        <v>40</v>
      </c>
      <c r="P11" s="195"/>
      <c r="Q11" s="193" t="s">
        <v>44</v>
      </c>
      <c r="R11" s="193"/>
      <c r="S11" s="193"/>
      <c r="T11" s="193">
        <v>5.0</v>
      </c>
    </row>
    <row r="12" ht="55.5" hidden="1" customHeight="1">
      <c r="A12" s="193">
        <v>11.0</v>
      </c>
      <c r="B12" s="194">
        <v>46204.0</v>
      </c>
      <c r="C12" s="193" t="s">
        <v>47</v>
      </c>
      <c r="D12" s="193" t="s">
        <v>48</v>
      </c>
      <c r="E12" s="195" t="s">
        <v>3813</v>
      </c>
      <c r="F12" s="196">
        <v>5.03943281E8</v>
      </c>
      <c r="G12" s="195" t="s">
        <v>41</v>
      </c>
      <c r="H12" s="193" t="s">
        <v>1220</v>
      </c>
      <c r="I12" s="197" t="s">
        <v>3815</v>
      </c>
      <c r="J12" s="195" t="s">
        <v>3816</v>
      </c>
      <c r="K12" s="193" t="s">
        <v>36</v>
      </c>
      <c r="L12" s="193" t="s">
        <v>518</v>
      </c>
      <c r="M12" s="195" t="s">
        <v>101</v>
      </c>
      <c r="N12" s="195"/>
      <c r="O12" s="193" t="s">
        <v>56</v>
      </c>
      <c r="P12" s="195" t="s">
        <v>3765</v>
      </c>
      <c r="Q12" s="193" t="s">
        <v>44</v>
      </c>
      <c r="R12" s="193" t="s">
        <v>46</v>
      </c>
      <c r="S12" s="193" t="s">
        <v>44</v>
      </c>
      <c r="T12" s="193">
        <v>5.0</v>
      </c>
    </row>
    <row r="13" hidden="1">
      <c r="A13" s="193">
        <v>12.0</v>
      </c>
      <c r="B13" s="194">
        <v>46204.0</v>
      </c>
      <c r="C13" s="193" t="s">
        <v>58</v>
      </c>
      <c r="D13" s="193" t="s">
        <v>60</v>
      </c>
      <c r="E13" s="195" t="s">
        <v>3820</v>
      </c>
      <c r="F13" s="196">
        <v>5.04478543E8</v>
      </c>
      <c r="G13" s="195" t="s">
        <v>76</v>
      </c>
      <c r="H13" s="193" t="s">
        <v>27</v>
      </c>
      <c r="I13" s="197" t="s">
        <v>3821</v>
      </c>
      <c r="J13" s="195"/>
      <c r="K13" s="193" t="s">
        <v>36</v>
      </c>
      <c r="L13" s="193"/>
      <c r="M13" s="195" t="s">
        <v>88</v>
      </c>
      <c r="N13" s="195"/>
      <c r="O13" s="193" t="s">
        <v>40</v>
      </c>
      <c r="P13" s="195"/>
      <c r="Q13" s="193" t="s">
        <v>44</v>
      </c>
      <c r="R13" s="193"/>
      <c r="S13" s="193"/>
      <c r="T13" s="193">
        <v>5.0</v>
      </c>
    </row>
    <row r="14" ht="76.5" hidden="1" customHeight="1">
      <c r="A14" s="193">
        <v>13.0</v>
      </c>
      <c r="B14" s="194">
        <v>46204.0</v>
      </c>
      <c r="C14" s="193" t="s">
        <v>47</v>
      </c>
      <c r="D14" s="193" t="s">
        <v>92</v>
      </c>
      <c r="E14" s="202" t="s">
        <v>3823</v>
      </c>
      <c r="F14" s="203">
        <v>5.480802E8</v>
      </c>
      <c r="G14" s="195" t="s">
        <v>319</v>
      </c>
      <c r="H14" s="193" t="s">
        <v>3826</v>
      </c>
      <c r="I14" s="197" t="s">
        <v>3827</v>
      </c>
      <c r="J14" s="195" t="s">
        <v>3828</v>
      </c>
      <c r="K14" s="193" t="s">
        <v>36</v>
      </c>
      <c r="L14" s="193" t="s">
        <v>518</v>
      </c>
      <c r="M14" s="195" t="s">
        <v>101</v>
      </c>
      <c r="N14" s="195"/>
      <c r="O14" s="193" t="s">
        <v>40</v>
      </c>
      <c r="P14" s="195" t="s">
        <v>3765</v>
      </c>
      <c r="Q14" s="193" t="s">
        <v>44</v>
      </c>
      <c r="R14" s="193" t="s">
        <v>46</v>
      </c>
      <c r="S14" s="193"/>
      <c r="T14" s="193">
        <v>5.0</v>
      </c>
    </row>
    <row r="15" ht="76.5" hidden="1" customHeight="1">
      <c r="A15" s="193">
        <v>14.0</v>
      </c>
      <c r="B15" s="194">
        <v>46204.0</v>
      </c>
      <c r="C15" s="193" t="s">
        <v>58</v>
      </c>
      <c r="D15" s="193" t="s">
        <v>60</v>
      </c>
      <c r="E15" s="193" t="s">
        <v>27</v>
      </c>
      <c r="F15" s="196">
        <v>5.00723908E8</v>
      </c>
      <c r="G15" s="193" t="s">
        <v>27</v>
      </c>
      <c r="H15" s="193" t="s">
        <v>27</v>
      </c>
      <c r="I15" s="197" t="s">
        <v>3831</v>
      </c>
      <c r="J15" s="195"/>
      <c r="K15" s="193" t="s">
        <v>65</v>
      </c>
      <c r="L15" s="193"/>
      <c r="M15" s="195" t="s">
        <v>38</v>
      </c>
      <c r="N15" s="195"/>
      <c r="O15" s="193" t="s">
        <v>40</v>
      </c>
      <c r="P15" s="195"/>
      <c r="Q15" s="193" t="s">
        <v>44</v>
      </c>
      <c r="R15" s="193"/>
      <c r="S15" s="193"/>
      <c r="T15" s="193">
        <v>5.0</v>
      </c>
    </row>
    <row r="16" ht="76.5" hidden="1" customHeight="1">
      <c r="A16" s="193">
        <v>15.0</v>
      </c>
      <c r="B16" s="194">
        <v>46204.0</v>
      </c>
      <c r="C16" s="193" t="s">
        <v>21</v>
      </c>
      <c r="D16" s="193" t="s">
        <v>24</v>
      </c>
      <c r="E16" s="195" t="s">
        <v>3836</v>
      </c>
      <c r="F16" s="196">
        <v>5.94426327E8</v>
      </c>
      <c r="G16" s="195" t="s">
        <v>152</v>
      </c>
      <c r="H16" s="193" t="s">
        <v>27</v>
      </c>
      <c r="I16" s="197" t="s">
        <v>3837</v>
      </c>
      <c r="J16" s="195"/>
      <c r="K16" s="193" t="s">
        <v>36</v>
      </c>
      <c r="L16" s="193"/>
      <c r="M16" s="195" t="s">
        <v>38</v>
      </c>
      <c r="N16" s="195"/>
      <c r="O16" s="193" t="s">
        <v>40</v>
      </c>
      <c r="P16" s="195"/>
      <c r="Q16" s="193" t="s">
        <v>44</v>
      </c>
      <c r="R16" s="193" t="s">
        <v>46</v>
      </c>
      <c r="S16" s="193"/>
      <c r="T16" s="193">
        <v>5.0</v>
      </c>
    </row>
    <row r="17" ht="76.5" hidden="1" customHeight="1">
      <c r="A17" s="193">
        <v>16.0</v>
      </c>
      <c r="B17" s="194">
        <v>46204.0</v>
      </c>
      <c r="C17" s="193" t="s">
        <v>58</v>
      </c>
      <c r="D17" s="193" t="s">
        <v>60</v>
      </c>
      <c r="E17" s="193" t="s">
        <v>27</v>
      </c>
      <c r="F17" s="196">
        <v>1.33419558E8</v>
      </c>
      <c r="G17" s="193" t="s">
        <v>27</v>
      </c>
      <c r="H17" s="193" t="s">
        <v>27</v>
      </c>
      <c r="I17" s="197" t="s">
        <v>3839</v>
      </c>
      <c r="J17" s="195"/>
      <c r="K17" s="193" t="s">
        <v>65</v>
      </c>
      <c r="L17" s="193"/>
      <c r="M17" s="195" t="s">
        <v>38</v>
      </c>
      <c r="N17" s="195"/>
      <c r="O17" s="193" t="s">
        <v>40</v>
      </c>
      <c r="P17" s="195"/>
      <c r="Q17" s="193" t="s">
        <v>44</v>
      </c>
      <c r="R17" s="193"/>
      <c r="S17" s="193"/>
      <c r="T17" s="193">
        <v>5.0</v>
      </c>
    </row>
    <row r="18" ht="76.5" hidden="1" customHeight="1">
      <c r="A18" s="193">
        <v>17.0</v>
      </c>
      <c r="B18" s="194">
        <v>46204.0</v>
      </c>
      <c r="C18" s="193" t="s">
        <v>58</v>
      </c>
      <c r="D18" s="193" t="s">
        <v>60</v>
      </c>
      <c r="E18" s="193" t="s">
        <v>27</v>
      </c>
      <c r="F18" s="196">
        <v>5.9170522E8</v>
      </c>
      <c r="G18" s="193" t="s">
        <v>27</v>
      </c>
      <c r="H18" s="193" t="s">
        <v>27</v>
      </c>
      <c r="I18" s="197" t="s">
        <v>3843</v>
      </c>
      <c r="J18" s="195"/>
      <c r="K18" s="193" t="s">
        <v>65</v>
      </c>
      <c r="L18" s="193"/>
      <c r="M18" s="195" t="s">
        <v>38</v>
      </c>
      <c r="N18" s="195"/>
      <c r="O18" s="193" t="s">
        <v>40</v>
      </c>
      <c r="P18" s="195"/>
      <c r="Q18" s="193" t="s">
        <v>44</v>
      </c>
      <c r="R18" s="193"/>
      <c r="S18" s="193"/>
      <c r="T18" s="193">
        <v>5.0</v>
      </c>
    </row>
    <row r="19" ht="76.5" hidden="1" customHeight="1">
      <c r="A19" s="193">
        <v>18.0</v>
      </c>
      <c r="B19" s="194">
        <v>46204.0</v>
      </c>
      <c r="C19" s="193" t="s">
        <v>21</v>
      </c>
      <c r="D19" s="193" t="s">
        <v>66</v>
      </c>
      <c r="E19" s="193" t="s">
        <v>27</v>
      </c>
      <c r="F19" s="196">
        <v>5.60085877E8</v>
      </c>
      <c r="G19" s="193" t="s">
        <v>27</v>
      </c>
      <c r="H19" s="193" t="s">
        <v>27</v>
      </c>
      <c r="I19" s="197" t="s">
        <v>3846</v>
      </c>
      <c r="J19" s="195"/>
      <c r="K19" s="193" t="s">
        <v>62</v>
      </c>
      <c r="L19" s="193"/>
      <c r="M19" s="195" t="s">
        <v>38</v>
      </c>
      <c r="N19" s="195"/>
      <c r="O19" s="193" t="s">
        <v>40</v>
      </c>
      <c r="P19" s="195"/>
      <c r="Q19" s="193" t="s">
        <v>44</v>
      </c>
      <c r="R19" s="193"/>
      <c r="S19" s="193"/>
      <c r="T19" s="193">
        <v>5.0</v>
      </c>
    </row>
    <row r="20" ht="76.5" hidden="1" customHeight="1">
      <c r="A20" s="193">
        <v>19.0</v>
      </c>
      <c r="B20" s="194">
        <v>46204.0</v>
      </c>
      <c r="C20" s="193" t="s">
        <v>21</v>
      </c>
      <c r="D20" s="193" t="s">
        <v>24</v>
      </c>
      <c r="E20" s="195" t="s">
        <v>3849</v>
      </c>
      <c r="F20" s="196">
        <v>5.4567003E8</v>
      </c>
      <c r="G20" s="193" t="s">
        <v>27</v>
      </c>
      <c r="H20" s="193" t="s">
        <v>27</v>
      </c>
      <c r="I20" s="197" t="s">
        <v>3850</v>
      </c>
      <c r="J20" s="195"/>
      <c r="K20" s="193" t="s">
        <v>62</v>
      </c>
      <c r="L20" s="193"/>
      <c r="M20" s="195" t="s">
        <v>38</v>
      </c>
      <c r="N20" s="195"/>
      <c r="O20" s="193" t="s">
        <v>40</v>
      </c>
      <c r="P20" s="195"/>
      <c r="Q20" s="193" t="s">
        <v>44</v>
      </c>
      <c r="R20" s="193" t="s">
        <v>46</v>
      </c>
      <c r="S20" s="193"/>
      <c r="T20" s="193">
        <v>5.0</v>
      </c>
    </row>
    <row r="21" ht="76.5" hidden="1" customHeight="1">
      <c r="A21" s="193">
        <v>20.0</v>
      </c>
      <c r="B21" s="194">
        <v>46204.0</v>
      </c>
      <c r="C21" s="193" t="s">
        <v>21</v>
      </c>
      <c r="D21" s="193" t="s">
        <v>24</v>
      </c>
      <c r="E21" s="195" t="s">
        <v>3857</v>
      </c>
      <c r="F21" s="196">
        <v>5.08647511E8</v>
      </c>
      <c r="G21" s="195" t="s">
        <v>172</v>
      </c>
      <c r="H21" s="193" t="s">
        <v>27</v>
      </c>
      <c r="I21" s="197" t="s">
        <v>3858</v>
      </c>
      <c r="J21" s="195"/>
      <c r="K21" s="193" t="s">
        <v>62</v>
      </c>
      <c r="L21" s="193"/>
      <c r="M21" s="195" t="s">
        <v>38</v>
      </c>
      <c r="N21" s="195"/>
      <c r="O21" s="193" t="s">
        <v>40</v>
      </c>
      <c r="P21" s="195"/>
      <c r="Q21" s="193" t="s">
        <v>44</v>
      </c>
      <c r="R21" s="193" t="s">
        <v>46</v>
      </c>
      <c r="S21" s="193"/>
      <c r="T21" s="193">
        <v>5.0</v>
      </c>
    </row>
    <row r="22" ht="76.5" hidden="1" customHeight="1">
      <c r="A22" s="193">
        <v>21.0</v>
      </c>
      <c r="B22" s="194">
        <v>46204.0</v>
      </c>
      <c r="C22" s="193" t="s">
        <v>21</v>
      </c>
      <c r="D22" s="193" t="s">
        <v>22</v>
      </c>
      <c r="E22" s="195" t="s">
        <v>3860</v>
      </c>
      <c r="F22" s="196">
        <v>5.65605547E8</v>
      </c>
      <c r="G22" s="195" t="s">
        <v>41</v>
      </c>
      <c r="H22" s="193" t="s">
        <v>27</v>
      </c>
      <c r="I22" s="197" t="s">
        <v>3861</v>
      </c>
      <c r="J22" s="195"/>
      <c r="K22" s="193" t="s">
        <v>62</v>
      </c>
      <c r="L22" s="193"/>
      <c r="M22" s="195" t="s">
        <v>38</v>
      </c>
      <c r="N22" s="195"/>
      <c r="O22" s="193" t="s">
        <v>40</v>
      </c>
      <c r="P22" s="195"/>
      <c r="Q22" s="193" t="s">
        <v>44</v>
      </c>
      <c r="R22" s="193" t="s">
        <v>46</v>
      </c>
      <c r="S22" s="193"/>
      <c r="T22" s="193">
        <v>5.0</v>
      </c>
    </row>
    <row r="23" ht="76.5" hidden="1" customHeight="1">
      <c r="A23" s="193">
        <v>22.0</v>
      </c>
      <c r="B23" s="194">
        <v>46204.0</v>
      </c>
      <c r="C23" s="193" t="s">
        <v>47</v>
      </c>
      <c r="D23" s="193" t="s">
        <v>92</v>
      </c>
      <c r="E23" s="195" t="s">
        <v>108</v>
      </c>
      <c r="F23" s="196">
        <v>5.55943337E8</v>
      </c>
      <c r="G23" s="195" t="s">
        <v>28</v>
      </c>
      <c r="H23" s="193" t="s">
        <v>777</v>
      </c>
      <c r="I23" s="197" t="s">
        <v>3867</v>
      </c>
      <c r="J23" s="195" t="s">
        <v>3868</v>
      </c>
      <c r="K23" s="193" t="s">
        <v>62</v>
      </c>
      <c r="L23" s="193" t="s">
        <v>518</v>
      </c>
      <c r="M23" s="195" t="s">
        <v>101</v>
      </c>
      <c r="N23" s="195"/>
      <c r="O23" s="193" t="s">
        <v>40</v>
      </c>
      <c r="P23" s="195" t="s">
        <v>3765</v>
      </c>
      <c r="Q23" s="193" t="s">
        <v>44</v>
      </c>
      <c r="R23" s="193" t="s">
        <v>46</v>
      </c>
      <c r="S23" s="193"/>
      <c r="T23" s="193">
        <v>5.0</v>
      </c>
    </row>
    <row r="24" hidden="1">
      <c r="A24" s="193">
        <v>23.0</v>
      </c>
      <c r="B24" s="194">
        <v>46204.0</v>
      </c>
      <c r="C24" s="193" t="s">
        <v>58</v>
      </c>
      <c r="D24" s="193" t="s">
        <v>60</v>
      </c>
      <c r="E24" s="202" t="s">
        <v>3874</v>
      </c>
      <c r="F24" s="196">
        <v>5.0465295E8</v>
      </c>
      <c r="G24" s="193" t="s">
        <v>27</v>
      </c>
      <c r="H24" s="193" t="s">
        <v>27</v>
      </c>
      <c r="I24" s="197" t="s">
        <v>3875</v>
      </c>
      <c r="J24" s="195"/>
      <c r="K24" s="193" t="s">
        <v>62</v>
      </c>
      <c r="L24" s="193"/>
      <c r="M24" s="195" t="s">
        <v>88</v>
      </c>
      <c r="N24" s="195"/>
      <c r="O24" s="193" t="s">
        <v>40</v>
      </c>
      <c r="P24" s="195"/>
      <c r="Q24" s="193" t="s">
        <v>44</v>
      </c>
      <c r="R24" s="193"/>
      <c r="S24" s="193"/>
      <c r="T24" s="193">
        <v>5.0</v>
      </c>
    </row>
    <row r="25" hidden="1">
      <c r="A25" s="193">
        <v>24.0</v>
      </c>
      <c r="B25" s="194">
        <v>46204.0</v>
      </c>
      <c r="C25" s="193" t="s">
        <v>21</v>
      </c>
      <c r="D25" s="193" t="s">
        <v>22</v>
      </c>
      <c r="E25" s="195" t="s">
        <v>3877</v>
      </c>
      <c r="F25" s="196">
        <v>5.58409512E8</v>
      </c>
      <c r="G25" s="195" t="s">
        <v>2715</v>
      </c>
      <c r="H25" s="193" t="s">
        <v>27</v>
      </c>
      <c r="I25" s="197" t="s">
        <v>3878</v>
      </c>
      <c r="J25" s="195"/>
      <c r="K25" s="193" t="s">
        <v>62</v>
      </c>
      <c r="L25" s="193"/>
      <c r="M25" s="195" t="s">
        <v>38</v>
      </c>
      <c r="N25" s="195"/>
      <c r="O25" s="193" t="s">
        <v>40</v>
      </c>
      <c r="P25" s="195"/>
      <c r="Q25" s="193" t="s">
        <v>44</v>
      </c>
      <c r="R25" s="193" t="s">
        <v>46</v>
      </c>
      <c r="S25" s="193"/>
      <c r="T25" s="193">
        <v>5.0</v>
      </c>
    </row>
    <row r="26" hidden="1">
      <c r="A26" s="193">
        <v>25.0</v>
      </c>
      <c r="B26" s="194">
        <v>46204.0</v>
      </c>
      <c r="C26" s="193" t="s">
        <v>21</v>
      </c>
      <c r="D26" s="193" t="s">
        <v>22</v>
      </c>
      <c r="E26" s="195" t="s">
        <v>3883</v>
      </c>
      <c r="F26" s="196">
        <v>5.92362852E8</v>
      </c>
      <c r="G26" s="193" t="s">
        <v>27</v>
      </c>
      <c r="H26" s="193" t="s">
        <v>27</v>
      </c>
      <c r="I26" s="205" t="s">
        <v>3884</v>
      </c>
      <c r="J26" s="195"/>
      <c r="K26" s="193" t="s">
        <v>62</v>
      </c>
      <c r="L26" s="193"/>
      <c r="M26" s="195" t="s">
        <v>38</v>
      </c>
      <c r="N26" s="195"/>
      <c r="O26" s="193" t="s">
        <v>40</v>
      </c>
      <c r="P26" s="195"/>
      <c r="Q26" s="193" t="s">
        <v>44</v>
      </c>
      <c r="R26" s="193" t="s">
        <v>46</v>
      </c>
      <c r="S26" s="193"/>
      <c r="T26" s="193">
        <v>5.0</v>
      </c>
    </row>
    <row r="27" hidden="1">
      <c r="A27" s="193">
        <v>26.0</v>
      </c>
      <c r="B27" s="194">
        <v>46204.0</v>
      </c>
      <c r="C27" s="193" t="s">
        <v>58</v>
      </c>
      <c r="D27" s="193" t="s">
        <v>60</v>
      </c>
      <c r="E27" s="195" t="s">
        <v>3888</v>
      </c>
      <c r="F27" s="196">
        <v>5.00697311E8</v>
      </c>
      <c r="G27" s="193" t="s">
        <v>27</v>
      </c>
      <c r="H27" s="193" t="s">
        <v>27</v>
      </c>
      <c r="I27" s="197" t="s">
        <v>3889</v>
      </c>
      <c r="J27" s="195"/>
      <c r="K27" s="193" t="s">
        <v>62</v>
      </c>
      <c r="L27" s="193"/>
      <c r="M27" s="195" t="s">
        <v>88</v>
      </c>
      <c r="N27" s="195"/>
      <c r="O27" s="193" t="s">
        <v>40</v>
      </c>
      <c r="P27" s="195"/>
      <c r="Q27" s="193" t="s">
        <v>44</v>
      </c>
      <c r="R27" s="193"/>
      <c r="S27" s="193"/>
      <c r="T27" s="193">
        <v>5.0</v>
      </c>
    </row>
    <row r="28" hidden="1">
      <c r="A28" s="193">
        <v>27.0</v>
      </c>
      <c r="B28" s="194">
        <v>46204.0</v>
      </c>
      <c r="C28" s="193" t="s">
        <v>58</v>
      </c>
      <c r="D28" s="193" t="s">
        <v>60</v>
      </c>
      <c r="E28" s="193" t="s">
        <v>27</v>
      </c>
      <c r="F28" s="196">
        <v>5.58110393E8</v>
      </c>
      <c r="G28" s="193" t="s">
        <v>27</v>
      </c>
      <c r="H28" s="193" t="s">
        <v>27</v>
      </c>
      <c r="I28" s="197" t="s">
        <v>3893</v>
      </c>
      <c r="J28" s="195"/>
      <c r="K28" s="193" t="s">
        <v>62</v>
      </c>
      <c r="L28" s="193"/>
      <c r="M28" s="195" t="s">
        <v>38</v>
      </c>
      <c r="N28" s="195"/>
      <c r="O28" s="193" t="s">
        <v>40</v>
      </c>
      <c r="P28" s="195"/>
      <c r="Q28" s="193" t="s">
        <v>44</v>
      </c>
      <c r="R28" s="193"/>
      <c r="S28" s="193"/>
      <c r="T28" s="193">
        <v>5.0</v>
      </c>
    </row>
    <row r="29" hidden="1">
      <c r="A29" s="193">
        <v>28.0</v>
      </c>
      <c r="B29" s="194">
        <v>46204.0</v>
      </c>
      <c r="C29" s="193" t="s">
        <v>58</v>
      </c>
      <c r="D29" s="193" t="s">
        <v>34</v>
      </c>
      <c r="E29" s="195" t="s">
        <v>3896</v>
      </c>
      <c r="F29" s="196">
        <v>5.48197411E8</v>
      </c>
      <c r="G29" s="193" t="s">
        <v>27</v>
      </c>
      <c r="H29" s="193" t="s">
        <v>27</v>
      </c>
      <c r="I29" s="197" t="s">
        <v>3900</v>
      </c>
      <c r="J29" s="195"/>
      <c r="K29" s="193" t="s">
        <v>62</v>
      </c>
      <c r="L29" s="193"/>
      <c r="M29" s="195" t="s">
        <v>88</v>
      </c>
      <c r="N29" s="195"/>
      <c r="O29" s="193" t="s">
        <v>40</v>
      </c>
      <c r="P29" s="195"/>
      <c r="Q29" s="193" t="s">
        <v>44</v>
      </c>
      <c r="R29" s="193"/>
      <c r="S29" s="193"/>
      <c r="T29" s="193">
        <v>5.0</v>
      </c>
    </row>
    <row r="30" hidden="1">
      <c r="A30" s="193">
        <v>29.0</v>
      </c>
      <c r="B30" s="194">
        <v>46204.0</v>
      </c>
      <c r="C30" s="193" t="s">
        <v>58</v>
      </c>
      <c r="D30" s="193" t="s">
        <v>60</v>
      </c>
      <c r="E30" s="195" t="s">
        <v>297</v>
      </c>
      <c r="F30" s="196">
        <v>5.53916039E8</v>
      </c>
      <c r="G30" s="193" t="s">
        <v>27</v>
      </c>
      <c r="H30" s="193" t="s">
        <v>27</v>
      </c>
      <c r="I30" s="197" t="s">
        <v>3902</v>
      </c>
      <c r="J30" s="195"/>
      <c r="K30" s="193" t="s">
        <v>62</v>
      </c>
      <c r="L30" s="193"/>
      <c r="M30" s="195" t="s">
        <v>88</v>
      </c>
      <c r="N30" s="195"/>
      <c r="O30" s="193" t="s">
        <v>40</v>
      </c>
      <c r="P30" s="195"/>
      <c r="Q30" s="193" t="s">
        <v>44</v>
      </c>
      <c r="R30" s="193"/>
      <c r="S30" s="193"/>
      <c r="T30" s="193">
        <v>5.0</v>
      </c>
    </row>
    <row r="31" hidden="1">
      <c r="A31" s="193">
        <v>30.0</v>
      </c>
      <c r="B31" s="194">
        <v>46204.0</v>
      </c>
      <c r="C31" s="193" t="s">
        <v>58</v>
      </c>
      <c r="D31" s="193" t="s">
        <v>60</v>
      </c>
      <c r="E31" s="195" t="s">
        <v>3324</v>
      </c>
      <c r="F31" s="196">
        <v>5.65988438E8</v>
      </c>
      <c r="G31" s="193" t="s">
        <v>27</v>
      </c>
      <c r="H31" s="193" t="s">
        <v>27</v>
      </c>
      <c r="I31" s="197" t="s">
        <v>3905</v>
      </c>
      <c r="J31" s="195"/>
      <c r="K31" s="193" t="s">
        <v>62</v>
      </c>
      <c r="L31" s="193"/>
      <c r="M31" s="195" t="s">
        <v>88</v>
      </c>
      <c r="N31" s="195"/>
      <c r="O31" s="193" t="s">
        <v>40</v>
      </c>
      <c r="P31" s="195"/>
      <c r="Q31" s="193" t="s">
        <v>44</v>
      </c>
      <c r="R31" s="193"/>
      <c r="S31" s="193"/>
      <c r="T31" s="193">
        <v>5.0</v>
      </c>
    </row>
    <row r="32" hidden="1">
      <c r="A32" s="193">
        <v>31.0</v>
      </c>
      <c r="B32" s="194">
        <v>46204.0</v>
      </c>
      <c r="C32" s="193" t="s">
        <v>58</v>
      </c>
      <c r="D32" s="193" t="s">
        <v>34</v>
      </c>
      <c r="E32" s="195" t="s">
        <v>3907</v>
      </c>
      <c r="F32" s="196">
        <v>5.58919543E8</v>
      </c>
      <c r="G32" s="193" t="s">
        <v>27</v>
      </c>
      <c r="H32" s="193" t="s">
        <v>27</v>
      </c>
      <c r="I32" s="197" t="s">
        <v>3908</v>
      </c>
      <c r="J32" s="195"/>
      <c r="K32" s="193" t="s">
        <v>62</v>
      </c>
      <c r="L32" s="193"/>
      <c r="M32" s="195" t="s">
        <v>88</v>
      </c>
      <c r="N32" s="195"/>
      <c r="O32" s="193" t="s">
        <v>40</v>
      </c>
      <c r="P32" s="195"/>
      <c r="Q32" s="193" t="s">
        <v>44</v>
      </c>
      <c r="R32" s="193"/>
      <c r="S32" s="193"/>
      <c r="T32" s="193">
        <v>5.0</v>
      </c>
    </row>
    <row r="33" hidden="1">
      <c r="A33" s="193">
        <v>32.0</v>
      </c>
      <c r="B33" s="194">
        <v>46204.0</v>
      </c>
      <c r="C33" s="193" t="s">
        <v>21</v>
      </c>
      <c r="D33" s="193" t="s">
        <v>34</v>
      </c>
      <c r="E33" s="195" t="s">
        <v>302</v>
      </c>
      <c r="F33" s="196">
        <v>5.50792672E8</v>
      </c>
      <c r="G33" s="195" t="s">
        <v>79</v>
      </c>
      <c r="H33" s="193" t="s">
        <v>27</v>
      </c>
      <c r="I33" s="197" t="s">
        <v>3912</v>
      </c>
      <c r="J33" s="195"/>
      <c r="K33" s="193" t="s">
        <v>62</v>
      </c>
      <c r="L33" s="193"/>
      <c r="M33" s="195" t="s">
        <v>38</v>
      </c>
      <c r="N33" s="195"/>
      <c r="O33" s="193" t="s">
        <v>40</v>
      </c>
      <c r="P33" s="195"/>
      <c r="Q33" s="193" t="s">
        <v>44</v>
      </c>
      <c r="R33" s="193"/>
      <c r="S33" s="193"/>
      <c r="T33" s="193">
        <v>5.0</v>
      </c>
    </row>
    <row r="34" hidden="1">
      <c r="A34" s="193">
        <v>33.0</v>
      </c>
      <c r="B34" s="194">
        <v>46204.0</v>
      </c>
      <c r="C34" s="193" t="s">
        <v>21</v>
      </c>
      <c r="D34" s="193" t="s">
        <v>22</v>
      </c>
      <c r="E34" s="195" t="s">
        <v>3920</v>
      </c>
      <c r="F34" s="196">
        <v>5.57587675E8</v>
      </c>
      <c r="G34" s="193" t="s">
        <v>27</v>
      </c>
      <c r="H34" s="193" t="s">
        <v>27</v>
      </c>
      <c r="I34" s="205" t="s">
        <v>3921</v>
      </c>
      <c r="J34" s="195"/>
      <c r="K34" s="193" t="s">
        <v>62</v>
      </c>
      <c r="L34" s="193"/>
      <c r="M34" s="195" t="s">
        <v>38</v>
      </c>
      <c r="N34" s="195"/>
      <c r="O34" s="193" t="s">
        <v>40</v>
      </c>
      <c r="P34" s="195"/>
      <c r="Q34" s="193" t="s">
        <v>44</v>
      </c>
      <c r="R34" s="193" t="s">
        <v>46</v>
      </c>
      <c r="S34" s="193"/>
      <c r="T34" s="193">
        <v>5.0</v>
      </c>
    </row>
    <row r="35" hidden="1">
      <c r="A35" s="193">
        <v>34.0</v>
      </c>
      <c r="B35" s="194">
        <v>46204.0</v>
      </c>
      <c r="C35" s="193" t="s">
        <v>58</v>
      </c>
      <c r="D35" s="193" t="s">
        <v>60</v>
      </c>
      <c r="E35" s="193" t="s">
        <v>27</v>
      </c>
      <c r="F35" s="196">
        <v>5.09814051E8</v>
      </c>
      <c r="G35" s="193" t="s">
        <v>27</v>
      </c>
      <c r="H35" s="193" t="s">
        <v>27</v>
      </c>
      <c r="I35" s="197" t="s">
        <v>3673</v>
      </c>
      <c r="J35" s="195"/>
      <c r="K35" s="193" t="s">
        <v>62</v>
      </c>
      <c r="L35" s="193"/>
      <c r="M35" s="195" t="s">
        <v>88</v>
      </c>
      <c r="N35" s="195"/>
      <c r="O35" s="193" t="s">
        <v>40</v>
      </c>
      <c r="P35" s="195"/>
      <c r="Q35" s="193" t="s">
        <v>44</v>
      </c>
      <c r="R35" s="193"/>
      <c r="S35" s="193"/>
      <c r="T35" s="193">
        <v>5.0</v>
      </c>
    </row>
    <row r="36" hidden="1">
      <c r="A36" s="193">
        <v>35.0</v>
      </c>
      <c r="B36" s="194">
        <v>46204.0</v>
      </c>
      <c r="C36" s="193" t="s">
        <v>47</v>
      </c>
      <c r="D36" s="193" t="s">
        <v>138</v>
      </c>
      <c r="E36" s="193" t="s">
        <v>3934</v>
      </c>
      <c r="F36" s="196">
        <v>5.65045012E8</v>
      </c>
      <c r="G36" s="195" t="s">
        <v>79</v>
      </c>
      <c r="H36" s="193" t="s">
        <v>178</v>
      </c>
      <c r="I36" s="197" t="s">
        <v>3935</v>
      </c>
      <c r="J36" s="195" t="s">
        <v>3936</v>
      </c>
      <c r="K36" s="193" t="s">
        <v>148</v>
      </c>
      <c r="L36" s="193" t="s">
        <v>518</v>
      </c>
      <c r="M36" s="195" t="s">
        <v>183</v>
      </c>
      <c r="N36" s="195"/>
      <c r="O36" s="193" t="s">
        <v>56</v>
      </c>
      <c r="P36" s="195" t="s">
        <v>3765</v>
      </c>
      <c r="Q36" s="193" t="s">
        <v>44</v>
      </c>
      <c r="R36" s="193" t="s">
        <v>46</v>
      </c>
      <c r="S36" s="193"/>
      <c r="T36" s="193">
        <v>5.0</v>
      </c>
    </row>
    <row r="37" hidden="1">
      <c r="A37" s="193">
        <v>36.0</v>
      </c>
      <c r="B37" s="194">
        <v>46204.0</v>
      </c>
      <c r="C37" s="193" t="s">
        <v>47</v>
      </c>
      <c r="D37" s="193" t="s">
        <v>138</v>
      </c>
      <c r="E37" s="193" t="s">
        <v>3943</v>
      </c>
      <c r="F37" s="196">
        <v>5.33750444E8</v>
      </c>
      <c r="G37" s="195" t="s">
        <v>79</v>
      </c>
      <c r="H37" s="193" t="s">
        <v>80</v>
      </c>
      <c r="I37" s="197" t="s">
        <v>3945</v>
      </c>
      <c r="J37" s="195" t="s">
        <v>3946</v>
      </c>
      <c r="K37" s="193" t="s">
        <v>148</v>
      </c>
      <c r="L37" s="193" t="s">
        <v>518</v>
      </c>
      <c r="M37" s="195" t="s">
        <v>150</v>
      </c>
      <c r="N37" s="195"/>
      <c r="O37" s="193" t="s">
        <v>56</v>
      </c>
      <c r="P37" s="195" t="s">
        <v>3765</v>
      </c>
      <c r="Q37" s="193" t="s">
        <v>44</v>
      </c>
      <c r="R37" s="193" t="s">
        <v>46</v>
      </c>
      <c r="S37" s="193"/>
      <c r="T37" s="193">
        <v>5.0</v>
      </c>
    </row>
    <row r="38" hidden="1">
      <c r="A38" s="193">
        <v>37.0</v>
      </c>
      <c r="B38" s="194">
        <v>46204.0</v>
      </c>
      <c r="C38" s="193" t="s">
        <v>21</v>
      </c>
      <c r="D38" s="193" t="s">
        <v>34</v>
      </c>
      <c r="E38" s="195" t="s">
        <v>922</v>
      </c>
      <c r="F38" s="196">
        <v>5.31945558E8</v>
      </c>
      <c r="G38" s="195" t="s">
        <v>152</v>
      </c>
      <c r="H38" s="193" t="s">
        <v>27</v>
      </c>
      <c r="I38" s="197" t="s">
        <v>3950</v>
      </c>
      <c r="J38" s="195" t="s">
        <v>1806</v>
      </c>
      <c r="K38" s="193" t="s">
        <v>36</v>
      </c>
      <c r="L38" s="193"/>
      <c r="M38" s="195" t="s">
        <v>38</v>
      </c>
      <c r="N38" s="195"/>
      <c r="O38" s="193" t="s">
        <v>40</v>
      </c>
      <c r="P38" s="195"/>
      <c r="Q38" s="193" t="s">
        <v>44</v>
      </c>
      <c r="R38" s="193"/>
      <c r="S38" s="193"/>
      <c r="T38" s="193">
        <v>5.0</v>
      </c>
    </row>
    <row r="39" hidden="1">
      <c r="A39" s="193">
        <v>38.0</v>
      </c>
      <c r="B39" s="194">
        <v>46204.0</v>
      </c>
      <c r="C39" s="193" t="s">
        <v>58</v>
      </c>
      <c r="D39" s="193" t="s">
        <v>60</v>
      </c>
      <c r="E39" s="195" t="s">
        <v>3956</v>
      </c>
      <c r="F39" s="196">
        <v>5.64958309E8</v>
      </c>
      <c r="G39" s="193" t="s">
        <v>27</v>
      </c>
      <c r="H39" s="193" t="s">
        <v>27</v>
      </c>
      <c r="I39" s="197" t="s">
        <v>3957</v>
      </c>
      <c r="J39" s="195"/>
      <c r="K39" s="193" t="s">
        <v>36</v>
      </c>
      <c r="L39" s="193"/>
      <c r="M39" s="195" t="s">
        <v>88</v>
      </c>
      <c r="N39" s="195"/>
      <c r="O39" s="193" t="s">
        <v>40</v>
      </c>
      <c r="P39" s="195"/>
      <c r="Q39" s="193" t="s">
        <v>44</v>
      </c>
      <c r="R39" s="193"/>
      <c r="S39" s="193"/>
      <c r="T39" s="193">
        <v>5.0</v>
      </c>
    </row>
    <row r="40" hidden="1">
      <c r="A40" s="193">
        <v>39.0</v>
      </c>
      <c r="B40" s="194">
        <v>46204.0</v>
      </c>
      <c r="C40" s="193" t="s">
        <v>47</v>
      </c>
      <c r="D40" s="193" t="s">
        <v>48</v>
      </c>
      <c r="E40" s="193" t="s">
        <v>3963</v>
      </c>
      <c r="F40" s="196" t="s">
        <v>27</v>
      </c>
      <c r="G40" s="195" t="s">
        <v>41</v>
      </c>
      <c r="H40" s="193" t="s">
        <v>914</v>
      </c>
      <c r="I40" s="197" t="s">
        <v>3964</v>
      </c>
      <c r="J40" s="195" t="s">
        <v>3965</v>
      </c>
      <c r="K40" s="193" t="s">
        <v>78</v>
      </c>
      <c r="L40" s="193" t="s">
        <v>42</v>
      </c>
      <c r="M40" s="195" t="s">
        <v>611</v>
      </c>
      <c r="N40" s="195"/>
      <c r="O40" s="193" t="s">
        <v>56</v>
      </c>
      <c r="P40" s="195" t="s">
        <v>3566</v>
      </c>
      <c r="Q40" s="193" t="s">
        <v>49</v>
      </c>
      <c r="R40" s="193" t="s">
        <v>46</v>
      </c>
      <c r="S40" s="193"/>
      <c r="T40" s="193">
        <v>5.0</v>
      </c>
    </row>
    <row r="41" hidden="1">
      <c r="A41" s="193">
        <v>40.0</v>
      </c>
      <c r="B41" s="194">
        <v>46204.0</v>
      </c>
      <c r="C41" s="193" t="s">
        <v>47</v>
      </c>
      <c r="D41" s="193" t="s">
        <v>48</v>
      </c>
      <c r="E41" s="193" t="s">
        <v>3967</v>
      </c>
      <c r="F41" s="196" t="s">
        <v>27</v>
      </c>
      <c r="G41" s="195" t="s">
        <v>79</v>
      </c>
      <c r="H41" s="193" t="s">
        <v>431</v>
      </c>
      <c r="I41" s="197" t="s">
        <v>3969</v>
      </c>
      <c r="J41" s="195" t="s">
        <v>3971</v>
      </c>
      <c r="K41" s="193" t="s">
        <v>78</v>
      </c>
      <c r="L41" s="193" t="s">
        <v>518</v>
      </c>
      <c r="M41" s="195" t="s">
        <v>555</v>
      </c>
      <c r="N41" s="195"/>
      <c r="O41" s="193" t="s">
        <v>56</v>
      </c>
      <c r="P41" s="195" t="s">
        <v>3765</v>
      </c>
      <c r="Q41" s="193" t="s">
        <v>49</v>
      </c>
      <c r="R41" s="193" t="s">
        <v>46</v>
      </c>
      <c r="S41" s="193"/>
      <c r="T41" s="193">
        <v>5.0</v>
      </c>
    </row>
    <row r="42" hidden="1">
      <c r="A42" s="193">
        <v>41.0</v>
      </c>
      <c r="B42" s="194">
        <v>46204.0</v>
      </c>
      <c r="C42" s="193" t="s">
        <v>47</v>
      </c>
      <c r="D42" s="193" t="s">
        <v>48</v>
      </c>
      <c r="E42" s="211" t="s">
        <v>27</v>
      </c>
      <c r="F42" s="196" t="s">
        <v>27</v>
      </c>
      <c r="G42" s="195" t="s">
        <v>41</v>
      </c>
      <c r="H42" s="193" t="s">
        <v>329</v>
      </c>
      <c r="I42" s="197" t="s">
        <v>3973</v>
      </c>
      <c r="J42" s="195" t="s">
        <v>3974</v>
      </c>
      <c r="K42" s="193" t="s">
        <v>148</v>
      </c>
      <c r="L42" s="193" t="s">
        <v>518</v>
      </c>
      <c r="M42" s="195" t="s">
        <v>3355</v>
      </c>
      <c r="N42" s="195"/>
      <c r="O42" s="193" t="s">
        <v>40</v>
      </c>
      <c r="P42" s="193" t="s">
        <v>3977</v>
      </c>
      <c r="Q42" s="193" t="s">
        <v>49</v>
      </c>
      <c r="R42" s="193" t="s">
        <v>46</v>
      </c>
      <c r="S42" s="193"/>
      <c r="T42" s="193">
        <v>5.0</v>
      </c>
    </row>
    <row r="43" hidden="1">
      <c r="A43" s="193">
        <v>42.0</v>
      </c>
      <c r="B43" s="194">
        <v>46204.0</v>
      </c>
      <c r="C43" s="193" t="s">
        <v>47</v>
      </c>
      <c r="D43" s="193" t="s">
        <v>48</v>
      </c>
      <c r="E43" s="211" t="s">
        <v>27</v>
      </c>
      <c r="F43" s="196" t="s">
        <v>27</v>
      </c>
      <c r="G43" s="195" t="s">
        <v>41</v>
      </c>
      <c r="H43" s="193" t="s">
        <v>146</v>
      </c>
      <c r="I43" s="197" t="s">
        <v>3979</v>
      </c>
      <c r="J43" s="195"/>
      <c r="K43" s="193" t="s">
        <v>148</v>
      </c>
      <c r="L43" s="193" t="s">
        <v>42</v>
      </c>
      <c r="M43" s="195" t="s">
        <v>101</v>
      </c>
      <c r="N43" s="195"/>
      <c r="O43" s="193" t="s">
        <v>40</v>
      </c>
      <c r="P43" s="195" t="s">
        <v>3765</v>
      </c>
      <c r="Q43" s="193" t="s">
        <v>49</v>
      </c>
      <c r="R43" s="193" t="s">
        <v>46</v>
      </c>
      <c r="S43" s="193"/>
      <c r="T43" s="193">
        <v>5.0</v>
      </c>
    </row>
    <row r="44" hidden="1">
      <c r="A44" s="193">
        <v>43.0</v>
      </c>
      <c r="B44" s="194">
        <v>46204.0</v>
      </c>
      <c r="C44" s="193" t="s">
        <v>47</v>
      </c>
      <c r="D44" s="193" t="s">
        <v>138</v>
      </c>
      <c r="E44" s="195" t="s">
        <v>3982</v>
      </c>
      <c r="F44" s="196">
        <v>5.60206645E8</v>
      </c>
      <c r="G44" s="195" t="s">
        <v>41</v>
      </c>
      <c r="H44" s="193" t="s">
        <v>253</v>
      </c>
      <c r="I44" s="197" t="s">
        <v>3983</v>
      </c>
      <c r="J44" s="192" t="s">
        <v>3984</v>
      </c>
      <c r="K44" s="193" t="s">
        <v>148</v>
      </c>
      <c r="L44" s="193" t="s">
        <v>518</v>
      </c>
      <c r="M44" s="195" t="s">
        <v>183</v>
      </c>
      <c r="N44" s="195"/>
      <c r="O44" s="193" t="s">
        <v>56</v>
      </c>
      <c r="P44" s="195" t="s">
        <v>3765</v>
      </c>
      <c r="Q44" s="193" t="s">
        <v>49</v>
      </c>
      <c r="R44" s="193" t="s">
        <v>46</v>
      </c>
      <c r="S44" s="193"/>
      <c r="T44" s="193">
        <v>5.0</v>
      </c>
    </row>
    <row r="45" hidden="1">
      <c r="A45" s="193">
        <v>44.0</v>
      </c>
      <c r="B45" s="194">
        <v>46204.0</v>
      </c>
      <c r="C45" s="193" t="s">
        <v>47</v>
      </c>
      <c r="D45" s="193" t="s">
        <v>138</v>
      </c>
      <c r="E45" s="195" t="s">
        <v>463</v>
      </c>
      <c r="F45" s="196">
        <v>5.91009383E8</v>
      </c>
      <c r="G45" s="195" t="s">
        <v>41</v>
      </c>
      <c r="H45" s="193" t="s">
        <v>1345</v>
      </c>
      <c r="I45" s="197" t="s">
        <v>3987</v>
      </c>
      <c r="J45" s="195" t="s">
        <v>3988</v>
      </c>
      <c r="K45" s="193" t="s">
        <v>148</v>
      </c>
      <c r="L45" s="193" t="s">
        <v>518</v>
      </c>
      <c r="M45" s="195" t="s">
        <v>150</v>
      </c>
      <c r="N45" s="195"/>
      <c r="O45" s="193" t="s">
        <v>56</v>
      </c>
      <c r="P45" s="195" t="s">
        <v>3765</v>
      </c>
      <c r="Q45" s="193" t="s">
        <v>49</v>
      </c>
      <c r="R45" s="193" t="s">
        <v>46</v>
      </c>
      <c r="S45" s="193"/>
      <c r="T45" s="193">
        <v>5.0</v>
      </c>
    </row>
    <row r="46" hidden="1">
      <c r="A46" s="193">
        <v>45.0</v>
      </c>
      <c r="B46" s="194">
        <v>46204.0</v>
      </c>
      <c r="C46" s="193" t="s">
        <v>47</v>
      </c>
      <c r="D46" s="193" t="s">
        <v>367</v>
      </c>
      <c r="E46" s="195" t="s">
        <v>3992</v>
      </c>
      <c r="F46" s="196">
        <v>5.45000546E8</v>
      </c>
      <c r="G46" s="195" t="s">
        <v>41</v>
      </c>
      <c r="H46" s="193" t="s">
        <v>193</v>
      </c>
      <c r="I46" s="197" t="s">
        <v>3994</v>
      </c>
      <c r="J46" s="195" t="s">
        <v>3995</v>
      </c>
      <c r="K46" s="193" t="s">
        <v>148</v>
      </c>
      <c r="L46" s="193" t="s">
        <v>518</v>
      </c>
      <c r="M46" s="195" t="s">
        <v>602</v>
      </c>
      <c r="N46" s="195"/>
      <c r="O46" s="193" t="s">
        <v>56</v>
      </c>
      <c r="P46" s="195" t="s">
        <v>3997</v>
      </c>
      <c r="Q46" s="193" t="s">
        <v>49</v>
      </c>
      <c r="R46" s="193" t="s">
        <v>46</v>
      </c>
      <c r="S46" s="193"/>
      <c r="T46" s="193">
        <v>5.0</v>
      </c>
    </row>
    <row r="47" hidden="1">
      <c r="A47" s="193">
        <v>46.0</v>
      </c>
      <c r="B47" s="194">
        <v>46204.0</v>
      </c>
      <c r="C47" s="193" t="s">
        <v>47</v>
      </c>
      <c r="D47" s="193" t="s">
        <v>138</v>
      </c>
      <c r="E47" s="195" t="s">
        <v>4003</v>
      </c>
      <c r="F47" s="196">
        <v>5.4420141E8</v>
      </c>
      <c r="G47" s="195" t="s">
        <v>41</v>
      </c>
      <c r="H47" s="193" t="s">
        <v>146</v>
      </c>
      <c r="I47" s="197" t="s">
        <v>4004</v>
      </c>
      <c r="J47" s="195" t="s">
        <v>4005</v>
      </c>
      <c r="K47" s="193" t="s">
        <v>148</v>
      </c>
      <c r="L47" s="193" t="s">
        <v>518</v>
      </c>
      <c r="M47" s="195" t="s">
        <v>183</v>
      </c>
      <c r="N47" s="195"/>
      <c r="O47" s="193" t="s">
        <v>56</v>
      </c>
      <c r="P47" s="195" t="s">
        <v>3765</v>
      </c>
      <c r="Q47" s="193" t="s">
        <v>49</v>
      </c>
      <c r="R47" s="193" t="s">
        <v>46</v>
      </c>
      <c r="S47" s="193"/>
      <c r="T47" s="193">
        <v>5.0</v>
      </c>
    </row>
    <row r="48" hidden="1">
      <c r="A48" s="193">
        <v>47.0</v>
      </c>
      <c r="B48" s="194">
        <v>46204.0</v>
      </c>
      <c r="C48" s="193" t="s">
        <v>47</v>
      </c>
      <c r="D48" s="193" t="s">
        <v>48</v>
      </c>
      <c r="E48" s="195" t="s">
        <v>1125</v>
      </c>
      <c r="F48" s="196">
        <v>5.04802925E8</v>
      </c>
      <c r="G48" s="195" t="s">
        <v>71</v>
      </c>
      <c r="H48" s="193" t="s">
        <v>163</v>
      </c>
      <c r="I48" s="197" t="s">
        <v>4010</v>
      </c>
      <c r="J48" s="195" t="s">
        <v>4011</v>
      </c>
      <c r="K48" s="193" t="s">
        <v>148</v>
      </c>
      <c r="L48" s="193" t="s">
        <v>42</v>
      </c>
      <c r="M48" s="82" t="s">
        <v>4012</v>
      </c>
      <c r="N48" s="82"/>
      <c r="O48" s="193" t="s">
        <v>56</v>
      </c>
      <c r="P48" s="195" t="s">
        <v>3765</v>
      </c>
      <c r="Q48" s="193" t="s">
        <v>49</v>
      </c>
      <c r="R48" s="193" t="s">
        <v>46</v>
      </c>
      <c r="S48" s="193"/>
      <c r="T48" s="193">
        <v>5.0</v>
      </c>
    </row>
    <row r="49" hidden="1">
      <c r="A49" s="193">
        <v>48.0</v>
      </c>
      <c r="B49" s="194">
        <v>46204.0</v>
      </c>
      <c r="C49" s="193" t="s">
        <v>58</v>
      </c>
      <c r="D49" s="193" t="s">
        <v>57</v>
      </c>
      <c r="E49" s="195" t="s">
        <v>4014</v>
      </c>
      <c r="F49" s="196">
        <v>5.47433207E8</v>
      </c>
      <c r="G49" s="195" t="s">
        <v>41</v>
      </c>
      <c r="H49" s="193" t="s">
        <v>146</v>
      </c>
      <c r="I49" s="197" t="s">
        <v>4017</v>
      </c>
      <c r="J49" s="195"/>
      <c r="K49" s="193" t="s">
        <v>36</v>
      </c>
      <c r="L49" s="193"/>
      <c r="M49" s="195" t="s">
        <v>88</v>
      </c>
      <c r="N49" s="195"/>
      <c r="O49" s="193" t="s">
        <v>40</v>
      </c>
      <c r="P49" s="195"/>
      <c r="Q49" s="193" t="s">
        <v>44</v>
      </c>
      <c r="R49" s="193"/>
      <c r="S49" s="193"/>
      <c r="T49" s="193">
        <v>5.0</v>
      </c>
    </row>
    <row r="50" hidden="1">
      <c r="A50" s="193">
        <v>49.0</v>
      </c>
      <c r="B50" s="194">
        <v>46204.0</v>
      </c>
      <c r="C50" s="193" t="s">
        <v>21</v>
      </c>
      <c r="D50" s="193" t="s">
        <v>22</v>
      </c>
      <c r="E50" s="195" t="s">
        <v>4020</v>
      </c>
      <c r="F50" s="196">
        <v>5.00723908E8</v>
      </c>
      <c r="G50" s="195" t="s">
        <v>76</v>
      </c>
      <c r="H50" s="193" t="s">
        <v>27</v>
      </c>
      <c r="I50" s="197" t="s">
        <v>4022</v>
      </c>
      <c r="J50" s="195"/>
      <c r="K50" s="193" t="s">
        <v>36</v>
      </c>
      <c r="L50" s="193"/>
      <c r="M50" s="195" t="s">
        <v>38</v>
      </c>
      <c r="N50" s="195"/>
      <c r="O50" s="193" t="s">
        <v>40</v>
      </c>
      <c r="P50" s="195"/>
      <c r="Q50" s="193" t="s">
        <v>44</v>
      </c>
      <c r="R50" s="193" t="s">
        <v>46</v>
      </c>
      <c r="S50" s="193"/>
      <c r="T50" s="193">
        <v>5.0</v>
      </c>
    </row>
    <row r="51" hidden="1">
      <c r="A51" s="193">
        <v>50.0</v>
      </c>
      <c r="B51" s="194">
        <v>46204.0</v>
      </c>
      <c r="C51" s="193" t="s">
        <v>58</v>
      </c>
      <c r="D51" s="193" t="s">
        <v>60</v>
      </c>
      <c r="E51" s="193" t="s">
        <v>27</v>
      </c>
      <c r="F51" s="196">
        <v>5.04223933E8</v>
      </c>
      <c r="G51" s="193" t="s">
        <v>27</v>
      </c>
      <c r="H51" s="193" t="s">
        <v>27</v>
      </c>
      <c r="I51" s="197" t="s">
        <v>4027</v>
      </c>
      <c r="J51" s="195" t="s">
        <v>500</v>
      </c>
      <c r="K51" s="193" t="s">
        <v>36</v>
      </c>
      <c r="L51" s="193"/>
      <c r="M51" s="195" t="s">
        <v>88</v>
      </c>
      <c r="N51" s="195"/>
      <c r="O51" s="193" t="s">
        <v>40</v>
      </c>
      <c r="P51" s="195"/>
      <c r="Q51" s="193" t="s">
        <v>44</v>
      </c>
      <c r="R51" s="193"/>
      <c r="S51" s="193"/>
      <c r="T51" s="193">
        <v>5.0</v>
      </c>
    </row>
    <row r="52" hidden="1">
      <c r="A52" s="193">
        <v>51.0</v>
      </c>
      <c r="B52" s="194">
        <v>46204.0</v>
      </c>
      <c r="C52" s="193" t="s">
        <v>47</v>
      </c>
      <c r="D52" s="193" t="s">
        <v>138</v>
      </c>
      <c r="E52" s="193" t="s">
        <v>27</v>
      </c>
      <c r="F52" s="196" t="s">
        <v>27</v>
      </c>
      <c r="G52" s="195" t="s">
        <v>41</v>
      </c>
      <c r="H52" s="193" t="s">
        <v>222</v>
      </c>
      <c r="I52" s="220" t="s">
        <v>4031</v>
      </c>
      <c r="J52" s="195" t="s">
        <v>4032</v>
      </c>
      <c r="K52" s="193" t="s">
        <v>62</v>
      </c>
      <c r="L52" s="193" t="s">
        <v>518</v>
      </c>
      <c r="M52" s="195" t="s">
        <v>4033</v>
      </c>
      <c r="N52" s="195"/>
      <c r="O52" s="193" t="s">
        <v>56</v>
      </c>
      <c r="P52" s="195" t="s">
        <v>3765</v>
      </c>
      <c r="Q52" s="193" t="s">
        <v>49</v>
      </c>
      <c r="R52" s="193" t="s">
        <v>46</v>
      </c>
      <c r="S52" s="193"/>
      <c r="T52" s="193">
        <v>5.0</v>
      </c>
    </row>
    <row r="53" hidden="1">
      <c r="A53" s="193">
        <v>52.0</v>
      </c>
      <c r="B53" s="194">
        <v>46204.0</v>
      </c>
      <c r="C53" s="193" t="s">
        <v>21</v>
      </c>
      <c r="D53" s="193" t="s">
        <v>24</v>
      </c>
      <c r="E53" s="193" t="s">
        <v>4037</v>
      </c>
      <c r="F53" s="196">
        <v>5.61857336E8</v>
      </c>
      <c r="G53" s="195" t="s">
        <v>71</v>
      </c>
      <c r="H53" s="193" t="s">
        <v>27</v>
      </c>
      <c r="I53" s="197" t="s">
        <v>4038</v>
      </c>
      <c r="J53" s="195"/>
      <c r="K53" s="193" t="s">
        <v>62</v>
      </c>
      <c r="L53" s="193"/>
      <c r="M53" s="195" t="s">
        <v>38</v>
      </c>
      <c r="N53" s="195"/>
      <c r="O53" s="193" t="s">
        <v>40</v>
      </c>
      <c r="P53" s="195"/>
      <c r="Q53" s="193" t="s">
        <v>44</v>
      </c>
      <c r="R53" s="193" t="s">
        <v>46</v>
      </c>
      <c r="S53" s="193"/>
      <c r="T53" s="193">
        <v>5.0</v>
      </c>
    </row>
    <row r="54" hidden="1">
      <c r="A54" s="193">
        <v>53.0</v>
      </c>
      <c r="B54" s="194">
        <v>46204.0</v>
      </c>
      <c r="C54" s="193" t="s">
        <v>21</v>
      </c>
      <c r="D54" s="193" t="s">
        <v>22</v>
      </c>
      <c r="E54" s="195" t="s">
        <v>4041</v>
      </c>
      <c r="F54" s="196">
        <v>5.0597343E8</v>
      </c>
      <c r="G54" s="195" t="s">
        <v>152</v>
      </c>
      <c r="H54" s="193" t="s">
        <v>27</v>
      </c>
      <c r="I54" s="197" t="s">
        <v>4044</v>
      </c>
      <c r="J54" s="195"/>
      <c r="K54" s="193" t="s">
        <v>62</v>
      </c>
      <c r="L54" s="193"/>
      <c r="M54" s="195" t="s">
        <v>38</v>
      </c>
      <c r="N54" s="195"/>
      <c r="O54" s="193" t="s">
        <v>40</v>
      </c>
      <c r="P54" s="195"/>
      <c r="Q54" s="193" t="s">
        <v>44</v>
      </c>
      <c r="R54" s="193" t="s">
        <v>46</v>
      </c>
      <c r="S54" s="193"/>
      <c r="T54" s="193">
        <v>5.0</v>
      </c>
    </row>
    <row r="55" hidden="1">
      <c r="A55" s="193">
        <v>54.0</v>
      </c>
      <c r="B55" s="194">
        <v>46204.0</v>
      </c>
      <c r="C55" s="193" t="s">
        <v>21</v>
      </c>
      <c r="D55" s="193" t="s">
        <v>34</v>
      </c>
      <c r="E55" s="193" t="s">
        <v>27</v>
      </c>
      <c r="F55" s="196">
        <v>5.55080369E8</v>
      </c>
      <c r="G55" s="193" t="s">
        <v>27</v>
      </c>
      <c r="H55" s="193" t="s">
        <v>27</v>
      </c>
      <c r="I55" s="197" t="s">
        <v>4045</v>
      </c>
      <c r="J55" s="195"/>
      <c r="K55" s="193" t="s">
        <v>36</v>
      </c>
      <c r="L55" s="193"/>
      <c r="M55" s="195" t="s">
        <v>38</v>
      </c>
      <c r="N55" s="195"/>
      <c r="O55" s="193" t="s">
        <v>40</v>
      </c>
      <c r="P55" s="195"/>
      <c r="Q55" s="193" t="s">
        <v>44</v>
      </c>
      <c r="R55" s="193"/>
      <c r="S55" s="193"/>
      <c r="T55" s="193">
        <v>5.0</v>
      </c>
    </row>
    <row r="56" ht="177.75" hidden="1" customHeight="1">
      <c r="A56" s="193">
        <v>55.0</v>
      </c>
      <c r="B56" s="194">
        <v>46204.0</v>
      </c>
      <c r="C56" s="193" t="s">
        <v>47</v>
      </c>
      <c r="D56" s="193" t="s">
        <v>48</v>
      </c>
      <c r="E56" s="195" t="s">
        <v>4050</v>
      </c>
      <c r="F56" s="196" t="s">
        <v>4051</v>
      </c>
      <c r="G56" s="195" t="s">
        <v>41</v>
      </c>
      <c r="H56" s="193" t="s">
        <v>914</v>
      </c>
      <c r="I56" s="197" t="s">
        <v>4052</v>
      </c>
      <c r="J56" s="195" t="s">
        <v>4053</v>
      </c>
      <c r="K56" s="193" t="s">
        <v>36</v>
      </c>
      <c r="L56" s="193" t="s">
        <v>518</v>
      </c>
      <c r="M56" s="195" t="s">
        <v>101</v>
      </c>
      <c r="N56" s="195"/>
      <c r="O56" s="193" t="s">
        <v>56</v>
      </c>
      <c r="P56" s="195" t="s">
        <v>3765</v>
      </c>
      <c r="Q56" s="193" t="s">
        <v>44</v>
      </c>
      <c r="R56" s="193" t="s">
        <v>46</v>
      </c>
      <c r="S56" s="193" t="s">
        <v>44</v>
      </c>
      <c r="T56" s="193">
        <v>5.0</v>
      </c>
    </row>
    <row r="57" hidden="1">
      <c r="A57" s="193">
        <v>56.0</v>
      </c>
      <c r="B57" s="194">
        <v>46204.0</v>
      </c>
      <c r="C57" s="193" t="s">
        <v>58</v>
      </c>
      <c r="D57" s="193" t="s">
        <v>60</v>
      </c>
      <c r="E57" s="193" t="s">
        <v>27</v>
      </c>
      <c r="F57" s="196">
        <v>5.05160234E8</v>
      </c>
      <c r="G57" s="193" t="s">
        <v>27</v>
      </c>
      <c r="H57" s="193" t="s">
        <v>27</v>
      </c>
      <c r="I57" s="197" t="s">
        <v>554</v>
      </c>
      <c r="J57" s="195"/>
      <c r="K57" s="193" t="s">
        <v>36</v>
      </c>
      <c r="L57" s="193"/>
      <c r="M57" s="195" t="s">
        <v>88</v>
      </c>
      <c r="N57" s="195"/>
      <c r="O57" s="193" t="s">
        <v>40</v>
      </c>
      <c r="P57" s="195"/>
      <c r="Q57" s="193" t="s">
        <v>49</v>
      </c>
      <c r="R57" s="193"/>
      <c r="S57" s="193"/>
      <c r="T57" s="193">
        <v>5.0</v>
      </c>
    </row>
    <row r="58" hidden="1">
      <c r="A58" s="193">
        <v>57.0</v>
      </c>
      <c r="B58" s="194">
        <v>46204.0</v>
      </c>
      <c r="C58" s="193" t="s">
        <v>58</v>
      </c>
      <c r="D58" s="193" t="s">
        <v>60</v>
      </c>
      <c r="E58" s="195" t="s">
        <v>4058</v>
      </c>
      <c r="F58" s="196">
        <v>5.59550845E8</v>
      </c>
      <c r="G58" s="193" t="s">
        <v>27</v>
      </c>
      <c r="H58" s="193" t="s">
        <v>27</v>
      </c>
      <c r="I58" s="197" t="s">
        <v>4060</v>
      </c>
      <c r="J58" s="195"/>
      <c r="K58" s="193" t="s">
        <v>62</v>
      </c>
      <c r="L58" s="193"/>
      <c r="M58" s="195" t="s">
        <v>38</v>
      </c>
      <c r="N58" s="195"/>
      <c r="O58" s="193" t="s">
        <v>40</v>
      </c>
      <c r="P58" s="195"/>
      <c r="Q58" s="193" t="s">
        <v>44</v>
      </c>
      <c r="R58" s="193"/>
      <c r="S58" s="193"/>
      <c r="T58" s="193">
        <v>5.0</v>
      </c>
    </row>
    <row r="59" hidden="1">
      <c r="A59" s="193">
        <v>58.0</v>
      </c>
      <c r="B59" s="194">
        <v>46204.0</v>
      </c>
      <c r="C59" s="193" t="s">
        <v>58</v>
      </c>
      <c r="D59" s="193" t="s">
        <v>60</v>
      </c>
      <c r="E59" s="193" t="s">
        <v>3182</v>
      </c>
      <c r="F59" s="196">
        <v>5.5676599E8</v>
      </c>
      <c r="G59" s="193" t="s">
        <v>27</v>
      </c>
      <c r="H59" s="193" t="s">
        <v>27</v>
      </c>
      <c r="I59" s="197" t="s">
        <v>4060</v>
      </c>
      <c r="J59" s="195"/>
      <c r="K59" s="193" t="s">
        <v>62</v>
      </c>
      <c r="L59" s="193"/>
      <c r="M59" s="195" t="s">
        <v>38</v>
      </c>
      <c r="N59" s="195"/>
      <c r="O59" s="193" t="s">
        <v>40</v>
      </c>
      <c r="P59" s="195"/>
      <c r="Q59" s="193" t="s">
        <v>44</v>
      </c>
      <c r="R59" s="193"/>
      <c r="S59" s="193"/>
      <c r="T59" s="193">
        <v>5.0</v>
      </c>
    </row>
    <row r="60" hidden="1">
      <c r="A60" s="193">
        <v>59.0</v>
      </c>
      <c r="B60" s="194">
        <v>46204.0</v>
      </c>
      <c r="C60" s="193" t="s">
        <v>58</v>
      </c>
      <c r="D60" s="193" t="s">
        <v>60</v>
      </c>
      <c r="E60" s="193" t="s">
        <v>4066</v>
      </c>
      <c r="F60" s="196">
        <v>5.5556259E8</v>
      </c>
      <c r="G60" s="193" t="s">
        <v>27</v>
      </c>
      <c r="H60" s="193" t="s">
        <v>27</v>
      </c>
      <c r="I60" s="197" t="s">
        <v>4067</v>
      </c>
      <c r="J60" s="195"/>
      <c r="K60" s="193" t="s">
        <v>62</v>
      </c>
      <c r="L60" s="193"/>
      <c r="M60" s="195" t="s">
        <v>38</v>
      </c>
      <c r="N60" s="195"/>
      <c r="O60" s="193" t="s">
        <v>40</v>
      </c>
      <c r="P60" s="195"/>
      <c r="Q60" s="193" t="s">
        <v>44</v>
      </c>
      <c r="R60" s="193"/>
      <c r="S60" s="193"/>
      <c r="T60" s="193">
        <v>5.0</v>
      </c>
    </row>
    <row r="61" hidden="1">
      <c r="A61" s="193">
        <v>60.0</v>
      </c>
      <c r="B61" s="194">
        <v>46204.0</v>
      </c>
      <c r="C61" s="193" t="s">
        <v>21</v>
      </c>
      <c r="D61" s="193" t="s">
        <v>24</v>
      </c>
      <c r="E61" s="195" t="s">
        <v>1538</v>
      </c>
      <c r="F61" s="196">
        <v>5.61188818E8</v>
      </c>
      <c r="G61" s="195" t="s">
        <v>152</v>
      </c>
      <c r="H61" s="193" t="s">
        <v>27</v>
      </c>
      <c r="I61" s="197" t="s">
        <v>4071</v>
      </c>
      <c r="J61" s="195"/>
      <c r="K61" s="193" t="s">
        <v>62</v>
      </c>
      <c r="L61" s="193"/>
      <c r="M61" s="195" t="s">
        <v>38</v>
      </c>
      <c r="N61" s="195"/>
      <c r="O61" s="193" t="s">
        <v>40</v>
      </c>
      <c r="P61" s="195"/>
      <c r="Q61" s="193" t="s">
        <v>44</v>
      </c>
      <c r="R61" s="193" t="s">
        <v>46</v>
      </c>
      <c r="S61" s="193"/>
      <c r="T61" s="193">
        <v>5.0</v>
      </c>
    </row>
    <row r="62" hidden="1">
      <c r="A62" s="193">
        <v>61.0</v>
      </c>
      <c r="B62" s="194">
        <v>46204.0</v>
      </c>
      <c r="C62" s="193" t="s">
        <v>58</v>
      </c>
      <c r="D62" s="193" t="s">
        <v>60</v>
      </c>
      <c r="E62" s="195" t="s">
        <v>4075</v>
      </c>
      <c r="F62" s="196">
        <v>5.58248316E8</v>
      </c>
      <c r="G62" s="193" t="s">
        <v>27</v>
      </c>
      <c r="H62" s="193" t="s">
        <v>27</v>
      </c>
      <c r="I62" s="197" t="s">
        <v>4067</v>
      </c>
      <c r="J62" s="195"/>
      <c r="K62" s="193" t="s">
        <v>62</v>
      </c>
      <c r="L62" s="193"/>
      <c r="M62" s="195" t="s">
        <v>38</v>
      </c>
      <c r="N62" s="195"/>
      <c r="O62" s="193" t="s">
        <v>40</v>
      </c>
      <c r="P62" s="195"/>
      <c r="Q62" s="193" t="s">
        <v>44</v>
      </c>
      <c r="R62" s="193"/>
      <c r="S62" s="193"/>
      <c r="T62" s="193">
        <v>5.0</v>
      </c>
    </row>
    <row r="63" hidden="1">
      <c r="A63" s="193">
        <v>62.0</v>
      </c>
      <c r="B63" s="194">
        <v>46204.0</v>
      </c>
      <c r="C63" s="193" t="s">
        <v>58</v>
      </c>
      <c r="D63" s="193" t="s">
        <v>22</v>
      </c>
      <c r="E63" s="195" t="s">
        <v>4079</v>
      </c>
      <c r="F63" s="196">
        <v>5.00003705E8</v>
      </c>
      <c r="G63" s="195" t="s">
        <v>999</v>
      </c>
      <c r="H63" s="193" t="s">
        <v>27</v>
      </c>
      <c r="I63" s="197" t="s">
        <v>4080</v>
      </c>
      <c r="J63" s="195"/>
      <c r="K63" s="193" t="s">
        <v>36</v>
      </c>
      <c r="L63" s="193"/>
      <c r="M63" s="195" t="s">
        <v>88</v>
      </c>
      <c r="N63" s="195"/>
      <c r="O63" s="193" t="s">
        <v>40</v>
      </c>
      <c r="P63" s="195"/>
      <c r="Q63" s="193" t="s">
        <v>44</v>
      </c>
      <c r="R63" s="193"/>
      <c r="S63" s="193"/>
      <c r="T63" s="193">
        <v>5.0</v>
      </c>
    </row>
    <row r="64" hidden="1">
      <c r="A64" s="193">
        <v>63.0</v>
      </c>
      <c r="B64" s="194">
        <v>46204.0</v>
      </c>
      <c r="C64" s="193" t="s">
        <v>21</v>
      </c>
      <c r="D64" s="193" t="s">
        <v>24</v>
      </c>
      <c r="E64" s="195" t="s">
        <v>4082</v>
      </c>
      <c r="F64" s="196">
        <v>5.3767574E8</v>
      </c>
      <c r="G64" s="195" t="s">
        <v>71</v>
      </c>
      <c r="H64" s="193" t="s">
        <v>27</v>
      </c>
      <c r="I64" s="197" t="s">
        <v>4084</v>
      </c>
      <c r="J64" s="195"/>
      <c r="K64" s="193" t="s">
        <v>36</v>
      </c>
      <c r="L64" s="193"/>
      <c r="M64" s="195" t="s">
        <v>38</v>
      </c>
      <c r="N64" s="195"/>
      <c r="O64" s="193" t="s">
        <v>40</v>
      </c>
      <c r="P64" s="195"/>
      <c r="Q64" s="193" t="s">
        <v>44</v>
      </c>
      <c r="R64" s="193" t="s">
        <v>46</v>
      </c>
      <c r="S64" s="193"/>
      <c r="T64" s="193">
        <v>5.0</v>
      </c>
    </row>
    <row r="65" hidden="1">
      <c r="A65" s="193">
        <v>64.0</v>
      </c>
      <c r="B65" s="194">
        <v>46204.0</v>
      </c>
      <c r="C65" s="193" t="s">
        <v>21</v>
      </c>
      <c r="D65" s="193" t="s">
        <v>22</v>
      </c>
      <c r="E65" s="195" t="s">
        <v>4088</v>
      </c>
      <c r="F65" s="196">
        <v>5.50008997E8</v>
      </c>
      <c r="G65" s="195" t="s">
        <v>152</v>
      </c>
      <c r="H65" s="193" t="s">
        <v>27</v>
      </c>
      <c r="I65" s="197" t="s">
        <v>4089</v>
      </c>
      <c r="J65" s="195"/>
      <c r="K65" s="193" t="s">
        <v>36</v>
      </c>
      <c r="L65" s="193"/>
      <c r="M65" s="195" t="s">
        <v>38</v>
      </c>
      <c r="N65" s="195"/>
      <c r="O65" s="193" t="s">
        <v>40</v>
      </c>
      <c r="P65" s="195"/>
      <c r="Q65" s="193" t="s">
        <v>44</v>
      </c>
      <c r="R65" s="193" t="s">
        <v>46</v>
      </c>
      <c r="S65" s="193"/>
      <c r="T65" s="193">
        <v>5.0</v>
      </c>
    </row>
    <row r="66" hidden="1">
      <c r="A66" s="193">
        <v>65.0</v>
      </c>
      <c r="B66" s="194">
        <v>46204.0</v>
      </c>
      <c r="C66" s="193" t="s">
        <v>58</v>
      </c>
      <c r="D66" s="193" t="s">
        <v>60</v>
      </c>
      <c r="E66" s="193" t="s">
        <v>27</v>
      </c>
      <c r="F66" s="196">
        <v>5.72328233E8</v>
      </c>
      <c r="G66" s="193" t="s">
        <v>27</v>
      </c>
      <c r="H66" s="193" t="s">
        <v>27</v>
      </c>
      <c r="I66" s="197" t="s">
        <v>554</v>
      </c>
      <c r="J66" s="195"/>
      <c r="K66" s="193" t="s">
        <v>36</v>
      </c>
      <c r="L66" s="193"/>
      <c r="M66" s="195" t="s">
        <v>88</v>
      </c>
      <c r="N66" s="195"/>
      <c r="O66" s="193" t="s">
        <v>40</v>
      </c>
      <c r="P66" s="195"/>
      <c r="Q66" s="193" t="s">
        <v>44</v>
      </c>
      <c r="R66" s="193"/>
      <c r="S66" s="193"/>
      <c r="T66" s="193">
        <v>5.0</v>
      </c>
    </row>
    <row r="67" hidden="1">
      <c r="A67" s="193">
        <v>66.0</v>
      </c>
      <c r="B67" s="194">
        <v>46204.0</v>
      </c>
      <c r="C67" s="193" t="s">
        <v>58</v>
      </c>
      <c r="D67" s="193" t="s">
        <v>22</v>
      </c>
      <c r="E67" s="195" t="s">
        <v>3877</v>
      </c>
      <c r="F67" s="196">
        <v>5.58409512E8</v>
      </c>
      <c r="G67" s="195" t="s">
        <v>2715</v>
      </c>
      <c r="H67" s="193" t="s">
        <v>27</v>
      </c>
      <c r="I67" s="197" t="s">
        <v>4100</v>
      </c>
      <c r="J67" s="195"/>
      <c r="K67" s="193" t="s">
        <v>36</v>
      </c>
      <c r="L67" s="193"/>
      <c r="M67" s="195" t="s">
        <v>88</v>
      </c>
      <c r="N67" s="195"/>
      <c r="O67" s="193" t="s">
        <v>40</v>
      </c>
      <c r="P67" s="195"/>
      <c r="Q67" s="193" t="s">
        <v>44</v>
      </c>
      <c r="R67" s="193"/>
      <c r="S67" s="193"/>
      <c r="T67" s="193">
        <v>5.0</v>
      </c>
    </row>
    <row r="68" hidden="1">
      <c r="A68" s="193">
        <v>67.0</v>
      </c>
      <c r="B68" s="194">
        <v>46204.0</v>
      </c>
      <c r="C68" s="193" t="s">
        <v>58</v>
      </c>
      <c r="D68" s="193" t="s">
        <v>60</v>
      </c>
      <c r="E68" s="193" t="s">
        <v>27</v>
      </c>
      <c r="F68" s="196">
        <v>5.79451945E8</v>
      </c>
      <c r="G68" s="193" t="s">
        <v>27</v>
      </c>
      <c r="H68" s="193" t="s">
        <v>27</v>
      </c>
      <c r="I68" s="197" t="s">
        <v>4103</v>
      </c>
      <c r="J68" s="195"/>
      <c r="K68" s="193" t="s">
        <v>36</v>
      </c>
      <c r="L68" s="193"/>
      <c r="M68" s="195" t="s">
        <v>88</v>
      </c>
      <c r="N68" s="195"/>
      <c r="O68" s="193" t="s">
        <v>40</v>
      </c>
      <c r="P68" s="195"/>
      <c r="Q68" s="193" t="s">
        <v>44</v>
      </c>
      <c r="R68" s="193"/>
      <c r="S68" s="193"/>
      <c r="T68" s="193">
        <v>5.0</v>
      </c>
    </row>
    <row r="69" hidden="1">
      <c r="A69" s="193">
        <v>68.0</v>
      </c>
      <c r="B69" s="194">
        <v>46204.0</v>
      </c>
      <c r="C69" s="193" t="s">
        <v>58</v>
      </c>
      <c r="D69" s="193" t="s">
        <v>60</v>
      </c>
      <c r="E69" s="195" t="s">
        <v>3956</v>
      </c>
      <c r="F69" s="196">
        <v>5.64958309E8</v>
      </c>
      <c r="G69" s="193" t="s">
        <v>27</v>
      </c>
      <c r="H69" s="193" t="s">
        <v>27</v>
      </c>
      <c r="I69" s="197" t="s">
        <v>4107</v>
      </c>
      <c r="J69" s="195"/>
      <c r="K69" s="193" t="s">
        <v>36</v>
      </c>
      <c r="L69" s="193"/>
      <c r="M69" s="195" t="s">
        <v>88</v>
      </c>
      <c r="N69" s="195"/>
      <c r="O69" s="193" t="s">
        <v>40</v>
      </c>
      <c r="P69" s="195"/>
      <c r="Q69" s="193" t="s">
        <v>44</v>
      </c>
      <c r="R69" s="193"/>
      <c r="S69" s="193"/>
      <c r="T69" s="193">
        <v>5.0</v>
      </c>
    </row>
    <row r="70" hidden="1">
      <c r="A70" s="193">
        <v>69.0</v>
      </c>
      <c r="B70" s="194">
        <v>46204.0</v>
      </c>
      <c r="C70" s="193" t="s">
        <v>58</v>
      </c>
      <c r="D70" s="193" t="s">
        <v>60</v>
      </c>
      <c r="E70" s="193" t="s">
        <v>27</v>
      </c>
      <c r="F70" s="196">
        <v>5.34080368E8</v>
      </c>
      <c r="G70" s="193" t="s">
        <v>27</v>
      </c>
      <c r="H70" s="193" t="s">
        <v>27</v>
      </c>
      <c r="I70" s="197" t="s">
        <v>4112</v>
      </c>
      <c r="J70" s="195"/>
      <c r="K70" s="193" t="s">
        <v>36</v>
      </c>
      <c r="L70" s="193"/>
      <c r="M70" s="195" t="s">
        <v>88</v>
      </c>
      <c r="N70" s="195"/>
      <c r="O70" s="193" t="s">
        <v>40</v>
      </c>
      <c r="P70" s="195"/>
      <c r="Q70" s="193" t="s">
        <v>44</v>
      </c>
      <c r="R70" s="193"/>
      <c r="S70" s="193"/>
      <c r="T70" s="193">
        <v>5.0</v>
      </c>
    </row>
    <row r="71" hidden="1">
      <c r="A71" s="193">
        <v>70.0</v>
      </c>
      <c r="B71" s="194">
        <v>46204.0</v>
      </c>
      <c r="C71" s="193" t="s">
        <v>21</v>
      </c>
      <c r="D71" s="193" t="s">
        <v>22</v>
      </c>
      <c r="E71" s="195" t="s">
        <v>4115</v>
      </c>
      <c r="F71" s="196">
        <v>5.66046303E8</v>
      </c>
      <c r="G71" s="195" t="s">
        <v>41</v>
      </c>
      <c r="H71" s="193" t="s">
        <v>27</v>
      </c>
      <c r="I71" s="197" t="s">
        <v>4117</v>
      </c>
      <c r="J71" s="195"/>
      <c r="K71" s="193" t="s">
        <v>36</v>
      </c>
      <c r="L71" s="193"/>
      <c r="M71" s="195" t="s">
        <v>38</v>
      </c>
      <c r="N71" s="195"/>
      <c r="O71" s="193" t="s">
        <v>40</v>
      </c>
      <c r="P71" s="195"/>
      <c r="Q71" s="193" t="s">
        <v>44</v>
      </c>
      <c r="R71" s="193" t="s">
        <v>46</v>
      </c>
      <c r="S71" s="193"/>
      <c r="T71" s="193">
        <v>5.0</v>
      </c>
    </row>
    <row r="72" hidden="1">
      <c r="A72" s="193">
        <v>71.0</v>
      </c>
      <c r="B72" s="194">
        <v>46204.0</v>
      </c>
      <c r="C72" s="193" t="s">
        <v>21</v>
      </c>
      <c r="D72" s="193" t="s">
        <v>66</v>
      </c>
      <c r="E72" s="195" t="s">
        <v>4120</v>
      </c>
      <c r="F72" s="196">
        <v>5.05565265E8</v>
      </c>
      <c r="G72" s="195" t="s">
        <v>152</v>
      </c>
      <c r="H72" s="193" t="s">
        <v>27</v>
      </c>
      <c r="I72" s="197" t="s">
        <v>4121</v>
      </c>
      <c r="J72" s="195"/>
      <c r="K72" s="193" t="s">
        <v>36</v>
      </c>
      <c r="L72" s="193"/>
      <c r="M72" s="195" t="s">
        <v>38</v>
      </c>
      <c r="N72" s="195"/>
      <c r="O72" s="193" t="s">
        <v>40</v>
      </c>
      <c r="P72" s="195"/>
      <c r="Q72" s="193" t="s">
        <v>49</v>
      </c>
      <c r="R72" s="193"/>
      <c r="S72" s="193"/>
      <c r="T72" s="193">
        <v>5.0</v>
      </c>
    </row>
    <row r="73" ht="33.0" customHeight="1">
      <c r="A73" s="193">
        <v>72.0</v>
      </c>
      <c r="B73" s="194">
        <v>46204.0</v>
      </c>
      <c r="C73" s="193" t="s">
        <v>58</v>
      </c>
      <c r="D73" s="193" t="s">
        <v>48</v>
      </c>
      <c r="E73" s="195" t="s">
        <v>4050</v>
      </c>
      <c r="F73" s="196">
        <v>5.90003857E8</v>
      </c>
      <c r="G73" s="195" t="s">
        <v>41</v>
      </c>
      <c r="H73" s="193" t="s">
        <v>4122</v>
      </c>
      <c r="I73" s="197" t="s">
        <v>4124</v>
      </c>
      <c r="J73" s="195" t="s">
        <v>4126</v>
      </c>
      <c r="K73" s="193" t="s">
        <v>36</v>
      </c>
      <c r="L73" s="193" t="s">
        <v>301</v>
      </c>
      <c r="M73" s="195" t="s">
        <v>88</v>
      </c>
      <c r="N73" s="193" t="s">
        <v>4127</v>
      </c>
      <c r="O73" s="193" t="s">
        <v>56</v>
      </c>
      <c r="P73" s="193" t="s">
        <v>4129</v>
      </c>
      <c r="Q73" s="193" t="s">
        <v>49</v>
      </c>
      <c r="R73" s="193"/>
      <c r="S73" s="193"/>
      <c r="T73" s="193">
        <v>5.0</v>
      </c>
    </row>
    <row r="74" hidden="1">
      <c r="A74" s="193">
        <v>73.0</v>
      </c>
      <c r="B74" s="194">
        <v>46204.0</v>
      </c>
      <c r="C74" s="193" t="s">
        <v>47</v>
      </c>
      <c r="D74" s="193" t="s">
        <v>48</v>
      </c>
      <c r="E74" s="195" t="s">
        <v>4132</v>
      </c>
      <c r="F74" s="196">
        <v>5.90806695E8</v>
      </c>
      <c r="G74" s="195" t="s">
        <v>71</v>
      </c>
      <c r="H74" s="193" t="s">
        <v>72</v>
      </c>
      <c r="I74" s="197" t="s">
        <v>4134</v>
      </c>
      <c r="J74" s="195" t="s">
        <v>4135</v>
      </c>
      <c r="K74" s="193" t="s">
        <v>36</v>
      </c>
      <c r="L74" s="193" t="s">
        <v>42</v>
      </c>
      <c r="M74" s="195" t="s">
        <v>555</v>
      </c>
      <c r="N74" s="195"/>
      <c r="O74" s="193" t="s">
        <v>56</v>
      </c>
      <c r="P74" s="195" t="s">
        <v>3765</v>
      </c>
      <c r="Q74" s="193" t="s">
        <v>44</v>
      </c>
      <c r="R74" s="193" t="s">
        <v>46</v>
      </c>
      <c r="S74" s="193" t="s">
        <v>44</v>
      </c>
      <c r="T74" s="193">
        <v>5.0</v>
      </c>
    </row>
    <row r="75" hidden="1">
      <c r="A75" s="193">
        <v>74.0</v>
      </c>
      <c r="B75" s="194">
        <v>46204.0</v>
      </c>
      <c r="C75" s="193" t="s">
        <v>58</v>
      </c>
      <c r="D75" s="193" t="s">
        <v>60</v>
      </c>
      <c r="E75" s="193" t="s">
        <v>27</v>
      </c>
      <c r="F75" s="196">
        <v>5.46541103E8</v>
      </c>
      <c r="G75" s="193" t="s">
        <v>27</v>
      </c>
      <c r="H75" s="193" t="s">
        <v>27</v>
      </c>
      <c r="I75" s="197" t="s">
        <v>1074</v>
      </c>
      <c r="J75" s="195"/>
      <c r="K75" s="193" t="s">
        <v>36</v>
      </c>
      <c r="L75" s="193"/>
      <c r="M75" s="195" t="s">
        <v>88</v>
      </c>
      <c r="N75" s="195"/>
      <c r="O75" s="193" t="s">
        <v>40</v>
      </c>
      <c r="P75" s="195"/>
      <c r="Q75" s="193" t="s">
        <v>44</v>
      </c>
      <c r="R75" s="193"/>
      <c r="S75" s="193"/>
      <c r="T75" s="193">
        <v>5.0</v>
      </c>
    </row>
    <row r="76" hidden="1">
      <c r="A76" s="193">
        <v>75.0</v>
      </c>
      <c r="B76" s="194">
        <v>46204.0</v>
      </c>
      <c r="C76" s="193" t="s">
        <v>21</v>
      </c>
      <c r="D76" s="193" t="s">
        <v>24</v>
      </c>
      <c r="E76" s="195" t="s">
        <v>4142</v>
      </c>
      <c r="F76" s="196">
        <v>5.11252815E8</v>
      </c>
      <c r="G76" s="195" t="s">
        <v>112</v>
      </c>
      <c r="H76" s="193" t="s">
        <v>27</v>
      </c>
      <c r="I76" s="197" t="s">
        <v>4144</v>
      </c>
      <c r="J76" s="195"/>
      <c r="K76" s="193" t="s">
        <v>36</v>
      </c>
      <c r="L76" s="193"/>
      <c r="M76" s="195" t="s">
        <v>38</v>
      </c>
      <c r="N76" s="195"/>
      <c r="O76" s="193" t="s">
        <v>40</v>
      </c>
      <c r="P76" s="195"/>
      <c r="Q76" s="193" t="s">
        <v>44</v>
      </c>
      <c r="R76" s="193" t="s">
        <v>46</v>
      </c>
      <c r="S76" s="193"/>
      <c r="T76" s="193">
        <v>5.0</v>
      </c>
    </row>
    <row r="77" hidden="1">
      <c r="A77" s="193">
        <v>76.0</v>
      </c>
      <c r="B77" s="194">
        <v>46204.0</v>
      </c>
      <c r="C77" s="193" t="s">
        <v>21</v>
      </c>
      <c r="D77" s="193" t="s">
        <v>24</v>
      </c>
      <c r="E77" s="195" t="s">
        <v>4149</v>
      </c>
      <c r="F77" s="196">
        <v>5.55208105E8</v>
      </c>
      <c r="G77" s="195" t="s">
        <v>79</v>
      </c>
      <c r="H77" s="193" t="s">
        <v>27</v>
      </c>
      <c r="I77" s="197" t="s">
        <v>4150</v>
      </c>
      <c r="J77" s="195"/>
      <c r="K77" s="193" t="s">
        <v>62</v>
      </c>
      <c r="L77" s="193"/>
      <c r="M77" s="195" t="s">
        <v>38</v>
      </c>
      <c r="N77" s="195"/>
      <c r="O77" s="193" t="s">
        <v>40</v>
      </c>
      <c r="P77" s="195"/>
      <c r="Q77" s="193" t="s">
        <v>44</v>
      </c>
      <c r="R77" s="193" t="s">
        <v>46</v>
      </c>
      <c r="S77" s="193"/>
      <c r="T77" s="193">
        <v>5.0</v>
      </c>
    </row>
    <row r="78" hidden="1">
      <c r="A78" s="193">
        <v>77.0</v>
      </c>
      <c r="B78" s="194">
        <v>46204.0</v>
      </c>
      <c r="C78" s="193" t="s">
        <v>58</v>
      </c>
      <c r="D78" s="193" t="s">
        <v>60</v>
      </c>
      <c r="E78" s="193" t="s">
        <v>27</v>
      </c>
      <c r="F78" s="196">
        <v>5.46900057E8</v>
      </c>
      <c r="G78" s="193" t="s">
        <v>27</v>
      </c>
      <c r="H78" s="193" t="s">
        <v>27</v>
      </c>
      <c r="I78" s="230" t="s">
        <v>4153</v>
      </c>
      <c r="J78" s="195"/>
      <c r="K78" s="193" t="s">
        <v>65</v>
      </c>
      <c r="L78" s="193"/>
      <c r="M78" s="195" t="s">
        <v>38</v>
      </c>
      <c r="N78" s="195"/>
      <c r="O78" s="193" t="s">
        <v>40</v>
      </c>
      <c r="P78" s="195"/>
      <c r="Q78" s="193" t="s">
        <v>44</v>
      </c>
      <c r="R78" s="193"/>
      <c r="S78" s="193"/>
      <c r="T78" s="193">
        <v>5.0</v>
      </c>
    </row>
    <row r="79" hidden="1">
      <c r="A79" s="193">
        <v>78.0</v>
      </c>
      <c r="B79" s="194">
        <v>46204.0</v>
      </c>
      <c r="C79" s="193" t="s">
        <v>58</v>
      </c>
      <c r="D79" s="193" t="s">
        <v>60</v>
      </c>
      <c r="E79" s="193" t="s">
        <v>27</v>
      </c>
      <c r="F79" s="196">
        <v>5.59158629E8</v>
      </c>
      <c r="G79" s="193" t="s">
        <v>27</v>
      </c>
      <c r="H79" s="193" t="s">
        <v>27</v>
      </c>
      <c r="I79" s="197" t="s">
        <v>4158</v>
      </c>
      <c r="J79" s="195"/>
      <c r="K79" s="193" t="s">
        <v>65</v>
      </c>
      <c r="L79" s="193"/>
      <c r="M79" s="195" t="s">
        <v>38</v>
      </c>
      <c r="N79" s="195"/>
      <c r="O79" s="193" t="s">
        <v>40</v>
      </c>
      <c r="P79" s="195"/>
      <c r="Q79" s="193" t="s">
        <v>44</v>
      </c>
      <c r="R79" s="193"/>
      <c r="S79" s="193"/>
      <c r="T79" s="193">
        <v>5.0</v>
      </c>
    </row>
    <row r="80" hidden="1">
      <c r="A80" s="193">
        <v>79.0</v>
      </c>
      <c r="B80" s="194">
        <v>46204.0</v>
      </c>
      <c r="C80" s="193" t="s">
        <v>58</v>
      </c>
      <c r="D80" s="193" t="s">
        <v>92</v>
      </c>
      <c r="E80" s="195" t="s">
        <v>4162</v>
      </c>
      <c r="F80" s="196">
        <v>5.48224842E8</v>
      </c>
      <c r="G80" s="195" t="s">
        <v>198</v>
      </c>
      <c r="H80" s="193" t="s">
        <v>4163</v>
      </c>
      <c r="I80" s="197" t="s">
        <v>4164</v>
      </c>
      <c r="J80" s="195"/>
      <c r="K80" s="193" t="s">
        <v>36</v>
      </c>
      <c r="L80" s="193"/>
      <c r="M80" s="195" t="s">
        <v>88</v>
      </c>
      <c r="N80" s="195"/>
      <c r="O80" s="193" t="s">
        <v>40</v>
      </c>
      <c r="P80" s="195" t="s">
        <v>3765</v>
      </c>
      <c r="Q80" s="193" t="s">
        <v>44</v>
      </c>
      <c r="R80" s="193"/>
      <c r="S80" s="193"/>
      <c r="T80" s="193">
        <v>5.0</v>
      </c>
    </row>
    <row r="81" hidden="1">
      <c r="A81" s="193">
        <v>80.0</v>
      </c>
      <c r="B81" s="194">
        <v>46204.0</v>
      </c>
      <c r="C81" s="193" t="s">
        <v>58</v>
      </c>
      <c r="D81" s="193" t="s">
        <v>22</v>
      </c>
      <c r="E81" s="195" t="s">
        <v>3876</v>
      </c>
      <c r="F81" s="196">
        <v>5.55700021E8</v>
      </c>
      <c r="G81" s="193" t="s">
        <v>27</v>
      </c>
      <c r="H81" s="193" t="s">
        <v>27</v>
      </c>
      <c r="I81" s="197" t="s">
        <v>4168</v>
      </c>
      <c r="J81" s="195"/>
      <c r="K81" s="193" t="s">
        <v>62</v>
      </c>
      <c r="L81" s="193"/>
      <c r="M81" s="195" t="s">
        <v>88</v>
      </c>
      <c r="N81" s="195"/>
      <c r="O81" s="193" t="s">
        <v>40</v>
      </c>
      <c r="P81" s="195"/>
      <c r="Q81" s="193" t="s">
        <v>44</v>
      </c>
      <c r="R81" s="193"/>
      <c r="S81" s="193"/>
      <c r="T81" s="193">
        <v>5.0</v>
      </c>
    </row>
    <row r="82" hidden="1">
      <c r="A82" s="193">
        <v>81.0</v>
      </c>
      <c r="B82" s="194">
        <v>46204.0</v>
      </c>
      <c r="C82" s="193" t="s">
        <v>21</v>
      </c>
      <c r="D82" s="193" t="s">
        <v>24</v>
      </c>
      <c r="E82" s="195" t="s">
        <v>4175</v>
      </c>
      <c r="F82" s="196">
        <v>5.58987771E8</v>
      </c>
      <c r="G82" s="195" t="s">
        <v>285</v>
      </c>
      <c r="H82" s="193" t="s">
        <v>27</v>
      </c>
      <c r="I82" s="197" t="s">
        <v>4176</v>
      </c>
      <c r="J82" s="195"/>
      <c r="K82" s="193" t="s">
        <v>36</v>
      </c>
      <c r="L82" s="193" t="s">
        <v>42</v>
      </c>
      <c r="M82" s="195" t="s">
        <v>38</v>
      </c>
      <c r="N82" s="195"/>
      <c r="O82" s="193" t="s">
        <v>40</v>
      </c>
      <c r="P82" s="195"/>
      <c r="Q82" s="193" t="s">
        <v>49</v>
      </c>
      <c r="R82" s="193"/>
      <c r="S82" s="193"/>
      <c r="T82" s="193">
        <v>5.0</v>
      </c>
    </row>
    <row r="83" ht="238.5" hidden="1" customHeight="1">
      <c r="A83" s="193">
        <v>82.0</v>
      </c>
      <c r="B83" s="194">
        <v>46204.0</v>
      </c>
      <c r="C83" s="193" t="s">
        <v>47</v>
      </c>
      <c r="D83" s="193" t="s">
        <v>48</v>
      </c>
      <c r="E83" s="195" t="s">
        <v>4182</v>
      </c>
      <c r="F83" s="196">
        <v>5.06304797E8</v>
      </c>
      <c r="G83" s="195" t="s">
        <v>41</v>
      </c>
      <c r="H83" s="193" t="s">
        <v>52</v>
      </c>
      <c r="I83" s="197" t="s">
        <v>4183</v>
      </c>
      <c r="J83" s="195" t="s">
        <v>4184</v>
      </c>
      <c r="K83" s="193" t="s">
        <v>62</v>
      </c>
      <c r="L83" s="193" t="s">
        <v>518</v>
      </c>
      <c r="M83" s="195" t="s">
        <v>101</v>
      </c>
      <c r="N83" s="195"/>
      <c r="O83" s="193" t="s">
        <v>56</v>
      </c>
      <c r="P83" s="195" t="s">
        <v>3566</v>
      </c>
      <c r="Q83" s="193" t="s">
        <v>44</v>
      </c>
      <c r="R83" s="193" t="s">
        <v>46</v>
      </c>
      <c r="S83" s="193" t="s">
        <v>44</v>
      </c>
      <c r="T83" s="193">
        <v>5.0</v>
      </c>
    </row>
    <row r="84" hidden="1">
      <c r="A84" s="193">
        <v>83.0</v>
      </c>
      <c r="B84" s="194">
        <v>46204.0</v>
      </c>
      <c r="C84" s="193" t="s">
        <v>58</v>
      </c>
      <c r="D84" s="193" t="s">
        <v>60</v>
      </c>
      <c r="E84" s="193" t="s">
        <v>27</v>
      </c>
      <c r="F84" s="196">
        <v>5.55430056E8</v>
      </c>
      <c r="G84" s="193" t="s">
        <v>27</v>
      </c>
      <c r="H84" s="193" t="s">
        <v>27</v>
      </c>
      <c r="I84" s="197" t="s">
        <v>4190</v>
      </c>
      <c r="J84" s="195" t="s">
        <v>4191</v>
      </c>
      <c r="K84" s="193" t="s">
        <v>62</v>
      </c>
      <c r="L84" s="193"/>
      <c r="M84" s="195" t="s">
        <v>88</v>
      </c>
      <c r="N84" s="195"/>
      <c r="O84" s="193" t="s">
        <v>40</v>
      </c>
      <c r="P84" s="195"/>
      <c r="Q84" s="193" t="s">
        <v>44</v>
      </c>
      <c r="R84" s="193"/>
      <c r="S84" s="193"/>
      <c r="T84" s="193">
        <v>5.0</v>
      </c>
    </row>
    <row r="85" hidden="1">
      <c r="A85" s="193">
        <v>84.0</v>
      </c>
      <c r="B85" s="194">
        <v>46204.0</v>
      </c>
      <c r="C85" s="193" t="s">
        <v>21</v>
      </c>
      <c r="D85" s="193" t="s">
        <v>22</v>
      </c>
      <c r="E85" s="195" t="s">
        <v>4193</v>
      </c>
      <c r="F85" s="196">
        <v>5.60345111E8</v>
      </c>
      <c r="G85" s="195" t="s">
        <v>874</v>
      </c>
      <c r="H85" s="193" t="s">
        <v>27</v>
      </c>
      <c r="I85" s="197" t="s">
        <v>4196</v>
      </c>
      <c r="J85" s="195"/>
      <c r="K85" s="193" t="s">
        <v>62</v>
      </c>
      <c r="L85" s="193"/>
      <c r="M85" s="195" t="s">
        <v>38</v>
      </c>
      <c r="N85" s="195"/>
      <c r="O85" s="193" t="s">
        <v>40</v>
      </c>
      <c r="P85" s="195"/>
      <c r="Q85" s="193" t="s">
        <v>44</v>
      </c>
      <c r="R85" s="193" t="s">
        <v>46</v>
      </c>
      <c r="S85" s="193"/>
      <c r="T85" s="193">
        <v>5.0</v>
      </c>
    </row>
    <row r="86" hidden="1">
      <c r="A86" s="193">
        <v>85.0</v>
      </c>
      <c r="B86" s="194">
        <v>46204.0</v>
      </c>
      <c r="C86" s="193" t="s">
        <v>58</v>
      </c>
      <c r="D86" s="193" t="s">
        <v>60</v>
      </c>
      <c r="E86" s="193" t="s">
        <v>27</v>
      </c>
      <c r="F86" s="196">
        <v>5.39840192E8</v>
      </c>
      <c r="G86" s="193" t="s">
        <v>27</v>
      </c>
      <c r="H86" s="193" t="s">
        <v>27</v>
      </c>
      <c r="I86" s="197" t="s">
        <v>554</v>
      </c>
      <c r="J86" s="195"/>
      <c r="K86" s="193" t="s">
        <v>36</v>
      </c>
      <c r="L86" s="193"/>
      <c r="M86" s="195" t="s">
        <v>88</v>
      </c>
      <c r="N86" s="195"/>
      <c r="O86" s="193" t="s">
        <v>40</v>
      </c>
      <c r="P86" s="195"/>
      <c r="Q86" s="193" t="s">
        <v>44</v>
      </c>
      <c r="R86" s="193"/>
      <c r="S86" s="193"/>
      <c r="T86" s="193">
        <v>5.0</v>
      </c>
    </row>
    <row r="87" hidden="1">
      <c r="A87" s="193">
        <v>86.0</v>
      </c>
      <c r="B87" s="194">
        <v>46204.0</v>
      </c>
      <c r="C87" s="193" t="s">
        <v>21</v>
      </c>
      <c r="D87" s="193" t="s">
        <v>24</v>
      </c>
      <c r="E87" s="195" t="s">
        <v>4204</v>
      </c>
      <c r="F87" s="196">
        <v>5.56982234E8</v>
      </c>
      <c r="G87" s="195" t="s">
        <v>152</v>
      </c>
      <c r="H87" s="193" t="s">
        <v>27</v>
      </c>
      <c r="I87" s="197" t="s">
        <v>4207</v>
      </c>
      <c r="J87" s="195"/>
      <c r="K87" s="193" t="s">
        <v>36</v>
      </c>
      <c r="L87" s="193"/>
      <c r="M87" s="195" t="s">
        <v>38</v>
      </c>
      <c r="N87" s="195"/>
      <c r="O87" s="193" t="s">
        <v>40</v>
      </c>
      <c r="P87" s="195"/>
      <c r="Q87" s="193" t="s">
        <v>44</v>
      </c>
      <c r="R87" s="193" t="s">
        <v>46</v>
      </c>
      <c r="S87" s="193"/>
      <c r="T87" s="193">
        <v>5.0</v>
      </c>
    </row>
    <row r="88" hidden="1">
      <c r="A88" s="193">
        <v>87.0</v>
      </c>
      <c r="B88" s="194">
        <v>46204.0</v>
      </c>
      <c r="C88" s="193" t="s">
        <v>21</v>
      </c>
      <c r="D88" s="193" t="s">
        <v>24</v>
      </c>
      <c r="E88" s="195" t="s">
        <v>4214</v>
      </c>
      <c r="F88" s="196">
        <v>5.02735374E8</v>
      </c>
      <c r="G88" s="195" t="s">
        <v>79</v>
      </c>
      <c r="H88" s="193" t="s">
        <v>27</v>
      </c>
      <c r="I88" s="197" t="s">
        <v>4215</v>
      </c>
      <c r="J88" s="195"/>
      <c r="K88" s="193" t="s">
        <v>36</v>
      </c>
      <c r="L88" s="193"/>
      <c r="M88" s="195" t="s">
        <v>38</v>
      </c>
      <c r="N88" s="195"/>
      <c r="O88" s="193" t="s">
        <v>40</v>
      </c>
      <c r="P88" s="195"/>
      <c r="Q88" s="193" t="s">
        <v>49</v>
      </c>
      <c r="R88" s="193"/>
      <c r="S88" s="193"/>
      <c r="T88" s="193">
        <v>5.0</v>
      </c>
    </row>
    <row r="89" hidden="1">
      <c r="A89" s="193">
        <v>88.0</v>
      </c>
      <c r="B89" s="194">
        <v>46204.0</v>
      </c>
      <c r="C89" s="193" t="s">
        <v>58</v>
      </c>
      <c r="D89" s="193" t="s">
        <v>60</v>
      </c>
      <c r="E89" s="193" t="s">
        <v>27</v>
      </c>
      <c r="F89" s="196">
        <v>1.18393193E8</v>
      </c>
      <c r="G89" s="193" t="s">
        <v>27</v>
      </c>
      <c r="H89" s="193" t="s">
        <v>27</v>
      </c>
      <c r="I89" s="197" t="s">
        <v>124</v>
      </c>
      <c r="J89" s="195"/>
      <c r="K89" s="193" t="s">
        <v>65</v>
      </c>
      <c r="L89" s="193"/>
      <c r="M89" s="195" t="s">
        <v>38</v>
      </c>
      <c r="N89" s="195"/>
      <c r="O89" s="193" t="s">
        <v>40</v>
      </c>
      <c r="P89" s="195"/>
      <c r="Q89" s="193" t="s">
        <v>44</v>
      </c>
      <c r="R89" s="193"/>
      <c r="S89" s="193"/>
      <c r="T89" s="193">
        <v>5.0</v>
      </c>
    </row>
    <row r="90" hidden="1">
      <c r="A90" s="193">
        <v>89.0</v>
      </c>
      <c r="B90" s="194">
        <v>46204.0</v>
      </c>
      <c r="C90" s="193" t="s">
        <v>3766</v>
      </c>
      <c r="D90" s="193" t="s">
        <v>57</v>
      </c>
      <c r="E90" s="195" t="s">
        <v>4227</v>
      </c>
      <c r="F90" s="196">
        <v>5.45899379E8</v>
      </c>
      <c r="G90" s="195" t="s">
        <v>41</v>
      </c>
      <c r="H90" s="193" t="s">
        <v>27</v>
      </c>
      <c r="I90" s="197" t="s">
        <v>4230</v>
      </c>
      <c r="J90" s="195"/>
      <c r="K90" s="193" t="s">
        <v>62</v>
      </c>
      <c r="L90" s="193"/>
      <c r="M90" s="195" t="s">
        <v>3776</v>
      </c>
      <c r="N90" s="195"/>
      <c r="O90" s="193" t="s">
        <v>40</v>
      </c>
      <c r="P90" s="195"/>
      <c r="Q90" s="193" t="s">
        <v>44</v>
      </c>
      <c r="R90" s="193"/>
      <c r="S90" s="193"/>
      <c r="T90" s="193">
        <v>5.0</v>
      </c>
    </row>
    <row r="91" hidden="1">
      <c r="A91" s="193">
        <v>90.0</v>
      </c>
      <c r="B91" s="194">
        <v>46204.0</v>
      </c>
      <c r="C91" s="193" t="s">
        <v>58</v>
      </c>
      <c r="D91" s="193" t="s">
        <v>57</v>
      </c>
      <c r="E91" s="193" t="s">
        <v>27</v>
      </c>
      <c r="F91" s="196">
        <v>5.66065221E8</v>
      </c>
      <c r="G91" s="193" t="s">
        <v>27</v>
      </c>
      <c r="H91" s="193" t="s">
        <v>27</v>
      </c>
      <c r="I91" s="197" t="s">
        <v>4239</v>
      </c>
      <c r="J91" s="195" t="s">
        <v>35</v>
      </c>
      <c r="K91" s="193" t="s">
        <v>62</v>
      </c>
      <c r="L91" s="193"/>
      <c r="M91" s="195" t="s">
        <v>88</v>
      </c>
      <c r="N91" s="195"/>
      <c r="O91" s="193" t="s">
        <v>40</v>
      </c>
      <c r="P91" s="195"/>
      <c r="Q91" s="193" t="s">
        <v>44</v>
      </c>
      <c r="R91" s="193"/>
      <c r="S91" s="193"/>
      <c r="T91" s="193">
        <v>5.0</v>
      </c>
    </row>
    <row r="92" hidden="1">
      <c r="A92" s="193">
        <v>91.0</v>
      </c>
      <c r="B92" s="194">
        <v>46204.0</v>
      </c>
      <c r="C92" s="193" t="s">
        <v>58</v>
      </c>
      <c r="D92" s="193" t="s">
        <v>57</v>
      </c>
      <c r="E92" s="193" t="s">
        <v>27</v>
      </c>
      <c r="F92" s="196">
        <v>5.96248652E8</v>
      </c>
      <c r="G92" s="193" t="s">
        <v>27</v>
      </c>
      <c r="H92" s="193" t="s">
        <v>27</v>
      </c>
      <c r="I92" s="197" t="s">
        <v>4239</v>
      </c>
      <c r="J92" s="195" t="s">
        <v>35</v>
      </c>
      <c r="K92" s="193" t="s">
        <v>62</v>
      </c>
      <c r="L92" s="193"/>
      <c r="M92" s="195" t="s">
        <v>88</v>
      </c>
      <c r="N92" s="195"/>
      <c r="O92" s="193" t="s">
        <v>40</v>
      </c>
      <c r="P92" s="195"/>
      <c r="Q92" s="193" t="s">
        <v>44</v>
      </c>
      <c r="R92" s="193"/>
      <c r="S92" s="193"/>
      <c r="T92" s="193">
        <v>5.0</v>
      </c>
    </row>
    <row r="93" hidden="1">
      <c r="A93" s="193">
        <v>92.0</v>
      </c>
      <c r="B93" s="194">
        <v>46204.0</v>
      </c>
      <c r="C93" s="193" t="s">
        <v>47</v>
      </c>
      <c r="D93" s="193" t="s">
        <v>57</v>
      </c>
      <c r="E93" s="193" t="s">
        <v>27</v>
      </c>
      <c r="F93" s="196">
        <v>5.06240919E8</v>
      </c>
      <c r="G93" s="195" t="s">
        <v>41</v>
      </c>
      <c r="H93" s="193" t="s">
        <v>27</v>
      </c>
      <c r="I93" s="197" t="s">
        <v>4247</v>
      </c>
      <c r="J93" s="195"/>
      <c r="K93" s="193" t="s">
        <v>62</v>
      </c>
      <c r="L93" s="193"/>
      <c r="M93" s="195" t="s">
        <v>55</v>
      </c>
      <c r="N93" s="195"/>
      <c r="O93" s="193" t="s">
        <v>40</v>
      </c>
      <c r="P93" s="195"/>
      <c r="Q93" s="193" t="s">
        <v>44</v>
      </c>
      <c r="R93" s="193"/>
      <c r="S93" s="193"/>
      <c r="T93" s="193">
        <v>5.0</v>
      </c>
    </row>
    <row r="94" hidden="1">
      <c r="A94" s="193">
        <v>93.0</v>
      </c>
      <c r="B94" s="194">
        <v>46204.0</v>
      </c>
      <c r="C94" s="193" t="s">
        <v>47</v>
      </c>
      <c r="D94" s="193" t="s">
        <v>57</v>
      </c>
      <c r="E94" s="193" t="s">
        <v>27</v>
      </c>
      <c r="F94" s="196">
        <v>5.61242253E8</v>
      </c>
      <c r="G94" s="195" t="s">
        <v>41</v>
      </c>
      <c r="H94" s="193" t="s">
        <v>27</v>
      </c>
      <c r="I94" s="197" t="s">
        <v>4253</v>
      </c>
      <c r="J94" s="195" t="s">
        <v>4254</v>
      </c>
      <c r="K94" s="193" t="s">
        <v>62</v>
      </c>
      <c r="L94" s="193"/>
      <c r="M94" s="195" t="s">
        <v>55</v>
      </c>
      <c r="N94" s="195"/>
      <c r="O94" s="193" t="s">
        <v>40</v>
      </c>
      <c r="P94" s="195"/>
      <c r="Q94" s="193" t="s">
        <v>44</v>
      </c>
      <c r="R94" s="193"/>
      <c r="S94" s="193"/>
      <c r="T94" s="193">
        <v>5.0</v>
      </c>
    </row>
    <row r="95" hidden="1">
      <c r="A95" s="193">
        <v>94.0</v>
      </c>
      <c r="B95" s="194">
        <v>46204.0</v>
      </c>
      <c r="C95" s="193" t="s">
        <v>58</v>
      </c>
      <c r="D95" s="193" t="s">
        <v>60</v>
      </c>
      <c r="E95" s="193" t="s">
        <v>4257</v>
      </c>
      <c r="F95" s="196">
        <v>5.62502434E8</v>
      </c>
      <c r="G95" s="193" t="s">
        <v>27</v>
      </c>
      <c r="H95" s="193" t="s">
        <v>27</v>
      </c>
      <c r="I95" s="197" t="s">
        <v>4261</v>
      </c>
      <c r="J95" s="195"/>
      <c r="K95" s="193" t="s">
        <v>62</v>
      </c>
      <c r="L95" s="193"/>
      <c r="M95" s="195" t="s">
        <v>88</v>
      </c>
      <c r="N95" s="195"/>
      <c r="O95" s="193" t="s">
        <v>40</v>
      </c>
      <c r="P95" s="195"/>
      <c r="Q95" s="193" t="s">
        <v>44</v>
      </c>
      <c r="R95" s="193"/>
      <c r="S95" s="193"/>
      <c r="T95" s="193">
        <v>5.0</v>
      </c>
    </row>
    <row r="96" hidden="1">
      <c r="A96" s="193">
        <v>95.0</v>
      </c>
      <c r="B96" s="194">
        <v>46204.0</v>
      </c>
      <c r="C96" s="193" t="s">
        <v>58</v>
      </c>
      <c r="D96" s="193" t="s">
        <v>57</v>
      </c>
      <c r="E96" s="195" t="s">
        <v>437</v>
      </c>
      <c r="F96" s="196">
        <v>5.4962925E8</v>
      </c>
      <c r="G96" s="193" t="s">
        <v>27</v>
      </c>
      <c r="H96" s="193" t="s">
        <v>27</v>
      </c>
      <c r="I96" s="197" t="s">
        <v>4239</v>
      </c>
      <c r="J96" s="195" t="s">
        <v>35</v>
      </c>
      <c r="K96" s="193" t="s">
        <v>62</v>
      </c>
      <c r="L96" s="193"/>
      <c r="M96" s="195" t="s">
        <v>88</v>
      </c>
      <c r="N96" s="195"/>
      <c r="O96" s="193" t="s">
        <v>40</v>
      </c>
      <c r="P96" s="195"/>
      <c r="Q96" s="193" t="s">
        <v>44</v>
      </c>
      <c r="R96" s="193"/>
      <c r="S96" s="193"/>
      <c r="T96" s="193">
        <v>5.0</v>
      </c>
    </row>
    <row r="97" hidden="1">
      <c r="A97" s="193">
        <v>96.0</v>
      </c>
      <c r="B97" s="194">
        <v>46204.0</v>
      </c>
      <c r="C97" s="193" t="s">
        <v>58</v>
      </c>
      <c r="D97" s="193" t="s">
        <v>60</v>
      </c>
      <c r="E97" s="193" t="s">
        <v>27</v>
      </c>
      <c r="F97" s="196">
        <v>5.57779394E8</v>
      </c>
      <c r="G97" s="193" t="s">
        <v>27</v>
      </c>
      <c r="H97" s="193" t="s">
        <v>27</v>
      </c>
      <c r="I97" s="197" t="s">
        <v>554</v>
      </c>
      <c r="J97" s="195"/>
      <c r="K97" s="193" t="s">
        <v>36</v>
      </c>
      <c r="L97" s="193"/>
      <c r="M97" s="195" t="s">
        <v>88</v>
      </c>
      <c r="N97" s="195"/>
      <c r="O97" s="193" t="s">
        <v>40</v>
      </c>
      <c r="P97" s="195"/>
      <c r="Q97" s="193" t="s">
        <v>44</v>
      </c>
      <c r="R97" s="193"/>
      <c r="S97" s="193"/>
      <c r="T97" s="193">
        <v>5.0</v>
      </c>
    </row>
    <row r="98" hidden="1">
      <c r="A98" s="193">
        <v>97.0</v>
      </c>
      <c r="B98" s="194">
        <v>46204.0</v>
      </c>
      <c r="C98" s="193" t="s">
        <v>58</v>
      </c>
      <c r="D98" s="193" t="s">
        <v>60</v>
      </c>
      <c r="E98" s="193" t="s">
        <v>27</v>
      </c>
      <c r="F98" s="196">
        <v>5.07732269E8</v>
      </c>
      <c r="G98" s="193" t="s">
        <v>27</v>
      </c>
      <c r="H98" s="193" t="s">
        <v>27</v>
      </c>
      <c r="I98" s="197" t="s">
        <v>554</v>
      </c>
      <c r="J98" s="195"/>
      <c r="K98" s="193" t="s">
        <v>36</v>
      </c>
      <c r="L98" s="193"/>
      <c r="M98" s="195" t="s">
        <v>88</v>
      </c>
      <c r="N98" s="195"/>
      <c r="O98" s="193" t="s">
        <v>40</v>
      </c>
      <c r="P98" s="195"/>
      <c r="Q98" s="193" t="s">
        <v>44</v>
      </c>
      <c r="R98" s="193"/>
      <c r="S98" s="193"/>
      <c r="T98" s="193">
        <v>5.0</v>
      </c>
    </row>
    <row r="99" hidden="1">
      <c r="A99" s="193">
        <v>98.0</v>
      </c>
      <c r="B99" s="194">
        <v>46204.0</v>
      </c>
      <c r="C99" s="193" t="s">
        <v>21</v>
      </c>
      <c r="D99" s="193" t="s">
        <v>22</v>
      </c>
      <c r="E99" s="195" t="s">
        <v>3422</v>
      </c>
      <c r="F99" s="196">
        <v>5.31983937E8</v>
      </c>
      <c r="G99" s="193" t="s">
        <v>27</v>
      </c>
      <c r="H99" s="193" t="s">
        <v>27</v>
      </c>
      <c r="I99" s="197" t="s">
        <v>4283</v>
      </c>
      <c r="J99" s="195"/>
      <c r="K99" s="193" t="s">
        <v>62</v>
      </c>
      <c r="L99" s="193"/>
      <c r="M99" s="195" t="s">
        <v>38</v>
      </c>
      <c r="N99" s="195"/>
      <c r="O99" s="193" t="s">
        <v>40</v>
      </c>
      <c r="P99" s="195"/>
      <c r="Q99" s="193" t="s">
        <v>44</v>
      </c>
      <c r="R99" s="193" t="s">
        <v>46</v>
      </c>
      <c r="S99" s="193"/>
      <c r="T99" s="193">
        <v>5.0</v>
      </c>
    </row>
    <row r="100" hidden="1">
      <c r="A100" s="193">
        <v>99.0</v>
      </c>
      <c r="B100" s="194">
        <v>46204.0</v>
      </c>
      <c r="C100" s="193" t="s">
        <v>3766</v>
      </c>
      <c r="D100" s="193" t="s">
        <v>57</v>
      </c>
      <c r="E100" s="195" t="s">
        <v>4290</v>
      </c>
      <c r="F100" s="196">
        <v>5.57665871E8</v>
      </c>
      <c r="G100" s="195" t="s">
        <v>41</v>
      </c>
      <c r="H100" s="193" t="s">
        <v>27</v>
      </c>
      <c r="I100" s="197" t="s">
        <v>4293</v>
      </c>
      <c r="J100" s="195" t="s">
        <v>4295</v>
      </c>
      <c r="K100" s="193" t="s">
        <v>62</v>
      </c>
      <c r="L100" s="193"/>
      <c r="M100" s="195" t="s">
        <v>3776</v>
      </c>
      <c r="N100" s="195"/>
      <c r="O100" s="193" t="s">
        <v>40</v>
      </c>
      <c r="P100" s="195"/>
      <c r="Q100" s="193" t="s">
        <v>44</v>
      </c>
      <c r="R100" s="193"/>
      <c r="S100" s="193"/>
      <c r="T100" s="193">
        <v>5.0</v>
      </c>
    </row>
    <row r="101" hidden="1">
      <c r="A101" s="193">
        <v>100.0</v>
      </c>
      <c r="B101" s="194">
        <v>46204.0</v>
      </c>
      <c r="C101" s="193" t="s">
        <v>21</v>
      </c>
      <c r="D101" s="193" t="s">
        <v>24</v>
      </c>
      <c r="E101" s="195" t="s">
        <v>4297</v>
      </c>
      <c r="F101" s="196">
        <v>5.82092614E8</v>
      </c>
      <c r="G101" s="195" t="s">
        <v>41</v>
      </c>
      <c r="H101" s="193" t="s">
        <v>27</v>
      </c>
      <c r="I101" s="197" t="s">
        <v>215</v>
      </c>
      <c r="J101" s="195"/>
      <c r="K101" s="193" t="s">
        <v>36</v>
      </c>
      <c r="L101" s="193"/>
      <c r="M101" s="195" t="s">
        <v>38</v>
      </c>
      <c r="N101" s="195"/>
      <c r="O101" s="193" t="s">
        <v>40</v>
      </c>
      <c r="P101" s="195"/>
      <c r="Q101" s="193" t="s">
        <v>49</v>
      </c>
      <c r="R101" s="193"/>
      <c r="S101" s="193"/>
      <c r="T101" s="193">
        <v>5.0</v>
      </c>
    </row>
    <row r="102" ht="70.5" hidden="1" customHeight="1">
      <c r="A102" s="193">
        <v>101.0</v>
      </c>
      <c r="B102" s="194">
        <v>46204.0</v>
      </c>
      <c r="C102" s="193" t="s">
        <v>47</v>
      </c>
      <c r="D102" s="193" t="s">
        <v>48</v>
      </c>
      <c r="E102" s="195" t="s">
        <v>4303</v>
      </c>
      <c r="F102" s="196">
        <v>5.07370891E8</v>
      </c>
      <c r="G102" s="195" t="s">
        <v>41</v>
      </c>
      <c r="H102" s="193" t="s">
        <v>567</v>
      </c>
      <c r="I102" s="220" t="s">
        <v>4304</v>
      </c>
      <c r="J102" s="195" t="s">
        <v>4305</v>
      </c>
      <c r="K102" s="193" t="s">
        <v>36</v>
      </c>
      <c r="L102" s="193" t="s">
        <v>42</v>
      </c>
      <c r="M102" s="195" t="s">
        <v>662</v>
      </c>
      <c r="N102" s="193" t="s">
        <v>4307</v>
      </c>
      <c r="O102" s="193" t="s">
        <v>56</v>
      </c>
      <c r="P102" s="193" t="s">
        <v>4129</v>
      </c>
      <c r="Q102" s="193" t="s">
        <v>49</v>
      </c>
      <c r="R102" s="193" t="s">
        <v>46</v>
      </c>
      <c r="S102" s="193" t="s">
        <v>49</v>
      </c>
      <c r="T102" s="193">
        <v>5.0</v>
      </c>
    </row>
    <row r="103" ht="43.5" hidden="1" customHeight="1">
      <c r="A103" s="193">
        <v>102.0</v>
      </c>
      <c r="B103" s="194">
        <v>46204.0</v>
      </c>
      <c r="C103" s="193" t="s">
        <v>3766</v>
      </c>
      <c r="D103" s="193" t="s">
        <v>57</v>
      </c>
      <c r="E103" s="240" t="s">
        <v>4312</v>
      </c>
      <c r="F103" s="196" t="s">
        <v>27</v>
      </c>
      <c r="G103" s="195" t="s">
        <v>71</v>
      </c>
      <c r="H103" s="193" t="s">
        <v>4313</v>
      </c>
      <c r="I103" s="197" t="s">
        <v>4314</v>
      </c>
      <c r="J103" s="195"/>
      <c r="K103" s="193" t="s">
        <v>36</v>
      </c>
      <c r="L103" s="193"/>
      <c r="M103" s="195" t="s">
        <v>3776</v>
      </c>
      <c r="N103" s="195"/>
      <c r="O103" s="193" t="s">
        <v>40</v>
      </c>
      <c r="P103" s="195"/>
      <c r="Q103" s="193" t="s">
        <v>44</v>
      </c>
      <c r="R103" s="193"/>
      <c r="S103" s="193"/>
      <c r="T103" s="193">
        <v>5.0</v>
      </c>
    </row>
    <row r="104" hidden="1">
      <c r="A104" s="193">
        <v>103.0</v>
      </c>
      <c r="B104" s="194">
        <v>46204.0</v>
      </c>
      <c r="C104" s="193" t="s">
        <v>58</v>
      </c>
      <c r="D104" s="193" t="s">
        <v>60</v>
      </c>
      <c r="E104" s="193" t="s">
        <v>27</v>
      </c>
      <c r="F104" s="196">
        <v>5.52697851E8</v>
      </c>
      <c r="G104" s="193" t="s">
        <v>27</v>
      </c>
      <c r="H104" s="193" t="s">
        <v>27</v>
      </c>
      <c r="I104" s="197" t="s">
        <v>554</v>
      </c>
      <c r="J104" s="195"/>
      <c r="K104" s="193" t="s">
        <v>36</v>
      </c>
      <c r="L104" s="193"/>
      <c r="M104" s="195" t="s">
        <v>88</v>
      </c>
      <c r="N104" s="195"/>
      <c r="O104" s="193" t="s">
        <v>40</v>
      </c>
      <c r="P104" s="195"/>
      <c r="Q104" s="193" t="s">
        <v>44</v>
      </c>
      <c r="R104" s="193"/>
      <c r="S104" s="193"/>
      <c r="T104" s="193">
        <v>5.0</v>
      </c>
    </row>
    <row r="105" hidden="1">
      <c r="A105" s="193">
        <v>104.0</v>
      </c>
      <c r="B105" s="194">
        <v>46204.0</v>
      </c>
      <c r="C105" s="193" t="s">
        <v>21</v>
      </c>
      <c r="D105" s="193" t="s">
        <v>57</v>
      </c>
      <c r="E105" s="195" t="s">
        <v>4321</v>
      </c>
      <c r="F105" s="196">
        <v>5.68745518E8</v>
      </c>
      <c r="G105" s="195" t="s">
        <v>71</v>
      </c>
      <c r="H105" s="193" t="s">
        <v>27</v>
      </c>
      <c r="I105" s="197" t="s">
        <v>4325</v>
      </c>
      <c r="J105" s="195" t="s">
        <v>3270</v>
      </c>
      <c r="K105" s="193" t="s">
        <v>36</v>
      </c>
      <c r="L105" s="193"/>
      <c r="M105" s="195" t="s">
        <v>38</v>
      </c>
      <c r="N105" s="195"/>
      <c r="O105" s="193" t="s">
        <v>40</v>
      </c>
      <c r="P105" s="195"/>
      <c r="Q105" s="193" t="s">
        <v>44</v>
      </c>
      <c r="R105" s="193"/>
      <c r="S105" s="193"/>
      <c r="T105" s="193">
        <v>5.0</v>
      </c>
    </row>
    <row r="106" hidden="1">
      <c r="A106" s="193">
        <v>105.0</v>
      </c>
      <c r="B106" s="194">
        <v>46204.0</v>
      </c>
      <c r="C106" s="193" t="s">
        <v>58</v>
      </c>
      <c r="D106" s="193" t="s">
        <v>57</v>
      </c>
      <c r="E106" s="195" t="s">
        <v>4329</v>
      </c>
      <c r="F106" s="196">
        <v>5.45291944E8</v>
      </c>
      <c r="G106" s="195" t="s">
        <v>319</v>
      </c>
      <c r="H106" s="193" t="s">
        <v>27</v>
      </c>
      <c r="I106" s="197" t="s">
        <v>4332</v>
      </c>
      <c r="J106" s="195"/>
      <c r="K106" s="193" t="s">
        <v>62</v>
      </c>
      <c r="L106" s="193"/>
      <c r="M106" s="195" t="s">
        <v>88</v>
      </c>
      <c r="N106" s="195"/>
      <c r="O106" s="193" t="s">
        <v>40</v>
      </c>
      <c r="P106" s="195"/>
      <c r="Q106" s="193" t="s">
        <v>44</v>
      </c>
      <c r="R106" s="193"/>
      <c r="S106" s="193"/>
      <c r="T106" s="193">
        <v>5.0</v>
      </c>
    </row>
    <row r="107" hidden="1">
      <c r="A107" s="193">
        <v>106.0</v>
      </c>
      <c r="B107" s="194">
        <v>46204.0</v>
      </c>
      <c r="C107" s="193" t="s">
        <v>47</v>
      </c>
      <c r="D107" s="193" t="s">
        <v>57</v>
      </c>
      <c r="E107" s="195" t="s">
        <v>4336</v>
      </c>
      <c r="F107" s="196">
        <v>5.01945032E8</v>
      </c>
      <c r="G107" s="195" t="s">
        <v>41</v>
      </c>
      <c r="H107" s="193" t="s">
        <v>27</v>
      </c>
      <c r="I107" s="197" t="s">
        <v>4339</v>
      </c>
      <c r="J107" s="195" t="s">
        <v>4340</v>
      </c>
      <c r="K107" s="193" t="s">
        <v>62</v>
      </c>
      <c r="L107" s="193"/>
      <c r="M107" s="195" t="s">
        <v>55</v>
      </c>
      <c r="N107" s="195"/>
      <c r="O107" s="193" t="s">
        <v>40</v>
      </c>
      <c r="P107" s="195"/>
      <c r="Q107" s="193" t="s">
        <v>44</v>
      </c>
      <c r="R107" s="193"/>
      <c r="S107" s="193"/>
      <c r="T107" s="193">
        <v>5.0</v>
      </c>
    </row>
    <row r="108" hidden="1">
      <c r="A108" s="193">
        <v>107.0</v>
      </c>
      <c r="B108" s="194">
        <v>46204.0</v>
      </c>
      <c r="C108" s="193" t="s">
        <v>58</v>
      </c>
      <c r="D108" s="193" t="s">
        <v>60</v>
      </c>
      <c r="E108" s="195" t="s">
        <v>476</v>
      </c>
      <c r="F108" s="196">
        <v>5.37501858E8</v>
      </c>
      <c r="G108" s="193" t="s">
        <v>27</v>
      </c>
      <c r="H108" s="193" t="s">
        <v>27</v>
      </c>
      <c r="I108" s="197" t="s">
        <v>4342</v>
      </c>
      <c r="J108" s="195" t="s">
        <v>35</v>
      </c>
      <c r="K108" s="193" t="s">
        <v>62</v>
      </c>
      <c r="L108" s="193"/>
      <c r="M108" s="195" t="s">
        <v>88</v>
      </c>
      <c r="N108" s="195"/>
      <c r="O108" s="193" t="s">
        <v>40</v>
      </c>
      <c r="P108" s="195"/>
      <c r="Q108" s="193" t="s">
        <v>44</v>
      </c>
      <c r="R108" s="193"/>
      <c r="S108" s="193"/>
      <c r="T108" s="193">
        <v>5.0</v>
      </c>
    </row>
    <row r="109" hidden="1">
      <c r="A109" s="193">
        <v>108.0</v>
      </c>
      <c r="B109" s="194">
        <v>46204.0</v>
      </c>
      <c r="C109" s="193" t="s">
        <v>47</v>
      </c>
      <c r="D109" s="193" t="s">
        <v>57</v>
      </c>
      <c r="E109" s="195" t="s">
        <v>449</v>
      </c>
      <c r="F109" s="196">
        <v>5.69259854E8</v>
      </c>
      <c r="G109" s="195" t="s">
        <v>41</v>
      </c>
      <c r="H109" s="193" t="s">
        <v>27</v>
      </c>
      <c r="I109" s="197" t="s">
        <v>4349</v>
      </c>
      <c r="J109" s="195" t="s">
        <v>4340</v>
      </c>
      <c r="K109" s="193" t="s">
        <v>62</v>
      </c>
      <c r="L109" s="193"/>
      <c r="M109" s="195" t="s">
        <v>55</v>
      </c>
      <c r="N109" s="195"/>
      <c r="O109" s="193" t="s">
        <v>40</v>
      </c>
      <c r="P109" s="195"/>
      <c r="Q109" s="193" t="s">
        <v>44</v>
      </c>
      <c r="R109" s="193"/>
      <c r="S109" s="193"/>
      <c r="T109" s="193">
        <v>5.0</v>
      </c>
    </row>
    <row r="110" hidden="1">
      <c r="A110" s="193">
        <v>109.0</v>
      </c>
      <c r="B110" s="194">
        <v>46204.0</v>
      </c>
      <c r="C110" s="193" t="s">
        <v>58</v>
      </c>
      <c r="D110" s="193" t="s">
        <v>60</v>
      </c>
      <c r="E110" s="193" t="s">
        <v>27</v>
      </c>
      <c r="F110" s="196">
        <v>5.34660548E8</v>
      </c>
      <c r="G110" s="195" t="s">
        <v>79</v>
      </c>
      <c r="H110" s="193" t="s">
        <v>27</v>
      </c>
      <c r="I110" s="197" t="s">
        <v>4351</v>
      </c>
      <c r="J110" s="195" t="s">
        <v>35</v>
      </c>
      <c r="K110" s="193" t="s">
        <v>62</v>
      </c>
      <c r="L110" s="193"/>
      <c r="M110" s="195" t="s">
        <v>88</v>
      </c>
      <c r="N110" s="195"/>
      <c r="O110" s="193" t="s">
        <v>40</v>
      </c>
      <c r="P110" s="195"/>
      <c r="Q110" s="193" t="s">
        <v>44</v>
      </c>
      <c r="R110" s="193"/>
      <c r="S110" s="193"/>
      <c r="T110" s="193">
        <v>5.0</v>
      </c>
    </row>
    <row r="111" hidden="1">
      <c r="A111" s="193">
        <v>110.0</v>
      </c>
      <c r="B111" s="194">
        <v>46204.0</v>
      </c>
      <c r="C111" s="193" t="s">
        <v>58</v>
      </c>
      <c r="D111" s="193" t="s">
        <v>60</v>
      </c>
      <c r="E111" s="193" t="s">
        <v>4354</v>
      </c>
      <c r="F111" s="196">
        <v>5.4457203E8</v>
      </c>
      <c r="G111" s="195" t="s">
        <v>152</v>
      </c>
      <c r="H111" s="193" t="s">
        <v>27</v>
      </c>
      <c r="I111" s="230" t="s">
        <v>4357</v>
      </c>
      <c r="J111" s="195" t="s">
        <v>4358</v>
      </c>
      <c r="K111" s="193" t="s">
        <v>62</v>
      </c>
      <c r="L111" s="193"/>
      <c r="M111" s="195" t="s">
        <v>88</v>
      </c>
      <c r="N111" s="195"/>
      <c r="O111" s="193" t="s">
        <v>40</v>
      </c>
      <c r="P111" s="195"/>
      <c r="Q111" s="193" t="s">
        <v>44</v>
      </c>
      <c r="R111" s="193"/>
      <c r="S111" s="193"/>
      <c r="T111" s="193">
        <v>5.0</v>
      </c>
    </row>
    <row r="112" hidden="1">
      <c r="A112" s="193">
        <v>111.0</v>
      </c>
      <c r="B112" s="194">
        <v>46204.0</v>
      </c>
      <c r="C112" s="193" t="s">
        <v>58</v>
      </c>
      <c r="D112" s="193" t="s">
        <v>22</v>
      </c>
      <c r="E112" s="195" t="s">
        <v>4360</v>
      </c>
      <c r="F112" s="196">
        <v>5.00003705E8</v>
      </c>
      <c r="G112" s="195" t="s">
        <v>319</v>
      </c>
      <c r="H112" s="193" t="s">
        <v>27</v>
      </c>
      <c r="I112" s="197" t="s">
        <v>4361</v>
      </c>
      <c r="J112" s="195"/>
      <c r="K112" s="193" t="s">
        <v>62</v>
      </c>
      <c r="L112" s="193"/>
      <c r="M112" s="195" t="s">
        <v>88</v>
      </c>
      <c r="N112" s="195"/>
      <c r="O112" s="193" t="s">
        <v>40</v>
      </c>
      <c r="P112" s="195"/>
      <c r="Q112" s="193" t="s">
        <v>44</v>
      </c>
      <c r="R112" s="193"/>
      <c r="S112" s="193"/>
      <c r="T112" s="193">
        <v>5.0</v>
      </c>
    </row>
    <row r="113" hidden="1">
      <c r="A113" s="193">
        <v>112.0</v>
      </c>
      <c r="B113" s="194">
        <v>46204.0</v>
      </c>
      <c r="C113" s="193" t="s">
        <v>47</v>
      </c>
      <c r="D113" s="193" t="s">
        <v>57</v>
      </c>
      <c r="E113" s="193" t="s">
        <v>4367</v>
      </c>
      <c r="F113" s="196">
        <v>5.91095079E8</v>
      </c>
      <c r="G113" s="195" t="s">
        <v>41</v>
      </c>
      <c r="H113" s="193" t="s">
        <v>27</v>
      </c>
      <c r="I113" s="197" t="s">
        <v>4369</v>
      </c>
      <c r="J113" s="195"/>
      <c r="K113" s="193" t="s">
        <v>62</v>
      </c>
      <c r="L113" s="193"/>
      <c r="M113" s="195" t="s">
        <v>55</v>
      </c>
      <c r="N113" s="195"/>
      <c r="O113" s="193" t="s">
        <v>40</v>
      </c>
      <c r="P113" s="195"/>
      <c r="Q113" s="193" t="s">
        <v>44</v>
      </c>
      <c r="R113" s="193"/>
      <c r="S113" s="193"/>
      <c r="T113" s="193">
        <v>5.0</v>
      </c>
    </row>
    <row r="114" hidden="1">
      <c r="A114" s="193">
        <v>113.0</v>
      </c>
      <c r="B114" s="194">
        <v>46204.0</v>
      </c>
      <c r="C114" s="193" t="s">
        <v>58</v>
      </c>
      <c r="D114" s="193" t="s">
        <v>34</v>
      </c>
      <c r="E114" s="195" t="s">
        <v>4374</v>
      </c>
      <c r="F114" s="196">
        <v>5.33883313E8</v>
      </c>
      <c r="G114" s="193" t="s">
        <v>27</v>
      </c>
      <c r="H114" s="193" t="s">
        <v>27</v>
      </c>
      <c r="I114" s="197" t="s">
        <v>298</v>
      </c>
      <c r="J114" s="195"/>
      <c r="K114" s="193" t="s">
        <v>62</v>
      </c>
      <c r="L114" s="193"/>
      <c r="M114" s="195" t="s">
        <v>88</v>
      </c>
      <c r="N114" s="195"/>
      <c r="O114" s="193" t="s">
        <v>40</v>
      </c>
      <c r="P114" s="195"/>
      <c r="Q114" s="193" t="s">
        <v>44</v>
      </c>
      <c r="R114" s="193"/>
      <c r="S114" s="193"/>
      <c r="T114" s="193">
        <v>5.0</v>
      </c>
    </row>
    <row r="115" hidden="1">
      <c r="A115" s="193">
        <v>114.0</v>
      </c>
      <c r="B115" s="194">
        <v>46204.0</v>
      </c>
      <c r="C115" s="193" t="s">
        <v>58</v>
      </c>
      <c r="D115" s="193" t="s">
        <v>57</v>
      </c>
      <c r="E115" s="193" t="s">
        <v>27</v>
      </c>
      <c r="F115" s="196">
        <v>5.05908025E8</v>
      </c>
      <c r="G115" s="193" t="s">
        <v>27</v>
      </c>
      <c r="H115" s="193" t="s">
        <v>27</v>
      </c>
      <c r="I115" s="197" t="s">
        <v>4380</v>
      </c>
      <c r="J115" s="195"/>
      <c r="K115" s="193" t="s">
        <v>62</v>
      </c>
      <c r="L115" s="193"/>
      <c r="M115" s="195" t="s">
        <v>88</v>
      </c>
      <c r="N115" s="195"/>
      <c r="O115" s="193" t="s">
        <v>40</v>
      </c>
      <c r="P115" s="195"/>
      <c r="Q115" s="193" t="s">
        <v>44</v>
      </c>
      <c r="R115" s="193"/>
      <c r="S115" s="193"/>
      <c r="T115" s="193">
        <v>5.0</v>
      </c>
    </row>
    <row r="116" hidden="1">
      <c r="A116" s="193">
        <v>115.0</v>
      </c>
      <c r="B116" s="194">
        <v>46204.0</v>
      </c>
      <c r="C116" s="193" t="s">
        <v>58</v>
      </c>
      <c r="D116" s="193" t="s">
        <v>57</v>
      </c>
      <c r="E116" s="193" t="s">
        <v>27</v>
      </c>
      <c r="F116" s="196">
        <v>5.65301192E8</v>
      </c>
      <c r="G116" s="193" t="s">
        <v>27</v>
      </c>
      <c r="H116" s="193" t="s">
        <v>27</v>
      </c>
      <c r="I116" s="197" t="s">
        <v>1306</v>
      </c>
      <c r="J116" s="195" t="s">
        <v>4385</v>
      </c>
      <c r="K116" s="193" t="s">
        <v>62</v>
      </c>
      <c r="L116" s="193"/>
      <c r="M116" s="195" t="s">
        <v>88</v>
      </c>
      <c r="N116" s="195"/>
      <c r="O116" s="193" t="s">
        <v>40</v>
      </c>
      <c r="P116" s="195"/>
      <c r="Q116" s="193" t="s">
        <v>44</v>
      </c>
      <c r="R116" s="193"/>
      <c r="S116" s="193"/>
      <c r="T116" s="193">
        <v>5.0</v>
      </c>
    </row>
    <row r="117" hidden="1">
      <c r="A117" s="193">
        <v>116.0</v>
      </c>
      <c r="B117" s="194">
        <v>46204.0</v>
      </c>
      <c r="C117" s="193" t="s">
        <v>47</v>
      </c>
      <c r="D117" s="193" t="s">
        <v>57</v>
      </c>
      <c r="E117" s="195" t="s">
        <v>4388</v>
      </c>
      <c r="F117" s="196">
        <v>5.38799458E8</v>
      </c>
      <c r="G117" s="195" t="s">
        <v>41</v>
      </c>
      <c r="H117" s="193" t="s">
        <v>27</v>
      </c>
      <c r="I117" s="197" t="s">
        <v>4390</v>
      </c>
      <c r="J117" s="195" t="s">
        <v>4391</v>
      </c>
      <c r="K117" s="193" t="s">
        <v>62</v>
      </c>
      <c r="L117" s="193"/>
      <c r="M117" s="195" t="s">
        <v>55</v>
      </c>
      <c r="N117" s="195"/>
      <c r="O117" s="193" t="s">
        <v>40</v>
      </c>
      <c r="P117" s="195"/>
      <c r="Q117" s="193" t="s">
        <v>44</v>
      </c>
      <c r="R117" s="193"/>
      <c r="S117" s="193"/>
      <c r="T117" s="193">
        <v>5.0</v>
      </c>
    </row>
    <row r="118" hidden="1">
      <c r="A118" s="193">
        <v>117.0</v>
      </c>
      <c r="B118" s="194">
        <v>46204.0</v>
      </c>
      <c r="C118" s="193" t="s">
        <v>58</v>
      </c>
      <c r="D118" s="193" t="s">
        <v>57</v>
      </c>
      <c r="E118" s="195" t="s">
        <v>4396</v>
      </c>
      <c r="F118" s="196">
        <v>5.69802189E8</v>
      </c>
      <c r="G118" s="193" t="s">
        <v>27</v>
      </c>
      <c r="H118" s="193" t="s">
        <v>27</v>
      </c>
      <c r="I118" s="197" t="s">
        <v>4397</v>
      </c>
      <c r="J118" s="195" t="s">
        <v>4385</v>
      </c>
      <c r="K118" s="193" t="s">
        <v>62</v>
      </c>
      <c r="L118" s="193"/>
      <c r="M118" s="195" t="s">
        <v>88</v>
      </c>
      <c r="N118" s="195"/>
      <c r="O118" s="193" t="s">
        <v>40</v>
      </c>
      <c r="P118" s="195"/>
      <c r="Q118" s="193" t="s">
        <v>44</v>
      </c>
      <c r="R118" s="193"/>
      <c r="S118" s="193"/>
      <c r="T118" s="193">
        <v>5.0</v>
      </c>
    </row>
    <row r="119" hidden="1">
      <c r="A119" s="193">
        <v>118.0</v>
      </c>
      <c r="B119" s="194">
        <v>46204.0</v>
      </c>
      <c r="C119" s="193" t="s">
        <v>58</v>
      </c>
      <c r="D119" s="193" t="s">
        <v>57</v>
      </c>
      <c r="E119" s="193" t="s">
        <v>27</v>
      </c>
      <c r="F119" s="196">
        <v>5.31515788E8</v>
      </c>
      <c r="G119" s="193" t="s">
        <v>27</v>
      </c>
      <c r="H119" s="193" t="s">
        <v>27</v>
      </c>
      <c r="I119" s="197" t="s">
        <v>4401</v>
      </c>
      <c r="J119" s="195" t="s">
        <v>4385</v>
      </c>
      <c r="K119" s="193" t="s">
        <v>62</v>
      </c>
      <c r="L119" s="193"/>
      <c r="M119" s="195" t="s">
        <v>88</v>
      </c>
      <c r="N119" s="195"/>
      <c r="O119" s="193" t="s">
        <v>40</v>
      </c>
      <c r="P119" s="195"/>
      <c r="Q119" s="193" t="s">
        <v>44</v>
      </c>
      <c r="R119" s="193"/>
      <c r="S119" s="193"/>
      <c r="T119" s="193">
        <v>5.0</v>
      </c>
    </row>
    <row r="120" hidden="1">
      <c r="A120" s="193">
        <v>119.0</v>
      </c>
      <c r="B120" s="194">
        <v>46204.0</v>
      </c>
      <c r="C120" s="193" t="s">
        <v>58</v>
      </c>
      <c r="D120" s="193" t="s">
        <v>57</v>
      </c>
      <c r="E120" s="193" t="s">
        <v>27</v>
      </c>
      <c r="F120" s="196">
        <v>5.53771782E8</v>
      </c>
      <c r="G120" s="193" t="s">
        <v>27</v>
      </c>
      <c r="H120" s="193" t="s">
        <v>27</v>
      </c>
      <c r="I120" s="197" t="s">
        <v>1306</v>
      </c>
      <c r="J120" s="195"/>
      <c r="K120" s="193" t="s">
        <v>62</v>
      </c>
      <c r="L120" s="193"/>
      <c r="M120" s="195" t="s">
        <v>88</v>
      </c>
      <c r="N120" s="195"/>
      <c r="O120" s="193" t="s">
        <v>40</v>
      </c>
      <c r="P120" s="195"/>
      <c r="Q120" s="193" t="s">
        <v>44</v>
      </c>
      <c r="R120" s="193"/>
      <c r="S120" s="193"/>
      <c r="T120" s="193">
        <v>5.0</v>
      </c>
    </row>
    <row r="121" hidden="1">
      <c r="A121" s="193">
        <v>120.0</v>
      </c>
      <c r="B121" s="194">
        <v>46204.0</v>
      </c>
      <c r="C121" s="193" t="s">
        <v>58</v>
      </c>
      <c r="D121" s="193" t="s">
        <v>60</v>
      </c>
      <c r="E121" s="193" t="s">
        <v>27</v>
      </c>
      <c r="F121" s="196">
        <v>5.96282716E8</v>
      </c>
      <c r="G121" s="193" t="s">
        <v>27</v>
      </c>
      <c r="H121" s="193" t="s">
        <v>27</v>
      </c>
      <c r="I121" s="197" t="s">
        <v>4406</v>
      </c>
      <c r="J121" s="195"/>
      <c r="K121" s="193" t="s">
        <v>62</v>
      </c>
      <c r="L121" s="193"/>
      <c r="M121" s="195" t="s">
        <v>88</v>
      </c>
      <c r="N121" s="195"/>
      <c r="O121" s="193" t="s">
        <v>40</v>
      </c>
      <c r="P121" s="195"/>
      <c r="Q121" s="193" t="s">
        <v>44</v>
      </c>
      <c r="R121" s="193"/>
      <c r="S121" s="193"/>
      <c r="T121" s="193">
        <v>5.0</v>
      </c>
    </row>
    <row r="122" hidden="1">
      <c r="A122" s="193">
        <v>121.0</v>
      </c>
      <c r="B122" s="194">
        <v>46204.0</v>
      </c>
      <c r="C122" s="193" t="s">
        <v>58</v>
      </c>
      <c r="D122" s="193" t="s">
        <v>60</v>
      </c>
      <c r="E122" s="195" t="s">
        <v>4409</v>
      </c>
      <c r="F122" s="196">
        <v>5.97052294E8</v>
      </c>
      <c r="G122" s="193" t="s">
        <v>27</v>
      </c>
      <c r="H122" s="193" t="s">
        <v>27</v>
      </c>
      <c r="I122" s="197" t="s">
        <v>4410</v>
      </c>
      <c r="J122" s="195"/>
      <c r="K122" s="193" t="s">
        <v>62</v>
      </c>
      <c r="L122" s="193"/>
      <c r="M122" s="195" t="s">
        <v>88</v>
      </c>
      <c r="N122" s="195"/>
      <c r="O122" s="193" t="s">
        <v>40</v>
      </c>
      <c r="P122" s="195"/>
      <c r="Q122" s="193" t="s">
        <v>44</v>
      </c>
      <c r="R122" s="193"/>
      <c r="S122" s="193"/>
      <c r="T122" s="193">
        <v>5.0</v>
      </c>
    </row>
    <row r="123" hidden="1">
      <c r="A123" s="193">
        <v>122.0</v>
      </c>
      <c r="B123" s="194">
        <v>46204.0</v>
      </c>
      <c r="C123" s="193" t="s">
        <v>58</v>
      </c>
      <c r="D123" s="193" t="s">
        <v>57</v>
      </c>
      <c r="E123" s="193" t="s">
        <v>27</v>
      </c>
      <c r="F123" s="196">
        <v>5.64414308E8</v>
      </c>
      <c r="G123" s="193" t="s">
        <v>27</v>
      </c>
      <c r="H123" s="193" t="s">
        <v>27</v>
      </c>
      <c r="I123" s="197" t="s">
        <v>4414</v>
      </c>
      <c r="J123" s="195" t="s">
        <v>35</v>
      </c>
      <c r="K123" s="193" t="s">
        <v>62</v>
      </c>
      <c r="L123" s="193"/>
      <c r="M123" s="195" t="s">
        <v>88</v>
      </c>
      <c r="N123" s="195"/>
      <c r="O123" s="193" t="s">
        <v>40</v>
      </c>
      <c r="P123" s="195"/>
      <c r="Q123" s="193" t="s">
        <v>44</v>
      </c>
      <c r="R123" s="193"/>
      <c r="S123" s="193"/>
      <c r="T123" s="193">
        <v>5.0</v>
      </c>
    </row>
    <row r="124" hidden="1">
      <c r="A124" s="193">
        <v>123.0</v>
      </c>
      <c r="B124" s="194">
        <v>46204.0</v>
      </c>
      <c r="C124" s="193" t="s">
        <v>58</v>
      </c>
      <c r="D124" s="193" t="s">
        <v>57</v>
      </c>
      <c r="E124" s="195" t="s">
        <v>4418</v>
      </c>
      <c r="F124" s="196">
        <v>5.43490084E8</v>
      </c>
      <c r="G124" s="193" t="s">
        <v>27</v>
      </c>
      <c r="H124" s="193" t="s">
        <v>27</v>
      </c>
      <c r="I124" s="197" t="s">
        <v>4239</v>
      </c>
      <c r="J124" s="195"/>
      <c r="K124" s="193" t="s">
        <v>62</v>
      </c>
      <c r="L124" s="193"/>
      <c r="M124" s="195" t="s">
        <v>88</v>
      </c>
      <c r="N124" s="195"/>
      <c r="O124" s="193" t="s">
        <v>40</v>
      </c>
      <c r="P124" s="195"/>
      <c r="Q124" s="193" t="s">
        <v>44</v>
      </c>
      <c r="R124" s="193"/>
      <c r="S124" s="193"/>
      <c r="T124" s="193">
        <v>5.0</v>
      </c>
    </row>
    <row r="125" hidden="1">
      <c r="A125" s="193">
        <v>124.0</v>
      </c>
      <c r="B125" s="194">
        <v>46204.0</v>
      </c>
      <c r="C125" s="193" t="s">
        <v>58</v>
      </c>
      <c r="D125" s="193" t="s">
        <v>57</v>
      </c>
      <c r="E125" s="193" t="s">
        <v>27</v>
      </c>
      <c r="F125" s="196">
        <v>5.30677097E8</v>
      </c>
      <c r="G125" s="193" t="s">
        <v>27</v>
      </c>
      <c r="H125" s="193" t="s">
        <v>27</v>
      </c>
      <c r="I125" s="197" t="s">
        <v>4420</v>
      </c>
      <c r="J125" s="195" t="s">
        <v>4421</v>
      </c>
      <c r="K125" s="193" t="s">
        <v>62</v>
      </c>
      <c r="L125" s="193"/>
      <c r="M125" s="195" t="s">
        <v>88</v>
      </c>
      <c r="N125" s="195"/>
      <c r="O125" s="193" t="s">
        <v>40</v>
      </c>
      <c r="P125" s="195"/>
      <c r="Q125" s="193" t="s">
        <v>44</v>
      </c>
      <c r="R125" s="193"/>
      <c r="S125" s="193"/>
      <c r="T125" s="193">
        <v>5.0</v>
      </c>
    </row>
    <row r="126" hidden="1">
      <c r="A126" s="193">
        <v>125.0</v>
      </c>
      <c r="B126" s="194">
        <v>46204.0</v>
      </c>
      <c r="C126" s="193" t="s">
        <v>58</v>
      </c>
      <c r="D126" s="193" t="s">
        <v>57</v>
      </c>
      <c r="E126" s="195" t="s">
        <v>4426</v>
      </c>
      <c r="F126" s="196">
        <v>5.92943352E8</v>
      </c>
      <c r="G126" s="193" t="s">
        <v>27</v>
      </c>
      <c r="H126" s="193" t="s">
        <v>27</v>
      </c>
      <c r="I126" s="197" t="s">
        <v>4427</v>
      </c>
      <c r="J126" s="195" t="s">
        <v>35</v>
      </c>
      <c r="K126" s="193" t="s">
        <v>62</v>
      </c>
      <c r="L126" s="193"/>
      <c r="M126" s="195" t="s">
        <v>88</v>
      </c>
      <c r="N126" s="195"/>
      <c r="O126" s="193" t="s">
        <v>40</v>
      </c>
      <c r="P126" s="195"/>
      <c r="Q126" s="193" t="s">
        <v>44</v>
      </c>
      <c r="R126" s="193"/>
      <c r="S126" s="193"/>
      <c r="T126" s="193">
        <v>5.0</v>
      </c>
    </row>
    <row r="127" hidden="1">
      <c r="A127" s="193">
        <v>126.0</v>
      </c>
      <c r="B127" s="194">
        <v>46204.0</v>
      </c>
      <c r="C127" s="193" t="s">
        <v>58</v>
      </c>
      <c r="D127" s="193" t="s">
        <v>57</v>
      </c>
      <c r="E127" s="195" t="s">
        <v>4432</v>
      </c>
      <c r="F127" s="196">
        <v>5.32539033E8</v>
      </c>
      <c r="G127" s="193" t="s">
        <v>27</v>
      </c>
      <c r="H127" s="193" t="s">
        <v>27</v>
      </c>
      <c r="I127" s="197" t="s">
        <v>4433</v>
      </c>
      <c r="J127" s="195" t="s">
        <v>35</v>
      </c>
      <c r="K127" s="193" t="s">
        <v>62</v>
      </c>
      <c r="L127" s="193"/>
      <c r="M127" s="195" t="s">
        <v>88</v>
      </c>
      <c r="N127" s="195"/>
      <c r="O127" s="193" t="s">
        <v>40</v>
      </c>
      <c r="P127" s="195"/>
      <c r="Q127" s="193" t="s">
        <v>44</v>
      </c>
      <c r="R127" s="193"/>
      <c r="S127" s="193"/>
      <c r="T127" s="193">
        <v>5.0</v>
      </c>
    </row>
    <row r="128" hidden="1">
      <c r="A128" s="193">
        <v>127.0</v>
      </c>
      <c r="B128" s="194">
        <v>46204.0</v>
      </c>
      <c r="C128" s="193" t="s">
        <v>58</v>
      </c>
      <c r="D128" s="193" t="s">
        <v>57</v>
      </c>
      <c r="E128" s="195" t="s">
        <v>4436</v>
      </c>
      <c r="F128" s="196">
        <v>5.90583367E8</v>
      </c>
      <c r="G128" s="193" t="s">
        <v>27</v>
      </c>
      <c r="H128" s="193" t="s">
        <v>27</v>
      </c>
      <c r="I128" s="197" t="s">
        <v>4437</v>
      </c>
      <c r="J128" s="195" t="s">
        <v>4385</v>
      </c>
      <c r="K128" s="193" t="s">
        <v>62</v>
      </c>
      <c r="L128" s="193"/>
      <c r="M128" s="195" t="s">
        <v>88</v>
      </c>
      <c r="N128" s="195"/>
      <c r="O128" s="193" t="s">
        <v>40</v>
      </c>
      <c r="P128" s="195"/>
      <c r="Q128" s="193" t="s">
        <v>44</v>
      </c>
      <c r="R128" s="193"/>
      <c r="S128" s="193"/>
      <c r="T128" s="193">
        <v>5.0</v>
      </c>
    </row>
    <row r="129" hidden="1">
      <c r="A129" s="193">
        <v>128.0</v>
      </c>
      <c r="B129" s="194">
        <v>46204.0</v>
      </c>
      <c r="C129" s="193" t="s">
        <v>58</v>
      </c>
      <c r="D129" s="193" t="s">
        <v>57</v>
      </c>
      <c r="E129" s="195" t="s">
        <v>4441</v>
      </c>
      <c r="F129" s="196">
        <v>5.02455785E8</v>
      </c>
      <c r="G129" s="193" t="s">
        <v>27</v>
      </c>
      <c r="H129" s="193" t="s">
        <v>27</v>
      </c>
      <c r="I129" s="197" t="s">
        <v>4442</v>
      </c>
      <c r="J129" s="195" t="s">
        <v>35</v>
      </c>
      <c r="K129" s="193" t="s">
        <v>62</v>
      </c>
      <c r="L129" s="193"/>
      <c r="M129" s="195" t="s">
        <v>88</v>
      </c>
      <c r="N129" s="195"/>
      <c r="O129" s="193" t="s">
        <v>40</v>
      </c>
      <c r="P129" s="195"/>
      <c r="Q129" s="193" t="s">
        <v>44</v>
      </c>
      <c r="R129" s="193"/>
      <c r="S129" s="193"/>
      <c r="T129" s="193">
        <v>5.0</v>
      </c>
    </row>
    <row r="130" hidden="1">
      <c r="A130" s="193">
        <v>129.0</v>
      </c>
      <c r="B130" s="194">
        <v>46204.0</v>
      </c>
      <c r="C130" s="193" t="s">
        <v>58</v>
      </c>
      <c r="D130" s="193" t="s">
        <v>57</v>
      </c>
      <c r="E130" s="193" t="s">
        <v>4445</v>
      </c>
      <c r="F130" s="196">
        <v>5.00905221E8</v>
      </c>
      <c r="G130" s="193" t="s">
        <v>27</v>
      </c>
      <c r="H130" s="193" t="s">
        <v>27</v>
      </c>
      <c r="I130" s="197" t="s">
        <v>4448</v>
      </c>
      <c r="J130" s="195" t="s">
        <v>35</v>
      </c>
      <c r="K130" s="193" t="s">
        <v>62</v>
      </c>
      <c r="L130" s="193"/>
      <c r="M130" s="195" t="s">
        <v>88</v>
      </c>
      <c r="N130" s="195"/>
      <c r="O130" s="193" t="s">
        <v>40</v>
      </c>
      <c r="P130" s="195"/>
      <c r="Q130" s="193" t="s">
        <v>44</v>
      </c>
      <c r="R130" s="193"/>
      <c r="S130" s="193"/>
      <c r="T130" s="193">
        <v>5.0</v>
      </c>
    </row>
    <row r="131" hidden="1">
      <c r="A131" s="193">
        <v>130.0</v>
      </c>
      <c r="B131" s="194">
        <v>46204.0</v>
      </c>
      <c r="C131" s="193" t="s">
        <v>58</v>
      </c>
      <c r="D131" s="193" t="s">
        <v>57</v>
      </c>
      <c r="E131" s="193" t="s">
        <v>27</v>
      </c>
      <c r="F131" s="196">
        <v>5.31207258E8</v>
      </c>
      <c r="G131" s="193" t="s">
        <v>27</v>
      </c>
      <c r="H131" s="193" t="s">
        <v>27</v>
      </c>
      <c r="I131" s="197" t="s">
        <v>4454</v>
      </c>
      <c r="J131" s="195" t="s">
        <v>4455</v>
      </c>
      <c r="K131" s="193" t="s">
        <v>62</v>
      </c>
      <c r="L131" s="193"/>
      <c r="M131" s="195" t="s">
        <v>88</v>
      </c>
      <c r="N131" s="195"/>
      <c r="O131" s="193" t="s">
        <v>40</v>
      </c>
      <c r="P131" s="195"/>
      <c r="Q131" s="193" t="s">
        <v>44</v>
      </c>
      <c r="R131" s="193"/>
      <c r="S131" s="193"/>
      <c r="T131" s="193">
        <v>5.0</v>
      </c>
    </row>
    <row r="132" hidden="1">
      <c r="A132" s="193">
        <v>131.0</v>
      </c>
      <c r="B132" s="194">
        <v>46204.0</v>
      </c>
      <c r="C132" s="193" t="s">
        <v>58</v>
      </c>
      <c r="D132" s="193" t="s">
        <v>57</v>
      </c>
      <c r="E132" s="195" t="s">
        <v>4459</v>
      </c>
      <c r="F132" s="196">
        <v>5.67600134E8</v>
      </c>
      <c r="G132" s="193" t="s">
        <v>27</v>
      </c>
      <c r="H132" s="193" t="s">
        <v>27</v>
      </c>
      <c r="I132" s="197" t="s">
        <v>4461</v>
      </c>
      <c r="J132" s="195" t="s">
        <v>4455</v>
      </c>
      <c r="K132" s="193" t="s">
        <v>62</v>
      </c>
      <c r="L132" s="193"/>
      <c r="M132" s="195" t="s">
        <v>88</v>
      </c>
      <c r="N132" s="195"/>
      <c r="O132" s="193" t="s">
        <v>40</v>
      </c>
      <c r="P132" s="195"/>
      <c r="Q132" s="193" t="s">
        <v>44</v>
      </c>
      <c r="R132" s="193"/>
      <c r="S132" s="193"/>
      <c r="T132" s="193">
        <v>5.0</v>
      </c>
    </row>
    <row r="133" hidden="1">
      <c r="A133" s="193">
        <v>132.0</v>
      </c>
      <c r="B133" s="194">
        <v>46204.0</v>
      </c>
      <c r="C133" s="193" t="s">
        <v>58</v>
      </c>
      <c r="D133" s="193" t="s">
        <v>60</v>
      </c>
      <c r="E133" s="193">
        <v>7.0</v>
      </c>
      <c r="F133" s="196">
        <v>5.43410133E8</v>
      </c>
      <c r="G133" s="193" t="s">
        <v>27</v>
      </c>
      <c r="H133" s="193" t="s">
        <v>27</v>
      </c>
      <c r="I133" s="197" t="s">
        <v>4406</v>
      </c>
      <c r="J133" s="195"/>
      <c r="K133" s="193" t="s">
        <v>62</v>
      </c>
      <c r="L133" s="193"/>
      <c r="M133" s="195" t="s">
        <v>88</v>
      </c>
      <c r="N133" s="195"/>
      <c r="O133" s="193" t="s">
        <v>40</v>
      </c>
      <c r="P133" s="195"/>
      <c r="Q133" s="193" t="s">
        <v>44</v>
      </c>
      <c r="R133" s="193"/>
      <c r="S133" s="193"/>
      <c r="T133" s="193">
        <v>5.0</v>
      </c>
    </row>
    <row r="134" hidden="1">
      <c r="A134" s="193">
        <v>133.0</v>
      </c>
      <c r="B134" s="194">
        <v>46204.0</v>
      </c>
      <c r="C134" s="193" t="s">
        <v>58</v>
      </c>
      <c r="D134" s="193" t="s">
        <v>57</v>
      </c>
      <c r="E134" s="195" t="s">
        <v>4469</v>
      </c>
      <c r="F134" s="196">
        <v>5.34967567E8</v>
      </c>
      <c r="G134" s="193" t="s">
        <v>27</v>
      </c>
      <c r="H134" s="193" t="s">
        <v>27</v>
      </c>
      <c r="I134" s="197" t="s">
        <v>4470</v>
      </c>
      <c r="J134" s="195" t="s">
        <v>500</v>
      </c>
      <c r="K134" s="193" t="s">
        <v>62</v>
      </c>
      <c r="L134" s="193"/>
      <c r="M134" s="195" t="s">
        <v>88</v>
      </c>
      <c r="N134" s="195"/>
      <c r="O134" s="193" t="s">
        <v>40</v>
      </c>
      <c r="P134" s="195"/>
      <c r="Q134" s="193" t="s">
        <v>44</v>
      </c>
      <c r="R134" s="193"/>
      <c r="S134" s="193"/>
      <c r="T134" s="193">
        <v>5.0</v>
      </c>
    </row>
    <row r="135" hidden="1">
      <c r="A135" s="193">
        <v>134.0</v>
      </c>
      <c r="B135" s="194">
        <v>46204.0</v>
      </c>
      <c r="C135" s="193" t="s">
        <v>58</v>
      </c>
      <c r="D135" s="193" t="s">
        <v>57</v>
      </c>
      <c r="E135" s="195" t="s">
        <v>4479</v>
      </c>
      <c r="F135" s="196">
        <v>5.60034548E8</v>
      </c>
      <c r="G135" s="193" t="s">
        <v>27</v>
      </c>
      <c r="H135" s="193" t="s">
        <v>27</v>
      </c>
      <c r="I135" s="197" t="s">
        <v>4480</v>
      </c>
      <c r="J135" s="195" t="s">
        <v>500</v>
      </c>
      <c r="K135" s="193" t="s">
        <v>62</v>
      </c>
      <c r="L135" s="193"/>
      <c r="M135" s="195" t="s">
        <v>88</v>
      </c>
      <c r="N135" s="195"/>
      <c r="O135" s="193" t="s">
        <v>40</v>
      </c>
      <c r="P135" s="195"/>
      <c r="Q135" s="193" t="s">
        <v>44</v>
      </c>
      <c r="R135" s="193"/>
      <c r="S135" s="193"/>
      <c r="T135" s="193">
        <v>5.0</v>
      </c>
    </row>
    <row r="136" hidden="1">
      <c r="A136" s="193">
        <v>135.0</v>
      </c>
      <c r="B136" s="194">
        <v>46204.0</v>
      </c>
      <c r="C136" s="193" t="s">
        <v>47</v>
      </c>
      <c r="D136" s="193" t="s">
        <v>57</v>
      </c>
      <c r="E136" s="195" t="s">
        <v>4484</v>
      </c>
      <c r="F136" s="196">
        <v>5.40393101E8</v>
      </c>
      <c r="G136" s="195" t="s">
        <v>41</v>
      </c>
      <c r="H136" s="193" t="s">
        <v>27</v>
      </c>
      <c r="I136" s="197" t="s">
        <v>4488</v>
      </c>
      <c r="J136" s="195" t="s">
        <v>35</v>
      </c>
      <c r="K136" s="193" t="s">
        <v>62</v>
      </c>
      <c r="L136" s="193"/>
      <c r="M136" s="195" t="s">
        <v>55</v>
      </c>
      <c r="N136" s="195"/>
      <c r="O136" s="193" t="s">
        <v>40</v>
      </c>
      <c r="P136" s="195"/>
      <c r="Q136" s="193" t="s">
        <v>44</v>
      </c>
      <c r="R136" s="193"/>
      <c r="S136" s="193"/>
      <c r="T136" s="193">
        <v>5.0</v>
      </c>
    </row>
    <row r="137" hidden="1">
      <c r="A137" s="193">
        <v>136.0</v>
      </c>
      <c r="B137" s="194">
        <v>46204.0</v>
      </c>
      <c r="C137" s="193" t="s">
        <v>47</v>
      </c>
      <c r="D137" s="193" t="s">
        <v>57</v>
      </c>
      <c r="E137" s="193" t="s">
        <v>27</v>
      </c>
      <c r="F137" s="196">
        <v>5.37222176E8</v>
      </c>
      <c r="G137" s="195" t="s">
        <v>41</v>
      </c>
      <c r="H137" s="193" t="s">
        <v>27</v>
      </c>
      <c r="I137" s="197" t="s">
        <v>4489</v>
      </c>
      <c r="J137" s="195" t="s">
        <v>35</v>
      </c>
      <c r="K137" s="193" t="s">
        <v>62</v>
      </c>
      <c r="L137" s="193"/>
      <c r="M137" s="195" t="s">
        <v>55</v>
      </c>
      <c r="N137" s="195"/>
      <c r="O137" s="193" t="s">
        <v>40</v>
      </c>
      <c r="P137" s="195"/>
      <c r="Q137" s="193" t="s">
        <v>44</v>
      </c>
      <c r="R137" s="193"/>
      <c r="S137" s="193"/>
      <c r="T137" s="193">
        <v>5.0</v>
      </c>
    </row>
    <row r="138" hidden="1">
      <c r="A138" s="193">
        <v>137.0</v>
      </c>
      <c r="B138" s="194">
        <v>46204.0</v>
      </c>
      <c r="C138" s="193" t="s">
        <v>58</v>
      </c>
      <c r="D138" s="193" t="s">
        <v>57</v>
      </c>
      <c r="E138" s="193" t="s">
        <v>4497</v>
      </c>
      <c r="F138" s="196">
        <v>5.44228831E8</v>
      </c>
      <c r="G138" s="193" t="s">
        <v>27</v>
      </c>
      <c r="H138" s="193" t="s">
        <v>27</v>
      </c>
      <c r="I138" s="197" t="s">
        <v>4498</v>
      </c>
      <c r="J138" s="195" t="s">
        <v>35</v>
      </c>
      <c r="K138" s="193" t="s">
        <v>62</v>
      </c>
      <c r="L138" s="193"/>
      <c r="M138" s="195" t="s">
        <v>88</v>
      </c>
      <c r="N138" s="195"/>
      <c r="O138" s="193" t="s">
        <v>40</v>
      </c>
      <c r="P138" s="195"/>
      <c r="Q138" s="193" t="s">
        <v>44</v>
      </c>
      <c r="R138" s="193"/>
      <c r="S138" s="193"/>
      <c r="T138" s="193">
        <v>5.0</v>
      </c>
    </row>
    <row r="139" hidden="1">
      <c r="A139" s="193">
        <v>138.0</v>
      </c>
      <c r="B139" s="194">
        <v>46204.0</v>
      </c>
      <c r="C139" s="193" t="s">
        <v>58</v>
      </c>
      <c r="D139" s="193" t="s">
        <v>57</v>
      </c>
      <c r="E139" s="193" t="s">
        <v>27</v>
      </c>
      <c r="F139" s="196">
        <v>5.04568727E8</v>
      </c>
      <c r="G139" s="193" t="s">
        <v>27</v>
      </c>
      <c r="H139" s="193" t="s">
        <v>27</v>
      </c>
      <c r="I139" s="197" t="s">
        <v>4502</v>
      </c>
      <c r="J139" s="195" t="s">
        <v>35</v>
      </c>
      <c r="K139" s="193" t="s">
        <v>62</v>
      </c>
      <c r="L139" s="193"/>
      <c r="M139" s="195" t="s">
        <v>88</v>
      </c>
      <c r="N139" s="195"/>
      <c r="O139" s="193" t="s">
        <v>40</v>
      </c>
      <c r="P139" s="195"/>
      <c r="Q139" s="193" t="s">
        <v>44</v>
      </c>
      <c r="R139" s="193"/>
      <c r="S139" s="193"/>
      <c r="T139" s="193">
        <v>5.0</v>
      </c>
    </row>
    <row r="140" hidden="1">
      <c r="A140" s="193">
        <v>139.0</v>
      </c>
      <c r="B140" s="194">
        <v>46204.0</v>
      </c>
      <c r="C140" s="193" t="s">
        <v>58</v>
      </c>
      <c r="D140" s="193" t="s">
        <v>60</v>
      </c>
      <c r="E140" s="193" t="s">
        <v>27</v>
      </c>
      <c r="F140" s="196">
        <v>5.33430995E8</v>
      </c>
      <c r="G140" s="193" t="s">
        <v>27</v>
      </c>
      <c r="H140" s="193" t="s">
        <v>27</v>
      </c>
      <c r="I140" s="197" t="s">
        <v>4406</v>
      </c>
      <c r="J140" s="195"/>
      <c r="K140" s="193" t="s">
        <v>62</v>
      </c>
      <c r="L140" s="193"/>
      <c r="M140" s="195" t="s">
        <v>88</v>
      </c>
      <c r="N140" s="195"/>
      <c r="O140" s="193" t="s">
        <v>40</v>
      </c>
      <c r="P140" s="195"/>
      <c r="Q140" s="193" t="s">
        <v>44</v>
      </c>
      <c r="R140" s="193"/>
      <c r="S140" s="193"/>
      <c r="T140" s="193">
        <v>5.0</v>
      </c>
    </row>
    <row r="141" hidden="1">
      <c r="A141" s="193">
        <v>140.0</v>
      </c>
      <c r="B141" s="194">
        <v>46204.0</v>
      </c>
      <c r="C141" s="193" t="s">
        <v>58</v>
      </c>
      <c r="D141" s="193" t="s">
        <v>57</v>
      </c>
      <c r="E141" s="195" t="s">
        <v>4505</v>
      </c>
      <c r="F141" s="196">
        <v>5.54478225E8</v>
      </c>
      <c r="G141" s="193" t="s">
        <v>27</v>
      </c>
      <c r="H141" s="193" t="s">
        <v>27</v>
      </c>
      <c r="I141" s="197" t="s">
        <v>4506</v>
      </c>
      <c r="J141" s="195" t="s">
        <v>35</v>
      </c>
      <c r="K141" s="193" t="s">
        <v>62</v>
      </c>
      <c r="L141" s="193"/>
      <c r="M141" s="195" t="s">
        <v>88</v>
      </c>
      <c r="N141" s="195"/>
      <c r="O141" s="193" t="s">
        <v>40</v>
      </c>
      <c r="P141" s="195"/>
      <c r="Q141" s="193" t="s">
        <v>44</v>
      </c>
      <c r="R141" s="193"/>
      <c r="S141" s="193"/>
      <c r="T141" s="193">
        <v>5.0</v>
      </c>
    </row>
    <row r="142" hidden="1">
      <c r="A142" s="193">
        <v>141.0</v>
      </c>
      <c r="B142" s="194">
        <v>46204.0</v>
      </c>
      <c r="C142" s="193" t="s">
        <v>58</v>
      </c>
      <c r="D142" s="193" t="s">
        <v>57</v>
      </c>
      <c r="E142" s="195" t="s">
        <v>850</v>
      </c>
      <c r="F142" s="196">
        <v>5.42323592E8</v>
      </c>
      <c r="G142" s="193" t="s">
        <v>27</v>
      </c>
      <c r="H142" s="193" t="s">
        <v>27</v>
      </c>
      <c r="I142" s="197" t="s">
        <v>4511</v>
      </c>
      <c r="J142" s="195" t="s">
        <v>35</v>
      </c>
      <c r="K142" s="193" t="s">
        <v>62</v>
      </c>
      <c r="L142" s="193"/>
      <c r="M142" s="195" t="s">
        <v>88</v>
      </c>
      <c r="N142" s="195"/>
      <c r="O142" s="193" t="s">
        <v>40</v>
      </c>
      <c r="P142" s="195"/>
      <c r="Q142" s="193" t="s">
        <v>44</v>
      </c>
      <c r="R142" s="193"/>
      <c r="S142" s="193"/>
      <c r="T142" s="193">
        <v>5.0</v>
      </c>
    </row>
    <row r="143" hidden="1">
      <c r="A143" s="193">
        <v>142.0</v>
      </c>
      <c r="B143" s="194">
        <v>46204.0</v>
      </c>
      <c r="C143" s="193" t="s">
        <v>58</v>
      </c>
      <c r="D143" s="193" t="s">
        <v>57</v>
      </c>
      <c r="E143" s="195" t="s">
        <v>4515</v>
      </c>
      <c r="F143" s="196">
        <v>5.96228665E8</v>
      </c>
      <c r="G143" s="193" t="s">
        <v>27</v>
      </c>
      <c r="H143" s="193" t="s">
        <v>27</v>
      </c>
      <c r="I143" s="197" t="s">
        <v>4516</v>
      </c>
      <c r="J143" s="195" t="s">
        <v>35</v>
      </c>
      <c r="K143" s="193" t="s">
        <v>62</v>
      </c>
      <c r="L143" s="193"/>
      <c r="M143" s="195" t="s">
        <v>88</v>
      </c>
      <c r="N143" s="195"/>
      <c r="O143" s="193" t="s">
        <v>40</v>
      </c>
      <c r="P143" s="195"/>
      <c r="Q143" s="193" t="s">
        <v>44</v>
      </c>
      <c r="R143" s="193"/>
      <c r="S143" s="193"/>
      <c r="T143" s="193">
        <v>5.0</v>
      </c>
    </row>
    <row r="144" hidden="1">
      <c r="A144" s="193">
        <v>143.0</v>
      </c>
      <c r="B144" s="194">
        <v>46204.0</v>
      </c>
      <c r="C144" s="193" t="s">
        <v>58</v>
      </c>
      <c r="D144" s="193" t="s">
        <v>57</v>
      </c>
      <c r="E144" s="195" t="s">
        <v>4519</v>
      </c>
      <c r="F144" s="196">
        <v>5.67743514E8</v>
      </c>
      <c r="G144" s="193" t="s">
        <v>27</v>
      </c>
      <c r="H144" s="193" t="s">
        <v>27</v>
      </c>
      <c r="I144" s="197" t="s">
        <v>4406</v>
      </c>
      <c r="J144" s="195"/>
      <c r="K144" s="193" t="s">
        <v>62</v>
      </c>
      <c r="L144" s="193"/>
      <c r="M144" s="195" t="s">
        <v>88</v>
      </c>
      <c r="N144" s="195"/>
      <c r="O144" s="193" t="s">
        <v>40</v>
      </c>
      <c r="P144" s="195"/>
      <c r="Q144" s="193" t="s">
        <v>44</v>
      </c>
      <c r="R144" s="193"/>
      <c r="S144" s="193"/>
      <c r="T144" s="193">
        <v>5.0</v>
      </c>
    </row>
    <row r="145" hidden="1">
      <c r="A145" s="193">
        <v>144.0</v>
      </c>
      <c r="B145" s="194">
        <v>46204.0</v>
      </c>
      <c r="C145" s="193" t="s">
        <v>58</v>
      </c>
      <c r="D145" s="193" t="s">
        <v>57</v>
      </c>
      <c r="E145" s="195" t="s">
        <v>4522</v>
      </c>
      <c r="F145" s="196">
        <v>5.37384441E8</v>
      </c>
      <c r="G145" s="195" t="s">
        <v>152</v>
      </c>
      <c r="H145" s="193" t="s">
        <v>27</v>
      </c>
      <c r="I145" s="197" t="s">
        <v>4524</v>
      </c>
      <c r="J145" s="195" t="s">
        <v>35</v>
      </c>
      <c r="K145" s="193" t="s">
        <v>62</v>
      </c>
      <c r="L145" s="193"/>
      <c r="M145" s="195" t="s">
        <v>88</v>
      </c>
      <c r="N145" s="195"/>
      <c r="O145" s="193" t="s">
        <v>40</v>
      </c>
      <c r="P145" s="195"/>
      <c r="Q145" s="193" t="s">
        <v>44</v>
      </c>
      <c r="R145" s="193"/>
      <c r="S145" s="193"/>
      <c r="T145" s="193">
        <v>5.0</v>
      </c>
    </row>
    <row r="146" hidden="1">
      <c r="A146" s="193">
        <v>145.0</v>
      </c>
      <c r="B146" s="194">
        <v>46204.0</v>
      </c>
      <c r="C146" s="193" t="s">
        <v>58</v>
      </c>
      <c r="D146" s="193" t="s">
        <v>57</v>
      </c>
      <c r="E146" s="193" t="s">
        <v>4525</v>
      </c>
      <c r="F146" s="196">
        <v>5.51099349E8</v>
      </c>
      <c r="G146" s="193" t="s">
        <v>27</v>
      </c>
      <c r="H146" s="193" t="s">
        <v>27</v>
      </c>
      <c r="I146" s="197" t="s">
        <v>4527</v>
      </c>
      <c r="J146" s="195" t="s">
        <v>35</v>
      </c>
      <c r="K146" s="193" t="s">
        <v>62</v>
      </c>
      <c r="L146" s="193"/>
      <c r="M146" s="195" t="s">
        <v>88</v>
      </c>
      <c r="N146" s="195"/>
      <c r="O146" s="193" t="s">
        <v>40</v>
      </c>
      <c r="P146" s="195"/>
      <c r="Q146" s="193" t="s">
        <v>44</v>
      </c>
      <c r="R146" s="193"/>
      <c r="S146" s="193"/>
      <c r="T146" s="193">
        <v>5.0</v>
      </c>
    </row>
    <row r="147" hidden="1">
      <c r="A147" s="193">
        <v>146.0</v>
      </c>
      <c r="B147" s="194">
        <v>46204.0</v>
      </c>
      <c r="C147" s="193" t="s">
        <v>58</v>
      </c>
      <c r="D147" s="193" t="s">
        <v>57</v>
      </c>
      <c r="E147" s="193" t="s">
        <v>27</v>
      </c>
      <c r="F147" s="196">
        <v>5.48919824E8</v>
      </c>
      <c r="G147" s="193" t="s">
        <v>27</v>
      </c>
      <c r="H147" s="193" t="s">
        <v>27</v>
      </c>
      <c r="I147" s="197" t="s">
        <v>4531</v>
      </c>
      <c r="J147" s="195" t="s">
        <v>35</v>
      </c>
      <c r="K147" s="193" t="s">
        <v>62</v>
      </c>
      <c r="L147" s="193"/>
      <c r="M147" s="195" t="s">
        <v>88</v>
      </c>
      <c r="N147" s="195"/>
      <c r="O147" s="193" t="s">
        <v>40</v>
      </c>
      <c r="P147" s="195"/>
      <c r="Q147" s="193" t="s">
        <v>44</v>
      </c>
      <c r="R147" s="193"/>
      <c r="S147" s="193"/>
      <c r="T147" s="193">
        <v>5.0</v>
      </c>
    </row>
    <row r="148" hidden="1">
      <c r="A148" s="193">
        <v>147.0</v>
      </c>
      <c r="B148" s="194">
        <v>46204.0</v>
      </c>
      <c r="C148" s="193" t="s">
        <v>21</v>
      </c>
      <c r="D148" s="193" t="s">
        <v>24</v>
      </c>
      <c r="E148" s="195" t="s">
        <v>4534</v>
      </c>
      <c r="F148" s="196">
        <v>5.66698053E8</v>
      </c>
      <c r="G148" s="195" t="s">
        <v>71</v>
      </c>
      <c r="H148" s="193" t="s">
        <v>27</v>
      </c>
      <c r="I148" s="197" t="s">
        <v>4535</v>
      </c>
      <c r="J148" s="195"/>
      <c r="K148" s="193" t="s">
        <v>36</v>
      </c>
      <c r="L148" s="193"/>
      <c r="M148" s="195" t="s">
        <v>38</v>
      </c>
      <c r="N148" s="195"/>
      <c r="O148" s="193" t="s">
        <v>40</v>
      </c>
      <c r="P148" s="195"/>
      <c r="Q148" s="193" t="s">
        <v>44</v>
      </c>
      <c r="R148" s="193" t="s">
        <v>46</v>
      </c>
      <c r="S148" s="193"/>
      <c r="T148" s="193">
        <v>5.0</v>
      </c>
    </row>
    <row r="149" hidden="1">
      <c r="A149" s="193">
        <v>148.0</v>
      </c>
      <c r="B149" s="194">
        <v>46204.0</v>
      </c>
      <c r="C149" s="193" t="s">
        <v>21</v>
      </c>
      <c r="D149" s="193" t="s">
        <v>22</v>
      </c>
      <c r="E149" s="195" t="s">
        <v>4538</v>
      </c>
      <c r="F149" s="196">
        <v>5.38897161E8</v>
      </c>
      <c r="G149" s="195" t="s">
        <v>3176</v>
      </c>
      <c r="H149" s="193" t="s">
        <v>27</v>
      </c>
      <c r="I149" s="197" t="s">
        <v>4540</v>
      </c>
      <c r="J149" s="195"/>
      <c r="K149" s="193" t="s">
        <v>36</v>
      </c>
      <c r="L149" s="193"/>
      <c r="M149" s="195" t="s">
        <v>38</v>
      </c>
      <c r="N149" s="195"/>
      <c r="O149" s="193" t="s">
        <v>40</v>
      </c>
      <c r="P149" s="195"/>
      <c r="Q149" s="193" t="s">
        <v>44</v>
      </c>
      <c r="R149" s="193" t="s">
        <v>46</v>
      </c>
      <c r="S149" s="193"/>
      <c r="T149" s="193">
        <v>5.0</v>
      </c>
    </row>
    <row r="150" hidden="1">
      <c r="A150" s="193">
        <v>149.0</v>
      </c>
      <c r="B150" s="194">
        <v>46204.0</v>
      </c>
      <c r="C150" s="193" t="s">
        <v>47</v>
      </c>
      <c r="D150" s="193" t="s">
        <v>48</v>
      </c>
      <c r="E150" s="195" t="s">
        <v>1833</v>
      </c>
      <c r="F150" s="196" t="s">
        <v>27</v>
      </c>
      <c r="G150" s="195" t="s">
        <v>41</v>
      </c>
      <c r="H150" s="193" t="s">
        <v>52</v>
      </c>
      <c r="I150" s="197" t="s">
        <v>4543</v>
      </c>
      <c r="J150" s="195" t="s">
        <v>4544</v>
      </c>
      <c r="K150" s="193" t="s">
        <v>78</v>
      </c>
      <c r="L150" s="193" t="s">
        <v>42</v>
      </c>
      <c r="M150" s="195" t="s">
        <v>555</v>
      </c>
      <c r="N150" s="195"/>
      <c r="O150" s="193" t="s">
        <v>56</v>
      </c>
      <c r="P150" s="195" t="s">
        <v>3765</v>
      </c>
      <c r="Q150" s="193" t="s">
        <v>49</v>
      </c>
      <c r="R150" s="193" t="s">
        <v>46</v>
      </c>
      <c r="S150" s="193"/>
      <c r="T150" s="193">
        <v>5.0</v>
      </c>
    </row>
    <row r="151" hidden="1">
      <c r="A151" s="193">
        <v>150.0</v>
      </c>
      <c r="B151" s="194">
        <v>46204.0</v>
      </c>
      <c r="C151" s="193" t="s">
        <v>47</v>
      </c>
      <c r="D151" s="193" t="s">
        <v>48</v>
      </c>
      <c r="E151" s="193" t="s">
        <v>4548</v>
      </c>
      <c r="F151" s="196" t="s">
        <v>27</v>
      </c>
      <c r="G151" s="195" t="s">
        <v>41</v>
      </c>
      <c r="H151" s="193" t="s">
        <v>52</v>
      </c>
      <c r="I151" s="197" t="s">
        <v>4549</v>
      </c>
      <c r="J151" s="195" t="s">
        <v>4550</v>
      </c>
      <c r="K151" s="193" t="s">
        <v>78</v>
      </c>
      <c r="L151" s="193" t="s">
        <v>42</v>
      </c>
      <c r="M151" s="265" t="s">
        <v>101</v>
      </c>
      <c r="N151" s="265"/>
      <c r="O151" s="193" t="s">
        <v>56</v>
      </c>
      <c r="P151" s="195" t="s">
        <v>3765</v>
      </c>
      <c r="Q151" s="193" t="s">
        <v>49</v>
      </c>
      <c r="R151" s="193" t="s">
        <v>46</v>
      </c>
      <c r="S151" s="193"/>
      <c r="T151" s="193">
        <v>5.0</v>
      </c>
    </row>
    <row r="152" hidden="1">
      <c r="A152" s="193">
        <v>151.0</v>
      </c>
      <c r="B152" s="194">
        <v>46204.0</v>
      </c>
      <c r="C152" s="193" t="s">
        <v>47</v>
      </c>
      <c r="D152" s="193" t="s">
        <v>48</v>
      </c>
      <c r="E152" s="193" t="s">
        <v>4553</v>
      </c>
      <c r="F152" s="196" t="s">
        <v>27</v>
      </c>
      <c r="G152" s="195" t="s">
        <v>41</v>
      </c>
      <c r="H152" s="193" t="s">
        <v>956</v>
      </c>
      <c r="I152" s="197" t="s">
        <v>4554</v>
      </c>
      <c r="J152" s="195" t="s">
        <v>4555</v>
      </c>
      <c r="K152" s="193" t="s">
        <v>78</v>
      </c>
      <c r="L152" s="193" t="s">
        <v>42</v>
      </c>
      <c r="M152" s="195" t="s">
        <v>2618</v>
      </c>
      <c r="N152" s="195"/>
      <c r="O152" s="193" t="s">
        <v>56</v>
      </c>
      <c r="P152" s="195" t="s">
        <v>3765</v>
      </c>
      <c r="Q152" s="193" t="s">
        <v>49</v>
      </c>
      <c r="R152" s="193" t="s">
        <v>46</v>
      </c>
      <c r="S152" s="193"/>
      <c r="T152" s="193">
        <v>5.0</v>
      </c>
    </row>
    <row r="153" hidden="1">
      <c r="A153" s="193">
        <v>152.0</v>
      </c>
      <c r="B153" s="194">
        <v>46204.0</v>
      </c>
      <c r="C153" s="193" t="s">
        <v>47</v>
      </c>
      <c r="D153" s="193" t="s">
        <v>367</v>
      </c>
      <c r="E153" s="195" t="s">
        <v>4558</v>
      </c>
      <c r="F153" s="196" t="s">
        <v>27</v>
      </c>
      <c r="G153" s="195" t="s">
        <v>41</v>
      </c>
      <c r="H153" s="193" t="s">
        <v>956</v>
      </c>
      <c r="I153" s="197" t="s">
        <v>4559</v>
      </c>
      <c r="J153" s="195" t="s">
        <v>4560</v>
      </c>
      <c r="K153" s="193" t="s">
        <v>78</v>
      </c>
      <c r="L153" s="193" t="s">
        <v>3811</v>
      </c>
      <c r="M153" s="195" t="s">
        <v>98</v>
      </c>
      <c r="N153" s="195"/>
      <c r="O153" s="193" t="s">
        <v>56</v>
      </c>
      <c r="P153" s="195" t="s">
        <v>3997</v>
      </c>
      <c r="Q153" s="193" t="s">
        <v>49</v>
      </c>
      <c r="R153" s="193" t="s">
        <v>46</v>
      </c>
      <c r="S153" s="193"/>
      <c r="T153" s="193">
        <v>5.0</v>
      </c>
    </row>
    <row r="154" hidden="1">
      <c r="A154" s="193">
        <v>153.0</v>
      </c>
      <c r="B154" s="194">
        <v>46204.0</v>
      </c>
      <c r="C154" s="193" t="s">
        <v>47</v>
      </c>
      <c r="D154" s="193" t="s">
        <v>24</v>
      </c>
      <c r="E154" s="193" t="s">
        <v>4565</v>
      </c>
      <c r="F154" s="196" t="s">
        <v>27</v>
      </c>
      <c r="G154" s="195" t="s">
        <v>41</v>
      </c>
      <c r="H154" s="193" t="s">
        <v>4566</v>
      </c>
      <c r="I154" s="197" t="s">
        <v>4567</v>
      </c>
      <c r="J154" s="195"/>
      <c r="K154" s="193" t="s">
        <v>78</v>
      </c>
      <c r="L154" s="193"/>
      <c r="M154" s="195" t="s">
        <v>630</v>
      </c>
      <c r="N154" s="195"/>
      <c r="O154" s="193" t="s">
        <v>40</v>
      </c>
      <c r="P154" s="195"/>
      <c r="Q154" s="193" t="s">
        <v>49</v>
      </c>
      <c r="R154" s="193"/>
      <c r="S154" s="193"/>
      <c r="T154" s="193">
        <v>5.0</v>
      </c>
    </row>
    <row r="155" hidden="1">
      <c r="A155" s="193">
        <v>154.0</v>
      </c>
      <c r="B155" s="194">
        <v>46204.0</v>
      </c>
      <c r="C155" s="193" t="s">
        <v>47</v>
      </c>
      <c r="D155" s="193" t="s">
        <v>92</v>
      </c>
      <c r="E155" s="193" t="s">
        <v>4571</v>
      </c>
      <c r="F155" s="196" t="s">
        <v>27</v>
      </c>
      <c r="G155" s="195" t="s">
        <v>71</v>
      </c>
      <c r="H155" s="193" t="s">
        <v>291</v>
      </c>
      <c r="I155" s="197" t="s">
        <v>4573</v>
      </c>
      <c r="J155" s="195" t="s">
        <v>4574</v>
      </c>
      <c r="K155" s="193" t="s">
        <v>78</v>
      </c>
      <c r="L155" s="193" t="s">
        <v>42</v>
      </c>
      <c r="M155" s="195" t="s">
        <v>221</v>
      </c>
      <c r="N155" s="195"/>
      <c r="O155" s="193" t="s">
        <v>40</v>
      </c>
      <c r="P155" s="195" t="s">
        <v>3765</v>
      </c>
      <c r="Q155" s="193" t="s">
        <v>49</v>
      </c>
      <c r="R155" s="193" t="s">
        <v>46</v>
      </c>
      <c r="S155" s="193"/>
      <c r="T155" s="193">
        <v>5.0</v>
      </c>
    </row>
    <row r="156" hidden="1">
      <c r="A156" s="193">
        <v>155.0</v>
      </c>
      <c r="B156" s="194">
        <v>46204.0</v>
      </c>
      <c r="C156" s="193" t="s">
        <v>47</v>
      </c>
      <c r="D156" s="193" t="s">
        <v>24</v>
      </c>
      <c r="E156" s="193" t="s">
        <v>4577</v>
      </c>
      <c r="F156" s="196" t="s">
        <v>27</v>
      </c>
      <c r="G156" s="195" t="s">
        <v>79</v>
      </c>
      <c r="H156" s="193" t="s">
        <v>4578</v>
      </c>
      <c r="I156" s="197" t="s">
        <v>4580</v>
      </c>
      <c r="J156" s="195"/>
      <c r="K156" s="193" t="s">
        <v>78</v>
      </c>
      <c r="L156" s="193"/>
      <c r="M156" s="195" t="s">
        <v>55</v>
      </c>
      <c r="N156" s="195"/>
      <c r="O156" s="193" t="s">
        <v>40</v>
      </c>
      <c r="P156" s="195"/>
      <c r="Q156" s="193" t="s">
        <v>49</v>
      </c>
      <c r="R156" s="193"/>
      <c r="S156" s="193"/>
      <c r="T156" s="193">
        <v>5.0</v>
      </c>
    </row>
    <row r="157" hidden="1">
      <c r="A157" s="193">
        <v>156.0</v>
      </c>
      <c r="B157" s="194">
        <v>46204.0</v>
      </c>
      <c r="C157" s="193" t="s">
        <v>47</v>
      </c>
      <c r="D157" s="193" t="s">
        <v>92</v>
      </c>
      <c r="E157" s="193" t="s">
        <v>27</v>
      </c>
      <c r="F157" s="196" t="s">
        <v>27</v>
      </c>
      <c r="G157" s="195" t="s">
        <v>71</v>
      </c>
      <c r="H157" s="193" t="s">
        <v>94</v>
      </c>
      <c r="I157" s="220" t="s">
        <v>4582</v>
      </c>
      <c r="J157" s="195" t="s">
        <v>4583</v>
      </c>
      <c r="K157" s="193" t="s">
        <v>78</v>
      </c>
      <c r="L157" s="193" t="s">
        <v>3811</v>
      </c>
      <c r="M157" s="195" t="s">
        <v>98</v>
      </c>
      <c r="N157" s="195"/>
      <c r="O157" s="193" t="s">
        <v>40</v>
      </c>
      <c r="P157" s="195" t="s">
        <v>3997</v>
      </c>
      <c r="Q157" s="193" t="s">
        <v>49</v>
      </c>
      <c r="R157" s="193" t="s">
        <v>46</v>
      </c>
      <c r="S157" s="193"/>
      <c r="T157" s="193">
        <v>5.0</v>
      </c>
    </row>
    <row r="158" hidden="1">
      <c r="A158" s="193">
        <v>157.0</v>
      </c>
      <c r="B158" s="194">
        <v>46204.0</v>
      </c>
      <c r="C158" s="193" t="s">
        <v>58</v>
      </c>
      <c r="D158" s="193" t="s">
        <v>60</v>
      </c>
      <c r="E158" s="193" t="s">
        <v>27</v>
      </c>
      <c r="F158" s="196">
        <v>1.1837022E8</v>
      </c>
      <c r="G158" s="193" t="s">
        <v>27</v>
      </c>
      <c r="H158" s="193" t="s">
        <v>27</v>
      </c>
      <c r="I158" s="197" t="s">
        <v>4586</v>
      </c>
      <c r="J158" s="195" t="s">
        <v>35</v>
      </c>
      <c r="K158" s="193" t="s">
        <v>36</v>
      </c>
      <c r="L158" s="193"/>
      <c r="M158" s="195" t="s">
        <v>88</v>
      </c>
      <c r="N158" s="195"/>
      <c r="O158" s="193" t="s">
        <v>40</v>
      </c>
      <c r="P158" s="195"/>
      <c r="Q158" s="193" t="s">
        <v>44</v>
      </c>
      <c r="R158" s="193"/>
      <c r="S158" s="193"/>
      <c r="T158" s="193">
        <v>5.0</v>
      </c>
    </row>
    <row r="159" hidden="1">
      <c r="A159" s="193">
        <v>158.0</v>
      </c>
      <c r="B159" s="194">
        <v>46204.0</v>
      </c>
      <c r="C159" s="193" t="s">
        <v>58</v>
      </c>
      <c r="D159" s="193" t="s">
        <v>60</v>
      </c>
      <c r="E159" s="267" t="s">
        <v>4590</v>
      </c>
      <c r="F159" s="268">
        <v>5.41494355E8</v>
      </c>
      <c r="G159" s="193" t="s">
        <v>27</v>
      </c>
      <c r="H159" s="193" t="s">
        <v>27</v>
      </c>
      <c r="I159" s="197" t="s">
        <v>4591</v>
      </c>
      <c r="J159" s="195" t="s">
        <v>4592</v>
      </c>
      <c r="K159" s="193" t="s">
        <v>36</v>
      </c>
      <c r="L159" s="193"/>
      <c r="M159" s="195" t="s">
        <v>88</v>
      </c>
      <c r="N159" s="195"/>
      <c r="O159" s="193" t="s">
        <v>40</v>
      </c>
      <c r="P159" s="195"/>
      <c r="Q159" s="193" t="s">
        <v>44</v>
      </c>
      <c r="R159" s="193"/>
      <c r="S159" s="193"/>
      <c r="T159" s="193">
        <v>5.0</v>
      </c>
    </row>
    <row r="160" ht="69.0" hidden="1" customHeight="1">
      <c r="A160" s="193">
        <v>159.0</v>
      </c>
      <c r="B160" s="194">
        <v>46204.0</v>
      </c>
      <c r="C160" s="193" t="s">
        <v>47</v>
      </c>
      <c r="D160" s="193" t="s">
        <v>57</v>
      </c>
      <c r="E160" s="269" t="s">
        <v>4594</v>
      </c>
      <c r="F160" s="193">
        <v>5.54760051E8</v>
      </c>
      <c r="G160" s="195" t="s">
        <v>41</v>
      </c>
      <c r="H160" s="193" t="s">
        <v>791</v>
      </c>
      <c r="I160" s="220" t="s">
        <v>4595</v>
      </c>
      <c r="J160" s="195" t="s">
        <v>4596</v>
      </c>
      <c r="K160" s="193" t="s">
        <v>78</v>
      </c>
      <c r="L160" s="193" t="s">
        <v>42</v>
      </c>
      <c r="M160" s="195" t="s">
        <v>55</v>
      </c>
      <c r="N160" s="195"/>
      <c r="O160" s="193" t="s">
        <v>40</v>
      </c>
      <c r="P160" s="195"/>
      <c r="Q160" s="193" t="s">
        <v>49</v>
      </c>
      <c r="R160" s="193"/>
      <c r="S160" s="193"/>
      <c r="T160" s="193">
        <v>5.0</v>
      </c>
    </row>
    <row r="161" ht="48.75" hidden="1" customHeight="1">
      <c r="A161" s="193">
        <v>160.0</v>
      </c>
      <c r="B161" s="194">
        <v>46204.0</v>
      </c>
      <c r="C161" s="193" t="s">
        <v>47</v>
      </c>
      <c r="D161" s="193" t="s">
        <v>48</v>
      </c>
      <c r="E161" s="195" t="s">
        <v>463</v>
      </c>
      <c r="F161" s="196">
        <v>5.67003338E8</v>
      </c>
      <c r="G161" s="195" t="s">
        <v>333</v>
      </c>
      <c r="H161" s="193" t="s">
        <v>1114</v>
      </c>
      <c r="I161" s="197" t="s">
        <v>4599</v>
      </c>
      <c r="J161" s="195" t="s">
        <v>4600</v>
      </c>
      <c r="K161" s="193" t="s">
        <v>36</v>
      </c>
      <c r="L161" s="193" t="s">
        <v>42</v>
      </c>
      <c r="M161" s="195" t="s">
        <v>1205</v>
      </c>
      <c r="N161" s="195"/>
      <c r="O161" s="193" t="s">
        <v>56</v>
      </c>
      <c r="P161" s="195" t="s">
        <v>3566</v>
      </c>
      <c r="Q161" s="193" t="s">
        <v>44</v>
      </c>
      <c r="R161" s="193" t="s">
        <v>46</v>
      </c>
      <c r="S161" s="193" t="s">
        <v>44</v>
      </c>
      <c r="T161" s="193">
        <v>5.0</v>
      </c>
    </row>
    <row r="162" ht="15.75" hidden="1" customHeight="1">
      <c r="A162" s="193">
        <v>161.0</v>
      </c>
      <c r="B162" s="194">
        <v>46204.0</v>
      </c>
      <c r="C162" s="193" t="s">
        <v>58</v>
      </c>
      <c r="D162" s="193" t="s">
        <v>60</v>
      </c>
      <c r="E162" s="193" t="s">
        <v>27</v>
      </c>
      <c r="F162" s="196">
        <v>5.9598816E8</v>
      </c>
      <c r="G162" s="193" t="s">
        <v>27</v>
      </c>
      <c r="H162" s="193" t="s">
        <v>27</v>
      </c>
      <c r="I162" s="197" t="s">
        <v>124</v>
      </c>
      <c r="J162" s="195"/>
      <c r="K162" s="193" t="s">
        <v>65</v>
      </c>
      <c r="L162" s="193"/>
      <c r="M162" s="195" t="s">
        <v>38</v>
      </c>
      <c r="N162" s="195"/>
      <c r="O162" s="193" t="s">
        <v>40</v>
      </c>
      <c r="P162" s="195"/>
      <c r="Q162" s="193" t="s">
        <v>44</v>
      </c>
      <c r="R162" s="193"/>
      <c r="S162" s="193"/>
      <c r="T162" s="193">
        <v>5.0</v>
      </c>
    </row>
    <row r="163" hidden="1">
      <c r="A163" s="193">
        <v>162.0</v>
      </c>
      <c r="B163" s="194">
        <v>46204.0</v>
      </c>
      <c r="C163" s="193" t="s">
        <v>58</v>
      </c>
      <c r="D163" s="193" t="s">
        <v>60</v>
      </c>
      <c r="E163" s="193" t="s">
        <v>27</v>
      </c>
      <c r="F163" s="196">
        <v>5.03222349E8</v>
      </c>
      <c r="G163" s="195" t="s">
        <v>152</v>
      </c>
      <c r="H163" s="193" t="s">
        <v>27</v>
      </c>
      <c r="I163" s="197" t="s">
        <v>4607</v>
      </c>
      <c r="J163" s="195"/>
      <c r="K163" s="193" t="s">
        <v>36</v>
      </c>
      <c r="L163" s="193"/>
      <c r="M163" s="195" t="s">
        <v>88</v>
      </c>
      <c r="N163" s="195"/>
      <c r="O163" s="193" t="s">
        <v>40</v>
      </c>
      <c r="P163" s="195"/>
      <c r="Q163" s="193" t="s">
        <v>44</v>
      </c>
      <c r="R163" s="193"/>
      <c r="S163" s="193"/>
      <c r="T163" s="193">
        <v>5.0</v>
      </c>
    </row>
    <row r="164" hidden="1">
      <c r="A164" s="193">
        <v>163.0</v>
      </c>
      <c r="B164" s="194">
        <v>46204.0</v>
      </c>
      <c r="C164" s="193" t="s">
        <v>21</v>
      </c>
      <c r="D164" s="193" t="s">
        <v>66</v>
      </c>
      <c r="E164" s="195" t="s">
        <v>873</v>
      </c>
      <c r="F164" s="196">
        <v>5.81802977E8</v>
      </c>
      <c r="G164" s="193" t="s">
        <v>27</v>
      </c>
      <c r="H164" s="193" t="s">
        <v>27</v>
      </c>
      <c r="I164" s="197" t="s">
        <v>208</v>
      </c>
      <c r="J164" s="195"/>
      <c r="K164" s="193" t="s">
        <v>36</v>
      </c>
      <c r="L164" s="193"/>
      <c r="M164" s="195" t="s">
        <v>208</v>
      </c>
      <c r="N164" s="195"/>
      <c r="O164" s="193" t="s">
        <v>40</v>
      </c>
      <c r="P164" s="195"/>
      <c r="Q164" s="193" t="s">
        <v>44</v>
      </c>
      <c r="R164" s="193"/>
      <c r="S164" s="193"/>
      <c r="T164" s="193">
        <v>5.0</v>
      </c>
    </row>
    <row r="165" hidden="1">
      <c r="A165" s="193">
        <v>164.0</v>
      </c>
      <c r="B165" s="194">
        <v>46204.0</v>
      </c>
      <c r="C165" s="193" t="s">
        <v>21</v>
      </c>
      <c r="D165" s="193" t="s">
        <v>24</v>
      </c>
      <c r="E165" s="195" t="s">
        <v>4616</v>
      </c>
      <c r="F165" s="196">
        <v>5.44492291E8</v>
      </c>
      <c r="G165" s="195" t="s">
        <v>41</v>
      </c>
      <c r="H165" s="193" t="s">
        <v>27</v>
      </c>
      <c r="I165" s="197" t="s">
        <v>4617</v>
      </c>
      <c r="J165" s="195"/>
      <c r="K165" s="193" t="s">
        <v>36</v>
      </c>
      <c r="L165" s="193"/>
      <c r="M165" s="195" t="s">
        <v>38</v>
      </c>
      <c r="N165" s="195"/>
      <c r="O165" s="193" t="s">
        <v>40</v>
      </c>
      <c r="P165" s="195"/>
      <c r="Q165" s="193" t="s">
        <v>44</v>
      </c>
      <c r="R165" s="193" t="s">
        <v>46</v>
      </c>
      <c r="S165" s="193"/>
      <c r="T165" s="193">
        <v>5.0</v>
      </c>
    </row>
    <row r="166" hidden="1">
      <c r="A166" s="193">
        <v>165.0</v>
      </c>
      <c r="B166" s="194">
        <v>46204.0</v>
      </c>
      <c r="C166" s="193" t="s">
        <v>21</v>
      </c>
      <c r="D166" s="193" t="s">
        <v>24</v>
      </c>
      <c r="E166" s="195" t="s">
        <v>4623</v>
      </c>
      <c r="F166" s="196">
        <v>5.78994357E8</v>
      </c>
      <c r="G166" s="195" t="s">
        <v>152</v>
      </c>
      <c r="H166" s="193" t="s">
        <v>27</v>
      </c>
      <c r="I166" s="197" t="s">
        <v>4626</v>
      </c>
      <c r="J166" s="195"/>
      <c r="K166" s="193" t="s">
        <v>36</v>
      </c>
      <c r="L166" s="193"/>
      <c r="M166" s="195" t="s">
        <v>38</v>
      </c>
      <c r="N166" s="195"/>
      <c r="O166" s="193" t="s">
        <v>40</v>
      </c>
      <c r="P166" s="195"/>
      <c r="Q166" s="193" t="s">
        <v>49</v>
      </c>
      <c r="R166" s="193"/>
      <c r="S166" s="193"/>
      <c r="T166" s="193">
        <v>5.0</v>
      </c>
    </row>
    <row r="167" ht="99.0" hidden="1" customHeight="1">
      <c r="A167" s="193">
        <v>166.0</v>
      </c>
      <c r="B167" s="194">
        <v>46204.0</v>
      </c>
      <c r="C167" s="193" t="s">
        <v>58</v>
      </c>
      <c r="D167" s="193" t="s">
        <v>60</v>
      </c>
      <c r="E167" s="195" t="s">
        <v>1837</v>
      </c>
      <c r="F167" s="196">
        <v>5.36504863E8</v>
      </c>
      <c r="G167" s="195" t="s">
        <v>41</v>
      </c>
      <c r="H167" s="193" t="s">
        <v>27</v>
      </c>
      <c r="I167" s="197" t="s">
        <v>4629</v>
      </c>
      <c r="J167" s="195" t="s">
        <v>4630</v>
      </c>
      <c r="K167" s="193" t="s">
        <v>36</v>
      </c>
      <c r="L167" s="193"/>
      <c r="M167" s="195" t="s">
        <v>88</v>
      </c>
      <c r="N167" s="195"/>
      <c r="O167" s="193" t="s">
        <v>40</v>
      </c>
      <c r="P167" s="195"/>
      <c r="Q167" s="193" t="s">
        <v>49</v>
      </c>
      <c r="R167" s="193"/>
      <c r="S167" s="193"/>
      <c r="T167" s="193">
        <v>5.0</v>
      </c>
    </row>
    <row r="168" hidden="1">
      <c r="A168" s="193">
        <v>167.0</v>
      </c>
      <c r="B168" s="194">
        <v>46204.0</v>
      </c>
      <c r="C168" s="193" t="s">
        <v>21</v>
      </c>
      <c r="D168" s="193" t="s">
        <v>22</v>
      </c>
      <c r="E168" s="195" t="s">
        <v>4632</v>
      </c>
      <c r="F168" s="196">
        <v>5.44195072E8</v>
      </c>
      <c r="G168" s="195" t="s">
        <v>71</v>
      </c>
      <c r="H168" s="193" t="s">
        <v>27</v>
      </c>
      <c r="I168" s="205" t="s">
        <v>4634</v>
      </c>
      <c r="J168" s="272"/>
      <c r="K168" s="193" t="s">
        <v>62</v>
      </c>
      <c r="L168" s="193"/>
      <c r="M168" s="195" t="s">
        <v>38</v>
      </c>
      <c r="N168" s="195"/>
      <c r="O168" s="193" t="s">
        <v>40</v>
      </c>
      <c r="P168" s="195"/>
      <c r="Q168" s="193" t="s">
        <v>49</v>
      </c>
      <c r="R168" s="193"/>
      <c r="S168" s="193"/>
      <c r="T168" s="193">
        <v>5.0</v>
      </c>
    </row>
    <row r="169" hidden="1">
      <c r="A169" s="193">
        <v>168.0</v>
      </c>
      <c r="B169" s="194">
        <v>46204.0</v>
      </c>
      <c r="C169" s="193" t="s">
        <v>21</v>
      </c>
      <c r="D169" s="193" t="s">
        <v>22</v>
      </c>
      <c r="E169" s="273" t="s">
        <v>4637</v>
      </c>
      <c r="F169" s="196">
        <v>9.66569134273E11</v>
      </c>
      <c r="G169" s="195" t="s">
        <v>41</v>
      </c>
      <c r="H169" s="193" t="s">
        <v>27</v>
      </c>
      <c r="I169" s="197" t="s">
        <v>4640</v>
      </c>
      <c r="J169" s="195"/>
      <c r="K169" s="193" t="s">
        <v>62</v>
      </c>
      <c r="L169" s="193"/>
      <c r="M169" s="195" t="s">
        <v>38</v>
      </c>
      <c r="N169" s="195"/>
      <c r="O169" s="193" t="s">
        <v>40</v>
      </c>
      <c r="P169" s="195"/>
      <c r="Q169" s="193" t="s">
        <v>49</v>
      </c>
      <c r="R169" s="193"/>
      <c r="S169" s="193"/>
      <c r="T169" s="193">
        <v>5.0</v>
      </c>
    </row>
    <row r="170" hidden="1">
      <c r="A170" s="193">
        <v>169.0</v>
      </c>
      <c r="B170" s="194">
        <v>46204.0</v>
      </c>
      <c r="C170" s="193" t="s">
        <v>58</v>
      </c>
      <c r="D170" s="193" t="s">
        <v>57</v>
      </c>
      <c r="E170" s="274" t="s">
        <v>1974</v>
      </c>
      <c r="F170" s="196">
        <v>9.6650888483E11</v>
      </c>
      <c r="G170" s="195" t="s">
        <v>172</v>
      </c>
      <c r="H170" s="193" t="s">
        <v>27</v>
      </c>
      <c r="I170" s="197" t="s">
        <v>4642</v>
      </c>
      <c r="J170" s="195"/>
      <c r="K170" s="193" t="s">
        <v>62</v>
      </c>
      <c r="L170" s="193"/>
      <c r="M170" s="195" t="s">
        <v>88</v>
      </c>
      <c r="N170" s="195"/>
      <c r="O170" s="193" t="s">
        <v>40</v>
      </c>
      <c r="P170" s="195"/>
      <c r="Q170" s="193" t="s">
        <v>49</v>
      </c>
      <c r="R170" s="193"/>
      <c r="S170" s="193"/>
      <c r="T170" s="193">
        <v>5.0</v>
      </c>
    </row>
    <row r="171" hidden="1">
      <c r="A171" s="193">
        <v>170.0</v>
      </c>
      <c r="B171" s="194">
        <v>46204.0</v>
      </c>
      <c r="C171" s="193" t="s">
        <v>47</v>
      </c>
      <c r="D171" s="193" t="s">
        <v>57</v>
      </c>
      <c r="E171" s="193" t="s">
        <v>4645</v>
      </c>
      <c r="F171" s="196">
        <v>9.66555945849E11</v>
      </c>
      <c r="G171" s="195" t="s">
        <v>41</v>
      </c>
      <c r="H171" s="193" t="s">
        <v>4172</v>
      </c>
      <c r="I171" s="197" t="s">
        <v>4647</v>
      </c>
      <c r="J171" s="195"/>
      <c r="K171" s="193" t="s">
        <v>62</v>
      </c>
      <c r="L171" s="193"/>
      <c r="M171" s="195" t="s">
        <v>55</v>
      </c>
      <c r="N171" s="195"/>
      <c r="O171" s="193" t="s">
        <v>40</v>
      </c>
      <c r="P171" s="195"/>
      <c r="Q171" s="193" t="s">
        <v>49</v>
      </c>
      <c r="R171" s="193"/>
      <c r="S171" s="193"/>
      <c r="T171" s="193">
        <v>5.0</v>
      </c>
    </row>
    <row r="172" hidden="1">
      <c r="A172" s="193">
        <v>171.0</v>
      </c>
      <c r="B172" s="194">
        <v>46204.0</v>
      </c>
      <c r="C172" s="193" t="s">
        <v>47</v>
      </c>
      <c r="D172" s="193" t="s">
        <v>24</v>
      </c>
      <c r="E172" s="274" t="s">
        <v>4650</v>
      </c>
      <c r="F172" s="193">
        <v>9.66537812669E11</v>
      </c>
      <c r="G172" s="193" t="s">
        <v>27</v>
      </c>
      <c r="H172" s="193" t="s">
        <v>27</v>
      </c>
      <c r="I172" s="197" t="s">
        <v>4652</v>
      </c>
      <c r="J172" s="195"/>
      <c r="K172" s="193" t="s">
        <v>62</v>
      </c>
      <c r="L172" s="193"/>
      <c r="M172" s="195" t="s">
        <v>55</v>
      </c>
      <c r="N172" s="195"/>
      <c r="O172" s="193" t="s">
        <v>40</v>
      </c>
      <c r="P172" s="195"/>
      <c r="Q172" s="193" t="s">
        <v>49</v>
      </c>
      <c r="R172" s="193"/>
      <c r="S172" s="193"/>
      <c r="T172" s="193">
        <v>5.0</v>
      </c>
    </row>
    <row r="173" hidden="1">
      <c r="A173" s="193">
        <v>172.0</v>
      </c>
      <c r="B173" s="194">
        <v>46205.0</v>
      </c>
      <c r="C173" s="193" t="s">
        <v>21</v>
      </c>
      <c r="D173" s="193" t="s">
        <v>22</v>
      </c>
      <c r="E173" s="195" t="s">
        <v>4655</v>
      </c>
      <c r="F173" s="196">
        <v>5.54499313E8</v>
      </c>
      <c r="G173" s="195" t="s">
        <v>333</v>
      </c>
      <c r="H173" s="193" t="s">
        <v>27</v>
      </c>
      <c r="I173" s="197" t="s">
        <v>4658</v>
      </c>
      <c r="J173" s="195"/>
      <c r="K173" s="193" t="s">
        <v>36</v>
      </c>
      <c r="L173" s="193"/>
      <c r="M173" s="195" t="s">
        <v>38</v>
      </c>
      <c r="N173" s="195"/>
      <c r="O173" s="193" t="s">
        <v>40</v>
      </c>
      <c r="P173" s="195"/>
      <c r="Q173" s="193" t="s">
        <v>49</v>
      </c>
      <c r="R173" s="193"/>
      <c r="S173" s="193"/>
      <c r="T173" s="193">
        <v>5.0</v>
      </c>
    </row>
    <row r="174" hidden="1">
      <c r="A174" s="193">
        <v>173.0</v>
      </c>
      <c r="B174" s="194">
        <v>46205.0</v>
      </c>
      <c r="C174" s="193" t="s">
        <v>58</v>
      </c>
      <c r="D174" s="193" t="s">
        <v>60</v>
      </c>
      <c r="E174" s="193" t="s">
        <v>27</v>
      </c>
      <c r="F174" s="196">
        <v>5.05146871E8</v>
      </c>
      <c r="G174" s="195" t="s">
        <v>362</v>
      </c>
      <c r="H174" s="193" t="s">
        <v>27</v>
      </c>
      <c r="I174" s="197" t="s">
        <v>4662</v>
      </c>
      <c r="J174" s="195"/>
      <c r="K174" s="193" t="s">
        <v>36</v>
      </c>
      <c r="L174" s="193"/>
      <c r="M174" s="195" t="s">
        <v>88</v>
      </c>
      <c r="N174" s="195"/>
      <c r="O174" s="193" t="s">
        <v>40</v>
      </c>
      <c r="P174" s="195"/>
      <c r="Q174" s="193" t="s">
        <v>49</v>
      </c>
      <c r="R174" s="193"/>
      <c r="S174" s="193"/>
      <c r="T174" s="193">
        <v>5.0</v>
      </c>
    </row>
    <row r="175" hidden="1">
      <c r="A175" s="193">
        <v>174.0</v>
      </c>
      <c r="B175" s="194">
        <v>46205.0</v>
      </c>
      <c r="C175" s="193" t="s">
        <v>58</v>
      </c>
      <c r="D175" s="193" t="s">
        <v>60</v>
      </c>
      <c r="E175" s="193" t="s">
        <v>27</v>
      </c>
      <c r="F175" s="196">
        <v>5.69046113E8</v>
      </c>
      <c r="G175" s="193" t="s">
        <v>27</v>
      </c>
      <c r="H175" s="193" t="s">
        <v>27</v>
      </c>
      <c r="I175" s="197" t="s">
        <v>4667</v>
      </c>
      <c r="J175" s="195" t="s">
        <v>4668</v>
      </c>
      <c r="K175" s="193" t="s">
        <v>62</v>
      </c>
      <c r="L175" s="193"/>
      <c r="M175" s="195" t="s">
        <v>88</v>
      </c>
      <c r="N175" s="195"/>
      <c r="O175" s="193" t="s">
        <v>40</v>
      </c>
      <c r="P175" s="195"/>
      <c r="Q175" s="193" t="s">
        <v>44</v>
      </c>
      <c r="R175" s="193"/>
      <c r="S175" s="193"/>
      <c r="T175" s="193">
        <v>5.0</v>
      </c>
    </row>
    <row r="176" hidden="1">
      <c r="A176" s="193">
        <v>175.0</v>
      </c>
      <c r="B176" s="194">
        <v>46205.0</v>
      </c>
      <c r="C176" s="193" t="s">
        <v>47</v>
      </c>
      <c r="D176" s="193" t="s">
        <v>57</v>
      </c>
      <c r="E176" s="195" t="s">
        <v>4670</v>
      </c>
      <c r="F176" s="196">
        <v>5.33430995E8</v>
      </c>
      <c r="G176" s="195" t="s">
        <v>41</v>
      </c>
      <c r="H176" s="193" t="s">
        <v>27</v>
      </c>
      <c r="I176" s="197" t="s">
        <v>4671</v>
      </c>
      <c r="J176" s="195" t="s">
        <v>4672</v>
      </c>
      <c r="K176" s="193" t="s">
        <v>62</v>
      </c>
      <c r="L176" s="193"/>
      <c r="M176" s="195" t="s">
        <v>55</v>
      </c>
      <c r="N176" s="195"/>
      <c r="O176" s="193" t="s">
        <v>40</v>
      </c>
      <c r="P176" s="195"/>
      <c r="Q176" s="193" t="s">
        <v>44</v>
      </c>
      <c r="R176" s="193"/>
      <c r="S176" s="193"/>
      <c r="T176" s="193">
        <v>5.0</v>
      </c>
    </row>
    <row r="177" hidden="1">
      <c r="A177" s="193">
        <v>176.0</v>
      </c>
      <c r="B177" s="194">
        <v>46205.0</v>
      </c>
      <c r="C177" s="193" t="s">
        <v>58</v>
      </c>
      <c r="D177" s="193" t="s">
        <v>60</v>
      </c>
      <c r="E177" s="193" t="s">
        <v>27</v>
      </c>
      <c r="F177" s="196">
        <v>5.52768969E8</v>
      </c>
      <c r="G177" s="193" t="s">
        <v>27</v>
      </c>
      <c r="H177" s="193" t="s">
        <v>27</v>
      </c>
      <c r="I177" s="197" t="s">
        <v>1945</v>
      </c>
      <c r="J177" s="195" t="s">
        <v>500</v>
      </c>
      <c r="K177" s="193" t="s">
        <v>62</v>
      </c>
      <c r="L177" s="193"/>
      <c r="M177" s="195" t="s">
        <v>88</v>
      </c>
      <c r="N177" s="195"/>
      <c r="O177" s="193" t="s">
        <v>40</v>
      </c>
      <c r="P177" s="195"/>
      <c r="Q177" s="193" t="s">
        <v>44</v>
      </c>
      <c r="R177" s="193"/>
      <c r="S177" s="193"/>
      <c r="T177" s="193">
        <v>5.0</v>
      </c>
    </row>
    <row r="178" hidden="1">
      <c r="A178" s="193">
        <v>177.0</v>
      </c>
      <c r="B178" s="194">
        <v>46205.0</v>
      </c>
      <c r="C178" s="193" t="s">
        <v>21</v>
      </c>
      <c r="D178" s="193" t="s">
        <v>24</v>
      </c>
      <c r="E178" s="195" t="s">
        <v>4677</v>
      </c>
      <c r="F178" s="196">
        <v>5.52258277E8</v>
      </c>
      <c r="G178" s="195" t="s">
        <v>71</v>
      </c>
      <c r="H178" s="193" t="s">
        <v>27</v>
      </c>
      <c r="I178" s="230" t="s">
        <v>4679</v>
      </c>
      <c r="J178" s="195"/>
      <c r="K178" s="193" t="s">
        <v>62</v>
      </c>
      <c r="L178" s="193"/>
      <c r="M178" s="195" t="s">
        <v>38</v>
      </c>
      <c r="N178" s="195"/>
      <c r="O178" s="193" t="s">
        <v>40</v>
      </c>
      <c r="P178" s="195"/>
      <c r="Q178" s="193" t="s">
        <v>44</v>
      </c>
      <c r="R178" s="193" t="s">
        <v>46</v>
      </c>
      <c r="S178" s="193"/>
      <c r="T178" s="193">
        <v>5.0</v>
      </c>
    </row>
    <row r="179" ht="101.25" hidden="1" customHeight="1">
      <c r="A179" s="193">
        <v>178.0</v>
      </c>
      <c r="B179" s="194">
        <v>46205.0</v>
      </c>
      <c r="C179" s="193" t="s">
        <v>21</v>
      </c>
      <c r="D179" s="193" t="s">
        <v>22</v>
      </c>
      <c r="E179" s="195" t="s">
        <v>4682</v>
      </c>
      <c r="F179" s="203">
        <v>5.33035916E8</v>
      </c>
      <c r="G179" s="195" t="s">
        <v>4683</v>
      </c>
      <c r="H179" s="193" t="s">
        <v>27</v>
      </c>
      <c r="I179" s="220" t="s">
        <v>4684</v>
      </c>
      <c r="J179" s="195"/>
      <c r="K179" s="193" t="s">
        <v>62</v>
      </c>
      <c r="L179" s="193"/>
      <c r="M179" s="195" t="s">
        <v>38</v>
      </c>
      <c r="N179" s="195"/>
      <c r="O179" s="193" t="s">
        <v>40</v>
      </c>
      <c r="P179" s="195"/>
      <c r="Q179" s="193" t="s">
        <v>44</v>
      </c>
      <c r="R179" s="193" t="s">
        <v>46</v>
      </c>
      <c r="S179" s="193"/>
      <c r="T179" s="193">
        <v>5.0</v>
      </c>
    </row>
    <row r="180" hidden="1">
      <c r="A180" s="193">
        <v>179.0</v>
      </c>
      <c r="B180" s="194">
        <v>46205.0</v>
      </c>
      <c r="C180" s="193" t="s">
        <v>47</v>
      </c>
      <c r="D180" s="193" t="s">
        <v>57</v>
      </c>
      <c r="E180" s="195" t="s">
        <v>4688</v>
      </c>
      <c r="F180" s="196" t="s">
        <v>27</v>
      </c>
      <c r="G180" s="195" t="s">
        <v>41</v>
      </c>
      <c r="H180" s="193" t="s">
        <v>222</v>
      </c>
      <c r="I180" s="197" t="s">
        <v>4690</v>
      </c>
      <c r="J180" s="195"/>
      <c r="K180" s="193" t="s">
        <v>62</v>
      </c>
      <c r="L180" s="193"/>
      <c r="M180" s="195" t="s">
        <v>55</v>
      </c>
      <c r="N180" s="195"/>
      <c r="O180" s="193" t="s">
        <v>40</v>
      </c>
      <c r="P180" s="195"/>
      <c r="Q180" s="193" t="s">
        <v>49</v>
      </c>
      <c r="R180" s="193"/>
      <c r="S180" s="193"/>
      <c r="T180" s="193">
        <v>5.0</v>
      </c>
    </row>
    <row r="181" hidden="1">
      <c r="A181" s="193">
        <v>180.0</v>
      </c>
      <c r="B181" s="194">
        <v>46205.0</v>
      </c>
      <c r="C181" s="193" t="s">
        <v>47</v>
      </c>
      <c r="D181" s="193" t="s">
        <v>92</v>
      </c>
      <c r="E181" s="195" t="s">
        <v>2238</v>
      </c>
      <c r="F181" s="196" t="s">
        <v>27</v>
      </c>
      <c r="G181" s="195" t="s">
        <v>76</v>
      </c>
      <c r="H181" s="193" t="s">
        <v>1150</v>
      </c>
      <c r="I181" s="197" t="s">
        <v>4693</v>
      </c>
      <c r="J181" s="195" t="s">
        <v>4694</v>
      </c>
      <c r="K181" s="193" t="s">
        <v>148</v>
      </c>
      <c r="L181" s="193" t="s">
        <v>518</v>
      </c>
      <c r="M181" s="195" t="s">
        <v>101</v>
      </c>
      <c r="N181" s="195"/>
      <c r="O181" s="193" t="s">
        <v>40</v>
      </c>
      <c r="P181" s="195" t="s">
        <v>3765</v>
      </c>
      <c r="Q181" s="193" t="s">
        <v>44</v>
      </c>
      <c r="R181" s="193" t="s">
        <v>46</v>
      </c>
      <c r="S181" s="193"/>
      <c r="T181" s="193">
        <v>5.0</v>
      </c>
    </row>
    <row r="182" hidden="1">
      <c r="A182" s="193">
        <v>181.0</v>
      </c>
      <c r="B182" s="194">
        <v>46205.0</v>
      </c>
      <c r="C182" s="193" t="s">
        <v>47</v>
      </c>
      <c r="D182" s="193" t="s">
        <v>92</v>
      </c>
      <c r="E182" s="195" t="s">
        <v>4698</v>
      </c>
      <c r="F182" s="196">
        <v>5.60061461E8</v>
      </c>
      <c r="G182" s="195" t="s">
        <v>76</v>
      </c>
      <c r="H182" s="193" t="s">
        <v>735</v>
      </c>
      <c r="I182" s="197" t="s">
        <v>4700</v>
      </c>
      <c r="J182" s="195" t="s">
        <v>4701</v>
      </c>
      <c r="K182" s="193" t="s">
        <v>148</v>
      </c>
      <c r="L182" s="193" t="s">
        <v>42</v>
      </c>
      <c r="M182" s="195" t="s">
        <v>1918</v>
      </c>
      <c r="N182" s="195"/>
      <c r="O182" s="193" t="s">
        <v>40</v>
      </c>
      <c r="P182" s="195" t="s">
        <v>3997</v>
      </c>
      <c r="Q182" s="193" t="s">
        <v>44</v>
      </c>
      <c r="R182" s="193" t="s">
        <v>46</v>
      </c>
      <c r="S182" s="193"/>
      <c r="T182" s="193">
        <v>5.0</v>
      </c>
    </row>
    <row r="183" hidden="1">
      <c r="A183" s="193">
        <v>182.0</v>
      </c>
      <c r="B183" s="194">
        <v>46205.0</v>
      </c>
      <c r="C183" s="193" t="s">
        <v>47</v>
      </c>
      <c r="D183" s="193" t="s">
        <v>92</v>
      </c>
      <c r="E183" s="195" t="s">
        <v>4706</v>
      </c>
      <c r="F183" s="196">
        <v>5.03273644E8</v>
      </c>
      <c r="G183" s="195" t="s">
        <v>76</v>
      </c>
      <c r="H183" s="193" t="s">
        <v>4163</v>
      </c>
      <c r="I183" s="197" t="s">
        <v>4710</v>
      </c>
      <c r="J183" s="195"/>
      <c r="K183" s="193" t="s">
        <v>148</v>
      </c>
      <c r="L183" s="193" t="s">
        <v>518</v>
      </c>
      <c r="M183" s="195" t="s">
        <v>602</v>
      </c>
      <c r="N183" s="195"/>
      <c r="O183" s="193" t="s">
        <v>40</v>
      </c>
      <c r="P183" s="195" t="s">
        <v>3997</v>
      </c>
      <c r="Q183" s="193" t="s">
        <v>44</v>
      </c>
      <c r="R183" s="193" t="s">
        <v>46</v>
      </c>
      <c r="S183" s="193"/>
      <c r="T183" s="193">
        <v>5.0</v>
      </c>
    </row>
    <row r="184" hidden="1">
      <c r="A184" s="193">
        <v>183.0</v>
      </c>
      <c r="B184" s="194">
        <v>46205.0</v>
      </c>
      <c r="C184" s="193" t="s">
        <v>47</v>
      </c>
      <c r="D184" s="193" t="s">
        <v>138</v>
      </c>
      <c r="E184" s="193" t="s">
        <v>27</v>
      </c>
      <c r="F184" s="196" t="s">
        <v>27</v>
      </c>
      <c r="G184" s="195" t="s">
        <v>28</v>
      </c>
      <c r="H184" s="193" t="s">
        <v>177</v>
      </c>
      <c r="I184" s="197" t="s">
        <v>4715</v>
      </c>
      <c r="J184" s="195" t="s">
        <v>4716</v>
      </c>
      <c r="K184" s="193" t="s">
        <v>148</v>
      </c>
      <c r="L184" s="193" t="s">
        <v>518</v>
      </c>
      <c r="M184" s="195" t="s">
        <v>4717</v>
      </c>
      <c r="N184" s="195"/>
      <c r="O184" s="193" t="s">
        <v>56</v>
      </c>
      <c r="P184" s="195" t="s">
        <v>3765</v>
      </c>
      <c r="Q184" s="193" t="s">
        <v>44</v>
      </c>
      <c r="R184" s="193" t="s">
        <v>46</v>
      </c>
      <c r="S184" s="193"/>
      <c r="T184" s="193">
        <v>5.0</v>
      </c>
    </row>
    <row r="185" hidden="1">
      <c r="A185" s="193">
        <v>184.0</v>
      </c>
      <c r="B185" s="194">
        <v>46205.0</v>
      </c>
      <c r="C185" s="193" t="s">
        <v>58</v>
      </c>
      <c r="D185" s="193" t="s">
        <v>57</v>
      </c>
      <c r="E185" s="195" t="s">
        <v>108</v>
      </c>
      <c r="F185" s="196">
        <v>5.0030028E8</v>
      </c>
      <c r="G185" s="195" t="s">
        <v>41</v>
      </c>
      <c r="H185" s="193" t="s">
        <v>27</v>
      </c>
      <c r="I185" s="197" t="s">
        <v>4723</v>
      </c>
      <c r="J185" s="195"/>
      <c r="K185" s="193" t="s">
        <v>36</v>
      </c>
      <c r="L185" s="193" t="s">
        <v>42</v>
      </c>
      <c r="M185" s="195" t="s">
        <v>88</v>
      </c>
      <c r="N185" s="195"/>
      <c r="O185" s="193" t="s">
        <v>40</v>
      </c>
      <c r="P185" s="195"/>
      <c r="Q185" s="193" t="s">
        <v>49</v>
      </c>
      <c r="R185" s="193"/>
      <c r="S185" s="193"/>
      <c r="T185" s="193"/>
    </row>
    <row r="186" hidden="1">
      <c r="A186" s="193">
        <v>185.0</v>
      </c>
      <c r="B186" s="291">
        <v>46205.0</v>
      </c>
      <c r="C186" s="292" t="s">
        <v>58</v>
      </c>
      <c r="D186" s="268" t="s">
        <v>24</v>
      </c>
      <c r="E186" s="268" t="s">
        <v>4616</v>
      </c>
      <c r="F186" s="293">
        <v>5.44492297E8</v>
      </c>
      <c r="G186" s="195" t="s">
        <v>41</v>
      </c>
      <c r="H186" s="268" t="s">
        <v>942</v>
      </c>
      <c r="I186" s="294" t="s">
        <v>4726</v>
      </c>
      <c r="J186" s="295"/>
      <c r="K186" s="268" t="s">
        <v>36</v>
      </c>
      <c r="L186" s="193"/>
      <c r="M186" s="265" t="s">
        <v>88</v>
      </c>
      <c r="N186" s="265"/>
      <c r="O186" s="193" t="s">
        <v>40</v>
      </c>
      <c r="P186" s="195"/>
      <c r="Q186" s="268" t="s">
        <v>4074</v>
      </c>
      <c r="R186" s="292" t="s">
        <v>68</v>
      </c>
      <c r="S186" s="295"/>
      <c r="T186" s="295"/>
    </row>
    <row r="187" ht="63.0" hidden="1" customHeight="1">
      <c r="A187" s="193">
        <v>186.0</v>
      </c>
      <c r="B187" s="291">
        <v>46205.0</v>
      </c>
      <c r="C187" s="292" t="s">
        <v>47</v>
      </c>
      <c r="D187" s="268" t="s">
        <v>48</v>
      </c>
      <c r="E187" s="195" t="s">
        <v>4730</v>
      </c>
      <c r="F187" s="298">
        <v>5.09969102E8</v>
      </c>
      <c r="G187" s="292" t="s">
        <v>2715</v>
      </c>
      <c r="H187" s="268" t="s">
        <v>2716</v>
      </c>
      <c r="I187" s="220" t="s">
        <v>4735</v>
      </c>
      <c r="J187" s="265" t="s">
        <v>4736</v>
      </c>
      <c r="K187" s="268" t="s">
        <v>36</v>
      </c>
      <c r="L187" s="193" t="s">
        <v>42</v>
      </c>
      <c r="M187" s="265" t="s">
        <v>101</v>
      </c>
      <c r="N187" s="265"/>
      <c r="O187" s="193" t="s">
        <v>56</v>
      </c>
      <c r="P187" s="195" t="s">
        <v>3765</v>
      </c>
      <c r="Q187" s="268" t="s">
        <v>4074</v>
      </c>
      <c r="R187" s="193" t="s">
        <v>46</v>
      </c>
      <c r="S187" s="295"/>
      <c r="T187" s="295"/>
    </row>
    <row r="188" ht="129.0" hidden="1" customHeight="1">
      <c r="A188" s="193">
        <v>187.0</v>
      </c>
      <c r="B188" s="291">
        <v>46205.0</v>
      </c>
      <c r="C188" s="292" t="s">
        <v>47</v>
      </c>
      <c r="D188" s="193" t="s">
        <v>92</v>
      </c>
      <c r="E188" s="268" t="s">
        <v>4742</v>
      </c>
      <c r="F188" s="292">
        <v>5.35993139E8</v>
      </c>
      <c r="G188" s="195" t="s">
        <v>71</v>
      </c>
      <c r="H188" s="268" t="s">
        <v>1906</v>
      </c>
      <c r="I188" s="220" t="s">
        <v>4744</v>
      </c>
      <c r="J188" s="265" t="s">
        <v>4745</v>
      </c>
      <c r="K188" s="268" t="s">
        <v>36</v>
      </c>
      <c r="L188" s="293" t="s">
        <v>301</v>
      </c>
      <c r="M188" s="195" t="s">
        <v>3370</v>
      </c>
      <c r="N188" s="195"/>
      <c r="O188" s="193" t="s">
        <v>40</v>
      </c>
      <c r="P188" s="195" t="s">
        <v>3566</v>
      </c>
      <c r="Q188" s="268" t="s">
        <v>4074</v>
      </c>
      <c r="R188" s="193" t="s">
        <v>46</v>
      </c>
      <c r="S188" s="295"/>
      <c r="T188" s="295"/>
    </row>
    <row r="189" hidden="1">
      <c r="A189" s="193">
        <v>188.0</v>
      </c>
      <c r="B189" s="291">
        <v>46205.0</v>
      </c>
      <c r="C189" s="292" t="s">
        <v>58</v>
      </c>
      <c r="D189" s="268" t="s">
        <v>60</v>
      </c>
      <c r="E189" s="268" t="s">
        <v>27</v>
      </c>
      <c r="F189" s="293">
        <v>5.4181855E8</v>
      </c>
      <c r="G189" s="268" t="s">
        <v>27</v>
      </c>
      <c r="H189" s="268" t="s">
        <v>27</v>
      </c>
      <c r="I189" s="294" t="s">
        <v>554</v>
      </c>
      <c r="J189" s="295"/>
      <c r="K189" s="268" t="s">
        <v>36</v>
      </c>
      <c r="L189" s="193"/>
      <c r="M189" s="265" t="s">
        <v>88</v>
      </c>
      <c r="N189" s="265"/>
      <c r="O189" s="193" t="s">
        <v>40</v>
      </c>
      <c r="P189" s="195"/>
      <c r="Q189" s="268" t="s">
        <v>4074</v>
      </c>
      <c r="R189" s="292" t="s">
        <v>68</v>
      </c>
      <c r="S189" s="295"/>
      <c r="T189" s="295"/>
    </row>
    <row r="190" hidden="1">
      <c r="A190" s="193">
        <v>189.0</v>
      </c>
      <c r="B190" s="291">
        <v>46205.0</v>
      </c>
      <c r="C190" s="293" t="s">
        <v>58</v>
      </c>
      <c r="D190" s="268" t="s">
        <v>60</v>
      </c>
      <c r="E190" s="268" t="s">
        <v>463</v>
      </c>
      <c r="F190" s="292">
        <v>5.58480609E8</v>
      </c>
      <c r="G190" s="195" t="s">
        <v>41</v>
      </c>
      <c r="H190" s="268" t="s">
        <v>513</v>
      </c>
      <c r="I190" s="294" t="s">
        <v>4750</v>
      </c>
      <c r="J190" s="295"/>
      <c r="K190" s="268" t="s">
        <v>36</v>
      </c>
      <c r="L190" s="193"/>
      <c r="M190" s="265" t="s">
        <v>55</v>
      </c>
      <c r="N190" s="265"/>
      <c r="O190" s="193" t="s">
        <v>40</v>
      </c>
      <c r="P190" s="195"/>
      <c r="Q190" s="268" t="s">
        <v>4074</v>
      </c>
      <c r="R190" s="292" t="s">
        <v>68</v>
      </c>
      <c r="S190" s="295"/>
      <c r="T190" s="295"/>
    </row>
    <row r="191" hidden="1">
      <c r="A191" s="193">
        <v>190.0</v>
      </c>
      <c r="B191" s="194">
        <v>46208.0</v>
      </c>
      <c r="C191" s="193" t="s">
        <v>21</v>
      </c>
      <c r="D191" s="193" t="s">
        <v>24</v>
      </c>
      <c r="E191" s="195" t="s">
        <v>1608</v>
      </c>
      <c r="F191" s="196">
        <v>5.40818671E8</v>
      </c>
      <c r="G191" s="195" t="s">
        <v>152</v>
      </c>
      <c r="H191" s="193" t="s">
        <v>27</v>
      </c>
      <c r="I191" s="197" t="s">
        <v>4754</v>
      </c>
      <c r="J191" s="195"/>
      <c r="K191" s="193" t="s">
        <v>62</v>
      </c>
      <c r="L191" s="193"/>
      <c r="M191" s="195" t="s">
        <v>38</v>
      </c>
      <c r="N191" s="195"/>
      <c r="O191" s="193" t="s">
        <v>40</v>
      </c>
      <c r="P191" s="195"/>
      <c r="Q191" s="193" t="s">
        <v>49</v>
      </c>
      <c r="R191" s="193"/>
      <c r="S191" s="193"/>
      <c r="T191" s="193"/>
    </row>
    <row r="192" hidden="1">
      <c r="A192" s="193">
        <v>191.0</v>
      </c>
      <c r="B192" s="194">
        <v>46208.0</v>
      </c>
      <c r="C192" s="193" t="s">
        <v>21</v>
      </c>
      <c r="D192" s="193" t="s">
        <v>22</v>
      </c>
      <c r="E192" s="193" t="s">
        <v>27</v>
      </c>
      <c r="F192" s="196">
        <v>5.55570772E8</v>
      </c>
      <c r="G192" s="193" t="s">
        <v>27</v>
      </c>
      <c r="H192" s="193" t="s">
        <v>27</v>
      </c>
      <c r="I192" s="197" t="s">
        <v>4758</v>
      </c>
      <c r="J192" s="195"/>
      <c r="K192" s="193" t="s">
        <v>62</v>
      </c>
      <c r="L192" s="193"/>
      <c r="M192" s="195" t="s">
        <v>38</v>
      </c>
      <c r="N192" s="195"/>
      <c r="O192" s="193" t="s">
        <v>40</v>
      </c>
      <c r="P192" s="195"/>
      <c r="Q192" s="193" t="s">
        <v>49</v>
      </c>
      <c r="R192" s="193"/>
      <c r="S192" s="193"/>
      <c r="T192" s="193"/>
    </row>
    <row r="193" hidden="1">
      <c r="A193" s="193">
        <v>192.0</v>
      </c>
      <c r="B193" s="194">
        <v>46208.0</v>
      </c>
      <c r="C193" s="193" t="s">
        <v>58</v>
      </c>
      <c r="D193" s="193" t="s">
        <v>57</v>
      </c>
      <c r="E193" s="195" t="s">
        <v>4762</v>
      </c>
      <c r="F193" s="196">
        <v>5.52062076E8</v>
      </c>
      <c r="G193" s="193" t="s">
        <v>27</v>
      </c>
      <c r="H193" s="193" t="s">
        <v>27</v>
      </c>
      <c r="I193" s="197" t="s">
        <v>4764</v>
      </c>
      <c r="J193" s="195"/>
      <c r="K193" s="193" t="s">
        <v>62</v>
      </c>
      <c r="L193" s="193"/>
      <c r="M193" s="195" t="s">
        <v>88</v>
      </c>
      <c r="N193" s="195"/>
      <c r="O193" s="193" t="s">
        <v>40</v>
      </c>
      <c r="P193" s="195"/>
      <c r="Q193" s="193" t="s">
        <v>49</v>
      </c>
      <c r="R193" s="193"/>
      <c r="S193" s="193"/>
      <c r="T193" s="193"/>
    </row>
    <row r="194" hidden="1">
      <c r="A194" s="193">
        <v>193.0</v>
      </c>
      <c r="B194" s="194">
        <v>46208.0</v>
      </c>
      <c r="C194" s="193" t="s">
        <v>21</v>
      </c>
      <c r="D194" s="193" t="s">
        <v>24</v>
      </c>
      <c r="E194" s="195" t="s">
        <v>4765</v>
      </c>
      <c r="F194" s="196">
        <v>5.59010533E8</v>
      </c>
      <c r="G194" s="195" t="s">
        <v>71</v>
      </c>
      <c r="H194" s="193" t="s">
        <v>27</v>
      </c>
      <c r="I194" s="197" t="s">
        <v>4766</v>
      </c>
      <c r="J194" s="195"/>
      <c r="K194" s="193" t="s">
        <v>62</v>
      </c>
      <c r="L194" s="193"/>
      <c r="M194" s="195" t="s">
        <v>38</v>
      </c>
      <c r="N194" s="195"/>
      <c r="O194" s="193" t="s">
        <v>40</v>
      </c>
      <c r="P194" s="195"/>
      <c r="Q194" s="193" t="s">
        <v>49</v>
      </c>
      <c r="R194" s="193"/>
      <c r="S194" s="193"/>
      <c r="T194" s="193"/>
    </row>
    <row r="195" hidden="1">
      <c r="A195" s="193">
        <v>194.0</v>
      </c>
      <c r="B195" s="194">
        <v>46208.0</v>
      </c>
      <c r="C195" s="193" t="s">
        <v>21</v>
      </c>
      <c r="D195" s="193" t="s">
        <v>22</v>
      </c>
      <c r="E195" s="193" t="s">
        <v>27</v>
      </c>
      <c r="F195" s="196">
        <v>5.0948235E8</v>
      </c>
      <c r="G195" s="193" t="s">
        <v>27</v>
      </c>
      <c r="H195" s="193" t="s">
        <v>27</v>
      </c>
      <c r="I195" s="197" t="s">
        <v>4770</v>
      </c>
      <c r="J195" s="195"/>
      <c r="K195" s="193" t="s">
        <v>62</v>
      </c>
      <c r="L195" s="193"/>
      <c r="M195" s="195" t="s">
        <v>1008</v>
      </c>
      <c r="N195" s="195"/>
      <c r="O195" s="193" t="s">
        <v>40</v>
      </c>
      <c r="P195" s="195"/>
      <c r="Q195" s="193" t="s">
        <v>49</v>
      </c>
      <c r="R195" s="193"/>
      <c r="S195" s="193"/>
      <c r="T195" s="193"/>
    </row>
    <row r="196" hidden="1">
      <c r="A196" s="193">
        <v>195.0</v>
      </c>
      <c r="B196" s="194">
        <v>46208.0</v>
      </c>
      <c r="C196" s="193" t="s">
        <v>47</v>
      </c>
      <c r="D196" s="193" t="s">
        <v>48</v>
      </c>
      <c r="E196" s="195" t="s">
        <v>4777</v>
      </c>
      <c r="F196" s="196" t="s">
        <v>27</v>
      </c>
      <c r="G196" s="195" t="s">
        <v>333</v>
      </c>
      <c r="H196" s="193" t="s">
        <v>650</v>
      </c>
      <c r="I196" s="197" t="s">
        <v>4778</v>
      </c>
      <c r="J196" s="195" t="s">
        <v>4779</v>
      </c>
      <c r="K196" s="193" t="s">
        <v>62</v>
      </c>
      <c r="L196" s="193" t="s">
        <v>42</v>
      </c>
      <c r="M196" s="265" t="s">
        <v>101</v>
      </c>
      <c r="N196" s="265"/>
      <c r="O196" s="193" t="s">
        <v>56</v>
      </c>
      <c r="P196" s="195" t="s">
        <v>3765</v>
      </c>
      <c r="Q196" s="193" t="s">
        <v>49</v>
      </c>
      <c r="R196" s="193" t="s">
        <v>46</v>
      </c>
      <c r="S196" s="193"/>
      <c r="T196" s="193"/>
    </row>
    <row r="197" hidden="1">
      <c r="A197" s="193">
        <v>196.0</v>
      </c>
      <c r="B197" s="194">
        <v>46208.0</v>
      </c>
      <c r="C197" s="193" t="s">
        <v>47</v>
      </c>
      <c r="D197" s="193" t="s">
        <v>48</v>
      </c>
      <c r="E197" s="193" t="s">
        <v>4783</v>
      </c>
      <c r="F197" s="196" t="s">
        <v>27</v>
      </c>
      <c r="G197" s="195" t="s">
        <v>41</v>
      </c>
      <c r="H197" s="193" t="s">
        <v>4785</v>
      </c>
      <c r="I197" s="197" t="s">
        <v>4786</v>
      </c>
      <c r="J197" s="195" t="s">
        <v>4787</v>
      </c>
      <c r="K197" s="193" t="s">
        <v>78</v>
      </c>
      <c r="L197" s="193" t="s">
        <v>518</v>
      </c>
      <c r="M197" s="195" t="s">
        <v>4789</v>
      </c>
      <c r="N197" s="193" t="s">
        <v>4791</v>
      </c>
      <c r="O197" s="193" t="s">
        <v>56</v>
      </c>
      <c r="P197" s="193" t="s">
        <v>4129</v>
      </c>
      <c r="Q197" s="193" t="s">
        <v>49</v>
      </c>
      <c r="R197" s="193"/>
      <c r="S197" s="193"/>
      <c r="T197" s="193"/>
    </row>
    <row r="198" hidden="1">
      <c r="A198" s="193">
        <v>197.0</v>
      </c>
      <c r="B198" s="194">
        <v>46208.0</v>
      </c>
      <c r="C198" s="193" t="s">
        <v>47</v>
      </c>
      <c r="D198" s="193" t="s">
        <v>48</v>
      </c>
      <c r="E198" s="195" t="s">
        <v>4793</v>
      </c>
      <c r="F198" s="196" t="s">
        <v>27</v>
      </c>
      <c r="G198" s="195" t="s">
        <v>41</v>
      </c>
      <c r="H198" s="193" t="s">
        <v>4795</v>
      </c>
      <c r="I198" s="299" t="s">
        <v>4796</v>
      </c>
      <c r="J198" s="195"/>
      <c r="K198" s="193" t="s">
        <v>78</v>
      </c>
      <c r="L198" s="193" t="s">
        <v>518</v>
      </c>
      <c r="M198" s="195" t="s">
        <v>3764</v>
      </c>
      <c r="N198" s="195"/>
      <c r="O198" s="193" t="s">
        <v>40</v>
      </c>
      <c r="P198" s="195" t="s">
        <v>3765</v>
      </c>
      <c r="Q198" s="193" t="s">
        <v>49</v>
      </c>
      <c r="R198" s="193" t="s">
        <v>46</v>
      </c>
      <c r="S198" s="193"/>
      <c r="T198" s="193"/>
    </row>
    <row r="199" ht="48.75" hidden="1" customHeight="1">
      <c r="A199" s="193">
        <v>198.0</v>
      </c>
      <c r="B199" s="194">
        <v>46208.0</v>
      </c>
      <c r="C199" s="193" t="s">
        <v>47</v>
      </c>
      <c r="D199" s="193" t="s">
        <v>48</v>
      </c>
      <c r="E199" s="195" t="s">
        <v>4805</v>
      </c>
      <c r="F199" s="196" t="s">
        <v>27</v>
      </c>
      <c r="G199" s="195" t="s">
        <v>41</v>
      </c>
      <c r="H199" s="193" t="s">
        <v>4808</v>
      </c>
      <c r="I199" s="197" t="s">
        <v>4810</v>
      </c>
      <c r="J199" s="195"/>
      <c r="K199" s="193" t="s">
        <v>78</v>
      </c>
      <c r="L199" s="193" t="s">
        <v>42</v>
      </c>
      <c r="M199" s="265" t="s">
        <v>101</v>
      </c>
      <c r="N199" s="265"/>
      <c r="O199" s="193" t="s">
        <v>40</v>
      </c>
      <c r="P199" s="195" t="s">
        <v>3765</v>
      </c>
      <c r="Q199" s="193" t="s">
        <v>49</v>
      </c>
      <c r="R199" s="193" t="s">
        <v>46</v>
      </c>
      <c r="S199" s="193"/>
      <c r="T199" s="193"/>
    </row>
    <row r="200" hidden="1">
      <c r="A200" s="193">
        <v>199.0</v>
      </c>
      <c r="B200" s="194">
        <v>46208.0</v>
      </c>
      <c r="C200" s="193" t="s">
        <v>21</v>
      </c>
      <c r="D200" s="193" t="s">
        <v>22</v>
      </c>
      <c r="E200" s="195" t="s">
        <v>4632</v>
      </c>
      <c r="F200" s="196">
        <v>5.44195072E8</v>
      </c>
      <c r="G200" s="195" t="s">
        <v>41</v>
      </c>
      <c r="H200" s="193" t="s">
        <v>27</v>
      </c>
      <c r="I200" s="197" t="s">
        <v>4816</v>
      </c>
      <c r="J200" s="195"/>
      <c r="K200" s="193" t="s">
        <v>62</v>
      </c>
      <c r="L200" s="193"/>
      <c r="M200" s="195" t="s">
        <v>38</v>
      </c>
      <c r="N200" s="195"/>
      <c r="O200" s="193" t="s">
        <v>40</v>
      </c>
      <c r="P200" s="195"/>
      <c r="Q200" s="193" t="s">
        <v>49</v>
      </c>
      <c r="R200" s="193"/>
      <c r="S200" s="193"/>
      <c r="T200" s="193"/>
    </row>
    <row r="201">
      <c r="A201" s="193">
        <v>200.0</v>
      </c>
      <c r="B201" s="194">
        <v>46208.0</v>
      </c>
      <c r="C201" s="193" t="s">
        <v>58</v>
      </c>
      <c r="D201" s="193" t="s">
        <v>48</v>
      </c>
      <c r="E201" s="195" t="s">
        <v>4822</v>
      </c>
      <c r="F201" s="196">
        <v>5.47417851E8</v>
      </c>
      <c r="G201" s="195" t="s">
        <v>41</v>
      </c>
      <c r="H201" s="193" t="s">
        <v>1220</v>
      </c>
      <c r="I201" s="197" t="s">
        <v>4823</v>
      </c>
      <c r="J201" s="195" t="s">
        <v>4824</v>
      </c>
      <c r="K201" s="193" t="s">
        <v>36</v>
      </c>
      <c r="L201" s="193" t="s">
        <v>42</v>
      </c>
      <c r="M201" s="195" t="s">
        <v>55</v>
      </c>
      <c r="N201" s="193" t="s">
        <v>4307</v>
      </c>
      <c r="O201" s="193" t="s">
        <v>40</v>
      </c>
      <c r="P201" s="195"/>
      <c r="Q201" s="193" t="s">
        <v>49</v>
      </c>
      <c r="R201" s="193"/>
      <c r="S201" s="193"/>
      <c r="T201" s="193"/>
    </row>
    <row r="202" hidden="1">
      <c r="A202" s="193">
        <v>201.0</v>
      </c>
      <c r="B202" s="194">
        <v>46208.0</v>
      </c>
      <c r="C202" s="193" t="s">
        <v>58</v>
      </c>
      <c r="D202" s="193" t="s">
        <v>34</v>
      </c>
      <c r="E202" s="195" t="s">
        <v>4827</v>
      </c>
      <c r="F202" s="196">
        <v>5.76107054E8</v>
      </c>
      <c r="G202" s="195" t="s">
        <v>41</v>
      </c>
      <c r="H202" s="193" t="s">
        <v>27</v>
      </c>
      <c r="I202" s="220" t="s">
        <v>4829</v>
      </c>
      <c r="J202" s="195" t="s">
        <v>4830</v>
      </c>
      <c r="K202" s="193" t="s">
        <v>62</v>
      </c>
      <c r="L202" s="193"/>
      <c r="M202" s="195" t="s">
        <v>88</v>
      </c>
      <c r="N202" s="195"/>
      <c r="O202" s="193" t="s">
        <v>40</v>
      </c>
      <c r="P202" s="195"/>
      <c r="Q202" s="193" t="s">
        <v>49</v>
      </c>
      <c r="R202" s="193"/>
      <c r="S202" s="193"/>
      <c r="T202" s="193"/>
    </row>
    <row r="203" hidden="1">
      <c r="A203" s="193">
        <v>202.0</v>
      </c>
      <c r="B203" s="194">
        <v>46208.0</v>
      </c>
      <c r="C203" s="293" t="s">
        <v>58</v>
      </c>
      <c r="D203" s="268" t="s">
        <v>34</v>
      </c>
      <c r="E203" s="268" t="s">
        <v>4833</v>
      </c>
      <c r="F203" s="295">
        <v>5.55971252E8</v>
      </c>
      <c r="G203" s="268" t="s">
        <v>79</v>
      </c>
      <c r="H203" s="268" t="s">
        <v>27</v>
      </c>
      <c r="I203" s="302" t="s">
        <v>4834</v>
      </c>
      <c r="J203" s="195" t="s">
        <v>4830</v>
      </c>
      <c r="K203" s="268" t="s">
        <v>36</v>
      </c>
      <c r="L203" s="193"/>
      <c r="M203" s="303" t="s">
        <v>88</v>
      </c>
      <c r="N203" s="303"/>
      <c r="O203" s="193" t="s">
        <v>40</v>
      </c>
      <c r="P203" s="195"/>
      <c r="Q203" s="268" t="s">
        <v>4074</v>
      </c>
      <c r="R203" s="292" t="s">
        <v>68</v>
      </c>
      <c r="S203" s="292"/>
      <c r="T203" s="292"/>
    </row>
    <row r="204" hidden="1">
      <c r="A204" s="193">
        <v>203.0</v>
      </c>
      <c r="B204" s="194">
        <v>46208.0</v>
      </c>
      <c r="C204" s="193" t="s">
        <v>58</v>
      </c>
      <c r="D204" s="193" t="s">
        <v>34</v>
      </c>
      <c r="E204" s="193" t="s">
        <v>27</v>
      </c>
      <c r="F204" s="196">
        <v>5.81045689E8</v>
      </c>
      <c r="G204" s="193" t="s">
        <v>27</v>
      </c>
      <c r="H204" s="193" t="s">
        <v>27</v>
      </c>
      <c r="I204" s="197" t="s">
        <v>4624</v>
      </c>
      <c r="J204" s="195"/>
      <c r="K204" s="193" t="s">
        <v>62</v>
      </c>
      <c r="L204" s="193"/>
      <c r="M204" s="195" t="s">
        <v>88</v>
      </c>
      <c r="N204" s="195"/>
      <c r="O204" s="193" t="s">
        <v>40</v>
      </c>
      <c r="P204" s="195"/>
      <c r="Q204" s="193" t="s">
        <v>49</v>
      </c>
      <c r="R204" s="193"/>
      <c r="S204" s="193"/>
      <c r="T204" s="193"/>
    </row>
    <row r="205" hidden="1">
      <c r="A205" s="193">
        <v>204.0</v>
      </c>
      <c r="B205" s="194">
        <v>46209.0</v>
      </c>
      <c r="C205" s="193" t="s">
        <v>58</v>
      </c>
      <c r="D205" s="193" t="s">
        <v>60</v>
      </c>
      <c r="E205" s="193" t="s">
        <v>27</v>
      </c>
      <c r="F205" s="196">
        <v>5.4944872E8</v>
      </c>
      <c r="G205" s="193" t="s">
        <v>27</v>
      </c>
      <c r="H205" s="193" t="s">
        <v>27</v>
      </c>
      <c r="I205" s="197" t="s">
        <v>4839</v>
      </c>
      <c r="J205" s="195"/>
      <c r="K205" s="193" t="s">
        <v>62</v>
      </c>
      <c r="L205" s="193"/>
      <c r="M205" s="195" t="s">
        <v>88</v>
      </c>
      <c r="N205" s="195"/>
      <c r="O205" s="193" t="s">
        <v>40</v>
      </c>
      <c r="P205" s="195"/>
      <c r="Q205" s="193" t="s">
        <v>49</v>
      </c>
      <c r="R205" s="193"/>
      <c r="S205" s="193"/>
      <c r="T205" s="193"/>
    </row>
    <row r="206" hidden="1">
      <c r="A206" s="193">
        <v>205.0</v>
      </c>
      <c r="B206" s="194">
        <v>46208.0</v>
      </c>
      <c r="C206" s="193" t="s">
        <v>58</v>
      </c>
      <c r="D206" s="193" t="s">
        <v>60</v>
      </c>
      <c r="E206" s="195" t="s">
        <v>4844</v>
      </c>
      <c r="F206" s="196">
        <v>5.40018451E8</v>
      </c>
      <c r="G206" s="193" t="s">
        <v>27</v>
      </c>
      <c r="H206" s="193" t="s">
        <v>27</v>
      </c>
      <c r="I206" s="197" t="s">
        <v>4845</v>
      </c>
      <c r="J206" s="195"/>
      <c r="K206" s="193" t="s">
        <v>62</v>
      </c>
      <c r="L206" s="193"/>
      <c r="M206" s="195" t="s">
        <v>88</v>
      </c>
      <c r="N206" s="195"/>
      <c r="O206" s="193" t="s">
        <v>40</v>
      </c>
      <c r="P206" s="195"/>
      <c r="Q206" s="193" t="s">
        <v>49</v>
      </c>
      <c r="R206" s="193"/>
      <c r="S206" s="193"/>
      <c r="T206" s="193"/>
    </row>
    <row r="207" hidden="1">
      <c r="A207" s="193">
        <v>206.0</v>
      </c>
      <c r="B207" s="194">
        <v>46208.0</v>
      </c>
      <c r="C207" s="193" t="s">
        <v>21</v>
      </c>
      <c r="D207" s="193" t="s">
        <v>66</v>
      </c>
      <c r="E207" s="195" t="s">
        <v>4848</v>
      </c>
      <c r="F207" s="203">
        <v>5.80115189E8</v>
      </c>
      <c r="G207" s="195" t="s">
        <v>152</v>
      </c>
      <c r="H207" s="193" t="s">
        <v>27</v>
      </c>
      <c r="I207" s="205" t="s">
        <v>4851</v>
      </c>
      <c r="J207" s="195"/>
      <c r="K207" s="193" t="s">
        <v>62</v>
      </c>
      <c r="L207" s="193"/>
      <c r="M207" s="195" t="s">
        <v>38</v>
      </c>
      <c r="N207" s="195"/>
      <c r="O207" s="193" t="s">
        <v>40</v>
      </c>
      <c r="P207" s="195"/>
      <c r="Q207" s="193" t="s">
        <v>49</v>
      </c>
      <c r="R207" s="193"/>
      <c r="S207" s="193"/>
      <c r="T207" s="193"/>
    </row>
    <row r="208" hidden="1">
      <c r="A208" s="193">
        <v>207.0</v>
      </c>
      <c r="B208" s="194">
        <v>46208.0</v>
      </c>
      <c r="C208" s="193" t="s">
        <v>58</v>
      </c>
      <c r="D208" s="193" t="s">
        <v>60</v>
      </c>
      <c r="E208" s="195" t="s">
        <v>4859</v>
      </c>
      <c r="F208" s="203">
        <v>5.46454496E8</v>
      </c>
      <c r="G208" s="193" t="s">
        <v>27</v>
      </c>
      <c r="H208" s="193" t="s">
        <v>27</v>
      </c>
      <c r="I208" s="197" t="s">
        <v>4860</v>
      </c>
      <c r="J208" s="195"/>
      <c r="K208" s="193" t="s">
        <v>62</v>
      </c>
      <c r="L208" s="193"/>
      <c r="M208" s="195" t="s">
        <v>88</v>
      </c>
      <c r="N208" s="195"/>
      <c r="O208" s="193" t="s">
        <v>40</v>
      </c>
      <c r="P208" s="195"/>
      <c r="Q208" s="193" t="s">
        <v>49</v>
      </c>
      <c r="R208" s="193"/>
      <c r="S208" s="193"/>
      <c r="T208" s="193"/>
    </row>
    <row r="209" ht="27.0" hidden="1" customHeight="1">
      <c r="A209" s="193">
        <v>208.0</v>
      </c>
      <c r="B209" s="194">
        <v>46208.0</v>
      </c>
      <c r="C209" s="193" t="s">
        <v>58</v>
      </c>
      <c r="D209" s="193" t="s">
        <v>60</v>
      </c>
      <c r="E209" s="193" t="s">
        <v>27</v>
      </c>
      <c r="F209" s="203">
        <v>5.68137552E8</v>
      </c>
      <c r="G209" s="193" t="s">
        <v>27</v>
      </c>
      <c r="H209" s="193" t="s">
        <v>27</v>
      </c>
      <c r="I209" s="197" t="s">
        <v>4862</v>
      </c>
      <c r="J209" s="195"/>
      <c r="K209" s="193" t="s">
        <v>62</v>
      </c>
      <c r="L209" s="193"/>
      <c r="M209" s="195" t="s">
        <v>88</v>
      </c>
      <c r="N209" s="195"/>
      <c r="O209" s="193" t="s">
        <v>40</v>
      </c>
      <c r="P209" s="195"/>
      <c r="Q209" s="193" t="s">
        <v>49</v>
      </c>
      <c r="R209" s="193"/>
      <c r="S209" s="193"/>
      <c r="T209" s="193"/>
    </row>
    <row r="210" hidden="1">
      <c r="A210" s="193">
        <v>209.0</v>
      </c>
      <c r="B210" s="194">
        <v>46208.0</v>
      </c>
      <c r="C210" s="193" t="s">
        <v>21</v>
      </c>
      <c r="D210" s="193" t="s">
        <v>24</v>
      </c>
      <c r="E210" s="195" t="s">
        <v>4864</v>
      </c>
      <c r="F210" s="203">
        <v>5.50033131E8</v>
      </c>
      <c r="G210" s="195" t="s">
        <v>79</v>
      </c>
      <c r="H210" s="193" t="s">
        <v>27</v>
      </c>
      <c r="I210" s="197" t="s">
        <v>4866</v>
      </c>
      <c r="J210" s="195"/>
      <c r="K210" s="193" t="s">
        <v>62</v>
      </c>
      <c r="L210" s="193"/>
      <c r="M210" s="195" t="s">
        <v>38</v>
      </c>
      <c r="N210" s="195"/>
      <c r="O210" s="193" t="s">
        <v>40</v>
      </c>
      <c r="P210" s="195"/>
      <c r="Q210" s="193" t="s">
        <v>49</v>
      </c>
      <c r="R210" s="193"/>
      <c r="S210" s="193"/>
      <c r="T210" s="193"/>
    </row>
    <row r="211" hidden="1">
      <c r="A211" s="193">
        <v>210.0</v>
      </c>
      <c r="B211" s="194">
        <v>46208.0</v>
      </c>
      <c r="C211" s="193" t="s">
        <v>58</v>
      </c>
      <c r="D211" s="193" t="s">
        <v>34</v>
      </c>
      <c r="E211" s="193" t="s">
        <v>27</v>
      </c>
      <c r="F211" s="203">
        <v>5.03262544E8</v>
      </c>
      <c r="G211" s="193" t="s">
        <v>27</v>
      </c>
      <c r="H211" s="193" t="s">
        <v>27</v>
      </c>
      <c r="I211" s="197" t="s">
        <v>4873</v>
      </c>
      <c r="J211" s="195"/>
      <c r="K211" s="193" t="s">
        <v>62</v>
      </c>
      <c r="L211" s="193"/>
      <c r="M211" s="195" t="s">
        <v>88</v>
      </c>
      <c r="N211" s="195"/>
      <c r="O211" s="193" t="s">
        <v>40</v>
      </c>
      <c r="P211" s="195"/>
      <c r="Q211" s="193" t="s">
        <v>49</v>
      </c>
      <c r="R211" s="193"/>
      <c r="S211" s="193"/>
      <c r="T211" s="193"/>
    </row>
    <row r="212" hidden="1">
      <c r="A212" s="193">
        <v>211.0</v>
      </c>
      <c r="B212" s="194">
        <v>46208.0</v>
      </c>
      <c r="C212" s="193" t="s">
        <v>21</v>
      </c>
      <c r="D212" s="193" t="s">
        <v>24</v>
      </c>
      <c r="E212" s="193" t="s">
        <v>27</v>
      </c>
      <c r="F212" s="203">
        <v>5.09814051E8</v>
      </c>
      <c r="G212" s="193" t="s">
        <v>27</v>
      </c>
      <c r="H212" s="193" t="s">
        <v>27</v>
      </c>
      <c r="I212" s="197" t="s">
        <v>4877</v>
      </c>
      <c r="J212" s="195"/>
      <c r="K212" s="193" t="s">
        <v>62</v>
      </c>
      <c r="L212" s="193"/>
      <c r="M212" s="195" t="s">
        <v>38</v>
      </c>
      <c r="N212" s="195"/>
      <c r="O212" s="193" t="s">
        <v>40</v>
      </c>
      <c r="P212" s="195"/>
      <c r="Q212" s="193" t="s">
        <v>49</v>
      </c>
      <c r="R212" s="193"/>
      <c r="S212" s="193"/>
      <c r="T212" s="193"/>
    </row>
    <row r="213" ht="30.0" hidden="1" customHeight="1">
      <c r="A213" s="193">
        <v>212.0</v>
      </c>
      <c r="B213" s="194">
        <v>46208.0</v>
      </c>
      <c r="C213" s="193" t="s">
        <v>58</v>
      </c>
      <c r="D213" s="193" t="s">
        <v>60</v>
      </c>
      <c r="E213" s="193" t="s">
        <v>27</v>
      </c>
      <c r="F213" s="203">
        <v>5.11439381E8</v>
      </c>
      <c r="G213" s="193" t="s">
        <v>27</v>
      </c>
      <c r="H213" s="193" t="s">
        <v>27</v>
      </c>
      <c r="I213" s="197" t="s">
        <v>4881</v>
      </c>
      <c r="J213" s="195"/>
      <c r="K213" s="193" t="s">
        <v>62</v>
      </c>
      <c r="L213" s="193"/>
      <c r="M213" s="195" t="s">
        <v>88</v>
      </c>
      <c r="N213" s="195"/>
      <c r="O213" s="193" t="s">
        <v>40</v>
      </c>
      <c r="P213" s="195"/>
      <c r="Q213" s="193" t="s">
        <v>49</v>
      </c>
      <c r="R213" s="193"/>
      <c r="S213" s="193"/>
      <c r="T213" s="193"/>
    </row>
    <row r="214" ht="24.75" hidden="1" customHeight="1">
      <c r="A214" s="193">
        <v>213.0</v>
      </c>
      <c r="B214" s="194">
        <v>46208.0</v>
      </c>
      <c r="C214" s="193" t="s">
        <v>58</v>
      </c>
      <c r="D214" s="193" t="s">
        <v>34</v>
      </c>
      <c r="E214" s="193" t="s">
        <v>27</v>
      </c>
      <c r="F214" s="203">
        <v>5.65467094E8</v>
      </c>
      <c r="G214" s="193" t="s">
        <v>27</v>
      </c>
      <c r="H214" s="193" t="s">
        <v>27</v>
      </c>
      <c r="I214" s="197" t="s">
        <v>4873</v>
      </c>
      <c r="J214" s="195"/>
      <c r="K214" s="193" t="s">
        <v>62</v>
      </c>
      <c r="L214" s="193"/>
      <c r="M214" s="195" t="s">
        <v>88</v>
      </c>
      <c r="N214" s="195"/>
      <c r="O214" s="193" t="s">
        <v>40</v>
      </c>
      <c r="P214" s="195"/>
      <c r="Q214" s="193" t="s">
        <v>49</v>
      </c>
      <c r="R214" s="193"/>
      <c r="S214" s="193"/>
      <c r="T214" s="193"/>
    </row>
    <row r="215" ht="24.0" hidden="1" customHeight="1">
      <c r="A215" s="193">
        <v>214.0</v>
      </c>
      <c r="B215" s="194">
        <v>46208.0</v>
      </c>
      <c r="C215" s="193" t="s">
        <v>58</v>
      </c>
      <c r="D215" s="193" t="s">
        <v>57</v>
      </c>
      <c r="E215" s="195" t="s">
        <v>4886</v>
      </c>
      <c r="F215" s="203">
        <v>5.92943352E8</v>
      </c>
      <c r="G215" s="193" t="s">
        <v>27</v>
      </c>
      <c r="H215" s="193" t="s">
        <v>27</v>
      </c>
      <c r="I215" s="197" t="s">
        <v>4889</v>
      </c>
      <c r="J215" s="195"/>
      <c r="K215" s="193" t="s">
        <v>62</v>
      </c>
      <c r="L215" s="193"/>
      <c r="M215" s="195" t="s">
        <v>88</v>
      </c>
      <c r="N215" s="195"/>
      <c r="O215" s="193" t="s">
        <v>40</v>
      </c>
      <c r="P215" s="195"/>
      <c r="Q215" s="193" t="s">
        <v>49</v>
      </c>
      <c r="R215" s="193"/>
      <c r="S215" s="193"/>
      <c r="T215" s="193"/>
    </row>
    <row r="216" hidden="1">
      <c r="A216" s="193">
        <v>215.0</v>
      </c>
      <c r="B216" s="194">
        <v>46208.0</v>
      </c>
      <c r="C216" s="193" t="s">
        <v>58</v>
      </c>
      <c r="D216" s="193" t="s">
        <v>60</v>
      </c>
      <c r="E216" s="193" t="s">
        <v>27</v>
      </c>
      <c r="F216" s="203">
        <v>5.54494567E8</v>
      </c>
      <c r="G216" s="193" t="s">
        <v>27</v>
      </c>
      <c r="H216" s="193" t="s">
        <v>27</v>
      </c>
      <c r="I216" s="197" t="s">
        <v>4860</v>
      </c>
      <c r="J216" s="195"/>
      <c r="K216" s="193" t="s">
        <v>62</v>
      </c>
      <c r="L216" s="193"/>
      <c r="M216" s="195" t="s">
        <v>88</v>
      </c>
      <c r="N216" s="195"/>
      <c r="O216" s="193" t="s">
        <v>40</v>
      </c>
      <c r="P216" s="195"/>
      <c r="Q216" s="193" t="s">
        <v>49</v>
      </c>
      <c r="R216" s="193"/>
      <c r="S216" s="193"/>
      <c r="T216" s="193"/>
    </row>
    <row r="217" ht="33.0" hidden="1" customHeight="1">
      <c r="A217" s="193">
        <v>216.0</v>
      </c>
      <c r="B217" s="194">
        <v>46208.0</v>
      </c>
      <c r="C217" s="193" t="s">
        <v>58</v>
      </c>
      <c r="D217" s="193" t="s">
        <v>60</v>
      </c>
      <c r="E217" s="193" t="s">
        <v>27</v>
      </c>
      <c r="F217" s="203">
        <v>5.81045689E8</v>
      </c>
      <c r="G217" s="193" t="s">
        <v>27</v>
      </c>
      <c r="H217" s="193" t="s">
        <v>27</v>
      </c>
      <c r="I217" s="197" t="s">
        <v>4896</v>
      </c>
      <c r="J217" s="195"/>
      <c r="K217" s="193" t="s">
        <v>62</v>
      </c>
      <c r="L217" s="193"/>
      <c r="M217" s="195" t="s">
        <v>88</v>
      </c>
      <c r="N217" s="195"/>
      <c r="O217" s="193" t="s">
        <v>40</v>
      </c>
      <c r="P217" s="195"/>
      <c r="Q217" s="193" t="s">
        <v>49</v>
      </c>
      <c r="R217" s="193"/>
      <c r="S217" s="193"/>
      <c r="T217" s="193"/>
    </row>
    <row r="218" ht="74.25" hidden="1" customHeight="1">
      <c r="A218" s="193">
        <v>217.0</v>
      </c>
      <c r="B218" s="194">
        <v>46208.0</v>
      </c>
      <c r="C218" s="193" t="s">
        <v>47</v>
      </c>
      <c r="D218" s="193" t="s">
        <v>48</v>
      </c>
      <c r="E218" s="195" t="s">
        <v>4898</v>
      </c>
      <c r="F218" s="203">
        <v>5.03943281E8</v>
      </c>
      <c r="G218" s="195" t="s">
        <v>41</v>
      </c>
      <c r="H218" s="193" t="s">
        <v>1220</v>
      </c>
      <c r="I218" s="306" t="s">
        <v>4900</v>
      </c>
      <c r="J218" s="195"/>
      <c r="K218" s="193" t="s">
        <v>62</v>
      </c>
      <c r="L218" s="193" t="s">
        <v>42</v>
      </c>
      <c r="M218" s="195" t="s">
        <v>2247</v>
      </c>
      <c r="N218" s="195"/>
      <c r="O218" s="193" t="s">
        <v>40</v>
      </c>
      <c r="P218" s="195" t="s">
        <v>3765</v>
      </c>
      <c r="Q218" s="193" t="s">
        <v>49</v>
      </c>
      <c r="R218" s="193" t="s">
        <v>46</v>
      </c>
      <c r="S218" s="193"/>
      <c r="T218" s="193"/>
    </row>
    <row r="219" ht="71.25" hidden="1" customHeight="1">
      <c r="A219" s="193">
        <v>218.0</v>
      </c>
      <c r="B219" s="194">
        <v>46208.0</v>
      </c>
      <c r="C219" s="193" t="s">
        <v>47</v>
      </c>
      <c r="D219" s="193" t="s">
        <v>92</v>
      </c>
      <c r="E219" s="195" t="s">
        <v>108</v>
      </c>
      <c r="F219" s="203">
        <v>5.55943337E8</v>
      </c>
      <c r="G219" s="195" t="s">
        <v>28</v>
      </c>
      <c r="H219" s="193" t="s">
        <v>777</v>
      </c>
      <c r="I219" s="306" t="s">
        <v>4906</v>
      </c>
      <c r="J219" s="195" t="s">
        <v>4907</v>
      </c>
      <c r="K219" s="193" t="s">
        <v>62</v>
      </c>
      <c r="L219" s="193" t="s">
        <v>518</v>
      </c>
      <c r="M219" s="195" t="s">
        <v>101</v>
      </c>
      <c r="N219" s="195"/>
      <c r="O219" s="193" t="s">
        <v>56</v>
      </c>
      <c r="P219" s="195" t="s">
        <v>3765</v>
      </c>
      <c r="Q219" s="193" t="s">
        <v>49</v>
      </c>
      <c r="R219" s="193" t="s">
        <v>46</v>
      </c>
      <c r="S219" s="193"/>
      <c r="T219" s="193"/>
    </row>
    <row r="220" ht="198.75" hidden="1" customHeight="1">
      <c r="A220" s="193">
        <v>219.0</v>
      </c>
      <c r="B220" s="194">
        <v>46208.0</v>
      </c>
      <c r="C220" s="193" t="s">
        <v>47</v>
      </c>
      <c r="D220" s="193" t="s">
        <v>48</v>
      </c>
      <c r="E220" s="195" t="s">
        <v>4909</v>
      </c>
      <c r="F220" s="203">
        <v>5.57378168E8</v>
      </c>
      <c r="G220" s="195" t="s">
        <v>362</v>
      </c>
      <c r="H220" s="193" t="s">
        <v>1029</v>
      </c>
      <c r="I220" s="197" t="s">
        <v>4913</v>
      </c>
      <c r="J220" s="195"/>
      <c r="K220" s="193" t="s">
        <v>36</v>
      </c>
      <c r="L220" s="193" t="s">
        <v>518</v>
      </c>
      <c r="M220" s="195" t="s">
        <v>4915</v>
      </c>
      <c r="N220" s="195"/>
      <c r="O220" s="193" t="s">
        <v>40</v>
      </c>
      <c r="P220" s="195" t="s">
        <v>3566</v>
      </c>
      <c r="Q220" s="193" t="s">
        <v>49</v>
      </c>
      <c r="R220" s="193" t="s">
        <v>46</v>
      </c>
      <c r="S220" s="193"/>
      <c r="T220" s="193"/>
    </row>
    <row r="221" ht="66.0" hidden="1" customHeight="1">
      <c r="A221" s="193">
        <v>220.0</v>
      </c>
      <c r="B221" s="194">
        <v>46209.0</v>
      </c>
      <c r="C221" s="193" t="s">
        <v>58</v>
      </c>
      <c r="D221" s="193" t="s">
        <v>22</v>
      </c>
      <c r="E221" s="195" t="s">
        <v>4916</v>
      </c>
      <c r="F221" s="196">
        <v>9.66544387321E11</v>
      </c>
      <c r="G221" s="193" t="s">
        <v>27</v>
      </c>
      <c r="H221" s="193" t="s">
        <v>27</v>
      </c>
      <c r="I221" s="197" t="s">
        <v>4918</v>
      </c>
      <c r="J221" s="195"/>
      <c r="K221" s="193" t="s">
        <v>62</v>
      </c>
      <c r="L221" s="193"/>
      <c r="M221" s="195" t="s">
        <v>88</v>
      </c>
      <c r="N221" s="195"/>
      <c r="O221" s="193" t="s">
        <v>40</v>
      </c>
      <c r="P221" s="195"/>
      <c r="Q221" s="193" t="s">
        <v>49</v>
      </c>
      <c r="R221" s="193"/>
      <c r="S221" s="193"/>
      <c r="T221" s="193"/>
    </row>
    <row r="222" hidden="1">
      <c r="A222" s="193">
        <v>221.0</v>
      </c>
      <c r="B222" s="291">
        <v>46205.0</v>
      </c>
      <c r="C222" s="292" t="s">
        <v>21</v>
      </c>
      <c r="D222" s="268" t="s">
        <v>22</v>
      </c>
      <c r="E222" s="268" t="s">
        <v>4922</v>
      </c>
      <c r="F222" s="292">
        <v>5.55727048E8</v>
      </c>
      <c r="G222" s="268" t="s">
        <v>4923</v>
      </c>
      <c r="H222" s="268" t="s">
        <v>942</v>
      </c>
      <c r="I222" s="294" t="s">
        <v>4925</v>
      </c>
      <c r="J222" s="295"/>
      <c r="K222" s="268" t="s">
        <v>36</v>
      </c>
      <c r="L222" s="193"/>
      <c r="M222" s="265" t="s">
        <v>125</v>
      </c>
      <c r="N222" s="265"/>
      <c r="O222" s="193" t="s">
        <v>40</v>
      </c>
      <c r="P222" s="195"/>
      <c r="Q222" s="268" t="s">
        <v>4074</v>
      </c>
      <c r="R222" s="292" t="s">
        <v>68</v>
      </c>
      <c r="S222" s="295" t="s">
        <v>44</v>
      </c>
      <c r="T222" s="295"/>
    </row>
    <row r="223" hidden="1">
      <c r="A223" s="193">
        <v>222.0</v>
      </c>
      <c r="B223" s="291">
        <v>46208.0</v>
      </c>
      <c r="C223" s="292" t="s">
        <v>58</v>
      </c>
      <c r="D223" s="268" t="s">
        <v>60</v>
      </c>
      <c r="E223" s="268" t="s">
        <v>27</v>
      </c>
      <c r="F223" s="295">
        <v>5.39325896E8</v>
      </c>
      <c r="G223" s="268" t="s">
        <v>27</v>
      </c>
      <c r="H223" s="268" t="s">
        <v>27</v>
      </c>
      <c r="I223" s="294" t="s">
        <v>4931</v>
      </c>
      <c r="J223" s="295"/>
      <c r="K223" s="268" t="s">
        <v>36</v>
      </c>
      <c r="L223" s="193"/>
      <c r="M223" s="265" t="s">
        <v>88</v>
      </c>
      <c r="N223" s="265"/>
      <c r="O223" s="193" t="s">
        <v>40</v>
      </c>
      <c r="P223" s="195"/>
      <c r="Q223" s="268" t="s">
        <v>4074</v>
      </c>
      <c r="R223" s="292" t="s">
        <v>68</v>
      </c>
      <c r="S223" s="295"/>
      <c r="T223" s="295"/>
    </row>
    <row r="224" hidden="1">
      <c r="A224" s="193">
        <v>223.0</v>
      </c>
      <c r="B224" s="291">
        <v>46208.0</v>
      </c>
      <c r="C224" s="292" t="s">
        <v>58</v>
      </c>
      <c r="D224" s="268" t="s">
        <v>34</v>
      </c>
      <c r="E224" s="268" t="s">
        <v>27</v>
      </c>
      <c r="F224" s="292">
        <v>5.82075424E8</v>
      </c>
      <c r="G224" s="268" t="s">
        <v>27</v>
      </c>
      <c r="H224" s="268" t="s">
        <v>27</v>
      </c>
      <c r="I224" s="294" t="s">
        <v>643</v>
      </c>
      <c r="J224" s="295"/>
      <c r="K224" s="268" t="s">
        <v>36</v>
      </c>
      <c r="L224" s="193"/>
      <c r="M224" s="265" t="s">
        <v>88</v>
      </c>
      <c r="N224" s="265"/>
      <c r="O224" s="193" t="s">
        <v>40</v>
      </c>
      <c r="P224" s="195"/>
      <c r="Q224" s="268" t="s">
        <v>4074</v>
      </c>
      <c r="R224" s="292" t="s">
        <v>68</v>
      </c>
      <c r="S224" s="295"/>
      <c r="T224" s="295"/>
    </row>
    <row r="225" hidden="1">
      <c r="A225" s="193">
        <v>224.0</v>
      </c>
      <c r="B225" s="291">
        <v>46208.0</v>
      </c>
      <c r="C225" s="292" t="s">
        <v>58</v>
      </c>
      <c r="D225" s="268" t="s">
        <v>57</v>
      </c>
      <c r="E225" s="268" t="s">
        <v>27</v>
      </c>
      <c r="F225" s="292">
        <v>5.59382477E8</v>
      </c>
      <c r="G225" s="268" t="s">
        <v>27</v>
      </c>
      <c r="H225" s="268" t="s">
        <v>27</v>
      </c>
      <c r="I225" s="302" t="s">
        <v>4936</v>
      </c>
      <c r="J225" s="295"/>
      <c r="K225" s="193" t="s">
        <v>36</v>
      </c>
      <c r="L225" s="193"/>
      <c r="M225" s="265" t="s">
        <v>88</v>
      </c>
      <c r="N225" s="265"/>
      <c r="O225" s="193" t="s">
        <v>40</v>
      </c>
      <c r="P225" s="195"/>
      <c r="Q225" s="268" t="s">
        <v>4074</v>
      </c>
      <c r="R225" s="292" t="s">
        <v>68</v>
      </c>
      <c r="S225" s="295"/>
      <c r="T225" s="295"/>
    </row>
    <row r="226" hidden="1">
      <c r="A226" s="193">
        <v>225.0</v>
      </c>
      <c r="B226" s="291">
        <v>46208.0</v>
      </c>
      <c r="C226" s="292" t="s">
        <v>21</v>
      </c>
      <c r="D226" s="268" t="s">
        <v>22</v>
      </c>
      <c r="E226" s="268" t="s">
        <v>4940</v>
      </c>
      <c r="F226" s="292">
        <v>5.30447443E8</v>
      </c>
      <c r="G226" s="195" t="s">
        <v>71</v>
      </c>
      <c r="H226" s="268" t="s">
        <v>27</v>
      </c>
      <c r="I226" s="294" t="s">
        <v>4941</v>
      </c>
      <c r="J226" s="295"/>
      <c r="K226" s="268" t="s">
        <v>36</v>
      </c>
      <c r="L226" s="193"/>
      <c r="M226" s="303" t="s">
        <v>38</v>
      </c>
      <c r="N226" s="303"/>
      <c r="O226" s="193" t="s">
        <v>40</v>
      </c>
      <c r="P226" s="195"/>
      <c r="Q226" s="268" t="s">
        <v>4074</v>
      </c>
      <c r="R226" s="292" t="s">
        <v>68</v>
      </c>
      <c r="S226" s="295"/>
      <c r="T226" s="292"/>
    </row>
    <row r="227" hidden="1">
      <c r="A227" s="193">
        <v>226.0</v>
      </c>
      <c r="B227" s="291">
        <v>46208.0</v>
      </c>
      <c r="C227" s="292" t="s">
        <v>21</v>
      </c>
      <c r="D227" s="268" t="s">
        <v>24</v>
      </c>
      <c r="E227" s="268" t="s">
        <v>118</v>
      </c>
      <c r="F227" s="292">
        <v>5.35844437E8</v>
      </c>
      <c r="G227" s="195" t="s">
        <v>71</v>
      </c>
      <c r="H227" s="268" t="s">
        <v>27</v>
      </c>
      <c r="I227" s="294" t="s">
        <v>4943</v>
      </c>
      <c r="J227" s="295"/>
      <c r="K227" s="268" t="s">
        <v>36</v>
      </c>
      <c r="L227" s="193"/>
      <c r="M227" s="303" t="s">
        <v>38</v>
      </c>
      <c r="N227" s="303"/>
      <c r="O227" s="193" t="s">
        <v>40</v>
      </c>
      <c r="P227" s="195"/>
      <c r="Q227" s="268" t="s">
        <v>4074</v>
      </c>
      <c r="R227" s="292" t="s">
        <v>68</v>
      </c>
      <c r="S227" s="295"/>
      <c r="T227" s="292"/>
    </row>
    <row r="228" ht="84.75" hidden="1" customHeight="1">
      <c r="A228" s="193">
        <v>227.0</v>
      </c>
      <c r="B228" s="291">
        <v>46208.0</v>
      </c>
      <c r="C228" s="292" t="s">
        <v>47</v>
      </c>
      <c r="D228" s="268" t="s">
        <v>48</v>
      </c>
      <c r="E228" s="268" t="s">
        <v>937</v>
      </c>
      <c r="F228" s="268">
        <v>5.9607269E8</v>
      </c>
      <c r="G228" s="195" t="s">
        <v>41</v>
      </c>
      <c r="H228" s="268" t="s">
        <v>263</v>
      </c>
      <c r="I228" s="294" t="s">
        <v>4948</v>
      </c>
      <c r="J228" s="295"/>
      <c r="K228" s="268" t="s">
        <v>36</v>
      </c>
      <c r="L228" s="193" t="s">
        <v>518</v>
      </c>
      <c r="M228" s="195" t="s">
        <v>555</v>
      </c>
      <c r="N228" s="195"/>
      <c r="O228" s="193" t="s">
        <v>40</v>
      </c>
      <c r="P228" s="195" t="s">
        <v>3765</v>
      </c>
      <c r="Q228" s="268" t="s">
        <v>4074</v>
      </c>
      <c r="R228" s="193" t="s">
        <v>46</v>
      </c>
      <c r="S228" s="295"/>
      <c r="T228" s="292"/>
    </row>
    <row r="229" hidden="1">
      <c r="A229" s="193">
        <v>228.0</v>
      </c>
      <c r="B229" s="291">
        <v>46208.0</v>
      </c>
      <c r="C229" s="292" t="s">
        <v>21</v>
      </c>
      <c r="D229" s="268" t="s">
        <v>24</v>
      </c>
      <c r="E229" s="268" t="s">
        <v>501</v>
      </c>
      <c r="F229" s="295">
        <v>5.92499555E8</v>
      </c>
      <c r="G229" s="268" t="s">
        <v>172</v>
      </c>
      <c r="H229" s="268" t="s">
        <v>27</v>
      </c>
      <c r="I229" s="294" t="s">
        <v>4952</v>
      </c>
      <c r="J229" s="295"/>
      <c r="K229" s="268" t="s">
        <v>36</v>
      </c>
      <c r="L229" s="193"/>
      <c r="M229" s="303" t="s">
        <v>38</v>
      </c>
      <c r="N229" s="303"/>
      <c r="O229" s="193" t="s">
        <v>40</v>
      </c>
      <c r="P229" s="195"/>
      <c r="Q229" s="268" t="s">
        <v>4074</v>
      </c>
      <c r="R229" s="292" t="s">
        <v>68</v>
      </c>
      <c r="S229" s="295"/>
      <c r="T229" s="292"/>
    </row>
    <row r="230" hidden="1">
      <c r="A230" s="193">
        <v>229.0</v>
      </c>
      <c r="B230" s="291">
        <v>46208.0</v>
      </c>
      <c r="C230" s="292" t="s">
        <v>21</v>
      </c>
      <c r="D230" s="268" t="s">
        <v>22</v>
      </c>
      <c r="E230" s="193" t="s">
        <v>27</v>
      </c>
      <c r="F230" s="295">
        <v>5.96001E8</v>
      </c>
      <c r="G230" s="268" t="s">
        <v>237</v>
      </c>
      <c r="H230" s="295" t="s">
        <v>27</v>
      </c>
      <c r="I230" s="294" t="s">
        <v>4957</v>
      </c>
      <c r="J230" s="295"/>
      <c r="K230" s="268" t="s">
        <v>36</v>
      </c>
      <c r="L230" s="193"/>
      <c r="M230" s="303" t="s">
        <v>38</v>
      </c>
      <c r="N230" s="303"/>
      <c r="O230" s="193" t="s">
        <v>40</v>
      </c>
      <c r="P230" s="195"/>
      <c r="Q230" s="268" t="s">
        <v>4074</v>
      </c>
      <c r="R230" s="292" t="s">
        <v>68</v>
      </c>
      <c r="S230" s="295"/>
      <c r="T230" s="292"/>
    </row>
    <row r="231" hidden="1">
      <c r="A231" s="193">
        <v>230.0</v>
      </c>
      <c r="B231" s="291">
        <v>46208.0</v>
      </c>
      <c r="C231" s="292" t="s">
        <v>3766</v>
      </c>
      <c r="D231" s="268" t="s">
        <v>57</v>
      </c>
      <c r="E231" s="268" t="s">
        <v>27</v>
      </c>
      <c r="F231" s="295">
        <v>5.4682188E8</v>
      </c>
      <c r="G231" s="193" t="s">
        <v>27</v>
      </c>
      <c r="H231" s="193" t="s">
        <v>27</v>
      </c>
      <c r="I231" s="294" t="s">
        <v>4958</v>
      </c>
      <c r="J231" s="295"/>
      <c r="K231" s="268" t="s">
        <v>36</v>
      </c>
      <c r="L231" s="193"/>
      <c r="M231" s="303" t="s">
        <v>3776</v>
      </c>
      <c r="N231" s="303"/>
      <c r="O231" s="193" t="s">
        <v>40</v>
      </c>
      <c r="P231" s="195"/>
      <c r="Q231" s="268" t="s">
        <v>4074</v>
      </c>
      <c r="R231" s="292" t="s">
        <v>68</v>
      </c>
      <c r="S231" s="295"/>
      <c r="T231" s="292"/>
    </row>
    <row r="232" hidden="1">
      <c r="A232" s="193">
        <v>231.0</v>
      </c>
      <c r="B232" s="291">
        <v>46208.0</v>
      </c>
      <c r="C232" s="292" t="s">
        <v>21</v>
      </c>
      <c r="D232" s="268" t="s">
        <v>22</v>
      </c>
      <c r="E232" s="268" t="s">
        <v>4961</v>
      </c>
      <c r="F232" s="295">
        <v>5.06222007E8</v>
      </c>
      <c r="G232" s="268" t="s">
        <v>4962</v>
      </c>
      <c r="H232" s="268" t="s">
        <v>27</v>
      </c>
      <c r="I232" s="294" t="s">
        <v>4963</v>
      </c>
      <c r="J232" s="295"/>
      <c r="K232" s="268" t="s">
        <v>36</v>
      </c>
      <c r="L232" s="193"/>
      <c r="M232" s="303" t="s">
        <v>38</v>
      </c>
      <c r="N232" s="303"/>
      <c r="O232" s="193" t="s">
        <v>40</v>
      </c>
      <c r="P232" s="195"/>
      <c r="Q232" s="268" t="s">
        <v>4074</v>
      </c>
      <c r="R232" s="292" t="s">
        <v>68</v>
      </c>
      <c r="S232" s="295"/>
      <c r="T232" s="292"/>
    </row>
    <row r="233" ht="82.5" hidden="1" customHeight="1">
      <c r="A233" s="193">
        <v>232.0</v>
      </c>
      <c r="B233" s="291">
        <v>46208.0</v>
      </c>
      <c r="C233" s="292" t="s">
        <v>47</v>
      </c>
      <c r="D233" s="193" t="s">
        <v>92</v>
      </c>
      <c r="E233" s="298" t="s">
        <v>27</v>
      </c>
      <c r="F233" s="295">
        <v>5.5880653E8</v>
      </c>
      <c r="G233" s="195" t="s">
        <v>71</v>
      </c>
      <c r="H233" s="268" t="s">
        <v>4313</v>
      </c>
      <c r="I233" s="220" t="s">
        <v>4968</v>
      </c>
      <c r="J233" s="265" t="s">
        <v>4969</v>
      </c>
      <c r="K233" s="268" t="s">
        <v>36</v>
      </c>
      <c r="L233" s="193" t="s">
        <v>518</v>
      </c>
      <c r="M233" s="195" t="s">
        <v>101</v>
      </c>
      <c r="N233" s="195"/>
      <c r="O233" s="193" t="s">
        <v>56</v>
      </c>
      <c r="P233" s="195" t="s">
        <v>3765</v>
      </c>
      <c r="Q233" s="268" t="s">
        <v>4074</v>
      </c>
      <c r="R233" s="193" t="s">
        <v>46</v>
      </c>
      <c r="S233" s="295"/>
      <c r="T233" s="292"/>
    </row>
    <row r="234" hidden="1">
      <c r="A234" s="193">
        <v>233.0</v>
      </c>
      <c r="B234" s="291">
        <v>46208.0</v>
      </c>
      <c r="C234" s="292" t="s">
        <v>58</v>
      </c>
      <c r="D234" s="268" t="s">
        <v>60</v>
      </c>
      <c r="E234" s="193" t="s">
        <v>27</v>
      </c>
      <c r="F234" s="295">
        <v>5.34503053E8</v>
      </c>
      <c r="G234" s="268" t="s">
        <v>27</v>
      </c>
      <c r="H234" s="268" t="s">
        <v>27</v>
      </c>
      <c r="I234" s="294" t="s">
        <v>124</v>
      </c>
      <c r="J234" s="295"/>
      <c r="K234" s="268" t="s">
        <v>36</v>
      </c>
      <c r="L234" s="193"/>
      <c r="M234" s="303" t="s">
        <v>38</v>
      </c>
      <c r="N234" s="303"/>
      <c r="O234" s="193" t="s">
        <v>40</v>
      </c>
      <c r="P234" s="195"/>
      <c r="Q234" s="268" t="s">
        <v>4074</v>
      </c>
      <c r="R234" s="292" t="s">
        <v>68</v>
      </c>
      <c r="S234" s="295"/>
      <c r="T234" s="292"/>
    </row>
    <row r="235" hidden="1">
      <c r="A235" s="193">
        <v>234.0</v>
      </c>
      <c r="B235" s="291">
        <v>46208.0</v>
      </c>
      <c r="C235" s="292" t="s">
        <v>58</v>
      </c>
      <c r="D235" s="268" t="s">
        <v>60</v>
      </c>
      <c r="E235" s="193" t="s">
        <v>27</v>
      </c>
      <c r="F235" s="295">
        <v>5.48353338E8</v>
      </c>
      <c r="G235" s="268" t="s">
        <v>27</v>
      </c>
      <c r="H235" s="268" t="s">
        <v>27</v>
      </c>
      <c r="I235" s="294" t="s">
        <v>2483</v>
      </c>
      <c r="J235" s="295"/>
      <c r="K235" s="268" t="s">
        <v>36</v>
      </c>
      <c r="L235" s="193"/>
      <c r="M235" s="303" t="s">
        <v>88</v>
      </c>
      <c r="N235" s="303"/>
      <c r="O235" s="193" t="s">
        <v>40</v>
      </c>
      <c r="P235" s="195"/>
      <c r="Q235" s="268" t="s">
        <v>4074</v>
      </c>
      <c r="R235" s="292" t="s">
        <v>68</v>
      </c>
      <c r="S235" s="295"/>
      <c r="T235" s="292"/>
    </row>
    <row r="236" hidden="1">
      <c r="A236" s="193">
        <v>235.0</v>
      </c>
      <c r="B236" s="291">
        <v>46208.0</v>
      </c>
      <c r="C236" s="292" t="s">
        <v>58</v>
      </c>
      <c r="D236" s="268" t="s">
        <v>60</v>
      </c>
      <c r="E236" s="193" t="s">
        <v>27</v>
      </c>
      <c r="F236" s="295">
        <v>5.01611962E8</v>
      </c>
      <c r="G236" s="268" t="s">
        <v>27</v>
      </c>
      <c r="H236" s="268" t="s">
        <v>27</v>
      </c>
      <c r="I236" s="294" t="s">
        <v>2300</v>
      </c>
      <c r="J236" s="295"/>
      <c r="K236" s="268" t="s">
        <v>36</v>
      </c>
      <c r="L236" s="193"/>
      <c r="M236" s="303" t="s">
        <v>88</v>
      </c>
      <c r="N236" s="303"/>
      <c r="O236" s="193" t="s">
        <v>40</v>
      </c>
      <c r="P236" s="195"/>
      <c r="Q236" s="268" t="s">
        <v>4074</v>
      </c>
      <c r="R236" s="292" t="s">
        <v>68</v>
      </c>
      <c r="S236" s="295"/>
      <c r="T236" s="292"/>
    </row>
    <row r="237" hidden="1">
      <c r="A237" s="193">
        <v>236.0</v>
      </c>
      <c r="B237" s="291">
        <v>46208.0</v>
      </c>
      <c r="C237" s="292" t="s">
        <v>21</v>
      </c>
      <c r="D237" s="268" t="s">
        <v>22</v>
      </c>
      <c r="E237" s="268" t="s">
        <v>4984</v>
      </c>
      <c r="F237" s="295">
        <v>5.53454964E8</v>
      </c>
      <c r="G237" s="268" t="s">
        <v>4987</v>
      </c>
      <c r="H237" s="268" t="s">
        <v>27</v>
      </c>
      <c r="I237" s="294" t="s">
        <v>4990</v>
      </c>
      <c r="J237" s="265" t="s">
        <v>4991</v>
      </c>
      <c r="K237" s="268" t="s">
        <v>36</v>
      </c>
      <c r="L237" s="193"/>
      <c r="M237" s="303" t="s">
        <v>38</v>
      </c>
      <c r="N237" s="303"/>
      <c r="O237" s="193" t="s">
        <v>40</v>
      </c>
      <c r="P237" s="195"/>
      <c r="Q237" s="268" t="s">
        <v>4074</v>
      </c>
      <c r="R237" s="292" t="s">
        <v>68</v>
      </c>
      <c r="S237" s="295"/>
      <c r="T237" s="292"/>
    </row>
    <row r="238" hidden="1">
      <c r="A238" s="193">
        <v>237.0</v>
      </c>
      <c r="B238" s="291">
        <v>46208.0</v>
      </c>
      <c r="C238" s="292" t="s">
        <v>58</v>
      </c>
      <c r="D238" s="268" t="s">
        <v>57</v>
      </c>
      <c r="E238" s="268" t="s">
        <v>27</v>
      </c>
      <c r="F238" s="295">
        <v>5.31580453E8</v>
      </c>
      <c r="G238" s="193" t="s">
        <v>27</v>
      </c>
      <c r="H238" s="193" t="s">
        <v>27</v>
      </c>
      <c r="I238" s="294" t="s">
        <v>4993</v>
      </c>
      <c r="J238" s="295"/>
      <c r="K238" s="268" t="s">
        <v>36</v>
      </c>
      <c r="L238" s="193"/>
      <c r="M238" s="303" t="s">
        <v>88</v>
      </c>
      <c r="N238" s="303"/>
      <c r="O238" s="193" t="s">
        <v>40</v>
      </c>
      <c r="P238" s="195"/>
      <c r="Q238" s="268" t="s">
        <v>4074</v>
      </c>
      <c r="R238" s="292" t="s">
        <v>68</v>
      </c>
      <c r="S238" s="295"/>
      <c r="T238" s="292"/>
    </row>
    <row r="239" ht="46.5" hidden="1" customHeight="1">
      <c r="A239" s="193">
        <v>238.0</v>
      </c>
      <c r="B239" s="291">
        <v>46208.0</v>
      </c>
      <c r="C239" s="292" t="s">
        <v>47</v>
      </c>
      <c r="D239" s="268" t="s">
        <v>48</v>
      </c>
      <c r="E239" s="268" t="s">
        <v>4997</v>
      </c>
      <c r="F239" s="295">
        <v>5.98078504E8</v>
      </c>
      <c r="G239" s="268" t="s">
        <v>152</v>
      </c>
      <c r="H239" s="268" t="s">
        <v>272</v>
      </c>
      <c r="I239" s="294" t="s">
        <v>4998</v>
      </c>
      <c r="J239" s="265" t="s">
        <v>4999</v>
      </c>
      <c r="K239" s="268" t="s">
        <v>36</v>
      </c>
      <c r="L239" s="293" t="s">
        <v>42</v>
      </c>
      <c r="M239" s="303" t="s">
        <v>5000</v>
      </c>
      <c r="N239" s="303"/>
      <c r="O239" s="193" t="s">
        <v>56</v>
      </c>
      <c r="P239" s="195" t="s">
        <v>3566</v>
      </c>
      <c r="Q239" s="268" t="s">
        <v>4074</v>
      </c>
      <c r="R239" s="193" t="s">
        <v>46</v>
      </c>
      <c r="S239" s="295"/>
      <c r="T239" s="292"/>
    </row>
    <row r="240" ht="62.25" hidden="1" customHeight="1">
      <c r="A240" s="193">
        <v>239.0</v>
      </c>
      <c r="B240" s="291">
        <v>46208.0</v>
      </c>
      <c r="C240" s="292" t="s">
        <v>47</v>
      </c>
      <c r="D240" s="193" t="s">
        <v>92</v>
      </c>
      <c r="E240" s="193" t="s">
        <v>27</v>
      </c>
      <c r="F240" s="295">
        <v>5.10136886E8</v>
      </c>
      <c r="G240" s="195" t="s">
        <v>71</v>
      </c>
      <c r="H240" s="268" t="s">
        <v>4313</v>
      </c>
      <c r="I240" s="220" t="s">
        <v>5003</v>
      </c>
      <c r="J240" s="265" t="s">
        <v>4969</v>
      </c>
      <c r="K240" s="268" t="s">
        <v>36</v>
      </c>
      <c r="L240" s="193" t="s">
        <v>518</v>
      </c>
      <c r="M240" s="195" t="s">
        <v>101</v>
      </c>
      <c r="N240" s="195"/>
      <c r="O240" s="193" t="s">
        <v>56</v>
      </c>
      <c r="P240" s="195" t="s">
        <v>3765</v>
      </c>
      <c r="Q240" s="268" t="s">
        <v>4074</v>
      </c>
      <c r="R240" s="193" t="s">
        <v>46</v>
      </c>
      <c r="S240" s="295"/>
      <c r="T240" s="292"/>
    </row>
    <row r="241" ht="69.0" hidden="1" customHeight="1">
      <c r="A241" s="193">
        <v>240.0</v>
      </c>
      <c r="B241" s="291">
        <v>46208.0</v>
      </c>
      <c r="C241" s="292" t="s">
        <v>47</v>
      </c>
      <c r="D241" s="268" t="s">
        <v>92</v>
      </c>
      <c r="E241" s="298" t="s">
        <v>27</v>
      </c>
      <c r="F241" s="295">
        <v>5.32853919E8</v>
      </c>
      <c r="G241" s="195" t="s">
        <v>41</v>
      </c>
      <c r="H241" s="268" t="s">
        <v>5008</v>
      </c>
      <c r="I241" s="197" t="s">
        <v>5009</v>
      </c>
      <c r="J241" s="295"/>
      <c r="K241" s="268" t="s">
        <v>36</v>
      </c>
      <c r="L241" s="193" t="s">
        <v>3811</v>
      </c>
      <c r="M241" s="195" t="s">
        <v>98</v>
      </c>
      <c r="N241" s="195"/>
      <c r="O241" s="193" t="s">
        <v>40</v>
      </c>
      <c r="P241" s="195" t="s">
        <v>3997</v>
      </c>
      <c r="Q241" s="268" t="s">
        <v>4074</v>
      </c>
      <c r="R241" s="193" t="s">
        <v>46</v>
      </c>
      <c r="S241" s="298" t="s">
        <v>49</v>
      </c>
      <c r="T241" s="292"/>
    </row>
    <row r="242" ht="38.25" hidden="1" customHeight="1">
      <c r="A242" s="193">
        <v>241.0</v>
      </c>
      <c r="B242" s="291">
        <v>46208.0</v>
      </c>
      <c r="C242" s="292" t="s">
        <v>58</v>
      </c>
      <c r="D242" s="268" t="s">
        <v>60</v>
      </c>
      <c r="E242" s="193" t="s">
        <v>27</v>
      </c>
      <c r="F242" s="295">
        <v>5.01611962E8</v>
      </c>
      <c r="G242" s="268" t="s">
        <v>27</v>
      </c>
      <c r="H242" s="268" t="s">
        <v>27</v>
      </c>
      <c r="I242" s="294" t="s">
        <v>124</v>
      </c>
      <c r="J242" s="295"/>
      <c r="K242" s="268" t="s">
        <v>36</v>
      </c>
      <c r="L242" s="193"/>
      <c r="M242" s="303" t="s">
        <v>38</v>
      </c>
      <c r="N242" s="303"/>
      <c r="O242" s="193" t="s">
        <v>40</v>
      </c>
      <c r="P242" s="195"/>
      <c r="Q242" s="268" t="s">
        <v>4074</v>
      </c>
      <c r="R242" s="292" t="s">
        <v>68</v>
      </c>
      <c r="S242" s="295"/>
      <c r="T242" s="292"/>
    </row>
    <row r="243" hidden="1">
      <c r="A243" s="193">
        <v>242.0</v>
      </c>
      <c r="B243" s="291">
        <v>46208.0</v>
      </c>
      <c r="C243" s="292" t="s">
        <v>58</v>
      </c>
      <c r="D243" s="268" t="s">
        <v>60</v>
      </c>
      <c r="E243" s="193" t="s">
        <v>27</v>
      </c>
      <c r="F243" s="295">
        <v>5.57559086E8</v>
      </c>
      <c r="G243" s="268" t="s">
        <v>27</v>
      </c>
      <c r="H243" s="268" t="s">
        <v>27</v>
      </c>
      <c r="I243" s="294" t="s">
        <v>2483</v>
      </c>
      <c r="J243" s="295"/>
      <c r="K243" s="268" t="s">
        <v>36</v>
      </c>
      <c r="L243" s="193"/>
      <c r="M243" s="303" t="s">
        <v>88</v>
      </c>
      <c r="N243" s="303"/>
      <c r="O243" s="193" t="s">
        <v>40</v>
      </c>
      <c r="P243" s="195"/>
      <c r="Q243" s="268" t="s">
        <v>4074</v>
      </c>
      <c r="R243" s="292" t="s">
        <v>68</v>
      </c>
      <c r="S243" s="295"/>
      <c r="T243" s="292"/>
    </row>
    <row r="244" hidden="1">
      <c r="A244" s="193">
        <v>243.0</v>
      </c>
      <c r="B244" s="291">
        <v>46208.0</v>
      </c>
      <c r="C244" s="292" t="s">
        <v>58</v>
      </c>
      <c r="D244" s="268" t="s">
        <v>34</v>
      </c>
      <c r="E244" s="193" t="s">
        <v>27</v>
      </c>
      <c r="F244" s="309">
        <v>5.59454778E8</v>
      </c>
      <c r="G244" s="193" t="s">
        <v>27</v>
      </c>
      <c r="H244" s="268" t="s">
        <v>27</v>
      </c>
      <c r="I244" s="294" t="s">
        <v>5020</v>
      </c>
      <c r="J244" s="295"/>
      <c r="K244" s="268" t="s">
        <v>36</v>
      </c>
      <c r="L244" s="193"/>
      <c r="M244" s="303" t="s">
        <v>88</v>
      </c>
      <c r="N244" s="303"/>
      <c r="O244" s="193" t="s">
        <v>40</v>
      </c>
      <c r="P244" s="195"/>
      <c r="Q244" s="268" t="s">
        <v>4074</v>
      </c>
      <c r="R244" s="292" t="s">
        <v>68</v>
      </c>
      <c r="S244" s="295"/>
      <c r="T244" s="292"/>
    </row>
    <row r="245" hidden="1">
      <c r="A245" s="193">
        <v>244.0</v>
      </c>
      <c r="B245" s="291">
        <v>46208.0</v>
      </c>
      <c r="C245" s="292" t="s">
        <v>58</v>
      </c>
      <c r="D245" s="268" t="s">
        <v>34</v>
      </c>
      <c r="E245" s="193" t="s">
        <v>27</v>
      </c>
      <c r="F245" s="309">
        <v>5.59454778E8</v>
      </c>
      <c r="G245" s="193" t="s">
        <v>27</v>
      </c>
      <c r="H245" s="193" t="s">
        <v>27</v>
      </c>
      <c r="I245" s="294" t="s">
        <v>5020</v>
      </c>
      <c r="J245" s="295"/>
      <c r="K245" s="268" t="s">
        <v>36</v>
      </c>
      <c r="L245" s="193"/>
      <c r="M245" s="303" t="s">
        <v>88</v>
      </c>
      <c r="N245" s="303"/>
      <c r="O245" s="193" t="s">
        <v>40</v>
      </c>
      <c r="P245" s="195"/>
      <c r="Q245" s="268" t="s">
        <v>4074</v>
      </c>
      <c r="R245" s="292" t="s">
        <v>68</v>
      </c>
      <c r="S245" s="295"/>
      <c r="T245" s="292"/>
    </row>
    <row r="246" hidden="1">
      <c r="A246" s="193">
        <v>245.0</v>
      </c>
      <c r="B246" s="291">
        <v>46208.0</v>
      </c>
      <c r="C246" s="292" t="s">
        <v>58</v>
      </c>
      <c r="D246" s="268" t="s">
        <v>60</v>
      </c>
      <c r="E246" s="193" t="s">
        <v>27</v>
      </c>
      <c r="F246" s="309">
        <v>5.66242415E8</v>
      </c>
      <c r="G246" s="268" t="s">
        <v>27</v>
      </c>
      <c r="H246" s="268" t="s">
        <v>27</v>
      </c>
      <c r="I246" s="294" t="s">
        <v>124</v>
      </c>
      <c r="J246" s="295"/>
      <c r="K246" s="268" t="s">
        <v>36</v>
      </c>
      <c r="L246" s="193"/>
      <c r="M246" s="303" t="s">
        <v>38</v>
      </c>
      <c r="N246" s="303"/>
      <c r="O246" s="193" t="s">
        <v>40</v>
      </c>
      <c r="P246" s="195"/>
      <c r="Q246" s="268" t="s">
        <v>4074</v>
      </c>
      <c r="R246" s="292" t="s">
        <v>68</v>
      </c>
      <c r="S246" s="295"/>
      <c r="T246" s="292"/>
    </row>
    <row r="247" hidden="1">
      <c r="A247" s="193">
        <v>246.0</v>
      </c>
      <c r="B247" s="291">
        <v>46208.0</v>
      </c>
      <c r="C247" s="292" t="s">
        <v>58</v>
      </c>
      <c r="D247" s="268" t="s">
        <v>60</v>
      </c>
      <c r="E247" s="193" t="s">
        <v>27</v>
      </c>
      <c r="F247" s="309">
        <v>5.67218852E8</v>
      </c>
      <c r="G247" s="193" t="s">
        <v>27</v>
      </c>
      <c r="H247" s="193" t="s">
        <v>27</v>
      </c>
      <c r="I247" s="294" t="s">
        <v>124</v>
      </c>
      <c r="J247" s="295"/>
      <c r="K247" s="268" t="s">
        <v>36</v>
      </c>
      <c r="L247" s="193"/>
      <c r="M247" s="303" t="s">
        <v>38</v>
      </c>
      <c r="N247" s="303"/>
      <c r="O247" s="193" t="s">
        <v>40</v>
      </c>
      <c r="P247" s="195"/>
      <c r="Q247" s="268" t="s">
        <v>4074</v>
      </c>
      <c r="R247" s="292" t="s">
        <v>68</v>
      </c>
      <c r="S247" s="295"/>
      <c r="T247" s="292"/>
    </row>
    <row r="248" hidden="1">
      <c r="A248" s="193">
        <v>247.0</v>
      </c>
      <c r="B248" s="291">
        <v>46208.0</v>
      </c>
      <c r="C248" s="292" t="s">
        <v>21</v>
      </c>
      <c r="D248" s="268" t="s">
        <v>66</v>
      </c>
      <c r="E248" s="193" t="s">
        <v>27</v>
      </c>
      <c r="F248" s="309">
        <v>5.64720715E8</v>
      </c>
      <c r="G248" s="268" t="s">
        <v>27</v>
      </c>
      <c r="H248" s="268" t="s">
        <v>27</v>
      </c>
      <c r="I248" s="294" t="s">
        <v>5038</v>
      </c>
      <c r="J248" s="295"/>
      <c r="K248" s="268" t="s">
        <v>36</v>
      </c>
      <c r="L248" s="193"/>
      <c r="M248" s="303" t="s">
        <v>38</v>
      </c>
      <c r="N248" s="303"/>
      <c r="O248" s="193" t="s">
        <v>40</v>
      </c>
      <c r="P248" s="195"/>
      <c r="Q248" s="268" t="s">
        <v>4074</v>
      </c>
      <c r="R248" s="292" t="s">
        <v>68</v>
      </c>
      <c r="S248" s="295"/>
      <c r="T248" s="292"/>
    </row>
    <row r="249" hidden="1">
      <c r="A249" s="193">
        <v>248.0</v>
      </c>
      <c r="B249" s="291">
        <v>46208.0</v>
      </c>
      <c r="C249" s="292" t="s">
        <v>58</v>
      </c>
      <c r="D249" s="268" t="s">
        <v>60</v>
      </c>
      <c r="E249" s="193" t="s">
        <v>27</v>
      </c>
      <c r="F249" s="309">
        <v>5.60529242E8</v>
      </c>
      <c r="G249" s="268" t="s">
        <v>27</v>
      </c>
      <c r="H249" s="268" t="s">
        <v>27</v>
      </c>
      <c r="I249" s="294" t="s">
        <v>2483</v>
      </c>
      <c r="J249" s="295"/>
      <c r="K249" s="268" t="s">
        <v>36</v>
      </c>
      <c r="L249" s="193"/>
      <c r="M249" s="303" t="s">
        <v>88</v>
      </c>
      <c r="N249" s="303"/>
      <c r="O249" s="193" t="s">
        <v>40</v>
      </c>
      <c r="P249" s="195"/>
      <c r="Q249" s="268" t="s">
        <v>4074</v>
      </c>
      <c r="R249" s="292" t="s">
        <v>68</v>
      </c>
      <c r="S249" s="295"/>
      <c r="T249" s="292"/>
    </row>
    <row r="250" hidden="1">
      <c r="A250" s="193">
        <v>249.0</v>
      </c>
      <c r="B250" s="291">
        <v>46208.0</v>
      </c>
      <c r="C250" s="292" t="s">
        <v>58</v>
      </c>
      <c r="D250" s="268" t="s">
        <v>60</v>
      </c>
      <c r="E250" s="193" t="s">
        <v>27</v>
      </c>
      <c r="F250" s="309">
        <v>5.58489214E8</v>
      </c>
      <c r="G250" s="268" t="s">
        <v>27</v>
      </c>
      <c r="H250" s="268" t="s">
        <v>27</v>
      </c>
      <c r="I250" s="294" t="s">
        <v>124</v>
      </c>
      <c r="J250" s="295"/>
      <c r="K250" s="268" t="s">
        <v>36</v>
      </c>
      <c r="L250" s="193"/>
      <c r="M250" s="303" t="s">
        <v>38</v>
      </c>
      <c r="N250" s="303"/>
      <c r="O250" s="193" t="s">
        <v>40</v>
      </c>
      <c r="P250" s="195"/>
      <c r="Q250" s="268" t="s">
        <v>4074</v>
      </c>
      <c r="R250" s="292" t="s">
        <v>68</v>
      </c>
      <c r="S250" s="295"/>
      <c r="T250" s="292"/>
    </row>
    <row r="251" hidden="1">
      <c r="A251" s="193">
        <v>250.0</v>
      </c>
      <c r="B251" s="291">
        <v>46208.0</v>
      </c>
      <c r="C251" s="292" t="s">
        <v>58</v>
      </c>
      <c r="D251" s="268" t="s">
        <v>60</v>
      </c>
      <c r="E251" s="193" t="s">
        <v>27</v>
      </c>
      <c r="F251" s="309">
        <v>5.31334235E8</v>
      </c>
      <c r="G251" s="268" t="s">
        <v>27</v>
      </c>
      <c r="H251" s="268" t="s">
        <v>27</v>
      </c>
      <c r="I251" s="294" t="s">
        <v>5048</v>
      </c>
      <c r="J251" s="295"/>
      <c r="K251" s="268" t="s">
        <v>36</v>
      </c>
      <c r="L251" s="193"/>
      <c r="M251" s="303" t="s">
        <v>88</v>
      </c>
      <c r="N251" s="303"/>
      <c r="O251" s="193" t="s">
        <v>40</v>
      </c>
      <c r="P251" s="195"/>
      <c r="Q251" s="268" t="s">
        <v>4074</v>
      </c>
      <c r="R251" s="292" t="s">
        <v>68</v>
      </c>
      <c r="S251" s="295"/>
      <c r="T251" s="292"/>
    </row>
    <row r="252" hidden="1">
      <c r="A252" s="193">
        <v>251.0</v>
      </c>
      <c r="B252" s="291">
        <v>46208.0</v>
      </c>
      <c r="C252" s="292" t="s">
        <v>58</v>
      </c>
      <c r="D252" s="268" t="s">
        <v>60</v>
      </c>
      <c r="E252" s="193" t="s">
        <v>27</v>
      </c>
      <c r="F252" s="309">
        <v>5.57979875E8</v>
      </c>
      <c r="G252" s="268" t="s">
        <v>27</v>
      </c>
      <c r="H252" s="268" t="s">
        <v>27</v>
      </c>
      <c r="I252" s="294" t="s">
        <v>5053</v>
      </c>
      <c r="J252" s="295"/>
      <c r="K252" s="268" t="s">
        <v>36</v>
      </c>
      <c r="L252" s="193"/>
      <c r="M252" s="303" t="s">
        <v>88</v>
      </c>
      <c r="N252" s="303"/>
      <c r="O252" s="193" t="s">
        <v>40</v>
      </c>
      <c r="P252" s="195"/>
      <c r="Q252" s="268" t="s">
        <v>4074</v>
      </c>
      <c r="R252" s="292" t="s">
        <v>68</v>
      </c>
      <c r="S252" s="295"/>
      <c r="T252" s="292"/>
    </row>
    <row r="253" hidden="1">
      <c r="A253" s="193">
        <v>252.0</v>
      </c>
      <c r="B253" s="291">
        <v>46208.0</v>
      </c>
      <c r="C253" s="292" t="s">
        <v>58</v>
      </c>
      <c r="D253" s="268" t="s">
        <v>60</v>
      </c>
      <c r="E253" s="193" t="s">
        <v>27</v>
      </c>
      <c r="F253" s="309">
        <v>5.02575011E8</v>
      </c>
      <c r="G253" s="268" t="s">
        <v>27</v>
      </c>
      <c r="H253" s="268" t="s">
        <v>27</v>
      </c>
      <c r="I253" s="294" t="s">
        <v>124</v>
      </c>
      <c r="J253" s="295"/>
      <c r="K253" s="268" t="s">
        <v>36</v>
      </c>
      <c r="L253" s="193"/>
      <c r="M253" s="303" t="s">
        <v>38</v>
      </c>
      <c r="N253" s="303"/>
      <c r="O253" s="193" t="s">
        <v>40</v>
      </c>
      <c r="P253" s="195"/>
      <c r="Q253" s="268" t="s">
        <v>4074</v>
      </c>
      <c r="R253" s="292" t="s">
        <v>68</v>
      </c>
      <c r="S253" s="295"/>
      <c r="T253" s="292"/>
    </row>
    <row r="254" hidden="1">
      <c r="A254" s="193">
        <v>253.0</v>
      </c>
      <c r="B254" s="291">
        <v>46208.0</v>
      </c>
      <c r="C254" s="292" t="s">
        <v>58</v>
      </c>
      <c r="D254" s="268" t="s">
        <v>60</v>
      </c>
      <c r="E254" s="193" t="s">
        <v>27</v>
      </c>
      <c r="F254" s="309">
        <v>5.01874724E8</v>
      </c>
      <c r="G254" s="268" t="s">
        <v>27</v>
      </c>
      <c r="H254" s="268" t="s">
        <v>27</v>
      </c>
      <c r="I254" s="294" t="s">
        <v>124</v>
      </c>
      <c r="J254" s="295"/>
      <c r="K254" s="268" t="s">
        <v>36</v>
      </c>
      <c r="L254" s="193"/>
      <c r="M254" s="303" t="s">
        <v>38</v>
      </c>
      <c r="N254" s="303"/>
      <c r="O254" s="193" t="s">
        <v>40</v>
      </c>
      <c r="P254" s="195"/>
      <c r="Q254" s="268" t="s">
        <v>4074</v>
      </c>
      <c r="R254" s="292" t="s">
        <v>68</v>
      </c>
      <c r="S254" s="295"/>
      <c r="T254" s="292"/>
    </row>
    <row r="255" hidden="1">
      <c r="A255" s="193">
        <v>254.0</v>
      </c>
      <c r="B255" s="291">
        <v>46208.0</v>
      </c>
      <c r="C255" s="292" t="s">
        <v>47</v>
      </c>
      <c r="D255" s="193" t="s">
        <v>367</v>
      </c>
      <c r="E255" s="268" t="s">
        <v>27</v>
      </c>
      <c r="F255" s="309">
        <v>5.37779774E8</v>
      </c>
      <c r="G255" s="195" t="s">
        <v>79</v>
      </c>
      <c r="H255" s="268" t="s">
        <v>638</v>
      </c>
      <c r="I255" s="294" t="s">
        <v>5060</v>
      </c>
      <c r="J255" s="265" t="s">
        <v>5061</v>
      </c>
      <c r="K255" s="268" t="s">
        <v>36</v>
      </c>
      <c r="L255" s="193" t="s">
        <v>518</v>
      </c>
      <c r="M255" s="195" t="s">
        <v>5062</v>
      </c>
      <c r="N255" s="195"/>
      <c r="O255" s="193" t="s">
        <v>56</v>
      </c>
      <c r="P255" s="195" t="s">
        <v>3765</v>
      </c>
      <c r="Q255" s="268" t="s">
        <v>4074</v>
      </c>
      <c r="R255" s="193" t="s">
        <v>46</v>
      </c>
      <c r="S255" s="295"/>
      <c r="T255" s="292"/>
    </row>
    <row r="256" hidden="1">
      <c r="A256" s="193">
        <v>255.0</v>
      </c>
      <c r="B256" s="291">
        <v>46208.0</v>
      </c>
      <c r="C256" s="292" t="s">
        <v>58</v>
      </c>
      <c r="D256" s="268" t="s">
        <v>57</v>
      </c>
      <c r="E256" s="268" t="s">
        <v>27</v>
      </c>
      <c r="F256" s="309">
        <v>5.09115777E8</v>
      </c>
      <c r="G256" s="268" t="s">
        <v>27</v>
      </c>
      <c r="H256" s="268" t="s">
        <v>27</v>
      </c>
      <c r="I256" s="294" t="s">
        <v>5063</v>
      </c>
      <c r="J256" s="295"/>
      <c r="K256" s="268" t="s">
        <v>36</v>
      </c>
      <c r="L256" s="193"/>
      <c r="M256" s="303" t="s">
        <v>88</v>
      </c>
      <c r="N256" s="303"/>
      <c r="O256" s="193" t="s">
        <v>40</v>
      </c>
      <c r="P256" s="195"/>
      <c r="Q256" s="268" t="s">
        <v>4074</v>
      </c>
      <c r="R256" s="292" t="s">
        <v>68</v>
      </c>
      <c r="S256" s="295"/>
      <c r="T256" s="292"/>
    </row>
    <row r="257" hidden="1">
      <c r="A257" s="193">
        <v>256.0</v>
      </c>
      <c r="B257" s="291">
        <v>46208.0</v>
      </c>
      <c r="C257" s="292" t="s">
        <v>58</v>
      </c>
      <c r="D257" s="268" t="s">
        <v>60</v>
      </c>
      <c r="E257" s="193" t="s">
        <v>27</v>
      </c>
      <c r="F257" s="309">
        <v>5.39325896E8</v>
      </c>
      <c r="G257" s="268" t="s">
        <v>27</v>
      </c>
      <c r="H257" s="268" t="s">
        <v>27</v>
      </c>
      <c r="I257" s="294" t="s">
        <v>5066</v>
      </c>
      <c r="J257" s="295"/>
      <c r="K257" s="268" t="s">
        <v>36</v>
      </c>
      <c r="L257" s="193"/>
      <c r="M257" s="303" t="s">
        <v>88</v>
      </c>
      <c r="N257" s="303"/>
      <c r="O257" s="193" t="s">
        <v>40</v>
      </c>
      <c r="P257" s="195"/>
      <c r="Q257" s="268" t="s">
        <v>4074</v>
      </c>
      <c r="R257" s="292" t="s">
        <v>68</v>
      </c>
      <c r="S257" s="295"/>
      <c r="T257" s="292"/>
    </row>
    <row r="258" ht="72.75" hidden="1" customHeight="1">
      <c r="A258" s="193">
        <v>257.0</v>
      </c>
      <c r="B258" s="291">
        <v>46208.0</v>
      </c>
      <c r="C258" s="293" t="s">
        <v>47</v>
      </c>
      <c r="D258" s="268" t="s">
        <v>48</v>
      </c>
      <c r="E258" s="268" t="s">
        <v>5068</v>
      </c>
      <c r="F258" s="295">
        <v>5.56715348E8</v>
      </c>
      <c r="G258" s="195" t="s">
        <v>333</v>
      </c>
      <c r="H258" s="268" t="s">
        <v>650</v>
      </c>
      <c r="I258" s="179" t="s">
        <v>5071</v>
      </c>
      <c r="J258" s="303" t="s">
        <v>5072</v>
      </c>
      <c r="K258" s="268" t="s">
        <v>36</v>
      </c>
      <c r="L258" s="293" t="s">
        <v>42</v>
      </c>
      <c r="M258" s="303" t="s">
        <v>662</v>
      </c>
      <c r="N258" s="303"/>
      <c r="O258" s="193" t="s">
        <v>56</v>
      </c>
      <c r="P258" s="195"/>
      <c r="Q258" s="268" t="s">
        <v>4074</v>
      </c>
      <c r="R258" s="193" t="s">
        <v>46</v>
      </c>
      <c r="S258" s="295"/>
      <c r="T258" s="292"/>
    </row>
    <row r="259" hidden="1">
      <c r="A259" s="193">
        <v>258.0</v>
      </c>
      <c r="B259" s="312">
        <v>46208.0</v>
      </c>
      <c r="C259" s="292" t="s">
        <v>58</v>
      </c>
      <c r="D259" s="268" t="s">
        <v>60</v>
      </c>
      <c r="E259" s="193" t="s">
        <v>27</v>
      </c>
      <c r="F259" s="309">
        <v>5.385338E8</v>
      </c>
      <c r="G259" s="292" t="s">
        <v>27</v>
      </c>
      <c r="H259" s="292" t="s">
        <v>27</v>
      </c>
      <c r="I259" s="292" t="s">
        <v>5076</v>
      </c>
      <c r="J259" s="292"/>
      <c r="K259" s="268" t="s">
        <v>36</v>
      </c>
      <c r="L259" s="193"/>
      <c r="M259" s="303" t="s">
        <v>88</v>
      </c>
      <c r="N259" s="303"/>
      <c r="O259" s="193" t="s">
        <v>40</v>
      </c>
      <c r="P259" s="195"/>
      <c r="Q259" s="268" t="s">
        <v>4074</v>
      </c>
      <c r="R259" s="292" t="s">
        <v>68</v>
      </c>
      <c r="S259" s="295"/>
      <c r="T259" s="292"/>
    </row>
    <row r="260" hidden="1">
      <c r="A260" s="193">
        <v>259.0</v>
      </c>
      <c r="B260" s="312">
        <v>46209.0</v>
      </c>
      <c r="C260" s="292" t="s">
        <v>58</v>
      </c>
      <c r="D260" s="268" t="s">
        <v>60</v>
      </c>
      <c r="E260" s="193" t="s">
        <v>27</v>
      </c>
      <c r="F260" s="314">
        <v>5.524718E8</v>
      </c>
      <c r="G260" s="193" t="s">
        <v>27</v>
      </c>
      <c r="H260" s="193" t="s">
        <v>27</v>
      </c>
      <c r="I260" s="292" t="s">
        <v>5080</v>
      </c>
      <c r="J260" s="292"/>
      <c r="K260" s="268" t="s">
        <v>62</v>
      </c>
      <c r="L260" s="193"/>
      <c r="M260" s="303" t="s">
        <v>88</v>
      </c>
      <c r="N260" s="303"/>
      <c r="O260" s="193" t="s">
        <v>40</v>
      </c>
      <c r="P260" s="195"/>
      <c r="Q260" s="298" t="s">
        <v>44</v>
      </c>
      <c r="R260" s="292"/>
      <c r="S260" s="295"/>
      <c r="T260" s="292"/>
    </row>
    <row r="261" hidden="1">
      <c r="A261" s="193">
        <v>260.0</v>
      </c>
      <c r="B261" s="194">
        <v>46209.0</v>
      </c>
      <c r="C261" s="293" t="s">
        <v>21</v>
      </c>
      <c r="D261" s="193" t="s">
        <v>22</v>
      </c>
      <c r="E261" s="303" t="s">
        <v>5037</v>
      </c>
      <c r="F261" s="273">
        <v>5.75267061E8</v>
      </c>
      <c r="G261" s="195" t="s">
        <v>120</v>
      </c>
      <c r="H261" s="193" t="s">
        <v>27</v>
      </c>
      <c r="I261" s="303" t="s">
        <v>5084</v>
      </c>
      <c r="J261" s="292"/>
      <c r="K261" s="193" t="s">
        <v>62</v>
      </c>
      <c r="L261" s="193"/>
      <c r="M261" s="303" t="s">
        <v>38</v>
      </c>
      <c r="N261" s="303"/>
      <c r="O261" s="193" t="s">
        <v>40</v>
      </c>
      <c r="P261" s="195"/>
      <c r="Q261" s="193" t="s">
        <v>49</v>
      </c>
      <c r="R261" s="292"/>
      <c r="S261" s="295"/>
      <c r="T261" s="292"/>
    </row>
    <row r="262" hidden="1">
      <c r="A262" s="193">
        <v>261.0</v>
      </c>
      <c r="B262" s="194">
        <v>46209.0</v>
      </c>
      <c r="C262" s="293" t="s">
        <v>58</v>
      </c>
      <c r="D262" s="193" t="s">
        <v>57</v>
      </c>
      <c r="E262" s="268" t="s">
        <v>27</v>
      </c>
      <c r="F262" s="273">
        <v>5.06636623E8</v>
      </c>
      <c r="G262" s="193" t="s">
        <v>27</v>
      </c>
      <c r="H262" s="193" t="s">
        <v>27</v>
      </c>
      <c r="I262" s="303" t="s">
        <v>5087</v>
      </c>
      <c r="J262" s="303" t="s">
        <v>5088</v>
      </c>
      <c r="K262" s="193" t="s">
        <v>62</v>
      </c>
      <c r="L262" s="193"/>
      <c r="M262" s="303" t="s">
        <v>88</v>
      </c>
      <c r="N262" s="303"/>
      <c r="O262" s="193" t="s">
        <v>40</v>
      </c>
      <c r="P262" s="195"/>
      <c r="Q262" s="193" t="s">
        <v>49</v>
      </c>
      <c r="R262" s="292"/>
      <c r="S262" s="295"/>
      <c r="T262" s="292"/>
    </row>
    <row r="263" hidden="1">
      <c r="A263" s="193">
        <v>262.0</v>
      </c>
      <c r="B263" s="194">
        <v>46209.0</v>
      </c>
      <c r="C263" s="293" t="s">
        <v>21</v>
      </c>
      <c r="D263" s="193" t="s">
        <v>34</v>
      </c>
      <c r="E263" s="303" t="s">
        <v>5093</v>
      </c>
      <c r="F263" s="273">
        <v>5.67089009E8</v>
      </c>
      <c r="G263" s="193" t="s">
        <v>27</v>
      </c>
      <c r="H263" s="193" t="s">
        <v>27</v>
      </c>
      <c r="I263" s="303" t="s">
        <v>5094</v>
      </c>
      <c r="J263" s="292"/>
      <c r="K263" s="193" t="s">
        <v>62</v>
      </c>
      <c r="L263" s="193"/>
      <c r="M263" s="303" t="s">
        <v>38</v>
      </c>
      <c r="N263" s="303"/>
      <c r="O263" s="193" t="s">
        <v>40</v>
      </c>
      <c r="P263" s="195"/>
      <c r="Q263" s="193" t="s">
        <v>49</v>
      </c>
      <c r="R263" s="292"/>
      <c r="S263" s="295"/>
      <c r="T263" s="292"/>
    </row>
    <row r="264" hidden="1">
      <c r="A264" s="193">
        <v>263.0</v>
      </c>
      <c r="B264" s="194">
        <v>46209.0</v>
      </c>
      <c r="C264" s="293" t="s">
        <v>58</v>
      </c>
      <c r="D264" s="193" t="s">
        <v>34</v>
      </c>
      <c r="E264" s="293" t="s">
        <v>27</v>
      </c>
      <c r="F264" s="273">
        <v>5.65475743E8</v>
      </c>
      <c r="G264" s="193" t="s">
        <v>27</v>
      </c>
      <c r="H264" s="193" t="s">
        <v>27</v>
      </c>
      <c r="I264" s="303" t="s">
        <v>5100</v>
      </c>
      <c r="J264" s="292"/>
      <c r="K264" s="193" t="s">
        <v>62</v>
      </c>
      <c r="L264" s="193"/>
      <c r="M264" s="303" t="s">
        <v>88</v>
      </c>
      <c r="N264" s="303"/>
      <c r="O264" s="193" t="s">
        <v>40</v>
      </c>
      <c r="P264" s="195"/>
      <c r="Q264" s="193" t="s">
        <v>49</v>
      </c>
      <c r="R264" s="292"/>
      <c r="S264" s="295"/>
      <c r="T264" s="292"/>
    </row>
    <row r="265" hidden="1">
      <c r="A265" s="193">
        <v>264.0</v>
      </c>
      <c r="B265" s="194">
        <v>46209.0</v>
      </c>
      <c r="C265" s="293" t="s">
        <v>21</v>
      </c>
      <c r="D265" s="193" t="s">
        <v>22</v>
      </c>
      <c r="E265" s="303" t="s">
        <v>5102</v>
      </c>
      <c r="F265" s="273">
        <v>5.01090009E8</v>
      </c>
      <c r="G265" s="193" t="s">
        <v>27</v>
      </c>
      <c r="H265" s="193" t="s">
        <v>27</v>
      </c>
      <c r="I265" s="303" t="s">
        <v>5104</v>
      </c>
      <c r="J265" s="292"/>
      <c r="K265" s="193" t="s">
        <v>62</v>
      </c>
      <c r="L265" s="193"/>
      <c r="M265" s="303" t="s">
        <v>38</v>
      </c>
      <c r="N265" s="303"/>
      <c r="O265" s="193" t="s">
        <v>40</v>
      </c>
      <c r="P265" s="195"/>
      <c r="Q265" s="193" t="s">
        <v>49</v>
      </c>
      <c r="R265" s="292"/>
      <c r="S265" s="295"/>
      <c r="T265" s="292"/>
    </row>
    <row r="266" hidden="1">
      <c r="A266" s="193">
        <v>265.0</v>
      </c>
      <c r="B266" s="194">
        <v>46209.0</v>
      </c>
      <c r="C266" s="293" t="s">
        <v>21</v>
      </c>
      <c r="D266" s="193" t="s">
        <v>34</v>
      </c>
      <c r="E266" s="193" t="s">
        <v>27</v>
      </c>
      <c r="F266" s="273">
        <v>5.08473483E8</v>
      </c>
      <c r="G266" s="193" t="s">
        <v>27</v>
      </c>
      <c r="H266" s="193" t="s">
        <v>27</v>
      </c>
      <c r="I266" s="303" t="s">
        <v>5107</v>
      </c>
      <c r="J266" s="292"/>
      <c r="K266" s="193" t="s">
        <v>62</v>
      </c>
      <c r="L266" s="193"/>
      <c r="M266" s="303" t="s">
        <v>51</v>
      </c>
      <c r="N266" s="303"/>
      <c r="O266" s="193" t="s">
        <v>40</v>
      </c>
      <c r="P266" s="195"/>
      <c r="Q266" s="193" t="s">
        <v>49</v>
      </c>
      <c r="R266" s="292"/>
      <c r="S266" s="295"/>
      <c r="T266" s="292"/>
    </row>
    <row r="267" hidden="1">
      <c r="A267" s="193">
        <v>266.0</v>
      </c>
      <c r="B267" s="194">
        <v>46209.0</v>
      </c>
      <c r="C267" s="293" t="s">
        <v>21</v>
      </c>
      <c r="D267" s="193" t="s">
        <v>34</v>
      </c>
      <c r="E267" s="193" t="s">
        <v>27</v>
      </c>
      <c r="F267" s="273">
        <v>5.66233078E8</v>
      </c>
      <c r="G267" s="193" t="s">
        <v>27</v>
      </c>
      <c r="H267" s="193" t="s">
        <v>27</v>
      </c>
      <c r="I267" s="303" t="s">
        <v>5107</v>
      </c>
      <c r="J267" s="292"/>
      <c r="K267" s="193" t="s">
        <v>62</v>
      </c>
      <c r="L267" s="193"/>
      <c r="M267" s="303" t="s">
        <v>51</v>
      </c>
      <c r="N267" s="303"/>
      <c r="O267" s="193" t="s">
        <v>40</v>
      </c>
      <c r="P267" s="195"/>
      <c r="Q267" s="193" t="s">
        <v>49</v>
      </c>
      <c r="R267" s="292"/>
      <c r="S267" s="295"/>
      <c r="T267" s="292"/>
    </row>
    <row r="268" hidden="1">
      <c r="A268" s="193">
        <v>267.0</v>
      </c>
      <c r="B268" s="194">
        <v>46209.0</v>
      </c>
      <c r="C268" s="293" t="s">
        <v>58</v>
      </c>
      <c r="D268" s="193" t="s">
        <v>60</v>
      </c>
      <c r="E268" s="193" t="s">
        <v>27</v>
      </c>
      <c r="F268" s="273">
        <v>5.51280914E8</v>
      </c>
      <c r="G268" s="193" t="s">
        <v>27</v>
      </c>
      <c r="H268" s="193" t="s">
        <v>27</v>
      </c>
      <c r="I268" s="303" t="s">
        <v>3673</v>
      </c>
      <c r="J268" s="292"/>
      <c r="K268" s="193" t="s">
        <v>62</v>
      </c>
      <c r="L268" s="193"/>
      <c r="M268" s="303" t="s">
        <v>88</v>
      </c>
      <c r="N268" s="303"/>
      <c r="O268" s="193" t="s">
        <v>40</v>
      </c>
      <c r="P268" s="195"/>
      <c r="Q268" s="193" t="s">
        <v>49</v>
      </c>
      <c r="R268" s="193"/>
      <c r="S268" s="295"/>
      <c r="T268" s="292"/>
    </row>
    <row r="269" hidden="1">
      <c r="A269" s="193">
        <v>268.0</v>
      </c>
      <c r="B269" s="312">
        <v>46209.0</v>
      </c>
      <c r="C269" s="292" t="s">
        <v>58</v>
      </c>
      <c r="D269" s="268" t="s">
        <v>60</v>
      </c>
      <c r="E269" s="292" t="s">
        <v>27</v>
      </c>
      <c r="F269" s="309">
        <v>5.62460756E8</v>
      </c>
      <c r="G269" s="292" t="s">
        <v>27</v>
      </c>
      <c r="H269" s="292" t="s">
        <v>27</v>
      </c>
      <c r="I269" s="292" t="s">
        <v>5116</v>
      </c>
      <c r="J269" s="292"/>
      <c r="K269" s="268" t="s">
        <v>36</v>
      </c>
      <c r="L269" s="193"/>
      <c r="M269" s="303" t="s">
        <v>88</v>
      </c>
      <c r="N269" s="303"/>
      <c r="O269" s="193" t="s">
        <v>40</v>
      </c>
      <c r="P269" s="195"/>
      <c r="Q269" s="268" t="s">
        <v>4074</v>
      </c>
      <c r="R269" s="292" t="s">
        <v>68</v>
      </c>
      <c r="S269" s="295"/>
      <c r="T269" s="292"/>
    </row>
    <row r="270" hidden="1">
      <c r="A270" s="193">
        <v>269.0</v>
      </c>
      <c r="B270" s="312">
        <v>46209.0</v>
      </c>
      <c r="C270" s="292" t="s">
        <v>47</v>
      </c>
      <c r="D270" s="193" t="s">
        <v>48</v>
      </c>
      <c r="E270" s="292" t="s">
        <v>5117</v>
      </c>
      <c r="F270" s="309" t="s">
        <v>27</v>
      </c>
      <c r="G270" s="195" t="s">
        <v>41</v>
      </c>
      <c r="H270" s="295" t="s">
        <v>4808</v>
      </c>
      <c r="I270" s="295" t="s">
        <v>5118</v>
      </c>
      <c r="J270" s="292"/>
      <c r="K270" s="268" t="s">
        <v>78</v>
      </c>
      <c r="L270" s="193" t="s">
        <v>518</v>
      </c>
      <c r="M270" s="265" t="s">
        <v>101</v>
      </c>
      <c r="N270" s="265"/>
      <c r="O270" s="193" t="s">
        <v>40</v>
      </c>
      <c r="P270" s="195" t="s">
        <v>3765</v>
      </c>
      <c r="Q270" s="268" t="s">
        <v>4074</v>
      </c>
      <c r="R270" s="193" t="s">
        <v>46</v>
      </c>
      <c r="S270" s="295"/>
      <c r="T270" s="292"/>
    </row>
    <row r="271" hidden="1">
      <c r="A271" s="193">
        <v>270.0</v>
      </c>
      <c r="B271" s="312">
        <v>46209.0</v>
      </c>
      <c r="C271" s="292" t="s">
        <v>47</v>
      </c>
      <c r="D271" s="193" t="s">
        <v>48</v>
      </c>
      <c r="E271" s="292" t="s">
        <v>27</v>
      </c>
      <c r="F271" s="309" t="s">
        <v>27</v>
      </c>
      <c r="G271" s="295" t="s">
        <v>152</v>
      </c>
      <c r="H271" s="295" t="s">
        <v>272</v>
      </c>
      <c r="I271" s="220" t="s">
        <v>5123</v>
      </c>
      <c r="J271" s="292"/>
      <c r="K271" s="268" t="s">
        <v>78</v>
      </c>
      <c r="L271" s="193" t="s">
        <v>42</v>
      </c>
      <c r="M271" s="195" t="s">
        <v>3355</v>
      </c>
      <c r="N271" s="195"/>
      <c r="O271" s="193" t="s">
        <v>40</v>
      </c>
      <c r="P271" s="193"/>
      <c r="Q271" s="268" t="s">
        <v>4074</v>
      </c>
      <c r="R271" s="193" t="s">
        <v>46</v>
      </c>
      <c r="S271" s="295"/>
      <c r="T271" s="292"/>
    </row>
    <row r="272" hidden="1">
      <c r="A272" s="193">
        <v>271.0</v>
      </c>
      <c r="B272" s="312">
        <v>46209.0</v>
      </c>
      <c r="C272" s="292" t="s">
        <v>47</v>
      </c>
      <c r="D272" s="193" t="s">
        <v>48</v>
      </c>
      <c r="E272" s="292" t="s">
        <v>27</v>
      </c>
      <c r="F272" s="309" t="s">
        <v>27</v>
      </c>
      <c r="G272" s="292" t="s">
        <v>2715</v>
      </c>
      <c r="H272" s="292" t="s">
        <v>2716</v>
      </c>
      <c r="I272" s="220" t="s">
        <v>5127</v>
      </c>
      <c r="J272" s="292"/>
      <c r="K272" s="268" t="s">
        <v>78</v>
      </c>
      <c r="L272" s="193" t="s">
        <v>518</v>
      </c>
      <c r="M272" s="265" t="s">
        <v>101</v>
      </c>
      <c r="N272" s="265"/>
      <c r="O272" s="193" t="s">
        <v>40</v>
      </c>
      <c r="P272" s="195" t="s">
        <v>3765</v>
      </c>
      <c r="Q272" s="268" t="s">
        <v>4074</v>
      </c>
      <c r="R272" s="193" t="s">
        <v>46</v>
      </c>
      <c r="S272" s="295"/>
      <c r="T272" s="292"/>
    </row>
    <row r="273" hidden="1">
      <c r="A273" s="193">
        <v>272.0</v>
      </c>
      <c r="B273" s="312">
        <v>46209.0</v>
      </c>
      <c r="C273" s="292" t="s">
        <v>47</v>
      </c>
      <c r="D273" s="193" t="s">
        <v>48</v>
      </c>
      <c r="E273" s="292" t="s">
        <v>2670</v>
      </c>
      <c r="F273" s="309" t="s">
        <v>27</v>
      </c>
      <c r="G273" s="195" t="s">
        <v>79</v>
      </c>
      <c r="H273" s="292" t="s">
        <v>5130</v>
      </c>
      <c r="I273" s="294" t="s">
        <v>5131</v>
      </c>
      <c r="J273" s="292"/>
      <c r="K273" s="268" t="s">
        <v>78</v>
      </c>
      <c r="L273" s="293" t="s">
        <v>42</v>
      </c>
      <c r="M273" s="195" t="s">
        <v>5132</v>
      </c>
      <c r="N273" s="195"/>
      <c r="O273" s="193" t="s">
        <v>40</v>
      </c>
      <c r="P273" s="195" t="s">
        <v>3765</v>
      </c>
      <c r="Q273" s="268" t="s">
        <v>4074</v>
      </c>
      <c r="R273" s="193" t="s">
        <v>46</v>
      </c>
      <c r="S273" s="295"/>
      <c r="T273" s="292"/>
    </row>
    <row r="274" ht="96.0" hidden="1" customHeight="1">
      <c r="A274" s="193">
        <v>273.0</v>
      </c>
      <c r="B274" s="312">
        <v>46209.0</v>
      </c>
      <c r="C274" s="292" t="s">
        <v>47</v>
      </c>
      <c r="D274" s="268" t="s">
        <v>48</v>
      </c>
      <c r="E274" s="292" t="s">
        <v>5137</v>
      </c>
      <c r="F274" s="309">
        <v>5.03450959E8</v>
      </c>
      <c r="G274" s="295" t="s">
        <v>152</v>
      </c>
      <c r="H274" s="268" t="s">
        <v>272</v>
      </c>
      <c r="I274" s="302" t="s">
        <v>5138</v>
      </c>
      <c r="J274" s="292"/>
      <c r="K274" s="268" t="s">
        <v>36</v>
      </c>
      <c r="L274" s="193" t="s">
        <v>42</v>
      </c>
      <c r="M274" s="195" t="s">
        <v>3355</v>
      </c>
      <c r="N274" s="195"/>
      <c r="O274" s="193" t="s">
        <v>40</v>
      </c>
      <c r="P274" s="195" t="s">
        <v>3566</v>
      </c>
      <c r="Q274" s="268" t="s">
        <v>4074</v>
      </c>
      <c r="R274" s="193" t="s">
        <v>46</v>
      </c>
      <c r="S274" s="295" t="s">
        <v>49</v>
      </c>
      <c r="T274" s="292"/>
    </row>
    <row r="275" ht="53.25" hidden="1" customHeight="1">
      <c r="A275" s="193">
        <v>274.0</v>
      </c>
      <c r="B275" s="312">
        <v>46209.0</v>
      </c>
      <c r="C275" s="292" t="s">
        <v>47</v>
      </c>
      <c r="D275" s="268" t="s">
        <v>48</v>
      </c>
      <c r="E275" s="292" t="s">
        <v>5142</v>
      </c>
      <c r="F275" s="309">
        <v>5.08557785E8</v>
      </c>
      <c r="G275" s="292" t="s">
        <v>2715</v>
      </c>
      <c r="H275" s="268" t="s">
        <v>2716</v>
      </c>
      <c r="I275" s="295" t="s">
        <v>5144</v>
      </c>
      <c r="J275" s="303" t="s">
        <v>5145</v>
      </c>
      <c r="K275" s="268" t="s">
        <v>36</v>
      </c>
      <c r="L275" s="193" t="s">
        <v>518</v>
      </c>
      <c r="M275" s="265" t="s">
        <v>101</v>
      </c>
      <c r="N275" s="265"/>
      <c r="O275" s="193" t="s">
        <v>56</v>
      </c>
      <c r="P275" s="195" t="s">
        <v>3765</v>
      </c>
      <c r="Q275" s="268" t="s">
        <v>4074</v>
      </c>
      <c r="R275" s="193" t="s">
        <v>46</v>
      </c>
      <c r="S275" s="295" t="s">
        <v>4074</v>
      </c>
      <c r="T275" s="292"/>
    </row>
    <row r="276" hidden="1">
      <c r="A276" s="193">
        <v>275.0</v>
      </c>
      <c r="B276" s="312">
        <v>46209.0</v>
      </c>
      <c r="C276" s="292" t="s">
        <v>58</v>
      </c>
      <c r="D276" s="268" t="s">
        <v>60</v>
      </c>
      <c r="E276" s="292" t="s">
        <v>27</v>
      </c>
      <c r="F276" s="309">
        <v>5.31356634E8</v>
      </c>
      <c r="G276" s="292" t="s">
        <v>27</v>
      </c>
      <c r="H276" s="292" t="s">
        <v>27</v>
      </c>
      <c r="I276" s="292" t="s">
        <v>5148</v>
      </c>
      <c r="J276" s="292"/>
      <c r="K276" s="268" t="s">
        <v>36</v>
      </c>
      <c r="L276" s="193"/>
      <c r="M276" s="303" t="s">
        <v>88</v>
      </c>
      <c r="N276" s="303"/>
      <c r="O276" s="193" t="s">
        <v>40</v>
      </c>
      <c r="P276" s="195"/>
      <c r="Q276" s="268" t="s">
        <v>4074</v>
      </c>
      <c r="R276" s="292" t="s">
        <v>68</v>
      </c>
      <c r="S276" s="295"/>
      <c r="T276" s="292"/>
    </row>
    <row r="277" hidden="1">
      <c r="A277" s="193">
        <v>276.0</v>
      </c>
      <c r="B277" s="312">
        <v>46209.0</v>
      </c>
      <c r="C277" s="292" t="s">
        <v>21</v>
      </c>
      <c r="D277" s="268" t="s">
        <v>22</v>
      </c>
      <c r="E277" s="292" t="s">
        <v>584</v>
      </c>
      <c r="F277" s="309">
        <v>5.01102851E8</v>
      </c>
      <c r="G277" s="195" t="s">
        <v>71</v>
      </c>
      <c r="H277" s="292" t="s">
        <v>27</v>
      </c>
      <c r="I277" s="292" t="s">
        <v>5150</v>
      </c>
      <c r="J277" s="292"/>
      <c r="K277" s="268" t="s">
        <v>36</v>
      </c>
      <c r="L277" s="193"/>
      <c r="M277" s="303" t="s">
        <v>38</v>
      </c>
      <c r="N277" s="303"/>
      <c r="O277" s="193" t="s">
        <v>40</v>
      </c>
      <c r="P277" s="195"/>
      <c r="Q277" s="268" t="s">
        <v>4074</v>
      </c>
      <c r="R277" s="292" t="s">
        <v>68</v>
      </c>
      <c r="S277" s="295"/>
      <c r="T277" s="292"/>
    </row>
    <row r="278" hidden="1">
      <c r="A278" s="193">
        <v>277.0</v>
      </c>
      <c r="B278" s="312">
        <v>46209.0</v>
      </c>
      <c r="C278" s="292" t="s">
        <v>21</v>
      </c>
      <c r="D278" s="268" t="s">
        <v>24</v>
      </c>
      <c r="E278" s="292" t="s">
        <v>184</v>
      </c>
      <c r="F278" s="309">
        <v>5.54518971E8</v>
      </c>
      <c r="G278" s="292" t="s">
        <v>1452</v>
      </c>
      <c r="H278" s="292" t="s">
        <v>27</v>
      </c>
      <c r="I278" s="292" t="s">
        <v>5155</v>
      </c>
      <c r="J278" s="292"/>
      <c r="K278" s="268" t="s">
        <v>36</v>
      </c>
      <c r="L278" s="193"/>
      <c r="M278" s="303" t="s">
        <v>38</v>
      </c>
      <c r="N278" s="303"/>
      <c r="O278" s="193" t="s">
        <v>40</v>
      </c>
      <c r="P278" s="195"/>
      <c r="Q278" s="268" t="s">
        <v>4074</v>
      </c>
      <c r="R278" s="292" t="s">
        <v>68</v>
      </c>
      <c r="S278" s="295"/>
      <c r="T278" s="292"/>
    </row>
    <row r="279" hidden="1">
      <c r="A279" s="193">
        <v>278.0</v>
      </c>
      <c r="B279" s="312">
        <v>46209.0</v>
      </c>
      <c r="C279" s="292" t="s">
        <v>21</v>
      </c>
      <c r="D279" s="268" t="s">
        <v>24</v>
      </c>
      <c r="E279" s="292" t="s">
        <v>2670</v>
      </c>
      <c r="F279" s="309">
        <v>5.59297567E8</v>
      </c>
      <c r="G279" s="292" t="s">
        <v>120</v>
      </c>
      <c r="H279" s="292" t="s">
        <v>27</v>
      </c>
      <c r="I279" s="292" t="s">
        <v>5158</v>
      </c>
      <c r="J279" s="292"/>
      <c r="K279" s="268" t="s">
        <v>36</v>
      </c>
      <c r="L279" s="193"/>
      <c r="M279" s="303" t="s">
        <v>38</v>
      </c>
      <c r="N279" s="303"/>
      <c r="O279" s="193" t="s">
        <v>40</v>
      </c>
      <c r="P279" s="195"/>
      <c r="Q279" s="268" t="s">
        <v>4074</v>
      </c>
      <c r="R279" s="292" t="s">
        <v>68</v>
      </c>
      <c r="S279" s="295"/>
      <c r="T279" s="292"/>
    </row>
    <row r="280" hidden="1">
      <c r="A280" s="193">
        <v>279.0</v>
      </c>
      <c r="B280" s="312">
        <v>46209.0</v>
      </c>
      <c r="C280" s="292" t="s">
        <v>58</v>
      </c>
      <c r="D280" s="268" t="s">
        <v>24</v>
      </c>
      <c r="E280" s="292" t="s">
        <v>4623</v>
      </c>
      <c r="F280" s="309">
        <v>5.78994357E8</v>
      </c>
      <c r="G280" s="292" t="s">
        <v>152</v>
      </c>
      <c r="H280" s="193" t="s">
        <v>27</v>
      </c>
      <c r="I280" s="292" t="s">
        <v>5162</v>
      </c>
      <c r="J280" s="292"/>
      <c r="K280" s="268" t="s">
        <v>36</v>
      </c>
      <c r="L280" s="193"/>
      <c r="M280" s="303" t="s">
        <v>88</v>
      </c>
      <c r="N280" s="303"/>
      <c r="O280" s="193" t="s">
        <v>40</v>
      </c>
      <c r="P280" s="195"/>
      <c r="Q280" s="268" t="s">
        <v>4074</v>
      </c>
      <c r="R280" s="292" t="s">
        <v>68</v>
      </c>
      <c r="S280" s="295"/>
      <c r="T280" s="292"/>
    </row>
    <row r="281" hidden="1">
      <c r="A281" s="193">
        <v>280.0</v>
      </c>
      <c r="B281" s="312">
        <v>46209.0</v>
      </c>
      <c r="C281" s="292" t="s">
        <v>21</v>
      </c>
      <c r="D281" s="268" t="s">
        <v>24</v>
      </c>
      <c r="E281" s="292" t="s">
        <v>463</v>
      </c>
      <c r="F281" s="309">
        <v>5.40222246E8</v>
      </c>
      <c r="G281" s="195" t="s">
        <v>71</v>
      </c>
      <c r="H281" s="292" t="s">
        <v>27</v>
      </c>
      <c r="I281" s="292" t="s">
        <v>5163</v>
      </c>
      <c r="J281" s="292"/>
      <c r="K281" s="268" t="s">
        <v>36</v>
      </c>
      <c r="L281" s="193"/>
      <c r="M281" s="303" t="s">
        <v>38</v>
      </c>
      <c r="N281" s="303"/>
      <c r="O281" s="193" t="s">
        <v>40</v>
      </c>
      <c r="P281" s="195"/>
      <c r="Q281" s="268" t="s">
        <v>4074</v>
      </c>
      <c r="R281" s="292" t="s">
        <v>68</v>
      </c>
      <c r="S281" s="295"/>
      <c r="T281" s="292"/>
    </row>
    <row r="282" hidden="1">
      <c r="A282" s="193">
        <v>281.0</v>
      </c>
      <c r="B282" s="312">
        <v>46209.0</v>
      </c>
      <c r="C282" s="292" t="s">
        <v>47</v>
      </c>
      <c r="D282" s="268" t="s">
        <v>24</v>
      </c>
      <c r="E282" s="292" t="s">
        <v>5166</v>
      </c>
      <c r="F282" s="309">
        <v>5.01616136E8</v>
      </c>
      <c r="G282" s="292" t="s">
        <v>1318</v>
      </c>
      <c r="H282" s="292" t="s">
        <v>27</v>
      </c>
      <c r="I282" s="295" t="s">
        <v>5167</v>
      </c>
      <c r="J282" s="303" t="s">
        <v>5169</v>
      </c>
      <c r="K282" s="268" t="s">
        <v>36</v>
      </c>
      <c r="L282" s="193"/>
      <c r="M282" s="303" t="s">
        <v>55</v>
      </c>
      <c r="N282" s="303"/>
      <c r="O282" s="193" t="s">
        <v>40</v>
      </c>
      <c r="P282" s="195"/>
      <c r="Q282" s="268" t="s">
        <v>49</v>
      </c>
      <c r="R282" s="292" t="s">
        <v>68</v>
      </c>
      <c r="S282" s="295"/>
      <c r="T282" s="292"/>
    </row>
    <row r="283" ht="35.25" hidden="1" customHeight="1">
      <c r="A283" s="193">
        <v>282.0</v>
      </c>
      <c r="B283" s="312">
        <v>46209.0</v>
      </c>
      <c r="C283" s="292" t="s">
        <v>58</v>
      </c>
      <c r="D283" s="268" t="s">
        <v>60</v>
      </c>
      <c r="E283" s="292" t="s">
        <v>27</v>
      </c>
      <c r="F283" s="309">
        <v>5.47597551E8</v>
      </c>
      <c r="G283" s="292" t="s">
        <v>152</v>
      </c>
      <c r="H283" s="292" t="s">
        <v>27</v>
      </c>
      <c r="I283" s="292" t="s">
        <v>5173</v>
      </c>
      <c r="J283" s="292"/>
      <c r="K283" s="268" t="s">
        <v>36</v>
      </c>
      <c r="L283" s="193"/>
      <c r="M283" s="303" t="s">
        <v>88</v>
      </c>
      <c r="N283" s="303"/>
      <c r="O283" s="193" t="s">
        <v>40</v>
      </c>
      <c r="P283" s="195"/>
      <c r="Q283" s="268" t="s">
        <v>4074</v>
      </c>
      <c r="R283" s="292" t="s">
        <v>68</v>
      </c>
      <c r="S283" s="295"/>
      <c r="T283" s="292"/>
    </row>
    <row r="284" ht="105.75" hidden="1" customHeight="1">
      <c r="A284" s="193">
        <v>283.0</v>
      </c>
      <c r="B284" s="319">
        <v>46210.0</v>
      </c>
      <c r="C284" s="293" t="s">
        <v>47</v>
      </c>
      <c r="D284" s="193" t="s">
        <v>138</v>
      </c>
      <c r="E284" s="303" t="s">
        <v>5176</v>
      </c>
      <c r="F284" s="320">
        <v>5.00540834E8</v>
      </c>
      <c r="G284" s="195" t="s">
        <v>79</v>
      </c>
      <c r="H284" s="293" t="s">
        <v>178</v>
      </c>
      <c r="I284" s="303" t="s">
        <v>5177</v>
      </c>
      <c r="J284" s="303" t="s">
        <v>5178</v>
      </c>
      <c r="K284" s="193" t="s">
        <v>148</v>
      </c>
      <c r="L284" s="193" t="s">
        <v>518</v>
      </c>
      <c r="M284" s="195" t="s">
        <v>183</v>
      </c>
      <c r="N284" s="195"/>
      <c r="O284" s="193" t="s">
        <v>56</v>
      </c>
      <c r="P284" s="195" t="s">
        <v>3765</v>
      </c>
      <c r="Q284" s="193" t="s">
        <v>49</v>
      </c>
      <c r="R284" s="193" t="s">
        <v>46</v>
      </c>
      <c r="S284" s="295"/>
      <c r="T284" s="292"/>
    </row>
    <row r="285" ht="210.75" hidden="1" customHeight="1">
      <c r="A285" s="193">
        <v>284.0</v>
      </c>
      <c r="B285" s="319">
        <v>46210.0</v>
      </c>
      <c r="C285" s="293" t="s">
        <v>47</v>
      </c>
      <c r="D285" s="193" t="s">
        <v>138</v>
      </c>
      <c r="E285" s="293" t="s">
        <v>2770</v>
      </c>
      <c r="F285" s="320">
        <v>5.54547028E8</v>
      </c>
      <c r="G285" s="195" t="s">
        <v>79</v>
      </c>
      <c r="H285" s="293" t="s">
        <v>638</v>
      </c>
      <c r="I285" s="303" t="s">
        <v>5180</v>
      </c>
      <c r="J285" s="292"/>
      <c r="K285" s="193" t="s">
        <v>148</v>
      </c>
      <c r="L285" s="193" t="s">
        <v>518</v>
      </c>
      <c r="M285" s="195" t="s">
        <v>713</v>
      </c>
      <c r="N285" s="195"/>
      <c r="O285" s="193" t="s">
        <v>40</v>
      </c>
      <c r="P285" s="195" t="s">
        <v>3765</v>
      </c>
      <c r="Q285" s="193" t="s">
        <v>49</v>
      </c>
      <c r="R285" s="293" t="s">
        <v>46</v>
      </c>
      <c r="S285" s="295"/>
      <c r="T285" s="292"/>
    </row>
    <row r="286" ht="33.0" hidden="1" customHeight="1">
      <c r="A286" s="193">
        <v>285.0</v>
      </c>
      <c r="B286" s="319">
        <v>46210.0</v>
      </c>
      <c r="C286" s="293" t="s">
        <v>47</v>
      </c>
      <c r="D286" s="193" t="s">
        <v>138</v>
      </c>
      <c r="E286" s="303" t="s">
        <v>190</v>
      </c>
      <c r="F286" s="320">
        <v>5.30025142E8</v>
      </c>
      <c r="G286" s="195" t="s">
        <v>79</v>
      </c>
      <c r="H286" s="293" t="s">
        <v>142</v>
      </c>
      <c r="I286" s="265" t="s">
        <v>5184</v>
      </c>
      <c r="J286" s="292"/>
      <c r="K286" s="193" t="s">
        <v>148</v>
      </c>
      <c r="L286" s="293" t="s">
        <v>518</v>
      </c>
      <c r="M286" s="195" t="s">
        <v>183</v>
      </c>
      <c r="N286" s="195"/>
      <c r="O286" s="193" t="s">
        <v>40</v>
      </c>
      <c r="P286" s="195" t="s">
        <v>3765</v>
      </c>
      <c r="Q286" s="193" t="s">
        <v>49</v>
      </c>
      <c r="R286" s="193" t="s">
        <v>46</v>
      </c>
      <c r="S286" s="295"/>
      <c r="T286" s="292"/>
    </row>
    <row r="287" ht="27.0" hidden="1" customHeight="1">
      <c r="A287" s="193">
        <v>286.0</v>
      </c>
      <c r="B287" s="319">
        <v>46210.0</v>
      </c>
      <c r="C287" s="293" t="s">
        <v>47</v>
      </c>
      <c r="D287" s="193" t="s">
        <v>138</v>
      </c>
      <c r="E287" s="303" t="s">
        <v>5185</v>
      </c>
      <c r="F287" s="320">
        <v>5.6778899E8</v>
      </c>
      <c r="G287" s="195" t="s">
        <v>79</v>
      </c>
      <c r="H287" s="293" t="s">
        <v>142</v>
      </c>
      <c r="I287" s="303" t="s">
        <v>5187</v>
      </c>
      <c r="J287" s="303" t="s">
        <v>5188</v>
      </c>
      <c r="K287" s="193" t="s">
        <v>148</v>
      </c>
      <c r="L287" s="193"/>
      <c r="M287" s="195" t="s">
        <v>150</v>
      </c>
      <c r="N287" s="195"/>
      <c r="O287" s="193" t="s">
        <v>56</v>
      </c>
      <c r="P287" s="195" t="s">
        <v>3765</v>
      </c>
      <c r="Q287" s="193" t="s">
        <v>49</v>
      </c>
      <c r="R287" s="293" t="s">
        <v>46</v>
      </c>
      <c r="S287" s="295"/>
      <c r="T287" s="292"/>
    </row>
    <row r="288" ht="35.25" hidden="1" customHeight="1">
      <c r="A288" s="193">
        <v>287.0</v>
      </c>
      <c r="B288" s="319">
        <v>46210.0</v>
      </c>
      <c r="C288" s="293" t="s">
        <v>47</v>
      </c>
      <c r="D288" s="193" t="s">
        <v>138</v>
      </c>
      <c r="E288" s="303" t="s">
        <v>5191</v>
      </c>
      <c r="F288" s="320">
        <v>5.5122531E8</v>
      </c>
      <c r="G288" s="195" t="s">
        <v>79</v>
      </c>
      <c r="H288" s="293" t="s">
        <v>638</v>
      </c>
      <c r="I288" s="303" t="s">
        <v>5193</v>
      </c>
      <c r="J288" s="303" t="s">
        <v>5188</v>
      </c>
      <c r="K288" s="193" t="s">
        <v>148</v>
      </c>
      <c r="L288" s="193"/>
      <c r="M288" s="195" t="s">
        <v>150</v>
      </c>
      <c r="N288" s="195"/>
      <c r="O288" s="193" t="s">
        <v>56</v>
      </c>
      <c r="P288" s="195" t="s">
        <v>3765</v>
      </c>
      <c r="Q288" s="193" t="s">
        <v>49</v>
      </c>
      <c r="R288" s="293" t="s">
        <v>46</v>
      </c>
      <c r="S288" s="295"/>
      <c r="T288" s="292"/>
    </row>
    <row r="289" ht="47.25" hidden="1" customHeight="1">
      <c r="A289" s="193">
        <v>288.0</v>
      </c>
      <c r="B289" s="319">
        <v>46210.0</v>
      </c>
      <c r="C289" s="293" t="s">
        <v>47</v>
      </c>
      <c r="D289" s="193" t="s">
        <v>48</v>
      </c>
      <c r="E289" s="293" t="s">
        <v>5195</v>
      </c>
      <c r="F289" s="320">
        <v>5.6902307E8</v>
      </c>
      <c r="G289" s="195" t="s">
        <v>79</v>
      </c>
      <c r="H289" s="293" t="s">
        <v>178</v>
      </c>
      <c r="I289" s="303" t="s">
        <v>5196</v>
      </c>
      <c r="J289" s="292"/>
      <c r="K289" s="193" t="s">
        <v>148</v>
      </c>
      <c r="L289" s="193" t="s">
        <v>42</v>
      </c>
      <c r="M289" s="303" t="s">
        <v>101</v>
      </c>
      <c r="N289" s="303"/>
      <c r="O289" s="193" t="s">
        <v>40</v>
      </c>
      <c r="P289" s="195" t="s">
        <v>3765</v>
      </c>
      <c r="Q289" s="193" t="s">
        <v>49</v>
      </c>
      <c r="R289" s="193" t="s">
        <v>46</v>
      </c>
      <c r="S289" s="295"/>
      <c r="T289" s="292"/>
    </row>
    <row r="290" ht="74.25" hidden="1" customHeight="1">
      <c r="A290" s="193">
        <v>289.0</v>
      </c>
      <c r="B290" s="319">
        <v>46210.0</v>
      </c>
      <c r="C290" s="293" t="s">
        <v>47</v>
      </c>
      <c r="D290" s="193" t="s">
        <v>367</v>
      </c>
      <c r="E290" s="303" t="s">
        <v>5199</v>
      </c>
      <c r="F290" s="320">
        <v>5.00339362E8</v>
      </c>
      <c r="G290" s="303" t="s">
        <v>333</v>
      </c>
      <c r="H290" s="293" t="s">
        <v>516</v>
      </c>
      <c r="I290" s="303" t="s">
        <v>5200</v>
      </c>
      <c r="J290" s="303" t="s">
        <v>5201</v>
      </c>
      <c r="K290" s="193" t="s">
        <v>148</v>
      </c>
      <c r="L290" s="293" t="s">
        <v>518</v>
      </c>
      <c r="M290" s="195" t="s">
        <v>5202</v>
      </c>
      <c r="N290" s="195"/>
      <c r="O290" s="193" t="s">
        <v>56</v>
      </c>
      <c r="P290" s="195" t="s">
        <v>3997</v>
      </c>
      <c r="Q290" s="193" t="s">
        <v>49</v>
      </c>
      <c r="R290" s="293" t="s">
        <v>46</v>
      </c>
      <c r="S290" s="295"/>
      <c r="T290" s="292"/>
    </row>
    <row r="291" ht="35.25" hidden="1" customHeight="1">
      <c r="A291" s="193">
        <v>290.0</v>
      </c>
      <c r="B291" s="319">
        <v>46210.0</v>
      </c>
      <c r="C291" s="293" t="s">
        <v>47</v>
      </c>
      <c r="D291" s="193" t="s">
        <v>138</v>
      </c>
      <c r="E291" s="293" t="s">
        <v>5206</v>
      </c>
      <c r="F291" s="320">
        <v>5.61366959E8</v>
      </c>
      <c r="G291" s="303" t="s">
        <v>28</v>
      </c>
      <c r="H291" s="293" t="s">
        <v>830</v>
      </c>
      <c r="I291" s="303" t="s">
        <v>5207</v>
      </c>
      <c r="J291" s="303" t="s">
        <v>5208</v>
      </c>
      <c r="K291" s="193" t="s">
        <v>148</v>
      </c>
      <c r="L291" s="193"/>
      <c r="M291" s="195" t="s">
        <v>795</v>
      </c>
      <c r="N291" s="195"/>
      <c r="O291" s="193" t="s">
        <v>56</v>
      </c>
      <c r="P291" s="195" t="s">
        <v>3765</v>
      </c>
      <c r="Q291" s="193" t="s">
        <v>49</v>
      </c>
      <c r="R291" s="293" t="s">
        <v>46</v>
      </c>
      <c r="S291" s="295"/>
      <c r="T291" s="292"/>
    </row>
    <row r="292" ht="56.25" hidden="1" customHeight="1">
      <c r="A292" s="193">
        <v>291.0</v>
      </c>
      <c r="B292" s="319">
        <v>46210.0</v>
      </c>
      <c r="C292" s="293" t="s">
        <v>47</v>
      </c>
      <c r="D292" s="193" t="s">
        <v>92</v>
      </c>
      <c r="E292" s="303" t="s">
        <v>5210</v>
      </c>
      <c r="F292" s="320">
        <v>5.00658957E8</v>
      </c>
      <c r="G292" s="303" t="s">
        <v>76</v>
      </c>
      <c r="H292" s="293" t="s">
        <v>4163</v>
      </c>
      <c r="I292" s="303" t="s">
        <v>5211</v>
      </c>
      <c r="J292" s="303" t="s">
        <v>5212</v>
      </c>
      <c r="K292" s="193" t="s">
        <v>148</v>
      </c>
      <c r="L292" s="293" t="s">
        <v>42</v>
      </c>
      <c r="M292" s="195" t="s">
        <v>795</v>
      </c>
      <c r="N292" s="195"/>
      <c r="O292" s="193" t="s">
        <v>56</v>
      </c>
      <c r="P292" s="195" t="s">
        <v>3765</v>
      </c>
      <c r="Q292" s="193" t="s">
        <v>49</v>
      </c>
      <c r="R292" s="193" t="s">
        <v>46</v>
      </c>
      <c r="S292" s="295"/>
      <c r="T292" s="292"/>
    </row>
    <row r="293" ht="66.0" hidden="1" customHeight="1">
      <c r="A293" s="193">
        <v>292.0</v>
      </c>
      <c r="B293" s="319">
        <v>46210.0</v>
      </c>
      <c r="C293" s="293" t="s">
        <v>47</v>
      </c>
      <c r="D293" s="193" t="s">
        <v>48</v>
      </c>
      <c r="E293" s="293" t="s">
        <v>5217</v>
      </c>
      <c r="F293" s="320">
        <v>5.31115023E8</v>
      </c>
      <c r="G293" s="292" t="s">
        <v>2715</v>
      </c>
      <c r="H293" s="293" t="s">
        <v>2716</v>
      </c>
      <c r="I293" s="303" t="s">
        <v>5218</v>
      </c>
      <c r="J293" s="303" t="s">
        <v>5219</v>
      </c>
      <c r="K293" s="193" t="s">
        <v>148</v>
      </c>
      <c r="L293" s="193" t="s">
        <v>518</v>
      </c>
      <c r="M293" s="303" t="s">
        <v>3764</v>
      </c>
      <c r="N293" s="303"/>
      <c r="O293" s="193" t="s">
        <v>56</v>
      </c>
      <c r="P293" s="195" t="s">
        <v>3765</v>
      </c>
      <c r="Q293" s="193" t="s">
        <v>49</v>
      </c>
      <c r="R293" s="193" t="s">
        <v>46</v>
      </c>
      <c r="S293" s="295"/>
      <c r="T293" s="292"/>
    </row>
    <row r="294" ht="60.0" hidden="1" customHeight="1">
      <c r="A294" s="193">
        <v>293.0</v>
      </c>
      <c r="B294" s="319">
        <v>46210.0</v>
      </c>
      <c r="C294" s="293" t="s">
        <v>47</v>
      </c>
      <c r="D294" s="193" t="s">
        <v>367</v>
      </c>
      <c r="E294" s="293" t="s">
        <v>403</v>
      </c>
      <c r="F294" s="320">
        <v>5.43647205E8</v>
      </c>
      <c r="G294" s="303" t="s">
        <v>237</v>
      </c>
      <c r="H294" s="293" t="s">
        <v>5220</v>
      </c>
      <c r="I294" s="303" t="s">
        <v>5221</v>
      </c>
      <c r="J294" s="303" t="s">
        <v>5223</v>
      </c>
      <c r="K294" s="193" t="s">
        <v>148</v>
      </c>
      <c r="L294" s="193" t="s">
        <v>518</v>
      </c>
      <c r="M294" s="195" t="s">
        <v>5062</v>
      </c>
      <c r="N294" s="195"/>
      <c r="O294" s="193" t="s">
        <v>56</v>
      </c>
      <c r="P294" s="195" t="s">
        <v>3765</v>
      </c>
      <c r="Q294" s="193" t="s">
        <v>49</v>
      </c>
      <c r="R294" s="293" t="s">
        <v>46</v>
      </c>
      <c r="S294" s="295"/>
      <c r="T294" s="292"/>
    </row>
    <row r="295" ht="50.25" hidden="1" customHeight="1">
      <c r="A295" s="193">
        <v>294.0</v>
      </c>
      <c r="B295" s="319">
        <v>46210.0</v>
      </c>
      <c r="C295" s="293" t="s">
        <v>58</v>
      </c>
      <c r="D295" s="193" t="s">
        <v>57</v>
      </c>
      <c r="E295" s="303" t="s">
        <v>5227</v>
      </c>
      <c r="F295" s="320">
        <v>5.05478304E8</v>
      </c>
      <c r="G295" s="303" t="s">
        <v>237</v>
      </c>
      <c r="H295" s="293" t="s">
        <v>5220</v>
      </c>
      <c r="I295" s="303" t="s">
        <v>5228</v>
      </c>
      <c r="J295" s="292"/>
      <c r="K295" s="193" t="s">
        <v>148</v>
      </c>
      <c r="L295" s="193"/>
      <c r="M295" s="303" t="s">
        <v>88</v>
      </c>
      <c r="N295" s="303"/>
      <c r="O295" s="193" t="s">
        <v>40</v>
      </c>
      <c r="P295" s="195"/>
      <c r="Q295" s="298" t="s">
        <v>44</v>
      </c>
      <c r="R295" s="292"/>
      <c r="S295" s="295"/>
      <c r="T295" s="292"/>
    </row>
    <row r="296" ht="35.25" hidden="1" customHeight="1">
      <c r="A296" s="193">
        <v>295.0</v>
      </c>
      <c r="B296" s="319">
        <v>46210.0</v>
      </c>
      <c r="C296" s="293" t="s">
        <v>3766</v>
      </c>
      <c r="D296" s="193" t="s">
        <v>57</v>
      </c>
      <c r="E296" s="293" t="s">
        <v>27</v>
      </c>
      <c r="F296" s="320" t="s">
        <v>27</v>
      </c>
      <c r="G296" s="303" t="s">
        <v>237</v>
      </c>
      <c r="H296" s="293" t="s">
        <v>5220</v>
      </c>
      <c r="I296" s="303" t="s">
        <v>5231</v>
      </c>
      <c r="J296" s="292"/>
      <c r="K296" s="193" t="s">
        <v>148</v>
      </c>
      <c r="L296" s="193"/>
      <c r="M296" s="303" t="s">
        <v>3776</v>
      </c>
      <c r="N296" s="303"/>
      <c r="O296" s="193" t="s">
        <v>40</v>
      </c>
      <c r="P296" s="195"/>
      <c r="Q296" s="298" t="s">
        <v>44</v>
      </c>
      <c r="R296" s="292"/>
      <c r="S296" s="295"/>
      <c r="T296" s="292"/>
    </row>
    <row r="297" ht="19.5" hidden="1" customHeight="1">
      <c r="A297" s="193">
        <v>296.0</v>
      </c>
      <c r="B297" s="312">
        <v>46210.0</v>
      </c>
      <c r="C297" s="292" t="s">
        <v>21</v>
      </c>
      <c r="D297" s="268" t="s">
        <v>24</v>
      </c>
      <c r="E297" s="193" t="s">
        <v>27</v>
      </c>
      <c r="F297" s="309">
        <v>5.46204619E8</v>
      </c>
      <c r="G297" s="292" t="s">
        <v>112</v>
      </c>
      <c r="H297" s="193" t="s">
        <v>27</v>
      </c>
      <c r="I297" s="292" t="s">
        <v>5234</v>
      </c>
      <c r="J297" s="292"/>
      <c r="K297" s="193" t="s">
        <v>36</v>
      </c>
      <c r="L297" s="193"/>
      <c r="M297" s="303" t="s">
        <v>38</v>
      </c>
      <c r="N297" s="303"/>
      <c r="O297" s="193" t="s">
        <v>40</v>
      </c>
      <c r="P297" s="195"/>
      <c r="Q297" s="268" t="s">
        <v>4074</v>
      </c>
      <c r="R297" s="292" t="s">
        <v>68</v>
      </c>
      <c r="S297" s="295"/>
      <c r="T297" s="292"/>
    </row>
    <row r="298" ht="20.25" hidden="1" customHeight="1">
      <c r="A298" s="193">
        <v>297.0</v>
      </c>
      <c r="B298" s="312">
        <v>46210.0</v>
      </c>
      <c r="C298" s="292" t="s">
        <v>58</v>
      </c>
      <c r="D298" s="268" t="s">
        <v>60</v>
      </c>
      <c r="E298" s="292" t="s">
        <v>27</v>
      </c>
      <c r="F298" s="309">
        <v>5.74731584E8</v>
      </c>
      <c r="G298" s="292" t="s">
        <v>27</v>
      </c>
      <c r="H298" s="292" t="s">
        <v>27</v>
      </c>
      <c r="I298" s="292" t="s">
        <v>484</v>
      </c>
      <c r="J298" s="292"/>
      <c r="K298" s="193" t="s">
        <v>36</v>
      </c>
      <c r="L298" s="193"/>
      <c r="M298" s="303" t="s">
        <v>88</v>
      </c>
      <c r="N298" s="303"/>
      <c r="O298" s="193" t="s">
        <v>40</v>
      </c>
      <c r="P298" s="195"/>
      <c r="Q298" s="268" t="s">
        <v>4074</v>
      </c>
      <c r="R298" s="292" t="s">
        <v>68</v>
      </c>
      <c r="S298" s="295"/>
      <c r="T298" s="292"/>
    </row>
    <row r="299" ht="35.25" hidden="1" customHeight="1">
      <c r="A299" s="193">
        <v>298.0</v>
      </c>
      <c r="B299" s="312">
        <v>46210.0</v>
      </c>
      <c r="C299" s="292" t="s">
        <v>21</v>
      </c>
      <c r="D299" s="268" t="s">
        <v>24</v>
      </c>
      <c r="E299" s="292" t="s">
        <v>5239</v>
      </c>
      <c r="F299" s="295">
        <v>5.57812713E8</v>
      </c>
      <c r="G299" s="195" t="s">
        <v>71</v>
      </c>
      <c r="H299" s="292" t="s">
        <v>27</v>
      </c>
      <c r="I299" s="292" t="s">
        <v>5240</v>
      </c>
      <c r="J299" s="292"/>
      <c r="K299" s="193" t="s">
        <v>36</v>
      </c>
      <c r="L299" s="193"/>
      <c r="M299" s="303" t="s">
        <v>38</v>
      </c>
      <c r="N299" s="303"/>
      <c r="O299" s="193" t="s">
        <v>40</v>
      </c>
      <c r="P299" s="195"/>
      <c r="Q299" s="268" t="s">
        <v>4074</v>
      </c>
      <c r="R299" s="292" t="s">
        <v>68</v>
      </c>
      <c r="S299" s="295"/>
      <c r="T299" s="292"/>
    </row>
    <row r="300" ht="35.25" hidden="1" customHeight="1">
      <c r="A300" s="193">
        <v>299.0</v>
      </c>
      <c r="B300" s="312">
        <v>46210.0</v>
      </c>
      <c r="C300" s="292" t="s">
        <v>58</v>
      </c>
      <c r="D300" s="268" t="s">
        <v>60</v>
      </c>
      <c r="E300" s="293" t="s">
        <v>27</v>
      </c>
      <c r="F300" s="295">
        <v>5.321881E8</v>
      </c>
      <c r="G300" s="293" t="s">
        <v>27</v>
      </c>
      <c r="H300" s="293" t="s">
        <v>27</v>
      </c>
      <c r="I300" s="292" t="s">
        <v>5244</v>
      </c>
      <c r="J300" s="292"/>
      <c r="K300" s="268" t="s">
        <v>65</v>
      </c>
      <c r="L300" s="193"/>
      <c r="M300" s="303" t="s">
        <v>38</v>
      </c>
      <c r="N300" s="303"/>
      <c r="O300" s="193" t="s">
        <v>40</v>
      </c>
      <c r="P300" s="195"/>
      <c r="Q300" s="268" t="s">
        <v>4074</v>
      </c>
      <c r="R300" s="292" t="s">
        <v>68</v>
      </c>
      <c r="S300" s="295"/>
      <c r="T300" s="292"/>
    </row>
    <row r="301" ht="35.25" hidden="1" customHeight="1">
      <c r="A301" s="193">
        <v>300.0</v>
      </c>
      <c r="B301" s="312">
        <v>46210.0</v>
      </c>
      <c r="C301" s="292" t="s">
        <v>21</v>
      </c>
      <c r="D301" s="268" t="s">
        <v>24</v>
      </c>
      <c r="E301" s="292" t="s">
        <v>5247</v>
      </c>
      <c r="F301" s="309">
        <v>5.56553339E8</v>
      </c>
      <c r="G301" s="195" t="s">
        <v>41</v>
      </c>
      <c r="H301" s="292" t="s">
        <v>27</v>
      </c>
      <c r="I301" s="292" t="s">
        <v>5249</v>
      </c>
      <c r="J301" s="292"/>
      <c r="K301" s="268" t="s">
        <v>36</v>
      </c>
      <c r="L301" s="193"/>
      <c r="M301" s="303" t="s">
        <v>38</v>
      </c>
      <c r="N301" s="303"/>
      <c r="O301" s="193" t="s">
        <v>40</v>
      </c>
      <c r="P301" s="195"/>
      <c r="Q301" s="268" t="s">
        <v>4074</v>
      </c>
      <c r="R301" s="292" t="s">
        <v>68</v>
      </c>
      <c r="S301" s="295"/>
      <c r="T301" s="292"/>
    </row>
    <row r="302" ht="35.25" hidden="1" customHeight="1">
      <c r="A302" s="193">
        <v>301.0</v>
      </c>
      <c r="B302" s="312">
        <v>46210.0</v>
      </c>
      <c r="C302" s="292" t="s">
        <v>58</v>
      </c>
      <c r="D302" s="268" t="s">
        <v>60</v>
      </c>
      <c r="E302" s="193" t="s">
        <v>27</v>
      </c>
      <c r="F302" s="295">
        <v>5.47804566E8</v>
      </c>
      <c r="G302" s="193" t="s">
        <v>27</v>
      </c>
      <c r="H302" s="193" t="s">
        <v>27</v>
      </c>
      <c r="I302" s="292" t="s">
        <v>554</v>
      </c>
      <c r="J302" s="292"/>
      <c r="K302" s="268" t="s">
        <v>65</v>
      </c>
      <c r="L302" s="193"/>
      <c r="M302" s="303" t="s">
        <v>88</v>
      </c>
      <c r="N302" s="303"/>
      <c r="O302" s="193" t="s">
        <v>40</v>
      </c>
      <c r="P302" s="195"/>
      <c r="Q302" s="268" t="s">
        <v>4074</v>
      </c>
      <c r="R302" s="292" t="s">
        <v>68</v>
      </c>
      <c r="S302" s="295"/>
      <c r="T302" s="292"/>
    </row>
    <row r="303" ht="35.25" hidden="1" customHeight="1">
      <c r="A303" s="193">
        <v>302.0</v>
      </c>
      <c r="B303" s="312">
        <v>46210.0</v>
      </c>
      <c r="C303" s="292" t="s">
        <v>21</v>
      </c>
      <c r="D303" s="268" t="s">
        <v>22</v>
      </c>
      <c r="E303" s="292" t="s">
        <v>584</v>
      </c>
      <c r="F303" s="309">
        <v>5.68936603E8</v>
      </c>
      <c r="G303" s="292" t="s">
        <v>27</v>
      </c>
      <c r="H303" s="292" t="s">
        <v>27</v>
      </c>
      <c r="I303" s="292" t="s">
        <v>5254</v>
      </c>
      <c r="J303" s="292"/>
      <c r="K303" s="268" t="s">
        <v>36</v>
      </c>
      <c r="L303" s="193"/>
      <c r="M303" s="303" t="s">
        <v>38</v>
      </c>
      <c r="N303" s="303"/>
      <c r="O303" s="193" t="s">
        <v>40</v>
      </c>
      <c r="P303" s="195"/>
      <c r="Q303" s="268" t="s">
        <v>4074</v>
      </c>
      <c r="R303" s="292" t="s">
        <v>68</v>
      </c>
      <c r="S303" s="295"/>
      <c r="T303" s="292"/>
    </row>
    <row r="304" ht="55.5" hidden="1" customHeight="1">
      <c r="A304" s="193">
        <v>303.0</v>
      </c>
      <c r="B304" s="312">
        <v>46210.0</v>
      </c>
      <c r="C304" s="292" t="s">
        <v>3766</v>
      </c>
      <c r="D304" s="193" t="s">
        <v>60</v>
      </c>
      <c r="E304" s="292" t="s">
        <v>5256</v>
      </c>
      <c r="F304" s="309">
        <v>5.6065808E8</v>
      </c>
      <c r="G304" s="195" t="s">
        <v>41</v>
      </c>
      <c r="H304" s="322" t="s">
        <v>222</v>
      </c>
      <c r="I304" s="322" t="s">
        <v>5258</v>
      </c>
      <c r="J304" s="292"/>
      <c r="K304" s="268" t="s">
        <v>148</v>
      </c>
      <c r="L304" s="193"/>
      <c r="M304" s="303" t="s">
        <v>3776</v>
      </c>
      <c r="N304" s="303"/>
      <c r="O304" s="193" t="s">
        <v>40</v>
      </c>
      <c r="P304" s="195"/>
      <c r="Q304" s="268" t="s">
        <v>4074</v>
      </c>
      <c r="R304" s="292" t="s">
        <v>68</v>
      </c>
      <c r="S304" s="295"/>
      <c r="T304" s="292"/>
    </row>
    <row r="305" ht="35.25" hidden="1" customHeight="1">
      <c r="A305" s="193">
        <v>304.0</v>
      </c>
      <c r="B305" s="312">
        <v>46210.0</v>
      </c>
      <c r="C305" s="292" t="s">
        <v>47</v>
      </c>
      <c r="D305" s="268" t="s">
        <v>138</v>
      </c>
      <c r="E305" s="292" t="s">
        <v>1075</v>
      </c>
      <c r="F305" s="309">
        <v>5.07534068E8</v>
      </c>
      <c r="G305" s="195" t="s">
        <v>41</v>
      </c>
      <c r="H305" s="295" t="s">
        <v>146</v>
      </c>
      <c r="I305" s="295" t="s">
        <v>5261</v>
      </c>
      <c r="J305" s="303" t="s">
        <v>5262</v>
      </c>
      <c r="K305" s="268" t="s">
        <v>148</v>
      </c>
      <c r="L305" s="193"/>
      <c r="M305" s="195" t="s">
        <v>713</v>
      </c>
      <c r="N305" s="195"/>
      <c r="O305" s="193" t="s">
        <v>56</v>
      </c>
      <c r="P305" s="195" t="s">
        <v>3765</v>
      </c>
      <c r="Q305" s="268" t="s">
        <v>4074</v>
      </c>
      <c r="R305" s="293" t="s">
        <v>46</v>
      </c>
      <c r="S305" s="295"/>
      <c r="T305" s="292"/>
    </row>
    <row r="306" ht="35.25" hidden="1" customHeight="1">
      <c r="A306" s="193">
        <v>305.0</v>
      </c>
      <c r="B306" s="312">
        <v>46210.0</v>
      </c>
      <c r="C306" s="292" t="s">
        <v>47</v>
      </c>
      <c r="D306" s="268" t="s">
        <v>138</v>
      </c>
      <c r="E306" s="293" t="s">
        <v>27</v>
      </c>
      <c r="F306" s="309">
        <v>5.53703854E8</v>
      </c>
      <c r="G306" s="195" t="s">
        <v>41</v>
      </c>
      <c r="H306" s="295" t="s">
        <v>146</v>
      </c>
      <c r="I306" s="322" t="s">
        <v>5266</v>
      </c>
      <c r="J306" s="303" t="s">
        <v>5267</v>
      </c>
      <c r="K306" s="268" t="s">
        <v>148</v>
      </c>
      <c r="L306" s="193"/>
      <c r="M306" s="195" t="s">
        <v>183</v>
      </c>
      <c r="N306" s="195"/>
      <c r="O306" s="193" t="s">
        <v>56</v>
      </c>
      <c r="P306" s="195" t="s">
        <v>3765</v>
      </c>
      <c r="Q306" s="268" t="s">
        <v>4074</v>
      </c>
      <c r="R306" s="293" t="s">
        <v>46</v>
      </c>
      <c r="S306" s="295"/>
      <c r="T306" s="292"/>
    </row>
    <row r="307" ht="35.25" hidden="1" customHeight="1">
      <c r="A307" s="193">
        <v>306.0</v>
      </c>
      <c r="B307" s="312">
        <v>46210.0</v>
      </c>
      <c r="C307" s="292" t="s">
        <v>47</v>
      </c>
      <c r="D307" s="268" t="s">
        <v>138</v>
      </c>
      <c r="E307" s="292" t="s">
        <v>1948</v>
      </c>
      <c r="F307" s="309" t="s">
        <v>5269</v>
      </c>
      <c r="G307" s="195" t="s">
        <v>41</v>
      </c>
      <c r="H307" s="295" t="s">
        <v>193</v>
      </c>
      <c r="I307" s="322" t="s">
        <v>5270</v>
      </c>
      <c r="J307" s="303" t="s">
        <v>5271</v>
      </c>
      <c r="K307" s="268" t="s">
        <v>148</v>
      </c>
      <c r="L307" s="193"/>
      <c r="M307" s="195" t="s">
        <v>183</v>
      </c>
      <c r="N307" s="195"/>
      <c r="O307" s="193" t="s">
        <v>56</v>
      </c>
      <c r="P307" s="195" t="s">
        <v>3765</v>
      </c>
      <c r="Q307" s="268" t="s">
        <v>4074</v>
      </c>
      <c r="R307" s="293" t="s">
        <v>46</v>
      </c>
      <c r="S307" s="295"/>
      <c r="T307" s="292"/>
    </row>
    <row r="308" ht="35.25" hidden="1" customHeight="1">
      <c r="A308" s="193">
        <v>307.0</v>
      </c>
      <c r="B308" s="312">
        <v>46210.0</v>
      </c>
      <c r="C308" s="292" t="s">
        <v>47</v>
      </c>
      <c r="D308" s="268" t="s">
        <v>92</v>
      </c>
      <c r="E308" s="292" t="s">
        <v>5273</v>
      </c>
      <c r="F308" s="309">
        <v>5.51000175E8</v>
      </c>
      <c r="G308" s="195" t="s">
        <v>71</v>
      </c>
      <c r="H308" s="295" t="s">
        <v>94</v>
      </c>
      <c r="I308" s="322" t="s">
        <v>5275</v>
      </c>
      <c r="J308" s="303" t="s">
        <v>5276</v>
      </c>
      <c r="K308" s="268" t="s">
        <v>148</v>
      </c>
      <c r="L308" s="293" t="s">
        <v>518</v>
      </c>
      <c r="M308" s="195" t="s">
        <v>602</v>
      </c>
      <c r="N308" s="195"/>
      <c r="O308" s="193" t="s">
        <v>40</v>
      </c>
      <c r="P308" s="195" t="s">
        <v>3997</v>
      </c>
      <c r="Q308" s="268" t="s">
        <v>4074</v>
      </c>
      <c r="R308" s="193" t="s">
        <v>46</v>
      </c>
      <c r="S308" s="295"/>
      <c r="T308" s="292"/>
    </row>
    <row r="309" ht="35.25" hidden="1" customHeight="1">
      <c r="A309" s="193">
        <v>308.0</v>
      </c>
      <c r="B309" s="312">
        <v>46210.0</v>
      </c>
      <c r="C309" s="292" t="s">
        <v>58</v>
      </c>
      <c r="D309" s="268" t="s">
        <v>60</v>
      </c>
      <c r="E309" s="292" t="s">
        <v>27</v>
      </c>
      <c r="F309" s="309">
        <v>5.52762993E8</v>
      </c>
      <c r="G309" s="193" t="s">
        <v>27</v>
      </c>
      <c r="H309" s="292" t="s">
        <v>27</v>
      </c>
      <c r="I309" s="295" t="s">
        <v>5280</v>
      </c>
      <c r="J309" s="292"/>
      <c r="K309" s="268" t="s">
        <v>36</v>
      </c>
      <c r="L309" s="193"/>
      <c r="M309" s="303" t="s">
        <v>88</v>
      </c>
      <c r="N309" s="303"/>
      <c r="O309" s="193" t="s">
        <v>40</v>
      </c>
      <c r="P309" s="195"/>
      <c r="Q309" s="268" t="s">
        <v>4074</v>
      </c>
      <c r="R309" s="292" t="s">
        <v>68</v>
      </c>
      <c r="S309" s="295"/>
      <c r="T309" s="292"/>
    </row>
    <row r="310" ht="61.5" hidden="1" customHeight="1">
      <c r="A310" s="193">
        <v>309.0</v>
      </c>
      <c r="B310" s="312">
        <v>46210.0</v>
      </c>
      <c r="C310" s="292" t="s">
        <v>21</v>
      </c>
      <c r="D310" s="268" t="s">
        <v>22</v>
      </c>
      <c r="E310" s="292" t="s">
        <v>5284</v>
      </c>
      <c r="F310" s="309">
        <v>5.00077728E8</v>
      </c>
      <c r="G310" s="292" t="s">
        <v>27</v>
      </c>
      <c r="H310" s="292" t="s">
        <v>27</v>
      </c>
      <c r="I310" s="332" t="s">
        <v>5285</v>
      </c>
      <c r="J310" s="292"/>
      <c r="K310" s="268" t="s">
        <v>62</v>
      </c>
      <c r="L310" s="193"/>
      <c r="M310" s="303" t="s">
        <v>38</v>
      </c>
      <c r="N310" s="303"/>
      <c r="O310" s="193" t="s">
        <v>40</v>
      </c>
      <c r="P310" s="195"/>
      <c r="Q310" s="268" t="s">
        <v>4074</v>
      </c>
      <c r="R310" s="292" t="s">
        <v>68</v>
      </c>
      <c r="S310" s="295"/>
      <c r="T310" s="292"/>
    </row>
    <row r="311" ht="35.25" hidden="1" customHeight="1">
      <c r="A311" s="193">
        <v>310.0</v>
      </c>
      <c r="B311" s="312">
        <v>46210.0</v>
      </c>
      <c r="C311" s="292" t="s">
        <v>21</v>
      </c>
      <c r="D311" s="193" t="s">
        <v>24</v>
      </c>
      <c r="E311" s="292" t="s">
        <v>5292</v>
      </c>
      <c r="F311" s="314">
        <v>5.42492571E8</v>
      </c>
      <c r="G311" s="292" t="s">
        <v>27</v>
      </c>
      <c r="H311" s="292" t="s">
        <v>27</v>
      </c>
      <c r="I311" s="333" t="s">
        <v>5293</v>
      </c>
      <c r="J311" s="292"/>
      <c r="K311" s="268" t="s">
        <v>62</v>
      </c>
      <c r="L311" s="193"/>
      <c r="M311" s="303" t="s">
        <v>38</v>
      </c>
      <c r="N311" s="303"/>
      <c r="O311" s="193" t="s">
        <v>40</v>
      </c>
      <c r="P311" s="195"/>
      <c r="Q311" s="268" t="s">
        <v>4074</v>
      </c>
      <c r="R311" s="292" t="s">
        <v>68</v>
      </c>
      <c r="S311" s="295"/>
      <c r="T311" s="292"/>
    </row>
    <row r="312" ht="35.25" hidden="1" customHeight="1">
      <c r="A312" s="193">
        <v>311.0</v>
      </c>
      <c r="B312" s="312">
        <v>46210.0</v>
      </c>
      <c r="C312" s="292" t="s">
        <v>58</v>
      </c>
      <c r="D312" s="268" t="s">
        <v>60</v>
      </c>
      <c r="E312" s="292" t="s">
        <v>1260</v>
      </c>
      <c r="F312" s="309">
        <v>5.59684383E8</v>
      </c>
      <c r="G312" s="193" t="s">
        <v>27</v>
      </c>
      <c r="H312" s="292" t="s">
        <v>27</v>
      </c>
      <c r="I312" s="333" t="s">
        <v>5296</v>
      </c>
      <c r="J312" s="292"/>
      <c r="K312" s="268" t="s">
        <v>36</v>
      </c>
      <c r="L312" s="193"/>
      <c r="M312" s="303" t="s">
        <v>38</v>
      </c>
      <c r="N312" s="303"/>
      <c r="O312" s="193" t="s">
        <v>40</v>
      </c>
      <c r="P312" s="195"/>
      <c r="Q312" s="268" t="s">
        <v>4074</v>
      </c>
      <c r="R312" s="292" t="s">
        <v>68</v>
      </c>
      <c r="S312" s="295"/>
      <c r="T312" s="292"/>
    </row>
    <row r="313" ht="124.5" hidden="1" customHeight="1">
      <c r="A313" s="193">
        <v>312.0</v>
      </c>
      <c r="B313" s="312">
        <v>46210.0</v>
      </c>
      <c r="C313" s="292" t="s">
        <v>47</v>
      </c>
      <c r="D313" s="268" t="s">
        <v>92</v>
      </c>
      <c r="E313" s="292" t="s">
        <v>27</v>
      </c>
      <c r="F313" s="309">
        <v>5.51337817E8</v>
      </c>
      <c r="G313" s="303" t="s">
        <v>76</v>
      </c>
      <c r="H313" s="293" t="s">
        <v>735</v>
      </c>
      <c r="I313" s="265" t="s">
        <v>5299</v>
      </c>
      <c r="J313" s="303" t="s">
        <v>5301</v>
      </c>
      <c r="K313" s="268" t="s">
        <v>36</v>
      </c>
      <c r="L313" s="193" t="s">
        <v>3811</v>
      </c>
      <c r="M313" s="195" t="s">
        <v>98</v>
      </c>
      <c r="N313" s="195"/>
      <c r="O313" s="193" t="s">
        <v>56</v>
      </c>
      <c r="P313" s="195" t="s">
        <v>3997</v>
      </c>
      <c r="Q313" s="268" t="s">
        <v>4074</v>
      </c>
      <c r="R313" s="193" t="s">
        <v>46</v>
      </c>
      <c r="S313" s="298" t="s">
        <v>44</v>
      </c>
      <c r="T313" s="292"/>
    </row>
    <row r="314" ht="55.5" hidden="1" customHeight="1">
      <c r="A314" s="193">
        <v>313.0</v>
      </c>
      <c r="B314" s="312">
        <v>46210.0</v>
      </c>
      <c r="C314" s="292" t="s">
        <v>47</v>
      </c>
      <c r="D314" s="268" t="s">
        <v>48</v>
      </c>
      <c r="E314" s="292" t="s">
        <v>27</v>
      </c>
      <c r="F314" s="309">
        <v>5.41447442E8</v>
      </c>
      <c r="G314" s="195" t="s">
        <v>41</v>
      </c>
      <c r="H314" s="268" t="s">
        <v>227</v>
      </c>
      <c r="I314" s="265" t="s">
        <v>5303</v>
      </c>
      <c r="J314" s="303" t="s">
        <v>5304</v>
      </c>
      <c r="K314" s="268" t="s">
        <v>36</v>
      </c>
      <c r="L314" s="193" t="s">
        <v>518</v>
      </c>
      <c r="M314" s="303" t="s">
        <v>101</v>
      </c>
      <c r="N314" s="303"/>
      <c r="O314" s="193" t="s">
        <v>56</v>
      </c>
      <c r="P314" s="195" t="s">
        <v>3765</v>
      </c>
      <c r="Q314" s="268" t="s">
        <v>4074</v>
      </c>
      <c r="R314" s="193" t="s">
        <v>46</v>
      </c>
      <c r="S314" s="295" t="s">
        <v>4074</v>
      </c>
      <c r="T314" s="292"/>
    </row>
    <row r="315" ht="35.25" hidden="1" customHeight="1">
      <c r="A315" s="193">
        <v>314.0</v>
      </c>
      <c r="B315" s="312">
        <v>46210.0</v>
      </c>
      <c r="C315" s="292" t="s">
        <v>21</v>
      </c>
      <c r="D315" s="268" t="s">
        <v>24</v>
      </c>
      <c r="E315" s="292" t="s">
        <v>5308</v>
      </c>
      <c r="F315" s="309">
        <v>5.41459774E8</v>
      </c>
      <c r="G315" s="292" t="s">
        <v>285</v>
      </c>
      <c r="H315" s="292" t="s">
        <v>27</v>
      </c>
      <c r="I315" s="292" t="s">
        <v>5309</v>
      </c>
      <c r="J315" s="292"/>
      <c r="K315" s="268" t="s">
        <v>36</v>
      </c>
      <c r="L315" s="193"/>
      <c r="M315" s="303" t="s">
        <v>38</v>
      </c>
      <c r="N315" s="303"/>
      <c r="O315" s="193" t="s">
        <v>40</v>
      </c>
      <c r="P315" s="195"/>
      <c r="Q315" s="268" t="s">
        <v>4074</v>
      </c>
      <c r="R315" s="292" t="s">
        <v>68</v>
      </c>
      <c r="S315" s="295"/>
      <c r="T315" s="292"/>
    </row>
    <row r="316" ht="75.0" hidden="1" customHeight="1">
      <c r="A316" s="193">
        <v>315.0</v>
      </c>
      <c r="B316" s="312">
        <v>46210.0</v>
      </c>
      <c r="C316" s="292" t="s">
        <v>47</v>
      </c>
      <c r="D316" s="193" t="s">
        <v>48</v>
      </c>
      <c r="E316" s="292" t="s">
        <v>5313</v>
      </c>
      <c r="F316" s="309">
        <v>5.06838461E8</v>
      </c>
      <c r="G316" s="195" t="s">
        <v>41</v>
      </c>
      <c r="H316" s="292" t="s">
        <v>577</v>
      </c>
      <c r="I316" s="303" t="s">
        <v>5314</v>
      </c>
      <c r="J316" s="303" t="s">
        <v>5316</v>
      </c>
      <c r="K316" s="268" t="s">
        <v>148</v>
      </c>
      <c r="L316" s="193" t="s">
        <v>518</v>
      </c>
      <c r="M316" s="195" t="s">
        <v>555</v>
      </c>
      <c r="N316" s="195"/>
      <c r="O316" s="193" t="s">
        <v>56</v>
      </c>
      <c r="P316" s="195" t="s">
        <v>3765</v>
      </c>
      <c r="Q316" s="268" t="s">
        <v>4074</v>
      </c>
      <c r="R316" s="193" t="s">
        <v>46</v>
      </c>
      <c r="S316" s="295"/>
      <c r="T316" s="292"/>
    </row>
    <row r="317" ht="74.25" hidden="1" customHeight="1">
      <c r="A317" s="193">
        <v>316.0</v>
      </c>
      <c r="B317" s="312">
        <v>46210.0</v>
      </c>
      <c r="C317" s="292" t="s">
        <v>47</v>
      </c>
      <c r="D317" s="193" t="s">
        <v>367</v>
      </c>
      <c r="E317" s="292" t="s">
        <v>5319</v>
      </c>
      <c r="F317" s="309">
        <v>5.5472215E8</v>
      </c>
      <c r="G317" s="195" t="s">
        <v>41</v>
      </c>
      <c r="H317" s="292" t="s">
        <v>5320</v>
      </c>
      <c r="I317" s="303" t="s">
        <v>5321</v>
      </c>
      <c r="J317" s="265" t="s">
        <v>5322</v>
      </c>
      <c r="K317" s="268" t="s">
        <v>148</v>
      </c>
      <c r="L317" s="293" t="s">
        <v>3811</v>
      </c>
      <c r="M317" s="195" t="s">
        <v>98</v>
      </c>
      <c r="N317" s="195"/>
      <c r="O317" s="193" t="s">
        <v>40</v>
      </c>
      <c r="P317" s="195" t="s">
        <v>3997</v>
      </c>
      <c r="Q317" s="268" t="s">
        <v>4074</v>
      </c>
      <c r="R317" s="193" t="s">
        <v>46</v>
      </c>
      <c r="S317" s="295"/>
      <c r="T317" s="292"/>
    </row>
    <row r="318" ht="35.25" hidden="1" customHeight="1">
      <c r="A318" s="193">
        <v>317.0</v>
      </c>
      <c r="B318" s="312">
        <v>46210.0</v>
      </c>
      <c r="C318" s="292" t="s">
        <v>47</v>
      </c>
      <c r="D318" s="193" t="s">
        <v>48</v>
      </c>
      <c r="E318" s="292" t="s">
        <v>27</v>
      </c>
      <c r="F318" s="309" t="s">
        <v>27</v>
      </c>
      <c r="G318" s="195" t="s">
        <v>41</v>
      </c>
      <c r="H318" s="295" t="s">
        <v>2375</v>
      </c>
      <c r="I318" s="292" t="s">
        <v>5327</v>
      </c>
      <c r="J318" s="303" t="s">
        <v>5328</v>
      </c>
      <c r="K318" s="268" t="s">
        <v>148</v>
      </c>
      <c r="L318" s="193" t="s">
        <v>42</v>
      </c>
      <c r="M318" s="195" t="s">
        <v>555</v>
      </c>
      <c r="N318" s="195"/>
      <c r="O318" s="193" t="s">
        <v>56</v>
      </c>
      <c r="P318" s="195" t="s">
        <v>3765</v>
      </c>
      <c r="Q318" s="268" t="s">
        <v>4074</v>
      </c>
      <c r="R318" s="193" t="s">
        <v>46</v>
      </c>
      <c r="S318" s="295"/>
      <c r="T318" s="292"/>
    </row>
    <row r="319" ht="35.25" hidden="1" customHeight="1">
      <c r="A319" s="193">
        <v>318.0</v>
      </c>
      <c r="B319" s="312">
        <v>46210.0</v>
      </c>
      <c r="C319" s="292" t="s">
        <v>47</v>
      </c>
      <c r="D319" s="193" t="s">
        <v>48</v>
      </c>
      <c r="E319" s="292" t="s">
        <v>5334</v>
      </c>
      <c r="F319" s="334">
        <v>5.5791838E8</v>
      </c>
      <c r="G319" s="195" t="s">
        <v>41</v>
      </c>
      <c r="H319" s="203" t="s">
        <v>146</v>
      </c>
      <c r="I319" s="265" t="s">
        <v>5335</v>
      </c>
      <c r="J319" s="303" t="s">
        <v>5336</v>
      </c>
      <c r="K319" s="268" t="s">
        <v>148</v>
      </c>
      <c r="L319" s="293" t="s">
        <v>518</v>
      </c>
      <c r="M319" s="195" t="s">
        <v>221</v>
      </c>
      <c r="N319" s="193" t="s">
        <v>4127</v>
      </c>
      <c r="O319" s="193" t="s">
        <v>56</v>
      </c>
      <c r="P319" s="193" t="s">
        <v>4129</v>
      </c>
      <c r="Q319" s="268" t="s">
        <v>4074</v>
      </c>
      <c r="R319" s="193" t="s">
        <v>46</v>
      </c>
      <c r="S319" s="295"/>
      <c r="T319" s="292"/>
    </row>
    <row r="320" ht="21.0" hidden="1" customHeight="1">
      <c r="A320" s="193">
        <v>319.0</v>
      </c>
      <c r="B320" s="312">
        <v>46210.0</v>
      </c>
      <c r="C320" s="292" t="s">
        <v>47</v>
      </c>
      <c r="D320" s="268" t="s">
        <v>92</v>
      </c>
      <c r="E320" s="292" t="s">
        <v>108</v>
      </c>
      <c r="F320" s="292">
        <v>5.3384593E8</v>
      </c>
      <c r="G320" s="195" t="s">
        <v>71</v>
      </c>
      <c r="H320" s="292" t="s">
        <v>5341</v>
      </c>
      <c r="I320" s="303" t="s">
        <v>5342</v>
      </c>
      <c r="J320" s="303" t="s">
        <v>5343</v>
      </c>
      <c r="K320" s="268" t="s">
        <v>148</v>
      </c>
      <c r="L320" s="293" t="s">
        <v>518</v>
      </c>
      <c r="M320" s="195" t="s">
        <v>555</v>
      </c>
      <c r="N320" s="195"/>
      <c r="O320" s="193" t="s">
        <v>56</v>
      </c>
      <c r="P320" s="195" t="s">
        <v>3765</v>
      </c>
      <c r="Q320" s="268" t="s">
        <v>4074</v>
      </c>
      <c r="R320" s="193" t="s">
        <v>46</v>
      </c>
      <c r="S320" s="292"/>
      <c r="T320" s="292"/>
    </row>
    <row r="321" ht="35.25" hidden="1" customHeight="1">
      <c r="A321" s="193">
        <v>320.0</v>
      </c>
      <c r="B321" s="312">
        <v>46210.0</v>
      </c>
      <c r="C321" s="292" t="s">
        <v>21</v>
      </c>
      <c r="D321" s="295" t="s">
        <v>66</v>
      </c>
      <c r="E321" s="292" t="s">
        <v>5346</v>
      </c>
      <c r="F321" s="314">
        <v>5.64720715E8</v>
      </c>
      <c r="G321" s="195" t="s">
        <v>71</v>
      </c>
      <c r="H321" s="292" t="s">
        <v>27</v>
      </c>
      <c r="I321" s="292" t="s">
        <v>5347</v>
      </c>
      <c r="J321" s="292"/>
      <c r="K321" s="268" t="s">
        <v>62</v>
      </c>
      <c r="L321" s="193"/>
      <c r="M321" s="303" t="s">
        <v>38</v>
      </c>
      <c r="N321" s="303"/>
      <c r="O321" s="193" t="s">
        <v>40</v>
      </c>
      <c r="P321" s="195"/>
      <c r="Q321" s="268" t="s">
        <v>49</v>
      </c>
      <c r="R321" s="292" t="s">
        <v>68</v>
      </c>
      <c r="S321" s="295"/>
      <c r="T321" s="292"/>
    </row>
    <row r="322" ht="35.25" hidden="1" customHeight="1">
      <c r="A322" s="193">
        <v>321.0</v>
      </c>
      <c r="B322" s="312">
        <v>46210.0</v>
      </c>
      <c r="C322" s="292" t="s">
        <v>58</v>
      </c>
      <c r="D322" s="295" t="s">
        <v>60</v>
      </c>
      <c r="E322" s="292" t="s">
        <v>27</v>
      </c>
      <c r="F322" s="314">
        <v>5.57440249E8</v>
      </c>
      <c r="G322" s="193" t="s">
        <v>27</v>
      </c>
      <c r="H322" s="193" t="s">
        <v>27</v>
      </c>
      <c r="I322" s="292" t="s">
        <v>5351</v>
      </c>
      <c r="J322" s="292"/>
      <c r="K322" s="268" t="s">
        <v>62</v>
      </c>
      <c r="L322" s="193"/>
      <c r="M322" s="303" t="s">
        <v>38</v>
      </c>
      <c r="N322" s="303"/>
      <c r="O322" s="193" t="s">
        <v>40</v>
      </c>
      <c r="P322" s="195"/>
      <c r="Q322" s="268" t="s">
        <v>49</v>
      </c>
      <c r="R322" s="292" t="s">
        <v>68</v>
      </c>
      <c r="S322" s="295"/>
      <c r="T322" s="292"/>
    </row>
    <row r="323" ht="35.25" hidden="1" customHeight="1">
      <c r="A323" s="193">
        <v>322.0</v>
      </c>
      <c r="B323" s="312">
        <v>46210.0</v>
      </c>
      <c r="C323" s="292" t="s">
        <v>21</v>
      </c>
      <c r="D323" s="268" t="s">
        <v>57</v>
      </c>
      <c r="E323" s="292" t="s">
        <v>27</v>
      </c>
      <c r="F323" s="292">
        <v>5.96593879E8</v>
      </c>
      <c r="G323" s="195" t="s">
        <v>71</v>
      </c>
      <c r="H323" s="292" t="s">
        <v>27</v>
      </c>
      <c r="I323" s="303" t="s">
        <v>5354</v>
      </c>
      <c r="J323" s="292"/>
      <c r="K323" s="268" t="s">
        <v>36</v>
      </c>
      <c r="L323" s="193"/>
      <c r="M323" s="303" t="s">
        <v>38</v>
      </c>
      <c r="N323" s="303"/>
      <c r="O323" s="193" t="s">
        <v>40</v>
      </c>
      <c r="P323" s="195"/>
      <c r="Q323" s="268" t="s">
        <v>4074</v>
      </c>
      <c r="R323" s="292" t="s">
        <v>68</v>
      </c>
      <c r="S323" s="292"/>
      <c r="T323" s="292"/>
    </row>
    <row r="324" ht="35.25" hidden="1" customHeight="1">
      <c r="A324" s="193">
        <v>323.0</v>
      </c>
      <c r="B324" s="312">
        <v>46210.0</v>
      </c>
      <c r="C324" s="292" t="s">
        <v>58</v>
      </c>
      <c r="D324" s="268" t="s">
        <v>60</v>
      </c>
      <c r="E324" s="292" t="s">
        <v>27</v>
      </c>
      <c r="F324" s="292">
        <v>5.044388972E9</v>
      </c>
      <c r="G324" s="292" t="s">
        <v>27</v>
      </c>
      <c r="H324" s="292" t="s">
        <v>27</v>
      </c>
      <c r="I324" s="292" t="s">
        <v>5357</v>
      </c>
      <c r="J324" s="292"/>
      <c r="K324" s="268" t="s">
        <v>36</v>
      </c>
      <c r="L324" s="193"/>
      <c r="M324" s="303" t="s">
        <v>88</v>
      </c>
      <c r="N324" s="303"/>
      <c r="O324" s="193" t="s">
        <v>40</v>
      </c>
      <c r="P324" s="195"/>
      <c r="Q324" s="268" t="s">
        <v>4074</v>
      </c>
      <c r="R324" s="292" t="s">
        <v>68</v>
      </c>
      <c r="S324" s="292"/>
      <c r="T324" s="292"/>
    </row>
    <row r="325" ht="35.25" hidden="1" customHeight="1">
      <c r="A325" s="193">
        <v>324.0</v>
      </c>
      <c r="B325" s="312">
        <v>46210.0</v>
      </c>
      <c r="C325" s="292" t="s">
        <v>21</v>
      </c>
      <c r="D325" s="268" t="s">
        <v>34</v>
      </c>
      <c r="E325" s="293" t="s">
        <v>27</v>
      </c>
      <c r="F325" s="295">
        <v>5.75744642E8</v>
      </c>
      <c r="G325" s="293" t="s">
        <v>27</v>
      </c>
      <c r="H325" s="293" t="s">
        <v>27</v>
      </c>
      <c r="I325" s="292" t="s">
        <v>643</v>
      </c>
      <c r="J325" s="292"/>
      <c r="K325" s="268" t="s">
        <v>36</v>
      </c>
      <c r="L325" s="193"/>
      <c r="M325" s="303" t="s">
        <v>51</v>
      </c>
      <c r="N325" s="303"/>
      <c r="O325" s="193" t="s">
        <v>40</v>
      </c>
      <c r="P325" s="195"/>
      <c r="Q325" s="268" t="s">
        <v>4074</v>
      </c>
      <c r="R325" s="292" t="s">
        <v>68</v>
      </c>
      <c r="S325" s="292"/>
      <c r="T325" s="292"/>
    </row>
    <row r="326" ht="35.25" hidden="1" customHeight="1">
      <c r="A326" s="193">
        <v>325.0</v>
      </c>
      <c r="B326" s="312">
        <v>46210.0</v>
      </c>
      <c r="C326" s="292" t="s">
        <v>21</v>
      </c>
      <c r="D326" s="268" t="s">
        <v>57</v>
      </c>
      <c r="E326" s="292" t="s">
        <v>5361</v>
      </c>
      <c r="F326" s="295">
        <v>5.8069269E8</v>
      </c>
      <c r="G326" s="293" t="s">
        <v>27</v>
      </c>
      <c r="H326" s="293" t="s">
        <v>27</v>
      </c>
      <c r="I326" s="292" t="s">
        <v>5362</v>
      </c>
      <c r="J326" s="292"/>
      <c r="K326" s="268" t="s">
        <v>62</v>
      </c>
      <c r="L326" s="193"/>
      <c r="M326" s="303" t="s">
        <v>38</v>
      </c>
      <c r="N326" s="303"/>
      <c r="O326" s="193" t="s">
        <v>40</v>
      </c>
      <c r="P326" s="195"/>
      <c r="Q326" s="268" t="s">
        <v>4074</v>
      </c>
      <c r="R326" s="292" t="s">
        <v>68</v>
      </c>
      <c r="S326" s="292"/>
      <c r="T326" s="292"/>
    </row>
    <row r="327" ht="35.25" hidden="1" customHeight="1">
      <c r="A327" s="193">
        <v>326.0</v>
      </c>
      <c r="B327" s="312">
        <v>46210.0</v>
      </c>
      <c r="C327" s="292" t="s">
        <v>21</v>
      </c>
      <c r="D327" s="268" t="s">
        <v>34</v>
      </c>
      <c r="E327" s="292" t="s">
        <v>4798</v>
      </c>
      <c r="F327" s="292">
        <v>5.50246926E8</v>
      </c>
      <c r="G327" s="193" t="s">
        <v>27</v>
      </c>
      <c r="H327" s="193" t="s">
        <v>27</v>
      </c>
      <c r="I327" s="292" t="s">
        <v>643</v>
      </c>
      <c r="J327" s="292"/>
      <c r="K327" s="268" t="s">
        <v>62</v>
      </c>
      <c r="L327" s="193"/>
      <c r="M327" s="303" t="s">
        <v>51</v>
      </c>
      <c r="N327" s="303"/>
      <c r="O327" s="193" t="s">
        <v>40</v>
      </c>
      <c r="P327" s="195"/>
      <c r="Q327" s="268" t="s">
        <v>4074</v>
      </c>
      <c r="R327" s="292" t="s">
        <v>68</v>
      </c>
      <c r="S327" s="292"/>
      <c r="T327" s="292"/>
    </row>
    <row r="328" ht="89.25" hidden="1" customHeight="1">
      <c r="A328" s="193">
        <v>327.0</v>
      </c>
      <c r="B328" s="312">
        <v>46210.0</v>
      </c>
      <c r="C328" s="292" t="s">
        <v>47</v>
      </c>
      <c r="D328" s="268" t="s">
        <v>24</v>
      </c>
      <c r="E328" s="292" t="s">
        <v>5366</v>
      </c>
      <c r="F328" s="292">
        <v>5.49777758E8</v>
      </c>
      <c r="G328" s="303" t="s">
        <v>2580</v>
      </c>
      <c r="H328" s="293" t="s">
        <v>27</v>
      </c>
      <c r="I328" s="265" t="s">
        <v>5368</v>
      </c>
      <c r="J328" s="292"/>
      <c r="K328" s="268" t="s">
        <v>62</v>
      </c>
      <c r="L328" s="193"/>
      <c r="M328" s="303" t="s">
        <v>55</v>
      </c>
      <c r="N328" s="303"/>
      <c r="O328" s="193" t="s">
        <v>40</v>
      </c>
      <c r="P328" s="195"/>
      <c r="Q328" s="268" t="s">
        <v>4074</v>
      </c>
      <c r="R328" s="292" t="s">
        <v>68</v>
      </c>
      <c r="S328" s="292"/>
      <c r="T328" s="292"/>
    </row>
    <row r="329" ht="42.0" hidden="1" customHeight="1">
      <c r="A329" s="193">
        <v>328.0</v>
      </c>
      <c r="B329" s="312">
        <v>46210.0</v>
      </c>
      <c r="C329" s="292" t="s">
        <v>21</v>
      </c>
      <c r="D329" s="268" t="s">
        <v>34</v>
      </c>
      <c r="E329" s="292" t="s">
        <v>5371</v>
      </c>
      <c r="F329" s="292">
        <v>5.51206689E8</v>
      </c>
      <c r="G329" s="293" t="s">
        <v>27</v>
      </c>
      <c r="H329" s="293" t="s">
        <v>27</v>
      </c>
      <c r="I329" s="292" t="s">
        <v>643</v>
      </c>
      <c r="J329" s="292"/>
      <c r="K329" s="268" t="s">
        <v>62</v>
      </c>
      <c r="L329" s="193"/>
      <c r="M329" s="303" t="s">
        <v>51</v>
      </c>
      <c r="N329" s="303"/>
      <c r="O329" s="193" t="s">
        <v>40</v>
      </c>
      <c r="P329" s="195"/>
      <c r="Q329" s="268" t="s">
        <v>4074</v>
      </c>
      <c r="R329" s="292" t="s">
        <v>68</v>
      </c>
      <c r="S329" s="292"/>
      <c r="T329" s="292"/>
    </row>
    <row r="330" ht="42.0" hidden="1" customHeight="1">
      <c r="A330" s="193">
        <v>329.0</v>
      </c>
      <c r="B330" s="312">
        <v>46210.0</v>
      </c>
      <c r="C330" s="293" t="s">
        <v>47</v>
      </c>
      <c r="D330" s="193" t="s">
        <v>48</v>
      </c>
      <c r="E330" s="292" t="s">
        <v>5374</v>
      </c>
      <c r="F330" s="295">
        <v>5.39604442E8</v>
      </c>
      <c r="G330" s="195" t="s">
        <v>41</v>
      </c>
      <c r="H330" s="293" t="s">
        <v>27</v>
      </c>
      <c r="I330" s="292" t="s">
        <v>5375</v>
      </c>
      <c r="J330" s="303" t="s">
        <v>5376</v>
      </c>
      <c r="K330" s="268" t="s">
        <v>36</v>
      </c>
      <c r="L330" s="293" t="s">
        <v>42</v>
      </c>
      <c r="M330" s="303" t="s">
        <v>3355</v>
      </c>
      <c r="N330" s="293" t="s">
        <v>4791</v>
      </c>
      <c r="O330" s="193" t="s">
        <v>56</v>
      </c>
      <c r="P330" s="193" t="s">
        <v>4129</v>
      </c>
      <c r="Q330" s="268" t="s">
        <v>4074</v>
      </c>
      <c r="R330" s="193"/>
      <c r="S330" s="292"/>
      <c r="T330" s="292"/>
    </row>
    <row r="331" ht="42.0" hidden="1" customHeight="1">
      <c r="A331" s="193">
        <v>330.0</v>
      </c>
      <c r="B331" s="312">
        <v>46210.0</v>
      </c>
      <c r="C331" s="292" t="s">
        <v>21</v>
      </c>
      <c r="D331" s="268" t="s">
        <v>24</v>
      </c>
      <c r="E331" s="292" t="s">
        <v>5378</v>
      </c>
      <c r="F331" s="292">
        <v>5.36040458E8</v>
      </c>
      <c r="G331" s="292" t="s">
        <v>2174</v>
      </c>
      <c r="H331" s="292" t="s">
        <v>27</v>
      </c>
      <c r="I331" s="292" t="s">
        <v>5381</v>
      </c>
      <c r="J331" s="292"/>
      <c r="K331" s="268" t="s">
        <v>36</v>
      </c>
      <c r="L331" s="193"/>
      <c r="M331" s="303" t="s">
        <v>38</v>
      </c>
      <c r="N331" s="303"/>
      <c r="O331" s="193" t="s">
        <v>40</v>
      </c>
      <c r="P331" s="195"/>
      <c r="Q331" s="268" t="s">
        <v>4074</v>
      </c>
      <c r="R331" s="292" t="s">
        <v>68</v>
      </c>
      <c r="S331" s="292"/>
      <c r="T331" s="292"/>
    </row>
    <row r="332" ht="138.75" hidden="1" customHeight="1">
      <c r="A332" s="193">
        <v>331.0</v>
      </c>
      <c r="B332" s="312">
        <v>46210.0</v>
      </c>
      <c r="C332" s="292" t="s">
        <v>47</v>
      </c>
      <c r="D332" s="193" t="s">
        <v>24</v>
      </c>
      <c r="E332" s="292" t="s">
        <v>27</v>
      </c>
      <c r="F332" s="292" t="s">
        <v>27</v>
      </c>
      <c r="G332" s="292" t="s">
        <v>79</v>
      </c>
      <c r="H332" s="292" t="s">
        <v>5385</v>
      </c>
      <c r="I332" s="292" t="s">
        <v>5386</v>
      </c>
      <c r="J332" s="292"/>
      <c r="K332" s="268" t="s">
        <v>78</v>
      </c>
      <c r="L332" s="193"/>
      <c r="M332" s="303" t="s">
        <v>55</v>
      </c>
      <c r="N332" s="303"/>
      <c r="O332" s="193" t="s">
        <v>40</v>
      </c>
      <c r="P332" s="195"/>
      <c r="Q332" s="268" t="s">
        <v>4074</v>
      </c>
      <c r="R332" s="193"/>
      <c r="S332" s="292"/>
      <c r="T332" s="292"/>
    </row>
    <row r="333" ht="63.75" hidden="1" customHeight="1">
      <c r="A333" s="193">
        <v>332.0</v>
      </c>
      <c r="B333" s="312">
        <v>46210.0</v>
      </c>
      <c r="C333" s="292" t="s">
        <v>47</v>
      </c>
      <c r="D333" s="268" t="s">
        <v>48</v>
      </c>
      <c r="E333" s="292" t="s">
        <v>27</v>
      </c>
      <c r="F333" s="292" t="s">
        <v>27</v>
      </c>
      <c r="G333" s="195" t="s">
        <v>41</v>
      </c>
      <c r="H333" s="292" t="s">
        <v>1361</v>
      </c>
      <c r="I333" s="292" t="s">
        <v>5389</v>
      </c>
      <c r="J333" s="303" t="s">
        <v>5391</v>
      </c>
      <c r="K333" s="268" t="s">
        <v>78</v>
      </c>
      <c r="L333" s="193"/>
      <c r="M333" s="303" t="s">
        <v>101</v>
      </c>
      <c r="N333" s="303"/>
      <c r="O333" s="193" t="s">
        <v>56</v>
      </c>
      <c r="P333" s="195" t="s">
        <v>3765</v>
      </c>
      <c r="Q333" s="268" t="s">
        <v>4074</v>
      </c>
      <c r="R333" s="193" t="s">
        <v>46</v>
      </c>
      <c r="S333" s="292"/>
      <c r="T333" s="292"/>
    </row>
    <row r="334" ht="63.75" hidden="1" customHeight="1">
      <c r="A334" s="193">
        <v>333.0</v>
      </c>
      <c r="B334" s="312">
        <v>46210.0</v>
      </c>
      <c r="C334" s="292" t="s">
        <v>58</v>
      </c>
      <c r="D334" s="268" t="s">
        <v>57</v>
      </c>
      <c r="E334" s="292" t="s">
        <v>27</v>
      </c>
      <c r="F334" s="292">
        <v>5.06009888E8</v>
      </c>
      <c r="G334" s="292" t="s">
        <v>27</v>
      </c>
      <c r="H334" s="292" t="s">
        <v>27</v>
      </c>
      <c r="I334" s="292" t="s">
        <v>5394</v>
      </c>
      <c r="J334" s="292"/>
      <c r="K334" s="268" t="s">
        <v>36</v>
      </c>
      <c r="L334" s="193"/>
      <c r="M334" s="303" t="s">
        <v>88</v>
      </c>
      <c r="N334" s="303"/>
      <c r="O334" s="193" t="s">
        <v>40</v>
      </c>
      <c r="P334" s="195"/>
      <c r="Q334" s="268" t="s">
        <v>4074</v>
      </c>
      <c r="R334" s="292" t="s">
        <v>68</v>
      </c>
      <c r="S334" s="292"/>
      <c r="T334" s="292"/>
    </row>
    <row r="335" ht="63.75" hidden="1" customHeight="1">
      <c r="A335" s="193">
        <v>334.0</v>
      </c>
      <c r="B335" s="312">
        <v>46210.0</v>
      </c>
      <c r="C335" s="292" t="s">
        <v>58</v>
      </c>
      <c r="D335" s="268" t="s">
        <v>60</v>
      </c>
      <c r="E335" s="292" t="s">
        <v>27</v>
      </c>
      <c r="F335" s="292">
        <v>5.056154E8</v>
      </c>
      <c r="G335" s="292" t="s">
        <v>27</v>
      </c>
      <c r="H335" s="292" t="s">
        <v>27</v>
      </c>
      <c r="I335" s="292" t="s">
        <v>5399</v>
      </c>
      <c r="J335" s="292"/>
      <c r="K335" s="268" t="s">
        <v>36</v>
      </c>
      <c r="L335" s="193"/>
      <c r="M335" s="303" t="s">
        <v>88</v>
      </c>
      <c r="N335" s="303"/>
      <c r="O335" s="193" t="s">
        <v>40</v>
      </c>
      <c r="P335" s="195"/>
      <c r="Q335" s="268" t="s">
        <v>4074</v>
      </c>
      <c r="R335" s="292" t="s">
        <v>68</v>
      </c>
      <c r="S335" s="292"/>
      <c r="T335" s="292"/>
    </row>
    <row r="336" ht="63.75" hidden="1" customHeight="1">
      <c r="A336" s="193">
        <v>335.0</v>
      </c>
      <c r="B336" s="312">
        <v>46210.0</v>
      </c>
      <c r="C336" s="292" t="s">
        <v>47</v>
      </c>
      <c r="D336" s="193" t="s">
        <v>57</v>
      </c>
      <c r="E336" s="292" t="s">
        <v>5401</v>
      </c>
      <c r="F336" s="292">
        <v>5.3902742E8</v>
      </c>
      <c r="G336" s="195" t="s">
        <v>71</v>
      </c>
      <c r="H336" s="292" t="s">
        <v>72</v>
      </c>
      <c r="I336" s="292" t="s">
        <v>5404</v>
      </c>
      <c r="J336" s="303" t="s">
        <v>5405</v>
      </c>
      <c r="K336" s="268" t="s">
        <v>36</v>
      </c>
      <c r="L336" s="193"/>
      <c r="M336" s="303" t="s">
        <v>55</v>
      </c>
      <c r="N336" s="303"/>
      <c r="O336" s="193" t="s">
        <v>40</v>
      </c>
      <c r="P336" s="195"/>
      <c r="Q336" s="268" t="s">
        <v>4074</v>
      </c>
      <c r="R336" s="292" t="s">
        <v>68</v>
      </c>
      <c r="S336" s="292"/>
      <c r="T336" s="292"/>
    </row>
    <row r="337" ht="63.75" hidden="1" customHeight="1">
      <c r="A337" s="193">
        <v>336.0</v>
      </c>
      <c r="B337" s="312">
        <v>46211.0</v>
      </c>
      <c r="C337" s="293" t="s">
        <v>47</v>
      </c>
      <c r="D337" s="193" t="s">
        <v>92</v>
      </c>
      <c r="E337" s="303" t="s">
        <v>1339</v>
      </c>
      <c r="F337" s="293">
        <v>5.46166198E8</v>
      </c>
      <c r="G337" s="195" t="s">
        <v>71</v>
      </c>
      <c r="H337" s="293" t="s">
        <v>94</v>
      </c>
      <c r="I337" s="265" t="s">
        <v>5408</v>
      </c>
      <c r="J337" s="303" t="s">
        <v>5409</v>
      </c>
      <c r="K337" s="193" t="s">
        <v>62</v>
      </c>
      <c r="L337" s="193" t="s">
        <v>3811</v>
      </c>
      <c r="M337" s="303" t="s">
        <v>98</v>
      </c>
      <c r="N337" s="303"/>
      <c r="O337" s="193" t="s">
        <v>40</v>
      </c>
      <c r="P337" s="195" t="s">
        <v>3997</v>
      </c>
      <c r="Q337" s="193" t="s">
        <v>44</v>
      </c>
      <c r="R337" s="293" t="s">
        <v>46</v>
      </c>
      <c r="S337" s="292"/>
      <c r="T337" s="292"/>
    </row>
    <row r="338" ht="63.75" hidden="1" customHeight="1">
      <c r="A338" s="193">
        <v>337.0</v>
      </c>
      <c r="B338" s="312">
        <v>46211.0</v>
      </c>
      <c r="C338" s="293" t="s">
        <v>21</v>
      </c>
      <c r="D338" s="193" t="s">
        <v>24</v>
      </c>
      <c r="E338" s="303" t="s">
        <v>906</v>
      </c>
      <c r="F338" s="293">
        <v>5.50033441E8</v>
      </c>
      <c r="G338" s="195" t="s">
        <v>71</v>
      </c>
      <c r="H338" s="293" t="s">
        <v>27</v>
      </c>
      <c r="I338" s="303" t="s">
        <v>5414</v>
      </c>
      <c r="J338" s="292"/>
      <c r="K338" s="193" t="s">
        <v>62</v>
      </c>
      <c r="L338" s="193"/>
      <c r="M338" s="303" t="s">
        <v>38</v>
      </c>
      <c r="N338" s="303"/>
      <c r="O338" s="193" t="s">
        <v>40</v>
      </c>
      <c r="P338" s="195"/>
      <c r="Q338" s="193" t="s">
        <v>44</v>
      </c>
      <c r="R338" s="293" t="s">
        <v>46</v>
      </c>
      <c r="S338" s="292"/>
      <c r="T338" s="292"/>
    </row>
    <row r="339" ht="63.75" hidden="1" customHeight="1">
      <c r="A339" s="193">
        <v>338.0</v>
      </c>
      <c r="B339" s="312">
        <v>46211.0</v>
      </c>
      <c r="C339" s="293" t="s">
        <v>21</v>
      </c>
      <c r="D339" s="193" t="s">
        <v>60</v>
      </c>
      <c r="E339" s="293" t="s">
        <v>27</v>
      </c>
      <c r="F339" s="293">
        <v>5.02527119E8</v>
      </c>
      <c r="G339" s="193" t="s">
        <v>27</v>
      </c>
      <c r="H339" s="293" t="s">
        <v>27</v>
      </c>
      <c r="I339" s="303" t="s">
        <v>5418</v>
      </c>
      <c r="J339" s="292"/>
      <c r="K339" s="193" t="s">
        <v>62</v>
      </c>
      <c r="L339" s="193"/>
      <c r="M339" s="303" t="s">
        <v>38</v>
      </c>
      <c r="N339" s="303"/>
      <c r="O339" s="193" t="s">
        <v>40</v>
      </c>
      <c r="P339" s="195"/>
      <c r="Q339" s="193" t="s">
        <v>44</v>
      </c>
      <c r="R339" s="292"/>
      <c r="S339" s="292"/>
      <c r="T339" s="292"/>
    </row>
    <row r="340" ht="63.75" hidden="1" customHeight="1">
      <c r="A340" s="193">
        <v>339.0</v>
      </c>
      <c r="B340" s="312">
        <v>46211.0</v>
      </c>
      <c r="C340" s="293" t="s">
        <v>21</v>
      </c>
      <c r="D340" s="193" t="s">
        <v>24</v>
      </c>
      <c r="E340" s="303" t="s">
        <v>5421</v>
      </c>
      <c r="F340" s="293">
        <v>5.43702223E8</v>
      </c>
      <c r="G340" s="303" t="s">
        <v>112</v>
      </c>
      <c r="H340" s="293" t="s">
        <v>27</v>
      </c>
      <c r="I340" s="303" t="s">
        <v>5424</v>
      </c>
      <c r="J340" s="292"/>
      <c r="K340" s="193" t="s">
        <v>36</v>
      </c>
      <c r="L340" s="193"/>
      <c r="M340" s="303" t="s">
        <v>38</v>
      </c>
      <c r="N340" s="303"/>
      <c r="O340" s="193" t="s">
        <v>40</v>
      </c>
      <c r="P340" s="195"/>
      <c r="Q340" s="193" t="s">
        <v>44</v>
      </c>
      <c r="R340" s="293" t="s">
        <v>46</v>
      </c>
      <c r="S340" s="292"/>
      <c r="T340" s="292"/>
    </row>
    <row r="341" ht="63.75" hidden="1" customHeight="1">
      <c r="A341" s="193">
        <v>340.0</v>
      </c>
      <c r="B341" s="312">
        <v>46212.0</v>
      </c>
      <c r="C341" s="293" t="s">
        <v>58</v>
      </c>
      <c r="D341" s="193" t="s">
        <v>60</v>
      </c>
      <c r="E341" s="293" t="s">
        <v>27</v>
      </c>
      <c r="F341" s="293">
        <v>5.3076016E8</v>
      </c>
      <c r="G341" s="303" t="s">
        <v>79</v>
      </c>
      <c r="H341" s="193" t="s">
        <v>27</v>
      </c>
      <c r="I341" s="303" t="s">
        <v>1945</v>
      </c>
      <c r="J341" s="292"/>
      <c r="K341" s="193" t="s">
        <v>36</v>
      </c>
      <c r="L341" s="193"/>
      <c r="M341" s="303" t="s">
        <v>88</v>
      </c>
      <c r="N341" s="303"/>
      <c r="O341" s="193" t="s">
        <v>40</v>
      </c>
      <c r="P341" s="195"/>
      <c r="Q341" s="193" t="s">
        <v>44</v>
      </c>
      <c r="R341" s="292"/>
      <c r="S341" s="292"/>
      <c r="T341" s="292"/>
    </row>
    <row r="342" ht="63.75" hidden="1" customHeight="1">
      <c r="A342" s="193">
        <v>341.0</v>
      </c>
      <c r="B342" s="312">
        <v>46212.0</v>
      </c>
      <c r="C342" s="293" t="s">
        <v>58</v>
      </c>
      <c r="D342" s="193" t="s">
        <v>60</v>
      </c>
      <c r="E342" s="195" t="s">
        <v>5433</v>
      </c>
      <c r="F342" s="196">
        <v>4.42030512566E11</v>
      </c>
      <c r="G342" s="193" t="s">
        <v>27</v>
      </c>
      <c r="H342" s="193" t="s">
        <v>27</v>
      </c>
      <c r="I342" s="303" t="s">
        <v>5434</v>
      </c>
      <c r="J342" s="292"/>
      <c r="K342" s="193" t="s">
        <v>36</v>
      </c>
      <c r="L342" s="193"/>
      <c r="M342" s="303" t="s">
        <v>88</v>
      </c>
      <c r="N342" s="303"/>
      <c r="O342" s="193" t="s">
        <v>40</v>
      </c>
      <c r="P342" s="195"/>
      <c r="Q342" s="193" t="s">
        <v>44</v>
      </c>
      <c r="R342" s="292"/>
      <c r="S342" s="292"/>
      <c r="T342" s="292"/>
    </row>
    <row r="343" ht="63.75" hidden="1" customHeight="1">
      <c r="A343" s="193">
        <v>342.0</v>
      </c>
      <c r="B343" s="312">
        <v>46212.0</v>
      </c>
      <c r="C343" s="293" t="s">
        <v>58</v>
      </c>
      <c r="D343" s="193" t="s">
        <v>60</v>
      </c>
      <c r="E343" s="193" t="s">
        <v>27</v>
      </c>
      <c r="F343" s="293">
        <v>5.52588657E8</v>
      </c>
      <c r="G343" s="193" t="s">
        <v>27</v>
      </c>
      <c r="H343" s="193" t="s">
        <v>27</v>
      </c>
      <c r="I343" s="303" t="s">
        <v>5440</v>
      </c>
      <c r="J343" s="292"/>
      <c r="K343" s="193" t="s">
        <v>62</v>
      </c>
      <c r="L343" s="193"/>
      <c r="M343" s="303" t="s">
        <v>88</v>
      </c>
      <c r="N343" s="303"/>
      <c r="O343" s="193" t="s">
        <v>40</v>
      </c>
      <c r="P343" s="195"/>
      <c r="Q343" s="193" t="s">
        <v>44</v>
      </c>
      <c r="R343" s="292"/>
      <c r="S343" s="292"/>
      <c r="T343" s="292"/>
    </row>
    <row r="344" ht="63.75" hidden="1" customHeight="1">
      <c r="A344" s="193">
        <v>343.0</v>
      </c>
      <c r="B344" s="312">
        <v>46212.0</v>
      </c>
      <c r="C344" s="293" t="s">
        <v>21</v>
      </c>
      <c r="D344" s="193" t="s">
        <v>22</v>
      </c>
      <c r="E344" s="303" t="s">
        <v>5447</v>
      </c>
      <c r="F344" s="293">
        <v>5.57722434E8</v>
      </c>
      <c r="G344" s="193" t="s">
        <v>27</v>
      </c>
      <c r="H344" s="193" t="s">
        <v>27</v>
      </c>
      <c r="I344" s="303" t="s">
        <v>5448</v>
      </c>
      <c r="J344" s="292"/>
      <c r="K344" s="193" t="s">
        <v>62</v>
      </c>
      <c r="L344" s="193"/>
      <c r="M344" s="303" t="s">
        <v>38</v>
      </c>
      <c r="N344" s="303"/>
      <c r="O344" s="193" t="s">
        <v>40</v>
      </c>
      <c r="P344" s="195"/>
      <c r="Q344" s="193" t="s">
        <v>44</v>
      </c>
      <c r="R344" s="293" t="s">
        <v>46</v>
      </c>
      <c r="S344" s="292"/>
      <c r="T344" s="292"/>
    </row>
    <row r="345" ht="63.75" hidden="1" customHeight="1">
      <c r="A345" s="193">
        <v>344.0</v>
      </c>
      <c r="B345" s="312">
        <v>46212.0</v>
      </c>
      <c r="C345" s="293" t="s">
        <v>3766</v>
      </c>
      <c r="D345" s="193" t="s">
        <v>57</v>
      </c>
      <c r="E345" s="293" t="s">
        <v>5453</v>
      </c>
      <c r="F345" s="293">
        <v>5.50941419E8</v>
      </c>
      <c r="G345" s="303" t="s">
        <v>152</v>
      </c>
      <c r="H345" s="193" t="s">
        <v>27</v>
      </c>
      <c r="I345" s="303" t="s">
        <v>5455</v>
      </c>
      <c r="J345" s="292"/>
      <c r="K345" s="193" t="s">
        <v>62</v>
      </c>
      <c r="L345" s="193"/>
      <c r="M345" s="303" t="s">
        <v>3776</v>
      </c>
      <c r="N345" s="303"/>
      <c r="O345" s="193" t="s">
        <v>40</v>
      </c>
      <c r="P345" s="195"/>
      <c r="Q345" s="193" t="s">
        <v>44</v>
      </c>
      <c r="R345" s="292"/>
      <c r="S345" s="292"/>
      <c r="T345" s="292"/>
    </row>
    <row r="346" ht="63.75" hidden="1" customHeight="1">
      <c r="A346" s="193">
        <v>345.0</v>
      </c>
      <c r="B346" s="312">
        <v>46212.0</v>
      </c>
      <c r="C346" s="293" t="s">
        <v>21</v>
      </c>
      <c r="D346" s="193" t="s">
        <v>24</v>
      </c>
      <c r="E346" s="303" t="s">
        <v>5458</v>
      </c>
      <c r="F346" s="293">
        <v>5.0085013E8</v>
      </c>
      <c r="G346" s="303" t="s">
        <v>237</v>
      </c>
      <c r="H346" s="193" t="s">
        <v>27</v>
      </c>
      <c r="I346" s="303" t="s">
        <v>5460</v>
      </c>
      <c r="J346" s="292"/>
      <c r="K346" s="193" t="s">
        <v>62</v>
      </c>
      <c r="L346" s="193"/>
      <c r="M346" s="303" t="s">
        <v>38</v>
      </c>
      <c r="N346" s="303"/>
      <c r="O346" s="193" t="s">
        <v>40</v>
      </c>
      <c r="P346" s="195"/>
      <c r="Q346" s="193" t="s">
        <v>44</v>
      </c>
      <c r="R346" s="293" t="s">
        <v>46</v>
      </c>
      <c r="S346" s="292"/>
      <c r="T346" s="292"/>
    </row>
    <row r="347" ht="63.75" hidden="1" customHeight="1">
      <c r="A347" s="193">
        <v>346.0</v>
      </c>
      <c r="B347" s="312">
        <v>46212.0</v>
      </c>
      <c r="C347" s="293" t="s">
        <v>21</v>
      </c>
      <c r="D347" s="193" t="s">
        <v>22</v>
      </c>
      <c r="E347" s="303" t="s">
        <v>5462</v>
      </c>
      <c r="F347" s="293">
        <v>5.02527119E8</v>
      </c>
      <c r="G347" s="193" t="s">
        <v>27</v>
      </c>
      <c r="H347" s="193" t="s">
        <v>27</v>
      </c>
      <c r="I347" s="303" t="s">
        <v>5464</v>
      </c>
      <c r="J347" s="292"/>
      <c r="K347" s="193" t="s">
        <v>36</v>
      </c>
      <c r="L347" s="193"/>
      <c r="M347" s="303" t="s">
        <v>38</v>
      </c>
      <c r="N347" s="303"/>
      <c r="O347" s="193" t="s">
        <v>40</v>
      </c>
      <c r="P347" s="195"/>
      <c r="Q347" s="193" t="s">
        <v>44</v>
      </c>
      <c r="R347" s="293" t="s">
        <v>46</v>
      </c>
      <c r="S347" s="292"/>
      <c r="T347" s="292"/>
    </row>
    <row r="348" ht="63.75" hidden="1" customHeight="1">
      <c r="A348" s="193">
        <v>347.0</v>
      </c>
      <c r="B348" s="312">
        <v>46212.0</v>
      </c>
      <c r="C348" s="293" t="s">
        <v>58</v>
      </c>
      <c r="D348" s="193" t="s">
        <v>60</v>
      </c>
      <c r="E348" s="193" t="s">
        <v>27</v>
      </c>
      <c r="F348" s="293">
        <v>5.60909334E8</v>
      </c>
      <c r="G348" s="193" t="s">
        <v>27</v>
      </c>
      <c r="H348" s="193" t="s">
        <v>27</v>
      </c>
      <c r="I348" s="303" t="s">
        <v>1564</v>
      </c>
      <c r="J348" s="292"/>
      <c r="K348" s="193" t="s">
        <v>36</v>
      </c>
      <c r="L348" s="193"/>
      <c r="M348" s="303" t="s">
        <v>88</v>
      </c>
      <c r="N348" s="303"/>
      <c r="O348" s="193" t="s">
        <v>40</v>
      </c>
      <c r="P348" s="195"/>
      <c r="Q348" s="193" t="s">
        <v>44</v>
      </c>
      <c r="R348" s="292"/>
      <c r="S348" s="292"/>
      <c r="T348" s="292"/>
    </row>
    <row r="349" ht="63.75" hidden="1" customHeight="1">
      <c r="A349" s="193">
        <v>348.0</v>
      </c>
      <c r="B349" s="312">
        <v>46212.0</v>
      </c>
      <c r="C349" s="293" t="s">
        <v>58</v>
      </c>
      <c r="D349" s="193" t="s">
        <v>60</v>
      </c>
      <c r="E349" s="193" t="s">
        <v>27</v>
      </c>
      <c r="F349" s="293">
        <v>5.67890599E8</v>
      </c>
      <c r="G349" s="195" t="s">
        <v>41</v>
      </c>
      <c r="H349" s="193" t="s">
        <v>27</v>
      </c>
      <c r="I349" s="303" t="s">
        <v>5474</v>
      </c>
      <c r="J349" s="292"/>
      <c r="K349" s="193" t="s">
        <v>36</v>
      </c>
      <c r="L349" s="193"/>
      <c r="M349" s="303" t="s">
        <v>88</v>
      </c>
      <c r="N349" s="303"/>
      <c r="O349" s="193" t="s">
        <v>40</v>
      </c>
      <c r="P349" s="195"/>
      <c r="Q349" s="193" t="s">
        <v>44</v>
      </c>
      <c r="R349" s="292"/>
      <c r="S349" s="292"/>
      <c r="T349" s="292"/>
    </row>
    <row r="350" ht="63.75" hidden="1" customHeight="1">
      <c r="A350" s="193">
        <v>349.0</v>
      </c>
      <c r="B350" s="312">
        <v>46212.0</v>
      </c>
      <c r="C350" s="293" t="s">
        <v>21</v>
      </c>
      <c r="D350" s="193" t="s">
        <v>22</v>
      </c>
      <c r="E350" s="303" t="s">
        <v>5478</v>
      </c>
      <c r="F350" s="293">
        <v>5.57457388E8</v>
      </c>
      <c r="G350" s="303" t="s">
        <v>152</v>
      </c>
      <c r="H350" s="293" t="s">
        <v>27</v>
      </c>
      <c r="I350" s="303" t="s">
        <v>5479</v>
      </c>
      <c r="J350" s="292"/>
      <c r="K350" s="193" t="s">
        <v>62</v>
      </c>
      <c r="L350" s="193"/>
      <c r="M350" s="303" t="s">
        <v>38</v>
      </c>
      <c r="N350" s="303"/>
      <c r="O350" s="193" t="s">
        <v>40</v>
      </c>
      <c r="P350" s="195"/>
      <c r="Q350" s="193" t="s">
        <v>44</v>
      </c>
      <c r="R350" s="293" t="s">
        <v>46</v>
      </c>
      <c r="S350" s="292"/>
      <c r="T350" s="292"/>
    </row>
    <row r="351" ht="63.75" hidden="1" customHeight="1">
      <c r="A351" s="193">
        <v>350.0</v>
      </c>
      <c r="B351" s="312">
        <v>46212.0</v>
      </c>
      <c r="C351" s="293" t="s">
        <v>21</v>
      </c>
      <c r="D351" s="193" t="s">
        <v>22</v>
      </c>
      <c r="E351" s="303" t="s">
        <v>463</v>
      </c>
      <c r="F351" s="293">
        <v>5.54242494E8</v>
      </c>
      <c r="G351" s="303" t="s">
        <v>79</v>
      </c>
      <c r="H351" s="193" t="s">
        <v>27</v>
      </c>
      <c r="I351" s="303" t="s">
        <v>5484</v>
      </c>
      <c r="J351" s="292"/>
      <c r="K351" s="193" t="s">
        <v>457</v>
      </c>
      <c r="L351" s="193"/>
      <c r="M351" s="303" t="s">
        <v>38</v>
      </c>
      <c r="N351" s="303"/>
      <c r="O351" s="193" t="s">
        <v>40</v>
      </c>
      <c r="P351" s="195"/>
      <c r="Q351" s="193" t="s">
        <v>44</v>
      </c>
      <c r="R351" s="293" t="s">
        <v>46</v>
      </c>
      <c r="S351" s="292"/>
      <c r="T351" s="292"/>
    </row>
    <row r="352" ht="63.75" hidden="1" customHeight="1">
      <c r="A352" s="193">
        <v>351.0</v>
      </c>
      <c r="B352" s="312">
        <v>46212.0</v>
      </c>
      <c r="C352" s="292" t="s">
        <v>47</v>
      </c>
      <c r="D352" s="268" t="s">
        <v>60</v>
      </c>
      <c r="E352" s="292" t="s">
        <v>5491</v>
      </c>
      <c r="F352" s="292">
        <v>5.6100223E8</v>
      </c>
      <c r="G352" s="195" t="s">
        <v>41</v>
      </c>
      <c r="H352" s="292" t="s">
        <v>27</v>
      </c>
      <c r="I352" s="332" t="s">
        <v>5492</v>
      </c>
      <c r="J352" s="292" t="s">
        <v>5497</v>
      </c>
      <c r="K352" s="268" t="s">
        <v>36</v>
      </c>
      <c r="L352" s="193"/>
      <c r="M352" s="303" t="s">
        <v>611</v>
      </c>
      <c r="N352" s="303"/>
      <c r="O352" s="193" t="s">
        <v>40</v>
      </c>
      <c r="P352" s="195"/>
      <c r="Q352" s="268" t="s">
        <v>4074</v>
      </c>
      <c r="R352" s="292"/>
      <c r="S352" s="295" t="s">
        <v>44</v>
      </c>
      <c r="T352" s="292"/>
    </row>
    <row r="353" ht="63.75" hidden="1" customHeight="1">
      <c r="A353" s="193">
        <v>352.0</v>
      </c>
      <c r="B353" s="312">
        <v>46212.0</v>
      </c>
      <c r="C353" s="292" t="s">
        <v>47</v>
      </c>
      <c r="D353" s="193" t="s">
        <v>48</v>
      </c>
      <c r="E353" s="292" t="s">
        <v>5502</v>
      </c>
      <c r="F353" s="292" t="s">
        <v>942</v>
      </c>
      <c r="G353" s="292" t="s">
        <v>426</v>
      </c>
      <c r="H353" s="292" t="s">
        <v>1087</v>
      </c>
      <c r="I353" s="292" t="s">
        <v>5503</v>
      </c>
      <c r="J353" s="292"/>
      <c r="K353" s="268" t="s">
        <v>78</v>
      </c>
      <c r="L353" s="193" t="s">
        <v>42</v>
      </c>
      <c r="M353" s="303" t="s">
        <v>101</v>
      </c>
      <c r="N353" s="303"/>
      <c r="O353" s="193" t="s">
        <v>40</v>
      </c>
      <c r="P353" s="195" t="s">
        <v>3765</v>
      </c>
      <c r="Q353" s="268" t="s">
        <v>4074</v>
      </c>
      <c r="R353" s="293" t="s">
        <v>46</v>
      </c>
      <c r="S353" s="295"/>
      <c r="T353" s="292"/>
    </row>
    <row r="354" ht="63.75" hidden="1" customHeight="1">
      <c r="A354" s="193">
        <v>353.0</v>
      </c>
      <c r="B354" s="312">
        <v>46212.0</v>
      </c>
      <c r="C354" s="292" t="s">
        <v>58</v>
      </c>
      <c r="D354" s="268" t="s">
        <v>60</v>
      </c>
      <c r="E354" s="292" t="s">
        <v>27</v>
      </c>
      <c r="F354" s="292">
        <v>5.0084014E8</v>
      </c>
      <c r="G354" s="292" t="s">
        <v>27</v>
      </c>
      <c r="H354" s="292" t="s">
        <v>27</v>
      </c>
      <c r="I354" s="292" t="s">
        <v>5509</v>
      </c>
      <c r="J354" s="292"/>
      <c r="K354" s="268" t="s">
        <v>36</v>
      </c>
      <c r="L354" s="193"/>
      <c r="M354" s="303" t="s">
        <v>88</v>
      </c>
      <c r="N354" s="303"/>
      <c r="O354" s="193" t="s">
        <v>40</v>
      </c>
      <c r="P354" s="195"/>
      <c r="Q354" s="268" t="s">
        <v>4074</v>
      </c>
      <c r="R354" s="292"/>
      <c r="S354" s="295"/>
      <c r="T354" s="292"/>
    </row>
    <row r="355" ht="63.75" hidden="1" customHeight="1">
      <c r="A355" s="193">
        <v>354.0</v>
      </c>
      <c r="B355" s="312">
        <v>46212.0</v>
      </c>
      <c r="C355" s="292" t="s">
        <v>58</v>
      </c>
      <c r="D355" s="268" t="s">
        <v>60</v>
      </c>
      <c r="E355" s="292" t="s">
        <v>27</v>
      </c>
      <c r="F355" s="292">
        <v>5.56478479E8</v>
      </c>
      <c r="G355" s="193" t="s">
        <v>27</v>
      </c>
      <c r="H355" s="193" t="s">
        <v>27</v>
      </c>
      <c r="I355" s="292" t="s">
        <v>5513</v>
      </c>
      <c r="J355" s="292"/>
      <c r="K355" s="268" t="s">
        <v>36</v>
      </c>
      <c r="L355" s="193"/>
      <c r="M355" s="303" t="s">
        <v>88</v>
      </c>
      <c r="N355" s="303"/>
      <c r="O355" s="193" t="s">
        <v>40</v>
      </c>
      <c r="P355" s="195"/>
      <c r="Q355" s="268" t="s">
        <v>4074</v>
      </c>
      <c r="R355" s="292"/>
      <c r="S355" s="295"/>
      <c r="T355" s="292"/>
    </row>
    <row r="356" ht="63.75" hidden="1" customHeight="1">
      <c r="A356" s="193">
        <v>355.0</v>
      </c>
      <c r="B356" s="312">
        <v>46212.0</v>
      </c>
      <c r="C356" s="292" t="s">
        <v>58</v>
      </c>
      <c r="D356" s="268" t="s">
        <v>60</v>
      </c>
      <c r="E356" s="292" t="s">
        <v>27</v>
      </c>
      <c r="F356" s="292">
        <v>5.56553339E8</v>
      </c>
      <c r="G356" s="193" t="s">
        <v>27</v>
      </c>
      <c r="H356" s="193" t="s">
        <v>27</v>
      </c>
      <c r="I356" s="292" t="s">
        <v>124</v>
      </c>
      <c r="J356" s="292"/>
      <c r="K356" s="268" t="s">
        <v>36</v>
      </c>
      <c r="L356" s="193"/>
      <c r="M356" s="303" t="s">
        <v>38</v>
      </c>
      <c r="N356" s="303"/>
      <c r="O356" s="193" t="s">
        <v>40</v>
      </c>
      <c r="P356" s="195"/>
      <c r="Q356" s="268" t="s">
        <v>4074</v>
      </c>
      <c r="R356" s="292"/>
      <c r="S356" s="295"/>
      <c r="T356" s="292"/>
    </row>
    <row r="357" ht="63.75" hidden="1" customHeight="1">
      <c r="A357" s="193">
        <v>356.0</v>
      </c>
      <c r="B357" s="312">
        <v>46212.0</v>
      </c>
      <c r="C357" s="292" t="s">
        <v>58</v>
      </c>
      <c r="D357" s="268" t="s">
        <v>60</v>
      </c>
      <c r="E357" s="292" t="s">
        <v>27</v>
      </c>
      <c r="F357" s="292">
        <v>5.47804566E8</v>
      </c>
      <c r="G357" s="193" t="s">
        <v>27</v>
      </c>
      <c r="H357" s="193" t="s">
        <v>27</v>
      </c>
      <c r="I357" s="292" t="s">
        <v>2483</v>
      </c>
      <c r="J357" s="292"/>
      <c r="K357" s="268" t="s">
        <v>36</v>
      </c>
      <c r="L357" s="193"/>
      <c r="M357" s="303" t="s">
        <v>88</v>
      </c>
      <c r="N357" s="303"/>
      <c r="O357" s="193" t="s">
        <v>40</v>
      </c>
      <c r="P357" s="195"/>
      <c r="Q357" s="268" t="s">
        <v>4074</v>
      </c>
      <c r="R357" s="292"/>
      <c r="S357" s="295"/>
      <c r="T357" s="292"/>
    </row>
    <row r="358" ht="63.75" hidden="1" customHeight="1">
      <c r="A358" s="193">
        <v>357.0</v>
      </c>
      <c r="B358" s="312">
        <v>46212.0</v>
      </c>
      <c r="C358" s="292" t="s">
        <v>58</v>
      </c>
      <c r="D358" s="268" t="s">
        <v>60</v>
      </c>
      <c r="E358" s="292" t="s">
        <v>27</v>
      </c>
      <c r="F358" s="292">
        <v>5.31356634E8</v>
      </c>
      <c r="G358" s="193" t="s">
        <v>27</v>
      </c>
      <c r="H358" s="193" t="s">
        <v>27</v>
      </c>
      <c r="I358" s="292" t="s">
        <v>5525</v>
      </c>
      <c r="J358" s="292" t="s">
        <v>1582</v>
      </c>
      <c r="K358" s="268" t="s">
        <v>36</v>
      </c>
      <c r="L358" s="193"/>
      <c r="M358" s="303" t="s">
        <v>88</v>
      </c>
      <c r="N358" s="303"/>
      <c r="O358" s="193" t="s">
        <v>40</v>
      </c>
      <c r="P358" s="195"/>
      <c r="Q358" s="268" t="s">
        <v>4074</v>
      </c>
      <c r="R358" s="292"/>
      <c r="S358" s="295"/>
      <c r="T358" s="292"/>
    </row>
    <row r="359" ht="63.75" hidden="1" customHeight="1">
      <c r="A359" s="193">
        <v>358.0</v>
      </c>
      <c r="B359" s="312">
        <v>46212.0</v>
      </c>
      <c r="C359" s="292" t="s">
        <v>58</v>
      </c>
      <c r="D359" s="268" t="s">
        <v>60</v>
      </c>
      <c r="E359" s="292" t="s">
        <v>584</v>
      </c>
      <c r="F359" s="292">
        <v>5.68936603E8</v>
      </c>
      <c r="G359" s="292" t="s">
        <v>27</v>
      </c>
      <c r="H359" s="292" t="s">
        <v>27</v>
      </c>
      <c r="I359" s="292" t="s">
        <v>5531</v>
      </c>
      <c r="J359" s="292"/>
      <c r="K359" s="268" t="s">
        <v>36</v>
      </c>
      <c r="L359" s="193"/>
      <c r="M359" s="303" t="s">
        <v>88</v>
      </c>
      <c r="N359" s="303"/>
      <c r="O359" s="193" t="s">
        <v>40</v>
      </c>
      <c r="P359" s="195"/>
      <c r="Q359" s="268" t="s">
        <v>4074</v>
      </c>
      <c r="R359" s="292"/>
      <c r="S359" s="295"/>
      <c r="T359" s="292"/>
    </row>
    <row r="360" ht="63.75" hidden="1" customHeight="1">
      <c r="A360" s="193">
        <v>359.0</v>
      </c>
      <c r="B360" s="312">
        <v>46212.0</v>
      </c>
      <c r="C360" s="292" t="s">
        <v>58</v>
      </c>
      <c r="D360" s="268" t="s">
        <v>60</v>
      </c>
      <c r="E360" s="268" t="s">
        <v>5068</v>
      </c>
      <c r="F360" s="292">
        <v>5.56715348E8</v>
      </c>
      <c r="G360" s="193" t="s">
        <v>27</v>
      </c>
      <c r="H360" s="193" t="s">
        <v>27</v>
      </c>
      <c r="I360" s="292" t="s">
        <v>5536</v>
      </c>
      <c r="J360" s="292"/>
      <c r="K360" s="268" t="s">
        <v>36</v>
      </c>
      <c r="L360" s="193"/>
      <c r="M360" s="303" t="s">
        <v>88</v>
      </c>
      <c r="N360" s="303"/>
      <c r="O360" s="193" t="s">
        <v>40</v>
      </c>
      <c r="P360" s="195"/>
      <c r="Q360" s="268" t="s">
        <v>4074</v>
      </c>
      <c r="R360" s="292"/>
      <c r="S360" s="295"/>
      <c r="T360" s="292"/>
    </row>
    <row r="361" ht="63.75" hidden="1" customHeight="1">
      <c r="A361" s="193">
        <v>360.0</v>
      </c>
      <c r="B361" s="312">
        <v>46212.0</v>
      </c>
      <c r="C361" s="292" t="s">
        <v>47</v>
      </c>
      <c r="D361" s="268" t="s">
        <v>57</v>
      </c>
      <c r="E361" s="292" t="s">
        <v>1330</v>
      </c>
      <c r="F361" s="292">
        <v>5.0851991E8</v>
      </c>
      <c r="G361" s="292" t="s">
        <v>27</v>
      </c>
      <c r="H361" s="292" t="s">
        <v>27</v>
      </c>
      <c r="I361" s="292" t="s">
        <v>5538</v>
      </c>
      <c r="J361" s="292"/>
      <c r="K361" s="268" t="s">
        <v>36</v>
      </c>
      <c r="L361" s="193"/>
      <c r="M361" s="303" t="s">
        <v>55</v>
      </c>
      <c r="N361" s="303"/>
      <c r="O361" s="193" t="s">
        <v>40</v>
      </c>
      <c r="P361" s="195"/>
      <c r="Q361" s="268" t="s">
        <v>4074</v>
      </c>
      <c r="R361" s="292"/>
      <c r="S361" s="295"/>
      <c r="T361" s="292"/>
    </row>
    <row r="362" ht="63.75" hidden="1" customHeight="1">
      <c r="A362" s="193">
        <v>361.0</v>
      </c>
      <c r="B362" s="312">
        <v>46212.0</v>
      </c>
      <c r="C362" s="292" t="s">
        <v>47</v>
      </c>
      <c r="D362" s="193" t="s">
        <v>92</v>
      </c>
      <c r="E362" s="292" t="s">
        <v>4587</v>
      </c>
      <c r="F362" s="295">
        <v>5.39109419E8</v>
      </c>
      <c r="G362" s="292" t="s">
        <v>5541</v>
      </c>
      <c r="H362" s="293" t="s">
        <v>5542</v>
      </c>
      <c r="I362" s="265" t="s">
        <v>5543</v>
      </c>
      <c r="J362" s="303" t="s">
        <v>5544</v>
      </c>
      <c r="K362" s="268" t="s">
        <v>36</v>
      </c>
      <c r="L362" s="293" t="s">
        <v>301</v>
      </c>
      <c r="M362" s="195" t="s">
        <v>3370</v>
      </c>
      <c r="N362" s="195"/>
      <c r="O362" s="193" t="s">
        <v>56</v>
      </c>
      <c r="P362" s="195" t="s">
        <v>3566</v>
      </c>
      <c r="Q362" s="268" t="s">
        <v>4074</v>
      </c>
      <c r="R362" s="193" t="s">
        <v>46</v>
      </c>
      <c r="S362" s="298" t="s">
        <v>49</v>
      </c>
      <c r="T362" s="292"/>
    </row>
    <row r="363" ht="63.75" hidden="1" customHeight="1">
      <c r="A363" s="193">
        <v>362.0</v>
      </c>
      <c r="B363" s="312">
        <v>46212.0</v>
      </c>
      <c r="C363" s="292" t="s">
        <v>21</v>
      </c>
      <c r="D363" s="268" t="s">
        <v>24</v>
      </c>
      <c r="E363" s="292" t="s">
        <v>1260</v>
      </c>
      <c r="F363" s="292">
        <v>5.80779413E8</v>
      </c>
      <c r="G363" s="195" t="s">
        <v>41</v>
      </c>
      <c r="H363" s="292" t="s">
        <v>27</v>
      </c>
      <c r="I363" s="292" t="s">
        <v>5548</v>
      </c>
      <c r="J363" s="292"/>
      <c r="K363" s="268" t="s">
        <v>36</v>
      </c>
      <c r="L363" s="193"/>
      <c r="M363" s="303" t="s">
        <v>38</v>
      </c>
      <c r="N363" s="303"/>
      <c r="O363" s="193" t="s">
        <v>40</v>
      </c>
      <c r="P363" s="195"/>
      <c r="Q363" s="268" t="s">
        <v>4074</v>
      </c>
      <c r="R363" s="292"/>
      <c r="S363" s="295"/>
      <c r="T363" s="292"/>
    </row>
    <row r="364" ht="63.75" hidden="1" customHeight="1">
      <c r="A364" s="193">
        <v>363.0</v>
      </c>
      <c r="B364" s="312">
        <v>46212.0</v>
      </c>
      <c r="C364" s="292" t="s">
        <v>58</v>
      </c>
      <c r="D364" s="268" t="s">
        <v>60</v>
      </c>
      <c r="E364" s="292" t="s">
        <v>27</v>
      </c>
      <c r="F364" s="292">
        <v>5.06328106E8</v>
      </c>
      <c r="G364" s="292" t="s">
        <v>27</v>
      </c>
      <c r="H364" s="292" t="s">
        <v>27</v>
      </c>
      <c r="I364" s="292" t="s">
        <v>484</v>
      </c>
      <c r="J364" s="292"/>
      <c r="K364" s="268" t="s">
        <v>36</v>
      </c>
      <c r="L364" s="193"/>
      <c r="M364" s="303" t="s">
        <v>88</v>
      </c>
      <c r="N364" s="303"/>
      <c r="O364" s="193" t="s">
        <v>40</v>
      </c>
      <c r="P364" s="195"/>
      <c r="Q364" s="268" t="s">
        <v>4074</v>
      </c>
      <c r="R364" s="292"/>
      <c r="S364" s="295"/>
      <c r="T364" s="292"/>
    </row>
    <row r="365" ht="63.75" hidden="1" customHeight="1">
      <c r="A365" s="193">
        <v>364.0</v>
      </c>
      <c r="B365" s="312">
        <v>46212.0</v>
      </c>
      <c r="C365" s="292" t="s">
        <v>58</v>
      </c>
      <c r="D365" s="268" t="s">
        <v>60</v>
      </c>
      <c r="E365" s="193" t="s">
        <v>27</v>
      </c>
      <c r="F365" s="292">
        <v>5.54518971E8</v>
      </c>
      <c r="G365" s="193" t="s">
        <v>27</v>
      </c>
      <c r="H365" s="193" t="s">
        <v>27</v>
      </c>
      <c r="I365" s="292" t="s">
        <v>5553</v>
      </c>
      <c r="J365" s="292"/>
      <c r="K365" s="268" t="s">
        <v>36</v>
      </c>
      <c r="L365" s="193"/>
      <c r="M365" s="303" t="s">
        <v>88</v>
      </c>
      <c r="N365" s="303"/>
      <c r="O365" s="193" t="s">
        <v>40</v>
      </c>
      <c r="P365" s="195"/>
      <c r="Q365" s="268" t="s">
        <v>4074</v>
      </c>
      <c r="R365" s="292"/>
      <c r="S365" s="295"/>
      <c r="T365" s="292"/>
    </row>
    <row r="366" ht="63.75" hidden="1" customHeight="1">
      <c r="A366" s="193">
        <v>365.0</v>
      </c>
      <c r="B366" s="312">
        <v>46212.0</v>
      </c>
      <c r="C366" s="292" t="s">
        <v>21</v>
      </c>
      <c r="D366" s="268" t="s">
        <v>34</v>
      </c>
      <c r="E366" s="292" t="s">
        <v>5558</v>
      </c>
      <c r="F366" s="292">
        <v>5.30098059E8</v>
      </c>
      <c r="G366" s="292" t="s">
        <v>27</v>
      </c>
      <c r="H366" s="292" t="s">
        <v>27</v>
      </c>
      <c r="I366" s="292" t="s">
        <v>5559</v>
      </c>
      <c r="J366" s="292"/>
      <c r="K366" s="268" t="s">
        <v>62</v>
      </c>
      <c r="L366" s="193"/>
      <c r="M366" s="303" t="s">
        <v>38</v>
      </c>
      <c r="N366" s="303"/>
      <c r="O366" s="193" t="s">
        <v>40</v>
      </c>
      <c r="P366" s="195"/>
      <c r="Q366" s="268" t="s">
        <v>4074</v>
      </c>
      <c r="R366" s="292"/>
      <c r="S366" s="295"/>
      <c r="T366" s="292"/>
    </row>
    <row r="367" ht="63.75" customHeight="1">
      <c r="A367" s="193">
        <v>366.0</v>
      </c>
      <c r="B367" s="312">
        <v>46212.0</v>
      </c>
      <c r="C367" s="292" t="s">
        <v>58</v>
      </c>
      <c r="D367" s="268" t="s">
        <v>48</v>
      </c>
      <c r="E367" s="292" t="s">
        <v>5561</v>
      </c>
      <c r="F367" s="292">
        <v>5.44577333E8</v>
      </c>
      <c r="G367" s="195" t="s">
        <v>41</v>
      </c>
      <c r="H367" s="292" t="s">
        <v>5436</v>
      </c>
      <c r="I367" s="303" t="s">
        <v>5562</v>
      </c>
      <c r="J367" s="303" t="s">
        <v>5563</v>
      </c>
      <c r="K367" s="268" t="s">
        <v>36</v>
      </c>
      <c r="L367" s="193" t="s">
        <v>518</v>
      </c>
      <c r="M367" s="265" t="s">
        <v>5565</v>
      </c>
      <c r="N367" s="293" t="s">
        <v>4307</v>
      </c>
      <c r="O367" s="193" t="s">
        <v>40</v>
      </c>
      <c r="P367" s="195"/>
      <c r="Q367" s="268" t="s">
        <v>4074</v>
      </c>
      <c r="R367" s="292"/>
      <c r="S367" s="295"/>
      <c r="T367" s="292"/>
    </row>
    <row r="368" ht="63.75" hidden="1" customHeight="1">
      <c r="A368" s="193">
        <v>367.0</v>
      </c>
      <c r="B368" s="312">
        <v>46212.0</v>
      </c>
      <c r="C368" s="292" t="s">
        <v>58</v>
      </c>
      <c r="D368" s="268" t="s">
        <v>60</v>
      </c>
      <c r="E368" s="292" t="s">
        <v>27</v>
      </c>
      <c r="F368" s="292">
        <v>5.61440251E8</v>
      </c>
      <c r="G368" s="292" t="s">
        <v>27</v>
      </c>
      <c r="H368" s="292" t="s">
        <v>27</v>
      </c>
      <c r="I368" s="292" t="s">
        <v>5568</v>
      </c>
      <c r="J368" s="292"/>
      <c r="K368" s="268" t="s">
        <v>36</v>
      </c>
      <c r="L368" s="193"/>
      <c r="M368" s="303" t="s">
        <v>88</v>
      </c>
      <c r="N368" s="303"/>
      <c r="O368" s="193" t="s">
        <v>40</v>
      </c>
      <c r="P368" s="195"/>
      <c r="Q368" s="268" t="s">
        <v>4074</v>
      </c>
      <c r="R368" s="292"/>
      <c r="S368" s="295"/>
      <c r="T368" s="292"/>
    </row>
    <row r="369" ht="63.75" hidden="1" customHeight="1">
      <c r="A369" s="193">
        <v>368.0</v>
      </c>
      <c r="B369" s="312">
        <v>46212.0</v>
      </c>
      <c r="C369" s="292" t="s">
        <v>58</v>
      </c>
      <c r="D369" s="268" t="s">
        <v>60</v>
      </c>
      <c r="E369" s="193" t="s">
        <v>27</v>
      </c>
      <c r="F369" s="292">
        <v>5.02728025E8</v>
      </c>
      <c r="G369" s="193" t="s">
        <v>27</v>
      </c>
      <c r="H369" s="193" t="s">
        <v>27</v>
      </c>
      <c r="I369" s="292" t="s">
        <v>5572</v>
      </c>
      <c r="J369" s="292"/>
      <c r="K369" s="268" t="s">
        <v>62</v>
      </c>
      <c r="L369" s="193"/>
      <c r="M369" s="303" t="s">
        <v>88</v>
      </c>
      <c r="N369" s="303"/>
      <c r="O369" s="193" t="s">
        <v>40</v>
      </c>
      <c r="P369" s="195"/>
      <c r="Q369" s="268" t="s">
        <v>4074</v>
      </c>
      <c r="R369" s="292"/>
      <c r="S369" s="295"/>
      <c r="T369" s="292"/>
    </row>
    <row r="370" ht="63.75" hidden="1" customHeight="1">
      <c r="A370" s="193">
        <v>369.0</v>
      </c>
      <c r="B370" s="312">
        <v>46212.0</v>
      </c>
      <c r="C370" s="292" t="s">
        <v>21</v>
      </c>
      <c r="D370" s="268" t="s">
        <v>24</v>
      </c>
      <c r="E370" s="292" t="s">
        <v>463</v>
      </c>
      <c r="F370" s="292">
        <v>5.03964315E8</v>
      </c>
      <c r="G370" s="303" t="s">
        <v>79</v>
      </c>
      <c r="H370" s="292" t="s">
        <v>27</v>
      </c>
      <c r="I370" s="292" t="s">
        <v>5575</v>
      </c>
      <c r="J370" s="292"/>
      <c r="K370" s="268" t="s">
        <v>36</v>
      </c>
      <c r="L370" s="193"/>
      <c r="M370" s="303" t="s">
        <v>38</v>
      </c>
      <c r="N370" s="303"/>
      <c r="O370" s="193" t="s">
        <v>40</v>
      </c>
      <c r="P370" s="195"/>
      <c r="Q370" s="268" t="s">
        <v>4074</v>
      </c>
      <c r="R370" s="292"/>
      <c r="S370" s="295"/>
      <c r="T370" s="292"/>
    </row>
    <row r="371" ht="63.75" hidden="1" customHeight="1">
      <c r="A371" s="193">
        <v>370.0</v>
      </c>
      <c r="B371" s="312">
        <v>46212.0</v>
      </c>
      <c r="C371" s="292" t="s">
        <v>58</v>
      </c>
      <c r="D371" s="268" t="s">
        <v>60</v>
      </c>
      <c r="E371" s="292" t="s">
        <v>27</v>
      </c>
      <c r="F371" s="292">
        <v>5.1082976E8</v>
      </c>
      <c r="G371" s="292" t="s">
        <v>27</v>
      </c>
      <c r="H371" s="292" t="s">
        <v>27</v>
      </c>
      <c r="I371" s="292" t="s">
        <v>484</v>
      </c>
      <c r="J371" s="292"/>
      <c r="K371" s="268" t="s">
        <v>36</v>
      </c>
      <c r="L371" s="193"/>
      <c r="M371" s="303" t="s">
        <v>88</v>
      </c>
      <c r="N371" s="303"/>
      <c r="O371" s="193" t="s">
        <v>40</v>
      </c>
      <c r="P371" s="195"/>
      <c r="Q371" s="268" t="s">
        <v>4074</v>
      </c>
      <c r="R371" s="292"/>
      <c r="S371" s="295"/>
      <c r="T371" s="292"/>
    </row>
    <row r="372" ht="63.75" hidden="1" customHeight="1">
      <c r="A372" s="193">
        <v>371.0</v>
      </c>
      <c r="B372" s="312">
        <v>46212.0</v>
      </c>
      <c r="C372" s="292" t="s">
        <v>47</v>
      </c>
      <c r="D372" s="268" t="s">
        <v>48</v>
      </c>
      <c r="E372" s="292" t="s">
        <v>27</v>
      </c>
      <c r="F372" s="292">
        <v>5.54046952E8</v>
      </c>
      <c r="G372" s="292" t="s">
        <v>2653</v>
      </c>
      <c r="H372" s="292" t="s">
        <v>5582</v>
      </c>
      <c r="I372" s="265" t="s">
        <v>5583</v>
      </c>
      <c r="J372" s="303"/>
      <c r="K372" s="268" t="s">
        <v>36</v>
      </c>
      <c r="L372" s="193" t="s">
        <v>42</v>
      </c>
      <c r="M372" s="195" t="s">
        <v>3355</v>
      </c>
      <c r="N372" s="195"/>
      <c r="O372" s="193" t="s">
        <v>40</v>
      </c>
      <c r="P372" s="195" t="s">
        <v>3566</v>
      </c>
      <c r="Q372" s="268" t="s">
        <v>4074</v>
      </c>
      <c r="R372" s="293" t="s">
        <v>46</v>
      </c>
      <c r="S372" s="298" t="s">
        <v>44</v>
      </c>
      <c r="T372" s="292"/>
    </row>
    <row r="373" ht="63.75" hidden="1" customHeight="1">
      <c r="A373" s="193">
        <v>372.0</v>
      </c>
      <c r="B373" s="312">
        <v>46212.0</v>
      </c>
      <c r="C373" s="292" t="s">
        <v>47</v>
      </c>
      <c r="D373" s="268" t="s">
        <v>92</v>
      </c>
      <c r="E373" s="292" t="s">
        <v>5585</v>
      </c>
      <c r="F373" s="292">
        <v>5.54046952E8</v>
      </c>
      <c r="G373" s="195" t="s">
        <v>319</v>
      </c>
      <c r="H373" s="292" t="s">
        <v>5587</v>
      </c>
      <c r="I373" s="265" t="s">
        <v>5588</v>
      </c>
      <c r="J373" s="265" t="s">
        <v>4969</v>
      </c>
      <c r="K373" s="268" t="s">
        <v>36</v>
      </c>
      <c r="L373" s="193" t="s">
        <v>518</v>
      </c>
      <c r="M373" s="195" t="s">
        <v>101</v>
      </c>
      <c r="N373" s="195"/>
      <c r="O373" s="193" t="s">
        <v>56</v>
      </c>
      <c r="P373" s="195" t="s">
        <v>3765</v>
      </c>
      <c r="Q373" s="268" t="s">
        <v>4074</v>
      </c>
      <c r="R373" s="293" t="s">
        <v>46</v>
      </c>
      <c r="S373" s="295"/>
      <c r="T373" s="292"/>
    </row>
    <row r="374" ht="63.75" hidden="1" customHeight="1">
      <c r="A374" s="193">
        <v>373.0</v>
      </c>
      <c r="B374" s="312">
        <v>46212.0</v>
      </c>
      <c r="C374" s="292" t="s">
        <v>47</v>
      </c>
      <c r="D374" s="268" t="s">
        <v>48</v>
      </c>
      <c r="E374" s="292" t="s">
        <v>5591</v>
      </c>
      <c r="F374" s="292">
        <v>5.70604484E8</v>
      </c>
      <c r="G374" s="195" t="s">
        <v>71</v>
      </c>
      <c r="H374" s="292" t="s">
        <v>5592</v>
      </c>
      <c r="I374" s="265" t="s">
        <v>5593</v>
      </c>
      <c r="J374" s="292"/>
      <c r="K374" s="268" t="s">
        <v>36</v>
      </c>
      <c r="L374" s="193" t="s">
        <v>42</v>
      </c>
      <c r="M374" s="195" t="s">
        <v>4915</v>
      </c>
      <c r="N374" s="195"/>
      <c r="O374" s="193" t="s">
        <v>40</v>
      </c>
      <c r="P374" s="195" t="s">
        <v>3566</v>
      </c>
      <c r="Q374" s="268" t="s">
        <v>4074</v>
      </c>
      <c r="R374" s="293" t="s">
        <v>46</v>
      </c>
      <c r="S374" s="295"/>
      <c r="T374" s="292"/>
    </row>
    <row r="375" ht="102.0" hidden="1" customHeight="1">
      <c r="A375" s="193">
        <v>374.0</v>
      </c>
      <c r="B375" s="319">
        <v>46215.0</v>
      </c>
      <c r="C375" s="293" t="s">
        <v>47</v>
      </c>
      <c r="D375" s="193" t="s">
        <v>48</v>
      </c>
      <c r="E375" s="303" t="s">
        <v>5597</v>
      </c>
      <c r="F375" s="293">
        <v>5.46593412E8</v>
      </c>
      <c r="G375" s="195" t="s">
        <v>41</v>
      </c>
      <c r="H375" s="293" t="s">
        <v>1220</v>
      </c>
      <c r="I375" s="265" t="s">
        <v>5598</v>
      </c>
      <c r="J375" s="303" t="s">
        <v>5599</v>
      </c>
      <c r="K375" s="193" t="s">
        <v>62</v>
      </c>
      <c r="L375" s="193" t="s">
        <v>301</v>
      </c>
      <c r="M375" s="303" t="s">
        <v>101</v>
      </c>
      <c r="N375" s="303"/>
      <c r="O375" s="193" t="s">
        <v>40</v>
      </c>
      <c r="P375" s="195" t="s">
        <v>3765</v>
      </c>
      <c r="Q375" s="193" t="s">
        <v>44</v>
      </c>
      <c r="R375" s="193" t="s">
        <v>46</v>
      </c>
      <c r="S375" s="298" t="s">
        <v>44</v>
      </c>
      <c r="T375" s="292"/>
    </row>
    <row r="376" ht="63.75" hidden="1" customHeight="1">
      <c r="A376" s="193">
        <v>375.0</v>
      </c>
      <c r="B376" s="319">
        <v>46215.0</v>
      </c>
      <c r="C376" s="293" t="s">
        <v>58</v>
      </c>
      <c r="D376" s="193" t="s">
        <v>60</v>
      </c>
      <c r="E376" s="303" t="s">
        <v>5518</v>
      </c>
      <c r="F376" s="293">
        <v>5.0499254E8</v>
      </c>
      <c r="G376" s="193" t="s">
        <v>27</v>
      </c>
      <c r="H376" s="293" t="s">
        <v>27</v>
      </c>
      <c r="I376" s="303" t="s">
        <v>5601</v>
      </c>
      <c r="J376" s="292"/>
      <c r="K376" s="193" t="s">
        <v>62</v>
      </c>
      <c r="L376" s="193"/>
      <c r="M376" s="303" t="s">
        <v>88</v>
      </c>
      <c r="N376" s="303"/>
      <c r="O376" s="193" t="s">
        <v>40</v>
      </c>
      <c r="P376" s="195"/>
      <c r="Q376" s="193" t="s">
        <v>44</v>
      </c>
      <c r="R376" s="292"/>
      <c r="S376" s="295"/>
      <c r="T376" s="292"/>
    </row>
    <row r="377" ht="63.75" hidden="1" customHeight="1">
      <c r="A377" s="193">
        <v>376.0</v>
      </c>
      <c r="B377" s="319">
        <v>46215.0</v>
      </c>
      <c r="C377" s="293" t="s">
        <v>58</v>
      </c>
      <c r="D377" s="193" t="s">
        <v>60</v>
      </c>
      <c r="E377" s="303" t="s">
        <v>463</v>
      </c>
      <c r="F377" s="293">
        <v>5.36611505E8</v>
      </c>
      <c r="G377" s="193" t="s">
        <v>27</v>
      </c>
      <c r="H377" s="293" t="s">
        <v>27</v>
      </c>
      <c r="I377" s="303" t="s">
        <v>5604</v>
      </c>
      <c r="J377" s="292"/>
      <c r="K377" s="193" t="s">
        <v>62</v>
      </c>
      <c r="L377" s="193"/>
      <c r="M377" s="303" t="s">
        <v>88</v>
      </c>
      <c r="N377" s="303"/>
      <c r="O377" s="193" t="s">
        <v>40</v>
      </c>
      <c r="P377" s="195"/>
      <c r="Q377" s="193" t="s">
        <v>44</v>
      </c>
      <c r="R377" s="292"/>
      <c r="S377" s="295"/>
      <c r="T377" s="292"/>
    </row>
    <row r="378" ht="63.75" hidden="1" customHeight="1">
      <c r="A378" s="193">
        <v>377.0</v>
      </c>
      <c r="B378" s="319">
        <v>46215.0</v>
      </c>
      <c r="C378" s="293" t="s">
        <v>58</v>
      </c>
      <c r="D378" s="193" t="s">
        <v>22</v>
      </c>
      <c r="E378" s="303" t="s">
        <v>5037</v>
      </c>
      <c r="F378" s="298">
        <v>5.75267061E8</v>
      </c>
      <c r="G378" s="195" t="s">
        <v>120</v>
      </c>
      <c r="H378" s="293" t="s">
        <v>27</v>
      </c>
      <c r="I378" s="303" t="s">
        <v>5609</v>
      </c>
      <c r="J378" s="292"/>
      <c r="K378" s="193" t="s">
        <v>62</v>
      </c>
      <c r="L378" s="193"/>
      <c r="M378" s="303" t="s">
        <v>88</v>
      </c>
      <c r="N378" s="303"/>
      <c r="O378" s="193" t="s">
        <v>40</v>
      </c>
      <c r="P378" s="195"/>
      <c r="Q378" s="193" t="s">
        <v>44</v>
      </c>
      <c r="R378" s="292"/>
      <c r="S378" s="295"/>
      <c r="T378" s="292"/>
    </row>
    <row r="379" ht="63.75" hidden="1" customHeight="1">
      <c r="A379" s="193">
        <v>378.0</v>
      </c>
      <c r="B379" s="319">
        <v>46215.0</v>
      </c>
      <c r="C379" s="293" t="s">
        <v>58</v>
      </c>
      <c r="D379" s="193" t="s">
        <v>60</v>
      </c>
      <c r="E379" s="303" t="s">
        <v>5611</v>
      </c>
      <c r="F379" s="293">
        <v>5.00396754E8</v>
      </c>
      <c r="G379" s="193" t="s">
        <v>27</v>
      </c>
      <c r="H379" s="293" t="s">
        <v>27</v>
      </c>
      <c r="I379" s="303" t="s">
        <v>5614</v>
      </c>
      <c r="J379" s="292"/>
      <c r="K379" s="193" t="s">
        <v>62</v>
      </c>
      <c r="L379" s="193"/>
      <c r="M379" s="303" t="s">
        <v>88</v>
      </c>
      <c r="N379" s="303"/>
      <c r="O379" s="193" t="s">
        <v>40</v>
      </c>
      <c r="P379" s="195"/>
      <c r="Q379" s="193" t="s">
        <v>44</v>
      </c>
      <c r="R379" s="292"/>
      <c r="S379" s="295"/>
      <c r="T379" s="292"/>
    </row>
    <row r="380" ht="63.75" hidden="1" customHeight="1">
      <c r="A380" s="193">
        <v>379.0</v>
      </c>
      <c r="B380" s="319">
        <v>46215.0</v>
      </c>
      <c r="C380" s="293" t="s">
        <v>58</v>
      </c>
      <c r="D380" s="193" t="s">
        <v>60</v>
      </c>
      <c r="E380" s="293" t="s">
        <v>27</v>
      </c>
      <c r="F380" s="293" t="s">
        <v>27</v>
      </c>
      <c r="G380" s="193" t="s">
        <v>27</v>
      </c>
      <c r="H380" s="293" t="s">
        <v>27</v>
      </c>
      <c r="I380" s="303" t="s">
        <v>5616</v>
      </c>
      <c r="J380" s="292"/>
      <c r="K380" s="193" t="s">
        <v>62</v>
      </c>
      <c r="L380" s="193"/>
      <c r="M380" s="303" t="s">
        <v>88</v>
      </c>
      <c r="N380" s="303"/>
      <c r="O380" s="193" t="s">
        <v>40</v>
      </c>
      <c r="P380" s="195"/>
      <c r="Q380" s="193" t="s">
        <v>44</v>
      </c>
      <c r="R380" s="292"/>
      <c r="S380" s="295"/>
      <c r="T380" s="292"/>
    </row>
    <row r="381" ht="63.75" hidden="1" customHeight="1">
      <c r="A381" s="193">
        <v>380.0</v>
      </c>
      <c r="B381" s="319">
        <v>46215.0</v>
      </c>
      <c r="C381" s="293" t="s">
        <v>21</v>
      </c>
      <c r="D381" s="193" t="s">
        <v>66</v>
      </c>
      <c r="E381" s="303" t="s">
        <v>5619</v>
      </c>
      <c r="F381" s="293">
        <v>5.03326237E8</v>
      </c>
      <c r="G381" s="193" t="s">
        <v>27</v>
      </c>
      <c r="H381" s="293" t="s">
        <v>27</v>
      </c>
      <c r="I381" s="303" t="s">
        <v>5620</v>
      </c>
      <c r="J381" s="292"/>
      <c r="K381" s="193" t="s">
        <v>62</v>
      </c>
      <c r="L381" s="193"/>
      <c r="M381" s="303" t="s">
        <v>38</v>
      </c>
      <c r="N381" s="303"/>
      <c r="O381" s="193" t="s">
        <v>40</v>
      </c>
      <c r="P381" s="195"/>
      <c r="Q381" s="193" t="s">
        <v>44</v>
      </c>
      <c r="R381" s="292"/>
      <c r="S381" s="295"/>
      <c r="T381" s="292"/>
    </row>
    <row r="382" ht="63.75" hidden="1" customHeight="1">
      <c r="A382" s="193">
        <v>381.0</v>
      </c>
      <c r="B382" s="319">
        <v>46215.0</v>
      </c>
      <c r="C382" s="292" t="s">
        <v>21</v>
      </c>
      <c r="D382" s="268" t="s">
        <v>22</v>
      </c>
      <c r="E382" s="292" t="s">
        <v>27</v>
      </c>
      <c r="F382" s="309">
        <v>5.53847451E8</v>
      </c>
      <c r="G382" s="195" t="s">
        <v>79</v>
      </c>
      <c r="H382" s="292" t="s">
        <v>27</v>
      </c>
      <c r="I382" s="292" t="s">
        <v>5623</v>
      </c>
      <c r="J382" s="292"/>
      <c r="K382" s="268" t="s">
        <v>36</v>
      </c>
      <c r="L382" s="193"/>
      <c r="M382" s="303" t="s">
        <v>38</v>
      </c>
      <c r="N382" s="303"/>
      <c r="O382" s="193" t="s">
        <v>40</v>
      </c>
      <c r="P382" s="195"/>
      <c r="Q382" s="268" t="s">
        <v>4074</v>
      </c>
      <c r="R382" s="292" t="s">
        <v>68</v>
      </c>
      <c r="S382" s="295"/>
      <c r="T382" s="292"/>
    </row>
    <row r="383" ht="63.75" hidden="1" customHeight="1">
      <c r="A383" s="193">
        <v>382.0</v>
      </c>
      <c r="B383" s="319">
        <v>46215.0</v>
      </c>
      <c r="C383" s="293" t="s">
        <v>58</v>
      </c>
      <c r="D383" s="193" t="s">
        <v>60</v>
      </c>
      <c r="E383" s="293" t="s">
        <v>27</v>
      </c>
      <c r="F383" s="293">
        <v>5.06688239E8</v>
      </c>
      <c r="G383" s="293" t="s">
        <v>27</v>
      </c>
      <c r="H383" s="293" t="s">
        <v>27</v>
      </c>
      <c r="I383" s="303" t="s">
        <v>124</v>
      </c>
      <c r="J383" s="292"/>
      <c r="K383" s="193" t="s">
        <v>65</v>
      </c>
      <c r="L383" s="193"/>
      <c r="M383" s="303" t="s">
        <v>38</v>
      </c>
      <c r="N383" s="303"/>
      <c r="O383" s="193" t="s">
        <v>40</v>
      </c>
      <c r="P383" s="195"/>
      <c r="Q383" s="193" t="s">
        <v>44</v>
      </c>
      <c r="R383" s="292"/>
      <c r="S383" s="295"/>
      <c r="T383" s="292"/>
    </row>
    <row r="384" ht="63.75" hidden="1" customHeight="1">
      <c r="A384" s="193">
        <v>383.0</v>
      </c>
      <c r="B384" s="319">
        <v>46215.0</v>
      </c>
      <c r="C384" s="293" t="s">
        <v>47</v>
      </c>
      <c r="D384" s="193" t="s">
        <v>24</v>
      </c>
      <c r="E384" s="303" t="s">
        <v>118</v>
      </c>
      <c r="F384" s="293">
        <v>5.33737763E8</v>
      </c>
      <c r="G384" s="195" t="s">
        <v>71</v>
      </c>
      <c r="H384" s="293" t="s">
        <v>5627</v>
      </c>
      <c r="I384" s="265" t="s">
        <v>5628</v>
      </c>
      <c r="J384" s="303" t="s">
        <v>5629</v>
      </c>
      <c r="K384" s="193" t="s">
        <v>36</v>
      </c>
      <c r="L384" s="193"/>
      <c r="M384" s="303" t="s">
        <v>55</v>
      </c>
      <c r="N384" s="303"/>
      <c r="O384" s="193" t="s">
        <v>40</v>
      </c>
      <c r="P384" s="195"/>
      <c r="Q384" s="193" t="s">
        <v>44</v>
      </c>
      <c r="R384" s="292"/>
      <c r="S384" s="298" t="s">
        <v>49</v>
      </c>
      <c r="T384" s="292"/>
    </row>
    <row r="385" ht="63.75" hidden="1" customHeight="1">
      <c r="A385" s="193">
        <v>384.0</v>
      </c>
      <c r="B385" s="319">
        <v>46215.0</v>
      </c>
      <c r="C385" s="292" t="s">
        <v>47</v>
      </c>
      <c r="D385" s="268" t="s">
        <v>92</v>
      </c>
      <c r="E385" s="292" t="s">
        <v>27</v>
      </c>
      <c r="F385" s="292" t="s">
        <v>27</v>
      </c>
      <c r="G385" s="292" t="s">
        <v>120</v>
      </c>
      <c r="H385" s="292" t="s">
        <v>5631</v>
      </c>
      <c r="I385" s="295" t="s">
        <v>5632</v>
      </c>
      <c r="J385" s="303" t="s">
        <v>5633</v>
      </c>
      <c r="K385" s="268" t="s">
        <v>78</v>
      </c>
      <c r="L385" s="193" t="s">
        <v>518</v>
      </c>
      <c r="M385" s="195" t="s">
        <v>101</v>
      </c>
      <c r="N385" s="195"/>
      <c r="O385" s="193" t="s">
        <v>56</v>
      </c>
      <c r="P385" s="195" t="s">
        <v>3765</v>
      </c>
      <c r="Q385" s="268" t="s">
        <v>4074</v>
      </c>
      <c r="R385" s="293" t="s">
        <v>46</v>
      </c>
      <c r="S385" s="295"/>
      <c r="T385" s="292"/>
    </row>
    <row r="386" ht="63.75" hidden="1" customHeight="1">
      <c r="A386" s="193">
        <v>385.0</v>
      </c>
      <c r="B386" s="319">
        <v>46215.0</v>
      </c>
      <c r="C386" s="292" t="s">
        <v>47</v>
      </c>
      <c r="D386" s="268" t="s">
        <v>48</v>
      </c>
      <c r="E386" s="292" t="s">
        <v>27</v>
      </c>
      <c r="F386" s="292" t="s">
        <v>27</v>
      </c>
      <c r="G386" s="292" t="s">
        <v>2715</v>
      </c>
      <c r="H386" s="292" t="s">
        <v>5636</v>
      </c>
      <c r="I386" s="292" t="s">
        <v>5637</v>
      </c>
      <c r="J386" s="292"/>
      <c r="K386" s="268" t="s">
        <v>78</v>
      </c>
      <c r="L386" s="193" t="s">
        <v>42</v>
      </c>
      <c r="M386" s="303" t="s">
        <v>101</v>
      </c>
      <c r="N386" s="303"/>
      <c r="O386" s="193" t="s">
        <v>40</v>
      </c>
      <c r="P386" s="195" t="s">
        <v>3765</v>
      </c>
      <c r="Q386" s="268" t="s">
        <v>4074</v>
      </c>
      <c r="R386" s="293" t="s">
        <v>46</v>
      </c>
      <c r="S386" s="295"/>
      <c r="T386" s="292"/>
    </row>
    <row r="387" ht="63.75" hidden="1" customHeight="1">
      <c r="A387" s="193">
        <v>386.0</v>
      </c>
      <c r="B387" s="319">
        <v>46215.0</v>
      </c>
      <c r="C387" s="292" t="s">
        <v>21</v>
      </c>
      <c r="D387" s="268" t="s">
        <v>24</v>
      </c>
      <c r="E387" s="292" t="s">
        <v>5640</v>
      </c>
      <c r="F387" s="292">
        <v>5.53411461E8</v>
      </c>
      <c r="G387" s="292" t="s">
        <v>5641</v>
      </c>
      <c r="H387" s="292" t="s">
        <v>27</v>
      </c>
      <c r="I387" s="292" t="s">
        <v>5642</v>
      </c>
      <c r="J387" s="292"/>
      <c r="K387" s="268" t="s">
        <v>62</v>
      </c>
      <c r="L387" s="193"/>
      <c r="M387" s="303" t="s">
        <v>38</v>
      </c>
      <c r="N387" s="303"/>
      <c r="O387" s="193" t="s">
        <v>40</v>
      </c>
      <c r="P387" s="195"/>
      <c r="Q387" s="268" t="s">
        <v>4074</v>
      </c>
      <c r="R387" s="292"/>
      <c r="S387" s="295"/>
      <c r="T387" s="292"/>
    </row>
    <row r="388" ht="63.75" hidden="1" customHeight="1">
      <c r="A388" s="193">
        <v>387.0</v>
      </c>
      <c r="B388" s="319">
        <v>46215.0</v>
      </c>
      <c r="C388" s="292" t="s">
        <v>21</v>
      </c>
      <c r="D388" s="268" t="s">
        <v>24</v>
      </c>
      <c r="E388" s="292" t="s">
        <v>5647</v>
      </c>
      <c r="F388" s="292">
        <v>5.03001763E8</v>
      </c>
      <c r="G388" s="292" t="s">
        <v>79</v>
      </c>
      <c r="H388" s="292" t="s">
        <v>27</v>
      </c>
      <c r="I388" s="292" t="s">
        <v>5649</v>
      </c>
      <c r="J388" s="292"/>
      <c r="K388" s="268" t="s">
        <v>62</v>
      </c>
      <c r="L388" s="193"/>
      <c r="M388" s="303" t="s">
        <v>38</v>
      </c>
      <c r="N388" s="303"/>
      <c r="O388" s="193" t="s">
        <v>40</v>
      </c>
      <c r="P388" s="195"/>
      <c r="Q388" s="268" t="s">
        <v>4074</v>
      </c>
      <c r="R388" s="292"/>
      <c r="S388" s="295"/>
      <c r="T388" s="292"/>
    </row>
    <row r="389" ht="63.75" hidden="1" customHeight="1">
      <c r="A389" s="193">
        <v>388.0</v>
      </c>
      <c r="B389" s="319">
        <v>46215.0</v>
      </c>
      <c r="C389" s="292" t="s">
        <v>58</v>
      </c>
      <c r="D389" s="268" t="s">
        <v>60</v>
      </c>
      <c r="E389" s="292" t="s">
        <v>5651</v>
      </c>
      <c r="F389" s="292">
        <v>5.0481654E8</v>
      </c>
      <c r="G389" s="292" t="s">
        <v>1452</v>
      </c>
      <c r="H389" s="292" t="s">
        <v>27</v>
      </c>
      <c r="I389" s="292" t="s">
        <v>5653</v>
      </c>
      <c r="J389" s="292"/>
      <c r="K389" s="268" t="s">
        <v>62</v>
      </c>
      <c r="L389" s="193"/>
      <c r="M389" s="303" t="s">
        <v>88</v>
      </c>
      <c r="N389" s="303"/>
      <c r="O389" s="193" t="s">
        <v>40</v>
      </c>
      <c r="P389" s="195"/>
      <c r="Q389" s="268" t="s">
        <v>4074</v>
      </c>
      <c r="R389" s="292"/>
      <c r="S389" s="295"/>
      <c r="T389" s="292"/>
    </row>
    <row r="390" ht="63.75" hidden="1" customHeight="1">
      <c r="A390" s="193">
        <v>389.0</v>
      </c>
      <c r="B390" s="319">
        <v>46215.0</v>
      </c>
      <c r="C390" s="292" t="s">
        <v>47</v>
      </c>
      <c r="D390" s="268" t="s">
        <v>48</v>
      </c>
      <c r="E390" s="292" t="s">
        <v>5657</v>
      </c>
      <c r="F390" s="292">
        <v>5.08860027E8</v>
      </c>
      <c r="G390" s="292" t="s">
        <v>2715</v>
      </c>
      <c r="H390" s="292" t="s">
        <v>5636</v>
      </c>
      <c r="I390" s="295" t="s">
        <v>5659</v>
      </c>
      <c r="J390" s="292"/>
      <c r="K390" s="268" t="s">
        <v>62</v>
      </c>
      <c r="L390" s="193" t="s">
        <v>518</v>
      </c>
      <c r="M390" s="303" t="s">
        <v>3764</v>
      </c>
      <c r="N390" s="303"/>
      <c r="O390" s="193" t="s">
        <v>40</v>
      </c>
      <c r="P390" s="195" t="s">
        <v>3765</v>
      </c>
      <c r="Q390" s="268" t="s">
        <v>4074</v>
      </c>
      <c r="R390" s="293" t="s">
        <v>46</v>
      </c>
      <c r="S390" s="295"/>
      <c r="T390" s="292"/>
    </row>
    <row r="391" ht="63.75" hidden="1" customHeight="1">
      <c r="A391" s="193">
        <v>390.0</v>
      </c>
      <c r="B391" s="319">
        <v>46215.0</v>
      </c>
      <c r="C391" s="292" t="s">
        <v>21</v>
      </c>
      <c r="D391" s="268" t="s">
        <v>22</v>
      </c>
      <c r="E391" s="292" t="s">
        <v>5663</v>
      </c>
      <c r="F391" s="292">
        <v>5.38354795E8</v>
      </c>
      <c r="G391" s="292" t="s">
        <v>237</v>
      </c>
      <c r="H391" s="292" t="s">
        <v>27</v>
      </c>
      <c r="I391" s="292" t="s">
        <v>5664</v>
      </c>
      <c r="J391" s="292"/>
      <c r="K391" s="268" t="s">
        <v>62</v>
      </c>
      <c r="L391" s="193"/>
      <c r="M391" s="303" t="s">
        <v>38</v>
      </c>
      <c r="N391" s="303"/>
      <c r="O391" s="193" t="s">
        <v>40</v>
      </c>
      <c r="P391" s="195"/>
      <c r="Q391" s="268" t="s">
        <v>4074</v>
      </c>
      <c r="R391" s="292"/>
      <c r="S391" s="295"/>
      <c r="T391" s="292"/>
    </row>
    <row r="392" ht="63.75" hidden="1" customHeight="1">
      <c r="A392" s="193">
        <v>391.0</v>
      </c>
      <c r="B392" s="319">
        <v>46215.0</v>
      </c>
      <c r="C392" s="293" t="s">
        <v>58</v>
      </c>
      <c r="D392" s="193" t="s">
        <v>60</v>
      </c>
      <c r="E392" s="292" t="s">
        <v>5668</v>
      </c>
      <c r="F392" s="292">
        <v>5.45103631E8</v>
      </c>
      <c r="G392" s="195" t="s">
        <v>41</v>
      </c>
      <c r="H392" s="292" t="s">
        <v>5669</v>
      </c>
      <c r="I392" s="295" t="s">
        <v>5670</v>
      </c>
      <c r="J392" s="292"/>
      <c r="K392" s="268" t="s">
        <v>36</v>
      </c>
      <c r="L392" s="193"/>
      <c r="M392" s="303" t="s">
        <v>88</v>
      </c>
      <c r="N392" s="303"/>
      <c r="O392" s="193" t="s">
        <v>40</v>
      </c>
      <c r="P392" s="195"/>
      <c r="Q392" s="268" t="s">
        <v>4074</v>
      </c>
      <c r="R392" s="292"/>
      <c r="S392" s="295"/>
      <c r="T392" s="292"/>
    </row>
    <row r="393" ht="63.75" hidden="1" customHeight="1">
      <c r="A393" s="193">
        <v>392.0</v>
      </c>
      <c r="B393" s="319">
        <v>46215.0</v>
      </c>
      <c r="C393" s="292" t="s">
        <v>21</v>
      </c>
      <c r="D393" s="268" t="s">
        <v>66</v>
      </c>
      <c r="E393" s="292" t="s">
        <v>873</v>
      </c>
      <c r="F393" s="292">
        <v>5.52522606E8</v>
      </c>
      <c r="G393" s="292" t="s">
        <v>27</v>
      </c>
      <c r="H393" s="292" t="s">
        <v>27</v>
      </c>
      <c r="I393" s="292" t="s">
        <v>5675</v>
      </c>
      <c r="J393" s="292"/>
      <c r="K393" s="268" t="s">
        <v>36</v>
      </c>
      <c r="L393" s="193"/>
      <c r="M393" s="303" t="s">
        <v>38</v>
      </c>
      <c r="N393" s="303"/>
      <c r="O393" s="193" t="s">
        <v>40</v>
      </c>
      <c r="P393" s="195"/>
      <c r="Q393" s="268" t="s">
        <v>4074</v>
      </c>
      <c r="R393" s="292"/>
      <c r="S393" s="295"/>
      <c r="T393" s="292"/>
    </row>
    <row r="394" ht="63.75" hidden="1" customHeight="1">
      <c r="A394" s="193">
        <v>393.0</v>
      </c>
      <c r="B394" s="319">
        <v>46215.0</v>
      </c>
      <c r="C394" s="292" t="s">
        <v>47</v>
      </c>
      <c r="D394" s="268" t="s">
        <v>48</v>
      </c>
      <c r="E394" s="292" t="s">
        <v>5678</v>
      </c>
      <c r="F394" s="292">
        <v>5.96630537E8</v>
      </c>
      <c r="G394" s="292" t="s">
        <v>426</v>
      </c>
      <c r="H394" s="292" t="s">
        <v>5679</v>
      </c>
      <c r="I394" s="265" t="s">
        <v>5681</v>
      </c>
      <c r="J394" s="292"/>
      <c r="K394" s="268" t="s">
        <v>36</v>
      </c>
      <c r="L394" s="193" t="s">
        <v>42</v>
      </c>
      <c r="M394" s="303" t="s">
        <v>101</v>
      </c>
      <c r="N394" s="303"/>
      <c r="O394" s="193" t="s">
        <v>40</v>
      </c>
      <c r="P394" s="195" t="s">
        <v>3765</v>
      </c>
      <c r="Q394" s="268" t="s">
        <v>4074</v>
      </c>
      <c r="R394" s="293" t="s">
        <v>46</v>
      </c>
      <c r="S394" s="295"/>
      <c r="T394" s="292"/>
    </row>
    <row r="395" ht="63.75" hidden="1" customHeight="1">
      <c r="A395" s="193">
        <v>394.0</v>
      </c>
      <c r="B395" s="319">
        <v>46215.0</v>
      </c>
      <c r="C395" s="292" t="s">
        <v>58</v>
      </c>
      <c r="D395" s="268" t="s">
        <v>60</v>
      </c>
      <c r="E395" s="292" t="s">
        <v>27</v>
      </c>
      <c r="F395" s="292">
        <v>5.54992491E8</v>
      </c>
      <c r="G395" s="292" t="s">
        <v>27</v>
      </c>
      <c r="H395" s="292" t="s">
        <v>27</v>
      </c>
      <c r="I395" s="292" t="s">
        <v>5684</v>
      </c>
      <c r="J395" s="292"/>
      <c r="K395" s="193" t="s">
        <v>36</v>
      </c>
      <c r="L395" s="193"/>
      <c r="M395" s="303" t="s">
        <v>88</v>
      </c>
      <c r="N395" s="303"/>
      <c r="O395" s="193" t="s">
        <v>40</v>
      </c>
      <c r="P395" s="195"/>
      <c r="Q395" s="268" t="s">
        <v>4074</v>
      </c>
      <c r="R395" s="292"/>
      <c r="S395" s="295"/>
      <c r="T395" s="292"/>
    </row>
    <row r="396" ht="63.75" hidden="1" customHeight="1">
      <c r="A396" s="193">
        <v>395.0</v>
      </c>
      <c r="B396" s="319">
        <v>46215.0</v>
      </c>
      <c r="C396" s="292" t="s">
        <v>58</v>
      </c>
      <c r="D396" s="268" t="s">
        <v>60</v>
      </c>
      <c r="E396" s="292" t="s">
        <v>27</v>
      </c>
      <c r="F396" s="292">
        <v>5.52384459E8</v>
      </c>
      <c r="G396" s="292" t="s">
        <v>27</v>
      </c>
      <c r="H396" s="292" t="s">
        <v>27</v>
      </c>
      <c r="I396" s="292" t="s">
        <v>5689</v>
      </c>
      <c r="J396" s="292"/>
      <c r="K396" s="193" t="s">
        <v>36</v>
      </c>
      <c r="L396" s="193"/>
      <c r="M396" s="303" t="s">
        <v>88</v>
      </c>
      <c r="N396" s="303"/>
      <c r="O396" s="193" t="s">
        <v>40</v>
      </c>
      <c r="P396" s="195"/>
      <c r="Q396" s="268" t="s">
        <v>4074</v>
      </c>
      <c r="R396" s="292"/>
      <c r="S396" s="295"/>
      <c r="T396" s="292"/>
    </row>
    <row r="397" ht="63.75" hidden="1" customHeight="1">
      <c r="A397" s="193">
        <v>396.0</v>
      </c>
      <c r="B397" s="319">
        <v>46215.0</v>
      </c>
      <c r="C397" s="292" t="s">
        <v>58</v>
      </c>
      <c r="D397" s="268" t="s">
        <v>60</v>
      </c>
      <c r="E397" s="292" t="s">
        <v>27</v>
      </c>
      <c r="F397" s="292">
        <v>5.01792452E8</v>
      </c>
      <c r="G397" s="292" t="s">
        <v>27</v>
      </c>
      <c r="H397" s="292" t="s">
        <v>27</v>
      </c>
      <c r="I397" s="292" t="s">
        <v>5695</v>
      </c>
      <c r="J397" s="292"/>
      <c r="K397" s="268" t="s">
        <v>65</v>
      </c>
      <c r="L397" s="193"/>
      <c r="M397" s="303" t="s">
        <v>88</v>
      </c>
      <c r="N397" s="303"/>
      <c r="O397" s="193" t="s">
        <v>40</v>
      </c>
      <c r="P397" s="195"/>
      <c r="Q397" s="268" t="s">
        <v>4074</v>
      </c>
      <c r="R397" s="292"/>
      <c r="S397" s="295"/>
      <c r="T397" s="292"/>
    </row>
    <row r="398" ht="63.75" hidden="1" customHeight="1">
      <c r="A398" s="193">
        <v>397.0</v>
      </c>
      <c r="B398" s="319">
        <v>46215.0</v>
      </c>
      <c r="C398" s="292" t="s">
        <v>58</v>
      </c>
      <c r="D398" s="268" t="s">
        <v>60</v>
      </c>
      <c r="E398" s="292" t="s">
        <v>27</v>
      </c>
      <c r="F398" s="292">
        <v>5.48788663E8</v>
      </c>
      <c r="G398" s="292" t="s">
        <v>27</v>
      </c>
      <c r="H398" s="292" t="s">
        <v>27</v>
      </c>
      <c r="I398" s="292" t="s">
        <v>5698</v>
      </c>
      <c r="J398" s="292"/>
      <c r="K398" s="268" t="s">
        <v>65</v>
      </c>
      <c r="L398" s="193"/>
      <c r="M398" s="303" t="s">
        <v>88</v>
      </c>
      <c r="N398" s="303"/>
      <c r="O398" s="193" t="s">
        <v>40</v>
      </c>
      <c r="P398" s="195"/>
      <c r="Q398" s="268" t="s">
        <v>4074</v>
      </c>
      <c r="R398" s="292"/>
      <c r="S398" s="295"/>
      <c r="T398" s="292"/>
    </row>
    <row r="399" ht="63.75" hidden="1" customHeight="1">
      <c r="A399" s="193">
        <v>398.0</v>
      </c>
      <c r="B399" s="319">
        <v>46215.0</v>
      </c>
      <c r="C399" s="292" t="s">
        <v>47</v>
      </c>
      <c r="D399" s="268" t="s">
        <v>48</v>
      </c>
      <c r="E399" s="292" t="s">
        <v>5702</v>
      </c>
      <c r="F399" s="292">
        <v>5.53053332E8</v>
      </c>
      <c r="G399" s="195" t="s">
        <v>79</v>
      </c>
      <c r="H399" s="292" t="s">
        <v>3767</v>
      </c>
      <c r="I399" s="350" t="s">
        <v>5703</v>
      </c>
      <c r="J399" s="292"/>
      <c r="K399" s="268" t="s">
        <v>36</v>
      </c>
      <c r="L399" s="193" t="s">
        <v>42</v>
      </c>
      <c r="M399" s="303" t="s">
        <v>101</v>
      </c>
      <c r="N399" s="303"/>
      <c r="O399" s="193" t="s">
        <v>40</v>
      </c>
      <c r="P399" s="195" t="s">
        <v>3765</v>
      </c>
      <c r="Q399" s="268" t="s">
        <v>4074</v>
      </c>
      <c r="R399" s="293" t="s">
        <v>46</v>
      </c>
      <c r="S399" s="295"/>
      <c r="T399" s="292"/>
    </row>
    <row r="400" ht="63.75" hidden="1" customHeight="1">
      <c r="A400" s="193">
        <v>399.0</v>
      </c>
      <c r="B400" s="319">
        <v>46215.0</v>
      </c>
      <c r="C400" s="292" t="s">
        <v>21</v>
      </c>
      <c r="D400" s="268" t="s">
        <v>24</v>
      </c>
      <c r="E400" s="292" t="s">
        <v>1948</v>
      </c>
      <c r="F400" s="292">
        <v>5.67167701E8</v>
      </c>
      <c r="G400" s="292" t="s">
        <v>1452</v>
      </c>
      <c r="H400" s="292" t="s">
        <v>27</v>
      </c>
      <c r="I400" s="292" t="s">
        <v>5706</v>
      </c>
      <c r="J400" s="292"/>
      <c r="K400" s="268" t="s">
        <v>36</v>
      </c>
      <c r="L400" s="193"/>
      <c r="M400" s="303" t="s">
        <v>38</v>
      </c>
      <c r="N400" s="303"/>
      <c r="O400" s="193" t="s">
        <v>40</v>
      </c>
      <c r="P400" s="195"/>
      <c r="Q400" s="268" t="s">
        <v>4074</v>
      </c>
      <c r="R400" s="292"/>
      <c r="S400" s="295"/>
      <c r="T400" s="292"/>
    </row>
    <row r="401" ht="63.75" hidden="1" customHeight="1">
      <c r="A401" s="193">
        <v>400.0</v>
      </c>
      <c r="B401" s="319">
        <v>46215.0</v>
      </c>
      <c r="C401" s="292" t="s">
        <v>21</v>
      </c>
      <c r="D401" s="268" t="s">
        <v>22</v>
      </c>
      <c r="E401" s="292" t="s">
        <v>501</v>
      </c>
      <c r="F401" s="292">
        <v>5.5135432E8</v>
      </c>
      <c r="G401" s="292" t="s">
        <v>369</v>
      </c>
      <c r="H401" s="292" t="s">
        <v>27</v>
      </c>
      <c r="I401" s="292" t="s">
        <v>5709</v>
      </c>
      <c r="J401" s="292"/>
      <c r="K401" s="268" t="s">
        <v>36</v>
      </c>
      <c r="L401" s="193"/>
      <c r="M401" s="303" t="s">
        <v>38</v>
      </c>
      <c r="N401" s="303"/>
      <c r="O401" s="193" t="s">
        <v>40</v>
      </c>
      <c r="P401" s="195"/>
      <c r="Q401" s="268" t="s">
        <v>4074</v>
      </c>
      <c r="R401" s="292"/>
      <c r="S401" s="295"/>
      <c r="T401" s="292"/>
    </row>
    <row r="402" ht="63.75" hidden="1" customHeight="1">
      <c r="A402" s="193">
        <v>401.0</v>
      </c>
      <c r="B402" s="319">
        <v>46215.0</v>
      </c>
      <c r="C402" s="292" t="s">
        <v>21</v>
      </c>
      <c r="D402" s="268" t="s">
        <v>22</v>
      </c>
      <c r="E402" s="292" t="s">
        <v>5711</v>
      </c>
      <c r="F402" s="292">
        <v>5.00460461E8</v>
      </c>
      <c r="G402" s="195" t="s">
        <v>71</v>
      </c>
      <c r="H402" s="292" t="s">
        <v>27</v>
      </c>
      <c r="I402" s="292" t="s">
        <v>5712</v>
      </c>
      <c r="J402" s="292"/>
      <c r="K402" s="268" t="s">
        <v>36</v>
      </c>
      <c r="L402" s="193"/>
      <c r="M402" s="303" t="s">
        <v>38</v>
      </c>
      <c r="N402" s="303"/>
      <c r="O402" s="193" t="s">
        <v>40</v>
      </c>
      <c r="P402" s="195"/>
      <c r="Q402" s="268" t="s">
        <v>4074</v>
      </c>
      <c r="R402" s="292"/>
      <c r="S402" s="295"/>
      <c r="T402" s="292"/>
    </row>
    <row r="403" ht="63.75" hidden="1" customHeight="1">
      <c r="A403" s="193">
        <v>402.0</v>
      </c>
      <c r="B403" s="319">
        <v>46215.0</v>
      </c>
      <c r="C403" s="292" t="s">
        <v>21</v>
      </c>
      <c r="D403" s="268" t="s">
        <v>24</v>
      </c>
      <c r="E403" s="292" t="s">
        <v>1260</v>
      </c>
      <c r="F403" s="292">
        <v>5.04347302E8</v>
      </c>
      <c r="G403" s="292" t="s">
        <v>2413</v>
      </c>
      <c r="H403" s="292" t="s">
        <v>27</v>
      </c>
      <c r="I403" s="292" t="s">
        <v>5717</v>
      </c>
      <c r="J403" s="292"/>
      <c r="K403" s="268" t="s">
        <v>36</v>
      </c>
      <c r="L403" s="193"/>
      <c r="M403" s="303" t="s">
        <v>38</v>
      </c>
      <c r="N403" s="303"/>
      <c r="O403" s="193" t="s">
        <v>40</v>
      </c>
      <c r="P403" s="195"/>
      <c r="Q403" s="268" t="s">
        <v>4074</v>
      </c>
      <c r="R403" s="292"/>
      <c r="S403" s="295"/>
      <c r="T403" s="292"/>
    </row>
    <row r="404" ht="63.75" hidden="1" customHeight="1">
      <c r="A404" s="193">
        <v>403.0</v>
      </c>
      <c r="B404" s="319">
        <v>46215.0</v>
      </c>
      <c r="C404" s="292" t="s">
        <v>21</v>
      </c>
      <c r="D404" s="268" t="s">
        <v>66</v>
      </c>
      <c r="E404" s="292" t="s">
        <v>284</v>
      </c>
      <c r="F404" s="292">
        <v>5.66925252E8</v>
      </c>
      <c r="G404" s="292" t="s">
        <v>27</v>
      </c>
      <c r="H404" s="292" t="s">
        <v>27</v>
      </c>
      <c r="I404" s="292" t="s">
        <v>5719</v>
      </c>
      <c r="J404" s="292"/>
      <c r="K404" s="268" t="s">
        <v>36</v>
      </c>
      <c r="L404" s="193"/>
      <c r="M404" s="303" t="s">
        <v>38</v>
      </c>
      <c r="N404" s="303"/>
      <c r="O404" s="193" t="s">
        <v>40</v>
      </c>
      <c r="P404" s="195"/>
      <c r="Q404" s="268" t="s">
        <v>4074</v>
      </c>
      <c r="R404" s="292"/>
      <c r="S404" s="295"/>
      <c r="T404" s="292"/>
    </row>
    <row r="405" ht="63.75" hidden="1" customHeight="1">
      <c r="A405" s="193">
        <v>404.0</v>
      </c>
      <c r="B405" s="319">
        <v>46215.0</v>
      </c>
      <c r="C405" s="292" t="s">
        <v>21</v>
      </c>
      <c r="D405" s="268" t="s">
        <v>22</v>
      </c>
      <c r="E405" s="292" t="s">
        <v>284</v>
      </c>
      <c r="F405" s="292">
        <v>5.35682339E8</v>
      </c>
      <c r="G405" s="292" t="s">
        <v>120</v>
      </c>
      <c r="H405" s="292" t="s">
        <v>27</v>
      </c>
      <c r="I405" s="292" t="s">
        <v>5723</v>
      </c>
      <c r="J405" s="292"/>
      <c r="K405" s="268" t="s">
        <v>36</v>
      </c>
      <c r="L405" s="193"/>
      <c r="M405" s="303" t="s">
        <v>38</v>
      </c>
      <c r="N405" s="303"/>
      <c r="O405" s="193" t="s">
        <v>40</v>
      </c>
      <c r="P405" s="195"/>
      <c r="Q405" s="268" t="s">
        <v>4074</v>
      </c>
      <c r="R405" s="292"/>
      <c r="S405" s="292"/>
      <c r="T405" s="292"/>
    </row>
    <row r="406" ht="63.75" hidden="1" customHeight="1">
      <c r="A406" s="193">
        <v>405.0</v>
      </c>
      <c r="B406" s="319">
        <v>46215.0</v>
      </c>
      <c r="C406" s="292" t="s">
        <v>21</v>
      </c>
      <c r="D406" s="193" t="s">
        <v>22</v>
      </c>
      <c r="E406" s="292" t="s">
        <v>5726</v>
      </c>
      <c r="F406" s="292">
        <v>5.53779959E8</v>
      </c>
      <c r="G406" s="292" t="s">
        <v>4683</v>
      </c>
      <c r="H406" s="292" t="s">
        <v>27</v>
      </c>
      <c r="I406" s="292" t="s">
        <v>5727</v>
      </c>
      <c r="J406" s="292"/>
      <c r="K406" s="268" t="s">
        <v>3070</v>
      </c>
      <c r="L406" s="193"/>
      <c r="M406" s="303" t="s">
        <v>38</v>
      </c>
      <c r="N406" s="303"/>
      <c r="O406" s="193" t="s">
        <v>40</v>
      </c>
      <c r="P406" s="195"/>
      <c r="Q406" s="268" t="s">
        <v>4074</v>
      </c>
      <c r="R406" s="292"/>
      <c r="S406" s="292"/>
      <c r="T406" s="292"/>
    </row>
    <row r="407" ht="63.75" hidden="1" customHeight="1">
      <c r="A407" s="193">
        <v>406.0</v>
      </c>
      <c r="B407" s="319">
        <v>46215.0</v>
      </c>
      <c r="C407" s="292" t="s">
        <v>21</v>
      </c>
      <c r="D407" s="193" t="s">
        <v>22</v>
      </c>
      <c r="E407" s="292" t="s">
        <v>4673</v>
      </c>
      <c r="F407" s="292">
        <v>5.73799913E8</v>
      </c>
      <c r="G407" s="292" t="s">
        <v>4282</v>
      </c>
      <c r="H407" s="292" t="s">
        <v>27</v>
      </c>
      <c r="I407" s="292" t="s">
        <v>5733</v>
      </c>
      <c r="J407" s="292"/>
      <c r="K407" s="268" t="s">
        <v>36</v>
      </c>
      <c r="L407" s="193"/>
      <c r="M407" s="303" t="s">
        <v>38</v>
      </c>
      <c r="N407" s="303"/>
      <c r="O407" s="193" t="s">
        <v>40</v>
      </c>
      <c r="P407" s="195"/>
      <c r="Q407" s="268" t="s">
        <v>4074</v>
      </c>
      <c r="R407" s="292"/>
      <c r="S407" s="295"/>
      <c r="T407" s="292"/>
    </row>
    <row r="408" ht="63.75" hidden="1" customHeight="1">
      <c r="A408" s="193">
        <v>407.0</v>
      </c>
      <c r="B408" s="319">
        <v>46216.0</v>
      </c>
      <c r="C408" s="293" t="s">
        <v>58</v>
      </c>
      <c r="D408" s="193" t="s">
        <v>60</v>
      </c>
      <c r="E408" s="293" t="s">
        <v>27</v>
      </c>
      <c r="F408" s="293">
        <v>5.07079159E8</v>
      </c>
      <c r="G408" s="303" t="s">
        <v>4683</v>
      </c>
      <c r="H408" s="293" t="s">
        <v>27</v>
      </c>
      <c r="I408" s="303" t="s">
        <v>5735</v>
      </c>
      <c r="J408" s="292"/>
      <c r="K408" s="193" t="s">
        <v>62</v>
      </c>
      <c r="L408" s="193"/>
      <c r="M408" s="303" t="s">
        <v>88</v>
      </c>
      <c r="N408" s="303"/>
      <c r="O408" s="193" t="s">
        <v>40</v>
      </c>
      <c r="P408" s="195"/>
      <c r="Q408" s="193" t="s">
        <v>44</v>
      </c>
      <c r="R408" s="292"/>
      <c r="S408" s="295"/>
      <c r="T408" s="292"/>
    </row>
    <row r="409" ht="63.75" hidden="1" customHeight="1">
      <c r="A409" s="193">
        <v>408.0</v>
      </c>
      <c r="B409" s="319">
        <v>46216.0</v>
      </c>
      <c r="C409" s="293" t="s">
        <v>58</v>
      </c>
      <c r="D409" s="193" t="s">
        <v>60</v>
      </c>
      <c r="E409" s="293" t="s">
        <v>27</v>
      </c>
      <c r="F409" s="293">
        <v>5.69565941E8</v>
      </c>
      <c r="G409" s="293" t="s">
        <v>27</v>
      </c>
      <c r="H409" s="293" t="s">
        <v>27</v>
      </c>
      <c r="I409" s="303" t="s">
        <v>5737</v>
      </c>
      <c r="J409" s="303" t="s">
        <v>5739</v>
      </c>
      <c r="K409" s="193" t="s">
        <v>62</v>
      </c>
      <c r="L409" s="193"/>
      <c r="M409" s="303" t="s">
        <v>88</v>
      </c>
      <c r="N409" s="303"/>
      <c r="O409" s="193" t="s">
        <v>40</v>
      </c>
      <c r="P409" s="195"/>
      <c r="Q409" s="193" t="s">
        <v>44</v>
      </c>
      <c r="R409" s="292"/>
      <c r="S409" s="295"/>
      <c r="T409" s="292"/>
    </row>
    <row r="410" ht="63.75" hidden="1" customHeight="1">
      <c r="A410" s="193">
        <v>409.0</v>
      </c>
      <c r="B410" s="319">
        <v>46216.0</v>
      </c>
      <c r="C410" s="293" t="s">
        <v>58</v>
      </c>
      <c r="D410" s="193" t="s">
        <v>60</v>
      </c>
      <c r="E410" s="303" t="s">
        <v>5743</v>
      </c>
      <c r="F410" s="293">
        <v>5.46461006E8</v>
      </c>
      <c r="G410" s="293" t="s">
        <v>27</v>
      </c>
      <c r="H410" s="293" t="s">
        <v>27</v>
      </c>
      <c r="I410" s="303" t="s">
        <v>5744</v>
      </c>
      <c r="J410" s="292"/>
      <c r="K410" s="193" t="s">
        <v>62</v>
      </c>
      <c r="L410" s="193"/>
      <c r="M410" s="303" t="s">
        <v>88</v>
      </c>
      <c r="N410" s="303"/>
      <c r="O410" s="193" t="s">
        <v>40</v>
      </c>
      <c r="P410" s="195"/>
      <c r="Q410" s="193" t="s">
        <v>44</v>
      </c>
      <c r="R410" s="292"/>
      <c r="S410" s="295"/>
      <c r="T410" s="292"/>
    </row>
    <row r="411" ht="63.75" hidden="1" customHeight="1">
      <c r="A411" s="193">
        <v>410.0</v>
      </c>
      <c r="B411" s="319">
        <v>46216.0</v>
      </c>
      <c r="C411" s="293" t="s">
        <v>58</v>
      </c>
      <c r="D411" s="193" t="s">
        <v>34</v>
      </c>
      <c r="E411" s="193" t="s">
        <v>27</v>
      </c>
      <c r="F411" s="293">
        <v>5.31306046E8</v>
      </c>
      <c r="G411" s="293" t="s">
        <v>27</v>
      </c>
      <c r="H411" s="293" t="s">
        <v>27</v>
      </c>
      <c r="I411" s="303" t="s">
        <v>5748</v>
      </c>
      <c r="J411" s="292"/>
      <c r="K411" s="193" t="s">
        <v>62</v>
      </c>
      <c r="L411" s="193"/>
      <c r="M411" s="303" t="s">
        <v>88</v>
      </c>
      <c r="N411" s="303"/>
      <c r="O411" s="193" t="s">
        <v>40</v>
      </c>
      <c r="P411" s="195"/>
      <c r="Q411" s="193" t="s">
        <v>44</v>
      </c>
      <c r="R411" s="292"/>
      <c r="S411" s="295"/>
      <c r="T411" s="292"/>
    </row>
    <row r="412" ht="63.75" hidden="1" customHeight="1">
      <c r="A412" s="193">
        <v>411.0</v>
      </c>
      <c r="B412" s="319">
        <v>46216.0</v>
      </c>
      <c r="C412" s="293" t="s">
        <v>58</v>
      </c>
      <c r="D412" s="193" t="s">
        <v>57</v>
      </c>
      <c r="E412" s="303" t="s">
        <v>5750</v>
      </c>
      <c r="F412" s="293">
        <v>5.52172185E8</v>
      </c>
      <c r="G412" s="293" t="s">
        <v>27</v>
      </c>
      <c r="H412" s="293" t="s">
        <v>27</v>
      </c>
      <c r="I412" s="303" t="s">
        <v>5751</v>
      </c>
      <c r="J412" s="292"/>
      <c r="K412" s="193" t="s">
        <v>62</v>
      </c>
      <c r="L412" s="193"/>
      <c r="M412" s="303" t="s">
        <v>88</v>
      </c>
      <c r="N412" s="303"/>
      <c r="O412" s="193" t="s">
        <v>40</v>
      </c>
      <c r="P412" s="195"/>
      <c r="Q412" s="193" t="s">
        <v>44</v>
      </c>
      <c r="R412" s="292"/>
      <c r="S412" s="295"/>
      <c r="T412" s="292"/>
    </row>
    <row r="413" ht="63.75" hidden="1" customHeight="1">
      <c r="A413" s="193">
        <v>412.0</v>
      </c>
      <c r="B413" s="319">
        <v>46216.0</v>
      </c>
      <c r="C413" s="293" t="s">
        <v>21</v>
      </c>
      <c r="D413" s="193" t="s">
        <v>22</v>
      </c>
      <c r="E413" s="303" t="s">
        <v>5754</v>
      </c>
      <c r="F413" s="293">
        <v>5.35251665E8</v>
      </c>
      <c r="G413" s="303" t="s">
        <v>1648</v>
      </c>
      <c r="H413" s="293" t="s">
        <v>27</v>
      </c>
      <c r="I413" s="303" t="s">
        <v>5755</v>
      </c>
      <c r="J413" s="292"/>
      <c r="K413" s="193" t="s">
        <v>62</v>
      </c>
      <c r="L413" s="193"/>
      <c r="M413" s="303" t="s">
        <v>38</v>
      </c>
      <c r="N413" s="303"/>
      <c r="O413" s="193" t="s">
        <v>40</v>
      </c>
      <c r="P413" s="195"/>
      <c r="Q413" s="193" t="s">
        <v>44</v>
      </c>
      <c r="R413" s="293" t="s">
        <v>46</v>
      </c>
      <c r="S413" s="295"/>
      <c r="T413" s="292"/>
    </row>
    <row r="414" ht="63.75" hidden="1" customHeight="1">
      <c r="A414" s="193">
        <v>413.0</v>
      </c>
      <c r="B414" s="319">
        <v>46216.0</v>
      </c>
      <c r="C414" s="293" t="s">
        <v>58</v>
      </c>
      <c r="D414" s="193" t="s">
        <v>34</v>
      </c>
      <c r="E414" s="303" t="s">
        <v>5760</v>
      </c>
      <c r="F414" s="293">
        <v>5.67870531E8</v>
      </c>
      <c r="G414" s="293" t="s">
        <v>27</v>
      </c>
      <c r="H414" s="293" t="s">
        <v>27</v>
      </c>
      <c r="I414" s="303" t="s">
        <v>896</v>
      </c>
      <c r="J414" s="292"/>
      <c r="K414" s="193" t="s">
        <v>62</v>
      </c>
      <c r="L414" s="193"/>
      <c r="M414" s="303" t="s">
        <v>88</v>
      </c>
      <c r="N414" s="303"/>
      <c r="O414" s="193" t="s">
        <v>40</v>
      </c>
      <c r="P414" s="195"/>
      <c r="Q414" s="193" t="s">
        <v>44</v>
      </c>
      <c r="R414" s="292"/>
      <c r="S414" s="295"/>
      <c r="T414" s="292"/>
    </row>
    <row r="415" ht="63.75" hidden="1" customHeight="1">
      <c r="A415" s="193">
        <v>414.0</v>
      </c>
      <c r="B415" s="319">
        <v>46216.0</v>
      </c>
      <c r="C415" s="293" t="s">
        <v>58</v>
      </c>
      <c r="D415" s="193" t="s">
        <v>34</v>
      </c>
      <c r="E415" s="303" t="s">
        <v>5762</v>
      </c>
      <c r="F415" s="293">
        <v>5.64148681E8</v>
      </c>
      <c r="G415" s="293" t="s">
        <v>27</v>
      </c>
      <c r="H415" s="293" t="s">
        <v>27</v>
      </c>
      <c r="I415" s="303" t="s">
        <v>896</v>
      </c>
      <c r="J415" s="292"/>
      <c r="K415" s="193" t="s">
        <v>62</v>
      </c>
      <c r="L415" s="193"/>
      <c r="M415" s="303" t="s">
        <v>88</v>
      </c>
      <c r="N415" s="303"/>
      <c r="O415" s="193" t="s">
        <v>40</v>
      </c>
      <c r="P415" s="195"/>
      <c r="Q415" s="193" t="s">
        <v>44</v>
      </c>
      <c r="R415" s="292"/>
      <c r="S415" s="295"/>
      <c r="T415" s="292"/>
    </row>
    <row r="416" ht="63.75" hidden="1" customHeight="1">
      <c r="A416" s="193">
        <v>415.0</v>
      </c>
      <c r="B416" s="319">
        <v>46216.0</v>
      </c>
      <c r="C416" s="293" t="s">
        <v>58</v>
      </c>
      <c r="D416" s="193" t="s">
        <v>57</v>
      </c>
      <c r="E416" s="193" t="s">
        <v>27</v>
      </c>
      <c r="F416" s="293">
        <v>5.63247691E8</v>
      </c>
      <c r="G416" s="293" t="s">
        <v>27</v>
      </c>
      <c r="H416" s="293" t="s">
        <v>27</v>
      </c>
      <c r="I416" s="303" t="s">
        <v>5766</v>
      </c>
      <c r="J416" s="292"/>
      <c r="K416" s="193" t="s">
        <v>62</v>
      </c>
      <c r="L416" s="193"/>
      <c r="M416" s="303" t="s">
        <v>88</v>
      </c>
      <c r="N416" s="303"/>
      <c r="O416" s="193" t="s">
        <v>40</v>
      </c>
      <c r="P416" s="195"/>
      <c r="Q416" s="193" t="s">
        <v>44</v>
      </c>
      <c r="R416" s="292"/>
      <c r="S416" s="295"/>
      <c r="T416" s="292"/>
    </row>
    <row r="417" ht="63.75" hidden="1" customHeight="1">
      <c r="A417" s="193">
        <v>416.0</v>
      </c>
      <c r="B417" s="319">
        <v>46216.0</v>
      </c>
      <c r="C417" s="293" t="s">
        <v>58</v>
      </c>
      <c r="D417" s="193" t="s">
        <v>60</v>
      </c>
      <c r="E417" s="303" t="s">
        <v>5767</v>
      </c>
      <c r="F417" s="293">
        <v>5.96224723E8</v>
      </c>
      <c r="G417" s="195" t="s">
        <v>71</v>
      </c>
      <c r="H417" s="293" t="s">
        <v>27</v>
      </c>
      <c r="I417" s="303" t="s">
        <v>5769</v>
      </c>
      <c r="J417" s="292"/>
      <c r="K417" s="193" t="s">
        <v>62</v>
      </c>
      <c r="L417" s="193"/>
      <c r="M417" s="303" t="s">
        <v>88</v>
      </c>
      <c r="N417" s="303"/>
      <c r="O417" s="193" t="s">
        <v>40</v>
      </c>
      <c r="P417" s="195"/>
      <c r="Q417" s="193" t="s">
        <v>44</v>
      </c>
      <c r="R417" s="292"/>
      <c r="S417" s="295"/>
      <c r="T417" s="292"/>
    </row>
    <row r="418" ht="63.75" hidden="1" customHeight="1">
      <c r="A418" s="193">
        <v>417.0</v>
      </c>
      <c r="B418" s="319">
        <v>46216.0</v>
      </c>
      <c r="C418" s="293" t="s">
        <v>58</v>
      </c>
      <c r="D418" s="193" t="s">
        <v>60</v>
      </c>
      <c r="E418" s="303" t="s">
        <v>5772</v>
      </c>
      <c r="F418" s="293">
        <v>5.32022398E8</v>
      </c>
      <c r="G418" s="303" t="s">
        <v>112</v>
      </c>
      <c r="H418" s="293" t="s">
        <v>27</v>
      </c>
      <c r="I418" s="303" t="s">
        <v>5773</v>
      </c>
      <c r="J418" s="292"/>
      <c r="K418" s="193" t="s">
        <v>62</v>
      </c>
      <c r="L418" s="193"/>
      <c r="M418" s="303" t="s">
        <v>88</v>
      </c>
      <c r="N418" s="303"/>
      <c r="O418" s="193" t="s">
        <v>40</v>
      </c>
      <c r="P418" s="195"/>
      <c r="Q418" s="193" t="s">
        <v>44</v>
      </c>
      <c r="R418" s="292"/>
      <c r="S418" s="295"/>
      <c r="T418" s="292"/>
    </row>
    <row r="419" ht="63.75" hidden="1" customHeight="1">
      <c r="A419" s="193">
        <v>418.0</v>
      </c>
      <c r="B419" s="319">
        <v>46216.0</v>
      </c>
      <c r="C419" s="293" t="s">
        <v>21</v>
      </c>
      <c r="D419" s="193" t="s">
        <v>22</v>
      </c>
      <c r="E419" s="303" t="s">
        <v>463</v>
      </c>
      <c r="F419" s="293">
        <v>5.55526861E8</v>
      </c>
      <c r="G419" s="195" t="s">
        <v>41</v>
      </c>
      <c r="H419" s="293" t="s">
        <v>27</v>
      </c>
      <c r="I419" s="303" t="s">
        <v>5776</v>
      </c>
      <c r="J419" s="292"/>
      <c r="K419" s="193" t="s">
        <v>62</v>
      </c>
      <c r="L419" s="193"/>
      <c r="M419" s="303" t="s">
        <v>38</v>
      </c>
      <c r="N419" s="303"/>
      <c r="O419" s="193" t="s">
        <v>40</v>
      </c>
      <c r="P419" s="195"/>
      <c r="Q419" s="193" t="s">
        <v>44</v>
      </c>
      <c r="R419" s="293" t="s">
        <v>46</v>
      </c>
      <c r="S419" s="295"/>
      <c r="T419" s="292"/>
    </row>
    <row r="420" ht="63.75" hidden="1" customHeight="1">
      <c r="A420" s="193">
        <v>419.0</v>
      </c>
      <c r="B420" s="319">
        <v>46216.0</v>
      </c>
      <c r="C420" s="293" t="s">
        <v>3766</v>
      </c>
      <c r="D420" s="193" t="s">
        <v>57</v>
      </c>
      <c r="E420" s="303" t="s">
        <v>5778</v>
      </c>
      <c r="F420" s="293">
        <v>5.05691711E8</v>
      </c>
      <c r="G420" s="293" t="s">
        <v>27</v>
      </c>
      <c r="H420" s="293" t="s">
        <v>5220</v>
      </c>
      <c r="I420" s="303" t="s">
        <v>5779</v>
      </c>
      <c r="J420" s="292"/>
      <c r="K420" s="193" t="s">
        <v>148</v>
      </c>
      <c r="L420" s="193"/>
      <c r="M420" s="303" t="s">
        <v>3776</v>
      </c>
      <c r="N420" s="303"/>
      <c r="O420" s="193" t="s">
        <v>40</v>
      </c>
      <c r="P420" s="195"/>
      <c r="Q420" s="193" t="s">
        <v>44</v>
      </c>
      <c r="R420" s="292"/>
      <c r="S420" s="295"/>
      <c r="T420" s="292"/>
    </row>
    <row r="421" ht="63.75" hidden="1" customHeight="1">
      <c r="A421" s="193">
        <v>420.0</v>
      </c>
      <c r="B421" s="319">
        <v>46216.0</v>
      </c>
      <c r="C421" s="293" t="s">
        <v>58</v>
      </c>
      <c r="D421" s="193" t="s">
        <v>60</v>
      </c>
      <c r="E421" s="293" t="s">
        <v>27</v>
      </c>
      <c r="F421" s="293" t="s">
        <v>27</v>
      </c>
      <c r="G421" s="293" t="s">
        <v>27</v>
      </c>
      <c r="H421" s="293" t="s">
        <v>5220</v>
      </c>
      <c r="I421" s="303" t="s">
        <v>5783</v>
      </c>
      <c r="J421" s="303" t="s">
        <v>5784</v>
      </c>
      <c r="K421" s="193" t="s">
        <v>148</v>
      </c>
      <c r="L421" s="193"/>
      <c r="M421" s="303" t="s">
        <v>55</v>
      </c>
      <c r="N421" s="303"/>
      <c r="O421" s="193" t="s">
        <v>40</v>
      </c>
      <c r="P421" s="195"/>
      <c r="Q421" s="193" t="s">
        <v>44</v>
      </c>
      <c r="R421" s="292"/>
      <c r="S421" s="295"/>
      <c r="T421" s="292"/>
    </row>
    <row r="422" ht="63.75" hidden="1" customHeight="1">
      <c r="A422" s="193">
        <v>421.0</v>
      </c>
      <c r="B422" s="319">
        <v>46216.0</v>
      </c>
      <c r="C422" s="293" t="s">
        <v>47</v>
      </c>
      <c r="D422" s="193" t="s">
        <v>48</v>
      </c>
      <c r="E422" s="303" t="s">
        <v>446</v>
      </c>
      <c r="F422" s="293">
        <v>5.04221161E8</v>
      </c>
      <c r="G422" s="292" t="s">
        <v>2715</v>
      </c>
      <c r="H422" s="293" t="s">
        <v>2716</v>
      </c>
      <c r="I422" s="303" t="s">
        <v>5788</v>
      </c>
      <c r="J422" s="303" t="s">
        <v>5789</v>
      </c>
      <c r="K422" s="193" t="s">
        <v>148</v>
      </c>
      <c r="L422" s="193" t="s">
        <v>518</v>
      </c>
      <c r="M422" s="265" t="s">
        <v>101</v>
      </c>
      <c r="N422" s="265"/>
      <c r="O422" s="193" t="s">
        <v>56</v>
      </c>
      <c r="P422" s="195" t="s">
        <v>3765</v>
      </c>
      <c r="Q422" s="193" t="s">
        <v>44</v>
      </c>
      <c r="R422" s="293" t="s">
        <v>46</v>
      </c>
      <c r="S422" s="298" t="s">
        <v>44</v>
      </c>
      <c r="T422" s="292"/>
    </row>
    <row r="423" ht="63.75" hidden="1" customHeight="1">
      <c r="A423" s="193">
        <v>422.0</v>
      </c>
      <c r="B423" s="319">
        <v>46216.0</v>
      </c>
      <c r="C423" s="293" t="s">
        <v>47</v>
      </c>
      <c r="D423" s="193" t="s">
        <v>48</v>
      </c>
      <c r="E423" s="303" t="s">
        <v>5791</v>
      </c>
      <c r="F423" s="293">
        <v>5.44406065E8</v>
      </c>
      <c r="G423" s="292" t="s">
        <v>2715</v>
      </c>
      <c r="H423" s="293" t="s">
        <v>2716</v>
      </c>
      <c r="I423" s="303" t="s">
        <v>5793</v>
      </c>
      <c r="J423" s="303" t="s">
        <v>5794</v>
      </c>
      <c r="K423" s="193" t="s">
        <v>148</v>
      </c>
      <c r="L423" s="193" t="s">
        <v>518</v>
      </c>
      <c r="M423" s="265" t="s">
        <v>2247</v>
      </c>
      <c r="N423" s="265"/>
      <c r="O423" s="193" t="s">
        <v>56</v>
      </c>
      <c r="P423" s="195" t="s">
        <v>3765</v>
      </c>
      <c r="Q423" s="193" t="s">
        <v>44</v>
      </c>
      <c r="R423" s="293" t="s">
        <v>46</v>
      </c>
      <c r="S423" s="298" t="s">
        <v>44</v>
      </c>
      <c r="T423" s="292"/>
    </row>
    <row r="424" ht="63.75" hidden="1" customHeight="1">
      <c r="A424" s="193">
        <v>423.0</v>
      </c>
      <c r="B424" s="319">
        <v>46216.0</v>
      </c>
      <c r="C424" s="293" t="s">
        <v>47</v>
      </c>
      <c r="D424" s="193" t="s">
        <v>92</v>
      </c>
      <c r="E424" s="303" t="s">
        <v>5796</v>
      </c>
      <c r="F424" s="293">
        <v>5.99919597E8</v>
      </c>
      <c r="G424" s="303" t="s">
        <v>4683</v>
      </c>
      <c r="H424" s="293" t="s">
        <v>735</v>
      </c>
      <c r="I424" s="303" t="s">
        <v>5797</v>
      </c>
      <c r="J424" s="303" t="s">
        <v>5799</v>
      </c>
      <c r="K424" s="193" t="s">
        <v>148</v>
      </c>
      <c r="L424" s="193" t="s">
        <v>42</v>
      </c>
      <c r="M424" s="195" t="s">
        <v>1918</v>
      </c>
      <c r="N424" s="195"/>
      <c r="O424" s="193" t="s">
        <v>56</v>
      </c>
      <c r="P424" s="195" t="s">
        <v>3997</v>
      </c>
      <c r="Q424" s="193" t="s">
        <v>44</v>
      </c>
      <c r="R424" s="293" t="s">
        <v>46</v>
      </c>
      <c r="S424" s="295"/>
      <c r="T424" s="292"/>
    </row>
    <row r="425" ht="63.75" hidden="1" customHeight="1">
      <c r="A425" s="193">
        <v>424.0</v>
      </c>
      <c r="B425" s="319">
        <v>46216.0</v>
      </c>
      <c r="C425" s="293" t="s">
        <v>47</v>
      </c>
      <c r="D425" s="193" t="s">
        <v>92</v>
      </c>
      <c r="E425" s="303" t="s">
        <v>5802</v>
      </c>
      <c r="F425" s="293">
        <v>5.64687396E8</v>
      </c>
      <c r="G425" s="303" t="s">
        <v>28</v>
      </c>
      <c r="H425" s="293" t="s">
        <v>777</v>
      </c>
      <c r="I425" s="303" t="s">
        <v>5803</v>
      </c>
      <c r="J425" s="303" t="s">
        <v>5804</v>
      </c>
      <c r="K425" s="193" t="s">
        <v>148</v>
      </c>
      <c r="L425" s="193" t="s">
        <v>42</v>
      </c>
      <c r="M425" s="195" t="s">
        <v>1918</v>
      </c>
      <c r="N425" s="195"/>
      <c r="O425" s="193" t="s">
        <v>56</v>
      </c>
      <c r="P425" s="195" t="s">
        <v>3997</v>
      </c>
      <c r="Q425" s="193" t="s">
        <v>44</v>
      </c>
      <c r="R425" s="293" t="s">
        <v>46</v>
      </c>
      <c r="S425" s="295"/>
      <c r="T425" s="292"/>
    </row>
    <row r="426" ht="63.75" hidden="1" customHeight="1">
      <c r="A426" s="193">
        <v>425.0</v>
      </c>
      <c r="B426" s="319">
        <v>46216.0</v>
      </c>
      <c r="C426" s="293" t="s">
        <v>47</v>
      </c>
      <c r="D426" s="193" t="s">
        <v>138</v>
      </c>
      <c r="E426" s="293" t="s">
        <v>5808</v>
      </c>
      <c r="F426" s="293">
        <v>5.9629162E8</v>
      </c>
      <c r="G426" s="303" t="s">
        <v>362</v>
      </c>
      <c r="H426" s="293" t="s">
        <v>1029</v>
      </c>
      <c r="I426" s="303" t="s">
        <v>5809</v>
      </c>
      <c r="J426" s="292"/>
      <c r="K426" s="193" t="s">
        <v>148</v>
      </c>
      <c r="L426" s="193" t="s">
        <v>518</v>
      </c>
      <c r="M426" s="195" t="s">
        <v>183</v>
      </c>
      <c r="N426" s="195"/>
      <c r="O426" s="193" t="s">
        <v>40</v>
      </c>
      <c r="P426" s="195" t="s">
        <v>3765</v>
      </c>
      <c r="Q426" s="193" t="s">
        <v>44</v>
      </c>
      <c r="R426" s="293" t="s">
        <v>46</v>
      </c>
      <c r="S426" s="295"/>
      <c r="T426" s="292"/>
    </row>
    <row r="427" ht="63.75" hidden="1" customHeight="1">
      <c r="A427" s="193">
        <v>426.0</v>
      </c>
      <c r="B427" s="319">
        <v>46216.0</v>
      </c>
      <c r="C427" s="293" t="s">
        <v>47</v>
      </c>
      <c r="D427" s="193" t="s">
        <v>48</v>
      </c>
      <c r="E427" s="303" t="s">
        <v>5810</v>
      </c>
      <c r="F427" s="293">
        <v>5.00166631E8</v>
      </c>
      <c r="G427" s="195" t="s">
        <v>79</v>
      </c>
      <c r="H427" s="293" t="s">
        <v>142</v>
      </c>
      <c r="I427" s="303" t="s">
        <v>5812</v>
      </c>
      <c r="J427" s="303" t="s">
        <v>5813</v>
      </c>
      <c r="K427" s="193" t="s">
        <v>148</v>
      </c>
      <c r="L427" s="193" t="s">
        <v>518</v>
      </c>
      <c r="M427" s="303" t="s">
        <v>101</v>
      </c>
      <c r="N427" s="303"/>
      <c r="O427" s="193" t="s">
        <v>56</v>
      </c>
      <c r="P427" s="195" t="s">
        <v>3765</v>
      </c>
      <c r="Q427" s="193" t="s">
        <v>44</v>
      </c>
      <c r="R427" s="293" t="s">
        <v>46</v>
      </c>
      <c r="S427" s="298" t="s">
        <v>44</v>
      </c>
      <c r="T427" s="292"/>
    </row>
    <row r="428" ht="63.75" hidden="1" customHeight="1">
      <c r="A428" s="193">
        <v>427.0</v>
      </c>
      <c r="B428" s="319">
        <v>46216.0</v>
      </c>
      <c r="C428" s="293" t="s">
        <v>47</v>
      </c>
      <c r="D428" s="193" t="s">
        <v>48</v>
      </c>
      <c r="E428" s="293" t="s">
        <v>27</v>
      </c>
      <c r="F428" s="293" t="s">
        <v>27</v>
      </c>
      <c r="G428" s="195" t="s">
        <v>79</v>
      </c>
      <c r="H428" s="293" t="s">
        <v>638</v>
      </c>
      <c r="I428" s="303" t="s">
        <v>5814</v>
      </c>
      <c r="J428" s="303" t="s">
        <v>5815</v>
      </c>
      <c r="K428" s="193" t="s">
        <v>148</v>
      </c>
      <c r="L428" s="193" t="s">
        <v>42</v>
      </c>
      <c r="M428" s="303" t="s">
        <v>101</v>
      </c>
      <c r="N428" s="303"/>
      <c r="O428" s="193" t="s">
        <v>56</v>
      </c>
      <c r="P428" s="195" t="s">
        <v>3765</v>
      </c>
      <c r="Q428" s="193" t="s">
        <v>44</v>
      </c>
      <c r="R428" s="293" t="s">
        <v>46</v>
      </c>
      <c r="S428" s="295"/>
      <c r="T428" s="292"/>
    </row>
    <row r="429" ht="63.75" hidden="1" customHeight="1">
      <c r="A429" s="193">
        <v>428.0</v>
      </c>
      <c r="B429" s="319">
        <v>46216.0</v>
      </c>
      <c r="C429" s="293" t="s">
        <v>21</v>
      </c>
      <c r="D429" s="193" t="s">
        <v>22</v>
      </c>
      <c r="E429" s="303" t="s">
        <v>5818</v>
      </c>
      <c r="F429" s="293">
        <v>5.37729512E8</v>
      </c>
      <c r="G429" s="195" t="s">
        <v>71</v>
      </c>
      <c r="H429" s="293" t="s">
        <v>27</v>
      </c>
      <c r="I429" s="303" t="s">
        <v>5819</v>
      </c>
      <c r="J429" s="292"/>
      <c r="K429" s="193" t="s">
        <v>36</v>
      </c>
      <c r="L429" s="193"/>
      <c r="M429" s="303" t="s">
        <v>38</v>
      </c>
      <c r="N429" s="303"/>
      <c r="O429" s="193" t="s">
        <v>40</v>
      </c>
      <c r="P429" s="195"/>
      <c r="Q429" s="193" t="s">
        <v>44</v>
      </c>
      <c r="R429" s="293" t="s">
        <v>46</v>
      </c>
      <c r="S429" s="295"/>
      <c r="T429" s="292"/>
    </row>
    <row r="430" ht="63.75" hidden="1" customHeight="1">
      <c r="A430" s="193">
        <v>429.0</v>
      </c>
      <c r="B430" s="312">
        <v>46216.0</v>
      </c>
      <c r="C430" s="293" t="s">
        <v>21</v>
      </c>
      <c r="D430" s="193" t="s">
        <v>24</v>
      </c>
      <c r="E430" s="303" t="s">
        <v>5821</v>
      </c>
      <c r="F430" s="293">
        <v>5.48230055E8</v>
      </c>
      <c r="G430" s="303" t="s">
        <v>28</v>
      </c>
      <c r="H430" s="293" t="s">
        <v>27</v>
      </c>
      <c r="I430" s="303" t="s">
        <v>5822</v>
      </c>
      <c r="J430" s="292"/>
      <c r="K430" s="193" t="s">
        <v>36</v>
      </c>
      <c r="L430" s="193"/>
      <c r="M430" s="303" t="s">
        <v>38</v>
      </c>
      <c r="N430" s="303"/>
      <c r="O430" s="193" t="s">
        <v>40</v>
      </c>
      <c r="P430" s="195"/>
      <c r="Q430" s="193" t="s">
        <v>44</v>
      </c>
      <c r="R430" s="293" t="s">
        <v>46</v>
      </c>
      <c r="S430" s="295"/>
      <c r="T430" s="292"/>
    </row>
    <row r="431" ht="151.5" hidden="1" customHeight="1">
      <c r="A431" s="193">
        <v>430.0</v>
      </c>
      <c r="B431" s="319">
        <v>46216.0</v>
      </c>
      <c r="C431" s="293" t="s">
        <v>47</v>
      </c>
      <c r="D431" s="193" t="s">
        <v>92</v>
      </c>
      <c r="E431" s="303" t="s">
        <v>5823</v>
      </c>
      <c r="F431" s="293">
        <v>5.46435073E8</v>
      </c>
      <c r="G431" s="195" t="s">
        <v>71</v>
      </c>
      <c r="H431" s="293" t="s">
        <v>1801</v>
      </c>
      <c r="I431" s="303" t="s">
        <v>5825</v>
      </c>
      <c r="J431" s="303" t="s">
        <v>5826</v>
      </c>
      <c r="K431" s="193" t="s">
        <v>62</v>
      </c>
      <c r="L431" s="292" t="s">
        <v>301</v>
      </c>
      <c r="M431" s="195" t="s">
        <v>953</v>
      </c>
      <c r="N431" s="195"/>
      <c r="O431" s="193" t="s">
        <v>56</v>
      </c>
      <c r="P431" s="195" t="s">
        <v>3997</v>
      </c>
      <c r="Q431" s="193" t="s">
        <v>44</v>
      </c>
      <c r="R431" s="293" t="s">
        <v>46</v>
      </c>
      <c r="S431" s="298" t="s">
        <v>44</v>
      </c>
      <c r="T431" s="292"/>
    </row>
    <row r="432" ht="63.75" hidden="1" customHeight="1">
      <c r="A432" s="193">
        <v>431.0</v>
      </c>
      <c r="B432" s="319">
        <v>46216.0</v>
      </c>
      <c r="C432" s="293" t="s">
        <v>47</v>
      </c>
      <c r="D432" s="193" t="s">
        <v>92</v>
      </c>
      <c r="E432" s="303" t="s">
        <v>5828</v>
      </c>
      <c r="F432" s="293">
        <v>5.64655612E8</v>
      </c>
      <c r="G432" s="303" t="s">
        <v>28</v>
      </c>
      <c r="H432" s="293" t="s">
        <v>5830</v>
      </c>
      <c r="I432" s="303" t="s">
        <v>5831</v>
      </c>
      <c r="J432" s="303" t="s">
        <v>5832</v>
      </c>
      <c r="K432" s="193" t="s">
        <v>36</v>
      </c>
      <c r="L432" s="193" t="s">
        <v>518</v>
      </c>
      <c r="M432" s="195" t="s">
        <v>101</v>
      </c>
      <c r="N432" s="195"/>
      <c r="O432" s="193" t="s">
        <v>40</v>
      </c>
      <c r="P432" s="195" t="s">
        <v>3765</v>
      </c>
      <c r="Q432" s="193" t="s">
        <v>44</v>
      </c>
      <c r="R432" s="293" t="s">
        <v>46</v>
      </c>
      <c r="S432" s="298" t="s">
        <v>44</v>
      </c>
      <c r="T432" s="292"/>
    </row>
    <row r="433" ht="63.75" hidden="1" customHeight="1">
      <c r="A433" s="193">
        <v>432.0</v>
      </c>
      <c r="B433" s="319">
        <v>46217.0</v>
      </c>
      <c r="C433" s="293" t="s">
        <v>21</v>
      </c>
      <c r="D433" s="193" t="s">
        <v>24</v>
      </c>
      <c r="E433" s="303" t="s">
        <v>5835</v>
      </c>
      <c r="F433" s="293">
        <v>5.38396676E8</v>
      </c>
      <c r="G433" s="195" t="s">
        <v>71</v>
      </c>
      <c r="H433" s="193" t="s">
        <v>27</v>
      </c>
      <c r="I433" s="303" t="s">
        <v>5836</v>
      </c>
      <c r="J433" s="292"/>
      <c r="K433" s="193" t="s">
        <v>36</v>
      </c>
      <c r="L433" s="193"/>
      <c r="M433" s="303" t="s">
        <v>38</v>
      </c>
      <c r="N433" s="303"/>
      <c r="O433" s="193" t="s">
        <v>40</v>
      </c>
      <c r="P433" s="195"/>
      <c r="Q433" s="193" t="s">
        <v>44</v>
      </c>
      <c r="R433" s="293" t="s">
        <v>46</v>
      </c>
      <c r="S433" s="295"/>
      <c r="T433" s="292"/>
    </row>
    <row r="434" ht="63.75" hidden="1" customHeight="1">
      <c r="A434" s="193">
        <v>433.0</v>
      </c>
      <c r="B434" s="354">
        <v>46216.0</v>
      </c>
      <c r="C434" s="292" t="s">
        <v>47</v>
      </c>
      <c r="D434" s="193" t="s">
        <v>367</v>
      </c>
      <c r="E434" s="292" t="s">
        <v>5838</v>
      </c>
      <c r="F434" s="292" t="s">
        <v>27</v>
      </c>
      <c r="G434" s="292" t="s">
        <v>333</v>
      </c>
      <c r="H434" s="292" t="s">
        <v>5839</v>
      </c>
      <c r="I434" s="295" t="s">
        <v>5840</v>
      </c>
      <c r="J434" s="292"/>
      <c r="K434" s="268" t="s">
        <v>78</v>
      </c>
      <c r="L434" s="293" t="s">
        <v>518</v>
      </c>
      <c r="M434" s="195" t="s">
        <v>98</v>
      </c>
      <c r="N434" s="195"/>
      <c r="O434" s="193" t="s">
        <v>40</v>
      </c>
      <c r="P434" s="195" t="s">
        <v>3765</v>
      </c>
      <c r="Q434" s="268" t="s">
        <v>4074</v>
      </c>
      <c r="R434" s="293" t="s">
        <v>46</v>
      </c>
      <c r="S434" s="292"/>
      <c r="T434" s="292"/>
    </row>
    <row r="435" ht="63.75" hidden="1" customHeight="1">
      <c r="A435" s="193">
        <v>434.0</v>
      </c>
      <c r="B435" s="354">
        <v>46216.0</v>
      </c>
      <c r="C435" s="292" t="s">
        <v>47</v>
      </c>
      <c r="D435" s="268" t="s">
        <v>92</v>
      </c>
      <c r="E435" s="292" t="s">
        <v>5843</v>
      </c>
      <c r="F435" s="292" t="s">
        <v>27</v>
      </c>
      <c r="G435" s="195" t="s">
        <v>71</v>
      </c>
      <c r="H435" s="292" t="s">
        <v>4393</v>
      </c>
      <c r="I435" s="292" t="s">
        <v>5844</v>
      </c>
      <c r="J435" s="292"/>
      <c r="K435" s="268" t="s">
        <v>78</v>
      </c>
      <c r="L435" s="193" t="s">
        <v>3811</v>
      </c>
      <c r="M435" s="195" t="s">
        <v>98</v>
      </c>
      <c r="N435" s="195"/>
      <c r="O435" s="193" t="s">
        <v>40</v>
      </c>
      <c r="P435" s="195" t="s">
        <v>3997</v>
      </c>
      <c r="Q435" s="268" t="s">
        <v>4074</v>
      </c>
      <c r="R435" s="293" t="s">
        <v>46</v>
      </c>
      <c r="S435" s="292"/>
      <c r="T435" s="292"/>
    </row>
    <row r="436" ht="63.75" hidden="1" customHeight="1">
      <c r="A436" s="193">
        <v>435.0</v>
      </c>
      <c r="B436" s="354">
        <v>46216.0</v>
      </c>
      <c r="C436" s="292" t="s">
        <v>47</v>
      </c>
      <c r="D436" s="268" t="s">
        <v>92</v>
      </c>
      <c r="E436" s="292" t="s">
        <v>1330</v>
      </c>
      <c r="F436" s="295">
        <v>5.06688239E8</v>
      </c>
      <c r="G436" s="195" t="s">
        <v>71</v>
      </c>
      <c r="H436" s="292" t="s">
        <v>5847</v>
      </c>
      <c r="I436" s="303" t="s">
        <v>5849</v>
      </c>
      <c r="J436" s="292"/>
      <c r="K436" s="268" t="s">
        <v>36</v>
      </c>
      <c r="L436" s="293" t="s">
        <v>42</v>
      </c>
      <c r="M436" s="195" t="s">
        <v>795</v>
      </c>
      <c r="N436" s="195"/>
      <c r="O436" s="193" t="s">
        <v>40</v>
      </c>
      <c r="P436" s="195" t="s">
        <v>3765</v>
      </c>
      <c r="Q436" s="268" t="s">
        <v>4074</v>
      </c>
      <c r="R436" s="293" t="s">
        <v>46</v>
      </c>
      <c r="S436" s="292"/>
      <c r="T436" s="292"/>
    </row>
    <row r="437" ht="63.75" hidden="1" customHeight="1">
      <c r="A437" s="193">
        <v>436.0</v>
      </c>
      <c r="B437" s="354">
        <v>46216.0</v>
      </c>
      <c r="C437" s="292" t="s">
        <v>47</v>
      </c>
      <c r="D437" s="268" t="s">
        <v>92</v>
      </c>
      <c r="E437" s="292" t="s">
        <v>5852</v>
      </c>
      <c r="F437" s="292">
        <v>5.66945317E8</v>
      </c>
      <c r="G437" s="195" t="s">
        <v>71</v>
      </c>
      <c r="H437" s="292" t="s">
        <v>5853</v>
      </c>
      <c r="I437" s="295" t="s">
        <v>5854</v>
      </c>
      <c r="J437" s="303" t="s">
        <v>5855</v>
      </c>
      <c r="K437" s="193" t="s">
        <v>36</v>
      </c>
      <c r="L437" s="193" t="s">
        <v>3811</v>
      </c>
      <c r="M437" s="195" t="s">
        <v>98</v>
      </c>
      <c r="N437" s="195"/>
      <c r="O437" s="193" t="s">
        <v>40</v>
      </c>
      <c r="P437" s="195" t="s">
        <v>3997</v>
      </c>
      <c r="Q437" s="268" t="s">
        <v>4074</v>
      </c>
      <c r="R437" s="293" t="s">
        <v>46</v>
      </c>
      <c r="S437" s="292"/>
      <c r="T437" s="292"/>
    </row>
    <row r="438" ht="63.75" hidden="1" customHeight="1">
      <c r="A438" s="193">
        <v>437.0</v>
      </c>
      <c r="B438" s="354">
        <v>46216.0</v>
      </c>
      <c r="C438" s="292" t="s">
        <v>58</v>
      </c>
      <c r="D438" s="268" t="s">
        <v>60</v>
      </c>
      <c r="E438" s="292" t="s">
        <v>27</v>
      </c>
      <c r="F438" s="292">
        <v>5.06523525E8</v>
      </c>
      <c r="G438" s="292" t="s">
        <v>27</v>
      </c>
      <c r="H438" s="292" t="s">
        <v>27</v>
      </c>
      <c r="I438" s="292" t="s">
        <v>5859</v>
      </c>
      <c r="J438" s="292"/>
      <c r="K438" s="193" t="s">
        <v>36</v>
      </c>
      <c r="L438" s="193"/>
      <c r="M438" s="303" t="s">
        <v>88</v>
      </c>
      <c r="N438" s="303"/>
      <c r="O438" s="193" t="s">
        <v>40</v>
      </c>
      <c r="P438" s="195"/>
      <c r="Q438" s="268" t="s">
        <v>4074</v>
      </c>
      <c r="R438" s="292"/>
      <c r="S438" s="292"/>
      <c r="T438" s="292"/>
    </row>
    <row r="439" ht="63.75" hidden="1" customHeight="1">
      <c r="A439" s="193">
        <v>438.0</v>
      </c>
      <c r="B439" s="354">
        <v>46216.0</v>
      </c>
      <c r="C439" s="292" t="s">
        <v>58</v>
      </c>
      <c r="D439" s="268" t="s">
        <v>60</v>
      </c>
      <c r="E439" s="292" t="s">
        <v>27</v>
      </c>
      <c r="F439" s="292">
        <v>5.48788663E8</v>
      </c>
      <c r="G439" s="292" t="s">
        <v>27</v>
      </c>
      <c r="H439" s="292" t="s">
        <v>27</v>
      </c>
      <c r="I439" s="292" t="s">
        <v>5862</v>
      </c>
      <c r="J439" s="292"/>
      <c r="K439" s="193" t="s">
        <v>36</v>
      </c>
      <c r="L439" s="193"/>
      <c r="M439" s="303" t="s">
        <v>88</v>
      </c>
      <c r="N439" s="303"/>
      <c r="O439" s="193" t="s">
        <v>40</v>
      </c>
      <c r="P439" s="195"/>
      <c r="Q439" s="268" t="s">
        <v>4074</v>
      </c>
      <c r="R439" s="292"/>
      <c r="S439" s="292"/>
      <c r="T439" s="292"/>
    </row>
    <row r="440" ht="63.75" hidden="1" customHeight="1">
      <c r="A440" s="193">
        <v>439.0</v>
      </c>
      <c r="B440" s="354">
        <v>46216.0</v>
      </c>
      <c r="C440" s="292" t="s">
        <v>58</v>
      </c>
      <c r="D440" s="268" t="s">
        <v>60</v>
      </c>
      <c r="E440" s="292" t="s">
        <v>27</v>
      </c>
      <c r="F440" s="292">
        <v>5.51971556E8</v>
      </c>
      <c r="G440" s="292" t="s">
        <v>27</v>
      </c>
      <c r="H440" s="292" t="s">
        <v>27</v>
      </c>
      <c r="I440" s="292" t="s">
        <v>5865</v>
      </c>
      <c r="J440" s="292"/>
      <c r="K440" s="268" t="s">
        <v>36</v>
      </c>
      <c r="L440" s="193"/>
      <c r="M440" s="303" t="s">
        <v>88</v>
      </c>
      <c r="N440" s="303"/>
      <c r="O440" s="193" t="s">
        <v>40</v>
      </c>
      <c r="P440" s="195"/>
      <c r="Q440" s="268" t="s">
        <v>4074</v>
      </c>
      <c r="R440" s="292"/>
      <c r="S440" s="292"/>
      <c r="T440" s="292"/>
    </row>
    <row r="441" ht="41.25" hidden="1" customHeight="1">
      <c r="A441" s="193">
        <v>440.0</v>
      </c>
      <c r="B441" s="354">
        <v>46216.0</v>
      </c>
      <c r="C441" s="292" t="s">
        <v>47</v>
      </c>
      <c r="D441" s="268" t="s">
        <v>48</v>
      </c>
      <c r="E441" s="292" t="s">
        <v>5867</v>
      </c>
      <c r="F441" s="292">
        <v>5.55343638E8</v>
      </c>
      <c r="G441" s="195" t="s">
        <v>41</v>
      </c>
      <c r="H441" s="292" t="s">
        <v>5436</v>
      </c>
      <c r="I441" s="303" t="s">
        <v>5869</v>
      </c>
      <c r="J441" s="292"/>
      <c r="K441" s="268" t="s">
        <v>148</v>
      </c>
      <c r="L441" s="193" t="s">
        <v>42</v>
      </c>
      <c r="M441" s="195" t="s">
        <v>555</v>
      </c>
      <c r="N441" s="195"/>
      <c r="O441" s="193" t="s">
        <v>40</v>
      </c>
      <c r="P441" s="195" t="s">
        <v>3765</v>
      </c>
      <c r="Q441" s="268" t="s">
        <v>4074</v>
      </c>
      <c r="R441" s="293" t="s">
        <v>46</v>
      </c>
      <c r="S441" s="292"/>
      <c r="T441" s="292"/>
    </row>
    <row r="442" hidden="1">
      <c r="A442" s="193">
        <v>441.0</v>
      </c>
      <c r="B442" s="354">
        <v>46216.0</v>
      </c>
      <c r="C442" s="292" t="s">
        <v>47</v>
      </c>
      <c r="D442" s="268" t="s">
        <v>48</v>
      </c>
      <c r="E442" s="292" t="s">
        <v>2940</v>
      </c>
      <c r="F442" s="295">
        <v>5.73840159E8</v>
      </c>
      <c r="G442" s="195" t="s">
        <v>41</v>
      </c>
      <c r="H442" s="292" t="s">
        <v>5872</v>
      </c>
      <c r="I442" s="292" t="s">
        <v>5873</v>
      </c>
      <c r="J442" s="292"/>
      <c r="K442" s="268" t="s">
        <v>148</v>
      </c>
      <c r="L442" s="193" t="s">
        <v>42</v>
      </c>
      <c r="M442" s="265" t="s">
        <v>101</v>
      </c>
      <c r="N442" s="265"/>
      <c r="O442" s="193" t="s">
        <v>40</v>
      </c>
      <c r="P442" s="195" t="s">
        <v>3765</v>
      </c>
      <c r="Q442" s="268" t="s">
        <v>4074</v>
      </c>
      <c r="R442" s="293" t="s">
        <v>46</v>
      </c>
      <c r="S442" s="292"/>
      <c r="T442" s="292"/>
    </row>
    <row r="443" hidden="1">
      <c r="A443" s="193">
        <v>442.0</v>
      </c>
      <c r="B443" s="354">
        <v>46216.0</v>
      </c>
      <c r="C443" s="292" t="s">
        <v>47</v>
      </c>
      <c r="D443" s="268" t="s">
        <v>138</v>
      </c>
      <c r="E443" s="292" t="s">
        <v>27</v>
      </c>
      <c r="F443" s="292" t="s">
        <v>27</v>
      </c>
      <c r="G443" s="195" t="s">
        <v>41</v>
      </c>
      <c r="H443" s="292" t="s">
        <v>577</v>
      </c>
      <c r="I443" s="292" t="s">
        <v>5875</v>
      </c>
      <c r="J443" s="292"/>
      <c r="K443" s="268" t="s">
        <v>148</v>
      </c>
      <c r="L443" s="193" t="s">
        <v>518</v>
      </c>
      <c r="M443" s="195" t="s">
        <v>183</v>
      </c>
      <c r="N443" s="195"/>
      <c r="O443" s="193" t="s">
        <v>40</v>
      </c>
      <c r="P443" s="195" t="s">
        <v>3765</v>
      </c>
      <c r="Q443" s="268" t="s">
        <v>4074</v>
      </c>
      <c r="R443" s="293" t="s">
        <v>46</v>
      </c>
      <c r="S443" s="292"/>
      <c r="T443" s="292"/>
    </row>
    <row r="444" hidden="1">
      <c r="A444" s="193">
        <v>443.0</v>
      </c>
      <c r="B444" s="354">
        <v>46216.0</v>
      </c>
      <c r="C444" s="292" t="s">
        <v>47</v>
      </c>
      <c r="D444" s="268" t="s">
        <v>138</v>
      </c>
      <c r="E444" s="292" t="s">
        <v>5879</v>
      </c>
      <c r="F444" s="295">
        <v>5.76570779E8</v>
      </c>
      <c r="G444" s="195" t="s">
        <v>41</v>
      </c>
      <c r="H444" s="292" t="s">
        <v>577</v>
      </c>
      <c r="I444" s="292" t="s">
        <v>5880</v>
      </c>
      <c r="J444" s="292"/>
      <c r="K444" s="268" t="s">
        <v>148</v>
      </c>
      <c r="L444" s="193" t="s">
        <v>518</v>
      </c>
      <c r="M444" s="195" t="s">
        <v>183</v>
      </c>
      <c r="N444" s="195"/>
      <c r="O444" s="193" t="s">
        <v>40</v>
      </c>
      <c r="P444" s="195" t="s">
        <v>3765</v>
      </c>
      <c r="Q444" s="268" t="s">
        <v>4074</v>
      </c>
      <c r="R444" s="293" t="s">
        <v>46</v>
      </c>
      <c r="S444" s="292"/>
      <c r="T444" s="292"/>
    </row>
    <row r="445" ht="41.25" hidden="1" customHeight="1">
      <c r="A445" s="193">
        <v>444.0</v>
      </c>
      <c r="B445" s="354">
        <v>46216.0</v>
      </c>
      <c r="C445" s="292" t="s">
        <v>47</v>
      </c>
      <c r="D445" s="268" t="s">
        <v>138</v>
      </c>
      <c r="E445" s="292" t="s">
        <v>5881</v>
      </c>
      <c r="F445" s="292">
        <v>5.02100102E8</v>
      </c>
      <c r="G445" s="195" t="s">
        <v>41</v>
      </c>
      <c r="H445" s="292" t="s">
        <v>3753</v>
      </c>
      <c r="I445" s="292" t="s">
        <v>5884</v>
      </c>
      <c r="J445" s="292"/>
      <c r="K445" s="268" t="s">
        <v>148</v>
      </c>
      <c r="L445" s="193" t="s">
        <v>518</v>
      </c>
      <c r="M445" s="195" t="s">
        <v>183</v>
      </c>
      <c r="N445" s="195"/>
      <c r="O445" s="193" t="s">
        <v>40</v>
      </c>
      <c r="P445" s="195" t="s">
        <v>3765</v>
      </c>
      <c r="Q445" s="268" t="s">
        <v>4074</v>
      </c>
      <c r="R445" s="293" t="s">
        <v>46</v>
      </c>
      <c r="S445" s="292"/>
      <c r="T445" s="292"/>
    </row>
    <row r="446" hidden="1">
      <c r="A446" s="193">
        <v>445.0</v>
      </c>
      <c r="B446" s="354">
        <v>46216.0</v>
      </c>
      <c r="C446" s="292" t="s">
        <v>47</v>
      </c>
      <c r="D446" s="268" t="s">
        <v>92</v>
      </c>
      <c r="E446" s="292" t="s">
        <v>5887</v>
      </c>
      <c r="F446" s="292">
        <v>5.80565661E8</v>
      </c>
      <c r="G446" s="195" t="s">
        <v>71</v>
      </c>
      <c r="H446" s="292" t="s">
        <v>5853</v>
      </c>
      <c r="I446" s="292" t="s">
        <v>5888</v>
      </c>
      <c r="J446" s="303" t="s">
        <v>4583</v>
      </c>
      <c r="K446" s="193" t="s">
        <v>148</v>
      </c>
      <c r="L446" s="293" t="s">
        <v>518</v>
      </c>
      <c r="M446" s="195" t="s">
        <v>183</v>
      </c>
      <c r="N446" s="195"/>
      <c r="O446" s="193" t="s">
        <v>40</v>
      </c>
      <c r="P446" s="195" t="s">
        <v>3997</v>
      </c>
      <c r="Q446" s="268" t="s">
        <v>4074</v>
      </c>
      <c r="R446" s="293" t="s">
        <v>46</v>
      </c>
      <c r="S446" s="292"/>
      <c r="T446" s="292"/>
    </row>
    <row r="447" hidden="1">
      <c r="A447" s="193">
        <v>446.0</v>
      </c>
      <c r="B447" s="354">
        <v>46216.0</v>
      </c>
      <c r="C447" s="292" t="s">
        <v>47</v>
      </c>
      <c r="D447" s="268" t="s">
        <v>92</v>
      </c>
      <c r="E447" s="292" t="s">
        <v>5892</v>
      </c>
      <c r="F447" s="292">
        <v>5.45442987E8</v>
      </c>
      <c r="G447" s="195" t="s">
        <v>71</v>
      </c>
      <c r="H447" s="292" t="s">
        <v>4393</v>
      </c>
      <c r="I447" s="292" t="s">
        <v>5893</v>
      </c>
      <c r="J447" s="303" t="s">
        <v>5894</v>
      </c>
      <c r="K447" s="193" t="s">
        <v>148</v>
      </c>
      <c r="L447" s="293" t="s">
        <v>518</v>
      </c>
      <c r="M447" s="195" t="s">
        <v>183</v>
      </c>
      <c r="N447" s="195"/>
      <c r="O447" s="193" t="s">
        <v>40</v>
      </c>
      <c r="P447" s="195" t="s">
        <v>3997</v>
      </c>
      <c r="Q447" s="268" t="s">
        <v>4074</v>
      </c>
      <c r="R447" s="293" t="s">
        <v>46</v>
      </c>
      <c r="S447" s="292"/>
      <c r="T447" s="292"/>
    </row>
    <row r="448" hidden="1">
      <c r="A448" s="193">
        <v>447.0</v>
      </c>
      <c r="B448" s="354">
        <v>46216.0</v>
      </c>
      <c r="C448" s="292" t="s">
        <v>58</v>
      </c>
      <c r="D448" s="268" t="s">
        <v>57</v>
      </c>
      <c r="E448" s="292" t="s">
        <v>5896</v>
      </c>
      <c r="F448" s="292">
        <v>5.0481654E8</v>
      </c>
      <c r="G448" s="292" t="s">
        <v>2083</v>
      </c>
      <c r="H448" s="292" t="s">
        <v>27</v>
      </c>
      <c r="I448" s="292" t="s">
        <v>5898</v>
      </c>
      <c r="J448" s="292"/>
      <c r="K448" s="268" t="s">
        <v>36</v>
      </c>
      <c r="L448" s="193"/>
      <c r="M448" s="303" t="s">
        <v>88</v>
      </c>
      <c r="N448" s="303"/>
      <c r="O448" s="193" t="s">
        <v>40</v>
      </c>
      <c r="P448" s="195"/>
      <c r="Q448" s="268" t="s">
        <v>4074</v>
      </c>
      <c r="R448" s="292"/>
      <c r="S448" s="292"/>
      <c r="T448" s="292"/>
    </row>
    <row r="449" hidden="1">
      <c r="A449" s="193">
        <v>448.0</v>
      </c>
      <c r="B449" s="354">
        <v>46216.0</v>
      </c>
      <c r="C449" s="292" t="s">
        <v>58</v>
      </c>
      <c r="D449" s="268" t="s">
        <v>34</v>
      </c>
      <c r="E449" s="292" t="s">
        <v>5901</v>
      </c>
      <c r="F449" s="292">
        <v>5.04706555E8</v>
      </c>
      <c r="G449" s="292" t="s">
        <v>27</v>
      </c>
      <c r="H449" s="292" t="s">
        <v>27</v>
      </c>
      <c r="I449" s="292" t="s">
        <v>5902</v>
      </c>
      <c r="J449" s="292"/>
      <c r="K449" s="268" t="s">
        <v>36</v>
      </c>
      <c r="L449" s="193"/>
      <c r="M449" s="303" t="s">
        <v>88</v>
      </c>
      <c r="N449" s="303"/>
      <c r="O449" s="193" t="s">
        <v>40</v>
      </c>
      <c r="P449" s="195"/>
      <c r="Q449" s="268" t="s">
        <v>4074</v>
      </c>
      <c r="R449" s="292"/>
      <c r="S449" s="292"/>
      <c r="T449" s="292"/>
    </row>
    <row r="450" hidden="1">
      <c r="A450" s="193">
        <v>449.0</v>
      </c>
      <c r="B450" s="354">
        <v>46216.0</v>
      </c>
      <c r="C450" s="292" t="s">
        <v>58</v>
      </c>
      <c r="D450" s="268" t="s">
        <v>57</v>
      </c>
      <c r="E450" s="292" t="s">
        <v>5907</v>
      </c>
      <c r="F450" s="292">
        <v>5.47846403E8</v>
      </c>
      <c r="G450" s="195" t="s">
        <v>41</v>
      </c>
      <c r="H450" s="292" t="s">
        <v>27</v>
      </c>
      <c r="I450" s="292" t="s">
        <v>5908</v>
      </c>
      <c r="J450" s="292"/>
      <c r="K450" s="268" t="s">
        <v>36</v>
      </c>
      <c r="L450" s="193"/>
      <c r="M450" s="303" t="s">
        <v>88</v>
      </c>
      <c r="N450" s="303"/>
      <c r="O450" s="193" t="s">
        <v>40</v>
      </c>
      <c r="P450" s="195"/>
      <c r="Q450" s="268" t="s">
        <v>4074</v>
      </c>
      <c r="R450" s="292"/>
      <c r="S450" s="292"/>
      <c r="T450" s="292"/>
    </row>
    <row r="451" hidden="1">
      <c r="A451" s="193">
        <v>450.0</v>
      </c>
      <c r="B451" s="354">
        <v>46216.0</v>
      </c>
      <c r="C451" s="292" t="s">
        <v>58</v>
      </c>
      <c r="D451" s="268" t="s">
        <v>22</v>
      </c>
      <c r="E451" s="292" t="s">
        <v>922</v>
      </c>
      <c r="F451" s="292">
        <v>5.38354795E8</v>
      </c>
      <c r="G451" s="292" t="s">
        <v>27</v>
      </c>
      <c r="H451" s="292" t="s">
        <v>27</v>
      </c>
      <c r="I451" s="292" t="s">
        <v>5909</v>
      </c>
      <c r="J451" s="292"/>
      <c r="K451" s="268" t="s">
        <v>36</v>
      </c>
      <c r="L451" s="193"/>
      <c r="M451" s="303" t="s">
        <v>88</v>
      </c>
      <c r="N451" s="303"/>
      <c r="O451" s="193" t="s">
        <v>40</v>
      </c>
      <c r="P451" s="195"/>
      <c r="Q451" s="268" t="s">
        <v>4074</v>
      </c>
      <c r="R451" s="292"/>
      <c r="S451" s="292"/>
      <c r="T451" s="292"/>
    </row>
    <row r="452" hidden="1">
      <c r="A452" s="193">
        <v>451.0</v>
      </c>
      <c r="B452" s="356">
        <v>46216.0</v>
      </c>
      <c r="C452" s="292" t="s">
        <v>21</v>
      </c>
      <c r="D452" s="268" t="s">
        <v>24</v>
      </c>
      <c r="E452" s="292" t="s">
        <v>5378</v>
      </c>
      <c r="F452" s="292">
        <v>5.9299658E8</v>
      </c>
      <c r="G452" s="292" t="s">
        <v>120</v>
      </c>
      <c r="H452" s="292" t="s">
        <v>27</v>
      </c>
      <c r="I452" s="292" t="s">
        <v>5912</v>
      </c>
      <c r="J452" s="292"/>
      <c r="K452" s="268" t="s">
        <v>36</v>
      </c>
      <c r="L452" s="193"/>
      <c r="M452" s="303" t="s">
        <v>38</v>
      </c>
      <c r="N452" s="303"/>
      <c r="O452" s="193" t="s">
        <v>40</v>
      </c>
      <c r="P452" s="195"/>
      <c r="Q452" s="268" t="s">
        <v>4074</v>
      </c>
      <c r="R452" s="292"/>
      <c r="S452" s="292"/>
      <c r="T452" s="292"/>
    </row>
    <row r="453" hidden="1">
      <c r="A453" s="193">
        <v>452.0</v>
      </c>
      <c r="B453" s="354">
        <v>46216.0</v>
      </c>
      <c r="C453" s="292" t="s">
        <v>21</v>
      </c>
      <c r="D453" s="268" t="s">
        <v>66</v>
      </c>
      <c r="E453" s="292" t="s">
        <v>5916</v>
      </c>
      <c r="F453" s="292">
        <v>5.41168592E8</v>
      </c>
      <c r="G453" s="292" t="s">
        <v>27</v>
      </c>
      <c r="H453" s="292" t="s">
        <v>27</v>
      </c>
      <c r="I453" s="292" t="s">
        <v>5917</v>
      </c>
      <c r="J453" s="292"/>
      <c r="K453" s="268" t="s">
        <v>36</v>
      </c>
      <c r="L453" s="193"/>
      <c r="M453" s="303" t="s">
        <v>38</v>
      </c>
      <c r="N453" s="303"/>
      <c r="O453" s="193" t="s">
        <v>40</v>
      </c>
      <c r="P453" s="195"/>
      <c r="Q453" s="268" t="s">
        <v>4074</v>
      </c>
      <c r="R453" s="292"/>
      <c r="S453" s="292"/>
      <c r="T453" s="292"/>
    </row>
    <row r="454" hidden="1">
      <c r="A454" s="193">
        <v>453.0</v>
      </c>
      <c r="B454" s="354">
        <v>46216.0</v>
      </c>
      <c r="C454" s="292" t="s">
        <v>58</v>
      </c>
      <c r="D454" s="268" t="s">
        <v>60</v>
      </c>
      <c r="E454" s="292" t="s">
        <v>27</v>
      </c>
      <c r="F454" s="292">
        <v>5.42333843E8</v>
      </c>
      <c r="G454" s="292" t="s">
        <v>27</v>
      </c>
      <c r="H454" s="292" t="s">
        <v>27</v>
      </c>
      <c r="I454" s="292" t="s">
        <v>484</v>
      </c>
      <c r="J454" s="292"/>
      <c r="K454" s="268" t="s">
        <v>36</v>
      </c>
      <c r="L454" s="193"/>
      <c r="M454" s="303" t="s">
        <v>88</v>
      </c>
      <c r="N454" s="303"/>
      <c r="O454" s="193" t="s">
        <v>40</v>
      </c>
      <c r="P454" s="195"/>
      <c r="Q454" s="268" t="s">
        <v>4074</v>
      </c>
      <c r="R454" s="292"/>
      <c r="S454" s="292"/>
      <c r="T454" s="292"/>
    </row>
    <row r="455" hidden="1">
      <c r="A455" s="193">
        <v>454.0</v>
      </c>
      <c r="B455" s="354">
        <v>46216.0</v>
      </c>
      <c r="C455" s="293" t="s">
        <v>47</v>
      </c>
      <c r="D455" s="268" t="s">
        <v>48</v>
      </c>
      <c r="E455" s="292" t="s">
        <v>405</v>
      </c>
      <c r="F455" s="295">
        <v>5.99270316E8</v>
      </c>
      <c r="G455" s="195" t="s">
        <v>41</v>
      </c>
      <c r="H455" s="292" t="s">
        <v>5924</v>
      </c>
      <c r="I455" s="303" t="s">
        <v>5925</v>
      </c>
      <c r="J455" s="292"/>
      <c r="K455" s="268" t="s">
        <v>36</v>
      </c>
      <c r="L455" s="193" t="s">
        <v>42</v>
      </c>
      <c r="M455" s="195" t="s">
        <v>662</v>
      </c>
      <c r="N455" s="193" t="s">
        <v>4307</v>
      </c>
      <c r="O455" s="193" t="s">
        <v>40</v>
      </c>
      <c r="P455" s="193" t="s">
        <v>4129</v>
      </c>
      <c r="Q455" s="268" t="s">
        <v>4074</v>
      </c>
      <c r="R455" s="293" t="s">
        <v>46</v>
      </c>
      <c r="S455" s="293" t="s">
        <v>44</v>
      </c>
      <c r="T455" s="292"/>
    </row>
    <row r="456" hidden="1">
      <c r="A456" s="193">
        <v>455.0</v>
      </c>
      <c r="B456" s="354">
        <v>46216.0</v>
      </c>
      <c r="C456" s="292" t="s">
        <v>58</v>
      </c>
      <c r="D456" s="268" t="s">
        <v>57</v>
      </c>
      <c r="E456" s="292" t="s">
        <v>27</v>
      </c>
      <c r="F456" s="292">
        <v>5.6966642E8</v>
      </c>
      <c r="G456" s="195" t="s">
        <v>41</v>
      </c>
      <c r="H456" s="292" t="s">
        <v>5929</v>
      </c>
      <c r="I456" s="292" t="s">
        <v>5930</v>
      </c>
      <c r="J456" s="292"/>
      <c r="K456" s="268" t="s">
        <v>36</v>
      </c>
      <c r="L456" s="193"/>
      <c r="M456" s="303" t="s">
        <v>88</v>
      </c>
      <c r="N456" s="303"/>
      <c r="O456" s="193" t="s">
        <v>40</v>
      </c>
      <c r="P456" s="195"/>
      <c r="Q456" s="268" t="s">
        <v>4074</v>
      </c>
      <c r="R456" s="292"/>
      <c r="S456" s="292"/>
      <c r="T456" s="292"/>
    </row>
    <row r="457" hidden="1">
      <c r="A457" s="193">
        <v>456.0</v>
      </c>
      <c r="B457" s="356">
        <v>46216.0</v>
      </c>
      <c r="C457" s="292" t="s">
        <v>21</v>
      </c>
      <c r="D457" s="268" t="s">
        <v>24</v>
      </c>
      <c r="E457" s="292" t="s">
        <v>4961</v>
      </c>
      <c r="F457" s="292">
        <v>5.74658124E8</v>
      </c>
      <c r="G457" s="292" t="s">
        <v>4178</v>
      </c>
      <c r="H457" s="292" t="s">
        <v>27</v>
      </c>
      <c r="I457" s="292" t="s">
        <v>5934</v>
      </c>
      <c r="J457" s="292"/>
      <c r="K457" s="268" t="s">
        <v>36</v>
      </c>
      <c r="L457" s="193"/>
      <c r="M457" s="303" t="s">
        <v>38</v>
      </c>
      <c r="N457" s="303"/>
      <c r="O457" s="193" t="s">
        <v>40</v>
      </c>
      <c r="P457" s="195"/>
      <c r="Q457" s="268" t="s">
        <v>4074</v>
      </c>
      <c r="R457" s="292"/>
      <c r="S457" s="292"/>
      <c r="T457" s="292"/>
    </row>
    <row r="458" hidden="1">
      <c r="A458" s="193">
        <v>457.0</v>
      </c>
      <c r="B458" s="354">
        <v>46216.0</v>
      </c>
      <c r="C458" s="292" t="s">
        <v>58</v>
      </c>
      <c r="D458" s="268" t="s">
        <v>60</v>
      </c>
      <c r="E458" s="292" t="s">
        <v>27</v>
      </c>
      <c r="F458" s="292">
        <v>5.6599921E8</v>
      </c>
      <c r="G458" s="292" t="s">
        <v>27</v>
      </c>
      <c r="H458" s="292" t="s">
        <v>27</v>
      </c>
      <c r="I458" s="292" t="s">
        <v>5938</v>
      </c>
      <c r="J458" s="292"/>
      <c r="K458" s="268" t="s">
        <v>36</v>
      </c>
      <c r="L458" s="193"/>
      <c r="M458" s="303" t="s">
        <v>88</v>
      </c>
      <c r="N458" s="303"/>
      <c r="O458" s="193" t="s">
        <v>40</v>
      </c>
      <c r="P458" s="195"/>
      <c r="Q458" s="268" t="s">
        <v>4074</v>
      </c>
      <c r="R458" s="292"/>
      <c r="S458" s="292"/>
      <c r="T458" s="292"/>
    </row>
    <row r="459" hidden="1">
      <c r="A459" s="193">
        <v>458.0</v>
      </c>
      <c r="B459" s="354">
        <v>46216.0</v>
      </c>
      <c r="C459" s="292" t="s">
        <v>47</v>
      </c>
      <c r="D459" s="193" t="s">
        <v>367</v>
      </c>
      <c r="E459" s="292" t="s">
        <v>5940</v>
      </c>
      <c r="F459" s="292">
        <v>5.70525109E8</v>
      </c>
      <c r="G459" s="195" t="s">
        <v>71</v>
      </c>
      <c r="H459" s="292" t="s">
        <v>5941</v>
      </c>
      <c r="I459" s="265" t="s">
        <v>5943</v>
      </c>
      <c r="J459" s="292"/>
      <c r="K459" s="268" t="s">
        <v>62</v>
      </c>
      <c r="L459" s="292" t="s">
        <v>518</v>
      </c>
      <c r="M459" s="195" t="s">
        <v>5945</v>
      </c>
      <c r="N459" s="195"/>
      <c r="O459" s="193" t="s">
        <v>40</v>
      </c>
      <c r="P459" s="195" t="s">
        <v>3765</v>
      </c>
      <c r="Q459" s="268" t="s">
        <v>4074</v>
      </c>
      <c r="R459" s="293" t="s">
        <v>46</v>
      </c>
      <c r="S459" s="293" t="s">
        <v>49</v>
      </c>
      <c r="T459" s="292"/>
    </row>
    <row r="460" hidden="1">
      <c r="A460" s="193">
        <v>459.0</v>
      </c>
      <c r="B460" s="354">
        <v>46216.0</v>
      </c>
      <c r="C460" s="292" t="s">
        <v>58</v>
      </c>
      <c r="D460" s="268" t="s">
        <v>60</v>
      </c>
      <c r="E460" s="292" t="s">
        <v>27</v>
      </c>
      <c r="F460" s="292">
        <v>5.91490456E8</v>
      </c>
      <c r="G460" s="292" t="s">
        <v>27</v>
      </c>
      <c r="H460" s="292" t="s">
        <v>27</v>
      </c>
      <c r="I460" s="292" t="s">
        <v>5948</v>
      </c>
      <c r="J460" s="292"/>
      <c r="K460" s="268" t="s">
        <v>36</v>
      </c>
      <c r="L460" s="193"/>
      <c r="M460" s="303" t="s">
        <v>88</v>
      </c>
      <c r="N460" s="303"/>
      <c r="O460" s="193" t="s">
        <v>40</v>
      </c>
      <c r="P460" s="195"/>
      <c r="Q460" s="298" t="s">
        <v>4074</v>
      </c>
      <c r="R460" s="292"/>
      <c r="S460" s="292"/>
      <c r="T460" s="292"/>
    </row>
    <row r="461" hidden="1">
      <c r="A461" s="193">
        <v>460.0</v>
      </c>
      <c r="B461" s="356">
        <v>46216.0</v>
      </c>
      <c r="C461" s="292" t="s">
        <v>21</v>
      </c>
      <c r="D461" s="268" t="s">
        <v>24</v>
      </c>
      <c r="E461" s="292" t="s">
        <v>2940</v>
      </c>
      <c r="F461" s="292">
        <v>5.04920277E8</v>
      </c>
      <c r="G461" s="195" t="s">
        <v>71</v>
      </c>
      <c r="H461" s="292" t="s">
        <v>5954</v>
      </c>
      <c r="I461" s="292" t="s">
        <v>5955</v>
      </c>
      <c r="J461" s="292"/>
      <c r="K461" s="268" t="s">
        <v>36</v>
      </c>
      <c r="L461" s="193"/>
      <c r="M461" s="303" t="s">
        <v>38</v>
      </c>
      <c r="N461" s="303"/>
      <c r="O461" s="193" t="s">
        <v>40</v>
      </c>
      <c r="P461" s="195"/>
      <c r="Q461" s="268" t="s">
        <v>4074</v>
      </c>
      <c r="R461" s="292"/>
      <c r="S461" s="292"/>
      <c r="T461" s="292"/>
    </row>
    <row r="462" hidden="1">
      <c r="A462" s="193">
        <v>461.0</v>
      </c>
      <c r="B462" s="319">
        <v>46217.0</v>
      </c>
      <c r="C462" s="293" t="s">
        <v>21</v>
      </c>
      <c r="D462" s="193" t="s">
        <v>22</v>
      </c>
      <c r="E462" s="303" t="s">
        <v>5960</v>
      </c>
      <c r="F462" s="293">
        <v>5.45987666E8</v>
      </c>
      <c r="G462" s="193" t="s">
        <v>27</v>
      </c>
      <c r="H462" s="193" t="s">
        <v>27</v>
      </c>
      <c r="I462" s="303" t="s">
        <v>5962</v>
      </c>
      <c r="J462" s="292"/>
      <c r="K462" s="193" t="s">
        <v>321</v>
      </c>
      <c r="L462" s="193"/>
      <c r="M462" s="303" t="s">
        <v>38</v>
      </c>
      <c r="N462" s="303"/>
      <c r="O462" s="292"/>
      <c r="P462" s="292"/>
      <c r="Q462" s="193" t="s">
        <v>49</v>
      </c>
      <c r="R462" s="292"/>
      <c r="S462" s="363"/>
      <c r="T462" s="295"/>
    </row>
    <row r="463" hidden="1">
      <c r="A463" s="193">
        <v>462.0</v>
      </c>
      <c r="B463" s="319">
        <v>46217.0</v>
      </c>
      <c r="C463" s="293" t="s">
        <v>21</v>
      </c>
      <c r="D463" s="193" t="s">
        <v>22</v>
      </c>
      <c r="E463" s="303" t="s">
        <v>5964</v>
      </c>
      <c r="F463" s="293">
        <v>5.57312517E8</v>
      </c>
      <c r="G463" s="303" t="s">
        <v>5966</v>
      </c>
      <c r="H463" s="193" t="s">
        <v>27</v>
      </c>
      <c r="I463" s="303" t="s">
        <v>5967</v>
      </c>
      <c r="J463" s="292"/>
      <c r="K463" s="193" t="s">
        <v>62</v>
      </c>
      <c r="L463" s="193"/>
      <c r="M463" s="303" t="s">
        <v>38</v>
      </c>
      <c r="N463" s="303"/>
      <c r="O463" s="292"/>
      <c r="P463" s="292"/>
      <c r="Q463" s="193" t="s">
        <v>44</v>
      </c>
      <c r="R463" s="293" t="s">
        <v>46</v>
      </c>
      <c r="S463" s="363"/>
      <c r="T463" s="295"/>
    </row>
    <row r="464" hidden="1">
      <c r="A464" s="193">
        <v>463.0</v>
      </c>
      <c r="B464" s="319">
        <v>46217.0</v>
      </c>
      <c r="C464" s="293" t="s">
        <v>21</v>
      </c>
      <c r="D464" s="193" t="s">
        <v>34</v>
      </c>
      <c r="E464" s="303" t="s">
        <v>5971</v>
      </c>
      <c r="F464" s="293">
        <v>5.32485144E8</v>
      </c>
      <c r="G464" s="193" t="s">
        <v>27</v>
      </c>
      <c r="H464" s="193" t="s">
        <v>27</v>
      </c>
      <c r="I464" s="303" t="s">
        <v>5974</v>
      </c>
      <c r="J464" s="292"/>
      <c r="K464" s="193" t="s">
        <v>62</v>
      </c>
      <c r="L464" s="193"/>
      <c r="M464" s="303" t="s">
        <v>51</v>
      </c>
      <c r="N464" s="303"/>
      <c r="O464" s="292"/>
      <c r="P464" s="292"/>
      <c r="Q464" s="193" t="s">
        <v>44</v>
      </c>
      <c r="R464" s="364"/>
      <c r="S464" s="363"/>
      <c r="T464" s="295"/>
    </row>
    <row r="465" hidden="1">
      <c r="A465" s="193">
        <v>464.0</v>
      </c>
      <c r="B465" s="319">
        <v>46217.0</v>
      </c>
      <c r="C465" s="293" t="s">
        <v>58</v>
      </c>
      <c r="D465" s="193" t="s">
        <v>60</v>
      </c>
      <c r="E465" s="303" t="s">
        <v>5977</v>
      </c>
      <c r="F465" s="293">
        <v>5.61951956E8</v>
      </c>
      <c r="G465" s="293" t="s">
        <v>27</v>
      </c>
      <c r="H465" s="293" t="s">
        <v>27</v>
      </c>
      <c r="I465" s="303" t="s">
        <v>5979</v>
      </c>
      <c r="J465" s="292"/>
      <c r="K465" s="193" t="s">
        <v>62</v>
      </c>
      <c r="L465" s="193"/>
      <c r="M465" s="303" t="s">
        <v>88</v>
      </c>
      <c r="N465" s="303"/>
      <c r="O465" s="292"/>
      <c r="P465" s="292"/>
      <c r="Q465" s="193" t="s">
        <v>44</v>
      </c>
      <c r="R465" s="364"/>
      <c r="S465" s="363"/>
      <c r="T465" s="295"/>
    </row>
    <row r="466" hidden="1">
      <c r="A466" s="193">
        <v>465.0</v>
      </c>
      <c r="B466" s="319">
        <v>46217.0</v>
      </c>
      <c r="C466" s="293" t="s">
        <v>21</v>
      </c>
      <c r="D466" s="193" t="s">
        <v>66</v>
      </c>
      <c r="E466" s="303" t="s">
        <v>5981</v>
      </c>
      <c r="F466" s="293">
        <v>5.60682664E8</v>
      </c>
      <c r="G466" s="293" t="s">
        <v>27</v>
      </c>
      <c r="H466" s="293" t="s">
        <v>27</v>
      </c>
      <c r="I466" s="303" t="s">
        <v>5983</v>
      </c>
      <c r="J466" s="292"/>
      <c r="K466" s="193" t="s">
        <v>62</v>
      </c>
      <c r="L466" s="193"/>
      <c r="M466" s="303" t="s">
        <v>38</v>
      </c>
      <c r="N466" s="303"/>
      <c r="O466" s="292"/>
      <c r="P466" s="292"/>
      <c r="Q466" s="193" t="s">
        <v>44</v>
      </c>
      <c r="R466" s="364"/>
      <c r="S466" s="363"/>
      <c r="T466" s="295"/>
    </row>
    <row r="467" hidden="1">
      <c r="A467" s="193">
        <v>466.0</v>
      </c>
      <c r="B467" s="319">
        <v>46217.0</v>
      </c>
      <c r="C467" s="293" t="s">
        <v>21</v>
      </c>
      <c r="D467" s="193" t="s">
        <v>22</v>
      </c>
      <c r="E467" s="303" t="s">
        <v>5987</v>
      </c>
      <c r="F467" s="293">
        <v>5.68141722E8</v>
      </c>
      <c r="G467" s="303" t="s">
        <v>79</v>
      </c>
      <c r="H467" s="193" t="s">
        <v>27</v>
      </c>
      <c r="I467" s="303" t="s">
        <v>5988</v>
      </c>
      <c r="J467" s="292"/>
      <c r="K467" s="193" t="s">
        <v>62</v>
      </c>
      <c r="L467" s="193"/>
      <c r="M467" s="303" t="s">
        <v>38</v>
      </c>
      <c r="N467" s="303"/>
      <c r="O467" s="292"/>
      <c r="P467" s="292"/>
      <c r="Q467" s="193" t="s">
        <v>44</v>
      </c>
      <c r="R467" s="293" t="s">
        <v>46</v>
      </c>
      <c r="S467" s="363"/>
      <c r="T467" s="295"/>
    </row>
    <row r="468" hidden="1">
      <c r="A468" s="193">
        <v>467.0</v>
      </c>
      <c r="B468" s="319">
        <v>46217.0</v>
      </c>
      <c r="C468" s="293" t="s">
        <v>47</v>
      </c>
      <c r="D468" s="193" t="s">
        <v>138</v>
      </c>
      <c r="E468" s="303" t="s">
        <v>5994</v>
      </c>
      <c r="F468" s="293">
        <v>5.51534999E8</v>
      </c>
      <c r="G468" s="195" t="s">
        <v>79</v>
      </c>
      <c r="H468" s="293" t="s">
        <v>638</v>
      </c>
      <c r="I468" s="303" t="s">
        <v>5995</v>
      </c>
      <c r="J468" s="292"/>
      <c r="K468" s="193" t="s">
        <v>148</v>
      </c>
      <c r="L468" s="193" t="s">
        <v>518</v>
      </c>
      <c r="M468" s="195" t="s">
        <v>183</v>
      </c>
      <c r="N468" s="195"/>
      <c r="O468" s="193" t="s">
        <v>40</v>
      </c>
      <c r="P468" s="195" t="s">
        <v>3765</v>
      </c>
      <c r="Q468" s="193" t="s">
        <v>44</v>
      </c>
      <c r="R468" s="293" t="s">
        <v>46</v>
      </c>
      <c r="S468" s="363"/>
      <c r="T468" s="295"/>
    </row>
    <row r="469" hidden="1">
      <c r="A469" s="193">
        <v>468.0</v>
      </c>
      <c r="B469" s="319">
        <v>46217.0</v>
      </c>
      <c r="C469" s="293" t="s">
        <v>47</v>
      </c>
      <c r="D469" s="193" t="s">
        <v>48</v>
      </c>
      <c r="E469" s="303" t="s">
        <v>1055</v>
      </c>
      <c r="F469" s="293">
        <v>5.93096546E8</v>
      </c>
      <c r="G469" s="195" t="s">
        <v>41</v>
      </c>
      <c r="H469" s="293" t="s">
        <v>188</v>
      </c>
      <c r="I469" s="98" t="s">
        <v>5997</v>
      </c>
      <c r="J469" s="292"/>
      <c r="K469" s="193" t="s">
        <v>36</v>
      </c>
      <c r="L469" s="193" t="s">
        <v>42</v>
      </c>
      <c r="M469" s="303" t="s">
        <v>3764</v>
      </c>
      <c r="N469" s="303"/>
      <c r="O469" s="193" t="s">
        <v>40</v>
      </c>
      <c r="P469" s="195" t="s">
        <v>3765</v>
      </c>
      <c r="Q469" s="193" t="s">
        <v>44</v>
      </c>
      <c r="R469" s="293" t="s">
        <v>46</v>
      </c>
      <c r="S469" s="298" t="s">
        <v>44</v>
      </c>
      <c r="T469" s="295"/>
    </row>
    <row r="470" hidden="1">
      <c r="A470" s="193">
        <v>469.0</v>
      </c>
      <c r="B470" s="319">
        <v>46217.0</v>
      </c>
      <c r="C470" s="293" t="s">
        <v>21</v>
      </c>
      <c r="D470" s="193" t="s">
        <v>48</v>
      </c>
      <c r="E470" s="303" t="s">
        <v>6000</v>
      </c>
      <c r="F470" s="293">
        <v>5.57829731E8</v>
      </c>
      <c r="G470" s="195" t="s">
        <v>41</v>
      </c>
      <c r="H470" s="293" t="s">
        <v>27</v>
      </c>
      <c r="I470" s="303" t="s">
        <v>1564</v>
      </c>
      <c r="J470" s="303" t="s">
        <v>6001</v>
      </c>
      <c r="K470" s="193" t="s">
        <v>36</v>
      </c>
      <c r="L470" s="193" t="s">
        <v>42</v>
      </c>
      <c r="M470" s="303" t="s">
        <v>6002</v>
      </c>
      <c r="N470" s="293" t="s">
        <v>4127</v>
      </c>
      <c r="O470" s="193" t="s">
        <v>40</v>
      </c>
      <c r="P470" s="193" t="s">
        <v>4129</v>
      </c>
      <c r="Q470" s="193" t="s">
        <v>44</v>
      </c>
      <c r="R470" s="292"/>
      <c r="S470" s="295"/>
      <c r="T470" s="295"/>
    </row>
    <row r="471" hidden="1">
      <c r="A471" s="193">
        <v>470.0</v>
      </c>
      <c r="B471" s="319">
        <v>46217.0</v>
      </c>
      <c r="C471" s="293" t="s">
        <v>21</v>
      </c>
      <c r="D471" s="193" t="s">
        <v>34</v>
      </c>
      <c r="E471" s="303" t="s">
        <v>6006</v>
      </c>
      <c r="F471" s="293">
        <v>5.54436061E8</v>
      </c>
      <c r="G471" s="195" t="s">
        <v>71</v>
      </c>
      <c r="H471" s="293" t="s">
        <v>27</v>
      </c>
      <c r="I471" s="303" t="s">
        <v>6008</v>
      </c>
      <c r="J471" s="292"/>
      <c r="K471" s="193" t="s">
        <v>36</v>
      </c>
      <c r="L471" s="193"/>
      <c r="M471" s="303" t="s">
        <v>38</v>
      </c>
      <c r="N471" s="303"/>
      <c r="O471" s="292"/>
      <c r="P471" s="292"/>
      <c r="Q471" s="193" t="s">
        <v>44</v>
      </c>
      <c r="R471" s="364"/>
      <c r="S471" s="363"/>
      <c r="T471" s="295"/>
    </row>
    <row r="472" hidden="1">
      <c r="A472" s="193">
        <v>471.0</v>
      </c>
      <c r="B472" s="319">
        <v>46217.0</v>
      </c>
      <c r="C472" s="293" t="s">
        <v>21</v>
      </c>
      <c r="D472" s="193" t="s">
        <v>22</v>
      </c>
      <c r="E472" s="303" t="s">
        <v>6009</v>
      </c>
      <c r="F472" s="293">
        <v>5.06582245E8</v>
      </c>
      <c r="G472" s="303" t="s">
        <v>3000</v>
      </c>
      <c r="H472" s="293" t="s">
        <v>27</v>
      </c>
      <c r="I472" s="303" t="s">
        <v>6011</v>
      </c>
      <c r="J472" s="292"/>
      <c r="K472" s="193" t="s">
        <v>36</v>
      </c>
      <c r="L472" s="193"/>
      <c r="M472" s="303" t="s">
        <v>38</v>
      </c>
      <c r="N472" s="303"/>
      <c r="O472" s="292"/>
      <c r="P472" s="292"/>
      <c r="Q472" s="193" t="s">
        <v>44</v>
      </c>
      <c r="R472" s="293" t="s">
        <v>46</v>
      </c>
      <c r="S472" s="363"/>
      <c r="T472" s="295"/>
    </row>
    <row r="473">
      <c r="A473" s="193">
        <v>472.0</v>
      </c>
      <c r="B473" s="319">
        <v>46217.0</v>
      </c>
      <c r="C473" s="293" t="s">
        <v>58</v>
      </c>
      <c r="D473" s="193" t="s">
        <v>48</v>
      </c>
      <c r="E473" s="303" t="s">
        <v>6014</v>
      </c>
      <c r="F473" s="293">
        <v>5.83098098E8</v>
      </c>
      <c r="G473" s="303" t="s">
        <v>6015</v>
      </c>
      <c r="H473" s="293" t="s">
        <v>876</v>
      </c>
      <c r="I473" s="303" t="s">
        <v>6016</v>
      </c>
      <c r="J473" s="303" t="s">
        <v>6017</v>
      </c>
      <c r="K473" s="193" t="s">
        <v>36</v>
      </c>
      <c r="L473" s="293" t="s">
        <v>518</v>
      </c>
      <c r="M473" s="303" t="s">
        <v>5565</v>
      </c>
      <c r="N473" s="293" t="s">
        <v>4127</v>
      </c>
      <c r="O473" s="193" t="s">
        <v>56</v>
      </c>
      <c r="P473" s="193" t="s">
        <v>4129</v>
      </c>
      <c r="Q473" s="193" t="s">
        <v>44</v>
      </c>
      <c r="R473" s="292"/>
      <c r="S473" s="295"/>
      <c r="T473" s="295"/>
    </row>
    <row r="474" hidden="1">
      <c r="A474" s="193">
        <v>473.0</v>
      </c>
      <c r="B474" s="319">
        <v>46217.0</v>
      </c>
      <c r="C474" s="293" t="s">
        <v>21</v>
      </c>
      <c r="D474" s="193" t="s">
        <v>57</v>
      </c>
      <c r="E474" s="292" t="s">
        <v>6022</v>
      </c>
      <c r="F474" s="292">
        <v>5.83619941E8</v>
      </c>
      <c r="G474" s="195" t="s">
        <v>41</v>
      </c>
      <c r="H474" s="292" t="s">
        <v>6023</v>
      </c>
      <c r="I474" s="292" t="s">
        <v>6024</v>
      </c>
      <c r="J474" s="292"/>
      <c r="K474" s="268" t="s">
        <v>148</v>
      </c>
      <c r="L474" s="193"/>
      <c r="M474" s="303" t="s">
        <v>38</v>
      </c>
      <c r="N474" s="303"/>
      <c r="O474" s="292"/>
      <c r="P474" s="292"/>
      <c r="Q474" s="268" t="s">
        <v>4074</v>
      </c>
      <c r="R474" s="364"/>
      <c r="S474" s="292"/>
      <c r="T474" s="295"/>
    </row>
    <row r="475" hidden="1">
      <c r="A475" s="193">
        <v>474.0</v>
      </c>
      <c r="B475" s="319">
        <v>46217.0</v>
      </c>
      <c r="C475" s="292" t="s">
        <v>58</v>
      </c>
      <c r="D475" s="268" t="s">
        <v>60</v>
      </c>
      <c r="E475" s="292" t="s">
        <v>6028</v>
      </c>
      <c r="F475" s="292">
        <v>5.30000888E8</v>
      </c>
      <c r="G475" s="292" t="s">
        <v>27</v>
      </c>
      <c r="H475" s="292" t="s">
        <v>27</v>
      </c>
      <c r="I475" s="292" t="s">
        <v>6030</v>
      </c>
      <c r="J475" s="292"/>
      <c r="K475" s="193" t="s">
        <v>36</v>
      </c>
      <c r="L475" s="193"/>
      <c r="M475" s="303" t="s">
        <v>88</v>
      </c>
      <c r="N475" s="303"/>
      <c r="O475" s="292"/>
      <c r="P475" s="292"/>
      <c r="Q475" s="298" t="s">
        <v>4074</v>
      </c>
      <c r="R475" s="364"/>
      <c r="S475" s="292"/>
      <c r="T475" s="295"/>
    </row>
    <row r="476" hidden="1">
      <c r="A476" s="193">
        <v>475.0</v>
      </c>
      <c r="B476" s="319">
        <v>46217.0</v>
      </c>
      <c r="C476" s="292" t="s">
        <v>58</v>
      </c>
      <c r="D476" s="268" t="s">
        <v>34</v>
      </c>
      <c r="E476" s="292" t="s">
        <v>5901</v>
      </c>
      <c r="F476" s="292">
        <v>5.04706555E8</v>
      </c>
      <c r="G476" s="292" t="s">
        <v>27</v>
      </c>
      <c r="H476" s="292" t="s">
        <v>27</v>
      </c>
      <c r="I476" s="292" t="s">
        <v>6033</v>
      </c>
      <c r="J476" s="292"/>
      <c r="K476" s="268" t="s">
        <v>36</v>
      </c>
      <c r="L476" s="193"/>
      <c r="M476" s="303" t="s">
        <v>88</v>
      </c>
      <c r="N476" s="303"/>
      <c r="O476" s="292"/>
      <c r="P476" s="292"/>
      <c r="Q476" s="268" t="s">
        <v>4074</v>
      </c>
      <c r="R476" s="364"/>
      <c r="S476" s="292"/>
      <c r="T476" s="295"/>
    </row>
    <row r="477" hidden="1">
      <c r="A477" s="193">
        <v>476.0</v>
      </c>
      <c r="B477" s="319">
        <v>46217.0</v>
      </c>
      <c r="C477" s="292" t="s">
        <v>58</v>
      </c>
      <c r="D477" s="268" t="s">
        <v>60</v>
      </c>
      <c r="E477" s="193" t="s">
        <v>27</v>
      </c>
      <c r="F477" s="292">
        <v>5.59938469E8</v>
      </c>
      <c r="G477" s="193" t="s">
        <v>27</v>
      </c>
      <c r="H477" s="193" t="s">
        <v>27</v>
      </c>
      <c r="I477" s="292" t="s">
        <v>6037</v>
      </c>
      <c r="J477" s="292"/>
      <c r="K477" s="268" t="s">
        <v>65</v>
      </c>
      <c r="L477" s="193"/>
      <c r="M477" s="303" t="s">
        <v>38</v>
      </c>
      <c r="N477" s="303"/>
      <c r="O477" s="292"/>
      <c r="P477" s="292"/>
      <c r="Q477" s="268" t="s">
        <v>4074</v>
      </c>
      <c r="R477" s="364"/>
      <c r="S477" s="292"/>
      <c r="T477" s="292"/>
    </row>
    <row r="478" hidden="1">
      <c r="A478" s="193">
        <v>477.0</v>
      </c>
      <c r="B478" s="319">
        <v>46217.0</v>
      </c>
      <c r="C478" s="292" t="s">
        <v>58</v>
      </c>
      <c r="D478" s="268" t="s">
        <v>60</v>
      </c>
      <c r="E478" s="193" t="s">
        <v>27</v>
      </c>
      <c r="F478" s="292">
        <v>5.36032802E8</v>
      </c>
      <c r="G478" s="193" t="s">
        <v>27</v>
      </c>
      <c r="H478" s="193" t="s">
        <v>27</v>
      </c>
      <c r="I478" s="292" t="s">
        <v>6040</v>
      </c>
      <c r="J478" s="292"/>
      <c r="K478" s="193" t="s">
        <v>36</v>
      </c>
      <c r="L478" s="193"/>
      <c r="M478" s="303" t="s">
        <v>88</v>
      </c>
      <c r="N478" s="303"/>
      <c r="O478" s="292"/>
      <c r="P478" s="292"/>
      <c r="Q478" s="268" t="s">
        <v>4074</v>
      </c>
      <c r="R478" s="364"/>
      <c r="S478" s="292"/>
      <c r="T478" s="292"/>
    </row>
    <row r="479" hidden="1">
      <c r="A479" s="193">
        <v>478.0</v>
      </c>
      <c r="B479" s="319">
        <v>46217.0</v>
      </c>
      <c r="C479" s="292" t="s">
        <v>58</v>
      </c>
      <c r="D479" s="268" t="s">
        <v>60</v>
      </c>
      <c r="E479" s="193" t="s">
        <v>27</v>
      </c>
      <c r="F479" s="292">
        <v>5.43900913E8</v>
      </c>
      <c r="G479" s="193" t="s">
        <v>27</v>
      </c>
      <c r="H479" s="193" t="s">
        <v>27</v>
      </c>
      <c r="I479" s="292" t="s">
        <v>6045</v>
      </c>
      <c r="J479" s="292"/>
      <c r="K479" s="268" t="s">
        <v>65</v>
      </c>
      <c r="L479" s="193"/>
      <c r="M479" s="303" t="s">
        <v>88</v>
      </c>
      <c r="N479" s="303"/>
      <c r="O479" s="292"/>
      <c r="P479" s="292"/>
      <c r="Q479" s="268" t="s">
        <v>4074</v>
      </c>
      <c r="R479" s="364"/>
      <c r="S479" s="292"/>
      <c r="T479" s="292"/>
    </row>
    <row r="480" hidden="1">
      <c r="A480" s="193">
        <v>479.0</v>
      </c>
      <c r="B480" s="319">
        <v>46217.0</v>
      </c>
      <c r="C480" s="292" t="s">
        <v>21</v>
      </c>
      <c r="D480" s="268" t="s">
        <v>22</v>
      </c>
      <c r="E480" s="292" t="s">
        <v>393</v>
      </c>
      <c r="F480" s="292">
        <v>5.91138999E8</v>
      </c>
      <c r="G480" s="292" t="s">
        <v>426</v>
      </c>
      <c r="H480" s="193" t="s">
        <v>27</v>
      </c>
      <c r="I480" s="292" t="s">
        <v>6047</v>
      </c>
      <c r="J480" s="292"/>
      <c r="K480" s="268" t="s">
        <v>36</v>
      </c>
      <c r="L480" s="193"/>
      <c r="M480" s="303" t="s">
        <v>38</v>
      </c>
      <c r="N480" s="303"/>
      <c r="O480" s="292"/>
      <c r="P480" s="292"/>
      <c r="Q480" s="268" t="s">
        <v>4074</v>
      </c>
      <c r="R480" s="292"/>
      <c r="S480" s="292"/>
      <c r="T480" s="292"/>
    </row>
    <row r="481" hidden="1">
      <c r="A481" s="193">
        <v>480.0</v>
      </c>
      <c r="B481" s="319">
        <v>46217.0</v>
      </c>
      <c r="C481" s="292" t="s">
        <v>21</v>
      </c>
      <c r="D481" s="268" t="s">
        <v>66</v>
      </c>
      <c r="E481" s="292" t="s">
        <v>6051</v>
      </c>
      <c r="F481" s="292">
        <v>5.39777385E8</v>
      </c>
      <c r="G481" s="292" t="s">
        <v>27</v>
      </c>
      <c r="H481" s="292" t="s">
        <v>27</v>
      </c>
      <c r="I481" s="303" t="s">
        <v>6052</v>
      </c>
      <c r="J481" s="292"/>
      <c r="K481" s="268" t="s">
        <v>36</v>
      </c>
      <c r="L481" s="193"/>
      <c r="M481" s="303" t="s">
        <v>38</v>
      </c>
      <c r="N481" s="303"/>
      <c r="O481" s="292"/>
      <c r="P481" s="292"/>
      <c r="Q481" s="268" t="s">
        <v>4074</v>
      </c>
      <c r="R481" s="364"/>
      <c r="S481" s="292"/>
      <c r="T481" s="292"/>
    </row>
    <row r="482" hidden="1">
      <c r="A482" s="193">
        <v>481.0</v>
      </c>
      <c r="B482" s="319">
        <v>46217.0</v>
      </c>
      <c r="C482" s="292" t="s">
        <v>21</v>
      </c>
      <c r="D482" s="268" t="s">
        <v>57</v>
      </c>
      <c r="E482" s="292" t="s">
        <v>118</v>
      </c>
      <c r="F482" s="292">
        <v>5.33080246E8</v>
      </c>
      <c r="G482" s="292" t="s">
        <v>120</v>
      </c>
      <c r="H482" s="292" t="s">
        <v>27</v>
      </c>
      <c r="I482" s="292" t="s">
        <v>6054</v>
      </c>
      <c r="J482" s="292"/>
      <c r="K482" s="268" t="s">
        <v>36</v>
      </c>
      <c r="L482" s="193"/>
      <c r="M482" s="303" t="s">
        <v>38</v>
      </c>
      <c r="N482" s="303"/>
      <c r="O482" s="292"/>
      <c r="P482" s="292"/>
      <c r="Q482" s="268" t="s">
        <v>4074</v>
      </c>
      <c r="R482" s="364"/>
      <c r="S482" s="292"/>
      <c r="T482" s="292"/>
    </row>
    <row r="483" hidden="1">
      <c r="A483" s="193">
        <v>482.0</v>
      </c>
      <c r="B483" s="319">
        <v>46217.0</v>
      </c>
      <c r="C483" s="292" t="s">
        <v>21</v>
      </c>
      <c r="D483" s="268" t="s">
        <v>22</v>
      </c>
      <c r="E483" s="292" t="s">
        <v>6056</v>
      </c>
      <c r="F483" s="292">
        <v>5.67110881E8</v>
      </c>
      <c r="G483" s="292" t="s">
        <v>6057</v>
      </c>
      <c r="H483" s="292" t="s">
        <v>27</v>
      </c>
      <c r="I483" s="303" t="s">
        <v>6058</v>
      </c>
      <c r="J483" s="292"/>
      <c r="K483" s="268" t="s">
        <v>62</v>
      </c>
      <c r="L483" s="193"/>
      <c r="M483" s="303" t="s">
        <v>38</v>
      </c>
      <c r="N483" s="303"/>
      <c r="O483" s="292"/>
      <c r="P483" s="292"/>
      <c r="Q483" s="268" t="s">
        <v>4074</v>
      </c>
      <c r="R483" s="292"/>
      <c r="S483" s="292"/>
      <c r="T483" s="292"/>
    </row>
    <row r="484" hidden="1">
      <c r="A484" s="193">
        <v>483.0</v>
      </c>
      <c r="B484" s="319">
        <v>46217.0</v>
      </c>
      <c r="C484" s="292" t="s">
        <v>58</v>
      </c>
      <c r="D484" s="268" t="s">
        <v>60</v>
      </c>
      <c r="E484" s="292" t="s">
        <v>27</v>
      </c>
      <c r="F484" s="292">
        <v>5.64343888E8</v>
      </c>
      <c r="G484" s="292" t="s">
        <v>27</v>
      </c>
      <c r="H484" s="292" t="s">
        <v>27</v>
      </c>
      <c r="I484" s="292" t="s">
        <v>6060</v>
      </c>
      <c r="J484" s="292"/>
      <c r="K484" s="268" t="s">
        <v>36</v>
      </c>
      <c r="L484" s="193"/>
      <c r="M484" s="303" t="s">
        <v>88</v>
      </c>
      <c r="N484" s="303"/>
      <c r="O484" s="292"/>
      <c r="P484" s="292"/>
      <c r="Q484" s="293" t="s">
        <v>4074</v>
      </c>
      <c r="R484" s="268"/>
      <c r="S484" s="292"/>
      <c r="T484" s="292"/>
    </row>
    <row r="485" ht="65.25" hidden="1" customHeight="1">
      <c r="A485" s="193">
        <v>484.0</v>
      </c>
      <c r="B485" s="319">
        <v>46218.0</v>
      </c>
      <c r="C485" s="293" t="s">
        <v>47</v>
      </c>
      <c r="D485" s="193" t="s">
        <v>367</v>
      </c>
      <c r="E485" s="292" t="s">
        <v>5940</v>
      </c>
      <c r="F485" s="292">
        <v>5.70525109E8</v>
      </c>
      <c r="G485" s="195" t="s">
        <v>71</v>
      </c>
      <c r="H485" s="293" t="s">
        <v>5941</v>
      </c>
      <c r="I485" s="265" t="s">
        <v>6062</v>
      </c>
      <c r="J485" s="293"/>
      <c r="K485" s="193" t="s">
        <v>62</v>
      </c>
      <c r="L485" s="292" t="s">
        <v>518</v>
      </c>
      <c r="M485" s="195" t="s">
        <v>5945</v>
      </c>
      <c r="N485" s="195"/>
      <c r="O485" s="193" t="s">
        <v>40</v>
      </c>
      <c r="P485" s="303" t="s">
        <v>3765</v>
      </c>
      <c r="Q485" s="293" t="s">
        <v>4074</v>
      </c>
      <c r="R485" s="293" t="s">
        <v>46</v>
      </c>
      <c r="S485" s="293" t="s">
        <v>4074</v>
      </c>
      <c r="T485" s="292"/>
    </row>
    <row r="486" ht="90.75" hidden="1" customHeight="1">
      <c r="A486" s="193">
        <v>485.0</v>
      </c>
      <c r="B486" s="319">
        <v>46218.0</v>
      </c>
      <c r="C486" s="293" t="s">
        <v>21</v>
      </c>
      <c r="D486" s="193" t="s">
        <v>57</v>
      </c>
      <c r="E486" s="303" t="s">
        <v>6065</v>
      </c>
      <c r="F486" s="293">
        <v>5.60500506E8</v>
      </c>
      <c r="G486" s="303" t="s">
        <v>1318</v>
      </c>
      <c r="H486" s="293" t="s">
        <v>27</v>
      </c>
      <c r="I486" s="303" t="s">
        <v>6066</v>
      </c>
      <c r="J486" s="303" t="s">
        <v>1991</v>
      </c>
      <c r="K486" s="193" t="s">
        <v>36</v>
      </c>
      <c r="L486" s="193"/>
      <c r="M486" s="303" t="s">
        <v>38</v>
      </c>
      <c r="N486" s="303"/>
      <c r="O486" s="292"/>
      <c r="P486" s="292"/>
      <c r="Q486" s="193" t="s">
        <v>44</v>
      </c>
      <c r="R486" s="292"/>
      <c r="S486" s="295"/>
      <c r="T486" s="292"/>
    </row>
    <row r="487" ht="90.75" hidden="1" customHeight="1">
      <c r="A487" s="193">
        <v>486.0</v>
      </c>
      <c r="B487" s="319">
        <v>46218.0</v>
      </c>
      <c r="C487" s="293" t="s">
        <v>58</v>
      </c>
      <c r="D487" s="193" t="s">
        <v>57</v>
      </c>
      <c r="E487" s="292" t="s">
        <v>1330</v>
      </c>
      <c r="F487" s="292">
        <v>5.0851991E8</v>
      </c>
      <c r="G487" s="303" t="s">
        <v>79</v>
      </c>
      <c r="H487" s="292" t="s">
        <v>27</v>
      </c>
      <c r="I487" s="303" t="s">
        <v>6067</v>
      </c>
      <c r="J487" s="292"/>
      <c r="K487" s="193" t="s">
        <v>36</v>
      </c>
      <c r="L487" s="193"/>
      <c r="M487" s="303" t="s">
        <v>88</v>
      </c>
      <c r="N487" s="303"/>
      <c r="O487" s="292"/>
      <c r="P487" s="292"/>
      <c r="Q487" s="193" t="s">
        <v>44</v>
      </c>
      <c r="R487" s="292"/>
      <c r="S487" s="295"/>
      <c r="T487" s="292"/>
    </row>
    <row r="488" ht="90.75" hidden="1" customHeight="1">
      <c r="A488" s="193">
        <v>487.0</v>
      </c>
      <c r="B488" s="319">
        <v>46218.0</v>
      </c>
      <c r="C488" s="293" t="s">
        <v>21</v>
      </c>
      <c r="D488" s="193" t="s">
        <v>22</v>
      </c>
      <c r="E488" s="303" t="s">
        <v>118</v>
      </c>
      <c r="F488" s="293">
        <v>5.54152934E8</v>
      </c>
      <c r="G488" s="195" t="s">
        <v>41</v>
      </c>
      <c r="H488" s="292" t="s">
        <v>27</v>
      </c>
      <c r="I488" s="303" t="s">
        <v>6069</v>
      </c>
      <c r="J488" s="292"/>
      <c r="K488" s="193" t="s">
        <v>62</v>
      </c>
      <c r="L488" s="193"/>
      <c r="M488" s="303" t="s">
        <v>38</v>
      </c>
      <c r="N488" s="303"/>
      <c r="O488" s="292"/>
      <c r="P488" s="292"/>
      <c r="Q488" s="193" t="s">
        <v>44</v>
      </c>
      <c r="R488" s="293" t="s">
        <v>46</v>
      </c>
      <c r="S488" s="295"/>
      <c r="T488" s="292"/>
    </row>
    <row r="489" ht="90.75" hidden="1" customHeight="1">
      <c r="A489" s="193">
        <v>488.0</v>
      </c>
      <c r="B489" s="319">
        <v>46218.0</v>
      </c>
      <c r="C489" s="293" t="s">
        <v>58</v>
      </c>
      <c r="D489" s="193" t="s">
        <v>22</v>
      </c>
      <c r="E489" s="303" t="s">
        <v>4360</v>
      </c>
      <c r="F489" s="293">
        <v>5.00003705E8</v>
      </c>
      <c r="G489" s="303" t="s">
        <v>319</v>
      </c>
      <c r="H489" s="292" t="s">
        <v>27</v>
      </c>
      <c r="I489" s="303" t="s">
        <v>6073</v>
      </c>
      <c r="J489" s="292"/>
      <c r="K489" s="193" t="s">
        <v>62</v>
      </c>
      <c r="L489" s="193"/>
      <c r="M489" s="303" t="s">
        <v>88</v>
      </c>
      <c r="N489" s="303"/>
      <c r="O489" s="292"/>
      <c r="P489" s="292"/>
      <c r="Q489" s="193" t="s">
        <v>44</v>
      </c>
      <c r="R489" s="293"/>
      <c r="S489" s="295"/>
      <c r="T489" s="292"/>
    </row>
    <row r="490" ht="90.75" hidden="1" customHeight="1">
      <c r="A490" s="193">
        <v>489.0</v>
      </c>
      <c r="B490" s="319">
        <v>46218.0</v>
      </c>
      <c r="C490" s="293" t="s">
        <v>58</v>
      </c>
      <c r="D490" s="193" t="s">
        <v>60</v>
      </c>
      <c r="E490" s="293" t="s">
        <v>6074</v>
      </c>
      <c r="F490" s="293">
        <v>5.33784598E8</v>
      </c>
      <c r="G490" s="303" t="s">
        <v>132</v>
      </c>
      <c r="H490" s="293" t="s">
        <v>406</v>
      </c>
      <c r="I490" s="303" t="s">
        <v>6075</v>
      </c>
      <c r="J490" s="292"/>
      <c r="K490" s="193" t="s">
        <v>148</v>
      </c>
      <c r="L490" s="193"/>
      <c r="M490" s="303" t="s">
        <v>38</v>
      </c>
      <c r="N490" s="303"/>
      <c r="O490" s="292"/>
      <c r="P490" s="292"/>
      <c r="Q490" s="193" t="s">
        <v>44</v>
      </c>
      <c r="R490" s="292"/>
      <c r="S490" s="295"/>
      <c r="T490" s="292"/>
    </row>
    <row r="491" ht="39.75" hidden="1" customHeight="1">
      <c r="A491" s="193">
        <v>490.0</v>
      </c>
      <c r="B491" s="319">
        <v>46218.0</v>
      </c>
      <c r="C491" s="293" t="s">
        <v>47</v>
      </c>
      <c r="D491" s="193" t="s">
        <v>367</v>
      </c>
      <c r="E491" s="303" t="s">
        <v>463</v>
      </c>
      <c r="F491" s="293">
        <v>5.70044191E8</v>
      </c>
      <c r="G491" s="195" t="s">
        <v>79</v>
      </c>
      <c r="H491" s="293" t="s">
        <v>638</v>
      </c>
      <c r="I491" s="303" t="s">
        <v>6076</v>
      </c>
      <c r="J491" s="292"/>
      <c r="K491" s="193" t="s">
        <v>148</v>
      </c>
      <c r="L491" s="193"/>
      <c r="M491" s="303" t="s">
        <v>6077</v>
      </c>
      <c r="N491" s="303"/>
      <c r="O491" s="193" t="s">
        <v>40</v>
      </c>
      <c r="P491" s="292"/>
      <c r="Q491" s="193" t="s">
        <v>44</v>
      </c>
      <c r="R491" s="293" t="s">
        <v>46</v>
      </c>
      <c r="S491" s="295"/>
      <c r="T491" s="292"/>
    </row>
    <row r="492" ht="90.75" hidden="1" customHeight="1">
      <c r="A492" s="193">
        <v>491.0</v>
      </c>
      <c r="B492" s="319">
        <v>46218.0</v>
      </c>
      <c r="C492" s="293" t="s">
        <v>21</v>
      </c>
      <c r="D492" s="193" t="s">
        <v>66</v>
      </c>
      <c r="E492" s="303" t="s">
        <v>6079</v>
      </c>
      <c r="F492" s="293">
        <v>5.05135497E8</v>
      </c>
      <c r="G492" s="195" t="s">
        <v>71</v>
      </c>
      <c r="H492" s="293" t="s">
        <v>27</v>
      </c>
      <c r="I492" s="303" t="s">
        <v>6080</v>
      </c>
      <c r="J492" s="303" t="s">
        <v>6081</v>
      </c>
      <c r="K492" s="193" t="s">
        <v>36</v>
      </c>
      <c r="L492" s="193"/>
      <c r="M492" s="303" t="s">
        <v>38</v>
      </c>
      <c r="N492" s="303"/>
      <c r="O492" s="292"/>
      <c r="P492" s="292"/>
      <c r="Q492" s="193" t="s">
        <v>44</v>
      </c>
      <c r="R492" s="292"/>
      <c r="S492" s="295"/>
      <c r="T492" s="292"/>
    </row>
    <row r="493" ht="90.75" hidden="1" customHeight="1">
      <c r="A493" s="193">
        <v>492.0</v>
      </c>
      <c r="B493" s="319">
        <v>46219.0</v>
      </c>
      <c r="C493" s="293" t="s">
        <v>47</v>
      </c>
      <c r="D493" s="193" t="s">
        <v>92</v>
      </c>
      <c r="E493" s="303" t="s">
        <v>6082</v>
      </c>
      <c r="F493" s="293">
        <v>5.60836361E8</v>
      </c>
      <c r="G493" s="195" t="s">
        <v>71</v>
      </c>
      <c r="H493" s="293" t="s">
        <v>94</v>
      </c>
      <c r="I493" s="303" t="s">
        <v>6083</v>
      </c>
      <c r="J493" s="303" t="s">
        <v>6084</v>
      </c>
      <c r="K493" s="193" t="s">
        <v>36</v>
      </c>
      <c r="L493" s="193"/>
      <c r="M493" s="303" t="s">
        <v>221</v>
      </c>
      <c r="N493" s="303"/>
      <c r="O493" s="193" t="s">
        <v>40</v>
      </c>
      <c r="P493" s="195" t="s">
        <v>3765</v>
      </c>
      <c r="Q493" s="193" t="s">
        <v>44</v>
      </c>
      <c r="R493" s="293" t="s">
        <v>46</v>
      </c>
      <c r="S493" s="298" t="s">
        <v>44</v>
      </c>
      <c r="T493" s="292"/>
    </row>
    <row r="494" ht="67.5" customHeight="1">
      <c r="A494" s="193">
        <v>493.0</v>
      </c>
      <c r="B494" s="319">
        <v>46218.0</v>
      </c>
      <c r="C494" s="293" t="s">
        <v>47</v>
      </c>
      <c r="D494" s="193" t="s">
        <v>48</v>
      </c>
      <c r="E494" s="303" t="s">
        <v>6088</v>
      </c>
      <c r="F494" s="293">
        <v>5.54958988E8</v>
      </c>
      <c r="G494" s="195" t="s">
        <v>41</v>
      </c>
      <c r="H494" s="293" t="s">
        <v>1220</v>
      </c>
      <c r="I494" s="98" t="s">
        <v>6089</v>
      </c>
      <c r="J494" s="303" t="s">
        <v>6090</v>
      </c>
      <c r="K494" s="193" t="s">
        <v>36</v>
      </c>
      <c r="L494" s="193" t="s">
        <v>518</v>
      </c>
      <c r="M494" s="303" t="s">
        <v>662</v>
      </c>
      <c r="N494" s="293" t="s">
        <v>4307</v>
      </c>
      <c r="O494" s="193" t="s">
        <v>6091</v>
      </c>
      <c r="P494" s="193" t="s">
        <v>6092</v>
      </c>
      <c r="Q494" s="193" t="s">
        <v>44</v>
      </c>
      <c r="R494" s="193" t="s">
        <v>46</v>
      </c>
      <c r="S494" s="298" t="s">
        <v>44</v>
      </c>
      <c r="T494" s="292"/>
    </row>
    <row r="495" ht="90.75" hidden="1" customHeight="1">
      <c r="A495" s="193">
        <v>494.0</v>
      </c>
      <c r="B495" s="319">
        <v>46218.0</v>
      </c>
      <c r="C495" s="293" t="s">
        <v>58</v>
      </c>
      <c r="D495" s="193" t="s">
        <v>60</v>
      </c>
      <c r="E495" s="293" t="s">
        <v>27</v>
      </c>
      <c r="F495" s="293">
        <v>5.47769851E8</v>
      </c>
      <c r="G495" s="303" t="s">
        <v>333</v>
      </c>
      <c r="H495" s="293" t="s">
        <v>27</v>
      </c>
      <c r="I495" s="303" t="s">
        <v>6095</v>
      </c>
      <c r="J495" s="303" t="s">
        <v>6096</v>
      </c>
      <c r="K495" s="193" t="s">
        <v>36</v>
      </c>
      <c r="L495" s="193"/>
      <c r="M495" s="303" t="s">
        <v>88</v>
      </c>
      <c r="N495" s="303"/>
      <c r="O495" s="292"/>
      <c r="P495" s="292"/>
      <c r="Q495" s="193" t="s">
        <v>44</v>
      </c>
      <c r="R495" s="292"/>
      <c r="S495" s="295"/>
      <c r="T495" s="292"/>
    </row>
    <row r="496" ht="90.75" hidden="1" customHeight="1">
      <c r="A496" s="193">
        <v>495.0</v>
      </c>
      <c r="B496" s="319">
        <v>46218.0</v>
      </c>
      <c r="C496" s="293" t="s">
        <v>21</v>
      </c>
      <c r="D496" s="193" t="s">
        <v>24</v>
      </c>
      <c r="E496" s="303" t="s">
        <v>6097</v>
      </c>
      <c r="F496" s="293">
        <v>5.36757634E8</v>
      </c>
      <c r="G496" s="195" t="s">
        <v>71</v>
      </c>
      <c r="H496" s="293" t="s">
        <v>27</v>
      </c>
      <c r="I496" s="303" t="s">
        <v>6099</v>
      </c>
      <c r="J496" s="292"/>
      <c r="K496" s="193" t="s">
        <v>36</v>
      </c>
      <c r="L496" s="193"/>
      <c r="M496" s="303" t="s">
        <v>38</v>
      </c>
      <c r="N496" s="303"/>
      <c r="O496" s="292"/>
      <c r="P496" s="292"/>
      <c r="Q496" s="193" t="s">
        <v>44</v>
      </c>
      <c r="R496" s="293" t="s">
        <v>46</v>
      </c>
      <c r="S496" s="295"/>
      <c r="T496" s="292"/>
    </row>
    <row r="497" ht="90.75" hidden="1" customHeight="1">
      <c r="A497" s="193">
        <v>496.0</v>
      </c>
      <c r="B497" s="319">
        <v>46218.0</v>
      </c>
      <c r="C497" s="293" t="s">
        <v>58</v>
      </c>
      <c r="D497" s="193" t="s">
        <v>34</v>
      </c>
      <c r="E497" s="293" t="s">
        <v>27</v>
      </c>
      <c r="F497" s="293">
        <v>5.82265041E8</v>
      </c>
      <c r="G497" s="293" t="s">
        <v>27</v>
      </c>
      <c r="H497" s="293" t="s">
        <v>27</v>
      </c>
      <c r="I497" s="303" t="s">
        <v>643</v>
      </c>
      <c r="J497" s="292"/>
      <c r="K497" s="193" t="s">
        <v>36</v>
      </c>
      <c r="L497" s="193"/>
      <c r="M497" s="303" t="s">
        <v>88</v>
      </c>
      <c r="N497" s="303"/>
      <c r="O497" s="292"/>
      <c r="P497" s="292"/>
      <c r="Q497" s="193" t="s">
        <v>44</v>
      </c>
      <c r="R497" s="292"/>
      <c r="S497" s="295"/>
      <c r="T497" s="292"/>
    </row>
    <row r="498" ht="90.75" hidden="1" customHeight="1">
      <c r="A498" s="193">
        <v>497.0</v>
      </c>
      <c r="B498" s="319">
        <v>46218.0</v>
      </c>
      <c r="C498" s="293" t="s">
        <v>58</v>
      </c>
      <c r="D498" s="193" t="s">
        <v>60</v>
      </c>
      <c r="E498" s="303" t="s">
        <v>6103</v>
      </c>
      <c r="F498" s="293">
        <v>5.01545729E8</v>
      </c>
      <c r="G498" s="303" t="s">
        <v>28</v>
      </c>
      <c r="H498" s="293" t="s">
        <v>27</v>
      </c>
      <c r="I498" s="303" t="s">
        <v>6104</v>
      </c>
      <c r="J498" s="303" t="s">
        <v>6105</v>
      </c>
      <c r="K498" s="193" t="s">
        <v>36</v>
      </c>
      <c r="L498" s="193"/>
      <c r="M498" s="303" t="s">
        <v>88</v>
      </c>
      <c r="N498" s="303"/>
      <c r="O498" s="292"/>
      <c r="P498" s="292"/>
      <c r="Q498" s="193" t="s">
        <v>44</v>
      </c>
      <c r="R498" s="292"/>
      <c r="S498" s="295"/>
      <c r="T498" s="292"/>
    </row>
    <row r="499" ht="90.75" hidden="1" customHeight="1">
      <c r="A499" s="193">
        <v>498.0</v>
      </c>
      <c r="B499" s="319">
        <v>46218.0</v>
      </c>
      <c r="C499" s="293" t="s">
        <v>21</v>
      </c>
      <c r="D499" s="193" t="s">
        <v>24</v>
      </c>
      <c r="E499" s="303" t="s">
        <v>6106</v>
      </c>
      <c r="F499" s="293">
        <v>5.5598071E8</v>
      </c>
      <c r="G499" s="303" t="s">
        <v>79</v>
      </c>
      <c r="H499" s="293" t="s">
        <v>27</v>
      </c>
      <c r="I499" s="303" t="s">
        <v>6107</v>
      </c>
      <c r="J499" s="292"/>
      <c r="K499" s="193" t="s">
        <v>36</v>
      </c>
      <c r="L499" s="193"/>
      <c r="M499" s="303" t="s">
        <v>38</v>
      </c>
      <c r="N499" s="303"/>
      <c r="O499" s="292"/>
      <c r="P499" s="292"/>
      <c r="Q499" s="193" t="s">
        <v>44</v>
      </c>
      <c r="R499" s="293" t="s">
        <v>46</v>
      </c>
      <c r="S499" s="295"/>
      <c r="T499" s="292"/>
    </row>
    <row r="500" ht="90.75" hidden="1" customHeight="1">
      <c r="A500" s="193">
        <v>499.0</v>
      </c>
      <c r="B500" s="319">
        <v>46218.0</v>
      </c>
      <c r="C500" s="293" t="s">
        <v>58</v>
      </c>
      <c r="D500" s="193" t="s">
        <v>60</v>
      </c>
      <c r="E500" s="293" t="s">
        <v>27</v>
      </c>
      <c r="F500" s="293">
        <v>1.2735303E7</v>
      </c>
      <c r="G500" s="293" t="s">
        <v>27</v>
      </c>
      <c r="H500" s="293" t="s">
        <v>27</v>
      </c>
      <c r="I500" s="303" t="s">
        <v>124</v>
      </c>
      <c r="J500" s="292"/>
      <c r="K500" s="193" t="s">
        <v>36</v>
      </c>
      <c r="L500" s="193"/>
      <c r="M500" s="303" t="s">
        <v>38</v>
      </c>
      <c r="N500" s="303"/>
      <c r="O500" s="292"/>
      <c r="P500" s="292"/>
      <c r="Q500" s="193" t="s">
        <v>44</v>
      </c>
      <c r="R500" s="292"/>
      <c r="S500" s="295"/>
      <c r="T500" s="292"/>
    </row>
    <row r="501" ht="101.25" hidden="1" customHeight="1">
      <c r="A501" s="193">
        <v>500.0</v>
      </c>
      <c r="B501" s="319">
        <v>46218.0</v>
      </c>
      <c r="C501" s="292" t="s">
        <v>47</v>
      </c>
      <c r="D501" s="193" t="s">
        <v>367</v>
      </c>
      <c r="E501" s="292" t="s">
        <v>6112</v>
      </c>
      <c r="F501" s="292" t="s">
        <v>27</v>
      </c>
      <c r="G501" s="195" t="s">
        <v>41</v>
      </c>
      <c r="H501" s="292" t="s">
        <v>6113</v>
      </c>
      <c r="I501" s="302" t="s">
        <v>6114</v>
      </c>
      <c r="J501" s="292"/>
      <c r="K501" s="268" t="s">
        <v>78</v>
      </c>
      <c r="L501" s="193"/>
      <c r="M501" s="303" t="s">
        <v>5062</v>
      </c>
      <c r="N501" s="303"/>
      <c r="O501" s="193" t="s">
        <v>40</v>
      </c>
      <c r="P501" s="292"/>
      <c r="Q501" s="268" t="s">
        <v>4074</v>
      </c>
      <c r="R501" s="293" t="s">
        <v>46</v>
      </c>
      <c r="S501" s="292"/>
      <c r="T501" s="292"/>
    </row>
    <row r="502" ht="90.75" hidden="1" customHeight="1">
      <c r="A502" s="193">
        <v>501.0</v>
      </c>
      <c r="B502" s="319">
        <v>46218.0</v>
      </c>
      <c r="C502" s="292" t="s">
        <v>3766</v>
      </c>
      <c r="D502" s="268" t="s">
        <v>60</v>
      </c>
      <c r="E502" s="292" t="s">
        <v>27</v>
      </c>
      <c r="F502" s="292">
        <v>5.65621053E8</v>
      </c>
      <c r="G502" s="195" t="s">
        <v>41</v>
      </c>
      <c r="H502" s="292" t="s">
        <v>27</v>
      </c>
      <c r="I502" s="292" t="s">
        <v>6117</v>
      </c>
      <c r="J502" s="292"/>
      <c r="K502" s="268" t="s">
        <v>78</v>
      </c>
      <c r="L502" s="193"/>
      <c r="M502" s="303" t="s">
        <v>3776</v>
      </c>
      <c r="N502" s="303"/>
      <c r="O502" s="292"/>
      <c r="P502" s="292"/>
      <c r="Q502" s="268" t="s">
        <v>4074</v>
      </c>
      <c r="R502" s="292"/>
      <c r="S502" s="292"/>
      <c r="T502" s="292"/>
    </row>
    <row r="503" ht="50.25" hidden="1" customHeight="1">
      <c r="A503" s="193">
        <v>502.0</v>
      </c>
      <c r="B503" s="319">
        <v>46218.0</v>
      </c>
      <c r="C503" s="292" t="s">
        <v>21</v>
      </c>
      <c r="D503" s="268" t="s">
        <v>22</v>
      </c>
      <c r="E503" s="370" t="s">
        <v>763</v>
      </c>
      <c r="F503" s="292">
        <v>5.52781447E8</v>
      </c>
      <c r="G503" s="195" t="s">
        <v>79</v>
      </c>
      <c r="H503" s="292" t="s">
        <v>27</v>
      </c>
      <c r="I503" s="292" t="s">
        <v>6120</v>
      </c>
      <c r="J503" s="292"/>
      <c r="K503" s="268" t="s">
        <v>62</v>
      </c>
      <c r="L503" s="193"/>
      <c r="M503" s="303" t="s">
        <v>38</v>
      </c>
      <c r="N503" s="303"/>
      <c r="O503" s="292"/>
      <c r="P503" s="292"/>
      <c r="Q503" s="268" t="s">
        <v>4074</v>
      </c>
      <c r="R503" s="292"/>
      <c r="S503" s="292"/>
      <c r="T503" s="292"/>
    </row>
    <row r="504" ht="191.25" hidden="1" customHeight="1">
      <c r="A504" s="193">
        <v>503.0</v>
      </c>
      <c r="B504" s="319">
        <v>46218.0</v>
      </c>
      <c r="C504" s="292" t="s">
        <v>47</v>
      </c>
      <c r="D504" s="193" t="s">
        <v>92</v>
      </c>
      <c r="E504" s="292" t="s">
        <v>108</v>
      </c>
      <c r="F504" s="295">
        <v>5.34409779E8</v>
      </c>
      <c r="G504" s="195" t="s">
        <v>71</v>
      </c>
      <c r="H504" s="292" t="s">
        <v>94</v>
      </c>
      <c r="I504" s="303" t="s">
        <v>6123</v>
      </c>
      <c r="J504" s="292"/>
      <c r="K504" s="268" t="s">
        <v>3070</v>
      </c>
      <c r="L504" s="193"/>
      <c r="M504" s="303" t="s">
        <v>55</v>
      </c>
      <c r="N504" s="303"/>
      <c r="O504" s="193" t="s">
        <v>40</v>
      </c>
      <c r="P504" s="292"/>
      <c r="Q504" s="268" t="s">
        <v>4074</v>
      </c>
      <c r="R504" s="293" t="s">
        <v>46</v>
      </c>
      <c r="S504" s="292"/>
      <c r="T504" s="292"/>
    </row>
    <row r="505" ht="57.0" hidden="1" customHeight="1">
      <c r="A505" s="193">
        <v>504.0</v>
      </c>
      <c r="B505" s="319">
        <v>46218.0</v>
      </c>
      <c r="C505" s="292" t="s">
        <v>47</v>
      </c>
      <c r="D505" s="193" t="s">
        <v>367</v>
      </c>
      <c r="E505" s="292" t="s">
        <v>6126</v>
      </c>
      <c r="F505" s="292">
        <v>5.65109258E8</v>
      </c>
      <c r="G505" s="195" t="s">
        <v>41</v>
      </c>
      <c r="H505" s="292" t="s">
        <v>6127</v>
      </c>
      <c r="I505" s="292" t="s">
        <v>6128</v>
      </c>
      <c r="J505" s="292"/>
      <c r="K505" s="268" t="s">
        <v>148</v>
      </c>
      <c r="L505" s="193"/>
      <c r="M505" s="195" t="s">
        <v>602</v>
      </c>
      <c r="N505" s="195"/>
      <c r="O505" s="193" t="s">
        <v>40</v>
      </c>
      <c r="P505" s="292"/>
      <c r="Q505" s="268" t="s">
        <v>4074</v>
      </c>
      <c r="R505" s="293" t="s">
        <v>46</v>
      </c>
      <c r="S505" s="292"/>
      <c r="T505" s="292"/>
    </row>
    <row r="506" ht="90.75" hidden="1" customHeight="1">
      <c r="A506" s="193">
        <v>505.0</v>
      </c>
      <c r="B506" s="319">
        <v>46218.0</v>
      </c>
      <c r="C506" s="292" t="s">
        <v>58</v>
      </c>
      <c r="D506" s="268" t="s">
        <v>60</v>
      </c>
      <c r="E506" s="292" t="s">
        <v>27</v>
      </c>
      <c r="F506" s="295">
        <v>5.75963935E8</v>
      </c>
      <c r="G506" s="292" t="s">
        <v>27</v>
      </c>
      <c r="H506" s="292" t="s">
        <v>27</v>
      </c>
      <c r="I506" s="303" t="s">
        <v>1307</v>
      </c>
      <c r="J506" s="292"/>
      <c r="K506" s="268" t="s">
        <v>36</v>
      </c>
      <c r="L506" s="193"/>
      <c r="M506" s="303" t="s">
        <v>38</v>
      </c>
      <c r="N506" s="303"/>
      <c r="O506" s="292"/>
      <c r="P506" s="292"/>
      <c r="Q506" s="268" t="s">
        <v>4074</v>
      </c>
      <c r="R506" s="292"/>
      <c r="S506" s="292"/>
      <c r="T506" s="292"/>
    </row>
    <row r="507" ht="90.75" hidden="1" customHeight="1">
      <c r="A507" s="193">
        <v>506.0</v>
      </c>
      <c r="B507" s="319">
        <v>46219.0</v>
      </c>
      <c r="C507" s="293" t="s">
        <v>47</v>
      </c>
      <c r="D507" s="193" t="s">
        <v>92</v>
      </c>
      <c r="E507" s="293" t="s">
        <v>6133</v>
      </c>
      <c r="F507" s="293" t="s">
        <v>27</v>
      </c>
      <c r="G507" s="195" t="s">
        <v>41</v>
      </c>
      <c r="H507" s="293" t="s">
        <v>5008</v>
      </c>
      <c r="I507" s="303" t="s">
        <v>6135</v>
      </c>
      <c r="J507" s="303" t="s">
        <v>6136</v>
      </c>
      <c r="K507" s="193" t="s">
        <v>36</v>
      </c>
      <c r="L507" s="193"/>
      <c r="M507" s="303" t="s">
        <v>55</v>
      </c>
      <c r="N507" s="303"/>
      <c r="O507" s="193" t="s">
        <v>40</v>
      </c>
      <c r="P507" s="292"/>
      <c r="Q507" s="193" t="s">
        <v>44</v>
      </c>
      <c r="R507" s="293" t="s">
        <v>46</v>
      </c>
      <c r="S507" s="295"/>
      <c r="T507" s="292"/>
    </row>
    <row r="508" ht="15.75" hidden="1" customHeight="1">
      <c r="A508" s="193">
        <v>507.0</v>
      </c>
      <c r="B508" s="319">
        <v>46219.0</v>
      </c>
      <c r="C508" s="292" t="s">
        <v>21</v>
      </c>
      <c r="D508" s="268" t="s">
        <v>22</v>
      </c>
      <c r="E508" s="292" t="s">
        <v>6137</v>
      </c>
      <c r="F508" s="295">
        <v>5.6250202E8</v>
      </c>
      <c r="G508" s="292" t="s">
        <v>27</v>
      </c>
      <c r="H508" s="292" t="s">
        <v>27</v>
      </c>
      <c r="I508" s="292" t="s">
        <v>6138</v>
      </c>
      <c r="J508" s="292"/>
      <c r="K508" s="268" t="s">
        <v>36</v>
      </c>
      <c r="L508" s="193"/>
      <c r="M508" s="303" t="s">
        <v>38</v>
      </c>
      <c r="N508" s="303"/>
      <c r="O508" s="292"/>
      <c r="P508" s="292"/>
      <c r="Q508" s="268" t="s">
        <v>4074</v>
      </c>
      <c r="R508" s="292"/>
      <c r="S508" s="292"/>
      <c r="T508" s="292"/>
    </row>
    <row r="509" ht="90.75" hidden="1" customHeight="1">
      <c r="A509" s="193">
        <v>508.0</v>
      </c>
      <c r="B509" s="319">
        <v>46219.0</v>
      </c>
      <c r="C509" s="292" t="s">
        <v>58</v>
      </c>
      <c r="D509" s="268" t="s">
        <v>60</v>
      </c>
      <c r="E509" s="292" t="s">
        <v>27</v>
      </c>
      <c r="F509" s="295">
        <v>5.05162175E8</v>
      </c>
      <c r="G509" s="292" t="s">
        <v>27</v>
      </c>
      <c r="H509" s="292" t="s">
        <v>27</v>
      </c>
      <c r="I509" s="292" t="s">
        <v>554</v>
      </c>
      <c r="J509" s="292"/>
      <c r="K509" s="298" t="s">
        <v>36</v>
      </c>
      <c r="L509" s="193"/>
      <c r="M509" s="303" t="s">
        <v>88</v>
      </c>
      <c r="N509" s="303"/>
      <c r="O509" s="292"/>
      <c r="P509" s="292"/>
      <c r="Q509" s="268" t="s">
        <v>4074</v>
      </c>
      <c r="R509" s="292"/>
      <c r="S509" s="292"/>
      <c r="T509" s="292"/>
    </row>
    <row r="510" ht="90.75" hidden="1" customHeight="1">
      <c r="A510" s="193">
        <v>509.0</v>
      </c>
      <c r="B510" s="319">
        <v>46219.0</v>
      </c>
      <c r="C510" s="292" t="s">
        <v>21</v>
      </c>
      <c r="D510" s="268" t="s">
        <v>24</v>
      </c>
      <c r="E510" s="292" t="s">
        <v>6142</v>
      </c>
      <c r="F510" s="295">
        <v>5.39456682E8</v>
      </c>
      <c r="G510" s="292" t="s">
        <v>6143</v>
      </c>
      <c r="H510" s="292" t="s">
        <v>27</v>
      </c>
      <c r="I510" s="292" t="s">
        <v>6144</v>
      </c>
      <c r="J510" s="292"/>
      <c r="K510" s="293" t="s">
        <v>36</v>
      </c>
      <c r="L510" s="193"/>
      <c r="M510" s="303" t="s">
        <v>38</v>
      </c>
      <c r="N510" s="303"/>
      <c r="O510" s="292"/>
      <c r="P510" s="292"/>
      <c r="Q510" s="293" t="s">
        <v>4074</v>
      </c>
      <c r="R510" s="292"/>
      <c r="S510" s="292"/>
      <c r="T510" s="292"/>
    </row>
    <row r="511" ht="42.0" hidden="1" customHeight="1">
      <c r="A511" s="193">
        <v>510.0</v>
      </c>
      <c r="B511" s="319">
        <v>46219.0</v>
      </c>
      <c r="C511" s="292" t="s">
        <v>21</v>
      </c>
      <c r="D511" s="268" t="s">
        <v>22</v>
      </c>
      <c r="E511" s="292" t="s">
        <v>6145</v>
      </c>
      <c r="F511" s="292">
        <v>5.00077728E8</v>
      </c>
      <c r="G511" s="303" t="s">
        <v>447</v>
      </c>
      <c r="H511" s="292" t="s">
        <v>27</v>
      </c>
      <c r="I511" s="292" t="s">
        <v>6146</v>
      </c>
      <c r="J511" s="292"/>
      <c r="K511" s="298" t="s">
        <v>36</v>
      </c>
      <c r="L511" s="193"/>
      <c r="M511" s="303" t="s">
        <v>38</v>
      </c>
      <c r="N511" s="303"/>
      <c r="O511" s="292"/>
      <c r="P511" s="292"/>
      <c r="Q511" s="298" t="s">
        <v>4074</v>
      </c>
      <c r="R511" s="292"/>
      <c r="S511" s="292"/>
      <c r="T511" s="292"/>
    </row>
    <row r="512" ht="90.75" hidden="1" customHeight="1">
      <c r="A512" s="193">
        <v>511.0</v>
      </c>
      <c r="B512" s="319">
        <v>46219.0</v>
      </c>
      <c r="C512" s="293" t="s">
        <v>47</v>
      </c>
      <c r="D512" s="193" t="s">
        <v>138</v>
      </c>
      <c r="E512" s="303" t="s">
        <v>6148</v>
      </c>
      <c r="F512" s="372">
        <v>5.00744273E8</v>
      </c>
      <c r="G512" s="195" t="s">
        <v>41</v>
      </c>
      <c r="H512" s="293" t="s">
        <v>577</v>
      </c>
      <c r="I512" s="197" t="s">
        <v>6149</v>
      </c>
      <c r="J512" s="292"/>
      <c r="K512" s="193" t="s">
        <v>148</v>
      </c>
      <c r="L512" s="193"/>
      <c r="M512" s="303" t="s">
        <v>183</v>
      </c>
      <c r="N512" s="303"/>
      <c r="O512" s="193" t="s">
        <v>40</v>
      </c>
      <c r="P512" s="292"/>
      <c r="Q512" s="193" t="s">
        <v>4074</v>
      </c>
      <c r="R512" s="293" t="s">
        <v>46</v>
      </c>
      <c r="S512" s="295"/>
      <c r="T512" s="292"/>
    </row>
    <row r="513" ht="90.75" hidden="1" customHeight="1">
      <c r="A513" s="193">
        <v>512.0</v>
      </c>
      <c r="B513" s="319">
        <v>46219.0</v>
      </c>
      <c r="C513" s="293" t="s">
        <v>58</v>
      </c>
      <c r="D513" s="193" t="s">
        <v>57</v>
      </c>
      <c r="E513" s="293" t="s">
        <v>27</v>
      </c>
      <c r="F513" s="373">
        <v>5.32012517E8</v>
      </c>
      <c r="G513" s="195" t="s">
        <v>41</v>
      </c>
      <c r="H513" s="293" t="s">
        <v>27</v>
      </c>
      <c r="I513" s="303" t="s">
        <v>6150</v>
      </c>
      <c r="J513" s="292"/>
      <c r="K513" s="193" t="s">
        <v>36</v>
      </c>
      <c r="L513" s="193"/>
      <c r="M513" s="303" t="s">
        <v>88</v>
      </c>
      <c r="N513" s="303"/>
      <c r="O513" s="292"/>
      <c r="P513" s="292"/>
      <c r="Q513" s="193" t="s">
        <v>4074</v>
      </c>
      <c r="R513" s="292"/>
      <c r="S513" s="295"/>
      <c r="T513" s="292"/>
    </row>
    <row r="514" ht="45.0" hidden="1" customHeight="1">
      <c r="A514" s="193">
        <v>513.0</v>
      </c>
      <c r="B514" s="319">
        <v>46219.0</v>
      </c>
      <c r="C514" s="293" t="s">
        <v>47</v>
      </c>
      <c r="D514" s="193" t="s">
        <v>48</v>
      </c>
      <c r="E514" s="303" t="s">
        <v>6153</v>
      </c>
      <c r="F514" s="293">
        <v>5.34250521E8</v>
      </c>
      <c r="G514" s="195" t="s">
        <v>79</v>
      </c>
      <c r="H514" s="293" t="s">
        <v>638</v>
      </c>
      <c r="I514" s="303" t="s">
        <v>6154</v>
      </c>
      <c r="J514" s="292"/>
      <c r="K514" s="193" t="s">
        <v>36</v>
      </c>
      <c r="L514" s="193" t="s">
        <v>42</v>
      </c>
      <c r="M514" s="303" t="s">
        <v>6155</v>
      </c>
      <c r="N514" s="303"/>
      <c r="O514" s="193" t="s">
        <v>40</v>
      </c>
      <c r="P514" s="292"/>
      <c r="Q514" s="193" t="s">
        <v>44</v>
      </c>
      <c r="R514" s="293" t="s">
        <v>46</v>
      </c>
      <c r="S514" s="298" t="s">
        <v>44</v>
      </c>
      <c r="T514" s="292"/>
    </row>
    <row r="515" ht="69.75" hidden="1" customHeight="1">
      <c r="A515" s="193">
        <v>514.0</v>
      </c>
      <c r="B515" s="319">
        <v>46219.0</v>
      </c>
      <c r="C515" s="293" t="s">
        <v>47</v>
      </c>
      <c r="D515" s="193" t="s">
        <v>48</v>
      </c>
      <c r="E515" s="303" t="s">
        <v>6157</v>
      </c>
      <c r="F515" s="293">
        <v>5.55568755E8</v>
      </c>
      <c r="G515" s="195" t="s">
        <v>79</v>
      </c>
      <c r="H515" s="293" t="s">
        <v>142</v>
      </c>
      <c r="I515" s="265" t="s">
        <v>6158</v>
      </c>
      <c r="J515" s="292"/>
      <c r="K515" s="193" t="s">
        <v>36</v>
      </c>
      <c r="L515" s="193" t="s">
        <v>42</v>
      </c>
      <c r="M515" s="303" t="s">
        <v>2247</v>
      </c>
      <c r="N515" s="303"/>
      <c r="O515" s="193" t="s">
        <v>40</v>
      </c>
      <c r="P515" s="292"/>
      <c r="Q515" s="193" t="s">
        <v>44</v>
      </c>
      <c r="R515" s="293" t="s">
        <v>46</v>
      </c>
      <c r="S515" s="295"/>
      <c r="T515" s="292"/>
    </row>
    <row r="516" ht="90.75" hidden="1" customHeight="1">
      <c r="A516" s="193">
        <v>515.0</v>
      </c>
      <c r="B516" s="319">
        <v>46219.0</v>
      </c>
      <c r="C516" s="293" t="s">
        <v>21</v>
      </c>
      <c r="D516" s="193" t="s">
        <v>24</v>
      </c>
      <c r="E516" s="303" t="s">
        <v>1809</v>
      </c>
      <c r="F516" s="293">
        <v>5.80328082E8</v>
      </c>
      <c r="G516" s="303" t="s">
        <v>319</v>
      </c>
      <c r="H516" s="193" t="s">
        <v>27</v>
      </c>
      <c r="I516" s="303" t="s">
        <v>6162</v>
      </c>
      <c r="J516" s="292"/>
      <c r="K516" s="193" t="s">
        <v>36</v>
      </c>
      <c r="L516" s="193"/>
      <c r="M516" s="303" t="s">
        <v>38</v>
      </c>
      <c r="N516" s="303"/>
      <c r="O516" s="292"/>
      <c r="P516" s="292"/>
      <c r="Q516" s="193" t="s">
        <v>44</v>
      </c>
      <c r="R516" s="292"/>
      <c r="S516" s="295"/>
      <c r="T516" s="292"/>
    </row>
    <row r="517" ht="57.0" hidden="1" customHeight="1">
      <c r="A517" s="193">
        <v>516.0</v>
      </c>
      <c r="B517" s="319">
        <v>46219.0</v>
      </c>
      <c r="C517" s="293" t="s">
        <v>47</v>
      </c>
      <c r="D517" s="193" t="s">
        <v>48</v>
      </c>
      <c r="E517" s="303" t="s">
        <v>6163</v>
      </c>
      <c r="F517" s="293">
        <v>5.46700039E8</v>
      </c>
      <c r="G517" s="195" t="s">
        <v>41</v>
      </c>
      <c r="H517" s="293" t="s">
        <v>222</v>
      </c>
      <c r="I517" s="303" t="s">
        <v>6165</v>
      </c>
      <c r="J517" s="303" t="s">
        <v>6166</v>
      </c>
      <c r="K517" s="193" t="s">
        <v>36</v>
      </c>
      <c r="L517" s="193" t="s">
        <v>42</v>
      </c>
      <c r="M517" s="303" t="s">
        <v>101</v>
      </c>
      <c r="N517" s="303"/>
      <c r="O517" s="193" t="s">
        <v>56</v>
      </c>
      <c r="P517" s="292"/>
      <c r="Q517" s="193" t="s">
        <v>44</v>
      </c>
      <c r="R517" s="293" t="s">
        <v>46</v>
      </c>
      <c r="S517" s="298" t="s">
        <v>44</v>
      </c>
      <c r="T517" s="292"/>
    </row>
    <row r="518" ht="21.0" hidden="1" customHeight="1">
      <c r="A518" s="193">
        <v>517.0</v>
      </c>
      <c r="B518" s="319">
        <v>46219.0</v>
      </c>
      <c r="C518" s="293" t="s">
        <v>3766</v>
      </c>
      <c r="D518" s="193" t="s">
        <v>57</v>
      </c>
      <c r="E518" s="303" t="s">
        <v>6168</v>
      </c>
      <c r="F518" s="293">
        <v>5.55528755E8</v>
      </c>
      <c r="G518" s="195" t="s">
        <v>41</v>
      </c>
      <c r="H518" s="193" t="s">
        <v>27</v>
      </c>
      <c r="I518" s="303" t="s">
        <v>2833</v>
      </c>
      <c r="J518" s="292"/>
      <c r="K518" s="193" t="s">
        <v>62</v>
      </c>
      <c r="L518" s="193"/>
      <c r="M518" s="303" t="s">
        <v>3776</v>
      </c>
      <c r="N518" s="303"/>
      <c r="O518" s="292"/>
      <c r="P518" s="292"/>
      <c r="Q518" s="193" t="s">
        <v>44</v>
      </c>
      <c r="R518" s="292"/>
      <c r="S518" s="295"/>
      <c r="T518" s="292"/>
    </row>
    <row r="519" ht="25.5" hidden="1" customHeight="1">
      <c r="A519" s="193">
        <v>518.0</v>
      </c>
      <c r="B519" s="319">
        <v>46219.0</v>
      </c>
      <c r="C519" s="293" t="s">
        <v>58</v>
      </c>
      <c r="D519" s="193" t="s">
        <v>60</v>
      </c>
      <c r="E519" s="193" t="s">
        <v>27</v>
      </c>
      <c r="F519" s="293">
        <v>5.54813512E8</v>
      </c>
      <c r="G519" s="293" t="s">
        <v>27</v>
      </c>
      <c r="H519" s="193" t="s">
        <v>27</v>
      </c>
      <c r="I519" s="303" t="s">
        <v>6171</v>
      </c>
      <c r="J519" s="292"/>
      <c r="K519" s="193" t="s">
        <v>62</v>
      </c>
      <c r="L519" s="193"/>
      <c r="M519" s="303" t="s">
        <v>88</v>
      </c>
      <c r="N519" s="303"/>
      <c r="O519" s="292"/>
      <c r="P519" s="292"/>
      <c r="Q519" s="193" t="s">
        <v>44</v>
      </c>
      <c r="R519" s="292"/>
      <c r="S519" s="295"/>
      <c r="T519" s="292"/>
    </row>
    <row r="520" ht="51.0" hidden="1" customHeight="1">
      <c r="A520" s="193">
        <v>519.0</v>
      </c>
      <c r="B520" s="319">
        <v>46219.0</v>
      </c>
      <c r="C520" s="293" t="s">
        <v>58</v>
      </c>
      <c r="D520" s="193" t="s">
        <v>60</v>
      </c>
      <c r="E520" s="193" t="s">
        <v>27</v>
      </c>
      <c r="F520" s="293">
        <v>5.9200388E8</v>
      </c>
      <c r="G520" s="303" t="s">
        <v>319</v>
      </c>
      <c r="H520" s="193" t="s">
        <v>27</v>
      </c>
      <c r="I520" s="303" t="s">
        <v>6175</v>
      </c>
      <c r="J520" s="303" t="s">
        <v>6176</v>
      </c>
      <c r="K520" s="193" t="s">
        <v>62</v>
      </c>
      <c r="L520" s="193"/>
      <c r="M520" s="303" t="s">
        <v>88</v>
      </c>
      <c r="N520" s="303"/>
      <c r="O520" s="292"/>
      <c r="P520" s="292"/>
      <c r="Q520" s="193" t="s">
        <v>44</v>
      </c>
      <c r="R520" s="292"/>
      <c r="S520" s="295"/>
      <c r="T520" s="292"/>
    </row>
    <row r="521" ht="23.25" hidden="1" customHeight="1">
      <c r="A521" s="193">
        <v>520.0</v>
      </c>
      <c r="B521" s="319">
        <v>46219.0</v>
      </c>
      <c r="C521" s="293" t="s">
        <v>58</v>
      </c>
      <c r="D521" s="193" t="s">
        <v>34</v>
      </c>
      <c r="E521" s="303" t="s">
        <v>6177</v>
      </c>
      <c r="F521" s="293">
        <v>5.03588211E8</v>
      </c>
      <c r="G521" s="293" t="s">
        <v>27</v>
      </c>
      <c r="H521" s="193" t="s">
        <v>27</v>
      </c>
      <c r="I521" s="303" t="s">
        <v>6179</v>
      </c>
      <c r="J521" s="292"/>
      <c r="K521" s="193" t="s">
        <v>62</v>
      </c>
      <c r="L521" s="193"/>
      <c r="M521" s="303" t="s">
        <v>88</v>
      </c>
      <c r="N521" s="303"/>
      <c r="O521" s="292"/>
      <c r="P521" s="292"/>
      <c r="Q521" s="193" t="s">
        <v>44</v>
      </c>
      <c r="R521" s="292"/>
      <c r="S521" s="295"/>
      <c r="T521" s="292"/>
    </row>
    <row r="522" ht="27.0" hidden="1" customHeight="1">
      <c r="A522" s="193">
        <v>521.0</v>
      </c>
      <c r="B522" s="319">
        <v>46219.0</v>
      </c>
      <c r="C522" s="293" t="s">
        <v>47</v>
      </c>
      <c r="D522" s="193" t="s">
        <v>48</v>
      </c>
      <c r="E522" s="293" t="s">
        <v>6182</v>
      </c>
      <c r="F522" s="293" t="s">
        <v>27</v>
      </c>
      <c r="G522" s="195" t="s">
        <v>79</v>
      </c>
      <c r="H522" s="293" t="s">
        <v>5130</v>
      </c>
      <c r="I522" s="303" t="s">
        <v>6183</v>
      </c>
      <c r="J522" s="292"/>
      <c r="K522" s="193" t="s">
        <v>78</v>
      </c>
      <c r="L522" s="193" t="s">
        <v>42</v>
      </c>
      <c r="M522" s="303" t="s">
        <v>101</v>
      </c>
      <c r="N522" s="303"/>
      <c r="O522" s="193" t="s">
        <v>40</v>
      </c>
      <c r="P522" s="292"/>
      <c r="Q522" s="193" t="s">
        <v>49</v>
      </c>
      <c r="R522" s="293" t="s">
        <v>46</v>
      </c>
      <c r="S522" s="295"/>
      <c r="T522" s="292"/>
    </row>
    <row r="523" hidden="1">
      <c r="A523" s="193">
        <v>522.0</v>
      </c>
      <c r="B523" s="319">
        <v>46219.0</v>
      </c>
      <c r="C523" s="293" t="s">
        <v>47</v>
      </c>
      <c r="D523" s="193" t="s">
        <v>48</v>
      </c>
      <c r="E523" s="293" t="s">
        <v>6187</v>
      </c>
      <c r="F523" s="293" t="s">
        <v>27</v>
      </c>
      <c r="G523" s="195" t="s">
        <v>41</v>
      </c>
      <c r="H523" s="293" t="s">
        <v>146</v>
      </c>
      <c r="I523" s="303" t="s">
        <v>6188</v>
      </c>
      <c r="J523" s="292"/>
      <c r="K523" s="193" t="s">
        <v>78</v>
      </c>
      <c r="L523" s="193" t="s">
        <v>42</v>
      </c>
      <c r="M523" s="303" t="s">
        <v>5000</v>
      </c>
      <c r="N523" s="303"/>
      <c r="O523" s="193" t="s">
        <v>40</v>
      </c>
      <c r="P523" s="292"/>
      <c r="Q523" s="193" t="s">
        <v>49</v>
      </c>
      <c r="R523" s="293" t="s">
        <v>46</v>
      </c>
      <c r="S523" s="298" t="s">
        <v>49</v>
      </c>
      <c r="T523" s="292"/>
    </row>
    <row r="524" ht="58.5" hidden="1" customHeight="1">
      <c r="A524" s="193">
        <v>523.0</v>
      </c>
      <c r="B524" s="319">
        <v>46219.0</v>
      </c>
      <c r="C524" s="293" t="s">
        <v>47</v>
      </c>
      <c r="D524" s="193" t="s">
        <v>48</v>
      </c>
      <c r="E524" s="293" t="s">
        <v>6191</v>
      </c>
      <c r="F524" s="293" t="s">
        <v>27</v>
      </c>
      <c r="G524" s="195" t="s">
        <v>41</v>
      </c>
      <c r="H524" s="293" t="s">
        <v>1361</v>
      </c>
      <c r="I524" s="374" t="s">
        <v>6192</v>
      </c>
      <c r="J524" s="292"/>
      <c r="K524" s="193" t="s">
        <v>78</v>
      </c>
      <c r="L524" s="193" t="s">
        <v>42</v>
      </c>
      <c r="M524" s="195" t="s">
        <v>4915</v>
      </c>
      <c r="N524" s="195"/>
      <c r="O524" s="193" t="s">
        <v>40</v>
      </c>
      <c r="P524" s="195" t="s">
        <v>3566</v>
      </c>
      <c r="Q524" s="193" t="s">
        <v>49</v>
      </c>
      <c r="R524" s="293" t="s">
        <v>46</v>
      </c>
      <c r="S524" s="298" t="s">
        <v>49</v>
      </c>
      <c r="T524" s="292"/>
    </row>
    <row r="525" ht="58.5" hidden="1" customHeight="1">
      <c r="A525" s="193">
        <v>524.0</v>
      </c>
      <c r="B525" s="319">
        <v>46219.0</v>
      </c>
      <c r="C525" s="293" t="s">
        <v>47</v>
      </c>
      <c r="D525" s="193" t="s">
        <v>48</v>
      </c>
      <c r="E525" s="303" t="s">
        <v>6194</v>
      </c>
      <c r="F525" s="293" t="s">
        <v>27</v>
      </c>
      <c r="G525" s="195" t="s">
        <v>79</v>
      </c>
      <c r="H525" s="293" t="s">
        <v>6196</v>
      </c>
      <c r="I525" s="303" t="s">
        <v>6197</v>
      </c>
      <c r="J525" s="292"/>
      <c r="K525" s="193" t="s">
        <v>78</v>
      </c>
      <c r="L525" s="193" t="s">
        <v>42</v>
      </c>
      <c r="M525" s="303" t="s">
        <v>101</v>
      </c>
      <c r="N525" s="303"/>
      <c r="O525" s="193" t="s">
        <v>40</v>
      </c>
      <c r="P525" s="292"/>
      <c r="Q525" s="193" t="s">
        <v>49</v>
      </c>
      <c r="R525" s="293" t="s">
        <v>46</v>
      </c>
      <c r="S525" s="298" t="s">
        <v>49</v>
      </c>
      <c r="T525" s="292"/>
    </row>
    <row r="526" ht="46.5" hidden="1" customHeight="1">
      <c r="A526" s="193">
        <v>525.0</v>
      </c>
      <c r="B526" s="319">
        <v>46219.0</v>
      </c>
      <c r="C526" s="293" t="s">
        <v>47</v>
      </c>
      <c r="D526" s="193" t="s">
        <v>48</v>
      </c>
      <c r="E526" s="293" t="s">
        <v>6199</v>
      </c>
      <c r="F526" s="293" t="s">
        <v>27</v>
      </c>
      <c r="G526" s="195" t="s">
        <v>41</v>
      </c>
      <c r="H526" s="293" t="s">
        <v>1361</v>
      </c>
      <c r="I526" s="303" t="s">
        <v>6201</v>
      </c>
      <c r="J526" s="303" t="s">
        <v>6203</v>
      </c>
      <c r="K526" s="193" t="s">
        <v>78</v>
      </c>
      <c r="L526" s="193" t="s">
        <v>518</v>
      </c>
      <c r="M526" s="303" t="s">
        <v>101</v>
      </c>
      <c r="N526" s="303"/>
      <c r="O526" s="193" t="s">
        <v>56</v>
      </c>
      <c r="P526" s="292"/>
      <c r="Q526" s="193" t="s">
        <v>49</v>
      </c>
      <c r="R526" s="293" t="s">
        <v>46</v>
      </c>
      <c r="S526" s="298" t="s">
        <v>49</v>
      </c>
      <c r="T526" s="292"/>
    </row>
    <row r="527" ht="41.25" hidden="1" customHeight="1">
      <c r="A527" s="193">
        <v>526.0</v>
      </c>
      <c r="B527" s="319">
        <v>46219.0</v>
      </c>
      <c r="C527" s="293" t="s">
        <v>47</v>
      </c>
      <c r="D527" s="193" t="s">
        <v>92</v>
      </c>
      <c r="E527" s="293" t="s">
        <v>6205</v>
      </c>
      <c r="F527" s="293" t="s">
        <v>27</v>
      </c>
      <c r="G527" s="195" t="s">
        <v>71</v>
      </c>
      <c r="H527" s="293" t="s">
        <v>4313</v>
      </c>
      <c r="I527" s="303" t="s">
        <v>6206</v>
      </c>
      <c r="J527" s="292"/>
      <c r="K527" s="193" t="s">
        <v>78</v>
      </c>
      <c r="L527" s="193"/>
      <c r="M527" s="303" t="s">
        <v>55</v>
      </c>
      <c r="N527" s="303"/>
      <c r="O527" s="193" t="s">
        <v>40</v>
      </c>
      <c r="P527" s="292"/>
      <c r="Q527" s="193" t="s">
        <v>49</v>
      </c>
      <c r="R527" s="293" t="s">
        <v>46</v>
      </c>
      <c r="S527" s="298" t="s">
        <v>49</v>
      </c>
      <c r="T527" s="292"/>
    </row>
    <row r="528" ht="39.0" hidden="1" customHeight="1">
      <c r="A528" s="193">
        <v>527.0</v>
      </c>
      <c r="B528" s="319">
        <v>46219.0</v>
      </c>
      <c r="C528" s="293" t="s">
        <v>21</v>
      </c>
      <c r="D528" s="298" t="s">
        <v>22</v>
      </c>
      <c r="E528" s="303" t="s">
        <v>6211</v>
      </c>
      <c r="F528" s="293">
        <v>5.61382891E8</v>
      </c>
      <c r="G528" s="303" t="s">
        <v>1318</v>
      </c>
      <c r="H528" s="293" t="s">
        <v>27</v>
      </c>
      <c r="I528" s="303" t="s">
        <v>6212</v>
      </c>
      <c r="J528" s="292"/>
      <c r="K528" s="293" t="s">
        <v>36</v>
      </c>
      <c r="L528" s="193"/>
      <c r="M528" s="303" t="s">
        <v>38</v>
      </c>
      <c r="N528" s="303"/>
      <c r="O528" s="292"/>
      <c r="P528" s="292"/>
      <c r="Q528" s="193" t="s">
        <v>49</v>
      </c>
      <c r="R528" s="292"/>
      <c r="S528" s="295"/>
      <c r="T528" s="292"/>
    </row>
    <row r="529" ht="96.75" hidden="1" customHeight="1">
      <c r="A529" s="193">
        <v>528.0</v>
      </c>
      <c r="B529" s="319">
        <v>46219.0</v>
      </c>
      <c r="C529" s="293" t="s">
        <v>21</v>
      </c>
      <c r="D529" s="298" t="s">
        <v>24</v>
      </c>
      <c r="E529" s="293" t="s">
        <v>6214</v>
      </c>
      <c r="F529" s="293">
        <v>1.6474694045E10</v>
      </c>
      <c r="G529" s="293" t="s">
        <v>27</v>
      </c>
      <c r="H529" s="293" t="s">
        <v>27</v>
      </c>
      <c r="I529" s="293" t="s">
        <v>6216</v>
      </c>
      <c r="J529" s="292"/>
      <c r="K529" s="293" t="s">
        <v>62</v>
      </c>
      <c r="L529" s="193"/>
      <c r="M529" s="303" t="s">
        <v>38</v>
      </c>
      <c r="N529" s="303"/>
      <c r="O529" s="292"/>
      <c r="P529" s="292"/>
      <c r="Q529" s="193" t="s">
        <v>44</v>
      </c>
      <c r="R529" s="292"/>
      <c r="S529" s="295"/>
      <c r="T529" s="292"/>
    </row>
    <row r="530" ht="96.0" hidden="1" customHeight="1">
      <c r="A530" s="193">
        <v>529.0</v>
      </c>
      <c r="B530" s="319">
        <v>46222.0</v>
      </c>
      <c r="C530" s="293" t="s">
        <v>58</v>
      </c>
      <c r="D530" s="298" t="s">
        <v>60</v>
      </c>
      <c r="E530" s="293" t="s">
        <v>27</v>
      </c>
      <c r="F530" s="293">
        <v>5.32345696E8</v>
      </c>
      <c r="G530" s="293" t="s">
        <v>27</v>
      </c>
      <c r="H530" s="293" t="s">
        <v>27</v>
      </c>
      <c r="I530" s="303" t="s">
        <v>6217</v>
      </c>
      <c r="J530" s="303" t="s">
        <v>6218</v>
      </c>
      <c r="K530" s="293" t="s">
        <v>62</v>
      </c>
      <c r="L530" s="193"/>
      <c r="M530" s="303" t="s">
        <v>88</v>
      </c>
      <c r="N530" s="303"/>
      <c r="O530" s="292"/>
      <c r="P530" s="292"/>
      <c r="Q530" s="193" t="s">
        <v>44</v>
      </c>
      <c r="R530" s="292"/>
      <c r="S530" s="295"/>
      <c r="T530" s="292"/>
    </row>
    <row r="531" ht="21.0" hidden="1" customHeight="1">
      <c r="A531" s="193">
        <v>530.0</v>
      </c>
      <c r="B531" s="319">
        <v>46222.0</v>
      </c>
      <c r="C531" s="293" t="s">
        <v>21</v>
      </c>
      <c r="D531" s="298" t="s">
        <v>24</v>
      </c>
      <c r="E531" s="303" t="s">
        <v>6219</v>
      </c>
      <c r="F531" s="293">
        <v>5.3950709E8</v>
      </c>
      <c r="G531" s="303" t="s">
        <v>447</v>
      </c>
      <c r="H531" s="193" t="s">
        <v>27</v>
      </c>
      <c r="I531" s="303" t="s">
        <v>6220</v>
      </c>
      <c r="J531" s="292"/>
      <c r="K531" s="293" t="s">
        <v>62</v>
      </c>
      <c r="L531" s="193"/>
      <c r="M531" s="303" t="s">
        <v>38</v>
      </c>
      <c r="N531" s="303"/>
      <c r="O531" s="292"/>
      <c r="P531" s="292"/>
      <c r="Q531" s="193" t="s">
        <v>44</v>
      </c>
      <c r="R531" s="292"/>
      <c r="S531" s="295"/>
      <c r="T531" s="292"/>
    </row>
    <row r="532" ht="41.25" hidden="1" customHeight="1">
      <c r="A532" s="193">
        <v>531.0</v>
      </c>
      <c r="B532" s="319">
        <v>46222.0</v>
      </c>
      <c r="C532" s="293" t="s">
        <v>21</v>
      </c>
      <c r="D532" s="298" t="s">
        <v>24</v>
      </c>
      <c r="E532" s="303" t="s">
        <v>6222</v>
      </c>
      <c r="F532" s="293">
        <v>5.68931861E8</v>
      </c>
      <c r="G532" s="195" t="s">
        <v>71</v>
      </c>
      <c r="H532" s="193" t="s">
        <v>27</v>
      </c>
      <c r="I532" s="303" t="s">
        <v>6223</v>
      </c>
      <c r="J532" s="292"/>
      <c r="K532" s="293" t="s">
        <v>62</v>
      </c>
      <c r="L532" s="193"/>
      <c r="M532" s="303" t="s">
        <v>38</v>
      </c>
      <c r="N532" s="303"/>
      <c r="O532" s="292"/>
      <c r="P532" s="292"/>
      <c r="Q532" s="193" t="s">
        <v>44</v>
      </c>
      <c r="R532" s="292"/>
      <c r="S532" s="295"/>
      <c r="T532" s="292"/>
    </row>
    <row r="533" ht="21.0" hidden="1" customHeight="1">
      <c r="A533" s="193">
        <v>532.0</v>
      </c>
      <c r="B533" s="319">
        <v>46222.0</v>
      </c>
      <c r="C533" s="293" t="s">
        <v>21</v>
      </c>
      <c r="D533" s="298" t="s">
        <v>22</v>
      </c>
      <c r="E533" s="303" t="s">
        <v>6226</v>
      </c>
      <c r="F533" s="293">
        <v>5.40585517E8</v>
      </c>
      <c r="G533" s="193" t="s">
        <v>27</v>
      </c>
      <c r="H533" s="193" t="s">
        <v>27</v>
      </c>
      <c r="I533" s="303" t="s">
        <v>6227</v>
      </c>
      <c r="J533" s="292"/>
      <c r="K533" s="293" t="s">
        <v>62</v>
      </c>
      <c r="L533" s="193"/>
      <c r="M533" s="303" t="s">
        <v>38</v>
      </c>
      <c r="N533" s="303"/>
      <c r="O533" s="292"/>
      <c r="P533" s="292"/>
      <c r="Q533" s="193" t="s">
        <v>44</v>
      </c>
      <c r="R533" s="292"/>
      <c r="S533" s="295"/>
      <c r="T533" s="292"/>
    </row>
    <row r="534" ht="21.0" hidden="1" customHeight="1">
      <c r="A534" s="193">
        <v>533.0</v>
      </c>
      <c r="B534" s="319">
        <v>46222.0</v>
      </c>
      <c r="C534" s="293" t="s">
        <v>58</v>
      </c>
      <c r="D534" s="298" t="s">
        <v>60</v>
      </c>
      <c r="E534" s="303" t="s">
        <v>6229</v>
      </c>
      <c r="F534" s="293">
        <v>5.58256254E8</v>
      </c>
      <c r="G534" s="193" t="s">
        <v>27</v>
      </c>
      <c r="H534" s="193" t="s">
        <v>27</v>
      </c>
      <c r="I534" s="303" t="s">
        <v>6230</v>
      </c>
      <c r="J534" s="303" t="s">
        <v>6231</v>
      </c>
      <c r="K534" s="293" t="s">
        <v>62</v>
      </c>
      <c r="L534" s="193"/>
      <c r="M534" s="303" t="s">
        <v>88</v>
      </c>
      <c r="N534" s="303"/>
      <c r="O534" s="292"/>
      <c r="P534" s="292"/>
      <c r="Q534" s="193" t="s">
        <v>44</v>
      </c>
      <c r="R534" s="292"/>
      <c r="S534" s="295"/>
      <c r="T534" s="292"/>
    </row>
    <row r="535" ht="21.0" hidden="1" customHeight="1">
      <c r="A535" s="193">
        <v>534.0</v>
      </c>
      <c r="B535" s="319">
        <v>46222.0</v>
      </c>
      <c r="C535" s="293" t="s">
        <v>21</v>
      </c>
      <c r="D535" s="298" t="s">
        <v>22</v>
      </c>
      <c r="E535" s="303" t="s">
        <v>6233</v>
      </c>
      <c r="F535" s="293">
        <v>5.61777113E8</v>
      </c>
      <c r="G535" s="195" t="s">
        <v>71</v>
      </c>
      <c r="H535" s="193" t="s">
        <v>27</v>
      </c>
      <c r="I535" s="303" t="s">
        <v>6234</v>
      </c>
      <c r="J535" s="292"/>
      <c r="K535" s="293" t="s">
        <v>62</v>
      </c>
      <c r="L535" s="193"/>
      <c r="M535" s="303" t="s">
        <v>38</v>
      </c>
      <c r="N535" s="303"/>
      <c r="O535" s="292"/>
      <c r="P535" s="292"/>
      <c r="Q535" s="193" t="s">
        <v>44</v>
      </c>
      <c r="R535" s="292"/>
      <c r="S535" s="295"/>
      <c r="T535" s="292"/>
    </row>
    <row r="536" ht="47.25" hidden="1" customHeight="1">
      <c r="A536" s="193">
        <v>535.0</v>
      </c>
      <c r="B536" s="319">
        <v>46222.0</v>
      </c>
      <c r="C536" s="293" t="s">
        <v>47</v>
      </c>
      <c r="D536" s="298" t="s">
        <v>138</v>
      </c>
      <c r="E536" s="303" t="s">
        <v>6237</v>
      </c>
      <c r="F536" s="293">
        <v>5.05787805E8</v>
      </c>
      <c r="G536" s="303" t="s">
        <v>28</v>
      </c>
      <c r="H536" s="293" t="s">
        <v>548</v>
      </c>
      <c r="I536" s="303" t="s">
        <v>6238</v>
      </c>
      <c r="J536" s="303" t="s">
        <v>6239</v>
      </c>
      <c r="K536" s="293" t="s">
        <v>148</v>
      </c>
      <c r="L536" s="193"/>
      <c r="M536" s="303" t="s">
        <v>55</v>
      </c>
      <c r="N536" s="303"/>
      <c r="O536" s="193" t="s">
        <v>40</v>
      </c>
      <c r="P536" s="292"/>
      <c r="Q536" s="193" t="s">
        <v>44</v>
      </c>
      <c r="R536" s="293" t="s">
        <v>46</v>
      </c>
      <c r="S536" s="295"/>
      <c r="T536" s="292"/>
    </row>
    <row r="537" ht="21.0" hidden="1" customHeight="1">
      <c r="A537" s="193">
        <v>536.0</v>
      </c>
      <c r="B537" s="319">
        <v>46222.0</v>
      </c>
      <c r="C537" s="293" t="s">
        <v>58</v>
      </c>
      <c r="D537" s="298" t="s">
        <v>60</v>
      </c>
      <c r="E537" s="293" t="s">
        <v>416</v>
      </c>
      <c r="F537" s="293">
        <v>5.51455622E8</v>
      </c>
      <c r="G537" s="193" t="s">
        <v>27</v>
      </c>
      <c r="H537" s="293" t="s">
        <v>80</v>
      </c>
      <c r="I537" s="303" t="s">
        <v>6242</v>
      </c>
      <c r="J537" s="292"/>
      <c r="K537" s="293" t="s">
        <v>148</v>
      </c>
      <c r="L537" s="193"/>
      <c r="M537" s="303" t="s">
        <v>88</v>
      </c>
      <c r="N537" s="303"/>
      <c r="O537" s="292"/>
      <c r="P537" s="292"/>
      <c r="Q537" s="193" t="s">
        <v>44</v>
      </c>
      <c r="R537" s="292"/>
      <c r="S537" s="295"/>
      <c r="T537" s="292"/>
    </row>
    <row r="538" ht="21.0" hidden="1" customHeight="1">
      <c r="A538" s="193">
        <v>537.0</v>
      </c>
      <c r="B538" s="319">
        <v>46222.0</v>
      </c>
      <c r="C538" s="293" t="s">
        <v>47</v>
      </c>
      <c r="D538" s="298" t="s">
        <v>138</v>
      </c>
      <c r="E538" s="293" t="s">
        <v>6243</v>
      </c>
      <c r="F538" s="293">
        <v>5.09310003E8</v>
      </c>
      <c r="G538" s="303" t="s">
        <v>79</v>
      </c>
      <c r="H538" s="293" t="s">
        <v>239</v>
      </c>
      <c r="I538" s="265" t="s">
        <v>6244</v>
      </c>
      <c r="J538" s="292"/>
      <c r="K538" s="293" t="s">
        <v>148</v>
      </c>
      <c r="L538" s="193"/>
      <c r="M538" s="303" t="s">
        <v>55</v>
      </c>
      <c r="N538" s="303"/>
      <c r="O538" s="193" t="s">
        <v>40</v>
      </c>
      <c r="P538" s="292"/>
      <c r="Q538" s="193" t="s">
        <v>44</v>
      </c>
      <c r="R538" s="293" t="s">
        <v>46</v>
      </c>
      <c r="S538" s="295"/>
      <c r="T538" s="292"/>
    </row>
    <row r="539" ht="69.0" hidden="1" customHeight="1">
      <c r="A539" s="193">
        <v>538.0</v>
      </c>
      <c r="B539" s="319">
        <v>46222.0</v>
      </c>
      <c r="C539" s="293" t="s">
        <v>47</v>
      </c>
      <c r="D539" s="298" t="s">
        <v>138</v>
      </c>
      <c r="E539" s="303" t="s">
        <v>6248</v>
      </c>
      <c r="F539" s="293">
        <v>5.40647878E8</v>
      </c>
      <c r="G539" s="303" t="s">
        <v>79</v>
      </c>
      <c r="H539" s="293" t="s">
        <v>487</v>
      </c>
      <c r="I539" s="303" t="s">
        <v>6250</v>
      </c>
      <c r="J539" s="292"/>
      <c r="K539" s="293" t="s">
        <v>148</v>
      </c>
      <c r="L539" s="193"/>
      <c r="M539" s="303" t="s">
        <v>55</v>
      </c>
      <c r="N539" s="303"/>
      <c r="O539" s="193" t="s">
        <v>40</v>
      </c>
      <c r="P539" s="292"/>
      <c r="Q539" s="193" t="s">
        <v>44</v>
      </c>
      <c r="R539" s="293" t="s">
        <v>46</v>
      </c>
      <c r="S539" s="295"/>
      <c r="T539" s="292"/>
    </row>
    <row r="540" ht="54.75" hidden="1" customHeight="1">
      <c r="A540" s="193">
        <v>539.0</v>
      </c>
      <c r="B540" s="319">
        <v>46222.0</v>
      </c>
      <c r="C540" s="293" t="s">
        <v>58</v>
      </c>
      <c r="D540" s="298" t="s">
        <v>60</v>
      </c>
      <c r="E540" s="303" t="s">
        <v>6252</v>
      </c>
      <c r="F540" s="293">
        <v>5.38119077E8</v>
      </c>
      <c r="G540" s="293" t="s">
        <v>27</v>
      </c>
      <c r="H540" s="293" t="s">
        <v>27</v>
      </c>
      <c r="I540" s="303" t="s">
        <v>6253</v>
      </c>
      <c r="J540" s="303" t="s">
        <v>6254</v>
      </c>
      <c r="K540" s="293" t="s">
        <v>62</v>
      </c>
      <c r="L540" s="193"/>
      <c r="M540" s="303" t="s">
        <v>88</v>
      </c>
      <c r="N540" s="303"/>
      <c r="O540" s="292"/>
      <c r="P540" s="292"/>
      <c r="Q540" s="193" t="s">
        <v>44</v>
      </c>
      <c r="R540" s="292"/>
      <c r="S540" s="295"/>
      <c r="T540" s="292"/>
    </row>
    <row r="541" ht="141.0" customHeight="1">
      <c r="A541" s="193">
        <v>540.0</v>
      </c>
      <c r="B541" s="380">
        <v>46222.0</v>
      </c>
      <c r="C541" s="298" t="s">
        <v>58</v>
      </c>
      <c r="D541" s="298" t="s">
        <v>48</v>
      </c>
      <c r="E541" s="265" t="s">
        <v>6257</v>
      </c>
      <c r="F541" s="298">
        <v>5.54478869E8</v>
      </c>
      <c r="G541" s="195" t="s">
        <v>41</v>
      </c>
      <c r="H541" s="298" t="s">
        <v>431</v>
      </c>
      <c r="I541" s="381" t="s">
        <v>6258</v>
      </c>
      <c r="J541" s="265" t="s">
        <v>6262</v>
      </c>
      <c r="K541" s="298" t="s">
        <v>62</v>
      </c>
      <c r="L541" s="193" t="s">
        <v>301</v>
      </c>
      <c r="M541" s="265" t="s">
        <v>5565</v>
      </c>
      <c r="N541" s="298" t="s">
        <v>4127</v>
      </c>
      <c r="O541" s="193" t="s">
        <v>56</v>
      </c>
      <c r="P541" s="193" t="s">
        <v>4129</v>
      </c>
      <c r="Q541" s="193" t="s">
        <v>44</v>
      </c>
      <c r="R541" s="298" t="s">
        <v>46</v>
      </c>
      <c r="S541" s="295"/>
      <c r="T541" s="295"/>
    </row>
    <row r="542" ht="46.5" hidden="1" customHeight="1">
      <c r="A542" s="193">
        <v>541.0</v>
      </c>
      <c r="B542" s="319">
        <v>46222.0</v>
      </c>
      <c r="C542" s="293" t="s">
        <v>58</v>
      </c>
      <c r="D542" s="298" t="s">
        <v>57</v>
      </c>
      <c r="E542" s="303" t="s">
        <v>763</v>
      </c>
      <c r="F542" s="293">
        <v>5.09493101E8</v>
      </c>
      <c r="G542" s="293" t="s">
        <v>27</v>
      </c>
      <c r="H542" s="303" t="s">
        <v>237</v>
      </c>
      <c r="I542" s="303" t="s">
        <v>6265</v>
      </c>
      <c r="J542" s="303" t="s">
        <v>6266</v>
      </c>
      <c r="K542" s="293" t="s">
        <v>62</v>
      </c>
      <c r="L542" s="193"/>
      <c r="M542" s="303" t="s">
        <v>88</v>
      </c>
      <c r="N542" s="303"/>
      <c r="O542" s="292"/>
      <c r="P542" s="292"/>
      <c r="Q542" s="193" t="s">
        <v>44</v>
      </c>
      <c r="R542" s="292"/>
      <c r="S542" s="298" t="s">
        <v>44</v>
      </c>
      <c r="T542" s="292"/>
    </row>
    <row r="543" ht="68.25" hidden="1" customHeight="1">
      <c r="A543" s="193">
        <v>542.0</v>
      </c>
      <c r="B543" s="382">
        <v>46222.0</v>
      </c>
      <c r="C543" s="33" t="s">
        <v>21</v>
      </c>
      <c r="D543" s="26" t="s">
        <v>22</v>
      </c>
      <c r="E543" s="303" t="s">
        <v>85</v>
      </c>
      <c r="F543" s="22">
        <v>5.54452038E8</v>
      </c>
      <c r="G543" s="98" t="s">
        <v>79</v>
      </c>
      <c r="H543" s="33" t="s">
        <v>27</v>
      </c>
      <c r="I543" s="113" t="s">
        <v>6267</v>
      </c>
      <c r="J543" s="383"/>
      <c r="K543" s="193" t="s">
        <v>321</v>
      </c>
      <c r="L543" s="193"/>
      <c r="M543" s="384" t="s">
        <v>38</v>
      </c>
      <c r="N543" s="384"/>
      <c r="O543" s="383"/>
      <c r="P543" s="383"/>
      <c r="Q543" s="156" t="s">
        <v>49</v>
      </c>
      <c r="R543" s="383"/>
      <c r="S543" s="223"/>
      <c r="T543" s="108"/>
    </row>
    <row r="544" ht="54.0" hidden="1" customHeight="1">
      <c r="A544" s="193">
        <v>543.0</v>
      </c>
      <c r="B544" s="382">
        <v>46222.0</v>
      </c>
      <c r="C544" s="109" t="s">
        <v>21</v>
      </c>
      <c r="D544" s="156" t="s">
        <v>22</v>
      </c>
      <c r="E544" s="141" t="s">
        <v>6271</v>
      </c>
      <c r="F544" s="17">
        <v>5.00032165E8</v>
      </c>
      <c r="G544" s="195" t="s">
        <v>41</v>
      </c>
      <c r="H544" s="137" t="s">
        <v>27</v>
      </c>
      <c r="I544" s="141" t="s">
        <v>6272</v>
      </c>
      <c r="J544" s="140"/>
      <c r="K544" s="193" t="s">
        <v>321</v>
      </c>
      <c r="L544" s="193"/>
      <c r="M544" s="138" t="s">
        <v>38</v>
      </c>
      <c r="N544" s="138"/>
      <c r="O544" s="140"/>
      <c r="P544" s="140"/>
      <c r="Q544" s="139" t="s">
        <v>49</v>
      </c>
      <c r="R544" s="140"/>
      <c r="S544" s="140"/>
      <c r="T544" s="108"/>
    </row>
    <row r="545" ht="99.0" hidden="1" customHeight="1">
      <c r="A545" s="193">
        <v>544.0</v>
      </c>
      <c r="B545" s="382">
        <v>46222.0</v>
      </c>
      <c r="C545" s="109" t="s">
        <v>21</v>
      </c>
      <c r="D545" s="156" t="s">
        <v>22</v>
      </c>
      <c r="E545" s="141" t="s">
        <v>6274</v>
      </c>
      <c r="F545" s="17">
        <v>5.0564135E8</v>
      </c>
      <c r="G545" s="195" t="s">
        <v>71</v>
      </c>
      <c r="H545" s="137" t="s">
        <v>27</v>
      </c>
      <c r="I545" s="141" t="s">
        <v>6275</v>
      </c>
      <c r="J545" s="140"/>
      <c r="K545" s="385" t="s">
        <v>321</v>
      </c>
      <c r="L545" s="193"/>
      <c r="M545" s="138" t="s">
        <v>38</v>
      </c>
      <c r="N545" s="138"/>
      <c r="O545" s="140"/>
      <c r="P545" s="140"/>
      <c r="Q545" s="139" t="s">
        <v>49</v>
      </c>
      <c r="R545" s="140"/>
      <c r="S545" s="140"/>
      <c r="T545" s="108"/>
    </row>
    <row r="546" ht="21.0" hidden="1" customHeight="1">
      <c r="A546" s="193">
        <v>545.0</v>
      </c>
      <c r="B546" s="386">
        <v>46222.0</v>
      </c>
      <c r="C546" s="254" t="s">
        <v>58</v>
      </c>
      <c r="D546" s="254" t="s">
        <v>60</v>
      </c>
      <c r="E546" s="193" t="s">
        <v>27</v>
      </c>
      <c r="F546" s="387">
        <v>5.09162022E8</v>
      </c>
      <c r="G546" s="193" t="s">
        <v>27</v>
      </c>
      <c r="H546" s="193" t="s">
        <v>27</v>
      </c>
      <c r="I546" s="142" t="s">
        <v>6281</v>
      </c>
      <c r="J546" s="255"/>
      <c r="K546" s="385" t="s">
        <v>36</v>
      </c>
      <c r="L546" s="193"/>
      <c r="M546" s="81" t="s">
        <v>88</v>
      </c>
      <c r="N546" s="81"/>
      <c r="O546" s="255"/>
      <c r="P546" s="255"/>
      <c r="Q546" s="254" t="s">
        <v>4074</v>
      </c>
      <c r="R546" s="255"/>
      <c r="S546" s="255"/>
      <c r="T546" s="110"/>
    </row>
    <row r="547" ht="21.0" hidden="1" customHeight="1">
      <c r="A547" s="193">
        <v>546.0</v>
      </c>
      <c r="B547" s="382">
        <v>46222.0</v>
      </c>
      <c r="C547" s="139" t="s">
        <v>58</v>
      </c>
      <c r="D547" s="254" t="s">
        <v>60</v>
      </c>
      <c r="E547" s="193" t="s">
        <v>27</v>
      </c>
      <c r="F547" s="387">
        <v>5.81368668E8</v>
      </c>
      <c r="G547" s="193" t="s">
        <v>27</v>
      </c>
      <c r="H547" s="193" t="s">
        <v>27</v>
      </c>
      <c r="I547" s="141" t="s">
        <v>6284</v>
      </c>
      <c r="J547" s="140"/>
      <c r="K547" s="388" t="s">
        <v>36</v>
      </c>
      <c r="L547" s="193"/>
      <c r="M547" s="138" t="s">
        <v>88</v>
      </c>
      <c r="N547" s="138"/>
      <c r="O547" s="140"/>
      <c r="P547" s="140"/>
      <c r="Q547" s="139" t="s">
        <v>4074</v>
      </c>
      <c r="R547" s="140"/>
      <c r="S547" s="140"/>
      <c r="T547" s="108"/>
    </row>
    <row r="548" ht="21.0" hidden="1" customHeight="1">
      <c r="A548" s="193">
        <v>547.0</v>
      </c>
      <c r="B548" s="386">
        <v>46222.0</v>
      </c>
      <c r="C548" s="39" t="s">
        <v>21</v>
      </c>
      <c r="D548" s="26" t="s">
        <v>24</v>
      </c>
      <c r="E548" s="265" t="s">
        <v>1745</v>
      </c>
      <c r="F548" s="17">
        <v>5.44448299E8</v>
      </c>
      <c r="G548" s="265" t="s">
        <v>2537</v>
      </c>
      <c r="H548" s="298" t="s">
        <v>27</v>
      </c>
      <c r="I548" s="142" t="s">
        <v>4982</v>
      </c>
      <c r="J548" s="223"/>
      <c r="K548" s="193" t="s">
        <v>36</v>
      </c>
      <c r="L548" s="193"/>
      <c r="M548" s="225" t="s">
        <v>38</v>
      </c>
      <c r="N548" s="225"/>
      <c r="O548" s="223"/>
      <c r="P548" s="223"/>
      <c r="Q548" s="156" t="s">
        <v>4074</v>
      </c>
      <c r="R548" s="255"/>
      <c r="S548" s="255"/>
      <c r="T548" s="110"/>
    </row>
    <row r="549" ht="21.0" hidden="1" customHeight="1">
      <c r="A549" s="193">
        <v>548.0</v>
      </c>
      <c r="B549" s="382">
        <v>46222.0</v>
      </c>
      <c r="C549" s="139" t="s">
        <v>58</v>
      </c>
      <c r="D549" s="254" t="s">
        <v>60</v>
      </c>
      <c r="E549" s="193" t="s">
        <v>27</v>
      </c>
      <c r="F549" s="17">
        <v>5.44591176E8</v>
      </c>
      <c r="G549" s="193" t="s">
        <v>27</v>
      </c>
      <c r="H549" s="193" t="s">
        <v>27</v>
      </c>
      <c r="I549" s="141" t="s">
        <v>124</v>
      </c>
      <c r="J549" s="383"/>
      <c r="K549" s="388" t="s">
        <v>65</v>
      </c>
      <c r="L549" s="193"/>
      <c r="M549" s="384" t="s">
        <v>38</v>
      </c>
      <c r="N549" s="384"/>
      <c r="O549" s="383"/>
      <c r="P549" s="383"/>
      <c r="Q549" s="156" t="s">
        <v>4074</v>
      </c>
      <c r="R549" s="140"/>
      <c r="S549" s="140"/>
      <c r="T549" s="108"/>
    </row>
    <row r="550" ht="21.0" hidden="1" customHeight="1">
      <c r="A550" s="193">
        <v>549.0</v>
      </c>
      <c r="B550" s="386">
        <v>46222.0</v>
      </c>
      <c r="C550" s="39" t="s">
        <v>47</v>
      </c>
      <c r="D550" s="26" t="s">
        <v>138</v>
      </c>
      <c r="E550" s="39" t="s">
        <v>27</v>
      </c>
      <c r="F550" s="147">
        <v>5.58371338E8</v>
      </c>
      <c r="G550" s="195" t="s">
        <v>41</v>
      </c>
      <c r="H550" s="39" t="s">
        <v>6290</v>
      </c>
      <c r="I550" s="389" t="s">
        <v>6291</v>
      </c>
      <c r="J550" s="223"/>
      <c r="K550" s="193" t="s">
        <v>148</v>
      </c>
      <c r="L550" s="193"/>
      <c r="M550" s="225" t="s">
        <v>55</v>
      </c>
      <c r="N550" s="225"/>
      <c r="O550" s="193" t="s">
        <v>40</v>
      </c>
      <c r="P550" s="223"/>
      <c r="Q550" s="254" t="s">
        <v>4074</v>
      </c>
      <c r="R550" s="390" t="s">
        <v>46</v>
      </c>
      <c r="S550" s="223"/>
      <c r="T550" s="110"/>
    </row>
    <row r="551" ht="48.0" hidden="1" customHeight="1">
      <c r="A551" s="193">
        <v>550.0</v>
      </c>
      <c r="B551" s="386">
        <v>46222.0</v>
      </c>
      <c r="C551" s="39" t="s">
        <v>47</v>
      </c>
      <c r="D551" s="391" t="s">
        <v>138</v>
      </c>
      <c r="E551" s="392" t="s">
        <v>27</v>
      </c>
      <c r="F551" s="147">
        <v>5.5601397E8</v>
      </c>
      <c r="G551" s="195" t="s">
        <v>41</v>
      </c>
      <c r="H551" s="392" t="s">
        <v>577</v>
      </c>
      <c r="I551" s="393" t="s">
        <v>6296</v>
      </c>
      <c r="J551" s="223"/>
      <c r="K551" s="193" t="s">
        <v>148</v>
      </c>
      <c r="L551" s="193"/>
      <c r="M551" s="225" t="s">
        <v>150</v>
      </c>
      <c r="N551" s="225"/>
      <c r="O551" s="193" t="s">
        <v>40</v>
      </c>
      <c r="P551" s="223"/>
      <c r="Q551" s="254" t="s">
        <v>4074</v>
      </c>
      <c r="R551" s="390" t="s">
        <v>46</v>
      </c>
      <c r="S551" s="223"/>
      <c r="T551" s="110"/>
    </row>
    <row r="552" ht="49.5" hidden="1" customHeight="1">
      <c r="A552" s="193">
        <v>551.0</v>
      </c>
      <c r="B552" s="386">
        <v>46222.0</v>
      </c>
      <c r="C552" s="39" t="s">
        <v>47</v>
      </c>
      <c r="D552" s="26" t="s">
        <v>138</v>
      </c>
      <c r="E552" s="30" t="s">
        <v>1339</v>
      </c>
      <c r="F552" s="147">
        <v>5.63840444E8</v>
      </c>
      <c r="G552" s="195" t="s">
        <v>41</v>
      </c>
      <c r="H552" s="39" t="s">
        <v>5436</v>
      </c>
      <c r="I552" s="117" t="s">
        <v>6299</v>
      </c>
      <c r="J552" s="223"/>
      <c r="K552" s="193" t="s">
        <v>148</v>
      </c>
      <c r="L552" s="193"/>
      <c r="M552" s="225" t="s">
        <v>55</v>
      </c>
      <c r="N552" s="225"/>
      <c r="O552" s="193" t="s">
        <v>40</v>
      </c>
      <c r="P552" s="223"/>
      <c r="Q552" s="254" t="s">
        <v>4074</v>
      </c>
      <c r="R552" s="390" t="s">
        <v>46</v>
      </c>
      <c r="S552" s="223"/>
      <c r="T552" s="110"/>
    </row>
    <row r="553" ht="45.75" hidden="1" customHeight="1">
      <c r="A553" s="193">
        <v>552.0</v>
      </c>
      <c r="B553" s="386">
        <v>46222.0</v>
      </c>
      <c r="C553" s="39" t="s">
        <v>47</v>
      </c>
      <c r="D553" s="26" t="s">
        <v>138</v>
      </c>
      <c r="E553" s="30" t="s">
        <v>6301</v>
      </c>
      <c r="F553" s="394">
        <v>5.66377595E8</v>
      </c>
      <c r="G553" s="195" t="s">
        <v>41</v>
      </c>
      <c r="H553" s="39" t="s">
        <v>577</v>
      </c>
      <c r="I553" s="117" t="s">
        <v>6302</v>
      </c>
      <c r="J553" s="223"/>
      <c r="K553" s="193" t="s">
        <v>148</v>
      </c>
      <c r="L553" s="193"/>
      <c r="M553" s="225" t="s">
        <v>55</v>
      </c>
      <c r="N553" s="225"/>
      <c r="O553" s="193" t="s">
        <v>40</v>
      </c>
      <c r="P553" s="223"/>
      <c r="Q553" s="254" t="s">
        <v>4074</v>
      </c>
      <c r="R553" s="390" t="s">
        <v>46</v>
      </c>
      <c r="S553" s="223"/>
      <c r="T553" s="110"/>
    </row>
    <row r="554" ht="75.75" hidden="1" customHeight="1">
      <c r="A554" s="193">
        <v>553.0</v>
      </c>
      <c r="B554" s="386">
        <v>46222.0</v>
      </c>
      <c r="C554" s="254" t="s">
        <v>47</v>
      </c>
      <c r="D554" s="254" t="s">
        <v>92</v>
      </c>
      <c r="E554" s="39" t="s">
        <v>27</v>
      </c>
      <c r="F554" s="147" t="s">
        <v>27</v>
      </c>
      <c r="G554" s="30" t="s">
        <v>6304</v>
      </c>
      <c r="H554" s="39" t="s">
        <v>6305</v>
      </c>
      <c r="I554" s="117" t="s">
        <v>6306</v>
      </c>
      <c r="J554" s="225" t="s">
        <v>6307</v>
      </c>
      <c r="K554" s="254" t="s">
        <v>78</v>
      </c>
      <c r="L554" s="193"/>
      <c r="M554" s="225" t="s">
        <v>55</v>
      </c>
      <c r="N554" s="225"/>
      <c r="O554" s="193" t="s">
        <v>40</v>
      </c>
      <c r="P554" s="223"/>
      <c r="Q554" s="254" t="s">
        <v>4074</v>
      </c>
      <c r="R554" s="390" t="s">
        <v>46</v>
      </c>
      <c r="S554" s="223"/>
      <c r="T554" s="110"/>
    </row>
    <row r="555" ht="30.0" hidden="1" customHeight="1">
      <c r="A555" s="193">
        <v>554.0</v>
      </c>
      <c r="B555" s="382">
        <v>46222.0</v>
      </c>
      <c r="C555" s="139" t="s">
        <v>47</v>
      </c>
      <c r="D555" s="254" t="s">
        <v>48</v>
      </c>
      <c r="E555" s="98" t="s">
        <v>6310</v>
      </c>
      <c r="F555" s="147" t="s">
        <v>27</v>
      </c>
      <c r="G555" s="195" t="s">
        <v>41</v>
      </c>
      <c r="H555" s="33" t="s">
        <v>6113</v>
      </c>
      <c r="I555" s="98" t="s">
        <v>6311</v>
      </c>
      <c r="J555" s="383"/>
      <c r="K555" s="139" t="s">
        <v>78</v>
      </c>
      <c r="L555" s="193" t="s">
        <v>42</v>
      </c>
      <c r="M555" s="384" t="s">
        <v>55</v>
      </c>
      <c r="N555" s="384"/>
      <c r="O555" s="193" t="s">
        <v>40</v>
      </c>
      <c r="P555" s="383"/>
      <c r="Q555" s="139" t="s">
        <v>4074</v>
      </c>
      <c r="R555" s="395" t="s">
        <v>46</v>
      </c>
      <c r="S555" s="223"/>
      <c r="T555" s="108"/>
    </row>
    <row r="556" ht="77.25" hidden="1" customHeight="1">
      <c r="A556" s="193">
        <v>555.0</v>
      </c>
      <c r="B556" s="386">
        <v>46222.0</v>
      </c>
      <c r="C556" s="39" t="s">
        <v>47</v>
      </c>
      <c r="D556" s="26" t="s">
        <v>138</v>
      </c>
      <c r="E556" s="39" t="s">
        <v>6313</v>
      </c>
      <c r="F556" s="147" t="s">
        <v>27</v>
      </c>
      <c r="G556" s="30" t="s">
        <v>28</v>
      </c>
      <c r="H556" s="39" t="s">
        <v>6316</v>
      </c>
      <c r="I556" s="117" t="s">
        <v>6317</v>
      </c>
      <c r="J556" s="223"/>
      <c r="K556" s="193" t="s">
        <v>78</v>
      </c>
      <c r="L556" s="193" t="s">
        <v>518</v>
      </c>
      <c r="M556" s="225" t="s">
        <v>55</v>
      </c>
      <c r="N556" s="225"/>
      <c r="O556" s="193" t="s">
        <v>40</v>
      </c>
      <c r="P556" s="223"/>
      <c r="Q556" s="254" t="s">
        <v>4074</v>
      </c>
      <c r="R556" s="390" t="s">
        <v>46</v>
      </c>
      <c r="S556" s="223"/>
      <c r="T556" s="110"/>
    </row>
    <row r="557" ht="62.25" hidden="1" customHeight="1">
      <c r="A557" s="193">
        <v>556.0</v>
      </c>
      <c r="B557" s="382">
        <v>46222.0</v>
      </c>
      <c r="C557" s="33" t="s">
        <v>47</v>
      </c>
      <c r="D557" s="26" t="s">
        <v>48</v>
      </c>
      <c r="E557" s="98" t="s">
        <v>6318</v>
      </c>
      <c r="F557" s="147" t="s">
        <v>27</v>
      </c>
      <c r="G557" s="142" t="s">
        <v>6319</v>
      </c>
      <c r="H557" s="33" t="s">
        <v>6321</v>
      </c>
      <c r="I557" s="113" t="s">
        <v>6322</v>
      </c>
      <c r="J557" s="383"/>
      <c r="K557" s="193" t="s">
        <v>78</v>
      </c>
      <c r="L557" s="193" t="s">
        <v>518</v>
      </c>
      <c r="M557" s="384" t="s">
        <v>101</v>
      </c>
      <c r="N557" s="384"/>
      <c r="O557" s="193" t="s">
        <v>40</v>
      </c>
      <c r="P557" s="383"/>
      <c r="Q557" s="139" t="s">
        <v>4074</v>
      </c>
      <c r="R557" s="395" t="s">
        <v>46</v>
      </c>
      <c r="S557" s="223"/>
      <c r="T557" s="108"/>
    </row>
    <row r="558" ht="80.25" hidden="1" customHeight="1">
      <c r="A558" s="193">
        <v>557.0</v>
      </c>
      <c r="B558" s="382">
        <v>46222.0</v>
      </c>
      <c r="C558" s="33" t="s">
        <v>47</v>
      </c>
      <c r="D558" s="26" t="s">
        <v>48</v>
      </c>
      <c r="E558" s="293" t="s">
        <v>6325</v>
      </c>
      <c r="F558" s="147" t="s">
        <v>27</v>
      </c>
      <c r="G558" s="195" t="s">
        <v>41</v>
      </c>
      <c r="H558" s="33" t="s">
        <v>1361</v>
      </c>
      <c r="I558" s="113" t="s">
        <v>6326</v>
      </c>
      <c r="J558" s="384" t="s">
        <v>6203</v>
      </c>
      <c r="K558" s="193" t="s">
        <v>78</v>
      </c>
      <c r="L558" s="193" t="s">
        <v>518</v>
      </c>
      <c r="M558" s="384" t="s">
        <v>101</v>
      </c>
      <c r="N558" s="384"/>
      <c r="O558" s="193" t="s">
        <v>40</v>
      </c>
      <c r="P558" s="383"/>
      <c r="Q558" s="139" t="s">
        <v>4074</v>
      </c>
      <c r="R558" s="395" t="s">
        <v>46</v>
      </c>
      <c r="S558" s="223"/>
      <c r="T558" s="108"/>
    </row>
    <row r="559" ht="21.0" hidden="1" customHeight="1">
      <c r="A559" s="193">
        <v>558.0</v>
      </c>
      <c r="B559" s="382">
        <v>46222.0</v>
      </c>
      <c r="C559" s="33" t="s">
        <v>58</v>
      </c>
      <c r="D559" s="26" t="s">
        <v>60</v>
      </c>
      <c r="E559" s="193" t="s">
        <v>27</v>
      </c>
      <c r="F559" s="147">
        <v>5.10313871E8</v>
      </c>
      <c r="G559" s="193" t="s">
        <v>27</v>
      </c>
      <c r="H559" s="193" t="s">
        <v>27</v>
      </c>
      <c r="I559" s="141" t="s">
        <v>124</v>
      </c>
      <c r="J559" s="383"/>
      <c r="K559" s="193" t="s">
        <v>65</v>
      </c>
      <c r="L559" s="193"/>
      <c r="M559" s="384" t="s">
        <v>38</v>
      </c>
      <c r="N559" s="384"/>
      <c r="O559" s="383"/>
      <c r="P559" s="383"/>
      <c r="Q559" s="139" t="s">
        <v>4074</v>
      </c>
      <c r="R559" s="383"/>
      <c r="S559" s="223"/>
      <c r="T559" s="108"/>
    </row>
    <row r="560" ht="21.0" hidden="1" customHeight="1">
      <c r="A560" s="193">
        <v>559.0</v>
      </c>
      <c r="B560" s="382">
        <v>46222.0</v>
      </c>
      <c r="C560" s="33" t="s">
        <v>58</v>
      </c>
      <c r="D560" s="26" t="s">
        <v>60</v>
      </c>
      <c r="E560" s="193" t="s">
        <v>27</v>
      </c>
      <c r="F560" s="137">
        <v>5.95232521E8</v>
      </c>
      <c r="G560" s="193" t="s">
        <v>27</v>
      </c>
      <c r="H560" s="193" t="s">
        <v>27</v>
      </c>
      <c r="I560" s="113" t="s">
        <v>90</v>
      </c>
      <c r="J560" s="383"/>
      <c r="K560" s="193" t="s">
        <v>65</v>
      </c>
      <c r="L560" s="193"/>
      <c r="M560" s="384" t="s">
        <v>38</v>
      </c>
      <c r="N560" s="384"/>
      <c r="O560" s="383"/>
      <c r="P560" s="383"/>
      <c r="Q560" s="139" t="s">
        <v>4074</v>
      </c>
      <c r="R560" s="383"/>
      <c r="S560" s="223"/>
      <c r="T560" s="108"/>
    </row>
    <row r="561" ht="21.0" hidden="1" customHeight="1">
      <c r="A561" s="193">
        <v>560.0</v>
      </c>
      <c r="B561" s="382">
        <v>46222.0</v>
      </c>
      <c r="C561" s="33" t="s">
        <v>58</v>
      </c>
      <c r="D561" s="26" t="s">
        <v>60</v>
      </c>
      <c r="E561" s="193" t="s">
        <v>27</v>
      </c>
      <c r="F561" s="147">
        <v>5.39907071E8</v>
      </c>
      <c r="G561" s="193" t="s">
        <v>27</v>
      </c>
      <c r="H561" s="193" t="s">
        <v>27</v>
      </c>
      <c r="I561" s="113" t="s">
        <v>6330</v>
      </c>
      <c r="J561" s="383"/>
      <c r="K561" s="193" t="s">
        <v>36</v>
      </c>
      <c r="L561" s="193"/>
      <c r="M561" s="384" t="s">
        <v>88</v>
      </c>
      <c r="N561" s="384"/>
      <c r="O561" s="383"/>
      <c r="P561" s="383"/>
      <c r="Q561" s="139" t="s">
        <v>4074</v>
      </c>
      <c r="R561" s="383"/>
      <c r="S561" s="223"/>
      <c r="T561" s="108"/>
    </row>
    <row r="562" ht="21.0" hidden="1" customHeight="1">
      <c r="A562" s="193">
        <v>561.0</v>
      </c>
      <c r="B562" s="382">
        <v>46222.0</v>
      </c>
      <c r="C562" s="33" t="s">
        <v>58</v>
      </c>
      <c r="D562" s="26" t="s">
        <v>60</v>
      </c>
      <c r="E562" s="193" t="s">
        <v>27</v>
      </c>
      <c r="F562" s="137">
        <v>5.05467925E8</v>
      </c>
      <c r="G562" s="303" t="s">
        <v>6333</v>
      </c>
      <c r="H562" s="193" t="s">
        <v>27</v>
      </c>
      <c r="I562" s="113" t="s">
        <v>6334</v>
      </c>
      <c r="J562" s="383"/>
      <c r="K562" s="193" t="s">
        <v>36</v>
      </c>
      <c r="L562" s="193"/>
      <c r="M562" s="384" t="s">
        <v>88</v>
      </c>
      <c r="N562" s="384"/>
      <c r="O562" s="383"/>
      <c r="P562" s="383"/>
      <c r="Q562" s="139" t="s">
        <v>4074</v>
      </c>
      <c r="R562" s="383"/>
      <c r="S562" s="223"/>
      <c r="T562" s="108"/>
    </row>
    <row r="563" ht="21.0" hidden="1" customHeight="1">
      <c r="A563" s="193">
        <v>562.0</v>
      </c>
      <c r="B563" s="386">
        <v>46222.0</v>
      </c>
      <c r="C563" s="39" t="s">
        <v>58</v>
      </c>
      <c r="D563" s="26" t="s">
        <v>60</v>
      </c>
      <c r="E563" s="30" t="s">
        <v>6335</v>
      </c>
      <c r="F563" s="147">
        <v>5.32769289E8</v>
      </c>
      <c r="G563" s="195" t="s">
        <v>41</v>
      </c>
      <c r="H563" s="39" t="s">
        <v>4928</v>
      </c>
      <c r="I563" s="117" t="s">
        <v>6336</v>
      </c>
      <c r="J563" s="396" t="s">
        <v>6338</v>
      </c>
      <c r="K563" s="193" t="s">
        <v>36</v>
      </c>
      <c r="L563" s="193"/>
      <c r="M563" s="225" t="s">
        <v>88</v>
      </c>
      <c r="N563" s="225"/>
      <c r="O563" s="223"/>
      <c r="P563" s="223"/>
      <c r="Q563" s="254" t="s">
        <v>4074</v>
      </c>
      <c r="R563" s="223"/>
      <c r="S563" s="223"/>
      <c r="T563" s="110"/>
    </row>
    <row r="564" ht="21.0" hidden="1" customHeight="1">
      <c r="A564" s="193">
        <v>563.0</v>
      </c>
      <c r="B564" s="382">
        <v>46222.0</v>
      </c>
      <c r="C564" s="33" t="s">
        <v>58</v>
      </c>
      <c r="D564" s="26" t="s">
        <v>60</v>
      </c>
      <c r="E564" s="193" t="s">
        <v>27</v>
      </c>
      <c r="F564" s="147">
        <v>5.06011411E8</v>
      </c>
      <c r="G564" s="193" t="s">
        <v>27</v>
      </c>
      <c r="H564" s="193" t="s">
        <v>27</v>
      </c>
      <c r="I564" s="113" t="s">
        <v>6339</v>
      </c>
      <c r="J564" s="383"/>
      <c r="K564" s="193" t="s">
        <v>65</v>
      </c>
      <c r="L564" s="193"/>
      <c r="M564" s="384" t="s">
        <v>88</v>
      </c>
      <c r="N564" s="384"/>
      <c r="O564" s="383"/>
      <c r="P564" s="383"/>
      <c r="Q564" s="139" t="s">
        <v>4074</v>
      </c>
      <c r="R564" s="383"/>
      <c r="S564" s="223"/>
      <c r="T564" s="108"/>
    </row>
    <row r="565" ht="26.25" hidden="1" customHeight="1">
      <c r="A565" s="193">
        <v>564.0</v>
      </c>
      <c r="B565" s="386">
        <v>46222.0</v>
      </c>
      <c r="C565" s="39" t="s">
        <v>47</v>
      </c>
      <c r="D565" s="26" t="s">
        <v>48</v>
      </c>
      <c r="E565" s="298" t="s">
        <v>27</v>
      </c>
      <c r="F565" s="147">
        <v>5.40248436E8</v>
      </c>
      <c r="G565" s="30" t="s">
        <v>79</v>
      </c>
      <c r="H565" s="228" t="s">
        <v>3767</v>
      </c>
      <c r="I565" s="113" t="s">
        <v>6342</v>
      </c>
      <c r="J565" s="38" t="s">
        <v>6343</v>
      </c>
      <c r="K565" s="193" t="s">
        <v>65</v>
      </c>
      <c r="L565" s="193" t="s">
        <v>42</v>
      </c>
      <c r="M565" s="225" t="s">
        <v>101</v>
      </c>
      <c r="N565" s="225"/>
      <c r="O565" s="193" t="s">
        <v>40</v>
      </c>
      <c r="P565" s="223"/>
      <c r="Q565" s="254" t="s">
        <v>4074</v>
      </c>
      <c r="R565" s="390" t="s">
        <v>46</v>
      </c>
      <c r="S565" s="223"/>
      <c r="T565" s="110"/>
    </row>
    <row r="566" ht="32.25" hidden="1" customHeight="1">
      <c r="A566" s="193">
        <v>565.0</v>
      </c>
      <c r="B566" s="382">
        <v>46222.0</v>
      </c>
      <c r="C566" s="33" t="s">
        <v>58</v>
      </c>
      <c r="D566" s="26" t="s">
        <v>60</v>
      </c>
      <c r="E566" s="193" t="s">
        <v>27</v>
      </c>
      <c r="F566" s="147">
        <v>5.95549996E8</v>
      </c>
      <c r="G566" s="193" t="s">
        <v>27</v>
      </c>
      <c r="H566" s="193" t="s">
        <v>27</v>
      </c>
      <c r="I566" s="113" t="s">
        <v>6334</v>
      </c>
      <c r="J566" s="383"/>
      <c r="K566" s="193" t="s">
        <v>36</v>
      </c>
      <c r="L566" s="193"/>
      <c r="M566" s="384" t="s">
        <v>88</v>
      </c>
      <c r="N566" s="384"/>
      <c r="O566" s="383"/>
      <c r="P566" s="383"/>
      <c r="Q566" s="139" t="s">
        <v>4074</v>
      </c>
      <c r="R566" s="383"/>
      <c r="S566" s="223"/>
      <c r="T566" s="108"/>
    </row>
    <row r="567" ht="53.25" hidden="1" customHeight="1">
      <c r="A567" s="193">
        <v>566.0</v>
      </c>
      <c r="B567" s="382">
        <v>46222.0</v>
      </c>
      <c r="C567" s="33" t="s">
        <v>58</v>
      </c>
      <c r="D567" s="26" t="s">
        <v>60</v>
      </c>
      <c r="E567" s="293" t="s">
        <v>27</v>
      </c>
      <c r="F567" s="147">
        <v>5.37020001E8</v>
      </c>
      <c r="G567" s="293" t="s">
        <v>27</v>
      </c>
      <c r="H567" s="293" t="s">
        <v>27</v>
      </c>
      <c r="I567" s="113" t="s">
        <v>6347</v>
      </c>
      <c r="J567" s="383"/>
      <c r="K567" s="193" t="s">
        <v>36</v>
      </c>
      <c r="L567" s="193"/>
      <c r="M567" s="384" t="s">
        <v>55</v>
      </c>
      <c r="N567" s="384"/>
      <c r="O567" s="383"/>
      <c r="P567" s="383"/>
      <c r="Q567" s="139" t="s">
        <v>4074</v>
      </c>
      <c r="R567" s="383"/>
      <c r="S567" s="223"/>
      <c r="T567" s="108"/>
    </row>
    <row r="568" ht="33.75" hidden="1" customHeight="1">
      <c r="A568" s="193">
        <v>567.0</v>
      </c>
      <c r="B568" s="386">
        <v>46222.0</v>
      </c>
      <c r="C568" s="39" t="s">
        <v>58</v>
      </c>
      <c r="D568" s="26" t="s">
        <v>60</v>
      </c>
      <c r="E568" s="30" t="s">
        <v>187</v>
      </c>
      <c r="F568" s="147">
        <v>5.33609962E8</v>
      </c>
      <c r="G568" s="193" t="s">
        <v>27</v>
      </c>
      <c r="H568" s="193" t="s">
        <v>27</v>
      </c>
      <c r="I568" s="117" t="s">
        <v>6348</v>
      </c>
      <c r="J568" s="225" t="s">
        <v>6349</v>
      </c>
      <c r="K568" s="193" t="s">
        <v>36</v>
      </c>
      <c r="L568" s="193"/>
      <c r="M568" s="225" t="s">
        <v>88</v>
      </c>
      <c r="N568" s="225"/>
      <c r="O568" s="223"/>
      <c r="P568" s="223"/>
      <c r="Q568" s="254" t="s">
        <v>4074</v>
      </c>
      <c r="R568" s="223"/>
      <c r="S568" s="223"/>
      <c r="T568" s="110"/>
    </row>
    <row r="569" ht="33.0" hidden="1" customHeight="1">
      <c r="A569" s="193">
        <v>568.0</v>
      </c>
      <c r="B569" s="382">
        <v>46222.0</v>
      </c>
      <c r="C569" s="33" t="s">
        <v>58</v>
      </c>
      <c r="D569" s="26" t="s">
        <v>60</v>
      </c>
      <c r="E569" s="193" t="s">
        <v>27</v>
      </c>
      <c r="F569" s="147">
        <v>5.48788663E8</v>
      </c>
      <c r="G569" s="193" t="s">
        <v>27</v>
      </c>
      <c r="H569" s="193" t="s">
        <v>27</v>
      </c>
      <c r="I569" s="113" t="s">
        <v>6351</v>
      </c>
      <c r="J569" s="383"/>
      <c r="K569" s="193" t="s">
        <v>65</v>
      </c>
      <c r="L569" s="193"/>
      <c r="M569" s="384" t="s">
        <v>88</v>
      </c>
      <c r="N569" s="384"/>
      <c r="O569" s="383"/>
      <c r="P569" s="383"/>
      <c r="Q569" s="139" t="s">
        <v>4074</v>
      </c>
      <c r="R569" s="383"/>
      <c r="S569" s="223"/>
      <c r="T569" s="108"/>
    </row>
    <row r="570" ht="21.0" hidden="1" customHeight="1">
      <c r="A570" s="193">
        <v>569.0</v>
      </c>
      <c r="B570" s="382">
        <v>46222.0</v>
      </c>
      <c r="C570" s="33" t="s">
        <v>58</v>
      </c>
      <c r="D570" s="26" t="s">
        <v>60</v>
      </c>
      <c r="E570" s="193" t="s">
        <v>27</v>
      </c>
      <c r="F570" s="397">
        <v>5.07848086E8</v>
      </c>
      <c r="G570" s="193" t="s">
        <v>27</v>
      </c>
      <c r="H570" s="193" t="s">
        <v>27</v>
      </c>
      <c r="I570" s="113" t="s">
        <v>6334</v>
      </c>
      <c r="J570" s="383"/>
      <c r="K570" s="193" t="s">
        <v>36</v>
      </c>
      <c r="L570" s="193"/>
      <c r="M570" s="384" t="s">
        <v>88</v>
      </c>
      <c r="N570" s="384"/>
      <c r="O570" s="383"/>
      <c r="P570" s="383"/>
      <c r="Q570" s="139" t="s">
        <v>4074</v>
      </c>
      <c r="R570" s="383"/>
      <c r="S570" s="223"/>
      <c r="T570" s="108"/>
    </row>
    <row r="571" ht="21.0" hidden="1" customHeight="1">
      <c r="A571" s="193">
        <v>570.0</v>
      </c>
      <c r="B571" s="382">
        <v>46222.0</v>
      </c>
      <c r="C571" s="33" t="s">
        <v>58</v>
      </c>
      <c r="D571" s="26" t="s">
        <v>57</v>
      </c>
      <c r="E571" s="193" t="s">
        <v>27</v>
      </c>
      <c r="F571" s="33">
        <v>5.60500506E8</v>
      </c>
      <c r="G571" s="193" t="s">
        <v>27</v>
      </c>
      <c r="H571" s="193" t="s">
        <v>27</v>
      </c>
      <c r="I571" s="113" t="s">
        <v>6355</v>
      </c>
      <c r="J571" s="383"/>
      <c r="K571" s="193" t="s">
        <v>36</v>
      </c>
      <c r="L571" s="193"/>
      <c r="M571" s="384" t="s">
        <v>88</v>
      </c>
      <c r="N571" s="384"/>
      <c r="O571" s="383"/>
      <c r="P571" s="383"/>
      <c r="Q571" s="156" t="s">
        <v>4074</v>
      </c>
      <c r="R571" s="383"/>
      <c r="S571" s="223"/>
      <c r="T571" s="108"/>
    </row>
    <row r="572" ht="48.75" hidden="1" customHeight="1">
      <c r="A572" s="193">
        <v>571.0</v>
      </c>
      <c r="B572" s="386">
        <v>46222.0</v>
      </c>
      <c r="C572" s="39" t="s">
        <v>21</v>
      </c>
      <c r="D572" s="26" t="s">
        <v>57</v>
      </c>
      <c r="E572" s="30" t="s">
        <v>6356</v>
      </c>
      <c r="F572" s="39">
        <v>5.51588049E8</v>
      </c>
      <c r="G572" s="30" t="s">
        <v>6357</v>
      </c>
      <c r="H572" s="298" t="s">
        <v>27</v>
      </c>
      <c r="I572" s="117" t="s">
        <v>6358</v>
      </c>
      <c r="J572" s="117" t="s">
        <v>6359</v>
      </c>
      <c r="K572" s="193" t="s">
        <v>6360</v>
      </c>
      <c r="L572" s="193"/>
      <c r="M572" s="225" t="s">
        <v>38</v>
      </c>
      <c r="N572" s="225"/>
      <c r="O572" s="223"/>
      <c r="P572" s="223"/>
      <c r="Q572" s="254" t="s">
        <v>49</v>
      </c>
      <c r="R572" s="223"/>
      <c r="S572" s="223"/>
      <c r="T572" s="110"/>
    </row>
    <row r="573" ht="21.0" hidden="1" customHeight="1">
      <c r="A573" s="193">
        <v>572.0</v>
      </c>
      <c r="B573" s="382">
        <v>46222.0</v>
      </c>
      <c r="C573" s="33" t="s">
        <v>21</v>
      </c>
      <c r="D573" s="26" t="s">
        <v>22</v>
      </c>
      <c r="E573" s="98" t="s">
        <v>1260</v>
      </c>
      <c r="F573" s="33">
        <v>5.80091444E8</v>
      </c>
      <c r="G573" s="98" t="s">
        <v>152</v>
      </c>
      <c r="H573" s="193" t="s">
        <v>27</v>
      </c>
      <c r="I573" s="113" t="s">
        <v>6362</v>
      </c>
      <c r="J573" s="383"/>
      <c r="K573" s="193" t="s">
        <v>36</v>
      </c>
      <c r="L573" s="193"/>
      <c r="M573" s="384" t="s">
        <v>38</v>
      </c>
      <c r="N573" s="384"/>
      <c r="O573" s="383"/>
      <c r="P573" s="383"/>
      <c r="Q573" s="156" t="s">
        <v>4074</v>
      </c>
      <c r="R573" s="383"/>
      <c r="S573" s="223"/>
      <c r="T573" s="108"/>
    </row>
    <row r="574" ht="21.0" hidden="1" customHeight="1">
      <c r="A574" s="193">
        <v>573.0</v>
      </c>
      <c r="B574" s="382">
        <v>46222.0</v>
      </c>
      <c r="C574" s="33" t="s">
        <v>58</v>
      </c>
      <c r="D574" s="26" t="s">
        <v>60</v>
      </c>
      <c r="E574" s="293" t="s">
        <v>27</v>
      </c>
      <c r="F574" s="33">
        <v>5.3271712E8</v>
      </c>
      <c r="G574" s="293" t="s">
        <v>27</v>
      </c>
      <c r="H574" s="293" t="s">
        <v>27</v>
      </c>
      <c r="I574" s="113" t="s">
        <v>6364</v>
      </c>
      <c r="J574" s="383"/>
      <c r="K574" s="193" t="s">
        <v>36</v>
      </c>
      <c r="L574" s="193"/>
      <c r="M574" s="384" t="s">
        <v>88</v>
      </c>
      <c r="N574" s="384"/>
      <c r="O574" s="383"/>
      <c r="P574" s="383"/>
      <c r="Q574" s="156" t="s">
        <v>4074</v>
      </c>
      <c r="R574" s="383"/>
      <c r="S574" s="223"/>
      <c r="T574" s="108"/>
    </row>
    <row r="575" ht="48.0" hidden="1" customHeight="1">
      <c r="A575" s="193">
        <v>574.0</v>
      </c>
      <c r="B575" s="386">
        <v>46222.0</v>
      </c>
      <c r="C575" s="39" t="s">
        <v>47</v>
      </c>
      <c r="D575" s="26" t="s">
        <v>92</v>
      </c>
      <c r="E575" s="298" t="s">
        <v>27</v>
      </c>
      <c r="F575" s="39">
        <v>5.03057959E8</v>
      </c>
      <c r="G575" s="298" t="s">
        <v>27</v>
      </c>
      <c r="H575" s="204" t="s">
        <v>777</v>
      </c>
      <c r="I575" s="30" t="s">
        <v>6367</v>
      </c>
      <c r="J575" s="295"/>
      <c r="K575" s="193" t="s">
        <v>36</v>
      </c>
      <c r="L575" s="193"/>
      <c r="M575" s="265" t="s">
        <v>55</v>
      </c>
      <c r="N575" s="265"/>
      <c r="O575" s="193" t="s">
        <v>40</v>
      </c>
      <c r="P575" s="295"/>
      <c r="Q575" s="26" t="s">
        <v>4074</v>
      </c>
      <c r="R575" s="298" t="s">
        <v>46</v>
      </c>
      <c r="S575" s="295"/>
      <c r="T575" s="111"/>
    </row>
    <row r="576" ht="38.25" hidden="1" customHeight="1">
      <c r="A576" s="193">
        <v>575.0</v>
      </c>
      <c r="B576" s="382">
        <v>46222.0</v>
      </c>
      <c r="C576" s="33" t="s">
        <v>3766</v>
      </c>
      <c r="D576" s="26" t="s">
        <v>60</v>
      </c>
      <c r="E576" s="293" t="s">
        <v>27</v>
      </c>
      <c r="F576" s="33">
        <v>5.3357856E8</v>
      </c>
      <c r="G576" s="98" t="s">
        <v>6304</v>
      </c>
      <c r="H576" s="33" t="s">
        <v>6368</v>
      </c>
      <c r="I576" s="113" t="s">
        <v>6369</v>
      </c>
      <c r="J576" s="383"/>
      <c r="K576" s="193" t="s">
        <v>36</v>
      </c>
      <c r="L576" s="193"/>
      <c r="M576" s="384" t="s">
        <v>3776</v>
      </c>
      <c r="N576" s="384"/>
      <c r="O576" s="383"/>
      <c r="P576" s="383"/>
      <c r="Q576" s="156" t="s">
        <v>4074</v>
      </c>
      <c r="R576" s="383"/>
      <c r="S576" s="223"/>
      <c r="T576" s="108"/>
    </row>
    <row r="577" ht="39.0" hidden="1" customHeight="1">
      <c r="A577" s="193">
        <v>576.0</v>
      </c>
      <c r="B577" s="382">
        <v>46222.0</v>
      </c>
      <c r="C577" s="33" t="s">
        <v>3766</v>
      </c>
      <c r="D577" s="26" t="s">
        <v>57</v>
      </c>
      <c r="E577" s="98" t="s">
        <v>6189</v>
      </c>
      <c r="F577" s="144">
        <v>5.53255795E8</v>
      </c>
      <c r="G577" s="98" t="s">
        <v>6371</v>
      </c>
      <c r="H577" s="33" t="s">
        <v>27</v>
      </c>
      <c r="I577" s="113" t="s">
        <v>6372</v>
      </c>
      <c r="J577" s="383"/>
      <c r="K577" s="193" t="s">
        <v>36</v>
      </c>
      <c r="L577" s="193"/>
      <c r="M577" s="384" t="s">
        <v>3776</v>
      </c>
      <c r="N577" s="384"/>
      <c r="O577" s="383"/>
      <c r="P577" s="383"/>
      <c r="Q577" s="156" t="s">
        <v>4074</v>
      </c>
      <c r="R577" s="383"/>
      <c r="S577" s="223"/>
      <c r="T577" s="108"/>
    </row>
    <row r="578" ht="39.75" hidden="1" customHeight="1">
      <c r="A578" s="193">
        <v>577.0</v>
      </c>
      <c r="B578" s="386">
        <v>46222.0</v>
      </c>
      <c r="C578" s="39" t="s">
        <v>21</v>
      </c>
      <c r="D578" s="26" t="s">
        <v>57</v>
      </c>
      <c r="E578" s="167" t="s">
        <v>3373</v>
      </c>
      <c r="F578" s="398">
        <v>5.04465038E8</v>
      </c>
      <c r="G578" s="39" t="s">
        <v>27</v>
      </c>
      <c r="H578" s="39" t="s">
        <v>27</v>
      </c>
      <c r="I578" s="399" t="s">
        <v>6374</v>
      </c>
      <c r="J578" s="225" t="s">
        <v>6375</v>
      </c>
      <c r="K578" s="193" t="s">
        <v>62</v>
      </c>
      <c r="L578" s="193"/>
      <c r="M578" s="225" t="s">
        <v>38</v>
      </c>
      <c r="N578" s="225"/>
      <c r="O578" s="223"/>
      <c r="P578" s="223"/>
      <c r="Q578" s="156" t="s">
        <v>4074</v>
      </c>
      <c r="R578" s="223"/>
      <c r="S578" s="223"/>
      <c r="T578" s="110"/>
    </row>
    <row r="579" ht="35.25" hidden="1" customHeight="1">
      <c r="A579" s="193">
        <v>578.0</v>
      </c>
      <c r="B579" s="382">
        <v>46222.0</v>
      </c>
      <c r="C579" s="33" t="s">
        <v>21</v>
      </c>
      <c r="D579" s="26" t="s">
        <v>22</v>
      </c>
      <c r="E579" s="98" t="s">
        <v>6376</v>
      </c>
      <c r="F579" s="33">
        <v>5.31289E8</v>
      </c>
      <c r="G579" s="98" t="s">
        <v>28</v>
      </c>
      <c r="H579" s="193" t="s">
        <v>27</v>
      </c>
      <c r="I579" s="399" t="s">
        <v>6377</v>
      </c>
      <c r="J579" s="383"/>
      <c r="K579" s="193" t="s">
        <v>62</v>
      </c>
      <c r="L579" s="193"/>
      <c r="M579" s="384" t="s">
        <v>38</v>
      </c>
      <c r="N579" s="384"/>
      <c r="O579" s="383"/>
      <c r="P579" s="383"/>
      <c r="Q579" s="156" t="s">
        <v>4074</v>
      </c>
      <c r="R579" s="383"/>
      <c r="S579" s="223"/>
      <c r="T579" s="108"/>
    </row>
    <row r="580" ht="21.0" hidden="1" customHeight="1">
      <c r="A580" s="193">
        <v>579.0</v>
      </c>
      <c r="B580" s="382">
        <v>46222.0</v>
      </c>
      <c r="C580" s="33" t="s">
        <v>21</v>
      </c>
      <c r="D580" s="26" t="s">
        <v>24</v>
      </c>
      <c r="E580" s="98" t="s">
        <v>6380</v>
      </c>
      <c r="F580" s="33">
        <v>5.0687842E8</v>
      </c>
      <c r="G580" s="193" t="s">
        <v>27</v>
      </c>
      <c r="H580" s="193" t="s">
        <v>27</v>
      </c>
      <c r="I580" s="113" t="s">
        <v>6381</v>
      </c>
      <c r="J580" s="383"/>
      <c r="K580" s="193" t="s">
        <v>36</v>
      </c>
      <c r="L580" s="193"/>
      <c r="M580" s="384" t="s">
        <v>38</v>
      </c>
      <c r="N580" s="384"/>
      <c r="O580" s="383"/>
      <c r="P580" s="383"/>
      <c r="Q580" s="156" t="s">
        <v>44</v>
      </c>
      <c r="R580" s="383"/>
      <c r="S580" s="223"/>
      <c r="T580" s="108"/>
    </row>
    <row r="581" ht="32.25" hidden="1" customHeight="1">
      <c r="A581" s="193">
        <v>580.0</v>
      </c>
      <c r="B581" s="400">
        <v>46223.0</v>
      </c>
      <c r="C581" s="22" t="s">
        <v>21</v>
      </c>
      <c r="D581" s="13" t="s">
        <v>24</v>
      </c>
      <c r="E581" s="31" t="s">
        <v>6382</v>
      </c>
      <c r="F581" s="401">
        <v>5.44192744E8</v>
      </c>
      <c r="G581" s="193" t="s">
        <v>27</v>
      </c>
      <c r="H581" s="193" t="s">
        <v>27</v>
      </c>
      <c r="I581" s="31" t="s">
        <v>6384</v>
      </c>
      <c r="J581" s="402"/>
      <c r="K581" s="13" t="s">
        <v>62</v>
      </c>
      <c r="L581" s="193"/>
      <c r="M581" s="384" t="s">
        <v>38</v>
      </c>
      <c r="N581" s="384"/>
      <c r="O581" s="383"/>
      <c r="P581" s="383"/>
      <c r="Q581" s="156" t="s">
        <v>4074</v>
      </c>
      <c r="R581" s="383"/>
      <c r="S581" s="223"/>
      <c r="T581" s="108"/>
    </row>
    <row r="582" ht="31.5" hidden="1" customHeight="1">
      <c r="A582" s="193">
        <v>581.0</v>
      </c>
      <c r="B582" s="222">
        <v>46223.0</v>
      </c>
      <c r="C582" s="22" t="s">
        <v>21</v>
      </c>
      <c r="D582" s="13" t="s">
        <v>22</v>
      </c>
      <c r="E582" s="403" t="s">
        <v>108</v>
      </c>
      <c r="F582" s="17" t="s">
        <v>6387</v>
      </c>
      <c r="G582" s="193" t="s">
        <v>27</v>
      </c>
      <c r="H582" s="193" t="s">
        <v>27</v>
      </c>
      <c r="I582" s="403" t="s">
        <v>6388</v>
      </c>
      <c r="J582" s="404"/>
      <c r="K582" s="13" t="s">
        <v>62</v>
      </c>
      <c r="L582" s="193"/>
      <c r="M582" s="138" t="s">
        <v>38</v>
      </c>
      <c r="N582" s="138"/>
      <c r="O582" s="140"/>
      <c r="P582" s="140"/>
      <c r="Q582" s="139" t="s">
        <v>4074</v>
      </c>
      <c r="R582" s="140"/>
      <c r="S582" s="140"/>
      <c r="T582" s="108"/>
    </row>
    <row r="583" ht="31.5" hidden="1" customHeight="1">
      <c r="A583" s="193">
        <v>582.0</v>
      </c>
      <c r="B583" s="222">
        <v>46223.0</v>
      </c>
      <c r="C583" s="22" t="s">
        <v>21</v>
      </c>
      <c r="D583" s="13" t="s">
        <v>22</v>
      </c>
      <c r="E583" s="403" t="s">
        <v>6391</v>
      </c>
      <c r="F583" s="17">
        <v>5.5347773E8</v>
      </c>
      <c r="G583" s="193" t="s">
        <v>27</v>
      </c>
      <c r="H583" s="193" t="s">
        <v>27</v>
      </c>
      <c r="I583" s="403" t="s">
        <v>6392</v>
      </c>
      <c r="J583" s="405"/>
      <c r="K583" s="406" t="s">
        <v>62</v>
      </c>
      <c r="L583" s="193"/>
      <c r="M583" s="138" t="s">
        <v>38</v>
      </c>
      <c r="N583" s="138"/>
      <c r="O583" s="140"/>
      <c r="P583" s="140"/>
      <c r="Q583" s="139" t="s">
        <v>4074</v>
      </c>
      <c r="R583" s="140"/>
      <c r="S583" s="140"/>
      <c r="T583" s="108"/>
    </row>
    <row r="584" ht="31.5" hidden="1" customHeight="1">
      <c r="A584" s="193">
        <v>583.0</v>
      </c>
      <c r="B584" s="222">
        <v>46223.0</v>
      </c>
      <c r="C584" s="408" t="s">
        <v>58</v>
      </c>
      <c r="D584" s="409" t="s">
        <v>57</v>
      </c>
      <c r="E584" s="410" t="s">
        <v>6394</v>
      </c>
      <c r="F584" s="17">
        <v>5.58032554E8</v>
      </c>
      <c r="G584" s="193" t="s">
        <v>27</v>
      </c>
      <c r="H584" s="193" t="s">
        <v>27</v>
      </c>
      <c r="I584" s="411" t="s">
        <v>6396</v>
      </c>
      <c r="J584" s="405"/>
      <c r="K584" s="412" t="s">
        <v>62</v>
      </c>
      <c r="L584" s="193"/>
      <c r="M584" s="138" t="s">
        <v>88</v>
      </c>
      <c r="N584" s="138"/>
      <c r="O584" s="140"/>
      <c r="P584" s="140"/>
      <c r="Q584" s="139" t="s">
        <v>4074</v>
      </c>
      <c r="R584" s="140"/>
      <c r="S584" s="140"/>
      <c r="T584" s="108"/>
    </row>
    <row r="585" ht="31.5" hidden="1" customHeight="1">
      <c r="A585" s="193">
        <v>584.0</v>
      </c>
      <c r="B585" s="222">
        <v>46223.0</v>
      </c>
      <c r="C585" s="408" t="s">
        <v>58</v>
      </c>
      <c r="D585" s="409" t="s">
        <v>60</v>
      </c>
      <c r="E585" s="193" t="s">
        <v>27</v>
      </c>
      <c r="F585" s="17">
        <v>5.00552217E8</v>
      </c>
      <c r="G585" s="193" t="s">
        <v>27</v>
      </c>
      <c r="H585" s="193" t="s">
        <v>27</v>
      </c>
      <c r="I585" s="410" t="s">
        <v>6398</v>
      </c>
      <c r="J585" s="405"/>
      <c r="K585" s="412" t="s">
        <v>62</v>
      </c>
      <c r="L585" s="193"/>
      <c r="M585" s="138" t="s">
        <v>88</v>
      </c>
      <c r="N585" s="138"/>
      <c r="O585" s="140"/>
      <c r="P585" s="140"/>
      <c r="Q585" s="139" t="s">
        <v>4074</v>
      </c>
      <c r="R585" s="140"/>
      <c r="S585" s="140"/>
      <c r="T585" s="108"/>
    </row>
    <row r="586" ht="31.5" hidden="1" customHeight="1">
      <c r="A586" s="193">
        <v>585.0</v>
      </c>
      <c r="B586" s="222">
        <v>46223.0</v>
      </c>
      <c r="C586" s="22" t="s">
        <v>47</v>
      </c>
      <c r="D586" s="13" t="s">
        <v>367</v>
      </c>
      <c r="E586" s="31" t="s">
        <v>6400</v>
      </c>
      <c r="F586" s="17">
        <v>5.05154726E8</v>
      </c>
      <c r="G586" s="195" t="s">
        <v>41</v>
      </c>
      <c r="H586" s="413" t="s">
        <v>329</v>
      </c>
      <c r="I586" s="414" t="s">
        <v>6401</v>
      </c>
      <c r="J586" s="415" t="s">
        <v>6402</v>
      </c>
      <c r="K586" s="13" t="s">
        <v>148</v>
      </c>
      <c r="L586" s="193"/>
      <c r="M586" s="384" t="s">
        <v>55</v>
      </c>
      <c r="N586" s="384"/>
      <c r="O586" s="193" t="s">
        <v>40</v>
      </c>
      <c r="P586" s="383"/>
      <c r="Q586" s="139" t="s">
        <v>4074</v>
      </c>
      <c r="R586" s="139" t="s">
        <v>46</v>
      </c>
      <c r="S586" s="140"/>
      <c r="T586" s="108"/>
    </row>
    <row r="587" ht="31.5" hidden="1" customHeight="1">
      <c r="A587" s="193">
        <v>586.0</v>
      </c>
      <c r="B587" s="222">
        <v>46223.0</v>
      </c>
      <c r="C587" s="22" t="s">
        <v>58</v>
      </c>
      <c r="D587" s="13" t="s">
        <v>60</v>
      </c>
      <c r="E587" s="193" t="s">
        <v>27</v>
      </c>
      <c r="F587" s="406">
        <v>5.80270397E8</v>
      </c>
      <c r="G587" s="193" t="s">
        <v>27</v>
      </c>
      <c r="H587" s="193" t="s">
        <v>27</v>
      </c>
      <c r="I587" s="416" t="s">
        <v>6405</v>
      </c>
      <c r="J587" s="402"/>
      <c r="K587" s="13" t="s">
        <v>36</v>
      </c>
      <c r="L587" s="193"/>
      <c r="M587" s="384" t="s">
        <v>88</v>
      </c>
      <c r="N587" s="384"/>
      <c r="O587" s="383"/>
      <c r="P587" s="383"/>
      <c r="Q587" s="139" t="s">
        <v>4074</v>
      </c>
      <c r="R587" s="395"/>
      <c r="S587" s="223"/>
      <c r="T587" s="108"/>
    </row>
    <row r="588" ht="31.5" hidden="1" customHeight="1">
      <c r="A588" s="193">
        <v>587.0</v>
      </c>
      <c r="B588" s="222">
        <v>46223.0</v>
      </c>
      <c r="C588" s="22" t="s">
        <v>58</v>
      </c>
      <c r="D588" s="13" t="s">
        <v>60</v>
      </c>
      <c r="E588" s="193" t="s">
        <v>27</v>
      </c>
      <c r="F588" s="406">
        <v>5.33155411E8</v>
      </c>
      <c r="G588" s="193" t="s">
        <v>27</v>
      </c>
      <c r="H588" s="193" t="s">
        <v>27</v>
      </c>
      <c r="I588" s="417" t="s">
        <v>6406</v>
      </c>
      <c r="J588" s="402"/>
      <c r="K588" s="13" t="s">
        <v>36</v>
      </c>
      <c r="L588" s="193"/>
      <c r="M588" s="384" t="s">
        <v>88</v>
      </c>
      <c r="N588" s="384"/>
      <c r="O588" s="383"/>
      <c r="P588" s="383"/>
      <c r="Q588" s="139" t="s">
        <v>4074</v>
      </c>
      <c r="R588" s="395"/>
      <c r="S588" s="223"/>
      <c r="T588" s="108"/>
    </row>
    <row r="589" ht="31.5" hidden="1" customHeight="1">
      <c r="A589" s="193">
        <v>588.0</v>
      </c>
      <c r="B589" s="222">
        <v>46223.0</v>
      </c>
      <c r="C589" s="408" t="s">
        <v>21</v>
      </c>
      <c r="D589" s="409" t="s">
        <v>24</v>
      </c>
      <c r="E589" s="31" t="s">
        <v>6408</v>
      </c>
      <c r="F589" s="406">
        <v>5.49249649E8</v>
      </c>
      <c r="G589" s="195" t="s">
        <v>71</v>
      </c>
      <c r="H589" s="22" t="s">
        <v>6410</v>
      </c>
      <c r="I589" s="31" t="s">
        <v>6411</v>
      </c>
      <c r="J589" s="402"/>
      <c r="K589" s="412" t="s">
        <v>36</v>
      </c>
      <c r="L589" s="193"/>
      <c r="M589" s="384" t="s">
        <v>38</v>
      </c>
      <c r="N589" s="384"/>
      <c r="O589" s="383"/>
      <c r="P589" s="383"/>
      <c r="Q589" s="139" t="s">
        <v>4074</v>
      </c>
      <c r="R589" s="395"/>
      <c r="S589" s="223"/>
      <c r="T589" s="108"/>
    </row>
    <row r="590" ht="31.5" hidden="1" customHeight="1">
      <c r="A590" s="193">
        <v>589.0</v>
      </c>
      <c r="B590" s="222">
        <v>46223.0</v>
      </c>
      <c r="C590" s="408" t="s">
        <v>47</v>
      </c>
      <c r="D590" s="409" t="s">
        <v>138</v>
      </c>
      <c r="E590" s="31" t="s">
        <v>202</v>
      </c>
      <c r="F590" s="406">
        <v>5.55521227E8</v>
      </c>
      <c r="G590" s="195" t="s">
        <v>41</v>
      </c>
      <c r="H590" s="22" t="s">
        <v>577</v>
      </c>
      <c r="I590" s="31" t="s">
        <v>6415</v>
      </c>
      <c r="J590" s="402"/>
      <c r="K590" s="412" t="s">
        <v>148</v>
      </c>
      <c r="L590" s="193"/>
      <c r="M590" s="384" t="s">
        <v>55</v>
      </c>
      <c r="N590" s="384"/>
      <c r="O590" s="193" t="s">
        <v>40</v>
      </c>
      <c r="P590" s="383"/>
      <c r="Q590" s="139" t="s">
        <v>4074</v>
      </c>
      <c r="R590" s="395" t="s">
        <v>46</v>
      </c>
      <c r="S590" s="223"/>
      <c r="T590" s="108"/>
    </row>
    <row r="591" ht="31.5" hidden="1" customHeight="1">
      <c r="A591" s="193">
        <v>590.0</v>
      </c>
      <c r="B591" s="222">
        <v>46223.0</v>
      </c>
      <c r="C591" s="22" t="s">
        <v>47</v>
      </c>
      <c r="D591" s="13" t="s">
        <v>48</v>
      </c>
      <c r="E591" s="31" t="s">
        <v>4673</v>
      </c>
      <c r="F591" s="418">
        <v>5.65761109E8</v>
      </c>
      <c r="G591" s="195" t="s">
        <v>41</v>
      </c>
      <c r="H591" s="22" t="s">
        <v>6417</v>
      </c>
      <c r="I591" s="31" t="s">
        <v>6418</v>
      </c>
      <c r="J591" s="402"/>
      <c r="K591" s="13" t="s">
        <v>148</v>
      </c>
      <c r="L591" s="193" t="s">
        <v>42</v>
      </c>
      <c r="M591" s="225" t="s">
        <v>101</v>
      </c>
      <c r="N591" s="225"/>
      <c r="O591" s="193" t="s">
        <v>40</v>
      </c>
      <c r="P591" s="383"/>
      <c r="Q591" s="139" t="s">
        <v>4074</v>
      </c>
      <c r="R591" s="395" t="s">
        <v>46</v>
      </c>
      <c r="S591" s="223"/>
      <c r="T591" s="108"/>
    </row>
    <row r="592" ht="31.5" hidden="1" customHeight="1">
      <c r="A592" s="193">
        <v>591.0</v>
      </c>
      <c r="B592" s="222">
        <v>46223.0</v>
      </c>
      <c r="C592" s="22" t="s">
        <v>58</v>
      </c>
      <c r="D592" s="13" t="s">
        <v>34</v>
      </c>
      <c r="E592" s="22" t="s">
        <v>27</v>
      </c>
      <c r="F592" s="419">
        <v>5.61066668E8</v>
      </c>
      <c r="G592" s="406" t="s">
        <v>27</v>
      </c>
      <c r="H592" s="22" t="s">
        <v>27</v>
      </c>
      <c r="I592" s="31" t="s">
        <v>6423</v>
      </c>
      <c r="J592" s="402"/>
      <c r="K592" s="13" t="s">
        <v>36</v>
      </c>
      <c r="L592" s="193"/>
      <c r="M592" s="384" t="s">
        <v>88</v>
      </c>
      <c r="N592" s="384"/>
      <c r="O592" s="383"/>
      <c r="P592" s="383"/>
      <c r="Q592" s="139" t="s">
        <v>4074</v>
      </c>
      <c r="R592" s="395"/>
      <c r="S592" s="223"/>
      <c r="T592" s="108"/>
    </row>
    <row r="593" ht="48.75" hidden="1" customHeight="1">
      <c r="A593" s="193">
        <v>592.0</v>
      </c>
      <c r="B593" s="222">
        <v>46223.0</v>
      </c>
      <c r="C593" s="22" t="s">
        <v>58</v>
      </c>
      <c r="D593" s="13" t="s">
        <v>60</v>
      </c>
      <c r="E593" s="31" t="s">
        <v>118</v>
      </c>
      <c r="F593" s="406">
        <v>5.66661579E8</v>
      </c>
      <c r="G593" s="22" t="s">
        <v>27</v>
      </c>
      <c r="H593" s="22" t="s">
        <v>27</v>
      </c>
      <c r="I593" s="31" t="s">
        <v>6424</v>
      </c>
      <c r="J593" s="31" t="s">
        <v>6425</v>
      </c>
      <c r="K593" s="13" t="s">
        <v>65</v>
      </c>
      <c r="L593" s="193"/>
      <c r="M593" s="384" t="s">
        <v>88</v>
      </c>
      <c r="N593" s="384"/>
      <c r="O593" s="383"/>
      <c r="P593" s="383"/>
      <c r="Q593" s="139" t="s">
        <v>4074</v>
      </c>
      <c r="R593" s="395"/>
      <c r="S593" s="223"/>
      <c r="T593" s="108"/>
    </row>
    <row r="594" ht="31.5" hidden="1" customHeight="1">
      <c r="A594" s="193">
        <v>593.0</v>
      </c>
      <c r="B594" s="222">
        <v>46223.0</v>
      </c>
      <c r="C594" s="22" t="s">
        <v>21</v>
      </c>
      <c r="D594" s="13" t="s">
        <v>24</v>
      </c>
      <c r="E594" s="31" t="s">
        <v>6428</v>
      </c>
      <c r="F594" s="406">
        <v>5.58256254E8</v>
      </c>
      <c r="G594" s="22" t="s">
        <v>27</v>
      </c>
      <c r="H594" s="22" t="s">
        <v>27</v>
      </c>
      <c r="I594" s="403" t="s">
        <v>6429</v>
      </c>
      <c r="J594" s="402"/>
      <c r="K594" s="13" t="s">
        <v>62</v>
      </c>
      <c r="L594" s="193"/>
      <c r="M594" s="384" t="s">
        <v>38</v>
      </c>
      <c r="N594" s="384"/>
      <c r="O594" s="383"/>
      <c r="P594" s="383"/>
      <c r="Q594" s="139" t="s">
        <v>4074</v>
      </c>
      <c r="R594" s="383"/>
      <c r="S594" s="223"/>
      <c r="T594" s="108"/>
    </row>
    <row r="595" ht="31.5" hidden="1" customHeight="1">
      <c r="A595" s="193">
        <v>594.0</v>
      </c>
      <c r="B595" s="222">
        <v>46223.0</v>
      </c>
      <c r="C595" s="22" t="s">
        <v>58</v>
      </c>
      <c r="D595" s="13" t="s">
        <v>60</v>
      </c>
      <c r="E595" s="22" t="s">
        <v>27</v>
      </c>
      <c r="F595" s="412">
        <v>5.00552217E8</v>
      </c>
      <c r="G595" s="31" t="s">
        <v>495</v>
      </c>
      <c r="H595" s="22" t="s">
        <v>27</v>
      </c>
      <c r="I595" s="31" t="s">
        <v>6430</v>
      </c>
      <c r="J595" s="402"/>
      <c r="K595" s="13" t="s">
        <v>62</v>
      </c>
      <c r="L595" s="193"/>
      <c r="M595" s="384" t="s">
        <v>88</v>
      </c>
      <c r="N595" s="384"/>
      <c r="O595" s="383"/>
      <c r="P595" s="383"/>
      <c r="Q595" s="139" t="s">
        <v>4074</v>
      </c>
      <c r="R595" s="383"/>
      <c r="S595" s="223"/>
      <c r="T595" s="108"/>
    </row>
    <row r="596" ht="31.5" hidden="1" customHeight="1">
      <c r="A596" s="193">
        <v>595.0</v>
      </c>
      <c r="B596" s="222">
        <v>46223.0</v>
      </c>
      <c r="C596" s="22" t="s">
        <v>58</v>
      </c>
      <c r="D596" s="13" t="s">
        <v>60</v>
      </c>
      <c r="E596" s="193" t="s">
        <v>27</v>
      </c>
      <c r="F596" s="406">
        <v>5.11745119E8</v>
      </c>
      <c r="G596" s="193" t="s">
        <v>27</v>
      </c>
      <c r="H596" s="193" t="s">
        <v>27</v>
      </c>
      <c r="I596" s="113" t="s">
        <v>6432</v>
      </c>
      <c r="J596" s="402"/>
      <c r="K596" s="13" t="s">
        <v>36</v>
      </c>
      <c r="L596" s="193"/>
      <c r="M596" s="384" t="s">
        <v>88</v>
      </c>
      <c r="N596" s="384"/>
      <c r="O596" s="383"/>
      <c r="P596" s="383"/>
      <c r="Q596" s="139" t="s">
        <v>4074</v>
      </c>
      <c r="R596" s="383"/>
      <c r="S596" s="223"/>
      <c r="T596" s="108"/>
    </row>
    <row r="597" ht="31.5" hidden="1" customHeight="1">
      <c r="A597" s="193">
        <v>596.0</v>
      </c>
      <c r="B597" s="222">
        <v>46223.0</v>
      </c>
      <c r="C597" s="22" t="s">
        <v>47</v>
      </c>
      <c r="D597" s="13" t="s">
        <v>92</v>
      </c>
      <c r="E597" s="22" t="s">
        <v>27</v>
      </c>
      <c r="F597" s="406">
        <v>5.60029329E8</v>
      </c>
      <c r="G597" s="31" t="s">
        <v>6433</v>
      </c>
      <c r="H597" s="22" t="s">
        <v>6434</v>
      </c>
      <c r="I597" s="31" t="s">
        <v>6435</v>
      </c>
      <c r="J597" s="402"/>
      <c r="K597" s="13" t="s">
        <v>36</v>
      </c>
      <c r="L597" s="193"/>
      <c r="M597" s="384" t="s">
        <v>55</v>
      </c>
      <c r="N597" s="384"/>
      <c r="O597" s="193" t="s">
        <v>40</v>
      </c>
      <c r="P597" s="383"/>
      <c r="Q597" s="139" t="s">
        <v>4074</v>
      </c>
      <c r="R597" s="395" t="s">
        <v>46</v>
      </c>
      <c r="S597" s="223"/>
      <c r="T597" s="108"/>
    </row>
    <row r="598" ht="81.0" hidden="1" customHeight="1">
      <c r="A598" s="193">
        <v>597.0</v>
      </c>
      <c r="B598" s="222">
        <v>46223.0</v>
      </c>
      <c r="C598" s="22" t="s">
        <v>47</v>
      </c>
      <c r="D598" s="13" t="s">
        <v>92</v>
      </c>
      <c r="E598" s="31" t="s">
        <v>6439</v>
      </c>
      <c r="F598" s="406">
        <v>5.08422601E8</v>
      </c>
      <c r="G598" s="31" t="s">
        <v>152</v>
      </c>
      <c r="H598" s="193" t="s">
        <v>27</v>
      </c>
      <c r="I598" s="31" t="s">
        <v>6440</v>
      </c>
      <c r="J598" s="415"/>
      <c r="K598" s="13" t="s">
        <v>36</v>
      </c>
      <c r="L598" s="193"/>
      <c r="M598" s="384" t="s">
        <v>55</v>
      </c>
      <c r="N598" s="384"/>
      <c r="O598" s="193" t="s">
        <v>40</v>
      </c>
      <c r="P598" s="383"/>
      <c r="Q598" s="139" t="s">
        <v>4074</v>
      </c>
      <c r="R598" s="395" t="s">
        <v>46</v>
      </c>
      <c r="S598" s="223"/>
      <c r="T598" s="108"/>
    </row>
    <row r="599" ht="31.5" hidden="1" customHeight="1">
      <c r="A599" s="193">
        <v>598.0</v>
      </c>
      <c r="B599" s="222">
        <v>46223.0</v>
      </c>
      <c r="C599" s="17" t="s">
        <v>21</v>
      </c>
      <c r="D599" s="13" t="s">
        <v>66</v>
      </c>
      <c r="E599" s="17" t="s">
        <v>27</v>
      </c>
      <c r="F599" s="406">
        <v>5.5697387E8</v>
      </c>
      <c r="G599" s="17" t="s">
        <v>27</v>
      </c>
      <c r="H599" s="17" t="s">
        <v>27</v>
      </c>
      <c r="I599" s="24" t="s">
        <v>6444</v>
      </c>
      <c r="J599" s="24" t="s">
        <v>6445</v>
      </c>
      <c r="K599" s="13" t="s">
        <v>36</v>
      </c>
      <c r="L599" s="193"/>
      <c r="M599" s="225" t="s">
        <v>208</v>
      </c>
      <c r="N599" s="225"/>
      <c r="O599" s="223"/>
      <c r="P599" s="223"/>
      <c r="Q599" s="254" t="s">
        <v>49</v>
      </c>
      <c r="R599" s="223"/>
      <c r="S599" s="223"/>
      <c r="T599" s="110"/>
    </row>
    <row r="600" ht="31.5" hidden="1" customHeight="1">
      <c r="A600" s="193">
        <v>599.0</v>
      </c>
      <c r="B600" s="222">
        <v>46223.0</v>
      </c>
      <c r="C600" s="22" t="s">
        <v>21</v>
      </c>
      <c r="D600" s="13" t="s">
        <v>66</v>
      </c>
      <c r="E600" s="31" t="s">
        <v>449</v>
      </c>
      <c r="F600" s="406">
        <v>5.39777385E8</v>
      </c>
      <c r="G600" s="22" t="s">
        <v>27</v>
      </c>
      <c r="H600" s="22" t="s">
        <v>27</v>
      </c>
      <c r="I600" s="410" t="s">
        <v>6446</v>
      </c>
      <c r="J600" s="31"/>
      <c r="K600" s="13" t="s">
        <v>36</v>
      </c>
      <c r="L600" s="193"/>
      <c r="M600" s="384" t="s">
        <v>38</v>
      </c>
      <c r="N600" s="384"/>
      <c r="O600" s="383"/>
      <c r="P600" s="383"/>
      <c r="Q600" s="139" t="s">
        <v>4074</v>
      </c>
      <c r="R600" s="383"/>
      <c r="S600" s="223"/>
      <c r="T600" s="108"/>
    </row>
    <row r="601" ht="31.5" hidden="1" customHeight="1">
      <c r="A601" s="193">
        <v>600.0</v>
      </c>
      <c r="B601" s="222">
        <v>46223.0</v>
      </c>
      <c r="C601" s="22" t="s">
        <v>21</v>
      </c>
      <c r="D601" s="13" t="s">
        <v>24</v>
      </c>
      <c r="E601" s="31" t="s">
        <v>6448</v>
      </c>
      <c r="F601" s="406">
        <v>5.43709299E8</v>
      </c>
      <c r="G601" s="22" t="s">
        <v>27</v>
      </c>
      <c r="H601" s="22" t="s">
        <v>27</v>
      </c>
      <c r="I601" s="410" t="s">
        <v>6449</v>
      </c>
      <c r="J601" s="402"/>
      <c r="K601" s="13" t="s">
        <v>36</v>
      </c>
      <c r="L601" s="193"/>
      <c r="M601" s="384" t="s">
        <v>38</v>
      </c>
      <c r="N601" s="384"/>
      <c r="O601" s="383"/>
      <c r="P601" s="383"/>
      <c r="Q601" s="139" t="s">
        <v>4074</v>
      </c>
      <c r="R601" s="383"/>
      <c r="S601" s="223"/>
      <c r="T601" s="108"/>
    </row>
    <row r="602" ht="31.5" hidden="1" customHeight="1">
      <c r="A602" s="193">
        <v>601.0</v>
      </c>
      <c r="B602" s="222">
        <v>46223.0</v>
      </c>
      <c r="C602" s="22" t="s">
        <v>58</v>
      </c>
      <c r="D602" s="13" t="s">
        <v>60</v>
      </c>
      <c r="E602" s="22" t="s">
        <v>27</v>
      </c>
      <c r="F602" s="406">
        <v>5.4555686E8</v>
      </c>
      <c r="G602" s="22" t="s">
        <v>27</v>
      </c>
      <c r="H602" s="22" t="s">
        <v>27</v>
      </c>
      <c r="I602" s="410" t="s">
        <v>6452</v>
      </c>
      <c r="J602" s="402"/>
      <c r="K602" s="13" t="s">
        <v>36</v>
      </c>
      <c r="L602" s="193"/>
      <c r="M602" s="384" t="s">
        <v>88</v>
      </c>
      <c r="N602" s="384"/>
      <c r="O602" s="383"/>
      <c r="P602" s="383"/>
      <c r="Q602" s="139" t="s">
        <v>4074</v>
      </c>
      <c r="R602" s="383"/>
      <c r="S602" s="223"/>
      <c r="T602" s="108"/>
    </row>
    <row r="603" ht="31.5" hidden="1" customHeight="1">
      <c r="A603" s="193">
        <v>602.0</v>
      </c>
      <c r="B603" s="222">
        <v>46223.0</v>
      </c>
      <c r="C603" s="22" t="s">
        <v>3766</v>
      </c>
      <c r="D603" s="13" t="s">
        <v>57</v>
      </c>
      <c r="E603" s="31" t="s">
        <v>6453</v>
      </c>
      <c r="F603" s="406" t="s">
        <v>27</v>
      </c>
      <c r="G603" s="195" t="s">
        <v>41</v>
      </c>
      <c r="H603" s="22" t="s">
        <v>222</v>
      </c>
      <c r="I603" s="403" t="s">
        <v>6454</v>
      </c>
      <c r="J603" s="402"/>
      <c r="K603" s="13" t="s">
        <v>148</v>
      </c>
      <c r="L603" s="193"/>
      <c r="M603" s="384" t="s">
        <v>3776</v>
      </c>
      <c r="N603" s="384"/>
      <c r="O603" s="383"/>
      <c r="P603" s="383"/>
      <c r="Q603" s="139" t="s">
        <v>4074</v>
      </c>
      <c r="R603" s="383"/>
      <c r="S603" s="223"/>
      <c r="T603" s="108"/>
    </row>
    <row r="604" ht="31.5" hidden="1" customHeight="1">
      <c r="A604" s="193">
        <v>603.0</v>
      </c>
      <c r="B604" s="222">
        <v>46223.0</v>
      </c>
      <c r="C604" s="33" t="s">
        <v>47</v>
      </c>
      <c r="D604" s="26" t="s">
        <v>48</v>
      </c>
      <c r="E604" s="98" t="s">
        <v>6457</v>
      </c>
      <c r="F604" s="147">
        <v>5.54470748E8</v>
      </c>
      <c r="G604" s="195" t="s">
        <v>41</v>
      </c>
      <c r="H604" s="33" t="s">
        <v>5436</v>
      </c>
      <c r="I604" s="98" t="s">
        <v>6458</v>
      </c>
      <c r="J604" s="113" t="s">
        <v>6459</v>
      </c>
      <c r="K604" s="26" t="s">
        <v>36</v>
      </c>
      <c r="L604" s="193" t="s">
        <v>518</v>
      </c>
      <c r="M604" s="384" t="s">
        <v>611</v>
      </c>
      <c r="N604" s="384"/>
      <c r="O604" s="193" t="s">
        <v>40</v>
      </c>
      <c r="P604" s="193" t="s">
        <v>3977</v>
      </c>
      <c r="Q604" s="139" t="s">
        <v>4074</v>
      </c>
      <c r="R604" s="395" t="s">
        <v>46</v>
      </c>
      <c r="S604" s="223"/>
      <c r="T604" s="108"/>
    </row>
    <row r="605" ht="31.5" hidden="1" customHeight="1">
      <c r="A605" s="193">
        <v>604.0</v>
      </c>
      <c r="B605" s="222">
        <v>46223.0</v>
      </c>
      <c r="C605" s="33" t="s">
        <v>21</v>
      </c>
      <c r="D605" s="26" t="s">
        <v>22</v>
      </c>
      <c r="E605" s="98" t="s">
        <v>463</v>
      </c>
      <c r="F605" s="147">
        <v>5.41430116E8</v>
      </c>
      <c r="G605" s="98" t="s">
        <v>319</v>
      </c>
      <c r="H605" s="33" t="s">
        <v>27</v>
      </c>
      <c r="I605" s="420" t="s">
        <v>6460</v>
      </c>
      <c r="J605" s="108"/>
      <c r="K605" s="26" t="s">
        <v>36</v>
      </c>
      <c r="L605" s="193"/>
      <c r="M605" s="384" t="s">
        <v>38</v>
      </c>
      <c r="N605" s="384"/>
      <c r="O605" s="383"/>
      <c r="P605" s="383"/>
      <c r="Q605" s="139" t="s">
        <v>49</v>
      </c>
      <c r="R605" s="383"/>
      <c r="S605" s="223"/>
      <c r="T605" s="108"/>
    </row>
    <row r="606" ht="31.5" hidden="1" customHeight="1">
      <c r="A606" s="193">
        <v>605.0</v>
      </c>
      <c r="B606" s="222">
        <v>46223.0</v>
      </c>
      <c r="C606" s="33" t="s">
        <v>21</v>
      </c>
      <c r="D606" s="26" t="s">
        <v>24</v>
      </c>
      <c r="E606" s="98" t="s">
        <v>6463</v>
      </c>
      <c r="F606" s="147">
        <v>5.58523255E8</v>
      </c>
      <c r="G606" s="98" t="s">
        <v>152</v>
      </c>
      <c r="H606" s="33" t="s">
        <v>27</v>
      </c>
      <c r="I606" s="420" t="s">
        <v>6464</v>
      </c>
      <c r="J606" s="108"/>
      <c r="K606" s="26" t="s">
        <v>36</v>
      </c>
      <c r="L606" s="193"/>
      <c r="M606" s="384" t="s">
        <v>38</v>
      </c>
      <c r="N606" s="384"/>
      <c r="O606" s="383"/>
      <c r="P606" s="383"/>
      <c r="Q606" s="139" t="s">
        <v>4074</v>
      </c>
      <c r="R606" s="383"/>
      <c r="S606" s="223"/>
      <c r="T606" s="108"/>
    </row>
    <row r="607" ht="31.5" hidden="1" customHeight="1">
      <c r="A607" s="193">
        <v>606.0</v>
      </c>
      <c r="B607" s="222">
        <v>46223.0</v>
      </c>
      <c r="C607" s="33" t="s">
        <v>21</v>
      </c>
      <c r="D607" s="26" t="s">
        <v>24</v>
      </c>
      <c r="E607" s="98" t="s">
        <v>6466</v>
      </c>
      <c r="F607" s="147">
        <v>5.66111924E8</v>
      </c>
      <c r="G607" s="33" t="s">
        <v>27</v>
      </c>
      <c r="H607" s="33" t="s">
        <v>27</v>
      </c>
      <c r="I607" s="113" t="s">
        <v>6468</v>
      </c>
      <c r="J607" s="108"/>
      <c r="K607" s="26" t="s">
        <v>62</v>
      </c>
      <c r="L607" s="193"/>
      <c r="M607" s="384" t="s">
        <v>38</v>
      </c>
      <c r="N607" s="384"/>
      <c r="O607" s="383"/>
      <c r="P607" s="383"/>
      <c r="Q607" s="139" t="s">
        <v>4074</v>
      </c>
      <c r="R607" s="383"/>
      <c r="S607" s="223"/>
      <c r="T607" s="108"/>
    </row>
    <row r="608" ht="31.5" hidden="1" customHeight="1">
      <c r="A608" s="193">
        <v>607.0</v>
      </c>
      <c r="B608" s="222">
        <v>46223.0</v>
      </c>
      <c r="C608" s="33" t="s">
        <v>58</v>
      </c>
      <c r="D608" s="26" t="s">
        <v>60</v>
      </c>
      <c r="E608" s="33" t="s">
        <v>27</v>
      </c>
      <c r="F608" s="147">
        <v>5.32555769E8</v>
      </c>
      <c r="G608" s="33" t="s">
        <v>27</v>
      </c>
      <c r="H608" s="33" t="s">
        <v>27</v>
      </c>
      <c r="I608" s="113" t="s">
        <v>6469</v>
      </c>
      <c r="J608" s="108"/>
      <c r="K608" s="26" t="s">
        <v>36</v>
      </c>
      <c r="L608" s="193"/>
      <c r="M608" s="384" t="s">
        <v>88</v>
      </c>
      <c r="N608" s="384"/>
      <c r="O608" s="383"/>
      <c r="P608" s="383"/>
      <c r="Q608" s="139" t="s">
        <v>4074</v>
      </c>
      <c r="R608" s="383"/>
      <c r="S608" s="223"/>
      <c r="T608" s="108"/>
    </row>
    <row r="609" ht="31.5" hidden="1" customHeight="1">
      <c r="A609" s="193">
        <v>608.0</v>
      </c>
      <c r="B609" s="222">
        <v>46223.0</v>
      </c>
      <c r="C609" s="33" t="s">
        <v>21</v>
      </c>
      <c r="D609" s="26" t="s">
        <v>22</v>
      </c>
      <c r="E609" s="98" t="s">
        <v>6472</v>
      </c>
      <c r="F609" s="137">
        <v>5.80994E8</v>
      </c>
      <c r="G609" s="98" t="s">
        <v>6143</v>
      </c>
      <c r="H609" s="193" t="s">
        <v>27</v>
      </c>
      <c r="I609" s="113" t="s">
        <v>6473</v>
      </c>
      <c r="J609" s="108"/>
      <c r="K609" s="26" t="s">
        <v>36</v>
      </c>
      <c r="L609" s="193"/>
      <c r="M609" s="384" t="s">
        <v>38</v>
      </c>
      <c r="N609" s="384"/>
      <c r="O609" s="383"/>
      <c r="P609" s="383"/>
      <c r="Q609" s="139" t="s">
        <v>4074</v>
      </c>
      <c r="R609" s="383"/>
      <c r="S609" s="223"/>
      <c r="T609" s="108"/>
    </row>
    <row r="610" ht="31.5" hidden="1" customHeight="1">
      <c r="A610" s="193">
        <v>609.0</v>
      </c>
      <c r="B610" s="222">
        <v>46223.0</v>
      </c>
      <c r="C610" s="33" t="s">
        <v>58</v>
      </c>
      <c r="D610" s="26" t="s">
        <v>60</v>
      </c>
      <c r="E610" s="33" t="s">
        <v>27</v>
      </c>
      <c r="F610" s="147">
        <v>5.69919524E8</v>
      </c>
      <c r="G610" s="33" t="s">
        <v>27</v>
      </c>
      <c r="H610" s="33" t="s">
        <v>27</v>
      </c>
      <c r="I610" s="113" t="s">
        <v>6475</v>
      </c>
      <c r="J610" s="383"/>
      <c r="K610" s="193" t="s">
        <v>36</v>
      </c>
      <c r="L610" s="193"/>
      <c r="M610" s="384" t="s">
        <v>88</v>
      </c>
      <c r="N610" s="384"/>
      <c r="O610" s="383"/>
      <c r="P610" s="383"/>
      <c r="Q610" s="139" t="s">
        <v>4074</v>
      </c>
      <c r="R610" s="383"/>
      <c r="S610" s="223"/>
      <c r="T610" s="108"/>
    </row>
    <row r="611" ht="31.5" hidden="1" customHeight="1">
      <c r="A611" s="193">
        <v>610.0</v>
      </c>
      <c r="B611" s="222">
        <v>46223.0</v>
      </c>
      <c r="C611" s="39" t="s">
        <v>58</v>
      </c>
      <c r="D611" s="26" t="s">
        <v>34</v>
      </c>
      <c r="E611" s="39" t="s">
        <v>27</v>
      </c>
      <c r="F611" s="147">
        <v>5.93881334E8</v>
      </c>
      <c r="G611" s="193" t="s">
        <v>27</v>
      </c>
      <c r="H611" s="193" t="s">
        <v>27</v>
      </c>
      <c r="I611" s="117" t="s">
        <v>6478</v>
      </c>
      <c r="J611" s="223"/>
      <c r="K611" s="193" t="s">
        <v>36</v>
      </c>
      <c r="L611" s="193"/>
      <c r="M611" s="225" t="s">
        <v>88</v>
      </c>
      <c r="N611" s="225"/>
      <c r="O611" s="223"/>
      <c r="P611" s="223"/>
      <c r="Q611" s="139" t="s">
        <v>4074</v>
      </c>
      <c r="R611" s="223"/>
      <c r="S611" s="223"/>
      <c r="T611" s="110"/>
    </row>
    <row r="612" ht="31.5" hidden="1" customHeight="1">
      <c r="A612" s="193">
        <v>611.0</v>
      </c>
      <c r="B612" s="222">
        <v>46223.0</v>
      </c>
      <c r="C612" s="39" t="s">
        <v>58</v>
      </c>
      <c r="D612" s="26" t="s">
        <v>153</v>
      </c>
      <c r="E612" s="193" t="s">
        <v>27</v>
      </c>
      <c r="F612" s="147">
        <v>1.12735303E8</v>
      </c>
      <c r="G612" s="193" t="s">
        <v>27</v>
      </c>
      <c r="H612" s="193" t="s">
        <v>27</v>
      </c>
      <c r="I612" s="113" t="s">
        <v>6480</v>
      </c>
      <c r="J612" s="223"/>
      <c r="K612" s="193" t="s">
        <v>36</v>
      </c>
      <c r="L612" s="193"/>
      <c r="M612" s="225" t="s">
        <v>88</v>
      </c>
      <c r="N612" s="225"/>
      <c r="O612" s="223"/>
      <c r="P612" s="223"/>
      <c r="Q612" s="139" t="s">
        <v>4074</v>
      </c>
      <c r="R612" s="223"/>
      <c r="S612" s="223"/>
      <c r="T612" s="110"/>
    </row>
    <row r="613" ht="31.5" hidden="1" customHeight="1">
      <c r="A613" s="193">
        <v>612.0</v>
      </c>
      <c r="B613" s="222">
        <v>46223.0</v>
      </c>
      <c r="C613" s="39" t="s">
        <v>21</v>
      </c>
      <c r="D613" s="26" t="s">
        <v>66</v>
      </c>
      <c r="E613" s="30" t="s">
        <v>6482</v>
      </c>
      <c r="F613" s="421">
        <v>5.05367834E8</v>
      </c>
      <c r="G613" s="39" t="s">
        <v>27</v>
      </c>
      <c r="H613" s="39" t="s">
        <v>27</v>
      </c>
      <c r="I613" s="117" t="s">
        <v>6483</v>
      </c>
      <c r="J613" s="223"/>
      <c r="K613" s="193" t="s">
        <v>62</v>
      </c>
      <c r="L613" s="193"/>
      <c r="M613" s="225" t="s">
        <v>38</v>
      </c>
      <c r="N613" s="225"/>
      <c r="O613" s="223"/>
      <c r="P613" s="223"/>
      <c r="Q613" s="139" t="s">
        <v>4074</v>
      </c>
      <c r="R613" s="223"/>
      <c r="S613" s="223"/>
      <c r="T613" s="110"/>
    </row>
    <row r="614" ht="31.5" hidden="1" customHeight="1">
      <c r="A614" s="193">
        <v>613.0</v>
      </c>
      <c r="B614" s="222">
        <v>46223.0</v>
      </c>
      <c r="C614" s="39" t="s">
        <v>58</v>
      </c>
      <c r="D614" s="26" t="s">
        <v>60</v>
      </c>
      <c r="E614" s="193" t="s">
        <v>27</v>
      </c>
      <c r="F614" s="147">
        <v>5.47935244E8</v>
      </c>
      <c r="G614" s="193" t="s">
        <v>27</v>
      </c>
      <c r="H614" s="193" t="s">
        <v>27</v>
      </c>
      <c r="I614" s="117" t="s">
        <v>6486</v>
      </c>
      <c r="J614" s="223"/>
      <c r="K614" s="193" t="s">
        <v>36</v>
      </c>
      <c r="L614" s="193"/>
      <c r="M614" s="225" t="s">
        <v>88</v>
      </c>
      <c r="N614" s="225"/>
      <c r="O614" s="223"/>
      <c r="P614" s="223"/>
      <c r="Q614" s="139" t="s">
        <v>4074</v>
      </c>
      <c r="R614" s="223"/>
      <c r="S614" s="223"/>
      <c r="T614" s="110"/>
    </row>
    <row r="615" ht="47.25" hidden="1" customHeight="1">
      <c r="A615" s="193">
        <v>614.0</v>
      </c>
      <c r="B615" s="222">
        <v>46224.0</v>
      </c>
      <c r="C615" s="39" t="s">
        <v>21</v>
      </c>
      <c r="D615" s="26" t="s">
        <v>24</v>
      </c>
      <c r="E615" s="30" t="s">
        <v>6487</v>
      </c>
      <c r="F615" s="147">
        <v>5.83422591E8</v>
      </c>
      <c r="G615" s="30" t="s">
        <v>362</v>
      </c>
      <c r="H615" s="193" t="s">
        <v>27</v>
      </c>
      <c r="I615" s="117" t="s">
        <v>6488</v>
      </c>
      <c r="J615" s="223"/>
      <c r="K615" s="193" t="s">
        <v>62</v>
      </c>
      <c r="L615" s="193"/>
      <c r="M615" s="225" t="s">
        <v>38</v>
      </c>
      <c r="N615" s="225"/>
      <c r="O615" s="223"/>
      <c r="P615" s="223"/>
      <c r="Q615" s="139" t="s">
        <v>44</v>
      </c>
      <c r="R615" s="223"/>
      <c r="S615" s="223"/>
      <c r="T615" s="110"/>
    </row>
    <row r="616" ht="31.5" hidden="1" customHeight="1">
      <c r="A616" s="193">
        <v>615.0</v>
      </c>
      <c r="B616" s="222">
        <v>46224.0</v>
      </c>
      <c r="C616" s="39" t="s">
        <v>58</v>
      </c>
      <c r="D616" s="26" t="s">
        <v>60</v>
      </c>
      <c r="E616" s="39" t="s">
        <v>6490</v>
      </c>
      <c r="F616" s="147">
        <v>5.54511157E8</v>
      </c>
      <c r="G616" s="195" t="s">
        <v>41</v>
      </c>
      <c r="H616" s="193" t="s">
        <v>27</v>
      </c>
      <c r="I616" s="117" t="s">
        <v>6491</v>
      </c>
      <c r="J616" s="223"/>
      <c r="K616" s="193" t="s">
        <v>62</v>
      </c>
      <c r="L616" s="193"/>
      <c r="M616" s="225" t="s">
        <v>88</v>
      </c>
      <c r="N616" s="225"/>
      <c r="O616" s="223"/>
      <c r="P616" s="223"/>
      <c r="Q616" s="139" t="s">
        <v>44</v>
      </c>
      <c r="R616" s="223"/>
      <c r="S616" s="223"/>
      <c r="T616" s="110"/>
    </row>
    <row r="617" ht="31.5" hidden="1" customHeight="1">
      <c r="A617" s="193">
        <v>616.0</v>
      </c>
      <c r="B617" s="222">
        <v>46224.0</v>
      </c>
      <c r="C617" s="39" t="s">
        <v>58</v>
      </c>
      <c r="D617" s="26" t="s">
        <v>60</v>
      </c>
      <c r="E617" s="39" t="s">
        <v>27</v>
      </c>
      <c r="F617" s="147">
        <v>5.32359302E8</v>
      </c>
      <c r="G617" s="39" t="s">
        <v>27</v>
      </c>
      <c r="H617" s="39" t="s">
        <v>27</v>
      </c>
      <c r="I617" s="117" t="s">
        <v>6494</v>
      </c>
      <c r="J617" s="223"/>
      <c r="K617" s="193" t="s">
        <v>62</v>
      </c>
      <c r="L617" s="193"/>
      <c r="M617" s="225" t="s">
        <v>88</v>
      </c>
      <c r="N617" s="225"/>
      <c r="O617" s="223"/>
      <c r="P617" s="223"/>
      <c r="Q617" s="139" t="s">
        <v>44</v>
      </c>
      <c r="R617" s="223"/>
      <c r="S617" s="223"/>
      <c r="T617" s="110"/>
    </row>
    <row r="618" ht="31.5" hidden="1" customHeight="1">
      <c r="A618" s="193">
        <v>617.0</v>
      </c>
      <c r="B618" s="222">
        <v>46224.0</v>
      </c>
      <c r="C618" s="39" t="s">
        <v>58</v>
      </c>
      <c r="D618" s="26" t="s">
        <v>60</v>
      </c>
      <c r="E618" s="39" t="s">
        <v>27</v>
      </c>
      <c r="F618" s="147">
        <v>5.53442964E8</v>
      </c>
      <c r="G618" s="39" t="s">
        <v>27</v>
      </c>
      <c r="H618" s="39" t="s">
        <v>27</v>
      </c>
      <c r="I618" s="117" t="s">
        <v>6494</v>
      </c>
      <c r="J618" s="223"/>
      <c r="K618" s="193" t="s">
        <v>62</v>
      </c>
      <c r="L618" s="193"/>
      <c r="M618" s="225" t="s">
        <v>88</v>
      </c>
      <c r="N618" s="225"/>
      <c r="O618" s="223"/>
      <c r="P618" s="223"/>
      <c r="Q618" s="139" t="s">
        <v>44</v>
      </c>
      <c r="R618" s="223"/>
      <c r="S618" s="223"/>
      <c r="T618" s="110"/>
    </row>
    <row r="619" ht="31.5" hidden="1" customHeight="1">
      <c r="A619" s="193">
        <v>618.0</v>
      </c>
      <c r="B619" s="222">
        <v>46224.0</v>
      </c>
      <c r="C619" s="39" t="s">
        <v>58</v>
      </c>
      <c r="D619" s="26" t="s">
        <v>60</v>
      </c>
      <c r="E619" s="39" t="s">
        <v>27</v>
      </c>
      <c r="F619" s="147">
        <v>5.6607963E8</v>
      </c>
      <c r="G619" s="39" t="s">
        <v>27</v>
      </c>
      <c r="H619" s="39" t="s">
        <v>27</v>
      </c>
      <c r="I619" s="117" t="s">
        <v>6494</v>
      </c>
      <c r="J619" s="223"/>
      <c r="K619" s="193" t="s">
        <v>62</v>
      </c>
      <c r="L619" s="193"/>
      <c r="M619" s="225" t="s">
        <v>88</v>
      </c>
      <c r="N619" s="225"/>
      <c r="O619" s="223"/>
      <c r="P619" s="223"/>
      <c r="Q619" s="139" t="s">
        <v>44</v>
      </c>
      <c r="R619" s="223"/>
      <c r="S619" s="223"/>
      <c r="T619" s="110"/>
    </row>
    <row r="620" ht="31.5" hidden="1" customHeight="1">
      <c r="A620" s="193">
        <v>619.0</v>
      </c>
      <c r="B620" s="222">
        <v>46224.0</v>
      </c>
      <c r="C620" s="39" t="s">
        <v>58</v>
      </c>
      <c r="D620" s="26" t="s">
        <v>60</v>
      </c>
      <c r="E620" s="39" t="s">
        <v>27</v>
      </c>
      <c r="F620" s="147">
        <v>5.52496351E8</v>
      </c>
      <c r="G620" s="39" t="s">
        <v>27</v>
      </c>
      <c r="H620" s="39" t="s">
        <v>27</v>
      </c>
      <c r="I620" s="117" t="s">
        <v>6494</v>
      </c>
      <c r="J620" s="223"/>
      <c r="K620" s="193" t="s">
        <v>62</v>
      </c>
      <c r="L620" s="193"/>
      <c r="M620" s="225" t="s">
        <v>88</v>
      </c>
      <c r="N620" s="225"/>
      <c r="O620" s="223"/>
      <c r="P620" s="223"/>
      <c r="Q620" s="139" t="s">
        <v>44</v>
      </c>
      <c r="R620" s="223"/>
      <c r="S620" s="223"/>
      <c r="T620" s="110"/>
    </row>
    <row r="621" ht="31.5" hidden="1" customHeight="1">
      <c r="A621" s="193">
        <v>620.0</v>
      </c>
      <c r="B621" s="222">
        <v>46224.0</v>
      </c>
      <c r="C621" s="39" t="s">
        <v>58</v>
      </c>
      <c r="D621" s="26" t="s">
        <v>60</v>
      </c>
      <c r="E621" s="30" t="s">
        <v>1313</v>
      </c>
      <c r="F621" s="147">
        <v>5.00368693E8</v>
      </c>
      <c r="G621" s="39" t="s">
        <v>27</v>
      </c>
      <c r="H621" s="39" t="s">
        <v>27</v>
      </c>
      <c r="I621" s="117" t="s">
        <v>6494</v>
      </c>
      <c r="J621" s="223"/>
      <c r="K621" s="193" t="s">
        <v>62</v>
      </c>
      <c r="L621" s="193"/>
      <c r="M621" s="225" t="s">
        <v>88</v>
      </c>
      <c r="N621" s="225"/>
      <c r="O621" s="223"/>
      <c r="P621" s="223"/>
      <c r="Q621" s="139" t="s">
        <v>44</v>
      </c>
      <c r="R621" s="223"/>
      <c r="S621" s="223"/>
      <c r="T621" s="110"/>
    </row>
    <row r="622" ht="31.5" hidden="1" customHeight="1">
      <c r="A622" s="193">
        <v>621.0</v>
      </c>
      <c r="B622" s="222">
        <v>46224.0</v>
      </c>
      <c r="C622" s="39" t="s">
        <v>47</v>
      </c>
      <c r="D622" s="26" t="s">
        <v>367</v>
      </c>
      <c r="E622" s="30" t="s">
        <v>6502</v>
      </c>
      <c r="F622" s="147">
        <v>5.63460926E8</v>
      </c>
      <c r="G622" s="30" t="s">
        <v>28</v>
      </c>
      <c r="H622" s="33" t="s">
        <v>548</v>
      </c>
      <c r="I622" s="117" t="s">
        <v>6503</v>
      </c>
      <c r="J622" s="225" t="s">
        <v>6504</v>
      </c>
      <c r="K622" s="193" t="s">
        <v>148</v>
      </c>
      <c r="L622" s="193"/>
      <c r="M622" s="225" t="s">
        <v>3759</v>
      </c>
      <c r="N622" s="225"/>
      <c r="O622" s="193" t="s">
        <v>40</v>
      </c>
      <c r="P622" s="223"/>
      <c r="Q622" s="139" t="s">
        <v>44</v>
      </c>
      <c r="R622" s="390" t="s">
        <v>46</v>
      </c>
      <c r="S622" s="223"/>
      <c r="T622" s="110"/>
    </row>
    <row r="623" ht="50.25" hidden="1" customHeight="1">
      <c r="A623" s="193">
        <v>622.0</v>
      </c>
      <c r="B623" s="222">
        <v>46224.0</v>
      </c>
      <c r="C623" s="39" t="s">
        <v>47</v>
      </c>
      <c r="D623" s="26" t="s">
        <v>138</v>
      </c>
      <c r="E623" s="30" t="s">
        <v>6505</v>
      </c>
      <c r="F623" s="147">
        <v>5.31130973E8</v>
      </c>
      <c r="G623" s="30" t="s">
        <v>79</v>
      </c>
      <c r="H623" s="39" t="s">
        <v>142</v>
      </c>
      <c r="I623" s="117" t="s">
        <v>6507</v>
      </c>
      <c r="J623" s="223"/>
      <c r="K623" s="193" t="s">
        <v>148</v>
      </c>
      <c r="L623" s="193"/>
      <c r="M623" s="225" t="s">
        <v>150</v>
      </c>
      <c r="N623" s="225"/>
      <c r="O623" s="193" t="s">
        <v>40</v>
      </c>
      <c r="P623" s="223"/>
      <c r="Q623" s="139" t="s">
        <v>44</v>
      </c>
      <c r="R623" s="390" t="s">
        <v>46</v>
      </c>
      <c r="S623" s="223"/>
      <c r="T623" s="110"/>
    </row>
    <row r="624" ht="31.5" hidden="1" customHeight="1">
      <c r="A624" s="193">
        <v>623.0</v>
      </c>
      <c r="B624" s="222">
        <v>46224.0</v>
      </c>
      <c r="C624" s="39" t="s">
        <v>47</v>
      </c>
      <c r="D624" s="26" t="s">
        <v>138</v>
      </c>
      <c r="E624" s="30" t="s">
        <v>108</v>
      </c>
      <c r="F624" s="147">
        <v>5.72586288E8</v>
      </c>
      <c r="G624" s="30" t="s">
        <v>79</v>
      </c>
      <c r="H624" s="39" t="s">
        <v>451</v>
      </c>
      <c r="I624" s="117" t="s">
        <v>6508</v>
      </c>
      <c r="J624" s="223"/>
      <c r="K624" s="193" t="s">
        <v>148</v>
      </c>
      <c r="L624" s="193"/>
      <c r="M624" s="225" t="s">
        <v>55</v>
      </c>
      <c r="N624" s="225"/>
      <c r="O624" s="193" t="s">
        <v>40</v>
      </c>
      <c r="P624" s="223"/>
      <c r="Q624" s="139" t="s">
        <v>44</v>
      </c>
      <c r="R624" s="390" t="s">
        <v>46</v>
      </c>
      <c r="S624" s="223"/>
      <c r="T624" s="110"/>
    </row>
    <row r="625" ht="31.5" hidden="1" customHeight="1">
      <c r="A625" s="193">
        <v>624.0</v>
      </c>
      <c r="B625" s="222">
        <v>46224.0</v>
      </c>
      <c r="C625" s="39" t="s">
        <v>58</v>
      </c>
      <c r="D625" s="26" t="s">
        <v>60</v>
      </c>
      <c r="E625" s="422" t="s">
        <v>1137</v>
      </c>
      <c r="F625" s="423">
        <v>5.01231987E8</v>
      </c>
      <c r="G625" s="195" t="s">
        <v>41</v>
      </c>
      <c r="H625" s="193" t="s">
        <v>27</v>
      </c>
      <c r="I625" s="117" t="s">
        <v>6512</v>
      </c>
      <c r="J625" s="223"/>
      <c r="K625" s="193" t="s">
        <v>62</v>
      </c>
      <c r="L625" s="193"/>
      <c r="M625" s="424" t="s">
        <v>88</v>
      </c>
      <c r="N625" s="424"/>
      <c r="O625" s="425"/>
      <c r="P625" s="425"/>
      <c r="Q625" s="139" t="s">
        <v>4074</v>
      </c>
      <c r="R625" s="223"/>
      <c r="S625" s="223"/>
      <c r="T625" s="110"/>
    </row>
    <row r="626" ht="31.5" hidden="1" customHeight="1">
      <c r="A626" s="193">
        <v>625.0</v>
      </c>
      <c r="B626" s="222">
        <v>46224.0</v>
      </c>
      <c r="C626" s="39" t="s">
        <v>21</v>
      </c>
      <c r="D626" s="26" t="s">
        <v>22</v>
      </c>
      <c r="E626" s="30" t="s">
        <v>6515</v>
      </c>
      <c r="F626" s="147">
        <v>5.54680724E8</v>
      </c>
      <c r="G626" s="193" t="s">
        <v>27</v>
      </c>
      <c r="H626" s="193" t="s">
        <v>27</v>
      </c>
      <c r="I626" s="117" t="s">
        <v>6516</v>
      </c>
      <c r="J626" s="223"/>
      <c r="K626" s="193" t="s">
        <v>62</v>
      </c>
      <c r="L626" s="193"/>
      <c r="M626" s="424" t="s">
        <v>38</v>
      </c>
      <c r="N626" s="424"/>
      <c r="O626" s="425"/>
      <c r="P626" s="425"/>
      <c r="Q626" s="139" t="s">
        <v>4074</v>
      </c>
      <c r="R626" s="223"/>
      <c r="S626" s="223"/>
      <c r="T626" s="110"/>
    </row>
    <row r="627" ht="31.5" hidden="1" customHeight="1">
      <c r="A627" s="193">
        <v>626.0</v>
      </c>
      <c r="B627" s="222">
        <v>46224.0</v>
      </c>
      <c r="C627" s="39" t="s">
        <v>58</v>
      </c>
      <c r="D627" s="26" t="s">
        <v>60</v>
      </c>
      <c r="E627" s="193" t="s">
        <v>27</v>
      </c>
      <c r="F627" s="147">
        <v>5.34403883E8</v>
      </c>
      <c r="G627" s="39" t="s">
        <v>27</v>
      </c>
      <c r="H627" s="39" t="s">
        <v>27</v>
      </c>
      <c r="I627" s="117" t="s">
        <v>6518</v>
      </c>
      <c r="J627" s="223"/>
      <c r="K627" s="193" t="s">
        <v>62</v>
      </c>
      <c r="L627" s="193"/>
      <c r="M627" s="424" t="s">
        <v>88</v>
      </c>
      <c r="N627" s="424"/>
      <c r="O627" s="425"/>
      <c r="P627" s="425"/>
      <c r="Q627" s="139" t="s">
        <v>4074</v>
      </c>
      <c r="R627" s="223"/>
      <c r="S627" s="223"/>
      <c r="T627" s="110"/>
    </row>
    <row r="628" ht="31.5" hidden="1" customHeight="1">
      <c r="A628" s="193">
        <v>627.0</v>
      </c>
      <c r="B628" s="222">
        <v>46224.0</v>
      </c>
      <c r="C628" s="39" t="s">
        <v>58</v>
      </c>
      <c r="D628" s="26" t="s">
        <v>60</v>
      </c>
      <c r="E628" s="39" t="s">
        <v>27</v>
      </c>
      <c r="F628" s="147">
        <v>5.67005766E8</v>
      </c>
      <c r="G628" s="39" t="s">
        <v>27</v>
      </c>
      <c r="H628" s="39" t="s">
        <v>27</v>
      </c>
      <c r="I628" s="117" t="s">
        <v>6519</v>
      </c>
      <c r="J628" s="223"/>
      <c r="K628" s="193" t="s">
        <v>62</v>
      </c>
      <c r="L628" s="193"/>
      <c r="M628" s="424" t="s">
        <v>88</v>
      </c>
      <c r="N628" s="424"/>
      <c r="O628" s="425"/>
      <c r="P628" s="425"/>
      <c r="Q628" s="139" t="s">
        <v>4074</v>
      </c>
      <c r="R628" s="223"/>
      <c r="S628" s="223"/>
      <c r="T628" s="110"/>
    </row>
    <row r="629" ht="31.5" hidden="1" customHeight="1">
      <c r="A629" s="193">
        <v>628.0</v>
      </c>
      <c r="B629" s="222">
        <v>46224.0</v>
      </c>
      <c r="C629" s="39" t="s">
        <v>58</v>
      </c>
      <c r="D629" s="26" t="s">
        <v>60</v>
      </c>
      <c r="E629" s="39" t="s">
        <v>27</v>
      </c>
      <c r="F629" s="147">
        <v>5.08849435E8</v>
      </c>
      <c r="G629" s="39" t="s">
        <v>27</v>
      </c>
      <c r="H629" s="39" t="s">
        <v>27</v>
      </c>
      <c r="I629" s="117" t="s">
        <v>6522</v>
      </c>
      <c r="J629" s="223"/>
      <c r="K629" s="193" t="s">
        <v>36</v>
      </c>
      <c r="L629" s="193"/>
      <c r="M629" s="424" t="s">
        <v>88</v>
      </c>
      <c r="N629" s="424"/>
      <c r="O629" s="425"/>
      <c r="P629" s="425"/>
      <c r="Q629" s="139" t="s">
        <v>4074</v>
      </c>
      <c r="R629" s="223"/>
      <c r="S629" s="223"/>
      <c r="T629" s="110"/>
    </row>
    <row r="630" ht="31.5" hidden="1" customHeight="1">
      <c r="A630" s="193">
        <v>629.0</v>
      </c>
      <c r="B630" s="222">
        <v>46224.0</v>
      </c>
      <c r="C630" s="39" t="s">
        <v>58</v>
      </c>
      <c r="D630" s="26" t="s">
        <v>60</v>
      </c>
      <c r="E630" s="193" t="s">
        <v>27</v>
      </c>
      <c r="F630" s="147">
        <v>5.04252034E8</v>
      </c>
      <c r="G630" s="193" t="s">
        <v>27</v>
      </c>
      <c r="H630" s="193" t="s">
        <v>27</v>
      </c>
      <c r="I630" s="117" t="s">
        <v>6524</v>
      </c>
      <c r="J630" s="223"/>
      <c r="K630" s="193" t="s">
        <v>65</v>
      </c>
      <c r="L630" s="193"/>
      <c r="M630" s="424" t="s">
        <v>88</v>
      </c>
      <c r="N630" s="424"/>
      <c r="O630" s="425"/>
      <c r="P630" s="425"/>
      <c r="Q630" s="139" t="s">
        <v>4074</v>
      </c>
      <c r="R630" s="223"/>
      <c r="S630" s="223"/>
      <c r="T630" s="110"/>
    </row>
    <row r="631" ht="31.5" hidden="1" customHeight="1">
      <c r="A631" s="193">
        <v>630.0</v>
      </c>
      <c r="B631" s="222">
        <v>46224.0</v>
      </c>
      <c r="C631" s="39" t="s">
        <v>47</v>
      </c>
      <c r="D631" s="26" t="s">
        <v>92</v>
      </c>
      <c r="E631" s="30" t="s">
        <v>6525</v>
      </c>
      <c r="F631" s="147" t="s">
        <v>27</v>
      </c>
      <c r="G631" s="30" t="s">
        <v>6304</v>
      </c>
      <c r="H631" s="39" t="s">
        <v>6305</v>
      </c>
      <c r="I631" s="426" t="s">
        <v>6526</v>
      </c>
      <c r="J631" s="225" t="s">
        <v>6307</v>
      </c>
      <c r="K631" s="193" t="s">
        <v>78</v>
      </c>
      <c r="L631" s="193"/>
      <c r="M631" s="424" t="s">
        <v>55</v>
      </c>
      <c r="N631" s="424"/>
      <c r="O631" s="193" t="s">
        <v>40</v>
      </c>
      <c r="P631" s="425"/>
      <c r="Q631" s="139" t="s">
        <v>4074</v>
      </c>
      <c r="R631" s="390" t="s">
        <v>46</v>
      </c>
      <c r="S631" s="223"/>
      <c r="T631" s="110"/>
    </row>
    <row r="632" ht="66.0" hidden="1" customHeight="1">
      <c r="A632" s="193">
        <v>631.0</v>
      </c>
      <c r="B632" s="222">
        <v>46224.0</v>
      </c>
      <c r="C632" s="39" t="s">
        <v>47</v>
      </c>
      <c r="D632" s="26" t="s">
        <v>48</v>
      </c>
      <c r="E632" s="30" t="s">
        <v>6529</v>
      </c>
      <c r="F632" s="147">
        <v>5.66479529E8</v>
      </c>
      <c r="G632" s="195" t="s">
        <v>41</v>
      </c>
      <c r="H632" s="39" t="s">
        <v>2375</v>
      </c>
      <c r="I632" s="179" t="s">
        <v>6530</v>
      </c>
      <c r="J632" s="225" t="s">
        <v>6532</v>
      </c>
      <c r="K632" s="193" t="s">
        <v>36</v>
      </c>
      <c r="L632" s="193" t="s">
        <v>42</v>
      </c>
      <c r="M632" s="384" t="s">
        <v>5132</v>
      </c>
      <c r="N632" s="384"/>
      <c r="O632" s="193" t="s">
        <v>40</v>
      </c>
      <c r="P632" s="425"/>
      <c r="Q632" s="139" t="s">
        <v>4074</v>
      </c>
      <c r="R632" s="390" t="s">
        <v>46</v>
      </c>
      <c r="S632" s="223"/>
      <c r="T632" s="110"/>
    </row>
    <row r="633" ht="31.5" customHeight="1">
      <c r="A633" s="193">
        <v>632.0</v>
      </c>
      <c r="B633" s="222">
        <v>46224.0</v>
      </c>
      <c r="C633" s="39" t="s">
        <v>58</v>
      </c>
      <c r="D633" s="26" t="s">
        <v>48</v>
      </c>
      <c r="E633" s="30" t="s">
        <v>6168</v>
      </c>
      <c r="F633" s="147">
        <v>5.48918834E8</v>
      </c>
      <c r="G633" s="195" t="s">
        <v>79</v>
      </c>
      <c r="H633" s="39" t="s">
        <v>6534</v>
      </c>
      <c r="I633" s="117" t="s">
        <v>6535</v>
      </c>
      <c r="J633" s="390" t="s">
        <v>6536</v>
      </c>
      <c r="K633" s="193" t="s">
        <v>36</v>
      </c>
      <c r="L633" s="193" t="s">
        <v>42</v>
      </c>
      <c r="M633" s="424" t="s">
        <v>6537</v>
      </c>
      <c r="N633" s="427" t="s">
        <v>4127</v>
      </c>
      <c r="O633" s="193" t="s">
        <v>40</v>
      </c>
      <c r="P633" s="193" t="s">
        <v>4129</v>
      </c>
      <c r="Q633" s="139" t="s">
        <v>4074</v>
      </c>
      <c r="R633" s="223"/>
      <c r="S633" s="223"/>
      <c r="T633" s="110"/>
    </row>
    <row r="634" ht="31.5" hidden="1" customHeight="1">
      <c r="A634" s="193">
        <v>633.0</v>
      </c>
      <c r="B634" s="222">
        <v>46224.0</v>
      </c>
      <c r="C634" s="39" t="s">
        <v>21</v>
      </c>
      <c r="D634" s="26" t="s">
        <v>24</v>
      </c>
      <c r="E634" s="30" t="s">
        <v>108</v>
      </c>
      <c r="F634" s="147">
        <v>5.33301004E8</v>
      </c>
      <c r="G634" s="30" t="s">
        <v>6143</v>
      </c>
      <c r="H634" s="39" t="s">
        <v>27</v>
      </c>
      <c r="I634" s="117" t="s">
        <v>6539</v>
      </c>
      <c r="J634" s="223"/>
      <c r="K634" s="193" t="s">
        <v>36</v>
      </c>
      <c r="L634" s="193"/>
      <c r="M634" s="424" t="s">
        <v>38</v>
      </c>
      <c r="N634" s="424"/>
      <c r="O634" s="425"/>
      <c r="P634" s="425"/>
      <c r="Q634" s="139" t="s">
        <v>4074</v>
      </c>
      <c r="R634" s="223"/>
      <c r="S634" s="223"/>
      <c r="T634" s="110"/>
    </row>
    <row r="635" ht="31.5" hidden="1" customHeight="1">
      <c r="A635" s="193">
        <v>634.0</v>
      </c>
      <c r="B635" s="222">
        <v>46224.0</v>
      </c>
      <c r="C635" s="39" t="s">
        <v>21</v>
      </c>
      <c r="D635" s="26" t="s">
        <v>24</v>
      </c>
      <c r="E635" s="30" t="s">
        <v>1330</v>
      </c>
      <c r="F635" s="147">
        <v>5.66504534E8</v>
      </c>
      <c r="G635" s="195" t="s">
        <v>41</v>
      </c>
      <c r="H635" s="39" t="s">
        <v>27</v>
      </c>
      <c r="I635" s="117" t="s">
        <v>6540</v>
      </c>
      <c r="J635" s="223"/>
      <c r="K635" s="193" t="s">
        <v>36</v>
      </c>
      <c r="L635" s="193"/>
      <c r="M635" s="424" t="s">
        <v>38</v>
      </c>
      <c r="N635" s="424"/>
      <c r="O635" s="425"/>
      <c r="P635" s="425"/>
      <c r="Q635" s="139" t="s">
        <v>4074</v>
      </c>
      <c r="R635" s="223"/>
      <c r="S635" s="223"/>
      <c r="T635" s="110"/>
    </row>
    <row r="636" ht="31.5" hidden="1" customHeight="1">
      <c r="A636" s="193">
        <v>635.0</v>
      </c>
      <c r="B636" s="222">
        <v>46224.0</v>
      </c>
      <c r="C636" s="39" t="s">
        <v>21</v>
      </c>
      <c r="D636" s="26" t="s">
        <v>22</v>
      </c>
      <c r="E636" s="193" t="s">
        <v>27</v>
      </c>
      <c r="F636" s="147">
        <v>5.341275E8</v>
      </c>
      <c r="G636" s="39" t="s">
        <v>27</v>
      </c>
      <c r="H636" s="39" t="s">
        <v>27</v>
      </c>
      <c r="I636" s="117" t="s">
        <v>6543</v>
      </c>
      <c r="J636" s="223"/>
      <c r="K636" s="193" t="s">
        <v>36</v>
      </c>
      <c r="L636" s="193"/>
      <c r="M636" s="424" t="s">
        <v>38</v>
      </c>
      <c r="N636" s="424"/>
      <c r="O636" s="425"/>
      <c r="P636" s="425"/>
      <c r="Q636" s="139" t="s">
        <v>4074</v>
      </c>
      <c r="R636" s="223"/>
      <c r="S636" s="223"/>
      <c r="T636" s="110"/>
    </row>
    <row r="637" ht="31.5" hidden="1" customHeight="1">
      <c r="A637" s="193">
        <v>636.0</v>
      </c>
      <c r="B637" s="222">
        <v>46224.0</v>
      </c>
      <c r="C637" s="39" t="s">
        <v>21</v>
      </c>
      <c r="D637" s="26" t="s">
        <v>22</v>
      </c>
      <c r="E637" s="30" t="s">
        <v>118</v>
      </c>
      <c r="F637" s="147">
        <v>5.55678226E8</v>
      </c>
      <c r="G637" s="30" t="s">
        <v>28</v>
      </c>
      <c r="H637" s="39" t="s">
        <v>27</v>
      </c>
      <c r="I637" s="117" t="s">
        <v>6546</v>
      </c>
      <c r="J637" s="223"/>
      <c r="K637" s="193" t="s">
        <v>36</v>
      </c>
      <c r="L637" s="193"/>
      <c r="M637" s="424" t="s">
        <v>38</v>
      </c>
      <c r="N637" s="424"/>
      <c r="O637" s="425"/>
      <c r="P637" s="425"/>
      <c r="Q637" s="139" t="s">
        <v>4074</v>
      </c>
      <c r="R637" s="223"/>
      <c r="S637" s="223"/>
      <c r="T637" s="110"/>
    </row>
    <row r="638" ht="31.5" hidden="1" customHeight="1">
      <c r="A638" s="193">
        <v>637.0</v>
      </c>
      <c r="B638" s="222">
        <v>46224.0</v>
      </c>
      <c r="C638" s="39" t="s">
        <v>21</v>
      </c>
      <c r="D638" s="26" t="s">
        <v>22</v>
      </c>
      <c r="E638" s="30" t="s">
        <v>1705</v>
      </c>
      <c r="F638" s="147">
        <v>5.341275E8</v>
      </c>
      <c r="G638" s="39" t="s">
        <v>27</v>
      </c>
      <c r="H638" s="39" t="s">
        <v>27</v>
      </c>
      <c r="I638" s="117" t="s">
        <v>6547</v>
      </c>
      <c r="J638" s="223"/>
      <c r="K638" s="193" t="s">
        <v>36</v>
      </c>
      <c r="L638" s="193"/>
      <c r="M638" s="424" t="s">
        <v>38</v>
      </c>
      <c r="N638" s="424"/>
      <c r="O638" s="425"/>
      <c r="P638" s="425"/>
      <c r="Q638" s="139" t="s">
        <v>4074</v>
      </c>
      <c r="R638" s="223"/>
      <c r="S638" s="223"/>
      <c r="T638" s="110"/>
    </row>
    <row r="639" ht="31.5" hidden="1" customHeight="1">
      <c r="A639" s="193">
        <v>638.0</v>
      </c>
      <c r="B639" s="222">
        <v>46224.0</v>
      </c>
      <c r="C639" s="39" t="s">
        <v>58</v>
      </c>
      <c r="D639" s="26" t="s">
        <v>57</v>
      </c>
      <c r="E639" s="30" t="s">
        <v>118</v>
      </c>
      <c r="F639" s="147">
        <v>5.3535522E8</v>
      </c>
      <c r="G639" s="39" t="s">
        <v>27</v>
      </c>
      <c r="H639" s="39" t="s">
        <v>27</v>
      </c>
      <c r="I639" s="117" t="s">
        <v>6550</v>
      </c>
      <c r="J639" s="223"/>
      <c r="K639" s="193" t="s">
        <v>62</v>
      </c>
      <c r="L639" s="193"/>
      <c r="M639" s="424" t="s">
        <v>88</v>
      </c>
      <c r="N639" s="424"/>
      <c r="O639" s="425"/>
      <c r="P639" s="425"/>
      <c r="Q639" s="139" t="s">
        <v>4074</v>
      </c>
      <c r="R639" s="223"/>
      <c r="S639" s="223"/>
      <c r="T639" s="110"/>
    </row>
    <row r="640" ht="31.5" hidden="1" customHeight="1">
      <c r="A640" s="193">
        <v>639.0</v>
      </c>
      <c r="B640" s="222">
        <v>46224.0</v>
      </c>
      <c r="C640" s="39" t="s">
        <v>21</v>
      </c>
      <c r="D640" s="26" t="s">
        <v>66</v>
      </c>
      <c r="E640" s="30" t="s">
        <v>4581</v>
      </c>
      <c r="F640" s="147">
        <v>5.69948616E8</v>
      </c>
      <c r="G640" s="39" t="s">
        <v>27</v>
      </c>
      <c r="H640" s="39" t="s">
        <v>27</v>
      </c>
      <c r="I640" s="117" t="s">
        <v>6553</v>
      </c>
      <c r="J640" s="223"/>
      <c r="K640" s="193" t="s">
        <v>36</v>
      </c>
      <c r="L640" s="193"/>
      <c r="M640" s="424" t="s">
        <v>38</v>
      </c>
      <c r="N640" s="424"/>
      <c r="O640" s="425"/>
      <c r="P640" s="425"/>
      <c r="Q640" s="139" t="s">
        <v>4074</v>
      </c>
      <c r="R640" s="223"/>
      <c r="S640" s="223"/>
      <c r="T640" s="110"/>
    </row>
    <row r="641" ht="31.5" hidden="1" customHeight="1">
      <c r="A641" s="193">
        <v>640.0</v>
      </c>
      <c r="B641" s="222">
        <v>46224.0</v>
      </c>
      <c r="C641" s="39" t="s">
        <v>58</v>
      </c>
      <c r="D641" s="26" t="s">
        <v>60</v>
      </c>
      <c r="E641" s="39" t="s">
        <v>27</v>
      </c>
      <c r="F641" s="147">
        <v>5.55581273E8</v>
      </c>
      <c r="G641" s="39" t="s">
        <v>27</v>
      </c>
      <c r="H641" s="39" t="s">
        <v>27</v>
      </c>
      <c r="I641" s="117" t="s">
        <v>6555</v>
      </c>
      <c r="J641" s="223"/>
      <c r="K641" s="193" t="s">
        <v>36</v>
      </c>
      <c r="L641" s="193"/>
      <c r="M641" s="424" t="s">
        <v>88</v>
      </c>
      <c r="N641" s="424"/>
      <c r="O641" s="425"/>
      <c r="P641" s="425"/>
      <c r="Q641" s="139" t="s">
        <v>4074</v>
      </c>
      <c r="R641" s="223"/>
      <c r="S641" s="223"/>
      <c r="T641" s="110"/>
    </row>
    <row r="642" ht="31.5" hidden="1" customHeight="1">
      <c r="A642" s="193">
        <v>641.0</v>
      </c>
      <c r="B642" s="222">
        <v>46224.0</v>
      </c>
      <c r="C642" s="39" t="s">
        <v>21</v>
      </c>
      <c r="D642" s="26" t="s">
        <v>57</v>
      </c>
      <c r="E642" s="30" t="s">
        <v>6557</v>
      </c>
      <c r="F642" s="147">
        <v>5.65138987E8</v>
      </c>
      <c r="G642" s="39" t="s">
        <v>27</v>
      </c>
      <c r="H642" s="39" t="s">
        <v>27</v>
      </c>
      <c r="I642" s="113" t="s">
        <v>6558</v>
      </c>
      <c r="J642" s="117" t="s">
        <v>6559</v>
      </c>
      <c r="K642" s="193" t="s">
        <v>36</v>
      </c>
      <c r="L642" s="193"/>
      <c r="M642" s="424" t="s">
        <v>38</v>
      </c>
      <c r="N642" s="424"/>
      <c r="O642" s="425"/>
      <c r="P642" s="425"/>
      <c r="Q642" s="139" t="s">
        <v>4074</v>
      </c>
      <c r="R642" s="223"/>
      <c r="S642" s="223"/>
      <c r="T642" s="110"/>
    </row>
    <row r="643" ht="31.5" hidden="1" customHeight="1">
      <c r="A643" s="193">
        <v>642.0</v>
      </c>
      <c r="B643" s="222">
        <v>46224.0</v>
      </c>
      <c r="C643" s="39" t="s">
        <v>21</v>
      </c>
      <c r="D643" s="26" t="s">
        <v>22</v>
      </c>
      <c r="E643" s="30" t="s">
        <v>463</v>
      </c>
      <c r="F643" s="147">
        <v>5.6841098E8</v>
      </c>
      <c r="G643" s="30" t="s">
        <v>2413</v>
      </c>
      <c r="H643" s="39" t="s">
        <v>27</v>
      </c>
      <c r="I643" s="117" t="s">
        <v>6562</v>
      </c>
      <c r="J643" s="223"/>
      <c r="K643" s="193" t="s">
        <v>36</v>
      </c>
      <c r="L643" s="193"/>
      <c r="M643" s="424" t="s">
        <v>38</v>
      </c>
      <c r="N643" s="424"/>
      <c r="O643" s="425"/>
      <c r="P643" s="425"/>
      <c r="Q643" s="139" t="s">
        <v>4074</v>
      </c>
      <c r="R643" s="223"/>
      <c r="S643" s="223"/>
      <c r="T643" s="110"/>
    </row>
    <row r="644" ht="31.5" hidden="1" customHeight="1">
      <c r="A644" s="193">
        <v>643.0</v>
      </c>
      <c r="B644" s="222">
        <v>46224.0</v>
      </c>
      <c r="C644" s="39" t="s">
        <v>58</v>
      </c>
      <c r="D644" s="26" t="s">
        <v>60</v>
      </c>
      <c r="E644" s="39" t="s">
        <v>27</v>
      </c>
      <c r="F644" s="147">
        <v>5.437417E8</v>
      </c>
      <c r="G644" s="39" t="s">
        <v>27</v>
      </c>
      <c r="H644" s="39" t="s">
        <v>27</v>
      </c>
      <c r="I644" s="117" t="s">
        <v>484</v>
      </c>
      <c r="J644" s="223"/>
      <c r="K644" s="193" t="s">
        <v>36</v>
      </c>
      <c r="L644" s="193"/>
      <c r="M644" s="424" t="s">
        <v>88</v>
      </c>
      <c r="N644" s="424"/>
      <c r="O644" s="425"/>
      <c r="P644" s="425"/>
      <c r="Q644" s="139" t="s">
        <v>4074</v>
      </c>
      <c r="R644" s="223"/>
      <c r="S644" s="223"/>
      <c r="T644" s="110"/>
    </row>
    <row r="645" ht="31.5" hidden="1" customHeight="1">
      <c r="A645" s="193">
        <v>644.0</v>
      </c>
      <c r="B645" s="222">
        <v>46224.0</v>
      </c>
      <c r="C645" s="39" t="s">
        <v>58</v>
      </c>
      <c r="D645" s="26" t="s">
        <v>60</v>
      </c>
      <c r="E645" s="30" t="s">
        <v>118</v>
      </c>
      <c r="F645" s="406">
        <v>5.66661579E8</v>
      </c>
      <c r="G645" s="30" t="s">
        <v>333</v>
      </c>
      <c r="H645" s="39" t="s">
        <v>27</v>
      </c>
      <c r="I645" s="117" t="s">
        <v>5531</v>
      </c>
      <c r="J645" s="225" t="s">
        <v>3547</v>
      </c>
      <c r="K645" s="193" t="s">
        <v>36</v>
      </c>
      <c r="L645" s="193"/>
      <c r="M645" s="424" t="s">
        <v>88</v>
      </c>
      <c r="N645" s="424"/>
      <c r="O645" s="425"/>
      <c r="P645" s="425"/>
      <c r="Q645" s="139" t="s">
        <v>4074</v>
      </c>
      <c r="R645" s="223"/>
      <c r="S645" s="223"/>
      <c r="T645" s="110"/>
    </row>
    <row r="646" ht="76.5" hidden="1" customHeight="1">
      <c r="A646" s="193">
        <v>645.0</v>
      </c>
      <c r="B646" s="222">
        <v>46224.0</v>
      </c>
      <c r="C646" s="39" t="s">
        <v>47</v>
      </c>
      <c r="D646" s="26" t="s">
        <v>92</v>
      </c>
      <c r="E646" s="30" t="s">
        <v>6567</v>
      </c>
      <c r="F646" s="428">
        <v>5.05696962E8</v>
      </c>
      <c r="G646" s="195" t="s">
        <v>71</v>
      </c>
      <c r="H646" s="39" t="s">
        <v>4475</v>
      </c>
      <c r="I646" s="117" t="s">
        <v>6568</v>
      </c>
      <c r="J646" s="223"/>
      <c r="K646" s="193" t="s">
        <v>36</v>
      </c>
      <c r="L646" s="193"/>
      <c r="M646" s="424" t="s">
        <v>55</v>
      </c>
      <c r="N646" s="424"/>
      <c r="O646" s="193" t="s">
        <v>40</v>
      </c>
      <c r="P646" s="425"/>
      <c r="Q646" s="139" t="s">
        <v>4074</v>
      </c>
      <c r="R646" s="390" t="s">
        <v>46</v>
      </c>
      <c r="S646" s="223"/>
      <c r="T646" s="110"/>
    </row>
    <row r="647" ht="135.75" hidden="1" customHeight="1">
      <c r="A647" s="193">
        <v>646.0</v>
      </c>
      <c r="B647" s="222">
        <v>46225.0</v>
      </c>
      <c r="C647" s="39" t="s">
        <v>3766</v>
      </c>
      <c r="D647" s="26" t="s">
        <v>22</v>
      </c>
      <c r="E647" s="30" t="s">
        <v>6571</v>
      </c>
      <c r="F647" s="147">
        <v>5.38669787E8</v>
      </c>
      <c r="G647" s="195" t="s">
        <v>41</v>
      </c>
      <c r="H647" s="39" t="s">
        <v>27</v>
      </c>
      <c r="I647" s="429" t="s">
        <v>6572</v>
      </c>
      <c r="J647" s="223"/>
      <c r="K647" s="193" t="s">
        <v>62</v>
      </c>
      <c r="L647" s="193"/>
      <c r="M647" s="225" t="s">
        <v>3776</v>
      </c>
      <c r="N647" s="225"/>
      <c r="O647" s="223"/>
      <c r="P647" s="223"/>
      <c r="Q647" s="139" t="s">
        <v>44</v>
      </c>
      <c r="R647" s="223"/>
      <c r="S647" s="223"/>
      <c r="T647" s="110"/>
    </row>
    <row r="648" ht="31.5" hidden="1" customHeight="1">
      <c r="A648" s="193">
        <v>647.0</v>
      </c>
      <c r="B648" s="222">
        <v>46225.0</v>
      </c>
      <c r="C648" s="39" t="s">
        <v>58</v>
      </c>
      <c r="D648" s="26" t="s">
        <v>60</v>
      </c>
      <c r="E648" s="30" t="s">
        <v>6575</v>
      </c>
      <c r="F648" s="147">
        <v>2.18917863789E11</v>
      </c>
      <c r="G648" s="39" t="s">
        <v>27</v>
      </c>
      <c r="H648" s="39" t="s">
        <v>27</v>
      </c>
      <c r="I648" s="117" t="s">
        <v>6577</v>
      </c>
      <c r="J648" s="225" t="s">
        <v>6578</v>
      </c>
      <c r="K648" s="193" t="s">
        <v>62</v>
      </c>
      <c r="L648" s="193"/>
      <c r="M648" s="225" t="s">
        <v>88</v>
      </c>
      <c r="N648" s="225"/>
      <c r="O648" s="223"/>
      <c r="P648" s="223"/>
      <c r="Q648" s="139" t="s">
        <v>44</v>
      </c>
      <c r="R648" s="223"/>
      <c r="S648" s="223"/>
      <c r="T648" s="110"/>
    </row>
    <row r="649" ht="31.5" hidden="1" customHeight="1">
      <c r="A649" s="193">
        <v>648.0</v>
      </c>
      <c r="B649" s="222">
        <v>46225.0</v>
      </c>
      <c r="C649" s="39" t="s">
        <v>58</v>
      </c>
      <c r="D649" s="26" t="s">
        <v>60</v>
      </c>
      <c r="E649" s="30" t="s">
        <v>3742</v>
      </c>
      <c r="F649" s="147">
        <v>5.01689167E8</v>
      </c>
      <c r="G649" s="39" t="s">
        <v>27</v>
      </c>
      <c r="H649" s="39" t="s">
        <v>27</v>
      </c>
      <c r="I649" s="117" t="s">
        <v>4045</v>
      </c>
      <c r="J649" s="223"/>
      <c r="K649" s="193" t="s">
        <v>62</v>
      </c>
      <c r="L649" s="193"/>
      <c r="M649" s="225" t="s">
        <v>88</v>
      </c>
      <c r="N649" s="225"/>
      <c r="O649" s="223"/>
      <c r="P649" s="223"/>
      <c r="Q649" s="139" t="s">
        <v>44</v>
      </c>
      <c r="R649" s="223"/>
      <c r="S649" s="223"/>
      <c r="T649" s="110"/>
    </row>
    <row r="650" ht="31.5" hidden="1" customHeight="1">
      <c r="A650" s="193">
        <v>649.0</v>
      </c>
      <c r="B650" s="222">
        <v>46225.0</v>
      </c>
      <c r="C650" s="39" t="s">
        <v>58</v>
      </c>
      <c r="D650" s="26" t="s">
        <v>60</v>
      </c>
      <c r="E650" s="39" t="s">
        <v>6582</v>
      </c>
      <c r="F650" s="147">
        <v>5.67826083E8</v>
      </c>
      <c r="G650" s="39" t="s">
        <v>27</v>
      </c>
      <c r="H650" s="39" t="s">
        <v>27</v>
      </c>
      <c r="I650" s="118" t="s">
        <v>6583</v>
      </c>
      <c r="J650" s="225" t="s">
        <v>6584</v>
      </c>
      <c r="K650" s="193" t="s">
        <v>62</v>
      </c>
      <c r="L650" s="193"/>
      <c r="M650" s="225" t="s">
        <v>88</v>
      </c>
      <c r="N650" s="225"/>
      <c r="O650" s="223"/>
      <c r="P650" s="223"/>
      <c r="Q650" s="139" t="s">
        <v>44</v>
      </c>
      <c r="R650" s="223"/>
      <c r="S650" s="223"/>
      <c r="T650" s="110"/>
    </row>
    <row r="651" ht="31.5" hidden="1" customHeight="1">
      <c r="A651" s="193">
        <v>650.0</v>
      </c>
      <c r="B651" s="222">
        <v>46225.0</v>
      </c>
      <c r="C651" s="39" t="s">
        <v>58</v>
      </c>
      <c r="D651" s="26" t="s">
        <v>60</v>
      </c>
      <c r="E651" s="30" t="s">
        <v>974</v>
      </c>
      <c r="F651" s="147">
        <v>5.54958988E8</v>
      </c>
      <c r="G651" s="39" t="s">
        <v>27</v>
      </c>
      <c r="H651" s="39" t="s">
        <v>27</v>
      </c>
      <c r="I651" s="117" t="s">
        <v>6588</v>
      </c>
      <c r="J651" s="225" t="s">
        <v>6589</v>
      </c>
      <c r="K651" s="193" t="s">
        <v>62</v>
      </c>
      <c r="L651" s="193"/>
      <c r="M651" s="225" t="s">
        <v>88</v>
      </c>
      <c r="N651" s="225"/>
      <c r="O651" s="223"/>
      <c r="P651" s="223"/>
      <c r="Q651" s="139" t="s">
        <v>44</v>
      </c>
      <c r="R651" s="223"/>
      <c r="S651" s="223"/>
      <c r="T651" s="110"/>
    </row>
    <row r="652" ht="31.5" hidden="1" customHeight="1">
      <c r="A652" s="193">
        <v>651.0</v>
      </c>
      <c r="B652" s="222">
        <v>46225.0</v>
      </c>
      <c r="C652" s="39" t="s">
        <v>58</v>
      </c>
      <c r="D652" s="26" t="s">
        <v>60</v>
      </c>
      <c r="E652" s="193" t="s">
        <v>27</v>
      </c>
      <c r="F652" s="147">
        <v>5.36977879E8</v>
      </c>
      <c r="G652" s="39" t="s">
        <v>27</v>
      </c>
      <c r="H652" s="39" t="s">
        <v>27</v>
      </c>
      <c r="I652" s="117" t="s">
        <v>6171</v>
      </c>
      <c r="J652" s="223"/>
      <c r="K652" s="193" t="s">
        <v>62</v>
      </c>
      <c r="L652" s="193"/>
      <c r="M652" s="225" t="s">
        <v>88</v>
      </c>
      <c r="N652" s="225"/>
      <c r="O652" s="223"/>
      <c r="P652" s="223"/>
      <c r="Q652" s="139" t="s">
        <v>44</v>
      </c>
      <c r="R652" s="223"/>
      <c r="S652" s="223"/>
      <c r="T652" s="110"/>
    </row>
    <row r="653" ht="31.5" hidden="1" customHeight="1">
      <c r="A653" s="193">
        <v>652.0</v>
      </c>
      <c r="B653" s="222">
        <v>46225.0</v>
      </c>
      <c r="C653" s="39" t="s">
        <v>58</v>
      </c>
      <c r="D653" s="26" t="s">
        <v>60</v>
      </c>
      <c r="E653" s="30" t="s">
        <v>1584</v>
      </c>
      <c r="F653" s="147">
        <v>5.53823022E8</v>
      </c>
      <c r="G653" s="39" t="s">
        <v>27</v>
      </c>
      <c r="H653" s="39" t="s">
        <v>27</v>
      </c>
      <c r="I653" s="117" t="s">
        <v>6592</v>
      </c>
      <c r="J653" s="225" t="s">
        <v>6593</v>
      </c>
      <c r="K653" s="193" t="s">
        <v>62</v>
      </c>
      <c r="L653" s="193"/>
      <c r="M653" s="225" t="s">
        <v>88</v>
      </c>
      <c r="N653" s="225"/>
      <c r="O653" s="223"/>
      <c r="P653" s="223"/>
      <c r="Q653" s="139" t="s">
        <v>44</v>
      </c>
      <c r="R653" s="223"/>
      <c r="S653" s="223"/>
      <c r="T653" s="110"/>
    </row>
    <row r="654" ht="31.5" hidden="1" customHeight="1">
      <c r="A654" s="193">
        <v>653.0</v>
      </c>
      <c r="B654" s="222">
        <v>46225.0</v>
      </c>
      <c r="C654" s="39" t="s">
        <v>58</v>
      </c>
      <c r="D654" s="26" t="s">
        <v>60</v>
      </c>
      <c r="E654" s="30" t="s">
        <v>6595</v>
      </c>
      <c r="F654" s="147">
        <v>5.93960059E8</v>
      </c>
      <c r="G654" s="39" t="s">
        <v>27</v>
      </c>
      <c r="H654" s="39" t="s">
        <v>27</v>
      </c>
      <c r="I654" s="117" t="s">
        <v>38</v>
      </c>
      <c r="J654" s="223"/>
      <c r="K654" s="193" t="s">
        <v>62</v>
      </c>
      <c r="L654" s="193"/>
      <c r="M654" s="225" t="s">
        <v>88</v>
      </c>
      <c r="N654" s="225"/>
      <c r="O654" s="223"/>
      <c r="P654" s="223"/>
      <c r="Q654" s="139" t="s">
        <v>44</v>
      </c>
      <c r="R654" s="223"/>
      <c r="S654" s="223"/>
      <c r="T654" s="110"/>
    </row>
    <row r="655" ht="31.5" hidden="1" customHeight="1">
      <c r="A655" s="193">
        <v>654.0</v>
      </c>
      <c r="B655" s="222">
        <v>46225.0</v>
      </c>
      <c r="C655" s="39" t="s">
        <v>58</v>
      </c>
      <c r="D655" s="26" t="s">
        <v>60</v>
      </c>
      <c r="E655" s="193" t="s">
        <v>27</v>
      </c>
      <c r="F655" s="147">
        <v>5.31952188E8</v>
      </c>
      <c r="G655" s="39" t="s">
        <v>27</v>
      </c>
      <c r="H655" s="39" t="s">
        <v>27</v>
      </c>
      <c r="I655" s="117" t="s">
        <v>38</v>
      </c>
      <c r="J655" s="223"/>
      <c r="K655" s="193" t="s">
        <v>62</v>
      </c>
      <c r="L655" s="193"/>
      <c r="M655" s="225" t="s">
        <v>88</v>
      </c>
      <c r="N655" s="225"/>
      <c r="O655" s="223"/>
      <c r="P655" s="223"/>
      <c r="Q655" s="139" t="s">
        <v>44</v>
      </c>
      <c r="R655" s="223"/>
      <c r="S655" s="223"/>
      <c r="T655" s="110"/>
    </row>
    <row r="656" ht="31.5" hidden="1" customHeight="1">
      <c r="A656" s="193">
        <v>655.0</v>
      </c>
      <c r="B656" s="222">
        <v>46225.0</v>
      </c>
      <c r="C656" s="39" t="s">
        <v>58</v>
      </c>
      <c r="D656" s="26" t="s">
        <v>60</v>
      </c>
      <c r="E656" s="30" t="s">
        <v>6598</v>
      </c>
      <c r="F656" s="147">
        <v>5.43050977E8</v>
      </c>
      <c r="G656" s="39" t="s">
        <v>27</v>
      </c>
      <c r="H656" s="39" t="s">
        <v>27</v>
      </c>
      <c r="I656" s="117" t="s">
        <v>38</v>
      </c>
      <c r="J656" s="223"/>
      <c r="K656" s="193" t="s">
        <v>62</v>
      </c>
      <c r="L656" s="193"/>
      <c r="M656" s="225" t="s">
        <v>88</v>
      </c>
      <c r="N656" s="225"/>
      <c r="O656" s="223"/>
      <c r="P656" s="223"/>
      <c r="Q656" s="139" t="s">
        <v>44</v>
      </c>
      <c r="R656" s="223"/>
      <c r="S656" s="223"/>
      <c r="T656" s="110"/>
    </row>
    <row r="657" ht="31.5" hidden="1" customHeight="1">
      <c r="A657" s="193">
        <v>656.0</v>
      </c>
      <c r="B657" s="222">
        <v>46225.0</v>
      </c>
      <c r="C657" s="39" t="s">
        <v>58</v>
      </c>
      <c r="D657" s="26" t="s">
        <v>60</v>
      </c>
      <c r="E657" s="30" t="s">
        <v>6600</v>
      </c>
      <c r="F657" s="147">
        <v>5.4423021E8</v>
      </c>
      <c r="G657" s="39" t="s">
        <v>27</v>
      </c>
      <c r="H657" s="39" t="s">
        <v>27</v>
      </c>
      <c r="I657" s="117" t="s">
        <v>6601</v>
      </c>
      <c r="J657" s="225" t="s">
        <v>500</v>
      </c>
      <c r="K657" s="193" t="s">
        <v>62</v>
      </c>
      <c r="L657" s="193"/>
      <c r="M657" s="225" t="s">
        <v>88</v>
      </c>
      <c r="N657" s="225"/>
      <c r="O657" s="223"/>
      <c r="P657" s="223"/>
      <c r="Q657" s="139" t="s">
        <v>44</v>
      </c>
      <c r="R657" s="223"/>
      <c r="S657" s="223"/>
      <c r="T657" s="110"/>
    </row>
    <row r="658" ht="31.5" hidden="1" customHeight="1">
      <c r="A658" s="193">
        <v>657.0</v>
      </c>
      <c r="B658" s="222">
        <v>46225.0</v>
      </c>
      <c r="C658" s="39" t="s">
        <v>58</v>
      </c>
      <c r="D658" s="26" t="s">
        <v>60</v>
      </c>
      <c r="E658" s="193" t="s">
        <v>27</v>
      </c>
      <c r="F658" s="147">
        <v>5.57485453E8</v>
      </c>
      <c r="G658" s="39" t="s">
        <v>27</v>
      </c>
      <c r="H658" s="39" t="s">
        <v>27</v>
      </c>
      <c r="I658" s="117" t="s">
        <v>6603</v>
      </c>
      <c r="J658" s="225" t="s">
        <v>6584</v>
      </c>
      <c r="K658" s="193" t="s">
        <v>62</v>
      </c>
      <c r="L658" s="193"/>
      <c r="M658" s="225" t="s">
        <v>88</v>
      </c>
      <c r="N658" s="225"/>
      <c r="O658" s="223"/>
      <c r="P658" s="223"/>
      <c r="Q658" s="139" t="s">
        <v>44</v>
      </c>
      <c r="R658" s="223"/>
      <c r="S658" s="223"/>
      <c r="T658" s="110"/>
    </row>
    <row r="659" ht="31.5" hidden="1" customHeight="1">
      <c r="A659" s="193">
        <v>658.0</v>
      </c>
      <c r="B659" s="222">
        <v>46225.0</v>
      </c>
      <c r="C659" s="39" t="s">
        <v>58</v>
      </c>
      <c r="D659" s="26" t="s">
        <v>60</v>
      </c>
      <c r="E659" s="30" t="s">
        <v>6605</v>
      </c>
      <c r="F659" s="147">
        <v>5.56558919E8</v>
      </c>
      <c r="G659" s="39" t="s">
        <v>27</v>
      </c>
      <c r="H659" s="39" t="s">
        <v>27</v>
      </c>
      <c r="I659" s="117" t="s">
        <v>38</v>
      </c>
      <c r="J659" s="223"/>
      <c r="K659" s="193" t="s">
        <v>62</v>
      </c>
      <c r="L659" s="193"/>
      <c r="M659" s="225" t="s">
        <v>88</v>
      </c>
      <c r="N659" s="225"/>
      <c r="O659" s="223"/>
      <c r="P659" s="223"/>
      <c r="Q659" s="139" t="s">
        <v>44</v>
      </c>
      <c r="R659" s="223"/>
      <c r="S659" s="223"/>
      <c r="T659" s="110"/>
    </row>
    <row r="660" ht="30.75" hidden="1" customHeight="1">
      <c r="A660" s="193">
        <v>659.0</v>
      </c>
      <c r="B660" s="222">
        <v>46225.0</v>
      </c>
      <c r="C660" s="39" t="s">
        <v>47</v>
      </c>
      <c r="D660" s="26" t="s">
        <v>48</v>
      </c>
      <c r="E660" s="30" t="s">
        <v>6607</v>
      </c>
      <c r="F660" s="147" t="s">
        <v>27</v>
      </c>
      <c r="G660" s="195" t="s">
        <v>41</v>
      </c>
      <c r="H660" s="39" t="s">
        <v>6608</v>
      </c>
      <c r="I660" s="30" t="s">
        <v>6609</v>
      </c>
      <c r="J660" s="225"/>
      <c r="K660" s="193" t="s">
        <v>78</v>
      </c>
      <c r="L660" s="193" t="s">
        <v>42</v>
      </c>
      <c r="M660" s="424" t="s">
        <v>101</v>
      </c>
      <c r="N660" s="424"/>
      <c r="O660" s="193" t="s">
        <v>40</v>
      </c>
      <c r="P660" s="425"/>
      <c r="Q660" s="139" t="s">
        <v>4074</v>
      </c>
      <c r="R660" s="390" t="s">
        <v>46</v>
      </c>
      <c r="S660" s="223"/>
      <c r="T660" s="110"/>
    </row>
    <row r="661" ht="45.0" hidden="1" customHeight="1">
      <c r="A661" s="193">
        <v>660.0</v>
      </c>
      <c r="B661" s="222">
        <v>46225.0</v>
      </c>
      <c r="C661" s="39" t="s">
        <v>47</v>
      </c>
      <c r="D661" s="26" t="s">
        <v>92</v>
      </c>
      <c r="E661" s="39" t="s">
        <v>6613</v>
      </c>
      <c r="F661" s="147" t="s">
        <v>27</v>
      </c>
      <c r="G661" s="30" t="s">
        <v>28</v>
      </c>
      <c r="H661" s="17" t="s">
        <v>6615</v>
      </c>
      <c r="I661" s="117" t="s">
        <v>6616</v>
      </c>
      <c r="J661" s="223"/>
      <c r="K661" s="193" t="s">
        <v>78</v>
      </c>
      <c r="L661" s="193"/>
      <c r="M661" s="424" t="s">
        <v>101</v>
      </c>
      <c r="N661" s="424"/>
      <c r="O661" s="193" t="s">
        <v>40</v>
      </c>
      <c r="P661" s="425"/>
      <c r="Q661" s="139" t="s">
        <v>4074</v>
      </c>
      <c r="R661" s="390" t="s">
        <v>46</v>
      </c>
      <c r="S661" s="223"/>
      <c r="T661" s="110"/>
    </row>
    <row r="662" ht="31.5" hidden="1" customHeight="1">
      <c r="A662" s="193">
        <v>661.0</v>
      </c>
      <c r="B662" s="222">
        <v>46225.0</v>
      </c>
      <c r="C662" s="39" t="s">
        <v>21</v>
      </c>
      <c r="D662" s="26" t="s">
        <v>24</v>
      </c>
      <c r="E662" s="30" t="s">
        <v>3143</v>
      </c>
      <c r="F662" s="147">
        <v>5.90657274E8</v>
      </c>
      <c r="G662" s="195" t="s">
        <v>71</v>
      </c>
      <c r="H662" s="39" t="s">
        <v>27</v>
      </c>
      <c r="I662" s="117" t="s">
        <v>6618</v>
      </c>
      <c r="J662" s="223"/>
      <c r="K662" s="193" t="s">
        <v>62</v>
      </c>
      <c r="L662" s="193"/>
      <c r="M662" s="424" t="s">
        <v>38</v>
      </c>
      <c r="N662" s="424"/>
      <c r="O662" s="425"/>
      <c r="P662" s="425"/>
      <c r="Q662" s="139" t="s">
        <v>4074</v>
      </c>
      <c r="R662" s="223"/>
      <c r="S662" s="223"/>
      <c r="T662" s="110"/>
    </row>
    <row r="663" ht="31.5" hidden="1" customHeight="1">
      <c r="A663" s="193">
        <v>662.0</v>
      </c>
      <c r="B663" s="222">
        <v>46225.0</v>
      </c>
      <c r="C663" s="39" t="s">
        <v>58</v>
      </c>
      <c r="D663" s="26" t="s">
        <v>34</v>
      </c>
      <c r="E663" s="30" t="s">
        <v>108</v>
      </c>
      <c r="F663" s="147">
        <v>5.45727942E8</v>
      </c>
      <c r="G663" s="39" t="s">
        <v>27</v>
      </c>
      <c r="H663" s="39" t="s">
        <v>27</v>
      </c>
      <c r="I663" s="117" t="s">
        <v>6620</v>
      </c>
      <c r="J663" s="223"/>
      <c r="K663" s="193" t="s">
        <v>36</v>
      </c>
      <c r="L663" s="193"/>
      <c r="M663" s="424" t="s">
        <v>88</v>
      </c>
      <c r="N663" s="424"/>
      <c r="O663" s="425"/>
      <c r="P663" s="425"/>
      <c r="Q663" s="139" t="s">
        <v>4074</v>
      </c>
      <c r="R663" s="223"/>
      <c r="S663" s="223"/>
      <c r="T663" s="110"/>
    </row>
    <row r="664" ht="31.5" hidden="1" customHeight="1">
      <c r="A664" s="193">
        <v>663.0</v>
      </c>
      <c r="B664" s="222">
        <v>46225.0</v>
      </c>
      <c r="C664" s="39" t="s">
        <v>21</v>
      </c>
      <c r="D664" s="26" t="s">
        <v>24</v>
      </c>
      <c r="E664" s="30" t="s">
        <v>6621</v>
      </c>
      <c r="F664" s="147">
        <v>5.44192744E8</v>
      </c>
      <c r="G664" s="195" t="s">
        <v>41</v>
      </c>
      <c r="H664" s="39" t="s">
        <v>27</v>
      </c>
      <c r="I664" s="117" t="s">
        <v>4802</v>
      </c>
      <c r="J664" s="223"/>
      <c r="K664" s="193" t="s">
        <v>62</v>
      </c>
      <c r="L664" s="193"/>
      <c r="M664" s="424" t="s">
        <v>38</v>
      </c>
      <c r="N664" s="424"/>
      <c r="O664" s="425"/>
      <c r="P664" s="425"/>
      <c r="Q664" s="139" t="s">
        <v>4074</v>
      </c>
      <c r="R664" s="223"/>
      <c r="S664" s="223"/>
      <c r="T664" s="110"/>
    </row>
    <row r="665" ht="127.5" hidden="1" customHeight="1">
      <c r="A665" s="193">
        <v>664.0</v>
      </c>
      <c r="B665" s="222">
        <v>46225.0</v>
      </c>
      <c r="C665" s="39" t="s">
        <v>47</v>
      </c>
      <c r="D665" s="26" t="s">
        <v>48</v>
      </c>
      <c r="E665" s="30" t="s">
        <v>6622</v>
      </c>
      <c r="F665" s="147">
        <v>5.53323162E8</v>
      </c>
      <c r="G665" s="30" t="s">
        <v>426</v>
      </c>
      <c r="H665" s="39" t="s">
        <v>6316</v>
      </c>
      <c r="I665" s="30" t="s">
        <v>6623</v>
      </c>
      <c r="J665" s="431" t="s">
        <v>6624</v>
      </c>
      <c r="K665" s="193" t="s">
        <v>62</v>
      </c>
      <c r="L665" s="193" t="s">
        <v>42</v>
      </c>
      <c r="M665" s="424" t="s">
        <v>101</v>
      </c>
      <c r="N665" s="424"/>
      <c r="O665" s="193" t="s">
        <v>40</v>
      </c>
      <c r="P665" s="425"/>
      <c r="Q665" s="139" t="s">
        <v>4074</v>
      </c>
      <c r="R665" s="390" t="s">
        <v>46</v>
      </c>
      <c r="S665" s="223"/>
      <c r="T665" s="110"/>
    </row>
    <row r="666" ht="31.5" hidden="1" customHeight="1">
      <c r="A666" s="193">
        <v>665.0</v>
      </c>
      <c r="B666" s="222">
        <v>46225.0</v>
      </c>
      <c r="C666" s="39" t="s">
        <v>21</v>
      </c>
      <c r="D666" s="26" t="s">
        <v>24</v>
      </c>
      <c r="E666" s="30" t="s">
        <v>463</v>
      </c>
      <c r="F666" s="147">
        <v>5.33443384E8</v>
      </c>
      <c r="G666" s="195" t="s">
        <v>41</v>
      </c>
      <c r="H666" s="39" t="s">
        <v>27</v>
      </c>
      <c r="I666" s="432" t="s">
        <v>6626</v>
      </c>
      <c r="J666" s="223"/>
      <c r="K666" s="193" t="s">
        <v>62</v>
      </c>
      <c r="L666" s="193"/>
      <c r="M666" s="424" t="s">
        <v>38</v>
      </c>
      <c r="N666" s="424"/>
      <c r="O666" s="425"/>
      <c r="P666" s="425"/>
      <c r="Q666" s="139" t="s">
        <v>4074</v>
      </c>
      <c r="R666" s="223"/>
      <c r="S666" s="223"/>
      <c r="T666" s="110"/>
    </row>
    <row r="667" ht="31.5" hidden="1" customHeight="1">
      <c r="A667" s="193">
        <v>666.0</v>
      </c>
      <c r="B667" s="222">
        <v>46225.0</v>
      </c>
      <c r="C667" s="39" t="s">
        <v>58</v>
      </c>
      <c r="D667" s="26" t="s">
        <v>60</v>
      </c>
      <c r="E667" s="39" t="s">
        <v>27</v>
      </c>
      <c r="F667" s="147">
        <v>5.74246113E8</v>
      </c>
      <c r="G667" s="193" t="s">
        <v>27</v>
      </c>
      <c r="H667" s="193" t="s">
        <v>27</v>
      </c>
      <c r="I667" s="117" t="s">
        <v>484</v>
      </c>
      <c r="J667" s="223"/>
      <c r="K667" s="193" t="s">
        <v>36</v>
      </c>
      <c r="L667" s="193"/>
      <c r="M667" s="424" t="s">
        <v>88</v>
      </c>
      <c r="N667" s="424"/>
      <c r="O667" s="425"/>
      <c r="P667" s="425"/>
      <c r="Q667" s="139" t="s">
        <v>4074</v>
      </c>
      <c r="R667" s="223"/>
      <c r="S667" s="223"/>
      <c r="T667" s="110"/>
    </row>
    <row r="668" ht="31.5" hidden="1" customHeight="1">
      <c r="A668" s="193">
        <v>667.0</v>
      </c>
      <c r="B668" s="222">
        <v>46225.0</v>
      </c>
      <c r="C668" s="39" t="s">
        <v>21</v>
      </c>
      <c r="D668" s="26" t="s">
        <v>22</v>
      </c>
      <c r="E668" s="433" t="s">
        <v>6632</v>
      </c>
      <c r="F668" s="147">
        <v>5.38666352E8</v>
      </c>
      <c r="G668" s="30" t="s">
        <v>28</v>
      </c>
      <c r="H668" s="39" t="s">
        <v>27</v>
      </c>
      <c r="I668" s="117" t="s">
        <v>6633</v>
      </c>
      <c r="J668" s="223"/>
      <c r="K668" s="193" t="s">
        <v>62</v>
      </c>
      <c r="L668" s="193"/>
      <c r="M668" s="424" t="s">
        <v>38</v>
      </c>
      <c r="N668" s="424"/>
      <c r="O668" s="425"/>
      <c r="P668" s="425"/>
      <c r="Q668" s="139" t="s">
        <v>4074</v>
      </c>
      <c r="R668" s="223"/>
      <c r="S668" s="223"/>
      <c r="T668" s="110"/>
    </row>
    <row r="669" ht="31.5" hidden="1" customHeight="1">
      <c r="A669" s="193">
        <v>668.0</v>
      </c>
      <c r="B669" s="222">
        <v>46225.0</v>
      </c>
      <c r="C669" s="39" t="s">
        <v>21</v>
      </c>
      <c r="D669" s="26" t="s">
        <v>22</v>
      </c>
      <c r="E669" s="434" t="s">
        <v>6635</v>
      </c>
      <c r="F669" s="147">
        <v>5.45220809E8</v>
      </c>
      <c r="G669" s="39" t="s">
        <v>27</v>
      </c>
      <c r="H669" s="39" t="s">
        <v>27</v>
      </c>
      <c r="I669" s="117" t="s">
        <v>6636</v>
      </c>
      <c r="J669" s="223"/>
      <c r="K669" s="193" t="s">
        <v>36</v>
      </c>
      <c r="L669" s="193"/>
      <c r="M669" s="424" t="s">
        <v>38</v>
      </c>
      <c r="N669" s="424"/>
      <c r="O669" s="425"/>
      <c r="P669" s="425"/>
      <c r="Q669" s="139" t="s">
        <v>4074</v>
      </c>
      <c r="R669" s="223"/>
      <c r="S669" s="223"/>
      <c r="T669" s="110"/>
    </row>
    <row r="670" ht="39.75" hidden="1" customHeight="1">
      <c r="A670" s="193">
        <v>669.0</v>
      </c>
      <c r="B670" s="222">
        <v>46225.0</v>
      </c>
      <c r="C670" s="39" t="s">
        <v>47</v>
      </c>
      <c r="D670" s="26" t="s">
        <v>48</v>
      </c>
      <c r="E670" s="30" t="s">
        <v>6639</v>
      </c>
      <c r="F670" s="397">
        <v>5.43617775E8</v>
      </c>
      <c r="G670" s="195" t="s">
        <v>79</v>
      </c>
      <c r="H670" s="39" t="s">
        <v>6640</v>
      </c>
      <c r="I670" s="117" t="s">
        <v>6641</v>
      </c>
      <c r="J670" s="225" t="s">
        <v>6642</v>
      </c>
      <c r="K670" s="193" t="s">
        <v>36</v>
      </c>
      <c r="L670" s="193" t="s">
        <v>42</v>
      </c>
      <c r="M670" s="195" t="s">
        <v>4915</v>
      </c>
      <c r="N670" s="195"/>
      <c r="O670" s="193" t="s">
        <v>56</v>
      </c>
      <c r="P670" s="195" t="s">
        <v>3566</v>
      </c>
      <c r="Q670" s="139" t="s">
        <v>4074</v>
      </c>
      <c r="R670" s="390" t="s">
        <v>46</v>
      </c>
      <c r="S670" s="223"/>
      <c r="T670" s="110"/>
    </row>
    <row r="671" ht="31.5" hidden="1" customHeight="1">
      <c r="A671" s="193">
        <v>670.0</v>
      </c>
      <c r="B671" s="222">
        <v>46225.0</v>
      </c>
      <c r="C671" s="39" t="s">
        <v>47</v>
      </c>
      <c r="D671" s="26" t="s">
        <v>92</v>
      </c>
      <c r="E671" s="30" t="s">
        <v>1911</v>
      </c>
      <c r="F671" s="147">
        <v>5.62607187E8</v>
      </c>
      <c r="G671" s="195" t="s">
        <v>71</v>
      </c>
      <c r="H671" s="39" t="s">
        <v>4393</v>
      </c>
      <c r="I671" s="117" t="s">
        <v>6645</v>
      </c>
      <c r="J671" s="225" t="s">
        <v>6646</v>
      </c>
      <c r="K671" s="193" t="s">
        <v>36</v>
      </c>
      <c r="L671" s="193"/>
      <c r="M671" s="424" t="s">
        <v>55</v>
      </c>
      <c r="N671" s="424"/>
      <c r="O671" s="193" t="s">
        <v>40</v>
      </c>
      <c r="P671" s="435"/>
      <c r="Q671" s="139" t="s">
        <v>4074</v>
      </c>
      <c r="R671" s="390" t="s">
        <v>46</v>
      </c>
      <c r="S671" s="223"/>
      <c r="T671" s="110"/>
    </row>
    <row r="672" ht="31.5" hidden="1" customHeight="1">
      <c r="A672" s="193">
        <v>671.0</v>
      </c>
      <c r="B672" s="222">
        <v>46225.0</v>
      </c>
      <c r="C672" s="39" t="s">
        <v>58</v>
      </c>
      <c r="D672" s="26" t="s">
        <v>60</v>
      </c>
      <c r="E672" s="39" t="s">
        <v>27</v>
      </c>
      <c r="F672" s="147">
        <v>5.57884232E8</v>
      </c>
      <c r="G672" s="39" t="s">
        <v>27</v>
      </c>
      <c r="H672" s="39" t="s">
        <v>27</v>
      </c>
      <c r="I672" s="117" t="s">
        <v>6647</v>
      </c>
      <c r="J672" s="223"/>
      <c r="K672" s="193" t="s">
        <v>36</v>
      </c>
      <c r="L672" s="193"/>
      <c r="M672" s="424" t="s">
        <v>88</v>
      </c>
      <c r="N672" s="424"/>
      <c r="O672" s="425"/>
      <c r="P672" s="425"/>
      <c r="Q672" s="139" t="s">
        <v>4074</v>
      </c>
      <c r="R672" s="223"/>
      <c r="S672" s="223"/>
      <c r="T672" s="110"/>
    </row>
    <row r="673" ht="31.5" hidden="1" customHeight="1">
      <c r="A673" s="193">
        <v>672.0</v>
      </c>
      <c r="B673" s="222">
        <v>46225.0</v>
      </c>
      <c r="C673" s="39" t="s">
        <v>58</v>
      </c>
      <c r="D673" s="26" t="s">
        <v>60</v>
      </c>
      <c r="E673" s="30" t="s">
        <v>6439</v>
      </c>
      <c r="F673" s="436">
        <v>5.08422601E8</v>
      </c>
      <c r="G673" s="39" t="s">
        <v>27</v>
      </c>
      <c r="H673" s="39" t="s">
        <v>27</v>
      </c>
      <c r="I673" s="117" t="s">
        <v>6650</v>
      </c>
      <c r="J673" s="223"/>
      <c r="K673" s="193" t="s">
        <v>36</v>
      </c>
      <c r="L673" s="193"/>
      <c r="M673" s="424" t="s">
        <v>88</v>
      </c>
      <c r="N673" s="424"/>
      <c r="O673" s="425"/>
      <c r="P673" s="425"/>
      <c r="Q673" s="139" t="s">
        <v>4074</v>
      </c>
      <c r="R673" s="223"/>
      <c r="S673" s="223"/>
      <c r="T673" s="110"/>
    </row>
    <row r="674" ht="31.5" hidden="1" customHeight="1">
      <c r="A674" s="193">
        <v>673.0</v>
      </c>
      <c r="B674" s="222">
        <v>46225.0</v>
      </c>
      <c r="C674" s="39" t="s">
        <v>21</v>
      </c>
      <c r="D674" s="26" t="s">
        <v>22</v>
      </c>
      <c r="E674" s="30" t="s">
        <v>4874</v>
      </c>
      <c r="F674" s="437">
        <v>5.57899224E8</v>
      </c>
      <c r="G674" s="30" t="s">
        <v>733</v>
      </c>
      <c r="H674" s="39" t="s">
        <v>27</v>
      </c>
      <c r="I674" s="117" t="s">
        <v>6653</v>
      </c>
      <c r="J674" s="223"/>
      <c r="K674" s="193" t="s">
        <v>36</v>
      </c>
      <c r="L674" s="193"/>
      <c r="M674" s="424" t="s">
        <v>38</v>
      </c>
      <c r="N674" s="424"/>
      <c r="O674" s="425"/>
      <c r="P674" s="425"/>
      <c r="Q674" s="139" t="s">
        <v>4074</v>
      </c>
      <c r="R674" s="223"/>
      <c r="S674" s="223"/>
      <c r="T674" s="110"/>
    </row>
    <row r="675" ht="31.5" hidden="1" customHeight="1">
      <c r="A675" s="193">
        <v>674.0</v>
      </c>
      <c r="B675" s="222">
        <v>46225.0</v>
      </c>
      <c r="C675" s="39" t="s">
        <v>21</v>
      </c>
      <c r="D675" s="26" t="s">
        <v>24</v>
      </c>
      <c r="E675" s="30" t="s">
        <v>3742</v>
      </c>
      <c r="F675" s="147">
        <v>5.75165013E8</v>
      </c>
      <c r="G675" s="195" t="s">
        <v>41</v>
      </c>
      <c r="H675" s="39" t="s">
        <v>27</v>
      </c>
      <c r="I675" s="167" t="s">
        <v>6657</v>
      </c>
      <c r="J675" s="223"/>
      <c r="K675" s="193" t="s">
        <v>36</v>
      </c>
      <c r="L675" s="193"/>
      <c r="M675" s="424" t="s">
        <v>38</v>
      </c>
      <c r="N675" s="424"/>
      <c r="O675" s="425"/>
      <c r="P675" s="425"/>
      <c r="Q675" s="139" t="s">
        <v>4074</v>
      </c>
      <c r="R675" s="223"/>
      <c r="S675" s="223"/>
      <c r="T675" s="110"/>
    </row>
    <row r="676" ht="31.5" hidden="1" customHeight="1">
      <c r="A676" s="193">
        <v>675.0</v>
      </c>
      <c r="B676" s="222">
        <v>46225.0</v>
      </c>
      <c r="C676" s="39" t="s">
        <v>21</v>
      </c>
      <c r="D676" s="26" t="s">
        <v>24</v>
      </c>
      <c r="E676" s="30" t="s">
        <v>108</v>
      </c>
      <c r="F676" s="436">
        <v>5.49075451E8</v>
      </c>
      <c r="G676" s="195" t="s">
        <v>41</v>
      </c>
      <c r="H676" s="39" t="s">
        <v>27</v>
      </c>
      <c r="I676" s="117" t="s">
        <v>6658</v>
      </c>
      <c r="J676" s="223"/>
      <c r="K676" s="193" t="s">
        <v>36</v>
      </c>
      <c r="L676" s="193"/>
      <c r="M676" s="424" t="s">
        <v>38</v>
      </c>
      <c r="N676" s="424"/>
      <c r="O676" s="425"/>
      <c r="P676" s="425"/>
      <c r="Q676" s="139" t="s">
        <v>4074</v>
      </c>
      <c r="R676" s="223"/>
      <c r="S676" s="223"/>
      <c r="T676" s="110"/>
    </row>
    <row r="677" ht="31.5" hidden="1" customHeight="1">
      <c r="A677" s="193">
        <v>676.0</v>
      </c>
      <c r="B677" s="222">
        <v>46225.0</v>
      </c>
      <c r="C677" s="39" t="s">
        <v>21</v>
      </c>
      <c r="D677" s="26" t="s">
        <v>24</v>
      </c>
      <c r="E677" s="30" t="s">
        <v>6662</v>
      </c>
      <c r="F677" s="436">
        <v>5.35393833E8</v>
      </c>
      <c r="G677" s="30" t="s">
        <v>1452</v>
      </c>
      <c r="H677" s="193" t="s">
        <v>27</v>
      </c>
      <c r="I677" s="117" t="s">
        <v>6664</v>
      </c>
      <c r="J677" s="223"/>
      <c r="K677" s="193" t="s">
        <v>36</v>
      </c>
      <c r="L677" s="193"/>
      <c r="M677" s="424" t="s">
        <v>38</v>
      </c>
      <c r="N677" s="424"/>
      <c r="O677" s="425"/>
      <c r="P677" s="425"/>
      <c r="Q677" s="139" t="s">
        <v>4074</v>
      </c>
      <c r="R677" s="223"/>
      <c r="S677" s="223"/>
      <c r="T677" s="110"/>
    </row>
    <row r="678" ht="57.75" hidden="1" customHeight="1">
      <c r="A678" s="193">
        <v>677.0</v>
      </c>
      <c r="B678" s="222">
        <v>46226.0</v>
      </c>
      <c r="C678" s="39" t="s">
        <v>21</v>
      </c>
      <c r="D678" s="26" t="s">
        <v>22</v>
      </c>
      <c r="E678" s="30" t="s">
        <v>6665</v>
      </c>
      <c r="F678" s="147">
        <v>5.40585517E8</v>
      </c>
      <c r="G678" s="193" t="s">
        <v>27</v>
      </c>
      <c r="H678" s="193" t="s">
        <v>27</v>
      </c>
      <c r="I678" s="117" t="s">
        <v>6666</v>
      </c>
      <c r="J678" s="223"/>
      <c r="K678" s="193" t="s">
        <v>62</v>
      </c>
      <c r="L678" s="193"/>
      <c r="M678" s="225" t="s">
        <v>38</v>
      </c>
      <c r="N678" s="225"/>
      <c r="O678" s="223"/>
      <c r="P678" s="223"/>
      <c r="Q678" s="139" t="s">
        <v>4074</v>
      </c>
      <c r="R678" s="223"/>
      <c r="S678" s="223"/>
      <c r="T678" s="110"/>
    </row>
    <row r="679" ht="31.5" hidden="1" customHeight="1">
      <c r="A679" s="193">
        <v>678.0</v>
      </c>
      <c r="B679" s="222">
        <v>46226.0</v>
      </c>
      <c r="C679" s="39" t="s">
        <v>58</v>
      </c>
      <c r="D679" s="26" t="s">
        <v>34</v>
      </c>
      <c r="E679" s="39" t="s">
        <v>27</v>
      </c>
      <c r="F679" s="147">
        <v>5.5599067E8</v>
      </c>
      <c r="G679" s="39" t="s">
        <v>27</v>
      </c>
      <c r="H679" s="39" t="s">
        <v>27</v>
      </c>
      <c r="I679" s="117" t="s">
        <v>6667</v>
      </c>
      <c r="J679" s="223"/>
      <c r="K679" s="193" t="s">
        <v>36</v>
      </c>
      <c r="L679" s="193"/>
      <c r="M679" s="225" t="s">
        <v>88</v>
      </c>
      <c r="N679" s="225"/>
      <c r="O679" s="223"/>
      <c r="P679" s="223"/>
      <c r="Q679" s="139" t="s">
        <v>4074</v>
      </c>
      <c r="R679" s="223"/>
      <c r="S679" s="223"/>
      <c r="T679" s="110"/>
    </row>
    <row r="680" ht="31.5" hidden="1" customHeight="1">
      <c r="A680" s="193">
        <v>679.0</v>
      </c>
      <c r="B680" s="222">
        <v>46226.0</v>
      </c>
      <c r="C680" s="39" t="s">
        <v>58</v>
      </c>
      <c r="D680" s="26" t="s">
        <v>60</v>
      </c>
      <c r="E680" s="193" t="s">
        <v>27</v>
      </c>
      <c r="F680" s="147">
        <v>5.30000888E8</v>
      </c>
      <c r="G680" s="193" t="s">
        <v>27</v>
      </c>
      <c r="H680" s="193" t="s">
        <v>27</v>
      </c>
      <c r="I680" s="117" t="s">
        <v>6670</v>
      </c>
      <c r="J680" s="223"/>
      <c r="K680" s="193" t="s">
        <v>36</v>
      </c>
      <c r="L680" s="193"/>
      <c r="M680" s="225" t="s">
        <v>88</v>
      </c>
      <c r="N680" s="225"/>
      <c r="O680" s="223"/>
      <c r="P680" s="223"/>
      <c r="Q680" s="139" t="s">
        <v>4074</v>
      </c>
      <c r="R680" s="223"/>
      <c r="S680" s="223"/>
      <c r="T680" s="110"/>
    </row>
    <row r="681" ht="31.5" hidden="1" customHeight="1">
      <c r="A681" s="193">
        <v>680.0</v>
      </c>
      <c r="B681" s="222">
        <v>46226.0</v>
      </c>
      <c r="C681" s="39" t="s">
        <v>3766</v>
      </c>
      <c r="D681" s="26" t="s">
        <v>92</v>
      </c>
      <c r="E681" s="438" t="s">
        <v>6672</v>
      </c>
      <c r="F681" s="147">
        <v>5.4190759E8</v>
      </c>
      <c r="G681" s="195" t="s">
        <v>71</v>
      </c>
      <c r="H681" s="39" t="s">
        <v>6674</v>
      </c>
      <c r="I681" s="439" t="s">
        <v>6675</v>
      </c>
      <c r="J681" s="223"/>
      <c r="K681" s="193" t="s">
        <v>148</v>
      </c>
      <c r="L681" s="193"/>
      <c r="M681" s="225" t="s">
        <v>3776</v>
      </c>
      <c r="N681" s="225"/>
      <c r="O681" s="193" t="s">
        <v>40</v>
      </c>
      <c r="P681" s="223"/>
      <c r="Q681" s="139" t="s">
        <v>4074</v>
      </c>
      <c r="R681" s="223"/>
      <c r="S681" s="223"/>
      <c r="T681" s="110"/>
    </row>
    <row r="682" ht="31.5" hidden="1" customHeight="1">
      <c r="A682" s="193">
        <v>681.0</v>
      </c>
      <c r="B682" s="222">
        <v>46226.0</v>
      </c>
      <c r="C682" s="39" t="s">
        <v>47</v>
      </c>
      <c r="D682" s="26" t="s">
        <v>138</v>
      </c>
      <c r="E682" s="39" t="s">
        <v>27</v>
      </c>
      <c r="F682" s="147" t="s">
        <v>27</v>
      </c>
      <c r="G682" s="195" t="s">
        <v>41</v>
      </c>
      <c r="H682" s="39" t="s">
        <v>577</v>
      </c>
      <c r="I682" s="439" t="s">
        <v>6678</v>
      </c>
      <c r="J682" s="223"/>
      <c r="K682" s="193" t="s">
        <v>148</v>
      </c>
      <c r="L682" s="193"/>
      <c r="M682" s="225" t="s">
        <v>150</v>
      </c>
      <c r="N682" s="225"/>
      <c r="O682" s="193" t="s">
        <v>40</v>
      </c>
      <c r="P682" s="223"/>
      <c r="Q682" s="139" t="s">
        <v>4074</v>
      </c>
      <c r="R682" s="390" t="s">
        <v>46</v>
      </c>
      <c r="S682" s="223"/>
      <c r="T682" s="110"/>
    </row>
    <row r="683" ht="48.75" hidden="1" customHeight="1">
      <c r="A683" s="193">
        <v>682.0</v>
      </c>
      <c r="B683" s="222">
        <v>46226.0</v>
      </c>
      <c r="C683" s="39" t="s">
        <v>47</v>
      </c>
      <c r="D683" s="26" t="s">
        <v>48</v>
      </c>
      <c r="E683" s="39" t="s">
        <v>27</v>
      </c>
      <c r="F683" s="147" t="s">
        <v>27</v>
      </c>
      <c r="G683" s="30" t="s">
        <v>333</v>
      </c>
      <c r="H683" s="39" t="s">
        <v>6321</v>
      </c>
      <c r="I683" s="30" t="s">
        <v>6680</v>
      </c>
      <c r="J683" s="225" t="s">
        <v>6681</v>
      </c>
      <c r="K683" s="193" t="s">
        <v>78</v>
      </c>
      <c r="L683" s="193" t="s">
        <v>42</v>
      </c>
      <c r="M683" s="225" t="s">
        <v>101</v>
      </c>
      <c r="N683" s="225"/>
      <c r="O683" s="193" t="s">
        <v>40</v>
      </c>
      <c r="P683" s="223"/>
      <c r="Q683" s="139" t="s">
        <v>4074</v>
      </c>
      <c r="R683" s="390" t="s">
        <v>46</v>
      </c>
      <c r="S683" s="223"/>
      <c r="T683" s="110"/>
    </row>
    <row r="684" ht="31.5" hidden="1" customHeight="1">
      <c r="A684" s="193">
        <v>683.0</v>
      </c>
      <c r="B684" s="222">
        <v>46226.0</v>
      </c>
      <c r="C684" s="39" t="s">
        <v>47</v>
      </c>
      <c r="D684" s="26" t="s">
        <v>48</v>
      </c>
      <c r="E684" s="30" t="s">
        <v>6684</v>
      </c>
      <c r="F684" s="147" t="s">
        <v>27</v>
      </c>
      <c r="G684" s="30" t="s">
        <v>426</v>
      </c>
      <c r="H684" s="33" t="s">
        <v>6685</v>
      </c>
      <c r="I684" s="39" t="s">
        <v>6686</v>
      </c>
      <c r="J684" s="223"/>
      <c r="K684" s="193" t="s">
        <v>78</v>
      </c>
      <c r="L684" s="193" t="s">
        <v>518</v>
      </c>
      <c r="M684" s="225" t="s">
        <v>101</v>
      </c>
      <c r="N684" s="225"/>
      <c r="O684" s="193" t="s">
        <v>40</v>
      </c>
      <c r="P684" s="223"/>
      <c r="Q684" s="139" t="s">
        <v>4074</v>
      </c>
      <c r="R684" s="390" t="s">
        <v>46</v>
      </c>
      <c r="S684" s="223"/>
      <c r="T684" s="110"/>
    </row>
    <row r="685" ht="60.75" hidden="1" customHeight="1">
      <c r="A685" s="193">
        <v>684.0</v>
      </c>
      <c r="B685" s="222">
        <v>46226.0</v>
      </c>
      <c r="C685" s="39" t="s">
        <v>47</v>
      </c>
      <c r="D685" s="26" t="s">
        <v>48</v>
      </c>
      <c r="E685" s="30" t="s">
        <v>1330</v>
      </c>
      <c r="F685" s="147">
        <v>5.00820011E8</v>
      </c>
      <c r="G685" s="195" t="s">
        <v>41</v>
      </c>
      <c r="H685" s="39" t="s">
        <v>2375</v>
      </c>
      <c r="I685" s="30" t="s">
        <v>6689</v>
      </c>
      <c r="J685" s="225" t="s">
        <v>6690</v>
      </c>
      <c r="K685" s="193" t="s">
        <v>36</v>
      </c>
      <c r="L685" s="193" t="s">
        <v>42</v>
      </c>
      <c r="M685" s="225" t="s">
        <v>101</v>
      </c>
      <c r="N685" s="225"/>
      <c r="O685" s="193" t="s">
        <v>40</v>
      </c>
      <c r="P685" s="223"/>
      <c r="Q685" s="139" t="s">
        <v>4074</v>
      </c>
      <c r="R685" s="390" t="s">
        <v>46</v>
      </c>
      <c r="S685" s="223"/>
      <c r="T685" s="110"/>
    </row>
    <row r="686" ht="31.5" hidden="1" customHeight="1">
      <c r="A686" s="193">
        <v>685.0</v>
      </c>
      <c r="B686" s="222">
        <v>46226.0</v>
      </c>
      <c r="C686" s="39" t="s">
        <v>47</v>
      </c>
      <c r="D686" s="26" t="s">
        <v>367</v>
      </c>
      <c r="E686" s="30" t="s">
        <v>6692</v>
      </c>
      <c r="F686" s="147">
        <v>5.00389648E8</v>
      </c>
      <c r="G686" s="30" t="s">
        <v>237</v>
      </c>
      <c r="H686" s="39" t="s">
        <v>5220</v>
      </c>
      <c r="I686" s="117" t="s">
        <v>6693</v>
      </c>
      <c r="J686" s="223"/>
      <c r="K686" s="193" t="s">
        <v>148</v>
      </c>
      <c r="L686" s="193"/>
      <c r="M686" s="225" t="s">
        <v>55</v>
      </c>
      <c r="N686" s="225"/>
      <c r="O686" s="193" t="s">
        <v>40</v>
      </c>
      <c r="P686" s="223"/>
      <c r="Q686" s="139" t="s">
        <v>44</v>
      </c>
      <c r="R686" s="390" t="s">
        <v>46</v>
      </c>
      <c r="S686" s="390"/>
      <c r="T686" s="110"/>
    </row>
    <row r="687" ht="31.5" hidden="1" customHeight="1">
      <c r="A687" s="193">
        <v>686.0</v>
      </c>
      <c r="B687" s="222">
        <v>46226.0</v>
      </c>
      <c r="C687" s="39" t="s">
        <v>47</v>
      </c>
      <c r="D687" s="26" t="s">
        <v>48</v>
      </c>
      <c r="E687" s="39" t="s">
        <v>416</v>
      </c>
      <c r="F687" s="147">
        <v>5.34858902E8</v>
      </c>
      <c r="G687" s="30" t="s">
        <v>28</v>
      </c>
      <c r="H687" s="33" t="s">
        <v>548</v>
      </c>
      <c r="I687" s="30" t="s">
        <v>6694</v>
      </c>
      <c r="J687" s="225" t="s">
        <v>6695</v>
      </c>
      <c r="K687" s="193" t="s">
        <v>148</v>
      </c>
      <c r="L687" s="193" t="s">
        <v>42</v>
      </c>
      <c r="M687" s="225" t="s">
        <v>2247</v>
      </c>
      <c r="N687" s="225"/>
      <c r="O687" s="193" t="s">
        <v>40</v>
      </c>
      <c r="P687" s="223"/>
      <c r="Q687" s="139" t="s">
        <v>44</v>
      </c>
      <c r="R687" s="390" t="s">
        <v>46</v>
      </c>
      <c r="S687" s="390"/>
      <c r="T687" s="110"/>
    </row>
    <row r="688" ht="31.5" hidden="1" customHeight="1">
      <c r="A688" s="193">
        <v>687.0</v>
      </c>
      <c r="B688" s="222">
        <v>46226.0</v>
      </c>
      <c r="C688" s="39" t="s">
        <v>21</v>
      </c>
      <c r="D688" s="26" t="s">
        <v>22</v>
      </c>
      <c r="E688" s="30" t="s">
        <v>1911</v>
      </c>
      <c r="F688" s="147">
        <v>5.56219014E8</v>
      </c>
      <c r="G688" s="39" t="s">
        <v>27</v>
      </c>
      <c r="H688" s="39" t="s">
        <v>27</v>
      </c>
      <c r="I688" s="117" t="s">
        <v>6698</v>
      </c>
      <c r="J688" s="223"/>
      <c r="K688" s="193" t="s">
        <v>36</v>
      </c>
      <c r="L688" s="193"/>
      <c r="M688" s="225" t="s">
        <v>38</v>
      </c>
      <c r="N688" s="225"/>
      <c r="O688" s="223"/>
      <c r="P688" s="223"/>
      <c r="Q688" s="139" t="s">
        <v>4074</v>
      </c>
      <c r="R688" s="223"/>
      <c r="S688" s="223"/>
      <c r="T688" s="110"/>
    </row>
    <row r="689" ht="31.5" hidden="1" customHeight="1">
      <c r="A689" s="193">
        <v>688.0</v>
      </c>
      <c r="B689" s="222">
        <v>46226.0</v>
      </c>
      <c r="C689" s="39" t="s">
        <v>21</v>
      </c>
      <c r="D689" s="26" t="s">
        <v>22</v>
      </c>
      <c r="E689" s="30" t="s">
        <v>6699</v>
      </c>
      <c r="F689" s="147">
        <v>5.62771611E8</v>
      </c>
      <c r="G689" s="30" t="s">
        <v>6700</v>
      </c>
      <c r="H689" s="39" t="s">
        <v>27</v>
      </c>
      <c r="I689" s="117" t="s">
        <v>6701</v>
      </c>
      <c r="J689" s="223"/>
      <c r="K689" s="193" t="s">
        <v>62</v>
      </c>
      <c r="L689" s="193"/>
      <c r="M689" s="225" t="s">
        <v>38</v>
      </c>
      <c r="N689" s="225"/>
      <c r="O689" s="223"/>
      <c r="P689" s="223"/>
      <c r="Q689" s="139" t="s">
        <v>4074</v>
      </c>
      <c r="R689" s="223"/>
      <c r="S689" s="223"/>
      <c r="T689" s="110"/>
    </row>
    <row r="690" ht="31.5" hidden="1" customHeight="1">
      <c r="A690" s="193">
        <v>689.0</v>
      </c>
      <c r="B690" s="222">
        <v>46226.0</v>
      </c>
      <c r="C690" s="39" t="s">
        <v>58</v>
      </c>
      <c r="D690" s="26" t="s">
        <v>57</v>
      </c>
      <c r="E690" s="30" t="s">
        <v>6705</v>
      </c>
      <c r="F690" s="147">
        <v>5.0851991E8</v>
      </c>
      <c r="G690" s="193" t="s">
        <v>27</v>
      </c>
      <c r="H690" s="193" t="s">
        <v>27</v>
      </c>
      <c r="I690" s="117" t="s">
        <v>6670</v>
      </c>
      <c r="J690" s="223"/>
      <c r="K690" s="193" t="s">
        <v>36</v>
      </c>
      <c r="L690" s="193"/>
      <c r="M690" s="225" t="s">
        <v>88</v>
      </c>
      <c r="N690" s="225"/>
      <c r="O690" s="223"/>
      <c r="P690" s="223"/>
      <c r="Q690" s="139" t="s">
        <v>4074</v>
      </c>
      <c r="R690" s="223"/>
      <c r="S690" s="223"/>
      <c r="T690" s="110"/>
    </row>
    <row r="691" ht="31.5" hidden="1" customHeight="1">
      <c r="A691" s="193">
        <v>690.0</v>
      </c>
      <c r="B691" s="222">
        <v>46226.0</v>
      </c>
      <c r="C691" s="39" t="s">
        <v>58</v>
      </c>
      <c r="D691" s="26" t="s">
        <v>60</v>
      </c>
      <c r="E691" s="39" t="s">
        <v>27</v>
      </c>
      <c r="F691" s="147">
        <v>5.56460545E8</v>
      </c>
      <c r="G691" s="193" t="s">
        <v>27</v>
      </c>
      <c r="H691" s="193" t="s">
        <v>27</v>
      </c>
      <c r="I691" s="117" t="s">
        <v>6706</v>
      </c>
      <c r="J691" s="223"/>
      <c r="K691" s="193" t="s">
        <v>62</v>
      </c>
      <c r="L691" s="193"/>
      <c r="M691" s="225" t="s">
        <v>88</v>
      </c>
      <c r="N691" s="225"/>
      <c r="O691" s="223"/>
      <c r="P691" s="223"/>
      <c r="Q691" s="139" t="s">
        <v>4074</v>
      </c>
      <c r="R691" s="223"/>
      <c r="S691" s="223"/>
      <c r="T691" s="110"/>
    </row>
    <row r="692" ht="31.5" hidden="1" customHeight="1">
      <c r="A692" s="193">
        <v>691.0</v>
      </c>
      <c r="B692" s="222">
        <v>46226.0</v>
      </c>
      <c r="C692" s="39" t="s">
        <v>21</v>
      </c>
      <c r="D692" s="26" t="s">
        <v>34</v>
      </c>
      <c r="E692" s="30" t="s">
        <v>6189</v>
      </c>
      <c r="F692" s="147">
        <v>5.5538992E8</v>
      </c>
      <c r="G692" s="39" t="s">
        <v>27</v>
      </c>
      <c r="H692" s="39" t="s">
        <v>27</v>
      </c>
      <c r="I692" s="117" t="s">
        <v>6708</v>
      </c>
      <c r="J692" s="223"/>
      <c r="K692" s="193" t="s">
        <v>36</v>
      </c>
      <c r="L692" s="193"/>
      <c r="M692" s="225" t="s">
        <v>38</v>
      </c>
      <c r="N692" s="225"/>
      <c r="O692" s="223"/>
      <c r="P692" s="223"/>
      <c r="Q692" s="139" t="s">
        <v>4074</v>
      </c>
      <c r="R692" s="223"/>
      <c r="S692" s="223"/>
      <c r="T692" s="110"/>
    </row>
    <row r="693" ht="31.5" hidden="1" customHeight="1">
      <c r="A693" s="193">
        <v>692.0</v>
      </c>
      <c r="B693" s="222">
        <v>46226.0</v>
      </c>
      <c r="C693" s="39" t="s">
        <v>21</v>
      </c>
      <c r="D693" s="26" t="s">
        <v>60</v>
      </c>
      <c r="E693" s="30" t="s">
        <v>6712</v>
      </c>
      <c r="F693" s="147">
        <v>5.07519626E8</v>
      </c>
      <c r="G693" s="39" t="s">
        <v>27</v>
      </c>
      <c r="H693" s="39" t="s">
        <v>27</v>
      </c>
      <c r="I693" s="117" t="s">
        <v>6713</v>
      </c>
      <c r="J693" s="225" t="s">
        <v>6714</v>
      </c>
      <c r="K693" s="193" t="s">
        <v>62</v>
      </c>
      <c r="L693" s="193" t="s">
        <v>518</v>
      </c>
      <c r="M693" s="303" t="s">
        <v>6002</v>
      </c>
      <c r="N693" s="225"/>
      <c r="O693" s="193" t="s">
        <v>56</v>
      </c>
      <c r="P693" s="193" t="s">
        <v>4129</v>
      </c>
      <c r="Q693" s="139" t="s">
        <v>4074</v>
      </c>
      <c r="R693" s="223"/>
      <c r="S693" s="223"/>
      <c r="T693" s="110"/>
    </row>
    <row r="694" ht="31.5" hidden="1" customHeight="1">
      <c r="A694" s="193">
        <v>693.0</v>
      </c>
      <c r="B694" s="222">
        <v>46226.0</v>
      </c>
      <c r="C694" s="39" t="s">
        <v>21</v>
      </c>
      <c r="D694" s="26" t="s">
        <v>939</v>
      </c>
      <c r="E694" s="30" t="s">
        <v>6717</v>
      </c>
      <c r="F694" s="137">
        <v>5.39044804E8</v>
      </c>
      <c r="G694" s="39" t="s">
        <v>27</v>
      </c>
      <c r="H694" s="39" t="s">
        <v>27</v>
      </c>
      <c r="I694" s="117" t="s">
        <v>6718</v>
      </c>
      <c r="J694" s="223"/>
      <c r="K694" s="193" t="s">
        <v>36</v>
      </c>
      <c r="L694" s="193"/>
      <c r="M694" s="225" t="s">
        <v>38</v>
      </c>
      <c r="N694" s="225"/>
      <c r="O694" s="223"/>
      <c r="P694" s="223"/>
      <c r="Q694" s="139" t="s">
        <v>4074</v>
      </c>
      <c r="R694" s="223"/>
      <c r="S694" s="223"/>
      <c r="T694" s="110"/>
    </row>
    <row r="695" ht="31.5" hidden="1" customHeight="1">
      <c r="A695" s="193">
        <v>694.0</v>
      </c>
      <c r="B695" s="222">
        <v>46226.0</v>
      </c>
      <c r="C695" s="39" t="s">
        <v>47</v>
      </c>
      <c r="D695" s="26" t="s">
        <v>48</v>
      </c>
      <c r="E695" s="30" t="s">
        <v>1330</v>
      </c>
      <c r="F695" s="147">
        <v>5.55570443E8</v>
      </c>
      <c r="G695" s="195" t="s">
        <v>41</v>
      </c>
      <c r="H695" s="39" t="s">
        <v>6720</v>
      </c>
      <c r="I695" s="30" t="s">
        <v>6721</v>
      </c>
      <c r="J695" s="225" t="s">
        <v>6723</v>
      </c>
      <c r="K695" s="193" t="s">
        <v>36</v>
      </c>
      <c r="L695" s="193" t="s">
        <v>42</v>
      </c>
      <c r="M695" s="225" t="s">
        <v>611</v>
      </c>
      <c r="N695" s="225"/>
      <c r="O695" s="193" t="s">
        <v>40</v>
      </c>
      <c r="P695" s="223"/>
      <c r="Q695" s="139" t="s">
        <v>4074</v>
      </c>
      <c r="R695" s="390" t="s">
        <v>46</v>
      </c>
      <c r="S695" s="223"/>
      <c r="T695" s="110"/>
    </row>
    <row r="696" ht="31.5" hidden="1" customHeight="1">
      <c r="A696" s="193">
        <v>695.0</v>
      </c>
      <c r="B696" s="222">
        <v>46226.0</v>
      </c>
      <c r="C696" s="39" t="s">
        <v>58</v>
      </c>
      <c r="D696" s="26" t="s">
        <v>57</v>
      </c>
      <c r="E696" s="39" t="s">
        <v>6724</v>
      </c>
      <c r="F696" s="147">
        <v>5.9696967E8</v>
      </c>
      <c r="G696" s="193" t="s">
        <v>27</v>
      </c>
      <c r="H696" s="193" t="s">
        <v>27</v>
      </c>
      <c r="I696" s="429" t="s">
        <v>6725</v>
      </c>
      <c r="J696" s="225" t="s">
        <v>6477</v>
      </c>
      <c r="K696" s="193" t="s">
        <v>62</v>
      </c>
      <c r="L696" s="193"/>
      <c r="M696" s="225" t="s">
        <v>88</v>
      </c>
      <c r="N696" s="225"/>
      <c r="O696" s="223"/>
      <c r="P696" s="223"/>
      <c r="Q696" s="139" t="s">
        <v>44</v>
      </c>
      <c r="R696" s="223"/>
      <c r="S696" s="223"/>
      <c r="T696" s="110"/>
    </row>
    <row r="697" ht="31.5" hidden="1" customHeight="1">
      <c r="A697" s="193">
        <v>696.0</v>
      </c>
      <c r="B697" s="222">
        <v>46226.0</v>
      </c>
      <c r="C697" s="39" t="s">
        <v>58</v>
      </c>
      <c r="D697" s="26" t="s">
        <v>60</v>
      </c>
      <c r="E697" s="39" t="s">
        <v>6728</v>
      </c>
      <c r="F697" s="147">
        <v>5.48316806E8</v>
      </c>
      <c r="G697" s="193" t="s">
        <v>27</v>
      </c>
      <c r="H697" s="193" t="s">
        <v>27</v>
      </c>
      <c r="I697" s="117" t="s">
        <v>6729</v>
      </c>
      <c r="J697" s="225" t="s">
        <v>6730</v>
      </c>
      <c r="K697" s="193" t="s">
        <v>62</v>
      </c>
      <c r="L697" s="193"/>
      <c r="M697" s="225" t="s">
        <v>88</v>
      </c>
      <c r="N697" s="225"/>
      <c r="O697" s="223"/>
      <c r="P697" s="223"/>
      <c r="Q697" s="139" t="s">
        <v>44</v>
      </c>
      <c r="R697" s="223"/>
      <c r="S697" s="223"/>
      <c r="T697" s="110"/>
    </row>
    <row r="698" ht="31.5" hidden="1" customHeight="1">
      <c r="A698" s="193">
        <v>697.0</v>
      </c>
      <c r="B698" s="222">
        <v>46226.0</v>
      </c>
      <c r="C698" s="39" t="s">
        <v>21</v>
      </c>
      <c r="D698" s="26" t="s">
        <v>24</v>
      </c>
      <c r="E698" s="39" t="s">
        <v>27</v>
      </c>
      <c r="F698" s="147">
        <v>5.78633237E8</v>
      </c>
      <c r="G698" s="195" t="s">
        <v>41</v>
      </c>
      <c r="H698" s="193" t="s">
        <v>27</v>
      </c>
      <c r="I698" s="117" t="s">
        <v>6732</v>
      </c>
      <c r="J698" s="223"/>
      <c r="K698" s="193" t="s">
        <v>62</v>
      </c>
      <c r="L698" s="193"/>
      <c r="M698" s="225" t="s">
        <v>38</v>
      </c>
      <c r="N698" s="225"/>
      <c r="O698" s="223"/>
      <c r="P698" s="223"/>
      <c r="Q698" s="139" t="s">
        <v>44</v>
      </c>
      <c r="R698" s="223"/>
      <c r="S698" s="223"/>
      <c r="T698" s="110"/>
    </row>
    <row r="699" ht="31.5" hidden="1" customHeight="1">
      <c r="A699" s="193">
        <v>698.0</v>
      </c>
      <c r="B699" s="222">
        <v>46226.0</v>
      </c>
      <c r="C699" s="39" t="s">
        <v>58</v>
      </c>
      <c r="D699" s="26" t="s">
        <v>60</v>
      </c>
      <c r="E699" s="30" t="s">
        <v>6734</v>
      </c>
      <c r="F699" s="147">
        <v>5.3092902E8</v>
      </c>
      <c r="G699" s="193" t="s">
        <v>27</v>
      </c>
      <c r="H699" s="193" t="s">
        <v>27</v>
      </c>
      <c r="I699" s="117" t="s">
        <v>6735</v>
      </c>
      <c r="J699" s="225" t="s">
        <v>6736</v>
      </c>
      <c r="K699" s="193" t="s">
        <v>62</v>
      </c>
      <c r="L699" s="193"/>
      <c r="M699" s="225" t="s">
        <v>88</v>
      </c>
      <c r="N699" s="225"/>
      <c r="O699" s="223"/>
      <c r="P699" s="223"/>
      <c r="Q699" s="139" t="s">
        <v>44</v>
      </c>
      <c r="R699" s="223"/>
      <c r="S699" s="223"/>
      <c r="T699" s="110"/>
    </row>
    <row r="700" ht="42.75" hidden="1" customHeight="1">
      <c r="A700" s="193">
        <v>699.0</v>
      </c>
      <c r="B700" s="222">
        <v>46226.0</v>
      </c>
      <c r="C700" s="39" t="s">
        <v>47</v>
      </c>
      <c r="D700" s="26" t="s">
        <v>48</v>
      </c>
      <c r="E700" s="30" t="s">
        <v>6739</v>
      </c>
      <c r="F700" s="147">
        <v>5.03140067E8</v>
      </c>
      <c r="G700" s="30" t="s">
        <v>362</v>
      </c>
      <c r="H700" s="39" t="s">
        <v>1029</v>
      </c>
      <c r="I700" s="30" t="s">
        <v>6740</v>
      </c>
      <c r="J700" s="223"/>
      <c r="K700" s="193" t="s">
        <v>62</v>
      </c>
      <c r="L700" s="193" t="s">
        <v>42</v>
      </c>
      <c r="M700" s="225" t="s">
        <v>101</v>
      </c>
      <c r="N700" s="225"/>
      <c r="O700" s="193" t="s">
        <v>40</v>
      </c>
      <c r="P700" s="223"/>
      <c r="Q700" s="139" t="s">
        <v>44</v>
      </c>
      <c r="R700" s="390" t="s">
        <v>46</v>
      </c>
      <c r="S700" s="390" t="s">
        <v>44</v>
      </c>
      <c r="T700" s="110"/>
    </row>
    <row r="701" ht="43.5" hidden="1" customHeight="1">
      <c r="A701" s="193">
        <v>700.0</v>
      </c>
      <c r="B701" s="222">
        <v>46226.0</v>
      </c>
      <c r="C701" s="39" t="s">
        <v>21</v>
      </c>
      <c r="D701" s="26" t="s">
        <v>57</v>
      </c>
      <c r="E701" s="30" t="s">
        <v>6743</v>
      </c>
      <c r="F701" s="147">
        <v>5.30011612E8</v>
      </c>
      <c r="G701" s="39" t="s">
        <v>27</v>
      </c>
      <c r="H701" s="39" t="s">
        <v>27</v>
      </c>
      <c r="I701" s="117" t="s">
        <v>6744</v>
      </c>
      <c r="J701" s="225" t="s">
        <v>6745</v>
      </c>
      <c r="K701" s="193" t="s">
        <v>62</v>
      </c>
      <c r="L701" s="193"/>
      <c r="M701" s="225" t="s">
        <v>38</v>
      </c>
      <c r="N701" s="225"/>
      <c r="O701" s="223"/>
      <c r="P701" s="223"/>
      <c r="Q701" s="139" t="s">
        <v>44</v>
      </c>
      <c r="R701" s="223"/>
      <c r="S701" s="223"/>
      <c r="T701" s="110"/>
    </row>
    <row r="702" ht="31.5" hidden="1" customHeight="1">
      <c r="A702" s="193">
        <v>701.0</v>
      </c>
      <c r="B702" s="222">
        <v>46229.0</v>
      </c>
      <c r="C702" s="39" t="s">
        <v>58</v>
      </c>
      <c r="D702" s="26" t="s">
        <v>60</v>
      </c>
      <c r="E702" s="39" t="s">
        <v>27</v>
      </c>
      <c r="F702" s="147">
        <v>5.51203319E8</v>
      </c>
      <c r="G702" s="39" t="s">
        <v>27</v>
      </c>
      <c r="H702" s="39" t="s">
        <v>27</v>
      </c>
      <c r="I702" s="117" t="s">
        <v>6748</v>
      </c>
      <c r="J702" s="223"/>
      <c r="K702" s="193" t="s">
        <v>36</v>
      </c>
      <c r="L702" s="193"/>
      <c r="M702" s="225" t="s">
        <v>88</v>
      </c>
      <c r="N702" s="225"/>
      <c r="O702" s="223"/>
      <c r="P702" s="223"/>
      <c r="Q702" s="139" t="s">
        <v>4074</v>
      </c>
      <c r="R702" s="223"/>
      <c r="S702" s="223"/>
      <c r="T702" s="110"/>
    </row>
    <row r="703" ht="31.5" hidden="1" customHeight="1">
      <c r="A703" s="193">
        <v>702.0</v>
      </c>
      <c r="B703" s="222">
        <v>46229.0</v>
      </c>
      <c r="C703" s="39" t="s">
        <v>58</v>
      </c>
      <c r="D703" s="26" t="s">
        <v>60</v>
      </c>
      <c r="E703" s="39" t="s">
        <v>27</v>
      </c>
      <c r="F703" s="137">
        <v>5.57334141E8</v>
      </c>
      <c r="G703" s="39" t="s">
        <v>27</v>
      </c>
      <c r="H703" s="39" t="s">
        <v>27</v>
      </c>
      <c r="I703" s="117" t="s">
        <v>6749</v>
      </c>
      <c r="J703" s="223"/>
      <c r="K703" s="193" t="s">
        <v>65</v>
      </c>
      <c r="L703" s="193"/>
      <c r="M703" s="225" t="s">
        <v>38</v>
      </c>
      <c r="N703" s="225"/>
      <c r="O703" s="223"/>
      <c r="P703" s="223"/>
      <c r="Q703" s="139" t="s">
        <v>4074</v>
      </c>
      <c r="R703" s="223"/>
      <c r="S703" s="223"/>
      <c r="T703" s="110"/>
    </row>
    <row r="704" ht="31.5" hidden="1" customHeight="1">
      <c r="A704" s="193">
        <v>703.0</v>
      </c>
      <c r="B704" s="222">
        <v>46229.0</v>
      </c>
      <c r="C704" s="39" t="s">
        <v>58</v>
      </c>
      <c r="D704" s="26" t="s">
        <v>60</v>
      </c>
      <c r="E704" s="39" t="s">
        <v>27</v>
      </c>
      <c r="F704" s="137">
        <v>5.62332301E8</v>
      </c>
      <c r="G704" s="39" t="s">
        <v>27</v>
      </c>
      <c r="H704" s="39" t="s">
        <v>27</v>
      </c>
      <c r="I704" s="117" t="s">
        <v>6753</v>
      </c>
      <c r="J704" s="223"/>
      <c r="K704" s="193" t="s">
        <v>65</v>
      </c>
      <c r="L704" s="193"/>
      <c r="M704" s="225" t="s">
        <v>38</v>
      </c>
      <c r="N704" s="225"/>
      <c r="O704" s="223"/>
      <c r="P704" s="223"/>
      <c r="Q704" s="139" t="s">
        <v>4074</v>
      </c>
      <c r="R704" s="223"/>
      <c r="S704" s="223"/>
      <c r="T704" s="110"/>
    </row>
    <row r="705" ht="31.5" hidden="1" customHeight="1">
      <c r="A705" s="193">
        <v>704.0</v>
      </c>
      <c r="B705" s="222">
        <v>46229.0</v>
      </c>
      <c r="C705" s="39" t="s">
        <v>58</v>
      </c>
      <c r="D705" s="26" t="s">
        <v>60</v>
      </c>
      <c r="E705" s="39" t="s">
        <v>27</v>
      </c>
      <c r="F705" s="137">
        <v>5.56224042E8</v>
      </c>
      <c r="G705" s="39" t="s">
        <v>27</v>
      </c>
      <c r="H705" s="39" t="s">
        <v>27</v>
      </c>
      <c r="I705" s="118" t="s">
        <v>6755</v>
      </c>
      <c r="J705" s="223"/>
      <c r="K705" s="193" t="s">
        <v>65</v>
      </c>
      <c r="L705" s="193"/>
      <c r="M705" s="225" t="s">
        <v>38</v>
      </c>
      <c r="N705" s="225"/>
      <c r="O705" s="223"/>
      <c r="P705" s="223"/>
      <c r="Q705" s="139" t="s">
        <v>4074</v>
      </c>
      <c r="R705" s="223"/>
      <c r="S705" s="223"/>
      <c r="T705" s="110"/>
    </row>
    <row r="706" ht="31.5" hidden="1" customHeight="1">
      <c r="A706" s="193">
        <v>705.0</v>
      </c>
      <c r="B706" s="222">
        <v>46229.0</v>
      </c>
      <c r="C706" s="39" t="s">
        <v>58</v>
      </c>
      <c r="D706" s="26" t="s">
        <v>60</v>
      </c>
      <c r="E706" s="39" t="s">
        <v>27</v>
      </c>
      <c r="F706" s="137">
        <v>5.60385055E8</v>
      </c>
      <c r="G706" s="39" t="s">
        <v>27</v>
      </c>
      <c r="H706" s="39" t="s">
        <v>27</v>
      </c>
      <c r="I706" s="117" t="s">
        <v>6757</v>
      </c>
      <c r="J706" s="223"/>
      <c r="K706" s="193" t="s">
        <v>65</v>
      </c>
      <c r="L706" s="193"/>
      <c r="M706" s="225" t="s">
        <v>38</v>
      </c>
      <c r="N706" s="225"/>
      <c r="O706" s="223"/>
      <c r="P706" s="223"/>
      <c r="Q706" s="139" t="s">
        <v>4074</v>
      </c>
      <c r="R706" s="223"/>
      <c r="S706" s="223"/>
      <c r="T706" s="110"/>
    </row>
    <row r="707" ht="31.5" hidden="1" customHeight="1">
      <c r="A707" s="193">
        <v>706.0</v>
      </c>
      <c r="B707" s="222">
        <v>46229.0</v>
      </c>
      <c r="C707" s="39" t="s">
        <v>58</v>
      </c>
      <c r="D707" s="26" t="s">
        <v>60</v>
      </c>
      <c r="E707" s="39" t="s">
        <v>27</v>
      </c>
      <c r="F707" s="137">
        <v>5.38694839E8</v>
      </c>
      <c r="G707" s="39" t="s">
        <v>27</v>
      </c>
      <c r="H707" s="39" t="s">
        <v>27</v>
      </c>
      <c r="I707" s="117" t="s">
        <v>6759</v>
      </c>
      <c r="J707" s="223"/>
      <c r="K707" s="193" t="s">
        <v>62</v>
      </c>
      <c r="L707" s="193"/>
      <c r="M707" s="225" t="s">
        <v>38</v>
      </c>
      <c r="N707" s="225"/>
      <c r="O707" s="223"/>
      <c r="P707" s="223"/>
      <c r="Q707" s="139" t="s">
        <v>4074</v>
      </c>
      <c r="R707" s="223"/>
      <c r="S707" s="223"/>
      <c r="T707" s="110"/>
    </row>
    <row r="708" ht="31.5" hidden="1" customHeight="1">
      <c r="A708" s="193">
        <v>707.0</v>
      </c>
      <c r="B708" s="222">
        <v>46229.0</v>
      </c>
      <c r="C708" s="39" t="s">
        <v>58</v>
      </c>
      <c r="D708" s="26" t="s">
        <v>60</v>
      </c>
      <c r="E708" s="39" t="s">
        <v>27</v>
      </c>
      <c r="F708" s="137">
        <v>5.78818092E8</v>
      </c>
      <c r="G708" s="39" t="s">
        <v>27</v>
      </c>
      <c r="H708" s="39" t="s">
        <v>27</v>
      </c>
      <c r="I708" s="118" t="s">
        <v>6762</v>
      </c>
      <c r="J708" s="223"/>
      <c r="K708" s="193" t="s">
        <v>65</v>
      </c>
      <c r="L708" s="193"/>
      <c r="M708" s="225" t="s">
        <v>88</v>
      </c>
      <c r="N708" s="225"/>
      <c r="O708" s="223"/>
      <c r="P708" s="223"/>
      <c r="Q708" s="139" t="s">
        <v>4074</v>
      </c>
      <c r="R708" s="223"/>
      <c r="S708" s="223"/>
      <c r="T708" s="110"/>
    </row>
    <row r="709" ht="31.5" hidden="1" customHeight="1">
      <c r="A709" s="193">
        <v>708.0</v>
      </c>
      <c r="B709" s="222">
        <v>46229.0</v>
      </c>
      <c r="C709" s="39" t="s">
        <v>58</v>
      </c>
      <c r="D709" s="26" t="s">
        <v>60</v>
      </c>
      <c r="E709" s="39" t="s">
        <v>27</v>
      </c>
      <c r="F709" s="137">
        <v>5.03465409E8</v>
      </c>
      <c r="G709" s="39" t="s">
        <v>27</v>
      </c>
      <c r="H709" s="39" t="s">
        <v>27</v>
      </c>
      <c r="I709" s="118" t="s">
        <v>6763</v>
      </c>
      <c r="J709" s="223"/>
      <c r="K709" s="193" t="s">
        <v>65</v>
      </c>
      <c r="L709" s="193"/>
      <c r="M709" s="225" t="s">
        <v>38</v>
      </c>
      <c r="N709" s="225"/>
      <c r="O709" s="223"/>
      <c r="P709" s="223"/>
      <c r="Q709" s="139" t="s">
        <v>4074</v>
      </c>
      <c r="R709" s="223"/>
      <c r="S709" s="223"/>
      <c r="T709" s="110"/>
    </row>
    <row r="710" ht="31.5" hidden="1" customHeight="1">
      <c r="A710" s="193">
        <v>709.0</v>
      </c>
      <c r="B710" s="222">
        <v>46229.0</v>
      </c>
      <c r="C710" s="39" t="s">
        <v>58</v>
      </c>
      <c r="D710" s="26" t="s">
        <v>60</v>
      </c>
      <c r="E710" s="39" t="s">
        <v>27</v>
      </c>
      <c r="F710" s="137">
        <v>5.43433413E8</v>
      </c>
      <c r="G710" s="39" t="s">
        <v>27</v>
      </c>
      <c r="H710" s="39" t="s">
        <v>27</v>
      </c>
      <c r="I710" s="117" t="s">
        <v>6766</v>
      </c>
      <c r="J710" s="223"/>
      <c r="K710" s="193" t="s">
        <v>65</v>
      </c>
      <c r="L710" s="193"/>
      <c r="M710" s="225" t="s">
        <v>38</v>
      </c>
      <c r="N710" s="225"/>
      <c r="O710" s="223"/>
      <c r="P710" s="223"/>
      <c r="Q710" s="139" t="s">
        <v>4074</v>
      </c>
      <c r="R710" s="223"/>
      <c r="S710" s="223"/>
      <c r="T710" s="110"/>
    </row>
    <row r="711" ht="31.5" hidden="1" customHeight="1">
      <c r="A711" s="193">
        <v>710.0</v>
      </c>
      <c r="B711" s="222">
        <v>46229.0</v>
      </c>
      <c r="C711" s="39" t="s">
        <v>58</v>
      </c>
      <c r="D711" s="26" t="s">
        <v>60</v>
      </c>
      <c r="E711" s="39" t="s">
        <v>27</v>
      </c>
      <c r="F711" s="137">
        <v>5.54388583E8</v>
      </c>
      <c r="G711" s="39" t="s">
        <v>27</v>
      </c>
      <c r="H711" s="39" t="s">
        <v>27</v>
      </c>
      <c r="I711" s="117" t="s">
        <v>6767</v>
      </c>
      <c r="J711" s="223"/>
      <c r="K711" s="193" t="s">
        <v>65</v>
      </c>
      <c r="L711" s="193"/>
      <c r="M711" s="225" t="s">
        <v>38</v>
      </c>
      <c r="N711" s="225"/>
      <c r="O711" s="223"/>
      <c r="P711" s="223"/>
      <c r="Q711" s="139" t="s">
        <v>4074</v>
      </c>
      <c r="R711" s="223"/>
      <c r="S711" s="223"/>
      <c r="T711" s="110"/>
    </row>
    <row r="712" ht="31.5" hidden="1" customHeight="1">
      <c r="A712" s="193">
        <v>711.0</v>
      </c>
      <c r="B712" s="222">
        <v>46229.0</v>
      </c>
      <c r="C712" s="39" t="s">
        <v>58</v>
      </c>
      <c r="D712" s="26" t="s">
        <v>60</v>
      </c>
      <c r="E712" s="39" t="s">
        <v>27</v>
      </c>
      <c r="F712" s="147">
        <v>5.03417742E8</v>
      </c>
      <c r="G712" s="39" t="s">
        <v>27</v>
      </c>
      <c r="H712" s="39" t="s">
        <v>27</v>
      </c>
      <c r="I712" s="117" t="s">
        <v>5244</v>
      </c>
      <c r="J712" s="223"/>
      <c r="K712" s="193" t="s">
        <v>65</v>
      </c>
      <c r="L712" s="193"/>
      <c r="M712" s="225" t="s">
        <v>38</v>
      </c>
      <c r="N712" s="225"/>
      <c r="O712" s="223"/>
      <c r="P712" s="223"/>
      <c r="Q712" s="139" t="s">
        <v>4074</v>
      </c>
      <c r="R712" s="223"/>
      <c r="S712" s="223"/>
      <c r="T712" s="110"/>
    </row>
    <row r="713" ht="31.5" hidden="1" customHeight="1">
      <c r="A713" s="193">
        <v>712.0</v>
      </c>
      <c r="B713" s="222">
        <v>46229.0</v>
      </c>
      <c r="C713" s="39" t="s">
        <v>58</v>
      </c>
      <c r="D713" s="26" t="s">
        <v>60</v>
      </c>
      <c r="E713" s="39" t="s">
        <v>27</v>
      </c>
      <c r="F713" s="147">
        <v>5.08822071E8</v>
      </c>
      <c r="G713" s="39" t="s">
        <v>27</v>
      </c>
      <c r="H713" s="39" t="s">
        <v>27</v>
      </c>
      <c r="I713" s="117" t="s">
        <v>6770</v>
      </c>
      <c r="J713" s="223"/>
      <c r="K713" s="193" t="s">
        <v>65</v>
      </c>
      <c r="L713" s="193"/>
      <c r="M713" s="225" t="s">
        <v>88</v>
      </c>
      <c r="N713" s="225"/>
      <c r="O713" s="223"/>
      <c r="P713" s="223"/>
      <c r="Q713" s="139" t="s">
        <v>4074</v>
      </c>
      <c r="R713" s="223"/>
      <c r="S713" s="223"/>
      <c r="T713" s="110"/>
    </row>
    <row r="714" ht="31.5" hidden="1" customHeight="1">
      <c r="A714" s="193">
        <v>713.0</v>
      </c>
      <c r="B714" s="222">
        <v>46229.0</v>
      </c>
      <c r="C714" s="39" t="s">
        <v>58</v>
      </c>
      <c r="D714" s="26" t="s">
        <v>60</v>
      </c>
      <c r="E714" s="39" t="s">
        <v>27</v>
      </c>
      <c r="F714" s="147">
        <v>5.09449447E8</v>
      </c>
      <c r="G714" s="39" t="s">
        <v>27</v>
      </c>
      <c r="H714" s="39" t="s">
        <v>27</v>
      </c>
      <c r="I714" s="117" t="s">
        <v>5244</v>
      </c>
      <c r="J714" s="223"/>
      <c r="K714" s="193" t="s">
        <v>65</v>
      </c>
      <c r="L714" s="193"/>
      <c r="M714" s="225" t="s">
        <v>38</v>
      </c>
      <c r="N714" s="225"/>
      <c r="O714" s="223"/>
      <c r="P714" s="223"/>
      <c r="Q714" s="139" t="s">
        <v>4074</v>
      </c>
      <c r="R714" s="223"/>
      <c r="S714" s="223"/>
      <c r="T714" s="110"/>
    </row>
    <row r="715" ht="31.5" hidden="1" customHeight="1">
      <c r="A715" s="193">
        <v>714.0</v>
      </c>
      <c r="B715" s="222">
        <v>46229.0</v>
      </c>
      <c r="C715" s="39" t="s">
        <v>58</v>
      </c>
      <c r="D715" s="26" t="s">
        <v>60</v>
      </c>
      <c r="E715" s="39" t="s">
        <v>27</v>
      </c>
      <c r="F715" s="147">
        <v>5.03785848E8</v>
      </c>
      <c r="G715" s="39" t="s">
        <v>27</v>
      </c>
      <c r="H715" s="39" t="s">
        <v>27</v>
      </c>
      <c r="I715" s="117" t="s">
        <v>2457</v>
      </c>
      <c r="J715" s="223"/>
      <c r="K715" s="193" t="s">
        <v>65</v>
      </c>
      <c r="L715" s="193"/>
      <c r="M715" s="225" t="s">
        <v>38</v>
      </c>
      <c r="N715" s="225"/>
      <c r="O715" s="223"/>
      <c r="P715" s="223"/>
      <c r="Q715" s="139" t="s">
        <v>4074</v>
      </c>
      <c r="R715" s="223"/>
      <c r="S715" s="223"/>
      <c r="T715" s="110"/>
    </row>
    <row r="716" ht="31.5" hidden="1" customHeight="1">
      <c r="A716" s="193">
        <v>715.0</v>
      </c>
      <c r="B716" s="222">
        <v>46229.0</v>
      </c>
      <c r="C716" s="39" t="s">
        <v>58</v>
      </c>
      <c r="D716" s="26" t="s">
        <v>60</v>
      </c>
      <c r="E716" s="39" t="s">
        <v>27</v>
      </c>
      <c r="F716" s="137">
        <v>5.44976977E8</v>
      </c>
      <c r="G716" s="39" t="s">
        <v>27</v>
      </c>
      <c r="H716" s="39" t="s">
        <v>27</v>
      </c>
      <c r="I716" s="117" t="s">
        <v>6774</v>
      </c>
      <c r="J716" s="225" t="s">
        <v>6775</v>
      </c>
      <c r="K716" s="193" t="s">
        <v>36</v>
      </c>
      <c r="L716" s="193"/>
      <c r="M716" s="225" t="s">
        <v>88</v>
      </c>
      <c r="N716" s="225"/>
      <c r="O716" s="223"/>
      <c r="P716" s="223"/>
      <c r="Q716" s="139" t="s">
        <v>4074</v>
      </c>
      <c r="R716" s="223"/>
      <c r="S716" s="223"/>
      <c r="T716" s="110"/>
    </row>
    <row r="717" ht="51.0" customHeight="1">
      <c r="A717" s="193">
        <v>716.0</v>
      </c>
      <c r="B717" s="222">
        <v>46229.0</v>
      </c>
      <c r="C717" s="39" t="s">
        <v>47</v>
      </c>
      <c r="D717" s="26" t="s">
        <v>48</v>
      </c>
      <c r="E717" s="30" t="s">
        <v>463</v>
      </c>
      <c r="F717" s="147">
        <v>5.37452553E8</v>
      </c>
      <c r="G717" s="195" t="s">
        <v>71</v>
      </c>
      <c r="H717" s="39" t="s">
        <v>27</v>
      </c>
      <c r="I717" s="117" t="s">
        <v>6778</v>
      </c>
      <c r="J717" s="225"/>
      <c r="K717" s="193" t="s">
        <v>36</v>
      </c>
      <c r="L717" s="193" t="s">
        <v>42</v>
      </c>
      <c r="M717" s="225" t="s">
        <v>55</v>
      </c>
      <c r="N717" s="390" t="s">
        <v>4791</v>
      </c>
      <c r="O717" s="193" t="s">
        <v>40</v>
      </c>
      <c r="P717" s="195"/>
      <c r="Q717" s="139" t="s">
        <v>4074</v>
      </c>
      <c r="R717" s="223"/>
      <c r="S717" s="223"/>
      <c r="T717" s="110"/>
    </row>
    <row r="718" ht="31.5" hidden="1" customHeight="1">
      <c r="A718" s="193">
        <v>717.0</v>
      </c>
      <c r="B718" s="222">
        <v>46229.0</v>
      </c>
      <c r="C718" s="39" t="s">
        <v>21</v>
      </c>
      <c r="D718" s="26" t="s">
        <v>24</v>
      </c>
      <c r="E718" s="30" t="s">
        <v>6780</v>
      </c>
      <c r="F718" s="147">
        <v>5.00102354E8</v>
      </c>
      <c r="G718" s="30" t="s">
        <v>362</v>
      </c>
      <c r="H718" s="39" t="s">
        <v>27</v>
      </c>
      <c r="I718" s="117" t="s">
        <v>6782</v>
      </c>
      <c r="J718" s="223"/>
      <c r="K718" s="193" t="s">
        <v>36</v>
      </c>
      <c r="L718" s="193"/>
      <c r="M718" s="225" t="s">
        <v>38</v>
      </c>
      <c r="N718" s="225"/>
      <c r="O718" s="223"/>
      <c r="P718" s="223"/>
      <c r="Q718" s="139" t="s">
        <v>4074</v>
      </c>
      <c r="R718" s="223"/>
      <c r="S718" s="223"/>
      <c r="T718" s="110"/>
    </row>
    <row r="719" ht="31.5" hidden="1" customHeight="1">
      <c r="A719" s="193">
        <v>718.0</v>
      </c>
      <c r="B719" s="222">
        <v>46229.0</v>
      </c>
      <c r="C719" s="39" t="s">
        <v>58</v>
      </c>
      <c r="D719" s="26" t="s">
        <v>57</v>
      </c>
      <c r="E719" s="39" t="s">
        <v>27</v>
      </c>
      <c r="F719" s="147">
        <v>5.95043257E8</v>
      </c>
      <c r="G719" s="39" t="s">
        <v>942</v>
      </c>
      <c r="H719" s="39" t="s">
        <v>27</v>
      </c>
      <c r="I719" s="117" t="s">
        <v>6784</v>
      </c>
      <c r="J719" s="223"/>
      <c r="K719" s="193" t="s">
        <v>36</v>
      </c>
      <c r="L719" s="193"/>
      <c r="M719" s="225" t="s">
        <v>88</v>
      </c>
      <c r="N719" s="225"/>
      <c r="O719" s="223"/>
      <c r="P719" s="223"/>
      <c r="Q719" s="139" t="s">
        <v>4074</v>
      </c>
      <c r="R719" s="223"/>
      <c r="S719" s="223"/>
      <c r="T719" s="110"/>
    </row>
    <row r="720" ht="31.5" hidden="1" customHeight="1">
      <c r="A720" s="193">
        <v>719.0</v>
      </c>
      <c r="B720" s="222">
        <v>46229.0</v>
      </c>
      <c r="C720" s="39" t="s">
        <v>21</v>
      </c>
      <c r="D720" s="26" t="s">
        <v>24</v>
      </c>
      <c r="E720" s="30" t="s">
        <v>4581</v>
      </c>
      <c r="F720" s="147">
        <v>5.71001777E8</v>
      </c>
      <c r="G720" s="195" t="s">
        <v>71</v>
      </c>
      <c r="H720" s="193" t="s">
        <v>27</v>
      </c>
      <c r="I720" s="117" t="s">
        <v>6786</v>
      </c>
      <c r="J720" s="223"/>
      <c r="K720" s="193" t="s">
        <v>36</v>
      </c>
      <c r="L720" s="193"/>
      <c r="M720" s="225" t="s">
        <v>38</v>
      </c>
      <c r="N720" s="225"/>
      <c r="O720" s="223"/>
      <c r="P720" s="223"/>
      <c r="Q720" s="139" t="s">
        <v>4074</v>
      </c>
      <c r="R720" s="223"/>
      <c r="S720" s="223"/>
      <c r="T720" s="110"/>
    </row>
    <row r="721" ht="31.5" hidden="1" customHeight="1">
      <c r="A721" s="193">
        <v>720.0</v>
      </c>
      <c r="B721" s="222">
        <v>46229.0</v>
      </c>
      <c r="C721" s="39" t="s">
        <v>58</v>
      </c>
      <c r="D721" s="26" t="s">
        <v>34</v>
      </c>
      <c r="E721" s="39" t="s">
        <v>27</v>
      </c>
      <c r="F721" s="147">
        <v>5.5596132E8</v>
      </c>
      <c r="G721" s="193" t="s">
        <v>27</v>
      </c>
      <c r="H721" s="39" t="s">
        <v>27</v>
      </c>
      <c r="I721" s="117" t="s">
        <v>6789</v>
      </c>
      <c r="J721" s="223"/>
      <c r="K721" s="193" t="s">
        <v>36</v>
      </c>
      <c r="L721" s="193"/>
      <c r="M721" s="225" t="s">
        <v>88</v>
      </c>
      <c r="N721" s="225"/>
      <c r="O721" s="223"/>
      <c r="P721" s="223"/>
      <c r="Q721" s="139" t="s">
        <v>4074</v>
      </c>
      <c r="R721" s="223"/>
      <c r="S721" s="223"/>
      <c r="T721" s="110"/>
    </row>
    <row r="722" ht="31.5" hidden="1" customHeight="1">
      <c r="A722" s="193">
        <v>721.0</v>
      </c>
      <c r="B722" s="222">
        <v>46229.0</v>
      </c>
      <c r="C722" s="39" t="s">
        <v>58</v>
      </c>
      <c r="D722" s="26" t="s">
        <v>60</v>
      </c>
      <c r="E722" s="39" t="s">
        <v>27</v>
      </c>
      <c r="F722" s="147">
        <v>5.43686114E8</v>
      </c>
      <c r="G722" s="39" t="s">
        <v>27</v>
      </c>
      <c r="H722" s="39" t="s">
        <v>27</v>
      </c>
      <c r="I722" s="117" t="s">
        <v>484</v>
      </c>
      <c r="J722" s="223"/>
      <c r="K722" s="193" t="s">
        <v>36</v>
      </c>
      <c r="L722" s="193"/>
      <c r="M722" s="225" t="s">
        <v>88</v>
      </c>
      <c r="N722" s="225"/>
      <c r="O722" s="223"/>
      <c r="P722" s="223"/>
      <c r="Q722" s="139" t="s">
        <v>4074</v>
      </c>
      <c r="R722" s="223"/>
      <c r="S722" s="223"/>
      <c r="T722" s="110"/>
    </row>
    <row r="723" ht="31.5" hidden="1" customHeight="1">
      <c r="A723" s="193">
        <v>722.0</v>
      </c>
      <c r="B723" s="222">
        <v>46229.0</v>
      </c>
      <c r="C723" s="39" t="s">
        <v>58</v>
      </c>
      <c r="D723" s="26" t="s">
        <v>60</v>
      </c>
      <c r="E723" s="193" t="s">
        <v>27</v>
      </c>
      <c r="F723" s="147">
        <v>5.55538419E8</v>
      </c>
      <c r="G723" s="39" t="s">
        <v>27</v>
      </c>
      <c r="H723" s="39" t="s">
        <v>27</v>
      </c>
      <c r="I723" s="117" t="s">
        <v>6790</v>
      </c>
      <c r="J723" s="223"/>
      <c r="K723" s="193" t="s">
        <v>36</v>
      </c>
      <c r="L723" s="193"/>
      <c r="M723" s="225" t="s">
        <v>88</v>
      </c>
      <c r="N723" s="225"/>
      <c r="O723" s="223"/>
      <c r="P723" s="223"/>
      <c r="Q723" s="139" t="s">
        <v>4074</v>
      </c>
      <c r="R723" s="223"/>
      <c r="S723" s="223"/>
      <c r="T723" s="110"/>
    </row>
    <row r="724" ht="31.5" hidden="1" customHeight="1">
      <c r="A724" s="193">
        <v>723.0</v>
      </c>
      <c r="B724" s="222">
        <v>46229.0</v>
      </c>
      <c r="C724" s="39" t="s">
        <v>58</v>
      </c>
      <c r="D724" s="26" t="s">
        <v>60</v>
      </c>
      <c r="E724" s="193" t="s">
        <v>27</v>
      </c>
      <c r="F724" s="147">
        <v>5.38554054E8</v>
      </c>
      <c r="G724" s="39" t="s">
        <v>27</v>
      </c>
      <c r="H724" s="39" t="s">
        <v>27</v>
      </c>
      <c r="I724" s="117" t="s">
        <v>6791</v>
      </c>
      <c r="J724" s="223"/>
      <c r="K724" s="193" t="s">
        <v>36</v>
      </c>
      <c r="L724" s="193"/>
      <c r="M724" s="225" t="s">
        <v>88</v>
      </c>
      <c r="N724" s="225"/>
      <c r="O724" s="223"/>
      <c r="P724" s="223"/>
      <c r="Q724" s="139" t="s">
        <v>4074</v>
      </c>
      <c r="R724" s="223"/>
      <c r="S724" s="223"/>
      <c r="T724" s="110"/>
    </row>
    <row r="725" ht="31.5" customHeight="1">
      <c r="A725" s="193">
        <v>724.0</v>
      </c>
      <c r="B725" s="222">
        <v>46229.0</v>
      </c>
      <c r="C725" s="39" t="s">
        <v>58</v>
      </c>
      <c r="D725" s="26" t="s">
        <v>48</v>
      </c>
      <c r="E725" s="30" t="s">
        <v>6794</v>
      </c>
      <c r="F725" s="147">
        <v>5.06990491E8</v>
      </c>
      <c r="G725" s="195" t="s">
        <v>41</v>
      </c>
      <c r="H725" s="39" t="s">
        <v>146</v>
      </c>
      <c r="I725" s="117" t="s">
        <v>6795</v>
      </c>
      <c r="J725" s="223"/>
      <c r="K725" s="193" t="s">
        <v>36</v>
      </c>
      <c r="L725" s="193" t="s">
        <v>42</v>
      </c>
      <c r="M725" s="225" t="s">
        <v>88</v>
      </c>
      <c r="N725" s="225"/>
      <c r="O725" s="193" t="s">
        <v>40</v>
      </c>
      <c r="P725" s="195"/>
      <c r="Q725" s="139" t="s">
        <v>4074</v>
      </c>
      <c r="R725" s="223"/>
      <c r="S725" s="223"/>
      <c r="T725" s="110"/>
    </row>
    <row r="726" ht="31.5" hidden="1" customHeight="1">
      <c r="A726" s="193">
        <v>725.0</v>
      </c>
      <c r="B726" s="222">
        <v>46229.0</v>
      </c>
      <c r="C726" s="39" t="s">
        <v>21</v>
      </c>
      <c r="D726" s="26" t="s">
        <v>24</v>
      </c>
      <c r="E726" s="30" t="s">
        <v>6797</v>
      </c>
      <c r="F726" s="428">
        <v>5.35135983E8</v>
      </c>
      <c r="G726" s="195" t="s">
        <v>71</v>
      </c>
      <c r="H726" s="193" t="s">
        <v>27</v>
      </c>
      <c r="I726" s="117" t="s">
        <v>6798</v>
      </c>
      <c r="J726" s="223"/>
      <c r="K726" s="193" t="s">
        <v>62</v>
      </c>
      <c r="L726" s="193"/>
      <c r="M726" s="225" t="s">
        <v>38</v>
      </c>
      <c r="N726" s="225"/>
      <c r="O726" s="223"/>
      <c r="P726" s="223"/>
      <c r="Q726" s="139" t="s">
        <v>4074</v>
      </c>
      <c r="R726" s="223"/>
      <c r="S726" s="223"/>
      <c r="T726" s="110"/>
    </row>
    <row r="727" ht="31.5" hidden="1" customHeight="1">
      <c r="A727" s="193">
        <v>726.0</v>
      </c>
      <c r="B727" s="222">
        <v>46229.0</v>
      </c>
      <c r="C727" s="39" t="s">
        <v>3766</v>
      </c>
      <c r="D727" s="26" t="s">
        <v>251</v>
      </c>
      <c r="E727" s="30" t="s">
        <v>6799</v>
      </c>
      <c r="F727" s="147">
        <v>5.5083818E8</v>
      </c>
      <c r="G727" s="195" t="s">
        <v>71</v>
      </c>
      <c r="H727" s="39" t="s">
        <v>5941</v>
      </c>
      <c r="I727" s="117" t="s">
        <v>6800</v>
      </c>
      <c r="J727" s="223"/>
      <c r="K727" s="193" t="s">
        <v>148</v>
      </c>
      <c r="L727" s="193"/>
      <c r="M727" s="225" t="s">
        <v>3776</v>
      </c>
      <c r="N727" s="225"/>
      <c r="O727" s="223"/>
      <c r="P727" s="223"/>
      <c r="Q727" s="139" t="s">
        <v>4074</v>
      </c>
      <c r="R727" s="390"/>
      <c r="S727" s="223"/>
      <c r="T727" s="110"/>
    </row>
    <row r="728" ht="31.5" hidden="1" customHeight="1">
      <c r="A728" s="193">
        <v>727.0</v>
      </c>
      <c r="B728" s="222">
        <v>46229.0</v>
      </c>
      <c r="C728" s="39" t="s">
        <v>47</v>
      </c>
      <c r="D728" s="26" t="s">
        <v>48</v>
      </c>
      <c r="E728" s="30" t="s">
        <v>6801</v>
      </c>
      <c r="F728" s="147" t="s">
        <v>27</v>
      </c>
      <c r="G728" s="195" t="s">
        <v>41</v>
      </c>
      <c r="H728" s="39" t="s">
        <v>6802</v>
      </c>
      <c r="I728" s="30" t="s">
        <v>6804</v>
      </c>
      <c r="J728" s="223"/>
      <c r="K728" s="193" t="s">
        <v>78</v>
      </c>
      <c r="L728" s="193" t="s">
        <v>42</v>
      </c>
      <c r="M728" s="225" t="s">
        <v>55</v>
      </c>
      <c r="N728" s="225"/>
      <c r="O728" s="193" t="s">
        <v>40</v>
      </c>
      <c r="P728" s="223"/>
      <c r="Q728" s="139" t="s">
        <v>4074</v>
      </c>
      <c r="R728" s="390" t="s">
        <v>46</v>
      </c>
      <c r="S728" s="223"/>
      <c r="T728" s="110"/>
    </row>
    <row r="729" ht="31.5" hidden="1" customHeight="1">
      <c r="A729" s="193">
        <v>728.0</v>
      </c>
      <c r="B729" s="222">
        <v>46229.0</v>
      </c>
      <c r="C729" s="39" t="s">
        <v>47</v>
      </c>
      <c r="D729" s="26" t="s">
        <v>92</v>
      </c>
      <c r="E729" s="30" t="s">
        <v>5378</v>
      </c>
      <c r="F729" s="147" t="s">
        <v>27</v>
      </c>
      <c r="G729" s="30" t="s">
        <v>152</v>
      </c>
      <c r="H729" s="39" t="s">
        <v>4937</v>
      </c>
      <c r="I729" s="117" t="s">
        <v>6806</v>
      </c>
      <c r="J729" s="223"/>
      <c r="K729" s="193" t="s">
        <v>78</v>
      </c>
      <c r="L729" s="193"/>
      <c r="M729" s="225" t="s">
        <v>55</v>
      </c>
      <c r="N729" s="225"/>
      <c r="O729" s="193" t="s">
        <v>40</v>
      </c>
      <c r="P729" s="223"/>
      <c r="Q729" s="139" t="s">
        <v>4074</v>
      </c>
      <c r="R729" s="390" t="s">
        <v>46</v>
      </c>
      <c r="S729" s="223"/>
      <c r="T729" s="110"/>
    </row>
    <row r="730" ht="31.5" hidden="1" customHeight="1">
      <c r="A730" s="193">
        <v>729.0</v>
      </c>
      <c r="B730" s="222">
        <v>46229.0</v>
      </c>
      <c r="C730" s="39" t="s">
        <v>47</v>
      </c>
      <c r="D730" s="26" t="s">
        <v>48</v>
      </c>
      <c r="E730" s="30" t="s">
        <v>633</v>
      </c>
      <c r="F730" s="147" t="s">
        <v>27</v>
      </c>
      <c r="G730" s="30" t="s">
        <v>2580</v>
      </c>
      <c r="H730" s="39" t="s">
        <v>1114</v>
      </c>
      <c r="I730" s="30" t="s">
        <v>6808</v>
      </c>
      <c r="J730" s="223"/>
      <c r="K730" s="193" t="s">
        <v>78</v>
      </c>
      <c r="L730" s="193" t="s">
        <v>42</v>
      </c>
      <c r="M730" s="225" t="s">
        <v>2247</v>
      </c>
      <c r="N730" s="225"/>
      <c r="O730" s="193" t="s">
        <v>40</v>
      </c>
      <c r="P730" s="223"/>
      <c r="Q730" s="139" t="s">
        <v>4074</v>
      </c>
      <c r="R730" s="390" t="s">
        <v>46</v>
      </c>
      <c r="S730" s="223"/>
      <c r="T730" s="110"/>
    </row>
    <row r="731" ht="31.5" hidden="1" customHeight="1">
      <c r="A731" s="193">
        <v>730.0</v>
      </c>
      <c r="B731" s="222">
        <v>46229.0</v>
      </c>
      <c r="C731" s="39" t="s">
        <v>58</v>
      </c>
      <c r="D731" s="26" t="s">
        <v>34</v>
      </c>
      <c r="E731" s="39" t="s">
        <v>27</v>
      </c>
      <c r="F731" s="147">
        <v>5.96709949E8</v>
      </c>
      <c r="G731" s="39" t="s">
        <v>27</v>
      </c>
      <c r="H731" s="39" t="s">
        <v>27</v>
      </c>
      <c r="I731" s="117" t="s">
        <v>6809</v>
      </c>
      <c r="J731" s="223"/>
      <c r="K731" s="193" t="s">
        <v>36</v>
      </c>
      <c r="L731" s="193"/>
      <c r="M731" s="225" t="s">
        <v>88</v>
      </c>
      <c r="N731" s="225"/>
      <c r="O731" s="223"/>
      <c r="P731" s="223"/>
      <c r="Q731" s="139" t="s">
        <v>4074</v>
      </c>
      <c r="R731" s="223"/>
      <c r="S731" s="223"/>
      <c r="T731" s="110"/>
    </row>
    <row r="732" ht="31.5" hidden="1" customHeight="1">
      <c r="A732" s="193">
        <v>731.0</v>
      </c>
      <c r="B732" s="222">
        <v>46229.0</v>
      </c>
      <c r="C732" s="39" t="s">
        <v>21</v>
      </c>
      <c r="D732" s="26" t="s">
        <v>22</v>
      </c>
      <c r="E732" s="30" t="s">
        <v>6056</v>
      </c>
      <c r="F732" s="147">
        <v>5.42307738E8</v>
      </c>
      <c r="G732" s="30" t="s">
        <v>6813</v>
      </c>
      <c r="H732" s="39" t="s">
        <v>27</v>
      </c>
      <c r="I732" s="117" t="s">
        <v>6814</v>
      </c>
      <c r="J732" s="223"/>
      <c r="K732" s="193" t="s">
        <v>62</v>
      </c>
      <c r="L732" s="193"/>
      <c r="M732" s="225" t="s">
        <v>38</v>
      </c>
      <c r="N732" s="225"/>
      <c r="O732" s="223"/>
      <c r="P732" s="223"/>
      <c r="Q732" s="139" t="s">
        <v>4074</v>
      </c>
      <c r="R732" s="223"/>
      <c r="S732" s="223"/>
      <c r="T732" s="110"/>
    </row>
    <row r="733" ht="31.5" hidden="1" customHeight="1">
      <c r="A733" s="193">
        <v>732.0</v>
      </c>
      <c r="B733" s="222">
        <v>46229.0</v>
      </c>
      <c r="C733" s="39" t="s">
        <v>58</v>
      </c>
      <c r="D733" s="26" t="s">
        <v>34</v>
      </c>
      <c r="E733" s="39" t="s">
        <v>27</v>
      </c>
      <c r="F733" s="147">
        <v>5.47611857E8</v>
      </c>
      <c r="G733" s="39" t="s">
        <v>27</v>
      </c>
      <c r="H733" s="39" t="s">
        <v>27</v>
      </c>
      <c r="I733" s="117" t="s">
        <v>6816</v>
      </c>
      <c r="J733" s="223"/>
      <c r="K733" s="193" t="s">
        <v>36</v>
      </c>
      <c r="L733" s="193"/>
      <c r="M733" s="225" t="s">
        <v>88</v>
      </c>
      <c r="N733" s="225"/>
      <c r="O733" s="223"/>
      <c r="P733" s="223"/>
      <c r="Q733" s="139" t="s">
        <v>4074</v>
      </c>
      <c r="R733" s="223"/>
      <c r="S733" s="223"/>
      <c r="T733" s="110"/>
    </row>
    <row r="734" ht="31.5" hidden="1" customHeight="1">
      <c r="A734" s="193">
        <v>733.0</v>
      </c>
      <c r="B734" s="222">
        <v>46229.0</v>
      </c>
      <c r="C734" s="39" t="s">
        <v>21</v>
      </c>
      <c r="D734" s="26" t="s">
        <v>24</v>
      </c>
      <c r="E734" s="30" t="s">
        <v>6817</v>
      </c>
      <c r="F734" s="147">
        <v>5.56310968E8</v>
      </c>
      <c r="G734" s="39" t="s">
        <v>27</v>
      </c>
      <c r="H734" s="39" t="s">
        <v>27</v>
      </c>
      <c r="I734" s="117" t="s">
        <v>6818</v>
      </c>
      <c r="J734" s="223"/>
      <c r="K734" s="193" t="s">
        <v>36</v>
      </c>
      <c r="L734" s="193"/>
      <c r="M734" s="225" t="s">
        <v>38</v>
      </c>
      <c r="N734" s="225"/>
      <c r="O734" s="223"/>
      <c r="P734" s="223"/>
      <c r="Q734" s="139" t="s">
        <v>4074</v>
      </c>
      <c r="R734" s="223"/>
      <c r="S734" s="223"/>
      <c r="T734" s="110"/>
    </row>
    <row r="735" ht="31.5" hidden="1" customHeight="1">
      <c r="A735" s="193">
        <v>734.0</v>
      </c>
      <c r="B735" s="222">
        <v>46229.0</v>
      </c>
      <c r="C735" s="39" t="s">
        <v>21</v>
      </c>
      <c r="D735" s="26" t="s">
        <v>22</v>
      </c>
      <c r="E735" s="30" t="s">
        <v>6750</v>
      </c>
      <c r="F735" s="147">
        <v>5.54421065E8</v>
      </c>
      <c r="G735" s="39" t="s">
        <v>27</v>
      </c>
      <c r="H735" s="39" t="s">
        <v>27</v>
      </c>
      <c r="I735" s="117" t="s">
        <v>6822</v>
      </c>
      <c r="J735" s="223"/>
      <c r="K735" s="193" t="s">
        <v>36</v>
      </c>
      <c r="L735" s="193"/>
      <c r="M735" s="225" t="s">
        <v>38</v>
      </c>
      <c r="N735" s="225"/>
      <c r="O735" s="223"/>
      <c r="P735" s="223"/>
      <c r="Q735" s="139" t="s">
        <v>4074</v>
      </c>
      <c r="R735" s="223"/>
      <c r="S735" s="223"/>
      <c r="T735" s="110"/>
    </row>
    <row r="736" ht="31.5" hidden="1" customHeight="1">
      <c r="A736" s="193">
        <v>735.0</v>
      </c>
      <c r="B736" s="222">
        <v>46229.0</v>
      </c>
      <c r="C736" s="39" t="s">
        <v>58</v>
      </c>
      <c r="D736" s="26" t="s">
        <v>34</v>
      </c>
      <c r="E736" s="39" t="s">
        <v>27</v>
      </c>
      <c r="F736" s="147">
        <v>5.03588211E8</v>
      </c>
      <c r="G736" s="193" t="s">
        <v>27</v>
      </c>
      <c r="H736" s="193" t="s">
        <v>27</v>
      </c>
      <c r="I736" s="117" t="s">
        <v>6824</v>
      </c>
      <c r="J736" s="223"/>
      <c r="K736" s="193" t="s">
        <v>36</v>
      </c>
      <c r="L736" s="193"/>
      <c r="M736" s="225" t="s">
        <v>88</v>
      </c>
      <c r="N736" s="225"/>
      <c r="O736" s="223"/>
      <c r="P736" s="223"/>
      <c r="Q736" s="139" t="s">
        <v>4074</v>
      </c>
      <c r="R736" s="223"/>
      <c r="S736" s="223"/>
      <c r="T736" s="110"/>
    </row>
    <row r="737" ht="31.5" hidden="1" customHeight="1">
      <c r="A737" s="193">
        <v>736.0</v>
      </c>
      <c r="B737" s="222">
        <v>46229.0</v>
      </c>
      <c r="C737" s="39" t="s">
        <v>21</v>
      </c>
      <c r="D737" s="26" t="s">
        <v>22</v>
      </c>
      <c r="E737" s="30" t="s">
        <v>845</v>
      </c>
      <c r="F737" s="147">
        <v>5.73655266E8</v>
      </c>
      <c r="G737" s="30" t="s">
        <v>4910</v>
      </c>
      <c r="H737" s="39" t="s">
        <v>27</v>
      </c>
      <c r="I737" s="117" t="s">
        <v>6827</v>
      </c>
      <c r="J737" s="223"/>
      <c r="K737" s="193" t="s">
        <v>36</v>
      </c>
      <c r="L737" s="193"/>
      <c r="M737" s="225" t="s">
        <v>38</v>
      </c>
      <c r="N737" s="225"/>
      <c r="O737" s="223"/>
      <c r="P737" s="223"/>
      <c r="Q737" s="139" t="s">
        <v>4074</v>
      </c>
      <c r="R737" s="223"/>
      <c r="S737" s="223"/>
      <c r="T737" s="110"/>
    </row>
    <row r="738" ht="31.5" hidden="1" customHeight="1">
      <c r="A738" s="193">
        <v>737.0</v>
      </c>
      <c r="B738" s="222">
        <v>46229.0</v>
      </c>
      <c r="C738" s="39" t="s">
        <v>47</v>
      </c>
      <c r="D738" s="26" t="s">
        <v>48</v>
      </c>
      <c r="E738" s="39" t="s">
        <v>6829</v>
      </c>
      <c r="F738" s="147">
        <v>5.92668248E8</v>
      </c>
      <c r="G738" s="30" t="s">
        <v>79</v>
      </c>
      <c r="H738" s="39" t="s">
        <v>431</v>
      </c>
      <c r="I738" s="117" t="s">
        <v>6830</v>
      </c>
      <c r="J738" s="223"/>
      <c r="K738" s="193" t="s">
        <v>148</v>
      </c>
      <c r="L738" s="193" t="s">
        <v>518</v>
      </c>
      <c r="M738" s="225" t="s">
        <v>953</v>
      </c>
      <c r="N738" s="225"/>
      <c r="O738" s="193" t="s">
        <v>40</v>
      </c>
      <c r="P738" s="223"/>
      <c r="Q738" s="139" t="s">
        <v>44</v>
      </c>
      <c r="R738" s="390" t="s">
        <v>46</v>
      </c>
      <c r="S738" s="223"/>
      <c r="T738" s="110"/>
    </row>
    <row r="739" ht="31.5" hidden="1" customHeight="1">
      <c r="A739" s="193">
        <v>738.0</v>
      </c>
      <c r="B739" s="222">
        <v>46229.0</v>
      </c>
      <c r="C739" s="39" t="s">
        <v>21</v>
      </c>
      <c r="D739" s="26" t="s">
        <v>22</v>
      </c>
      <c r="E739" s="30" t="s">
        <v>2238</v>
      </c>
      <c r="F739" s="147">
        <v>5.57117117E8</v>
      </c>
      <c r="G739" s="193" t="s">
        <v>27</v>
      </c>
      <c r="H739" s="193" t="s">
        <v>27</v>
      </c>
      <c r="I739" s="117" t="s">
        <v>6832</v>
      </c>
      <c r="J739" s="223"/>
      <c r="K739" s="193" t="s">
        <v>62</v>
      </c>
      <c r="L739" s="193"/>
      <c r="M739" s="225" t="s">
        <v>38</v>
      </c>
      <c r="N739" s="225"/>
      <c r="O739" s="223"/>
      <c r="P739" s="223"/>
      <c r="Q739" s="139" t="s">
        <v>44</v>
      </c>
      <c r="R739" s="223"/>
      <c r="S739" s="223"/>
      <c r="T739" s="110"/>
    </row>
    <row r="740" ht="31.5" hidden="1" customHeight="1">
      <c r="A740" s="193">
        <v>739.0</v>
      </c>
      <c r="B740" s="222">
        <v>46229.0</v>
      </c>
      <c r="C740" s="39" t="s">
        <v>58</v>
      </c>
      <c r="D740" s="26" t="s">
        <v>60</v>
      </c>
      <c r="E740" s="30" t="s">
        <v>6833</v>
      </c>
      <c r="F740" s="147">
        <v>5.3593838E8</v>
      </c>
      <c r="G740" s="30" t="s">
        <v>79</v>
      </c>
      <c r="H740" s="193" t="s">
        <v>27</v>
      </c>
      <c r="I740" s="117" t="s">
        <v>6834</v>
      </c>
      <c r="J740" s="223"/>
      <c r="K740" s="193" t="s">
        <v>62</v>
      </c>
      <c r="L740" s="193"/>
      <c r="M740" s="225" t="s">
        <v>88</v>
      </c>
      <c r="N740" s="225"/>
      <c r="O740" s="223"/>
      <c r="P740" s="223"/>
      <c r="Q740" s="139" t="s">
        <v>44</v>
      </c>
      <c r="R740" s="223"/>
      <c r="S740" s="223"/>
      <c r="T740" s="110"/>
    </row>
    <row r="741" ht="31.5" hidden="1" customHeight="1">
      <c r="A741" s="193">
        <v>740.0</v>
      </c>
      <c r="B741" s="222">
        <v>46229.0</v>
      </c>
      <c r="C741" s="39" t="s">
        <v>58</v>
      </c>
      <c r="D741" s="26" t="s">
        <v>60</v>
      </c>
      <c r="E741" s="30" t="s">
        <v>6836</v>
      </c>
      <c r="F741" s="147">
        <v>5.54602437E8</v>
      </c>
      <c r="G741" s="193" t="s">
        <v>27</v>
      </c>
      <c r="H741" s="193" t="s">
        <v>27</v>
      </c>
      <c r="I741" s="117" t="s">
        <v>6837</v>
      </c>
      <c r="J741" s="223"/>
      <c r="K741" s="193" t="s">
        <v>62</v>
      </c>
      <c r="L741" s="193"/>
      <c r="M741" s="225" t="s">
        <v>88</v>
      </c>
      <c r="N741" s="225"/>
      <c r="O741" s="223"/>
      <c r="P741" s="223"/>
      <c r="Q741" s="139" t="s">
        <v>44</v>
      </c>
      <c r="R741" s="223"/>
      <c r="S741" s="223"/>
      <c r="T741" s="110"/>
    </row>
    <row r="742" ht="31.5" hidden="1" customHeight="1">
      <c r="A742" s="193">
        <v>741.0</v>
      </c>
      <c r="B742" s="222">
        <v>46229.0</v>
      </c>
      <c r="C742" s="39" t="s">
        <v>21</v>
      </c>
      <c r="D742" s="26" t="s">
        <v>57</v>
      </c>
      <c r="E742" s="193" t="s">
        <v>27</v>
      </c>
      <c r="F742" s="147">
        <v>5.60500506E8</v>
      </c>
      <c r="G742" s="193" t="s">
        <v>27</v>
      </c>
      <c r="H742" s="193" t="s">
        <v>27</v>
      </c>
      <c r="I742" s="117" t="s">
        <v>6840</v>
      </c>
      <c r="J742" s="223"/>
      <c r="K742" s="193" t="s">
        <v>62</v>
      </c>
      <c r="L742" s="193"/>
      <c r="M742" s="225" t="s">
        <v>38</v>
      </c>
      <c r="N742" s="225"/>
      <c r="O742" s="223"/>
      <c r="P742" s="223"/>
      <c r="Q742" s="139" t="s">
        <v>44</v>
      </c>
      <c r="R742" s="223"/>
      <c r="S742" s="223"/>
      <c r="T742" s="110"/>
    </row>
    <row r="743" ht="31.5" hidden="1" customHeight="1">
      <c r="A743" s="193">
        <v>742.0</v>
      </c>
      <c r="B743" s="222">
        <v>46229.0</v>
      </c>
      <c r="C743" s="39" t="s">
        <v>21</v>
      </c>
      <c r="D743" s="26" t="s">
        <v>22</v>
      </c>
      <c r="E743" s="30" t="s">
        <v>6842</v>
      </c>
      <c r="F743" s="147">
        <v>5.33444463E8</v>
      </c>
      <c r="G743" s="30" t="s">
        <v>362</v>
      </c>
      <c r="H743" s="193" t="s">
        <v>27</v>
      </c>
      <c r="I743" s="117" t="s">
        <v>6843</v>
      </c>
      <c r="J743" s="223"/>
      <c r="K743" s="193" t="s">
        <v>62</v>
      </c>
      <c r="L743" s="193"/>
      <c r="M743" s="225" t="s">
        <v>125</v>
      </c>
      <c r="N743" s="225"/>
      <c r="O743" s="223"/>
      <c r="P743" s="223"/>
      <c r="Q743" s="139" t="s">
        <v>44</v>
      </c>
      <c r="R743" s="223"/>
      <c r="S743" s="223"/>
      <c r="T743" s="110"/>
    </row>
    <row r="744" hidden="1">
      <c r="A744" s="193">
        <v>743.0</v>
      </c>
      <c r="B744" s="222">
        <v>46229.0</v>
      </c>
      <c r="C744" s="39" t="s">
        <v>47</v>
      </c>
      <c r="D744" s="26" t="s">
        <v>48</v>
      </c>
      <c r="E744" s="30" t="s">
        <v>2365</v>
      </c>
      <c r="F744" s="147">
        <v>5.38957235E8</v>
      </c>
      <c r="G744" s="195" t="s">
        <v>71</v>
      </c>
      <c r="H744" s="39" t="s">
        <v>163</v>
      </c>
      <c r="I744" s="429" t="s">
        <v>6846</v>
      </c>
      <c r="J744" s="223"/>
      <c r="K744" s="193" t="s">
        <v>62</v>
      </c>
      <c r="L744" s="193" t="s">
        <v>518</v>
      </c>
      <c r="M744" s="225" t="s">
        <v>101</v>
      </c>
      <c r="N744" s="225"/>
      <c r="O744" s="193" t="s">
        <v>40</v>
      </c>
      <c r="P744" s="223"/>
      <c r="Q744" s="139" t="s">
        <v>44</v>
      </c>
      <c r="R744" s="390" t="s">
        <v>46</v>
      </c>
      <c r="S744" s="223"/>
      <c r="T744" s="110"/>
    </row>
    <row r="745" ht="31.5" hidden="1" customHeight="1">
      <c r="A745" s="193">
        <v>744.0</v>
      </c>
      <c r="B745" s="222">
        <v>46229.0</v>
      </c>
      <c r="C745" s="39" t="s">
        <v>21</v>
      </c>
      <c r="D745" s="26" t="s">
        <v>48</v>
      </c>
      <c r="E745" s="30" t="s">
        <v>6849</v>
      </c>
      <c r="F745" s="147">
        <v>5.09181017E8</v>
      </c>
      <c r="G745" s="193" t="s">
        <v>27</v>
      </c>
      <c r="H745" s="193" t="s">
        <v>27</v>
      </c>
      <c r="I745" s="117" t="s">
        <v>6850</v>
      </c>
      <c r="J745" s="225" t="s">
        <v>6851</v>
      </c>
      <c r="K745" s="193" t="s">
        <v>62</v>
      </c>
      <c r="L745" s="193" t="s">
        <v>42</v>
      </c>
      <c r="M745" s="303" t="s">
        <v>6002</v>
      </c>
      <c r="N745" s="390" t="s">
        <v>4127</v>
      </c>
      <c r="O745" s="193" t="s">
        <v>56</v>
      </c>
      <c r="P745" s="193" t="s">
        <v>4129</v>
      </c>
      <c r="Q745" s="139" t="s">
        <v>44</v>
      </c>
      <c r="R745" s="223"/>
      <c r="S745" s="223"/>
      <c r="T745" s="110"/>
    </row>
    <row r="746" ht="60.0" hidden="1" customHeight="1">
      <c r="A746" s="193">
        <v>745.0</v>
      </c>
      <c r="B746" s="222">
        <v>46229.0</v>
      </c>
      <c r="C746" s="39" t="s">
        <v>47</v>
      </c>
      <c r="D746" s="26" t="s">
        <v>92</v>
      </c>
      <c r="E746" s="30" t="s">
        <v>463</v>
      </c>
      <c r="F746" s="137">
        <v>5.37452553E8</v>
      </c>
      <c r="G746" s="195" t="s">
        <v>71</v>
      </c>
      <c r="H746" s="39" t="s">
        <v>4313</v>
      </c>
      <c r="I746" s="117" t="s">
        <v>6852</v>
      </c>
      <c r="J746" s="223"/>
      <c r="K746" s="193" t="s">
        <v>62</v>
      </c>
      <c r="L746" s="193"/>
      <c r="M746" s="225" t="s">
        <v>101</v>
      </c>
      <c r="N746" s="225"/>
      <c r="O746" s="193" t="s">
        <v>40</v>
      </c>
      <c r="P746" s="223"/>
      <c r="Q746" s="139" t="s">
        <v>44</v>
      </c>
      <c r="R746" s="390" t="s">
        <v>46</v>
      </c>
      <c r="S746" s="223"/>
      <c r="T746" s="110"/>
    </row>
    <row r="747" ht="31.5" hidden="1" customHeight="1">
      <c r="A747" s="193">
        <v>746.0</v>
      </c>
      <c r="B747" s="222">
        <v>46229.0</v>
      </c>
      <c r="C747" s="39" t="s">
        <v>21</v>
      </c>
      <c r="D747" s="26" t="s">
        <v>22</v>
      </c>
      <c r="E747" s="30" t="s">
        <v>2238</v>
      </c>
      <c r="F747" s="147">
        <v>5.70840762E8</v>
      </c>
      <c r="G747" s="193" t="s">
        <v>27</v>
      </c>
      <c r="H747" s="193" t="s">
        <v>27</v>
      </c>
      <c r="I747" s="117" t="s">
        <v>6855</v>
      </c>
      <c r="J747" s="223"/>
      <c r="K747" s="193" t="s">
        <v>62</v>
      </c>
      <c r="L747" s="193"/>
      <c r="M747" s="225" t="s">
        <v>38</v>
      </c>
      <c r="N747" s="225"/>
      <c r="O747" s="223"/>
      <c r="P747" s="223"/>
      <c r="Q747" s="139" t="s">
        <v>44</v>
      </c>
      <c r="R747" s="223"/>
      <c r="S747" s="223"/>
      <c r="T747" s="110"/>
    </row>
    <row r="748" ht="75.75" hidden="1" customHeight="1">
      <c r="A748" s="193">
        <v>747.0</v>
      </c>
      <c r="B748" s="222">
        <v>46229.0</v>
      </c>
      <c r="C748" s="39" t="s">
        <v>21</v>
      </c>
      <c r="D748" s="26" t="s">
        <v>66</v>
      </c>
      <c r="E748" s="193" t="s">
        <v>27</v>
      </c>
      <c r="F748" s="147">
        <v>5.37504757E8</v>
      </c>
      <c r="G748" s="193" t="s">
        <v>27</v>
      </c>
      <c r="H748" s="193" t="s">
        <v>27</v>
      </c>
      <c r="I748" s="117" t="s">
        <v>6856</v>
      </c>
      <c r="J748" s="225" t="s">
        <v>6857</v>
      </c>
      <c r="K748" s="193" t="s">
        <v>62</v>
      </c>
      <c r="L748" s="193"/>
      <c r="M748" s="225" t="s">
        <v>208</v>
      </c>
      <c r="N748" s="225"/>
      <c r="O748" s="193" t="s">
        <v>56</v>
      </c>
      <c r="P748" s="193" t="s">
        <v>4129</v>
      </c>
      <c r="Q748" s="139" t="s">
        <v>44</v>
      </c>
      <c r="R748" s="223"/>
      <c r="S748" s="223"/>
      <c r="T748" s="110"/>
    </row>
    <row r="749" ht="31.5" hidden="1" customHeight="1">
      <c r="A749" s="193">
        <v>748.0</v>
      </c>
      <c r="B749" s="222">
        <v>46229.0</v>
      </c>
      <c r="C749" s="39" t="s">
        <v>21</v>
      </c>
      <c r="D749" s="26" t="s">
        <v>22</v>
      </c>
      <c r="E749" s="30" t="s">
        <v>6859</v>
      </c>
      <c r="F749" s="147">
        <v>5.52400251E8</v>
      </c>
      <c r="G749" s="30" t="s">
        <v>426</v>
      </c>
      <c r="H749" s="39" t="s">
        <v>27</v>
      </c>
      <c r="I749" s="117" t="s">
        <v>6860</v>
      </c>
      <c r="J749" s="223"/>
      <c r="K749" s="193" t="s">
        <v>36</v>
      </c>
      <c r="L749" s="193"/>
      <c r="M749" s="225" t="s">
        <v>38</v>
      </c>
      <c r="N749" s="225"/>
      <c r="O749" s="223"/>
      <c r="P749" s="223"/>
      <c r="Q749" s="139" t="s">
        <v>4074</v>
      </c>
      <c r="R749" s="223"/>
      <c r="S749" s="223"/>
      <c r="T749" s="110"/>
    </row>
    <row r="750" ht="51.75" hidden="1" customHeight="1">
      <c r="A750" s="193">
        <v>749.0</v>
      </c>
      <c r="B750" s="222">
        <v>46229.0</v>
      </c>
      <c r="C750" s="39" t="s">
        <v>58</v>
      </c>
      <c r="D750" s="26" t="s">
        <v>60</v>
      </c>
      <c r="E750" s="30" t="s">
        <v>6861</v>
      </c>
      <c r="F750" s="147">
        <v>5.06578773E8</v>
      </c>
      <c r="G750" s="39" t="s">
        <v>27</v>
      </c>
      <c r="H750" s="39" t="s">
        <v>27</v>
      </c>
      <c r="I750" s="117" t="s">
        <v>6862</v>
      </c>
      <c r="J750" s="223"/>
      <c r="K750" s="193" t="s">
        <v>36</v>
      </c>
      <c r="L750" s="193"/>
      <c r="M750" s="225" t="s">
        <v>88</v>
      </c>
      <c r="N750" s="225"/>
      <c r="O750" s="223"/>
      <c r="P750" s="223"/>
      <c r="Q750" s="139" t="s">
        <v>4074</v>
      </c>
      <c r="R750" s="223"/>
      <c r="S750" s="223"/>
      <c r="T750" s="110"/>
    </row>
    <row r="751" ht="31.5" hidden="1" customHeight="1">
      <c r="A751" s="193">
        <v>750.0</v>
      </c>
      <c r="B751" s="222">
        <v>46229.0</v>
      </c>
      <c r="C751" s="39" t="s">
        <v>58</v>
      </c>
      <c r="D751" s="26" t="s">
        <v>60</v>
      </c>
      <c r="E751" s="39" t="s">
        <v>27</v>
      </c>
      <c r="F751" s="147">
        <v>5.48788663E8</v>
      </c>
      <c r="G751" s="39" t="s">
        <v>27</v>
      </c>
      <c r="H751" s="39" t="s">
        <v>27</v>
      </c>
      <c r="I751" s="117" t="s">
        <v>6865</v>
      </c>
      <c r="J751" s="223"/>
      <c r="K751" s="193" t="s">
        <v>36</v>
      </c>
      <c r="L751" s="193"/>
      <c r="M751" s="225" t="s">
        <v>88</v>
      </c>
      <c r="N751" s="225"/>
      <c r="O751" s="223"/>
      <c r="P751" s="223"/>
      <c r="Q751" s="139" t="s">
        <v>4074</v>
      </c>
      <c r="R751" s="223"/>
      <c r="S751" s="223"/>
      <c r="T751" s="110"/>
    </row>
    <row r="752" ht="31.5" hidden="1" customHeight="1">
      <c r="A752" s="193">
        <v>751.0</v>
      </c>
      <c r="B752" s="222">
        <v>46229.0</v>
      </c>
      <c r="C752" s="39" t="s">
        <v>21</v>
      </c>
      <c r="D752" s="26" t="s">
        <v>24</v>
      </c>
      <c r="E752" s="30" t="s">
        <v>6866</v>
      </c>
      <c r="F752" s="147">
        <v>5.68678434E8</v>
      </c>
      <c r="G752" s="195" t="s">
        <v>71</v>
      </c>
      <c r="H752" s="39" t="s">
        <v>27</v>
      </c>
      <c r="I752" s="117" t="s">
        <v>6868</v>
      </c>
      <c r="J752" s="223"/>
      <c r="K752" s="193" t="s">
        <v>36</v>
      </c>
      <c r="L752" s="193"/>
      <c r="M752" s="225" t="s">
        <v>38</v>
      </c>
      <c r="N752" s="225"/>
      <c r="O752" s="223"/>
      <c r="P752" s="223"/>
      <c r="Q752" s="139" t="s">
        <v>4074</v>
      </c>
      <c r="R752" s="223"/>
      <c r="S752" s="223"/>
      <c r="T752" s="110"/>
    </row>
    <row r="753" ht="31.5" hidden="1" customHeight="1">
      <c r="A753" s="193">
        <v>752.0</v>
      </c>
      <c r="B753" s="222">
        <v>46229.0</v>
      </c>
      <c r="C753" s="39" t="s">
        <v>58</v>
      </c>
      <c r="D753" s="26" t="s">
        <v>57</v>
      </c>
      <c r="E753" s="30" t="s">
        <v>1330</v>
      </c>
      <c r="F753" s="147">
        <v>5.0851991E8</v>
      </c>
      <c r="G753" s="39" t="s">
        <v>27</v>
      </c>
      <c r="H753" s="39" t="s">
        <v>27</v>
      </c>
      <c r="I753" s="117" t="s">
        <v>6872</v>
      </c>
      <c r="J753" s="223"/>
      <c r="K753" s="193" t="s">
        <v>36</v>
      </c>
      <c r="L753" s="193"/>
      <c r="M753" s="225" t="s">
        <v>88</v>
      </c>
      <c r="N753" s="225"/>
      <c r="O753" s="223"/>
      <c r="P753" s="223"/>
      <c r="Q753" s="139" t="s">
        <v>4074</v>
      </c>
      <c r="R753" s="223"/>
      <c r="S753" s="223"/>
      <c r="T753" s="110"/>
    </row>
    <row r="754" ht="31.5" hidden="1" customHeight="1">
      <c r="A754" s="193">
        <v>753.0</v>
      </c>
      <c r="B754" s="222">
        <v>46229.0</v>
      </c>
      <c r="C754" s="39" t="s">
        <v>58</v>
      </c>
      <c r="D754" s="26" t="s">
        <v>60</v>
      </c>
      <c r="E754" s="193" t="s">
        <v>27</v>
      </c>
      <c r="F754" s="147">
        <v>5.33138819E8</v>
      </c>
      <c r="G754" s="193" t="s">
        <v>27</v>
      </c>
      <c r="H754" s="193" t="s">
        <v>27</v>
      </c>
      <c r="I754" s="117" t="s">
        <v>38</v>
      </c>
      <c r="J754" s="223"/>
      <c r="K754" s="193" t="s">
        <v>62</v>
      </c>
      <c r="L754" s="193"/>
      <c r="M754" s="225" t="s">
        <v>88</v>
      </c>
      <c r="N754" s="225"/>
      <c r="O754" s="223"/>
      <c r="P754" s="223"/>
      <c r="Q754" s="139" t="s">
        <v>4074</v>
      </c>
      <c r="R754" s="223"/>
      <c r="S754" s="223"/>
      <c r="T754" s="110"/>
    </row>
    <row r="755" ht="31.5" hidden="1" customHeight="1">
      <c r="A755" s="193">
        <v>754.0</v>
      </c>
      <c r="B755" s="222">
        <v>46229.0</v>
      </c>
      <c r="C755" s="39" t="s">
        <v>47</v>
      </c>
      <c r="D755" s="26" t="s">
        <v>48</v>
      </c>
      <c r="E755" s="30" t="s">
        <v>6877</v>
      </c>
      <c r="F755" s="147">
        <v>5.59993695E8</v>
      </c>
      <c r="G755" s="195" t="s">
        <v>41</v>
      </c>
      <c r="H755" s="39" t="s">
        <v>5436</v>
      </c>
      <c r="I755" s="30" t="s">
        <v>6879</v>
      </c>
      <c r="J755" s="223"/>
      <c r="K755" s="193" t="s">
        <v>148</v>
      </c>
      <c r="L755" s="193" t="s">
        <v>42</v>
      </c>
      <c r="M755" s="225" t="s">
        <v>101</v>
      </c>
      <c r="N755" s="225"/>
      <c r="O755" s="193" t="s">
        <v>40</v>
      </c>
      <c r="P755" s="223"/>
      <c r="Q755" s="139" t="s">
        <v>4074</v>
      </c>
      <c r="R755" s="390" t="s">
        <v>46</v>
      </c>
      <c r="S755" s="223"/>
      <c r="T755" s="110"/>
    </row>
    <row r="756" ht="31.5" hidden="1" customHeight="1">
      <c r="A756" s="193">
        <v>755.0</v>
      </c>
      <c r="B756" s="222">
        <v>46229.0</v>
      </c>
      <c r="C756" s="39" t="s">
        <v>58</v>
      </c>
      <c r="D756" s="26" t="s">
        <v>60</v>
      </c>
      <c r="E756" s="39" t="s">
        <v>27</v>
      </c>
      <c r="F756" s="147">
        <v>5.34225229E8</v>
      </c>
      <c r="G756" s="39" t="s">
        <v>27</v>
      </c>
      <c r="H756" s="39" t="s">
        <v>27</v>
      </c>
      <c r="I756" s="117" t="s">
        <v>484</v>
      </c>
      <c r="J756" s="223"/>
      <c r="K756" s="193" t="s">
        <v>36</v>
      </c>
      <c r="L756" s="193"/>
      <c r="M756" s="225" t="s">
        <v>88</v>
      </c>
      <c r="N756" s="225"/>
      <c r="O756" s="223"/>
      <c r="P756" s="223"/>
      <c r="Q756" s="139" t="s">
        <v>4074</v>
      </c>
      <c r="R756" s="223"/>
      <c r="S756" s="223"/>
      <c r="T756" s="110"/>
    </row>
    <row r="757" ht="31.5" hidden="1" customHeight="1">
      <c r="A757" s="193">
        <v>756.0</v>
      </c>
      <c r="B757" s="222">
        <v>46229.0</v>
      </c>
      <c r="C757" s="39" t="s">
        <v>21</v>
      </c>
      <c r="D757" s="26" t="s">
        <v>22</v>
      </c>
      <c r="E757" s="30" t="s">
        <v>6881</v>
      </c>
      <c r="F757" s="147">
        <v>5.6511113E8</v>
      </c>
      <c r="G757" s="195" t="s">
        <v>71</v>
      </c>
      <c r="H757" s="39" t="s">
        <v>27</v>
      </c>
      <c r="I757" s="117" t="s">
        <v>6882</v>
      </c>
      <c r="J757" s="223"/>
      <c r="K757" s="193" t="s">
        <v>36</v>
      </c>
      <c r="L757" s="193"/>
      <c r="M757" s="225" t="s">
        <v>38</v>
      </c>
      <c r="N757" s="225"/>
      <c r="O757" s="223"/>
      <c r="P757" s="223"/>
      <c r="Q757" s="139" t="s">
        <v>4074</v>
      </c>
      <c r="R757" s="223"/>
      <c r="S757" s="223"/>
      <c r="T757" s="110"/>
    </row>
    <row r="758" ht="31.5" hidden="1" customHeight="1">
      <c r="A758" s="193">
        <v>757.0</v>
      </c>
      <c r="B758" s="222">
        <v>46230.0</v>
      </c>
      <c r="C758" s="39" t="s">
        <v>47</v>
      </c>
      <c r="D758" s="26" t="s">
        <v>92</v>
      </c>
      <c r="E758" s="30" t="s">
        <v>6885</v>
      </c>
      <c r="F758" s="147">
        <v>5.00928601E8</v>
      </c>
      <c r="G758" s="195" t="s">
        <v>71</v>
      </c>
      <c r="H758" s="39" t="s">
        <v>291</v>
      </c>
      <c r="I758" s="117" t="s">
        <v>6886</v>
      </c>
      <c r="J758" s="223"/>
      <c r="K758" s="193" t="s">
        <v>148</v>
      </c>
      <c r="L758" s="193"/>
      <c r="M758" s="225" t="s">
        <v>183</v>
      </c>
      <c r="N758" s="225"/>
      <c r="O758" s="193" t="s">
        <v>40</v>
      </c>
      <c r="P758" s="223"/>
      <c r="Q758" s="139" t="s">
        <v>4074</v>
      </c>
      <c r="R758" s="390" t="s">
        <v>46</v>
      </c>
      <c r="S758" s="223"/>
      <c r="T758" s="110"/>
    </row>
    <row r="759" ht="31.5" hidden="1" customHeight="1">
      <c r="A759" s="193">
        <v>758.0</v>
      </c>
      <c r="B759" s="222">
        <v>46230.0</v>
      </c>
      <c r="C759" s="39" t="s">
        <v>47</v>
      </c>
      <c r="D759" s="26" t="s">
        <v>92</v>
      </c>
      <c r="E759" s="39" t="s">
        <v>6888</v>
      </c>
      <c r="F759" s="147" t="s">
        <v>27</v>
      </c>
      <c r="G759" s="195" t="s">
        <v>71</v>
      </c>
      <c r="H759" s="39" t="s">
        <v>1906</v>
      </c>
      <c r="I759" s="117" t="s">
        <v>6890</v>
      </c>
      <c r="J759" s="223"/>
      <c r="K759" s="193" t="s">
        <v>78</v>
      </c>
      <c r="L759" s="193"/>
      <c r="M759" s="225" t="s">
        <v>55</v>
      </c>
      <c r="N759" s="225"/>
      <c r="O759" s="193" t="s">
        <v>40</v>
      </c>
      <c r="P759" s="223"/>
      <c r="Q759" s="139" t="s">
        <v>4074</v>
      </c>
      <c r="R759" s="390" t="s">
        <v>46</v>
      </c>
      <c r="S759" s="223"/>
      <c r="T759" s="110"/>
    </row>
    <row r="760" ht="31.5" hidden="1" customHeight="1">
      <c r="A760" s="193">
        <v>759.0</v>
      </c>
      <c r="B760" s="222">
        <v>46230.0</v>
      </c>
      <c r="C760" s="39" t="s">
        <v>58</v>
      </c>
      <c r="D760" s="26" t="s">
        <v>60</v>
      </c>
      <c r="E760" s="39" t="s">
        <v>27</v>
      </c>
      <c r="F760" s="147">
        <v>5.31833609E8</v>
      </c>
      <c r="G760" s="39" t="s">
        <v>27</v>
      </c>
      <c r="H760" s="39" t="s">
        <v>27</v>
      </c>
      <c r="I760" s="117" t="s">
        <v>6891</v>
      </c>
      <c r="J760" s="223"/>
      <c r="K760" s="193" t="s">
        <v>36</v>
      </c>
      <c r="L760" s="193"/>
      <c r="M760" s="225" t="s">
        <v>88</v>
      </c>
      <c r="N760" s="225"/>
      <c r="O760" s="223"/>
      <c r="P760" s="223"/>
      <c r="Q760" s="139" t="s">
        <v>4074</v>
      </c>
      <c r="R760" s="223"/>
      <c r="S760" s="223"/>
      <c r="T760" s="110"/>
    </row>
    <row r="761" ht="31.5" hidden="1" customHeight="1">
      <c r="A761" s="193">
        <v>760.0</v>
      </c>
      <c r="B761" s="222">
        <v>46230.0</v>
      </c>
      <c r="C761" s="39" t="s">
        <v>58</v>
      </c>
      <c r="D761" s="26" t="s">
        <v>60</v>
      </c>
      <c r="E761" s="30" t="s">
        <v>6892</v>
      </c>
      <c r="F761" s="147">
        <v>5.30943491E8</v>
      </c>
      <c r="G761" s="39" t="s">
        <v>27</v>
      </c>
      <c r="H761" s="39" t="s">
        <v>27</v>
      </c>
      <c r="I761" s="117" t="s">
        <v>6894</v>
      </c>
      <c r="J761" s="223"/>
      <c r="K761" s="193" t="s">
        <v>62</v>
      </c>
      <c r="L761" s="193"/>
      <c r="M761" s="225" t="s">
        <v>88</v>
      </c>
      <c r="N761" s="225"/>
      <c r="O761" s="223"/>
      <c r="P761" s="223"/>
      <c r="Q761" s="139" t="s">
        <v>4074</v>
      </c>
      <c r="R761" s="223"/>
      <c r="S761" s="223"/>
      <c r="T761" s="110"/>
    </row>
    <row r="762" ht="31.5" hidden="1" customHeight="1">
      <c r="A762" s="193">
        <v>761.0</v>
      </c>
      <c r="B762" s="222">
        <v>46230.0</v>
      </c>
      <c r="C762" s="39" t="s">
        <v>58</v>
      </c>
      <c r="D762" s="26" t="s">
        <v>60</v>
      </c>
      <c r="E762" s="30" t="s">
        <v>108</v>
      </c>
      <c r="F762" s="147">
        <v>5.0564135E8</v>
      </c>
      <c r="G762" s="39" t="s">
        <v>27</v>
      </c>
      <c r="H762" s="39" t="s">
        <v>27</v>
      </c>
      <c r="I762" s="117" t="s">
        <v>6670</v>
      </c>
      <c r="J762" s="223"/>
      <c r="K762" s="193" t="s">
        <v>36</v>
      </c>
      <c r="L762" s="193"/>
      <c r="M762" s="225" t="s">
        <v>88</v>
      </c>
      <c r="N762" s="225"/>
      <c r="O762" s="223"/>
      <c r="P762" s="223"/>
      <c r="Q762" s="139" t="s">
        <v>4074</v>
      </c>
      <c r="R762" s="223"/>
      <c r="S762" s="223"/>
      <c r="T762" s="110"/>
    </row>
    <row r="763" ht="31.5" hidden="1" customHeight="1">
      <c r="A763" s="193">
        <v>762.0</v>
      </c>
      <c r="B763" s="222">
        <v>46230.0</v>
      </c>
      <c r="C763" s="39" t="s">
        <v>21</v>
      </c>
      <c r="D763" s="26" t="s">
        <v>22</v>
      </c>
      <c r="E763" s="30" t="s">
        <v>6897</v>
      </c>
      <c r="F763" s="147">
        <v>5.95022187E8</v>
      </c>
      <c r="G763" s="195" t="s">
        <v>41</v>
      </c>
      <c r="H763" s="39" t="s">
        <v>27</v>
      </c>
      <c r="I763" s="117" t="s">
        <v>6898</v>
      </c>
      <c r="J763" s="223"/>
      <c r="K763" s="193" t="s">
        <v>62</v>
      </c>
      <c r="L763" s="193"/>
      <c r="M763" s="225" t="s">
        <v>38</v>
      </c>
      <c r="N763" s="225"/>
      <c r="O763" s="223"/>
      <c r="P763" s="223"/>
      <c r="Q763" s="139" t="s">
        <v>4074</v>
      </c>
      <c r="R763" s="223"/>
      <c r="S763" s="223"/>
      <c r="T763" s="110"/>
    </row>
    <row r="764" ht="77.25" hidden="1" customHeight="1">
      <c r="A764" s="193">
        <v>763.0</v>
      </c>
      <c r="B764" s="222">
        <v>46230.0</v>
      </c>
      <c r="C764" s="39" t="s">
        <v>47</v>
      </c>
      <c r="D764" s="26" t="s">
        <v>367</v>
      </c>
      <c r="E764" s="30" t="s">
        <v>6901</v>
      </c>
      <c r="F764" s="147">
        <v>5.09616033E8</v>
      </c>
      <c r="G764" s="195" t="s">
        <v>41</v>
      </c>
      <c r="H764" s="39" t="s">
        <v>5436</v>
      </c>
      <c r="I764" s="117" t="s">
        <v>6902</v>
      </c>
      <c r="J764" s="448"/>
      <c r="K764" s="193" t="s">
        <v>62</v>
      </c>
      <c r="L764" s="193" t="s">
        <v>518</v>
      </c>
      <c r="M764" s="225" t="s">
        <v>55</v>
      </c>
      <c r="N764" s="225"/>
      <c r="O764" s="193" t="s">
        <v>40</v>
      </c>
      <c r="P764" s="223"/>
      <c r="Q764" s="139" t="s">
        <v>4074</v>
      </c>
      <c r="R764" s="390" t="s">
        <v>46</v>
      </c>
      <c r="S764" s="390" t="s">
        <v>4074</v>
      </c>
      <c r="T764" s="110"/>
    </row>
    <row r="765" ht="31.5" hidden="1" customHeight="1">
      <c r="A765" s="193">
        <v>764.0</v>
      </c>
      <c r="B765" s="222">
        <v>46230.0</v>
      </c>
      <c r="C765" s="39" t="s">
        <v>21</v>
      </c>
      <c r="D765" s="26" t="s">
        <v>66</v>
      </c>
      <c r="E765" s="30" t="s">
        <v>276</v>
      </c>
      <c r="F765" s="147">
        <v>5.66099913E8</v>
      </c>
      <c r="G765" s="30" t="s">
        <v>6143</v>
      </c>
      <c r="H765" s="39" t="s">
        <v>27</v>
      </c>
      <c r="I765" s="117" t="s">
        <v>6904</v>
      </c>
      <c r="J765" s="223"/>
      <c r="K765" s="193" t="s">
        <v>36</v>
      </c>
      <c r="L765" s="193"/>
      <c r="M765" s="225" t="s">
        <v>38</v>
      </c>
      <c r="N765" s="225"/>
      <c r="O765" s="223"/>
      <c r="P765" s="223"/>
      <c r="Q765" s="139" t="s">
        <v>4074</v>
      </c>
      <c r="R765" s="223"/>
      <c r="S765" s="223"/>
      <c r="T765" s="110"/>
    </row>
    <row r="766" ht="31.5" hidden="1" customHeight="1">
      <c r="A766" s="193">
        <v>765.0</v>
      </c>
      <c r="B766" s="222">
        <v>46230.0</v>
      </c>
      <c r="C766" s="39" t="s">
        <v>21</v>
      </c>
      <c r="D766" s="26" t="s">
        <v>22</v>
      </c>
      <c r="E766" s="30" t="s">
        <v>6905</v>
      </c>
      <c r="F766" s="147">
        <v>5.05450659E8</v>
      </c>
      <c r="G766" s="193" t="s">
        <v>27</v>
      </c>
      <c r="H766" s="39" t="s">
        <v>27</v>
      </c>
      <c r="I766" s="117" t="s">
        <v>6906</v>
      </c>
      <c r="J766" s="223"/>
      <c r="K766" s="193" t="s">
        <v>62</v>
      </c>
      <c r="L766" s="193"/>
      <c r="M766" s="225" t="s">
        <v>38</v>
      </c>
      <c r="N766" s="225"/>
      <c r="O766" s="223"/>
      <c r="P766" s="223"/>
      <c r="Q766" s="139" t="s">
        <v>4074</v>
      </c>
      <c r="R766" s="223"/>
      <c r="S766" s="223"/>
      <c r="T766" s="110"/>
    </row>
    <row r="767" ht="31.5" hidden="1" customHeight="1">
      <c r="A767" s="193">
        <v>766.0</v>
      </c>
      <c r="B767" s="222">
        <v>46230.0</v>
      </c>
      <c r="C767" s="39" t="s">
        <v>58</v>
      </c>
      <c r="D767" s="26" t="s">
        <v>60</v>
      </c>
      <c r="E767" s="30" t="s">
        <v>6908</v>
      </c>
      <c r="F767" s="147">
        <v>5.67826083E8</v>
      </c>
      <c r="G767" s="39" t="s">
        <v>27</v>
      </c>
      <c r="H767" s="39" t="s">
        <v>27</v>
      </c>
      <c r="I767" s="117" t="s">
        <v>6909</v>
      </c>
      <c r="J767" s="223"/>
      <c r="K767" s="193" t="s">
        <v>36</v>
      </c>
      <c r="L767" s="193"/>
      <c r="M767" s="225" t="s">
        <v>88</v>
      </c>
      <c r="N767" s="225"/>
      <c r="O767" s="223"/>
      <c r="P767" s="223"/>
      <c r="Q767" s="139" t="s">
        <v>4074</v>
      </c>
      <c r="R767" s="223"/>
      <c r="S767" s="390" t="s">
        <v>44</v>
      </c>
      <c r="T767" s="110"/>
    </row>
    <row r="768" ht="31.5" hidden="1" customHeight="1">
      <c r="A768" s="193">
        <v>767.0</v>
      </c>
      <c r="B768" s="222">
        <v>46230.0</v>
      </c>
      <c r="C768" s="39" t="s">
        <v>47</v>
      </c>
      <c r="D768" s="26" t="s">
        <v>48</v>
      </c>
      <c r="E768" s="30" t="s">
        <v>1431</v>
      </c>
      <c r="F768" s="147">
        <v>5.53340055E8</v>
      </c>
      <c r="G768" s="195" t="s">
        <v>79</v>
      </c>
      <c r="H768" s="39" t="s">
        <v>142</v>
      </c>
      <c r="I768" s="30" t="s">
        <v>6911</v>
      </c>
      <c r="J768" s="223"/>
      <c r="K768" s="193" t="s">
        <v>36</v>
      </c>
      <c r="L768" s="193" t="s">
        <v>42</v>
      </c>
      <c r="M768" s="225" t="s">
        <v>101</v>
      </c>
      <c r="N768" s="225"/>
      <c r="O768" s="193" t="s">
        <v>40</v>
      </c>
      <c r="P768" s="223"/>
      <c r="Q768" s="139" t="s">
        <v>4074</v>
      </c>
      <c r="R768" s="390" t="s">
        <v>46</v>
      </c>
      <c r="S768" s="390" t="s">
        <v>4074</v>
      </c>
      <c r="T768" s="110"/>
    </row>
    <row r="769" ht="31.5" hidden="1" customHeight="1">
      <c r="A769" s="193">
        <v>768.0</v>
      </c>
      <c r="B769" s="222">
        <v>46230.0</v>
      </c>
      <c r="C769" s="39" t="s">
        <v>21</v>
      </c>
      <c r="D769" s="26" t="s">
        <v>66</v>
      </c>
      <c r="E769" s="30" t="s">
        <v>6913</v>
      </c>
      <c r="F769" s="147">
        <v>5.46645263E8</v>
      </c>
      <c r="G769" s="30" t="s">
        <v>6143</v>
      </c>
      <c r="H769" s="39" t="s">
        <v>27</v>
      </c>
      <c r="I769" s="432" t="s">
        <v>6914</v>
      </c>
      <c r="J769" s="223"/>
      <c r="K769" s="193" t="s">
        <v>62</v>
      </c>
      <c r="L769" s="193"/>
      <c r="M769" s="225" t="s">
        <v>38</v>
      </c>
      <c r="N769" s="225"/>
      <c r="O769" s="223"/>
      <c r="P769" s="223"/>
      <c r="Q769" s="139" t="s">
        <v>4074</v>
      </c>
      <c r="R769" s="223"/>
      <c r="S769" s="223"/>
      <c r="T769" s="110"/>
    </row>
    <row r="770" ht="46.5" hidden="1" customHeight="1">
      <c r="A770" s="193">
        <v>769.0</v>
      </c>
      <c r="B770" s="222">
        <v>46230.0</v>
      </c>
      <c r="C770" s="39" t="s">
        <v>58</v>
      </c>
      <c r="D770" s="26" t="s">
        <v>92</v>
      </c>
      <c r="E770" s="30" t="s">
        <v>6916</v>
      </c>
      <c r="F770" s="147">
        <v>5.90037845E8</v>
      </c>
      <c r="G770" s="195" t="s">
        <v>41</v>
      </c>
      <c r="H770" s="103" t="s">
        <v>5008</v>
      </c>
      <c r="I770" s="399" t="s">
        <v>6917</v>
      </c>
      <c r="J770" s="225" t="s">
        <v>6918</v>
      </c>
      <c r="K770" s="193" t="s">
        <v>36</v>
      </c>
      <c r="L770" s="193"/>
      <c r="M770" s="225" t="s">
        <v>88</v>
      </c>
      <c r="N770" s="225"/>
      <c r="O770" s="223"/>
      <c r="P770" s="223"/>
      <c r="Q770" s="139" t="s">
        <v>4074</v>
      </c>
      <c r="R770" s="223"/>
      <c r="S770" s="390" t="s">
        <v>44</v>
      </c>
      <c r="T770" s="110"/>
    </row>
    <row r="771" ht="31.5" hidden="1" customHeight="1">
      <c r="A771" s="193">
        <v>770.0</v>
      </c>
      <c r="B771" s="222">
        <v>46230.0</v>
      </c>
      <c r="C771" s="39" t="s">
        <v>58</v>
      </c>
      <c r="D771" s="26" t="s">
        <v>60</v>
      </c>
      <c r="E771" s="30" t="s">
        <v>501</v>
      </c>
      <c r="F771" s="147">
        <v>5.51599507E8</v>
      </c>
      <c r="G771" s="39" t="s">
        <v>27</v>
      </c>
      <c r="H771" s="193" t="s">
        <v>27</v>
      </c>
      <c r="I771" s="117" t="s">
        <v>6919</v>
      </c>
      <c r="J771" s="223"/>
      <c r="K771" s="193" t="s">
        <v>36</v>
      </c>
      <c r="L771" s="193"/>
      <c r="M771" s="225" t="s">
        <v>88</v>
      </c>
      <c r="N771" s="225"/>
      <c r="O771" s="223"/>
      <c r="P771" s="223"/>
      <c r="Q771" s="139" t="s">
        <v>4074</v>
      </c>
      <c r="R771" s="223"/>
      <c r="S771" s="223"/>
      <c r="T771" s="110"/>
    </row>
    <row r="772" ht="31.5" hidden="1" customHeight="1">
      <c r="A772" s="193">
        <v>771.0</v>
      </c>
      <c r="B772" s="222">
        <v>46230.0</v>
      </c>
      <c r="C772" s="39" t="s">
        <v>58</v>
      </c>
      <c r="D772" s="26" t="s">
        <v>60</v>
      </c>
      <c r="E772" s="193" t="s">
        <v>27</v>
      </c>
      <c r="F772" s="147">
        <v>5.50917E8</v>
      </c>
      <c r="G772" s="30" t="s">
        <v>152</v>
      </c>
      <c r="H772" s="39" t="s">
        <v>27</v>
      </c>
      <c r="I772" s="432" t="s">
        <v>6921</v>
      </c>
      <c r="J772" s="223"/>
      <c r="K772" s="193" t="s">
        <v>36</v>
      </c>
      <c r="L772" s="193"/>
      <c r="M772" s="225" t="s">
        <v>88</v>
      </c>
      <c r="N772" s="225"/>
      <c r="O772" s="223"/>
      <c r="P772" s="223"/>
      <c r="Q772" s="139" t="s">
        <v>44</v>
      </c>
      <c r="R772" s="223"/>
      <c r="S772" s="223"/>
      <c r="T772" s="110"/>
    </row>
    <row r="773" ht="31.5" hidden="1" customHeight="1">
      <c r="A773" s="193">
        <v>772.0</v>
      </c>
      <c r="B773" s="222">
        <v>46230.0</v>
      </c>
      <c r="C773" s="39" t="s">
        <v>58</v>
      </c>
      <c r="D773" s="26" t="s">
        <v>60</v>
      </c>
      <c r="E773" s="39" t="s">
        <v>27</v>
      </c>
      <c r="F773" s="147">
        <v>5.38770268E8</v>
      </c>
      <c r="G773" s="39" t="s">
        <v>27</v>
      </c>
      <c r="H773" s="39" t="s">
        <v>27</v>
      </c>
      <c r="I773" s="117" t="s">
        <v>6924</v>
      </c>
      <c r="J773" s="223"/>
      <c r="K773" s="193" t="s">
        <v>62</v>
      </c>
      <c r="L773" s="193"/>
      <c r="M773" s="225" t="s">
        <v>88</v>
      </c>
      <c r="N773" s="225"/>
      <c r="O773" s="223"/>
      <c r="P773" s="223"/>
      <c r="Q773" s="139" t="s">
        <v>4074</v>
      </c>
      <c r="R773" s="390"/>
      <c r="S773" s="223"/>
      <c r="T773" s="110"/>
    </row>
    <row r="774" ht="31.5" hidden="1" customHeight="1">
      <c r="A774" s="193">
        <v>773.0</v>
      </c>
      <c r="B774" s="222">
        <v>46230.0</v>
      </c>
      <c r="C774" s="39" t="s">
        <v>47</v>
      </c>
      <c r="D774" s="26" t="s">
        <v>92</v>
      </c>
      <c r="E774" s="30" t="s">
        <v>6925</v>
      </c>
      <c r="F774" s="147" t="s">
        <v>27</v>
      </c>
      <c r="G774" s="195" t="s">
        <v>71</v>
      </c>
      <c r="H774" s="39" t="s">
        <v>4313</v>
      </c>
      <c r="I774" s="117" t="s">
        <v>6926</v>
      </c>
      <c r="J774" s="223"/>
      <c r="K774" s="193" t="s">
        <v>78</v>
      </c>
      <c r="L774" s="193"/>
      <c r="M774" s="225" t="s">
        <v>55</v>
      </c>
      <c r="N774" s="225"/>
      <c r="O774" s="193" t="s">
        <v>40</v>
      </c>
      <c r="P774" s="223"/>
      <c r="Q774" s="139" t="s">
        <v>4074</v>
      </c>
      <c r="R774" s="390" t="s">
        <v>46</v>
      </c>
      <c r="S774" s="223"/>
      <c r="T774" s="110"/>
    </row>
    <row r="775" ht="31.5" hidden="1" customHeight="1">
      <c r="A775" s="193">
        <v>774.0</v>
      </c>
      <c r="B775" s="222">
        <v>46230.0</v>
      </c>
      <c r="C775" s="39" t="s">
        <v>21</v>
      </c>
      <c r="D775" s="26" t="s">
        <v>22</v>
      </c>
      <c r="E775" s="30" t="s">
        <v>1103</v>
      </c>
      <c r="F775" s="147">
        <v>5.3555818E8</v>
      </c>
      <c r="G775" s="30" t="s">
        <v>152</v>
      </c>
      <c r="H775" s="39" t="s">
        <v>27</v>
      </c>
      <c r="I775" s="117" t="s">
        <v>6929</v>
      </c>
      <c r="J775" s="223"/>
      <c r="K775" s="193" t="s">
        <v>36</v>
      </c>
      <c r="L775" s="193"/>
      <c r="M775" s="225" t="s">
        <v>38</v>
      </c>
      <c r="N775" s="225"/>
      <c r="O775" s="223"/>
      <c r="P775" s="223"/>
      <c r="Q775" s="139" t="s">
        <v>4074</v>
      </c>
      <c r="R775" s="223"/>
      <c r="S775" s="223"/>
      <c r="T775" s="110"/>
    </row>
    <row r="776" ht="31.5" hidden="1" customHeight="1">
      <c r="A776" s="193">
        <v>775.0</v>
      </c>
      <c r="B776" s="222">
        <v>46230.0</v>
      </c>
      <c r="C776" s="39" t="s">
        <v>58</v>
      </c>
      <c r="D776" s="26" t="s">
        <v>60</v>
      </c>
      <c r="E776" s="39" t="s">
        <v>27</v>
      </c>
      <c r="F776" s="147">
        <v>5.07664182E8</v>
      </c>
      <c r="G776" s="39" t="s">
        <v>27</v>
      </c>
      <c r="H776" s="39" t="s">
        <v>27</v>
      </c>
      <c r="I776" s="117" t="s">
        <v>6932</v>
      </c>
      <c r="J776" s="223"/>
      <c r="K776" s="193" t="s">
        <v>36</v>
      </c>
      <c r="L776" s="193"/>
      <c r="M776" s="225" t="s">
        <v>88</v>
      </c>
      <c r="N776" s="225"/>
      <c r="O776" s="223"/>
      <c r="P776" s="223"/>
      <c r="Q776" s="139" t="s">
        <v>4074</v>
      </c>
      <c r="R776" s="223"/>
      <c r="S776" s="223"/>
      <c r="T776" s="110"/>
    </row>
    <row r="777" ht="42.75" hidden="1" customHeight="1">
      <c r="A777" s="193">
        <v>776.0</v>
      </c>
      <c r="B777" s="222">
        <v>46230.0</v>
      </c>
      <c r="C777" s="39" t="s">
        <v>58</v>
      </c>
      <c r="D777" s="26" t="s">
        <v>57</v>
      </c>
      <c r="E777" s="30" t="s">
        <v>2670</v>
      </c>
      <c r="F777" s="147">
        <v>5.39293934E8</v>
      </c>
      <c r="G777" s="193" t="s">
        <v>27</v>
      </c>
      <c r="H777" s="193" t="s">
        <v>27</v>
      </c>
      <c r="I777" s="429" t="s">
        <v>6934</v>
      </c>
      <c r="J777" s="225" t="s">
        <v>6935</v>
      </c>
      <c r="K777" s="193" t="s">
        <v>62</v>
      </c>
      <c r="L777" s="193"/>
      <c r="M777" s="225" t="s">
        <v>88</v>
      </c>
      <c r="N777" s="225"/>
      <c r="O777" s="223"/>
      <c r="P777" s="223"/>
      <c r="Q777" s="139" t="s">
        <v>44</v>
      </c>
      <c r="R777" s="223"/>
      <c r="S777" s="223"/>
      <c r="T777" s="110"/>
    </row>
    <row r="778" ht="31.5" hidden="1" customHeight="1">
      <c r="A778" s="193">
        <v>777.0</v>
      </c>
      <c r="B778" s="222">
        <v>46230.0</v>
      </c>
      <c r="C778" s="39" t="s">
        <v>58</v>
      </c>
      <c r="D778" s="26" t="s">
        <v>60</v>
      </c>
      <c r="E778" s="193" t="s">
        <v>27</v>
      </c>
      <c r="F778" s="147">
        <v>5.33313396E8</v>
      </c>
      <c r="G778" s="193" t="s">
        <v>27</v>
      </c>
      <c r="H778" s="193" t="s">
        <v>27</v>
      </c>
      <c r="I778" s="117" t="s">
        <v>6938</v>
      </c>
      <c r="J778" s="223"/>
      <c r="K778" s="193" t="s">
        <v>62</v>
      </c>
      <c r="L778" s="193"/>
      <c r="M778" s="225" t="s">
        <v>88</v>
      </c>
      <c r="N778" s="225"/>
      <c r="O778" s="223"/>
      <c r="P778" s="223"/>
      <c r="Q778" s="139" t="s">
        <v>44</v>
      </c>
      <c r="R778" s="223"/>
      <c r="S778" s="223"/>
      <c r="T778" s="110"/>
    </row>
    <row r="779" ht="31.5" hidden="1" customHeight="1">
      <c r="A779" s="193">
        <v>778.0</v>
      </c>
      <c r="B779" s="222">
        <v>46230.0</v>
      </c>
      <c r="C779" s="39" t="s">
        <v>58</v>
      </c>
      <c r="D779" s="26" t="s">
        <v>60</v>
      </c>
      <c r="E779" s="30" t="s">
        <v>6939</v>
      </c>
      <c r="F779" s="147">
        <v>5.95063866E8</v>
      </c>
      <c r="G779" s="193" t="s">
        <v>27</v>
      </c>
      <c r="H779" s="193" t="s">
        <v>27</v>
      </c>
      <c r="I779" s="117" t="s">
        <v>6940</v>
      </c>
      <c r="J779" s="225" t="s">
        <v>6941</v>
      </c>
      <c r="K779" s="193" t="s">
        <v>62</v>
      </c>
      <c r="L779" s="193"/>
      <c r="M779" s="225" t="s">
        <v>88</v>
      </c>
      <c r="N779" s="225"/>
      <c r="O779" s="223"/>
      <c r="P779" s="223"/>
      <c r="Q779" s="139" t="s">
        <v>44</v>
      </c>
      <c r="R779" s="223"/>
      <c r="S779" s="223"/>
      <c r="T779" s="110"/>
    </row>
    <row r="780" ht="31.5" hidden="1" customHeight="1">
      <c r="A780" s="193">
        <v>779.0</v>
      </c>
      <c r="B780" s="222">
        <v>46230.0</v>
      </c>
      <c r="C780" s="39" t="s">
        <v>58</v>
      </c>
      <c r="D780" s="26" t="s">
        <v>60</v>
      </c>
      <c r="E780" s="142" t="s">
        <v>633</v>
      </c>
      <c r="F780" s="147">
        <v>5.7232881E8</v>
      </c>
      <c r="G780" s="193" t="s">
        <v>27</v>
      </c>
      <c r="H780" s="193" t="s">
        <v>27</v>
      </c>
      <c r="I780" s="117" t="s">
        <v>38</v>
      </c>
      <c r="J780" s="223"/>
      <c r="K780" s="193" t="s">
        <v>62</v>
      </c>
      <c r="L780" s="193"/>
      <c r="M780" s="225" t="s">
        <v>88</v>
      </c>
      <c r="N780" s="225"/>
      <c r="O780" s="223"/>
      <c r="P780" s="223"/>
      <c r="Q780" s="139" t="s">
        <v>44</v>
      </c>
      <c r="R780" s="223"/>
      <c r="S780" s="223"/>
      <c r="T780" s="110"/>
    </row>
    <row r="781" ht="31.5" hidden="1" customHeight="1">
      <c r="A781" s="193">
        <v>780.0</v>
      </c>
      <c r="B781" s="222">
        <v>46230.0</v>
      </c>
      <c r="C781" s="39" t="s">
        <v>58</v>
      </c>
      <c r="D781" s="26" t="s">
        <v>60</v>
      </c>
      <c r="E781" s="30" t="s">
        <v>1330</v>
      </c>
      <c r="F781" s="147">
        <v>5.0851991E8</v>
      </c>
      <c r="G781" s="39" t="s">
        <v>27</v>
      </c>
      <c r="H781" s="39" t="s">
        <v>27</v>
      </c>
      <c r="I781" s="117" t="s">
        <v>6670</v>
      </c>
      <c r="J781" s="223"/>
      <c r="K781" s="193" t="s">
        <v>36</v>
      </c>
      <c r="L781" s="193"/>
      <c r="M781" s="225" t="s">
        <v>88</v>
      </c>
      <c r="N781" s="225"/>
      <c r="O781" s="223"/>
      <c r="P781" s="223"/>
      <c r="Q781" s="139" t="s">
        <v>4074</v>
      </c>
      <c r="R781" s="223"/>
      <c r="S781" s="223"/>
      <c r="T781" s="110"/>
    </row>
    <row r="782" ht="31.5" hidden="1" customHeight="1">
      <c r="A782" s="193">
        <v>781.0</v>
      </c>
      <c r="B782" s="222">
        <v>46230.0</v>
      </c>
      <c r="C782" s="39" t="s">
        <v>21</v>
      </c>
      <c r="D782" s="26" t="s">
        <v>66</v>
      </c>
      <c r="E782" s="39" t="s">
        <v>27</v>
      </c>
      <c r="F782" s="147">
        <v>5.55788643E8</v>
      </c>
      <c r="G782" s="39" t="s">
        <v>27</v>
      </c>
      <c r="H782" s="39" t="s">
        <v>27</v>
      </c>
      <c r="I782" s="117" t="s">
        <v>6948</v>
      </c>
      <c r="J782" s="223"/>
      <c r="K782" s="193" t="s">
        <v>36</v>
      </c>
      <c r="L782" s="193"/>
      <c r="M782" s="225" t="s">
        <v>208</v>
      </c>
      <c r="N782" s="225"/>
      <c r="O782" s="223"/>
      <c r="P782" s="223"/>
      <c r="Q782" s="139" t="s">
        <v>4074</v>
      </c>
      <c r="R782" s="223"/>
      <c r="S782" s="223"/>
      <c r="T782" s="110"/>
    </row>
    <row r="783" ht="54.0" customHeight="1">
      <c r="A783" s="193">
        <v>782.0</v>
      </c>
      <c r="B783" s="222">
        <v>46230.0</v>
      </c>
      <c r="C783" s="39" t="s">
        <v>58</v>
      </c>
      <c r="D783" s="26" t="s">
        <v>48</v>
      </c>
      <c r="E783" s="30" t="s">
        <v>4947</v>
      </c>
      <c r="F783" s="137">
        <v>5.06921397E8</v>
      </c>
      <c r="G783" s="195" t="s">
        <v>79</v>
      </c>
      <c r="H783" s="17" t="s">
        <v>6950</v>
      </c>
      <c r="I783" s="117" t="s">
        <v>6951</v>
      </c>
      <c r="J783" s="225" t="s">
        <v>6953</v>
      </c>
      <c r="K783" s="193" t="s">
        <v>36</v>
      </c>
      <c r="L783" s="193" t="s">
        <v>42</v>
      </c>
      <c r="M783" s="225" t="s">
        <v>6955</v>
      </c>
      <c r="N783" s="225"/>
      <c r="O783" s="193" t="s">
        <v>40</v>
      </c>
      <c r="P783" s="193" t="s">
        <v>4129</v>
      </c>
      <c r="Q783" s="139" t="s">
        <v>4074</v>
      </c>
      <c r="R783" s="223"/>
      <c r="S783" s="223"/>
      <c r="T783" s="110"/>
    </row>
    <row r="784" ht="31.5" hidden="1" customHeight="1">
      <c r="A784" s="193">
        <v>783.0</v>
      </c>
      <c r="B784" s="222">
        <v>46230.0</v>
      </c>
      <c r="C784" s="39" t="s">
        <v>21</v>
      </c>
      <c r="D784" s="26" t="s">
        <v>24</v>
      </c>
      <c r="E784" s="30" t="s">
        <v>922</v>
      </c>
      <c r="F784" s="147">
        <v>5.44188707E8</v>
      </c>
      <c r="G784" s="195" t="s">
        <v>71</v>
      </c>
      <c r="H784" s="39" t="s">
        <v>27</v>
      </c>
      <c r="I784" s="117" t="s">
        <v>6958</v>
      </c>
      <c r="J784" s="223"/>
      <c r="K784" s="193" t="s">
        <v>36</v>
      </c>
      <c r="L784" s="193"/>
      <c r="M784" s="225" t="s">
        <v>38</v>
      </c>
      <c r="N784" s="225"/>
      <c r="O784" s="223"/>
      <c r="P784" s="223"/>
      <c r="Q784" s="139" t="s">
        <v>4074</v>
      </c>
      <c r="R784" s="223"/>
      <c r="S784" s="223"/>
      <c r="T784" s="110"/>
    </row>
    <row r="785" ht="31.5" hidden="1" customHeight="1">
      <c r="A785" s="193">
        <v>784.0</v>
      </c>
      <c r="B785" s="222">
        <v>46231.0</v>
      </c>
      <c r="C785" s="39" t="s">
        <v>58</v>
      </c>
      <c r="D785" s="26" t="s">
        <v>60</v>
      </c>
      <c r="E785" s="39" t="s">
        <v>27</v>
      </c>
      <c r="F785" s="147">
        <v>7.777947936E9</v>
      </c>
      <c r="G785" s="39" t="s">
        <v>27</v>
      </c>
      <c r="H785" s="39" t="s">
        <v>27</v>
      </c>
      <c r="I785" s="117" t="s">
        <v>6706</v>
      </c>
      <c r="J785" s="223"/>
      <c r="K785" s="193" t="s">
        <v>62</v>
      </c>
      <c r="L785" s="193"/>
      <c r="M785" s="225" t="s">
        <v>88</v>
      </c>
      <c r="N785" s="225"/>
      <c r="O785" s="223"/>
      <c r="P785" s="223"/>
      <c r="Q785" s="139" t="s">
        <v>4074</v>
      </c>
      <c r="R785" s="223"/>
      <c r="S785" s="223"/>
      <c r="T785" s="110"/>
    </row>
    <row r="786" ht="31.5" hidden="1" customHeight="1">
      <c r="A786" s="193">
        <v>785.0</v>
      </c>
      <c r="B786" s="222">
        <v>46231.0</v>
      </c>
      <c r="C786" s="39" t="s">
        <v>58</v>
      </c>
      <c r="D786" s="26" t="s">
        <v>60</v>
      </c>
      <c r="E786" s="30" t="s">
        <v>368</v>
      </c>
      <c r="F786" s="147">
        <v>5.80882045E8</v>
      </c>
      <c r="G786" s="39" t="s">
        <v>27</v>
      </c>
      <c r="H786" s="39" t="s">
        <v>27</v>
      </c>
      <c r="I786" s="117" t="s">
        <v>6962</v>
      </c>
      <c r="J786" s="223"/>
      <c r="K786" s="193" t="s">
        <v>62</v>
      </c>
      <c r="L786" s="193"/>
      <c r="M786" s="225" t="s">
        <v>88</v>
      </c>
      <c r="N786" s="225"/>
      <c r="O786" s="223"/>
      <c r="P786" s="223"/>
      <c r="Q786" s="139" t="s">
        <v>4074</v>
      </c>
      <c r="R786" s="223"/>
      <c r="S786" s="223"/>
      <c r="T786" s="110"/>
    </row>
    <row r="787" ht="37.5" hidden="1" customHeight="1">
      <c r="A787" s="193">
        <v>786.0</v>
      </c>
      <c r="B787" s="222">
        <v>46231.0</v>
      </c>
      <c r="C787" s="39" t="s">
        <v>58</v>
      </c>
      <c r="D787" s="26" t="s">
        <v>60</v>
      </c>
      <c r="E787" s="30" t="s">
        <v>6964</v>
      </c>
      <c r="F787" s="147">
        <v>5.72121016E8</v>
      </c>
      <c r="G787" s="39" t="s">
        <v>27</v>
      </c>
      <c r="H787" s="39" t="s">
        <v>27</v>
      </c>
      <c r="I787" s="117" t="s">
        <v>6966</v>
      </c>
      <c r="J787" s="223"/>
      <c r="K787" s="193" t="s">
        <v>62</v>
      </c>
      <c r="L787" s="193"/>
      <c r="M787" s="225" t="s">
        <v>88</v>
      </c>
      <c r="N787" s="225"/>
      <c r="O787" s="223"/>
      <c r="P787" s="223"/>
      <c r="Q787" s="139" t="s">
        <v>4074</v>
      </c>
      <c r="R787" s="223"/>
      <c r="S787" s="223"/>
      <c r="T787" s="110"/>
    </row>
    <row r="788" ht="31.5" hidden="1" customHeight="1">
      <c r="A788" s="193">
        <v>787.0</v>
      </c>
      <c r="B788" s="222">
        <v>46231.0</v>
      </c>
      <c r="C788" s="39" t="s">
        <v>21</v>
      </c>
      <c r="D788" s="26" t="s">
        <v>34</v>
      </c>
      <c r="E788" s="39" t="s">
        <v>6968</v>
      </c>
      <c r="F788" s="147">
        <v>5.05526481E8</v>
      </c>
      <c r="G788" s="39" t="s">
        <v>27</v>
      </c>
      <c r="H788" s="39" t="s">
        <v>27</v>
      </c>
      <c r="I788" s="117" t="s">
        <v>6970</v>
      </c>
      <c r="J788" s="223"/>
      <c r="K788" s="193" t="s">
        <v>62</v>
      </c>
      <c r="L788" s="193"/>
      <c r="M788" s="225" t="s">
        <v>38</v>
      </c>
      <c r="N788" s="225"/>
      <c r="O788" s="223"/>
      <c r="P788" s="223"/>
      <c r="Q788" s="139" t="s">
        <v>4074</v>
      </c>
      <c r="R788" s="223"/>
      <c r="S788" s="223"/>
      <c r="T788" s="110"/>
    </row>
    <row r="789" ht="31.5" hidden="1" customHeight="1">
      <c r="A789" s="193">
        <v>788.0</v>
      </c>
      <c r="B789" s="222">
        <v>46231.0</v>
      </c>
      <c r="C789" s="39" t="s">
        <v>47</v>
      </c>
      <c r="D789" s="26" t="s">
        <v>57</v>
      </c>
      <c r="E789" s="30" t="s">
        <v>6971</v>
      </c>
      <c r="F789" s="147">
        <v>5.37772768E8</v>
      </c>
      <c r="G789" s="30" t="s">
        <v>237</v>
      </c>
      <c r="H789" s="39" t="s">
        <v>27</v>
      </c>
      <c r="I789" s="117" t="s">
        <v>6972</v>
      </c>
      <c r="J789" s="223"/>
      <c r="K789" s="193" t="s">
        <v>36</v>
      </c>
      <c r="L789" s="193"/>
      <c r="M789" s="225" t="s">
        <v>55</v>
      </c>
      <c r="N789" s="225"/>
      <c r="O789" s="223"/>
      <c r="P789" s="223"/>
      <c r="Q789" s="139" t="s">
        <v>4074</v>
      </c>
      <c r="R789" s="223"/>
      <c r="S789" s="223"/>
      <c r="T789" s="110"/>
    </row>
    <row r="790" ht="31.5" hidden="1" customHeight="1">
      <c r="A790" s="193">
        <v>789.0</v>
      </c>
      <c r="B790" s="222">
        <v>46231.0</v>
      </c>
      <c r="C790" s="39" t="s">
        <v>58</v>
      </c>
      <c r="D790" s="26" t="s">
        <v>60</v>
      </c>
      <c r="E790" s="39" t="s">
        <v>27</v>
      </c>
      <c r="F790" s="147">
        <v>5.51000735E8</v>
      </c>
      <c r="G790" s="39" t="s">
        <v>27</v>
      </c>
      <c r="H790" s="39" t="s">
        <v>27</v>
      </c>
      <c r="I790" s="117" t="s">
        <v>6976</v>
      </c>
      <c r="J790" s="223"/>
      <c r="K790" s="193" t="s">
        <v>36</v>
      </c>
      <c r="L790" s="193"/>
      <c r="M790" s="225" t="s">
        <v>88</v>
      </c>
      <c r="N790" s="225"/>
      <c r="O790" s="223"/>
      <c r="P790" s="223"/>
      <c r="Q790" s="139" t="s">
        <v>4074</v>
      </c>
      <c r="R790" s="223"/>
      <c r="S790" s="223"/>
      <c r="T790" s="110"/>
    </row>
    <row r="791" ht="31.5" hidden="1" customHeight="1">
      <c r="A791" s="193">
        <v>790.0</v>
      </c>
      <c r="B791" s="222">
        <v>46231.0</v>
      </c>
      <c r="C791" s="39" t="s">
        <v>21</v>
      </c>
      <c r="D791" s="26" t="s">
        <v>24</v>
      </c>
      <c r="E791" s="30" t="s">
        <v>6056</v>
      </c>
      <c r="F791" s="147">
        <v>5.40538883E8</v>
      </c>
      <c r="G791" s="39" t="s">
        <v>27</v>
      </c>
      <c r="H791" s="39" t="s">
        <v>27</v>
      </c>
      <c r="I791" s="117" t="s">
        <v>6979</v>
      </c>
      <c r="J791" s="223"/>
      <c r="K791" s="193" t="s">
        <v>62</v>
      </c>
      <c r="L791" s="193"/>
      <c r="M791" s="225" t="s">
        <v>38</v>
      </c>
      <c r="N791" s="225"/>
      <c r="O791" s="223"/>
      <c r="P791" s="223"/>
      <c r="Q791" s="139" t="s">
        <v>4074</v>
      </c>
      <c r="R791" s="223"/>
      <c r="S791" s="223"/>
      <c r="T791" s="110"/>
    </row>
    <row r="792" ht="31.5" hidden="1" customHeight="1">
      <c r="A792" s="193">
        <v>791.0</v>
      </c>
      <c r="B792" s="222">
        <v>46231.0</v>
      </c>
      <c r="C792" s="39" t="s">
        <v>58</v>
      </c>
      <c r="D792" s="26" t="s">
        <v>60</v>
      </c>
      <c r="E792" s="193" t="s">
        <v>27</v>
      </c>
      <c r="F792" s="147">
        <v>5.52870238E8</v>
      </c>
      <c r="G792" s="193" t="s">
        <v>27</v>
      </c>
      <c r="H792" s="193" t="s">
        <v>27</v>
      </c>
      <c r="I792" s="117" t="s">
        <v>6983</v>
      </c>
      <c r="J792" s="223"/>
      <c r="K792" s="193" t="s">
        <v>65</v>
      </c>
      <c r="L792" s="193"/>
      <c r="M792" s="225" t="s">
        <v>38</v>
      </c>
      <c r="N792" s="225"/>
      <c r="O792" s="223"/>
      <c r="P792" s="223"/>
      <c r="Q792" s="139" t="s">
        <v>4074</v>
      </c>
      <c r="R792" s="223"/>
      <c r="S792" s="223"/>
      <c r="T792" s="110"/>
    </row>
    <row r="793" ht="31.5" hidden="1" customHeight="1">
      <c r="A793" s="193">
        <v>792.0</v>
      </c>
      <c r="B793" s="222">
        <v>46231.0</v>
      </c>
      <c r="C793" s="39" t="s">
        <v>58</v>
      </c>
      <c r="D793" s="26" t="s">
        <v>60</v>
      </c>
      <c r="E793" s="193" t="s">
        <v>27</v>
      </c>
      <c r="F793" s="147">
        <v>5.0618661E8</v>
      </c>
      <c r="G793" s="193" t="s">
        <v>27</v>
      </c>
      <c r="H793" s="193" t="s">
        <v>27</v>
      </c>
      <c r="I793" s="117" t="s">
        <v>6985</v>
      </c>
      <c r="J793" s="223"/>
      <c r="K793" s="193" t="s">
        <v>36</v>
      </c>
      <c r="L793" s="193"/>
      <c r="M793" s="225" t="s">
        <v>88</v>
      </c>
      <c r="N793" s="225"/>
      <c r="O793" s="223"/>
      <c r="P793" s="223"/>
      <c r="Q793" s="139" t="s">
        <v>4074</v>
      </c>
      <c r="R793" s="223"/>
      <c r="S793" s="223"/>
      <c r="T793" s="110"/>
    </row>
    <row r="794" ht="54.0" hidden="1" customHeight="1">
      <c r="A794" s="193">
        <v>793.0</v>
      </c>
      <c r="B794" s="222">
        <v>46231.0</v>
      </c>
      <c r="C794" s="39" t="s">
        <v>47</v>
      </c>
      <c r="D794" s="26" t="s">
        <v>92</v>
      </c>
      <c r="E794" s="39" t="s">
        <v>27</v>
      </c>
      <c r="F794" s="147" t="s">
        <v>27</v>
      </c>
      <c r="G794" s="30" t="s">
        <v>6987</v>
      </c>
      <c r="H794" s="39" t="s">
        <v>6988</v>
      </c>
      <c r="I794" s="117" t="s">
        <v>6989</v>
      </c>
      <c r="J794" s="223"/>
      <c r="K794" s="193" t="s">
        <v>78</v>
      </c>
      <c r="L794" s="193"/>
      <c r="M794" s="225" t="s">
        <v>55</v>
      </c>
      <c r="N794" s="225"/>
      <c r="O794" s="193" t="s">
        <v>40</v>
      </c>
      <c r="P794" s="223"/>
      <c r="Q794" s="139" t="s">
        <v>4074</v>
      </c>
      <c r="R794" s="390" t="s">
        <v>46</v>
      </c>
      <c r="S794" s="223"/>
      <c r="T794" s="110"/>
    </row>
    <row r="795" ht="55.5" hidden="1" customHeight="1">
      <c r="A795" s="193">
        <v>794.0</v>
      </c>
      <c r="B795" s="222">
        <v>46231.0</v>
      </c>
      <c r="C795" s="39" t="s">
        <v>47</v>
      </c>
      <c r="D795" s="26" t="s">
        <v>48</v>
      </c>
      <c r="E795" s="39" t="s">
        <v>6992</v>
      </c>
      <c r="F795" s="147" t="s">
        <v>27</v>
      </c>
      <c r="G795" s="195" t="s">
        <v>41</v>
      </c>
      <c r="H795" s="39" t="s">
        <v>6993</v>
      </c>
      <c r="I795" s="30" t="s">
        <v>6994</v>
      </c>
      <c r="J795" s="223"/>
      <c r="K795" s="193" t="s">
        <v>78</v>
      </c>
      <c r="L795" s="193" t="s">
        <v>42</v>
      </c>
      <c r="M795" s="225" t="s">
        <v>101</v>
      </c>
      <c r="N795" s="225"/>
      <c r="O795" s="193" t="s">
        <v>40</v>
      </c>
      <c r="P795" s="223"/>
      <c r="Q795" s="139" t="s">
        <v>4074</v>
      </c>
      <c r="R795" s="390" t="s">
        <v>46</v>
      </c>
      <c r="S795" s="223"/>
      <c r="T795" s="110"/>
    </row>
    <row r="796" ht="39.75" hidden="1" customHeight="1">
      <c r="A796" s="193">
        <v>795.0</v>
      </c>
      <c r="B796" s="222">
        <v>46231.0</v>
      </c>
      <c r="C796" s="39" t="s">
        <v>47</v>
      </c>
      <c r="D796" s="26" t="s">
        <v>48</v>
      </c>
      <c r="E796" s="30" t="s">
        <v>6997</v>
      </c>
      <c r="F796" s="147">
        <v>5.07587665E8</v>
      </c>
      <c r="G796" s="195" t="s">
        <v>41</v>
      </c>
      <c r="H796" s="39" t="s">
        <v>4928</v>
      </c>
      <c r="I796" s="30" t="s">
        <v>6998</v>
      </c>
      <c r="J796" s="223"/>
      <c r="K796" s="193" t="s">
        <v>148</v>
      </c>
      <c r="L796" s="193" t="s">
        <v>518</v>
      </c>
      <c r="M796" s="225" t="s">
        <v>5132</v>
      </c>
      <c r="N796" s="225"/>
      <c r="O796" s="193" t="s">
        <v>40</v>
      </c>
      <c r="P796" s="223"/>
      <c r="Q796" s="139" t="s">
        <v>4074</v>
      </c>
      <c r="R796" s="390" t="s">
        <v>46</v>
      </c>
      <c r="S796" s="223"/>
      <c r="T796" s="110"/>
    </row>
    <row r="797" ht="45.0" hidden="1" customHeight="1">
      <c r="A797" s="193">
        <v>796.0</v>
      </c>
      <c r="B797" s="222">
        <v>46231.0</v>
      </c>
      <c r="C797" s="39" t="s">
        <v>58</v>
      </c>
      <c r="D797" s="26" t="s">
        <v>57</v>
      </c>
      <c r="E797" s="30" t="s">
        <v>7000</v>
      </c>
      <c r="F797" s="147">
        <v>5.32662986E8</v>
      </c>
      <c r="G797" s="195" t="s">
        <v>71</v>
      </c>
      <c r="H797" s="39" t="s">
        <v>27</v>
      </c>
      <c r="I797" s="117" t="s">
        <v>7002</v>
      </c>
      <c r="J797" s="223"/>
      <c r="K797" s="193" t="s">
        <v>62</v>
      </c>
      <c r="L797" s="193"/>
      <c r="M797" s="225" t="s">
        <v>88</v>
      </c>
      <c r="N797" s="225"/>
      <c r="O797" s="223"/>
      <c r="P797" s="223"/>
      <c r="Q797" s="139" t="s">
        <v>4074</v>
      </c>
      <c r="R797" s="223"/>
      <c r="S797" s="223"/>
      <c r="T797" s="110"/>
    </row>
    <row r="798" ht="31.5" hidden="1" customHeight="1">
      <c r="A798" s="193">
        <v>797.0</v>
      </c>
      <c r="B798" s="222">
        <v>46231.0</v>
      </c>
      <c r="C798" s="39" t="s">
        <v>58</v>
      </c>
      <c r="D798" s="26" t="s">
        <v>60</v>
      </c>
      <c r="E798" s="30" t="s">
        <v>7005</v>
      </c>
      <c r="F798" s="423">
        <v>5.05450659E8</v>
      </c>
      <c r="G798" s="30" t="s">
        <v>6143</v>
      </c>
      <c r="H798" s="193" t="s">
        <v>27</v>
      </c>
      <c r="I798" s="117" t="s">
        <v>6670</v>
      </c>
      <c r="J798" s="223"/>
      <c r="K798" s="193" t="s">
        <v>62</v>
      </c>
      <c r="L798" s="193"/>
      <c r="M798" s="225" t="s">
        <v>88</v>
      </c>
      <c r="N798" s="225"/>
      <c r="O798" s="223"/>
      <c r="P798" s="223"/>
      <c r="Q798" s="139" t="s">
        <v>4074</v>
      </c>
      <c r="R798" s="223"/>
      <c r="S798" s="223"/>
      <c r="T798" s="110"/>
    </row>
    <row r="799" ht="151.5" hidden="1" customHeight="1">
      <c r="A799" s="193">
        <v>798.0</v>
      </c>
      <c r="B799" s="222">
        <v>46231.0</v>
      </c>
      <c r="C799" s="39" t="s">
        <v>47</v>
      </c>
      <c r="D799" s="26" t="s">
        <v>48</v>
      </c>
      <c r="E799" s="30" t="s">
        <v>7008</v>
      </c>
      <c r="F799" s="147">
        <v>5.31212614E8</v>
      </c>
      <c r="G799" s="30" t="s">
        <v>79</v>
      </c>
      <c r="H799" s="39" t="s">
        <v>178</v>
      </c>
      <c r="I799" s="117" t="s">
        <v>7009</v>
      </c>
      <c r="J799" s="225" t="s">
        <v>7010</v>
      </c>
      <c r="K799" s="193" t="s">
        <v>36</v>
      </c>
      <c r="L799" s="293" t="s">
        <v>518</v>
      </c>
      <c r="M799" s="225" t="s">
        <v>7011</v>
      </c>
      <c r="N799" s="390" t="s">
        <v>4307</v>
      </c>
      <c r="O799" s="193" t="s">
        <v>56</v>
      </c>
      <c r="P799" s="193" t="s">
        <v>4129</v>
      </c>
      <c r="Q799" s="139" t="s">
        <v>44</v>
      </c>
      <c r="R799" s="390" t="s">
        <v>46</v>
      </c>
      <c r="S799" s="223"/>
      <c r="T799" s="110"/>
    </row>
    <row r="800" ht="31.5" hidden="1" customHeight="1">
      <c r="A800" s="193">
        <v>799.0</v>
      </c>
      <c r="B800" s="222">
        <v>46231.0</v>
      </c>
      <c r="C800" s="39" t="s">
        <v>58</v>
      </c>
      <c r="D800" s="26" t="s">
        <v>60</v>
      </c>
      <c r="E800" s="30" t="s">
        <v>7014</v>
      </c>
      <c r="F800" s="147">
        <v>5.34460343E8</v>
      </c>
      <c r="G800" s="30" t="s">
        <v>4987</v>
      </c>
      <c r="H800" s="39" t="s">
        <v>27</v>
      </c>
      <c r="I800" s="117" t="s">
        <v>7015</v>
      </c>
      <c r="J800" s="223"/>
      <c r="K800" s="193" t="s">
        <v>62</v>
      </c>
      <c r="L800" s="193"/>
      <c r="M800" s="225" t="s">
        <v>88</v>
      </c>
      <c r="N800" s="225"/>
      <c r="O800" s="223"/>
      <c r="P800" s="223"/>
      <c r="Q800" s="139" t="s">
        <v>4074</v>
      </c>
      <c r="R800" s="223"/>
      <c r="S800" s="223"/>
      <c r="T800" s="110"/>
    </row>
    <row r="801" ht="31.5" hidden="1" customHeight="1">
      <c r="A801" s="193">
        <v>800.0</v>
      </c>
      <c r="B801" s="222">
        <v>46231.0</v>
      </c>
      <c r="C801" s="39" t="s">
        <v>21</v>
      </c>
      <c r="D801" s="26" t="s">
        <v>34</v>
      </c>
      <c r="E801" s="30" t="s">
        <v>1112</v>
      </c>
      <c r="F801" s="147">
        <v>5.42178847E8</v>
      </c>
      <c r="G801" s="39" t="s">
        <v>27</v>
      </c>
      <c r="H801" s="39" t="s">
        <v>27</v>
      </c>
      <c r="I801" s="117" t="s">
        <v>7018</v>
      </c>
      <c r="J801" s="223"/>
      <c r="K801" s="193" t="s">
        <v>36</v>
      </c>
      <c r="L801" s="193"/>
      <c r="M801" s="225" t="s">
        <v>38</v>
      </c>
      <c r="N801" s="225"/>
      <c r="O801" s="223"/>
      <c r="P801" s="223"/>
      <c r="Q801" s="139" t="s">
        <v>4074</v>
      </c>
      <c r="R801" s="223"/>
      <c r="S801" s="223"/>
      <c r="T801" s="110"/>
    </row>
    <row r="802" ht="31.5" hidden="1" customHeight="1">
      <c r="A802" s="193">
        <v>801.0</v>
      </c>
      <c r="B802" s="222">
        <v>46231.0</v>
      </c>
      <c r="C802" s="39" t="s">
        <v>21</v>
      </c>
      <c r="D802" s="26" t="s">
        <v>24</v>
      </c>
      <c r="E802" s="30" t="s">
        <v>118</v>
      </c>
      <c r="F802" s="147">
        <v>5.1102019E8</v>
      </c>
      <c r="G802" s="30" t="s">
        <v>152</v>
      </c>
      <c r="H802" s="39" t="s">
        <v>27</v>
      </c>
      <c r="I802" s="117" t="s">
        <v>7021</v>
      </c>
      <c r="J802" s="223"/>
      <c r="K802" s="193" t="s">
        <v>36</v>
      </c>
      <c r="L802" s="193"/>
      <c r="M802" s="225" t="s">
        <v>38</v>
      </c>
      <c r="N802" s="225"/>
      <c r="O802" s="223"/>
      <c r="P802" s="223"/>
      <c r="Q802" s="139" t="s">
        <v>4074</v>
      </c>
      <c r="R802" s="223"/>
      <c r="S802" s="223"/>
      <c r="T802" s="110"/>
    </row>
    <row r="803" ht="189.75" hidden="1" customHeight="1">
      <c r="A803" s="193">
        <v>802.0</v>
      </c>
      <c r="B803" s="222">
        <v>46231.0</v>
      </c>
      <c r="C803" s="39" t="s">
        <v>21</v>
      </c>
      <c r="D803" s="26" t="s">
        <v>24</v>
      </c>
      <c r="E803" s="30" t="s">
        <v>316</v>
      </c>
      <c r="F803" s="147">
        <v>5.91288815E8</v>
      </c>
      <c r="G803" s="193" t="s">
        <v>27</v>
      </c>
      <c r="H803" s="193" t="s">
        <v>27</v>
      </c>
      <c r="I803" s="117" t="s">
        <v>7024</v>
      </c>
      <c r="J803" s="223"/>
      <c r="K803" s="193" t="s">
        <v>321</v>
      </c>
      <c r="L803" s="193"/>
      <c r="M803" s="225" t="s">
        <v>38</v>
      </c>
      <c r="N803" s="225"/>
      <c r="O803" s="223"/>
      <c r="P803" s="223"/>
      <c r="Q803" s="139" t="s">
        <v>44</v>
      </c>
      <c r="R803" s="223"/>
      <c r="S803" s="223"/>
      <c r="T803" s="110"/>
    </row>
    <row r="804" ht="31.5" hidden="1" customHeight="1">
      <c r="A804" s="193">
        <v>803.0</v>
      </c>
      <c r="B804" s="222">
        <v>46231.0</v>
      </c>
      <c r="C804" s="39" t="s">
        <v>58</v>
      </c>
      <c r="D804" s="26" t="s">
        <v>57</v>
      </c>
      <c r="E804" s="30" t="s">
        <v>7025</v>
      </c>
      <c r="F804" s="147">
        <v>5.32662986E8</v>
      </c>
      <c r="G804" s="39" t="s">
        <v>27</v>
      </c>
      <c r="H804" s="39" t="s">
        <v>27</v>
      </c>
      <c r="I804" s="117" t="s">
        <v>7027</v>
      </c>
      <c r="J804" s="223"/>
      <c r="K804" s="193" t="s">
        <v>62</v>
      </c>
      <c r="L804" s="193"/>
      <c r="M804" s="225" t="s">
        <v>88</v>
      </c>
      <c r="N804" s="225"/>
      <c r="O804" s="223"/>
      <c r="P804" s="223"/>
      <c r="Q804" s="139" t="s">
        <v>4074</v>
      </c>
      <c r="R804" s="223"/>
      <c r="S804" s="223"/>
      <c r="T804" s="110"/>
    </row>
    <row r="805" ht="31.5" hidden="1" customHeight="1">
      <c r="A805" s="193">
        <v>804.0</v>
      </c>
      <c r="B805" s="222">
        <v>46231.0</v>
      </c>
      <c r="C805" s="39" t="s">
        <v>21</v>
      </c>
      <c r="D805" s="26" t="s">
        <v>24</v>
      </c>
      <c r="E805" s="30" t="s">
        <v>7029</v>
      </c>
      <c r="F805" s="147">
        <v>5.05658949E8</v>
      </c>
      <c r="G805" s="195" t="s">
        <v>71</v>
      </c>
      <c r="H805" s="193" t="s">
        <v>27</v>
      </c>
      <c r="I805" s="117" t="s">
        <v>7030</v>
      </c>
      <c r="J805" s="223"/>
      <c r="K805" s="193" t="s">
        <v>36</v>
      </c>
      <c r="L805" s="193"/>
      <c r="M805" s="225" t="s">
        <v>38</v>
      </c>
      <c r="N805" s="225"/>
      <c r="O805" s="223"/>
      <c r="P805" s="223"/>
      <c r="Q805" s="139" t="s">
        <v>44</v>
      </c>
      <c r="R805" s="223"/>
      <c r="S805" s="223"/>
      <c r="T805" s="110"/>
    </row>
    <row r="806" ht="31.5" hidden="1" customHeight="1">
      <c r="A806" s="193">
        <v>805.0</v>
      </c>
      <c r="B806" s="222">
        <v>46231.0</v>
      </c>
      <c r="C806" s="39" t="s">
        <v>58</v>
      </c>
      <c r="D806" s="26" t="s">
        <v>34</v>
      </c>
      <c r="E806" s="449" t="s">
        <v>27</v>
      </c>
      <c r="F806" s="147">
        <v>5.32490882E8</v>
      </c>
      <c r="G806" s="39" t="s">
        <v>942</v>
      </c>
      <c r="H806" s="39" t="s">
        <v>942</v>
      </c>
      <c r="I806" s="117" t="s">
        <v>7032</v>
      </c>
      <c r="J806" s="223"/>
      <c r="K806" s="193" t="s">
        <v>36</v>
      </c>
      <c r="L806" s="193"/>
      <c r="M806" s="225" t="s">
        <v>88</v>
      </c>
      <c r="N806" s="225"/>
      <c r="O806" s="223"/>
      <c r="P806" s="223"/>
      <c r="Q806" s="139" t="s">
        <v>4074</v>
      </c>
      <c r="R806" s="223"/>
      <c r="S806" s="223"/>
      <c r="T806" s="110"/>
    </row>
    <row r="807" ht="31.5" hidden="1" customHeight="1">
      <c r="A807" s="193">
        <v>806.0</v>
      </c>
      <c r="B807" s="222">
        <v>46231.0</v>
      </c>
      <c r="C807" s="39" t="s">
        <v>21</v>
      </c>
      <c r="D807" s="26" t="s">
        <v>24</v>
      </c>
      <c r="E807" s="30" t="s">
        <v>7033</v>
      </c>
      <c r="F807" s="147">
        <v>5.33313396E8</v>
      </c>
      <c r="G807" s="30" t="s">
        <v>2653</v>
      </c>
      <c r="H807" s="193" t="s">
        <v>27</v>
      </c>
      <c r="I807" s="117" t="s">
        <v>7035</v>
      </c>
      <c r="J807" s="223"/>
      <c r="K807" s="193" t="s">
        <v>62</v>
      </c>
      <c r="L807" s="193"/>
      <c r="M807" s="225" t="s">
        <v>38</v>
      </c>
      <c r="N807" s="225"/>
      <c r="O807" s="223"/>
      <c r="P807" s="223"/>
      <c r="Q807" s="139" t="s">
        <v>44</v>
      </c>
      <c r="R807" s="223"/>
      <c r="S807" s="223"/>
      <c r="T807" s="110"/>
    </row>
    <row r="808" ht="31.5" hidden="1" customHeight="1">
      <c r="A808" s="193">
        <v>807.0</v>
      </c>
      <c r="B808" s="222">
        <v>46231.0</v>
      </c>
      <c r="C808" s="39" t="s">
        <v>21</v>
      </c>
      <c r="D808" s="26" t="s">
        <v>22</v>
      </c>
      <c r="E808" s="30" t="s">
        <v>405</v>
      </c>
      <c r="F808" s="147">
        <v>5.62707267E8</v>
      </c>
      <c r="G808" s="195" t="s">
        <v>71</v>
      </c>
      <c r="H808" s="39" t="s">
        <v>27</v>
      </c>
      <c r="I808" s="117" t="s">
        <v>7036</v>
      </c>
      <c r="J808" s="223"/>
      <c r="K808" s="193" t="s">
        <v>36</v>
      </c>
      <c r="L808" s="193"/>
      <c r="M808" s="225" t="s">
        <v>38</v>
      </c>
      <c r="N808" s="225"/>
      <c r="O808" s="223"/>
      <c r="P808" s="223"/>
      <c r="Q808" s="139" t="s">
        <v>4074</v>
      </c>
      <c r="R808" s="223"/>
      <c r="S808" s="223"/>
      <c r="T808" s="110"/>
    </row>
    <row r="809" ht="31.5" hidden="1" customHeight="1">
      <c r="A809" s="193">
        <v>808.0</v>
      </c>
      <c r="B809" s="222">
        <v>46231.0</v>
      </c>
      <c r="C809" s="39" t="s">
        <v>21</v>
      </c>
      <c r="D809" s="26" t="s">
        <v>22</v>
      </c>
      <c r="E809" s="30" t="s">
        <v>7039</v>
      </c>
      <c r="F809" s="147">
        <v>5.51190888E8</v>
      </c>
      <c r="G809" s="30" t="s">
        <v>285</v>
      </c>
      <c r="H809" s="39" t="s">
        <v>27</v>
      </c>
      <c r="I809" s="117" t="s">
        <v>7040</v>
      </c>
      <c r="J809" s="223"/>
      <c r="K809" s="193" t="s">
        <v>36</v>
      </c>
      <c r="L809" s="193"/>
      <c r="M809" s="225" t="s">
        <v>38</v>
      </c>
      <c r="N809" s="225"/>
      <c r="O809" s="223"/>
      <c r="P809" s="223"/>
      <c r="Q809" s="139" t="s">
        <v>4074</v>
      </c>
      <c r="R809" s="223"/>
      <c r="S809" s="223"/>
      <c r="T809" s="110"/>
    </row>
    <row r="810" ht="31.5" hidden="1" customHeight="1">
      <c r="A810" s="193">
        <v>809.0</v>
      </c>
      <c r="B810" s="222">
        <v>46231.0</v>
      </c>
      <c r="C810" s="39" t="s">
        <v>58</v>
      </c>
      <c r="D810" s="26" t="s">
        <v>60</v>
      </c>
      <c r="E810" s="39" t="s">
        <v>27</v>
      </c>
      <c r="F810" s="147">
        <v>5.65138987E8</v>
      </c>
      <c r="G810" s="39" t="s">
        <v>27</v>
      </c>
      <c r="H810" s="39" t="s">
        <v>27</v>
      </c>
      <c r="I810" s="117" t="s">
        <v>7043</v>
      </c>
      <c r="J810" s="223"/>
      <c r="K810" s="193" t="s">
        <v>36</v>
      </c>
      <c r="L810" s="193"/>
      <c r="M810" s="225" t="s">
        <v>88</v>
      </c>
      <c r="N810" s="225"/>
      <c r="O810" s="223"/>
      <c r="P810" s="223"/>
      <c r="Q810" s="139" t="s">
        <v>4074</v>
      </c>
      <c r="R810" s="223"/>
      <c r="S810" s="223"/>
      <c r="T810" s="110"/>
    </row>
    <row r="811" ht="31.5" hidden="1" customHeight="1">
      <c r="A811" s="193">
        <v>810.0</v>
      </c>
      <c r="B811" s="222">
        <v>46231.0</v>
      </c>
      <c r="C811" s="39" t="s">
        <v>21</v>
      </c>
      <c r="D811" s="26" t="s">
        <v>22</v>
      </c>
      <c r="E811" s="30" t="s">
        <v>7044</v>
      </c>
      <c r="F811" s="147">
        <v>5.30447714E8</v>
      </c>
      <c r="G811" s="30" t="s">
        <v>4987</v>
      </c>
      <c r="H811" s="193" t="s">
        <v>27</v>
      </c>
      <c r="I811" s="117" t="s">
        <v>7046</v>
      </c>
      <c r="J811" s="223"/>
      <c r="K811" s="193" t="s">
        <v>62</v>
      </c>
      <c r="L811" s="193"/>
      <c r="M811" s="225" t="s">
        <v>38</v>
      </c>
      <c r="N811" s="225"/>
      <c r="O811" s="223"/>
      <c r="P811" s="223"/>
      <c r="Q811" s="139" t="s">
        <v>4074</v>
      </c>
      <c r="R811" s="223"/>
      <c r="S811" s="223"/>
      <c r="T811" s="110"/>
    </row>
    <row r="812" ht="77.25" hidden="1" customHeight="1">
      <c r="A812" s="193">
        <v>811.0</v>
      </c>
      <c r="B812" s="222">
        <v>46231.0</v>
      </c>
      <c r="C812" s="39" t="s">
        <v>21</v>
      </c>
      <c r="D812" s="26" t="s">
        <v>22</v>
      </c>
      <c r="E812" s="30" t="s">
        <v>7048</v>
      </c>
      <c r="F812" s="147">
        <v>5.39543341E8</v>
      </c>
      <c r="G812" s="195" t="s">
        <v>71</v>
      </c>
      <c r="H812" s="39" t="s">
        <v>27</v>
      </c>
      <c r="I812" s="117" t="s">
        <v>7049</v>
      </c>
      <c r="J812" s="223"/>
      <c r="K812" s="193" t="s">
        <v>62</v>
      </c>
      <c r="L812" s="193"/>
      <c r="M812" s="225" t="s">
        <v>38</v>
      </c>
      <c r="N812" s="225"/>
      <c r="O812" s="223"/>
      <c r="P812" s="223"/>
      <c r="Q812" s="139" t="s">
        <v>4074</v>
      </c>
      <c r="R812" s="223"/>
      <c r="S812" s="223"/>
      <c r="T812" s="110"/>
    </row>
    <row r="813" ht="31.5" hidden="1" customHeight="1">
      <c r="A813" s="193">
        <v>812.0</v>
      </c>
      <c r="B813" s="222">
        <v>46231.0</v>
      </c>
      <c r="C813" s="39" t="s">
        <v>47</v>
      </c>
      <c r="D813" s="26" t="s">
        <v>48</v>
      </c>
      <c r="E813" s="39" t="s">
        <v>27</v>
      </c>
      <c r="F813" s="147">
        <v>5.83374572E8</v>
      </c>
      <c r="G813" s="195" t="s">
        <v>41</v>
      </c>
      <c r="H813" s="39" t="s">
        <v>952</v>
      </c>
      <c r="I813" s="30" t="s">
        <v>7051</v>
      </c>
      <c r="J813" s="225" t="s">
        <v>7052</v>
      </c>
      <c r="K813" s="193" t="s">
        <v>36</v>
      </c>
      <c r="L813" s="193" t="s">
        <v>42</v>
      </c>
      <c r="M813" s="225" t="s">
        <v>7053</v>
      </c>
      <c r="N813" s="225"/>
      <c r="O813" s="193" t="s">
        <v>6091</v>
      </c>
      <c r="P813" s="223"/>
      <c r="Q813" s="139" t="s">
        <v>4074</v>
      </c>
      <c r="R813" s="390" t="s">
        <v>46</v>
      </c>
      <c r="S813" s="223"/>
      <c r="T813" s="110"/>
    </row>
    <row r="814" ht="31.5" hidden="1" customHeight="1">
      <c r="A814" s="193">
        <v>813.0</v>
      </c>
      <c r="B814" s="222">
        <v>46231.0</v>
      </c>
      <c r="C814" s="39" t="s">
        <v>58</v>
      </c>
      <c r="D814" s="26" t="s">
        <v>60</v>
      </c>
      <c r="E814" s="39" t="s">
        <v>27</v>
      </c>
      <c r="F814" s="147">
        <v>5.48788663E8</v>
      </c>
      <c r="G814" s="39" t="s">
        <v>27</v>
      </c>
      <c r="H814" s="39" t="s">
        <v>27</v>
      </c>
      <c r="I814" s="117" t="s">
        <v>7056</v>
      </c>
      <c r="J814" s="223"/>
      <c r="K814" s="193" t="s">
        <v>36</v>
      </c>
      <c r="L814" s="193"/>
      <c r="M814" s="225" t="s">
        <v>88</v>
      </c>
      <c r="N814" s="225"/>
      <c r="O814" s="223"/>
      <c r="P814" s="223"/>
      <c r="Q814" s="139" t="s">
        <v>4074</v>
      </c>
      <c r="R814" s="223"/>
      <c r="S814" s="223"/>
      <c r="T814" s="110"/>
    </row>
    <row r="815" ht="31.5" hidden="1" customHeight="1">
      <c r="A815" s="193">
        <v>814.0</v>
      </c>
      <c r="B815" s="222">
        <v>46232.0</v>
      </c>
      <c r="C815" s="39" t="s">
        <v>58</v>
      </c>
      <c r="D815" s="26" t="s">
        <v>60</v>
      </c>
      <c r="E815" s="39" t="s">
        <v>27</v>
      </c>
      <c r="F815" s="147">
        <v>5.45101471E8</v>
      </c>
      <c r="G815" s="195" t="s">
        <v>41</v>
      </c>
      <c r="H815" s="39" t="s">
        <v>222</v>
      </c>
      <c r="I815" s="117" t="s">
        <v>7058</v>
      </c>
      <c r="J815" s="223"/>
      <c r="K815" s="193" t="s">
        <v>36</v>
      </c>
      <c r="L815" s="193"/>
      <c r="M815" s="225" t="s">
        <v>88</v>
      </c>
      <c r="N815" s="225"/>
      <c r="O815" s="223"/>
      <c r="P815" s="223"/>
      <c r="Q815" s="139" t="s">
        <v>44</v>
      </c>
      <c r="R815" s="223"/>
      <c r="S815" s="223"/>
      <c r="T815" s="110"/>
    </row>
    <row r="816" ht="104.25" hidden="1" customHeight="1">
      <c r="A816" s="193">
        <v>815.0</v>
      </c>
      <c r="B816" s="222">
        <v>46232.0</v>
      </c>
      <c r="C816" s="39" t="s">
        <v>47</v>
      </c>
      <c r="D816" s="26" t="s">
        <v>60</v>
      </c>
      <c r="E816" s="30" t="s">
        <v>1310</v>
      </c>
      <c r="F816" s="147">
        <v>5.93921184E8</v>
      </c>
      <c r="G816" s="30" t="s">
        <v>426</v>
      </c>
      <c r="H816" s="39" t="s">
        <v>27</v>
      </c>
      <c r="I816" s="117" t="s">
        <v>7061</v>
      </c>
      <c r="J816" s="225" t="s">
        <v>7062</v>
      </c>
      <c r="K816" s="193" t="s">
        <v>36</v>
      </c>
      <c r="L816" s="193" t="s">
        <v>301</v>
      </c>
      <c r="M816" s="225" t="s">
        <v>611</v>
      </c>
      <c r="N816" s="225"/>
      <c r="O816" s="223"/>
      <c r="P816" s="223"/>
      <c r="Q816" s="139" t="s">
        <v>44</v>
      </c>
      <c r="R816" s="223"/>
      <c r="S816" s="390" t="s">
        <v>44</v>
      </c>
      <c r="T816" s="110"/>
    </row>
    <row r="817" ht="31.5" hidden="1" customHeight="1">
      <c r="A817" s="193">
        <v>816.0</v>
      </c>
      <c r="B817" s="222">
        <v>46232.0</v>
      </c>
      <c r="C817" s="39" t="s">
        <v>21</v>
      </c>
      <c r="D817" s="26" t="s">
        <v>24</v>
      </c>
      <c r="E817" s="30" t="s">
        <v>922</v>
      </c>
      <c r="F817" s="147">
        <v>5.11745119E8</v>
      </c>
      <c r="G817" s="30" t="s">
        <v>394</v>
      </c>
      <c r="H817" s="39" t="s">
        <v>27</v>
      </c>
      <c r="I817" s="117" t="s">
        <v>7064</v>
      </c>
      <c r="J817" s="223"/>
      <c r="K817" s="193" t="s">
        <v>36</v>
      </c>
      <c r="L817" s="193"/>
      <c r="M817" s="225" t="s">
        <v>38</v>
      </c>
      <c r="N817" s="225"/>
      <c r="O817" s="223"/>
      <c r="P817" s="223"/>
      <c r="Q817" s="139" t="s">
        <v>44</v>
      </c>
      <c r="R817" s="223"/>
      <c r="S817" s="223"/>
      <c r="T817" s="110"/>
    </row>
    <row r="818" ht="31.5" hidden="1" customHeight="1">
      <c r="A818" s="193">
        <v>817.0</v>
      </c>
      <c r="B818" s="222">
        <v>46232.0</v>
      </c>
      <c r="C818" s="39" t="s">
        <v>21</v>
      </c>
      <c r="D818" s="26" t="s">
        <v>22</v>
      </c>
      <c r="E818" s="30" t="s">
        <v>7065</v>
      </c>
      <c r="F818" s="147">
        <v>5.07882005E8</v>
      </c>
      <c r="G818" s="30" t="s">
        <v>28</v>
      </c>
      <c r="H818" s="39" t="s">
        <v>27</v>
      </c>
      <c r="I818" s="117" t="s">
        <v>7067</v>
      </c>
      <c r="J818" s="223"/>
      <c r="K818" s="193" t="s">
        <v>62</v>
      </c>
      <c r="L818" s="193"/>
      <c r="M818" s="223"/>
      <c r="N818" s="223"/>
      <c r="O818" s="223"/>
      <c r="P818" s="223"/>
      <c r="Q818" s="223"/>
      <c r="R818" s="223"/>
      <c r="S818" s="223"/>
      <c r="T818" s="110"/>
    </row>
    <row r="819" ht="31.5" hidden="1" customHeight="1">
      <c r="A819" s="193">
        <v>818.0</v>
      </c>
      <c r="B819" s="222">
        <v>46232.0</v>
      </c>
      <c r="C819" s="39" t="s">
        <v>58</v>
      </c>
      <c r="D819" s="26" t="s">
        <v>57</v>
      </c>
      <c r="E819" s="30" t="s">
        <v>7069</v>
      </c>
      <c r="F819" s="147">
        <v>5.52501484E8</v>
      </c>
      <c r="G819" s="39"/>
      <c r="H819" s="39"/>
      <c r="I819" s="117" t="s">
        <v>7070</v>
      </c>
      <c r="J819" s="223"/>
      <c r="K819" s="193" t="s">
        <v>62</v>
      </c>
      <c r="L819" s="193"/>
      <c r="M819" s="223"/>
      <c r="N819" s="223"/>
      <c r="O819" s="223"/>
      <c r="P819" s="223"/>
      <c r="Q819" s="223"/>
      <c r="R819" s="223"/>
      <c r="S819" s="223"/>
      <c r="T819" s="110"/>
    </row>
    <row r="820" ht="31.5" hidden="1" customHeight="1">
      <c r="A820" s="193">
        <v>819.0</v>
      </c>
      <c r="B820" s="222">
        <v>46232.0</v>
      </c>
      <c r="C820" s="39" t="s">
        <v>58</v>
      </c>
      <c r="D820" s="26" t="s">
        <v>57</v>
      </c>
      <c r="E820" s="30" t="s">
        <v>424</v>
      </c>
      <c r="F820" s="147">
        <v>5.55898077E8</v>
      </c>
      <c r="G820" s="39" t="s">
        <v>27</v>
      </c>
      <c r="H820" s="39" t="s">
        <v>27</v>
      </c>
      <c r="I820" s="117" t="s">
        <v>7073</v>
      </c>
      <c r="J820" s="223"/>
      <c r="K820" s="193" t="s">
        <v>62</v>
      </c>
      <c r="L820" s="193"/>
      <c r="M820" s="223"/>
      <c r="N820" s="223"/>
      <c r="O820" s="223"/>
      <c r="P820" s="223"/>
      <c r="Q820" s="223"/>
      <c r="R820" s="223"/>
      <c r="S820" s="223"/>
      <c r="T820" s="110"/>
    </row>
    <row r="821" ht="45.0" hidden="1" customHeight="1">
      <c r="A821" s="193">
        <v>820.0</v>
      </c>
      <c r="B821" s="222">
        <v>46232.0</v>
      </c>
      <c r="C821" s="39" t="s">
        <v>47</v>
      </c>
      <c r="D821" s="26" t="s">
        <v>48</v>
      </c>
      <c r="E821" s="39" t="s">
        <v>27</v>
      </c>
      <c r="F821" s="147" t="s">
        <v>27</v>
      </c>
      <c r="G821" s="30" t="s">
        <v>76</v>
      </c>
      <c r="H821" s="39" t="s">
        <v>5636</v>
      </c>
      <c r="I821" s="117" t="s">
        <v>7074</v>
      </c>
      <c r="J821" s="223"/>
      <c r="K821" s="193" t="s">
        <v>78</v>
      </c>
      <c r="L821" s="193"/>
      <c r="M821" s="225" t="s">
        <v>7076</v>
      </c>
      <c r="N821" s="225"/>
      <c r="O821" s="193" t="s">
        <v>40</v>
      </c>
      <c r="P821" s="223"/>
      <c r="Q821" s="223"/>
      <c r="R821" s="390" t="s">
        <v>46</v>
      </c>
      <c r="S821" s="223"/>
      <c r="T821" s="110"/>
    </row>
    <row r="822" ht="31.5" hidden="1" customHeight="1">
      <c r="A822" s="193">
        <v>821.0</v>
      </c>
      <c r="B822" s="222">
        <v>46232.0</v>
      </c>
      <c r="C822" s="39" t="s">
        <v>58</v>
      </c>
      <c r="D822" s="26" t="s">
        <v>60</v>
      </c>
      <c r="E822" s="30"/>
      <c r="F822" s="147">
        <v>5.51504791E8</v>
      </c>
      <c r="G822" s="39"/>
      <c r="H822" s="39"/>
      <c r="I822" s="117" t="s">
        <v>484</v>
      </c>
      <c r="J822" s="223"/>
      <c r="K822" s="193" t="s">
        <v>36</v>
      </c>
      <c r="L822" s="193"/>
      <c r="M822" s="223"/>
      <c r="N822" s="223"/>
      <c r="O822" s="223"/>
      <c r="P822" s="223"/>
      <c r="Q822" s="223"/>
      <c r="R822" s="223"/>
      <c r="S822" s="223"/>
      <c r="T822" s="110"/>
    </row>
    <row r="823" ht="31.5" hidden="1" customHeight="1">
      <c r="A823" s="193">
        <v>822.0</v>
      </c>
      <c r="B823" s="222">
        <v>46232.0</v>
      </c>
      <c r="C823" s="39" t="s">
        <v>58</v>
      </c>
      <c r="D823" s="26" t="s">
        <v>60</v>
      </c>
      <c r="E823" s="30"/>
      <c r="F823" s="147">
        <v>5.60754473E8</v>
      </c>
      <c r="G823" s="39"/>
      <c r="H823" s="39"/>
      <c r="I823" s="117" t="s">
        <v>7078</v>
      </c>
      <c r="J823" s="223"/>
      <c r="K823" s="193" t="s">
        <v>36</v>
      </c>
      <c r="L823" s="193"/>
      <c r="M823" s="223"/>
      <c r="N823" s="223"/>
      <c r="O823" s="223"/>
      <c r="P823" s="223"/>
      <c r="Q823" s="223"/>
      <c r="R823" s="223"/>
      <c r="S823" s="223"/>
      <c r="T823" s="110"/>
    </row>
    <row r="824" ht="31.5" hidden="1" customHeight="1">
      <c r="A824" s="193">
        <v>823.0</v>
      </c>
      <c r="B824" s="222">
        <v>46232.0</v>
      </c>
      <c r="C824" s="39" t="s">
        <v>58</v>
      </c>
      <c r="D824" s="26" t="s">
        <v>57</v>
      </c>
      <c r="E824" s="30"/>
      <c r="F824" s="147">
        <v>5.54561035E8</v>
      </c>
      <c r="G824" s="39"/>
      <c r="H824" s="39"/>
      <c r="I824" s="117" t="s">
        <v>6784</v>
      </c>
      <c r="J824" s="223"/>
      <c r="K824" s="193" t="s">
        <v>36</v>
      </c>
      <c r="L824" s="193"/>
      <c r="M824" s="223"/>
      <c r="N824" s="223"/>
      <c r="O824" s="223"/>
      <c r="P824" s="223"/>
      <c r="Q824" s="223"/>
      <c r="R824" s="223"/>
      <c r="S824" s="223"/>
      <c r="T824" s="110"/>
    </row>
    <row r="825" ht="31.5" hidden="1" customHeight="1">
      <c r="A825" s="193">
        <v>824.0</v>
      </c>
      <c r="B825" s="222">
        <v>46232.0</v>
      </c>
      <c r="C825" s="39" t="s">
        <v>47</v>
      </c>
      <c r="D825" s="26" t="s">
        <v>138</v>
      </c>
      <c r="E825" s="39" t="s">
        <v>27</v>
      </c>
      <c r="F825" s="147">
        <v>5.78824146E8</v>
      </c>
      <c r="G825" s="30" t="s">
        <v>4513</v>
      </c>
      <c r="H825" s="39" t="s">
        <v>577</v>
      </c>
      <c r="I825" s="117" t="s">
        <v>7081</v>
      </c>
      <c r="J825" s="223"/>
      <c r="K825" s="193" t="s">
        <v>148</v>
      </c>
      <c r="L825" s="193"/>
      <c r="M825" s="225" t="s">
        <v>4073</v>
      </c>
      <c r="N825" s="225"/>
      <c r="O825" s="193" t="s">
        <v>40</v>
      </c>
      <c r="P825" s="223"/>
      <c r="Q825" s="223"/>
      <c r="R825" s="390" t="s">
        <v>46</v>
      </c>
      <c r="S825" s="223"/>
      <c r="T825" s="110"/>
    </row>
    <row r="826" ht="31.5" hidden="1" customHeight="1">
      <c r="A826" s="193">
        <v>825.0</v>
      </c>
      <c r="B826" s="222">
        <v>46232.0</v>
      </c>
      <c r="C826" s="39" t="s">
        <v>47</v>
      </c>
      <c r="D826" s="26" t="s">
        <v>138</v>
      </c>
      <c r="E826" s="30"/>
      <c r="F826" s="147"/>
      <c r="G826" s="39"/>
      <c r="H826" s="39" t="s">
        <v>7082</v>
      </c>
      <c r="I826" s="117" t="s">
        <v>7084</v>
      </c>
      <c r="J826" s="223"/>
      <c r="K826" s="193" t="s">
        <v>148</v>
      </c>
      <c r="L826" s="193"/>
      <c r="M826" s="225" t="s">
        <v>4073</v>
      </c>
      <c r="N826" s="225"/>
      <c r="O826" s="193" t="s">
        <v>40</v>
      </c>
      <c r="P826" s="223"/>
      <c r="Q826" s="223"/>
      <c r="R826" s="390" t="s">
        <v>46</v>
      </c>
      <c r="S826" s="223"/>
      <c r="T826" s="110"/>
    </row>
    <row r="827" ht="31.5" hidden="1" customHeight="1">
      <c r="A827" s="193">
        <v>826.0</v>
      </c>
      <c r="B827" s="222">
        <v>46232.0</v>
      </c>
      <c r="C827" s="39" t="s">
        <v>58</v>
      </c>
      <c r="D827" s="26" t="s">
        <v>60</v>
      </c>
      <c r="E827" s="30"/>
      <c r="F827" s="147">
        <v>5.38494729E8</v>
      </c>
      <c r="G827" s="39" t="s">
        <v>27</v>
      </c>
      <c r="H827" s="39" t="s">
        <v>27</v>
      </c>
      <c r="I827" s="117" t="s">
        <v>6355</v>
      </c>
      <c r="J827" s="223"/>
      <c r="K827" s="193" t="s">
        <v>36</v>
      </c>
      <c r="L827" s="193"/>
      <c r="M827" s="223"/>
      <c r="N827" s="223"/>
      <c r="O827" s="223"/>
      <c r="P827" s="223"/>
      <c r="Q827" s="223"/>
      <c r="R827" s="223"/>
      <c r="S827" s="223"/>
      <c r="T827" s="110"/>
    </row>
    <row r="828" ht="31.5" hidden="1" customHeight="1">
      <c r="A828" s="193">
        <v>827.0</v>
      </c>
      <c r="B828" s="222">
        <v>46232.0</v>
      </c>
      <c r="C828" s="39" t="s">
        <v>47</v>
      </c>
      <c r="D828" s="26" t="s">
        <v>138</v>
      </c>
      <c r="E828" s="39" t="s">
        <v>416</v>
      </c>
      <c r="F828" s="147">
        <v>5.53363907E8</v>
      </c>
      <c r="G828" s="30" t="s">
        <v>237</v>
      </c>
      <c r="H828" s="39" t="s">
        <v>5220</v>
      </c>
      <c r="I828" s="117" t="s">
        <v>7087</v>
      </c>
      <c r="J828" s="223"/>
      <c r="K828" s="193" t="s">
        <v>148</v>
      </c>
      <c r="L828" s="193"/>
      <c r="M828" s="225" t="s">
        <v>4073</v>
      </c>
      <c r="N828" s="225"/>
      <c r="O828" s="193" t="s">
        <v>40</v>
      </c>
      <c r="P828" s="223"/>
      <c r="Q828" s="223"/>
      <c r="R828" s="390" t="s">
        <v>46</v>
      </c>
      <c r="S828" s="223"/>
      <c r="T828" s="110"/>
    </row>
    <row r="829" ht="31.5" hidden="1" customHeight="1">
      <c r="A829" s="193">
        <v>828.0</v>
      </c>
      <c r="B829" s="222">
        <v>46232.0</v>
      </c>
      <c r="C829" s="39" t="s">
        <v>47</v>
      </c>
      <c r="D829" s="26" t="s">
        <v>48</v>
      </c>
      <c r="E829" s="30" t="s">
        <v>6482</v>
      </c>
      <c r="F829" s="147">
        <v>5.03028873E8</v>
      </c>
      <c r="G829" s="30" t="s">
        <v>76</v>
      </c>
      <c r="H829" s="39" t="s">
        <v>2716</v>
      </c>
      <c r="I829" s="117" t="s">
        <v>7089</v>
      </c>
      <c r="J829" s="223"/>
      <c r="K829" s="193" t="s">
        <v>148</v>
      </c>
      <c r="L829" s="193"/>
      <c r="M829" s="225" t="s">
        <v>101</v>
      </c>
      <c r="N829" s="225"/>
      <c r="O829" s="193" t="s">
        <v>40</v>
      </c>
      <c r="P829" s="223"/>
      <c r="Q829" s="223"/>
      <c r="R829" s="390" t="s">
        <v>46</v>
      </c>
      <c r="S829" s="223"/>
      <c r="T829" s="110"/>
    </row>
    <row r="830" ht="31.5" hidden="1" customHeight="1">
      <c r="A830" s="193">
        <v>829.0</v>
      </c>
      <c r="B830" s="222">
        <v>46232.0</v>
      </c>
      <c r="C830" s="39" t="s">
        <v>47</v>
      </c>
      <c r="D830" s="26" t="s">
        <v>367</v>
      </c>
      <c r="E830" s="39" t="s">
        <v>1958</v>
      </c>
      <c r="F830" s="147">
        <v>5.54454545E8</v>
      </c>
      <c r="G830" s="30" t="s">
        <v>28</v>
      </c>
      <c r="H830" s="39" t="s">
        <v>548</v>
      </c>
      <c r="I830" s="117" t="s">
        <v>7092</v>
      </c>
      <c r="J830" s="223"/>
      <c r="K830" s="193" t="s">
        <v>148</v>
      </c>
      <c r="L830" s="193"/>
      <c r="M830" s="225" t="s">
        <v>7093</v>
      </c>
      <c r="N830" s="225"/>
      <c r="O830" s="193" t="s">
        <v>40</v>
      </c>
      <c r="P830" s="223"/>
      <c r="Q830" s="223"/>
      <c r="R830" s="390" t="s">
        <v>46</v>
      </c>
      <c r="S830" s="223"/>
      <c r="T830" s="110"/>
    </row>
    <row r="831" ht="66.75" customHeight="1">
      <c r="A831" s="193">
        <v>830.0</v>
      </c>
      <c r="B831" s="222">
        <v>46232.0</v>
      </c>
      <c r="C831" s="39" t="s">
        <v>58</v>
      </c>
      <c r="D831" s="26" t="s">
        <v>48</v>
      </c>
      <c r="E831" s="30" t="s">
        <v>7094</v>
      </c>
      <c r="F831" s="147">
        <v>5.70723573E8</v>
      </c>
      <c r="G831" s="30" t="s">
        <v>41</v>
      </c>
      <c r="H831" s="39" t="s">
        <v>1220</v>
      </c>
      <c r="I831" s="429" t="s">
        <v>7096</v>
      </c>
      <c r="J831" s="225" t="s">
        <v>7099</v>
      </c>
      <c r="K831" s="193" t="s">
        <v>62</v>
      </c>
      <c r="L831" s="193" t="s">
        <v>42</v>
      </c>
      <c r="M831" s="225" t="s">
        <v>5565</v>
      </c>
      <c r="N831" s="225"/>
      <c r="O831" s="193" t="s">
        <v>40</v>
      </c>
      <c r="P831" s="195"/>
      <c r="Q831" s="139" t="s">
        <v>44</v>
      </c>
      <c r="R831" s="223"/>
      <c r="S831" s="223"/>
      <c r="T831" s="110"/>
    </row>
    <row r="832" ht="31.5" hidden="1" customHeight="1">
      <c r="A832" s="193">
        <v>831.0</v>
      </c>
      <c r="B832" s="222">
        <v>46232.0</v>
      </c>
      <c r="C832" s="39" t="s">
        <v>21</v>
      </c>
      <c r="D832" s="26" t="s">
        <v>22</v>
      </c>
      <c r="E832" s="30" t="s">
        <v>7100</v>
      </c>
      <c r="F832" s="147">
        <v>5.64406151E8</v>
      </c>
      <c r="G832" s="30" t="s">
        <v>7103</v>
      </c>
      <c r="H832" s="39" t="s">
        <v>27</v>
      </c>
      <c r="I832" s="117" t="s">
        <v>7104</v>
      </c>
      <c r="J832" s="223"/>
      <c r="K832" s="193" t="s">
        <v>36</v>
      </c>
      <c r="L832" s="193"/>
      <c r="M832" s="223"/>
      <c r="N832" s="223"/>
      <c r="O832" s="223"/>
      <c r="P832" s="223"/>
      <c r="Q832" s="139" t="s">
        <v>4074</v>
      </c>
      <c r="R832" s="223"/>
      <c r="S832" s="223"/>
      <c r="T832" s="110"/>
    </row>
    <row r="833" ht="31.5" hidden="1" customHeight="1">
      <c r="A833" s="193">
        <v>832.0</v>
      </c>
      <c r="B833" s="222">
        <v>46232.0</v>
      </c>
      <c r="C833" s="39" t="s">
        <v>21</v>
      </c>
      <c r="D833" s="26" t="s">
        <v>22</v>
      </c>
      <c r="E833" s="30" t="s">
        <v>118</v>
      </c>
      <c r="F833" s="147">
        <v>5.6707001E8</v>
      </c>
      <c r="G833" s="30" t="s">
        <v>6143</v>
      </c>
      <c r="H833" s="39" t="s">
        <v>27</v>
      </c>
      <c r="I833" s="117" t="s">
        <v>7105</v>
      </c>
      <c r="J833" s="223"/>
      <c r="K833" s="193" t="s">
        <v>36</v>
      </c>
      <c r="L833" s="193"/>
      <c r="M833" s="223"/>
      <c r="N833" s="223"/>
      <c r="O833" s="223"/>
      <c r="P833" s="223"/>
      <c r="Q833" s="139" t="s">
        <v>4074</v>
      </c>
      <c r="R833" s="223"/>
      <c r="S833" s="223"/>
      <c r="T833" s="110"/>
    </row>
    <row r="834" ht="31.5" hidden="1" customHeight="1">
      <c r="A834" s="193">
        <v>833.0</v>
      </c>
      <c r="B834" s="222">
        <v>46232.0</v>
      </c>
      <c r="C834" s="39" t="s">
        <v>58</v>
      </c>
      <c r="D834" s="26" t="s">
        <v>60</v>
      </c>
      <c r="E834" s="39" t="s">
        <v>27</v>
      </c>
      <c r="F834" s="147">
        <v>5.02581669E8</v>
      </c>
      <c r="G834" s="39" t="s">
        <v>27</v>
      </c>
      <c r="H834" s="39" t="s">
        <v>27</v>
      </c>
      <c r="I834" s="117" t="s">
        <v>5080</v>
      </c>
      <c r="J834" s="223"/>
      <c r="K834" s="193" t="s">
        <v>36</v>
      </c>
      <c r="L834" s="193"/>
      <c r="M834" s="223"/>
      <c r="N834" s="223"/>
      <c r="O834" s="223"/>
      <c r="P834" s="223"/>
      <c r="Q834" s="139" t="s">
        <v>4074</v>
      </c>
      <c r="R834" s="223"/>
      <c r="S834" s="223"/>
      <c r="T834" s="110"/>
    </row>
    <row r="835" ht="31.5" hidden="1" customHeight="1">
      <c r="A835" s="193">
        <v>834.0</v>
      </c>
      <c r="B835" s="222">
        <v>46232.0</v>
      </c>
      <c r="C835" s="39" t="s">
        <v>58</v>
      </c>
      <c r="D835" s="26" t="s">
        <v>60</v>
      </c>
      <c r="E835" s="39" t="s">
        <v>27</v>
      </c>
      <c r="F835" s="147">
        <v>5.31212614E8</v>
      </c>
      <c r="G835" s="39"/>
      <c r="H835" s="39"/>
      <c r="I835" s="117" t="s">
        <v>5553</v>
      </c>
      <c r="J835" s="223"/>
      <c r="K835" s="193" t="s">
        <v>36</v>
      </c>
      <c r="L835" s="193"/>
      <c r="M835" s="223"/>
      <c r="N835" s="223"/>
      <c r="O835" s="223"/>
      <c r="P835" s="223"/>
      <c r="Q835" s="139" t="s">
        <v>4074</v>
      </c>
      <c r="R835" s="223"/>
      <c r="S835" s="223"/>
      <c r="T835" s="110"/>
    </row>
    <row r="836" ht="31.5" hidden="1" customHeight="1">
      <c r="A836" s="193">
        <v>835.0</v>
      </c>
      <c r="B836" s="222">
        <v>46232.0</v>
      </c>
      <c r="C836" s="39" t="s">
        <v>58</v>
      </c>
      <c r="D836" s="26" t="s">
        <v>24</v>
      </c>
      <c r="E836" s="30" t="s">
        <v>922</v>
      </c>
      <c r="F836" s="147">
        <v>5.11745119E8</v>
      </c>
      <c r="G836" s="30" t="s">
        <v>394</v>
      </c>
      <c r="H836" s="39" t="s">
        <v>27</v>
      </c>
      <c r="I836" s="117" t="s">
        <v>7111</v>
      </c>
      <c r="J836" s="223"/>
      <c r="K836" s="193" t="s">
        <v>36</v>
      </c>
      <c r="L836" s="193"/>
      <c r="M836" s="223"/>
      <c r="N836" s="223"/>
      <c r="O836" s="223"/>
      <c r="P836" s="223"/>
      <c r="Q836" s="139" t="s">
        <v>4074</v>
      </c>
      <c r="R836" s="223"/>
      <c r="S836" s="223"/>
      <c r="T836" s="110"/>
    </row>
    <row r="837" ht="31.5" hidden="1" customHeight="1">
      <c r="A837" s="193">
        <v>836.0</v>
      </c>
      <c r="B837" s="222">
        <v>46232.0</v>
      </c>
      <c r="C837" s="39" t="s">
        <v>58</v>
      </c>
      <c r="D837" s="26" t="s">
        <v>34</v>
      </c>
      <c r="E837" s="30" t="s">
        <v>7114</v>
      </c>
      <c r="F837" s="147">
        <v>5.44056996E8</v>
      </c>
      <c r="G837" s="39" t="s">
        <v>27</v>
      </c>
      <c r="H837" s="39" t="s">
        <v>27</v>
      </c>
      <c r="I837" s="117" t="s">
        <v>7116</v>
      </c>
      <c r="J837" s="223"/>
      <c r="K837" s="193" t="s">
        <v>36</v>
      </c>
      <c r="L837" s="193"/>
      <c r="M837" s="223"/>
      <c r="N837" s="223"/>
      <c r="O837" s="223"/>
      <c r="P837" s="223"/>
      <c r="Q837" s="139" t="s">
        <v>4074</v>
      </c>
      <c r="R837" s="223"/>
      <c r="S837" s="223"/>
      <c r="T837" s="110"/>
    </row>
    <row r="838" ht="31.5" customHeight="1">
      <c r="A838" s="193">
        <v>837.0</v>
      </c>
      <c r="B838" s="222">
        <v>46232.0</v>
      </c>
      <c r="C838" s="39" t="s">
        <v>58</v>
      </c>
      <c r="D838" s="26" t="s">
        <v>48</v>
      </c>
      <c r="E838" s="30" t="s">
        <v>1330</v>
      </c>
      <c r="F838" s="147">
        <v>5.08520845E8</v>
      </c>
      <c r="G838" s="30" t="s">
        <v>908</v>
      </c>
      <c r="H838" s="39" t="s">
        <v>3767</v>
      </c>
      <c r="I838" s="117" t="s">
        <v>7118</v>
      </c>
      <c r="J838" s="225" t="s">
        <v>7119</v>
      </c>
      <c r="K838" s="193" t="s">
        <v>36</v>
      </c>
      <c r="L838" s="193" t="s">
        <v>42</v>
      </c>
      <c r="M838" s="225" t="s">
        <v>5565</v>
      </c>
      <c r="N838" s="223"/>
      <c r="O838" s="193" t="s">
        <v>40</v>
      </c>
      <c r="P838" s="195"/>
      <c r="Q838" s="139" t="s">
        <v>4074</v>
      </c>
      <c r="R838" s="223"/>
      <c r="S838" s="223"/>
      <c r="T838" s="110"/>
    </row>
    <row r="839" ht="31.5" hidden="1" customHeight="1">
      <c r="A839" s="193">
        <v>838.0</v>
      </c>
      <c r="B839" s="222">
        <v>46232.0</v>
      </c>
      <c r="C839" s="39" t="s">
        <v>58</v>
      </c>
      <c r="D839" s="26" t="s">
        <v>60</v>
      </c>
      <c r="E839" s="39" t="s">
        <v>27</v>
      </c>
      <c r="F839" s="147">
        <v>5.97770299E8</v>
      </c>
      <c r="G839" s="39" t="s">
        <v>27</v>
      </c>
      <c r="H839" s="39" t="s">
        <v>27</v>
      </c>
      <c r="I839" s="117" t="s">
        <v>7122</v>
      </c>
      <c r="J839" s="223"/>
      <c r="K839" s="193" t="s">
        <v>36</v>
      </c>
      <c r="L839" s="193"/>
      <c r="M839" s="223"/>
      <c r="N839" s="223"/>
      <c r="O839" s="223"/>
      <c r="P839" s="223"/>
      <c r="Q839" s="223"/>
      <c r="R839" s="223"/>
      <c r="S839" s="223"/>
      <c r="T839" s="110"/>
    </row>
    <row r="840" ht="31.5" hidden="1" customHeight="1">
      <c r="A840" s="193">
        <v>839.0</v>
      </c>
      <c r="B840" s="222">
        <v>46232.0</v>
      </c>
      <c r="C840" s="39" t="s">
        <v>21</v>
      </c>
      <c r="D840" s="26" t="s">
        <v>66</v>
      </c>
      <c r="E840" s="30" t="s">
        <v>1310</v>
      </c>
      <c r="F840" s="147">
        <v>5.96593879E8</v>
      </c>
      <c r="G840" s="30" t="s">
        <v>2055</v>
      </c>
      <c r="H840" s="39" t="s">
        <v>27</v>
      </c>
      <c r="I840" s="117" t="s">
        <v>7125</v>
      </c>
      <c r="J840" s="223"/>
      <c r="K840" s="193" t="s">
        <v>62</v>
      </c>
      <c r="L840" s="193"/>
      <c r="M840" s="223"/>
      <c r="N840" s="223"/>
      <c r="O840" s="223"/>
      <c r="P840" s="223"/>
      <c r="Q840" s="223"/>
      <c r="R840" s="223"/>
      <c r="S840" s="223"/>
      <c r="T840" s="110"/>
    </row>
    <row r="841" ht="31.5" hidden="1" customHeight="1">
      <c r="A841" s="193">
        <v>840.0</v>
      </c>
      <c r="B841" s="222">
        <v>46232.0</v>
      </c>
      <c r="C841" s="39" t="s">
        <v>21</v>
      </c>
      <c r="D841" s="26" t="s">
        <v>66</v>
      </c>
      <c r="E841" s="30" t="s">
        <v>7127</v>
      </c>
      <c r="F841" s="147">
        <v>5.49110083E8</v>
      </c>
      <c r="G841" s="39" t="s">
        <v>27</v>
      </c>
      <c r="H841" s="39" t="s">
        <v>27</v>
      </c>
      <c r="I841" s="117" t="s">
        <v>7128</v>
      </c>
      <c r="J841" s="223"/>
      <c r="K841" s="193" t="s">
        <v>62</v>
      </c>
      <c r="L841" s="193"/>
      <c r="M841" s="223"/>
      <c r="N841" s="223"/>
      <c r="O841" s="223"/>
      <c r="P841" s="223"/>
      <c r="Q841" s="223"/>
      <c r="R841" s="223"/>
      <c r="S841" s="223"/>
      <c r="T841" s="110"/>
    </row>
    <row r="842" ht="31.5" hidden="1" customHeight="1">
      <c r="A842" s="193">
        <v>841.0</v>
      </c>
      <c r="B842" s="222">
        <v>46232.0</v>
      </c>
      <c r="C842" s="39" t="s">
        <v>58</v>
      </c>
      <c r="D842" s="26" t="s">
        <v>60</v>
      </c>
      <c r="E842" s="39" t="s">
        <v>27</v>
      </c>
      <c r="F842" s="147">
        <v>5.45990537E8</v>
      </c>
      <c r="G842" s="39" t="s">
        <v>27</v>
      </c>
      <c r="H842" s="39" t="s">
        <v>27</v>
      </c>
      <c r="I842" s="117" t="s">
        <v>7131</v>
      </c>
      <c r="J842" s="223"/>
      <c r="K842" s="193" t="s">
        <v>36</v>
      </c>
      <c r="L842" s="193"/>
      <c r="M842" s="223"/>
      <c r="N842" s="223"/>
      <c r="O842" s="223"/>
      <c r="P842" s="223"/>
      <c r="Q842" s="223"/>
      <c r="R842" s="223"/>
      <c r="S842" s="223"/>
      <c r="T842" s="110"/>
    </row>
    <row r="843" ht="51.0" hidden="1" customHeight="1">
      <c r="A843" s="193">
        <v>842.0</v>
      </c>
      <c r="B843" s="222">
        <v>46232.0</v>
      </c>
      <c r="C843" s="39" t="s">
        <v>21</v>
      </c>
      <c r="D843" s="26" t="s">
        <v>22</v>
      </c>
      <c r="E843" s="30" t="s">
        <v>7133</v>
      </c>
      <c r="F843" s="147">
        <v>5.03482777E8</v>
      </c>
      <c r="G843" s="30" t="s">
        <v>7134</v>
      </c>
      <c r="H843" s="39" t="s">
        <v>27</v>
      </c>
      <c r="I843" s="117" t="s">
        <v>7135</v>
      </c>
      <c r="J843" s="223"/>
      <c r="K843" s="193" t="s">
        <v>62</v>
      </c>
      <c r="L843" s="193"/>
      <c r="M843" s="223"/>
      <c r="N843" s="223"/>
      <c r="O843" s="223"/>
      <c r="P843" s="223"/>
      <c r="Q843" s="223"/>
      <c r="R843" s="223"/>
      <c r="S843" s="223"/>
      <c r="T843" s="110"/>
    </row>
    <row r="844" ht="31.5" hidden="1" customHeight="1">
      <c r="A844" s="193">
        <v>843.0</v>
      </c>
      <c r="B844" s="222">
        <v>46232.0</v>
      </c>
      <c r="C844" s="39" t="s">
        <v>58</v>
      </c>
      <c r="D844" s="26" t="s">
        <v>60</v>
      </c>
      <c r="E844" s="39" t="s">
        <v>27</v>
      </c>
      <c r="F844" s="147">
        <v>5.55603423E8</v>
      </c>
      <c r="G844" s="39" t="s">
        <v>27</v>
      </c>
      <c r="H844" s="39" t="s">
        <v>27</v>
      </c>
      <c r="I844" s="117" t="s">
        <v>484</v>
      </c>
      <c r="J844" s="223"/>
      <c r="K844" s="193" t="s">
        <v>36</v>
      </c>
      <c r="L844" s="193"/>
      <c r="M844" s="223"/>
      <c r="N844" s="223"/>
      <c r="O844" s="223"/>
      <c r="P844" s="223"/>
      <c r="Q844" s="223"/>
      <c r="R844" s="223"/>
      <c r="S844" s="223"/>
      <c r="T844" s="110"/>
    </row>
    <row r="845" ht="31.5" hidden="1" customHeight="1">
      <c r="A845" s="193">
        <v>844.0</v>
      </c>
      <c r="B845" s="222">
        <v>46232.0</v>
      </c>
      <c r="C845" s="39" t="s">
        <v>21</v>
      </c>
      <c r="D845" s="26" t="s">
        <v>66</v>
      </c>
      <c r="E845" s="30" t="s">
        <v>4581</v>
      </c>
      <c r="F845" s="147">
        <v>5.08939374E8</v>
      </c>
      <c r="G845" s="30" t="s">
        <v>152</v>
      </c>
      <c r="H845" s="39" t="s">
        <v>27</v>
      </c>
      <c r="I845" s="117" t="s">
        <v>7139</v>
      </c>
      <c r="J845" s="223"/>
      <c r="K845" s="193" t="s">
        <v>36</v>
      </c>
      <c r="L845" s="193"/>
      <c r="M845" s="223"/>
      <c r="N845" s="223"/>
      <c r="O845" s="223"/>
      <c r="P845" s="223"/>
      <c r="Q845" s="223"/>
      <c r="R845" s="223"/>
      <c r="S845" s="223"/>
      <c r="T845" s="110"/>
    </row>
    <row r="846" ht="31.5" hidden="1" customHeight="1">
      <c r="A846" s="193">
        <v>845.0</v>
      </c>
      <c r="B846" s="222">
        <v>46232.0</v>
      </c>
      <c r="C846" s="39" t="s">
        <v>58</v>
      </c>
      <c r="D846" s="26" t="s">
        <v>60</v>
      </c>
      <c r="E846" s="39" t="s">
        <v>27</v>
      </c>
      <c r="F846" s="147">
        <v>5.01102851E8</v>
      </c>
      <c r="G846" s="39" t="s">
        <v>27</v>
      </c>
      <c r="H846" s="39" t="s">
        <v>27</v>
      </c>
      <c r="I846" s="117" t="s">
        <v>6670</v>
      </c>
      <c r="J846" s="223"/>
      <c r="K846" s="193" t="s">
        <v>36</v>
      </c>
      <c r="L846" s="193"/>
      <c r="M846" s="223"/>
      <c r="N846" s="223"/>
      <c r="O846" s="223"/>
      <c r="P846" s="223"/>
      <c r="Q846" s="223"/>
      <c r="R846" s="223"/>
      <c r="S846" s="223"/>
      <c r="T846" s="110"/>
    </row>
    <row r="847" ht="31.5" hidden="1" customHeight="1">
      <c r="A847" s="193">
        <v>846.0</v>
      </c>
      <c r="B847" s="222">
        <v>46232.0</v>
      </c>
      <c r="C847" s="39" t="s">
        <v>21</v>
      </c>
      <c r="D847" s="26" t="s">
        <v>22</v>
      </c>
      <c r="E847" s="30" t="s">
        <v>5480</v>
      </c>
      <c r="F847" s="147">
        <v>5.54866225E8</v>
      </c>
      <c r="G847" s="30" t="s">
        <v>152</v>
      </c>
      <c r="H847" s="39" t="s">
        <v>27</v>
      </c>
      <c r="I847" s="117" t="s">
        <v>7143</v>
      </c>
      <c r="J847" s="223"/>
      <c r="K847" s="193" t="s">
        <v>36</v>
      </c>
      <c r="L847" s="193"/>
      <c r="M847" s="223"/>
      <c r="N847" s="223"/>
      <c r="O847" s="223"/>
      <c r="P847" s="223"/>
      <c r="Q847" s="223"/>
      <c r="R847" s="223"/>
      <c r="S847" s="223"/>
      <c r="T847" s="110"/>
    </row>
    <row r="848" ht="69.75" hidden="1" customHeight="1">
      <c r="A848" s="193">
        <v>847.0</v>
      </c>
      <c r="B848" s="222">
        <v>46233.0</v>
      </c>
      <c r="C848" s="39" t="s">
        <v>47</v>
      </c>
      <c r="D848" s="26" t="s">
        <v>48</v>
      </c>
      <c r="E848" s="30" t="s">
        <v>7145</v>
      </c>
      <c r="F848" s="39">
        <v>5.5548788E8</v>
      </c>
      <c r="G848" s="30" t="s">
        <v>4243</v>
      </c>
      <c r="H848" s="39" t="s">
        <v>3778</v>
      </c>
      <c r="I848" s="117" t="s">
        <v>7147</v>
      </c>
      <c r="J848" s="223"/>
      <c r="K848" s="193" t="s">
        <v>36</v>
      </c>
      <c r="L848" s="224"/>
      <c r="M848" s="223"/>
      <c r="N848" s="223"/>
      <c r="O848" s="193" t="s">
        <v>40</v>
      </c>
      <c r="P848" s="223"/>
      <c r="Q848" s="139" t="s">
        <v>4074</v>
      </c>
      <c r="R848" s="223"/>
      <c r="S848" s="110"/>
      <c r="T848" s="110"/>
    </row>
    <row r="849" ht="31.5" hidden="1" customHeight="1">
      <c r="A849" s="193">
        <v>848.0</v>
      </c>
      <c r="B849" s="222">
        <v>46233.0</v>
      </c>
      <c r="C849" s="39" t="s">
        <v>47</v>
      </c>
      <c r="D849" s="26" t="s">
        <v>92</v>
      </c>
      <c r="E849" s="30" t="s">
        <v>108</v>
      </c>
      <c r="F849" s="147">
        <v>5.9605662E8</v>
      </c>
      <c r="G849" s="30" t="s">
        <v>426</v>
      </c>
      <c r="H849" s="39" t="s">
        <v>6615</v>
      </c>
      <c r="I849" s="117" t="s">
        <v>7150</v>
      </c>
      <c r="J849" s="223"/>
      <c r="K849" s="193" t="s">
        <v>36</v>
      </c>
      <c r="L849" s="224"/>
      <c r="M849" s="223"/>
      <c r="N849" s="223"/>
      <c r="O849" s="193" t="s">
        <v>40</v>
      </c>
      <c r="P849" s="223"/>
      <c r="Q849" s="139" t="s">
        <v>4074</v>
      </c>
      <c r="R849" s="223"/>
      <c r="S849" s="110"/>
      <c r="T849" s="110"/>
    </row>
    <row r="850" ht="31.5" customHeight="1">
      <c r="A850" s="193">
        <v>849.0</v>
      </c>
      <c r="B850" s="222">
        <v>46233.0</v>
      </c>
      <c r="C850" s="39" t="s">
        <v>58</v>
      </c>
      <c r="D850" s="26" t="s">
        <v>48</v>
      </c>
      <c r="E850" s="30" t="s">
        <v>501</v>
      </c>
      <c r="F850" s="147">
        <v>5.53850357E8</v>
      </c>
      <c r="G850" s="30" t="s">
        <v>120</v>
      </c>
      <c r="H850" s="39" t="s">
        <v>658</v>
      </c>
      <c r="I850" s="117" t="s">
        <v>7153</v>
      </c>
      <c r="J850" s="223"/>
      <c r="K850" s="193" t="s">
        <v>36</v>
      </c>
      <c r="L850" s="193"/>
      <c r="M850" s="225"/>
      <c r="N850" s="223"/>
      <c r="O850" s="193"/>
      <c r="P850" s="195"/>
      <c r="Q850" s="139" t="s">
        <v>4074</v>
      </c>
      <c r="R850" s="223"/>
      <c r="S850" s="223"/>
      <c r="T850" s="110"/>
    </row>
    <row r="851" ht="31.5" hidden="1" customHeight="1">
      <c r="A851" s="193">
        <v>850.0</v>
      </c>
      <c r="B851" s="222">
        <v>46233.0</v>
      </c>
      <c r="C851" s="39" t="s">
        <v>47</v>
      </c>
      <c r="D851" s="26" t="s">
        <v>138</v>
      </c>
      <c r="E851" s="30" t="s">
        <v>7155</v>
      </c>
      <c r="F851" s="147">
        <v>5.59749188E8</v>
      </c>
      <c r="G851" s="30" t="s">
        <v>4513</v>
      </c>
      <c r="H851" s="39" t="s">
        <v>577</v>
      </c>
      <c r="I851" s="117" t="s">
        <v>7157</v>
      </c>
      <c r="J851" s="223"/>
      <c r="K851" s="193" t="s">
        <v>148</v>
      </c>
      <c r="L851" s="224"/>
      <c r="M851" s="223"/>
      <c r="N851" s="223"/>
      <c r="O851" s="193" t="s">
        <v>40</v>
      </c>
      <c r="P851" s="223"/>
      <c r="Q851" s="139" t="s">
        <v>4074</v>
      </c>
      <c r="R851" s="223"/>
      <c r="S851" s="110"/>
      <c r="T851" s="110"/>
    </row>
    <row r="852" ht="31.5" hidden="1" customHeight="1">
      <c r="A852" s="193">
        <v>851.0</v>
      </c>
      <c r="B852" s="222">
        <v>46233.0</v>
      </c>
      <c r="C852" s="39" t="s">
        <v>47</v>
      </c>
      <c r="D852" s="26" t="s">
        <v>138</v>
      </c>
      <c r="E852" s="30" t="s">
        <v>7159</v>
      </c>
      <c r="F852" s="147">
        <v>5.5469096E8</v>
      </c>
      <c r="G852" s="30" t="s">
        <v>4513</v>
      </c>
      <c r="H852" s="39" t="s">
        <v>146</v>
      </c>
      <c r="I852" s="117" t="s">
        <v>7160</v>
      </c>
      <c r="J852" s="223"/>
      <c r="K852" s="193" t="s">
        <v>148</v>
      </c>
      <c r="L852" s="224"/>
      <c r="M852" s="223"/>
      <c r="N852" s="223"/>
      <c r="O852" s="193" t="s">
        <v>40</v>
      </c>
      <c r="P852" s="223"/>
      <c r="Q852" s="139" t="s">
        <v>4074</v>
      </c>
      <c r="R852" s="223"/>
      <c r="S852" s="110"/>
      <c r="T852" s="110"/>
    </row>
    <row r="853" ht="31.5" hidden="1" customHeight="1">
      <c r="A853" s="193">
        <v>852.0</v>
      </c>
      <c r="B853" s="222">
        <v>46233.0</v>
      </c>
      <c r="C853" s="39" t="s">
        <v>21</v>
      </c>
      <c r="D853" s="26" t="s">
        <v>66</v>
      </c>
      <c r="E853" s="30" t="s">
        <v>7161</v>
      </c>
      <c r="F853" s="147">
        <v>5.56953268E8</v>
      </c>
      <c r="G853" s="39" t="s">
        <v>27</v>
      </c>
      <c r="H853" s="39" t="s">
        <v>27</v>
      </c>
      <c r="I853" s="117" t="s">
        <v>7162</v>
      </c>
      <c r="J853" s="223"/>
      <c r="K853" s="193" t="s">
        <v>36</v>
      </c>
      <c r="L853" s="224"/>
      <c r="M853" s="223"/>
      <c r="N853" s="223"/>
      <c r="O853" s="223"/>
      <c r="P853" s="223"/>
      <c r="Q853" s="139" t="s">
        <v>4074</v>
      </c>
      <c r="R853" s="223"/>
      <c r="S853" s="110"/>
      <c r="T853" s="110"/>
    </row>
    <row r="854" ht="31.5" hidden="1" customHeight="1">
      <c r="A854" s="193">
        <v>853.0</v>
      </c>
      <c r="B854" s="222">
        <v>46233.0</v>
      </c>
      <c r="C854" s="39" t="s">
        <v>47</v>
      </c>
      <c r="D854" s="26" t="s">
        <v>92</v>
      </c>
      <c r="E854" s="39" t="s">
        <v>27</v>
      </c>
      <c r="F854" s="147" t="s">
        <v>27</v>
      </c>
      <c r="G854" s="30" t="s">
        <v>426</v>
      </c>
      <c r="H854" s="39" t="s">
        <v>6615</v>
      </c>
      <c r="I854" s="117" t="s">
        <v>7164</v>
      </c>
      <c r="J854" s="223"/>
      <c r="K854" s="193" t="s">
        <v>78</v>
      </c>
      <c r="L854" s="224"/>
      <c r="M854" s="223"/>
      <c r="N854" s="223"/>
      <c r="O854" s="193" t="s">
        <v>40</v>
      </c>
      <c r="P854" s="223"/>
      <c r="Q854" s="139" t="s">
        <v>4074</v>
      </c>
      <c r="R854" s="223"/>
      <c r="S854" s="110"/>
      <c r="T854" s="110"/>
    </row>
    <row r="855" ht="31.5" hidden="1" customHeight="1">
      <c r="A855" s="193">
        <v>854.0</v>
      </c>
      <c r="B855" s="222">
        <v>46233.0</v>
      </c>
      <c r="C855" s="39" t="s">
        <v>21</v>
      </c>
      <c r="D855" s="26" t="s">
        <v>22</v>
      </c>
      <c r="E855" s="30" t="s">
        <v>7167</v>
      </c>
      <c r="F855" s="147">
        <v>5.06676061E8</v>
      </c>
      <c r="G855" s="30" t="s">
        <v>2595</v>
      </c>
      <c r="H855" s="39" t="s">
        <v>27</v>
      </c>
      <c r="I855" s="117" t="s">
        <v>7168</v>
      </c>
      <c r="J855" s="223"/>
      <c r="K855" s="193" t="s">
        <v>36</v>
      </c>
      <c r="L855" s="224"/>
      <c r="M855" s="223"/>
      <c r="N855" s="223"/>
      <c r="O855" s="223"/>
      <c r="P855" s="223"/>
      <c r="Q855" s="139" t="s">
        <v>4074</v>
      </c>
      <c r="R855" s="223"/>
      <c r="S855" s="110"/>
      <c r="T855" s="110"/>
    </row>
    <row r="856" ht="31.5" hidden="1" customHeight="1">
      <c r="A856" s="193">
        <v>855.0</v>
      </c>
      <c r="B856" s="222">
        <v>46233.0</v>
      </c>
      <c r="C856" s="39" t="s">
        <v>47</v>
      </c>
      <c r="D856" s="26" t="s">
        <v>48</v>
      </c>
      <c r="E856" s="30" t="s">
        <v>7169</v>
      </c>
      <c r="F856" s="147">
        <v>5.94665309E8</v>
      </c>
      <c r="G856" s="30" t="s">
        <v>1332</v>
      </c>
      <c r="H856" s="39" t="s">
        <v>7170</v>
      </c>
      <c r="I856" s="117" t="s">
        <v>7171</v>
      </c>
      <c r="J856" s="223"/>
      <c r="K856" s="193" t="s">
        <v>36</v>
      </c>
      <c r="L856" s="224"/>
      <c r="M856" s="223"/>
      <c r="N856" s="223"/>
      <c r="O856" s="193" t="s">
        <v>40</v>
      </c>
      <c r="P856" s="223"/>
      <c r="Q856" s="139" t="s">
        <v>4074</v>
      </c>
      <c r="R856" s="223"/>
      <c r="S856" s="110"/>
      <c r="T856" s="110"/>
    </row>
    <row r="857" ht="31.5" hidden="1" customHeight="1">
      <c r="A857" s="193">
        <v>856.0</v>
      </c>
      <c r="B857" s="222">
        <v>46233.0</v>
      </c>
      <c r="C857" s="39" t="s">
        <v>58</v>
      </c>
      <c r="D857" s="26" t="s">
        <v>60</v>
      </c>
      <c r="E857" s="30"/>
      <c r="F857" s="147">
        <v>5.64447808E8</v>
      </c>
      <c r="G857" s="39"/>
      <c r="H857" s="39"/>
      <c r="I857" s="117" t="s">
        <v>7173</v>
      </c>
      <c r="J857" s="223"/>
      <c r="K857" s="193" t="s">
        <v>65</v>
      </c>
      <c r="L857" s="224"/>
      <c r="M857" s="223"/>
      <c r="N857" s="223"/>
      <c r="O857" s="223"/>
      <c r="P857" s="223"/>
      <c r="Q857" s="139" t="s">
        <v>4074</v>
      </c>
      <c r="R857" s="223"/>
      <c r="S857" s="110"/>
      <c r="T857" s="110"/>
    </row>
    <row r="858" ht="31.5" hidden="1" customHeight="1">
      <c r="A858" s="193">
        <v>857.0</v>
      </c>
      <c r="B858" s="222">
        <v>46233.0</v>
      </c>
      <c r="C858" s="39" t="s">
        <v>58</v>
      </c>
      <c r="D858" s="26" t="s">
        <v>60</v>
      </c>
      <c r="E858" s="30"/>
      <c r="F858" s="147">
        <v>5.03388709E8</v>
      </c>
      <c r="G858" s="39"/>
      <c r="H858" s="39"/>
      <c r="I858" s="117" t="s">
        <v>7176</v>
      </c>
      <c r="J858" s="223"/>
      <c r="K858" s="193" t="s">
        <v>65</v>
      </c>
      <c r="L858" s="224"/>
      <c r="M858" s="223"/>
      <c r="N858" s="223"/>
      <c r="O858" s="223"/>
      <c r="P858" s="223"/>
      <c r="Q858" s="139" t="s">
        <v>4074</v>
      </c>
      <c r="R858" s="223"/>
      <c r="S858" s="110"/>
      <c r="T858" s="110"/>
    </row>
    <row r="859" ht="31.5" hidden="1" customHeight="1">
      <c r="A859" s="193">
        <v>858.0</v>
      </c>
      <c r="B859" s="222">
        <v>46233.0</v>
      </c>
      <c r="C859" s="39" t="s">
        <v>58</v>
      </c>
      <c r="D859" s="26" t="s">
        <v>57</v>
      </c>
      <c r="E859" s="30"/>
      <c r="F859" s="147">
        <v>5.10176145E8</v>
      </c>
      <c r="G859" s="39"/>
      <c r="H859" s="39"/>
      <c r="I859" s="117" t="s">
        <v>7179</v>
      </c>
      <c r="J859" s="223"/>
      <c r="K859" s="193" t="s">
        <v>65</v>
      </c>
      <c r="L859" s="224"/>
      <c r="M859" s="223"/>
      <c r="N859" s="223"/>
      <c r="O859" s="223"/>
      <c r="P859" s="223"/>
      <c r="Q859" s="139" t="s">
        <v>4074</v>
      </c>
      <c r="R859" s="223"/>
      <c r="S859" s="110"/>
      <c r="T859" s="110"/>
    </row>
    <row r="860" ht="31.5" hidden="1" customHeight="1">
      <c r="A860" s="193">
        <v>859.0</v>
      </c>
      <c r="B860" s="222">
        <v>46233.0</v>
      </c>
      <c r="C860" s="39" t="s">
        <v>58</v>
      </c>
      <c r="D860" s="26" t="s">
        <v>60</v>
      </c>
      <c r="E860" s="30"/>
      <c r="F860" s="147">
        <v>5.58732805E8</v>
      </c>
      <c r="G860" s="39"/>
      <c r="H860" s="39"/>
      <c r="I860" s="117" t="s">
        <v>7181</v>
      </c>
      <c r="J860" s="223"/>
      <c r="K860" s="193" t="s">
        <v>36</v>
      </c>
      <c r="L860" s="224"/>
      <c r="M860" s="223"/>
      <c r="N860" s="223"/>
      <c r="O860" s="223"/>
      <c r="P860" s="223"/>
      <c r="Q860" s="139" t="s">
        <v>4074</v>
      </c>
      <c r="R860" s="223"/>
      <c r="S860" s="110"/>
      <c r="T860" s="110"/>
    </row>
    <row r="861" ht="31.5" hidden="1" customHeight="1">
      <c r="A861" s="193">
        <v>860.0</v>
      </c>
      <c r="B861" s="222">
        <v>46233.0</v>
      </c>
      <c r="C861" s="39" t="s">
        <v>58</v>
      </c>
      <c r="D861" s="26" t="s">
        <v>60</v>
      </c>
      <c r="E861" s="30"/>
      <c r="F861" s="147">
        <v>5.68833055E8</v>
      </c>
      <c r="G861" s="39"/>
      <c r="H861" s="39"/>
      <c r="I861" s="117" t="s">
        <v>7183</v>
      </c>
      <c r="J861" s="223"/>
      <c r="K861" s="193" t="s">
        <v>65</v>
      </c>
      <c r="L861" s="224"/>
      <c r="M861" s="223"/>
      <c r="N861" s="223"/>
      <c r="O861" s="223"/>
      <c r="P861" s="223"/>
      <c r="Q861" s="139" t="s">
        <v>4074</v>
      </c>
      <c r="R861" s="223"/>
      <c r="S861" s="110"/>
      <c r="T861" s="110"/>
    </row>
    <row r="862" ht="31.5" hidden="1" customHeight="1">
      <c r="A862" s="193">
        <v>861.0</v>
      </c>
      <c r="B862" s="222">
        <v>46233.0</v>
      </c>
      <c r="C862" s="39" t="s">
        <v>21</v>
      </c>
      <c r="D862" s="26" t="s">
        <v>24</v>
      </c>
      <c r="E862" s="30" t="s">
        <v>1572</v>
      </c>
      <c r="F862" s="147">
        <v>5.57021189E8</v>
      </c>
      <c r="G862" s="30" t="s">
        <v>1452</v>
      </c>
      <c r="H862" s="39" t="s">
        <v>27</v>
      </c>
      <c r="I862" s="117" t="s">
        <v>7185</v>
      </c>
      <c r="J862" s="223"/>
      <c r="K862" s="193" t="s">
        <v>36</v>
      </c>
      <c r="L862" s="193"/>
      <c r="M862" s="225" t="s">
        <v>38</v>
      </c>
      <c r="N862" s="223"/>
      <c r="O862" s="223"/>
      <c r="P862" s="223"/>
      <c r="Q862" s="139" t="s">
        <v>4074</v>
      </c>
      <c r="R862" s="223"/>
      <c r="S862" s="110"/>
      <c r="T862" s="110"/>
    </row>
    <row r="863" ht="31.5" hidden="1" customHeight="1">
      <c r="A863" s="193">
        <v>862.0</v>
      </c>
      <c r="B863" s="222">
        <v>46233.0</v>
      </c>
      <c r="C863" s="39" t="s">
        <v>58</v>
      </c>
      <c r="D863" s="26" t="s">
        <v>60</v>
      </c>
      <c r="E863" s="39" t="s">
        <v>27</v>
      </c>
      <c r="F863" s="147">
        <v>5.48788663E8</v>
      </c>
      <c r="G863" s="39" t="s">
        <v>27</v>
      </c>
      <c r="H863" s="39" t="s">
        <v>27</v>
      </c>
      <c r="I863" s="117" t="s">
        <v>6351</v>
      </c>
      <c r="J863" s="223"/>
      <c r="K863" s="193" t="s">
        <v>36</v>
      </c>
      <c r="L863" s="224"/>
      <c r="M863" s="225"/>
      <c r="N863" s="223"/>
      <c r="O863" s="223"/>
      <c r="P863" s="223"/>
      <c r="Q863" s="139" t="s">
        <v>4074</v>
      </c>
      <c r="R863" s="223"/>
      <c r="S863" s="110"/>
      <c r="T863" s="110"/>
    </row>
    <row r="864" ht="31.5" hidden="1" customHeight="1">
      <c r="A864" s="193">
        <v>863.0</v>
      </c>
      <c r="B864" s="222">
        <v>46233.0</v>
      </c>
      <c r="C864" s="39" t="s">
        <v>21</v>
      </c>
      <c r="D864" s="26" t="s">
        <v>22</v>
      </c>
      <c r="E864" s="30" t="s">
        <v>922</v>
      </c>
      <c r="F864" s="147">
        <v>5.55229078E8</v>
      </c>
      <c r="G864" s="39" t="s">
        <v>27</v>
      </c>
      <c r="H864" s="39" t="s">
        <v>27</v>
      </c>
      <c r="I864" s="117" t="s">
        <v>7188</v>
      </c>
      <c r="J864" s="223"/>
      <c r="K864" s="193" t="s">
        <v>36</v>
      </c>
      <c r="L864" s="224"/>
      <c r="M864" s="225"/>
      <c r="N864" s="223"/>
      <c r="O864" s="223"/>
      <c r="P864" s="223"/>
      <c r="Q864" s="139" t="s">
        <v>4074</v>
      </c>
      <c r="R864" s="223"/>
      <c r="S864" s="110"/>
      <c r="T864" s="110"/>
    </row>
    <row r="865" ht="31.5" hidden="1" customHeight="1">
      <c r="A865" s="193">
        <v>864.0</v>
      </c>
      <c r="B865" s="222">
        <v>46233.0</v>
      </c>
      <c r="C865" s="39" t="s">
        <v>21</v>
      </c>
      <c r="D865" s="26" t="s">
        <v>251</v>
      </c>
      <c r="E865" s="30" t="s">
        <v>7189</v>
      </c>
      <c r="F865" s="147">
        <v>5.68442346E8</v>
      </c>
      <c r="G865" s="30" t="s">
        <v>2715</v>
      </c>
      <c r="H865" s="39" t="s">
        <v>7190</v>
      </c>
      <c r="I865" s="117" t="s">
        <v>7191</v>
      </c>
      <c r="J865" s="223"/>
      <c r="K865" s="193" t="s">
        <v>36</v>
      </c>
      <c r="L865" s="224"/>
      <c r="M865" s="225"/>
      <c r="N865" s="223"/>
      <c r="O865" s="223"/>
      <c r="P865" s="223"/>
      <c r="Q865" s="139" t="s">
        <v>4074</v>
      </c>
      <c r="R865" s="223"/>
      <c r="S865" s="110"/>
      <c r="T865" s="110"/>
    </row>
    <row r="866" ht="31.5" hidden="1" customHeight="1">
      <c r="A866" s="193">
        <v>865.0</v>
      </c>
      <c r="B866" s="222">
        <v>46233.0</v>
      </c>
      <c r="C866" s="39" t="s">
        <v>21</v>
      </c>
      <c r="D866" s="26" t="s">
        <v>34</v>
      </c>
      <c r="E866" s="39"/>
      <c r="F866" s="147"/>
      <c r="G866" s="30"/>
      <c r="H866" s="39"/>
      <c r="I866" s="450" t="s">
        <v>7193</v>
      </c>
      <c r="J866" s="223"/>
      <c r="K866" s="193" t="s">
        <v>3070</v>
      </c>
      <c r="L866" s="224"/>
      <c r="M866" s="225"/>
      <c r="N866" s="223"/>
      <c r="O866" s="223"/>
      <c r="P866" s="223"/>
      <c r="Q866" s="139" t="s">
        <v>44</v>
      </c>
      <c r="R866" s="223"/>
      <c r="S866" s="110"/>
      <c r="T866" s="110"/>
    </row>
    <row r="867" ht="31.5" hidden="1" customHeight="1">
      <c r="A867" s="193">
        <v>866.0</v>
      </c>
      <c r="B867" s="222">
        <v>46233.0</v>
      </c>
      <c r="C867" s="39" t="s">
        <v>21</v>
      </c>
      <c r="D867" s="26" t="s">
        <v>22</v>
      </c>
      <c r="E867" s="30" t="s">
        <v>7195</v>
      </c>
      <c r="F867" s="147">
        <v>5.06900066E8</v>
      </c>
      <c r="G867" s="30" t="s">
        <v>152</v>
      </c>
      <c r="H867" s="39" t="s">
        <v>27</v>
      </c>
      <c r="I867" s="117" t="s">
        <v>7196</v>
      </c>
      <c r="J867" s="223"/>
      <c r="K867" s="193" t="s">
        <v>36</v>
      </c>
      <c r="L867" s="224"/>
      <c r="M867" s="225"/>
      <c r="N867" s="223"/>
      <c r="O867" s="223"/>
      <c r="P867" s="223"/>
      <c r="Q867" s="139" t="s">
        <v>4074</v>
      </c>
      <c r="R867" s="223"/>
      <c r="S867" s="110"/>
      <c r="T867" s="110"/>
    </row>
    <row r="868" ht="31.5" hidden="1" customHeight="1">
      <c r="A868" s="193">
        <v>867.0</v>
      </c>
      <c r="B868" s="222">
        <v>46233.0</v>
      </c>
      <c r="C868" s="39" t="s">
        <v>21</v>
      </c>
      <c r="D868" s="26" t="s">
        <v>22</v>
      </c>
      <c r="E868" s="30" t="s">
        <v>7198</v>
      </c>
      <c r="F868" s="147">
        <v>5.60070328E8</v>
      </c>
      <c r="G868" s="30"/>
      <c r="H868" s="39"/>
      <c r="I868" s="117" t="s">
        <v>7199</v>
      </c>
      <c r="J868" s="223"/>
      <c r="K868" s="193" t="s">
        <v>321</v>
      </c>
      <c r="L868" s="224"/>
      <c r="M868" s="225"/>
      <c r="N868" s="223"/>
      <c r="O868" s="223"/>
      <c r="P868" s="223"/>
      <c r="Q868" s="139" t="s">
        <v>44</v>
      </c>
      <c r="R868" s="223"/>
      <c r="S868" s="110"/>
      <c r="T868" s="110"/>
    </row>
    <row r="869" ht="31.5" customHeight="1">
      <c r="A869" s="193">
        <v>868.0</v>
      </c>
      <c r="B869" s="222">
        <v>46233.0</v>
      </c>
      <c r="C869" s="39" t="s">
        <v>58</v>
      </c>
      <c r="D869" s="26" t="s">
        <v>48</v>
      </c>
      <c r="E869" s="30" t="s">
        <v>2549</v>
      </c>
      <c r="F869" s="147">
        <v>5.50512471E8</v>
      </c>
      <c r="G869" s="30" t="s">
        <v>2055</v>
      </c>
      <c r="H869" s="39" t="s">
        <v>5941</v>
      </c>
      <c r="I869" s="117" t="s">
        <v>7201</v>
      </c>
      <c r="J869" s="223"/>
      <c r="K869" s="193" t="s">
        <v>36</v>
      </c>
      <c r="L869" s="193"/>
      <c r="M869" s="225"/>
      <c r="N869" s="223"/>
      <c r="O869" s="193"/>
      <c r="P869" s="195"/>
      <c r="Q869" s="139" t="s">
        <v>44</v>
      </c>
      <c r="R869" s="223"/>
      <c r="S869" s="223"/>
      <c r="T869" s="110"/>
    </row>
    <row r="870" ht="31.5" hidden="1" customHeight="1">
      <c r="A870" s="193">
        <v>869.0</v>
      </c>
      <c r="B870" s="222">
        <v>46233.0</v>
      </c>
      <c r="C870" s="39" t="s">
        <v>21</v>
      </c>
      <c r="D870" s="26" t="s">
        <v>22</v>
      </c>
      <c r="E870" s="30" t="s">
        <v>7203</v>
      </c>
      <c r="F870" s="147">
        <v>5.07232895E8</v>
      </c>
      <c r="G870" s="30" t="s">
        <v>5966</v>
      </c>
      <c r="H870" s="39" t="s">
        <v>27</v>
      </c>
      <c r="I870" s="117" t="s">
        <v>7204</v>
      </c>
      <c r="J870" s="223"/>
      <c r="K870" s="193" t="s">
        <v>62</v>
      </c>
      <c r="L870" s="224"/>
      <c r="M870" s="225"/>
      <c r="N870" s="223"/>
      <c r="O870" s="223"/>
      <c r="P870" s="223"/>
      <c r="Q870" s="139" t="s">
        <v>44</v>
      </c>
      <c r="R870" s="223"/>
      <c r="S870" s="110"/>
      <c r="T870" s="110"/>
    </row>
    <row r="871" ht="31.5" hidden="1" customHeight="1">
      <c r="A871" s="193">
        <v>870.0</v>
      </c>
      <c r="B871" s="222">
        <v>46233.0</v>
      </c>
      <c r="C871" s="39" t="s">
        <v>21</v>
      </c>
      <c r="D871" s="26" t="s">
        <v>22</v>
      </c>
      <c r="E871" s="30" t="s">
        <v>7205</v>
      </c>
      <c r="F871" s="147">
        <v>5.35841815E8</v>
      </c>
      <c r="G871" s="30" t="s">
        <v>7206</v>
      </c>
      <c r="H871" s="39" t="s">
        <v>27</v>
      </c>
      <c r="I871" s="117" t="s">
        <v>7208</v>
      </c>
      <c r="J871" s="223"/>
      <c r="K871" s="193" t="s">
        <v>62</v>
      </c>
      <c r="L871" s="224"/>
      <c r="M871" s="225"/>
      <c r="N871" s="223"/>
      <c r="O871" s="223"/>
      <c r="P871" s="223"/>
      <c r="Q871" s="139" t="s">
        <v>44</v>
      </c>
      <c r="R871" s="223"/>
      <c r="S871" s="110"/>
      <c r="T871" s="110"/>
    </row>
    <row r="872" ht="31.5" hidden="1" customHeight="1">
      <c r="A872" s="193">
        <v>871.0</v>
      </c>
      <c r="B872" s="222">
        <v>46233.0</v>
      </c>
      <c r="C872" s="39" t="s">
        <v>58</v>
      </c>
      <c r="D872" s="26" t="s">
        <v>60</v>
      </c>
      <c r="E872" s="30" t="s">
        <v>7211</v>
      </c>
      <c r="F872" s="147">
        <v>5.03388709E8</v>
      </c>
      <c r="G872" s="30" t="s">
        <v>112</v>
      </c>
      <c r="H872" s="39" t="s">
        <v>27</v>
      </c>
      <c r="I872" s="117" t="s">
        <v>7212</v>
      </c>
      <c r="J872" s="223"/>
      <c r="K872" s="193" t="s">
        <v>62</v>
      </c>
      <c r="L872" s="224"/>
      <c r="M872" s="225"/>
      <c r="N872" s="223"/>
      <c r="O872" s="223"/>
      <c r="P872" s="223"/>
      <c r="Q872" s="139" t="s">
        <v>44</v>
      </c>
      <c r="R872" s="223"/>
      <c r="S872" s="110"/>
      <c r="T872" s="110"/>
    </row>
    <row r="873" ht="31.5" hidden="1" customHeight="1">
      <c r="A873" s="193">
        <v>872.0</v>
      </c>
      <c r="B873" s="222">
        <v>46233.0</v>
      </c>
      <c r="C873" s="39" t="s">
        <v>21</v>
      </c>
      <c r="D873" s="26" t="s">
        <v>22</v>
      </c>
      <c r="E873" s="30" t="s">
        <v>7215</v>
      </c>
      <c r="F873" s="147">
        <v>5.9270663E8</v>
      </c>
      <c r="G873" s="39" t="s">
        <v>27</v>
      </c>
      <c r="H873" s="39" t="s">
        <v>27</v>
      </c>
      <c r="I873" s="117" t="s">
        <v>7216</v>
      </c>
      <c r="J873" s="223"/>
      <c r="K873" s="193" t="s">
        <v>62</v>
      </c>
      <c r="L873" s="224"/>
      <c r="M873" s="225"/>
      <c r="N873" s="223"/>
      <c r="O873" s="223"/>
      <c r="P873" s="223"/>
      <c r="Q873" s="139" t="s">
        <v>44</v>
      </c>
      <c r="R873" s="223"/>
      <c r="S873" s="110"/>
      <c r="T873" s="110"/>
    </row>
    <row r="874" ht="31.5" hidden="1" customHeight="1">
      <c r="A874" s="193">
        <v>873.0</v>
      </c>
      <c r="B874" s="222">
        <v>46233.0</v>
      </c>
      <c r="C874" s="39" t="s">
        <v>58</v>
      </c>
      <c r="D874" s="26" t="s">
        <v>60</v>
      </c>
      <c r="E874" s="39" t="s">
        <v>27</v>
      </c>
      <c r="F874" s="147">
        <v>5.38222153E8</v>
      </c>
      <c r="G874" s="39" t="s">
        <v>27</v>
      </c>
      <c r="H874" s="39" t="s">
        <v>27</v>
      </c>
      <c r="I874" s="117" t="s">
        <v>6477</v>
      </c>
      <c r="J874" s="223"/>
      <c r="K874" s="193" t="s">
        <v>62</v>
      </c>
      <c r="L874" s="224"/>
      <c r="M874" s="225"/>
      <c r="N874" s="223"/>
      <c r="O874" s="223"/>
      <c r="P874" s="223"/>
      <c r="Q874" s="139" t="s">
        <v>44</v>
      </c>
      <c r="R874" s="223"/>
      <c r="S874" s="110"/>
      <c r="T874" s="110"/>
    </row>
    <row r="875" ht="31.5" hidden="1" customHeight="1">
      <c r="A875" s="193">
        <v>874.0</v>
      </c>
      <c r="B875" s="222">
        <v>46233.0</v>
      </c>
      <c r="C875" s="39" t="s">
        <v>58</v>
      </c>
      <c r="D875" s="26" t="s">
        <v>57</v>
      </c>
      <c r="E875" s="30" t="s">
        <v>297</v>
      </c>
      <c r="F875" s="147">
        <v>5.53916039E8</v>
      </c>
      <c r="G875" s="39" t="s">
        <v>27</v>
      </c>
      <c r="H875" s="39" t="s">
        <v>27</v>
      </c>
      <c r="I875" s="117" t="s">
        <v>7218</v>
      </c>
      <c r="J875" s="223"/>
      <c r="K875" s="193" t="s">
        <v>62</v>
      </c>
      <c r="L875" s="224"/>
      <c r="M875" s="225"/>
      <c r="N875" s="223"/>
      <c r="O875" s="223"/>
      <c r="P875" s="223"/>
      <c r="Q875" s="139" t="s">
        <v>4074</v>
      </c>
      <c r="R875" s="223"/>
      <c r="S875" s="110"/>
      <c r="T875" s="110"/>
    </row>
  </sheetData>
  <autoFilter ref="$A$1:$T$875">
    <filterColumn colId="3">
      <filters>
        <filter val="Operations"/>
      </filters>
    </filterColumn>
    <filterColumn colId="2">
      <filters>
        <filter val="inquiries"/>
        <filter val="suggestion"/>
      </filters>
    </filterColumn>
  </autoFilter>
  <dataValidations>
    <dataValidation type="list" allowBlank="1" showErrorMessage="1" sqref="L2:L847 L850 L862 L869">
      <formula1>"High,Medium,Low,Urgent"</formula1>
    </dataValidation>
    <dataValidation type="list" allowBlank="1" showErrorMessage="1" sqref="R2:R463 R467:R470 R472:R473 R480 R483 R485:R847 R850 R869">
      <formula1>"Uploaded,Non"</formula1>
    </dataValidation>
    <dataValidation type="list" allowBlank="1" showErrorMessage="1" sqref="N2:N847 N850 N869">
      <formula1>" Confirmed, Unconfirmed, Partial, Unable to Verify"</formula1>
    </dataValidation>
    <dataValidation type="list" allowBlank="1" showErrorMessage="1" sqref="O2:O461 O468:O470 O473:O485 O491 O493:O494 O501 O504:O505 O507 O512 O514:O515 O517 O522:O527 O536 O538:O539 O541 O550:O558 O565 O575 O586 O590:O591 O597:O598 O604 O622:O624 O631:O633 O646 O660:O661 O665 O670:O671 O681:O687 O693 O695 O700 O717 O725 O728:O730 O738 O744:O746 O748 O755 O758:O759 O764 O768 O774 O783 O794:O796 O799 O813 O821 O825:O826 O828:O831 O838 O848:O852 O854 O856 O869">
      <formula1>"In process,Closed,Canceled ,Pending"</formula1>
    </dataValidation>
    <dataValidation type="list" allowBlank="1" showErrorMessage="1" sqref="C2:C875">
      <formula1>"Complaint,Requests,inquiries,suggestion"</formula1>
    </dataValidation>
    <dataValidation type="list" allowBlank="1" showErrorMessage="1" sqref="K2:K875">
      <formula1>"Call,Google maps,X,Tiktok,SurveyApp,Email,Website,Instgram,Voicemaill,WhatsApp"</formula1>
    </dataValidation>
    <dataValidation type="list" allowBlank="1" showErrorMessage="1" sqref="P2:P461 P468:P470 P473:P485 P493:P494 P524 P541 P604 P633 P670 P693 P717 P725 P745 P748 P783 P799 P831 P838 P850 P869">
      <formula1>"6 Hours,12 Hours,24 Hours "</formula1>
    </dataValidation>
    <dataValidation type="list" allowBlank="1" showErrorMessage="1" sqref="T2:T461 T477:T517 T528:T542 T544:T580">
      <formula1>"0,1,2,3,4,5"</formula1>
    </dataValidation>
    <dataValidation type="list" allowBlank="1" showErrorMessage="1" sqref="D2:D875">
      <formula1>"Customer S,Operations ,Investment,Real Estate,Franchise ,Marketing ,Maintenance,Environment,Project M,HR,Procurement,Finance,IT"</formula1>
    </dataValidation>
    <dataValidation type="list" allowBlank="1" showErrorMessage="1" sqref="S2:S461 T462:T468 S469:T470 T471:T472 S473:T476 Q2:Q483 S477:S483 Q484:S484 Q485:Q817 Q831:Q838 S485:S847 S850 S869 Q848:Q875">
      <formula1>"Samia,Amani,Shrouq"</formula1>
    </dataValidation>
    <dataValidation type="list" allowBlank="1" showErrorMessage="1" sqref="R863:R868 R870:R875">
      <formula1>"خلال 24 ساعة عمل ,خلال 2-5 ايام عمل ,خلال 7 ايام عمل "</formula1>
    </dataValidation>
  </dataValidations>
  <hyperlinks>
    <hyperlink r:id="rId1" ref="I26"/>
    <hyperlink r:id="rId2" ref="I34"/>
    <hyperlink r:id="rId3" ref="I168"/>
    <hyperlink r:id="rId4" ref="I207"/>
    <hyperlink r:id="rId5" ref="I310"/>
    <hyperlink r:id="rId6" ref="I352"/>
    <hyperlink r:id="rId7" ref="I541"/>
    <hyperlink r:id="rId8" ref="I647"/>
    <hyperlink r:id="rId9" ref="I696"/>
    <hyperlink r:id="rId10" ref="I744"/>
    <hyperlink r:id="rId11" ref="I777"/>
    <hyperlink r:id="rId12" ref="I831"/>
  </hyperlinks>
  <drawing r:id="rId1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3.13"/>
    <col customWidth="1" min="2" max="2" width="9.25"/>
    <col customWidth="1" min="3" max="3" width="13.25"/>
    <col customWidth="1" min="4" max="4" width="14.25"/>
    <col customWidth="1" min="5" max="5" width="10.25"/>
    <col customWidth="1" min="6" max="6" width="11.88"/>
    <col customWidth="1" min="7" max="7" width="6.5"/>
    <col customWidth="1" min="8" max="8" width="8.75"/>
    <col customWidth="1" min="9" max="9" width="43.25"/>
    <col customWidth="1" min="10" max="10" width="38.0"/>
    <col customWidth="1" min="11" max="11" width="14.63"/>
    <col customWidth="1" min="12" max="12" width="1.0"/>
    <col customWidth="1" min="13" max="13" width="11.75"/>
    <col customWidth="1" min="14" max="14" width="1.88"/>
    <col customWidth="1" min="15" max="16" width="0.38"/>
    <col customWidth="1" min="17" max="18" width="14.75"/>
    <col customWidth="1" min="19" max="19" width="5.13"/>
    <col customWidth="1" min="20" max="20" width="2.38"/>
    <col customWidth="1" min="22" max="22" width="10.38"/>
  </cols>
  <sheetData>
    <row r="1" ht="30.75" customHeight="1">
      <c r="A1" s="186" t="s">
        <v>3750</v>
      </c>
      <c r="B1" s="186" t="s">
        <v>0</v>
      </c>
      <c r="C1" s="187" t="s">
        <v>1</v>
      </c>
      <c r="D1" s="186" t="s">
        <v>2</v>
      </c>
      <c r="E1" s="187" t="s">
        <v>4</v>
      </c>
      <c r="F1" s="186" t="s">
        <v>3751</v>
      </c>
      <c r="G1" s="186" t="s">
        <v>6</v>
      </c>
      <c r="H1" s="186" t="s">
        <v>7</v>
      </c>
      <c r="I1" s="187" t="s">
        <v>8</v>
      </c>
      <c r="J1" s="186" t="s">
        <v>9</v>
      </c>
      <c r="K1" s="187" t="s">
        <v>10</v>
      </c>
      <c r="L1" s="221" t="s">
        <v>11</v>
      </c>
      <c r="M1" s="189" t="s">
        <v>12</v>
      </c>
      <c r="N1" s="190" t="s">
        <v>13</v>
      </c>
      <c r="O1" s="189" t="s">
        <v>14</v>
      </c>
      <c r="P1" s="189" t="s">
        <v>15</v>
      </c>
      <c r="Q1" s="186" t="s">
        <v>4065</v>
      </c>
      <c r="R1" s="186" t="s">
        <v>17</v>
      </c>
      <c r="S1" s="186" t="s">
        <v>15</v>
      </c>
      <c r="T1" s="221" t="s">
        <v>18</v>
      </c>
      <c r="U1" s="191" t="s">
        <v>19</v>
      </c>
      <c r="V1" s="187" t="s">
        <v>20</v>
      </c>
    </row>
    <row r="2" ht="66.0" customHeight="1">
      <c r="A2" s="193">
        <v>1.0</v>
      </c>
      <c r="B2" s="222">
        <v>46236.0</v>
      </c>
      <c r="C2" s="39" t="s">
        <v>47</v>
      </c>
      <c r="D2" s="26" t="s">
        <v>92</v>
      </c>
      <c r="E2" s="39" t="s">
        <v>27</v>
      </c>
      <c r="F2" s="137" t="s">
        <v>27</v>
      </c>
      <c r="G2" s="98" t="s">
        <v>1452</v>
      </c>
      <c r="H2" s="33" t="s">
        <v>4069</v>
      </c>
      <c r="I2" s="117" t="s">
        <v>4072</v>
      </c>
      <c r="J2" s="223"/>
      <c r="K2" s="193" t="s">
        <v>78</v>
      </c>
      <c r="L2" s="224"/>
      <c r="M2" s="225" t="s">
        <v>4073</v>
      </c>
      <c r="N2" s="223"/>
      <c r="O2" s="223"/>
      <c r="P2" s="223"/>
      <c r="Q2" s="139" t="s">
        <v>4074</v>
      </c>
      <c r="R2" s="223"/>
      <c r="S2" s="223"/>
      <c r="T2" s="224"/>
      <c r="U2" s="223"/>
      <c r="V2" s="110"/>
    </row>
    <row r="3" ht="18.75" customHeight="1">
      <c r="A3" s="193">
        <v>2.0</v>
      </c>
      <c r="B3" s="222">
        <v>46236.0</v>
      </c>
      <c r="C3" s="39" t="s">
        <v>58</v>
      </c>
      <c r="D3" s="26" t="s">
        <v>60</v>
      </c>
      <c r="E3" s="39" t="s">
        <v>27</v>
      </c>
      <c r="F3" s="137">
        <v>5.56599731E8</v>
      </c>
      <c r="G3" s="33" t="s">
        <v>27</v>
      </c>
      <c r="H3" s="33" t="s">
        <v>27</v>
      </c>
      <c r="I3" s="117" t="s">
        <v>4078</v>
      </c>
      <c r="J3" s="223"/>
      <c r="K3" s="193" t="s">
        <v>36</v>
      </c>
      <c r="L3" s="224"/>
      <c r="M3" s="223"/>
      <c r="N3" s="223"/>
      <c r="O3" s="223"/>
      <c r="P3" s="223"/>
      <c r="Q3" s="139" t="s">
        <v>4074</v>
      </c>
      <c r="R3" s="223"/>
      <c r="S3" s="223"/>
      <c r="T3" s="224"/>
      <c r="U3" s="223"/>
      <c r="V3" s="110"/>
    </row>
    <row r="4" ht="147.0" customHeight="1">
      <c r="A4" s="193">
        <v>3.0</v>
      </c>
      <c r="B4" s="222">
        <v>46236.0</v>
      </c>
      <c r="C4" s="39" t="s">
        <v>47</v>
      </c>
      <c r="D4" s="26" t="s">
        <v>48</v>
      </c>
      <c r="E4" s="39" t="s">
        <v>4081</v>
      </c>
      <c r="F4" s="147">
        <v>5.64991382E8</v>
      </c>
      <c r="G4" s="30" t="s">
        <v>333</v>
      </c>
      <c r="H4" s="33" t="s">
        <v>1114</v>
      </c>
      <c r="I4" s="117" t="s">
        <v>4085</v>
      </c>
      <c r="J4" s="223"/>
      <c r="K4" s="193" t="s">
        <v>148</v>
      </c>
      <c r="L4" s="224"/>
      <c r="M4" s="225" t="s">
        <v>1564</v>
      </c>
      <c r="N4" s="223"/>
      <c r="O4" s="223"/>
      <c r="P4" s="223"/>
      <c r="Q4" s="139" t="s">
        <v>44</v>
      </c>
      <c r="R4" s="223"/>
      <c r="S4" s="223"/>
      <c r="T4" s="224"/>
      <c r="U4" s="223"/>
      <c r="V4" s="110"/>
    </row>
    <row r="5" ht="127.5" customHeight="1">
      <c r="A5" s="193">
        <v>4.0</v>
      </c>
      <c r="B5" s="222">
        <v>46236.0</v>
      </c>
      <c r="C5" s="39" t="s">
        <v>47</v>
      </c>
      <c r="D5" s="26" t="s">
        <v>92</v>
      </c>
      <c r="E5" s="111" t="s">
        <v>4090</v>
      </c>
      <c r="F5" s="226">
        <v>5.63500615E8</v>
      </c>
      <c r="G5" s="111" t="s">
        <v>4091</v>
      </c>
      <c r="H5" s="33" t="s">
        <v>4092</v>
      </c>
      <c r="I5" s="117" t="s">
        <v>4093</v>
      </c>
      <c r="J5" s="227"/>
      <c r="K5" s="193" t="s">
        <v>36</v>
      </c>
      <c r="L5" s="224"/>
      <c r="M5" s="225"/>
      <c r="N5" s="223"/>
      <c r="O5" s="223"/>
      <c r="P5" s="223"/>
      <c r="Q5" s="139" t="s">
        <v>44</v>
      </c>
      <c r="R5" s="223"/>
      <c r="S5" s="223"/>
      <c r="T5" s="224"/>
      <c r="U5" s="223"/>
      <c r="V5" s="110"/>
    </row>
    <row r="6" ht="50.25" customHeight="1">
      <c r="A6" s="193">
        <v>5.0</v>
      </c>
      <c r="B6" s="222">
        <v>46236.0</v>
      </c>
      <c r="C6" s="39" t="s">
        <v>47</v>
      </c>
      <c r="D6" s="26" t="s">
        <v>48</v>
      </c>
      <c r="E6" s="30" t="s">
        <v>463</v>
      </c>
      <c r="F6" s="137">
        <v>5.490202E8</v>
      </c>
      <c r="G6" s="98" t="s">
        <v>2055</v>
      </c>
      <c r="H6" s="33" t="s">
        <v>4098</v>
      </c>
      <c r="I6" s="117" t="s">
        <v>4099</v>
      </c>
      <c r="J6" s="223"/>
      <c r="K6" s="193" t="s">
        <v>36</v>
      </c>
      <c r="L6" s="224"/>
      <c r="M6" s="225"/>
      <c r="N6" s="223"/>
      <c r="O6" s="223"/>
      <c r="P6" s="223"/>
      <c r="Q6" s="139" t="s">
        <v>4074</v>
      </c>
      <c r="R6" s="223"/>
      <c r="S6" s="223"/>
      <c r="T6" s="224"/>
      <c r="U6" s="223"/>
      <c r="V6" s="110"/>
    </row>
    <row r="7" ht="18.75" customHeight="1">
      <c r="A7" s="193">
        <v>6.0</v>
      </c>
      <c r="B7" s="222">
        <v>46236.0</v>
      </c>
      <c r="C7" s="39" t="s">
        <v>58</v>
      </c>
      <c r="D7" s="26" t="s">
        <v>60</v>
      </c>
      <c r="E7" s="39"/>
      <c r="F7" s="147">
        <v>5.04869698E8</v>
      </c>
      <c r="G7" s="30"/>
      <c r="H7" s="39"/>
      <c r="I7" s="117" t="s">
        <v>124</v>
      </c>
      <c r="J7" s="223"/>
      <c r="K7" s="193" t="s">
        <v>65</v>
      </c>
      <c r="L7" s="224"/>
      <c r="M7" s="225"/>
      <c r="N7" s="223"/>
      <c r="O7" s="223"/>
      <c r="P7" s="223"/>
      <c r="Q7" s="139" t="s">
        <v>4074</v>
      </c>
      <c r="R7" s="223"/>
      <c r="S7" s="223"/>
      <c r="T7" s="224"/>
      <c r="U7" s="223"/>
      <c r="V7" s="110"/>
    </row>
    <row r="8" ht="18.75" customHeight="1">
      <c r="A8" s="193">
        <v>7.0</v>
      </c>
      <c r="B8" s="222">
        <v>46236.0</v>
      </c>
      <c r="C8" s="39" t="s">
        <v>21</v>
      </c>
      <c r="D8" s="26" t="s">
        <v>22</v>
      </c>
      <c r="E8" s="39"/>
      <c r="F8" s="147">
        <v>5.0921951E8</v>
      </c>
      <c r="G8" s="30" t="s">
        <v>908</v>
      </c>
      <c r="H8" s="39" t="s">
        <v>27</v>
      </c>
      <c r="I8" s="117" t="s">
        <v>4109</v>
      </c>
      <c r="J8" s="223"/>
      <c r="K8" s="193" t="s">
        <v>36</v>
      </c>
      <c r="L8" s="224"/>
      <c r="M8" s="225"/>
      <c r="N8" s="223"/>
      <c r="O8" s="223"/>
      <c r="P8" s="223"/>
      <c r="Q8" s="139" t="s">
        <v>4074</v>
      </c>
      <c r="R8" s="223"/>
      <c r="S8" s="223"/>
      <c r="T8" s="224"/>
      <c r="U8" s="223"/>
      <c r="V8" s="110"/>
    </row>
    <row r="9" ht="18.75" customHeight="1">
      <c r="A9" s="193">
        <v>8.0</v>
      </c>
      <c r="B9" s="222">
        <v>46236.0</v>
      </c>
      <c r="C9" s="39" t="s">
        <v>58</v>
      </c>
      <c r="D9" s="26" t="s">
        <v>60</v>
      </c>
      <c r="E9" s="39"/>
      <c r="F9" s="147">
        <v>5.48788663E8</v>
      </c>
      <c r="G9" s="30"/>
      <c r="H9" s="39"/>
      <c r="I9" s="117" t="s">
        <v>4116</v>
      </c>
      <c r="J9" s="223"/>
      <c r="K9" s="193" t="s">
        <v>36</v>
      </c>
      <c r="L9" s="224"/>
      <c r="M9" s="225"/>
      <c r="N9" s="223"/>
      <c r="O9" s="223"/>
      <c r="P9" s="223"/>
      <c r="Q9" s="139" t="s">
        <v>4074</v>
      </c>
      <c r="R9" s="223"/>
      <c r="S9" s="223"/>
      <c r="T9" s="224"/>
      <c r="U9" s="223"/>
      <c r="V9" s="110"/>
    </row>
    <row r="10" ht="18.75" customHeight="1">
      <c r="A10" s="193">
        <v>9.0</v>
      </c>
      <c r="B10" s="222">
        <v>46236.0</v>
      </c>
      <c r="C10" s="39" t="s">
        <v>58</v>
      </c>
      <c r="D10" s="26" t="s">
        <v>60</v>
      </c>
      <c r="E10" s="39"/>
      <c r="F10" s="147">
        <v>5.02290063E8</v>
      </c>
      <c r="G10" s="30"/>
      <c r="H10" s="39"/>
      <c r="I10" s="117" t="s">
        <v>618</v>
      </c>
      <c r="J10" s="223"/>
      <c r="K10" s="193" t="s">
        <v>36</v>
      </c>
      <c r="L10" s="224"/>
      <c r="M10" s="225"/>
      <c r="N10" s="223"/>
      <c r="O10" s="223"/>
      <c r="P10" s="223"/>
      <c r="Q10" s="139" t="s">
        <v>4074</v>
      </c>
      <c r="R10" s="223"/>
      <c r="S10" s="223"/>
      <c r="T10" s="224"/>
      <c r="U10" s="223"/>
      <c r="V10" s="110"/>
    </row>
    <row r="11" ht="18.75" customHeight="1">
      <c r="A11" s="193">
        <v>10.0</v>
      </c>
      <c r="B11" s="222">
        <v>46236.0</v>
      </c>
      <c r="C11" s="39" t="s">
        <v>58</v>
      </c>
      <c r="D11" s="26" t="s">
        <v>57</v>
      </c>
      <c r="E11" s="39"/>
      <c r="F11" s="147">
        <v>5.3288994E8</v>
      </c>
      <c r="G11" s="30"/>
      <c r="H11" s="39"/>
      <c r="I11" s="117" t="s">
        <v>4130</v>
      </c>
      <c r="J11" s="223"/>
      <c r="K11" s="193" t="s">
        <v>36</v>
      </c>
      <c r="L11" s="224"/>
      <c r="M11" s="225"/>
      <c r="N11" s="223"/>
      <c r="O11" s="223"/>
      <c r="P11" s="223"/>
      <c r="Q11" s="139" t="s">
        <v>4074</v>
      </c>
      <c r="R11" s="223"/>
      <c r="S11" s="223"/>
      <c r="T11" s="224"/>
      <c r="U11" s="223"/>
      <c r="V11" s="110"/>
    </row>
    <row r="12" ht="18.75" customHeight="1">
      <c r="A12" s="193">
        <v>11.0</v>
      </c>
      <c r="B12" s="222">
        <v>46236.0</v>
      </c>
      <c r="C12" s="39" t="s">
        <v>58</v>
      </c>
      <c r="D12" s="26" t="s">
        <v>60</v>
      </c>
      <c r="E12" s="39"/>
      <c r="F12" s="147">
        <v>5.03923829E8</v>
      </c>
      <c r="G12" s="30"/>
      <c r="H12" s="39"/>
      <c r="I12" s="117" t="s">
        <v>618</v>
      </c>
      <c r="J12" s="223"/>
      <c r="K12" s="193" t="s">
        <v>65</v>
      </c>
      <c r="L12" s="224"/>
      <c r="M12" s="225"/>
      <c r="N12" s="223"/>
      <c r="O12" s="223"/>
      <c r="P12" s="223"/>
      <c r="Q12" s="139" t="s">
        <v>4074</v>
      </c>
      <c r="R12" s="223"/>
      <c r="S12" s="223"/>
      <c r="T12" s="224"/>
      <c r="U12" s="223"/>
      <c r="V12" s="110"/>
    </row>
    <row r="13" ht="18.75" customHeight="1">
      <c r="A13" s="193">
        <v>12.0</v>
      </c>
      <c r="B13" s="222">
        <v>46236.0</v>
      </c>
      <c r="C13" s="39" t="s">
        <v>58</v>
      </c>
      <c r="D13" s="26" t="s">
        <v>60</v>
      </c>
      <c r="E13" s="39"/>
      <c r="F13" s="137">
        <v>5.67863763E8</v>
      </c>
      <c r="G13" s="30"/>
      <c r="H13" s="39"/>
      <c r="I13" s="117" t="s">
        <v>124</v>
      </c>
      <c r="J13" s="223"/>
      <c r="K13" s="193" t="s">
        <v>65</v>
      </c>
      <c r="L13" s="224"/>
      <c r="M13" s="225"/>
      <c r="N13" s="223"/>
      <c r="O13" s="223"/>
      <c r="P13" s="223"/>
      <c r="Q13" s="139" t="s">
        <v>4074</v>
      </c>
      <c r="R13" s="223"/>
      <c r="S13" s="223"/>
      <c r="T13" s="224"/>
      <c r="U13" s="223"/>
      <c r="V13" s="110"/>
    </row>
    <row r="14" ht="18.75" customHeight="1">
      <c r="A14" s="193">
        <v>13.0</v>
      </c>
      <c r="B14" s="222">
        <v>46236.0</v>
      </c>
      <c r="C14" s="39" t="s">
        <v>58</v>
      </c>
      <c r="D14" s="26" t="s">
        <v>60</v>
      </c>
      <c r="E14" s="39"/>
      <c r="F14" s="137">
        <v>5.66781483E8</v>
      </c>
      <c r="G14" s="30"/>
      <c r="H14" s="39"/>
      <c r="I14" s="117" t="s">
        <v>4147</v>
      </c>
      <c r="J14" s="223"/>
      <c r="K14" s="193" t="s">
        <v>36</v>
      </c>
      <c r="L14" s="224"/>
      <c r="M14" s="225"/>
      <c r="N14" s="223"/>
      <c r="O14" s="223"/>
      <c r="P14" s="223"/>
      <c r="Q14" s="139" t="s">
        <v>4074</v>
      </c>
      <c r="R14" s="223"/>
      <c r="S14" s="223"/>
      <c r="T14" s="224"/>
      <c r="U14" s="223"/>
      <c r="V14" s="110"/>
    </row>
    <row r="15" ht="18.75" customHeight="1">
      <c r="A15" s="193">
        <v>14.0</v>
      </c>
      <c r="B15" s="222">
        <v>46236.0</v>
      </c>
      <c r="C15" s="39" t="s">
        <v>58</v>
      </c>
      <c r="D15" s="26" t="s">
        <v>60</v>
      </c>
      <c r="E15" s="39"/>
      <c r="F15" s="137">
        <v>5.55599172E8</v>
      </c>
      <c r="G15" s="30"/>
      <c r="H15" s="39"/>
      <c r="I15" s="117" t="s">
        <v>2300</v>
      </c>
      <c r="J15" s="223"/>
      <c r="K15" s="193" t="s">
        <v>36</v>
      </c>
      <c r="L15" s="224"/>
      <c r="M15" s="225"/>
      <c r="N15" s="223"/>
      <c r="O15" s="223"/>
      <c r="P15" s="223"/>
      <c r="Q15" s="139" t="s">
        <v>4074</v>
      </c>
      <c r="R15" s="223"/>
      <c r="S15" s="223"/>
      <c r="T15" s="224"/>
      <c r="U15" s="223"/>
      <c r="V15" s="110"/>
    </row>
    <row r="16" ht="18.75" customHeight="1">
      <c r="A16" s="193">
        <v>17.0</v>
      </c>
      <c r="B16" s="222">
        <v>46236.0</v>
      </c>
      <c r="C16" s="39" t="s">
        <v>21</v>
      </c>
      <c r="D16" s="26" t="s">
        <v>24</v>
      </c>
      <c r="E16" s="30" t="s">
        <v>276</v>
      </c>
      <c r="F16" s="147">
        <v>5.92503755E8</v>
      </c>
      <c r="G16" s="39" t="s">
        <v>27</v>
      </c>
      <c r="H16" s="39" t="s">
        <v>27</v>
      </c>
      <c r="I16" s="117" t="s">
        <v>4157</v>
      </c>
      <c r="J16" s="223"/>
      <c r="K16" s="193" t="s">
        <v>36</v>
      </c>
      <c r="L16" s="224"/>
      <c r="M16" s="225"/>
      <c r="N16" s="223"/>
      <c r="O16" s="223"/>
      <c r="P16" s="223"/>
      <c r="Q16" s="139" t="s">
        <v>4074</v>
      </c>
      <c r="R16" s="223"/>
      <c r="S16" s="223"/>
      <c r="T16" s="224"/>
      <c r="U16" s="223"/>
      <c r="V16" s="110"/>
    </row>
    <row r="17" ht="18.75" customHeight="1">
      <c r="A17" s="193">
        <v>19.0</v>
      </c>
      <c r="B17" s="222">
        <v>46236.0</v>
      </c>
      <c r="C17" s="39" t="s">
        <v>58</v>
      </c>
      <c r="D17" s="26" t="s">
        <v>60</v>
      </c>
      <c r="E17" s="39"/>
      <c r="F17" s="147">
        <v>5.02620221E8</v>
      </c>
      <c r="G17" s="30"/>
      <c r="H17" s="39"/>
      <c r="I17" s="117" t="s">
        <v>4159</v>
      </c>
      <c r="J17" s="223"/>
      <c r="K17" s="193" t="s">
        <v>65</v>
      </c>
      <c r="L17" s="224"/>
      <c r="M17" s="225"/>
      <c r="N17" s="223"/>
      <c r="O17" s="223"/>
      <c r="P17" s="223"/>
      <c r="Q17" s="139" t="s">
        <v>4074</v>
      </c>
      <c r="R17" s="223"/>
      <c r="S17" s="223"/>
      <c r="T17" s="224"/>
      <c r="U17" s="223"/>
      <c r="V17" s="110"/>
    </row>
    <row r="18" ht="18.75" customHeight="1">
      <c r="A18" s="193">
        <v>20.0</v>
      </c>
      <c r="B18" s="222">
        <v>46236.0</v>
      </c>
      <c r="C18" s="39" t="s">
        <v>58</v>
      </c>
      <c r="D18" s="26" t="s">
        <v>60</v>
      </c>
      <c r="E18" s="39"/>
      <c r="F18" s="147">
        <v>5.33557386E8</v>
      </c>
      <c r="G18" s="30"/>
      <c r="H18" s="39"/>
      <c r="I18" s="117" t="s">
        <v>554</v>
      </c>
      <c r="J18" s="223"/>
      <c r="K18" s="193" t="s">
        <v>36</v>
      </c>
      <c r="L18" s="224"/>
      <c r="M18" s="225"/>
      <c r="N18" s="223"/>
      <c r="O18" s="223"/>
      <c r="P18" s="223"/>
      <c r="Q18" s="139" t="s">
        <v>4074</v>
      </c>
      <c r="R18" s="223"/>
      <c r="S18" s="223"/>
      <c r="T18" s="224"/>
      <c r="U18" s="223"/>
      <c r="V18" s="110"/>
    </row>
    <row r="19" ht="18.75" customHeight="1">
      <c r="A19" s="193">
        <v>21.0</v>
      </c>
      <c r="B19" s="222">
        <v>46236.0</v>
      </c>
      <c r="C19" s="39" t="s">
        <v>21</v>
      </c>
      <c r="D19" s="26" t="s">
        <v>24</v>
      </c>
      <c r="E19" s="30" t="s">
        <v>108</v>
      </c>
      <c r="F19" s="147">
        <v>5.09668635E8</v>
      </c>
      <c r="G19" s="39" t="s">
        <v>27</v>
      </c>
      <c r="H19" s="39" t="s">
        <v>27</v>
      </c>
      <c r="I19" s="117" t="s">
        <v>4171</v>
      </c>
      <c r="J19" s="223"/>
      <c r="K19" s="193" t="s">
        <v>36</v>
      </c>
      <c r="L19" s="224"/>
      <c r="M19" s="225"/>
      <c r="N19" s="223"/>
      <c r="O19" s="223"/>
      <c r="P19" s="223"/>
      <c r="Q19" s="139" t="s">
        <v>4074</v>
      </c>
      <c r="R19" s="223"/>
      <c r="S19" s="223"/>
      <c r="T19" s="224"/>
      <c r="U19" s="223"/>
      <c r="V19" s="110"/>
    </row>
    <row r="20" ht="18.75" customHeight="1">
      <c r="A20" s="193">
        <v>22.0</v>
      </c>
      <c r="B20" s="222">
        <v>46236.0</v>
      </c>
      <c r="C20" s="39" t="s">
        <v>58</v>
      </c>
      <c r="D20" s="26" t="s">
        <v>60</v>
      </c>
      <c r="E20" s="39"/>
      <c r="F20" s="147">
        <v>5.30374398E8</v>
      </c>
      <c r="G20" s="30"/>
      <c r="H20" s="39"/>
      <c r="I20" s="117" t="s">
        <v>90</v>
      </c>
      <c r="J20" s="223"/>
      <c r="K20" s="193" t="s">
        <v>65</v>
      </c>
      <c r="L20" s="224"/>
      <c r="M20" s="225"/>
      <c r="N20" s="223"/>
      <c r="O20" s="223"/>
      <c r="P20" s="223"/>
      <c r="Q20" s="139" t="s">
        <v>4074</v>
      </c>
      <c r="R20" s="223"/>
      <c r="S20" s="223"/>
      <c r="T20" s="224"/>
      <c r="U20" s="223"/>
      <c r="V20" s="110"/>
    </row>
    <row r="21" ht="18.75" customHeight="1">
      <c r="A21" s="193">
        <v>23.0</v>
      </c>
      <c r="B21" s="222">
        <v>46236.0</v>
      </c>
      <c r="C21" s="39" t="s">
        <v>58</v>
      </c>
      <c r="D21" s="26" t="s">
        <v>60</v>
      </c>
      <c r="E21" s="39"/>
      <c r="F21" s="147">
        <v>5.00005119E8</v>
      </c>
      <c r="G21" s="30"/>
      <c r="H21" s="39"/>
      <c r="I21" s="117" t="s">
        <v>124</v>
      </c>
      <c r="J21" s="223"/>
      <c r="K21" s="193" t="s">
        <v>65</v>
      </c>
      <c r="L21" s="224"/>
      <c r="M21" s="225"/>
      <c r="N21" s="223"/>
      <c r="O21" s="223"/>
      <c r="P21" s="223"/>
      <c r="Q21" s="139" t="s">
        <v>4074</v>
      </c>
      <c r="R21" s="223"/>
      <c r="S21" s="223"/>
      <c r="T21" s="224"/>
      <c r="U21" s="223"/>
      <c r="V21" s="110"/>
    </row>
    <row r="22" ht="18.75" customHeight="1">
      <c r="A22" s="193">
        <v>24.0</v>
      </c>
      <c r="B22" s="222">
        <v>46236.0</v>
      </c>
      <c r="C22" s="39" t="s">
        <v>58</v>
      </c>
      <c r="D22" s="26" t="s">
        <v>60</v>
      </c>
      <c r="E22" s="39"/>
      <c r="F22" s="147">
        <v>5.37130483E8</v>
      </c>
      <c r="G22" s="30"/>
      <c r="H22" s="39"/>
      <c r="I22" s="117" t="s">
        <v>4198</v>
      </c>
      <c r="J22" s="223"/>
      <c r="K22" s="193" t="s">
        <v>36</v>
      </c>
      <c r="L22" s="224"/>
      <c r="M22" s="225"/>
      <c r="N22" s="223"/>
      <c r="O22" s="223"/>
      <c r="P22" s="223"/>
      <c r="Q22" s="139" t="s">
        <v>4074</v>
      </c>
      <c r="R22" s="223"/>
      <c r="S22" s="223"/>
      <c r="T22" s="224"/>
      <c r="U22" s="223"/>
      <c r="V22" s="110"/>
    </row>
    <row r="23" ht="18.75" customHeight="1">
      <c r="A23" s="193">
        <v>28.0</v>
      </c>
      <c r="B23" s="222">
        <v>46236.0</v>
      </c>
      <c r="C23" s="39" t="s">
        <v>58</v>
      </c>
      <c r="D23" s="26" t="s">
        <v>60</v>
      </c>
      <c r="E23" s="39"/>
      <c r="F23" s="147">
        <v>5.01951226E8</v>
      </c>
      <c r="G23" s="30"/>
      <c r="H23" s="39"/>
      <c r="I23" s="117" t="s">
        <v>1307</v>
      </c>
      <c r="J23" s="223"/>
      <c r="K23" s="193" t="s">
        <v>65</v>
      </c>
      <c r="L23" s="224"/>
      <c r="M23" s="225"/>
      <c r="N23" s="223"/>
      <c r="O23" s="223"/>
      <c r="P23" s="223"/>
      <c r="Q23" s="139" t="s">
        <v>4074</v>
      </c>
      <c r="R23" s="223"/>
      <c r="S23" s="223"/>
      <c r="T23" s="224"/>
      <c r="U23" s="223"/>
      <c r="V23" s="110"/>
    </row>
    <row r="24" ht="55.5" customHeight="1">
      <c r="A24" s="193">
        <v>29.0</v>
      </c>
      <c r="B24" s="222">
        <v>46236.0</v>
      </c>
      <c r="C24" s="39" t="s">
        <v>47</v>
      </c>
      <c r="D24" s="26" t="s">
        <v>92</v>
      </c>
      <c r="E24" s="39"/>
      <c r="F24" s="147" t="s">
        <v>27</v>
      </c>
      <c r="G24" s="30" t="s">
        <v>76</v>
      </c>
      <c r="H24" s="39" t="s">
        <v>4212</v>
      </c>
      <c r="I24" s="117" t="s">
        <v>4213</v>
      </c>
      <c r="J24" s="223"/>
      <c r="K24" s="193" t="s">
        <v>78</v>
      </c>
      <c r="L24" s="224"/>
      <c r="M24" s="225"/>
      <c r="N24" s="223"/>
      <c r="O24" s="223"/>
      <c r="P24" s="223"/>
      <c r="Q24" s="139" t="s">
        <v>4074</v>
      </c>
      <c r="R24" s="223"/>
      <c r="S24" s="223"/>
      <c r="T24" s="224"/>
      <c r="U24" s="223"/>
      <c r="V24" s="110"/>
    </row>
    <row r="25" ht="18.75" customHeight="1">
      <c r="A25" s="193">
        <v>30.0</v>
      </c>
      <c r="B25" s="222">
        <v>46236.0</v>
      </c>
      <c r="C25" s="39" t="s">
        <v>21</v>
      </c>
      <c r="D25" s="26" t="s">
        <v>22</v>
      </c>
      <c r="E25" s="30" t="s">
        <v>4220</v>
      </c>
      <c r="F25" s="147">
        <v>5.63444667E8</v>
      </c>
      <c r="G25" s="30" t="s">
        <v>79</v>
      </c>
      <c r="H25" s="39" t="s">
        <v>27</v>
      </c>
      <c r="I25" s="117" t="s">
        <v>4223</v>
      </c>
      <c r="J25" s="223"/>
      <c r="K25" s="193" t="s">
        <v>36</v>
      </c>
      <c r="L25" s="224"/>
      <c r="M25" s="225"/>
      <c r="N25" s="223"/>
      <c r="O25" s="223"/>
      <c r="P25" s="223"/>
      <c r="Q25" s="139" t="s">
        <v>44</v>
      </c>
      <c r="R25" s="223"/>
      <c r="S25" s="223"/>
      <c r="T25" s="224"/>
      <c r="U25" s="223"/>
      <c r="V25" s="110"/>
    </row>
    <row r="26" ht="36.75" customHeight="1">
      <c r="A26" s="193">
        <v>31.0</v>
      </c>
      <c r="B26" s="222">
        <v>46236.0</v>
      </c>
      <c r="C26" s="39" t="s">
        <v>47</v>
      </c>
      <c r="D26" s="26" t="s">
        <v>48</v>
      </c>
      <c r="E26" s="30" t="s">
        <v>4228</v>
      </c>
      <c r="F26" s="147" t="s">
        <v>27</v>
      </c>
      <c r="G26" s="39" t="s">
        <v>27</v>
      </c>
      <c r="H26" s="39" t="s">
        <v>4231</v>
      </c>
      <c r="I26" s="117" t="s">
        <v>4233</v>
      </c>
      <c r="J26" s="223"/>
      <c r="K26" s="193" t="s">
        <v>78</v>
      </c>
      <c r="L26" s="224"/>
      <c r="M26" s="225"/>
      <c r="N26" s="223"/>
      <c r="O26" s="223"/>
      <c r="P26" s="223"/>
      <c r="Q26" s="139" t="s">
        <v>4074</v>
      </c>
      <c r="R26" s="223"/>
      <c r="S26" s="223"/>
      <c r="T26" s="224"/>
      <c r="U26" s="223"/>
      <c r="V26" s="110"/>
    </row>
    <row r="27" ht="20.25" customHeight="1">
      <c r="A27" s="193">
        <v>32.0</v>
      </c>
      <c r="B27" s="222">
        <v>46236.0</v>
      </c>
      <c r="C27" s="39" t="s">
        <v>21</v>
      </c>
      <c r="D27" s="26" t="s">
        <v>24</v>
      </c>
      <c r="E27" s="30" t="s">
        <v>437</v>
      </c>
      <c r="F27" s="147">
        <v>5.37960008E8</v>
      </c>
      <c r="G27" s="39" t="s">
        <v>27</v>
      </c>
      <c r="H27" s="39" t="s">
        <v>27</v>
      </c>
      <c r="I27" s="117" t="s">
        <v>4241</v>
      </c>
      <c r="J27" s="223"/>
      <c r="K27" s="193" t="s">
        <v>36</v>
      </c>
      <c r="L27" s="224"/>
      <c r="M27" s="225"/>
      <c r="N27" s="223"/>
      <c r="O27" s="223"/>
      <c r="P27" s="223"/>
      <c r="Q27" s="139" t="s">
        <v>4074</v>
      </c>
      <c r="R27" s="223"/>
      <c r="S27" s="223"/>
      <c r="T27" s="224"/>
      <c r="U27" s="223"/>
      <c r="V27" s="110"/>
    </row>
    <row r="28" ht="26.25" customHeight="1">
      <c r="A28" s="193">
        <v>33.0</v>
      </c>
      <c r="B28" s="222">
        <v>46236.0</v>
      </c>
      <c r="C28" s="39" t="s">
        <v>47</v>
      </c>
      <c r="D28" s="26" t="s">
        <v>48</v>
      </c>
      <c r="E28" s="30" t="s">
        <v>424</v>
      </c>
      <c r="F28" s="147" t="s">
        <v>27</v>
      </c>
      <c r="G28" s="30" t="s">
        <v>4243</v>
      </c>
      <c r="H28" s="39" t="s">
        <v>4244</v>
      </c>
      <c r="I28" s="117" t="s">
        <v>4246</v>
      </c>
      <c r="J28" s="223"/>
      <c r="K28" s="193" t="s">
        <v>78</v>
      </c>
      <c r="L28" s="224"/>
      <c r="M28" s="225"/>
      <c r="N28" s="223"/>
      <c r="O28" s="223"/>
      <c r="P28" s="223"/>
      <c r="Q28" s="139" t="s">
        <v>4074</v>
      </c>
      <c r="R28" s="223"/>
      <c r="S28" s="223"/>
      <c r="T28" s="224"/>
      <c r="U28" s="223"/>
      <c r="V28" s="110"/>
    </row>
    <row r="29" ht="72.75" customHeight="1">
      <c r="A29" s="193">
        <v>34.0</v>
      </c>
      <c r="B29" s="222">
        <v>46236.0</v>
      </c>
      <c r="C29" s="39" t="s">
        <v>47</v>
      </c>
      <c r="D29" s="26" t="s">
        <v>92</v>
      </c>
      <c r="E29" s="30" t="s">
        <v>4252</v>
      </c>
      <c r="F29" s="147" t="s">
        <v>27</v>
      </c>
      <c r="G29" s="30" t="s">
        <v>2055</v>
      </c>
      <c r="H29" s="39" t="s">
        <v>4098</v>
      </c>
      <c r="I29" s="117" t="s">
        <v>4255</v>
      </c>
      <c r="J29" s="223"/>
      <c r="K29" s="193" t="s">
        <v>78</v>
      </c>
      <c r="L29" s="224"/>
      <c r="M29" s="225"/>
      <c r="N29" s="223"/>
      <c r="O29" s="223"/>
      <c r="P29" s="223"/>
      <c r="Q29" s="139" t="s">
        <v>4074</v>
      </c>
      <c r="R29" s="223"/>
      <c r="S29" s="223"/>
      <c r="T29" s="224"/>
      <c r="U29" s="223"/>
      <c r="V29" s="110"/>
    </row>
    <row r="30" ht="54.75" customHeight="1">
      <c r="A30" s="193">
        <v>35.0</v>
      </c>
      <c r="B30" s="222">
        <v>46236.0</v>
      </c>
      <c r="C30" s="39" t="s">
        <v>47</v>
      </c>
      <c r="D30" s="26" t="s">
        <v>92</v>
      </c>
      <c r="E30" s="30" t="s">
        <v>405</v>
      </c>
      <c r="F30" s="147"/>
      <c r="G30" s="30" t="s">
        <v>2055</v>
      </c>
      <c r="H30" s="39" t="s">
        <v>4092</v>
      </c>
      <c r="I30" s="117" t="s">
        <v>4263</v>
      </c>
      <c r="J30" s="223"/>
      <c r="K30" s="193" t="s">
        <v>78</v>
      </c>
      <c r="L30" s="224"/>
      <c r="M30" s="225"/>
      <c r="N30" s="223"/>
      <c r="O30" s="223"/>
      <c r="P30" s="223"/>
      <c r="Q30" s="139" t="s">
        <v>4074</v>
      </c>
      <c r="R30" s="223"/>
      <c r="S30" s="223"/>
      <c r="T30" s="224"/>
      <c r="U30" s="223"/>
      <c r="V30" s="110"/>
    </row>
    <row r="31" ht="18.75" customHeight="1">
      <c r="A31" s="193">
        <v>36.0</v>
      </c>
      <c r="B31" s="222">
        <v>46236.0</v>
      </c>
      <c r="C31" s="39" t="s">
        <v>47</v>
      </c>
      <c r="D31" s="26" t="s">
        <v>138</v>
      </c>
      <c r="E31" s="30" t="s">
        <v>1783</v>
      </c>
      <c r="F31" s="147">
        <v>5.36712889E8</v>
      </c>
      <c r="G31" s="30" t="s">
        <v>4243</v>
      </c>
      <c r="H31" s="39" t="s">
        <v>577</v>
      </c>
      <c r="I31" s="117" t="s">
        <v>4266</v>
      </c>
      <c r="J31" s="223"/>
      <c r="K31" s="193" t="s">
        <v>148</v>
      </c>
      <c r="L31" s="224"/>
      <c r="M31" s="225"/>
      <c r="N31" s="223"/>
      <c r="O31" s="223"/>
      <c r="P31" s="223"/>
      <c r="Q31" s="139" t="s">
        <v>4074</v>
      </c>
      <c r="R31" s="223"/>
      <c r="S31" s="223"/>
      <c r="T31" s="224"/>
      <c r="U31" s="223"/>
      <c r="V31" s="110"/>
    </row>
    <row r="32" ht="18.75" customHeight="1">
      <c r="A32" s="193">
        <v>37.0</v>
      </c>
      <c r="B32" s="222">
        <v>46236.0</v>
      </c>
      <c r="C32" s="39" t="s">
        <v>47</v>
      </c>
      <c r="D32" s="26" t="s">
        <v>138</v>
      </c>
      <c r="E32" s="30" t="s">
        <v>1313</v>
      </c>
      <c r="F32" s="147">
        <v>5.44130024E8</v>
      </c>
      <c r="G32" s="30" t="s">
        <v>4271</v>
      </c>
      <c r="H32" s="39" t="s">
        <v>4273</v>
      </c>
      <c r="I32" s="117" t="s">
        <v>4274</v>
      </c>
      <c r="J32" s="223"/>
      <c r="K32" s="193" t="s">
        <v>148</v>
      </c>
      <c r="L32" s="224"/>
      <c r="M32" s="225"/>
      <c r="N32" s="223"/>
      <c r="O32" s="223"/>
      <c r="P32" s="223"/>
      <c r="Q32" s="139" t="s">
        <v>4074</v>
      </c>
      <c r="R32" s="223"/>
      <c r="S32" s="223"/>
      <c r="T32" s="224"/>
      <c r="U32" s="223"/>
      <c r="V32" s="110"/>
    </row>
    <row r="33" ht="18.75" customHeight="1">
      <c r="A33" s="193">
        <v>38.0</v>
      </c>
      <c r="B33" s="222">
        <v>46236.0</v>
      </c>
      <c r="C33" s="39" t="s">
        <v>47</v>
      </c>
      <c r="D33" s="26" t="s">
        <v>138</v>
      </c>
      <c r="E33" s="30" t="s">
        <v>4276</v>
      </c>
      <c r="F33" s="238">
        <v>5.35037173E8</v>
      </c>
      <c r="G33" s="30" t="s">
        <v>4243</v>
      </c>
      <c r="H33" s="39" t="s">
        <v>4278</v>
      </c>
      <c r="I33" s="117" t="s">
        <v>4280</v>
      </c>
      <c r="J33" s="223"/>
      <c r="K33" s="193" t="s">
        <v>148</v>
      </c>
      <c r="L33" s="224"/>
      <c r="M33" s="225"/>
      <c r="N33" s="223"/>
      <c r="O33" s="223"/>
      <c r="P33" s="223"/>
      <c r="Q33" s="139" t="s">
        <v>4074</v>
      </c>
      <c r="R33" s="223"/>
      <c r="S33" s="223"/>
      <c r="T33" s="224"/>
      <c r="U33" s="223"/>
      <c r="V33" s="110"/>
    </row>
    <row r="34" ht="18.75" customHeight="1">
      <c r="A34" s="193">
        <v>39.0</v>
      </c>
      <c r="B34" s="222">
        <v>46236.0</v>
      </c>
      <c r="C34" s="39" t="s">
        <v>21</v>
      </c>
      <c r="D34" s="26" t="s">
        <v>24</v>
      </c>
      <c r="E34" s="30" t="s">
        <v>4286</v>
      </c>
      <c r="F34" s="239">
        <v>9.23185149245E11</v>
      </c>
      <c r="G34" s="30" t="s">
        <v>120</v>
      </c>
      <c r="H34" s="39" t="s">
        <v>27</v>
      </c>
      <c r="I34" s="117" t="s">
        <v>4292</v>
      </c>
      <c r="J34" s="223"/>
      <c r="K34" s="193" t="s">
        <v>62</v>
      </c>
      <c r="L34" s="224"/>
      <c r="M34" s="225"/>
      <c r="N34" s="223"/>
      <c r="O34" s="223"/>
      <c r="P34" s="223"/>
      <c r="Q34" s="139" t="s">
        <v>4074</v>
      </c>
      <c r="R34" s="223"/>
      <c r="S34" s="223"/>
      <c r="T34" s="224"/>
      <c r="U34" s="223"/>
      <c r="V34" s="110"/>
    </row>
    <row r="35" ht="18.75" customHeight="1">
      <c r="A35" s="193">
        <v>40.0</v>
      </c>
      <c r="B35" s="222">
        <v>46236.0</v>
      </c>
      <c r="C35" s="39" t="s">
        <v>21</v>
      </c>
      <c r="D35" s="26" t="s">
        <v>22</v>
      </c>
      <c r="E35" s="39" t="s">
        <v>27</v>
      </c>
      <c r="F35" s="147">
        <v>5.55348911E8</v>
      </c>
      <c r="G35" s="30" t="s">
        <v>28</v>
      </c>
      <c r="H35" s="39"/>
      <c r="I35" s="117" t="s">
        <v>4302</v>
      </c>
      <c r="J35" s="223"/>
      <c r="K35" s="193" t="s">
        <v>62</v>
      </c>
      <c r="L35" s="224"/>
      <c r="M35" s="225"/>
      <c r="N35" s="223"/>
      <c r="O35" s="223"/>
      <c r="P35" s="223"/>
      <c r="Q35" s="139" t="s">
        <v>4074</v>
      </c>
      <c r="R35" s="223"/>
      <c r="S35" s="223"/>
      <c r="T35" s="224"/>
      <c r="U35" s="223"/>
      <c r="V35" s="110"/>
    </row>
    <row r="36" ht="18.75" customHeight="1">
      <c r="A36" s="193">
        <v>41.0</v>
      </c>
      <c r="B36" s="222">
        <v>46236.0</v>
      </c>
      <c r="C36" s="39" t="s">
        <v>21</v>
      </c>
      <c r="D36" s="26" t="s">
        <v>24</v>
      </c>
      <c r="E36" s="30" t="s">
        <v>4306</v>
      </c>
      <c r="F36" s="147">
        <v>5.83422591E8</v>
      </c>
      <c r="G36" s="30"/>
      <c r="H36" s="39"/>
      <c r="I36" s="117" t="s">
        <v>4310</v>
      </c>
      <c r="J36" s="223"/>
      <c r="K36" s="193" t="s">
        <v>62</v>
      </c>
      <c r="L36" s="224"/>
      <c r="M36" s="225"/>
      <c r="N36" s="223"/>
      <c r="O36" s="223"/>
      <c r="P36" s="223"/>
      <c r="Q36" s="139" t="s">
        <v>4074</v>
      </c>
      <c r="R36" s="223"/>
      <c r="S36" s="223"/>
      <c r="T36" s="224"/>
      <c r="U36" s="223"/>
      <c r="V36" s="110"/>
    </row>
    <row r="37" ht="41.25" customHeight="1">
      <c r="A37" s="193">
        <v>42.0</v>
      </c>
      <c r="B37" s="222">
        <v>46236.0</v>
      </c>
      <c r="C37" s="39" t="s">
        <v>21</v>
      </c>
      <c r="D37" s="26" t="s">
        <v>22</v>
      </c>
      <c r="E37" s="30" t="s">
        <v>4316</v>
      </c>
      <c r="F37" s="147">
        <v>5.63444667E8</v>
      </c>
      <c r="G37" s="39" t="s">
        <v>27</v>
      </c>
      <c r="H37" s="39" t="s">
        <v>27</v>
      </c>
      <c r="I37" s="117" t="s">
        <v>4318</v>
      </c>
      <c r="J37" s="223"/>
      <c r="K37" s="193" t="s">
        <v>62</v>
      </c>
      <c r="L37" s="224"/>
      <c r="M37" s="225"/>
      <c r="N37" s="223"/>
      <c r="O37" s="223"/>
      <c r="P37" s="223"/>
      <c r="Q37" s="139" t="s">
        <v>4074</v>
      </c>
      <c r="R37" s="223"/>
      <c r="S37" s="223"/>
      <c r="T37" s="224"/>
      <c r="U37" s="223"/>
      <c r="V37" s="110"/>
    </row>
    <row r="38" ht="18.75" customHeight="1">
      <c r="A38" s="193">
        <v>43.0</v>
      </c>
      <c r="B38" s="222">
        <v>46236.0</v>
      </c>
      <c r="C38" s="39" t="s">
        <v>21</v>
      </c>
      <c r="D38" s="26" t="s">
        <v>57</v>
      </c>
      <c r="E38" s="30" t="s">
        <v>108</v>
      </c>
      <c r="F38" s="147">
        <v>1.26822422E8</v>
      </c>
      <c r="G38" s="30" t="s">
        <v>2055</v>
      </c>
      <c r="H38" s="39" t="s">
        <v>27</v>
      </c>
      <c r="I38" s="117" t="s">
        <v>4323</v>
      </c>
      <c r="J38" s="223"/>
      <c r="K38" s="193" t="s">
        <v>36</v>
      </c>
      <c r="L38" s="224"/>
      <c r="M38" s="225"/>
      <c r="N38" s="223"/>
      <c r="O38" s="223"/>
      <c r="P38" s="223"/>
      <c r="Q38" s="139" t="s">
        <v>4074</v>
      </c>
      <c r="R38" s="223"/>
      <c r="S38" s="223"/>
      <c r="T38" s="224"/>
      <c r="U38" s="223"/>
      <c r="V38" s="110"/>
    </row>
    <row r="39" ht="92.25" customHeight="1">
      <c r="A39" s="193">
        <v>44.0</v>
      </c>
      <c r="B39" s="222">
        <v>46236.0</v>
      </c>
      <c r="C39" s="39" t="s">
        <v>47</v>
      </c>
      <c r="D39" s="26" t="s">
        <v>92</v>
      </c>
      <c r="E39" s="30" t="s">
        <v>118</v>
      </c>
      <c r="F39" s="147">
        <v>5.4118453E8</v>
      </c>
      <c r="G39" s="30" t="s">
        <v>76</v>
      </c>
      <c r="H39" s="39" t="s">
        <v>4330</v>
      </c>
      <c r="I39" s="117" t="s">
        <v>4331</v>
      </c>
      <c r="J39" s="223"/>
      <c r="K39" s="193" t="s">
        <v>36</v>
      </c>
      <c r="L39" s="224"/>
      <c r="M39" s="225"/>
      <c r="N39" s="223"/>
      <c r="O39" s="223"/>
      <c r="P39" s="223"/>
      <c r="Q39" s="139" t="s">
        <v>4074</v>
      </c>
      <c r="R39" s="223"/>
      <c r="S39" s="223"/>
      <c r="T39" s="224"/>
      <c r="U39" s="223"/>
      <c r="V39" s="110"/>
    </row>
    <row r="40" ht="18.75" customHeight="1">
      <c r="A40" s="193">
        <v>45.0</v>
      </c>
      <c r="B40" s="222">
        <v>46236.0</v>
      </c>
      <c r="C40" s="39" t="s">
        <v>21</v>
      </c>
      <c r="D40" s="26" t="s">
        <v>22</v>
      </c>
      <c r="E40" s="30" t="s">
        <v>4338</v>
      </c>
      <c r="F40" s="147">
        <v>5.36158163E8</v>
      </c>
      <c r="G40" s="30" t="s">
        <v>908</v>
      </c>
      <c r="H40" s="39" t="s">
        <v>27</v>
      </c>
      <c r="I40" s="117" t="s">
        <v>4341</v>
      </c>
      <c r="J40" s="223"/>
      <c r="K40" s="193" t="s">
        <v>36</v>
      </c>
      <c r="L40" s="224"/>
      <c r="M40" s="225"/>
      <c r="N40" s="223"/>
      <c r="O40" s="223"/>
      <c r="P40" s="223"/>
      <c r="Q40" s="139" t="s">
        <v>4074</v>
      </c>
      <c r="R40" s="223"/>
      <c r="S40" s="223"/>
      <c r="T40" s="224"/>
      <c r="U40" s="223"/>
      <c r="V40" s="110"/>
    </row>
    <row r="41" ht="18.75" customHeight="1">
      <c r="A41" s="193">
        <v>46.0</v>
      </c>
      <c r="B41" s="222">
        <v>46236.0</v>
      </c>
      <c r="C41" s="39" t="s">
        <v>21</v>
      </c>
      <c r="D41" s="26" t="s">
        <v>22</v>
      </c>
      <c r="E41" s="30" t="s">
        <v>4345</v>
      </c>
      <c r="F41" s="147">
        <v>5.35991919E8</v>
      </c>
      <c r="G41" s="30" t="s">
        <v>152</v>
      </c>
      <c r="H41" s="39" t="s">
        <v>27</v>
      </c>
      <c r="I41" s="117" t="s">
        <v>4348</v>
      </c>
      <c r="J41" s="223"/>
      <c r="K41" s="193" t="s">
        <v>36</v>
      </c>
      <c r="L41" s="224"/>
      <c r="M41" s="225"/>
      <c r="N41" s="223"/>
      <c r="O41" s="223"/>
      <c r="P41" s="223"/>
      <c r="Q41" s="139" t="s">
        <v>4074</v>
      </c>
      <c r="R41" s="223"/>
      <c r="S41" s="223"/>
      <c r="T41" s="224"/>
      <c r="U41" s="223"/>
      <c r="V41" s="110"/>
    </row>
    <row r="42" ht="18.75" customHeight="1">
      <c r="A42" s="193">
        <v>47.0</v>
      </c>
      <c r="B42" s="222">
        <v>46236.0</v>
      </c>
      <c r="C42" s="39" t="s">
        <v>21</v>
      </c>
      <c r="D42" s="26" t="s">
        <v>22</v>
      </c>
      <c r="E42" s="39"/>
      <c r="F42" s="147">
        <v>5.05208345E8</v>
      </c>
      <c r="G42" s="244" t="s">
        <v>4353</v>
      </c>
      <c r="H42" s="39" t="s">
        <v>27</v>
      </c>
      <c r="I42" s="117" t="s">
        <v>4356</v>
      </c>
      <c r="J42" s="223"/>
      <c r="K42" s="193" t="s">
        <v>36</v>
      </c>
      <c r="L42" s="224"/>
      <c r="M42" s="225"/>
      <c r="N42" s="223"/>
      <c r="O42" s="223"/>
      <c r="P42" s="223"/>
      <c r="Q42" s="139" t="s">
        <v>4074</v>
      </c>
      <c r="R42" s="223"/>
      <c r="S42" s="223"/>
      <c r="T42" s="224"/>
      <c r="U42" s="223"/>
      <c r="V42" s="110"/>
    </row>
    <row r="43" ht="18.75" customHeight="1">
      <c r="A43" s="193">
        <v>48.0</v>
      </c>
      <c r="B43" s="222">
        <v>46236.0</v>
      </c>
      <c r="C43" s="39" t="s">
        <v>58</v>
      </c>
      <c r="D43" s="26" t="s">
        <v>60</v>
      </c>
      <c r="E43" s="39" t="s">
        <v>27</v>
      </c>
      <c r="F43" s="147">
        <v>5.69924329E8</v>
      </c>
      <c r="G43" s="39" t="s">
        <v>27</v>
      </c>
      <c r="H43" s="39" t="s">
        <v>27</v>
      </c>
      <c r="I43" s="117" t="s">
        <v>4362</v>
      </c>
      <c r="J43" s="223"/>
      <c r="K43" s="193" t="s">
        <v>62</v>
      </c>
      <c r="L43" s="224"/>
      <c r="M43" s="225"/>
      <c r="N43" s="223"/>
      <c r="O43" s="223"/>
      <c r="P43" s="223"/>
      <c r="Q43" s="139" t="s">
        <v>4074</v>
      </c>
      <c r="R43" s="223"/>
      <c r="S43" s="223"/>
      <c r="T43" s="224"/>
      <c r="U43" s="223"/>
      <c r="V43" s="110"/>
    </row>
    <row r="44" ht="18.75" customHeight="1">
      <c r="A44" s="193">
        <v>49.0</v>
      </c>
      <c r="B44" s="222">
        <v>46236.0</v>
      </c>
      <c r="C44" s="39" t="s">
        <v>21</v>
      </c>
      <c r="D44" s="26" t="s">
        <v>22</v>
      </c>
      <c r="E44" s="30" t="s">
        <v>4370</v>
      </c>
      <c r="F44" s="147">
        <v>5.47505417E8</v>
      </c>
      <c r="G44" s="30" t="s">
        <v>362</v>
      </c>
      <c r="H44" s="39"/>
      <c r="I44" s="117" t="s">
        <v>4372</v>
      </c>
      <c r="J44" s="223"/>
      <c r="K44" s="193"/>
      <c r="L44" s="224"/>
      <c r="M44" s="225"/>
      <c r="N44" s="223"/>
      <c r="O44" s="223"/>
      <c r="P44" s="223"/>
      <c r="Q44" s="139"/>
      <c r="R44" s="223"/>
      <c r="S44" s="223"/>
      <c r="T44" s="224"/>
      <c r="U44" s="223"/>
      <c r="V44" s="110"/>
    </row>
    <row r="45" ht="18.75" customHeight="1">
      <c r="A45" s="193">
        <v>50.0</v>
      </c>
      <c r="B45" s="222">
        <v>46236.0</v>
      </c>
      <c r="C45" s="39" t="s">
        <v>21</v>
      </c>
      <c r="D45" s="26" t="s">
        <v>22</v>
      </c>
      <c r="E45" s="30" t="s">
        <v>4377</v>
      </c>
      <c r="F45" s="147">
        <v>5.55395741E8</v>
      </c>
      <c r="G45" s="30" t="s">
        <v>152</v>
      </c>
      <c r="H45" s="39" t="s">
        <v>27</v>
      </c>
      <c r="I45" s="117" t="s">
        <v>4379</v>
      </c>
      <c r="J45" s="223"/>
      <c r="K45" s="193" t="s">
        <v>36</v>
      </c>
      <c r="L45" s="224"/>
      <c r="M45" s="225"/>
      <c r="N45" s="223"/>
      <c r="O45" s="223"/>
      <c r="P45" s="223"/>
      <c r="Q45" s="139" t="s">
        <v>4074</v>
      </c>
      <c r="R45" s="223"/>
      <c r="S45" s="223"/>
      <c r="T45" s="224"/>
      <c r="U45" s="223"/>
      <c r="V45" s="110"/>
    </row>
    <row r="46" ht="18.75" customHeight="1">
      <c r="A46" s="193">
        <v>51.0</v>
      </c>
      <c r="B46" s="222">
        <v>46236.0</v>
      </c>
      <c r="C46" s="39" t="s">
        <v>58</v>
      </c>
      <c r="D46" s="26" t="s">
        <v>60</v>
      </c>
      <c r="E46" s="39" t="s">
        <v>27</v>
      </c>
      <c r="F46" s="147">
        <v>5.53239526E8</v>
      </c>
      <c r="G46" s="39" t="s">
        <v>27</v>
      </c>
      <c r="H46" s="39" t="s">
        <v>27</v>
      </c>
      <c r="I46" s="117" t="s">
        <v>554</v>
      </c>
      <c r="J46" s="223"/>
      <c r="K46" s="193" t="s">
        <v>36</v>
      </c>
      <c r="L46" s="224"/>
      <c r="M46" s="225"/>
      <c r="N46" s="223"/>
      <c r="O46" s="223"/>
      <c r="P46" s="223"/>
      <c r="Q46" s="139" t="s">
        <v>4074</v>
      </c>
      <c r="R46" s="223"/>
      <c r="S46" s="223"/>
      <c r="T46" s="224"/>
      <c r="U46" s="223"/>
      <c r="V46" s="110"/>
    </row>
    <row r="47" ht="39.0" customHeight="1">
      <c r="A47" s="193">
        <v>52.0</v>
      </c>
      <c r="B47" s="222">
        <v>46236.0</v>
      </c>
      <c r="C47" s="39" t="s">
        <v>47</v>
      </c>
      <c r="D47" s="26" t="s">
        <v>92</v>
      </c>
      <c r="E47" s="30" t="s">
        <v>4392</v>
      </c>
      <c r="F47" s="147">
        <v>5.59933569E8</v>
      </c>
      <c r="G47" s="30" t="s">
        <v>2055</v>
      </c>
      <c r="H47" s="39" t="s">
        <v>4393</v>
      </c>
      <c r="I47" s="117" t="s">
        <v>4394</v>
      </c>
      <c r="J47" s="223"/>
      <c r="K47" s="193" t="s">
        <v>36</v>
      </c>
      <c r="L47" s="224"/>
      <c r="M47" s="225"/>
      <c r="N47" s="223"/>
      <c r="O47" s="223"/>
      <c r="P47" s="223"/>
      <c r="Q47" s="139" t="s">
        <v>4074</v>
      </c>
      <c r="R47" s="223"/>
      <c r="S47" s="223"/>
      <c r="T47" s="224"/>
      <c r="U47" s="223"/>
      <c r="V47" s="110"/>
    </row>
    <row r="48" ht="44.25" customHeight="1">
      <c r="A48" s="193">
        <v>53.0</v>
      </c>
      <c r="B48" s="222">
        <v>46236.0</v>
      </c>
      <c r="C48" s="39" t="s">
        <v>47</v>
      </c>
      <c r="D48" s="26" t="s">
        <v>92</v>
      </c>
      <c r="E48" s="30" t="s">
        <v>4398</v>
      </c>
      <c r="F48" s="147">
        <v>5.91693168E8</v>
      </c>
      <c r="G48" s="30"/>
      <c r="H48" s="39" t="s">
        <v>4399</v>
      </c>
      <c r="I48" s="117" t="s">
        <v>4400</v>
      </c>
      <c r="J48" s="223"/>
      <c r="K48" s="193" t="s">
        <v>62</v>
      </c>
      <c r="L48" s="224"/>
      <c r="M48" s="225"/>
      <c r="N48" s="223"/>
      <c r="O48" s="223"/>
      <c r="P48" s="223"/>
      <c r="Q48" s="139" t="s">
        <v>4074</v>
      </c>
      <c r="R48" s="223"/>
      <c r="S48" s="223"/>
      <c r="T48" s="224"/>
      <c r="U48" s="223"/>
      <c r="V48" s="110"/>
    </row>
    <row r="49" ht="18.75" customHeight="1">
      <c r="A49" s="193">
        <v>54.0</v>
      </c>
      <c r="B49" s="222">
        <v>46236.0</v>
      </c>
      <c r="C49" s="39" t="s">
        <v>21</v>
      </c>
      <c r="D49" s="26" t="s">
        <v>22</v>
      </c>
      <c r="E49" s="30" t="s">
        <v>1260</v>
      </c>
      <c r="F49" s="147">
        <v>5.49449054E8</v>
      </c>
      <c r="G49" s="30" t="s">
        <v>285</v>
      </c>
      <c r="H49" s="39" t="s">
        <v>27</v>
      </c>
      <c r="I49" s="117" t="s">
        <v>4403</v>
      </c>
      <c r="J49" s="223"/>
      <c r="K49" s="193" t="s">
        <v>36</v>
      </c>
      <c r="L49" s="224"/>
      <c r="M49" s="225"/>
      <c r="N49" s="223"/>
      <c r="O49" s="223"/>
      <c r="P49" s="223"/>
      <c r="Q49" s="139" t="s">
        <v>4074</v>
      </c>
      <c r="R49" s="223"/>
      <c r="S49" s="223"/>
      <c r="T49" s="224"/>
      <c r="U49" s="223"/>
      <c r="V49" s="110"/>
    </row>
    <row r="50" ht="18.75" customHeight="1">
      <c r="A50" s="193">
        <v>55.0</v>
      </c>
      <c r="B50" s="222">
        <v>46236.0</v>
      </c>
      <c r="C50" s="39" t="s">
        <v>21</v>
      </c>
      <c r="D50" s="26" t="s">
        <v>24</v>
      </c>
      <c r="E50" s="30" t="s">
        <v>463</v>
      </c>
      <c r="F50" s="147">
        <v>5.45458742E8</v>
      </c>
      <c r="G50" s="39" t="s">
        <v>27</v>
      </c>
      <c r="H50" s="39" t="s">
        <v>27</v>
      </c>
      <c r="I50" s="117" t="s">
        <v>4408</v>
      </c>
      <c r="J50" s="223"/>
      <c r="K50" s="193" t="s">
        <v>36</v>
      </c>
      <c r="L50" s="224"/>
      <c r="M50" s="225"/>
      <c r="N50" s="223"/>
      <c r="O50" s="223"/>
      <c r="P50" s="223"/>
      <c r="Q50" s="139" t="s">
        <v>4074</v>
      </c>
      <c r="R50" s="223"/>
      <c r="S50" s="223"/>
      <c r="T50" s="224"/>
      <c r="U50" s="223"/>
      <c r="V50" s="110"/>
    </row>
    <row r="51" ht="18.75" customHeight="1">
      <c r="A51" s="193">
        <v>56.0</v>
      </c>
      <c r="B51" s="222">
        <v>46236.0</v>
      </c>
      <c r="C51" s="39" t="s">
        <v>58</v>
      </c>
      <c r="D51" s="26" t="s">
        <v>60</v>
      </c>
      <c r="E51" s="39" t="s">
        <v>27</v>
      </c>
      <c r="F51" s="147">
        <v>5.55788643E8</v>
      </c>
      <c r="G51" s="39" t="s">
        <v>27</v>
      </c>
      <c r="H51" s="39" t="s">
        <v>27</v>
      </c>
      <c r="I51" s="117" t="s">
        <v>4415</v>
      </c>
      <c r="J51" s="223"/>
      <c r="K51" s="193" t="s">
        <v>36</v>
      </c>
      <c r="L51" s="224"/>
      <c r="M51" s="225"/>
      <c r="N51" s="223"/>
      <c r="O51" s="223"/>
      <c r="P51" s="223"/>
      <c r="Q51" s="139" t="s">
        <v>4074</v>
      </c>
      <c r="R51" s="223"/>
      <c r="S51" s="223"/>
      <c r="T51" s="224"/>
      <c r="U51" s="223"/>
      <c r="V51" s="110"/>
    </row>
    <row r="52" ht="18.75" customHeight="1">
      <c r="A52" s="193">
        <v>57.0</v>
      </c>
      <c r="B52" s="222">
        <v>46236.0</v>
      </c>
      <c r="C52" s="39"/>
      <c r="D52" s="26"/>
      <c r="E52" s="39"/>
      <c r="F52" s="147">
        <v>5.04120505E8</v>
      </c>
      <c r="G52" s="30"/>
      <c r="H52" s="39"/>
      <c r="I52" s="117"/>
      <c r="J52" s="223"/>
      <c r="K52" s="193"/>
      <c r="L52" s="224"/>
      <c r="M52" s="225"/>
      <c r="N52" s="223"/>
      <c r="O52" s="223"/>
      <c r="P52" s="223"/>
      <c r="Q52" s="139" t="s">
        <v>4074</v>
      </c>
      <c r="R52" s="223"/>
      <c r="S52" s="223"/>
      <c r="T52" s="224"/>
      <c r="U52" s="223"/>
      <c r="V52" s="110"/>
    </row>
    <row r="53" ht="48.75" customHeight="1">
      <c r="A53" s="193">
        <v>83.0</v>
      </c>
      <c r="B53" s="222">
        <v>46236.0</v>
      </c>
      <c r="C53" s="39" t="s">
        <v>58</v>
      </c>
      <c r="D53" s="26" t="s">
        <v>48</v>
      </c>
      <c r="E53" s="30" t="s">
        <v>4423</v>
      </c>
      <c r="F53" s="147">
        <v>5.38487885E8</v>
      </c>
      <c r="G53" s="30" t="s">
        <v>41</v>
      </c>
      <c r="H53" s="39" t="s">
        <v>222</v>
      </c>
      <c r="I53" s="117" t="s">
        <v>4424</v>
      </c>
      <c r="J53" s="225" t="s">
        <v>4425</v>
      </c>
      <c r="K53" s="193" t="s">
        <v>62</v>
      </c>
      <c r="L53" s="224"/>
      <c r="M53" s="225"/>
      <c r="N53" s="223"/>
      <c r="O53" s="223"/>
      <c r="P53" s="223"/>
      <c r="Q53" s="139" t="s">
        <v>44</v>
      </c>
      <c r="R53" s="223"/>
      <c r="S53" s="223"/>
      <c r="T53" s="224"/>
      <c r="U53" s="223"/>
      <c r="V53" s="110"/>
    </row>
    <row r="54" ht="60.0" customHeight="1">
      <c r="A54" s="193">
        <v>82.0</v>
      </c>
      <c r="B54" s="222">
        <v>46236.0</v>
      </c>
      <c r="C54" s="39" t="s">
        <v>21</v>
      </c>
      <c r="D54" s="26" t="s">
        <v>22</v>
      </c>
      <c r="E54" s="30" t="s">
        <v>4429</v>
      </c>
      <c r="F54" s="147">
        <v>5.05409043E8</v>
      </c>
      <c r="G54" s="30"/>
      <c r="H54" s="39"/>
      <c r="I54" s="117" t="s">
        <v>4431</v>
      </c>
      <c r="J54" s="223"/>
      <c r="K54" s="193" t="s">
        <v>62</v>
      </c>
      <c r="L54" s="224"/>
      <c r="M54" s="225"/>
      <c r="N54" s="223"/>
      <c r="O54" s="223"/>
      <c r="P54" s="223"/>
      <c r="Q54" s="139" t="s">
        <v>44</v>
      </c>
      <c r="R54" s="223"/>
      <c r="S54" s="223"/>
      <c r="T54" s="224"/>
      <c r="U54" s="223"/>
      <c r="V54" s="110"/>
    </row>
    <row r="55" ht="61.5" customHeight="1">
      <c r="A55" s="193">
        <v>58.0</v>
      </c>
      <c r="B55" s="222">
        <v>46236.0</v>
      </c>
      <c r="C55" s="39" t="s">
        <v>47</v>
      </c>
      <c r="D55" s="26" t="s">
        <v>48</v>
      </c>
      <c r="E55" s="30" t="s">
        <v>2857</v>
      </c>
      <c r="F55" s="147">
        <v>5.01977646E8</v>
      </c>
      <c r="G55" s="30" t="s">
        <v>4243</v>
      </c>
      <c r="H55" s="39" t="s">
        <v>2375</v>
      </c>
      <c r="I55" s="117" t="s">
        <v>4434</v>
      </c>
      <c r="J55" s="223"/>
      <c r="K55" s="193" t="s">
        <v>36</v>
      </c>
      <c r="L55" s="224"/>
      <c r="M55" s="225"/>
      <c r="N55" s="223"/>
      <c r="O55" s="223"/>
      <c r="P55" s="223"/>
      <c r="Q55" s="139" t="s">
        <v>4074</v>
      </c>
      <c r="R55" s="223"/>
      <c r="S55" s="223"/>
      <c r="T55" s="224"/>
      <c r="U55" s="223"/>
      <c r="V55" s="110"/>
    </row>
    <row r="56" ht="18.75" customHeight="1">
      <c r="A56" s="193">
        <v>59.0</v>
      </c>
      <c r="B56" s="222">
        <v>46236.0</v>
      </c>
      <c r="C56" s="39" t="s">
        <v>58</v>
      </c>
      <c r="D56" s="26" t="s">
        <v>60</v>
      </c>
      <c r="E56" s="39"/>
      <c r="F56" s="147">
        <v>5.49400479E8</v>
      </c>
      <c r="G56" s="30"/>
      <c r="H56" s="39"/>
      <c r="I56" s="117" t="s">
        <v>4440</v>
      </c>
      <c r="J56" s="223"/>
      <c r="K56" s="193" t="s">
        <v>36</v>
      </c>
      <c r="L56" s="224"/>
      <c r="M56" s="225"/>
      <c r="N56" s="223"/>
      <c r="O56" s="223"/>
      <c r="P56" s="223"/>
      <c r="Q56" s="139" t="s">
        <v>4074</v>
      </c>
      <c r="R56" s="223"/>
      <c r="S56" s="223"/>
      <c r="T56" s="224"/>
      <c r="U56" s="223"/>
      <c r="V56" s="110"/>
    </row>
    <row r="57" ht="18.75" customHeight="1">
      <c r="A57" s="193">
        <v>60.0</v>
      </c>
      <c r="B57" s="222">
        <v>46236.0</v>
      </c>
      <c r="C57" s="39" t="s">
        <v>58</v>
      </c>
      <c r="D57" s="26" t="s">
        <v>60</v>
      </c>
      <c r="E57" s="30" t="s">
        <v>4446</v>
      </c>
      <c r="F57" s="147">
        <v>5.66568301E8</v>
      </c>
      <c r="G57" s="30" t="s">
        <v>41</v>
      </c>
      <c r="H57" s="39" t="s">
        <v>222</v>
      </c>
      <c r="I57" s="117" t="s">
        <v>4447</v>
      </c>
      <c r="J57" s="223"/>
      <c r="K57" s="193" t="s">
        <v>36</v>
      </c>
      <c r="L57" s="224"/>
      <c r="M57" s="225"/>
      <c r="N57" s="223"/>
      <c r="O57" s="223"/>
      <c r="P57" s="223"/>
      <c r="Q57" s="139" t="s">
        <v>44</v>
      </c>
      <c r="R57" s="223"/>
      <c r="S57" s="223"/>
      <c r="T57" s="224"/>
      <c r="U57" s="223"/>
      <c r="V57" s="110"/>
    </row>
    <row r="58" ht="18.75" customHeight="1">
      <c r="A58" s="193">
        <v>61.0</v>
      </c>
      <c r="B58" s="222">
        <v>46237.0</v>
      </c>
      <c r="C58" s="39" t="s">
        <v>58</v>
      </c>
      <c r="D58" s="26" t="s">
        <v>60</v>
      </c>
      <c r="E58" s="30" t="s">
        <v>4451</v>
      </c>
      <c r="F58" s="147">
        <v>5.51569265E8</v>
      </c>
      <c r="G58" s="39" t="s">
        <v>27</v>
      </c>
      <c r="H58" s="39" t="s">
        <v>27</v>
      </c>
      <c r="I58" s="117" t="s">
        <v>4453</v>
      </c>
      <c r="J58" s="223"/>
      <c r="K58" s="193" t="s">
        <v>62</v>
      </c>
      <c r="L58" s="224"/>
      <c r="M58" s="225"/>
      <c r="N58" s="223"/>
      <c r="O58" s="223"/>
      <c r="P58" s="223"/>
      <c r="Q58" s="139" t="s">
        <v>4074</v>
      </c>
      <c r="R58" s="223"/>
      <c r="S58" s="223"/>
      <c r="T58" s="224"/>
      <c r="U58" s="223"/>
      <c r="V58" s="110"/>
    </row>
    <row r="59" ht="18.75" customHeight="1">
      <c r="A59" s="193">
        <v>62.0</v>
      </c>
      <c r="B59" s="222">
        <v>46237.0</v>
      </c>
      <c r="C59" s="39" t="s">
        <v>58</v>
      </c>
      <c r="D59" s="26" t="s">
        <v>57</v>
      </c>
      <c r="E59" s="30" t="s">
        <v>4458</v>
      </c>
      <c r="F59" s="147">
        <v>5.5486556E8</v>
      </c>
      <c r="G59" s="39" t="s">
        <v>27</v>
      </c>
      <c r="H59" s="39" t="s">
        <v>27</v>
      </c>
      <c r="I59" s="117" t="s">
        <v>4463</v>
      </c>
      <c r="J59" s="223"/>
      <c r="K59" s="193" t="s">
        <v>62</v>
      </c>
      <c r="L59" s="224"/>
      <c r="M59" s="225"/>
      <c r="N59" s="223"/>
      <c r="O59" s="223"/>
      <c r="P59" s="223"/>
      <c r="Q59" s="139" t="s">
        <v>4074</v>
      </c>
      <c r="R59" s="223"/>
      <c r="S59" s="223"/>
      <c r="T59" s="224"/>
      <c r="U59" s="223"/>
      <c r="V59" s="110"/>
    </row>
    <row r="60" ht="67.5" customHeight="1">
      <c r="A60" s="193">
        <v>63.0</v>
      </c>
      <c r="B60" s="222">
        <v>46237.0</v>
      </c>
      <c r="C60" s="39" t="s">
        <v>47</v>
      </c>
      <c r="D60" s="26" t="s">
        <v>48</v>
      </c>
      <c r="E60" s="30" t="s">
        <v>2670</v>
      </c>
      <c r="F60" s="147">
        <v>5.37966441E8</v>
      </c>
      <c r="G60" s="30"/>
      <c r="H60" s="39"/>
      <c r="I60" s="117" t="s">
        <v>4468</v>
      </c>
      <c r="J60" s="223"/>
      <c r="K60" s="193"/>
      <c r="L60" s="224"/>
      <c r="M60" s="225"/>
      <c r="N60" s="223"/>
      <c r="O60" s="223"/>
      <c r="P60" s="223"/>
      <c r="Q60" s="139"/>
      <c r="R60" s="223"/>
      <c r="S60" s="223"/>
      <c r="T60" s="224"/>
      <c r="U60" s="223"/>
      <c r="V60" s="110"/>
    </row>
    <row r="61" ht="35.25" customHeight="1">
      <c r="A61" s="193">
        <v>64.0</v>
      </c>
      <c r="B61" s="222">
        <v>46237.0</v>
      </c>
      <c r="C61" s="39" t="s">
        <v>47</v>
      </c>
      <c r="D61" s="26" t="s">
        <v>92</v>
      </c>
      <c r="E61" s="30" t="s">
        <v>4472</v>
      </c>
      <c r="F61" s="147">
        <v>5.66688895E8</v>
      </c>
      <c r="G61" s="30" t="s">
        <v>2055</v>
      </c>
      <c r="H61" s="39" t="s">
        <v>4475</v>
      </c>
      <c r="I61" s="117" t="s">
        <v>4477</v>
      </c>
      <c r="J61" s="223"/>
      <c r="K61" s="193" t="s">
        <v>36</v>
      </c>
      <c r="L61" s="224"/>
      <c r="M61" s="225"/>
      <c r="N61" s="223"/>
      <c r="O61" s="223"/>
      <c r="P61" s="223"/>
      <c r="Q61" s="139" t="s">
        <v>4074</v>
      </c>
      <c r="R61" s="223"/>
      <c r="S61" s="223"/>
      <c r="T61" s="224"/>
      <c r="U61" s="223"/>
      <c r="V61" s="110"/>
    </row>
    <row r="62" ht="18.75" customHeight="1">
      <c r="A62" s="193">
        <v>65.0</v>
      </c>
      <c r="B62" s="222">
        <v>46237.0</v>
      </c>
      <c r="C62" s="39" t="s">
        <v>47</v>
      </c>
      <c r="D62" s="26" t="s">
        <v>48</v>
      </c>
      <c r="E62" s="30" t="s">
        <v>4482</v>
      </c>
      <c r="F62" s="147">
        <v>5.37966441E8</v>
      </c>
      <c r="G62" s="30" t="s">
        <v>4243</v>
      </c>
      <c r="H62" s="39" t="s">
        <v>4483</v>
      </c>
      <c r="I62" s="117" t="s">
        <v>4486</v>
      </c>
      <c r="J62" s="223"/>
      <c r="K62" s="193" t="s">
        <v>62</v>
      </c>
      <c r="L62" s="224"/>
      <c r="M62" s="225"/>
      <c r="N62" s="223"/>
      <c r="O62" s="223"/>
      <c r="P62" s="223"/>
      <c r="Q62" s="139" t="s">
        <v>4074</v>
      </c>
      <c r="R62" s="223"/>
      <c r="S62" s="223"/>
      <c r="T62" s="224"/>
      <c r="U62" s="223"/>
      <c r="V62" s="110"/>
    </row>
    <row r="63" ht="18.75" customHeight="1">
      <c r="A63" s="193">
        <v>66.0</v>
      </c>
      <c r="B63" s="222">
        <v>46237.0</v>
      </c>
      <c r="C63" s="39" t="s">
        <v>47</v>
      </c>
      <c r="D63" s="26" t="s">
        <v>48</v>
      </c>
      <c r="E63" s="39" t="s">
        <v>4490</v>
      </c>
      <c r="F63" s="147" t="s">
        <v>27</v>
      </c>
      <c r="G63" s="30" t="s">
        <v>2055</v>
      </c>
      <c r="H63" s="39" t="s">
        <v>4492</v>
      </c>
      <c r="I63" s="117" t="s">
        <v>4493</v>
      </c>
      <c r="J63" s="223"/>
      <c r="K63" s="193" t="s">
        <v>36</v>
      </c>
      <c r="L63" s="224"/>
      <c r="M63" s="225"/>
      <c r="N63" s="223"/>
      <c r="O63" s="223"/>
      <c r="P63" s="223"/>
      <c r="Q63" s="139" t="s">
        <v>4074</v>
      </c>
      <c r="R63" s="223"/>
      <c r="S63" s="223"/>
      <c r="T63" s="224"/>
      <c r="U63" s="223"/>
      <c r="V63" s="110"/>
    </row>
    <row r="64" ht="18.75" customHeight="1">
      <c r="A64" s="193">
        <v>67.0</v>
      </c>
      <c r="B64" s="222">
        <v>46237.0</v>
      </c>
      <c r="C64" s="39" t="s">
        <v>58</v>
      </c>
      <c r="D64" s="26" t="s">
        <v>60</v>
      </c>
      <c r="E64" s="39" t="s">
        <v>27</v>
      </c>
      <c r="F64" s="147">
        <v>5.43024747E8</v>
      </c>
      <c r="G64" s="39" t="s">
        <v>27</v>
      </c>
      <c r="H64" s="39" t="s">
        <v>27</v>
      </c>
      <c r="I64" s="117" t="s">
        <v>4499</v>
      </c>
      <c r="J64" s="223"/>
      <c r="K64" s="193" t="s">
        <v>36</v>
      </c>
      <c r="L64" s="224"/>
      <c r="M64" s="225"/>
      <c r="N64" s="223"/>
      <c r="O64" s="223"/>
      <c r="P64" s="223"/>
      <c r="Q64" s="139" t="s">
        <v>4074</v>
      </c>
      <c r="R64" s="223"/>
      <c r="S64" s="223"/>
      <c r="T64" s="224"/>
      <c r="U64" s="223"/>
      <c r="V64" s="110"/>
    </row>
    <row r="65" ht="18.75" customHeight="1">
      <c r="A65" s="193">
        <v>68.0</v>
      </c>
      <c r="B65" s="222">
        <v>46237.0</v>
      </c>
      <c r="C65" s="39"/>
      <c r="D65" s="26"/>
      <c r="E65" s="39"/>
      <c r="F65" s="147">
        <v>5.35550372E8</v>
      </c>
      <c r="G65" s="30"/>
      <c r="H65" s="39"/>
      <c r="I65" s="118">
        <v>9.66535550372E11</v>
      </c>
      <c r="J65" s="223"/>
      <c r="K65" s="193"/>
      <c r="L65" s="224"/>
      <c r="M65" s="225"/>
      <c r="N65" s="223"/>
      <c r="O65" s="223"/>
      <c r="P65" s="223"/>
      <c r="Q65" s="139"/>
      <c r="R65" s="223"/>
      <c r="S65" s="223"/>
      <c r="T65" s="224"/>
      <c r="U65" s="223"/>
      <c r="V65" s="110"/>
    </row>
    <row r="66" ht="18.75" customHeight="1">
      <c r="A66" s="193">
        <v>69.0</v>
      </c>
      <c r="B66" s="222">
        <v>46237.0</v>
      </c>
      <c r="C66" s="39"/>
      <c r="D66" s="26"/>
      <c r="E66" s="39"/>
      <c r="F66" s="147"/>
      <c r="G66" s="30"/>
      <c r="H66" s="39"/>
      <c r="I66" s="117"/>
      <c r="J66" s="223"/>
      <c r="K66" s="193"/>
      <c r="L66" s="224"/>
      <c r="M66" s="225"/>
      <c r="N66" s="223"/>
      <c r="O66" s="223"/>
      <c r="P66" s="223"/>
      <c r="Q66" s="139"/>
      <c r="R66" s="223"/>
      <c r="S66" s="223"/>
      <c r="T66" s="224"/>
      <c r="U66" s="223"/>
      <c r="V66" s="110"/>
    </row>
    <row r="67" ht="18.75" customHeight="1">
      <c r="A67" s="193">
        <v>70.0</v>
      </c>
      <c r="B67" s="222">
        <v>46237.0</v>
      </c>
      <c r="C67" s="39"/>
      <c r="D67" s="26"/>
      <c r="E67" s="39"/>
      <c r="F67" s="147"/>
      <c r="G67" s="30"/>
      <c r="H67" s="39"/>
      <c r="I67" s="117"/>
      <c r="J67" s="223"/>
      <c r="K67" s="193"/>
      <c r="L67" s="224"/>
      <c r="M67" s="225"/>
      <c r="N67" s="223"/>
      <c r="O67" s="223"/>
      <c r="P67" s="223"/>
      <c r="Q67" s="139"/>
      <c r="R67" s="223"/>
      <c r="S67" s="223"/>
      <c r="T67" s="224"/>
      <c r="U67" s="223"/>
      <c r="V67" s="110"/>
    </row>
    <row r="68" ht="18.75" customHeight="1">
      <c r="A68" s="193">
        <v>71.0</v>
      </c>
      <c r="B68" s="222">
        <v>46237.0</v>
      </c>
      <c r="C68" s="39"/>
      <c r="D68" s="26"/>
      <c r="E68" s="39"/>
      <c r="F68" s="147"/>
      <c r="G68" s="30"/>
      <c r="H68" s="39"/>
      <c r="I68" s="117"/>
      <c r="J68" s="223"/>
      <c r="K68" s="193"/>
      <c r="L68" s="224"/>
      <c r="M68" s="225"/>
      <c r="N68" s="223"/>
      <c r="O68" s="223"/>
      <c r="P68" s="223"/>
      <c r="Q68" s="139"/>
      <c r="R68" s="223"/>
      <c r="S68" s="223"/>
      <c r="T68" s="224"/>
      <c r="U68" s="223"/>
      <c r="V68" s="110"/>
    </row>
    <row r="69" ht="18.75" customHeight="1">
      <c r="A69" s="193">
        <v>72.0</v>
      </c>
      <c r="B69" s="222">
        <v>46237.0</v>
      </c>
      <c r="C69" s="39"/>
      <c r="D69" s="26"/>
      <c r="E69" s="39"/>
      <c r="F69" s="147"/>
      <c r="G69" s="30"/>
      <c r="H69" s="39"/>
      <c r="I69" s="117"/>
      <c r="J69" s="223"/>
      <c r="K69" s="193"/>
      <c r="L69" s="224"/>
      <c r="M69" s="225"/>
      <c r="N69" s="223"/>
      <c r="O69" s="223"/>
      <c r="P69" s="223"/>
      <c r="Q69" s="139"/>
      <c r="R69" s="223"/>
      <c r="S69" s="223"/>
      <c r="T69" s="224"/>
      <c r="U69" s="223"/>
      <c r="V69" s="110"/>
    </row>
    <row r="70" ht="18.75" customHeight="1">
      <c r="A70" s="193">
        <v>73.0</v>
      </c>
      <c r="B70" s="222">
        <v>46237.0</v>
      </c>
      <c r="C70" s="39"/>
      <c r="D70" s="26"/>
      <c r="E70" s="39"/>
      <c r="F70" s="147"/>
      <c r="G70" s="30"/>
      <c r="H70" s="39"/>
      <c r="I70" s="117"/>
      <c r="J70" s="223"/>
      <c r="K70" s="193"/>
      <c r="L70" s="224"/>
      <c r="M70" s="225"/>
      <c r="N70" s="223"/>
      <c r="O70" s="223"/>
      <c r="P70" s="223"/>
      <c r="Q70" s="139"/>
      <c r="R70" s="223"/>
      <c r="S70" s="223"/>
      <c r="T70" s="224"/>
      <c r="U70" s="223"/>
      <c r="V70" s="110"/>
    </row>
    <row r="71" ht="18.75" customHeight="1">
      <c r="A71" s="193">
        <v>74.0</v>
      </c>
      <c r="B71" s="222">
        <v>46237.0</v>
      </c>
      <c r="C71" s="39"/>
      <c r="D71" s="26"/>
      <c r="E71" s="39"/>
      <c r="F71" s="147"/>
      <c r="G71" s="30"/>
      <c r="H71" s="39"/>
      <c r="I71" s="117"/>
      <c r="J71" s="223"/>
      <c r="K71" s="193"/>
      <c r="L71" s="224"/>
      <c r="M71" s="225"/>
      <c r="N71" s="223"/>
      <c r="O71" s="223"/>
      <c r="P71" s="223"/>
      <c r="Q71" s="139"/>
      <c r="R71" s="223"/>
      <c r="S71" s="223"/>
      <c r="T71" s="224"/>
      <c r="U71" s="223"/>
      <c r="V71" s="110"/>
    </row>
    <row r="72" ht="18.75" customHeight="1">
      <c r="A72" s="193">
        <v>75.0</v>
      </c>
      <c r="B72" s="222">
        <v>46237.0</v>
      </c>
      <c r="C72" s="39"/>
      <c r="D72" s="26"/>
      <c r="E72" s="39"/>
      <c r="F72" s="147"/>
      <c r="G72" s="30"/>
      <c r="H72" s="39"/>
      <c r="I72" s="117"/>
      <c r="J72" s="223"/>
      <c r="K72" s="193"/>
      <c r="L72" s="224"/>
      <c r="M72" s="225"/>
      <c r="N72" s="223"/>
      <c r="O72" s="223"/>
      <c r="P72" s="223"/>
      <c r="Q72" s="139"/>
      <c r="R72" s="223"/>
      <c r="S72" s="223"/>
      <c r="T72" s="224"/>
      <c r="U72" s="223"/>
      <c r="V72" s="110"/>
    </row>
    <row r="73" ht="18.75" customHeight="1">
      <c r="A73" s="193">
        <v>76.0</v>
      </c>
      <c r="B73" s="222">
        <v>46237.0</v>
      </c>
      <c r="C73" s="39"/>
      <c r="D73" s="26"/>
      <c r="E73" s="39"/>
      <c r="F73" s="147"/>
      <c r="G73" s="30"/>
      <c r="H73" s="39"/>
      <c r="I73" s="117"/>
      <c r="J73" s="223"/>
      <c r="K73" s="193"/>
      <c r="L73" s="224"/>
      <c r="M73" s="225"/>
      <c r="N73" s="223"/>
      <c r="O73" s="223"/>
      <c r="P73" s="223"/>
      <c r="Q73" s="139"/>
      <c r="R73" s="223"/>
      <c r="S73" s="223"/>
      <c r="T73" s="224"/>
      <c r="U73" s="223"/>
      <c r="V73" s="110"/>
    </row>
    <row r="74" ht="18.75" customHeight="1">
      <c r="A74" s="193">
        <v>77.0</v>
      </c>
      <c r="B74" s="222">
        <v>46237.0</v>
      </c>
      <c r="C74" s="39"/>
      <c r="D74" s="26"/>
      <c r="E74" s="39"/>
      <c r="F74" s="147"/>
      <c r="G74" s="30"/>
      <c r="H74" s="39"/>
      <c r="I74" s="117"/>
      <c r="J74" s="223"/>
      <c r="K74" s="193"/>
      <c r="L74" s="224"/>
      <c r="M74" s="225"/>
      <c r="N74" s="223"/>
      <c r="O74" s="223"/>
      <c r="P74" s="223"/>
      <c r="Q74" s="139"/>
      <c r="R74" s="223"/>
      <c r="S74" s="223"/>
      <c r="T74" s="224"/>
      <c r="U74" s="223"/>
      <c r="V74" s="110"/>
    </row>
    <row r="75" ht="18.75" customHeight="1">
      <c r="A75" s="193">
        <v>78.0</v>
      </c>
      <c r="B75" s="222">
        <v>46237.0</v>
      </c>
      <c r="C75" s="39"/>
      <c r="D75" s="26"/>
      <c r="E75" s="39"/>
      <c r="F75" s="147"/>
      <c r="G75" s="30"/>
      <c r="H75" s="39"/>
      <c r="I75" s="117"/>
      <c r="J75" s="223"/>
      <c r="K75" s="193"/>
      <c r="L75" s="224"/>
      <c r="M75" s="225"/>
      <c r="N75" s="223"/>
      <c r="O75" s="223"/>
      <c r="P75" s="223"/>
      <c r="Q75" s="139"/>
      <c r="R75" s="223"/>
      <c r="S75" s="223"/>
      <c r="T75" s="224"/>
      <c r="U75" s="223"/>
      <c r="V75" s="110"/>
    </row>
    <row r="76" ht="18.75" customHeight="1">
      <c r="A76" s="193">
        <v>79.0</v>
      </c>
      <c r="B76" s="222">
        <v>46237.0</v>
      </c>
      <c r="C76" s="39"/>
      <c r="D76" s="26"/>
      <c r="E76" s="39"/>
      <c r="F76" s="147"/>
      <c r="G76" s="30"/>
      <c r="H76" s="39"/>
      <c r="I76" s="117"/>
      <c r="J76" s="223"/>
      <c r="K76" s="193"/>
      <c r="L76" s="224"/>
      <c r="M76" s="225"/>
      <c r="N76" s="223"/>
      <c r="O76" s="223"/>
      <c r="P76" s="223"/>
      <c r="Q76" s="139"/>
      <c r="R76" s="223"/>
      <c r="S76" s="223"/>
      <c r="T76" s="224"/>
      <c r="U76" s="223"/>
      <c r="V76" s="110"/>
    </row>
    <row r="77" ht="18.75" customHeight="1">
      <c r="A77" s="193">
        <v>80.0</v>
      </c>
      <c r="B77" s="222">
        <v>46237.0</v>
      </c>
      <c r="C77" s="39"/>
      <c r="D77" s="26"/>
      <c r="E77" s="39"/>
      <c r="F77" s="147"/>
      <c r="G77" s="30"/>
      <c r="H77" s="39"/>
      <c r="I77" s="117"/>
      <c r="J77" s="223"/>
      <c r="K77" s="193"/>
      <c r="L77" s="224"/>
      <c r="M77" s="225"/>
      <c r="N77" s="223"/>
      <c r="O77" s="223"/>
      <c r="P77" s="223"/>
      <c r="Q77" s="139"/>
      <c r="R77" s="223"/>
      <c r="S77" s="223"/>
      <c r="T77" s="224"/>
      <c r="U77" s="223"/>
      <c r="V77" s="110"/>
    </row>
    <row r="78" ht="18.75" customHeight="1">
      <c r="A78" s="193">
        <v>81.0</v>
      </c>
      <c r="B78" s="222">
        <v>46237.0</v>
      </c>
      <c r="C78" s="39"/>
      <c r="D78" s="26"/>
      <c r="E78" s="39"/>
      <c r="F78" s="147"/>
      <c r="G78" s="30"/>
      <c r="H78" s="39"/>
      <c r="I78" s="117"/>
      <c r="J78" s="223"/>
      <c r="K78" s="193"/>
      <c r="L78" s="224"/>
      <c r="M78" s="225"/>
      <c r="N78" s="223"/>
      <c r="O78" s="223"/>
      <c r="P78" s="223"/>
      <c r="Q78" s="139"/>
      <c r="R78" s="223"/>
      <c r="S78" s="223"/>
      <c r="T78" s="224"/>
      <c r="U78" s="223"/>
      <c r="V78" s="110"/>
    </row>
    <row r="79" ht="18.75" customHeight="1">
      <c r="A79" s="193">
        <v>84.0</v>
      </c>
      <c r="B79" s="222">
        <v>46237.0</v>
      </c>
      <c r="C79" s="39"/>
      <c r="D79" s="26"/>
      <c r="E79" s="39"/>
      <c r="F79" s="147"/>
      <c r="G79" s="30"/>
      <c r="H79" s="39"/>
      <c r="I79" s="117"/>
      <c r="J79" s="223"/>
      <c r="K79" s="193"/>
      <c r="L79" s="224"/>
      <c r="M79" s="225"/>
      <c r="N79" s="223"/>
      <c r="O79" s="223"/>
      <c r="P79" s="223"/>
      <c r="Q79" s="139"/>
      <c r="R79" s="223"/>
      <c r="S79" s="223"/>
      <c r="T79" s="224"/>
      <c r="U79" s="223"/>
      <c r="V79" s="110"/>
    </row>
    <row r="80" ht="18.75" customHeight="1">
      <c r="A80" s="193">
        <v>85.0</v>
      </c>
      <c r="B80" s="222">
        <v>46237.0</v>
      </c>
      <c r="C80" s="39"/>
      <c r="D80" s="26"/>
      <c r="E80" s="39"/>
      <c r="F80" s="147"/>
      <c r="G80" s="30"/>
      <c r="H80" s="39"/>
      <c r="I80" s="117"/>
      <c r="J80" s="223"/>
      <c r="K80" s="193"/>
      <c r="L80" s="224"/>
      <c r="M80" s="225"/>
      <c r="N80" s="223"/>
      <c r="O80" s="223"/>
      <c r="P80" s="223"/>
      <c r="Q80" s="139"/>
      <c r="R80" s="223"/>
      <c r="S80" s="223"/>
      <c r="T80" s="224"/>
      <c r="U80" s="223"/>
      <c r="V80" s="110"/>
    </row>
    <row r="81" ht="18.75" customHeight="1">
      <c r="A81" s="193">
        <v>86.0</v>
      </c>
      <c r="B81" s="222">
        <v>46237.0</v>
      </c>
      <c r="C81" s="39"/>
      <c r="D81" s="26"/>
      <c r="E81" s="39"/>
      <c r="F81" s="147"/>
      <c r="G81" s="30"/>
      <c r="H81" s="39"/>
      <c r="I81" s="117"/>
      <c r="J81" s="223"/>
      <c r="K81" s="193"/>
      <c r="L81" s="224"/>
      <c r="M81" s="225"/>
      <c r="N81" s="223"/>
      <c r="O81" s="223"/>
      <c r="P81" s="223"/>
      <c r="Q81" s="139"/>
      <c r="R81" s="223"/>
      <c r="S81" s="223"/>
      <c r="T81" s="224"/>
      <c r="U81" s="223"/>
      <c r="V81" s="110"/>
    </row>
    <row r="82" ht="18.75" customHeight="1">
      <c r="A82" s="193">
        <v>87.0</v>
      </c>
      <c r="B82" s="222">
        <v>46237.0</v>
      </c>
      <c r="C82" s="39"/>
      <c r="D82" s="26"/>
      <c r="E82" s="39"/>
      <c r="F82" s="147"/>
      <c r="G82" s="30"/>
      <c r="H82" s="39"/>
      <c r="I82" s="117"/>
      <c r="J82" s="223"/>
      <c r="K82" s="193"/>
      <c r="L82" s="224"/>
      <c r="M82" s="225"/>
      <c r="N82" s="223"/>
      <c r="O82" s="223"/>
      <c r="P82" s="223"/>
      <c r="Q82" s="139"/>
      <c r="R82" s="223"/>
      <c r="S82" s="223"/>
      <c r="T82" s="224"/>
      <c r="U82" s="223"/>
      <c r="V82" s="110"/>
    </row>
    <row r="83" ht="18.75" customHeight="1">
      <c r="A83" s="193">
        <v>88.0</v>
      </c>
      <c r="B83" s="222">
        <v>46237.0</v>
      </c>
      <c r="C83" s="39"/>
      <c r="D83" s="26"/>
      <c r="E83" s="39"/>
      <c r="F83" s="147"/>
      <c r="G83" s="30"/>
      <c r="H83" s="39"/>
      <c r="I83" s="117"/>
      <c r="J83" s="223"/>
      <c r="K83" s="193"/>
      <c r="L83" s="224"/>
      <c r="M83" s="225"/>
      <c r="N83" s="223"/>
      <c r="O83" s="223"/>
      <c r="P83" s="223"/>
      <c r="Q83" s="139"/>
      <c r="R83" s="223"/>
      <c r="S83" s="223"/>
      <c r="T83" s="224"/>
      <c r="U83" s="223"/>
      <c r="V83" s="110"/>
    </row>
    <row r="84" ht="18.75" customHeight="1">
      <c r="A84" s="193">
        <v>89.0</v>
      </c>
      <c r="B84" s="222">
        <v>46237.0</v>
      </c>
      <c r="C84" s="39"/>
      <c r="D84" s="26"/>
      <c r="E84" s="39"/>
      <c r="F84" s="147"/>
      <c r="G84" s="30"/>
      <c r="H84" s="39"/>
      <c r="I84" s="117"/>
      <c r="J84" s="223"/>
      <c r="K84" s="193"/>
      <c r="L84" s="224"/>
      <c r="M84" s="225"/>
      <c r="N84" s="223"/>
      <c r="O84" s="223"/>
      <c r="P84" s="223"/>
      <c r="Q84" s="139"/>
      <c r="R84" s="223"/>
      <c r="S84" s="223"/>
      <c r="T84" s="224"/>
      <c r="U84" s="223"/>
      <c r="V84" s="110"/>
    </row>
    <row r="85" ht="18.75" customHeight="1">
      <c r="A85" s="193">
        <v>90.0</v>
      </c>
      <c r="B85" s="222">
        <v>46237.0</v>
      </c>
      <c r="C85" s="39"/>
      <c r="D85" s="26"/>
      <c r="E85" s="39"/>
      <c r="F85" s="147"/>
      <c r="G85" s="30"/>
      <c r="H85" s="39"/>
      <c r="I85" s="117"/>
      <c r="J85" s="223"/>
      <c r="K85" s="193"/>
      <c r="L85" s="224"/>
      <c r="M85" s="225"/>
      <c r="N85" s="223"/>
      <c r="O85" s="223"/>
      <c r="P85" s="223"/>
      <c r="Q85" s="139"/>
      <c r="R85" s="223"/>
      <c r="S85" s="223"/>
      <c r="T85" s="224"/>
      <c r="U85" s="223"/>
      <c r="V85" s="110"/>
    </row>
    <row r="86" ht="18.75" customHeight="1">
      <c r="A86" s="193">
        <v>91.0</v>
      </c>
      <c r="B86" s="222">
        <v>46237.0</v>
      </c>
      <c r="C86" s="39"/>
      <c r="D86" s="26"/>
      <c r="E86" s="39"/>
      <c r="F86" s="147"/>
      <c r="G86" s="30"/>
      <c r="H86" s="39"/>
      <c r="I86" s="117"/>
      <c r="J86" s="223"/>
      <c r="K86" s="193"/>
      <c r="L86" s="224"/>
      <c r="M86" s="225"/>
      <c r="N86" s="223"/>
      <c r="O86" s="223"/>
      <c r="P86" s="223"/>
      <c r="Q86" s="139"/>
      <c r="R86" s="223"/>
      <c r="S86" s="223"/>
      <c r="T86" s="224"/>
      <c r="U86" s="223"/>
      <c r="V86" s="110"/>
    </row>
    <row r="87" ht="18.75" customHeight="1">
      <c r="A87" s="193">
        <v>92.0</v>
      </c>
      <c r="B87" s="222">
        <v>46237.0</v>
      </c>
      <c r="C87" s="39"/>
      <c r="D87" s="26"/>
      <c r="E87" s="39"/>
      <c r="F87" s="147"/>
      <c r="G87" s="30"/>
      <c r="H87" s="39"/>
      <c r="I87" s="117"/>
      <c r="J87" s="223"/>
      <c r="K87" s="193"/>
      <c r="L87" s="224"/>
      <c r="M87" s="225"/>
      <c r="N87" s="223"/>
      <c r="O87" s="223"/>
      <c r="P87" s="223"/>
      <c r="Q87" s="139"/>
      <c r="R87" s="223"/>
      <c r="S87" s="223"/>
      <c r="T87" s="224"/>
      <c r="U87" s="223"/>
      <c r="V87" s="110"/>
    </row>
    <row r="88" ht="18.75" customHeight="1">
      <c r="A88" s="193">
        <v>93.0</v>
      </c>
      <c r="B88" s="222">
        <v>46237.0</v>
      </c>
      <c r="C88" s="39"/>
      <c r="D88" s="26"/>
      <c r="E88" s="39"/>
      <c r="F88" s="147"/>
      <c r="G88" s="30"/>
      <c r="H88" s="39"/>
      <c r="I88" s="117"/>
      <c r="J88" s="223"/>
      <c r="K88" s="193"/>
      <c r="L88" s="224"/>
      <c r="M88" s="225"/>
      <c r="N88" s="223"/>
      <c r="O88" s="223"/>
      <c r="P88" s="223"/>
      <c r="Q88" s="139"/>
      <c r="R88" s="223"/>
      <c r="S88" s="223"/>
      <c r="T88" s="224"/>
      <c r="U88" s="223"/>
      <c r="V88" s="110"/>
    </row>
    <row r="89" ht="18.75" customHeight="1">
      <c r="A89" s="193">
        <v>94.0</v>
      </c>
      <c r="B89" s="222">
        <v>46237.0</v>
      </c>
      <c r="C89" s="39"/>
      <c r="D89" s="26"/>
      <c r="E89" s="39"/>
      <c r="F89" s="147"/>
      <c r="G89" s="30"/>
      <c r="H89" s="39"/>
      <c r="I89" s="117"/>
      <c r="J89" s="223"/>
      <c r="K89" s="193"/>
      <c r="L89" s="224"/>
      <c r="M89" s="225"/>
      <c r="N89" s="223"/>
      <c r="O89" s="223"/>
      <c r="P89" s="223"/>
      <c r="Q89" s="139"/>
      <c r="R89" s="223"/>
      <c r="S89" s="223"/>
      <c r="T89" s="224"/>
      <c r="U89" s="223"/>
      <c r="V89" s="110"/>
    </row>
    <row r="90" ht="18.75" customHeight="1">
      <c r="A90" s="193">
        <v>95.0</v>
      </c>
      <c r="B90" s="222">
        <v>46237.0</v>
      </c>
      <c r="C90" s="39"/>
      <c r="D90" s="26"/>
      <c r="E90" s="39"/>
      <c r="F90" s="147"/>
      <c r="G90" s="30"/>
      <c r="H90" s="39"/>
      <c r="I90" s="117"/>
      <c r="J90" s="223"/>
      <c r="K90" s="193"/>
      <c r="L90" s="224"/>
      <c r="M90" s="225"/>
      <c r="N90" s="223"/>
      <c r="O90" s="223"/>
      <c r="P90" s="223"/>
      <c r="Q90" s="139"/>
      <c r="R90" s="223"/>
      <c r="S90" s="223"/>
      <c r="T90" s="224"/>
      <c r="U90" s="223"/>
      <c r="V90" s="110"/>
    </row>
    <row r="91" ht="18.75" customHeight="1">
      <c r="A91" s="193">
        <v>96.0</v>
      </c>
      <c r="B91" s="222">
        <v>46237.0</v>
      </c>
      <c r="C91" s="39"/>
      <c r="D91" s="26"/>
      <c r="E91" s="39"/>
      <c r="F91" s="147"/>
      <c r="G91" s="30"/>
      <c r="H91" s="39"/>
      <c r="I91" s="117"/>
      <c r="J91" s="223"/>
      <c r="K91" s="193"/>
      <c r="L91" s="224"/>
      <c r="M91" s="225"/>
      <c r="N91" s="223"/>
      <c r="O91" s="223"/>
      <c r="P91" s="223"/>
      <c r="Q91" s="139"/>
      <c r="R91" s="223"/>
      <c r="S91" s="223"/>
      <c r="T91" s="224"/>
      <c r="U91" s="223"/>
      <c r="V91" s="110"/>
    </row>
    <row r="92" ht="18.75" customHeight="1">
      <c r="A92" s="193">
        <v>97.0</v>
      </c>
      <c r="B92" s="222">
        <v>46237.0</v>
      </c>
      <c r="C92" s="39"/>
      <c r="D92" s="26"/>
      <c r="E92" s="39"/>
      <c r="F92" s="147"/>
      <c r="G92" s="30"/>
      <c r="H92" s="39"/>
      <c r="I92" s="117"/>
      <c r="J92" s="223"/>
      <c r="K92" s="193"/>
      <c r="L92" s="224"/>
      <c r="M92" s="225"/>
      <c r="N92" s="223"/>
      <c r="O92" s="223"/>
      <c r="P92" s="223"/>
      <c r="Q92" s="139"/>
      <c r="R92" s="223"/>
      <c r="S92" s="223"/>
      <c r="T92" s="224"/>
      <c r="U92" s="223"/>
      <c r="V92" s="110"/>
    </row>
    <row r="93" ht="18.75" customHeight="1">
      <c r="A93" s="193">
        <v>98.0</v>
      </c>
      <c r="B93" s="222">
        <v>46237.0</v>
      </c>
      <c r="C93" s="39"/>
      <c r="D93" s="26"/>
      <c r="E93" s="39"/>
      <c r="F93" s="147"/>
      <c r="G93" s="30"/>
      <c r="H93" s="39"/>
      <c r="I93" s="117"/>
      <c r="J93" s="223"/>
      <c r="K93" s="193"/>
      <c r="L93" s="224"/>
      <c r="M93" s="225"/>
      <c r="N93" s="223"/>
      <c r="O93" s="223"/>
      <c r="P93" s="223"/>
      <c r="Q93" s="139"/>
      <c r="R93" s="223"/>
      <c r="S93" s="223"/>
      <c r="T93" s="224"/>
      <c r="U93" s="223"/>
      <c r="V93" s="110"/>
    </row>
    <row r="94" ht="18.75" customHeight="1">
      <c r="A94" s="193">
        <v>99.0</v>
      </c>
      <c r="B94" s="222">
        <v>46237.0</v>
      </c>
      <c r="C94" s="39"/>
      <c r="D94" s="26"/>
      <c r="E94" s="39"/>
      <c r="F94" s="147"/>
      <c r="G94" s="30"/>
      <c r="H94" s="39"/>
      <c r="I94" s="117"/>
      <c r="J94" s="223"/>
      <c r="K94" s="193"/>
      <c r="L94" s="224"/>
      <c r="M94" s="225"/>
      <c r="N94" s="223"/>
      <c r="O94" s="223"/>
      <c r="P94" s="223"/>
      <c r="Q94" s="139"/>
      <c r="R94" s="223"/>
      <c r="S94" s="223"/>
      <c r="T94" s="224"/>
      <c r="U94" s="223"/>
      <c r="V94" s="110"/>
    </row>
    <row r="95" ht="18.75" customHeight="1">
      <c r="A95" s="193">
        <v>100.0</v>
      </c>
      <c r="B95" s="222">
        <v>46237.0</v>
      </c>
      <c r="C95" s="39"/>
      <c r="D95" s="26"/>
      <c r="E95" s="39"/>
      <c r="F95" s="147"/>
      <c r="G95" s="30"/>
      <c r="H95" s="39"/>
      <c r="I95" s="117"/>
      <c r="J95" s="223"/>
      <c r="K95" s="193"/>
      <c r="L95" s="224"/>
      <c r="M95" s="225"/>
      <c r="N95" s="223"/>
      <c r="O95" s="223"/>
      <c r="P95" s="223"/>
      <c r="Q95" s="139"/>
      <c r="R95" s="223"/>
      <c r="S95" s="223"/>
      <c r="T95" s="224"/>
      <c r="U95" s="223"/>
      <c r="V95" s="110"/>
    </row>
    <row r="96" ht="18.75" customHeight="1">
      <c r="A96" s="193">
        <v>101.0</v>
      </c>
      <c r="B96" s="222">
        <v>46237.0</v>
      </c>
      <c r="C96" s="39"/>
      <c r="D96" s="26"/>
      <c r="E96" s="39"/>
      <c r="F96" s="147"/>
      <c r="G96" s="30"/>
      <c r="H96" s="39"/>
      <c r="I96" s="117"/>
      <c r="J96" s="223"/>
      <c r="K96" s="193"/>
      <c r="L96" s="224"/>
      <c r="M96" s="225"/>
      <c r="N96" s="223"/>
      <c r="O96" s="223"/>
      <c r="P96" s="223"/>
      <c r="Q96" s="139"/>
      <c r="R96" s="223"/>
      <c r="S96" s="223"/>
      <c r="T96" s="224"/>
      <c r="U96" s="223"/>
      <c r="V96" s="110"/>
    </row>
    <row r="97" ht="18.75" customHeight="1">
      <c r="A97" s="193">
        <v>102.0</v>
      </c>
      <c r="B97" s="222">
        <v>46237.0</v>
      </c>
      <c r="C97" s="39"/>
      <c r="D97" s="26"/>
      <c r="E97" s="39"/>
      <c r="F97" s="147"/>
      <c r="G97" s="30"/>
      <c r="H97" s="39"/>
      <c r="I97" s="117"/>
      <c r="J97" s="223"/>
      <c r="K97" s="193"/>
      <c r="L97" s="224"/>
      <c r="M97" s="225"/>
      <c r="N97" s="223"/>
      <c r="O97" s="223"/>
      <c r="P97" s="223"/>
      <c r="Q97" s="139"/>
      <c r="R97" s="223"/>
      <c r="S97" s="223"/>
      <c r="T97" s="224"/>
      <c r="U97" s="223"/>
      <c r="V97" s="110"/>
    </row>
    <row r="98" ht="18.75" customHeight="1">
      <c r="A98" s="193">
        <v>103.0</v>
      </c>
      <c r="B98" s="222">
        <v>46237.0</v>
      </c>
      <c r="C98" s="39"/>
      <c r="D98" s="26"/>
      <c r="E98" s="39"/>
      <c r="F98" s="147"/>
      <c r="G98" s="30"/>
      <c r="H98" s="39"/>
      <c r="I98" s="117"/>
      <c r="J98" s="223"/>
      <c r="K98" s="193"/>
      <c r="L98" s="224"/>
      <c r="M98" s="225"/>
      <c r="N98" s="223"/>
      <c r="O98" s="223"/>
      <c r="P98" s="223"/>
      <c r="Q98" s="139"/>
      <c r="R98" s="223"/>
      <c r="S98" s="223"/>
      <c r="T98" s="224"/>
      <c r="U98" s="223"/>
      <c r="V98" s="110"/>
    </row>
    <row r="99" ht="18.75" customHeight="1">
      <c r="A99" s="193">
        <v>104.0</v>
      </c>
      <c r="B99" s="222">
        <v>46237.0</v>
      </c>
      <c r="C99" s="39"/>
      <c r="D99" s="26"/>
      <c r="E99" s="39"/>
      <c r="F99" s="147"/>
      <c r="G99" s="30"/>
      <c r="H99" s="39"/>
      <c r="I99" s="117"/>
      <c r="J99" s="223"/>
      <c r="K99" s="193"/>
      <c r="L99" s="224"/>
      <c r="M99" s="225"/>
      <c r="N99" s="223"/>
      <c r="O99" s="223"/>
      <c r="P99" s="223"/>
      <c r="Q99" s="139"/>
      <c r="R99" s="223"/>
      <c r="S99" s="223"/>
      <c r="T99" s="224"/>
      <c r="U99" s="223"/>
      <c r="V99" s="110"/>
    </row>
    <row r="100" ht="18.75" customHeight="1">
      <c r="A100" s="193">
        <v>105.0</v>
      </c>
      <c r="B100" s="222">
        <v>46237.0</v>
      </c>
      <c r="C100" s="39"/>
      <c r="D100" s="26"/>
      <c r="E100" s="39"/>
      <c r="F100" s="147"/>
      <c r="G100" s="30"/>
      <c r="H100" s="39"/>
      <c r="I100" s="117"/>
      <c r="J100" s="223"/>
      <c r="K100" s="193"/>
      <c r="L100" s="224"/>
      <c r="M100" s="225"/>
      <c r="N100" s="223"/>
      <c r="O100" s="223"/>
      <c r="P100" s="223"/>
      <c r="Q100" s="139"/>
      <c r="R100" s="223"/>
      <c r="S100" s="223"/>
      <c r="T100" s="224"/>
      <c r="U100" s="223"/>
      <c r="V100" s="110"/>
    </row>
    <row r="101" ht="18.75" customHeight="1">
      <c r="A101" s="193">
        <v>106.0</v>
      </c>
      <c r="B101" s="222">
        <v>46237.0</v>
      </c>
      <c r="C101" s="39"/>
      <c r="D101" s="26"/>
      <c r="E101" s="39"/>
      <c r="F101" s="147"/>
      <c r="G101" s="30"/>
      <c r="H101" s="39"/>
      <c r="I101" s="117"/>
      <c r="J101" s="223"/>
      <c r="K101" s="193"/>
      <c r="L101" s="224"/>
      <c r="M101" s="225"/>
      <c r="N101" s="223"/>
      <c r="O101" s="223"/>
      <c r="P101" s="223"/>
      <c r="Q101" s="139"/>
      <c r="R101" s="223"/>
      <c r="S101" s="223"/>
      <c r="T101" s="224"/>
      <c r="U101" s="223"/>
      <c r="V101" s="110"/>
    </row>
    <row r="102" ht="18.75" customHeight="1">
      <c r="A102" s="193">
        <v>107.0</v>
      </c>
      <c r="B102" s="222">
        <v>46237.0</v>
      </c>
      <c r="C102" s="39"/>
      <c r="D102" s="26"/>
      <c r="E102" s="39"/>
      <c r="F102" s="147"/>
      <c r="G102" s="30"/>
      <c r="H102" s="39"/>
      <c r="I102" s="117"/>
      <c r="J102" s="223"/>
      <c r="K102" s="193"/>
      <c r="L102" s="224"/>
      <c r="M102" s="225"/>
      <c r="N102" s="223"/>
      <c r="O102" s="223"/>
      <c r="P102" s="223"/>
      <c r="Q102" s="139"/>
      <c r="R102" s="223"/>
      <c r="S102" s="223"/>
      <c r="T102" s="224"/>
      <c r="U102" s="223"/>
      <c r="V102" s="110"/>
    </row>
    <row r="103" ht="18.75" customHeight="1">
      <c r="A103" s="193">
        <v>108.0</v>
      </c>
      <c r="B103" s="222">
        <v>46237.0</v>
      </c>
      <c r="C103" s="39"/>
      <c r="D103" s="26"/>
      <c r="E103" s="39"/>
      <c r="F103" s="147"/>
      <c r="G103" s="30"/>
      <c r="H103" s="39"/>
      <c r="I103" s="117"/>
      <c r="J103" s="223"/>
      <c r="K103" s="193"/>
      <c r="L103" s="224"/>
      <c r="M103" s="225"/>
      <c r="N103" s="223"/>
      <c r="O103" s="223"/>
      <c r="P103" s="223"/>
      <c r="Q103" s="139"/>
      <c r="R103" s="223"/>
      <c r="S103" s="223"/>
      <c r="T103" s="224"/>
      <c r="U103" s="223"/>
      <c r="V103" s="110"/>
    </row>
    <row r="104" ht="18.75" customHeight="1">
      <c r="A104" s="193">
        <v>109.0</v>
      </c>
      <c r="B104" s="222"/>
      <c r="C104" s="39"/>
      <c r="D104" s="26"/>
      <c r="E104" s="39"/>
      <c r="F104" s="147"/>
      <c r="G104" s="30"/>
      <c r="H104" s="39"/>
      <c r="I104" s="117"/>
      <c r="J104" s="223"/>
      <c r="K104" s="193"/>
      <c r="L104" s="224"/>
      <c r="M104" s="225"/>
      <c r="N104" s="223"/>
      <c r="O104" s="223"/>
      <c r="P104" s="223"/>
      <c r="Q104" s="139"/>
      <c r="R104" s="223"/>
      <c r="S104" s="223"/>
      <c r="T104" s="224"/>
      <c r="U104" s="223"/>
      <c r="V104" s="110"/>
    </row>
    <row r="105" ht="18.75" customHeight="1">
      <c r="A105" s="193">
        <v>110.0</v>
      </c>
      <c r="B105" s="222"/>
      <c r="C105" s="39"/>
      <c r="D105" s="26"/>
      <c r="E105" s="39"/>
      <c r="F105" s="147"/>
      <c r="G105" s="30"/>
      <c r="H105" s="39"/>
      <c r="I105" s="117"/>
      <c r="J105" s="223"/>
      <c r="K105" s="193"/>
      <c r="L105" s="224"/>
      <c r="M105" s="225"/>
      <c r="N105" s="223"/>
      <c r="O105" s="223"/>
      <c r="P105" s="223"/>
      <c r="Q105" s="139"/>
      <c r="R105" s="223"/>
      <c r="S105" s="223"/>
      <c r="T105" s="224"/>
      <c r="U105" s="223"/>
      <c r="V105" s="110"/>
    </row>
    <row r="106" ht="18.75" customHeight="1">
      <c r="A106" s="193">
        <v>111.0</v>
      </c>
      <c r="B106" s="222"/>
      <c r="C106" s="39"/>
      <c r="D106" s="26"/>
      <c r="E106" s="39"/>
      <c r="F106" s="147"/>
      <c r="G106" s="30"/>
      <c r="H106" s="39"/>
      <c r="I106" s="117"/>
      <c r="J106" s="223"/>
      <c r="K106" s="193"/>
      <c r="L106" s="224"/>
      <c r="M106" s="225"/>
      <c r="N106" s="223"/>
      <c r="O106" s="223"/>
      <c r="P106" s="223"/>
      <c r="Q106" s="139"/>
      <c r="R106" s="223"/>
      <c r="S106" s="223"/>
      <c r="T106" s="224"/>
      <c r="U106" s="223"/>
      <c r="V106" s="110"/>
    </row>
    <row r="107" ht="18.75" customHeight="1">
      <c r="A107" s="193">
        <v>112.0</v>
      </c>
      <c r="B107" s="222"/>
      <c r="C107" s="39"/>
      <c r="D107" s="26"/>
      <c r="E107" s="39"/>
      <c r="F107" s="147"/>
      <c r="G107" s="30"/>
      <c r="H107" s="39"/>
      <c r="I107" s="117"/>
      <c r="J107" s="223"/>
      <c r="K107" s="193"/>
      <c r="L107" s="224"/>
      <c r="M107" s="225"/>
      <c r="N107" s="223"/>
      <c r="O107" s="223"/>
      <c r="P107" s="223"/>
      <c r="Q107" s="139"/>
      <c r="R107" s="223"/>
      <c r="S107" s="223"/>
      <c r="T107" s="224"/>
      <c r="U107" s="223"/>
      <c r="V107" s="110"/>
    </row>
    <row r="108" ht="18.75" customHeight="1">
      <c r="A108" s="193">
        <v>113.0</v>
      </c>
      <c r="B108" s="222"/>
      <c r="C108" s="39"/>
      <c r="D108" s="26"/>
      <c r="E108" s="39"/>
      <c r="F108" s="147"/>
      <c r="G108" s="30"/>
      <c r="H108" s="39"/>
      <c r="I108" s="117"/>
      <c r="J108" s="223"/>
      <c r="K108" s="193"/>
      <c r="L108" s="224"/>
      <c r="M108" s="225"/>
      <c r="N108" s="223"/>
      <c r="O108" s="223"/>
      <c r="P108" s="223"/>
      <c r="Q108" s="139"/>
      <c r="R108" s="223"/>
      <c r="S108" s="223"/>
      <c r="T108" s="224"/>
      <c r="U108" s="223"/>
      <c r="V108" s="110"/>
    </row>
    <row r="109" ht="18.75" customHeight="1">
      <c r="A109" s="193">
        <v>114.0</v>
      </c>
      <c r="B109" s="222"/>
      <c r="C109" s="39"/>
      <c r="D109" s="26"/>
      <c r="E109" s="39"/>
      <c r="F109" s="147"/>
      <c r="G109" s="30"/>
      <c r="H109" s="39"/>
      <c r="I109" s="117"/>
      <c r="J109" s="223"/>
      <c r="K109" s="193"/>
      <c r="L109" s="224"/>
      <c r="M109" s="225"/>
      <c r="N109" s="223"/>
      <c r="O109" s="223"/>
      <c r="P109" s="223"/>
      <c r="Q109" s="139"/>
      <c r="R109" s="223"/>
      <c r="S109" s="223"/>
      <c r="T109" s="224"/>
      <c r="U109" s="223"/>
      <c r="V109" s="110"/>
    </row>
    <row r="110" ht="18.75" customHeight="1">
      <c r="A110" s="277"/>
      <c r="B110" s="278"/>
      <c r="C110" s="279"/>
      <c r="D110" s="280"/>
      <c r="E110" s="281"/>
      <c r="F110" s="283"/>
      <c r="G110" s="279"/>
      <c r="H110" s="279"/>
      <c r="I110" s="284"/>
      <c r="J110" s="285"/>
      <c r="K110" s="277"/>
      <c r="L110" s="286"/>
      <c r="M110" s="285"/>
      <c r="N110" s="285"/>
      <c r="O110" s="285"/>
      <c r="P110" s="285"/>
      <c r="Q110" s="287"/>
      <c r="R110" s="285"/>
      <c r="S110" s="285"/>
      <c r="T110" s="286"/>
      <c r="U110" s="285"/>
      <c r="V110" s="288"/>
    </row>
    <row r="111" ht="18.75" customHeight="1">
      <c r="A111" s="277"/>
      <c r="B111" s="278"/>
      <c r="C111" s="279"/>
      <c r="D111" s="280"/>
      <c r="E111" s="281"/>
      <c r="F111" s="283"/>
      <c r="G111" s="279"/>
      <c r="H111" s="279"/>
      <c r="I111" s="284"/>
      <c r="J111" s="285"/>
      <c r="K111" s="277"/>
      <c r="L111" s="286"/>
      <c r="M111" s="285"/>
      <c r="N111" s="285"/>
      <c r="O111" s="285"/>
      <c r="P111" s="285"/>
      <c r="Q111" s="287"/>
      <c r="R111" s="285"/>
      <c r="S111" s="285"/>
      <c r="T111" s="286"/>
      <c r="U111" s="285"/>
      <c r="V111" s="288"/>
    </row>
    <row r="112" ht="18.75" customHeight="1">
      <c r="A112" s="277"/>
      <c r="B112" s="278"/>
      <c r="C112" s="279"/>
      <c r="D112" s="280"/>
      <c r="E112" s="281"/>
      <c r="F112" s="283"/>
      <c r="G112" s="279"/>
      <c r="H112" s="279"/>
      <c r="I112" s="284"/>
      <c r="J112" s="285"/>
      <c r="K112" s="277"/>
      <c r="L112" s="286"/>
      <c r="M112" s="285"/>
      <c r="N112" s="285"/>
      <c r="O112" s="285"/>
      <c r="P112" s="285"/>
      <c r="Q112" s="287"/>
      <c r="R112" s="285"/>
      <c r="S112" s="285"/>
      <c r="T112" s="286"/>
      <c r="U112" s="285"/>
      <c r="V112" s="288"/>
    </row>
    <row r="113" ht="18.75" customHeight="1">
      <c r="A113" s="277"/>
      <c r="B113" s="278"/>
      <c r="C113" s="279"/>
      <c r="D113" s="280"/>
      <c r="E113" s="281"/>
      <c r="F113" s="283"/>
      <c r="G113" s="279"/>
      <c r="H113" s="279"/>
      <c r="I113" s="284"/>
      <c r="J113" s="285"/>
      <c r="K113" s="277"/>
      <c r="L113" s="286"/>
      <c r="M113" s="285"/>
      <c r="N113" s="285"/>
      <c r="O113" s="285"/>
      <c r="P113" s="285"/>
      <c r="Q113" s="287"/>
      <c r="R113" s="285"/>
      <c r="S113" s="285"/>
      <c r="T113" s="286"/>
      <c r="U113" s="285"/>
      <c r="V113" s="288"/>
    </row>
    <row r="114" ht="18.75" customHeight="1">
      <c r="A114" s="277"/>
      <c r="B114" s="278"/>
      <c r="C114" s="279"/>
      <c r="D114" s="280"/>
      <c r="E114" s="281"/>
      <c r="F114" s="283"/>
      <c r="G114" s="279"/>
      <c r="H114" s="279"/>
      <c r="I114" s="284"/>
      <c r="J114" s="285"/>
      <c r="K114" s="277"/>
      <c r="L114" s="286"/>
      <c r="M114" s="285"/>
      <c r="N114" s="285"/>
      <c r="O114" s="285"/>
      <c r="P114" s="285"/>
      <c r="Q114" s="287"/>
      <c r="R114" s="285"/>
      <c r="S114" s="285"/>
      <c r="T114" s="286"/>
      <c r="U114" s="285"/>
      <c r="V114" s="288"/>
    </row>
    <row r="115" ht="18.75" customHeight="1">
      <c r="A115" s="277"/>
      <c r="B115" s="278"/>
      <c r="C115" s="279"/>
      <c r="D115" s="280"/>
      <c r="E115" s="281"/>
      <c r="F115" s="283"/>
      <c r="G115" s="279"/>
      <c r="H115" s="279"/>
      <c r="I115" s="284"/>
      <c r="J115" s="285"/>
      <c r="K115" s="277"/>
      <c r="L115" s="286"/>
      <c r="M115" s="285"/>
      <c r="N115" s="285"/>
      <c r="O115" s="285"/>
      <c r="P115" s="285"/>
      <c r="Q115" s="287"/>
      <c r="R115" s="285"/>
      <c r="S115" s="285"/>
      <c r="T115" s="286"/>
      <c r="U115" s="285"/>
      <c r="V115" s="288"/>
    </row>
  </sheetData>
  <autoFilter ref="$A$1:$V$109"/>
  <customSheetViews>
    <customSheetView guid="{FEF80687-EFF3-44D2-94FA-4094444153F3}" filter="1" showAutoFilter="1">
      <autoFilter ref="$A$1:$V$1">
        <filterColumn colId="3">
          <filters/>
        </filterColumn>
        <filterColumn colId="2">
          <filters/>
        </filterColumn>
        <filterColumn colId="5">
          <filters/>
        </filterColumn>
        <filterColumn colId="13">
          <filters/>
        </filterColumn>
      </autoFilter>
    </customSheetView>
    <customSheetView guid="{C03F513D-B891-4E8F-A0E0-D36AAB42F873}" filter="1" showAutoFilter="1">
      <autoFilter ref="$A$1:$V$109">
        <filterColumn colId="1">
          <filters blank="1">
            <filter val="2026/08/03"/>
          </filters>
        </filterColumn>
      </autoFilter>
    </customSheetView>
    <customSheetView guid="{FD26B4D1-1E1D-4C54-82E4-334C70FE1D07}" filter="1" showAutoFilter="1">
      <autoFilter ref="$A$1:$V$1">
        <filterColumn colId="17">
          <filters/>
        </filterColumn>
      </autoFilter>
    </customSheetView>
  </customSheetViews>
  <dataValidations>
    <dataValidation type="list" allowBlank="1" showErrorMessage="1" sqref="R2:R109">
      <formula1>"Uploaded,Non"</formula1>
    </dataValidation>
    <dataValidation type="list" allowBlank="1" showErrorMessage="1" sqref="C2:C109">
      <formula1>"Complaint,Requests,inquiries,suggestion"</formula1>
    </dataValidation>
    <dataValidation type="list" allowBlank="1" showErrorMessage="1" sqref="K2:K109">
      <formula1>"Call,Google maps,X,Tiktok,SurveyApp,Email,Website,Instgram,Voicemaill,WhatsApp"</formula1>
    </dataValidation>
    <dataValidation type="list" allowBlank="1" showErrorMessage="1" sqref="D2:D109">
      <formula1>"Customer S,Operations ,Investment,Real Estate,Franchise ,Marketing ,Maintenance,Environment,Project M,HR,Procurement,Finance,IT"</formula1>
    </dataValidation>
    <dataValidation type="list" allowBlank="1" showErrorMessage="1" sqref="Q2:Q109 U2:U109">
      <formula1>"Samia,Amani,Shrouq"</formula1>
    </dataValidation>
    <dataValidation type="list" allowBlank="1" showErrorMessage="1" sqref="S2 S4:S109">
      <formula1>"خلال 24 ساعة عمل ,خلال 2-5 ايام عمل ,خلال 7 ايام عمل "</formula1>
    </dataValidation>
  </dataValidations>
  <hyperlinks>
    <hyperlink r:id="rId1" ref="G4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rightToLeft="1" workbookViewId="0">
      <pane ySplit="1.0" topLeftCell="A2" activePane="bottomLeft" state="frozen"/>
      <selection activeCell="B3" sqref="B3" pane="bottomLeft"/>
    </sheetView>
  </sheetViews>
  <sheetFormatPr customHeight="1" defaultColWidth="12.63" defaultRowHeight="15.75"/>
  <cols>
    <col customWidth="1" min="1" max="1" width="4.88"/>
    <col customWidth="1" min="2" max="2" width="8.13"/>
    <col customWidth="1" min="3" max="3" width="13.38"/>
    <col customWidth="1" min="4" max="4" width="18.0"/>
    <col customWidth="1" min="5" max="5" width="10.38"/>
    <col customWidth="1" min="6" max="6" width="10.63"/>
    <col customWidth="1" min="7" max="8" width="6.75"/>
    <col customWidth="1" min="9" max="9" width="13.25"/>
    <col customWidth="1" min="10" max="10" width="38.5"/>
    <col customWidth="1" min="11" max="11" width="45.13"/>
    <col customWidth="1" min="12" max="12" width="12.88"/>
    <col customWidth="1" min="13" max="13" width="11.25"/>
    <col customWidth="1" min="14" max="14" width="12.88"/>
    <col customWidth="1" min="15" max="15" width="11.0"/>
    <col customWidth="1" min="16" max="16" width="9.25"/>
    <col customWidth="1" min="17" max="17" width="14.88"/>
    <col customWidth="1" min="18" max="18" width="12.38"/>
    <col customWidth="1" min="19" max="19" width="13.38"/>
    <col customWidth="1" min="20" max="22" width="13.5"/>
    <col customWidth="1" min="23" max="23" width="11.0"/>
    <col customWidth="1" min="24" max="24" width="14.75"/>
  </cols>
  <sheetData>
    <row r="1" ht="30.75" customHeight="1">
      <c r="A1" s="3"/>
      <c r="B1" s="296" t="s">
        <v>0</v>
      </c>
      <c r="C1" s="296" t="s">
        <v>1</v>
      </c>
      <c r="D1" s="297" t="s">
        <v>2</v>
      </c>
      <c r="E1" s="296" t="s">
        <v>4</v>
      </c>
      <c r="F1" s="296" t="s">
        <v>5</v>
      </c>
      <c r="G1" s="297" t="s">
        <v>4728</v>
      </c>
      <c r="H1" s="297" t="s">
        <v>6</v>
      </c>
      <c r="I1" s="297" t="s">
        <v>7</v>
      </c>
      <c r="J1" s="296" t="s">
        <v>8</v>
      </c>
      <c r="K1" s="297" t="s">
        <v>9</v>
      </c>
      <c r="L1" s="296" t="s">
        <v>10</v>
      </c>
      <c r="M1" s="297" t="s">
        <v>12</v>
      </c>
      <c r="N1" s="297" t="s">
        <v>4731</v>
      </c>
      <c r="O1" s="297" t="s">
        <v>16</v>
      </c>
      <c r="P1" s="3" t="s">
        <v>11</v>
      </c>
      <c r="Q1" s="11" t="s">
        <v>13</v>
      </c>
      <c r="R1" s="7" t="s">
        <v>14</v>
      </c>
      <c r="S1" s="7" t="s">
        <v>15</v>
      </c>
      <c r="T1" s="3" t="s">
        <v>15</v>
      </c>
      <c r="U1" s="3" t="s">
        <v>18</v>
      </c>
      <c r="V1" s="3" t="s">
        <v>19</v>
      </c>
      <c r="W1" s="5" t="s">
        <v>20</v>
      </c>
      <c r="X1" s="3" t="s">
        <v>17</v>
      </c>
    </row>
    <row r="2" ht="64.5" hidden="1" customHeight="1">
      <c r="A2" s="26">
        <v>1.0</v>
      </c>
      <c r="B2" s="188">
        <v>46174.0</v>
      </c>
      <c r="C2" s="26" t="s">
        <v>58</v>
      </c>
      <c r="D2" s="26" t="s">
        <v>60</v>
      </c>
      <c r="E2" s="27" t="s">
        <v>3557</v>
      </c>
      <c r="F2" s="21">
        <v>5.92619353E8</v>
      </c>
      <c r="G2" s="26" t="s">
        <v>4740</v>
      </c>
      <c r="H2" s="27" t="s">
        <v>41</v>
      </c>
      <c r="I2" s="26" t="s">
        <v>956</v>
      </c>
      <c r="J2" s="209" t="s">
        <v>3559</v>
      </c>
      <c r="K2" s="27"/>
      <c r="L2" s="26" t="s">
        <v>65</v>
      </c>
      <c r="M2" s="27" t="s">
        <v>38</v>
      </c>
      <c r="N2" s="26" t="s">
        <v>4746</v>
      </c>
      <c r="O2" s="26" t="s">
        <v>4746</v>
      </c>
      <c r="P2" s="35"/>
      <c r="Q2" s="26" t="s">
        <v>56</v>
      </c>
      <c r="R2" s="26" t="s">
        <v>42</v>
      </c>
      <c r="S2" s="26"/>
      <c r="T2" s="27" t="s">
        <v>3566</v>
      </c>
      <c r="U2" s="35"/>
      <c r="V2" s="26"/>
      <c r="W2" s="26">
        <v>5.0</v>
      </c>
      <c r="X2" s="26"/>
    </row>
    <row r="3" ht="18.75" hidden="1" customHeight="1">
      <c r="A3" s="26">
        <v>2.0</v>
      </c>
      <c r="B3" s="188">
        <v>46174.0</v>
      </c>
      <c r="C3" s="26" t="s">
        <v>58</v>
      </c>
      <c r="D3" s="26" t="s">
        <v>60</v>
      </c>
      <c r="E3" s="26" t="s">
        <v>27</v>
      </c>
      <c r="F3" s="21">
        <v>5.67081747E8</v>
      </c>
      <c r="G3" s="26" t="s">
        <v>27</v>
      </c>
      <c r="H3" s="26" t="s">
        <v>27</v>
      </c>
      <c r="I3" s="26" t="s">
        <v>27</v>
      </c>
      <c r="J3" s="209" t="s">
        <v>944</v>
      </c>
      <c r="K3" s="27"/>
      <c r="L3" s="26" t="s">
        <v>36</v>
      </c>
      <c r="M3" s="27" t="s">
        <v>88</v>
      </c>
      <c r="N3" s="26" t="s">
        <v>4746</v>
      </c>
      <c r="O3" s="26" t="s">
        <v>4746</v>
      </c>
      <c r="P3" s="35"/>
      <c r="Q3" s="26" t="s">
        <v>56</v>
      </c>
      <c r="R3" s="26" t="s">
        <v>42</v>
      </c>
      <c r="S3" s="26"/>
      <c r="T3" s="27"/>
      <c r="V3" s="26"/>
      <c r="W3" s="26">
        <v>5.0</v>
      </c>
      <c r="X3" s="35"/>
    </row>
    <row r="4" ht="28.5" hidden="1" customHeight="1">
      <c r="A4" s="26">
        <v>3.0</v>
      </c>
      <c r="B4" s="188">
        <v>46174.0</v>
      </c>
      <c r="C4" s="26" t="s">
        <v>58</v>
      </c>
      <c r="D4" s="26" t="s">
        <v>60</v>
      </c>
      <c r="E4" s="26" t="s">
        <v>27</v>
      </c>
      <c r="F4" s="21">
        <v>5.01807637E8</v>
      </c>
      <c r="G4" s="26" t="s">
        <v>27</v>
      </c>
      <c r="H4" s="26" t="s">
        <v>27</v>
      </c>
      <c r="I4" s="26" t="s">
        <v>27</v>
      </c>
      <c r="J4" s="209" t="s">
        <v>3574</v>
      </c>
      <c r="K4" s="27"/>
      <c r="L4" s="26" t="s">
        <v>65</v>
      </c>
      <c r="M4" s="27" t="s">
        <v>38</v>
      </c>
      <c r="N4" s="26" t="s">
        <v>4746</v>
      </c>
      <c r="O4" s="26" t="s">
        <v>4746</v>
      </c>
      <c r="P4" s="35"/>
      <c r="Q4" s="26" t="s">
        <v>56</v>
      </c>
      <c r="R4" s="26" t="s">
        <v>42</v>
      </c>
      <c r="S4" s="26"/>
      <c r="T4" s="27"/>
      <c r="U4" s="35"/>
      <c r="V4" s="26"/>
      <c r="W4" s="26">
        <v>5.0</v>
      </c>
      <c r="X4" s="26"/>
    </row>
    <row r="5" hidden="1">
      <c r="A5" s="26">
        <v>4.0</v>
      </c>
      <c r="B5" s="188">
        <v>46174.0</v>
      </c>
      <c r="C5" s="26" t="s">
        <v>58</v>
      </c>
      <c r="D5" s="26" t="s">
        <v>60</v>
      </c>
      <c r="E5" s="26" t="s">
        <v>27</v>
      </c>
      <c r="F5" s="21">
        <v>5.00600557E8</v>
      </c>
      <c r="G5" s="26" t="s">
        <v>27</v>
      </c>
      <c r="H5" s="26" t="s">
        <v>27</v>
      </c>
      <c r="I5" s="26" t="s">
        <v>27</v>
      </c>
      <c r="J5" s="209" t="s">
        <v>3577</v>
      </c>
      <c r="K5" s="27"/>
      <c r="L5" s="26" t="s">
        <v>65</v>
      </c>
      <c r="M5" s="27" t="s">
        <v>38</v>
      </c>
      <c r="N5" s="26" t="s">
        <v>4746</v>
      </c>
      <c r="O5" s="26" t="s">
        <v>4746</v>
      </c>
      <c r="P5" s="35"/>
      <c r="Q5" s="26" t="s">
        <v>56</v>
      </c>
      <c r="R5" s="26" t="s">
        <v>42</v>
      </c>
      <c r="S5" s="26"/>
      <c r="T5" s="27"/>
      <c r="U5" s="35"/>
      <c r="V5" s="26"/>
      <c r="W5" s="26">
        <v>5.0</v>
      </c>
      <c r="X5" s="26"/>
    </row>
    <row r="6" hidden="1">
      <c r="A6" s="26">
        <v>5.0</v>
      </c>
      <c r="B6" s="188">
        <v>46174.0</v>
      </c>
      <c r="C6" s="26" t="s">
        <v>58</v>
      </c>
      <c r="D6" s="26" t="s">
        <v>60</v>
      </c>
      <c r="E6" s="27" t="s">
        <v>3582</v>
      </c>
      <c r="F6" s="21">
        <v>5.04178939E8</v>
      </c>
      <c r="G6" s="26" t="s">
        <v>4769</v>
      </c>
      <c r="H6" s="27" t="s">
        <v>152</v>
      </c>
      <c r="I6" s="26" t="s">
        <v>27</v>
      </c>
      <c r="J6" s="209" t="s">
        <v>554</v>
      </c>
      <c r="K6" s="27"/>
      <c r="L6" s="26" t="s">
        <v>36</v>
      </c>
      <c r="M6" s="27" t="s">
        <v>88</v>
      </c>
      <c r="N6" s="26" t="s">
        <v>4746</v>
      </c>
      <c r="O6" s="26" t="s">
        <v>4746</v>
      </c>
      <c r="P6" s="35"/>
      <c r="Q6" s="26" t="s">
        <v>56</v>
      </c>
      <c r="R6" s="26" t="s">
        <v>42</v>
      </c>
      <c r="S6" s="26"/>
      <c r="T6" s="27"/>
      <c r="U6" s="35"/>
      <c r="V6" s="26"/>
      <c r="W6" s="26">
        <v>5.0</v>
      </c>
      <c r="X6" s="26"/>
    </row>
    <row r="7" hidden="1">
      <c r="A7" s="26">
        <v>6.0</v>
      </c>
      <c r="B7" s="188">
        <v>46174.0</v>
      </c>
      <c r="C7" s="26" t="s">
        <v>58</v>
      </c>
      <c r="D7" s="26" t="s">
        <v>60</v>
      </c>
      <c r="E7" s="26" t="s">
        <v>27</v>
      </c>
      <c r="F7" s="21">
        <v>5.04480135E8</v>
      </c>
      <c r="G7" s="26" t="s">
        <v>4769</v>
      </c>
      <c r="H7" s="27" t="s">
        <v>152</v>
      </c>
      <c r="I7" s="26" t="s">
        <v>27</v>
      </c>
      <c r="J7" s="209" t="s">
        <v>3587</v>
      </c>
      <c r="K7" s="27"/>
      <c r="L7" s="26" t="s">
        <v>36</v>
      </c>
      <c r="M7" s="27" t="s">
        <v>88</v>
      </c>
      <c r="N7" s="26" t="s">
        <v>4746</v>
      </c>
      <c r="O7" s="26" t="s">
        <v>4746</v>
      </c>
      <c r="P7" s="35"/>
      <c r="Q7" s="26" t="s">
        <v>56</v>
      </c>
      <c r="R7" s="26" t="s">
        <v>42</v>
      </c>
      <c r="S7" s="26"/>
      <c r="T7" s="27"/>
      <c r="U7" s="35"/>
      <c r="V7" s="26"/>
      <c r="W7" s="26">
        <v>5.0</v>
      </c>
      <c r="X7" s="26"/>
    </row>
    <row r="8" hidden="1">
      <c r="A8" s="26">
        <v>7.0</v>
      </c>
      <c r="B8" s="188">
        <v>46174.0</v>
      </c>
      <c r="C8" s="26" t="s">
        <v>58</v>
      </c>
      <c r="D8" s="26" t="s">
        <v>60</v>
      </c>
      <c r="E8" s="26" t="s">
        <v>27</v>
      </c>
      <c r="F8" s="21">
        <v>5.59133287E8</v>
      </c>
      <c r="G8" s="26" t="s">
        <v>4769</v>
      </c>
      <c r="H8" s="27" t="s">
        <v>152</v>
      </c>
      <c r="I8" s="26" t="s">
        <v>27</v>
      </c>
      <c r="J8" s="209" t="s">
        <v>3590</v>
      </c>
      <c r="K8" s="27"/>
      <c r="L8" s="26" t="s">
        <v>36</v>
      </c>
      <c r="M8" s="27" t="s">
        <v>88</v>
      </c>
      <c r="N8" s="26" t="s">
        <v>4746</v>
      </c>
      <c r="O8" s="26" t="s">
        <v>4746</v>
      </c>
      <c r="P8" s="35"/>
      <c r="Q8" s="26" t="s">
        <v>56</v>
      </c>
      <c r="R8" s="26" t="s">
        <v>42</v>
      </c>
      <c r="S8" s="26"/>
      <c r="T8" s="27"/>
      <c r="U8" s="35"/>
      <c r="V8" s="26"/>
      <c r="W8" s="26">
        <v>5.0</v>
      </c>
      <c r="X8" s="26"/>
    </row>
    <row r="9" hidden="1">
      <c r="A9" s="26">
        <v>8.0</v>
      </c>
      <c r="B9" s="188">
        <v>46174.0</v>
      </c>
      <c r="C9" s="26" t="s">
        <v>21</v>
      </c>
      <c r="D9" s="26" t="s">
        <v>24</v>
      </c>
      <c r="E9" s="27" t="s">
        <v>3593</v>
      </c>
      <c r="F9" s="21" t="s">
        <v>3594</v>
      </c>
      <c r="G9" s="26" t="s">
        <v>27</v>
      </c>
      <c r="H9" s="26" t="s">
        <v>27</v>
      </c>
      <c r="I9" s="26" t="s">
        <v>27</v>
      </c>
      <c r="J9" s="209" t="s">
        <v>3596</v>
      </c>
      <c r="K9" s="27"/>
      <c r="L9" s="26" t="s">
        <v>62</v>
      </c>
      <c r="M9" s="27" t="s">
        <v>4802</v>
      </c>
      <c r="N9" s="26" t="s">
        <v>4803</v>
      </c>
      <c r="O9" s="26" t="s">
        <v>4746</v>
      </c>
      <c r="P9" s="35"/>
      <c r="Q9" s="26" t="s">
        <v>56</v>
      </c>
      <c r="R9" s="26" t="s">
        <v>42</v>
      </c>
      <c r="S9" s="26"/>
      <c r="T9" s="27"/>
      <c r="U9" s="35"/>
      <c r="V9" s="26"/>
      <c r="W9" s="26">
        <v>5.0</v>
      </c>
      <c r="X9" s="26" t="s">
        <v>46</v>
      </c>
    </row>
    <row r="10" hidden="1">
      <c r="A10" s="26">
        <v>9.0</v>
      </c>
      <c r="B10" s="188">
        <v>46174.0</v>
      </c>
      <c r="C10" s="26" t="s">
        <v>58</v>
      </c>
      <c r="D10" s="26" t="s">
        <v>60</v>
      </c>
      <c r="E10" s="26" t="s">
        <v>27</v>
      </c>
      <c r="F10" s="21">
        <v>5.59883419E8</v>
      </c>
      <c r="G10" s="26" t="s">
        <v>27</v>
      </c>
      <c r="H10" s="26" t="s">
        <v>27</v>
      </c>
      <c r="I10" s="26" t="s">
        <v>27</v>
      </c>
      <c r="J10" s="209" t="s">
        <v>3601</v>
      </c>
      <c r="K10" s="27"/>
      <c r="L10" s="26" t="s">
        <v>62</v>
      </c>
      <c r="M10" s="27" t="s">
        <v>88</v>
      </c>
      <c r="N10" s="26" t="s">
        <v>4746</v>
      </c>
      <c r="O10" s="26" t="s">
        <v>4746</v>
      </c>
      <c r="P10" s="35"/>
      <c r="Q10" s="26" t="s">
        <v>56</v>
      </c>
      <c r="R10" s="26" t="s">
        <v>42</v>
      </c>
      <c r="S10" s="26"/>
      <c r="T10" s="27"/>
      <c r="U10" s="35"/>
      <c r="V10" s="26"/>
      <c r="W10" s="26">
        <v>5.0</v>
      </c>
      <c r="X10" s="26"/>
    </row>
    <row r="11" hidden="1">
      <c r="A11" s="26">
        <v>10.0</v>
      </c>
      <c r="B11" s="188">
        <v>46174.0</v>
      </c>
      <c r="C11" s="26" t="s">
        <v>58</v>
      </c>
      <c r="D11" s="26" t="s">
        <v>57</v>
      </c>
      <c r="E11" s="26" t="s">
        <v>27</v>
      </c>
      <c r="F11" s="21">
        <v>5.05654655E8</v>
      </c>
      <c r="G11" s="26" t="s">
        <v>27</v>
      </c>
      <c r="H11" s="26" t="s">
        <v>27</v>
      </c>
      <c r="I11" s="26" t="s">
        <v>27</v>
      </c>
      <c r="J11" s="209" t="s">
        <v>3606</v>
      </c>
      <c r="K11" s="27"/>
      <c r="L11" s="26" t="s">
        <v>62</v>
      </c>
      <c r="M11" s="27" t="s">
        <v>1399</v>
      </c>
      <c r="N11" s="26" t="s">
        <v>4746</v>
      </c>
      <c r="O11" s="26" t="s">
        <v>4746</v>
      </c>
      <c r="P11" s="35"/>
      <c r="Q11" s="26" t="s">
        <v>56</v>
      </c>
      <c r="R11" s="26" t="s">
        <v>42</v>
      </c>
      <c r="S11" s="26"/>
      <c r="T11" s="27"/>
      <c r="U11" s="35"/>
      <c r="V11" s="26"/>
      <c r="W11" s="26">
        <v>5.0</v>
      </c>
      <c r="X11" s="26"/>
    </row>
    <row r="12" hidden="1">
      <c r="A12" s="26">
        <v>11.0</v>
      </c>
      <c r="B12" s="188">
        <v>46174.0</v>
      </c>
      <c r="C12" s="26" t="s">
        <v>58</v>
      </c>
      <c r="D12" s="26" t="s">
        <v>60</v>
      </c>
      <c r="E12" s="26" t="s">
        <v>27</v>
      </c>
      <c r="F12" s="21">
        <v>5.02239006E8</v>
      </c>
      <c r="G12" s="26" t="s">
        <v>27</v>
      </c>
      <c r="H12" s="26" t="s">
        <v>27</v>
      </c>
      <c r="I12" s="26" t="s">
        <v>27</v>
      </c>
      <c r="J12" s="209" t="s">
        <v>3615</v>
      </c>
      <c r="K12" s="27" t="s">
        <v>3617</v>
      </c>
      <c r="L12" s="26" t="s">
        <v>62</v>
      </c>
      <c r="M12" s="27" t="s">
        <v>88</v>
      </c>
      <c r="N12" s="26" t="s">
        <v>4746</v>
      </c>
      <c r="O12" s="26" t="s">
        <v>4746</v>
      </c>
      <c r="P12" s="35"/>
      <c r="Q12" s="26" t="s">
        <v>56</v>
      </c>
      <c r="R12" s="26" t="s">
        <v>42</v>
      </c>
      <c r="S12" s="26"/>
      <c r="T12" s="27"/>
      <c r="U12" s="35"/>
      <c r="V12" s="26"/>
      <c r="W12" s="26">
        <v>5.0</v>
      </c>
      <c r="X12" s="26"/>
    </row>
    <row r="13" hidden="1">
      <c r="A13" s="26">
        <v>12.0</v>
      </c>
      <c r="B13" s="188">
        <v>46174.0</v>
      </c>
      <c r="C13" s="26" t="s">
        <v>58</v>
      </c>
      <c r="D13" s="26" t="s">
        <v>60</v>
      </c>
      <c r="E13" s="26" t="s">
        <v>3621</v>
      </c>
      <c r="F13" s="21">
        <v>5.5554312E8</v>
      </c>
      <c r="G13" s="26" t="s">
        <v>27</v>
      </c>
      <c r="H13" s="26" t="s">
        <v>27</v>
      </c>
      <c r="I13" s="26" t="s">
        <v>27</v>
      </c>
      <c r="J13" s="209" t="s">
        <v>88</v>
      </c>
      <c r="K13" s="27"/>
      <c r="L13" s="26" t="s">
        <v>62</v>
      </c>
      <c r="M13" s="27" t="s">
        <v>88</v>
      </c>
      <c r="N13" s="26" t="s">
        <v>4746</v>
      </c>
      <c r="O13" s="26" t="s">
        <v>4746</v>
      </c>
      <c r="P13" s="35"/>
      <c r="Q13" s="26" t="s">
        <v>56</v>
      </c>
      <c r="R13" s="26" t="s">
        <v>42</v>
      </c>
      <c r="S13" s="26"/>
      <c r="T13" s="27"/>
      <c r="U13" s="35"/>
      <c r="V13" s="26"/>
      <c r="W13" s="26">
        <v>5.0</v>
      </c>
      <c r="X13" s="26"/>
    </row>
    <row r="14" hidden="1">
      <c r="A14" s="26">
        <v>13.0</v>
      </c>
      <c r="B14" s="188">
        <v>46174.0</v>
      </c>
      <c r="C14" s="26" t="s">
        <v>58</v>
      </c>
      <c r="D14" s="26" t="s">
        <v>60</v>
      </c>
      <c r="E14" s="27" t="s">
        <v>3625</v>
      </c>
      <c r="F14" s="21">
        <v>5.08117542E8</v>
      </c>
      <c r="G14" s="26" t="s">
        <v>27</v>
      </c>
      <c r="H14" s="26" t="s">
        <v>27</v>
      </c>
      <c r="I14" s="26" t="s">
        <v>27</v>
      </c>
      <c r="J14" s="209" t="s">
        <v>3626</v>
      </c>
      <c r="K14" s="27"/>
      <c r="L14" s="26" t="s">
        <v>62</v>
      </c>
      <c r="M14" s="27" t="s">
        <v>88</v>
      </c>
      <c r="N14" s="26" t="s">
        <v>4746</v>
      </c>
      <c r="O14" s="26" t="s">
        <v>4746</v>
      </c>
      <c r="P14" s="35"/>
      <c r="Q14" s="26" t="s">
        <v>56</v>
      </c>
      <c r="R14" s="26" t="s">
        <v>42</v>
      </c>
      <c r="S14" s="26"/>
      <c r="T14" s="27"/>
      <c r="U14" s="35"/>
      <c r="V14" s="26"/>
      <c r="W14" s="26">
        <v>5.0</v>
      </c>
      <c r="X14" s="26"/>
    </row>
    <row r="15" hidden="1">
      <c r="A15" s="26">
        <v>14.0</v>
      </c>
      <c r="B15" s="188">
        <v>46174.0</v>
      </c>
      <c r="C15" s="26" t="s">
        <v>58</v>
      </c>
      <c r="D15" s="26" t="s">
        <v>60</v>
      </c>
      <c r="E15" s="26" t="s">
        <v>27</v>
      </c>
      <c r="F15" s="21">
        <v>5.81020566E8</v>
      </c>
      <c r="G15" s="26" t="s">
        <v>4852</v>
      </c>
      <c r="H15" s="27" t="s">
        <v>318</v>
      </c>
      <c r="I15" s="26" t="s">
        <v>27</v>
      </c>
      <c r="J15" s="209" t="s">
        <v>3633</v>
      </c>
      <c r="K15" s="27"/>
      <c r="L15" s="26" t="s">
        <v>62</v>
      </c>
      <c r="M15" s="27" t="s">
        <v>88</v>
      </c>
      <c r="N15" s="26" t="s">
        <v>4746</v>
      </c>
      <c r="O15" s="26" t="s">
        <v>4746</v>
      </c>
      <c r="P15" s="35"/>
      <c r="Q15" s="26" t="s">
        <v>56</v>
      </c>
      <c r="R15" s="26" t="s">
        <v>42</v>
      </c>
      <c r="S15" s="26"/>
      <c r="T15" s="27"/>
      <c r="U15" s="35"/>
      <c r="V15" s="26"/>
      <c r="W15" s="26">
        <v>5.0</v>
      </c>
      <c r="X15" s="26"/>
    </row>
    <row r="16" hidden="1">
      <c r="A16" s="26">
        <v>15.0</v>
      </c>
      <c r="B16" s="188">
        <v>46174.0</v>
      </c>
      <c r="C16" s="26" t="s">
        <v>58</v>
      </c>
      <c r="D16" s="26" t="s">
        <v>60</v>
      </c>
      <c r="E16" s="27" t="s">
        <v>3639</v>
      </c>
      <c r="F16" s="21">
        <v>5.38860847E8</v>
      </c>
      <c r="G16" s="26" t="s">
        <v>4740</v>
      </c>
      <c r="H16" s="27" t="s">
        <v>79</v>
      </c>
      <c r="I16" s="26" t="s">
        <v>27</v>
      </c>
      <c r="J16" s="209" t="s">
        <v>3642</v>
      </c>
      <c r="K16" s="27"/>
      <c r="L16" s="26" t="s">
        <v>62</v>
      </c>
      <c r="M16" s="27" t="s">
        <v>88</v>
      </c>
      <c r="N16" s="26" t="s">
        <v>4746</v>
      </c>
      <c r="O16" s="26" t="s">
        <v>4746</v>
      </c>
      <c r="P16" s="35"/>
      <c r="Q16" s="26" t="s">
        <v>56</v>
      </c>
      <c r="R16" s="26" t="s">
        <v>42</v>
      </c>
      <c r="S16" s="26"/>
      <c r="T16" s="27"/>
      <c r="U16" s="35"/>
      <c r="V16" s="26"/>
      <c r="W16" s="26">
        <v>5.0</v>
      </c>
      <c r="X16" s="26"/>
    </row>
    <row r="17" hidden="1">
      <c r="A17" s="26">
        <v>16.0</v>
      </c>
      <c r="B17" s="188">
        <v>46174.0</v>
      </c>
      <c r="C17" s="26" t="s">
        <v>21</v>
      </c>
      <c r="D17" s="26" t="s">
        <v>22</v>
      </c>
      <c r="E17" s="27" t="s">
        <v>2786</v>
      </c>
      <c r="F17" s="21">
        <v>5.60404162E8</v>
      </c>
      <c r="G17" s="26" t="s">
        <v>4865</v>
      </c>
      <c r="H17" s="27" t="s">
        <v>319</v>
      </c>
      <c r="I17" s="26" t="s">
        <v>27</v>
      </c>
      <c r="J17" s="209" t="s">
        <v>3650</v>
      </c>
      <c r="K17" s="27"/>
      <c r="L17" s="26" t="s">
        <v>62</v>
      </c>
      <c r="M17" s="27" t="s">
        <v>4868</v>
      </c>
      <c r="N17" s="26" t="s">
        <v>4870</v>
      </c>
      <c r="O17" s="26" t="s">
        <v>4746</v>
      </c>
      <c r="P17" s="35"/>
      <c r="Q17" s="26" t="s">
        <v>40</v>
      </c>
      <c r="R17" s="26" t="s">
        <v>42</v>
      </c>
      <c r="S17" s="26"/>
      <c r="T17" s="27"/>
      <c r="U17" s="35"/>
      <c r="V17" s="26"/>
      <c r="W17" s="26">
        <v>5.0</v>
      </c>
      <c r="X17" s="26" t="s">
        <v>46</v>
      </c>
    </row>
    <row r="18" hidden="1">
      <c r="A18" s="26">
        <v>17.0</v>
      </c>
      <c r="B18" s="188">
        <v>46174.0</v>
      </c>
      <c r="C18" s="26" t="s">
        <v>58</v>
      </c>
      <c r="D18" s="26" t="s">
        <v>60</v>
      </c>
      <c r="E18" s="27" t="s">
        <v>3656</v>
      </c>
      <c r="F18" s="21">
        <v>5.50225432E8</v>
      </c>
      <c r="G18" s="26" t="s">
        <v>27</v>
      </c>
      <c r="H18" s="26" t="s">
        <v>27</v>
      </c>
      <c r="I18" s="26" t="s">
        <v>27</v>
      </c>
      <c r="J18" s="209" t="s">
        <v>3658</v>
      </c>
      <c r="K18" s="27"/>
      <c r="L18" s="26" t="s">
        <v>62</v>
      </c>
      <c r="M18" s="27" t="s">
        <v>88</v>
      </c>
      <c r="N18" s="26" t="s">
        <v>4746</v>
      </c>
      <c r="O18" s="26" t="s">
        <v>4746</v>
      </c>
      <c r="P18" s="35"/>
      <c r="Q18" s="26" t="s">
        <v>56</v>
      </c>
      <c r="R18" s="26" t="s">
        <v>42</v>
      </c>
      <c r="S18" s="26"/>
      <c r="T18" s="27"/>
      <c r="U18" s="35"/>
      <c r="V18" s="26"/>
      <c r="W18" s="26">
        <v>5.0</v>
      </c>
      <c r="X18" s="26"/>
    </row>
    <row r="19" hidden="1">
      <c r="A19" s="26">
        <v>18.0</v>
      </c>
      <c r="B19" s="188">
        <v>46174.0</v>
      </c>
      <c r="C19" s="26" t="s">
        <v>58</v>
      </c>
      <c r="D19" s="26" t="s">
        <v>60</v>
      </c>
      <c r="E19" s="27" t="s">
        <v>3665</v>
      </c>
      <c r="F19" s="21">
        <v>5.43506393E8</v>
      </c>
      <c r="G19" s="26" t="s">
        <v>27</v>
      </c>
      <c r="H19" s="26" t="s">
        <v>27</v>
      </c>
      <c r="I19" s="26" t="s">
        <v>27</v>
      </c>
      <c r="J19" s="209" t="s">
        <v>3667</v>
      </c>
      <c r="K19" s="27"/>
      <c r="L19" s="26" t="s">
        <v>62</v>
      </c>
      <c r="M19" s="27" t="s">
        <v>88</v>
      </c>
      <c r="N19" s="26" t="s">
        <v>4746</v>
      </c>
      <c r="O19" s="26" t="s">
        <v>4746</v>
      </c>
      <c r="P19" s="35"/>
      <c r="Q19" s="26" t="s">
        <v>56</v>
      </c>
      <c r="R19" s="26" t="s">
        <v>42</v>
      </c>
      <c r="S19" s="26"/>
      <c r="T19" s="27"/>
      <c r="U19" s="35"/>
      <c r="V19" s="26"/>
      <c r="W19" s="26">
        <v>5.0</v>
      </c>
      <c r="X19" s="26"/>
    </row>
    <row r="20" hidden="1">
      <c r="A20" s="26">
        <v>19.0</v>
      </c>
      <c r="B20" s="188">
        <v>46174.0</v>
      </c>
      <c r="C20" s="26" t="s">
        <v>58</v>
      </c>
      <c r="D20" s="26" t="s">
        <v>60</v>
      </c>
      <c r="E20" s="26" t="s">
        <v>27</v>
      </c>
      <c r="F20" s="21">
        <v>5.3024035E8</v>
      </c>
      <c r="G20" s="26" t="s">
        <v>27</v>
      </c>
      <c r="H20" s="26" t="s">
        <v>27</v>
      </c>
      <c r="I20" s="26" t="s">
        <v>27</v>
      </c>
      <c r="J20" s="209" t="s">
        <v>3673</v>
      </c>
      <c r="K20" s="27"/>
      <c r="L20" s="26" t="s">
        <v>62</v>
      </c>
      <c r="M20" s="27" t="s">
        <v>88</v>
      </c>
      <c r="N20" s="26" t="s">
        <v>4746</v>
      </c>
      <c r="O20" s="26" t="s">
        <v>4746</v>
      </c>
      <c r="P20" s="35"/>
      <c r="Q20" s="26" t="s">
        <v>56</v>
      </c>
      <c r="R20" s="26" t="s">
        <v>42</v>
      </c>
      <c r="S20" s="26"/>
      <c r="T20" s="27"/>
      <c r="U20" s="35"/>
      <c r="V20" s="26"/>
      <c r="W20" s="26">
        <v>5.0</v>
      </c>
      <c r="X20" s="26"/>
    </row>
    <row r="21" hidden="1">
      <c r="A21" s="26">
        <v>20.0</v>
      </c>
      <c r="B21" s="188">
        <v>46174.0</v>
      </c>
      <c r="C21" s="26" t="s">
        <v>58</v>
      </c>
      <c r="D21" s="26" t="s">
        <v>60</v>
      </c>
      <c r="E21" s="26" t="s">
        <v>27</v>
      </c>
      <c r="F21" s="21">
        <v>5.30990365E8</v>
      </c>
      <c r="G21" s="26" t="s">
        <v>27</v>
      </c>
      <c r="H21" s="26" t="s">
        <v>27</v>
      </c>
      <c r="I21" s="26" t="s">
        <v>27</v>
      </c>
      <c r="J21" s="209" t="s">
        <v>554</v>
      </c>
      <c r="K21" s="27"/>
      <c r="L21" s="26" t="s">
        <v>36</v>
      </c>
      <c r="M21" s="27" t="s">
        <v>88</v>
      </c>
      <c r="N21" s="26" t="s">
        <v>49</v>
      </c>
      <c r="O21" s="26" t="s">
        <v>49</v>
      </c>
      <c r="P21" s="35"/>
      <c r="Q21" s="26" t="s">
        <v>56</v>
      </c>
      <c r="R21" s="26" t="s">
        <v>42</v>
      </c>
      <c r="S21" s="26"/>
      <c r="T21" s="27"/>
      <c r="U21" s="35"/>
      <c r="V21" s="26"/>
      <c r="W21" s="26">
        <v>5.0</v>
      </c>
      <c r="X21" s="26"/>
    </row>
    <row r="22" ht="18.75" hidden="1" customHeight="1">
      <c r="A22" s="26">
        <v>21.0</v>
      </c>
      <c r="B22" s="188">
        <v>46174.0</v>
      </c>
      <c r="C22" s="26" t="s">
        <v>58</v>
      </c>
      <c r="D22" s="26" t="s">
        <v>60</v>
      </c>
      <c r="E22" s="26" t="s">
        <v>27</v>
      </c>
      <c r="F22" s="21">
        <v>5.09439071E8</v>
      </c>
      <c r="G22" s="26" t="s">
        <v>27</v>
      </c>
      <c r="H22" s="26" t="s">
        <v>27</v>
      </c>
      <c r="I22" s="26" t="s">
        <v>27</v>
      </c>
      <c r="J22" s="209" t="s">
        <v>3687</v>
      </c>
      <c r="K22" s="27"/>
      <c r="L22" s="26" t="s">
        <v>36</v>
      </c>
      <c r="M22" s="27" t="s">
        <v>88</v>
      </c>
      <c r="N22" s="26" t="s">
        <v>49</v>
      </c>
      <c r="O22" s="26" t="s">
        <v>49</v>
      </c>
      <c r="P22" s="35"/>
      <c r="Q22" s="26" t="s">
        <v>56</v>
      </c>
      <c r="R22" s="26" t="s">
        <v>42</v>
      </c>
      <c r="S22" s="26"/>
      <c r="T22" s="27"/>
      <c r="U22" s="35"/>
      <c r="V22" s="26"/>
      <c r="W22" s="26">
        <v>5.0</v>
      </c>
      <c r="X22" s="26"/>
    </row>
    <row r="23" hidden="1">
      <c r="A23" s="26">
        <v>22.0</v>
      </c>
      <c r="B23" s="188">
        <v>46174.0</v>
      </c>
      <c r="C23" s="26" t="s">
        <v>47</v>
      </c>
      <c r="D23" s="26" t="s">
        <v>138</v>
      </c>
      <c r="E23" s="27" t="s">
        <v>3693</v>
      </c>
      <c r="F23" s="21">
        <v>5.35228495E8</v>
      </c>
      <c r="G23" s="26" t="s">
        <v>4740</v>
      </c>
      <c r="H23" s="27" t="s">
        <v>41</v>
      </c>
      <c r="I23" s="26" t="s">
        <v>3695</v>
      </c>
      <c r="J23" s="209" t="s">
        <v>3696</v>
      </c>
      <c r="K23" s="27" t="s">
        <v>3697</v>
      </c>
      <c r="L23" s="26" t="s">
        <v>457</v>
      </c>
      <c r="M23" s="308" t="s">
        <v>183</v>
      </c>
      <c r="N23" s="26" t="s">
        <v>4917</v>
      </c>
      <c r="O23" s="26" t="s">
        <v>49</v>
      </c>
      <c r="P23" s="35">
        <v>0.4930555555555556</v>
      </c>
      <c r="Q23" s="26" t="s">
        <v>56</v>
      </c>
      <c r="R23" s="26" t="s">
        <v>518</v>
      </c>
      <c r="S23" s="27" t="s">
        <v>3566</v>
      </c>
      <c r="T23" s="27"/>
      <c r="U23" s="35"/>
      <c r="V23" s="26"/>
      <c r="W23" s="26">
        <v>5.0</v>
      </c>
      <c r="X23" s="26" t="s">
        <v>46</v>
      </c>
    </row>
    <row r="24" hidden="1">
      <c r="A24" s="26">
        <v>23.0</v>
      </c>
      <c r="B24" s="188">
        <v>46174.0</v>
      </c>
      <c r="C24" s="26" t="s">
        <v>58</v>
      </c>
      <c r="D24" s="26" t="s">
        <v>60</v>
      </c>
      <c r="E24" s="27" t="s">
        <v>3704</v>
      </c>
      <c r="F24" s="21">
        <v>5.54495889E8</v>
      </c>
      <c r="G24" s="26" t="s">
        <v>4740</v>
      </c>
      <c r="H24" s="27" t="s">
        <v>79</v>
      </c>
      <c r="I24" s="26" t="s">
        <v>27</v>
      </c>
      <c r="J24" s="209" t="s">
        <v>3707</v>
      </c>
      <c r="K24" s="27"/>
      <c r="L24" s="26" t="s">
        <v>36</v>
      </c>
      <c r="M24" s="27" t="s">
        <v>88</v>
      </c>
      <c r="N24" s="26" t="s">
        <v>49</v>
      </c>
      <c r="O24" s="26" t="s">
        <v>49</v>
      </c>
      <c r="P24" s="35"/>
      <c r="Q24" s="26" t="s">
        <v>56</v>
      </c>
      <c r="R24" s="26" t="s">
        <v>42</v>
      </c>
      <c r="S24" s="26"/>
      <c r="T24" s="27"/>
      <c r="U24" s="35"/>
      <c r="V24" s="26"/>
      <c r="W24" s="26">
        <v>5.0</v>
      </c>
      <c r="X24" s="26"/>
    </row>
    <row r="25" ht="23.25" hidden="1" customHeight="1">
      <c r="A25" s="26">
        <v>24.0</v>
      </c>
      <c r="B25" s="188">
        <v>46174.0</v>
      </c>
      <c r="C25" s="26" t="s">
        <v>58</v>
      </c>
      <c r="D25" s="26" t="s">
        <v>60</v>
      </c>
      <c r="E25" s="27" t="s">
        <v>3713</v>
      </c>
      <c r="F25" s="21">
        <v>5.41208174E8</v>
      </c>
      <c r="G25" s="26" t="s">
        <v>27</v>
      </c>
      <c r="H25" s="26" t="s">
        <v>27</v>
      </c>
      <c r="I25" s="26" t="s">
        <v>27</v>
      </c>
      <c r="J25" s="209" t="s">
        <v>2389</v>
      </c>
      <c r="K25" s="27"/>
      <c r="L25" s="26" t="s">
        <v>36</v>
      </c>
      <c r="M25" s="27" t="s">
        <v>88</v>
      </c>
      <c r="N25" s="26" t="s">
        <v>49</v>
      </c>
      <c r="O25" s="26" t="s">
        <v>49</v>
      </c>
      <c r="P25" s="35"/>
      <c r="Q25" s="26" t="s">
        <v>56</v>
      </c>
      <c r="R25" s="26" t="s">
        <v>42</v>
      </c>
      <c r="S25" s="26"/>
      <c r="T25" s="27"/>
      <c r="U25" s="35"/>
      <c r="V25" s="26"/>
      <c r="W25" s="26">
        <v>5.0</v>
      </c>
      <c r="X25" s="26"/>
    </row>
    <row r="26" ht="33.0" hidden="1" customHeight="1">
      <c r="A26" s="26">
        <v>25.0</v>
      </c>
      <c r="B26" s="188">
        <v>46174.0</v>
      </c>
      <c r="C26" s="26" t="s">
        <v>21</v>
      </c>
      <c r="D26" s="26" t="s">
        <v>57</v>
      </c>
      <c r="E26" s="27" t="s">
        <v>3722</v>
      </c>
      <c r="F26" s="21">
        <v>5.92086663E8</v>
      </c>
      <c r="G26" s="26" t="s">
        <v>4740</v>
      </c>
      <c r="H26" s="27" t="s">
        <v>79</v>
      </c>
      <c r="I26" s="26" t="s">
        <v>27</v>
      </c>
      <c r="J26" s="209" t="s">
        <v>3723</v>
      </c>
      <c r="K26" s="27" t="s">
        <v>3724</v>
      </c>
      <c r="L26" s="26" t="s">
        <v>36</v>
      </c>
      <c r="M26" s="27" t="s">
        <v>1399</v>
      </c>
      <c r="N26" s="26" t="s">
        <v>49</v>
      </c>
      <c r="O26" s="26" t="s">
        <v>49</v>
      </c>
      <c r="P26" s="35"/>
      <c r="Q26" s="26" t="s">
        <v>56</v>
      </c>
      <c r="R26" s="26" t="s">
        <v>42</v>
      </c>
      <c r="S26" s="26"/>
      <c r="T26" s="27"/>
      <c r="U26" s="35"/>
      <c r="V26" s="26"/>
      <c r="W26" s="26">
        <v>5.0</v>
      </c>
      <c r="X26" s="26"/>
    </row>
    <row r="27" ht="54.75" hidden="1" customHeight="1">
      <c r="A27" s="26">
        <v>26.0</v>
      </c>
      <c r="B27" s="188">
        <v>46174.0</v>
      </c>
      <c r="C27" s="26" t="s">
        <v>58</v>
      </c>
      <c r="D27" s="26" t="s">
        <v>57</v>
      </c>
      <c r="E27" s="27" t="s">
        <v>276</v>
      </c>
      <c r="F27" s="21">
        <v>5.50481216E8</v>
      </c>
      <c r="G27" s="26" t="s">
        <v>4740</v>
      </c>
      <c r="H27" s="27" t="s">
        <v>79</v>
      </c>
      <c r="I27" s="26" t="s">
        <v>27</v>
      </c>
      <c r="J27" s="209" t="s">
        <v>3729</v>
      </c>
      <c r="K27" s="27"/>
      <c r="L27" s="26" t="s">
        <v>36</v>
      </c>
      <c r="M27" s="27" t="s">
        <v>1399</v>
      </c>
      <c r="N27" s="26" t="s">
        <v>49</v>
      </c>
      <c r="O27" s="26" t="s">
        <v>49</v>
      </c>
      <c r="P27" s="35"/>
      <c r="Q27" s="26" t="s">
        <v>56</v>
      </c>
      <c r="R27" s="26" t="s">
        <v>42</v>
      </c>
      <c r="S27" s="26"/>
      <c r="T27" s="27"/>
      <c r="U27" s="35"/>
      <c r="V27" s="26"/>
      <c r="W27" s="26">
        <v>5.0</v>
      </c>
      <c r="X27" s="26"/>
    </row>
    <row r="28" ht="51.0" hidden="1" customHeight="1">
      <c r="A28" s="26">
        <v>27.0</v>
      </c>
      <c r="B28" s="188">
        <v>46174.0</v>
      </c>
      <c r="C28" s="26" t="s">
        <v>58</v>
      </c>
      <c r="D28" s="26" t="s">
        <v>57</v>
      </c>
      <c r="E28" s="27" t="s">
        <v>3734</v>
      </c>
      <c r="F28" s="21">
        <v>5.30774853E8</v>
      </c>
      <c r="G28" s="26" t="s">
        <v>4740</v>
      </c>
      <c r="H28" s="27" t="s">
        <v>79</v>
      </c>
      <c r="I28" s="26" t="s">
        <v>27</v>
      </c>
      <c r="J28" s="209" t="s">
        <v>2389</v>
      </c>
      <c r="K28" s="27"/>
      <c r="L28" s="26" t="s">
        <v>36</v>
      </c>
      <c r="M28" s="27" t="s">
        <v>1399</v>
      </c>
      <c r="N28" s="26" t="s">
        <v>49</v>
      </c>
      <c r="O28" s="26" t="s">
        <v>49</v>
      </c>
      <c r="P28" s="35"/>
      <c r="Q28" s="26" t="s">
        <v>56</v>
      </c>
      <c r="R28" s="26" t="s">
        <v>42</v>
      </c>
      <c r="S28" s="26"/>
      <c r="T28" s="27"/>
      <c r="U28" s="35"/>
      <c r="V28" s="26"/>
      <c r="W28" s="26">
        <v>5.0</v>
      </c>
      <c r="X28" s="26"/>
    </row>
    <row r="29" ht="28.5" hidden="1" customHeight="1">
      <c r="A29" s="26">
        <v>28.0</v>
      </c>
      <c r="B29" s="188">
        <v>46174.0</v>
      </c>
      <c r="C29" s="26" t="s">
        <v>21</v>
      </c>
      <c r="D29" s="26" t="s">
        <v>24</v>
      </c>
      <c r="E29" s="27" t="s">
        <v>463</v>
      </c>
      <c r="F29" s="21">
        <v>5.555142E8</v>
      </c>
      <c r="G29" s="26" t="s">
        <v>4740</v>
      </c>
      <c r="H29" s="27" t="s">
        <v>79</v>
      </c>
      <c r="I29" s="26" t="s">
        <v>27</v>
      </c>
      <c r="J29" s="209" t="s">
        <v>3737</v>
      </c>
      <c r="K29" s="27"/>
      <c r="L29" s="26" t="s">
        <v>36</v>
      </c>
      <c r="M29" s="27" t="s">
        <v>4955</v>
      </c>
      <c r="N29" s="26" t="s">
        <v>4803</v>
      </c>
      <c r="O29" s="26" t="s">
        <v>863</v>
      </c>
      <c r="P29" s="35"/>
      <c r="Q29" s="26" t="s">
        <v>56</v>
      </c>
      <c r="R29" s="26" t="s">
        <v>518</v>
      </c>
      <c r="S29" s="26"/>
      <c r="T29" s="27"/>
      <c r="U29" s="35"/>
      <c r="V29" s="26"/>
      <c r="W29" s="26">
        <v>5.0</v>
      </c>
      <c r="X29" s="26" t="s">
        <v>46</v>
      </c>
    </row>
    <row r="30" ht="40.5" hidden="1" customHeight="1">
      <c r="A30" s="26">
        <v>29.0</v>
      </c>
      <c r="B30" s="188">
        <v>46174.0</v>
      </c>
      <c r="C30" s="26" t="s">
        <v>58</v>
      </c>
      <c r="D30" s="26" t="s">
        <v>60</v>
      </c>
      <c r="E30" s="27" t="s">
        <v>3741</v>
      </c>
      <c r="F30" s="21">
        <v>5.59221283E8</v>
      </c>
      <c r="G30" s="26" t="s">
        <v>4740</v>
      </c>
      <c r="H30" s="27" t="s">
        <v>79</v>
      </c>
      <c r="I30" s="26" t="s">
        <v>27</v>
      </c>
      <c r="J30" s="209" t="s">
        <v>2389</v>
      </c>
      <c r="K30" s="27"/>
      <c r="L30" s="26" t="s">
        <v>36</v>
      </c>
      <c r="M30" s="27" t="s">
        <v>88</v>
      </c>
      <c r="N30" s="26" t="s">
        <v>49</v>
      </c>
      <c r="O30" s="26" t="s">
        <v>49</v>
      </c>
      <c r="P30" s="35"/>
      <c r="Q30" s="26" t="s">
        <v>56</v>
      </c>
      <c r="R30" s="26" t="s">
        <v>42</v>
      </c>
      <c r="S30" s="26"/>
      <c r="T30" s="27"/>
      <c r="U30" s="35"/>
      <c r="V30" s="26"/>
      <c r="W30" s="26">
        <v>5.0</v>
      </c>
      <c r="X30" s="26"/>
    </row>
    <row r="31" hidden="1">
      <c r="A31" s="26">
        <v>30.0</v>
      </c>
      <c r="B31" s="188">
        <v>46174.0</v>
      </c>
      <c r="C31" s="26" t="s">
        <v>21</v>
      </c>
      <c r="D31" s="26" t="s">
        <v>22</v>
      </c>
      <c r="E31" s="27" t="s">
        <v>3748</v>
      </c>
      <c r="F31" s="21">
        <v>5.32772299E8</v>
      </c>
      <c r="G31" s="26" t="s">
        <v>4970</v>
      </c>
      <c r="H31" s="27" t="s">
        <v>237</v>
      </c>
      <c r="I31" s="26" t="s">
        <v>27</v>
      </c>
      <c r="J31" s="209" t="s">
        <v>3749</v>
      </c>
      <c r="K31" s="27"/>
      <c r="L31" s="26" t="s">
        <v>457</v>
      </c>
      <c r="M31" s="27" t="s">
        <v>1389</v>
      </c>
      <c r="N31" s="26" t="s">
        <v>4870</v>
      </c>
      <c r="O31" s="26" t="s">
        <v>863</v>
      </c>
      <c r="P31" s="35"/>
      <c r="Q31" s="26" t="s">
        <v>40</v>
      </c>
      <c r="R31" s="26" t="s">
        <v>42</v>
      </c>
      <c r="S31" s="26"/>
      <c r="T31" s="27"/>
      <c r="U31" s="35"/>
      <c r="V31" s="26"/>
      <c r="W31" s="26">
        <v>5.0</v>
      </c>
      <c r="X31" s="26" t="s">
        <v>46</v>
      </c>
    </row>
    <row r="32" hidden="1">
      <c r="A32" s="26">
        <v>31.0</v>
      </c>
      <c r="B32" s="188">
        <v>46174.0</v>
      </c>
      <c r="C32" s="26" t="s">
        <v>47</v>
      </c>
      <c r="D32" s="26" t="s">
        <v>48</v>
      </c>
      <c r="E32" s="27" t="s">
        <v>3758</v>
      </c>
      <c r="F32" s="21">
        <v>5.38761223E8</v>
      </c>
      <c r="G32" s="26" t="s">
        <v>4975</v>
      </c>
      <c r="H32" s="27" t="s">
        <v>362</v>
      </c>
      <c r="I32" s="26" t="s">
        <v>1029</v>
      </c>
      <c r="J32" s="209" t="s">
        <v>4976</v>
      </c>
      <c r="K32" s="27" t="s">
        <v>3762</v>
      </c>
      <c r="L32" s="26" t="s">
        <v>36</v>
      </c>
      <c r="M32" s="275" t="s">
        <v>3764</v>
      </c>
      <c r="N32" s="26" t="s">
        <v>4977</v>
      </c>
      <c r="O32" s="26" t="s">
        <v>4746</v>
      </c>
      <c r="P32" s="35">
        <v>0.5798611111111112</v>
      </c>
      <c r="Q32" s="26" t="s">
        <v>56</v>
      </c>
      <c r="R32" s="26" t="s">
        <v>518</v>
      </c>
      <c r="S32" s="27" t="s">
        <v>3765</v>
      </c>
      <c r="T32" s="27" t="s">
        <v>3566</v>
      </c>
      <c r="U32" s="35">
        <v>0.5798611111111112</v>
      </c>
      <c r="V32" s="26" t="s">
        <v>44</v>
      </c>
      <c r="W32" s="26">
        <v>5.0</v>
      </c>
      <c r="X32" s="26" t="s">
        <v>46</v>
      </c>
    </row>
    <row r="33" hidden="1">
      <c r="A33" s="26">
        <v>32.0</v>
      </c>
      <c r="B33" s="188">
        <v>46174.0</v>
      </c>
      <c r="C33" s="26" t="s">
        <v>21</v>
      </c>
      <c r="D33" s="26" t="s">
        <v>24</v>
      </c>
      <c r="E33" s="27" t="s">
        <v>3772</v>
      </c>
      <c r="F33" s="21">
        <v>5.33531541E8</v>
      </c>
      <c r="G33" s="26" t="s">
        <v>4852</v>
      </c>
      <c r="H33" s="27" t="s">
        <v>3774</v>
      </c>
      <c r="I33" s="26" t="s">
        <v>27</v>
      </c>
      <c r="J33" s="209" t="s">
        <v>3775</v>
      </c>
      <c r="K33" s="27"/>
      <c r="L33" s="26" t="s">
        <v>36</v>
      </c>
      <c r="M33" s="27" t="s">
        <v>4982</v>
      </c>
      <c r="N33" s="26" t="s">
        <v>4803</v>
      </c>
      <c r="O33" s="26" t="s">
        <v>4746</v>
      </c>
      <c r="P33" s="35"/>
      <c r="Q33" s="26" t="s">
        <v>56</v>
      </c>
      <c r="R33" s="26" t="s">
        <v>42</v>
      </c>
      <c r="S33" s="26"/>
      <c r="T33" s="27"/>
      <c r="U33" s="35"/>
      <c r="V33" s="26"/>
      <c r="W33" s="26">
        <v>5.0</v>
      </c>
      <c r="X33" s="26" t="s">
        <v>46</v>
      </c>
    </row>
    <row r="34" hidden="1">
      <c r="A34" s="26">
        <v>33.0</v>
      </c>
      <c r="B34" s="188">
        <v>46174.0</v>
      </c>
      <c r="C34" s="26" t="s">
        <v>58</v>
      </c>
      <c r="D34" s="26" t="s">
        <v>60</v>
      </c>
      <c r="E34" s="26" t="s">
        <v>27</v>
      </c>
      <c r="F34" s="21">
        <v>5.51627441E8</v>
      </c>
      <c r="G34" s="26" t="s">
        <v>27</v>
      </c>
      <c r="H34" s="26" t="s">
        <v>27</v>
      </c>
      <c r="I34" s="26" t="s">
        <v>27</v>
      </c>
      <c r="J34" s="209" t="s">
        <v>554</v>
      </c>
      <c r="K34" s="27"/>
      <c r="L34" s="26" t="s">
        <v>36</v>
      </c>
      <c r="M34" s="27" t="s">
        <v>88</v>
      </c>
      <c r="N34" s="26" t="s">
        <v>4746</v>
      </c>
      <c r="O34" s="26" t="s">
        <v>4746</v>
      </c>
      <c r="P34" s="35"/>
      <c r="Q34" s="26" t="s">
        <v>56</v>
      </c>
      <c r="R34" s="26" t="s">
        <v>42</v>
      </c>
      <c r="S34" s="26"/>
      <c r="T34" s="27"/>
      <c r="U34" s="35"/>
      <c r="V34" s="26"/>
      <c r="W34" s="26">
        <v>5.0</v>
      </c>
      <c r="X34" s="26"/>
    </row>
    <row r="35" hidden="1">
      <c r="A35" s="26">
        <v>34.0</v>
      </c>
      <c r="B35" s="188">
        <v>46174.0</v>
      </c>
      <c r="C35" s="26" t="s">
        <v>21</v>
      </c>
      <c r="D35" s="26" t="s">
        <v>22</v>
      </c>
      <c r="E35" s="27" t="s">
        <v>3783</v>
      </c>
      <c r="F35" s="21">
        <v>5.5965989E8</v>
      </c>
      <c r="G35" s="26" t="s">
        <v>4740</v>
      </c>
      <c r="H35" s="27" t="s">
        <v>41</v>
      </c>
      <c r="I35" s="26" t="s">
        <v>27</v>
      </c>
      <c r="J35" s="209" t="s">
        <v>3784</v>
      </c>
      <c r="K35" s="27"/>
      <c r="L35" s="26" t="s">
        <v>36</v>
      </c>
      <c r="M35" s="27" t="s">
        <v>4839</v>
      </c>
      <c r="N35" s="26" t="s">
        <v>4870</v>
      </c>
      <c r="O35" s="26" t="s">
        <v>4746</v>
      </c>
      <c r="P35" s="35"/>
      <c r="Q35" s="26" t="s">
        <v>40</v>
      </c>
      <c r="R35" s="26" t="s">
        <v>42</v>
      </c>
      <c r="S35" s="26"/>
      <c r="T35" s="27"/>
      <c r="U35" s="35"/>
      <c r="V35" s="26"/>
      <c r="W35" s="26">
        <v>5.0</v>
      </c>
      <c r="X35" s="26" t="s">
        <v>46</v>
      </c>
    </row>
    <row r="36" hidden="1">
      <c r="A36" s="26">
        <v>35.0</v>
      </c>
      <c r="B36" s="188">
        <v>46174.0</v>
      </c>
      <c r="C36" s="26" t="s">
        <v>47</v>
      </c>
      <c r="D36" s="26" t="s">
        <v>92</v>
      </c>
      <c r="E36" s="27" t="s">
        <v>873</v>
      </c>
      <c r="F36" s="21">
        <v>5.53324202E8</v>
      </c>
      <c r="G36" s="26" t="s">
        <v>4740</v>
      </c>
      <c r="H36" s="27" t="s">
        <v>71</v>
      </c>
      <c r="I36" s="26" t="s">
        <v>94</v>
      </c>
      <c r="J36" s="209" t="s">
        <v>5010</v>
      </c>
      <c r="K36" s="27"/>
      <c r="L36" s="26" t="s">
        <v>36</v>
      </c>
      <c r="M36" s="27" t="s">
        <v>5011</v>
      </c>
      <c r="N36" s="26" t="s">
        <v>4637</v>
      </c>
      <c r="O36" s="26" t="s">
        <v>4746</v>
      </c>
      <c r="P36" s="35">
        <v>0.4027777777777778</v>
      </c>
      <c r="Q36" s="26" t="s">
        <v>40</v>
      </c>
      <c r="R36" s="26" t="s">
        <v>42</v>
      </c>
      <c r="S36" s="27" t="s">
        <v>3566</v>
      </c>
      <c r="T36" s="27" t="s">
        <v>3566</v>
      </c>
      <c r="U36" s="35">
        <v>0.4027777777777778</v>
      </c>
      <c r="V36" s="26" t="s">
        <v>44</v>
      </c>
      <c r="W36" s="26">
        <v>5.0</v>
      </c>
      <c r="X36" s="26" t="s">
        <v>46</v>
      </c>
    </row>
    <row r="37" hidden="1">
      <c r="A37" s="26">
        <v>36.0</v>
      </c>
      <c r="B37" s="188">
        <v>46174.0</v>
      </c>
      <c r="C37" s="26" t="s">
        <v>21</v>
      </c>
      <c r="D37" s="26" t="s">
        <v>57</v>
      </c>
      <c r="E37" s="27" t="s">
        <v>3791</v>
      </c>
      <c r="F37" s="21">
        <v>5.5486556E8</v>
      </c>
      <c r="G37" s="26" t="s">
        <v>27</v>
      </c>
      <c r="H37" s="26" t="s">
        <v>27</v>
      </c>
      <c r="I37" s="26" t="s">
        <v>27</v>
      </c>
      <c r="J37" s="209" t="s">
        <v>3792</v>
      </c>
      <c r="K37" s="27"/>
      <c r="L37" s="26" t="s">
        <v>62</v>
      </c>
      <c r="M37" s="27" t="s">
        <v>208</v>
      </c>
      <c r="N37" s="26" t="s">
        <v>4746</v>
      </c>
      <c r="O37" s="26" t="s">
        <v>4746</v>
      </c>
      <c r="P37" s="35"/>
      <c r="Q37" s="26" t="s">
        <v>56</v>
      </c>
      <c r="R37" s="26" t="s">
        <v>42</v>
      </c>
      <c r="S37" s="27" t="s">
        <v>3566</v>
      </c>
      <c r="T37" s="27"/>
      <c r="U37" s="35"/>
      <c r="V37" s="26"/>
      <c r="W37" s="26">
        <v>5.0</v>
      </c>
      <c r="X37" s="26"/>
    </row>
    <row r="38" hidden="1">
      <c r="A38" s="26">
        <v>37.0</v>
      </c>
      <c r="B38" s="188">
        <v>46174.0</v>
      </c>
      <c r="C38" s="26" t="s">
        <v>47</v>
      </c>
      <c r="D38" s="26" t="s">
        <v>48</v>
      </c>
      <c r="E38" s="27" t="s">
        <v>3796</v>
      </c>
      <c r="F38" s="21">
        <v>5.09412152E8</v>
      </c>
      <c r="G38" s="26" t="s">
        <v>5023</v>
      </c>
      <c r="H38" s="27" t="s">
        <v>2715</v>
      </c>
      <c r="I38" s="204" t="s">
        <v>2716</v>
      </c>
      <c r="J38" s="209" t="s">
        <v>5024</v>
      </c>
      <c r="K38" s="27" t="s">
        <v>3800</v>
      </c>
      <c r="L38" s="26" t="s">
        <v>62</v>
      </c>
      <c r="M38" s="275" t="s">
        <v>3764</v>
      </c>
      <c r="N38" s="26" t="s">
        <v>4977</v>
      </c>
      <c r="O38" s="26" t="s">
        <v>4746</v>
      </c>
      <c r="P38" s="35">
        <v>0.6145833333333334</v>
      </c>
      <c r="Q38" s="26" t="s">
        <v>56</v>
      </c>
      <c r="R38" s="26" t="s">
        <v>3811</v>
      </c>
      <c r="S38" s="27" t="s">
        <v>3765</v>
      </c>
      <c r="T38" s="27" t="s">
        <v>3566</v>
      </c>
      <c r="U38" s="35">
        <v>0.6145833333333334</v>
      </c>
      <c r="V38" s="26" t="s">
        <v>44</v>
      </c>
      <c r="W38" s="26">
        <v>5.0</v>
      </c>
      <c r="X38" s="26" t="s">
        <v>46</v>
      </c>
    </row>
    <row r="39" hidden="1">
      <c r="A39" s="26">
        <v>38.0</v>
      </c>
      <c r="B39" s="188">
        <v>46174.0</v>
      </c>
      <c r="C39" s="26" t="s">
        <v>47</v>
      </c>
      <c r="D39" s="26" t="s">
        <v>367</v>
      </c>
      <c r="E39" s="27" t="s">
        <v>2586</v>
      </c>
      <c r="F39" s="21">
        <v>5.58776985E8</v>
      </c>
      <c r="G39" s="26" t="s">
        <v>4740</v>
      </c>
      <c r="H39" s="27" t="s">
        <v>79</v>
      </c>
      <c r="I39" s="204" t="s">
        <v>487</v>
      </c>
      <c r="J39" s="209" t="s">
        <v>3808</v>
      </c>
      <c r="K39" s="27" t="s">
        <v>3809</v>
      </c>
      <c r="L39" s="26" t="s">
        <v>36</v>
      </c>
      <c r="M39" s="27" t="s">
        <v>98</v>
      </c>
      <c r="N39" s="26" t="s">
        <v>4917</v>
      </c>
      <c r="O39" s="26" t="s">
        <v>4746</v>
      </c>
      <c r="P39" s="35"/>
      <c r="Q39" s="26" t="s">
        <v>56</v>
      </c>
      <c r="R39" s="26" t="s">
        <v>3811</v>
      </c>
      <c r="S39" s="27" t="s">
        <v>3566</v>
      </c>
      <c r="T39" s="27"/>
      <c r="U39" s="35"/>
      <c r="V39" s="26"/>
      <c r="W39" s="26">
        <v>5.0</v>
      </c>
      <c r="X39" s="26" t="s">
        <v>46</v>
      </c>
    </row>
    <row r="40" hidden="1">
      <c r="A40" s="26">
        <v>39.0</v>
      </c>
      <c r="B40" s="188">
        <v>46174.0</v>
      </c>
      <c r="C40" s="26" t="s">
        <v>47</v>
      </c>
      <c r="D40" s="26" t="s">
        <v>48</v>
      </c>
      <c r="E40" s="27" t="s">
        <v>3817</v>
      </c>
      <c r="F40" s="21">
        <v>5.3680009E8</v>
      </c>
      <c r="G40" s="26" t="s">
        <v>4740</v>
      </c>
      <c r="H40" s="27" t="s">
        <v>79</v>
      </c>
      <c r="I40" s="26" t="s">
        <v>638</v>
      </c>
      <c r="J40" s="209" t="s">
        <v>5036</v>
      </c>
      <c r="K40" s="27" t="s">
        <v>3819</v>
      </c>
      <c r="L40" s="26" t="s">
        <v>36</v>
      </c>
      <c r="M40" s="27" t="s">
        <v>5011</v>
      </c>
      <c r="N40" s="26" t="s">
        <v>4977</v>
      </c>
      <c r="O40" s="26" t="s">
        <v>4746</v>
      </c>
      <c r="P40" s="35">
        <v>0.5277777777777778</v>
      </c>
      <c r="Q40" s="26" t="s">
        <v>56</v>
      </c>
      <c r="R40" s="26" t="s">
        <v>518</v>
      </c>
      <c r="S40" s="27" t="s">
        <v>3765</v>
      </c>
      <c r="T40" s="27" t="s">
        <v>3566</v>
      </c>
      <c r="U40" s="35">
        <v>0.5277777777777778</v>
      </c>
      <c r="V40" s="26" t="s">
        <v>44</v>
      </c>
      <c r="W40" s="26">
        <v>5.0</v>
      </c>
      <c r="X40" s="26" t="s">
        <v>46</v>
      </c>
    </row>
    <row r="41" hidden="1">
      <c r="A41" s="26">
        <v>40.0</v>
      </c>
      <c r="B41" s="188">
        <v>46174.0</v>
      </c>
      <c r="C41" s="26" t="s">
        <v>21</v>
      </c>
      <c r="D41" s="26" t="s">
        <v>24</v>
      </c>
      <c r="E41" s="26" t="s">
        <v>3829</v>
      </c>
      <c r="F41" s="21">
        <v>5.33026703E8</v>
      </c>
      <c r="G41" s="26" t="s">
        <v>27</v>
      </c>
      <c r="H41" s="26" t="s">
        <v>27</v>
      </c>
      <c r="I41" s="26" t="s">
        <v>27</v>
      </c>
      <c r="J41" s="209" t="s">
        <v>3830</v>
      </c>
      <c r="K41" s="27"/>
      <c r="L41" s="26" t="s">
        <v>36</v>
      </c>
      <c r="M41" s="27" t="s">
        <v>5046</v>
      </c>
      <c r="N41" s="26" t="s">
        <v>4803</v>
      </c>
      <c r="O41" s="26" t="s">
        <v>4746</v>
      </c>
      <c r="P41" s="35"/>
      <c r="Q41" s="26" t="s">
        <v>56</v>
      </c>
      <c r="R41" s="26" t="s">
        <v>42</v>
      </c>
      <c r="S41" s="27" t="s">
        <v>3566</v>
      </c>
      <c r="T41" s="27"/>
      <c r="U41" s="35"/>
      <c r="V41" s="26"/>
      <c r="W41" s="26">
        <v>5.0</v>
      </c>
      <c r="X41" s="26" t="s">
        <v>46</v>
      </c>
    </row>
    <row r="42" hidden="1">
      <c r="A42" s="26">
        <v>41.0</v>
      </c>
      <c r="B42" s="188">
        <v>46174.0</v>
      </c>
      <c r="C42" s="26" t="s">
        <v>58</v>
      </c>
      <c r="D42" s="26" t="s">
        <v>60</v>
      </c>
      <c r="E42" s="26" t="s">
        <v>27</v>
      </c>
      <c r="F42" s="21">
        <v>5.07114221E8</v>
      </c>
      <c r="G42" s="26" t="s">
        <v>27</v>
      </c>
      <c r="H42" s="26" t="s">
        <v>27</v>
      </c>
      <c r="I42" s="26" t="s">
        <v>27</v>
      </c>
      <c r="J42" s="209" t="s">
        <v>554</v>
      </c>
      <c r="K42" s="27"/>
      <c r="L42" s="26" t="s">
        <v>36</v>
      </c>
      <c r="M42" s="27" t="s">
        <v>88</v>
      </c>
      <c r="N42" s="26" t="s">
        <v>4746</v>
      </c>
      <c r="O42" s="26" t="s">
        <v>4746</v>
      </c>
      <c r="P42" s="35"/>
      <c r="Q42" s="26" t="s">
        <v>56</v>
      </c>
      <c r="R42" s="26" t="s">
        <v>42</v>
      </c>
      <c r="S42" s="27" t="s">
        <v>3566</v>
      </c>
      <c r="T42" s="27"/>
      <c r="U42" s="35"/>
      <c r="V42" s="26"/>
      <c r="W42" s="26">
        <v>5.0</v>
      </c>
      <c r="X42" s="26"/>
    </row>
    <row r="43" hidden="1">
      <c r="A43" s="26">
        <v>42.0</v>
      </c>
      <c r="B43" s="188">
        <v>46174.0</v>
      </c>
      <c r="C43" s="26" t="s">
        <v>47</v>
      </c>
      <c r="D43" s="26" t="s">
        <v>60</v>
      </c>
      <c r="E43" s="26" t="s">
        <v>27</v>
      </c>
      <c r="F43" s="21">
        <v>5.57983181E8</v>
      </c>
      <c r="G43" s="26" t="s">
        <v>4769</v>
      </c>
      <c r="H43" s="27" t="s">
        <v>333</v>
      </c>
      <c r="I43" s="26" t="s">
        <v>27</v>
      </c>
      <c r="J43" s="209" t="s">
        <v>3844</v>
      </c>
      <c r="K43" s="27" t="s">
        <v>3845</v>
      </c>
      <c r="L43" s="26" t="s">
        <v>36</v>
      </c>
      <c r="M43" s="27" t="s">
        <v>38</v>
      </c>
      <c r="N43" s="26" t="s">
        <v>4746</v>
      </c>
      <c r="O43" s="26" t="s">
        <v>49</v>
      </c>
      <c r="P43" s="35"/>
      <c r="Q43" s="26" t="s">
        <v>56</v>
      </c>
      <c r="R43" s="26" t="s">
        <v>301</v>
      </c>
      <c r="S43" s="27" t="s">
        <v>3566</v>
      </c>
      <c r="T43" s="27"/>
      <c r="U43" s="35"/>
      <c r="V43" s="26"/>
      <c r="W43" s="26">
        <v>5.0</v>
      </c>
      <c r="X43" s="26"/>
    </row>
    <row r="44" hidden="1">
      <c r="A44" s="26">
        <v>43.0</v>
      </c>
      <c r="B44" s="188">
        <v>46174.0</v>
      </c>
      <c r="C44" s="26" t="s">
        <v>21</v>
      </c>
      <c r="D44" s="26" t="s">
        <v>60</v>
      </c>
      <c r="E44" s="27" t="s">
        <v>3848</v>
      </c>
      <c r="F44" s="21">
        <v>5.55584952E8</v>
      </c>
      <c r="G44" s="26" t="s">
        <v>27</v>
      </c>
      <c r="H44" s="26" t="s">
        <v>27</v>
      </c>
      <c r="I44" s="26" t="s">
        <v>27</v>
      </c>
      <c r="J44" s="209" t="s">
        <v>3852</v>
      </c>
      <c r="K44" s="27" t="s">
        <v>3853</v>
      </c>
      <c r="L44" s="26" t="s">
        <v>36</v>
      </c>
      <c r="M44" s="27" t="s">
        <v>88</v>
      </c>
      <c r="N44" s="26" t="s">
        <v>4746</v>
      </c>
      <c r="O44" s="26" t="s">
        <v>4746</v>
      </c>
      <c r="P44" s="35"/>
      <c r="Q44" s="26" t="s">
        <v>56</v>
      </c>
      <c r="R44" s="26" t="s">
        <v>42</v>
      </c>
      <c r="S44" s="27" t="s">
        <v>3566</v>
      </c>
      <c r="T44" s="27"/>
      <c r="U44" s="35"/>
      <c r="V44" s="26"/>
      <c r="W44" s="26">
        <v>5.0</v>
      </c>
      <c r="X44" s="26"/>
    </row>
    <row r="45" hidden="1">
      <c r="A45" s="26">
        <v>44.0</v>
      </c>
      <c r="B45" s="188">
        <v>46174.0</v>
      </c>
      <c r="C45" s="26" t="s">
        <v>58</v>
      </c>
      <c r="D45" s="26" t="s">
        <v>60</v>
      </c>
      <c r="E45" s="26" t="s">
        <v>27</v>
      </c>
      <c r="F45" s="21">
        <v>5.03233388E8</v>
      </c>
      <c r="G45" s="26" t="s">
        <v>27</v>
      </c>
      <c r="H45" s="26" t="s">
        <v>27</v>
      </c>
      <c r="I45" s="26" t="s">
        <v>27</v>
      </c>
      <c r="J45" s="209" t="s">
        <v>124</v>
      </c>
      <c r="K45" s="27"/>
      <c r="L45" s="26" t="s">
        <v>36</v>
      </c>
      <c r="M45" s="27" t="s">
        <v>88</v>
      </c>
      <c r="N45" s="26" t="s">
        <v>4746</v>
      </c>
      <c r="O45" s="26" t="s">
        <v>4746</v>
      </c>
      <c r="P45" s="35"/>
      <c r="Q45" s="26" t="s">
        <v>56</v>
      </c>
      <c r="R45" s="26" t="s">
        <v>42</v>
      </c>
      <c r="S45" s="27" t="s">
        <v>3566</v>
      </c>
      <c r="T45" s="27"/>
      <c r="U45" s="35"/>
      <c r="V45" s="26"/>
      <c r="W45" s="26">
        <v>5.0</v>
      </c>
      <c r="X45" s="26"/>
    </row>
    <row r="46" hidden="1">
      <c r="A46" s="26">
        <v>45.0</v>
      </c>
      <c r="B46" s="188">
        <v>46174.0</v>
      </c>
      <c r="C46" s="26" t="s">
        <v>47</v>
      </c>
      <c r="D46" s="26" t="s">
        <v>48</v>
      </c>
      <c r="E46" s="27" t="s">
        <v>3863</v>
      </c>
      <c r="F46" s="21">
        <v>5.52055194E8</v>
      </c>
      <c r="G46" s="26" t="s">
        <v>5023</v>
      </c>
      <c r="H46" s="27" t="s">
        <v>2715</v>
      </c>
      <c r="I46" s="204" t="s">
        <v>2716</v>
      </c>
      <c r="J46" s="209" t="s">
        <v>5079</v>
      </c>
      <c r="K46" s="27" t="s">
        <v>3866</v>
      </c>
      <c r="L46" s="26" t="s">
        <v>36</v>
      </c>
      <c r="M46" s="275" t="s">
        <v>3764</v>
      </c>
      <c r="N46" s="26" t="s">
        <v>4977</v>
      </c>
      <c r="O46" s="26" t="s">
        <v>4746</v>
      </c>
      <c r="P46" s="35">
        <v>0.6145833333333334</v>
      </c>
      <c r="Q46" s="26" t="s">
        <v>56</v>
      </c>
      <c r="R46" s="26" t="s">
        <v>518</v>
      </c>
      <c r="S46" s="27" t="s">
        <v>3765</v>
      </c>
      <c r="T46" s="27" t="s">
        <v>3566</v>
      </c>
      <c r="U46" s="35">
        <v>0.6145833333333334</v>
      </c>
      <c r="V46" s="26" t="s">
        <v>44</v>
      </c>
      <c r="W46" s="26">
        <v>5.0</v>
      </c>
      <c r="X46" s="26" t="s">
        <v>46</v>
      </c>
    </row>
    <row r="47" hidden="1">
      <c r="A47" s="26">
        <v>46.0</v>
      </c>
      <c r="B47" s="188">
        <v>46174.0</v>
      </c>
      <c r="C47" s="26" t="s">
        <v>58</v>
      </c>
      <c r="D47" s="26" t="s">
        <v>60</v>
      </c>
      <c r="E47" s="27" t="s">
        <v>3871</v>
      </c>
      <c r="F47" s="21">
        <v>5.52354557E8</v>
      </c>
      <c r="G47" s="26" t="s">
        <v>27</v>
      </c>
      <c r="H47" s="26" t="s">
        <v>27</v>
      </c>
      <c r="I47" s="26" t="s">
        <v>27</v>
      </c>
      <c r="J47" s="209" t="s">
        <v>3872</v>
      </c>
      <c r="K47" s="27"/>
      <c r="L47" s="26" t="s">
        <v>62</v>
      </c>
      <c r="M47" s="27" t="s">
        <v>88</v>
      </c>
      <c r="N47" s="26" t="s">
        <v>4746</v>
      </c>
      <c r="O47" s="26" t="s">
        <v>4746</v>
      </c>
      <c r="P47" s="35"/>
      <c r="Q47" s="26" t="s">
        <v>56</v>
      </c>
      <c r="R47" s="26" t="s">
        <v>42</v>
      </c>
      <c r="S47" s="27" t="s">
        <v>3566</v>
      </c>
      <c r="T47" s="27"/>
      <c r="U47" s="35"/>
      <c r="V47" s="26"/>
      <c r="W47" s="26">
        <v>5.0</v>
      </c>
      <c r="X47" s="26"/>
    </row>
    <row r="48" hidden="1">
      <c r="A48" s="26">
        <v>47.0</v>
      </c>
      <c r="B48" s="188">
        <v>46174.0</v>
      </c>
      <c r="C48" s="26" t="s">
        <v>58</v>
      </c>
      <c r="D48" s="26" t="s">
        <v>60</v>
      </c>
      <c r="E48" s="27" t="s">
        <v>3876</v>
      </c>
      <c r="F48" s="21">
        <v>5.55700021E8</v>
      </c>
      <c r="G48" s="26" t="s">
        <v>27</v>
      </c>
      <c r="H48" s="26" t="s">
        <v>27</v>
      </c>
      <c r="I48" s="26" t="s">
        <v>27</v>
      </c>
      <c r="J48" s="209" t="s">
        <v>3881</v>
      </c>
      <c r="K48" s="27"/>
      <c r="L48" s="26" t="s">
        <v>62</v>
      </c>
      <c r="M48" s="27" t="s">
        <v>88</v>
      </c>
      <c r="N48" s="26" t="s">
        <v>4746</v>
      </c>
      <c r="O48" s="26" t="s">
        <v>4746</v>
      </c>
      <c r="P48" s="35"/>
      <c r="Q48" s="26" t="s">
        <v>56</v>
      </c>
      <c r="R48" s="26" t="s">
        <v>42</v>
      </c>
      <c r="S48" s="27" t="s">
        <v>3566</v>
      </c>
      <c r="T48" s="27"/>
      <c r="U48" s="35"/>
      <c r="V48" s="26"/>
      <c r="W48" s="26">
        <v>5.0</v>
      </c>
      <c r="X48" s="26"/>
    </row>
    <row r="49" hidden="1">
      <c r="A49" s="26">
        <v>48.0</v>
      </c>
      <c r="B49" s="188">
        <v>46174.0</v>
      </c>
      <c r="C49" s="26" t="s">
        <v>58</v>
      </c>
      <c r="D49" s="26" t="s">
        <v>60</v>
      </c>
      <c r="E49" s="26" t="s">
        <v>27</v>
      </c>
      <c r="F49" s="21">
        <v>5.3197775E8</v>
      </c>
      <c r="G49" s="26" t="s">
        <v>27</v>
      </c>
      <c r="H49" s="26" t="s">
        <v>27</v>
      </c>
      <c r="I49" s="26" t="s">
        <v>27</v>
      </c>
      <c r="J49" s="209" t="s">
        <v>3887</v>
      </c>
      <c r="K49" s="27"/>
      <c r="L49" s="26" t="s">
        <v>62</v>
      </c>
      <c r="M49" s="27" t="s">
        <v>88</v>
      </c>
      <c r="N49" s="26" t="s">
        <v>4746</v>
      </c>
      <c r="O49" s="26" t="s">
        <v>4746</v>
      </c>
      <c r="P49" s="35"/>
      <c r="Q49" s="26" t="s">
        <v>56</v>
      </c>
      <c r="R49" s="26" t="s">
        <v>42</v>
      </c>
      <c r="S49" s="27" t="s">
        <v>3566</v>
      </c>
      <c r="T49" s="27"/>
      <c r="U49" s="35"/>
      <c r="V49" s="26"/>
      <c r="W49" s="26">
        <v>5.0</v>
      </c>
      <c r="X49" s="26"/>
    </row>
    <row r="50" hidden="1">
      <c r="A50" s="26">
        <v>49.0</v>
      </c>
      <c r="B50" s="188">
        <v>46174.0</v>
      </c>
      <c r="C50" s="26" t="s">
        <v>58</v>
      </c>
      <c r="D50" s="26" t="s">
        <v>60</v>
      </c>
      <c r="E50" s="26" t="s">
        <v>27</v>
      </c>
      <c r="F50" s="21">
        <v>5.51348764E8</v>
      </c>
      <c r="G50" s="26" t="s">
        <v>27</v>
      </c>
      <c r="H50" s="26" t="s">
        <v>27</v>
      </c>
      <c r="I50" s="26" t="s">
        <v>27</v>
      </c>
      <c r="J50" s="209" t="s">
        <v>3891</v>
      </c>
      <c r="K50" s="27"/>
      <c r="L50" s="26" t="s">
        <v>62</v>
      </c>
      <c r="M50" s="27" t="s">
        <v>88</v>
      </c>
      <c r="N50" s="26" t="s">
        <v>4746</v>
      </c>
      <c r="O50" s="26" t="s">
        <v>4746</v>
      </c>
      <c r="P50" s="35"/>
      <c r="Q50" s="26" t="s">
        <v>56</v>
      </c>
      <c r="R50" s="26" t="s">
        <v>42</v>
      </c>
      <c r="S50" s="27" t="s">
        <v>3566</v>
      </c>
      <c r="T50" s="27"/>
      <c r="U50" s="35"/>
      <c r="V50" s="26"/>
      <c r="W50" s="26">
        <v>5.0</v>
      </c>
      <c r="X50" s="26"/>
    </row>
    <row r="51" hidden="1">
      <c r="A51" s="26">
        <v>50.0</v>
      </c>
      <c r="B51" s="188">
        <v>46174.0</v>
      </c>
      <c r="C51" s="26" t="s">
        <v>58</v>
      </c>
      <c r="D51" s="26" t="s">
        <v>60</v>
      </c>
      <c r="E51" s="26" t="s">
        <v>27</v>
      </c>
      <c r="F51" s="21">
        <v>5.56604297E8</v>
      </c>
      <c r="G51" s="26" t="s">
        <v>27</v>
      </c>
      <c r="H51" s="26" t="s">
        <v>27</v>
      </c>
      <c r="I51" s="26" t="s">
        <v>27</v>
      </c>
      <c r="J51" s="209" t="s">
        <v>298</v>
      </c>
      <c r="K51" s="27"/>
      <c r="L51" s="26" t="s">
        <v>62</v>
      </c>
      <c r="M51" s="27" t="s">
        <v>88</v>
      </c>
      <c r="N51" s="26" t="s">
        <v>4746</v>
      </c>
      <c r="O51" s="26" t="s">
        <v>4746</v>
      </c>
      <c r="P51" s="35"/>
      <c r="Q51" s="26" t="s">
        <v>56</v>
      </c>
      <c r="R51" s="26" t="s">
        <v>42</v>
      </c>
      <c r="S51" s="27" t="s">
        <v>3566</v>
      </c>
      <c r="T51" s="27"/>
      <c r="U51" s="35"/>
      <c r="V51" s="26"/>
      <c r="W51" s="26">
        <v>5.0</v>
      </c>
      <c r="X51" s="26"/>
    </row>
    <row r="52" hidden="1">
      <c r="A52" s="26">
        <v>51.0</v>
      </c>
      <c r="B52" s="188">
        <v>46174.0</v>
      </c>
      <c r="C52" s="26" t="s">
        <v>58</v>
      </c>
      <c r="D52" s="26" t="s">
        <v>34</v>
      </c>
      <c r="E52" s="26" t="s">
        <v>27</v>
      </c>
      <c r="F52" s="21">
        <v>5.00638328E8</v>
      </c>
      <c r="G52" s="26" t="s">
        <v>27</v>
      </c>
      <c r="H52" s="26" t="s">
        <v>27</v>
      </c>
      <c r="I52" s="26" t="s">
        <v>27</v>
      </c>
      <c r="J52" s="27" t="s">
        <v>3901</v>
      </c>
      <c r="K52" s="27"/>
      <c r="L52" s="26" t="s">
        <v>62</v>
      </c>
      <c r="M52" s="27" t="s">
        <v>208</v>
      </c>
      <c r="N52" s="26" t="s">
        <v>4746</v>
      </c>
      <c r="O52" s="26" t="s">
        <v>4746</v>
      </c>
      <c r="P52" s="35"/>
      <c r="Q52" s="26" t="s">
        <v>56</v>
      </c>
      <c r="R52" s="26" t="s">
        <v>42</v>
      </c>
      <c r="S52" s="27" t="s">
        <v>3566</v>
      </c>
      <c r="T52" s="27"/>
      <c r="U52" s="35"/>
      <c r="V52" s="26"/>
      <c r="W52" s="26">
        <v>5.0</v>
      </c>
      <c r="X52" s="26"/>
    </row>
    <row r="53" hidden="1">
      <c r="A53" s="26">
        <v>52.0</v>
      </c>
      <c r="B53" s="188">
        <v>46174.0</v>
      </c>
      <c r="C53" s="26" t="s">
        <v>58</v>
      </c>
      <c r="D53" s="26" t="s">
        <v>60</v>
      </c>
      <c r="E53" s="26" t="s">
        <v>27</v>
      </c>
      <c r="F53" s="21">
        <v>5.02158355E8</v>
      </c>
      <c r="G53" s="26" t="s">
        <v>27</v>
      </c>
      <c r="H53" s="26" t="s">
        <v>27</v>
      </c>
      <c r="I53" s="26" t="s">
        <v>27</v>
      </c>
      <c r="J53" s="209" t="s">
        <v>3887</v>
      </c>
      <c r="K53" s="27"/>
      <c r="L53" s="26" t="s">
        <v>62</v>
      </c>
      <c r="M53" s="27" t="s">
        <v>88</v>
      </c>
      <c r="N53" s="26" t="s">
        <v>4746</v>
      </c>
      <c r="O53" s="26" t="s">
        <v>4746</v>
      </c>
      <c r="P53" s="35"/>
      <c r="Q53" s="26" t="s">
        <v>56</v>
      </c>
      <c r="R53" s="26" t="s">
        <v>42</v>
      </c>
      <c r="S53" s="27" t="s">
        <v>3566</v>
      </c>
      <c r="T53" s="27"/>
      <c r="U53" s="35"/>
      <c r="V53" s="26"/>
      <c r="W53" s="26">
        <v>5.0</v>
      </c>
      <c r="X53" s="26"/>
    </row>
    <row r="54" hidden="1">
      <c r="A54" s="26">
        <v>53.0</v>
      </c>
      <c r="B54" s="188">
        <v>46174.0</v>
      </c>
      <c r="C54" s="26" t="s">
        <v>47</v>
      </c>
      <c r="D54" s="26" t="s">
        <v>48</v>
      </c>
      <c r="E54" s="27" t="s">
        <v>3909</v>
      </c>
      <c r="F54" s="21">
        <v>5.56809239E8</v>
      </c>
      <c r="G54" s="26" t="s">
        <v>5023</v>
      </c>
      <c r="H54" s="27" t="s">
        <v>2715</v>
      </c>
      <c r="I54" s="26" t="s">
        <v>2716</v>
      </c>
      <c r="J54" s="209" t="s">
        <v>5134</v>
      </c>
      <c r="K54" s="27" t="s">
        <v>3911</v>
      </c>
      <c r="L54" s="26" t="s">
        <v>148</v>
      </c>
      <c r="M54" s="27" t="s">
        <v>5011</v>
      </c>
      <c r="N54" s="26" t="s">
        <v>4977</v>
      </c>
      <c r="O54" s="26" t="s">
        <v>4746</v>
      </c>
      <c r="P54" s="35">
        <v>0.0</v>
      </c>
      <c r="Q54" s="26" t="s">
        <v>56</v>
      </c>
      <c r="R54" s="26" t="s">
        <v>518</v>
      </c>
      <c r="S54" s="27" t="s">
        <v>3765</v>
      </c>
      <c r="T54" s="27" t="s">
        <v>3566</v>
      </c>
      <c r="U54" s="35">
        <v>0.6388888888888888</v>
      </c>
      <c r="V54" s="26" t="s">
        <v>44</v>
      </c>
      <c r="W54" s="26">
        <v>5.0</v>
      </c>
      <c r="X54" s="26" t="s">
        <v>46</v>
      </c>
    </row>
    <row r="55" hidden="1">
      <c r="A55" s="26">
        <v>54.0</v>
      </c>
      <c r="B55" s="188">
        <v>46174.0</v>
      </c>
      <c r="C55" s="26" t="s">
        <v>47</v>
      </c>
      <c r="D55" s="26" t="s">
        <v>48</v>
      </c>
      <c r="E55" s="27" t="s">
        <v>3913</v>
      </c>
      <c r="F55" s="21">
        <v>5.37555538E8</v>
      </c>
      <c r="G55" s="26" t="s">
        <v>5023</v>
      </c>
      <c r="H55" s="27" t="s">
        <v>2715</v>
      </c>
      <c r="I55" s="26" t="s">
        <v>2716</v>
      </c>
      <c r="J55" s="209" t="s">
        <v>5146</v>
      </c>
      <c r="K55" s="27" t="s">
        <v>3918</v>
      </c>
      <c r="L55" s="26" t="s">
        <v>148</v>
      </c>
      <c r="M55" s="275" t="s">
        <v>3764</v>
      </c>
      <c r="N55" s="26" t="s">
        <v>4977</v>
      </c>
      <c r="O55" s="26" t="s">
        <v>4746</v>
      </c>
      <c r="P55" s="35">
        <v>0.8055555555555556</v>
      </c>
      <c r="Q55" s="26" t="s">
        <v>56</v>
      </c>
      <c r="R55" s="26" t="s">
        <v>518</v>
      </c>
      <c r="S55" s="27" t="s">
        <v>3765</v>
      </c>
      <c r="T55" s="27" t="s">
        <v>3566</v>
      </c>
      <c r="U55" s="35">
        <v>0.6444444444444445</v>
      </c>
      <c r="V55" s="26" t="s">
        <v>44</v>
      </c>
      <c r="W55" s="26">
        <v>5.0</v>
      </c>
      <c r="X55" s="26" t="s">
        <v>46</v>
      </c>
    </row>
    <row r="56" hidden="1">
      <c r="A56" s="26">
        <v>55.0</v>
      </c>
      <c r="B56" s="188">
        <v>46174.0</v>
      </c>
      <c r="C56" s="26" t="s">
        <v>47</v>
      </c>
      <c r="D56" s="26" t="s">
        <v>48</v>
      </c>
      <c r="E56" s="27" t="s">
        <v>763</v>
      </c>
      <c r="F56" s="21">
        <v>5.06072531E8</v>
      </c>
      <c r="G56" s="26" t="s">
        <v>5151</v>
      </c>
      <c r="H56" s="27" t="s">
        <v>28</v>
      </c>
      <c r="I56" s="126" t="s">
        <v>3190</v>
      </c>
      <c r="J56" s="209" t="s">
        <v>5153</v>
      </c>
      <c r="K56" s="27" t="s">
        <v>3925</v>
      </c>
      <c r="L56" s="26" t="s">
        <v>148</v>
      </c>
      <c r="M56" s="318" t="s">
        <v>3926</v>
      </c>
      <c r="N56" s="26" t="s">
        <v>4977</v>
      </c>
      <c r="O56" s="26" t="s">
        <v>4746</v>
      </c>
      <c r="P56" s="35">
        <v>0.4486111111111111</v>
      </c>
      <c r="Q56" s="26" t="s">
        <v>56</v>
      </c>
      <c r="R56" s="26" t="s">
        <v>301</v>
      </c>
      <c r="S56" s="27" t="s">
        <v>3566</v>
      </c>
      <c r="T56" s="27" t="s">
        <v>3566</v>
      </c>
      <c r="U56" s="35">
        <v>0.6673611111111111</v>
      </c>
      <c r="V56" s="26" t="s">
        <v>44</v>
      </c>
      <c r="W56" s="26">
        <v>5.0</v>
      </c>
      <c r="X56" s="26" t="s">
        <v>46</v>
      </c>
    </row>
    <row r="57" hidden="1">
      <c r="A57" s="26">
        <v>56.0</v>
      </c>
      <c r="B57" s="188">
        <v>46174.0</v>
      </c>
      <c r="C57" s="26" t="s">
        <v>47</v>
      </c>
      <c r="D57" s="26" t="s">
        <v>138</v>
      </c>
      <c r="E57" s="27" t="s">
        <v>3927</v>
      </c>
      <c r="F57" s="21">
        <v>5.32856861E8</v>
      </c>
      <c r="G57" s="26" t="s">
        <v>5151</v>
      </c>
      <c r="H57" s="27" t="s">
        <v>28</v>
      </c>
      <c r="I57" s="26" t="s">
        <v>548</v>
      </c>
      <c r="J57" s="209" t="s">
        <v>3929</v>
      </c>
      <c r="K57" s="27" t="s">
        <v>3931</v>
      </c>
      <c r="L57" s="26" t="s">
        <v>148</v>
      </c>
      <c r="M57" s="308" t="s">
        <v>183</v>
      </c>
      <c r="N57" s="26" t="s">
        <v>4917</v>
      </c>
      <c r="O57" s="26" t="s">
        <v>4746</v>
      </c>
      <c r="P57" s="35">
        <v>0.4930555555555556</v>
      </c>
      <c r="Q57" s="26" t="s">
        <v>56</v>
      </c>
      <c r="R57" s="26" t="s">
        <v>518</v>
      </c>
      <c r="S57" s="27" t="s">
        <v>3566</v>
      </c>
      <c r="T57" s="27"/>
      <c r="U57" s="35"/>
      <c r="V57" s="26"/>
      <c r="W57" s="26">
        <v>5.0</v>
      </c>
      <c r="X57" s="26" t="s">
        <v>46</v>
      </c>
    </row>
    <row r="58" hidden="1">
      <c r="A58" s="26">
        <v>57.0</v>
      </c>
      <c r="B58" s="188">
        <v>46174.0</v>
      </c>
      <c r="C58" s="26" t="s">
        <v>47</v>
      </c>
      <c r="D58" s="26" t="s">
        <v>138</v>
      </c>
      <c r="E58" s="27" t="s">
        <v>3938</v>
      </c>
      <c r="F58" s="21">
        <v>5.02582939E8</v>
      </c>
      <c r="G58" s="26" t="s">
        <v>5151</v>
      </c>
      <c r="H58" s="27" t="s">
        <v>28</v>
      </c>
      <c r="I58" s="26" t="s">
        <v>3190</v>
      </c>
      <c r="J58" s="209" t="s">
        <v>3941</v>
      </c>
      <c r="K58" s="27" t="s">
        <v>3942</v>
      </c>
      <c r="L58" s="26" t="s">
        <v>148</v>
      </c>
      <c r="M58" s="308" t="s">
        <v>183</v>
      </c>
      <c r="N58" s="26" t="s">
        <v>4917</v>
      </c>
      <c r="O58" s="26" t="s">
        <v>4746</v>
      </c>
      <c r="P58" s="35">
        <v>0.4930555555555556</v>
      </c>
      <c r="Q58" s="26" t="s">
        <v>56</v>
      </c>
      <c r="R58" s="26" t="s">
        <v>518</v>
      </c>
      <c r="S58" s="27" t="s">
        <v>3566</v>
      </c>
      <c r="T58" s="27"/>
      <c r="U58" s="35"/>
      <c r="V58" s="26"/>
      <c r="W58" s="26">
        <v>5.0</v>
      </c>
      <c r="X58" s="26" t="s">
        <v>46</v>
      </c>
    </row>
    <row r="59" hidden="1">
      <c r="A59" s="26">
        <v>58.0</v>
      </c>
      <c r="B59" s="188">
        <v>46174.0</v>
      </c>
      <c r="C59" s="26" t="s">
        <v>47</v>
      </c>
      <c r="D59" s="26" t="s">
        <v>48</v>
      </c>
      <c r="E59" s="27" t="s">
        <v>3949</v>
      </c>
      <c r="F59" s="21">
        <v>5.55116395E8</v>
      </c>
      <c r="G59" s="26" t="s">
        <v>4769</v>
      </c>
      <c r="H59" s="27" t="s">
        <v>333</v>
      </c>
      <c r="I59" s="26" t="s">
        <v>1114</v>
      </c>
      <c r="J59" s="209" t="s">
        <v>5171</v>
      </c>
      <c r="K59" s="27" t="s">
        <v>3952</v>
      </c>
      <c r="L59" s="26" t="s">
        <v>148</v>
      </c>
      <c r="M59" s="27" t="s">
        <v>5011</v>
      </c>
      <c r="N59" s="26" t="s">
        <v>4977</v>
      </c>
      <c r="O59" s="26" t="s">
        <v>4746</v>
      </c>
      <c r="P59" s="35">
        <v>0.13541666666666666</v>
      </c>
      <c r="Q59" s="26" t="s">
        <v>56</v>
      </c>
      <c r="R59" s="26" t="s">
        <v>518</v>
      </c>
      <c r="S59" s="27" t="s">
        <v>3765</v>
      </c>
      <c r="T59" s="27" t="s">
        <v>3566</v>
      </c>
      <c r="U59" s="35">
        <v>0.6701388888888888</v>
      </c>
      <c r="V59" s="26" t="s">
        <v>44</v>
      </c>
      <c r="W59" s="26">
        <v>5.0</v>
      </c>
      <c r="X59" s="26" t="s">
        <v>46</v>
      </c>
    </row>
    <row r="60" hidden="1">
      <c r="A60" s="26">
        <v>59.0</v>
      </c>
      <c r="B60" s="188">
        <v>46174.0</v>
      </c>
      <c r="C60" s="26" t="s">
        <v>47</v>
      </c>
      <c r="D60" s="26" t="s">
        <v>92</v>
      </c>
      <c r="E60" s="27" t="s">
        <v>1260</v>
      </c>
      <c r="F60" s="36">
        <v>5.00027458E8</v>
      </c>
      <c r="G60" s="26" t="s">
        <v>4769</v>
      </c>
      <c r="H60" s="204" t="s">
        <v>333</v>
      </c>
      <c r="I60" s="26" t="s">
        <v>3958</v>
      </c>
      <c r="J60" s="209" t="s">
        <v>3959</v>
      </c>
      <c r="K60" s="27"/>
      <c r="L60" s="26" t="s">
        <v>148</v>
      </c>
      <c r="M60" s="27" t="s">
        <v>323</v>
      </c>
      <c r="N60" s="26" t="s">
        <v>4637</v>
      </c>
      <c r="O60" s="26" t="s">
        <v>4746</v>
      </c>
      <c r="P60" s="35">
        <v>0.4930555555555556</v>
      </c>
      <c r="Q60" s="26" t="s">
        <v>40</v>
      </c>
      <c r="R60" s="26" t="s">
        <v>301</v>
      </c>
      <c r="S60" s="27" t="s">
        <v>3566</v>
      </c>
      <c r="T60" s="27"/>
      <c r="U60" s="35"/>
      <c r="V60" s="26"/>
      <c r="W60" s="26">
        <v>5.0</v>
      </c>
      <c r="X60" s="26" t="s">
        <v>46</v>
      </c>
    </row>
    <row r="61" hidden="1">
      <c r="A61" s="26">
        <v>60.0</v>
      </c>
      <c r="B61" s="188">
        <v>46174.0</v>
      </c>
      <c r="C61" s="26" t="s">
        <v>47</v>
      </c>
      <c r="D61" s="26" t="s">
        <v>92</v>
      </c>
      <c r="E61" s="27" t="s">
        <v>1197</v>
      </c>
      <c r="F61" s="21">
        <v>5.34288851E8</v>
      </c>
      <c r="G61" s="26" t="s">
        <v>4769</v>
      </c>
      <c r="H61" s="27" t="s">
        <v>152</v>
      </c>
      <c r="I61" s="26" t="s">
        <v>3958</v>
      </c>
      <c r="J61" s="209" t="s">
        <v>3970</v>
      </c>
      <c r="K61" s="27"/>
      <c r="L61" s="26" t="s">
        <v>148</v>
      </c>
      <c r="M61" s="27" t="s">
        <v>323</v>
      </c>
      <c r="N61" s="26" t="s">
        <v>4637</v>
      </c>
      <c r="O61" s="26" t="s">
        <v>4746</v>
      </c>
      <c r="P61" s="35">
        <v>0.6597222222222222</v>
      </c>
      <c r="Q61" s="26" t="s">
        <v>40</v>
      </c>
      <c r="R61" s="26" t="s">
        <v>42</v>
      </c>
      <c r="S61" s="27" t="s">
        <v>3566</v>
      </c>
      <c r="T61" s="27"/>
      <c r="U61" s="35"/>
      <c r="V61" s="26"/>
      <c r="W61" s="26">
        <v>5.0</v>
      </c>
      <c r="X61" s="26" t="s">
        <v>46</v>
      </c>
    </row>
    <row r="62" hidden="1">
      <c r="A62" s="26">
        <v>61.0</v>
      </c>
      <c r="B62" s="188">
        <v>46174.0</v>
      </c>
      <c r="C62" s="26" t="s">
        <v>47</v>
      </c>
      <c r="D62" s="26" t="s">
        <v>138</v>
      </c>
      <c r="E62" s="27" t="s">
        <v>1671</v>
      </c>
      <c r="F62" s="21">
        <v>5.39300486E8</v>
      </c>
      <c r="G62" s="26" t="s">
        <v>4740</v>
      </c>
      <c r="H62" s="27" t="s">
        <v>79</v>
      </c>
      <c r="I62" s="26" t="s">
        <v>142</v>
      </c>
      <c r="J62" s="209" t="s">
        <v>3975</v>
      </c>
      <c r="K62" s="27" t="s">
        <v>3976</v>
      </c>
      <c r="L62" s="26" t="s">
        <v>148</v>
      </c>
      <c r="M62" s="308" t="s">
        <v>183</v>
      </c>
      <c r="N62" s="26" t="s">
        <v>4917</v>
      </c>
      <c r="O62" s="26" t="s">
        <v>4746</v>
      </c>
      <c r="P62" s="35">
        <v>0.4930555555555556</v>
      </c>
      <c r="Q62" s="26" t="s">
        <v>56</v>
      </c>
      <c r="R62" s="26" t="s">
        <v>518</v>
      </c>
      <c r="S62" s="27" t="s">
        <v>3566</v>
      </c>
      <c r="T62" s="27"/>
      <c r="U62" s="35"/>
      <c r="V62" s="26"/>
      <c r="W62" s="26">
        <v>5.0</v>
      </c>
      <c r="X62" s="26" t="s">
        <v>46</v>
      </c>
    </row>
    <row r="63" hidden="1">
      <c r="A63" s="26">
        <v>62.0</v>
      </c>
      <c r="B63" s="188">
        <v>46174.0</v>
      </c>
      <c r="C63" s="26" t="s">
        <v>47</v>
      </c>
      <c r="D63" s="26" t="s">
        <v>138</v>
      </c>
      <c r="E63" s="26" t="s">
        <v>3980</v>
      </c>
      <c r="F63" s="21">
        <v>5.08261839E8</v>
      </c>
      <c r="G63" s="26" t="s">
        <v>4740</v>
      </c>
      <c r="H63" s="27" t="s">
        <v>79</v>
      </c>
      <c r="I63" s="26" t="s">
        <v>178</v>
      </c>
      <c r="J63" s="209" t="s">
        <v>3981</v>
      </c>
      <c r="K63" s="27"/>
      <c r="L63" s="26" t="s">
        <v>148</v>
      </c>
      <c r="M63" s="27" t="s">
        <v>713</v>
      </c>
      <c r="N63" s="26" t="s">
        <v>4917</v>
      </c>
      <c r="O63" s="26" t="s">
        <v>4746</v>
      </c>
      <c r="P63" s="35">
        <v>0.4930555555555556</v>
      </c>
      <c r="Q63" s="26" t="s">
        <v>40</v>
      </c>
      <c r="R63" s="26" t="s">
        <v>518</v>
      </c>
      <c r="S63" s="27" t="s">
        <v>3566</v>
      </c>
      <c r="T63" s="27"/>
      <c r="U63" s="35"/>
      <c r="V63" s="26"/>
      <c r="W63" s="26">
        <v>5.0</v>
      </c>
      <c r="X63" s="26" t="s">
        <v>46</v>
      </c>
    </row>
    <row r="64" hidden="1">
      <c r="A64" s="26">
        <v>63.0</v>
      </c>
      <c r="B64" s="188">
        <v>46174.0</v>
      </c>
      <c r="C64" s="26" t="s">
        <v>47</v>
      </c>
      <c r="D64" s="26" t="s">
        <v>138</v>
      </c>
      <c r="E64" s="27" t="s">
        <v>463</v>
      </c>
      <c r="F64" s="21">
        <v>5.37432786E8</v>
      </c>
      <c r="G64" s="26" t="s">
        <v>4740</v>
      </c>
      <c r="H64" s="27" t="s">
        <v>41</v>
      </c>
      <c r="I64" s="26" t="s">
        <v>956</v>
      </c>
      <c r="J64" s="209" t="s">
        <v>3986</v>
      </c>
      <c r="K64" s="27"/>
      <c r="L64" s="26" t="s">
        <v>148</v>
      </c>
      <c r="M64" s="27" t="s">
        <v>5216</v>
      </c>
      <c r="N64" s="26" t="s">
        <v>4917</v>
      </c>
      <c r="O64" s="26" t="s">
        <v>4746</v>
      </c>
      <c r="P64" s="35">
        <v>0.4930555555555556</v>
      </c>
      <c r="Q64" s="26" t="s">
        <v>40</v>
      </c>
      <c r="R64" s="26" t="s">
        <v>518</v>
      </c>
      <c r="S64" s="27" t="s">
        <v>3566</v>
      </c>
      <c r="T64" s="27"/>
      <c r="U64" s="35"/>
      <c r="V64" s="26"/>
      <c r="W64" s="26">
        <v>5.0</v>
      </c>
      <c r="X64" s="26" t="s">
        <v>46</v>
      </c>
    </row>
    <row r="65" hidden="1">
      <c r="A65" s="26">
        <v>64.0</v>
      </c>
      <c r="B65" s="188">
        <v>46174.0</v>
      </c>
      <c r="C65" s="26" t="s">
        <v>47</v>
      </c>
      <c r="D65" s="26" t="s">
        <v>138</v>
      </c>
      <c r="E65" s="27" t="s">
        <v>3991</v>
      </c>
      <c r="F65" s="21">
        <v>5.58833406E8</v>
      </c>
      <c r="G65" s="26" t="s">
        <v>4740</v>
      </c>
      <c r="H65" s="27" t="s">
        <v>41</v>
      </c>
      <c r="I65" s="26" t="s">
        <v>956</v>
      </c>
      <c r="J65" s="209" t="s">
        <v>3993</v>
      </c>
      <c r="K65" s="27"/>
      <c r="L65" s="26" t="s">
        <v>148</v>
      </c>
      <c r="M65" s="27" t="s">
        <v>5216</v>
      </c>
      <c r="N65" s="26" t="s">
        <v>4917</v>
      </c>
      <c r="O65" s="26" t="s">
        <v>4746</v>
      </c>
      <c r="P65" s="35">
        <v>0.4930555555555556</v>
      </c>
      <c r="Q65" s="26" t="s">
        <v>40</v>
      </c>
      <c r="R65" s="26" t="s">
        <v>518</v>
      </c>
      <c r="S65" s="27" t="s">
        <v>3566</v>
      </c>
      <c r="T65" s="27"/>
      <c r="U65" s="35"/>
      <c r="V65" s="26"/>
      <c r="W65" s="26">
        <v>5.0</v>
      </c>
      <c r="X65" s="26" t="s">
        <v>46</v>
      </c>
    </row>
    <row r="66" hidden="1">
      <c r="A66" s="26">
        <v>65.0</v>
      </c>
      <c r="B66" s="188">
        <v>46174.0</v>
      </c>
      <c r="C66" s="26" t="s">
        <v>47</v>
      </c>
      <c r="D66" s="26" t="s">
        <v>138</v>
      </c>
      <c r="E66" s="27" t="s">
        <v>3998</v>
      </c>
      <c r="F66" s="21">
        <v>5.0472913E8</v>
      </c>
      <c r="G66" s="26" t="s">
        <v>4740</v>
      </c>
      <c r="H66" s="27" t="s">
        <v>41</v>
      </c>
      <c r="I66" s="26" t="s">
        <v>222</v>
      </c>
      <c r="J66" s="209" t="s">
        <v>4001</v>
      </c>
      <c r="K66" s="27"/>
      <c r="L66" s="26" t="s">
        <v>148</v>
      </c>
      <c r="M66" s="308" t="s">
        <v>183</v>
      </c>
      <c r="N66" s="26" t="s">
        <v>4917</v>
      </c>
      <c r="O66" s="26" t="s">
        <v>4746</v>
      </c>
      <c r="P66" s="35">
        <v>0.4930555555555556</v>
      </c>
      <c r="Q66" s="26" t="s">
        <v>40</v>
      </c>
      <c r="R66" s="26" t="s">
        <v>518</v>
      </c>
      <c r="S66" s="27" t="s">
        <v>3566</v>
      </c>
      <c r="T66" s="27"/>
      <c r="U66" s="35"/>
      <c r="V66" s="26"/>
      <c r="W66" s="26">
        <v>5.0</v>
      </c>
      <c r="X66" s="26" t="s">
        <v>46</v>
      </c>
    </row>
    <row r="67" hidden="1">
      <c r="A67" s="26">
        <v>66.0</v>
      </c>
      <c r="B67" s="188">
        <v>46174.0</v>
      </c>
      <c r="C67" s="26" t="s">
        <v>47</v>
      </c>
      <c r="D67" s="26" t="s">
        <v>138</v>
      </c>
      <c r="E67" s="26" t="s">
        <v>1958</v>
      </c>
      <c r="F67" s="21" t="s">
        <v>27</v>
      </c>
      <c r="G67" s="26" t="s">
        <v>4740</v>
      </c>
      <c r="H67" s="27" t="s">
        <v>71</v>
      </c>
      <c r="I67" s="26" t="s">
        <v>185</v>
      </c>
      <c r="J67" s="209" t="s">
        <v>4009</v>
      </c>
      <c r="K67" s="27"/>
      <c r="L67" s="26" t="s">
        <v>148</v>
      </c>
      <c r="M67" s="308" t="s">
        <v>183</v>
      </c>
      <c r="N67" s="26" t="s">
        <v>4917</v>
      </c>
      <c r="O67" s="26" t="s">
        <v>4746</v>
      </c>
      <c r="P67" s="35">
        <v>0.4930555555555556</v>
      </c>
      <c r="Q67" s="26" t="s">
        <v>40</v>
      </c>
      <c r="R67" s="26" t="s">
        <v>518</v>
      </c>
      <c r="S67" s="27" t="s">
        <v>3566</v>
      </c>
      <c r="T67" s="27"/>
      <c r="U67" s="35"/>
      <c r="V67" s="26"/>
      <c r="W67" s="26">
        <v>5.0</v>
      </c>
      <c r="X67" s="26" t="s">
        <v>46</v>
      </c>
    </row>
    <row r="68" hidden="1">
      <c r="A68" s="26">
        <v>67.0</v>
      </c>
      <c r="B68" s="188">
        <v>46174.0</v>
      </c>
      <c r="C68" s="26" t="s">
        <v>47</v>
      </c>
      <c r="D68" s="26" t="s">
        <v>138</v>
      </c>
      <c r="E68" s="27" t="s">
        <v>4015</v>
      </c>
      <c r="F68" s="21">
        <v>5.07731254E8</v>
      </c>
      <c r="G68" s="26" t="s">
        <v>4740</v>
      </c>
      <c r="H68" s="27" t="s">
        <v>41</v>
      </c>
      <c r="I68" s="26" t="s">
        <v>513</v>
      </c>
      <c r="J68" s="209" t="s">
        <v>4018</v>
      </c>
      <c r="K68" s="27"/>
      <c r="L68" s="26" t="s">
        <v>148</v>
      </c>
      <c r="M68" s="27" t="s">
        <v>5216</v>
      </c>
      <c r="N68" s="26" t="s">
        <v>4917</v>
      </c>
      <c r="O68" s="26" t="s">
        <v>4746</v>
      </c>
      <c r="P68" s="35">
        <v>0.4930555555555556</v>
      </c>
      <c r="Q68" s="26" t="s">
        <v>40</v>
      </c>
      <c r="R68" s="26" t="s">
        <v>518</v>
      </c>
      <c r="S68" s="27" t="s">
        <v>3566</v>
      </c>
      <c r="T68" s="27"/>
      <c r="U68" s="35"/>
      <c r="V68" s="26"/>
      <c r="W68" s="26">
        <v>5.0</v>
      </c>
      <c r="X68" s="26" t="s">
        <v>46</v>
      </c>
    </row>
    <row r="69" hidden="1">
      <c r="A69" s="26">
        <v>68.0</v>
      </c>
      <c r="B69" s="188">
        <v>46174.0</v>
      </c>
      <c r="C69" s="26" t="s">
        <v>47</v>
      </c>
      <c r="D69" s="26" t="s">
        <v>138</v>
      </c>
      <c r="E69" s="26" t="s">
        <v>4023</v>
      </c>
      <c r="F69" s="21">
        <v>5.57582223E8</v>
      </c>
      <c r="G69" s="26" t="s">
        <v>4740</v>
      </c>
      <c r="H69" s="27" t="s">
        <v>79</v>
      </c>
      <c r="I69" s="26" t="s">
        <v>178</v>
      </c>
      <c r="J69" s="209" t="s">
        <v>4024</v>
      </c>
      <c r="K69" s="27"/>
      <c r="L69" s="26" t="s">
        <v>148</v>
      </c>
      <c r="M69" s="308" t="s">
        <v>183</v>
      </c>
      <c r="N69" s="26" t="s">
        <v>4917</v>
      </c>
      <c r="O69" s="26" t="s">
        <v>4746</v>
      </c>
      <c r="P69" s="35">
        <v>0.4930555555555556</v>
      </c>
      <c r="Q69" s="26" t="s">
        <v>40</v>
      </c>
      <c r="R69" s="26" t="s">
        <v>518</v>
      </c>
      <c r="S69" s="27" t="s">
        <v>3566</v>
      </c>
      <c r="T69" s="27"/>
      <c r="U69" s="35"/>
      <c r="V69" s="26"/>
      <c r="W69" s="26">
        <v>5.0</v>
      </c>
      <c r="X69" s="26" t="s">
        <v>46</v>
      </c>
    </row>
    <row r="70" hidden="1">
      <c r="A70" s="26">
        <v>69.0</v>
      </c>
      <c r="B70" s="188">
        <v>46174.0</v>
      </c>
      <c r="C70" s="26" t="s">
        <v>47</v>
      </c>
      <c r="D70" s="26" t="s">
        <v>138</v>
      </c>
      <c r="E70" s="26" t="s">
        <v>4029</v>
      </c>
      <c r="F70" s="21">
        <v>5.52637773E8</v>
      </c>
      <c r="G70" s="26" t="s">
        <v>4740</v>
      </c>
      <c r="H70" s="27" t="s">
        <v>79</v>
      </c>
      <c r="I70" s="26" t="s">
        <v>142</v>
      </c>
      <c r="J70" s="209" t="s">
        <v>4030</v>
      </c>
      <c r="K70" s="27"/>
      <c r="L70" s="26" t="s">
        <v>148</v>
      </c>
      <c r="M70" s="308" t="s">
        <v>183</v>
      </c>
      <c r="N70" s="26" t="s">
        <v>4917</v>
      </c>
      <c r="O70" s="26" t="s">
        <v>4746</v>
      </c>
      <c r="P70" s="35">
        <v>0.4930555555555556</v>
      </c>
      <c r="Q70" s="26" t="s">
        <v>40</v>
      </c>
      <c r="R70" s="26" t="s">
        <v>518</v>
      </c>
      <c r="S70" s="27" t="s">
        <v>3566</v>
      </c>
      <c r="T70" s="27"/>
      <c r="U70" s="35"/>
      <c r="V70" s="26"/>
      <c r="W70" s="26">
        <v>5.0</v>
      </c>
      <c r="X70" s="26" t="s">
        <v>46</v>
      </c>
    </row>
    <row r="71" hidden="1">
      <c r="A71" s="26">
        <v>70.0</v>
      </c>
      <c r="B71" s="188">
        <v>46174.0</v>
      </c>
      <c r="C71" s="26" t="s">
        <v>58</v>
      </c>
      <c r="D71" s="26" t="s">
        <v>60</v>
      </c>
      <c r="E71" s="26" t="s">
        <v>27</v>
      </c>
      <c r="F71" s="36">
        <v>5.51577243E8</v>
      </c>
      <c r="G71" s="26" t="s">
        <v>27</v>
      </c>
      <c r="H71" s="26" t="s">
        <v>27</v>
      </c>
      <c r="I71" s="26" t="s">
        <v>27</v>
      </c>
      <c r="J71" s="209" t="s">
        <v>4036</v>
      </c>
      <c r="K71" s="27"/>
      <c r="L71" s="26" t="s">
        <v>36</v>
      </c>
      <c r="M71" s="27" t="s">
        <v>88</v>
      </c>
      <c r="N71" s="26" t="s">
        <v>49</v>
      </c>
      <c r="O71" s="26" t="s">
        <v>49</v>
      </c>
      <c r="P71" s="35"/>
      <c r="Q71" s="26" t="s">
        <v>56</v>
      </c>
      <c r="R71" s="26" t="s">
        <v>42</v>
      </c>
      <c r="S71" s="27" t="s">
        <v>3566</v>
      </c>
      <c r="T71" s="27"/>
      <c r="U71" s="35"/>
      <c r="V71" s="26"/>
      <c r="W71" s="26">
        <v>5.0</v>
      </c>
      <c r="X71" s="26"/>
    </row>
    <row r="72" hidden="1">
      <c r="A72" s="26">
        <v>71.0</v>
      </c>
      <c r="B72" s="188">
        <v>46174.0</v>
      </c>
      <c r="C72" s="26" t="s">
        <v>58</v>
      </c>
      <c r="D72" s="26" t="s">
        <v>60</v>
      </c>
      <c r="E72" s="26" t="s">
        <v>27</v>
      </c>
      <c r="F72" s="36">
        <v>5.37822883E8</v>
      </c>
      <c r="G72" s="26" t="s">
        <v>27</v>
      </c>
      <c r="H72" s="26" t="s">
        <v>27</v>
      </c>
      <c r="I72" s="26" t="s">
        <v>27</v>
      </c>
      <c r="J72" s="209" t="s">
        <v>4043</v>
      </c>
      <c r="K72" s="27"/>
      <c r="L72" s="26" t="s">
        <v>36</v>
      </c>
      <c r="M72" s="27" t="s">
        <v>88</v>
      </c>
      <c r="N72" s="26" t="s">
        <v>49</v>
      </c>
      <c r="O72" s="26" t="s">
        <v>49</v>
      </c>
      <c r="P72" s="35"/>
      <c r="Q72" s="26" t="s">
        <v>56</v>
      </c>
      <c r="R72" s="26" t="s">
        <v>42</v>
      </c>
      <c r="S72" s="27" t="s">
        <v>3566</v>
      </c>
      <c r="T72" s="27"/>
      <c r="U72" s="35"/>
      <c r="V72" s="26"/>
      <c r="W72" s="26">
        <v>5.0</v>
      </c>
      <c r="X72" s="26"/>
    </row>
    <row r="73" hidden="1">
      <c r="A73" s="26">
        <v>72.0</v>
      </c>
      <c r="B73" s="188">
        <v>46174.0</v>
      </c>
      <c r="C73" s="26" t="s">
        <v>58</v>
      </c>
      <c r="D73" s="26" t="s">
        <v>60</v>
      </c>
      <c r="E73" s="26" t="s">
        <v>27</v>
      </c>
      <c r="F73" s="36">
        <v>5.05753113E8</v>
      </c>
      <c r="G73" s="26" t="s">
        <v>27</v>
      </c>
      <c r="H73" s="26" t="s">
        <v>27</v>
      </c>
      <c r="I73" s="26" t="s">
        <v>27</v>
      </c>
      <c r="J73" s="209" t="s">
        <v>4047</v>
      </c>
      <c r="K73" s="27"/>
      <c r="L73" s="26" t="s">
        <v>36</v>
      </c>
      <c r="M73" s="27" t="s">
        <v>88</v>
      </c>
      <c r="N73" s="26" t="s">
        <v>49</v>
      </c>
      <c r="O73" s="26" t="s">
        <v>49</v>
      </c>
      <c r="P73" s="35"/>
      <c r="Q73" s="26" t="s">
        <v>56</v>
      </c>
      <c r="R73" s="26" t="s">
        <v>42</v>
      </c>
      <c r="S73" s="27" t="s">
        <v>3566</v>
      </c>
      <c r="T73" s="27"/>
      <c r="U73" s="35"/>
      <c r="V73" s="26"/>
      <c r="W73" s="26">
        <v>5.0</v>
      </c>
      <c r="X73" s="26"/>
    </row>
    <row r="74" hidden="1">
      <c r="A74" s="26">
        <v>73.0</v>
      </c>
      <c r="B74" s="188">
        <v>46174.0</v>
      </c>
      <c r="C74" s="26" t="s">
        <v>58</v>
      </c>
      <c r="D74" s="26" t="s">
        <v>60</v>
      </c>
      <c r="E74" s="26" t="s">
        <v>27</v>
      </c>
      <c r="F74" s="36">
        <v>5.31112732E8</v>
      </c>
      <c r="G74" s="26" t="s">
        <v>27</v>
      </c>
      <c r="H74" s="26" t="s">
        <v>27</v>
      </c>
      <c r="I74" s="26" t="s">
        <v>27</v>
      </c>
      <c r="J74" s="209" t="s">
        <v>2389</v>
      </c>
      <c r="K74" s="27"/>
      <c r="L74" s="26" t="s">
        <v>36</v>
      </c>
      <c r="M74" s="27" t="s">
        <v>88</v>
      </c>
      <c r="N74" s="26" t="s">
        <v>49</v>
      </c>
      <c r="O74" s="26" t="s">
        <v>49</v>
      </c>
      <c r="P74" s="35"/>
      <c r="Q74" s="26" t="s">
        <v>56</v>
      </c>
      <c r="R74" s="26" t="s">
        <v>42</v>
      </c>
      <c r="S74" s="27" t="s">
        <v>3566</v>
      </c>
      <c r="T74" s="27"/>
      <c r="U74" s="35"/>
      <c r="V74" s="26"/>
      <c r="W74" s="26">
        <v>5.0</v>
      </c>
      <c r="X74" s="26"/>
    </row>
    <row r="75" ht="27.0" hidden="1" customHeight="1">
      <c r="A75" s="26">
        <v>74.0</v>
      </c>
      <c r="B75" s="188">
        <v>46174.0</v>
      </c>
      <c r="C75" s="26" t="s">
        <v>58</v>
      </c>
      <c r="D75" s="26" t="s">
        <v>60</v>
      </c>
      <c r="E75" s="26" t="s">
        <v>27</v>
      </c>
      <c r="F75" s="36">
        <v>5.30199464E8</v>
      </c>
      <c r="G75" s="26" t="s">
        <v>27</v>
      </c>
      <c r="H75" s="26" t="s">
        <v>27</v>
      </c>
      <c r="I75" s="26" t="s">
        <v>27</v>
      </c>
      <c r="J75" s="209" t="s">
        <v>4057</v>
      </c>
      <c r="K75" s="27"/>
      <c r="L75" s="26" t="s">
        <v>36</v>
      </c>
      <c r="M75" s="27" t="s">
        <v>88</v>
      </c>
      <c r="N75" s="26" t="s">
        <v>49</v>
      </c>
      <c r="O75" s="26" t="s">
        <v>49</v>
      </c>
      <c r="P75" s="35"/>
      <c r="Q75" s="26" t="s">
        <v>56</v>
      </c>
      <c r="R75" s="26" t="s">
        <v>42</v>
      </c>
      <c r="S75" s="27" t="s">
        <v>3566</v>
      </c>
      <c r="T75" s="27"/>
      <c r="U75" s="35"/>
      <c r="V75" s="26"/>
      <c r="W75" s="26">
        <v>5.0</v>
      </c>
      <c r="X75" s="26"/>
    </row>
    <row r="76" ht="41.25" hidden="1" customHeight="1">
      <c r="A76" s="26">
        <v>75.0</v>
      </c>
      <c r="B76" s="188">
        <v>46174.0</v>
      </c>
      <c r="C76" s="26" t="s">
        <v>47</v>
      </c>
      <c r="D76" s="26" t="s">
        <v>48</v>
      </c>
      <c r="E76" s="27" t="s">
        <v>4062</v>
      </c>
      <c r="F76" s="36">
        <v>5.05729852E8</v>
      </c>
      <c r="G76" s="26" t="s">
        <v>4740</v>
      </c>
      <c r="H76" s="27" t="s">
        <v>79</v>
      </c>
      <c r="I76" s="26" t="s">
        <v>431</v>
      </c>
      <c r="J76" s="27" t="s">
        <v>4063</v>
      </c>
      <c r="K76" s="27"/>
      <c r="L76" s="26" t="s">
        <v>36</v>
      </c>
      <c r="M76" s="27" t="s">
        <v>5011</v>
      </c>
      <c r="N76" s="26" t="s">
        <v>4977</v>
      </c>
      <c r="O76" s="26" t="s">
        <v>863</v>
      </c>
      <c r="P76" s="35">
        <v>0.625</v>
      </c>
      <c r="Q76" s="26" t="s">
        <v>40</v>
      </c>
      <c r="R76" s="26" t="s">
        <v>518</v>
      </c>
      <c r="S76" s="27" t="s">
        <v>3765</v>
      </c>
      <c r="T76" s="27" t="s">
        <v>3566</v>
      </c>
      <c r="U76" s="35">
        <v>0.625</v>
      </c>
      <c r="V76" s="26" t="s">
        <v>49</v>
      </c>
      <c r="W76" s="26">
        <v>5.0</v>
      </c>
      <c r="X76" s="26" t="s">
        <v>46</v>
      </c>
    </row>
    <row r="77" ht="31.5" hidden="1" customHeight="1">
      <c r="A77" s="26">
        <v>76.0</v>
      </c>
      <c r="B77" s="188">
        <v>46174.0</v>
      </c>
      <c r="C77" s="26" t="s">
        <v>58</v>
      </c>
      <c r="D77" s="26" t="s">
        <v>60</v>
      </c>
      <c r="E77" s="26" t="s">
        <v>27</v>
      </c>
      <c r="F77" s="26">
        <v>5.58339971E8</v>
      </c>
      <c r="G77" s="26" t="s">
        <v>27</v>
      </c>
      <c r="H77" s="26" t="s">
        <v>27</v>
      </c>
      <c r="I77" s="26" t="s">
        <v>27</v>
      </c>
      <c r="J77" s="209" t="s">
        <v>484</v>
      </c>
      <c r="K77" s="27"/>
      <c r="L77" s="26" t="s">
        <v>36</v>
      </c>
      <c r="M77" s="27" t="s">
        <v>88</v>
      </c>
      <c r="N77" s="26" t="s">
        <v>49</v>
      </c>
      <c r="O77" s="26" t="s">
        <v>49</v>
      </c>
      <c r="P77" s="35"/>
      <c r="Q77" s="26" t="s">
        <v>56</v>
      </c>
      <c r="R77" s="26" t="s">
        <v>42</v>
      </c>
      <c r="S77" s="27" t="s">
        <v>3566</v>
      </c>
      <c r="T77" s="27"/>
      <c r="U77" s="35"/>
      <c r="V77" s="26"/>
      <c r="W77" s="26">
        <v>5.0</v>
      </c>
      <c r="X77" s="26"/>
    </row>
    <row r="78" hidden="1">
      <c r="A78" s="26">
        <v>77.0</v>
      </c>
      <c r="B78" s="188">
        <v>46174.0</v>
      </c>
      <c r="C78" s="26" t="s">
        <v>58</v>
      </c>
      <c r="D78" s="26" t="s">
        <v>60</v>
      </c>
      <c r="E78" s="26" t="s">
        <v>27</v>
      </c>
      <c r="F78" s="26">
        <v>5.94704237E8</v>
      </c>
      <c r="G78" s="26" t="s">
        <v>27</v>
      </c>
      <c r="H78" s="26" t="s">
        <v>27</v>
      </c>
      <c r="I78" s="26" t="s">
        <v>27</v>
      </c>
      <c r="J78" s="209" t="s">
        <v>4043</v>
      </c>
      <c r="K78" s="27"/>
      <c r="L78" s="26" t="s">
        <v>65</v>
      </c>
      <c r="M78" s="27" t="s">
        <v>38</v>
      </c>
      <c r="N78" s="26" t="s">
        <v>49</v>
      </c>
      <c r="O78" s="26" t="s">
        <v>49</v>
      </c>
      <c r="P78" s="35"/>
      <c r="Q78" s="26" t="s">
        <v>56</v>
      </c>
      <c r="R78" s="26" t="s">
        <v>42</v>
      </c>
      <c r="S78" s="27" t="s">
        <v>3566</v>
      </c>
      <c r="T78" s="27"/>
      <c r="U78" s="35"/>
      <c r="V78" s="26"/>
      <c r="W78" s="26">
        <v>5.0</v>
      </c>
      <c r="X78" s="26"/>
    </row>
    <row r="79" hidden="1">
      <c r="A79" s="26">
        <v>78.0</v>
      </c>
      <c r="B79" s="188">
        <v>46174.0</v>
      </c>
      <c r="C79" s="26" t="s">
        <v>58</v>
      </c>
      <c r="D79" s="26" t="s">
        <v>60</v>
      </c>
      <c r="E79" s="26" t="s">
        <v>27</v>
      </c>
      <c r="F79" s="26">
        <v>5.37381911E8</v>
      </c>
      <c r="G79" s="26" t="s">
        <v>27</v>
      </c>
      <c r="H79" s="26" t="s">
        <v>27</v>
      </c>
      <c r="I79" s="26" t="s">
        <v>27</v>
      </c>
      <c r="J79" s="209" t="s">
        <v>90</v>
      </c>
      <c r="K79" s="27"/>
      <c r="L79" s="26" t="s">
        <v>65</v>
      </c>
      <c r="M79" s="27" t="s">
        <v>38</v>
      </c>
      <c r="N79" s="26" t="s">
        <v>49</v>
      </c>
      <c r="O79" s="26" t="s">
        <v>49</v>
      </c>
      <c r="P79" s="35"/>
      <c r="Q79" s="26" t="s">
        <v>56</v>
      </c>
      <c r="R79" s="26" t="s">
        <v>42</v>
      </c>
      <c r="S79" s="27" t="s">
        <v>3566</v>
      </c>
      <c r="T79" s="27"/>
      <c r="U79" s="35"/>
      <c r="V79" s="26"/>
      <c r="W79" s="26">
        <v>5.0</v>
      </c>
      <c r="X79" s="26"/>
    </row>
    <row r="80" hidden="1">
      <c r="A80" s="26">
        <v>79.0</v>
      </c>
      <c r="B80" s="188">
        <v>46174.0</v>
      </c>
      <c r="C80" s="26" t="s">
        <v>58</v>
      </c>
      <c r="D80" s="26" t="s">
        <v>60</v>
      </c>
      <c r="E80" s="26" t="s">
        <v>27</v>
      </c>
      <c r="F80" s="26">
        <v>5.58480609E8</v>
      </c>
      <c r="G80" s="26" t="s">
        <v>27</v>
      </c>
      <c r="H80" s="26" t="s">
        <v>27</v>
      </c>
      <c r="I80" s="26" t="s">
        <v>27</v>
      </c>
      <c r="J80" s="209" t="s">
        <v>4043</v>
      </c>
      <c r="K80" s="27"/>
      <c r="L80" s="26" t="s">
        <v>36</v>
      </c>
      <c r="M80" s="27" t="s">
        <v>88</v>
      </c>
      <c r="N80" s="26" t="s">
        <v>49</v>
      </c>
      <c r="O80" s="26" t="s">
        <v>49</v>
      </c>
      <c r="P80" s="35"/>
      <c r="Q80" s="26" t="s">
        <v>56</v>
      </c>
      <c r="R80" s="26" t="s">
        <v>42</v>
      </c>
      <c r="S80" s="27" t="s">
        <v>3566</v>
      </c>
      <c r="T80" s="27"/>
      <c r="U80" s="35"/>
      <c r="V80" s="26"/>
      <c r="W80" s="26">
        <v>5.0</v>
      </c>
      <c r="X80" s="26"/>
    </row>
    <row r="81" hidden="1">
      <c r="A81" s="26">
        <v>80.0</v>
      </c>
      <c r="B81" s="188">
        <v>46174.0</v>
      </c>
      <c r="C81" s="26" t="s">
        <v>58</v>
      </c>
      <c r="D81" s="26" t="s">
        <v>60</v>
      </c>
      <c r="E81" s="26" t="s">
        <v>27</v>
      </c>
      <c r="F81" s="26">
        <v>5.36788936E8</v>
      </c>
      <c r="G81" s="26" t="s">
        <v>5023</v>
      </c>
      <c r="H81" s="27" t="s">
        <v>2715</v>
      </c>
      <c r="I81" s="26" t="s">
        <v>735</v>
      </c>
      <c r="J81" s="209" t="s">
        <v>4101</v>
      </c>
      <c r="K81" s="27"/>
      <c r="L81" s="26" t="s">
        <v>36</v>
      </c>
      <c r="M81" s="27" t="s">
        <v>88</v>
      </c>
      <c r="N81" s="26" t="s">
        <v>49</v>
      </c>
      <c r="O81" s="26" t="s">
        <v>49</v>
      </c>
      <c r="P81" s="35"/>
      <c r="Q81" s="26" t="s">
        <v>56</v>
      </c>
      <c r="R81" s="26" t="s">
        <v>42</v>
      </c>
      <c r="S81" s="27" t="s">
        <v>3566</v>
      </c>
      <c r="T81" s="27"/>
      <c r="U81" s="35"/>
      <c r="V81" s="26"/>
      <c r="W81" s="26">
        <v>5.0</v>
      </c>
      <c r="X81" s="26"/>
    </row>
    <row r="82" hidden="1">
      <c r="A82" s="26">
        <v>81.0</v>
      </c>
      <c r="B82" s="188">
        <v>46174.0</v>
      </c>
      <c r="C82" s="26" t="s">
        <v>58</v>
      </c>
      <c r="D82" s="26" t="s">
        <v>34</v>
      </c>
      <c r="E82" s="26" t="s">
        <v>27</v>
      </c>
      <c r="F82" s="26">
        <v>5.56596231E8</v>
      </c>
      <c r="G82" s="26" t="s">
        <v>27</v>
      </c>
      <c r="H82" s="26" t="s">
        <v>27</v>
      </c>
      <c r="I82" s="26" t="s">
        <v>27</v>
      </c>
      <c r="J82" s="209" t="s">
        <v>298</v>
      </c>
      <c r="K82" s="27"/>
      <c r="L82" s="26" t="s">
        <v>36</v>
      </c>
      <c r="M82" s="27" t="s">
        <v>208</v>
      </c>
      <c r="N82" s="26" t="s">
        <v>49</v>
      </c>
      <c r="O82" s="26" t="s">
        <v>49</v>
      </c>
      <c r="P82" s="35"/>
      <c r="Q82" s="26" t="s">
        <v>56</v>
      </c>
      <c r="R82" s="26" t="s">
        <v>42</v>
      </c>
      <c r="S82" s="27" t="s">
        <v>3566</v>
      </c>
      <c r="T82" s="27"/>
      <c r="U82" s="35"/>
      <c r="V82" s="26"/>
      <c r="W82" s="26">
        <v>5.0</v>
      </c>
      <c r="X82" s="26"/>
    </row>
    <row r="83" ht="41.25" hidden="1" customHeight="1">
      <c r="A83" s="26">
        <v>82.0</v>
      </c>
      <c r="B83" s="188">
        <v>46174.0</v>
      </c>
      <c r="C83" s="26" t="s">
        <v>21</v>
      </c>
      <c r="D83" s="26" t="s">
        <v>66</v>
      </c>
      <c r="E83" s="27" t="s">
        <v>118</v>
      </c>
      <c r="F83" s="26">
        <v>5.66661579E8</v>
      </c>
      <c r="G83" s="26" t="s">
        <v>4769</v>
      </c>
      <c r="H83" s="27" t="s">
        <v>2580</v>
      </c>
      <c r="I83" s="26" t="s">
        <v>27</v>
      </c>
      <c r="J83" s="209" t="s">
        <v>4108</v>
      </c>
      <c r="K83" s="27" t="s">
        <v>4110</v>
      </c>
      <c r="L83" s="26" t="s">
        <v>36</v>
      </c>
      <c r="M83" s="27" t="s">
        <v>208</v>
      </c>
      <c r="N83" s="26" t="s">
        <v>49</v>
      </c>
      <c r="O83" s="26" t="s">
        <v>49</v>
      </c>
      <c r="P83" s="35"/>
      <c r="Q83" s="26" t="s">
        <v>56</v>
      </c>
      <c r="R83" s="26" t="s">
        <v>42</v>
      </c>
      <c r="S83" s="27" t="s">
        <v>3566</v>
      </c>
      <c r="T83" s="27"/>
      <c r="U83" s="35"/>
      <c r="V83" s="26"/>
      <c r="W83" s="26">
        <v>5.0</v>
      </c>
      <c r="X83" s="26"/>
    </row>
    <row r="84" hidden="1">
      <c r="A84" s="26">
        <v>83.0</v>
      </c>
      <c r="B84" s="188">
        <v>46174.0</v>
      </c>
      <c r="C84" s="26" t="s">
        <v>21</v>
      </c>
      <c r="D84" s="26" t="s">
        <v>66</v>
      </c>
      <c r="E84" s="27" t="s">
        <v>463</v>
      </c>
      <c r="F84" s="26">
        <v>5.9950005E8</v>
      </c>
      <c r="G84" s="26" t="s">
        <v>27</v>
      </c>
      <c r="H84" s="26" t="s">
        <v>27</v>
      </c>
      <c r="I84" s="26" t="s">
        <v>27</v>
      </c>
      <c r="J84" s="209" t="s">
        <v>4114</v>
      </c>
      <c r="K84" s="27"/>
      <c r="L84" s="26" t="s">
        <v>39</v>
      </c>
      <c r="M84" s="27" t="s">
        <v>208</v>
      </c>
      <c r="N84" s="26" t="s">
        <v>49</v>
      </c>
      <c r="O84" s="26" t="s">
        <v>49</v>
      </c>
      <c r="P84" s="35"/>
      <c r="Q84" s="26" t="s">
        <v>56</v>
      </c>
      <c r="R84" s="26" t="s">
        <v>42</v>
      </c>
      <c r="S84" s="27" t="s">
        <v>3566</v>
      </c>
      <c r="T84" s="27"/>
      <c r="U84" s="35"/>
      <c r="V84" s="26"/>
      <c r="W84" s="26">
        <v>5.0</v>
      </c>
      <c r="X84" s="26"/>
    </row>
    <row r="85" hidden="1">
      <c r="A85" s="26">
        <v>84.0</v>
      </c>
      <c r="B85" s="188">
        <v>46174.0</v>
      </c>
      <c r="C85" s="26" t="s">
        <v>58</v>
      </c>
      <c r="D85" s="26" t="s">
        <v>60</v>
      </c>
      <c r="E85" s="26" t="s">
        <v>27</v>
      </c>
      <c r="F85" s="21">
        <v>5.54578242E8</v>
      </c>
      <c r="G85" s="26" t="s">
        <v>27</v>
      </c>
      <c r="H85" s="26" t="s">
        <v>27</v>
      </c>
      <c r="I85" s="26" t="s">
        <v>27</v>
      </c>
      <c r="J85" s="209" t="s">
        <v>554</v>
      </c>
      <c r="K85" s="27"/>
      <c r="L85" s="26" t="s">
        <v>36</v>
      </c>
      <c r="M85" s="27" t="s">
        <v>88</v>
      </c>
      <c r="N85" s="26" t="s">
        <v>49</v>
      </c>
      <c r="O85" s="26" t="s">
        <v>49</v>
      </c>
      <c r="P85" s="35"/>
      <c r="Q85" s="26" t="s">
        <v>56</v>
      </c>
      <c r="R85" s="26" t="s">
        <v>42</v>
      </c>
      <c r="S85" s="27" t="s">
        <v>3566</v>
      </c>
      <c r="T85" s="27"/>
      <c r="U85" s="35"/>
      <c r="V85" s="26"/>
      <c r="W85" s="26">
        <v>5.0</v>
      </c>
      <c r="X85" s="26"/>
    </row>
    <row r="86" hidden="1">
      <c r="A86" s="26">
        <v>85.0</v>
      </c>
      <c r="B86" s="188">
        <v>46174.0</v>
      </c>
      <c r="C86" s="26" t="s">
        <v>21</v>
      </c>
      <c r="D86" s="26" t="s">
        <v>24</v>
      </c>
      <c r="E86" s="27" t="s">
        <v>2940</v>
      </c>
      <c r="F86" s="21">
        <v>5.5544513E8</v>
      </c>
      <c r="G86" s="26" t="s">
        <v>4740</v>
      </c>
      <c r="H86" s="27" t="s">
        <v>71</v>
      </c>
      <c r="I86" s="26" t="s">
        <v>27</v>
      </c>
      <c r="J86" s="209" t="s">
        <v>4128</v>
      </c>
      <c r="K86" s="27"/>
      <c r="L86" s="26" t="s">
        <v>36</v>
      </c>
      <c r="M86" s="27" t="s">
        <v>630</v>
      </c>
      <c r="N86" s="26" t="s">
        <v>4803</v>
      </c>
      <c r="O86" s="26" t="s">
        <v>863</v>
      </c>
      <c r="P86" s="35"/>
      <c r="Q86" s="26" t="s">
        <v>56</v>
      </c>
      <c r="R86" s="26" t="s">
        <v>301</v>
      </c>
      <c r="S86" s="27" t="s">
        <v>3566</v>
      </c>
      <c r="T86" s="27"/>
      <c r="U86" s="35"/>
      <c r="V86" s="26"/>
      <c r="W86" s="26">
        <v>5.0</v>
      </c>
      <c r="X86" s="26" t="s">
        <v>46</v>
      </c>
    </row>
    <row r="87" hidden="1">
      <c r="A87" s="26">
        <v>86.0</v>
      </c>
      <c r="B87" s="188">
        <v>46174.0</v>
      </c>
      <c r="C87" s="26" t="s">
        <v>58</v>
      </c>
      <c r="D87" s="26" t="s">
        <v>60</v>
      </c>
      <c r="E87" s="27" t="s">
        <v>4136</v>
      </c>
      <c r="F87" s="21">
        <v>5.66659461E8</v>
      </c>
      <c r="G87" s="26" t="s">
        <v>4740</v>
      </c>
      <c r="H87" s="27" t="s">
        <v>71</v>
      </c>
      <c r="I87" s="26" t="s">
        <v>1906</v>
      </c>
      <c r="J87" s="209" t="s">
        <v>4137</v>
      </c>
      <c r="K87" s="27" t="s">
        <v>4138</v>
      </c>
      <c r="L87" s="26" t="s">
        <v>36</v>
      </c>
      <c r="M87" s="27" t="s">
        <v>88</v>
      </c>
      <c r="N87" s="26" t="s">
        <v>49</v>
      </c>
      <c r="O87" s="26" t="s">
        <v>49</v>
      </c>
      <c r="P87" s="35"/>
      <c r="Q87" s="26" t="s">
        <v>56</v>
      </c>
      <c r="R87" s="26" t="s">
        <v>42</v>
      </c>
      <c r="S87" s="27" t="s">
        <v>3566</v>
      </c>
      <c r="T87" s="27"/>
      <c r="U87" s="35"/>
      <c r="V87" s="26"/>
      <c r="W87" s="26">
        <v>5.0</v>
      </c>
      <c r="X87" s="26"/>
    </row>
    <row r="88" hidden="1">
      <c r="A88" s="26">
        <v>87.0</v>
      </c>
      <c r="B88" s="188">
        <v>46174.0</v>
      </c>
      <c r="C88" s="26" t="s">
        <v>47</v>
      </c>
      <c r="D88" s="26" t="s">
        <v>48</v>
      </c>
      <c r="E88" s="27" t="s">
        <v>1174</v>
      </c>
      <c r="F88" s="36">
        <v>5.53383726E8</v>
      </c>
      <c r="G88" s="26" t="s">
        <v>5151</v>
      </c>
      <c r="H88" s="27" t="s">
        <v>28</v>
      </c>
      <c r="I88" s="26" t="s">
        <v>3190</v>
      </c>
      <c r="J88" s="23" t="s">
        <v>5377</v>
      </c>
      <c r="K88" s="27"/>
      <c r="L88" s="26" t="s">
        <v>36</v>
      </c>
      <c r="M88" s="335" t="s">
        <v>3926</v>
      </c>
      <c r="N88" s="26" t="s">
        <v>4977</v>
      </c>
      <c r="O88" s="26" t="s">
        <v>863</v>
      </c>
      <c r="P88" s="35">
        <v>0.5833333333333334</v>
      </c>
      <c r="Q88" s="26" t="s">
        <v>40</v>
      </c>
      <c r="R88" s="26" t="s">
        <v>301</v>
      </c>
      <c r="S88" s="27" t="s">
        <v>3566</v>
      </c>
      <c r="T88" s="27" t="s">
        <v>3566</v>
      </c>
      <c r="U88" s="35">
        <v>0.6666666666666666</v>
      </c>
      <c r="V88" s="26" t="s">
        <v>863</v>
      </c>
      <c r="W88" s="26">
        <v>5.0</v>
      </c>
      <c r="X88" s="26" t="s">
        <v>46</v>
      </c>
    </row>
    <row r="89" hidden="1">
      <c r="A89" s="26">
        <v>88.0</v>
      </c>
      <c r="B89" s="188">
        <v>46174.0</v>
      </c>
      <c r="C89" s="26" t="s">
        <v>21</v>
      </c>
      <c r="D89" s="26" t="s">
        <v>22</v>
      </c>
      <c r="E89" s="27" t="s">
        <v>4148</v>
      </c>
      <c r="F89" s="21">
        <v>5.48148E8</v>
      </c>
      <c r="G89" s="26" t="s">
        <v>4740</v>
      </c>
      <c r="H89" s="27" t="s">
        <v>71</v>
      </c>
      <c r="I89" s="26" t="s">
        <v>27</v>
      </c>
      <c r="J89" s="209" t="s">
        <v>4151</v>
      </c>
      <c r="K89" s="27"/>
      <c r="L89" s="26" t="s">
        <v>321</v>
      </c>
      <c r="M89" s="27" t="s">
        <v>4868</v>
      </c>
      <c r="N89" s="26" t="s">
        <v>4870</v>
      </c>
      <c r="O89" s="26" t="s">
        <v>863</v>
      </c>
      <c r="P89" s="35"/>
      <c r="Q89" s="26" t="s">
        <v>40</v>
      </c>
      <c r="R89" s="26" t="s">
        <v>42</v>
      </c>
      <c r="S89" s="27" t="s">
        <v>3566</v>
      </c>
      <c r="T89" s="27"/>
      <c r="U89" s="35"/>
      <c r="V89" s="26"/>
      <c r="W89" s="26">
        <v>5.0</v>
      </c>
      <c r="X89" s="26" t="s">
        <v>46</v>
      </c>
    </row>
    <row r="90" hidden="1">
      <c r="A90" s="26">
        <v>89.0</v>
      </c>
      <c r="B90" s="188">
        <v>46174.0</v>
      </c>
      <c r="C90" s="26" t="s">
        <v>21</v>
      </c>
      <c r="D90" s="26" t="s">
        <v>24</v>
      </c>
      <c r="E90" s="27" t="s">
        <v>405</v>
      </c>
      <c r="F90" s="21">
        <v>5.02038305E8</v>
      </c>
      <c r="G90" s="26" t="s">
        <v>4852</v>
      </c>
      <c r="H90" s="27" t="s">
        <v>318</v>
      </c>
      <c r="I90" s="26" t="s">
        <v>27</v>
      </c>
      <c r="J90" s="209" t="s">
        <v>4156</v>
      </c>
      <c r="K90" s="27"/>
      <c r="L90" s="26" t="s">
        <v>36</v>
      </c>
      <c r="M90" s="27" t="s">
        <v>4802</v>
      </c>
      <c r="N90" s="26" t="s">
        <v>4803</v>
      </c>
      <c r="O90" s="26" t="s">
        <v>863</v>
      </c>
      <c r="P90" s="35"/>
      <c r="Q90" s="26" t="s">
        <v>56</v>
      </c>
      <c r="R90" s="26" t="s">
        <v>42</v>
      </c>
      <c r="S90" s="27" t="s">
        <v>3566</v>
      </c>
      <c r="T90" s="27"/>
      <c r="U90" s="35"/>
      <c r="V90" s="26"/>
      <c r="W90" s="26">
        <v>5.0</v>
      </c>
      <c r="X90" s="26" t="s">
        <v>46</v>
      </c>
    </row>
    <row r="91" hidden="1">
      <c r="A91" s="26">
        <v>90.0</v>
      </c>
      <c r="B91" s="188">
        <v>46174.0</v>
      </c>
      <c r="C91" s="26" t="s">
        <v>47</v>
      </c>
      <c r="D91" s="26" t="s">
        <v>138</v>
      </c>
      <c r="E91" s="27" t="s">
        <v>284</v>
      </c>
      <c r="F91" s="21">
        <v>5.4949468E8</v>
      </c>
      <c r="G91" s="26" t="s">
        <v>4740</v>
      </c>
      <c r="H91" s="27" t="s">
        <v>41</v>
      </c>
      <c r="I91" s="26" t="s">
        <v>1751</v>
      </c>
      <c r="J91" s="209" t="s">
        <v>4160</v>
      </c>
      <c r="K91" s="27" t="s">
        <v>4161</v>
      </c>
      <c r="L91" s="26" t="s">
        <v>148</v>
      </c>
      <c r="M91" s="27" t="s">
        <v>150</v>
      </c>
      <c r="N91" s="26" t="s">
        <v>4917</v>
      </c>
      <c r="O91" s="26" t="s">
        <v>863</v>
      </c>
      <c r="P91" s="35"/>
      <c r="Q91" s="26" t="s">
        <v>56</v>
      </c>
      <c r="R91" s="26" t="s">
        <v>518</v>
      </c>
      <c r="S91" s="27" t="s">
        <v>3566</v>
      </c>
      <c r="T91" s="27"/>
      <c r="U91" s="35"/>
      <c r="V91" s="26"/>
      <c r="W91" s="26">
        <v>5.0</v>
      </c>
      <c r="X91" s="26" t="s">
        <v>46</v>
      </c>
    </row>
    <row r="92" hidden="1">
      <c r="A92" s="26">
        <v>91.0</v>
      </c>
      <c r="B92" s="188">
        <v>46174.0</v>
      </c>
      <c r="C92" s="26" t="s">
        <v>47</v>
      </c>
      <c r="D92" s="26" t="s">
        <v>92</v>
      </c>
      <c r="E92" s="27" t="s">
        <v>405</v>
      </c>
      <c r="F92" s="21">
        <v>5.38258264E8</v>
      </c>
      <c r="G92" s="26" t="s">
        <v>4740</v>
      </c>
      <c r="H92" s="27" t="s">
        <v>71</v>
      </c>
      <c r="I92" s="26" t="s">
        <v>1801</v>
      </c>
      <c r="J92" s="209" t="s">
        <v>4167</v>
      </c>
      <c r="K92" s="27"/>
      <c r="L92" s="26" t="s">
        <v>148</v>
      </c>
      <c r="M92" s="27" t="s">
        <v>953</v>
      </c>
      <c r="N92" s="26" t="s">
        <v>4637</v>
      </c>
      <c r="O92" s="26" t="s">
        <v>863</v>
      </c>
      <c r="P92" s="35"/>
      <c r="Q92" s="26" t="s">
        <v>40</v>
      </c>
      <c r="R92" s="26" t="s">
        <v>42</v>
      </c>
      <c r="S92" s="27" t="s">
        <v>3566</v>
      </c>
      <c r="T92" s="27"/>
      <c r="U92" s="35"/>
      <c r="V92" s="26"/>
      <c r="W92" s="26">
        <v>5.0</v>
      </c>
      <c r="X92" s="26" t="s">
        <v>46</v>
      </c>
    </row>
    <row r="93" hidden="1">
      <c r="A93" s="26">
        <v>92.0</v>
      </c>
      <c r="B93" s="188">
        <v>46174.0</v>
      </c>
      <c r="C93" s="26" t="s">
        <v>47</v>
      </c>
      <c r="D93" s="26" t="s">
        <v>138</v>
      </c>
      <c r="E93" s="26" t="s">
        <v>4169</v>
      </c>
      <c r="F93" s="21">
        <v>5.56622164E8</v>
      </c>
      <c r="G93" s="26" t="s">
        <v>4740</v>
      </c>
      <c r="H93" s="27" t="s">
        <v>41</v>
      </c>
      <c r="I93" s="33" t="s">
        <v>4172</v>
      </c>
      <c r="J93" s="209" t="s">
        <v>4174</v>
      </c>
      <c r="K93" s="27"/>
      <c r="L93" s="26" t="s">
        <v>148</v>
      </c>
      <c r="M93" s="308" t="s">
        <v>183</v>
      </c>
      <c r="N93" s="26" t="s">
        <v>4917</v>
      </c>
      <c r="O93" s="26" t="s">
        <v>863</v>
      </c>
      <c r="P93" s="35"/>
      <c r="Q93" s="26" t="s">
        <v>40</v>
      </c>
      <c r="R93" s="26" t="s">
        <v>518</v>
      </c>
      <c r="S93" s="27" t="s">
        <v>3566</v>
      </c>
      <c r="T93" s="27"/>
      <c r="U93" s="35"/>
      <c r="V93" s="26"/>
      <c r="W93" s="26">
        <v>5.0</v>
      </c>
      <c r="X93" s="26" t="s">
        <v>46</v>
      </c>
    </row>
    <row r="94" hidden="1">
      <c r="A94" s="26">
        <v>93.0</v>
      </c>
      <c r="B94" s="188">
        <v>46174.0</v>
      </c>
      <c r="C94" s="26" t="s">
        <v>47</v>
      </c>
      <c r="D94" s="26" t="s">
        <v>367</v>
      </c>
      <c r="E94" s="27" t="s">
        <v>1260</v>
      </c>
      <c r="F94" s="21">
        <v>5.600071E8</v>
      </c>
      <c r="G94" s="26" t="s">
        <v>4740</v>
      </c>
      <c r="H94" s="27" t="s">
        <v>41</v>
      </c>
      <c r="I94" s="33" t="s">
        <v>4172</v>
      </c>
      <c r="J94" s="209" t="s">
        <v>4179</v>
      </c>
      <c r="K94" s="27" t="s">
        <v>4181</v>
      </c>
      <c r="L94" s="26" t="s">
        <v>148</v>
      </c>
      <c r="M94" s="20" t="s">
        <v>3759</v>
      </c>
      <c r="N94" s="26" t="s">
        <v>4917</v>
      </c>
      <c r="O94" s="26" t="s">
        <v>863</v>
      </c>
      <c r="P94" s="35"/>
      <c r="Q94" s="26" t="s">
        <v>56</v>
      </c>
      <c r="R94" s="26" t="s">
        <v>518</v>
      </c>
      <c r="S94" s="27" t="s">
        <v>3566</v>
      </c>
      <c r="T94" s="27"/>
      <c r="U94" s="35"/>
      <c r="V94" s="26"/>
      <c r="W94" s="26">
        <v>5.0</v>
      </c>
      <c r="X94" s="26" t="s">
        <v>46</v>
      </c>
    </row>
    <row r="95" hidden="1">
      <c r="A95" s="26">
        <v>94.0</v>
      </c>
      <c r="B95" s="188">
        <v>46174.0</v>
      </c>
      <c r="C95" s="26" t="s">
        <v>47</v>
      </c>
      <c r="D95" s="26" t="s">
        <v>24</v>
      </c>
      <c r="E95" s="27" t="s">
        <v>4186</v>
      </c>
      <c r="F95" s="21" t="s">
        <v>27</v>
      </c>
      <c r="G95" s="26" t="s">
        <v>4740</v>
      </c>
      <c r="H95" s="27" t="s">
        <v>41</v>
      </c>
      <c r="I95" s="26" t="s">
        <v>97</v>
      </c>
      <c r="J95" s="209" t="s">
        <v>4189</v>
      </c>
      <c r="K95" s="27"/>
      <c r="L95" s="26" t="s">
        <v>78</v>
      </c>
      <c r="M95" s="27" t="s">
        <v>5430</v>
      </c>
      <c r="N95" s="26" t="s">
        <v>49</v>
      </c>
      <c r="O95" s="26" t="s">
        <v>863</v>
      </c>
      <c r="P95" s="35"/>
      <c r="Q95" s="26" t="s">
        <v>56</v>
      </c>
      <c r="R95" s="26" t="s">
        <v>42</v>
      </c>
      <c r="S95" s="27" t="s">
        <v>3566</v>
      </c>
      <c r="T95" s="27"/>
      <c r="U95" s="35"/>
      <c r="V95" s="26"/>
      <c r="W95" s="26">
        <v>5.0</v>
      </c>
      <c r="X95" s="26"/>
    </row>
    <row r="96" hidden="1">
      <c r="A96" s="26">
        <v>95.0</v>
      </c>
      <c r="B96" s="188">
        <v>46174.0</v>
      </c>
      <c r="C96" s="26" t="s">
        <v>47</v>
      </c>
      <c r="D96" s="26" t="s">
        <v>24</v>
      </c>
      <c r="E96" s="26" t="s">
        <v>4194</v>
      </c>
      <c r="F96" s="21" t="s">
        <v>27</v>
      </c>
      <c r="G96" s="26" t="s">
        <v>4740</v>
      </c>
      <c r="H96" s="27" t="s">
        <v>41</v>
      </c>
      <c r="I96" s="26" t="s">
        <v>914</v>
      </c>
      <c r="J96" s="209" t="s">
        <v>4199</v>
      </c>
      <c r="K96" s="27"/>
      <c r="L96" s="26" t="s">
        <v>78</v>
      </c>
      <c r="M96" s="27" t="s">
        <v>5430</v>
      </c>
      <c r="N96" s="26" t="s">
        <v>49</v>
      </c>
      <c r="O96" s="26" t="s">
        <v>863</v>
      </c>
      <c r="P96" s="35"/>
      <c r="Q96" s="26" t="s">
        <v>56</v>
      </c>
      <c r="R96" s="26" t="s">
        <v>42</v>
      </c>
      <c r="S96" s="27" t="s">
        <v>3566</v>
      </c>
      <c r="T96" s="27"/>
      <c r="U96" s="35"/>
      <c r="V96" s="26"/>
      <c r="W96" s="26">
        <v>5.0</v>
      </c>
      <c r="X96" s="26"/>
    </row>
    <row r="97" hidden="1">
      <c r="A97" s="26">
        <v>96.0</v>
      </c>
      <c r="B97" s="188">
        <v>46174.0</v>
      </c>
      <c r="C97" s="26" t="s">
        <v>47</v>
      </c>
      <c r="D97" s="26" t="s">
        <v>48</v>
      </c>
      <c r="E97" s="26" t="s">
        <v>4201</v>
      </c>
      <c r="F97" s="21" t="s">
        <v>27</v>
      </c>
      <c r="G97" s="26" t="s">
        <v>4740</v>
      </c>
      <c r="H97" s="27" t="s">
        <v>41</v>
      </c>
      <c r="I97" s="26" t="s">
        <v>253</v>
      </c>
      <c r="J97" s="209" t="s">
        <v>4203</v>
      </c>
      <c r="K97" s="27"/>
      <c r="L97" s="26" t="s">
        <v>78</v>
      </c>
      <c r="M97" s="318" t="s">
        <v>5441</v>
      </c>
      <c r="N97" s="26" t="s">
        <v>4977</v>
      </c>
      <c r="O97" s="26" t="s">
        <v>863</v>
      </c>
      <c r="P97" s="35"/>
      <c r="Q97" s="26" t="s">
        <v>40</v>
      </c>
      <c r="R97" s="26" t="s">
        <v>3811</v>
      </c>
      <c r="S97" s="27" t="s">
        <v>3566</v>
      </c>
      <c r="T97" s="27"/>
      <c r="U97" s="35"/>
      <c r="V97" s="26"/>
      <c r="W97" s="26">
        <v>5.0</v>
      </c>
      <c r="X97" s="26" t="s">
        <v>46</v>
      </c>
    </row>
    <row r="98" ht="20.25" hidden="1" customHeight="1">
      <c r="A98" s="26">
        <v>97.0</v>
      </c>
      <c r="B98" s="188">
        <v>46174.0</v>
      </c>
      <c r="C98" s="26" t="s">
        <v>47</v>
      </c>
      <c r="D98" s="26" t="s">
        <v>48</v>
      </c>
      <c r="E98" s="27" t="s">
        <v>4206</v>
      </c>
      <c r="F98" s="21" t="s">
        <v>27</v>
      </c>
      <c r="G98" s="26" t="s">
        <v>4740</v>
      </c>
      <c r="H98" s="27" t="s">
        <v>41</v>
      </c>
      <c r="I98" s="26" t="s">
        <v>4208</v>
      </c>
      <c r="J98" s="209" t="s">
        <v>4210</v>
      </c>
      <c r="K98" s="27" t="s">
        <v>4211</v>
      </c>
      <c r="L98" s="26" t="s">
        <v>78</v>
      </c>
      <c r="M98" s="318" t="s">
        <v>5449</v>
      </c>
      <c r="N98" s="26" t="s">
        <v>4977</v>
      </c>
      <c r="O98" s="26" t="s">
        <v>863</v>
      </c>
      <c r="P98" s="35"/>
      <c r="Q98" s="26" t="s">
        <v>56</v>
      </c>
      <c r="R98" s="26" t="s">
        <v>42</v>
      </c>
      <c r="S98" s="27" t="s">
        <v>3997</v>
      </c>
      <c r="T98" s="27"/>
      <c r="U98" s="35"/>
      <c r="V98" s="26"/>
      <c r="W98" s="26">
        <v>5.0</v>
      </c>
      <c r="X98" s="26" t="s">
        <v>46</v>
      </c>
    </row>
    <row r="99" hidden="1">
      <c r="A99" s="26">
        <v>98.0</v>
      </c>
      <c r="B99" s="188">
        <v>46174.0</v>
      </c>
      <c r="C99" s="26" t="s">
        <v>47</v>
      </c>
      <c r="D99" s="26" t="s">
        <v>48</v>
      </c>
      <c r="E99" s="27" t="s">
        <v>4217</v>
      </c>
      <c r="F99" s="21" t="s">
        <v>27</v>
      </c>
      <c r="G99" s="26" t="s">
        <v>4740</v>
      </c>
      <c r="H99" s="27" t="s">
        <v>41</v>
      </c>
      <c r="I99" s="26" t="s">
        <v>222</v>
      </c>
      <c r="J99" s="209" t="s">
        <v>4221</v>
      </c>
      <c r="K99" s="27" t="s">
        <v>4222</v>
      </c>
      <c r="L99" s="26" t="s">
        <v>78</v>
      </c>
      <c r="M99" s="27" t="s">
        <v>5011</v>
      </c>
      <c r="N99" s="26" t="s">
        <v>4977</v>
      </c>
      <c r="O99" s="26" t="s">
        <v>863</v>
      </c>
      <c r="P99" s="35"/>
      <c r="Q99" s="26" t="s">
        <v>56</v>
      </c>
      <c r="R99" s="26" t="s">
        <v>518</v>
      </c>
      <c r="S99" s="27" t="s">
        <v>3765</v>
      </c>
      <c r="T99" s="27"/>
      <c r="U99" s="35"/>
      <c r="V99" s="26"/>
      <c r="W99" s="26">
        <v>5.0</v>
      </c>
      <c r="X99" s="26" t="s">
        <v>46</v>
      </c>
    </row>
    <row r="100" hidden="1">
      <c r="A100" s="26">
        <v>99.0</v>
      </c>
      <c r="B100" s="188">
        <v>46174.0</v>
      </c>
      <c r="C100" s="26" t="s">
        <v>47</v>
      </c>
      <c r="D100" s="26" t="s">
        <v>48</v>
      </c>
      <c r="E100" s="26" t="s">
        <v>4226</v>
      </c>
      <c r="F100" s="21" t="s">
        <v>27</v>
      </c>
      <c r="G100" s="26" t="s">
        <v>4740</v>
      </c>
      <c r="H100" s="27" t="s">
        <v>41</v>
      </c>
      <c r="I100" s="26" t="s">
        <v>956</v>
      </c>
      <c r="J100" s="209" t="s">
        <v>4229</v>
      </c>
      <c r="K100" s="27"/>
      <c r="L100" s="26" t="s">
        <v>78</v>
      </c>
      <c r="M100" s="318" t="s">
        <v>4232</v>
      </c>
      <c r="N100" s="26" t="s">
        <v>4977</v>
      </c>
      <c r="O100" s="26" t="s">
        <v>863</v>
      </c>
      <c r="P100" s="35"/>
      <c r="Q100" s="26" t="s">
        <v>40</v>
      </c>
      <c r="R100" s="26" t="s">
        <v>518</v>
      </c>
      <c r="S100" s="27" t="s">
        <v>3765</v>
      </c>
      <c r="T100" s="27"/>
      <c r="U100" s="35"/>
      <c r="V100" s="26"/>
      <c r="W100" s="26">
        <v>5.0</v>
      </c>
      <c r="X100" s="26" t="s">
        <v>46</v>
      </c>
    </row>
    <row r="101" hidden="1">
      <c r="A101" s="26">
        <v>100.0</v>
      </c>
      <c r="B101" s="188">
        <v>46174.0</v>
      </c>
      <c r="C101" s="26" t="s">
        <v>47</v>
      </c>
      <c r="D101" s="26" t="s">
        <v>48</v>
      </c>
      <c r="E101" s="27" t="s">
        <v>4236</v>
      </c>
      <c r="F101" s="21" t="s">
        <v>27</v>
      </c>
      <c r="G101" s="26" t="s">
        <v>4740</v>
      </c>
      <c r="H101" s="27" t="s">
        <v>41</v>
      </c>
      <c r="I101" s="26" t="s">
        <v>222</v>
      </c>
      <c r="J101" s="209" t="s">
        <v>4238</v>
      </c>
      <c r="K101" s="27" t="s">
        <v>4240</v>
      </c>
      <c r="L101" s="26" t="s">
        <v>78</v>
      </c>
      <c r="M101" s="27" t="s">
        <v>5011</v>
      </c>
      <c r="N101" s="26" t="s">
        <v>4977</v>
      </c>
      <c r="O101" s="26" t="s">
        <v>863</v>
      </c>
      <c r="P101" s="35"/>
      <c r="Q101" s="26" t="s">
        <v>56</v>
      </c>
      <c r="R101" s="26" t="s">
        <v>518</v>
      </c>
      <c r="S101" s="27" t="s">
        <v>3765</v>
      </c>
      <c r="T101" s="27"/>
      <c r="U101" s="35"/>
      <c r="V101" s="26"/>
      <c r="W101" s="26">
        <v>5.0</v>
      </c>
      <c r="X101" s="26" t="s">
        <v>46</v>
      </c>
    </row>
    <row r="102" hidden="1">
      <c r="A102" s="26">
        <v>101.0</v>
      </c>
      <c r="B102" s="188">
        <v>46174.0</v>
      </c>
      <c r="C102" s="26" t="s">
        <v>58</v>
      </c>
      <c r="D102" s="26" t="s">
        <v>60</v>
      </c>
      <c r="E102" s="26" t="s">
        <v>27</v>
      </c>
      <c r="F102" s="21">
        <v>5.37666875E8</v>
      </c>
      <c r="G102" s="26" t="s">
        <v>27</v>
      </c>
      <c r="H102" s="26" t="s">
        <v>27</v>
      </c>
      <c r="I102" s="26" t="s">
        <v>27</v>
      </c>
      <c r="J102" s="209" t="s">
        <v>484</v>
      </c>
      <c r="K102" s="27"/>
      <c r="L102" s="26" t="s">
        <v>36</v>
      </c>
      <c r="M102" s="27" t="s">
        <v>88</v>
      </c>
      <c r="N102" s="26" t="s">
        <v>49</v>
      </c>
      <c r="O102" s="26" t="s">
        <v>863</v>
      </c>
      <c r="P102" s="35"/>
      <c r="Q102" s="26" t="s">
        <v>56</v>
      </c>
      <c r="R102" s="26" t="s">
        <v>42</v>
      </c>
      <c r="S102" s="27" t="s">
        <v>3566</v>
      </c>
      <c r="T102" s="27"/>
      <c r="U102" s="35"/>
      <c r="V102" s="26"/>
      <c r="W102" s="26">
        <v>5.0</v>
      </c>
      <c r="X102" s="26"/>
    </row>
    <row r="103" hidden="1">
      <c r="A103" s="26">
        <v>102.0</v>
      </c>
      <c r="B103" s="188">
        <v>46174.0</v>
      </c>
      <c r="C103" s="26" t="s">
        <v>58</v>
      </c>
      <c r="D103" s="26" t="s">
        <v>60</v>
      </c>
      <c r="E103" s="27" t="s">
        <v>4249</v>
      </c>
      <c r="F103" s="21">
        <v>5.36788936E8</v>
      </c>
      <c r="G103" s="26" t="s">
        <v>27</v>
      </c>
      <c r="H103" s="26" t="s">
        <v>27</v>
      </c>
      <c r="I103" s="26" t="s">
        <v>27</v>
      </c>
      <c r="J103" s="209" t="s">
        <v>4251</v>
      </c>
      <c r="K103" s="27"/>
      <c r="L103" s="26" t="s">
        <v>62</v>
      </c>
      <c r="M103" s="27" t="s">
        <v>88</v>
      </c>
      <c r="N103" s="26" t="s">
        <v>4746</v>
      </c>
      <c r="O103" s="26" t="s">
        <v>4746</v>
      </c>
      <c r="P103" s="35"/>
      <c r="Q103" s="26" t="s">
        <v>56</v>
      </c>
      <c r="R103" s="26" t="s">
        <v>42</v>
      </c>
      <c r="S103" s="27" t="s">
        <v>3566</v>
      </c>
      <c r="T103" s="27"/>
      <c r="U103" s="35"/>
      <c r="V103" s="26"/>
      <c r="W103" s="26">
        <v>5.0</v>
      </c>
      <c r="X103" s="26"/>
    </row>
    <row r="104" hidden="1">
      <c r="A104" s="26">
        <v>103.0</v>
      </c>
      <c r="B104" s="188">
        <v>46174.0</v>
      </c>
      <c r="C104" s="26" t="s">
        <v>47</v>
      </c>
      <c r="D104" s="26" t="s">
        <v>138</v>
      </c>
      <c r="E104" s="27" t="s">
        <v>3110</v>
      </c>
      <c r="F104" s="21">
        <v>5.96677409E8</v>
      </c>
      <c r="G104" s="26" t="s">
        <v>4740</v>
      </c>
      <c r="H104" s="27" t="s">
        <v>79</v>
      </c>
      <c r="I104" s="126" t="s">
        <v>487</v>
      </c>
      <c r="J104" s="209" t="s">
        <v>5487</v>
      </c>
      <c r="K104" s="128" t="s">
        <v>4259</v>
      </c>
      <c r="L104" s="126" t="s">
        <v>62</v>
      </c>
      <c r="M104" s="27" t="s">
        <v>5011</v>
      </c>
      <c r="N104" s="26" t="s">
        <v>4917</v>
      </c>
      <c r="O104" s="26" t="s">
        <v>4746</v>
      </c>
      <c r="P104" s="88">
        <v>0.46875</v>
      </c>
      <c r="Q104" s="126" t="s">
        <v>40</v>
      </c>
      <c r="R104" s="126" t="s">
        <v>518</v>
      </c>
      <c r="S104" s="27" t="s">
        <v>3566</v>
      </c>
      <c r="T104" s="128" t="s">
        <v>3566</v>
      </c>
      <c r="U104" s="88">
        <v>0.6708333333333333</v>
      </c>
      <c r="V104" s="126" t="s">
        <v>44</v>
      </c>
      <c r="W104" s="126">
        <v>5.0</v>
      </c>
      <c r="X104" s="126" t="s">
        <v>46</v>
      </c>
    </row>
    <row r="105" hidden="1">
      <c r="A105" s="26">
        <v>104.0</v>
      </c>
      <c r="B105" s="188">
        <v>46174.0</v>
      </c>
      <c r="C105" s="26" t="s">
        <v>58</v>
      </c>
      <c r="D105" s="26" t="s">
        <v>60</v>
      </c>
      <c r="E105" s="27" t="s">
        <v>4115</v>
      </c>
      <c r="F105" s="21">
        <v>5.97227869E8</v>
      </c>
      <c r="G105" s="26" t="s">
        <v>4865</v>
      </c>
      <c r="H105" s="27" t="s">
        <v>319</v>
      </c>
      <c r="I105" s="26" t="s">
        <v>27</v>
      </c>
      <c r="J105" s="209" t="s">
        <v>4267</v>
      </c>
      <c r="K105" s="27" t="s">
        <v>124</v>
      </c>
      <c r="L105" s="26" t="s">
        <v>62</v>
      </c>
      <c r="M105" s="27" t="s">
        <v>88</v>
      </c>
      <c r="N105" s="26" t="s">
        <v>4746</v>
      </c>
      <c r="O105" s="26" t="s">
        <v>4746</v>
      </c>
      <c r="P105" s="35"/>
      <c r="Q105" s="26" t="s">
        <v>56</v>
      </c>
      <c r="R105" s="26" t="s">
        <v>42</v>
      </c>
      <c r="S105" s="27" t="s">
        <v>3566</v>
      </c>
      <c r="T105" s="27"/>
      <c r="U105" s="35"/>
      <c r="V105" s="26"/>
      <c r="W105" s="26">
        <v>5.0</v>
      </c>
      <c r="X105" s="26"/>
    </row>
    <row r="106" hidden="1">
      <c r="A106" s="26">
        <v>105.0</v>
      </c>
      <c r="B106" s="188">
        <v>46174.0</v>
      </c>
      <c r="C106" s="26" t="s">
        <v>58</v>
      </c>
      <c r="D106" s="26" t="s">
        <v>60</v>
      </c>
      <c r="E106" s="27" t="s">
        <v>4270</v>
      </c>
      <c r="F106" s="21">
        <v>5.37355842E8</v>
      </c>
      <c r="G106" s="26" t="s">
        <v>27</v>
      </c>
      <c r="H106" s="26" t="s">
        <v>27</v>
      </c>
      <c r="I106" s="26" t="s">
        <v>27</v>
      </c>
      <c r="J106" s="209" t="s">
        <v>88</v>
      </c>
      <c r="K106" s="27" t="s">
        <v>124</v>
      </c>
      <c r="L106" s="26" t="s">
        <v>62</v>
      </c>
      <c r="M106" s="27" t="s">
        <v>88</v>
      </c>
      <c r="N106" s="26" t="s">
        <v>4746</v>
      </c>
      <c r="O106" s="26" t="s">
        <v>4746</v>
      </c>
      <c r="P106" s="35"/>
      <c r="Q106" s="26" t="s">
        <v>56</v>
      </c>
      <c r="R106" s="26" t="s">
        <v>42</v>
      </c>
      <c r="S106" s="27" t="s">
        <v>3566</v>
      </c>
      <c r="T106" s="27"/>
      <c r="U106" s="35"/>
      <c r="V106" s="26"/>
      <c r="W106" s="26">
        <v>5.0</v>
      </c>
      <c r="X106" s="26"/>
    </row>
    <row r="107" hidden="1">
      <c r="A107" s="26">
        <v>106.0</v>
      </c>
      <c r="B107" s="188">
        <v>46174.0</v>
      </c>
      <c r="C107" s="26" t="s">
        <v>21</v>
      </c>
      <c r="D107" s="26" t="s">
        <v>22</v>
      </c>
      <c r="E107" s="27" t="s">
        <v>4277</v>
      </c>
      <c r="F107" s="21">
        <v>5.67529094E8</v>
      </c>
      <c r="G107" s="26" t="s">
        <v>4865</v>
      </c>
      <c r="H107" s="27" t="s">
        <v>319</v>
      </c>
      <c r="I107" s="26" t="s">
        <v>27</v>
      </c>
      <c r="J107" s="209" t="s">
        <v>4281</v>
      </c>
      <c r="K107" s="27"/>
      <c r="L107" s="26" t="s">
        <v>62</v>
      </c>
      <c r="M107" s="27" t="s">
        <v>1389</v>
      </c>
      <c r="N107" s="26" t="s">
        <v>4870</v>
      </c>
      <c r="O107" s="26" t="s">
        <v>4746</v>
      </c>
      <c r="P107" s="35"/>
      <c r="Q107" s="26" t="s">
        <v>40</v>
      </c>
      <c r="R107" s="26" t="s">
        <v>42</v>
      </c>
      <c r="S107" s="27" t="s">
        <v>3566</v>
      </c>
      <c r="T107" s="27"/>
      <c r="U107" s="35"/>
      <c r="V107" s="26"/>
      <c r="W107" s="26">
        <v>5.0</v>
      </c>
      <c r="X107" s="26" t="s">
        <v>46</v>
      </c>
    </row>
    <row r="108" ht="56.25" hidden="1" customHeight="1">
      <c r="A108" s="26">
        <v>107.0</v>
      </c>
      <c r="B108" s="188">
        <v>46174.0</v>
      </c>
      <c r="C108" s="26" t="s">
        <v>58</v>
      </c>
      <c r="D108" s="26" t="s">
        <v>24</v>
      </c>
      <c r="E108" s="27" t="s">
        <v>4291</v>
      </c>
      <c r="F108" s="21">
        <v>5.31605096E8</v>
      </c>
      <c r="G108" s="26" t="s">
        <v>4865</v>
      </c>
      <c r="H108" s="27" t="s">
        <v>319</v>
      </c>
      <c r="I108" s="26" t="s">
        <v>27</v>
      </c>
      <c r="J108" s="209" t="s">
        <v>4294</v>
      </c>
      <c r="K108" s="27" t="s">
        <v>4296</v>
      </c>
      <c r="L108" s="26" t="s">
        <v>36</v>
      </c>
      <c r="M108" s="27" t="s">
        <v>5046</v>
      </c>
      <c r="N108" s="26" t="s">
        <v>49</v>
      </c>
      <c r="O108" s="26" t="s">
        <v>4746</v>
      </c>
      <c r="P108" s="35"/>
      <c r="Q108" s="26" t="s">
        <v>56</v>
      </c>
      <c r="R108" s="26" t="s">
        <v>301</v>
      </c>
      <c r="S108" s="27" t="s">
        <v>3566</v>
      </c>
      <c r="T108" s="27"/>
      <c r="U108" s="35"/>
      <c r="V108" s="26"/>
      <c r="W108" s="26">
        <v>5.0</v>
      </c>
      <c r="X108" s="26" t="s">
        <v>46</v>
      </c>
    </row>
    <row r="109" hidden="1">
      <c r="A109" s="26">
        <v>108.0</v>
      </c>
      <c r="B109" s="188">
        <v>46174.0</v>
      </c>
      <c r="C109" s="26" t="s">
        <v>21</v>
      </c>
      <c r="D109" s="26" t="s">
        <v>22</v>
      </c>
      <c r="E109" s="27" t="s">
        <v>4299</v>
      </c>
      <c r="F109" s="21">
        <v>5.04159728E8</v>
      </c>
      <c r="G109" s="26" t="s">
        <v>27</v>
      </c>
      <c r="H109" s="26" t="s">
        <v>27</v>
      </c>
      <c r="I109" s="26" t="s">
        <v>27</v>
      </c>
      <c r="J109" s="209" t="s">
        <v>4301</v>
      </c>
      <c r="K109" s="27"/>
      <c r="L109" s="26" t="s">
        <v>36</v>
      </c>
      <c r="M109" s="27" t="s">
        <v>4868</v>
      </c>
      <c r="N109" s="26" t="s">
        <v>4870</v>
      </c>
      <c r="O109" s="26" t="s">
        <v>863</v>
      </c>
      <c r="P109" s="35"/>
      <c r="Q109" s="26" t="s">
        <v>40</v>
      </c>
      <c r="R109" s="26" t="s">
        <v>42</v>
      </c>
      <c r="S109" s="27" t="s">
        <v>3566</v>
      </c>
      <c r="T109" s="27"/>
      <c r="U109" s="35"/>
      <c r="V109" s="26"/>
      <c r="W109" s="26">
        <v>5.0</v>
      </c>
      <c r="X109" s="26" t="s">
        <v>46</v>
      </c>
    </row>
    <row r="110" hidden="1">
      <c r="A110" s="26">
        <v>109.0</v>
      </c>
      <c r="B110" s="188">
        <v>46174.0</v>
      </c>
      <c r="C110" s="26" t="s">
        <v>21</v>
      </c>
      <c r="D110" s="26" t="s">
        <v>24</v>
      </c>
      <c r="E110" s="27" t="s">
        <v>4308</v>
      </c>
      <c r="F110" s="21">
        <v>5.41696009E8</v>
      </c>
      <c r="G110" s="26" t="s">
        <v>27</v>
      </c>
      <c r="H110" s="26" t="s">
        <v>27</v>
      </c>
      <c r="I110" s="26" t="s">
        <v>27</v>
      </c>
      <c r="J110" s="209" t="s">
        <v>4311</v>
      </c>
      <c r="K110" s="27"/>
      <c r="L110" s="26" t="s">
        <v>36</v>
      </c>
      <c r="M110" s="27" t="s">
        <v>630</v>
      </c>
      <c r="N110" s="26" t="s">
        <v>4803</v>
      </c>
      <c r="O110" s="26" t="s">
        <v>863</v>
      </c>
      <c r="P110" s="35"/>
      <c r="Q110" s="26" t="s">
        <v>56</v>
      </c>
      <c r="R110" s="26" t="s">
        <v>42</v>
      </c>
      <c r="S110" s="27" t="s">
        <v>3566</v>
      </c>
      <c r="T110" s="27"/>
      <c r="U110" s="35"/>
      <c r="V110" s="26"/>
      <c r="W110" s="26">
        <v>5.0</v>
      </c>
      <c r="X110" s="26" t="s">
        <v>46</v>
      </c>
    </row>
    <row r="111" hidden="1">
      <c r="A111" s="26">
        <v>110.0</v>
      </c>
      <c r="B111" s="188">
        <v>46174.0</v>
      </c>
      <c r="C111" s="26" t="s">
        <v>58</v>
      </c>
      <c r="D111" s="26" t="s">
        <v>60</v>
      </c>
      <c r="E111" s="26" t="s">
        <v>27</v>
      </c>
      <c r="F111" s="21">
        <v>5.41791187E8</v>
      </c>
      <c r="G111" s="26" t="s">
        <v>27</v>
      </c>
      <c r="H111" s="26" t="s">
        <v>27</v>
      </c>
      <c r="I111" s="26" t="s">
        <v>27</v>
      </c>
      <c r="J111" s="209" t="s">
        <v>4319</v>
      </c>
      <c r="K111" s="27"/>
      <c r="L111" s="26" t="s">
        <v>36</v>
      </c>
      <c r="M111" s="27" t="s">
        <v>88</v>
      </c>
      <c r="N111" s="26" t="s">
        <v>49</v>
      </c>
      <c r="O111" s="26" t="s">
        <v>863</v>
      </c>
      <c r="P111" s="35"/>
      <c r="Q111" s="26" t="s">
        <v>56</v>
      </c>
      <c r="R111" s="26" t="s">
        <v>42</v>
      </c>
      <c r="S111" s="27" t="s">
        <v>3566</v>
      </c>
      <c r="T111" s="27"/>
      <c r="U111" s="35"/>
      <c r="V111" s="26"/>
      <c r="W111" s="26">
        <v>5.0</v>
      </c>
      <c r="X111" s="26"/>
    </row>
    <row r="112" hidden="1">
      <c r="A112" s="26">
        <v>111.0</v>
      </c>
      <c r="B112" s="188">
        <v>46174.0</v>
      </c>
      <c r="C112" s="26" t="s">
        <v>21</v>
      </c>
      <c r="D112" s="26" t="s">
        <v>22</v>
      </c>
      <c r="E112" s="27" t="s">
        <v>4326</v>
      </c>
      <c r="F112" s="21">
        <v>5.42450015E8</v>
      </c>
      <c r="G112" s="26" t="s">
        <v>4975</v>
      </c>
      <c r="H112" s="27" t="s">
        <v>362</v>
      </c>
      <c r="I112" s="26" t="s">
        <v>27</v>
      </c>
      <c r="J112" s="209" t="s">
        <v>4328</v>
      </c>
      <c r="K112" s="27"/>
      <c r="L112" s="26" t="s">
        <v>36</v>
      </c>
      <c r="M112" s="27" t="s">
        <v>1389</v>
      </c>
      <c r="N112" s="26" t="s">
        <v>4870</v>
      </c>
      <c r="O112" s="26" t="s">
        <v>863</v>
      </c>
      <c r="P112" s="35"/>
      <c r="Q112" s="26" t="s">
        <v>40</v>
      </c>
      <c r="R112" s="26" t="s">
        <v>42</v>
      </c>
      <c r="S112" s="27" t="s">
        <v>3566</v>
      </c>
      <c r="T112" s="27"/>
      <c r="U112" s="35"/>
      <c r="V112" s="26"/>
      <c r="W112" s="26">
        <v>5.0</v>
      </c>
      <c r="X112" s="26" t="s">
        <v>46</v>
      </c>
    </row>
    <row r="113" hidden="1">
      <c r="A113" s="26">
        <v>112.0</v>
      </c>
      <c r="B113" s="188">
        <v>46174.0</v>
      </c>
      <c r="C113" s="26" t="s">
        <v>21</v>
      </c>
      <c r="D113" s="26" t="s">
        <v>66</v>
      </c>
      <c r="E113" s="27" t="s">
        <v>4335</v>
      </c>
      <c r="F113" s="21">
        <v>5.4102195E8</v>
      </c>
      <c r="G113" s="26" t="s">
        <v>27</v>
      </c>
      <c r="H113" s="26" t="s">
        <v>27</v>
      </c>
      <c r="I113" s="26" t="s">
        <v>27</v>
      </c>
      <c r="J113" s="209" t="s">
        <v>4337</v>
      </c>
      <c r="K113" s="27"/>
      <c r="L113" s="26" t="s">
        <v>36</v>
      </c>
      <c r="M113" s="27" t="s">
        <v>208</v>
      </c>
      <c r="N113" s="26" t="s">
        <v>49</v>
      </c>
      <c r="O113" s="26" t="s">
        <v>863</v>
      </c>
      <c r="P113" s="35"/>
      <c r="Q113" s="26" t="s">
        <v>56</v>
      </c>
      <c r="R113" s="26" t="s">
        <v>42</v>
      </c>
      <c r="S113" s="27" t="s">
        <v>3566</v>
      </c>
      <c r="T113" s="27"/>
      <c r="U113" s="35"/>
      <c r="V113" s="26"/>
      <c r="W113" s="26">
        <v>5.0</v>
      </c>
      <c r="X113" s="26"/>
    </row>
    <row r="114" hidden="1">
      <c r="A114" s="26">
        <v>113.0</v>
      </c>
      <c r="B114" s="188">
        <v>46174.0</v>
      </c>
      <c r="C114" s="26" t="s">
        <v>21</v>
      </c>
      <c r="D114" s="26" t="s">
        <v>66</v>
      </c>
      <c r="E114" s="30" t="s">
        <v>4343</v>
      </c>
      <c r="F114" s="111">
        <v>5.07484968E8</v>
      </c>
      <c r="G114" s="26" t="s">
        <v>27</v>
      </c>
      <c r="H114" s="26" t="s">
        <v>27</v>
      </c>
      <c r="I114" s="26" t="s">
        <v>27</v>
      </c>
      <c r="J114" s="30" t="s">
        <v>4346</v>
      </c>
      <c r="K114" s="27" t="s">
        <v>4347</v>
      </c>
      <c r="L114" s="26" t="s">
        <v>36</v>
      </c>
      <c r="M114" s="27" t="s">
        <v>208</v>
      </c>
      <c r="N114" s="26" t="s">
        <v>49</v>
      </c>
      <c r="O114" s="26" t="s">
        <v>863</v>
      </c>
      <c r="P114" s="35"/>
      <c r="Q114" s="26" t="s">
        <v>56</v>
      </c>
      <c r="R114" s="26" t="s">
        <v>42</v>
      </c>
      <c r="S114" s="27" t="s">
        <v>3566</v>
      </c>
      <c r="T114" s="27"/>
      <c r="U114" s="35"/>
      <c r="V114" s="26"/>
      <c r="W114" s="26">
        <v>5.0</v>
      </c>
      <c r="X114" s="26"/>
    </row>
    <row r="115" hidden="1">
      <c r="A115" s="26">
        <v>114.0</v>
      </c>
      <c r="B115" s="188">
        <v>46174.0</v>
      </c>
      <c r="C115" s="26" t="s">
        <v>21</v>
      </c>
      <c r="D115" s="26" t="s">
        <v>24</v>
      </c>
      <c r="E115" s="27" t="s">
        <v>812</v>
      </c>
      <c r="F115" s="21">
        <v>5.53289333E8</v>
      </c>
      <c r="G115" s="26" t="s">
        <v>4769</v>
      </c>
      <c r="H115" s="27" t="s">
        <v>152</v>
      </c>
      <c r="I115" s="26" t="s">
        <v>27</v>
      </c>
      <c r="J115" s="209" t="s">
        <v>4352</v>
      </c>
      <c r="K115" s="27"/>
      <c r="L115" s="26" t="s">
        <v>36</v>
      </c>
      <c r="M115" s="27" t="s">
        <v>4802</v>
      </c>
      <c r="N115" s="26" t="s">
        <v>4803</v>
      </c>
      <c r="O115" s="26" t="s">
        <v>863</v>
      </c>
      <c r="P115" s="35"/>
      <c r="Q115" s="26" t="s">
        <v>56</v>
      </c>
      <c r="R115" s="26" t="s">
        <v>3811</v>
      </c>
      <c r="S115" s="27" t="s">
        <v>3566</v>
      </c>
      <c r="T115" s="27"/>
      <c r="U115" s="35"/>
      <c r="V115" s="26"/>
      <c r="W115" s="26">
        <v>5.0</v>
      </c>
      <c r="X115" s="26" t="s">
        <v>46</v>
      </c>
    </row>
    <row r="116" hidden="1">
      <c r="A116" s="26">
        <v>115.0</v>
      </c>
      <c r="B116" s="188">
        <v>46174.0</v>
      </c>
      <c r="C116" s="26" t="s">
        <v>47</v>
      </c>
      <c r="D116" s="26" t="s">
        <v>60</v>
      </c>
      <c r="E116" s="26" t="s">
        <v>27</v>
      </c>
      <c r="F116" s="36">
        <v>5.0618879E8</v>
      </c>
      <c r="G116" s="26" t="s">
        <v>27</v>
      </c>
      <c r="H116" s="26" t="s">
        <v>27</v>
      </c>
      <c r="I116" s="26" t="s">
        <v>27</v>
      </c>
      <c r="J116" s="209" t="s">
        <v>2093</v>
      </c>
      <c r="K116" s="27"/>
      <c r="L116" s="26" t="s">
        <v>36</v>
      </c>
      <c r="M116" s="27" t="s">
        <v>38</v>
      </c>
      <c r="N116" s="26" t="s">
        <v>49</v>
      </c>
      <c r="O116" s="26" t="s">
        <v>49</v>
      </c>
      <c r="P116" s="35"/>
      <c r="Q116" s="26" t="s">
        <v>56</v>
      </c>
      <c r="R116" s="26" t="s">
        <v>42</v>
      </c>
      <c r="S116" s="27" t="s">
        <v>3566</v>
      </c>
      <c r="T116" s="27"/>
      <c r="U116" s="35"/>
      <c r="V116" s="26"/>
      <c r="W116" s="26">
        <v>5.0</v>
      </c>
      <c r="X116" s="26"/>
    </row>
    <row r="117" hidden="1">
      <c r="A117" s="26">
        <v>116.0</v>
      </c>
      <c r="B117" s="188">
        <v>46174.0</v>
      </c>
      <c r="C117" s="26" t="s">
        <v>47</v>
      </c>
      <c r="D117" s="26" t="s">
        <v>48</v>
      </c>
      <c r="E117" s="27" t="s">
        <v>4364</v>
      </c>
      <c r="F117" s="36">
        <v>5.03125237E8</v>
      </c>
      <c r="G117" s="26" t="s">
        <v>5151</v>
      </c>
      <c r="H117" s="27" t="s">
        <v>426</v>
      </c>
      <c r="I117" s="26" t="s">
        <v>1708</v>
      </c>
      <c r="J117" s="209" t="s">
        <v>4366</v>
      </c>
      <c r="K117" s="27"/>
      <c r="L117" s="26" t="s">
        <v>36</v>
      </c>
      <c r="M117" s="335" t="s">
        <v>5557</v>
      </c>
      <c r="N117" s="26" t="s">
        <v>4977</v>
      </c>
      <c r="O117" s="26" t="s">
        <v>863</v>
      </c>
      <c r="P117" s="35">
        <v>0.6319444444444444</v>
      </c>
      <c r="Q117" s="26" t="s">
        <v>40</v>
      </c>
      <c r="R117" s="26" t="s">
        <v>42</v>
      </c>
      <c r="S117" s="27" t="s">
        <v>3997</v>
      </c>
      <c r="T117" s="27" t="s">
        <v>3566</v>
      </c>
      <c r="U117" s="35">
        <v>0.6319444444444444</v>
      </c>
      <c r="V117" s="26" t="s">
        <v>49</v>
      </c>
      <c r="W117" s="26">
        <v>5.0</v>
      </c>
      <c r="X117" s="26" t="s">
        <v>46</v>
      </c>
    </row>
    <row r="118" hidden="1">
      <c r="A118" s="26">
        <v>117.0</v>
      </c>
      <c r="B118" s="188">
        <v>46174.0</v>
      </c>
      <c r="C118" s="26" t="s">
        <v>47</v>
      </c>
      <c r="D118" s="26" t="s">
        <v>48</v>
      </c>
      <c r="E118" s="27" t="s">
        <v>4375</v>
      </c>
      <c r="F118" s="36">
        <v>5.43000488E8</v>
      </c>
      <c r="G118" s="26" t="s">
        <v>4740</v>
      </c>
      <c r="H118" s="27" t="s">
        <v>41</v>
      </c>
      <c r="I118" s="26" t="s">
        <v>956</v>
      </c>
      <c r="J118" s="209" t="s">
        <v>4376</v>
      </c>
      <c r="K118" s="27"/>
      <c r="L118" s="26" t="s">
        <v>36</v>
      </c>
      <c r="M118" s="27" t="s">
        <v>5011</v>
      </c>
      <c r="N118" s="26" t="s">
        <v>4977</v>
      </c>
      <c r="O118" s="26" t="s">
        <v>863</v>
      </c>
      <c r="P118" s="35">
        <v>0.5208333333333334</v>
      </c>
      <c r="Q118" s="26" t="s">
        <v>40</v>
      </c>
      <c r="R118" s="26" t="s">
        <v>518</v>
      </c>
      <c r="S118" s="27" t="s">
        <v>3765</v>
      </c>
      <c r="T118" s="27" t="s">
        <v>3566</v>
      </c>
      <c r="U118" s="35">
        <v>0.6743055555555556</v>
      </c>
      <c r="V118" s="26" t="s">
        <v>863</v>
      </c>
      <c r="W118" s="26">
        <v>5.0</v>
      </c>
      <c r="X118" s="26" t="s">
        <v>46</v>
      </c>
    </row>
    <row r="119" hidden="1">
      <c r="A119" s="26">
        <v>118.0</v>
      </c>
      <c r="B119" s="188">
        <v>46174.0</v>
      </c>
      <c r="C119" s="26" t="s">
        <v>58</v>
      </c>
      <c r="D119" s="26" t="s">
        <v>60</v>
      </c>
      <c r="E119" s="26" t="s">
        <v>27</v>
      </c>
      <c r="F119" s="26">
        <v>5.03125237E8</v>
      </c>
      <c r="G119" s="26" t="s">
        <v>27</v>
      </c>
      <c r="H119" s="26" t="s">
        <v>27</v>
      </c>
      <c r="I119" s="26" t="s">
        <v>27</v>
      </c>
      <c r="J119" s="209" t="s">
        <v>4384</v>
      </c>
      <c r="K119" s="27"/>
      <c r="L119" s="26" t="s">
        <v>65</v>
      </c>
      <c r="M119" s="27" t="s">
        <v>38</v>
      </c>
      <c r="N119" s="26" t="s">
        <v>49</v>
      </c>
      <c r="O119" s="26" t="s">
        <v>863</v>
      </c>
      <c r="P119" s="35"/>
      <c r="Q119" s="26" t="s">
        <v>56</v>
      </c>
      <c r="R119" s="26" t="s">
        <v>42</v>
      </c>
      <c r="S119" s="27" t="s">
        <v>3566</v>
      </c>
      <c r="T119" s="27"/>
      <c r="U119" s="35"/>
      <c r="V119" s="26"/>
      <c r="W119" s="26">
        <v>5.0</v>
      </c>
      <c r="X119" s="26"/>
    </row>
    <row r="120" hidden="1">
      <c r="A120" s="26">
        <v>119.0</v>
      </c>
      <c r="B120" s="188">
        <v>46174.0</v>
      </c>
      <c r="C120" s="26" t="s">
        <v>21</v>
      </c>
      <c r="D120" s="26" t="s">
        <v>24</v>
      </c>
      <c r="E120" s="27" t="s">
        <v>4389</v>
      </c>
      <c r="F120" s="36">
        <v>5.41100064E8</v>
      </c>
      <c r="G120" s="26" t="s">
        <v>4740</v>
      </c>
      <c r="H120" s="27" t="s">
        <v>71</v>
      </c>
      <c r="I120" s="26" t="s">
        <v>27</v>
      </c>
      <c r="J120" s="30" t="s">
        <v>4395</v>
      </c>
      <c r="K120" s="188"/>
      <c r="L120" s="26" t="s">
        <v>36</v>
      </c>
      <c r="M120" s="27" t="s">
        <v>4955</v>
      </c>
      <c r="N120" s="26" t="s">
        <v>4803</v>
      </c>
      <c r="O120" s="26" t="s">
        <v>863</v>
      </c>
      <c r="P120" s="95"/>
      <c r="Q120" s="26" t="s">
        <v>56</v>
      </c>
      <c r="R120" s="26" t="s">
        <v>518</v>
      </c>
      <c r="S120" s="27" t="s">
        <v>3566</v>
      </c>
      <c r="T120" s="26"/>
      <c r="U120" s="35"/>
      <c r="V120" s="188"/>
      <c r="W120" s="26">
        <v>0.0</v>
      </c>
      <c r="X120" s="26" t="s">
        <v>46</v>
      </c>
    </row>
    <row r="121" hidden="1">
      <c r="A121" s="26">
        <v>120.0</v>
      </c>
      <c r="B121" s="188">
        <v>46174.0</v>
      </c>
      <c r="C121" s="26" t="s">
        <v>21</v>
      </c>
      <c r="D121" s="26" t="s">
        <v>22</v>
      </c>
      <c r="E121" s="27" t="s">
        <v>4148</v>
      </c>
      <c r="F121" s="36">
        <v>5.48148E8</v>
      </c>
      <c r="G121" s="26" t="s">
        <v>27</v>
      </c>
      <c r="H121" s="26" t="s">
        <v>27</v>
      </c>
      <c r="I121" s="26" t="s">
        <v>27</v>
      </c>
      <c r="J121" s="209" t="s">
        <v>4151</v>
      </c>
      <c r="K121" s="27"/>
      <c r="L121" s="26" t="s">
        <v>321</v>
      </c>
      <c r="M121" s="27" t="s">
        <v>4868</v>
      </c>
      <c r="N121" s="26" t="s">
        <v>4870</v>
      </c>
      <c r="O121" s="26" t="s">
        <v>49</v>
      </c>
      <c r="P121" s="35"/>
      <c r="Q121" s="26" t="s">
        <v>40</v>
      </c>
      <c r="R121" s="26" t="s">
        <v>42</v>
      </c>
      <c r="S121" s="27" t="s">
        <v>3566</v>
      </c>
      <c r="T121" s="27"/>
      <c r="U121" s="35"/>
      <c r="V121" s="26"/>
      <c r="W121" s="26">
        <v>5.0</v>
      </c>
      <c r="X121" s="26" t="s">
        <v>46</v>
      </c>
    </row>
    <row r="122" hidden="1">
      <c r="A122" s="26">
        <v>121.0</v>
      </c>
      <c r="B122" s="188">
        <v>46174.0</v>
      </c>
      <c r="C122" s="26" t="s">
        <v>58</v>
      </c>
      <c r="D122" s="26" t="s">
        <v>66</v>
      </c>
      <c r="E122" s="27" t="s">
        <v>4404</v>
      </c>
      <c r="F122" s="342">
        <v>5.0607048E8</v>
      </c>
      <c r="G122" s="26" t="s">
        <v>5151</v>
      </c>
      <c r="H122" s="237" t="s">
        <v>2595</v>
      </c>
      <c r="I122" s="26" t="s">
        <v>27</v>
      </c>
      <c r="J122" s="209" t="s">
        <v>4407</v>
      </c>
      <c r="K122" s="237"/>
      <c r="L122" s="26" t="s">
        <v>36</v>
      </c>
      <c r="M122" s="27" t="s">
        <v>208</v>
      </c>
      <c r="N122" s="26" t="s">
        <v>49</v>
      </c>
      <c r="O122" s="26" t="s">
        <v>863</v>
      </c>
      <c r="P122" s="95"/>
      <c r="Q122" s="26" t="s">
        <v>56</v>
      </c>
      <c r="R122" s="26" t="s">
        <v>42</v>
      </c>
      <c r="S122" s="27" t="s">
        <v>3566</v>
      </c>
      <c r="T122" s="27"/>
      <c r="U122" s="35"/>
      <c r="V122" s="26"/>
      <c r="W122" s="26">
        <v>5.0</v>
      </c>
      <c r="X122" s="26"/>
    </row>
    <row r="123" hidden="1">
      <c r="A123" s="26">
        <v>122.0</v>
      </c>
      <c r="B123" s="188">
        <v>46174.0</v>
      </c>
      <c r="C123" s="26" t="s">
        <v>21</v>
      </c>
      <c r="D123" s="26" t="s">
        <v>34</v>
      </c>
      <c r="E123" s="27" t="s">
        <v>4413</v>
      </c>
      <c r="F123" s="36">
        <v>5.00349044E8</v>
      </c>
      <c r="G123" s="26" t="s">
        <v>27</v>
      </c>
      <c r="H123" s="26" t="s">
        <v>27</v>
      </c>
      <c r="I123" s="26" t="s">
        <v>27</v>
      </c>
      <c r="J123" s="209" t="s">
        <v>4416</v>
      </c>
      <c r="K123" s="27" t="s">
        <v>4417</v>
      </c>
      <c r="L123" s="26" t="s">
        <v>39</v>
      </c>
      <c r="M123" s="27" t="s">
        <v>51</v>
      </c>
      <c r="N123" s="26" t="s">
        <v>4746</v>
      </c>
      <c r="O123" s="26" t="s">
        <v>4746</v>
      </c>
      <c r="P123" s="35">
        <v>0.4791666666666667</v>
      </c>
      <c r="Q123" s="26" t="s">
        <v>56</v>
      </c>
      <c r="R123" s="26" t="s">
        <v>42</v>
      </c>
      <c r="S123" s="27" t="s">
        <v>3566</v>
      </c>
      <c r="T123" s="27" t="s">
        <v>3566</v>
      </c>
      <c r="U123" s="95">
        <v>0.4791666666666667</v>
      </c>
      <c r="V123" s="26" t="s">
        <v>44</v>
      </c>
      <c r="W123" s="26">
        <v>5.0</v>
      </c>
      <c r="X123" s="26"/>
    </row>
    <row r="124" hidden="1">
      <c r="A124" s="26">
        <v>123.0</v>
      </c>
      <c r="B124" s="188">
        <v>46174.0</v>
      </c>
      <c r="C124" s="26" t="s">
        <v>21</v>
      </c>
      <c r="D124" s="26" t="s">
        <v>34</v>
      </c>
      <c r="E124" s="26" t="s">
        <v>4419</v>
      </c>
      <c r="F124" s="342">
        <v>5.01440326E8</v>
      </c>
      <c r="G124" s="26" t="s">
        <v>27</v>
      </c>
      <c r="H124" s="26" t="s">
        <v>27</v>
      </c>
      <c r="I124" s="26" t="s">
        <v>27</v>
      </c>
      <c r="J124" s="209" t="s">
        <v>4422</v>
      </c>
      <c r="K124" s="27" t="s">
        <v>4417</v>
      </c>
      <c r="L124" s="343" t="s">
        <v>39</v>
      </c>
      <c r="M124" s="27" t="s">
        <v>51</v>
      </c>
      <c r="N124" s="26" t="s">
        <v>4746</v>
      </c>
      <c r="O124" s="26" t="s">
        <v>4746</v>
      </c>
      <c r="P124" s="95">
        <v>0.4791666666666667</v>
      </c>
      <c r="Q124" s="26" t="s">
        <v>56</v>
      </c>
      <c r="R124" s="26" t="s">
        <v>42</v>
      </c>
      <c r="S124" s="27" t="s">
        <v>3566</v>
      </c>
      <c r="T124" s="27" t="s">
        <v>3566</v>
      </c>
      <c r="U124" s="35">
        <v>0.4791666666666667</v>
      </c>
      <c r="V124" s="26" t="s">
        <v>44</v>
      </c>
      <c r="W124" s="26">
        <v>5.0</v>
      </c>
      <c r="X124" s="26"/>
    </row>
    <row r="125" hidden="1">
      <c r="A125" s="26">
        <v>124.0</v>
      </c>
      <c r="B125" s="188">
        <v>46174.0</v>
      </c>
      <c r="C125" s="26" t="s">
        <v>21</v>
      </c>
      <c r="D125" s="26" t="s">
        <v>34</v>
      </c>
      <c r="E125" s="27" t="s">
        <v>4428</v>
      </c>
      <c r="F125" s="36">
        <v>5.49500475E8</v>
      </c>
      <c r="G125" s="26" t="s">
        <v>27</v>
      </c>
      <c r="H125" s="26" t="s">
        <v>27</v>
      </c>
      <c r="I125" s="26" t="s">
        <v>27</v>
      </c>
      <c r="J125" s="209" t="s">
        <v>4430</v>
      </c>
      <c r="K125" s="27" t="s">
        <v>4417</v>
      </c>
      <c r="L125" s="26" t="s">
        <v>39</v>
      </c>
      <c r="M125" s="27" t="s">
        <v>51</v>
      </c>
      <c r="N125" s="26" t="s">
        <v>4746</v>
      </c>
      <c r="O125" s="26" t="s">
        <v>4746</v>
      </c>
      <c r="P125" s="35">
        <v>0.4791666666666667</v>
      </c>
      <c r="Q125" s="26" t="s">
        <v>56</v>
      </c>
      <c r="R125" s="26" t="s">
        <v>42</v>
      </c>
      <c r="S125" s="27" t="s">
        <v>3566</v>
      </c>
      <c r="T125" s="27" t="s">
        <v>3566</v>
      </c>
      <c r="U125" s="95">
        <v>0.4791666666666667</v>
      </c>
      <c r="V125" s="26" t="s">
        <v>44</v>
      </c>
      <c r="W125" s="26">
        <v>5.0</v>
      </c>
      <c r="X125" s="26"/>
    </row>
    <row r="126" hidden="1">
      <c r="A126" s="26">
        <v>125.0</v>
      </c>
      <c r="B126" s="188">
        <v>46174.0</v>
      </c>
      <c r="C126" s="26" t="s">
        <v>21</v>
      </c>
      <c r="D126" s="26" t="s">
        <v>24</v>
      </c>
      <c r="E126" s="27" t="s">
        <v>3716</v>
      </c>
      <c r="F126" s="342">
        <v>5.91889684E8</v>
      </c>
      <c r="G126" s="26" t="s">
        <v>4740</v>
      </c>
      <c r="H126" s="27" t="s">
        <v>71</v>
      </c>
      <c r="I126" s="26" t="s">
        <v>27</v>
      </c>
      <c r="J126" s="209" t="s">
        <v>4438</v>
      </c>
      <c r="K126" s="343" t="s">
        <v>4439</v>
      </c>
      <c r="L126" s="343" t="s">
        <v>39</v>
      </c>
      <c r="M126" s="27" t="s">
        <v>4982</v>
      </c>
      <c r="N126" s="26" t="s">
        <v>4803</v>
      </c>
      <c r="O126" s="26" t="s">
        <v>4746</v>
      </c>
      <c r="P126" s="95">
        <v>0.4791666666666667</v>
      </c>
      <c r="Q126" s="26" t="s">
        <v>56</v>
      </c>
      <c r="R126" s="26" t="s">
        <v>42</v>
      </c>
      <c r="S126" s="27" t="s">
        <v>3566</v>
      </c>
      <c r="T126" s="27"/>
      <c r="U126" s="35"/>
      <c r="V126" s="26"/>
      <c r="W126" s="26">
        <v>5.0</v>
      </c>
      <c r="X126" s="26" t="s">
        <v>46</v>
      </c>
    </row>
    <row r="127" hidden="1">
      <c r="A127" s="26">
        <v>126.0</v>
      </c>
      <c r="B127" s="188">
        <v>46174.0</v>
      </c>
      <c r="C127" s="26" t="s">
        <v>21</v>
      </c>
      <c r="D127" s="26" t="s">
        <v>34</v>
      </c>
      <c r="E127" s="27" t="s">
        <v>4443</v>
      </c>
      <c r="F127" s="36">
        <v>5.83303414E8</v>
      </c>
      <c r="G127" s="26" t="s">
        <v>27</v>
      </c>
      <c r="H127" s="26" t="s">
        <v>27</v>
      </c>
      <c r="I127" s="26" t="s">
        <v>27</v>
      </c>
      <c r="J127" s="209" t="s">
        <v>4444</v>
      </c>
      <c r="K127" s="27" t="s">
        <v>4417</v>
      </c>
      <c r="L127" s="26" t="s">
        <v>39</v>
      </c>
      <c r="M127" s="27" t="s">
        <v>51</v>
      </c>
      <c r="N127" s="26" t="s">
        <v>4746</v>
      </c>
      <c r="O127" s="26" t="s">
        <v>4746</v>
      </c>
      <c r="P127" s="35">
        <v>0.4791666666666667</v>
      </c>
      <c r="Q127" s="26" t="s">
        <v>56</v>
      </c>
      <c r="R127" s="26" t="s">
        <v>42</v>
      </c>
      <c r="S127" s="27" t="s">
        <v>3566</v>
      </c>
      <c r="T127" s="27" t="s">
        <v>3566</v>
      </c>
      <c r="U127" s="95">
        <v>0.4791666666666667</v>
      </c>
      <c r="V127" s="26" t="s">
        <v>44</v>
      </c>
      <c r="W127" s="26">
        <v>5.0</v>
      </c>
      <c r="X127" s="26"/>
    </row>
    <row r="128" hidden="1">
      <c r="A128" s="26">
        <v>127.0</v>
      </c>
      <c r="B128" s="188">
        <v>46174.0</v>
      </c>
      <c r="C128" s="26" t="s">
        <v>21</v>
      </c>
      <c r="D128" s="26" t="s">
        <v>34</v>
      </c>
      <c r="E128" s="27" t="s">
        <v>4450</v>
      </c>
      <c r="F128" s="342">
        <v>5.10146393E8</v>
      </c>
      <c r="G128" s="26" t="s">
        <v>27</v>
      </c>
      <c r="H128" s="26" t="s">
        <v>27</v>
      </c>
      <c r="I128" s="26" t="s">
        <v>27</v>
      </c>
      <c r="J128" s="209" t="s">
        <v>4452</v>
      </c>
      <c r="K128" s="27" t="s">
        <v>4417</v>
      </c>
      <c r="L128" s="343" t="s">
        <v>39</v>
      </c>
      <c r="M128" s="27" t="s">
        <v>51</v>
      </c>
      <c r="N128" s="26" t="s">
        <v>4746</v>
      </c>
      <c r="O128" s="26" t="s">
        <v>4746</v>
      </c>
      <c r="P128" s="95">
        <v>0.4791666666666667</v>
      </c>
      <c r="Q128" s="26" t="s">
        <v>56</v>
      </c>
      <c r="R128" s="26" t="s">
        <v>42</v>
      </c>
      <c r="S128" s="27" t="s">
        <v>3566</v>
      </c>
      <c r="T128" s="27" t="s">
        <v>3566</v>
      </c>
      <c r="U128" s="35">
        <v>0.4791666666666667</v>
      </c>
      <c r="V128" s="26" t="s">
        <v>44</v>
      </c>
      <c r="W128" s="26">
        <v>5.0</v>
      </c>
      <c r="X128" s="26"/>
    </row>
    <row r="129" hidden="1">
      <c r="A129" s="26">
        <v>128.0</v>
      </c>
      <c r="B129" s="188">
        <v>46174.0</v>
      </c>
      <c r="C129" s="26" t="s">
        <v>21</v>
      </c>
      <c r="D129" s="26" t="s">
        <v>34</v>
      </c>
      <c r="E129" s="27" t="s">
        <v>4457</v>
      </c>
      <c r="F129" s="36">
        <v>5.3504947E8</v>
      </c>
      <c r="G129" s="26" t="s">
        <v>27</v>
      </c>
      <c r="H129" s="26" t="s">
        <v>27</v>
      </c>
      <c r="I129" s="26" t="s">
        <v>27</v>
      </c>
      <c r="J129" s="209" t="s">
        <v>4460</v>
      </c>
      <c r="K129" s="27" t="s">
        <v>4417</v>
      </c>
      <c r="L129" s="26" t="s">
        <v>39</v>
      </c>
      <c r="M129" s="27" t="s">
        <v>51</v>
      </c>
      <c r="N129" s="26" t="s">
        <v>4746</v>
      </c>
      <c r="O129" s="26" t="s">
        <v>4746</v>
      </c>
      <c r="P129" s="35">
        <v>0.4791666666666667</v>
      </c>
      <c r="Q129" s="26" t="s">
        <v>56</v>
      </c>
      <c r="R129" s="26" t="s">
        <v>42</v>
      </c>
      <c r="S129" s="27" t="s">
        <v>3566</v>
      </c>
      <c r="T129" s="27" t="s">
        <v>3566</v>
      </c>
      <c r="U129" s="95">
        <v>0.4791666666666667</v>
      </c>
      <c r="V129" s="26" t="s">
        <v>44</v>
      </c>
      <c r="W129" s="26">
        <v>5.0</v>
      </c>
      <c r="X129" s="26"/>
    </row>
    <row r="130" hidden="1">
      <c r="A130" s="26">
        <v>129.0</v>
      </c>
      <c r="B130" s="188">
        <v>46174.0</v>
      </c>
      <c r="C130" s="26" t="s">
        <v>21</v>
      </c>
      <c r="D130" s="26" t="s">
        <v>34</v>
      </c>
      <c r="E130" s="27" t="s">
        <v>2549</v>
      </c>
      <c r="F130" s="342">
        <v>5.56596231E8</v>
      </c>
      <c r="G130" s="26" t="s">
        <v>27</v>
      </c>
      <c r="H130" s="26" t="s">
        <v>27</v>
      </c>
      <c r="I130" s="26" t="s">
        <v>27</v>
      </c>
      <c r="J130" s="209" t="s">
        <v>4466</v>
      </c>
      <c r="K130" s="27" t="s">
        <v>4417</v>
      </c>
      <c r="L130" s="343" t="s">
        <v>39</v>
      </c>
      <c r="M130" s="27" t="s">
        <v>51</v>
      </c>
      <c r="N130" s="26" t="s">
        <v>4746</v>
      </c>
      <c r="O130" s="26" t="s">
        <v>4746</v>
      </c>
      <c r="P130" s="95">
        <v>0.4791666666666667</v>
      </c>
      <c r="Q130" s="26" t="s">
        <v>56</v>
      </c>
      <c r="R130" s="26" t="s">
        <v>42</v>
      </c>
      <c r="S130" s="27" t="s">
        <v>3566</v>
      </c>
      <c r="T130" s="27" t="s">
        <v>3566</v>
      </c>
      <c r="U130" s="35">
        <v>0.4791666666666667</v>
      </c>
      <c r="V130" s="26" t="s">
        <v>44</v>
      </c>
      <c r="W130" s="26">
        <v>5.0</v>
      </c>
      <c r="X130" s="26"/>
    </row>
    <row r="131" hidden="1">
      <c r="A131" s="26">
        <v>130.0</v>
      </c>
      <c r="B131" s="188">
        <v>46174.0</v>
      </c>
      <c r="C131" s="26" t="s">
        <v>21</v>
      </c>
      <c r="D131" s="26" t="s">
        <v>34</v>
      </c>
      <c r="E131" s="27" t="s">
        <v>4474</v>
      </c>
      <c r="F131" s="36">
        <v>5.53195744E8</v>
      </c>
      <c r="G131" s="26" t="s">
        <v>27</v>
      </c>
      <c r="H131" s="26" t="s">
        <v>27</v>
      </c>
      <c r="I131" s="26" t="s">
        <v>27</v>
      </c>
      <c r="J131" s="209" t="s">
        <v>4478</v>
      </c>
      <c r="K131" s="27" t="s">
        <v>4417</v>
      </c>
      <c r="L131" s="26" t="s">
        <v>39</v>
      </c>
      <c r="M131" s="27" t="s">
        <v>51</v>
      </c>
      <c r="N131" s="26" t="s">
        <v>4746</v>
      </c>
      <c r="O131" s="26" t="s">
        <v>4746</v>
      </c>
      <c r="P131" s="35">
        <v>0.4791666666666667</v>
      </c>
      <c r="Q131" s="26" t="s">
        <v>56</v>
      </c>
      <c r="R131" s="26" t="s">
        <v>42</v>
      </c>
      <c r="S131" s="27" t="s">
        <v>3566</v>
      </c>
      <c r="T131" s="27" t="s">
        <v>3566</v>
      </c>
      <c r="U131" s="95">
        <v>0.4791666666666667</v>
      </c>
      <c r="V131" s="26" t="s">
        <v>44</v>
      </c>
      <c r="W131" s="26">
        <v>5.0</v>
      </c>
      <c r="X131" s="26"/>
    </row>
    <row r="132" hidden="1">
      <c r="A132" s="26">
        <v>131.0</v>
      </c>
      <c r="B132" s="188">
        <v>46174.0</v>
      </c>
      <c r="C132" s="26" t="s">
        <v>21</v>
      </c>
      <c r="D132" s="26" t="s">
        <v>34</v>
      </c>
      <c r="E132" s="27" t="s">
        <v>4487</v>
      </c>
      <c r="F132" s="342">
        <v>5.53195744E8</v>
      </c>
      <c r="G132" s="26" t="s">
        <v>27</v>
      </c>
      <c r="H132" s="26" t="s">
        <v>27</v>
      </c>
      <c r="I132" s="26" t="s">
        <v>27</v>
      </c>
      <c r="J132" s="209" t="s">
        <v>4430</v>
      </c>
      <c r="K132" s="27" t="s">
        <v>4417</v>
      </c>
      <c r="L132" s="343" t="s">
        <v>39</v>
      </c>
      <c r="M132" s="27" t="s">
        <v>51</v>
      </c>
      <c r="N132" s="26" t="s">
        <v>4746</v>
      </c>
      <c r="O132" s="26" t="s">
        <v>4746</v>
      </c>
      <c r="P132" s="95">
        <v>0.4791666666666667</v>
      </c>
      <c r="Q132" s="26" t="s">
        <v>56</v>
      </c>
      <c r="R132" s="26" t="s">
        <v>42</v>
      </c>
      <c r="S132" s="27" t="s">
        <v>3566</v>
      </c>
      <c r="T132" s="27" t="s">
        <v>3566</v>
      </c>
      <c r="U132" s="35">
        <v>0.4791666666666667</v>
      </c>
      <c r="V132" s="26" t="s">
        <v>44</v>
      </c>
      <c r="W132" s="26">
        <v>5.0</v>
      </c>
      <c r="X132" s="26"/>
    </row>
    <row r="133" hidden="1">
      <c r="A133" s="26">
        <v>132.0</v>
      </c>
      <c r="B133" s="188">
        <v>46174.0</v>
      </c>
      <c r="C133" s="26" t="s">
        <v>21</v>
      </c>
      <c r="D133" s="26" t="s">
        <v>34</v>
      </c>
      <c r="E133" s="27" t="s">
        <v>4495</v>
      </c>
      <c r="F133" s="36">
        <v>5.98990099E8</v>
      </c>
      <c r="G133" s="26" t="s">
        <v>27</v>
      </c>
      <c r="H133" s="26" t="s">
        <v>27</v>
      </c>
      <c r="I133" s="26" t="s">
        <v>27</v>
      </c>
      <c r="J133" s="209" t="s">
        <v>4496</v>
      </c>
      <c r="K133" s="27" t="s">
        <v>4417</v>
      </c>
      <c r="L133" s="26" t="s">
        <v>39</v>
      </c>
      <c r="M133" s="27" t="s">
        <v>51</v>
      </c>
      <c r="N133" s="26" t="s">
        <v>4746</v>
      </c>
      <c r="O133" s="26" t="s">
        <v>4746</v>
      </c>
      <c r="P133" s="35">
        <v>0.4791666666666667</v>
      </c>
      <c r="Q133" s="26" t="s">
        <v>56</v>
      </c>
      <c r="R133" s="26" t="s">
        <v>42</v>
      </c>
      <c r="S133" s="27" t="s">
        <v>3566</v>
      </c>
      <c r="T133" s="27" t="s">
        <v>3566</v>
      </c>
      <c r="U133" s="95">
        <v>0.4791666666666667</v>
      </c>
      <c r="V133" s="26" t="s">
        <v>44</v>
      </c>
      <c r="W133" s="26">
        <v>5.0</v>
      </c>
      <c r="X133" s="26"/>
    </row>
    <row r="134" hidden="1">
      <c r="A134" s="26">
        <v>133.0</v>
      </c>
      <c r="B134" s="188">
        <v>46174.0</v>
      </c>
      <c r="C134" s="26" t="s">
        <v>21</v>
      </c>
      <c r="D134" s="26" t="s">
        <v>34</v>
      </c>
      <c r="E134" s="27" t="s">
        <v>1103</v>
      </c>
      <c r="F134" s="342">
        <v>5.43969801E8</v>
      </c>
      <c r="G134" s="26" t="s">
        <v>27</v>
      </c>
      <c r="H134" s="26" t="s">
        <v>27</v>
      </c>
      <c r="I134" s="26" t="s">
        <v>27</v>
      </c>
      <c r="J134" s="209" t="s">
        <v>4503</v>
      </c>
      <c r="K134" s="27" t="s">
        <v>4417</v>
      </c>
      <c r="L134" s="343" t="s">
        <v>39</v>
      </c>
      <c r="M134" s="27" t="s">
        <v>51</v>
      </c>
      <c r="N134" s="26" t="s">
        <v>4746</v>
      </c>
      <c r="O134" s="26" t="s">
        <v>4746</v>
      </c>
      <c r="P134" s="95">
        <v>0.4791666666666667</v>
      </c>
      <c r="Q134" s="26" t="s">
        <v>56</v>
      </c>
      <c r="R134" s="26" t="s">
        <v>42</v>
      </c>
      <c r="S134" s="27" t="s">
        <v>3566</v>
      </c>
      <c r="T134" s="27" t="s">
        <v>3566</v>
      </c>
      <c r="U134" s="35">
        <v>0.4791666666666667</v>
      </c>
      <c r="V134" s="26" t="s">
        <v>44</v>
      </c>
      <c r="W134" s="26">
        <v>5.0</v>
      </c>
      <c r="X134" s="26"/>
    </row>
    <row r="135" hidden="1">
      <c r="A135" s="26">
        <v>134.0</v>
      </c>
      <c r="B135" s="188">
        <v>46174.0</v>
      </c>
      <c r="C135" s="26" t="s">
        <v>21</v>
      </c>
      <c r="D135" s="26" t="s">
        <v>34</v>
      </c>
      <c r="E135" s="27" t="s">
        <v>501</v>
      </c>
      <c r="F135" s="36">
        <v>5.4489961E8</v>
      </c>
      <c r="G135" s="26" t="s">
        <v>27</v>
      </c>
      <c r="H135" s="26" t="s">
        <v>27</v>
      </c>
      <c r="I135" s="26" t="s">
        <v>27</v>
      </c>
      <c r="J135" s="209" t="s">
        <v>4430</v>
      </c>
      <c r="K135" s="27" t="s">
        <v>4417</v>
      </c>
      <c r="L135" s="26" t="s">
        <v>39</v>
      </c>
      <c r="M135" s="27" t="s">
        <v>51</v>
      </c>
      <c r="N135" s="26" t="s">
        <v>4746</v>
      </c>
      <c r="O135" s="26" t="s">
        <v>4746</v>
      </c>
      <c r="P135" s="35">
        <v>0.4791666666666667</v>
      </c>
      <c r="Q135" s="26" t="s">
        <v>56</v>
      </c>
      <c r="R135" s="26" t="s">
        <v>42</v>
      </c>
      <c r="S135" s="27" t="s">
        <v>3566</v>
      </c>
      <c r="T135" s="27" t="s">
        <v>3566</v>
      </c>
      <c r="U135" s="95">
        <v>0.4791666666666667</v>
      </c>
      <c r="V135" s="26" t="s">
        <v>44</v>
      </c>
      <c r="W135" s="26">
        <v>5.0</v>
      </c>
      <c r="X135" s="26"/>
    </row>
    <row r="136" hidden="1">
      <c r="A136" s="26">
        <v>135.0</v>
      </c>
      <c r="B136" s="188">
        <v>46174.0</v>
      </c>
      <c r="C136" s="26" t="s">
        <v>21</v>
      </c>
      <c r="D136" s="26" t="s">
        <v>34</v>
      </c>
      <c r="E136" s="27" t="s">
        <v>4509</v>
      </c>
      <c r="F136" s="342">
        <v>5.47651438E8</v>
      </c>
      <c r="G136" s="26" t="s">
        <v>27</v>
      </c>
      <c r="H136" s="26" t="s">
        <v>27</v>
      </c>
      <c r="I136" s="26" t="s">
        <v>27</v>
      </c>
      <c r="J136" s="209" t="s">
        <v>4510</v>
      </c>
      <c r="K136" s="27" t="s">
        <v>4417</v>
      </c>
      <c r="L136" s="343" t="s">
        <v>39</v>
      </c>
      <c r="M136" s="27" t="s">
        <v>51</v>
      </c>
      <c r="N136" s="26" t="s">
        <v>4746</v>
      </c>
      <c r="O136" s="26" t="s">
        <v>4746</v>
      </c>
      <c r="P136" s="95">
        <v>0.4791666666666667</v>
      </c>
      <c r="Q136" s="26" t="s">
        <v>56</v>
      </c>
      <c r="R136" s="26" t="s">
        <v>42</v>
      </c>
      <c r="S136" s="27" t="s">
        <v>3566</v>
      </c>
      <c r="T136" s="27" t="s">
        <v>3566</v>
      </c>
      <c r="U136" s="35">
        <v>0.4791666666666667</v>
      </c>
      <c r="V136" s="26" t="s">
        <v>44</v>
      </c>
      <c r="W136" s="26">
        <v>5.0</v>
      </c>
      <c r="X136" s="26"/>
    </row>
    <row r="137" hidden="1">
      <c r="A137" s="26">
        <v>136.0</v>
      </c>
      <c r="B137" s="188">
        <v>46174.0</v>
      </c>
      <c r="C137" s="26" t="s">
        <v>21</v>
      </c>
      <c r="D137" s="26" t="s">
        <v>34</v>
      </c>
      <c r="E137" s="27" t="s">
        <v>1197</v>
      </c>
      <c r="F137" s="36">
        <v>5.9096511E8</v>
      </c>
      <c r="G137" s="26" t="s">
        <v>27</v>
      </c>
      <c r="H137" s="26" t="s">
        <v>27</v>
      </c>
      <c r="I137" s="26" t="s">
        <v>27</v>
      </c>
      <c r="J137" s="209" t="s">
        <v>4518</v>
      </c>
      <c r="K137" s="27" t="s">
        <v>4417</v>
      </c>
      <c r="L137" s="26" t="s">
        <v>39</v>
      </c>
      <c r="M137" s="27" t="s">
        <v>51</v>
      </c>
      <c r="N137" s="26" t="s">
        <v>4746</v>
      </c>
      <c r="O137" s="26" t="s">
        <v>4746</v>
      </c>
      <c r="P137" s="35">
        <v>0.4791666666666667</v>
      </c>
      <c r="Q137" s="26" t="s">
        <v>56</v>
      </c>
      <c r="R137" s="26" t="s">
        <v>42</v>
      </c>
      <c r="S137" s="27" t="s">
        <v>3566</v>
      </c>
      <c r="T137" s="27" t="s">
        <v>3566</v>
      </c>
      <c r="U137" s="95">
        <v>0.4791666666666667</v>
      </c>
      <c r="V137" s="26" t="s">
        <v>44</v>
      </c>
      <c r="W137" s="26">
        <v>5.0</v>
      </c>
      <c r="X137" s="26"/>
    </row>
    <row r="138" hidden="1">
      <c r="A138" s="26">
        <v>137.0</v>
      </c>
      <c r="B138" s="188">
        <v>46174.0</v>
      </c>
      <c r="C138" s="26" t="s">
        <v>21</v>
      </c>
      <c r="D138" s="26" t="s">
        <v>22</v>
      </c>
      <c r="E138" s="27" t="s">
        <v>4521</v>
      </c>
      <c r="F138" s="342">
        <v>5.55819475E8</v>
      </c>
      <c r="G138" s="26" t="s">
        <v>27</v>
      </c>
      <c r="H138" s="26" t="s">
        <v>27</v>
      </c>
      <c r="I138" s="26" t="s">
        <v>27</v>
      </c>
      <c r="J138" s="209" t="s">
        <v>4523</v>
      </c>
      <c r="K138" s="237"/>
      <c r="L138" s="343" t="s">
        <v>39</v>
      </c>
      <c r="M138" s="27" t="s">
        <v>1389</v>
      </c>
      <c r="N138" s="26" t="s">
        <v>4870</v>
      </c>
      <c r="O138" s="26" t="s">
        <v>4746</v>
      </c>
      <c r="P138" s="95">
        <v>0.4791666666666667</v>
      </c>
      <c r="Q138" s="26" t="s">
        <v>40</v>
      </c>
      <c r="R138" s="26" t="s">
        <v>3811</v>
      </c>
      <c r="S138" s="27" t="s">
        <v>3566</v>
      </c>
      <c r="T138" s="27"/>
      <c r="U138" s="35"/>
      <c r="V138" s="26"/>
      <c r="W138" s="26">
        <v>5.0</v>
      </c>
      <c r="X138" s="26" t="s">
        <v>46</v>
      </c>
    </row>
    <row r="139" hidden="1">
      <c r="A139" s="26">
        <v>138.0</v>
      </c>
      <c r="B139" s="188">
        <v>46174.0</v>
      </c>
      <c r="C139" s="26" t="s">
        <v>21</v>
      </c>
      <c r="D139" s="26" t="s">
        <v>22</v>
      </c>
      <c r="E139" s="27" t="s">
        <v>4526</v>
      </c>
      <c r="F139" s="36">
        <v>5.62550062E8</v>
      </c>
      <c r="G139" s="26" t="s">
        <v>27</v>
      </c>
      <c r="H139" s="26" t="s">
        <v>27</v>
      </c>
      <c r="I139" s="26" t="s">
        <v>27</v>
      </c>
      <c r="J139" s="209" t="s">
        <v>4528</v>
      </c>
      <c r="K139" s="27"/>
      <c r="L139" s="26" t="s">
        <v>39</v>
      </c>
      <c r="M139" s="27" t="s">
        <v>1389</v>
      </c>
      <c r="N139" s="26" t="s">
        <v>4870</v>
      </c>
      <c r="O139" s="26" t="s">
        <v>4746</v>
      </c>
      <c r="P139" s="35">
        <v>0.4791666666666667</v>
      </c>
      <c r="Q139" s="26" t="s">
        <v>40</v>
      </c>
      <c r="R139" s="26" t="s">
        <v>42</v>
      </c>
      <c r="S139" s="27" t="s">
        <v>3566</v>
      </c>
      <c r="T139" s="27"/>
      <c r="U139" s="95"/>
      <c r="V139" s="26"/>
      <c r="W139" s="26">
        <v>5.0</v>
      </c>
      <c r="X139" s="26" t="s">
        <v>46</v>
      </c>
    </row>
    <row r="140" hidden="1">
      <c r="A140" s="26">
        <v>139.0</v>
      </c>
      <c r="B140" s="188">
        <v>46174.0</v>
      </c>
      <c r="C140" s="26" t="s">
        <v>21</v>
      </c>
      <c r="D140" s="26" t="s">
        <v>34</v>
      </c>
      <c r="E140" s="27" t="s">
        <v>4532</v>
      </c>
      <c r="F140" s="342">
        <v>5.31505038E8</v>
      </c>
      <c r="G140" s="26" t="s">
        <v>27</v>
      </c>
      <c r="H140" s="26" t="s">
        <v>27</v>
      </c>
      <c r="I140" s="26" t="s">
        <v>27</v>
      </c>
      <c r="J140" s="209" t="s">
        <v>4533</v>
      </c>
      <c r="K140" s="27" t="s">
        <v>4417</v>
      </c>
      <c r="L140" s="343" t="s">
        <v>39</v>
      </c>
      <c r="M140" s="27" t="s">
        <v>51</v>
      </c>
      <c r="N140" s="26" t="s">
        <v>4746</v>
      </c>
      <c r="O140" s="26" t="s">
        <v>4746</v>
      </c>
      <c r="P140" s="95">
        <v>0.4791666666666667</v>
      </c>
      <c r="Q140" s="26" t="s">
        <v>56</v>
      </c>
      <c r="R140" s="26" t="s">
        <v>42</v>
      </c>
      <c r="S140" s="27" t="s">
        <v>3566</v>
      </c>
      <c r="T140" s="27" t="s">
        <v>3566</v>
      </c>
      <c r="U140" s="35">
        <v>0.4791666666666667</v>
      </c>
      <c r="V140" s="26" t="s">
        <v>44</v>
      </c>
      <c r="W140" s="26">
        <v>5.0</v>
      </c>
      <c r="X140" s="26"/>
    </row>
    <row r="141" hidden="1">
      <c r="A141" s="26">
        <v>140.0</v>
      </c>
      <c r="B141" s="188">
        <v>46174.0</v>
      </c>
      <c r="C141" s="26" t="s">
        <v>21</v>
      </c>
      <c r="D141" s="26" t="s">
        <v>34</v>
      </c>
      <c r="E141" s="27" t="s">
        <v>4539</v>
      </c>
      <c r="F141" s="36">
        <v>5.54957066E8</v>
      </c>
      <c r="G141" s="26" t="s">
        <v>27</v>
      </c>
      <c r="H141" s="26" t="s">
        <v>27</v>
      </c>
      <c r="I141" s="26" t="s">
        <v>27</v>
      </c>
      <c r="J141" s="209" t="s">
        <v>4541</v>
      </c>
      <c r="K141" s="27" t="s">
        <v>4417</v>
      </c>
      <c r="L141" s="26" t="s">
        <v>39</v>
      </c>
      <c r="M141" s="27" t="s">
        <v>51</v>
      </c>
      <c r="N141" s="26" t="s">
        <v>4746</v>
      </c>
      <c r="O141" s="26" t="s">
        <v>4746</v>
      </c>
      <c r="P141" s="35">
        <v>0.4791666666666667</v>
      </c>
      <c r="Q141" s="26" t="s">
        <v>56</v>
      </c>
      <c r="R141" s="26" t="s">
        <v>42</v>
      </c>
      <c r="S141" s="27" t="s">
        <v>3566</v>
      </c>
      <c r="T141" s="27" t="s">
        <v>3566</v>
      </c>
      <c r="U141" s="95">
        <v>0.4791666666666667</v>
      </c>
      <c r="V141" s="26" t="s">
        <v>44</v>
      </c>
      <c r="W141" s="26">
        <v>5.0</v>
      </c>
      <c r="X141" s="26"/>
    </row>
    <row r="142" hidden="1">
      <c r="A142" s="26">
        <v>141.0</v>
      </c>
      <c r="B142" s="188">
        <v>46174.0</v>
      </c>
      <c r="C142" s="26" t="s">
        <v>21</v>
      </c>
      <c r="D142" s="26" t="s">
        <v>34</v>
      </c>
      <c r="E142" s="26" t="s">
        <v>4546</v>
      </c>
      <c r="F142" s="342">
        <v>5.00990892E8</v>
      </c>
      <c r="G142" s="26" t="s">
        <v>27</v>
      </c>
      <c r="H142" s="26" t="s">
        <v>27</v>
      </c>
      <c r="I142" s="26" t="s">
        <v>27</v>
      </c>
      <c r="J142" s="351" t="s">
        <v>4547</v>
      </c>
      <c r="K142" s="27" t="s">
        <v>4417</v>
      </c>
      <c r="L142" s="343" t="s">
        <v>39</v>
      </c>
      <c r="M142" s="27" t="s">
        <v>51</v>
      </c>
      <c r="N142" s="26" t="s">
        <v>4746</v>
      </c>
      <c r="O142" s="26" t="s">
        <v>4746</v>
      </c>
      <c r="P142" s="95">
        <v>0.4791666666666667</v>
      </c>
      <c r="Q142" s="26" t="s">
        <v>56</v>
      </c>
      <c r="R142" s="26" t="s">
        <v>42</v>
      </c>
      <c r="S142" s="27" t="s">
        <v>3566</v>
      </c>
      <c r="T142" s="27" t="s">
        <v>3566</v>
      </c>
      <c r="U142" s="35">
        <v>0.4791666666666667</v>
      </c>
      <c r="V142" s="26" t="s">
        <v>44</v>
      </c>
      <c r="W142" s="26">
        <v>5.0</v>
      </c>
      <c r="X142" s="26"/>
    </row>
    <row r="143" ht="255.0" hidden="1" customHeight="1">
      <c r="A143" s="26">
        <v>142.0</v>
      </c>
      <c r="B143" s="188">
        <v>46174.0</v>
      </c>
      <c r="C143" s="26" t="s">
        <v>21</v>
      </c>
      <c r="D143" s="26" t="s">
        <v>22</v>
      </c>
      <c r="E143" s="27" t="s">
        <v>1297</v>
      </c>
      <c r="F143" s="36">
        <v>5.38390007E8</v>
      </c>
      <c r="G143" s="26" t="s">
        <v>4865</v>
      </c>
      <c r="H143" s="27" t="s">
        <v>319</v>
      </c>
      <c r="I143" s="26" t="s">
        <v>27</v>
      </c>
      <c r="J143" s="209" t="s">
        <v>4556</v>
      </c>
      <c r="K143" s="27"/>
      <c r="L143" s="26" t="s">
        <v>39</v>
      </c>
      <c r="M143" s="27" t="s">
        <v>4839</v>
      </c>
      <c r="N143" s="26" t="s">
        <v>4870</v>
      </c>
      <c r="O143" s="26" t="s">
        <v>4746</v>
      </c>
      <c r="P143" s="35">
        <v>0.4791666666666667</v>
      </c>
      <c r="Q143" s="26" t="s">
        <v>40</v>
      </c>
      <c r="R143" s="26" t="s">
        <v>42</v>
      </c>
      <c r="S143" s="27" t="s">
        <v>3566</v>
      </c>
      <c r="T143" s="27"/>
      <c r="U143" s="95"/>
      <c r="V143" s="26"/>
      <c r="W143" s="26">
        <v>5.0</v>
      </c>
      <c r="X143" s="26" t="s">
        <v>46</v>
      </c>
    </row>
    <row r="144" hidden="1">
      <c r="A144" s="26">
        <v>143.0</v>
      </c>
      <c r="B144" s="188">
        <v>46174.0</v>
      </c>
      <c r="C144" s="26" t="s">
        <v>21</v>
      </c>
      <c r="D144" s="26" t="s">
        <v>22</v>
      </c>
      <c r="E144" s="27" t="s">
        <v>4562</v>
      </c>
      <c r="F144" s="342">
        <v>5.52552482E8</v>
      </c>
      <c r="G144" s="26" t="s">
        <v>4975</v>
      </c>
      <c r="H144" s="27" t="s">
        <v>362</v>
      </c>
      <c r="I144" s="26" t="s">
        <v>27</v>
      </c>
      <c r="J144" s="209" t="s">
        <v>4563</v>
      </c>
      <c r="K144" s="237"/>
      <c r="L144" s="343" t="s">
        <v>36</v>
      </c>
      <c r="M144" s="27" t="s">
        <v>4868</v>
      </c>
      <c r="N144" s="26" t="s">
        <v>4870</v>
      </c>
      <c r="O144" s="26" t="s">
        <v>863</v>
      </c>
      <c r="P144" s="95"/>
      <c r="Q144" s="26" t="s">
        <v>40</v>
      </c>
      <c r="R144" s="26" t="s">
        <v>42</v>
      </c>
      <c r="S144" s="27" t="s">
        <v>3566</v>
      </c>
      <c r="T144" s="27"/>
      <c r="U144" s="35"/>
      <c r="V144" s="26"/>
      <c r="W144" s="26">
        <v>5.0</v>
      </c>
      <c r="X144" s="26" t="s">
        <v>46</v>
      </c>
    </row>
    <row r="145" hidden="1">
      <c r="A145" s="26">
        <v>144.0</v>
      </c>
      <c r="B145" s="188">
        <v>46174.0</v>
      </c>
      <c r="C145" s="26" t="s">
        <v>21</v>
      </c>
      <c r="D145" s="26" t="s">
        <v>24</v>
      </c>
      <c r="E145" s="27" t="s">
        <v>4568</v>
      </c>
      <c r="F145" s="36">
        <v>5.38565525E8</v>
      </c>
      <c r="G145" s="26" t="s">
        <v>4740</v>
      </c>
      <c r="H145" s="27" t="s">
        <v>71</v>
      </c>
      <c r="I145" s="26" t="s">
        <v>27</v>
      </c>
      <c r="J145" s="209" t="s">
        <v>4569</v>
      </c>
      <c r="K145" s="27"/>
      <c r="L145" s="26" t="s">
        <v>36</v>
      </c>
      <c r="M145" s="27" t="s">
        <v>5046</v>
      </c>
      <c r="N145" s="26" t="s">
        <v>4803</v>
      </c>
      <c r="O145" s="26" t="s">
        <v>863</v>
      </c>
      <c r="P145" s="35"/>
      <c r="Q145" s="26" t="s">
        <v>56</v>
      </c>
      <c r="R145" s="26" t="s">
        <v>42</v>
      </c>
      <c r="S145" s="27" t="s">
        <v>3566</v>
      </c>
      <c r="T145" s="27"/>
      <c r="U145" s="95"/>
      <c r="V145" s="26"/>
      <c r="W145" s="26">
        <v>5.0</v>
      </c>
      <c r="X145" s="26" t="s">
        <v>46</v>
      </c>
    </row>
    <row r="146" hidden="1">
      <c r="A146" s="26">
        <v>145.0</v>
      </c>
      <c r="B146" s="188">
        <v>46174.0</v>
      </c>
      <c r="C146" s="26" t="s">
        <v>21</v>
      </c>
      <c r="D146" s="26" t="s">
        <v>22</v>
      </c>
      <c r="E146" s="27" t="s">
        <v>4575</v>
      </c>
      <c r="F146" s="342">
        <v>5.03661049E8</v>
      </c>
      <c r="G146" s="26" t="s">
        <v>4740</v>
      </c>
      <c r="H146" s="27" t="s">
        <v>41</v>
      </c>
      <c r="I146" s="26" t="s">
        <v>27</v>
      </c>
      <c r="J146" s="209" t="s">
        <v>4576</v>
      </c>
      <c r="K146" s="237"/>
      <c r="L146" s="343" t="s">
        <v>36</v>
      </c>
      <c r="M146" s="27" t="s">
        <v>1389</v>
      </c>
      <c r="N146" s="26" t="s">
        <v>4870</v>
      </c>
      <c r="O146" s="26" t="s">
        <v>863</v>
      </c>
      <c r="P146" s="95"/>
      <c r="Q146" s="26" t="s">
        <v>40</v>
      </c>
      <c r="R146" s="26" t="s">
        <v>42</v>
      </c>
      <c r="S146" s="27" t="s">
        <v>3566</v>
      </c>
      <c r="T146" s="27"/>
      <c r="U146" s="35"/>
      <c r="V146" s="26"/>
      <c r="W146" s="26">
        <v>5.0</v>
      </c>
      <c r="X146" s="26" t="s">
        <v>46</v>
      </c>
    </row>
    <row r="147" hidden="1">
      <c r="A147" s="26">
        <v>146.0</v>
      </c>
      <c r="B147" s="188">
        <v>46174.0</v>
      </c>
      <c r="C147" s="26" t="s">
        <v>21</v>
      </c>
      <c r="D147" s="26" t="s">
        <v>24</v>
      </c>
      <c r="E147" s="27" t="s">
        <v>4581</v>
      </c>
      <c r="F147" s="36">
        <v>5.55561999E8</v>
      </c>
      <c r="G147" s="26" t="s">
        <v>5023</v>
      </c>
      <c r="H147" s="27" t="s">
        <v>2174</v>
      </c>
      <c r="I147" s="26" t="s">
        <v>27</v>
      </c>
      <c r="J147" s="209" t="s">
        <v>4584</v>
      </c>
      <c r="K147" s="27"/>
      <c r="L147" s="26" t="s">
        <v>36</v>
      </c>
      <c r="M147" s="27" t="s">
        <v>630</v>
      </c>
      <c r="N147" s="26" t="s">
        <v>4803</v>
      </c>
      <c r="O147" s="26" t="s">
        <v>863</v>
      </c>
      <c r="P147" s="35"/>
      <c r="Q147" s="26" t="s">
        <v>56</v>
      </c>
      <c r="R147" s="26" t="s">
        <v>301</v>
      </c>
      <c r="S147" s="27" t="s">
        <v>3566</v>
      </c>
      <c r="T147" s="27"/>
      <c r="U147" s="95"/>
      <c r="V147" s="26"/>
      <c r="W147" s="26">
        <v>5.0</v>
      </c>
      <c r="X147" s="26" t="s">
        <v>46</v>
      </c>
    </row>
    <row r="148" hidden="1">
      <c r="A148" s="26">
        <v>147.0</v>
      </c>
      <c r="B148" s="188">
        <v>46175.0</v>
      </c>
      <c r="C148" s="26" t="s">
        <v>21</v>
      </c>
      <c r="D148" s="26" t="s">
        <v>22</v>
      </c>
      <c r="E148" s="27" t="s">
        <v>4587</v>
      </c>
      <c r="F148" s="342">
        <v>5.31404212E8</v>
      </c>
      <c r="G148" s="26" t="s">
        <v>4740</v>
      </c>
      <c r="H148" s="27" t="s">
        <v>79</v>
      </c>
      <c r="I148" s="26" t="s">
        <v>27</v>
      </c>
      <c r="J148" s="209" t="s">
        <v>4588</v>
      </c>
      <c r="K148" s="237"/>
      <c r="L148" s="343" t="s">
        <v>36</v>
      </c>
      <c r="M148" s="27" t="s">
        <v>4868</v>
      </c>
      <c r="N148" s="26" t="s">
        <v>4870</v>
      </c>
      <c r="O148" s="26" t="s">
        <v>4746</v>
      </c>
      <c r="P148" s="95"/>
      <c r="Q148" s="26" t="s">
        <v>40</v>
      </c>
      <c r="R148" s="26" t="s">
        <v>42</v>
      </c>
      <c r="S148" s="27" t="s">
        <v>3566</v>
      </c>
      <c r="T148" s="27"/>
      <c r="U148" s="35"/>
      <c r="V148" s="26"/>
      <c r="W148" s="26">
        <v>5.0</v>
      </c>
      <c r="X148" s="26" t="s">
        <v>46</v>
      </c>
    </row>
    <row r="149" hidden="1">
      <c r="A149" s="26">
        <v>148.0</v>
      </c>
      <c r="B149" s="188">
        <v>46175.0</v>
      </c>
      <c r="C149" s="26" t="s">
        <v>58</v>
      </c>
      <c r="D149" s="26" t="s">
        <v>60</v>
      </c>
      <c r="E149" s="26" t="s">
        <v>27</v>
      </c>
      <c r="F149" s="36">
        <v>5.07487956E8</v>
      </c>
      <c r="G149" s="26" t="s">
        <v>27</v>
      </c>
      <c r="H149" s="26" t="s">
        <v>27</v>
      </c>
      <c r="I149" s="26" t="s">
        <v>27</v>
      </c>
      <c r="J149" s="209" t="s">
        <v>233</v>
      </c>
      <c r="K149" s="27"/>
      <c r="L149" s="26" t="s">
        <v>36</v>
      </c>
      <c r="M149" s="27" t="s">
        <v>88</v>
      </c>
      <c r="N149" s="26" t="s">
        <v>4746</v>
      </c>
      <c r="O149" s="26" t="s">
        <v>4746</v>
      </c>
      <c r="P149" s="35"/>
      <c r="Q149" s="26" t="s">
        <v>56</v>
      </c>
      <c r="R149" s="26" t="s">
        <v>42</v>
      </c>
      <c r="S149" s="27" t="s">
        <v>3566</v>
      </c>
      <c r="T149" s="27"/>
      <c r="U149" s="95"/>
      <c r="V149" s="26"/>
      <c r="W149" s="26">
        <v>5.0</v>
      </c>
      <c r="X149" s="26"/>
    </row>
    <row r="150" hidden="1">
      <c r="A150" s="26">
        <v>149.0</v>
      </c>
      <c r="B150" s="188">
        <v>46175.0</v>
      </c>
      <c r="C150" s="26" t="s">
        <v>58</v>
      </c>
      <c r="D150" s="26" t="s">
        <v>60</v>
      </c>
      <c r="E150" s="26" t="s">
        <v>27</v>
      </c>
      <c r="F150" s="36">
        <v>5.11306894E8</v>
      </c>
      <c r="G150" s="26" t="s">
        <v>27</v>
      </c>
      <c r="H150" s="26" t="s">
        <v>27</v>
      </c>
      <c r="I150" s="26" t="s">
        <v>27</v>
      </c>
      <c r="J150" s="209" t="s">
        <v>4597</v>
      </c>
      <c r="K150" s="237"/>
      <c r="L150" s="343" t="s">
        <v>36</v>
      </c>
      <c r="M150" s="27" t="s">
        <v>88</v>
      </c>
      <c r="N150" s="26" t="s">
        <v>49</v>
      </c>
      <c r="O150" s="26" t="s">
        <v>863</v>
      </c>
      <c r="P150" s="95"/>
      <c r="Q150" s="26" t="s">
        <v>56</v>
      </c>
      <c r="R150" s="26" t="s">
        <v>42</v>
      </c>
      <c r="S150" s="27" t="s">
        <v>3566</v>
      </c>
      <c r="T150" s="27"/>
      <c r="U150" s="35"/>
      <c r="V150" s="26"/>
      <c r="W150" s="26">
        <v>5.0</v>
      </c>
      <c r="X150" s="26"/>
    </row>
    <row r="151" hidden="1">
      <c r="A151" s="26">
        <v>150.0</v>
      </c>
      <c r="B151" s="188">
        <v>46175.0</v>
      </c>
      <c r="C151" s="26" t="s">
        <v>21</v>
      </c>
      <c r="D151" s="26" t="s">
        <v>24</v>
      </c>
      <c r="E151" s="27" t="s">
        <v>4601</v>
      </c>
      <c r="F151" s="36">
        <v>5.70753316E8</v>
      </c>
      <c r="G151" s="26" t="s">
        <v>4740</v>
      </c>
      <c r="H151" s="27" t="s">
        <v>71</v>
      </c>
      <c r="I151" s="26" t="s">
        <v>27</v>
      </c>
      <c r="J151" s="209" t="s">
        <v>4602</v>
      </c>
      <c r="K151" s="27"/>
      <c r="L151" s="26" t="s">
        <v>36</v>
      </c>
      <c r="M151" s="27" t="s">
        <v>630</v>
      </c>
      <c r="N151" s="26" t="s">
        <v>4803</v>
      </c>
      <c r="O151" s="26" t="s">
        <v>863</v>
      </c>
      <c r="P151" s="35"/>
      <c r="Q151" s="26" t="s">
        <v>56</v>
      </c>
      <c r="R151" s="26" t="s">
        <v>42</v>
      </c>
      <c r="S151" s="27" t="s">
        <v>3566</v>
      </c>
      <c r="T151" s="27"/>
      <c r="U151" s="35"/>
      <c r="V151" s="26"/>
      <c r="W151" s="26">
        <v>5.0</v>
      </c>
      <c r="X151" s="26" t="s">
        <v>46</v>
      </c>
    </row>
    <row r="152" hidden="1">
      <c r="A152" s="26">
        <v>151.0</v>
      </c>
      <c r="B152" s="188">
        <v>46175.0</v>
      </c>
      <c r="C152" s="26" t="s">
        <v>47</v>
      </c>
      <c r="D152" s="26" t="s">
        <v>48</v>
      </c>
      <c r="E152" s="27" t="s">
        <v>4206</v>
      </c>
      <c r="F152" s="21">
        <v>5.58902364E8</v>
      </c>
      <c r="G152" s="26" t="s">
        <v>4740</v>
      </c>
      <c r="H152" s="27" t="s">
        <v>41</v>
      </c>
      <c r="I152" s="26" t="s">
        <v>1220</v>
      </c>
      <c r="J152" s="209" t="s">
        <v>4604</v>
      </c>
      <c r="K152" s="27" t="s">
        <v>4605</v>
      </c>
      <c r="L152" s="26" t="s">
        <v>148</v>
      </c>
      <c r="M152" s="275" t="s">
        <v>3764</v>
      </c>
      <c r="N152" s="26" t="s">
        <v>4977</v>
      </c>
      <c r="O152" s="26" t="s">
        <v>863</v>
      </c>
      <c r="P152" s="35"/>
      <c r="Q152" s="26" t="s">
        <v>56</v>
      </c>
      <c r="R152" s="26" t="s">
        <v>518</v>
      </c>
      <c r="S152" s="27" t="s">
        <v>3765</v>
      </c>
      <c r="T152" s="27"/>
      <c r="U152" s="35"/>
      <c r="V152" s="26"/>
      <c r="W152" s="26">
        <v>5.0</v>
      </c>
      <c r="X152" s="26" t="s">
        <v>46</v>
      </c>
    </row>
    <row r="153" hidden="1">
      <c r="A153" s="26">
        <v>152.0</v>
      </c>
      <c r="B153" s="188">
        <v>46175.0</v>
      </c>
      <c r="C153" s="26" t="s">
        <v>47</v>
      </c>
      <c r="D153" s="26" t="s">
        <v>48</v>
      </c>
      <c r="E153" s="27" t="s">
        <v>4609</v>
      </c>
      <c r="F153" s="21">
        <v>5.93479378E8</v>
      </c>
      <c r="G153" s="26" t="s">
        <v>4740</v>
      </c>
      <c r="H153" s="27" t="s">
        <v>41</v>
      </c>
      <c r="I153" s="26" t="s">
        <v>52</v>
      </c>
      <c r="J153" s="209" t="s">
        <v>4610</v>
      </c>
      <c r="K153" s="27" t="s">
        <v>4611</v>
      </c>
      <c r="L153" s="26" t="s">
        <v>148</v>
      </c>
      <c r="M153" s="27" t="s">
        <v>611</v>
      </c>
      <c r="N153" s="26" t="s">
        <v>4977</v>
      </c>
      <c r="O153" s="26" t="s">
        <v>863</v>
      </c>
      <c r="P153" s="35"/>
      <c r="Q153" s="26" t="s">
        <v>56</v>
      </c>
      <c r="R153" s="26" t="s">
        <v>518</v>
      </c>
      <c r="S153" s="27" t="s">
        <v>3765</v>
      </c>
      <c r="T153" s="27"/>
      <c r="U153" s="35"/>
      <c r="V153" s="26"/>
      <c r="W153" s="26">
        <v>5.0</v>
      </c>
      <c r="X153" s="26" t="s">
        <v>46</v>
      </c>
    </row>
    <row r="154" hidden="1">
      <c r="A154" s="26">
        <v>153.0</v>
      </c>
      <c r="B154" s="188">
        <v>46175.0</v>
      </c>
      <c r="C154" s="26" t="s">
        <v>58</v>
      </c>
      <c r="D154" s="26" t="s">
        <v>60</v>
      </c>
      <c r="E154" s="26" t="s">
        <v>27</v>
      </c>
      <c r="F154" s="21">
        <v>5.49027096E8</v>
      </c>
      <c r="G154" s="26" t="s">
        <v>4740</v>
      </c>
      <c r="H154" s="27" t="s">
        <v>41</v>
      </c>
      <c r="I154" s="26" t="s">
        <v>27</v>
      </c>
      <c r="J154" s="209" t="s">
        <v>4615</v>
      </c>
      <c r="K154" s="27"/>
      <c r="L154" s="26" t="s">
        <v>36</v>
      </c>
      <c r="M154" s="27" t="s">
        <v>88</v>
      </c>
      <c r="N154" s="26" t="s">
        <v>4746</v>
      </c>
      <c r="O154" s="26" t="s">
        <v>4746</v>
      </c>
      <c r="P154" s="35"/>
      <c r="Q154" s="26" t="s">
        <v>56</v>
      </c>
      <c r="R154" s="26" t="s">
        <v>42</v>
      </c>
      <c r="S154" s="27" t="s">
        <v>3566</v>
      </c>
      <c r="T154" s="27"/>
      <c r="U154" s="35"/>
      <c r="V154" s="26"/>
      <c r="W154" s="26">
        <v>5.0</v>
      </c>
      <c r="X154" s="26"/>
    </row>
    <row r="155" hidden="1">
      <c r="A155" s="26">
        <v>154.0</v>
      </c>
      <c r="B155" s="188">
        <v>46175.0</v>
      </c>
      <c r="C155" s="26" t="s">
        <v>47</v>
      </c>
      <c r="D155" s="26" t="s">
        <v>92</v>
      </c>
      <c r="E155" s="27" t="s">
        <v>4618</v>
      </c>
      <c r="F155" s="21" t="s">
        <v>27</v>
      </c>
      <c r="G155" s="26" t="s">
        <v>4740</v>
      </c>
      <c r="H155" s="27" t="s">
        <v>41</v>
      </c>
      <c r="I155" s="26" t="s">
        <v>94</v>
      </c>
      <c r="J155" s="209" t="s">
        <v>4621</v>
      </c>
      <c r="K155" s="27"/>
      <c r="L155" s="26" t="s">
        <v>78</v>
      </c>
      <c r="M155" s="27" t="s">
        <v>1473</v>
      </c>
      <c r="N155" s="26" t="s">
        <v>4637</v>
      </c>
      <c r="O155" s="26" t="s">
        <v>863</v>
      </c>
      <c r="P155" s="35"/>
      <c r="Q155" s="26" t="s">
        <v>40</v>
      </c>
      <c r="R155" s="26" t="s">
        <v>3811</v>
      </c>
      <c r="S155" s="27" t="s">
        <v>3566</v>
      </c>
      <c r="T155" s="27"/>
      <c r="U155" s="35"/>
      <c r="V155" s="26"/>
      <c r="W155" s="26">
        <v>5.0</v>
      </c>
      <c r="X155" s="26" t="s">
        <v>46</v>
      </c>
    </row>
    <row r="156" hidden="1">
      <c r="A156" s="26">
        <v>155.0</v>
      </c>
      <c r="B156" s="188">
        <v>46175.0</v>
      </c>
      <c r="C156" s="26" t="s">
        <v>21</v>
      </c>
      <c r="D156" s="26" t="s">
        <v>22</v>
      </c>
      <c r="E156" s="27" t="s">
        <v>4625</v>
      </c>
      <c r="F156" s="21">
        <v>5.34355588E8</v>
      </c>
      <c r="G156" s="26" t="s">
        <v>27</v>
      </c>
      <c r="H156" s="26" t="s">
        <v>27</v>
      </c>
      <c r="I156" s="26" t="s">
        <v>27</v>
      </c>
      <c r="J156" s="209" t="s">
        <v>4324</v>
      </c>
      <c r="K156" s="27"/>
      <c r="L156" s="26" t="s">
        <v>457</v>
      </c>
      <c r="M156" s="27" t="s">
        <v>1389</v>
      </c>
      <c r="N156" s="26" t="s">
        <v>4870</v>
      </c>
      <c r="O156" s="26" t="s">
        <v>4746</v>
      </c>
      <c r="P156" s="35"/>
      <c r="Q156" s="26" t="s">
        <v>40</v>
      </c>
      <c r="R156" s="26" t="s">
        <v>42</v>
      </c>
      <c r="S156" s="27" t="s">
        <v>3566</v>
      </c>
      <c r="T156" s="27"/>
      <c r="U156" s="35"/>
      <c r="V156" s="26"/>
      <c r="W156" s="26">
        <v>5.0</v>
      </c>
      <c r="X156" s="26" t="s">
        <v>46</v>
      </c>
    </row>
    <row r="157" hidden="1">
      <c r="A157" s="26">
        <v>156.0</v>
      </c>
      <c r="B157" s="188">
        <v>46175.0</v>
      </c>
      <c r="C157" s="26" t="s">
        <v>21</v>
      </c>
      <c r="D157" s="26" t="s">
        <v>24</v>
      </c>
      <c r="E157" s="27" t="s">
        <v>4628</v>
      </c>
      <c r="F157" s="21">
        <v>5.50033131E8</v>
      </c>
      <c r="G157" s="26" t="s">
        <v>4740</v>
      </c>
      <c r="H157" s="27" t="s">
        <v>41</v>
      </c>
      <c r="I157" s="26" t="s">
        <v>27</v>
      </c>
      <c r="J157" s="209" t="s">
        <v>4631</v>
      </c>
      <c r="K157" s="27"/>
      <c r="L157" s="26" t="s">
        <v>62</v>
      </c>
      <c r="M157" s="27" t="s">
        <v>630</v>
      </c>
      <c r="N157" s="26" t="s">
        <v>4803</v>
      </c>
      <c r="O157" s="26" t="s">
        <v>863</v>
      </c>
      <c r="P157" s="35"/>
      <c r="Q157" s="26" t="s">
        <v>56</v>
      </c>
      <c r="R157" s="26" t="s">
        <v>42</v>
      </c>
      <c r="S157" s="27" t="s">
        <v>3566</v>
      </c>
      <c r="T157" s="27"/>
      <c r="U157" s="35"/>
      <c r="V157" s="26"/>
      <c r="W157" s="26">
        <v>5.0</v>
      </c>
      <c r="X157" s="26" t="s">
        <v>46</v>
      </c>
    </row>
    <row r="158" hidden="1">
      <c r="A158" s="26">
        <v>157.0</v>
      </c>
      <c r="B158" s="188">
        <v>46175.0</v>
      </c>
      <c r="C158" s="26" t="s">
        <v>21</v>
      </c>
      <c r="D158" s="26" t="s">
        <v>24</v>
      </c>
      <c r="E158" s="27" t="s">
        <v>4633</v>
      </c>
      <c r="F158" s="21">
        <v>5.01769493E8</v>
      </c>
      <c r="G158" s="26" t="s">
        <v>4740</v>
      </c>
      <c r="H158" s="27" t="s">
        <v>79</v>
      </c>
      <c r="I158" s="26" t="s">
        <v>27</v>
      </c>
      <c r="J158" s="209" t="s">
        <v>4635</v>
      </c>
      <c r="K158" s="27"/>
      <c r="L158" s="26" t="s">
        <v>36</v>
      </c>
      <c r="M158" s="27" t="s">
        <v>630</v>
      </c>
      <c r="N158" s="26" t="s">
        <v>4803</v>
      </c>
      <c r="O158" s="26" t="s">
        <v>863</v>
      </c>
      <c r="P158" s="35"/>
      <c r="Q158" s="26" t="s">
        <v>56</v>
      </c>
      <c r="R158" s="26" t="s">
        <v>3811</v>
      </c>
      <c r="S158" s="27" t="s">
        <v>3566</v>
      </c>
      <c r="T158" s="27"/>
      <c r="U158" s="35"/>
      <c r="V158" s="26"/>
      <c r="W158" s="26">
        <v>5.0</v>
      </c>
      <c r="X158" s="26" t="s">
        <v>46</v>
      </c>
    </row>
    <row r="159" hidden="1">
      <c r="A159" s="26">
        <v>158.0</v>
      </c>
      <c r="B159" s="188">
        <v>46175.0</v>
      </c>
      <c r="C159" s="26" t="s">
        <v>21</v>
      </c>
      <c r="D159" s="26" t="s">
        <v>24</v>
      </c>
      <c r="E159" s="27" t="s">
        <v>4308</v>
      </c>
      <c r="F159" s="21">
        <v>5.32849942E8</v>
      </c>
      <c r="G159" s="26" t="s">
        <v>4740</v>
      </c>
      <c r="H159" s="27" t="s">
        <v>71</v>
      </c>
      <c r="I159" s="26" t="s">
        <v>27</v>
      </c>
      <c r="J159" s="209" t="s">
        <v>4636</v>
      </c>
      <c r="K159" s="27"/>
      <c r="L159" s="26" t="s">
        <v>36</v>
      </c>
      <c r="M159" s="27" t="s">
        <v>630</v>
      </c>
      <c r="N159" s="26" t="s">
        <v>4803</v>
      </c>
      <c r="O159" s="26" t="s">
        <v>863</v>
      </c>
      <c r="P159" s="35"/>
      <c r="Q159" s="26" t="s">
        <v>56</v>
      </c>
      <c r="R159" s="26" t="s">
        <v>518</v>
      </c>
      <c r="S159" s="27" t="s">
        <v>3566</v>
      </c>
      <c r="T159" s="27"/>
      <c r="U159" s="35"/>
      <c r="V159" s="26"/>
      <c r="W159" s="26">
        <v>5.0</v>
      </c>
      <c r="X159" s="26" t="s">
        <v>46</v>
      </c>
    </row>
    <row r="160" hidden="1">
      <c r="A160" s="26">
        <v>159.0</v>
      </c>
      <c r="B160" s="188">
        <v>46175.0</v>
      </c>
      <c r="C160" s="26" t="s">
        <v>58</v>
      </c>
      <c r="D160" s="26" t="s">
        <v>60</v>
      </c>
      <c r="E160" s="26" t="s">
        <v>27</v>
      </c>
      <c r="F160" s="21">
        <v>5.4844854E8</v>
      </c>
      <c r="G160" s="26" t="s">
        <v>27</v>
      </c>
      <c r="H160" s="26" t="s">
        <v>27</v>
      </c>
      <c r="I160" s="26" t="s">
        <v>27</v>
      </c>
      <c r="J160" s="209" t="s">
        <v>4639</v>
      </c>
      <c r="K160" s="27"/>
      <c r="L160" s="26" t="s">
        <v>62</v>
      </c>
      <c r="M160" s="27" t="s">
        <v>88</v>
      </c>
      <c r="N160" s="26" t="s">
        <v>4746</v>
      </c>
      <c r="O160" s="26" t="s">
        <v>4746</v>
      </c>
      <c r="P160" s="35"/>
      <c r="Q160" s="26" t="s">
        <v>56</v>
      </c>
      <c r="R160" s="26" t="s">
        <v>42</v>
      </c>
      <c r="S160" s="27" t="s">
        <v>3566</v>
      </c>
      <c r="T160" s="27"/>
      <c r="U160" s="35"/>
      <c r="V160" s="26"/>
      <c r="W160" s="26">
        <v>5.0</v>
      </c>
      <c r="X160" s="26"/>
    </row>
    <row r="161" hidden="1">
      <c r="A161" s="26">
        <v>160.0</v>
      </c>
      <c r="B161" s="188">
        <v>46175.0</v>
      </c>
      <c r="C161" s="26" t="s">
        <v>58</v>
      </c>
      <c r="D161" s="26" t="s">
        <v>60</v>
      </c>
      <c r="E161" s="26" t="s">
        <v>27</v>
      </c>
      <c r="F161" s="21">
        <v>5.68810834E8</v>
      </c>
      <c r="G161" s="26" t="s">
        <v>4740</v>
      </c>
      <c r="H161" s="27" t="s">
        <v>71</v>
      </c>
      <c r="I161" s="26" t="s">
        <v>27</v>
      </c>
      <c r="J161" s="209" t="s">
        <v>4639</v>
      </c>
      <c r="K161" s="27"/>
      <c r="L161" s="26" t="s">
        <v>62</v>
      </c>
      <c r="M161" s="27" t="s">
        <v>88</v>
      </c>
      <c r="N161" s="26" t="s">
        <v>4746</v>
      </c>
      <c r="O161" s="26" t="s">
        <v>4746</v>
      </c>
      <c r="P161" s="35"/>
      <c r="Q161" s="26" t="s">
        <v>56</v>
      </c>
      <c r="R161" s="26" t="s">
        <v>42</v>
      </c>
      <c r="S161" s="27" t="s">
        <v>3566</v>
      </c>
      <c r="T161" s="27"/>
      <c r="U161" s="35"/>
      <c r="V161" s="26"/>
      <c r="W161" s="26">
        <v>5.0</v>
      </c>
      <c r="X161" s="26"/>
    </row>
    <row r="162" hidden="1">
      <c r="A162" s="26">
        <v>161.0</v>
      </c>
      <c r="B162" s="188">
        <v>46175.0</v>
      </c>
      <c r="C162" s="26" t="s">
        <v>21</v>
      </c>
      <c r="D162" s="26" t="s">
        <v>24</v>
      </c>
      <c r="E162" s="27" t="s">
        <v>4644</v>
      </c>
      <c r="F162" s="36">
        <v>5.35882534E8</v>
      </c>
      <c r="G162" s="26" t="s">
        <v>4740</v>
      </c>
      <c r="H162" s="27" t="s">
        <v>71</v>
      </c>
      <c r="I162" s="26" t="s">
        <v>27</v>
      </c>
      <c r="J162" s="209" t="s">
        <v>4646</v>
      </c>
      <c r="K162" s="27"/>
      <c r="L162" s="26" t="s">
        <v>62</v>
      </c>
      <c r="M162" s="27" t="s">
        <v>630</v>
      </c>
      <c r="N162" s="26" t="s">
        <v>4803</v>
      </c>
      <c r="O162" s="26" t="s">
        <v>863</v>
      </c>
      <c r="P162" s="35"/>
      <c r="Q162" s="26" t="s">
        <v>56</v>
      </c>
      <c r="R162" s="26" t="s">
        <v>42</v>
      </c>
      <c r="S162" s="27" t="s">
        <v>3566</v>
      </c>
      <c r="T162" s="27"/>
      <c r="U162" s="35"/>
      <c r="V162" s="26"/>
      <c r="W162" s="26">
        <v>5.0</v>
      </c>
      <c r="X162" s="26" t="s">
        <v>46</v>
      </c>
    </row>
    <row r="163" hidden="1">
      <c r="A163" s="26">
        <v>162.0</v>
      </c>
      <c r="B163" s="188">
        <v>46175.0</v>
      </c>
      <c r="C163" s="26" t="s">
        <v>21</v>
      </c>
      <c r="D163" s="26" t="s">
        <v>24</v>
      </c>
      <c r="E163" s="27" t="s">
        <v>4649</v>
      </c>
      <c r="F163" s="21">
        <v>5.50993381E8</v>
      </c>
      <c r="G163" s="26" t="s">
        <v>4740</v>
      </c>
      <c r="H163" s="27" t="s">
        <v>41</v>
      </c>
      <c r="I163" s="26" t="s">
        <v>27</v>
      </c>
      <c r="J163" s="209" t="s">
        <v>4651</v>
      </c>
      <c r="K163" s="27"/>
      <c r="L163" s="26" t="s">
        <v>62</v>
      </c>
      <c r="M163" s="27" t="s">
        <v>630</v>
      </c>
      <c r="N163" s="26" t="s">
        <v>4803</v>
      </c>
      <c r="O163" s="26" t="s">
        <v>863</v>
      </c>
      <c r="P163" s="35"/>
      <c r="Q163" s="26" t="s">
        <v>56</v>
      </c>
      <c r="R163" s="26" t="s">
        <v>42</v>
      </c>
      <c r="S163" s="27" t="s">
        <v>3566</v>
      </c>
      <c r="T163" s="27"/>
      <c r="U163" s="35"/>
      <c r="V163" s="26"/>
      <c r="W163" s="26">
        <v>5.0</v>
      </c>
      <c r="X163" s="26" t="s">
        <v>46</v>
      </c>
    </row>
    <row r="164" hidden="1">
      <c r="A164" s="26">
        <v>163.0</v>
      </c>
      <c r="B164" s="188">
        <v>46175.0</v>
      </c>
      <c r="C164" s="26" t="s">
        <v>21</v>
      </c>
      <c r="D164" s="26" t="s">
        <v>22</v>
      </c>
      <c r="E164" s="27" t="s">
        <v>4656</v>
      </c>
      <c r="F164" s="21">
        <v>5.55819475E8</v>
      </c>
      <c r="G164" s="26" t="s">
        <v>5850</v>
      </c>
      <c r="H164" s="27" t="s">
        <v>132</v>
      </c>
      <c r="I164" s="26" t="s">
        <v>27</v>
      </c>
      <c r="J164" s="209" t="s">
        <v>4659</v>
      </c>
      <c r="K164" s="27"/>
      <c r="L164" s="26" t="s">
        <v>62</v>
      </c>
      <c r="M164" s="27" t="s">
        <v>4839</v>
      </c>
      <c r="N164" s="26" t="s">
        <v>4870</v>
      </c>
      <c r="O164" s="26" t="s">
        <v>863</v>
      </c>
      <c r="P164" s="35"/>
      <c r="Q164" s="26" t="s">
        <v>40</v>
      </c>
      <c r="R164" s="26" t="s">
        <v>42</v>
      </c>
      <c r="S164" s="27" t="s">
        <v>3566</v>
      </c>
      <c r="T164" s="27"/>
      <c r="U164" s="35"/>
      <c r="V164" s="26"/>
      <c r="W164" s="26">
        <v>5.0</v>
      </c>
      <c r="X164" s="26" t="s">
        <v>46</v>
      </c>
    </row>
    <row r="165" hidden="1">
      <c r="A165" s="26">
        <v>164.0</v>
      </c>
      <c r="B165" s="188">
        <v>46175.0</v>
      </c>
      <c r="C165" s="26" t="s">
        <v>21</v>
      </c>
      <c r="D165" s="26" t="s">
        <v>34</v>
      </c>
      <c r="E165" s="26" t="s">
        <v>4663</v>
      </c>
      <c r="F165" s="21">
        <v>5.32277444E8</v>
      </c>
      <c r="G165" s="26" t="s">
        <v>27</v>
      </c>
      <c r="H165" s="26" t="s">
        <v>27</v>
      </c>
      <c r="I165" s="26" t="s">
        <v>27</v>
      </c>
      <c r="J165" s="209" t="s">
        <v>4665</v>
      </c>
      <c r="K165" s="27" t="s">
        <v>4417</v>
      </c>
      <c r="L165" s="26" t="s">
        <v>39</v>
      </c>
      <c r="M165" s="27" t="s">
        <v>51</v>
      </c>
      <c r="N165" s="26" t="s">
        <v>4746</v>
      </c>
      <c r="O165" s="26" t="s">
        <v>4746</v>
      </c>
      <c r="P165" s="35">
        <v>0.4861111111111111</v>
      </c>
      <c r="Q165" s="26" t="s">
        <v>56</v>
      </c>
      <c r="R165" s="26" t="s">
        <v>42</v>
      </c>
      <c r="S165" s="27" t="s">
        <v>3566</v>
      </c>
      <c r="T165" s="27" t="s">
        <v>3566</v>
      </c>
      <c r="U165" s="35">
        <v>0.4861111111111111</v>
      </c>
      <c r="V165" s="26" t="s">
        <v>44</v>
      </c>
      <c r="W165" s="26">
        <v>5.0</v>
      </c>
      <c r="X165" s="26"/>
    </row>
    <row r="166" hidden="1">
      <c r="A166" s="26">
        <v>165.0</v>
      </c>
      <c r="B166" s="188">
        <v>46175.0</v>
      </c>
      <c r="C166" s="26" t="s">
        <v>21</v>
      </c>
      <c r="D166" s="26" t="s">
        <v>34</v>
      </c>
      <c r="E166" s="27" t="s">
        <v>937</v>
      </c>
      <c r="F166" s="21">
        <v>5.59022546E8</v>
      </c>
      <c r="G166" s="26" t="s">
        <v>27</v>
      </c>
      <c r="H166" s="26" t="s">
        <v>27</v>
      </c>
      <c r="I166" s="26" t="s">
        <v>27</v>
      </c>
      <c r="J166" s="209" t="s">
        <v>4430</v>
      </c>
      <c r="K166" s="27" t="s">
        <v>4417</v>
      </c>
      <c r="L166" s="26" t="s">
        <v>39</v>
      </c>
      <c r="M166" s="27" t="s">
        <v>51</v>
      </c>
      <c r="N166" s="26" t="s">
        <v>4746</v>
      </c>
      <c r="O166" s="26" t="s">
        <v>4746</v>
      </c>
      <c r="P166" s="35">
        <v>0.4861111111111111</v>
      </c>
      <c r="Q166" s="26" t="s">
        <v>56</v>
      </c>
      <c r="R166" s="26" t="s">
        <v>42</v>
      </c>
      <c r="S166" s="27" t="s">
        <v>3566</v>
      </c>
      <c r="T166" s="27" t="s">
        <v>3566</v>
      </c>
      <c r="U166" s="35">
        <v>0.4861111111111111</v>
      </c>
      <c r="V166" s="26" t="s">
        <v>44</v>
      </c>
      <c r="W166" s="26">
        <v>5.0</v>
      </c>
      <c r="X166" s="26"/>
    </row>
    <row r="167" hidden="1">
      <c r="A167" s="26">
        <v>166.0</v>
      </c>
      <c r="B167" s="188">
        <v>46175.0</v>
      </c>
      <c r="C167" s="26" t="s">
        <v>21</v>
      </c>
      <c r="D167" s="26" t="s">
        <v>34</v>
      </c>
      <c r="E167" s="27" t="s">
        <v>4673</v>
      </c>
      <c r="F167" s="21">
        <v>5.6099629E8</v>
      </c>
      <c r="G167" s="26" t="s">
        <v>27</v>
      </c>
      <c r="H167" s="26" t="s">
        <v>27</v>
      </c>
      <c r="I167" s="26" t="s">
        <v>27</v>
      </c>
      <c r="J167" s="209" t="s">
        <v>4674</v>
      </c>
      <c r="K167" s="27" t="s">
        <v>4417</v>
      </c>
      <c r="L167" s="26" t="s">
        <v>39</v>
      </c>
      <c r="M167" s="27" t="s">
        <v>51</v>
      </c>
      <c r="N167" s="26" t="s">
        <v>4746</v>
      </c>
      <c r="O167" s="26" t="s">
        <v>4746</v>
      </c>
      <c r="P167" s="35">
        <v>0.4861111111111111</v>
      </c>
      <c r="Q167" s="26" t="s">
        <v>56</v>
      </c>
      <c r="R167" s="26" t="s">
        <v>42</v>
      </c>
      <c r="S167" s="27" t="s">
        <v>3566</v>
      </c>
      <c r="T167" s="27" t="s">
        <v>3566</v>
      </c>
      <c r="U167" s="35">
        <v>0.4861111111111111</v>
      </c>
      <c r="V167" s="26" t="s">
        <v>44</v>
      </c>
      <c r="W167" s="26">
        <v>5.0</v>
      </c>
      <c r="X167" s="26"/>
    </row>
    <row r="168" hidden="1">
      <c r="A168" s="26">
        <v>167.0</v>
      </c>
      <c r="B168" s="188">
        <v>46175.0</v>
      </c>
      <c r="C168" s="26" t="s">
        <v>21</v>
      </c>
      <c r="D168" s="26" t="s">
        <v>34</v>
      </c>
      <c r="E168" s="27" t="s">
        <v>4678</v>
      </c>
      <c r="F168" s="21">
        <v>5.64644755E8</v>
      </c>
      <c r="G168" s="26" t="s">
        <v>27</v>
      </c>
      <c r="H168" s="26" t="s">
        <v>27</v>
      </c>
      <c r="I168" s="26" t="s">
        <v>27</v>
      </c>
      <c r="J168" s="209" t="s">
        <v>4680</v>
      </c>
      <c r="K168" s="27" t="s">
        <v>4417</v>
      </c>
      <c r="L168" s="26" t="s">
        <v>39</v>
      </c>
      <c r="M168" s="27" t="s">
        <v>51</v>
      </c>
      <c r="N168" s="26" t="s">
        <v>4746</v>
      </c>
      <c r="O168" s="26" t="s">
        <v>4746</v>
      </c>
      <c r="P168" s="35">
        <v>0.4861111111111111</v>
      </c>
      <c r="Q168" s="26" t="s">
        <v>56</v>
      </c>
      <c r="R168" s="26" t="s">
        <v>42</v>
      </c>
      <c r="S168" s="27" t="s">
        <v>3566</v>
      </c>
      <c r="T168" s="27" t="s">
        <v>3566</v>
      </c>
      <c r="U168" s="35">
        <v>0.4861111111111111</v>
      </c>
      <c r="V168" s="26" t="s">
        <v>44</v>
      </c>
      <c r="W168" s="26">
        <v>5.0</v>
      </c>
      <c r="X168" s="26"/>
    </row>
    <row r="169" hidden="1">
      <c r="A169" s="26">
        <v>168.0</v>
      </c>
      <c r="B169" s="188">
        <v>46175.0</v>
      </c>
      <c r="C169" s="26" t="s">
        <v>21</v>
      </c>
      <c r="D169" s="26" t="s">
        <v>34</v>
      </c>
      <c r="E169" s="27" t="s">
        <v>4685</v>
      </c>
      <c r="F169" s="21">
        <v>5.66860128E8</v>
      </c>
      <c r="G169" s="26" t="s">
        <v>27</v>
      </c>
      <c r="H169" s="26" t="s">
        <v>27</v>
      </c>
      <c r="I169" s="26" t="s">
        <v>27</v>
      </c>
      <c r="J169" s="209" t="s">
        <v>4686</v>
      </c>
      <c r="K169" s="27" t="s">
        <v>4417</v>
      </c>
      <c r="L169" s="26" t="s">
        <v>39</v>
      </c>
      <c r="M169" s="27" t="s">
        <v>51</v>
      </c>
      <c r="N169" s="26" t="s">
        <v>4746</v>
      </c>
      <c r="O169" s="26" t="s">
        <v>4746</v>
      </c>
      <c r="P169" s="35">
        <v>0.4861111111111111</v>
      </c>
      <c r="Q169" s="26" t="s">
        <v>56</v>
      </c>
      <c r="R169" s="26" t="s">
        <v>42</v>
      </c>
      <c r="S169" s="27" t="s">
        <v>3566</v>
      </c>
      <c r="T169" s="27" t="s">
        <v>3566</v>
      </c>
      <c r="U169" s="35">
        <v>0.4861111111111111</v>
      </c>
      <c r="V169" s="26" t="s">
        <v>44</v>
      </c>
      <c r="W169" s="26">
        <v>5.0</v>
      </c>
      <c r="X169" s="26"/>
    </row>
    <row r="170" hidden="1">
      <c r="A170" s="26">
        <v>169.0</v>
      </c>
      <c r="B170" s="188">
        <v>46175.0</v>
      </c>
      <c r="C170" s="26" t="s">
        <v>21</v>
      </c>
      <c r="D170" s="26" t="s">
        <v>34</v>
      </c>
      <c r="E170" s="27" t="s">
        <v>4689</v>
      </c>
      <c r="F170" s="21">
        <v>5.63169462E8</v>
      </c>
      <c r="G170" s="26" t="s">
        <v>27</v>
      </c>
      <c r="H170" s="26" t="s">
        <v>27</v>
      </c>
      <c r="I170" s="26" t="s">
        <v>27</v>
      </c>
      <c r="J170" s="209" t="s">
        <v>4692</v>
      </c>
      <c r="K170" s="27" t="s">
        <v>4417</v>
      </c>
      <c r="L170" s="26" t="s">
        <v>39</v>
      </c>
      <c r="M170" s="27" t="s">
        <v>51</v>
      </c>
      <c r="N170" s="26" t="s">
        <v>4746</v>
      </c>
      <c r="O170" s="26" t="s">
        <v>4746</v>
      </c>
      <c r="P170" s="35">
        <v>0.4861111111111111</v>
      </c>
      <c r="Q170" s="26" t="s">
        <v>56</v>
      </c>
      <c r="R170" s="26" t="s">
        <v>42</v>
      </c>
      <c r="S170" s="27" t="s">
        <v>3566</v>
      </c>
      <c r="T170" s="27" t="s">
        <v>3566</v>
      </c>
      <c r="U170" s="35">
        <v>0.4861111111111111</v>
      </c>
      <c r="V170" s="26" t="s">
        <v>44</v>
      </c>
      <c r="W170" s="26">
        <v>5.0</v>
      </c>
      <c r="X170" s="26"/>
    </row>
    <row r="171" hidden="1">
      <c r="A171" s="26">
        <v>170.0</v>
      </c>
      <c r="B171" s="188">
        <v>46175.0</v>
      </c>
      <c r="C171" s="26" t="s">
        <v>21</v>
      </c>
      <c r="D171" s="26" t="s">
        <v>34</v>
      </c>
      <c r="E171" s="26" t="s">
        <v>4695</v>
      </c>
      <c r="F171" s="21">
        <v>5.72165318E8</v>
      </c>
      <c r="G171" s="26" t="s">
        <v>27</v>
      </c>
      <c r="H171" s="26" t="s">
        <v>27</v>
      </c>
      <c r="I171" s="26" t="s">
        <v>27</v>
      </c>
      <c r="J171" s="351" t="s">
        <v>4696</v>
      </c>
      <c r="K171" s="27" t="s">
        <v>4417</v>
      </c>
      <c r="L171" s="26" t="s">
        <v>39</v>
      </c>
      <c r="M171" s="27" t="s">
        <v>51</v>
      </c>
      <c r="N171" s="26" t="s">
        <v>4746</v>
      </c>
      <c r="O171" s="26" t="s">
        <v>4746</v>
      </c>
      <c r="P171" s="35">
        <v>0.4861111111111111</v>
      </c>
      <c r="Q171" s="26" t="s">
        <v>56</v>
      </c>
      <c r="R171" s="26" t="s">
        <v>42</v>
      </c>
      <c r="S171" s="27" t="s">
        <v>3566</v>
      </c>
      <c r="T171" s="27" t="s">
        <v>3566</v>
      </c>
      <c r="U171" s="35">
        <v>0.4861111111111111</v>
      </c>
      <c r="V171" s="26" t="s">
        <v>44</v>
      </c>
      <c r="W171" s="26">
        <v>5.0</v>
      </c>
      <c r="X171" s="26"/>
    </row>
    <row r="172" hidden="1">
      <c r="A172" s="26">
        <v>171.0</v>
      </c>
      <c r="B172" s="188">
        <v>46175.0</v>
      </c>
      <c r="C172" s="26" t="s">
        <v>21</v>
      </c>
      <c r="D172" s="26" t="s">
        <v>34</v>
      </c>
      <c r="E172" s="27" t="s">
        <v>4702</v>
      </c>
      <c r="F172" s="21">
        <v>5.94475542E8</v>
      </c>
      <c r="G172" s="26" t="s">
        <v>27</v>
      </c>
      <c r="H172" s="26" t="s">
        <v>27</v>
      </c>
      <c r="I172" s="26" t="s">
        <v>27</v>
      </c>
      <c r="J172" s="209" t="s">
        <v>4704</v>
      </c>
      <c r="K172" s="27" t="s">
        <v>4417</v>
      </c>
      <c r="L172" s="26" t="s">
        <v>39</v>
      </c>
      <c r="M172" s="27" t="s">
        <v>51</v>
      </c>
      <c r="N172" s="26" t="s">
        <v>4746</v>
      </c>
      <c r="O172" s="26" t="s">
        <v>4746</v>
      </c>
      <c r="P172" s="35">
        <v>0.4861111111111111</v>
      </c>
      <c r="Q172" s="26" t="s">
        <v>56</v>
      </c>
      <c r="R172" s="26" t="s">
        <v>42</v>
      </c>
      <c r="S172" s="27" t="s">
        <v>3566</v>
      </c>
      <c r="T172" s="27" t="s">
        <v>3566</v>
      </c>
      <c r="U172" s="35">
        <v>0.4861111111111111</v>
      </c>
      <c r="V172" s="26" t="s">
        <v>44</v>
      </c>
      <c r="W172" s="26">
        <v>5.0</v>
      </c>
      <c r="X172" s="26"/>
    </row>
    <row r="173" hidden="1">
      <c r="A173" s="26">
        <v>172.0</v>
      </c>
      <c r="B173" s="188">
        <v>46175.0</v>
      </c>
      <c r="C173" s="26" t="s">
        <v>21</v>
      </c>
      <c r="D173" s="26" t="s">
        <v>34</v>
      </c>
      <c r="E173" s="27" t="s">
        <v>4707</v>
      </c>
      <c r="F173" s="21">
        <v>5.08984984E8</v>
      </c>
      <c r="G173" s="26" t="s">
        <v>27</v>
      </c>
      <c r="H173" s="26" t="s">
        <v>27</v>
      </c>
      <c r="I173" s="26" t="s">
        <v>27</v>
      </c>
      <c r="J173" s="209" t="s">
        <v>4711</v>
      </c>
      <c r="K173" s="27" t="s">
        <v>4417</v>
      </c>
      <c r="L173" s="26" t="s">
        <v>39</v>
      </c>
      <c r="M173" s="27" t="s">
        <v>51</v>
      </c>
      <c r="N173" s="26" t="s">
        <v>4746</v>
      </c>
      <c r="O173" s="26" t="s">
        <v>4746</v>
      </c>
      <c r="P173" s="35">
        <v>0.4861111111111111</v>
      </c>
      <c r="Q173" s="26" t="s">
        <v>56</v>
      </c>
      <c r="R173" s="26" t="s">
        <v>42</v>
      </c>
      <c r="S173" s="27" t="s">
        <v>3566</v>
      </c>
      <c r="T173" s="27" t="s">
        <v>3566</v>
      </c>
      <c r="U173" s="35">
        <v>0.4861111111111111</v>
      </c>
      <c r="V173" s="26" t="s">
        <v>44</v>
      </c>
      <c r="W173" s="26">
        <v>5.0</v>
      </c>
      <c r="X173" s="26"/>
    </row>
    <row r="174" hidden="1">
      <c r="A174" s="26">
        <v>173.0</v>
      </c>
      <c r="B174" s="188">
        <v>46175.0</v>
      </c>
      <c r="C174" s="26" t="s">
        <v>21</v>
      </c>
      <c r="D174" s="26" t="s">
        <v>34</v>
      </c>
      <c r="E174" s="27" t="s">
        <v>4712</v>
      </c>
      <c r="F174" s="21">
        <v>5.586319E8</v>
      </c>
      <c r="G174" s="26" t="s">
        <v>27</v>
      </c>
      <c r="H174" s="26" t="s">
        <v>27</v>
      </c>
      <c r="I174" s="26" t="s">
        <v>27</v>
      </c>
      <c r="J174" s="209" t="s">
        <v>4714</v>
      </c>
      <c r="K174" s="27" t="s">
        <v>4417</v>
      </c>
      <c r="L174" s="26" t="s">
        <v>39</v>
      </c>
      <c r="M174" s="27" t="s">
        <v>51</v>
      </c>
      <c r="N174" s="26" t="s">
        <v>4746</v>
      </c>
      <c r="O174" s="26" t="s">
        <v>4746</v>
      </c>
      <c r="P174" s="35">
        <v>0.4861111111111111</v>
      </c>
      <c r="Q174" s="26" t="s">
        <v>56</v>
      </c>
      <c r="R174" s="26" t="s">
        <v>42</v>
      </c>
      <c r="S174" s="27" t="s">
        <v>3566</v>
      </c>
      <c r="T174" s="27" t="s">
        <v>3566</v>
      </c>
      <c r="U174" s="35">
        <v>0.4861111111111111</v>
      </c>
      <c r="V174" s="26" t="s">
        <v>44</v>
      </c>
      <c r="W174" s="26">
        <v>5.0</v>
      </c>
      <c r="X174" s="26"/>
    </row>
    <row r="175" hidden="1">
      <c r="A175" s="26">
        <v>174.0</v>
      </c>
      <c r="B175" s="188">
        <v>46175.0</v>
      </c>
      <c r="C175" s="26" t="s">
        <v>47</v>
      </c>
      <c r="D175" s="26" t="s">
        <v>48</v>
      </c>
      <c r="E175" s="27" t="s">
        <v>4719</v>
      </c>
      <c r="F175" s="21">
        <v>5.30562719E8</v>
      </c>
      <c r="G175" s="26" t="s">
        <v>5023</v>
      </c>
      <c r="H175" s="27" t="s">
        <v>2715</v>
      </c>
      <c r="I175" s="26" t="s">
        <v>2716</v>
      </c>
      <c r="J175" s="209" t="s">
        <v>5918</v>
      </c>
      <c r="K175" s="27" t="s">
        <v>4722</v>
      </c>
      <c r="L175" s="26" t="s">
        <v>148</v>
      </c>
      <c r="M175" s="27" t="s">
        <v>5011</v>
      </c>
      <c r="N175" s="26" t="s">
        <v>4977</v>
      </c>
      <c r="O175" s="26" t="s">
        <v>4746</v>
      </c>
      <c r="P175" s="35">
        <v>0.4097222222222222</v>
      </c>
      <c r="Q175" s="26" t="s">
        <v>56</v>
      </c>
      <c r="R175" s="26" t="s">
        <v>518</v>
      </c>
      <c r="S175" s="27" t="s">
        <v>3765</v>
      </c>
      <c r="T175" s="27" t="s">
        <v>3566</v>
      </c>
      <c r="U175" s="35">
        <v>0.4097222222222222</v>
      </c>
      <c r="V175" s="26" t="s">
        <v>44</v>
      </c>
      <c r="W175" s="26">
        <v>5.0</v>
      </c>
      <c r="X175" s="26" t="s">
        <v>46</v>
      </c>
    </row>
    <row r="176" hidden="1">
      <c r="A176" s="26">
        <v>175.0</v>
      </c>
      <c r="B176" s="188">
        <v>46175.0</v>
      </c>
      <c r="C176" s="26" t="s">
        <v>47</v>
      </c>
      <c r="D176" s="26" t="s">
        <v>92</v>
      </c>
      <c r="E176" s="36" t="s">
        <v>27</v>
      </c>
      <c r="F176" s="21" t="s">
        <v>27</v>
      </c>
      <c r="G176" s="26" t="s">
        <v>5023</v>
      </c>
      <c r="H176" s="27" t="s">
        <v>76</v>
      </c>
      <c r="I176" s="26" t="s">
        <v>4163</v>
      </c>
      <c r="J176" s="209" t="s">
        <v>4725</v>
      </c>
      <c r="K176" s="27"/>
      <c r="L176" s="26" t="s">
        <v>148</v>
      </c>
      <c r="M176" s="27" t="s">
        <v>5923</v>
      </c>
      <c r="N176" s="26" t="s">
        <v>4637</v>
      </c>
      <c r="O176" s="26" t="s">
        <v>4746</v>
      </c>
      <c r="P176" s="35">
        <v>0.7240740740740741</v>
      </c>
      <c r="Q176" s="26" t="s">
        <v>40</v>
      </c>
      <c r="R176" s="26" t="s">
        <v>42</v>
      </c>
      <c r="S176" s="27" t="s">
        <v>3566</v>
      </c>
      <c r="T176" s="27"/>
      <c r="U176" s="35"/>
      <c r="V176" s="26"/>
      <c r="W176" s="26">
        <v>5.0</v>
      </c>
      <c r="X176" s="26" t="s">
        <v>46</v>
      </c>
    </row>
    <row r="177" hidden="1">
      <c r="A177" s="26">
        <v>176.0</v>
      </c>
      <c r="B177" s="188">
        <v>46175.0</v>
      </c>
      <c r="C177" s="26" t="s">
        <v>47</v>
      </c>
      <c r="D177" s="26" t="s">
        <v>92</v>
      </c>
      <c r="E177" s="27" t="s">
        <v>4732</v>
      </c>
      <c r="F177" s="21" t="s">
        <v>27</v>
      </c>
      <c r="G177" s="26" t="s">
        <v>5023</v>
      </c>
      <c r="H177" s="27" t="s">
        <v>76</v>
      </c>
      <c r="I177" s="26" t="s">
        <v>735</v>
      </c>
      <c r="J177" s="209" t="s">
        <v>4734</v>
      </c>
      <c r="K177" s="27"/>
      <c r="L177" s="26" t="s">
        <v>148</v>
      </c>
      <c r="M177" s="27" t="s">
        <v>150</v>
      </c>
      <c r="N177" s="26" t="s">
        <v>4637</v>
      </c>
      <c r="O177" s="26" t="s">
        <v>4746</v>
      </c>
      <c r="P177" s="35">
        <v>0.6338773148148148</v>
      </c>
      <c r="Q177" s="26" t="s">
        <v>40</v>
      </c>
      <c r="R177" s="26" t="s">
        <v>42</v>
      </c>
      <c r="S177" s="27" t="s">
        <v>3566</v>
      </c>
      <c r="T177" s="27"/>
      <c r="U177" s="35"/>
      <c r="V177" s="26"/>
      <c r="W177" s="26">
        <v>5.0</v>
      </c>
      <c r="X177" s="26" t="s">
        <v>46</v>
      </c>
    </row>
    <row r="178" hidden="1">
      <c r="A178" s="26">
        <v>177.0</v>
      </c>
      <c r="B178" s="188">
        <v>46175.0</v>
      </c>
      <c r="C178" s="26" t="s">
        <v>47</v>
      </c>
      <c r="D178" s="26" t="s">
        <v>138</v>
      </c>
      <c r="E178" s="27" t="s">
        <v>4738</v>
      </c>
      <c r="F178" s="21">
        <v>5.66322272E8</v>
      </c>
      <c r="G178" s="26" t="s">
        <v>5151</v>
      </c>
      <c r="H178" s="27" t="s">
        <v>28</v>
      </c>
      <c r="I178" s="26" t="s">
        <v>830</v>
      </c>
      <c r="J178" s="209" t="s">
        <v>4741</v>
      </c>
      <c r="K178" s="27" t="s">
        <v>4743</v>
      </c>
      <c r="L178" s="26" t="s">
        <v>148</v>
      </c>
      <c r="M178" s="27" t="s">
        <v>795</v>
      </c>
      <c r="N178" s="26" t="s">
        <v>4917</v>
      </c>
      <c r="O178" s="26" t="s">
        <v>4746</v>
      </c>
      <c r="P178" s="35">
        <v>0.6527777777777778</v>
      </c>
      <c r="Q178" s="26" t="s">
        <v>40</v>
      </c>
      <c r="R178" s="26" t="s">
        <v>518</v>
      </c>
      <c r="S178" s="27" t="s">
        <v>3566</v>
      </c>
      <c r="T178" s="27"/>
      <c r="U178" s="35"/>
      <c r="V178" s="26"/>
      <c r="W178" s="26">
        <v>5.0</v>
      </c>
      <c r="X178" s="26" t="s">
        <v>46</v>
      </c>
    </row>
    <row r="179" hidden="1">
      <c r="A179" s="26">
        <v>178.0</v>
      </c>
      <c r="B179" s="188">
        <v>46175.0</v>
      </c>
      <c r="C179" s="26" t="s">
        <v>47</v>
      </c>
      <c r="D179" s="26" t="s">
        <v>138</v>
      </c>
      <c r="E179" s="26" t="s">
        <v>3182</v>
      </c>
      <c r="F179" s="21">
        <v>5.02192535E8</v>
      </c>
      <c r="G179" s="26" t="s">
        <v>5151</v>
      </c>
      <c r="H179" s="27" t="s">
        <v>28</v>
      </c>
      <c r="I179" s="26" t="s">
        <v>830</v>
      </c>
      <c r="J179" s="209" t="s">
        <v>4749</v>
      </c>
      <c r="K179" s="27"/>
      <c r="L179" s="26" t="s">
        <v>148</v>
      </c>
      <c r="M179" s="27" t="s">
        <v>150</v>
      </c>
      <c r="N179" s="26" t="s">
        <v>4917</v>
      </c>
      <c r="O179" s="26" t="s">
        <v>4746</v>
      </c>
      <c r="P179" s="35">
        <v>0.6527777777777778</v>
      </c>
      <c r="Q179" s="26" t="s">
        <v>40</v>
      </c>
      <c r="R179" s="26" t="s">
        <v>518</v>
      </c>
      <c r="S179" s="27" t="s">
        <v>3566</v>
      </c>
      <c r="T179" s="27"/>
      <c r="U179" s="35"/>
      <c r="V179" s="26"/>
      <c r="W179" s="26">
        <v>5.0</v>
      </c>
      <c r="X179" s="26" t="s">
        <v>46</v>
      </c>
    </row>
    <row r="180" hidden="1">
      <c r="A180" s="26">
        <v>179.0</v>
      </c>
      <c r="B180" s="188">
        <v>46175.0</v>
      </c>
      <c r="C180" s="26" t="s">
        <v>47</v>
      </c>
      <c r="D180" s="26" t="s">
        <v>48</v>
      </c>
      <c r="E180" s="26" t="s">
        <v>4753</v>
      </c>
      <c r="F180" s="21">
        <v>5.38021706E8</v>
      </c>
      <c r="G180" s="26" t="s">
        <v>4975</v>
      </c>
      <c r="H180" s="27" t="s">
        <v>362</v>
      </c>
      <c r="I180" s="26" t="s">
        <v>1029</v>
      </c>
      <c r="J180" s="209" t="s">
        <v>5949</v>
      </c>
      <c r="K180" s="27" t="s">
        <v>4756</v>
      </c>
      <c r="L180" s="26" t="s">
        <v>148</v>
      </c>
      <c r="M180" s="27" t="s">
        <v>5011</v>
      </c>
      <c r="N180" s="26" t="s">
        <v>4977</v>
      </c>
      <c r="O180" s="26" t="s">
        <v>4746</v>
      </c>
      <c r="P180" s="35">
        <v>0.4152777777777778</v>
      </c>
      <c r="Q180" s="26" t="s">
        <v>56</v>
      </c>
      <c r="R180" s="26" t="s">
        <v>518</v>
      </c>
      <c r="S180" s="27" t="s">
        <v>3765</v>
      </c>
      <c r="T180" s="27" t="s">
        <v>3566</v>
      </c>
      <c r="U180" s="35">
        <v>0.4152777777777778</v>
      </c>
      <c r="V180" s="26" t="s">
        <v>44</v>
      </c>
      <c r="W180" s="26">
        <v>5.0</v>
      </c>
      <c r="X180" s="26" t="s">
        <v>46</v>
      </c>
    </row>
    <row r="181" hidden="1">
      <c r="A181" s="26">
        <v>180.0</v>
      </c>
      <c r="B181" s="188">
        <v>46175.0</v>
      </c>
      <c r="C181" s="26" t="s">
        <v>47</v>
      </c>
      <c r="D181" s="26" t="s">
        <v>367</v>
      </c>
      <c r="E181" s="27" t="s">
        <v>463</v>
      </c>
      <c r="F181" s="21">
        <v>7.269162626E9</v>
      </c>
      <c r="G181" s="26" t="s">
        <v>4852</v>
      </c>
      <c r="H181" s="27" t="s">
        <v>874</v>
      </c>
      <c r="I181" s="26" t="s">
        <v>876</v>
      </c>
      <c r="J181" s="209" t="s">
        <v>4759</v>
      </c>
      <c r="K181" s="27" t="s">
        <v>4760</v>
      </c>
      <c r="L181" s="26" t="s">
        <v>148</v>
      </c>
      <c r="M181" s="27" t="s">
        <v>602</v>
      </c>
      <c r="N181" s="26" t="s">
        <v>4917</v>
      </c>
      <c r="O181" s="26" t="s">
        <v>4746</v>
      </c>
      <c r="P181" s="35"/>
      <c r="Q181" s="26" t="s">
        <v>56</v>
      </c>
      <c r="R181" s="26" t="s">
        <v>518</v>
      </c>
      <c r="S181" s="27" t="s">
        <v>3566</v>
      </c>
      <c r="T181" s="27"/>
      <c r="U181" s="35"/>
      <c r="V181" s="26"/>
      <c r="W181" s="26">
        <v>5.0</v>
      </c>
      <c r="X181" s="26" t="s">
        <v>46</v>
      </c>
    </row>
    <row r="182" hidden="1">
      <c r="A182" s="26">
        <v>181.0</v>
      </c>
      <c r="B182" s="188">
        <v>46175.0</v>
      </c>
      <c r="C182" s="26" t="s">
        <v>47</v>
      </c>
      <c r="D182" s="26" t="s">
        <v>138</v>
      </c>
      <c r="E182" s="27" t="s">
        <v>3170</v>
      </c>
      <c r="F182" s="21">
        <v>5.37234712E8</v>
      </c>
      <c r="G182" s="26" t="s">
        <v>4740</v>
      </c>
      <c r="H182" s="27" t="s">
        <v>79</v>
      </c>
      <c r="I182" s="26" t="s">
        <v>239</v>
      </c>
      <c r="J182" s="209" t="s">
        <v>4767</v>
      </c>
      <c r="K182" s="27" t="s">
        <v>4768</v>
      </c>
      <c r="L182" s="26" t="s">
        <v>148</v>
      </c>
      <c r="M182" s="27" t="s">
        <v>150</v>
      </c>
      <c r="N182" s="26" t="s">
        <v>4917</v>
      </c>
      <c r="O182" s="26" t="s">
        <v>4746</v>
      </c>
      <c r="P182" s="35">
        <v>0.6527777777777778</v>
      </c>
      <c r="Q182" s="26" t="s">
        <v>56</v>
      </c>
      <c r="R182" s="26" t="s">
        <v>518</v>
      </c>
      <c r="S182" s="27" t="s">
        <v>3566</v>
      </c>
      <c r="T182" s="27"/>
      <c r="U182" s="35"/>
      <c r="V182" s="26"/>
      <c r="W182" s="26">
        <v>5.0</v>
      </c>
      <c r="X182" s="26" t="s">
        <v>46</v>
      </c>
    </row>
    <row r="183" hidden="1">
      <c r="A183" s="26">
        <v>182.0</v>
      </c>
      <c r="B183" s="188">
        <v>46175.0</v>
      </c>
      <c r="C183" s="26" t="s">
        <v>47</v>
      </c>
      <c r="D183" s="26" t="s">
        <v>138</v>
      </c>
      <c r="E183" s="27" t="s">
        <v>4771</v>
      </c>
      <c r="F183" s="21">
        <v>5.54538077E8</v>
      </c>
      <c r="G183" s="26" t="s">
        <v>4740</v>
      </c>
      <c r="H183" s="27" t="s">
        <v>79</v>
      </c>
      <c r="I183" s="26" t="s">
        <v>239</v>
      </c>
      <c r="J183" s="209" t="s">
        <v>4773</v>
      </c>
      <c r="K183" s="27" t="s">
        <v>4774</v>
      </c>
      <c r="L183" s="26" t="s">
        <v>148</v>
      </c>
      <c r="M183" s="27" t="s">
        <v>150</v>
      </c>
      <c r="N183" s="26" t="s">
        <v>4917</v>
      </c>
      <c r="O183" s="26" t="s">
        <v>4746</v>
      </c>
      <c r="P183" s="35">
        <v>0.6527777777777778</v>
      </c>
      <c r="Q183" s="26" t="s">
        <v>56</v>
      </c>
      <c r="R183" s="26" t="s">
        <v>518</v>
      </c>
      <c r="S183" s="27" t="s">
        <v>3566</v>
      </c>
      <c r="T183" s="27"/>
      <c r="U183" s="35"/>
      <c r="V183" s="26"/>
      <c r="W183" s="26">
        <v>5.0</v>
      </c>
      <c r="X183" s="26" t="s">
        <v>46</v>
      </c>
    </row>
    <row r="184" hidden="1">
      <c r="A184" s="26">
        <v>183.0</v>
      </c>
      <c r="B184" s="188">
        <v>46175.0</v>
      </c>
      <c r="C184" s="26" t="s">
        <v>47</v>
      </c>
      <c r="D184" s="26" t="s">
        <v>138</v>
      </c>
      <c r="E184" s="36" t="s">
        <v>4780</v>
      </c>
      <c r="F184" s="21">
        <v>5.00640249E8</v>
      </c>
      <c r="G184" s="26" t="s">
        <v>4740</v>
      </c>
      <c r="H184" s="27" t="s">
        <v>79</v>
      </c>
      <c r="I184" s="26" t="s">
        <v>142</v>
      </c>
      <c r="J184" s="209" t="s">
        <v>4781</v>
      </c>
      <c r="K184" s="27" t="s">
        <v>4782</v>
      </c>
      <c r="L184" s="26" t="s">
        <v>148</v>
      </c>
      <c r="M184" s="308" t="s">
        <v>183</v>
      </c>
      <c r="N184" s="26" t="s">
        <v>4917</v>
      </c>
      <c r="O184" s="26" t="s">
        <v>4746</v>
      </c>
      <c r="P184" s="35">
        <v>0.6527777777777778</v>
      </c>
      <c r="Q184" s="26" t="s">
        <v>40</v>
      </c>
      <c r="R184" s="26" t="s">
        <v>518</v>
      </c>
      <c r="S184" s="27" t="s">
        <v>3566</v>
      </c>
      <c r="T184" s="27"/>
      <c r="U184" s="35"/>
      <c r="V184" s="26"/>
      <c r="W184" s="26">
        <v>5.0</v>
      </c>
      <c r="X184" s="26" t="s">
        <v>46</v>
      </c>
    </row>
    <row r="185" hidden="1">
      <c r="A185" s="26">
        <v>184.0</v>
      </c>
      <c r="B185" s="188">
        <v>46175.0</v>
      </c>
      <c r="C185" s="26" t="s">
        <v>47</v>
      </c>
      <c r="D185" s="26" t="s">
        <v>138</v>
      </c>
      <c r="E185" s="26" t="s">
        <v>4788</v>
      </c>
      <c r="F185" s="21">
        <v>5.03040119E8</v>
      </c>
      <c r="G185" s="26" t="s">
        <v>4740</v>
      </c>
      <c r="H185" s="27" t="s">
        <v>79</v>
      </c>
      <c r="I185" s="26" t="s">
        <v>638</v>
      </c>
      <c r="J185" s="209" t="s">
        <v>4790</v>
      </c>
      <c r="K185" s="27" t="s">
        <v>4792</v>
      </c>
      <c r="L185" s="26" t="s">
        <v>148</v>
      </c>
      <c r="M185" s="308" t="s">
        <v>183</v>
      </c>
      <c r="N185" s="26" t="s">
        <v>4917</v>
      </c>
      <c r="O185" s="26" t="s">
        <v>4746</v>
      </c>
      <c r="P185" s="35">
        <v>0.6527777777777778</v>
      </c>
      <c r="Q185" s="26" t="s">
        <v>56</v>
      </c>
      <c r="R185" s="26" t="s">
        <v>518</v>
      </c>
      <c r="S185" s="27" t="s">
        <v>3566</v>
      </c>
      <c r="T185" s="27"/>
      <c r="U185" s="35"/>
      <c r="V185" s="26"/>
      <c r="W185" s="26">
        <v>5.0</v>
      </c>
      <c r="X185" s="26" t="s">
        <v>46</v>
      </c>
    </row>
    <row r="186" hidden="1">
      <c r="A186" s="26">
        <v>185.0</v>
      </c>
      <c r="B186" s="188">
        <v>46175.0</v>
      </c>
      <c r="C186" s="26" t="s">
        <v>47</v>
      </c>
      <c r="D186" s="26" t="s">
        <v>138</v>
      </c>
      <c r="E186" s="26" t="s">
        <v>4798</v>
      </c>
      <c r="F186" s="21">
        <v>5.41994517E8</v>
      </c>
      <c r="G186" s="26" t="s">
        <v>4740</v>
      </c>
      <c r="H186" s="27" t="s">
        <v>79</v>
      </c>
      <c r="I186" s="26" t="s">
        <v>239</v>
      </c>
      <c r="J186" s="209" t="s">
        <v>4800</v>
      </c>
      <c r="K186" s="365" t="s">
        <v>4801</v>
      </c>
      <c r="L186" s="26" t="s">
        <v>148</v>
      </c>
      <c r="M186" s="27" t="s">
        <v>150</v>
      </c>
      <c r="N186" s="26" t="s">
        <v>4917</v>
      </c>
      <c r="O186" s="26" t="s">
        <v>4746</v>
      </c>
      <c r="P186" s="35">
        <v>0.6527777777777778</v>
      </c>
      <c r="Q186" s="26" t="s">
        <v>56</v>
      </c>
      <c r="R186" s="26" t="s">
        <v>518</v>
      </c>
      <c r="S186" s="27" t="s">
        <v>3566</v>
      </c>
      <c r="T186" s="27"/>
      <c r="U186" s="35"/>
      <c r="V186" s="26"/>
      <c r="W186" s="26">
        <v>5.0</v>
      </c>
      <c r="X186" s="26" t="s">
        <v>46</v>
      </c>
    </row>
    <row r="187" hidden="1">
      <c r="A187" s="26">
        <v>186.0</v>
      </c>
      <c r="B187" s="188">
        <v>46175.0</v>
      </c>
      <c r="C187" s="26" t="s">
        <v>47</v>
      </c>
      <c r="D187" s="26" t="s">
        <v>367</v>
      </c>
      <c r="E187" s="26" t="s">
        <v>4807</v>
      </c>
      <c r="F187" s="21">
        <v>5.03423795E8</v>
      </c>
      <c r="G187" s="26" t="s">
        <v>4740</v>
      </c>
      <c r="H187" s="27" t="s">
        <v>79</v>
      </c>
      <c r="I187" s="26" t="s">
        <v>80</v>
      </c>
      <c r="J187" s="209" t="s">
        <v>4811</v>
      </c>
      <c r="K187" s="27" t="s">
        <v>4812</v>
      </c>
      <c r="L187" s="26" t="s">
        <v>148</v>
      </c>
      <c r="M187" s="20" t="s">
        <v>4813</v>
      </c>
      <c r="N187" s="26" t="s">
        <v>4917</v>
      </c>
      <c r="O187" s="26" t="s">
        <v>4746</v>
      </c>
      <c r="P187" s="35">
        <v>0.6527777777777778</v>
      </c>
      <c r="Q187" s="26" t="s">
        <v>56</v>
      </c>
      <c r="R187" s="26" t="s">
        <v>518</v>
      </c>
      <c r="S187" s="27" t="s">
        <v>3566</v>
      </c>
      <c r="T187" s="27"/>
      <c r="U187" s="35"/>
      <c r="V187" s="26"/>
      <c r="W187" s="26">
        <v>5.0</v>
      </c>
      <c r="X187" s="26" t="s">
        <v>46</v>
      </c>
    </row>
    <row r="188" ht="29.25" hidden="1" customHeight="1">
      <c r="A188" s="26">
        <v>187.0</v>
      </c>
      <c r="B188" s="188">
        <v>46175.0</v>
      </c>
      <c r="C188" s="26" t="s">
        <v>21</v>
      </c>
      <c r="D188" s="26" t="s">
        <v>22</v>
      </c>
      <c r="E188" s="27" t="s">
        <v>4814</v>
      </c>
      <c r="F188" s="21">
        <v>5.36644446E8</v>
      </c>
      <c r="G188" s="26" t="s">
        <v>4852</v>
      </c>
      <c r="H188" s="27" t="s">
        <v>318</v>
      </c>
      <c r="I188" s="26" t="s">
        <v>27</v>
      </c>
      <c r="J188" s="209" t="s">
        <v>4818</v>
      </c>
      <c r="K188" s="27"/>
      <c r="L188" s="26" t="s">
        <v>39</v>
      </c>
      <c r="M188" s="27" t="s">
        <v>4868</v>
      </c>
      <c r="N188" s="26" t="s">
        <v>4870</v>
      </c>
      <c r="O188" s="26" t="s">
        <v>4746</v>
      </c>
      <c r="P188" s="114">
        <v>0.4791666666666667</v>
      </c>
      <c r="Q188" s="26" t="s">
        <v>40</v>
      </c>
      <c r="R188" s="26" t="s">
        <v>42</v>
      </c>
      <c r="S188" s="27" t="s">
        <v>3566</v>
      </c>
      <c r="T188" s="27"/>
      <c r="U188" s="35"/>
      <c r="V188" s="26"/>
      <c r="W188" s="26">
        <v>5.0</v>
      </c>
      <c r="X188" s="26" t="s">
        <v>46</v>
      </c>
    </row>
    <row r="189" hidden="1">
      <c r="A189" s="26">
        <v>188.0</v>
      </c>
      <c r="B189" s="188">
        <v>46175.0</v>
      </c>
      <c r="C189" s="26" t="s">
        <v>21</v>
      </c>
      <c r="D189" s="26" t="s">
        <v>24</v>
      </c>
      <c r="E189" s="27" t="s">
        <v>4472</v>
      </c>
      <c r="F189" s="21">
        <v>5.32779306E8</v>
      </c>
      <c r="G189" s="26" t="s">
        <v>4852</v>
      </c>
      <c r="H189" s="27" t="s">
        <v>2083</v>
      </c>
      <c r="I189" s="26" t="s">
        <v>27</v>
      </c>
      <c r="J189" s="209" t="s">
        <v>4821</v>
      </c>
      <c r="K189" s="27"/>
      <c r="L189" s="26" t="s">
        <v>62</v>
      </c>
      <c r="M189" s="27" t="s">
        <v>5046</v>
      </c>
      <c r="N189" s="26" t="s">
        <v>4803</v>
      </c>
      <c r="O189" s="26" t="s">
        <v>863</v>
      </c>
      <c r="P189" s="35"/>
      <c r="Q189" s="26" t="s">
        <v>56</v>
      </c>
      <c r="R189" s="26" t="s">
        <v>301</v>
      </c>
      <c r="S189" s="27" t="s">
        <v>3566</v>
      </c>
      <c r="T189" s="27"/>
      <c r="U189" s="35"/>
      <c r="V189" s="26"/>
      <c r="W189" s="26">
        <v>5.0</v>
      </c>
      <c r="X189" s="26" t="s">
        <v>46</v>
      </c>
    </row>
    <row r="190" hidden="1">
      <c r="A190" s="26">
        <v>190.0</v>
      </c>
      <c r="B190" s="188">
        <v>46175.0</v>
      </c>
      <c r="C190" s="26" t="s">
        <v>47</v>
      </c>
      <c r="D190" s="26" t="s">
        <v>92</v>
      </c>
      <c r="E190" s="27" t="s">
        <v>4828</v>
      </c>
      <c r="F190" s="36">
        <v>5.52126168E8</v>
      </c>
      <c r="G190" s="26" t="s">
        <v>4740</v>
      </c>
      <c r="H190" s="27" t="s">
        <v>41</v>
      </c>
      <c r="I190" s="26" t="s">
        <v>4831</v>
      </c>
      <c r="J190" s="27" t="s">
        <v>6025</v>
      </c>
      <c r="K190" s="26"/>
      <c r="L190" s="26" t="s">
        <v>457</v>
      </c>
      <c r="M190" s="27" t="s">
        <v>323</v>
      </c>
      <c r="N190" s="26" t="s">
        <v>4637</v>
      </c>
      <c r="O190" s="26" t="s">
        <v>49</v>
      </c>
      <c r="P190" s="35">
        <v>0.7006944444444444</v>
      </c>
      <c r="Q190" s="26" t="s">
        <v>40</v>
      </c>
      <c r="R190" s="26" t="s">
        <v>518</v>
      </c>
      <c r="S190" s="27" t="s">
        <v>3566</v>
      </c>
      <c r="T190" s="27" t="s">
        <v>2632</v>
      </c>
      <c r="U190" s="35">
        <v>0.38819444444444445</v>
      </c>
      <c r="V190" s="26" t="s">
        <v>49</v>
      </c>
      <c r="W190" s="26">
        <v>5.0</v>
      </c>
      <c r="X190" s="26" t="s">
        <v>46</v>
      </c>
    </row>
    <row r="191" hidden="1">
      <c r="A191" s="26">
        <v>191.0</v>
      </c>
      <c r="B191" s="188">
        <v>46175.0</v>
      </c>
      <c r="C191" s="26" t="s">
        <v>21</v>
      </c>
      <c r="D191" s="26" t="s">
        <v>22</v>
      </c>
      <c r="E191" s="27" t="s">
        <v>4835</v>
      </c>
      <c r="F191" s="36">
        <v>5.03934025E8</v>
      </c>
      <c r="G191" s="26" t="s">
        <v>4852</v>
      </c>
      <c r="H191" s="27" t="s">
        <v>4248</v>
      </c>
      <c r="I191" s="26" t="s">
        <v>27</v>
      </c>
      <c r="J191" s="27" t="s">
        <v>4837</v>
      </c>
      <c r="K191" s="26"/>
      <c r="L191" s="26" t="s">
        <v>321</v>
      </c>
      <c r="M191" s="27" t="s">
        <v>1389</v>
      </c>
      <c r="N191" s="26" t="s">
        <v>4870</v>
      </c>
      <c r="O191" s="26" t="s">
        <v>49</v>
      </c>
      <c r="P191" s="35"/>
      <c r="Q191" s="26" t="s">
        <v>40</v>
      </c>
      <c r="R191" s="26" t="s">
        <v>42</v>
      </c>
      <c r="S191" s="27" t="s">
        <v>3566</v>
      </c>
      <c r="T191" s="27"/>
      <c r="U191" s="35"/>
      <c r="V191" s="26"/>
      <c r="W191" s="26">
        <v>5.0</v>
      </c>
      <c r="X191" s="26" t="s">
        <v>46</v>
      </c>
    </row>
    <row r="192" hidden="1">
      <c r="A192" s="26">
        <v>192.0</v>
      </c>
      <c r="B192" s="188">
        <v>46176.0</v>
      </c>
      <c r="C192" s="26" t="s">
        <v>21</v>
      </c>
      <c r="D192" s="26" t="s">
        <v>24</v>
      </c>
      <c r="E192" s="27" t="s">
        <v>4841</v>
      </c>
      <c r="F192" s="36">
        <v>5.07025487E8</v>
      </c>
      <c r="G192" s="26" t="s">
        <v>4852</v>
      </c>
      <c r="H192" s="27" t="s">
        <v>318</v>
      </c>
      <c r="I192" s="26" t="s">
        <v>27</v>
      </c>
      <c r="J192" s="27" t="s">
        <v>4843</v>
      </c>
      <c r="K192" s="343"/>
      <c r="L192" s="343" t="s">
        <v>62</v>
      </c>
      <c r="M192" s="27" t="s">
        <v>5046</v>
      </c>
      <c r="N192" s="26" t="s">
        <v>4803</v>
      </c>
      <c r="O192" s="26" t="s">
        <v>863</v>
      </c>
      <c r="P192" s="35"/>
      <c r="Q192" s="26" t="s">
        <v>56</v>
      </c>
      <c r="R192" s="26" t="s">
        <v>42</v>
      </c>
      <c r="S192" s="27" t="s">
        <v>3566</v>
      </c>
      <c r="T192" s="27"/>
      <c r="U192" s="35"/>
      <c r="V192" s="26"/>
      <c r="W192" s="26">
        <v>5.0</v>
      </c>
      <c r="X192" s="26" t="s">
        <v>46</v>
      </c>
    </row>
    <row r="193" hidden="1">
      <c r="A193" s="26">
        <v>193.0</v>
      </c>
      <c r="B193" s="188">
        <v>46176.0</v>
      </c>
      <c r="C193" s="26" t="s">
        <v>21</v>
      </c>
      <c r="D193" s="26" t="s">
        <v>57</v>
      </c>
      <c r="E193" s="26" t="s">
        <v>4849</v>
      </c>
      <c r="F193" s="21">
        <v>5.58971132E8</v>
      </c>
      <c r="G193" s="26" t="s">
        <v>27</v>
      </c>
      <c r="H193" s="26" t="s">
        <v>27</v>
      </c>
      <c r="I193" s="26" t="s">
        <v>27</v>
      </c>
      <c r="J193" s="351" t="s">
        <v>4853</v>
      </c>
      <c r="K193" s="26" t="s">
        <v>4854</v>
      </c>
      <c r="L193" s="26" t="s">
        <v>62</v>
      </c>
      <c r="M193" s="27" t="s">
        <v>6046</v>
      </c>
      <c r="N193" s="26" t="s">
        <v>4746</v>
      </c>
      <c r="O193" s="26" t="s">
        <v>4746</v>
      </c>
      <c r="P193" s="35"/>
      <c r="Q193" s="26" t="s">
        <v>56</v>
      </c>
      <c r="R193" s="26" t="s">
        <v>42</v>
      </c>
      <c r="S193" s="27" t="s">
        <v>3566</v>
      </c>
      <c r="T193" s="27"/>
      <c r="U193" s="35"/>
      <c r="V193" s="26"/>
      <c r="W193" s="26">
        <v>5.0</v>
      </c>
      <c r="X193" s="26"/>
    </row>
    <row r="194" hidden="1">
      <c r="A194" s="26">
        <v>194.0</v>
      </c>
      <c r="B194" s="188">
        <v>46176.0</v>
      </c>
      <c r="C194" s="26" t="s">
        <v>21</v>
      </c>
      <c r="D194" s="26" t="s">
        <v>22</v>
      </c>
      <c r="E194" s="27" t="s">
        <v>4856</v>
      </c>
      <c r="F194" s="21">
        <v>5.68030565E8</v>
      </c>
      <c r="G194" s="26" t="s">
        <v>5151</v>
      </c>
      <c r="H194" s="27" t="s">
        <v>28</v>
      </c>
      <c r="I194" s="26" t="s">
        <v>27</v>
      </c>
      <c r="J194" s="368" t="s">
        <v>6050</v>
      </c>
      <c r="K194" s="27"/>
      <c r="L194" s="26" t="s">
        <v>62</v>
      </c>
      <c r="M194" s="27" t="s">
        <v>4839</v>
      </c>
      <c r="N194" s="26" t="s">
        <v>4870</v>
      </c>
      <c r="O194" s="26" t="s">
        <v>4746</v>
      </c>
      <c r="P194" s="35"/>
      <c r="Q194" s="26" t="s">
        <v>40</v>
      </c>
      <c r="R194" s="26" t="s">
        <v>42</v>
      </c>
      <c r="S194" s="27" t="s">
        <v>3566</v>
      </c>
      <c r="T194" s="27"/>
      <c r="U194" s="35"/>
      <c r="V194" s="26"/>
      <c r="W194" s="26">
        <v>5.0</v>
      </c>
      <c r="X194" s="26" t="s">
        <v>46</v>
      </c>
    </row>
    <row r="195" hidden="1">
      <c r="A195" s="26">
        <v>195.0</v>
      </c>
      <c r="B195" s="188">
        <v>46176.0</v>
      </c>
      <c r="C195" s="26" t="s">
        <v>21</v>
      </c>
      <c r="D195" s="26" t="s">
        <v>22</v>
      </c>
      <c r="E195" s="27" t="s">
        <v>4867</v>
      </c>
      <c r="F195" s="21">
        <v>5.53792167E8</v>
      </c>
      <c r="G195" s="26" t="s">
        <v>4769</v>
      </c>
      <c r="H195" s="27" t="s">
        <v>152</v>
      </c>
      <c r="I195" s="26" t="s">
        <v>27</v>
      </c>
      <c r="J195" s="209" t="s">
        <v>4869</v>
      </c>
      <c r="K195" s="27"/>
      <c r="L195" s="26" t="s">
        <v>36</v>
      </c>
      <c r="M195" s="27" t="s">
        <v>4868</v>
      </c>
      <c r="N195" s="26" t="s">
        <v>4870</v>
      </c>
      <c r="O195" s="26" t="s">
        <v>863</v>
      </c>
      <c r="P195" s="35"/>
      <c r="Q195" s="26" t="s">
        <v>40</v>
      </c>
      <c r="R195" s="26" t="s">
        <v>42</v>
      </c>
      <c r="S195" s="27" t="s">
        <v>3566</v>
      </c>
      <c r="T195" s="27"/>
      <c r="U195" s="35"/>
      <c r="V195" s="26"/>
      <c r="W195" s="26">
        <v>5.0</v>
      </c>
      <c r="X195" s="26" t="s">
        <v>46</v>
      </c>
    </row>
    <row r="196" hidden="1">
      <c r="A196" s="26">
        <v>196.0</v>
      </c>
      <c r="B196" s="188">
        <v>46176.0</v>
      </c>
      <c r="C196" s="26" t="s">
        <v>47</v>
      </c>
      <c r="D196" s="26" t="s">
        <v>48</v>
      </c>
      <c r="E196" s="27" t="s">
        <v>4874</v>
      </c>
      <c r="F196" s="36">
        <v>5.619334E8</v>
      </c>
      <c r="G196" s="26" t="s">
        <v>4769</v>
      </c>
      <c r="H196" s="27" t="s">
        <v>2580</v>
      </c>
      <c r="I196" s="26" t="s">
        <v>516</v>
      </c>
      <c r="J196" s="27" t="s">
        <v>4875</v>
      </c>
      <c r="K196" s="27" t="s">
        <v>4876</v>
      </c>
      <c r="L196" s="26" t="s">
        <v>36</v>
      </c>
      <c r="M196" s="275" t="s">
        <v>3764</v>
      </c>
      <c r="N196" s="26" t="s">
        <v>4977</v>
      </c>
      <c r="O196" s="26" t="s">
        <v>863</v>
      </c>
      <c r="P196" s="35">
        <v>0.625</v>
      </c>
      <c r="Q196" s="26" t="s">
        <v>56</v>
      </c>
      <c r="R196" s="26" t="s">
        <v>518</v>
      </c>
      <c r="S196" s="27" t="s">
        <v>3765</v>
      </c>
      <c r="T196" s="27" t="s">
        <v>3566</v>
      </c>
      <c r="U196" s="35"/>
      <c r="V196" s="188"/>
      <c r="W196" s="26">
        <v>0.0</v>
      </c>
      <c r="X196" s="26" t="s">
        <v>46</v>
      </c>
    </row>
    <row r="197" hidden="1">
      <c r="A197" s="26">
        <v>197.0</v>
      </c>
      <c r="B197" s="188">
        <v>46176.0</v>
      </c>
      <c r="C197" s="26" t="s">
        <v>21</v>
      </c>
      <c r="D197" s="26" t="s">
        <v>24</v>
      </c>
      <c r="E197" s="27" t="s">
        <v>4882</v>
      </c>
      <c r="F197" s="36">
        <v>5.65663124E8</v>
      </c>
      <c r="G197" s="26" t="s">
        <v>4740</v>
      </c>
      <c r="H197" s="27" t="s">
        <v>41</v>
      </c>
      <c r="I197" s="26" t="s">
        <v>27</v>
      </c>
      <c r="J197" s="27" t="s">
        <v>4883</v>
      </c>
      <c r="K197" s="26"/>
      <c r="L197" s="26" t="s">
        <v>36</v>
      </c>
      <c r="M197" s="27" t="s">
        <v>5046</v>
      </c>
      <c r="N197" s="26" t="s">
        <v>4803</v>
      </c>
      <c r="O197" s="26" t="s">
        <v>863</v>
      </c>
      <c r="P197" s="35"/>
      <c r="Q197" s="26" t="s">
        <v>56</v>
      </c>
      <c r="R197" s="26" t="s">
        <v>42</v>
      </c>
      <c r="S197" s="27" t="s">
        <v>3566</v>
      </c>
      <c r="T197" s="27"/>
      <c r="U197" s="35"/>
      <c r="V197" s="26"/>
      <c r="W197" s="26">
        <v>5.0</v>
      </c>
      <c r="X197" s="26" t="s">
        <v>46</v>
      </c>
    </row>
    <row r="198" hidden="1">
      <c r="A198" s="26">
        <v>198.0</v>
      </c>
      <c r="B198" s="188">
        <v>46176.0</v>
      </c>
      <c r="C198" s="26" t="s">
        <v>47</v>
      </c>
      <c r="D198" s="26" t="s">
        <v>48</v>
      </c>
      <c r="E198" s="27" t="s">
        <v>4887</v>
      </c>
      <c r="F198" s="342" t="s">
        <v>942</v>
      </c>
      <c r="G198" s="26" t="s">
        <v>4769</v>
      </c>
      <c r="H198" s="27" t="s">
        <v>152</v>
      </c>
      <c r="I198" s="343" t="s">
        <v>272</v>
      </c>
      <c r="J198" s="27" t="s">
        <v>4890</v>
      </c>
      <c r="K198" s="237" t="s">
        <v>4892</v>
      </c>
      <c r="L198" s="343" t="s">
        <v>78</v>
      </c>
      <c r="M198" s="27" t="s">
        <v>5011</v>
      </c>
      <c r="N198" s="26" t="s">
        <v>4977</v>
      </c>
      <c r="O198" s="26" t="s">
        <v>863</v>
      </c>
      <c r="P198" s="35"/>
      <c r="Q198" s="26" t="s">
        <v>56</v>
      </c>
      <c r="R198" s="26" t="s">
        <v>518</v>
      </c>
      <c r="S198" s="27" t="s">
        <v>3765</v>
      </c>
      <c r="T198" s="27"/>
      <c r="U198" s="35"/>
      <c r="V198" s="26"/>
      <c r="W198" s="26">
        <v>5.0</v>
      </c>
      <c r="X198" s="26" t="s">
        <v>46</v>
      </c>
    </row>
    <row r="199" hidden="1">
      <c r="A199" s="26">
        <v>199.0</v>
      </c>
      <c r="B199" s="188">
        <v>46176.0</v>
      </c>
      <c r="C199" s="26" t="s">
        <v>47</v>
      </c>
      <c r="D199" s="26" t="s">
        <v>24</v>
      </c>
      <c r="E199" s="26" t="s">
        <v>4893</v>
      </c>
      <c r="F199" s="36" t="s">
        <v>942</v>
      </c>
      <c r="G199" s="26" t="s">
        <v>4740</v>
      </c>
      <c r="H199" s="27" t="s">
        <v>41</v>
      </c>
      <c r="I199" s="26" t="s">
        <v>263</v>
      </c>
      <c r="J199" s="27" t="s">
        <v>4895</v>
      </c>
      <c r="K199" s="26"/>
      <c r="L199" s="26" t="s">
        <v>78</v>
      </c>
      <c r="M199" s="27" t="s">
        <v>5430</v>
      </c>
      <c r="N199" s="26" t="s">
        <v>49</v>
      </c>
      <c r="O199" s="26" t="s">
        <v>863</v>
      </c>
      <c r="P199" s="35"/>
      <c r="Q199" s="26" t="s">
        <v>56</v>
      </c>
      <c r="R199" s="26" t="s">
        <v>42</v>
      </c>
      <c r="S199" s="27" t="s">
        <v>3566</v>
      </c>
      <c r="T199" s="27"/>
      <c r="U199" s="35"/>
      <c r="V199" s="26"/>
      <c r="W199" s="26">
        <v>5.0</v>
      </c>
      <c r="X199" s="26"/>
    </row>
    <row r="200" ht="46.5" hidden="1" customHeight="1">
      <c r="A200" s="26">
        <v>200.0</v>
      </c>
      <c r="B200" s="188">
        <v>46176.0</v>
      </c>
      <c r="C200" s="26" t="s">
        <v>47</v>
      </c>
      <c r="D200" s="26" t="s">
        <v>48</v>
      </c>
      <c r="E200" s="27" t="s">
        <v>4901</v>
      </c>
      <c r="F200" s="342" t="s">
        <v>942</v>
      </c>
      <c r="G200" s="26" t="s">
        <v>4740</v>
      </c>
      <c r="H200" s="27" t="s">
        <v>79</v>
      </c>
      <c r="I200" s="343" t="s">
        <v>4902</v>
      </c>
      <c r="J200" s="27" t="s">
        <v>4903</v>
      </c>
      <c r="K200" s="237" t="s">
        <v>4904</v>
      </c>
      <c r="L200" s="343" t="s">
        <v>78</v>
      </c>
      <c r="M200" s="27" t="s">
        <v>5011</v>
      </c>
      <c r="N200" s="26" t="s">
        <v>4977</v>
      </c>
      <c r="O200" s="26" t="s">
        <v>863</v>
      </c>
      <c r="P200" s="35"/>
      <c r="Q200" s="26" t="s">
        <v>56</v>
      </c>
      <c r="R200" s="26" t="s">
        <v>518</v>
      </c>
      <c r="S200" s="27" t="s">
        <v>3765</v>
      </c>
      <c r="T200" s="27"/>
      <c r="U200" s="35"/>
      <c r="V200" s="26"/>
      <c r="W200" s="26">
        <v>5.0</v>
      </c>
      <c r="X200" s="26" t="s">
        <v>46</v>
      </c>
    </row>
    <row r="201" hidden="1">
      <c r="A201" s="26">
        <v>201.0</v>
      </c>
      <c r="B201" s="188">
        <v>46176.0</v>
      </c>
      <c r="C201" s="26" t="s">
        <v>47</v>
      </c>
      <c r="D201" s="26" t="s">
        <v>48</v>
      </c>
      <c r="E201" s="26" t="s">
        <v>27</v>
      </c>
      <c r="F201" s="36" t="s">
        <v>942</v>
      </c>
      <c r="G201" s="26" t="s">
        <v>4975</v>
      </c>
      <c r="H201" s="27" t="s">
        <v>362</v>
      </c>
      <c r="I201" s="26" t="s">
        <v>4911</v>
      </c>
      <c r="J201" s="27" t="s">
        <v>4912</v>
      </c>
      <c r="K201" s="27" t="s">
        <v>4914</v>
      </c>
      <c r="L201" s="26" t="s">
        <v>78</v>
      </c>
      <c r="M201" s="318" t="s">
        <v>4232</v>
      </c>
      <c r="N201" s="26" t="s">
        <v>4977</v>
      </c>
      <c r="O201" s="26" t="s">
        <v>863</v>
      </c>
      <c r="P201" s="35"/>
      <c r="Q201" s="26" t="s">
        <v>56</v>
      </c>
      <c r="R201" s="26" t="s">
        <v>3811</v>
      </c>
      <c r="S201" s="27" t="s">
        <v>3765</v>
      </c>
      <c r="T201" s="27"/>
      <c r="U201" s="35"/>
      <c r="V201" s="26"/>
      <c r="W201" s="26">
        <v>5.0</v>
      </c>
      <c r="X201" s="26" t="s">
        <v>46</v>
      </c>
    </row>
    <row r="202" hidden="1">
      <c r="A202" s="26">
        <v>202.0</v>
      </c>
      <c r="B202" s="188">
        <v>46176.0</v>
      </c>
      <c r="C202" s="26" t="s">
        <v>47</v>
      </c>
      <c r="D202" s="26" t="s">
        <v>24</v>
      </c>
      <c r="E202" s="27" t="s">
        <v>4920</v>
      </c>
      <c r="F202" s="342" t="s">
        <v>942</v>
      </c>
      <c r="G202" s="26" t="s">
        <v>4740</v>
      </c>
      <c r="H202" s="27" t="s">
        <v>41</v>
      </c>
      <c r="I202" s="343" t="s">
        <v>2375</v>
      </c>
      <c r="J202" s="27" t="s">
        <v>4921</v>
      </c>
      <c r="K202" s="343"/>
      <c r="L202" s="343" t="s">
        <v>78</v>
      </c>
      <c r="M202" s="27" t="s">
        <v>5430</v>
      </c>
      <c r="N202" s="26" t="s">
        <v>49</v>
      </c>
      <c r="O202" s="26" t="s">
        <v>863</v>
      </c>
      <c r="P202" s="35"/>
      <c r="Q202" s="26" t="s">
        <v>56</v>
      </c>
      <c r="R202" s="26" t="s">
        <v>42</v>
      </c>
      <c r="S202" s="27" t="s">
        <v>3566</v>
      </c>
      <c r="T202" s="27"/>
      <c r="U202" s="35"/>
      <c r="V202" s="26"/>
      <c r="W202" s="26">
        <v>5.0</v>
      </c>
      <c r="X202" s="26"/>
    </row>
    <row r="203" hidden="1">
      <c r="A203" s="26">
        <v>203.0</v>
      </c>
      <c r="B203" s="188">
        <v>46176.0</v>
      </c>
      <c r="C203" s="26" t="s">
        <v>47</v>
      </c>
      <c r="D203" s="26" t="s">
        <v>48</v>
      </c>
      <c r="E203" s="26" t="s">
        <v>4927</v>
      </c>
      <c r="F203" s="36" t="s">
        <v>942</v>
      </c>
      <c r="G203" s="26" t="s">
        <v>4740</v>
      </c>
      <c r="H203" s="27" t="s">
        <v>41</v>
      </c>
      <c r="I203" s="26" t="s">
        <v>4928</v>
      </c>
      <c r="J203" s="27" t="s">
        <v>4929</v>
      </c>
      <c r="K203" s="27" t="s">
        <v>4930</v>
      </c>
      <c r="L203" s="26" t="s">
        <v>78</v>
      </c>
      <c r="M203" s="27" t="s">
        <v>5011</v>
      </c>
      <c r="N203" s="26" t="s">
        <v>4977</v>
      </c>
      <c r="O203" s="26" t="s">
        <v>863</v>
      </c>
      <c r="P203" s="35"/>
      <c r="Q203" s="26" t="s">
        <v>56</v>
      </c>
      <c r="R203" s="26" t="s">
        <v>518</v>
      </c>
      <c r="S203" s="27" t="s">
        <v>3765</v>
      </c>
      <c r="T203" s="27"/>
      <c r="U203" s="35"/>
      <c r="V203" s="26"/>
      <c r="W203" s="26">
        <v>5.0</v>
      </c>
      <c r="X203" s="26" t="s">
        <v>46</v>
      </c>
    </row>
    <row r="204" hidden="1">
      <c r="A204" s="26">
        <v>204.0</v>
      </c>
      <c r="B204" s="188">
        <v>46176.0</v>
      </c>
      <c r="C204" s="26" t="s">
        <v>47</v>
      </c>
      <c r="D204" s="26" t="s">
        <v>92</v>
      </c>
      <c r="E204" s="27" t="s">
        <v>284</v>
      </c>
      <c r="F204" s="342" t="s">
        <v>942</v>
      </c>
      <c r="G204" s="26" t="s">
        <v>5151</v>
      </c>
      <c r="H204" s="237" t="s">
        <v>426</v>
      </c>
      <c r="I204" s="343" t="s">
        <v>777</v>
      </c>
      <c r="J204" s="27" t="s">
        <v>4934</v>
      </c>
      <c r="K204" s="343"/>
      <c r="L204" s="343" t="s">
        <v>78</v>
      </c>
      <c r="M204" s="27" t="s">
        <v>5011</v>
      </c>
      <c r="N204" s="26" t="s">
        <v>4637</v>
      </c>
      <c r="O204" s="26" t="s">
        <v>863</v>
      </c>
      <c r="P204" s="35"/>
      <c r="Q204" s="26" t="s">
        <v>40</v>
      </c>
      <c r="R204" s="26" t="s">
        <v>301</v>
      </c>
      <c r="S204" s="27" t="s">
        <v>3566</v>
      </c>
      <c r="T204" s="27"/>
      <c r="U204" s="35"/>
      <c r="V204" s="26"/>
      <c r="W204" s="26">
        <v>5.0</v>
      </c>
      <c r="X204" s="26" t="s">
        <v>46</v>
      </c>
    </row>
    <row r="205" hidden="1">
      <c r="A205" s="26">
        <v>205.0</v>
      </c>
      <c r="B205" s="188">
        <v>46176.0</v>
      </c>
      <c r="C205" s="26" t="s">
        <v>47</v>
      </c>
      <c r="D205" s="26" t="s">
        <v>92</v>
      </c>
      <c r="E205" s="26" t="s">
        <v>942</v>
      </c>
      <c r="F205" s="36" t="s">
        <v>942</v>
      </c>
      <c r="G205" s="26" t="s">
        <v>4769</v>
      </c>
      <c r="H205" s="27" t="s">
        <v>152</v>
      </c>
      <c r="I205" s="26" t="s">
        <v>4937</v>
      </c>
      <c r="J205" s="27" t="s">
        <v>4938</v>
      </c>
      <c r="K205" s="26"/>
      <c r="L205" s="26" t="s">
        <v>78</v>
      </c>
      <c r="M205" s="27" t="s">
        <v>5011</v>
      </c>
      <c r="N205" s="26" t="s">
        <v>4637</v>
      </c>
      <c r="O205" s="26" t="s">
        <v>863</v>
      </c>
      <c r="P205" s="35"/>
      <c r="Q205" s="26" t="s">
        <v>40</v>
      </c>
      <c r="R205" s="26" t="s">
        <v>42</v>
      </c>
      <c r="S205" s="27" t="s">
        <v>3566</v>
      </c>
      <c r="T205" s="27"/>
      <c r="U205" s="35"/>
      <c r="V205" s="26"/>
      <c r="W205" s="26">
        <v>5.0</v>
      </c>
      <c r="X205" s="26" t="s">
        <v>46</v>
      </c>
    </row>
    <row r="206" hidden="1">
      <c r="A206" s="26">
        <v>206.0</v>
      </c>
      <c r="B206" s="188">
        <v>46176.0</v>
      </c>
      <c r="C206" s="26" t="s">
        <v>21</v>
      </c>
      <c r="D206" s="26" t="s">
        <v>34</v>
      </c>
      <c r="E206" s="26" t="s">
        <v>27</v>
      </c>
      <c r="F206" s="21">
        <v>5.57804837E8</v>
      </c>
      <c r="G206" s="26" t="s">
        <v>27</v>
      </c>
      <c r="H206" s="26" t="s">
        <v>27</v>
      </c>
      <c r="I206" s="26" t="s">
        <v>27</v>
      </c>
      <c r="J206" s="209" t="s">
        <v>4045</v>
      </c>
      <c r="K206" s="27"/>
      <c r="L206" s="26" t="s">
        <v>36</v>
      </c>
      <c r="M206" s="27" t="s">
        <v>51</v>
      </c>
      <c r="N206" s="26" t="s">
        <v>4746</v>
      </c>
      <c r="O206" s="26" t="s">
        <v>4746</v>
      </c>
      <c r="P206" s="35"/>
      <c r="Q206" s="26" t="s">
        <v>56</v>
      </c>
      <c r="R206" s="26" t="s">
        <v>42</v>
      </c>
      <c r="S206" s="27" t="s">
        <v>3566</v>
      </c>
      <c r="T206" s="27"/>
      <c r="U206" s="35"/>
      <c r="V206" s="26"/>
      <c r="W206" s="26">
        <v>5.0</v>
      </c>
      <c r="X206" s="26"/>
    </row>
    <row r="207" hidden="1">
      <c r="A207" s="26">
        <v>207.0</v>
      </c>
      <c r="B207" s="188">
        <v>46176.0</v>
      </c>
      <c r="C207" s="26" t="s">
        <v>58</v>
      </c>
      <c r="D207" s="26" t="s">
        <v>60</v>
      </c>
      <c r="E207" s="27" t="s">
        <v>4947</v>
      </c>
      <c r="F207" s="21">
        <v>5.555783371E9</v>
      </c>
      <c r="G207" s="26" t="s">
        <v>4740</v>
      </c>
      <c r="H207" s="27" t="s">
        <v>71</v>
      </c>
      <c r="I207" s="26" t="s">
        <v>27</v>
      </c>
      <c r="J207" s="209" t="s">
        <v>4949</v>
      </c>
      <c r="K207" s="27"/>
      <c r="L207" s="26" t="s">
        <v>36</v>
      </c>
      <c r="M207" s="27" t="s">
        <v>88</v>
      </c>
      <c r="N207" s="26" t="s">
        <v>49</v>
      </c>
      <c r="O207" s="26" t="s">
        <v>863</v>
      </c>
      <c r="P207" s="35"/>
      <c r="Q207" s="26" t="s">
        <v>56</v>
      </c>
      <c r="R207" s="26" t="s">
        <v>42</v>
      </c>
      <c r="S207" s="27" t="s">
        <v>3566</v>
      </c>
      <c r="T207" s="27"/>
      <c r="U207" s="35"/>
      <c r="V207" s="26"/>
      <c r="W207" s="26">
        <v>5.0</v>
      </c>
      <c r="X207" s="26"/>
    </row>
    <row r="208" ht="63.75" hidden="1" customHeight="1">
      <c r="A208" s="26">
        <v>208.0</v>
      </c>
      <c r="B208" s="188">
        <v>46176.0</v>
      </c>
      <c r="C208" s="26" t="s">
        <v>47</v>
      </c>
      <c r="D208" s="26" t="s">
        <v>48</v>
      </c>
      <c r="E208" s="27" t="s">
        <v>4953</v>
      </c>
      <c r="F208" s="36">
        <v>5.45065555E8</v>
      </c>
      <c r="G208" s="26" t="s">
        <v>4740</v>
      </c>
      <c r="H208" s="27" t="s">
        <v>41</v>
      </c>
      <c r="I208" s="26" t="s">
        <v>4795</v>
      </c>
      <c r="J208" s="27" t="s">
        <v>6118</v>
      </c>
      <c r="K208" s="26" t="s">
        <v>27</v>
      </c>
      <c r="L208" s="26" t="s">
        <v>36</v>
      </c>
      <c r="M208" s="275" t="s">
        <v>3764</v>
      </c>
      <c r="N208" s="26" t="s">
        <v>4977</v>
      </c>
      <c r="O208" s="26" t="s">
        <v>863</v>
      </c>
      <c r="P208" s="35">
        <v>0.6527777777777778</v>
      </c>
      <c r="Q208" s="26" t="s">
        <v>40</v>
      </c>
      <c r="R208" s="26" t="s">
        <v>518</v>
      </c>
      <c r="S208" s="27" t="s">
        <v>3765</v>
      </c>
      <c r="T208" s="27" t="s">
        <v>3566</v>
      </c>
      <c r="U208" s="35">
        <v>0.6972222222222222</v>
      </c>
      <c r="V208" s="26" t="s">
        <v>863</v>
      </c>
      <c r="W208" s="26">
        <v>0.0</v>
      </c>
      <c r="X208" s="26" t="s">
        <v>46</v>
      </c>
    </row>
    <row r="209" hidden="1">
      <c r="A209" s="26">
        <v>209.0</v>
      </c>
      <c r="B209" s="188">
        <v>46176.0</v>
      </c>
      <c r="C209" s="26" t="s">
        <v>21</v>
      </c>
      <c r="D209" s="26" t="s">
        <v>22</v>
      </c>
      <c r="E209" s="27" t="s">
        <v>4959</v>
      </c>
      <c r="F209" s="36">
        <v>5.51505568E8</v>
      </c>
      <c r="G209" s="26" t="s">
        <v>27</v>
      </c>
      <c r="H209" s="26" t="s">
        <v>27</v>
      </c>
      <c r="I209" s="26" t="s">
        <v>27</v>
      </c>
      <c r="J209" s="27" t="s">
        <v>4960</v>
      </c>
      <c r="K209" s="26"/>
      <c r="L209" s="26" t="s">
        <v>36</v>
      </c>
      <c r="M209" s="27" t="s">
        <v>1389</v>
      </c>
      <c r="N209" s="26" t="s">
        <v>4870</v>
      </c>
      <c r="O209" s="26" t="s">
        <v>863</v>
      </c>
      <c r="P209" s="35"/>
      <c r="Q209" s="26" t="s">
        <v>40</v>
      </c>
      <c r="R209" s="26" t="s">
        <v>42</v>
      </c>
      <c r="S209" s="27" t="s">
        <v>3566</v>
      </c>
      <c r="T209" s="27"/>
      <c r="U209" s="35"/>
      <c r="V209" s="26"/>
      <c r="W209" s="26">
        <v>5.0</v>
      </c>
      <c r="X209" s="26" t="s">
        <v>46</v>
      </c>
    </row>
    <row r="210" hidden="1">
      <c r="A210" s="26">
        <v>210.0</v>
      </c>
      <c r="B210" s="188">
        <v>46176.0</v>
      </c>
      <c r="C210" s="26" t="s">
        <v>21</v>
      </c>
      <c r="D210" s="26" t="s">
        <v>57</v>
      </c>
      <c r="E210" s="27" t="s">
        <v>4964</v>
      </c>
      <c r="F210" s="342">
        <v>5.61007704E8</v>
      </c>
      <c r="G210" s="26" t="s">
        <v>27</v>
      </c>
      <c r="H210" s="26" t="s">
        <v>27</v>
      </c>
      <c r="I210" s="26" t="s">
        <v>27</v>
      </c>
      <c r="J210" s="27" t="s">
        <v>4965</v>
      </c>
      <c r="K210" s="237" t="s">
        <v>4967</v>
      </c>
      <c r="L210" s="343" t="s">
        <v>36</v>
      </c>
      <c r="M210" s="27" t="s">
        <v>6046</v>
      </c>
      <c r="N210" s="26" t="s">
        <v>49</v>
      </c>
      <c r="O210" s="26" t="s">
        <v>863</v>
      </c>
      <c r="P210" s="35"/>
      <c r="Q210" s="26" t="s">
        <v>56</v>
      </c>
      <c r="R210" s="26" t="s">
        <v>42</v>
      </c>
      <c r="S210" s="27" t="s">
        <v>3566</v>
      </c>
      <c r="T210" s="27"/>
      <c r="U210" s="35"/>
      <c r="V210" s="26"/>
      <c r="W210" s="26">
        <v>5.0</v>
      </c>
      <c r="X210" s="26"/>
    </row>
    <row r="211" hidden="1">
      <c r="A211" s="26">
        <v>211.0</v>
      </c>
      <c r="B211" s="188">
        <v>46176.0</v>
      </c>
      <c r="C211" s="26" t="s">
        <v>21</v>
      </c>
      <c r="D211" s="26" t="s">
        <v>22</v>
      </c>
      <c r="E211" s="27" t="s">
        <v>4971</v>
      </c>
      <c r="F211" s="36">
        <v>5.06788996E8</v>
      </c>
      <c r="G211" s="26" t="s">
        <v>27</v>
      </c>
      <c r="H211" s="26" t="s">
        <v>27</v>
      </c>
      <c r="I211" s="26" t="s">
        <v>27</v>
      </c>
      <c r="J211" s="27" t="s">
        <v>4973</v>
      </c>
      <c r="K211" s="27"/>
      <c r="L211" s="26" t="s">
        <v>36</v>
      </c>
      <c r="M211" s="27" t="s">
        <v>88</v>
      </c>
      <c r="N211" s="26" t="s">
        <v>4870</v>
      </c>
      <c r="O211" s="26" t="s">
        <v>863</v>
      </c>
      <c r="P211" s="35"/>
      <c r="Q211" s="26" t="s">
        <v>40</v>
      </c>
      <c r="R211" s="26" t="s">
        <v>42</v>
      </c>
      <c r="S211" s="27" t="s">
        <v>3566</v>
      </c>
      <c r="T211" s="27"/>
      <c r="U211" s="35"/>
      <c r="V211" s="26"/>
      <c r="W211" s="26">
        <v>5.0</v>
      </c>
      <c r="X211" s="26" t="s">
        <v>46</v>
      </c>
    </row>
    <row r="212" hidden="1">
      <c r="A212" s="26">
        <v>212.0</v>
      </c>
      <c r="B212" s="188">
        <v>46176.0</v>
      </c>
      <c r="C212" s="26" t="s">
        <v>21</v>
      </c>
      <c r="D212" s="26" t="s">
        <v>24</v>
      </c>
      <c r="E212" s="27" t="s">
        <v>4978</v>
      </c>
      <c r="F212" s="342">
        <v>5.36036306E8</v>
      </c>
      <c r="G212" s="26" t="s">
        <v>5023</v>
      </c>
      <c r="H212" s="237" t="s">
        <v>198</v>
      </c>
      <c r="I212" s="26" t="s">
        <v>27</v>
      </c>
      <c r="J212" s="27" t="s">
        <v>4979</v>
      </c>
      <c r="K212" s="237"/>
      <c r="L212" s="343" t="s">
        <v>36</v>
      </c>
      <c r="M212" s="27" t="s">
        <v>5046</v>
      </c>
      <c r="N212" s="26" t="s">
        <v>4803</v>
      </c>
      <c r="O212" s="26" t="s">
        <v>4746</v>
      </c>
      <c r="P212" s="35"/>
      <c r="Q212" s="26" t="s">
        <v>56</v>
      </c>
      <c r="R212" s="26" t="s">
        <v>3811</v>
      </c>
      <c r="S212" s="27" t="s">
        <v>3566</v>
      </c>
      <c r="T212" s="27"/>
      <c r="U212" s="35"/>
      <c r="V212" s="26"/>
      <c r="W212" s="26">
        <v>5.0</v>
      </c>
      <c r="X212" s="26" t="s">
        <v>46</v>
      </c>
    </row>
    <row r="213" hidden="1">
      <c r="A213" s="26">
        <v>213.0</v>
      </c>
      <c r="B213" s="188">
        <v>46177.0</v>
      </c>
      <c r="C213" s="26" t="s">
        <v>21</v>
      </c>
      <c r="D213" s="26" t="s">
        <v>24</v>
      </c>
      <c r="E213" s="27" t="s">
        <v>4983</v>
      </c>
      <c r="F213" s="21">
        <v>5.56798498E8</v>
      </c>
      <c r="G213" s="26" t="s">
        <v>4740</v>
      </c>
      <c r="H213" s="27" t="s">
        <v>79</v>
      </c>
      <c r="I213" s="26" t="s">
        <v>27</v>
      </c>
      <c r="J213" s="209" t="s">
        <v>4988</v>
      </c>
      <c r="K213" s="27"/>
      <c r="L213" s="26" t="s">
        <v>62</v>
      </c>
      <c r="M213" s="27" t="s">
        <v>4982</v>
      </c>
      <c r="N213" s="26" t="s">
        <v>4803</v>
      </c>
      <c r="O213" s="26" t="s">
        <v>863</v>
      </c>
      <c r="P213" s="35"/>
      <c r="Q213" s="26" t="s">
        <v>56</v>
      </c>
      <c r="R213" s="26" t="s">
        <v>518</v>
      </c>
      <c r="S213" s="27" t="s">
        <v>3566</v>
      </c>
      <c r="T213" s="27"/>
      <c r="U213" s="35"/>
      <c r="V213" s="26"/>
      <c r="W213" s="26">
        <v>5.0</v>
      </c>
      <c r="X213" s="26" t="s">
        <v>46</v>
      </c>
    </row>
    <row r="214" hidden="1">
      <c r="A214" s="26">
        <v>214.0</v>
      </c>
      <c r="B214" s="188">
        <v>46177.0</v>
      </c>
      <c r="C214" s="26" t="s">
        <v>21</v>
      </c>
      <c r="D214" s="26" t="s">
        <v>22</v>
      </c>
      <c r="E214" s="27" t="s">
        <v>4995</v>
      </c>
      <c r="F214" s="21">
        <v>5.00657745E8</v>
      </c>
      <c r="G214" s="26" t="s">
        <v>27</v>
      </c>
      <c r="H214" s="26" t="s">
        <v>27</v>
      </c>
      <c r="I214" s="26" t="s">
        <v>27</v>
      </c>
      <c r="J214" s="209" t="s">
        <v>4996</v>
      </c>
      <c r="K214" s="27"/>
      <c r="L214" s="26" t="s">
        <v>62</v>
      </c>
      <c r="M214" s="27" t="s">
        <v>4868</v>
      </c>
      <c r="N214" s="26" t="s">
        <v>4870</v>
      </c>
      <c r="O214" s="26" t="s">
        <v>863</v>
      </c>
      <c r="P214" s="35"/>
      <c r="Q214" s="26" t="s">
        <v>40</v>
      </c>
      <c r="R214" s="26" t="s">
        <v>42</v>
      </c>
      <c r="S214" s="27" t="s">
        <v>3566</v>
      </c>
      <c r="T214" s="27"/>
      <c r="U214" s="35"/>
      <c r="V214" s="26"/>
      <c r="W214" s="26">
        <v>5.0</v>
      </c>
      <c r="X214" s="26" t="s">
        <v>46</v>
      </c>
    </row>
    <row r="215" hidden="1">
      <c r="A215" s="26">
        <v>215.0</v>
      </c>
      <c r="B215" s="188">
        <v>46177.0</v>
      </c>
      <c r="C215" s="26" t="s">
        <v>21</v>
      </c>
      <c r="D215" s="26" t="s">
        <v>22</v>
      </c>
      <c r="E215" s="27" t="s">
        <v>4299</v>
      </c>
      <c r="F215" s="36">
        <v>5.54649696E8</v>
      </c>
      <c r="G215" s="26" t="s">
        <v>5151</v>
      </c>
      <c r="H215" s="27" t="s">
        <v>426</v>
      </c>
      <c r="I215" s="26" t="s">
        <v>27</v>
      </c>
      <c r="J215" s="209" t="s">
        <v>5002</v>
      </c>
      <c r="K215" s="27"/>
      <c r="L215" s="26" t="s">
        <v>62</v>
      </c>
      <c r="M215" s="27" t="s">
        <v>1389</v>
      </c>
      <c r="N215" s="26" t="s">
        <v>4870</v>
      </c>
      <c r="O215" s="26" t="s">
        <v>863</v>
      </c>
      <c r="P215" s="35"/>
      <c r="Q215" s="26" t="s">
        <v>40</v>
      </c>
      <c r="R215" s="26" t="s">
        <v>42</v>
      </c>
      <c r="S215" s="27" t="s">
        <v>3566</v>
      </c>
      <c r="T215" s="27"/>
      <c r="U215" s="35"/>
      <c r="V215" s="26"/>
      <c r="W215" s="26">
        <v>5.0</v>
      </c>
      <c r="X215" s="26" t="s">
        <v>46</v>
      </c>
    </row>
    <row r="216" hidden="1">
      <c r="A216" s="26">
        <v>216.0</v>
      </c>
      <c r="B216" s="188">
        <v>46177.0</v>
      </c>
      <c r="C216" s="26" t="s">
        <v>21</v>
      </c>
      <c r="D216" s="26" t="s">
        <v>22</v>
      </c>
      <c r="E216" s="27" t="s">
        <v>5005</v>
      </c>
      <c r="F216" s="21">
        <v>5.04229233E8</v>
      </c>
      <c r="G216" s="26" t="s">
        <v>4769</v>
      </c>
      <c r="H216" s="27" t="s">
        <v>152</v>
      </c>
      <c r="I216" s="26" t="s">
        <v>27</v>
      </c>
      <c r="J216" s="209" t="s">
        <v>5006</v>
      </c>
      <c r="K216" s="27"/>
      <c r="L216" s="26" t="s">
        <v>62</v>
      </c>
      <c r="M216" s="27" t="s">
        <v>4868</v>
      </c>
      <c r="N216" s="26" t="s">
        <v>4870</v>
      </c>
      <c r="O216" s="26" t="s">
        <v>863</v>
      </c>
      <c r="P216" s="35"/>
      <c r="Q216" s="26" t="s">
        <v>40</v>
      </c>
      <c r="R216" s="26" t="s">
        <v>42</v>
      </c>
      <c r="S216" s="27" t="s">
        <v>3566</v>
      </c>
      <c r="T216" s="27"/>
      <c r="U216" s="35"/>
      <c r="V216" s="26"/>
      <c r="W216" s="26">
        <v>5.0</v>
      </c>
      <c r="X216" s="26" t="s">
        <v>46</v>
      </c>
    </row>
    <row r="217" hidden="1">
      <c r="A217" s="26">
        <v>217.0</v>
      </c>
      <c r="B217" s="188">
        <v>46177.0</v>
      </c>
      <c r="C217" s="26" t="s">
        <v>21</v>
      </c>
      <c r="D217" s="26" t="s">
        <v>22</v>
      </c>
      <c r="E217" s="27" t="s">
        <v>5012</v>
      </c>
      <c r="F217" s="21">
        <v>5.05751372E8</v>
      </c>
      <c r="G217" s="26" t="s">
        <v>27</v>
      </c>
      <c r="H217" s="26" t="s">
        <v>27</v>
      </c>
      <c r="I217" s="26" t="s">
        <v>27</v>
      </c>
      <c r="J217" s="209" t="s">
        <v>5013</v>
      </c>
      <c r="K217" s="128"/>
      <c r="L217" s="126" t="s">
        <v>62</v>
      </c>
      <c r="M217" s="27" t="s">
        <v>1389</v>
      </c>
      <c r="N217" s="26" t="s">
        <v>4870</v>
      </c>
      <c r="O217" s="26" t="s">
        <v>4746</v>
      </c>
      <c r="P217" s="88"/>
      <c r="Q217" s="126" t="s">
        <v>40</v>
      </c>
      <c r="R217" s="26" t="s">
        <v>42</v>
      </c>
      <c r="S217" s="27" t="s">
        <v>3566</v>
      </c>
      <c r="T217" s="128"/>
      <c r="U217" s="88"/>
      <c r="V217" s="126"/>
      <c r="W217" s="126">
        <v>5.0</v>
      </c>
      <c r="X217" s="126" t="s">
        <v>46</v>
      </c>
    </row>
    <row r="218" hidden="1">
      <c r="A218" s="26">
        <v>218.0</v>
      </c>
      <c r="B218" s="188">
        <v>46177.0</v>
      </c>
      <c r="C218" s="26" t="s">
        <v>58</v>
      </c>
      <c r="D218" s="26" t="s">
        <v>57</v>
      </c>
      <c r="E218" s="26" t="s">
        <v>27</v>
      </c>
      <c r="F218" s="21">
        <v>5.09022178E8</v>
      </c>
      <c r="G218" s="26" t="s">
        <v>27</v>
      </c>
      <c r="H218" s="26" t="s">
        <v>27</v>
      </c>
      <c r="I218" s="26" t="s">
        <v>27</v>
      </c>
      <c r="J218" s="209" t="s">
        <v>5016</v>
      </c>
      <c r="K218" s="27"/>
      <c r="L218" s="26" t="s">
        <v>62</v>
      </c>
      <c r="M218" s="27" t="s">
        <v>6046</v>
      </c>
      <c r="N218" s="26" t="s">
        <v>49</v>
      </c>
      <c r="O218" s="26" t="s">
        <v>863</v>
      </c>
      <c r="P218" s="35"/>
      <c r="Q218" s="26" t="s">
        <v>56</v>
      </c>
      <c r="R218" s="26" t="s">
        <v>42</v>
      </c>
      <c r="S218" s="27" t="s">
        <v>3566</v>
      </c>
      <c r="T218" s="27"/>
      <c r="U218" s="35"/>
      <c r="V218" s="26"/>
      <c r="W218" s="26">
        <v>5.0</v>
      </c>
      <c r="X218" s="26"/>
    </row>
    <row r="219" hidden="1">
      <c r="A219" s="26">
        <v>219.0</v>
      </c>
      <c r="B219" s="188">
        <v>46177.0</v>
      </c>
      <c r="C219" s="26" t="s">
        <v>58</v>
      </c>
      <c r="D219" s="26" t="s">
        <v>60</v>
      </c>
      <c r="E219" s="27" t="s">
        <v>5021</v>
      </c>
      <c r="F219" s="21">
        <v>5.03355769E8</v>
      </c>
      <c r="G219" s="26" t="s">
        <v>4740</v>
      </c>
      <c r="H219" s="27" t="s">
        <v>79</v>
      </c>
      <c r="I219" s="26" t="s">
        <v>27</v>
      </c>
      <c r="J219" s="209" t="s">
        <v>5022</v>
      </c>
      <c r="K219" s="27" t="s">
        <v>1307</v>
      </c>
      <c r="L219" s="26" t="s">
        <v>62</v>
      </c>
      <c r="M219" s="27" t="s">
        <v>88</v>
      </c>
      <c r="N219" s="26" t="s">
        <v>49</v>
      </c>
      <c r="O219" s="26" t="s">
        <v>863</v>
      </c>
      <c r="P219" s="35"/>
      <c r="Q219" s="26" t="s">
        <v>56</v>
      </c>
      <c r="R219" s="26" t="s">
        <v>42</v>
      </c>
      <c r="S219" s="27" t="s">
        <v>3566</v>
      </c>
      <c r="T219" s="27"/>
      <c r="U219" s="35"/>
      <c r="V219" s="26"/>
      <c r="W219" s="26">
        <v>5.0</v>
      </c>
      <c r="X219" s="26"/>
    </row>
    <row r="220" hidden="1">
      <c r="A220" s="26">
        <v>220.0</v>
      </c>
      <c r="B220" s="188">
        <v>46177.0</v>
      </c>
      <c r="C220" s="26" t="s">
        <v>21</v>
      </c>
      <c r="D220" s="26" t="s">
        <v>24</v>
      </c>
      <c r="E220" s="27" t="s">
        <v>5028</v>
      </c>
      <c r="F220" s="36">
        <v>5.68658765E8</v>
      </c>
      <c r="G220" s="26" t="s">
        <v>4865</v>
      </c>
      <c r="H220" s="27" t="s">
        <v>319</v>
      </c>
      <c r="I220" s="26" t="s">
        <v>27</v>
      </c>
      <c r="J220" s="209" t="s">
        <v>5029</v>
      </c>
      <c r="K220" s="27"/>
      <c r="L220" s="26" t="s">
        <v>62</v>
      </c>
      <c r="M220" s="27" t="s">
        <v>4982</v>
      </c>
      <c r="N220" s="26" t="s">
        <v>4803</v>
      </c>
      <c r="O220" s="26" t="s">
        <v>863</v>
      </c>
      <c r="P220" s="35"/>
      <c r="Q220" s="26" t="s">
        <v>56</v>
      </c>
      <c r="R220" s="26" t="s">
        <v>42</v>
      </c>
      <c r="S220" s="27" t="s">
        <v>3566</v>
      </c>
      <c r="T220" s="27"/>
      <c r="U220" s="35"/>
      <c r="V220" s="26"/>
      <c r="W220" s="26">
        <v>5.0</v>
      </c>
      <c r="X220" s="26" t="s">
        <v>46</v>
      </c>
    </row>
    <row r="221" hidden="1">
      <c r="A221" s="26">
        <v>221.0</v>
      </c>
      <c r="B221" s="188">
        <v>46177.0</v>
      </c>
      <c r="C221" s="26" t="s">
        <v>21</v>
      </c>
      <c r="D221" s="26" t="s">
        <v>22</v>
      </c>
      <c r="E221" s="27" t="s">
        <v>5032</v>
      </c>
      <c r="F221" s="21">
        <v>5.33386669E8</v>
      </c>
      <c r="G221" s="26" t="s">
        <v>27</v>
      </c>
      <c r="H221" s="26" t="s">
        <v>27</v>
      </c>
      <c r="I221" s="26" t="s">
        <v>27</v>
      </c>
      <c r="J221" s="209" t="s">
        <v>5033</v>
      </c>
      <c r="K221" s="128"/>
      <c r="L221" s="126" t="s">
        <v>62</v>
      </c>
      <c r="M221" s="27" t="s">
        <v>4868</v>
      </c>
      <c r="N221" s="26" t="s">
        <v>4870</v>
      </c>
      <c r="O221" s="26" t="s">
        <v>863</v>
      </c>
      <c r="P221" s="88"/>
      <c r="Q221" s="126" t="s">
        <v>40</v>
      </c>
      <c r="R221" s="126" t="s">
        <v>42</v>
      </c>
      <c r="S221" s="27" t="s">
        <v>3566</v>
      </c>
      <c r="T221" s="128"/>
      <c r="U221" s="88"/>
      <c r="V221" s="126"/>
      <c r="W221" s="126">
        <v>5.0</v>
      </c>
      <c r="X221" s="126" t="s">
        <v>46</v>
      </c>
    </row>
    <row r="222" hidden="1">
      <c r="A222" s="26">
        <v>222.0</v>
      </c>
      <c r="B222" s="188">
        <v>46177.0</v>
      </c>
      <c r="C222" s="26" t="s">
        <v>58</v>
      </c>
      <c r="D222" s="26" t="s">
        <v>60</v>
      </c>
      <c r="E222" s="27" t="s">
        <v>5037</v>
      </c>
      <c r="F222" s="21">
        <v>5.75267061E8</v>
      </c>
      <c r="G222" s="26" t="s">
        <v>27</v>
      </c>
      <c r="H222" s="26" t="s">
        <v>27</v>
      </c>
      <c r="I222" s="26" t="s">
        <v>27</v>
      </c>
      <c r="J222" s="209" t="s">
        <v>5039</v>
      </c>
      <c r="K222" s="27" t="s">
        <v>5040</v>
      </c>
      <c r="L222" s="26" t="s">
        <v>62</v>
      </c>
      <c r="M222" s="27" t="s">
        <v>88</v>
      </c>
      <c r="N222" s="26" t="s">
        <v>49</v>
      </c>
      <c r="O222" s="26" t="s">
        <v>863</v>
      </c>
      <c r="P222" s="35"/>
      <c r="Q222" s="26" t="s">
        <v>56</v>
      </c>
      <c r="R222" s="26" t="s">
        <v>42</v>
      </c>
      <c r="S222" s="27" t="s">
        <v>3566</v>
      </c>
      <c r="T222" s="27"/>
      <c r="U222" s="35"/>
      <c r="V222" s="26"/>
      <c r="W222" s="26">
        <v>5.0</v>
      </c>
      <c r="X222" s="26"/>
    </row>
    <row r="223" hidden="1">
      <c r="A223" s="26">
        <v>223.0</v>
      </c>
      <c r="B223" s="188">
        <v>46177.0</v>
      </c>
      <c r="C223" s="26" t="s">
        <v>47</v>
      </c>
      <c r="D223" s="26" t="s">
        <v>48</v>
      </c>
      <c r="E223" s="27" t="s">
        <v>5043</v>
      </c>
      <c r="F223" s="21">
        <v>5.90095509E8</v>
      </c>
      <c r="G223" s="26" t="s">
        <v>5151</v>
      </c>
      <c r="H223" s="27" t="s">
        <v>426</v>
      </c>
      <c r="I223" s="26" t="s">
        <v>3190</v>
      </c>
      <c r="J223" s="209" t="s">
        <v>6207</v>
      </c>
      <c r="K223" s="310" t="s">
        <v>5045</v>
      </c>
      <c r="L223" s="26" t="s">
        <v>36</v>
      </c>
      <c r="M223" s="275" t="s">
        <v>3764</v>
      </c>
      <c r="N223" s="26" t="s">
        <v>4977</v>
      </c>
      <c r="O223" s="26" t="s">
        <v>4746</v>
      </c>
      <c r="P223" s="35">
        <v>0.4097222222222222</v>
      </c>
      <c r="Q223" s="26" t="s">
        <v>56</v>
      </c>
      <c r="R223" s="26" t="s">
        <v>3811</v>
      </c>
      <c r="S223" s="27" t="s">
        <v>3765</v>
      </c>
      <c r="T223" s="27" t="s">
        <v>3566</v>
      </c>
      <c r="U223" s="311">
        <v>0.9166666666666666</v>
      </c>
      <c r="V223" s="26" t="s">
        <v>44</v>
      </c>
      <c r="W223" s="26">
        <v>5.0</v>
      </c>
      <c r="X223" s="26" t="s">
        <v>46</v>
      </c>
    </row>
    <row r="224" hidden="1">
      <c r="A224" s="26">
        <v>224.0</v>
      </c>
      <c r="B224" s="188">
        <v>46177.0</v>
      </c>
      <c r="C224" s="26" t="s">
        <v>21</v>
      </c>
      <c r="D224" s="26" t="s">
        <v>24</v>
      </c>
      <c r="E224" s="27" t="s">
        <v>5049</v>
      </c>
      <c r="F224" s="36">
        <v>5.55787973E8</v>
      </c>
      <c r="G224" s="26" t="s">
        <v>5023</v>
      </c>
      <c r="H224" s="27" t="s">
        <v>2740</v>
      </c>
      <c r="I224" s="26" t="s">
        <v>27</v>
      </c>
      <c r="J224" s="209" t="s">
        <v>5050</v>
      </c>
      <c r="K224" s="27"/>
      <c r="L224" s="26" t="s">
        <v>62</v>
      </c>
      <c r="M224" s="27" t="s">
        <v>4982</v>
      </c>
      <c r="N224" s="26" t="s">
        <v>4803</v>
      </c>
      <c r="O224" s="26" t="s">
        <v>863</v>
      </c>
      <c r="P224" s="35"/>
      <c r="Q224" s="26" t="s">
        <v>56</v>
      </c>
      <c r="R224" s="26" t="s">
        <v>42</v>
      </c>
      <c r="S224" s="27" t="s">
        <v>3566</v>
      </c>
      <c r="T224" s="27"/>
      <c r="U224" s="35"/>
      <c r="V224" s="26"/>
      <c r="W224" s="26">
        <v>5.0</v>
      </c>
      <c r="X224" s="26" t="s">
        <v>46</v>
      </c>
    </row>
    <row r="225" hidden="1">
      <c r="A225" s="26">
        <v>225.0</v>
      </c>
      <c r="B225" s="188">
        <v>46177.0</v>
      </c>
      <c r="C225" s="26" t="s">
        <v>58</v>
      </c>
      <c r="D225" s="26" t="s">
        <v>57</v>
      </c>
      <c r="E225" s="27" t="s">
        <v>5055</v>
      </c>
      <c r="F225" s="21">
        <v>5.0851991E8</v>
      </c>
      <c r="G225" s="26" t="s">
        <v>4740</v>
      </c>
      <c r="H225" s="27" t="s">
        <v>79</v>
      </c>
      <c r="I225" s="26" t="s">
        <v>27</v>
      </c>
      <c r="J225" s="209" t="s">
        <v>5056</v>
      </c>
      <c r="K225" s="27"/>
      <c r="L225" s="26" t="s">
        <v>36</v>
      </c>
      <c r="M225" s="27" t="s">
        <v>6046</v>
      </c>
      <c r="N225" s="26" t="s">
        <v>49</v>
      </c>
      <c r="O225" s="26" t="s">
        <v>863</v>
      </c>
      <c r="P225" s="35"/>
      <c r="Q225" s="26" t="s">
        <v>56</v>
      </c>
      <c r="R225" s="26" t="s">
        <v>42</v>
      </c>
      <c r="S225" s="27" t="s">
        <v>3566</v>
      </c>
      <c r="T225" s="27"/>
      <c r="U225" s="35"/>
      <c r="V225" s="26"/>
      <c r="W225" s="26">
        <v>5.0</v>
      </c>
      <c r="X225" s="26"/>
    </row>
    <row r="226" hidden="1">
      <c r="A226" s="26">
        <v>226.0</v>
      </c>
      <c r="B226" s="188">
        <v>46177.0</v>
      </c>
      <c r="C226" s="26" t="s">
        <v>58</v>
      </c>
      <c r="D226" s="26" t="s">
        <v>34</v>
      </c>
      <c r="E226" s="26" t="s">
        <v>27</v>
      </c>
      <c r="F226" s="21">
        <v>5.55853037E8</v>
      </c>
      <c r="G226" s="26" t="s">
        <v>27</v>
      </c>
      <c r="H226" s="26" t="s">
        <v>27</v>
      </c>
      <c r="I226" s="26" t="s">
        <v>27</v>
      </c>
      <c r="J226" s="209" t="s">
        <v>5058</v>
      </c>
      <c r="K226" s="27"/>
      <c r="L226" s="26" t="s">
        <v>36</v>
      </c>
      <c r="M226" s="27" t="s">
        <v>208</v>
      </c>
      <c r="N226" s="26" t="s">
        <v>49</v>
      </c>
      <c r="O226" s="26" t="s">
        <v>863</v>
      </c>
      <c r="P226" s="35"/>
      <c r="Q226" s="26" t="s">
        <v>56</v>
      </c>
      <c r="R226" s="26" t="s">
        <v>42</v>
      </c>
      <c r="S226" s="27" t="s">
        <v>3566</v>
      </c>
      <c r="T226" s="27"/>
      <c r="U226" s="35"/>
      <c r="V226" s="26"/>
      <c r="W226" s="26">
        <v>5.0</v>
      </c>
      <c r="X226" s="26"/>
    </row>
    <row r="227" hidden="1">
      <c r="A227" s="26">
        <v>227.0</v>
      </c>
      <c r="B227" s="188">
        <v>46177.0</v>
      </c>
      <c r="C227" s="26" t="s">
        <v>21</v>
      </c>
      <c r="D227" s="26" t="s">
        <v>22</v>
      </c>
      <c r="E227" s="27" t="s">
        <v>2177</v>
      </c>
      <c r="F227" s="21">
        <v>5.07919397E8</v>
      </c>
      <c r="G227" s="26" t="s">
        <v>4865</v>
      </c>
      <c r="H227" s="27" t="s">
        <v>319</v>
      </c>
      <c r="I227" s="26" t="s">
        <v>27</v>
      </c>
      <c r="J227" s="209" t="s">
        <v>5064</v>
      </c>
      <c r="K227" s="27"/>
      <c r="L227" s="26" t="s">
        <v>62</v>
      </c>
      <c r="M227" s="27" t="s">
        <v>1389</v>
      </c>
      <c r="N227" s="26" t="s">
        <v>4870</v>
      </c>
      <c r="O227" s="26" t="s">
        <v>4746</v>
      </c>
      <c r="P227" s="35"/>
      <c r="Q227" s="26" t="s">
        <v>40</v>
      </c>
      <c r="R227" s="26" t="s">
        <v>42</v>
      </c>
      <c r="S227" s="27" t="s">
        <v>3566</v>
      </c>
      <c r="T227" s="27"/>
      <c r="U227" s="35"/>
      <c r="V227" s="26"/>
      <c r="W227" s="26">
        <v>5.0</v>
      </c>
      <c r="X227" s="26" t="s">
        <v>46</v>
      </c>
    </row>
    <row r="228" hidden="1">
      <c r="A228" s="26">
        <v>228.0</v>
      </c>
      <c r="B228" s="188">
        <v>46177.0</v>
      </c>
      <c r="C228" s="26" t="s">
        <v>47</v>
      </c>
      <c r="D228" s="26" t="s">
        <v>367</v>
      </c>
      <c r="E228" s="26" t="s">
        <v>3097</v>
      </c>
      <c r="F228" s="21">
        <v>5.38122661E8</v>
      </c>
      <c r="G228" s="26" t="s">
        <v>4740</v>
      </c>
      <c r="H228" s="27" t="s">
        <v>41</v>
      </c>
      <c r="I228" s="26" t="s">
        <v>146</v>
      </c>
      <c r="J228" s="209" t="s">
        <v>5067</v>
      </c>
      <c r="K228" s="27" t="s">
        <v>5069</v>
      </c>
      <c r="L228" s="26" t="s">
        <v>148</v>
      </c>
      <c r="M228" s="20" t="s">
        <v>3759</v>
      </c>
      <c r="N228" s="26" t="s">
        <v>4917</v>
      </c>
      <c r="O228" s="26" t="s">
        <v>863</v>
      </c>
      <c r="P228" s="35"/>
      <c r="Q228" s="26" t="s">
        <v>56</v>
      </c>
      <c r="R228" s="26" t="s">
        <v>518</v>
      </c>
      <c r="S228" s="27" t="s">
        <v>3566</v>
      </c>
      <c r="T228" s="27"/>
      <c r="U228" s="35"/>
      <c r="V228" s="26"/>
      <c r="W228" s="26">
        <v>5.0</v>
      </c>
      <c r="X228" s="26" t="s">
        <v>46</v>
      </c>
    </row>
    <row r="229" hidden="1">
      <c r="A229" s="26">
        <v>229.0</v>
      </c>
      <c r="B229" s="188">
        <v>46177.0</v>
      </c>
      <c r="C229" s="26" t="s">
        <v>47</v>
      </c>
      <c r="D229" s="26" t="s">
        <v>48</v>
      </c>
      <c r="E229" s="26" t="s">
        <v>27</v>
      </c>
      <c r="F229" s="21" t="s">
        <v>27</v>
      </c>
      <c r="G229" s="26" t="s">
        <v>4769</v>
      </c>
      <c r="H229" s="27" t="s">
        <v>152</v>
      </c>
      <c r="I229" s="26" t="s">
        <v>272</v>
      </c>
      <c r="J229" s="209" t="s">
        <v>5074</v>
      </c>
      <c r="K229" s="27" t="s">
        <v>5075</v>
      </c>
      <c r="L229" s="26" t="s">
        <v>78</v>
      </c>
      <c r="M229" s="318" t="s">
        <v>4232</v>
      </c>
      <c r="N229" s="26" t="s">
        <v>4977</v>
      </c>
      <c r="O229" s="26" t="s">
        <v>863</v>
      </c>
      <c r="P229" s="35"/>
      <c r="Q229" s="26" t="s">
        <v>56</v>
      </c>
      <c r="R229" s="26" t="s">
        <v>518</v>
      </c>
      <c r="S229" s="27" t="s">
        <v>3765</v>
      </c>
      <c r="T229" s="27"/>
      <c r="U229" s="35"/>
      <c r="V229" s="26"/>
      <c r="W229" s="26">
        <v>5.0</v>
      </c>
      <c r="X229" s="26" t="s">
        <v>46</v>
      </c>
    </row>
    <row r="230" hidden="1">
      <c r="A230" s="26">
        <v>230.0</v>
      </c>
      <c r="B230" s="188">
        <v>46177.0</v>
      </c>
      <c r="C230" s="26" t="s">
        <v>3766</v>
      </c>
      <c r="D230" s="26" t="s">
        <v>57</v>
      </c>
      <c r="E230" s="26" t="s">
        <v>27</v>
      </c>
      <c r="F230" s="21" t="s">
        <v>1582</v>
      </c>
      <c r="G230" s="26" t="s">
        <v>4740</v>
      </c>
      <c r="H230" s="27" t="s">
        <v>79</v>
      </c>
      <c r="I230" s="26" t="s">
        <v>487</v>
      </c>
      <c r="J230" s="209" t="s">
        <v>5081</v>
      </c>
      <c r="K230" s="27"/>
      <c r="L230" s="26" t="s">
        <v>78</v>
      </c>
      <c r="M230" s="27" t="s">
        <v>6247</v>
      </c>
      <c r="N230" s="26" t="s">
        <v>49</v>
      </c>
      <c r="O230" s="26" t="s">
        <v>863</v>
      </c>
      <c r="P230" s="35"/>
      <c r="Q230" s="26" t="s">
        <v>56</v>
      </c>
      <c r="R230" s="26" t="s">
        <v>42</v>
      </c>
      <c r="S230" s="27" t="s">
        <v>3566</v>
      </c>
      <c r="T230" s="27"/>
      <c r="U230" s="35"/>
      <c r="V230" s="26"/>
      <c r="W230" s="26">
        <v>5.0</v>
      </c>
      <c r="X230" s="26"/>
    </row>
    <row r="231" hidden="1">
      <c r="A231" s="26">
        <v>231.0</v>
      </c>
      <c r="B231" s="188">
        <v>46177.0</v>
      </c>
      <c r="C231" s="26" t="s">
        <v>21</v>
      </c>
      <c r="D231" s="26" t="s">
        <v>22</v>
      </c>
      <c r="E231" s="27" t="s">
        <v>5085</v>
      </c>
      <c r="F231" s="21">
        <v>5.09728284E8</v>
      </c>
      <c r="G231" s="26" t="s">
        <v>4975</v>
      </c>
      <c r="H231" s="27" t="s">
        <v>362</v>
      </c>
      <c r="I231" s="26" t="s">
        <v>27</v>
      </c>
      <c r="J231" s="209" t="s">
        <v>5086</v>
      </c>
      <c r="K231" s="27"/>
      <c r="L231" s="26" t="s">
        <v>36</v>
      </c>
      <c r="M231" s="27" t="s">
        <v>4868</v>
      </c>
      <c r="N231" s="26" t="s">
        <v>4870</v>
      </c>
      <c r="O231" s="26" t="s">
        <v>863</v>
      </c>
      <c r="P231" s="35"/>
      <c r="Q231" s="26" t="s">
        <v>40</v>
      </c>
      <c r="R231" s="26" t="s">
        <v>42</v>
      </c>
      <c r="S231" s="27" t="s">
        <v>3566</v>
      </c>
      <c r="T231" s="27"/>
      <c r="U231" s="27" t="s">
        <v>3566</v>
      </c>
      <c r="V231" s="26"/>
      <c r="W231" s="26">
        <v>5.0</v>
      </c>
      <c r="X231" s="26" t="s">
        <v>46</v>
      </c>
    </row>
    <row r="232" hidden="1">
      <c r="A232" s="26">
        <v>232.0</v>
      </c>
      <c r="B232" s="188">
        <v>46177.0</v>
      </c>
      <c r="C232" s="26" t="s">
        <v>21</v>
      </c>
      <c r="D232" s="26" t="s">
        <v>22</v>
      </c>
      <c r="E232" s="27" t="s">
        <v>5091</v>
      </c>
      <c r="F232" s="21">
        <v>5.40792249E8</v>
      </c>
      <c r="G232" s="26" t="s">
        <v>5023</v>
      </c>
      <c r="H232" s="27" t="s">
        <v>2740</v>
      </c>
      <c r="I232" s="26" t="s">
        <v>27</v>
      </c>
      <c r="J232" s="209" t="s">
        <v>5092</v>
      </c>
      <c r="K232" s="27"/>
      <c r="L232" s="26" t="s">
        <v>36</v>
      </c>
      <c r="M232" s="27" t="s">
        <v>1389</v>
      </c>
      <c r="N232" s="26" t="s">
        <v>4870</v>
      </c>
      <c r="O232" s="26" t="s">
        <v>863</v>
      </c>
      <c r="P232" s="35"/>
      <c r="Q232" s="26" t="s">
        <v>40</v>
      </c>
      <c r="R232" s="26" t="s">
        <v>42</v>
      </c>
      <c r="S232" s="27" t="s">
        <v>3566</v>
      </c>
      <c r="T232" s="27"/>
      <c r="U232" s="35"/>
      <c r="V232" s="26"/>
      <c r="W232" s="26">
        <v>5.0</v>
      </c>
      <c r="X232" s="26" t="s">
        <v>46</v>
      </c>
    </row>
    <row r="233" hidden="1">
      <c r="A233" s="26">
        <v>233.0</v>
      </c>
      <c r="B233" s="188">
        <v>46177.0</v>
      </c>
      <c r="C233" s="26" t="s">
        <v>58</v>
      </c>
      <c r="D233" s="26" t="s">
        <v>60</v>
      </c>
      <c r="E233" s="27" t="s">
        <v>5097</v>
      </c>
      <c r="F233" s="21">
        <v>5.94201764E8</v>
      </c>
      <c r="G233" s="26" t="s">
        <v>4769</v>
      </c>
      <c r="H233" s="27" t="s">
        <v>2580</v>
      </c>
      <c r="I233" s="26" t="s">
        <v>1114</v>
      </c>
      <c r="J233" s="209" t="s">
        <v>5098</v>
      </c>
      <c r="K233" s="310" t="s">
        <v>5099</v>
      </c>
      <c r="L233" s="26" t="s">
        <v>36</v>
      </c>
      <c r="M233" s="27" t="s">
        <v>88</v>
      </c>
      <c r="N233" s="26" t="s">
        <v>49</v>
      </c>
      <c r="O233" s="26" t="s">
        <v>863</v>
      </c>
      <c r="P233" s="35"/>
      <c r="Q233" s="26" t="s">
        <v>56</v>
      </c>
      <c r="R233" s="26" t="s">
        <v>42</v>
      </c>
      <c r="S233" s="27" t="s">
        <v>3566</v>
      </c>
      <c r="T233" s="27"/>
      <c r="U233" s="35"/>
      <c r="V233" s="26"/>
      <c r="W233" s="26">
        <v>5.0</v>
      </c>
      <c r="X233" s="26"/>
    </row>
    <row r="234" hidden="1">
      <c r="A234" s="26">
        <v>234.0</v>
      </c>
      <c r="B234" s="188">
        <v>46177.0</v>
      </c>
      <c r="C234" s="26" t="s">
        <v>21</v>
      </c>
      <c r="D234" s="26" t="s">
        <v>22</v>
      </c>
      <c r="E234" s="27" t="s">
        <v>405</v>
      </c>
      <c r="F234" s="21">
        <v>5.47657076E8</v>
      </c>
      <c r="G234" s="26" t="s">
        <v>4740</v>
      </c>
      <c r="H234" s="27" t="s">
        <v>71</v>
      </c>
      <c r="I234" s="26" t="s">
        <v>27</v>
      </c>
      <c r="J234" s="209" t="s">
        <v>5105</v>
      </c>
      <c r="K234" s="27"/>
      <c r="L234" s="26" t="s">
        <v>62</v>
      </c>
      <c r="M234" s="27" t="s">
        <v>4868</v>
      </c>
      <c r="N234" s="26" t="s">
        <v>4870</v>
      </c>
      <c r="O234" s="26" t="s">
        <v>4746</v>
      </c>
      <c r="P234" s="35"/>
      <c r="Q234" s="26" t="s">
        <v>40</v>
      </c>
      <c r="R234" s="26" t="s">
        <v>42</v>
      </c>
      <c r="S234" s="27" t="s">
        <v>3566</v>
      </c>
      <c r="T234" s="27"/>
      <c r="U234" s="35"/>
      <c r="V234" s="26"/>
      <c r="W234" s="26">
        <v>5.0</v>
      </c>
      <c r="X234" s="126" t="s">
        <v>46</v>
      </c>
    </row>
    <row r="235" hidden="1">
      <c r="A235" s="26">
        <v>235.0</v>
      </c>
      <c r="B235" s="188">
        <v>46177.0</v>
      </c>
      <c r="C235" s="26" t="s">
        <v>47</v>
      </c>
      <c r="D235" s="26" t="s">
        <v>92</v>
      </c>
      <c r="E235" s="27" t="s">
        <v>5109</v>
      </c>
      <c r="F235" s="21">
        <v>5.6446449E8</v>
      </c>
      <c r="G235" s="26" t="s">
        <v>4740</v>
      </c>
      <c r="H235" s="27" t="s">
        <v>71</v>
      </c>
      <c r="I235" s="26" t="s">
        <v>94</v>
      </c>
      <c r="J235" s="209" t="s">
        <v>6277</v>
      </c>
      <c r="K235" s="310"/>
      <c r="L235" s="26" t="s">
        <v>62</v>
      </c>
      <c r="M235" s="27" t="s">
        <v>6279</v>
      </c>
      <c r="N235" s="26" t="s">
        <v>4637</v>
      </c>
      <c r="O235" s="26" t="s">
        <v>863</v>
      </c>
      <c r="P235" s="35">
        <v>0.3680555555555556</v>
      </c>
      <c r="Q235" s="26" t="s">
        <v>40</v>
      </c>
      <c r="R235" s="26" t="s">
        <v>42</v>
      </c>
      <c r="S235" s="27" t="s">
        <v>3566</v>
      </c>
      <c r="T235" s="27" t="s">
        <v>2632</v>
      </c>
      <c r="U235" s="35"/>
      <c r="V235" s="26" t="s">
        <v>863</v>
      </c>
      <c r="W235" s="26">
        <v>5.0</v>
      </c>
      <c r="X235" s="26" t="s">
        <v>46</v>
      </c>
    </row>
    <row r="236" hidden="1">
      <c r="A236" s="26">
        <v>236.0</v>
      </c>
      <c r="B236" s="188">
        <v>46177.0</v>
      </c>
      <c r="C236" s="26" t="s">
        <v>58</v>
      </c>
      <c r="D236" s="26" t="s">
        <v>60</v>
      </c>
      <c r="E236" s="26" t="s">
        <v>27</v>
      </c>
      <c r="F236" s="21">
        <v>5.55598818E8</v>
      </c>
      <c r="G236" s="26" t="s">
        <v>27</v>
      </c>
      <c r="H236" s="26" t="s">
        <v>27</v>
      </c>
      <c r="I236" s="26" t="s">
        <v>27</v>
      </c>
      <c r="J236" s="209" t="s">
        <v>5112</v>
      </c>
      <c r="K236" s="27" t="s">
        <v>5113</v>
      </c>
      <c r="L236" s="26" t="s">
        <v>62</v>
      </c>
      <c r="M236" s="27" t="s">
        <v>88</v>
      </c>
      <c r="N236" s="26" t="s">
        <v>49</v>
      </c>
      <c r="O236" s="26" t="s">
        <v>863</v>
      </c>
      <c r="P236" s="35"/>
      <c r="Q236" s="26" t="s">
        <v>56</v>
      </c>
      <c r="R236" s="26" t="s">
        <v>42</v>
      </c>
      <c r="S236" s="27" t="s">
        <v>3566</v>
      </c>
      <c r="T236" s="27"/>
      <c r="U236" s="35"/>
      <c r="V236" s="26"/>
      <c r="W236" s="26">
        <v>5.0</v>
      </c>
      <c r="X236" s="26"/>
    </row>
    <row r="237" hidden="1">
      <c r="A237" s="26">
        <v>237.0</v>
      </c>
      <c r="B237" s="188">
        <v>46177.0</v>
      </c>
      <c r="C237" s="26" t="s">
        <v>58</v>
      </c>
      <c r="D237" s="26" t="s">
        <v>60</v>
      </c>
      <c r="E237" s="26" t="s">
        <v>27</v>
      </c>
      <c r="F237" s="21">
        <v>5.00894255E8</v>
      </c>
      <c r="G237" s="26" t="s">
        <v>27</v>
      </c>
      <c r="H237" s="26" t="s">
        <v>27</v>
      </c>
      <c r="I237" s="26" t="s">
        <v>27</v>
      </c>
      <c r="J237" s="209" t="s">
        <v>484</v>
      </c>
      <c r="K237" s="27"/>
      <c r="L237" s="26" t="s">
        <v>36</v>
      </c>
      <c r="M237" s="27" t="s">
        <v>88</v>
      </c>
      <c r="N237" s="26" t="s">
        <v>49</v>
      </c>
      <c r="O237" s="26" t="s">
        <v>863</v>
      </c>
      <c r="P237" s="35"/>
      <c r="Q237" s="26" t="s">
        <v>56</v>
      </c>
      <c r="R237" s="26" t="s">
        <v>42</v>
      </c>
      <c r="S237" s="27" t="s">
        <v>3566</v>
      </c>
      <c r="T237" s="27"/>
      <c r="U237" s="35"/>
      <c r="V237" s="26"/>
      <c r="W237" s="26">
        <v>5.0</v>
      </c>
      <c r="X237" s="26"/>
    </row>
    <row r="238" ht="44.25" hidden="1" customHeight="1">
      <c r="A238" s="26">
        <v>238.0</v>
      </c>
      <c r="B238" s="188">
        <v>46177.0</v>
      </c>
      <c r="C238" s="26" t="s">
        <v>47</v>
      </c>
      <c r="D238" s="26" t="s">
        <v>48</v>
      </c>
      <c r="E238" s="27" t="s">
        <v>5120</v>
      </c>
      <c r="F238" s="21">
        <v>5.5555018E8</v>
      </c>
      <c r="G238" s="26" t="s">
        <v>4740</v>
      </c>
      <c r="H238" s="27" t="s">
        <v>79</v>
      </c>
      <c r="I238" s="26" t="s">
        <v>431</v>
      </c>
      <c r="J238" s="209" t="s">
        <v>6292</v>
      </c>
      <c r="K238" s="310" t="s">
        <v>5122</v>
      </c>
      <c r="L238" s="26" t="s">
        <v>36</v>
      </c>
      <c r="M238" s="27" t="s">
        <v>5011</v>
      </c>
      <c r="N238" s="26" t="s">
        <v>4977</v>
      </c>
      <c r="O238" s="26" t="s">
        <v>863</v>
      </c>
      <c r="P238" s="35"/>
      <c r="Q238" s="26" t="s">
        <v>56</v>
      </c>
      <c r="R238" s="26" t="s">
        <v>518</v>
      </c>
      <c r="S238" s="27" t="s">
        <v>3765</v>
      </c>
      <c r="T238" s="27" t="s">
        <v>3566</v>
      </c>
      <c r="U238" s="35">
        <v>0.39791666666666664</v>
      </c>
      <c r="V238" s="26" t="s">
        <v>863</v>
      </c>
      <c r="W238" s="26">
        <v>5.0</v>
      </c>
      <c r="X238" s="26" t="s">
        <v>46</v>
      </c>
    </row>
    <row r="239" hidden="1">
      <c r="A239" s="26">
        <v>239.0</v>
      </c>
      <c r="B239" s="188">
        <v>46177.0</v>
      </c>
      <c r="C239" s="26" t="s">
        <v>47</v>
      </c>
      <c r="D239" s="26" t="s">
        <v>48</v>
      </c>
      <c r="E239" s="27" t="s">
        <v>5126</v>
      </c>
      <c r="F239" s="21">
        <v>5.05550143E8</v>
      </c>
      <c r="G239" s="26" t="s">
        <v>4740</v>
      </c>
      <c r="H239" s="27" t="s">
        <v>41</v>
      </c>
      <c r="I239" s="26" t="s">
        <v>414</v>
      </c>
      <c r="J239" s="209" t="s">
        <v>6297</v>
      </c>
      <c r="K239" s="27" t="s">
        <v>5129</v>
      </c>
      <c r="L239" s="26" t="s">
        <v>36</v>
      </c>
      <c r="M239" s="335" t="s">
        <v>5557</v>
      </c>
      <c r="N239" s="26" t="s">
        <v>4977</v>
      </c>
      <c r="O239" s="26" t="s">
        <v>4746</v>
      </c>
      <c r="P239" s="35">
        <v>0.6527777777777778</v>
      </c>
      <c r="Q239" s="26" t="s">
        <v>56</v>
      </c>
      <c r="R239" s="26" t="s">
        <v>42</v>
      </c>
      <c r="S239" s="27" t="s">
        <v>3997</v>
      </c>
      <c r="T239" s="27" t="s">
        <v>3566</v>
      </c>
      <c r="U239" s="35">
        <v>0.65625</v>
      </c>
      <c r="V239" s="26" t="s">
        <v>44</v>
      </c>
      <c r="W239" s="26">
        <v>5.0</v>
      </c>
      <c r="X239" s="26" t="s">
        <v>46</v>
      </c>
    </row>
    <row r="240" hidden="1">
      <c r="A240" s="26">
        <v>240.0</v>
      </c>
      <c r="B240" s="188">
        <v>46177.0</v>
      </c>
      <c r="C240" s="26" t="s">
        <v>21</v>
      </c>
      <c r="D240" s="26" t="s">
        <v>22</v>
      </c>
      <c r="E240" s="27" t="s">
        <v>4206</v>
      </c>
      <c r="F240" s="21">
        <v>5.5002359E8</v>
      </c>
      <c r="G240" s="26" t="s">
        <v>4740</v>
      </c>
      <c r="H240" s="27" t="s">
        <v>41</v>
      </c>
      <c r="I240" s="26" t="s">
        <v>27</v>
      </c>
      <c r="J240" s="209" t="s">
        <v>5135</v>
      </c>
      <c r="K240" s="27"/>
      <c r="L240" s="26" t="s">
        <v>36</v>
      </c>
      <c r="M240" s="27" t="s">
        <v>1389</v>
      </c>
      <c r="N240" s="26" t="s">
        <v>4870</v>
      </c>
      <c r="O240" s="26" t="s">
        <v>4746</v>
      </c>
      <c r="P240" s="35"/>
      <c r="Q240" s="26" t="s">
        <v>40</v>
      </c>
      <c r="R240" s="26" t="s">
        <v>42</v>
      </c>
      <c r="S240" s="27" t="s">
        <v>3566</v>
      </c>
      <c r="T240" s="27"/>
      <c r="U240" s="35"/>
      <c r="V240" s="26"/>
      <c r="W240" s="26">
        <v>5.0</v>
      </c>
      <c r="X240" s="126" t="s">
        <v>46</v>
      </c>
    </row>
    <row r="241" hidden="1">
      <c r="A241" s="26">
        <v>241.0</v>
      </c>
      <c r="B241" s="188">
        <v>46177.0</v>
      </c>
      <c r="C241" s="26" t="s">
        <v>21</v>
      </c>
      <c r="D241" s="26" t="s">
        <v>24</v>
      </c>
      <c r="E241" s="27" t="s">
        <v>5139</v>
      </c>
      <c r="F241" s="21">
        <v>5.03336892E8</v>
      </c>
      <c r="G241" s="26" t="s">
        <v>4852</v>
      </c>
      <c r="H241" s="27" t="s">
        <v>2083</v>
      </c>
      <c r="I241" s="26" t="s">
        <v>27</v>
      </c>
      <c r="J241" s="209" t="s">
        <v>5140</v>
      </c>
      <c r="K241" s="27"/>
      <c r="L241" s="26" t="s">
        <v>62</v>
      </c>
      <c r="M241" s="27" t="s">
        <v>4982</v>
      </c>
      <c r="N241" s="26" t="s">
        <v>4803</v>
      </c>
      <c r="O241" s="26" t="s">
        <v>4746</v>
      </c>
      <c r="P241" s="35"/>
      <c r="Q241" s="26" t="s">
        <v>56</v>
      </c>
      <c r="R241" s="26" t="s">
        <v>301</v>
      </c>
      <c r="S241" s="27" t="s">
        <v>3566</v>
      </c>
      <c r="T241" s="27"/>
      <c r="U241" s="35"/>
      <c r="V241" s="26"/>
      <c r="W241" s="26">
        <v>5.0</v>
      </c>
      <c r="X241" s="26" t="s">
        <v>46</v>
      </c>
    </row>
    <row r="242" hidden="1">
      <c r="A242" s="26">
        <v>242.0</v>
      </c>
      <c r="B242" s="188">
        <v>46180.0</v>
      </c>
      <c r="C242" s="26" t="s">
        <v>21</v>
      </c>
      <c r="D242" s="26" t="s">
        <v>24</v>
      </c>
      <c r="E242" s="27" t="s">
        <v>118</v>
      </c>
      <c r="F242" s="21">
        <v>5.0068502E8</v>
      </c>
      <c r="G242" s="26" t="s">
        <v>4865</v>
      </c>
      <c r="H242" s="27" t="s">
        <v>319</v>
      </c>
      <c r="I242" s="26" t="s">
        <v>27</v>
      </c>
      <c r="J242" s="209" t="s">
        <v>5147</v>
      </c>
      <c r="K242" s="27"/>
      <c r="L242" s="26" t="s">
        <v>36</v>
      </c>
      <c r="M242" s="27" t="s">
        <v>4982</v>
      </c>
      <c r="N242" s="26" t="s">
        <v>4803</v>
      </c>
      <c r="O242" s="26" t="s">
        <v>4746</v>
      </c>
      <c r="P242" s="35"/>
      <c r="Q242" s="26" t="s">
        <v>56</v>
      </c>
      <c r="R242" s="26" t="s">
        <v>42</v>
      </c>
      <c r="S242" s="27" t="s">
        <v>3566</v>
      </c>
      <c r="T242" s="27"/>
      <c r="U242" s="35"/>
      <c r="V242" s="26"/>
      <c r="W242" s="26">
        <v>5.0</v>
      </c>
      <c r="X242" s="26" t="s">
        <v>46</v>
      </c>
    </row>
    <row r="243" hidden="1">
      <c r="A243" s="26">
        <v>243.0</v>
      </c>
      <c r="B243" s="188">
        <v>46180.0</v>
      </c>
      <c r="C243" s="26" t="s">
        <v>21</v>
      </c>
      <c r="D243" s="26" t="s">
        <v>22</v>
      </c>
      <c r="E243" s="27" t="s">
        <v>5037</v>
      </c>
      <c r="F243" s="21">
        <v>5.75267061E8</v>
      </c>
      <c r="G243" s="26" t="s">
        <v>4769</v>
      </c>
      <c r="H243" s="27" t="s">
        <v>152</v>
      </c>
      <c r="I243" s="26" t="s">
        <v>27</v>
      </c>
      <c r="J243" s="209" t="s">
        <v>5152</v>
      </c>
      <c r="K243" s="27"/>
      <c r="L243" s="26" t="s">
        <v>62</v>
      </c>
      <c r="M243" s="27" t="s">
        <v>4868</v>
      </c>
      <c r="N243" s="26" t="s">
        <v>4870</v>
      </c>
      <c r="O243" s="26" t="s">
        <v>4746</v>
      </c>
      <c r="P243" s="35"/>
      <c r="Q243" s="26" t="s">
        <v>40</v>
      </c>
      <c r="R243" s="26" t="s">
        <v>42</v>
      </c>
      <c r="S243" s="27" t="s">
        <v>3566</v>
      </c>
      <c r="T243" s="27"/>
      <c r="U243" s="35"/>
      <c r="V243" s="26"/>
      <c r="W243" s="26">
        <v>5.0</v>
      </c>
      <c r="X243" s="126" t="s">
        <v>46</v>
      </c>
    </row>
    <row r="244" hidden="1">
      <c r="A244" s="26">
        <v>244.0</v>
      </c>
      <c r="B244" s="188">
        <v>46180.0</v>
      </c>
      <c r="C244" s="26" t="s">
        <v>58</v>
      </c>
      <c r="D244" s="26" t="s">
        <v>60</v>
      </c>
      <c r="E244" s="26" t="s">
        <v>27</v>
      </c>
      <c r="F244" s="21">
        <v>5.58343584E8</v>
      </c>
      <c r="G244" s="26" t="s">
        <v>27</v>
      </c>
      <c r="H244" s="26" t="s">
        <v>27</v>
      </c>
      <c r="I244" s="26" t="s">
        <v>27</v>
      </c>
      <c r="J244" s="209" t="s">
        <v>5156</v>
      </c>
      <c r="K244" s="27" t="s">
        <v>5157</v>
      </c>
      <c r="L244" s="26" t="s">
        <v>62</v>
      </c>
      <c r="M244" s="27" t="s">
        <v>88</v>
      </c>
      <c r="N244" s="26" t="s">
        <v>4746</v>
      </c>
      <c r="O244" s="26" t="s">
        <v>4746</v>
      </c>
      <c r="P244" s="35"/>
      <c r="Q244" s="26" t="s">
        <v>56</v>
      </c>
      <c r="R244" s="26" t="s">
        <v>42</v>
      </c>
      <c r="S244" s="27" t="s">
        <v>3566</v>
      </c>
      <c r="T244" s="27"/>
      <c r="U244" s="35"/>
      <c r="V244" s="26"/>
      <c r="W244" s="26">
        <v>5.0</v>
      </c>
      <c r="X244" s="26"/>
    </row>
    <row r="245" hidden="1">
      <c r="A245" s="26">
        <v>245.0</v>
      </c>
      <c r="B245" s="188">
        <v>46180.0</v>
      </c>
      <c r="C245" s="26" t="s">
        <v>58</v>
      </c>
      <c r="D245" s="26" t="s">
        <v>60</v>
      </c>
      <c r="E245" s="27" t="s">
        <v>482</v>
      </c>
      <c r="F245" s="21">
        <v>5.57417763E8</v>
      </c>
      <c r="G245" s="26" t="s">
        <v>4740</v>
      </c>
      <c r="H245" s="27" t="s">
        <v>71</v>
      </c>
      <c r="I245" s="26" t="s">
        <v>27</v>
      </c>
      <c r="J245" s="209" t="s">
        <v>5159</v>
      </c>
      <c r="K245" s="27" t="s">
        <v>5160</v>
      </c>
      <c r="L245" s="26" t="s">
        <v>62</v>
      </c>
      <c r="M245" s="27" t="s">
        <v>88</v>
      </c>
      <c r="N245" s="26" t="s">
        <v>4746</v>
      </c>
      <c r="O245" s="26" t="s">
        <v>4746</v>
      </c>
      <c r="P245" s="35"/>
      <c r="Q245" s="26" t="s">
        <v>56</v>
      </c>
      <c r="R245" s="26" t="s">
        <v>42</v>
      </c>
      <c r="S245" s="27" t="s">
        <v>3566</v>
      </c>
      <c r="T245" s="27"/>
      <c r="U245" s="35"/>
      <c r="V245" s="26"/>
      <c r="W245" s="26">
        <v>5.0</v>
      </c>
      <c r="X245" s="26"/>
    </row>
    <row r="246" hidden="1">
      <c r="A246" s="26">
        <v>246.0</v>
      </c>
      <c r="B246" s="188">
        <v>46180.0</v>
      </c>
      <c r="C246" s="26" t="s">
        <v>21</v>
      </c>
      <c r="D246" s="26" t="s">
        <v>22</v>
      </c>
      <c r="E246" s="27" t="s">
        <v>463</v>
      </c>
      <c r="F246" s="21">
        <v>5.69586025E8</v>
      </c>
      <c r="G246" s="26" t="s">
        <v>4740</v>
      </c>
      <c r="H246" s="27" t="s">
        <v>41</v>
      </c>
      <c r="I246" s="26" t="s">
        <v>27</v>
      </c>
      <c r="J246" s="209" t="s">
        <v>5164</v>
      </c>
      <c r="K246" s="27"/>
      <c r="L246" s="26" t="s">
        <v>62</v>
      </c>
      <c r="M246" s="27" t="s">
        <v>1389</v>
      </c>
      <c r="N246" s="26" t="s">
        <v>4870</v>
      </c>
      <c r="O246" s="26" t="s">
        <v>4746</v>
      </c>
      <c r="P246" s="35"/>
      <c r="Q246" s="26" t="s">
        <v>40</v>
      </c>
      <c r="R246" s="26" t="s">
        <v>42</v>
      </c>
      <c r="S246" s="27" t="s">
        <v>3566</v>
      </c>
      <c r="T246" s="27"/>
      <c r="U246" s="35"/>
      <c r="V246" s="26"/>
      <c r="W246" s="26">
        <v>5.0</v>
      </c>
      <c r="X246" s="126" t="s">
        <v>46</v>
      </c>
    </row>
    <row r="247" hidden="1">
      <c r="A247" s="26">
        <v>247.0</v>
      </c>
      <c r="B247" s="188">
        <v>46180.0</v>
      </c>
      <c r="C247" s="26" t="s">
        <v>21</v>
      </c>
      <c r="D247" s="26" t="s">
        <v>22</v>
      </c>
      <c r="E247" s="27" t="s">
        <v>5168</v>
      </c>
      <c r="F247" s="21">
        <v>5.58544253E8</v>
      </c>
      <c r="G247" s="26" t="s">
        <v>5023</v>
      </c>
      <c r="H247" s="26" t="s">
        <v>27</v>
      </c>
      <c r="I247" s="26" t="s">
        <v>27</v>
      </c>
      <c r="J247" s="209" t="s">
        <v>5170</v>
      </c>
      <c r="K247" s="27"/>
      <c r="L247" s="26" t="s">
        <v>62</v>
      </c>
      <c r="M247" s="27" t="s">
        <v>4868</v>
      </c>
      <c r="N247" s="26" t="s">
        <v>4870</v>
      </c>
      <c r="O247" s="26" t="s">
        <v>4746</v>
      </c>
      <c r="P247" s="35"/>
      <c r="Q247" s="26" t="s">
        <v>40</v>
      </c>
      <c r="R247" s="26" t="s">
        <v>42</v>
      </c>
      <c r="S247" s="27" t="s">
        <v>3566</v>
      </c>
      <c r="T247" s="27"/>
      <c r="U247" s="35"/>
      <c r="V247" s="26"/>
      <c r="W247" s="26">
        <v>5.0</v>
      </c>
      <c r="X247" s="126" t="s">
        <v>46</v>
      </c>
    </row>
    <row r="248" hidden="1">
      <c r="A248" s="26">
        <v>248.0</v>
      </c>
      <c r="B248" s="188">
        <v>46180.0</v>
      </c>
      <c r="C248" s="26" t="s">
        <v>58</v>
      </c>
      <c r="D248" s="26" t="s">
        <v>57</v>
      </c>
      <c r="E248" s="27" t="s">
        <v>2316</v>
      </c>
      <c r="F248" s="21">
        <v>5.02499133E8</v>
      </c>
      <c r="G248" s="26" t="s">
        <v>4852</v>
      </c>
      <c r="H248" s="27" t="s">
        <v>1452</v>
      </c>
      <c r="I248" s="26" t="s">
        <v>27</v>
      </c>
      <c r="J248" s="209" t="s">
        <v>5174</v>
      </c>
      <c r="K248" s="27"/>
      <c r="L248" s="26" t="s">
        <v>62</v>
      </c>
      <c r="M248" s="27" t="s">
        <v>6046</v>
      </c>
      <c r="N248" s="26" t="s">
        <v>4746</v>
      </c>
      <c r="O248" s="26" t="s">
        <v>4746</v>
      </c>
      <c r="P248" s="35"/>
      <c r="Q248" s="26" t="s">
        <v>56</v>
      </c>
      <c r="R248" s="26" t="s">
        <v>42</v>
      </c>
      <c r="S248" s="27" t="s">
        <v>3566</v>
      </c>
      <c r="T248" s="27"/>
      <c r="U248" s="35"/>
      <c r="V248" s="26"/>
      <c r="W248" s="26">
        <v>5.0</v>
      </c>
      <c r="X248" s="26"/>
    </row>
    <row r="249" hidden="1">
      <c r="A249" s="26">
        <v>249.0</v>
      </c>
      <c r="B249" s="188">
        <v>46180.0</v>
      </c>
      <c r="C249" s="26" t="s">
        <v>47</v>
      </c>
      <c r="D249" s="26" t="s">
        <v>57</v>
      </c>
      <c r="E249" s="27" t="s">
        <v>5181</v>
      </c>
      <c r="F249" s="36">
        <v>5.33097479E8</v>
      </c>
      <c r="G249" s="26" t="s">
        <v>4865</v>
      </c>
      <c r="H249" s="27" t="s">
        <v>319</v>
      </c>
      <c r="I249" s="26" t="s">
        <v>3826</v>
      </c>
      <c r="J249" s="209" t="s">
        <v>5182</v>
      </c>
      <c r="K249" s="27"/>
      <c r="L249" s="26" t="s">
        <v>36</v>
      </c>
      <c r="M249" s="27" t="s">
        <v>6046</v>
      </c>
      <c r="N249" s="26" t="s">
        <v>4746</v>
      </c>
      <c r="O249" s="26" t="s">
        <v>4746</v>
      </c>
      <c r="P249" s="35"/>
      <c r="Q249" s="26" t="s">
        <v>56</v>
      </c>
      <c r="R249" s="26" t="s">
        <v>518</v>
      </c>
      <c r="S249" s="27" t="s">
        <v>3566</v>
      </c>
      <c r="T249" s="27"/>
      <c r="U249" s="35"/>
      <c r="V249" s="26"/>
      <c r="W249" s="26">
        <v>5.0</v>
      </c>
      <c r="X249" s="26"/>
    </row>
    <row r="250" hidden="1">
      <c r="A250" s="26">
        <v>250.0</v>
      </c>
      <c r="B250" s="188">
        <v>46180.0</v>
      </c>
      <c r="C250" s="26" t="s">
        <v>47</v>
      </c>
      <c r="D250" s="26" t="s">
        <v>57</v>
      </c>
      <c r="E250" s="27" t="s">
        <v>5186</v>
      </c>
      <c r="F250" s="36">
        <v>5.02432429E8</v>
      </c>
      <c r="G250" s="26" t="s">
        <v>4865</v>
      </c>
      <c r="H250" s="27" t="s">
        <v>319</v>
      </c>
      <c r="I250" s="26" t="s">
        <v>3826</v>
      </c>
      <c r="J250" s="209" t="s">
        <v>5189</v>
      </c>
      <c r="K250" s="27"/>
      <c r="L250" s="26" t="s">
        <v>62</v>
      </c>
      <c r="M250" s="27" t="s">
        <v>6046</v>
      </c>
      <c r="N250" s="26" t="s">
        <v>4746</v>
      </c>
      <c r="O250" s="26" t="s">
        <v>4746</v>
      </c>
      <c r="P250" s="35"/>
      <c r="Q250" s="26" t="s">
        <v>56</v>
      </c>
      <c r="R250" s="26" t="s">
        <v>518</v>
      </c>
      <c r="S250" s="27" t="s">
        <v>3566</v>
      </c>
      <c r="T250" s="27"/>
      <c r="U250" s="35"/>
      <c r="V250" s="26"/>
      <c r="W250" s="26">
        <v>5.0</v>
      </c>
      <c r="X250" s="26"/>
    </row>
    <row r="251" hidden="1">
      <c r="A251" s="26">
        <v>251.0</v>
      </c>
      <c r="B251" s="188">
        <v>46180.0</v>
      </c>
      <c r="C251" s="26" t="s">
        <v>21</v>
      </c>
      <c r="D251" s="26" t="s">
        <v>24</v>
      </c>
      <c r="E251" s="27" t="s">
        <v>1297</v>
      </c>
      <c r="F251" s="21">
        <v>5.64000433E8</v>
      </c>
      <c r="G251" s="26" t="s">
        <v>4740</v>
      </c>
      <c r="H251" s="27" t="s">
        <v>41</v>
      </c>
      <c r="I251" s="26" t="s">
        <v>27</v>
      </c>
      <c r="J251" s="209" t="s">
        <v>5194</v>
      </c>
      <c r="K251" s="27"/>
      <c r="L251" s="26" t="s">
        <v>62</v>
      </c>
      <c r="M251" s="27" t="s">
        <v>4982</v>
      </c>
      <c r="N251" s="26" t="s">
        <v>4803</v>
      </c>
      <c r="O251" s="26" t="s">
        <v>4746</v>
      </c>
      <c r="P251" s="35"/>
      <c r="Q251" s="26" t="s">
        <v>56</v>
      </c>
      <c r="R251" s="26" t="s">
        <v>42</v>
      </c>
      <c r="S251" s="27" t="s">
        <v>3566</v>
      </c>
      <c r="T251" s="27"/>
      <c r="U251" s="35"/>
      <c r="V251" s="26"/>
      <c r="W251" s="26">
        <v>5.0</v>
      </c>
      <c r="X251" s="26" t="s">
        <v>46</v>
      </c>
    </row>
    <row r="252" hidden="1">
      <c r="A252" s="26">
        <v>252.0</v>
      </c>
      <c r="B252" s="188">
        <v>46180.0</v>
      </c>
      <c r="C252" s="26" t="s">
        <v>58</v>
      </c>
      <c r="D252" s="26" t="s">
        <v>60</v>
      </c>
      <c r="E252" s="26" t="s">
        <v>27</v>
      </c>
      <c r="F252" s="21">
        <v>5.67513772E8</v>
      </c>
      <c r="G252" s="26" t="s">
        <v>27</v>
      </c>
      <c r="H252" s="26" t="s">
        <v>27</v>
      </c>
      <c r="I252" s="26" t="s">
        <v>27</v>
      </c>
      <c r="J252" s="209" t="s">
        <v>5058</v>
      </c>
      <c r="K252" s="27"/>
      <c r="L252" s="26" t="s">
        <v>36</v>
      </c>
      <c r="M252" s="27" t="s">
        <v>88</v>
      </c>
      <c r="N252" s="26" t="s">
        <v>4746</v>
      </c>
      <c r="O252" s="26" t="s">
        <v>4746</v>
      </c>
      <c r="P252" s="35"/>
      <c r="Q252" s="26" t="s">
        <v>56</v>
      </c>
      <c r="R252" s="26" t="s">
        <v>42</v>
      </c>
      <c r="S252" s="27" t="s">
        <v>3566</v>
      </c>
      <c r="T252" s="27"/>
      <c r="U252" s="35"/>
      <c r="V252" s="26"/>
      <c r="W252" s="26">
        <v>5.0</v>
      </c>
      <c r="X252" s="26"/>
    </row>
    <row r="253" hidden="1">
      <c r="A253" s="26">
        <v>253.0</v>
      </c>
      <c r="B253" s="188">
        <v>46180.0</v>
      </c>
      <c r="C253" s="26" t="s">
        <v>47</v>
      </c>
      <c r="D253" s="26" t="s">
        <v>92</v>
      </c>
      <c r="E253" s="27" t="s">
        <v>108</v>
      </c>
      <c r="F253" s="21">
        <v>5.55943337E8</v>
      </c>
      <c r="G253" s="26" t="s">
        <v>5151</v>
      </c>
      <c r="H253" s="27" t="s">
        <v>28</v>
      </c>
      <c r="I253" s="26" t="s">
        <v>777</v>
      </c>
      <c r="J253" s="209" t="s">
        <v>5209</v>
      </c>
      <c r="K253" s="27"/>
      <c r="L253" s="26" t="s">
        <v>62</v>
      </c>
      <c r="M253" s="27" t="s">
        <v>5011</v>
      </c>
      <c r="N253" s="26" t="s">
        <v>4637</v>
      </c>
      <c r="O253" s="26" t="s">
        <v>4746</v>
      </c>
      <c r="P253" s="35">
        <v>0.6388888888888888</v>
      </c>
      <c r="Q253" s="26" t="s">
        <v>40</v>
      </c>
      <c r="R253" s="26" t="s">
        <v>3811</v>
      </c>
      <c r="S253" s="27" t="s">
        <v>3566</v>
      </c>
      <c r="T253" s="27"/>
      <c r="U253" s="35"/>
      <c r="V253" s="26"/>
      <c r="W253" s="26">
        <v>5.0</v>
      </c>
      <c r="X253" s="26" t="s">
        <v>46</v>
      </c>
    </row>
    <row r="254" hidden="1">
      <c r="A254" s="26">
        <v>254.0</v>
      </c>
      <c r="B254" s="188">
        <v>46180.0</v>
      </c>
      <c r="C254" s="26" t="s">
        <v>58</v>
      </c>
      <c r="D254" s="26" t="s">
        <v>60</v>
      </c>
      <c r="E254" s="27" t="s">
        <v>5215</v>
      </c>
      <c r="F254" s="21">
        <v>5.59112119E8</v>
      </c>
      <c r="G254" s="26" t="s">
        <v>27</v>
      </c>
      <c r="H254" s="26" t="s">
        <v>27</v>
      </c>
      <c r="I254" s="26" t="s">
        <v>27</v>
      </c>
      <c r="J254" s="209" t="s">
        <v>4337</v>
      </c>
      <c r="K254" s="27"/>
      <c r="L254" s="26" t="s">
        <v>62</v>
      </c>
      <c r="M254" s="27" t="s">
        <v>88</v>
      </c>
      <c r="N254" s="26" t="s">
        <v>4746</v>
      </c>
      <c r="O254" s="26" t="s">
        <v>4746</v>
      </c>
      <c r="P254" s="35"/>
      <c r="Q254" s="26" t="s">
        <v>56</v>
      </c>
      <c r="R254" s="26" t="s">
        <v>42</v>
      </c>
      <c r="S254" s="27" t="s">
        <v>3566</v>
      </c>
      <c r="T254" s="27"/>
      <c r="U254" s="35"/>
      <c r="V254" s="26"/>
      <c r="W254" s="26">
        <v>5.0</v>
      </c>
      <c r="X254" s="26"/>
    </row>
    <row r="255" hidden="1">
      <c r="A255" s="26">
        <v>255.0</v>
      </c>
      <c r="B255" s="188">
        <v>46180.0</v>
      </c>
      <c r="C255" s="26" t="s">
        <v>58</v>
      </c>
      <c r="D255" s="26" t="s">
        <v>60</v>
      </c>
      <c r="E255" s="26" t="s">
        <v>27</v>
      </c>
      <c r="F255" s="21">
        <v>5.06911017E8</v>
      </c>
      <c r="G255" s="26" t="s">
        <v>5023</v>
      </c>
      <c r="H255" s="407" t="s">
        <v>2174</v>
      </c>
      <c r="I255" s="26" t="s">
        <v>27</v>
      </c>
      <c r="J255" s="209" t="s">
        <v>5225</v>
      </c>
      <c r="K255" s="27" t="s">
        <v>5226</v>
      </c>
      <c r="L255" s="26" t="s">
        <v>36</v>
      </c>
      <c r="M255" s="27" t="s">
        <v>88</v>
      </c>
      <c r="N255" s="26" t="s">
        <v>4746</v>
      </c>
      <c r="O255" s="26" t="s">
        <v>4746</v>
      </c>
      <c r="P255" s="35"/>
      <c r="Q255" s="26" t="s">
        <v>56</v>
      </c>
      <c r="R255" s="26" t="s">
        <v>42</v>
      </c>
      <c r="S255" s="27" t="s">
        <v>3566</v>
      </c>
      <c r="T255" s="27"/>
      <c r="U255" s="35"/>
      <c r="V255" s="26"/>
      <c r="W255" s="26">
        <v>5.0</v>
      </c>
      <c r="X255" s="26"/>
    </row>
    <row r="256" hidden="1">
      <c r="A256" s="26">
        <v>256.0</v>
      </c>
      <c r="B256" s="188">
        <v>46180.0</v>
      </c>
      <c r="C256" s="26" t="s">
        <v>58</v>
      </c>
      <c r="D256" s="26" t="s">
        <v>60</v>
      </c>
      <c r="E256" s="26" t="s">
        <v>27</v>
      </c>
      <c r="F256" s="21">
        <v>5.07334623E8</v>
      </c>
      <c r="G256" s="26" t="s">
        <v>27</v>
      </c>
      <c r="H256" s="26" t="s">
        <v>27</v>
      </c>
      <c r="I256" s="26" t="s">
        <v>27</v>
      </c>
      <c r="J256" s="209" t="s">
        <v>5229</v>
      </c>
      <c r="K256" s="27"/>
      <c r="L256" s="26" t="s">
        <v>36</v>
      </c>
      <c r="M256" s="27" t="s">
        <v>88</v>
      </c>
      <c r="N256" s="26" t="s">
        <v>4746</v>
      </c>
      <c r="O256" s="26" t="s">
        <v>4746</v>
      </c>
      <c r="P256" s="35"/>
      <c r="Q256" s="26" t="s">
        <v>56</v>
      </c>
      <c r="R256" s="26" t="s">
        <v>42</v>
      </c>
      <c r="S256" s="27" t="s">
        <v>3566</v>
      </c>
      <c r="T256" s="27"/>
      <c r="U256" s="35"/>
      <c r="V256" s="26"/>
      <c r="W256" s="26">
        <v>5.0</v>
      </c>
      <c r="X256" s="26"/>
    </row>
    <row r="257" hidden="1">
      <c r="A257" s="26">
        <v>257.0</v>
      </c>
      <c r="B257" s="188">
        <v>46180.0</v>
      </c>
      <c r="C257" s="26" t="s">
        <v>58</v>
      </c>
      <c r="D257" s="26" t="s">
        <v>57</v>
      </c>
      <c r="E257" s="26" t="s">
        <v>27</v>
      </c>
      <c r="F257" s="21">
        <v>5.44066579E8</v>
      </c>
      <c r="G257" s="26" t="s">
        <v>5151</v>
      </c>
      <c r="H257" s="27" t="s">
        <v>28</v>
      </c>
      <c r="I257" s="26" t="s">
        <v>27</v>
      </c>
      <c r="J257" s="209" t="s">
        <v>5232</v>
      </c>
      <c r="K257" s="27" t="s">
        <v>500</v>
      </c>
      <c r="L257" s="26" t="s">
        <v>36</v>
      </c>
      <c r="M257" s="27" t="s">
        <v>1399</v>
      </c>
      <c r="N257" s="26" t="s">
        <v>4746</v>
      </c>
      <c r="O257" s="26" t="s">
        <v>4746</v>
      </c>
      <c r="P257" s="35"/>
      <c r="Q257" s="26" t="s">
        <v>56</v>
      </c>
      <c r="R257" s="26" t="s">
        <v>42</v>
      </c>
      <c r="S257" s="27" t="s">
        <v>3566</v>
      </c>
      <c r="T257" s="27"/>
      <c r="U257" s="35"/>
      <c r="V257" s="26"/>
      <c r="W257" s="26">
        <v>5.0</v>
      </c>
      <c r="X257" s="26"/>
    </row>
    <row r="258" hidden="1">
      <c r="A258" s="26">
        <v>258.0</v>
      </c>
      <c r="B258" s="188">
        <v>46180.0</v>
      </c>
      <c r="C258" s="26" t="s">
        <v>47</v>
      </c>
      <c r="D258" s="26" t="s">
        <v>48</v>
      </c>
      <c r="E258" s="27" t="s">
        <v>5236</v>
      </c>
      <c r="F258" s="21">
        <v>5.32009063E8</v>
      </c>
      <c r="G258" s="26" t="s">
        <v>4740</v>
      </c>
      <c r="H258" s="27" t="s">
        <v>41</v>
      </c>
      <c r="I258" s="26" t="s">
        <v>146</v>
      </c>
      <c r="J258" s="209" t="s">
        <v>6409</v>
      </c>
      <c r="K258" s="27" t="s">
        <v>5238</v>
      </c>
      <c r="L258" s="26" t="s">
        <v>36</v>
      </c>
      <c r="M258" s="27" t="s">
        <v>5011</v>
      </c>
      <c r="N258" s="26" t="s">
        <v>4977</v>
      </c>
      <c r="O258" s="26" t="s">
        <v>4746</v>
      </c>
      <c r="P258" s="35">
        <v>0.625</v>
      </c>
      <c r="Q258" s="26" t="s">
        <v>56</v>
      </c>
      <c r="R258" s="26" t="s">
        <v>518</v>
      </c>
      <c r="S258" s="27" t="s">
        <v>3765</v>
      </c>
      <c r="T258" s="27" t="s">
        <v>3566</v>
      </c>
      <c r="U258" s="35">
        <v>0.6604166666666667</v>
      </c>
      <c r="V258" s="26" t="s">
        <v>44</v>
      </c>
      <c r="W258" s="26">
        <v>5.0</v>
      </c>
      <c r="X258" s="26" t="s">
        <v>46</v>
      </c>
    </row>
    <row r="259" hidden="1">
      <c r="A259" s="26">
        <v>259.0</v>
      </c>
      <c r="B259" s="188">
        <v>46180.0</v>
      </c>
      <c r="C259" s="26" t="s">
        <v>58</v>
      </c>
      <c r="D259" s="26" t="s">
        <v>60</v>
      </c>
      <c r="E259" s="26" t="s">
        <v>27</v>
      </c>
      <c r="F259" s="21">
        <v>5.03043108E8</v>
      </c>
      <c r="G259" s="26" t="s">
        <v>27</v>
      </c>
      <c r="H259" s="26" t="s">
        <v>27</v>
      </c>
      <c r="I259" s="26" t="s">
        <v>27</v>
      </c>
      <c r="J259" s="209" t="s">
        <v>5241</v>
      </c>
      <c r="K259" s="27"/>
      <c r="L259" s="26" t="s">
        <v>36</v>
      </c>
      <c r="M259" s="27" t="s">
        <v>88</v>
      </c>
      <c r="N259" s="26" t="s">
        <v>4746</v>
      </c>
      <c r="O259" s="26" t="s">
        <v>4746</v>
      </c>
      <c r="P259" s="35"/>
      <c r="Q259" s="26" t="s">
        <v>56</v>
      </c>
      <c r="R259" s="26" t="s">
        <v>42</v>
      </c>
      <c r="S259" s="27" t="s">
        <v>3566</v>
      </c>
      <c r="T259" s="27"/>
      <c r="U259" s="35"/>
      <c r="V259" s="26"/>
      <c r="W259" s="26">
        <v>5.0</v>
      </c>
      <c r="X259" s="26"/>
    </row>
    <row r="260" hidden="1">
      <c r="A260" s="26">
        <v>260.0</v>
      </c>
      <c r="B260" s="188">
        <v>46180.0</v>
      </c>
      <c r="C260" s="26" t="s">
        <v>21</v>
      </c>
      <c r="D260" s="26" t="s">
        <v>22</v>
      </c>
      <c r="E260" s="27" t="s">
        <v>5245</v>
      </c>
      <c r="F260" s="21">
        <v>5.31341465E8</v>
      </c>
      <c r="G260" s="26" t="s">
        <v>4852</v>
      </c>
      <c r="H260" s="27" t="s">
        <v>318</v>
      </c>
      <c r="I260" s="26" t="s">
        <v>27</v>
      </c>
      <c r="J260" s="209" t="s">
        <v>5246</v>
      </c>
      <c r="K260" s="27"/>
      <c r="L260" s="26" t="s">
        <v>36</v>
      </c>
      <c r="M260" s="27" t="s">
        <v>1389</v>
      </c>
      <c r="N260" s="26" t="s">
        <v>4870</v>
      </c>
      <c r="O260" s="26" t="s">
        <v>4746</v>
      </c>
      <c r="P260" s="35"/>
      <c r="Q260" s="26" t="s">
        <v>40</v>
      </c>
      <c r="R260" s="26" t="s">
        <v>42</v>
      </c>
      <c r="S260" s="27" t="s">
        <v>3566</v>
      </c>
      <c r="T260" s="27"/>
      <c r="U260" s="35"/>
      <c r="V260" s="26"/>
      <c r="W260" s="26">
        <v>5.0</v>
      </c>
      <c r="X260" s="126" t="s">
        <v>46</v>
      </c>
    </row>
    <row r="261" hidden="1">
      <c r="A261" s="26">
        <v>261.0</v>
      </c>
      <c r="B261" s="188">
        <v>46180.0</v>
      </c>
      <c r="C261" s="26" t="s">
        <v>58</v>
      </c>
      <c r="D261" s="26" t="s">
        <v>60</v>
      </c>
      <c r="E261" s="26" t="s">
        <v>27</v>
      </c>
      <c r="F261" s="21">
        <v>5.05371308E8</v>
      </c>
      <c r="G261" s="26" t="s">
        <v>27</v>
      </c>
      <c r="H261" s="26" t="s">
        <v>27</v>
      </c>
      <c r="I261" s="26" t="s">
        <v>27</v>
      </c>
      <c r="J261" s="209" t="s">
        <v>554</v>
      </c>
      <c r="K261" s="27"/>
      <c r="L261" s="26" t="s">
        <v>36</v>
      </c>
      <c r="M261" s="27" t="s">
        <v>88</v>
      </c>
      <c r="N261" s="26" t="s">
        <v>4746</v>
      </c>
      <c r="O261" s="26" t="s">
        <v>4746</v>
      </c>
      <c r="P261" s="35"/>
      <c r="Q261" s="26" t="s">
        <v>56</v>
      </c>
      <c r="R261" s="26" t="s">
        <v>42</v>
      </c>
      <c r="S261" s="27" t="s">
        <v>3566</v>
      </c>
      <c r="T261" s="27"/>
      <c r="U261" s="35"/>
      <c r="V261" s="26"/>
      <c r="W261" s="26">
        <v>5.0</v>
      </c>
      <c r="X261" s="26"/>
    </row>
    <row r="262" hidden="1">
      <c r="A262" s="26">
        <v>262.0</v>
      </c>
      <c r="B262" s="188">
        <v>46180.0</v>
      </c>
      <c r="C262" s="26" t="s">
        <v>58</v>
      </c>
      <c r="D262" s="26" t="s">
        <v>60</v>
      </c>
      <c r="E262" s="26" t="s">
        <v>27</v>
      </c>
      <c r="F262" s="21">
        <v>5.54489543E8</v>
      </c>
      <c r="G262" s="26" t="s">
        <v>27</v>
      </c>
      <c r="H262" s="26" t="s">
        <v>27</v>
      </c>
      <c r="I262" s="26" t="s">
        <v>27</v>
      </c>
      <c r="J262" s="209" t="s">
        <v>5255</v>
      </c>
      <c r="K262" s="27"/>
      <c r="L262" s="26" t="s">
        <v>65</v>
      </c>
      <c r="M262" s="27" t="s">
        <v>38</v>
      </c>
      <c r="N262" s="26" t="s">
        <v>4746</v>
      </c>
      <c r="O262" s="26" t="s">
        <v>4746</v>
      </c>
      <c r="P262" s="35"/>
      <c r="Q262" s="26" t="s">
        <v>56</v>
      </c>
      <c r="R262" s="26" t="s">
        <v>42</v>
      </c>
      <c r="S262" s="27" t="s">
        <v>3566</v>
      </c>
      <c r="T262" s="27"/>
      <c r="U262" s="35"/>
      <c r="V262" s="26"/>
      <c r="W262" s="26">
        <v>5.0</v>
      </c>
      <c r="X262" s="26"/>
    </row>
    <row r="263" hidden="1">
      <c r="A263" s="26">
        <v>263.0</v>
      </c>
      <c r="B263" s="188">
        <v>46180.0</v>
      </c>
      <c r="C263" s="26" t="s">
        <v>58</v>
      </c>
      <c r="D263" s="26" t="s">
        <v>60</v>
      </c>
      <c r="E263" s="26" t="s">
        <v>27</v>
      </c>
      <c r="F263" s="21">
        <v>5.91532551E8</v>
      </c>
      <c r="G263" s="26" t="s">
        <v>27</v>
      </c>
      <c r="H263" s="26" t="s">
        <v>27</v>
      </c>
      <c r="I263" s="26" t="s">
        <v>27</v>
      </c>
      <c r="J263" s="209" t="s">
        <v>5260</v>
      </c>
      <c r="K263" s="27"/>
      <c r="L263" s="26" t="s">
        <v>65</v>
      </c>
      <c r="M263" s="27" t="s">
        <v>38</v>
      </c>
      <c r="N263" s="26" t="s">
        <v>4746</v>
      </c>
      <c r="O263" s="26" t="s">
        <v>4746</v>
      </c>
      <c r="P263" s="35"/>
      <c r="Q263" s="26" t="s">
        <v>56</v>
      </c>
      <c r="R263" s="26" t="s">
        <v>42</v>
      </c>
      <c r="S263" s="27" t="s">
        <v>3566</v>
      </c>
      <c r="T263" s="27"/>
      <c r="U263" s="35"/>
      <c r="V263" s="26"/>
      <c r="W263" s="26">
        <v>5.0</v>
      </c>
      <c r="X263" s="26"/>
    </row>
    <row r="264" hidden="1">
      <c r="A264" s="26">
        <v>264.0</v>
      </c>
      <c r="B264" s="188">
        <v>46180.0</v>
      </c>
      <c r="C264" s="26" t="s">
        <v>58</v>
      </c>
      <c r="D264" s="26" t="s">
        <v>60</v>
      </c>
      <c r="E264" s="26" t="s">
        <v>27</v>
      </c>
      <c r="F264" s="21">
        <v>5.02423628E8</v>
      </c>
      <c r="G264" s="26" t="s">
        <v>27</v>
      </c>
      <c r="H264" s="26" t="s">
        <v>27</v>
      </c>
      <c r="I264" s="26" t="s">
        <v>27</v>
      </c>
      <c r="J264" s="209" t="s">
        <v>5264</v>
      </c>
      <c r="K264" s="27"/>
      <c r="L264" s="26" t="s">
        <v>36</v>
      </c>
      <c r="M264" s="27" t="s">
        <v>88</v>
      </c>
      <c r="N264" s="26" t="s">
        <v>4746</v>
      </c>
      <c r="O264" s="26" t="s">
        <v>4746</v>
      </c>
      <c r="P264" s="35"/>
      <c r="Q264" s="26" t="s">
        <v>56</v>
      </c>
      <c r="R264" s="26" t="s">
        <v>42</v>
      </c>
      <c r="S264" s="27" t="s">
        <v>3566</v>
      </c>
      <c r="T264" s="27"/>
      <c r="U264" s="35"/>
      <c r="V264" s="26"/>
      <c r="W264" s="26">
        <v>5.0</v>
      </c>
      <c r="X264" s="26"/>
    </row>
    <row r="265" hidden="1">
      <c r="A265" s="26">
        <v>265.0</v>
      </c>
      <c r="B265" s="188">
        <v>46180.0</v>
      </c>
      <c r="C265" s="26" t="s">
        <v>58</v>
      </c>
      <c r="D265" s="26" t="s">
        <v>60</v>
      </c>
      <c r="E265" s="26" t="s">
        <v>27</v>
      </c>
      <c r="F265" s="21">
        <v>5.0688221E8</v>
      </c>
      <c r="G265" s="26" t="s">
        <v>27</v>
      </c>
      <c r="H265" s="26" t="s">
        <v>27</v>
      </c>
      <c r="I265" s="26" t="s">
        <v>27</v>
      </c>
      <c r="J265" s="209" t="s">
        <v>5268</v>
      </c>
      <c r="K265" s="27"/>
      <c r="L265" s="26" t="s">
        <v>65</v>
      </c>
      <c r="M265" s="27" t="s">
        <v>38</v>
      </c>
      <c r="N265" s="26" t="s">
        <v>4746</v>
      </c>
      <c r="O265" s="26" t="s">
        <v>4746</v>
      </c>
      <c r="P265" s="35"/>
      <c r="Q265" s="26" t="s">
        <v>56</v>
      </c>
      <c r="R265" s="26" t="s">
        <v>42</v>
      </c>
      <c r="S265" s="27" t="s">
        <v>3566</v>
      </c>
      <c r="T265" s="27"/>
      <c r="U265" s="35"/>
      <c r="V265" s="26"/>
      <c r="W265" s="26">
        <v>5.0</v>
      </c>
      <c r="X265" s="26"/>
    </row>
    <row r="266" hidden="1">
      <c r="A266" s="26">
        <v>266.0</v>
      </c>
      <c r="B266" s="188">
        <v>46180.0</v>
      </c>
      <c r="C266" s="26" t="s">
        <v>58</v>
      </c>
      <c r="D266" s="26" t="s">
        <v>60</v>
      </c>
      <c r="E266" s="26" t="s">
        <v>27</v>
      </c>
      <c r="F266" s="21">
        <v>5.47480193E8</v>
      </c>
      <c r="G266" s="26" t="s">
        <v>27</v>
      </c>
      <c r="H266" s="26" t="s">
        <v>27</v>
      </c>
      <c r="I266" s="26" t="s">
        <v>27</v>
      </c>
      <c r="J266" s="209" t="s">
        <v>5274</v>
      </c>
      <c r="K266" s="27"/>
      <c r="L266" s="26" t="s">
        <v>65</v>
      </c>
      <c r="M266" s="27" t="s">
        <v>38</v>
      </c>
      <c r="N266" s="26" t="s">
        <v>4746</v>
      </c>
      <c r="O266" s="26" t="s">
        <v>4746</v>
      </c>
      <c r="P266" s="35"/>
      <c r="Q266" s="26" t="s">
        <v>56</v>
      </c>
      <c r="R266" s="26" t="s">
        <v>42</v>
      </c>
      <c r="S266" s="27" t="s">
        <v>3566</v>
      </c>
      <c r="T266" s="27"/>
      <c r="U266" s="35"/>
      <c r="V266" s="26"/>
      <c r="W266" s="26">
        <v>5.0</v>
      </c>
      <c r="X266" s="26"/>
    </row>
    <row r="267" hidden="1">
      <c r="A267" s="26">
        <v>267.0</v>
      </c>
      <c r="B267" s="188">
        <v>46180.0</v>
      </c>
      <c r="C267" s="26" t="s">
        <v>21</v>
      </c>
      <c r="D267" s="26" t="s">
        <v>34</v>
      </c>
      <c r="E267" s="27" t="s">
        <v>5279</v>
      </c>
      <c r="F267" s="21">
        <v>5.95550785E8</v>
      </c>
      <c r="G267" s="26" t="s">
        <v>27</v>
      </c>
      <c r="H267" s="26" t="s">
        <v>27</v>
      </c>
      <c r="I267" s="26" t="s">
        <v>27</v>
      </c>
      <c r="J267" s="209" t="s">
        <v>5281</v>
      </c>
      <c r="K267" s="27" t="s">
        <v>4417</v>
      </c>
      <c r="L267" s="26" t="s">
        <v>39</v>
      </c>
      <c r="M267" s="27" t="s">
        <v>51</v>
      </c>
      <c r="N267" s="26" t="s">
        <v>4746</v>
      </c>
      <c r="O267" s="26" t="s">
        <v>4746</v>
      </c>
      <c r="P267" s="35">
        <v>0.4444444444444444</v>
      </c>
      <c r="Q267" s="26" t="s">
        <v>56</v>
      </c>
      <c r="R267" s="26" t="s">
        <v>42</v>
      </c>
      <c r="S267" s="27" t="s">
        <v>3566</v>
      </c>
      <c r="T267" s="27" t="s">
        <v>3566</v>
      </c>
      <c r="U267" s="35">
        <v>0.4444444444444444</v>
      </c>
      <c r="V267" s="26" t="s">
        <v>44</v>
      </c>
      <c r="W267" s="26">
        <v>5.0</v>
      </c>
      <c r="X267" s="26"/>
    </row>
    <row r="268" hidden="1">
      <c r="A268" s="26">
        <v>268.0</v>
      </c>
      <c r="B268" s="188">
        <v>46180.0</v>
      </c>
      <c r="C268" s="26" t="s">
        <v>21</v>
      </c>
      <c r="D268" s="26" t="s">
        <v>34</v>
      </c>
      <c r="E268" s="26" t="s">
        <v>5286</v>
      </c>
      <c r="F268" s="21">
        <v>5.56476715E8</v>
      </c>
      <c r="G268" s="26" t="s">
        <v>27</v>
      </c>
      <c r="H268" s="26" t="s">
        <v>27</v>
      </c>
      <c r="I268" s="26" t="s">
        <v>27</v>
      </c>
      <c r="J268" s="351" t="s">
        <v>5287</v>
      </c>
      <c r="K268" s="27" t="s">
        <v>4417</v>
      </c>
      <c r="L268" s="26" t="s">
        <v>39</v>
      </c>
      <c r="M268" s="27" t="s">
        <v>51</v>
      </c>
      <c r="N268" s="26" t="s">
        <v>4746</v>
      </c>
      <c r="O268" s="26" t="s">
        <v>4746</v>
      </c>
      <c r="P268" s="35">
        <v>0.4444444444444444</v>
      </c>
      <c r="Q268" s="26" t="s">
        <v>56</v>
      </c>
      <c r="R268" s="26" t="s">
        <v>42</v>
      </c>
      <c r="S268" s="27" t="s">
        <v>3566</v>
      </c>
      <c r="T268" s="27" t="s">
        <v>3566</v>
      </c>
      <c r="U268" s="35">
        <v>0.4444444444444444</v>
      </c>
      <c r="V268" s="26" t="s">
        <v>44</v>
      </c>
      <c r="W268" s="26">
        <v>5.0</v>
      </c>
      <c r="X268" s="26"/>
    </row>
    <row r="269" hidden="1">
      <c r="A269" s="26">
        <v>269.0</v>
      </c>
      <c r="B269" s="188">
        <v>46180.0</v>
      </c>
      <c r="C269" s="26" t="s">
        <v>21</v>
      </c>
      <c r="D269" s="26" t="s">
        <v>34</v>
      </c>
      <c r="E269" s="27" t="s">
        <v>5290</v>
      </c>
      <c r="F269" s="21">
        <v>5.41695434E8</v>
      </c>
      <c r="G269" s="26" t="s">
        <v>27</v>
      </c>
      <c r="H269" s="26" t="s">
        <v>27</v>
      </c>
      <c r="I269" s="26" t="s">
        <v>27</v>
      </c>
      <c r="J269" s="209" t="s">
        <v>5291</v>
      </c>
      <c r="K269" s="27" t="s">
        <v>4417</v>
      </c>
      <c r="L269" s="26" t="s">
        <v>39</v>
      </c>
      <c r="M269" s="27" t="s">
        <v>51</v>
      </c>
      <c r="N269" s="26" t="s">
        <v>4746</v>
      </c>
      <c r="O269" s="26" t="s">
        <v>4746</v>
      </c>
      <c r="P269" s="35">
        <v>0.4444444444444444</v>
      </c>
      <c r="Q269" s="26" t="s">
        <v>56</v>
      </c>
      <c r="R269" s="26" t="s">
        <v>42</v>
      </c>
      <c r="S269" s="27" t="s">
        <v>3566</v>
      </c>
      <c r="T269" s="27" t="s">
        <v>3566</v>
      </c>
      <c r="U269" s="35">
        <v>0.4444444444444444</v>
      </c>
      <c r="V269" s="26" t="s">
        <v>44</v>
      </c>
      <c r="W269" s="26">
        <v>5.0</v>
      </c>
      <c r="X269" s="26"/>
    </row>
    <row r="270" hidden="1">
      <c r="A270" s="26">
        <v>270.0</v>
      </c>
      <c r="B270" s="188">
        <v>46180.0</v>
      </c>
      <c r="C270" s="26" t="s">
        <v>21</v>
      </c>
      <c r="D270" s="26" t="s">
        <v>34</v>
      </c>
      <c r="E270" s="26" t="s">
        <v>27</v>
      </c>
      <c r="F270" s="21">
        <v>5.75854779E8</v>
      </c>
      <c r="G270" s="26" t="s">
        <v>27</v>
      </c>
      <c r="H270" s="26" t="s">
        <v>27</v>
      </c>
      <c r="I270" s="26" t="s">
        <v>27</v>
      </c>
      <c r="J270" s="209" t="s">
        <v>298</v>
      </c>
      <c r="K270" s="27" t="s">
        <v>4417</v>
      </c>
      <c r="L270" s="26" t="s">
        <v>39</v>
      </c>
      <c r="M270" s="27" t="s">
        <v>51</v>
      </c>
      <c r="N270" s="26" t="s">
        <v>4746</v>
      </c>
      <c r="O270" s="26" t="s">
        <v>4746</v>
      </c>
      <c r="P270" s="35">
        <v>0.4444444444444444</v>
      </c>
      <c r="Q270" s="26" t="s">
        <v>56</v>
      </c>
      <c r="R270" s="26" t="s">
        <v>42</v>
      </c>
      <c r="S270" s="27" t="s">
        <v>3566</v>
      </c>
      <c r="T270" s="27" t="s">
        <v>3566</v>
      </c>
      <c r="U270" s="35">
        <v>0.4444444444444444</v>
      </c>
      <c r="V270" s="26" t="s">
        <v>44</v>
      </c>
      <c r="W270" s="26">
        <v>5.0</v>
      </c>
      <c r="X270" s="26"/>
    </row>
    <row r="271" hidden="1">
      <c r="A271" s="26">
        <v>271.0</v>
      </c>
      <c r="B271" s="188">
        <v>46180.0</v>
      </c>
      <c r="C271" s="26" t="s">
        <v>21</v>
      </c>
      <c r="D271" s="26" t="s">
        <v>34</v>
      </c>
      <c r="E271" s="27" t="s">
        <v>5297</v>
      </c>
      <c r="F271" s="21">
        <v>5.3540733E8</v>
      </c>
      <c r="G271" s="26" t="s">
        <v>27</v>
      </c>
      <c r="H271" s="26" t="s">
        <v>27</v>
      </c>
      <c r="I271" s="26" t="s">
        <v>27</v>
      </c>
      <c r="J271" s="209" t="s">
        <v>5300</v>
      </c>
      <c r="K271" s="27" t="s">
        <v>4417</v>
      </c>
      <c r="L271" s="26" t="s">
        <v>39</v>
      </c>
      <c r="M271" s="27" t="s">
        <v>51</v>
      </c>
      <c r="N271" s="26" t="s">
        <v>4746</v>
      </c>
      <c r="O271" s="26" t="s">
        <v>4746</v>
      </c>
      <c r="P271" s="35">
        <v>0.4444444444444444</v>
      </c>
      <c r="Q271" s="26" t="s">
        <v>56</v>
      </c>
      <c r="R271" s="26" t="s">
        <v>42</v>
      </c>
      <c r="S271" s="27" t="s">
        <v>3566</v>
      </c>
      <c r="T271" s="27" t="s">
        <v>3566</v>
      </c>
      <c r="U271" s="35">
        <v>0.4444444444444444</v>
      </c>
      <c r="V271" s="26" t="s">
        <v>44</v>
      </c>
      <c r="W271" s="26">
        <v>5.0</v>
      </c>
      <c r="X271" s="26"/>
    </row>
    <row r="272" hidden="1">
      <c r="A272" s="26">
        <v>272.0</v>
      </c>
      <c r="B272" s="188">
        <v>46180.0</v>
      </c>
      <c r="C272" s="26" t="s">
        <v>21</v>
      </c>
      <c r="D272" s="26" t="s">
        <v>24</v>
      </c>
      <c r="E272" s="26" t="s">
        <v>4849</v>
      </c>
      <c r="F272" s="21">
        <v>5.58971132E8</v>
      </c>
      <c r="G272" s="26" t="s">
        <v>27</v>
      </c>
      <c r="H272" s="26" t="s">
        <v>27</v>
      </c>
      <c r="I272" s="26" t="s">
        <v>27</v>
      </c>
      <c r="J272" s="351" t="s">
        <v>5305</v>
      </c>
      <c r="K272" s="27"/>
      <c r="L272" s="26" t="s">
        <v>39</v>
      </c>
      <c r="M272" s="27" t="s">
        <v>4982</v>
      </c>
      <c r="N272" s="26" t="s">
        <v>4803</v>
      </c>
      <c r="O272" s="26" t="s">
        <v>4746</v>
      </c>
      <c r="P272" s="114">
        <v>0.4791666666666667</v>
      </c>
      <c r="Q272" s="26" t="s">
        <v>56</v>
      </c>
      <c r="R272" s="26" t="s">
        <v>3811</v>
      </c>
      <c r="S272" s="27" t="s">
        <v>3566</v>
      </c>
      <c r="T272" s="27"/>
      <c r="U272" s="35"/>
      <c r="V272" s="26"/>
      <c r="W272" s="26">
        <v>5.0</v>
      </c>
      <c r="X272" s="26" t="s">
        <v>46</v>
      </c>
    </row>
    <row r="273" hidden="1">
      <c r="A273" s="26">
        <v>273.0</v>
      </c>
      <c r="B273" s="188">
        <v>46180.0</v>
      </c>
      <c r="C273" s="26" t="s">
        <v>21</v>
      </c>
      <c r="D273" s="26" t="s">
        <v>34</v>
      </c>
      <c r="E273" s="27" t="s">
        <v>5310</v>
      </c>
      <c r="F273" s="21">
        <v>5.33226375E8</v>
      </c>
      <c r="G273" s="26" t="s">
        <v>27</v>
      </c>
      <c r="H273" s="26" t="s">
        <v>27</v>
      </c>
      <c r="I273" s="26" t="s">
        <v>27</v>
      </c>
      <c r="J273" s="209" t="s">
        <v>5311</v>
      </c>
      <c r="K273" s="27" t="s">
        <v>4417</v>
      </c>
      <c r="L273" s="26" t="s">
        <v>39</v>
      </c>
      <c r="M273" s="27" t="s">
        <v>51</v>
      </c>
      <c r="N273" s="26" t="s">
        <v>4746</v>
      </c>
      <c r="O273" s="26" t="s">
        <v>4746</v>
      </c>
      <c r="P273" s="35">
        <v>0.4444444444444444</v>
      </c>
      <c r="Q273" s="26" t="s">
        <v>56</v>
      </c>
      <c r="R273" s="26" t="s">
        <v>42</v>
      </c>
      <c r="S273" s="27" t="s">
        <v>3566</v>
      </c>
      <c r="T273" s="27" t="s">
        <v>3566</v>
      </c>
      <c r="U273" s="35">
        <v>0.4444444444444444</v>
      </c>
      <c r="V273" s="26" t="s">
        <v>44</v>
      </c>
      <c r="W273" s="26">
        <v>5.0</v>
      </c>
      <c r="X273" s="26"/>
    </row>
    <row r="274" hidden="1">
      <c r="A274" s="26">
        <v>274.0</v>
      </c>
      <c r="B274" s="188">
        <v>46180.0</v>
      </c>
      <c r="C274" s="26" t="s">
        <v>21</v>
      </c>
      <c r="D274" s="26" t="s">
        <v>34</v>
      </c>
      <c r="E274" s="27" t="s">
        <v>5317</v>
      </c>
      <c r="F274" s="21"/>
      <c r="G274" s="26" t="s">
        <v>27</v>
      </c>
      <c r="H274" s="26" t="s">
        <v>27</v>
      </c>
      <c r="I274" s="26" t="s">
        <v>27</v>
      </c>
      <c r="J274" s="209" t="s">
        <v>5318</v>
      </c>
      <c r="K274" s="27" t="s">
        <v>4417</v>
      </c>
      <c r="L274" s="26" t="s">
        <v>39</v>
      </c>
      <c r="M274" s="27" t="s">
        <v>51</v>
      </c>
      <c r="N274" s="26" t="s">
        <v>4746</v>
      </c>
      <c r="O274" s="26" t="s">
        <v>4746</v>
      </c>
      <c r="P274" s="35">
        <v>0.4444444444444444</v>
      </c>
      <c r="Q274" s="26" t="s">
        <v>56</v>
      </c>
      <c r="R274" s="26" t="s">
        <v>42</v>
      </c>
      <c r="S274" s="27" t="s">
        <v>3566</v>
      </c>
      <c r="T274" s="27" t="s">
        <v>3566</v>
      </c>
      <c r="U274" s="35">
        <v>0.4444444444444444</v>
      </c>
      <c r="V274" s="26" t="s">
        <v>44</v>
      </c>
      <c r="W274" s="26">
        <v>5.0</v>
      </c>
      <c r="X274" s="26"/>
    </row>
    <row r="275" hidden="1">
      <c r="A275" s="26">
        <v>275.0</v>
      </c>
      <c r="B275" s="188">
        <v>46180.0</v>
      </c>
      <c r="C275" s="26" t="s">
        <v>21</v>
      </c>
      <c r="D275" s="26" t="s">
        <v>24</v>
      </c>
      <c r="E275" s="27" t="s">
        <v>5325</v>
      </c>
      <c r="F275" s="21">
        <v>5.90826563E8</v>
      </c>
      <c r="G275" s="26" t="s">
        <v>4740</v>
      </c>
      <c r="H275" s="27" t="s">
        <v>41</v>
      </c>
      <c r="I275" s="26" t="s">
        <v>27</v>
      </c>
      <c r="J275" s="209" t="s">
        <v>5326</v>
      </c>
      <c r="K275" s="27"/>
      <c r="L275" s="26" t="s">
        <v>39</v>
      </c>
      <c r="M275" s="27" t="s">
        <v>4982</v>
      </c>
      <c r="N275" s="26" t="s">
        <v>4803</v>
      </c>
      <c r="O275" s="26" t="s">
        <v>4746</v>
      </c>
      <c r="P275" s="114">
        <v>0.4791666666666667</v>
      </c>
      <c r="Q275" s="26" t="s">
        <v>56</v>
      </c>
      <c r="R275" s="26" t="s">
        <v>518</v>
      </c>
      <c r="S275" s="27" t="s">
        <v>3566</v>
      </c>
      <c r="T275" s="27"/>
      <c r="U275" s="35"/>
      <c r="V275" s="26"/>
      <c r="W275" s="26">
        <v>5.0</v>
      </c>
      <c r="X275" s="26" t="s">
        <v>46</v>
      </c>
    </row>
    <row r="276" hidden="1">
      <c r="A276" s="26">
        <v>276.0</v>
      </c>
      <c r="B276" s="188">
        <v>46180.0</v>
      </c>
      <c r="C276" s="26" t="s">
        <v>21</v>
      </c>
      <c r="D276" s="26" t="s">
        <v>34</v>
      </c>
      <c r="E276" s="27" t="s">
        <v>5332</v>
      </c>
      <c r="F276" s="21">
        <v>5.08898884E8</v>
      </c>
      <c r="G276" s="26" t="s">
        <v>27</v>
      </c>
      <c r="H276" s="26" t="s">
        <v>27</v>
      </c>
      <c r="I276" s="26" t="s">
        <v>27</v>
      </c>
      <c r="J276" s="209" t="s">
        <v>5333</v>
      </c>
      <c r="K276" s="27" t="s">
        <v>4417</v>
      </c>
      <c r="L276" s="26" t="s">
        <v>39</v>
      </c>
      <c r="M276" s="27" t="s">
        <v>51</v>
      </c>
      <c r="N276" s="26" t="s">
        <v>4746</v>
      </c>
      <c r="O276" s="26" t="s">
        <v>4746</v>
      </c>
      <c r="P276" s="35">
        <v>0.4444444444444444</v>
      </c>
      <c r="Q276" s="26" t="s">
        <v>56</v>
      </c>
      <c r="R276" s="26" t="s">
        <v>42</v>
      </c>
      <c r="S276" s="27" t="s">
        <v>3566</v>
      </c>
      <c r="T276" s="27" t="s">
        <v>3566</v>
      </c>
      <c r="U276" s="35">
        <v>0.4444444444444444</v>
      </c>
      <c r="V276" s="26" t="s">
        <v>44</v>
      </c>
      <c r="W276" s="26">
        <v>5.0</v>
      </c>
      <c r="X276" s="26"/>
    </row>
    <row r="277" hidden="1">
      <c r="A277" s="26">
        <v>277.0</v>
      </c>
      <c r="B277" s="188">
        <v>46180.0</v>
      </c>
      <c r="C277" s="26" t="s">
        <v>21</v>
      </c>
      <c r="D277" s="26" t="s">
        <v>34</v>
      </c>
      <c r="E277" s="26" t="s">
        <v>5339</v>
      </c>
      <c r="F277" s="21">
        <v>5.44313763E8</v>
      </c>
      <c r="G277" s="26" t="s">
        <v>4865</v>
      </c>
      <c r="H277" s="27" t="s">
        <v>319</v>
      </c>
      <c r="I277" s="26" t="s">
        <v>27</v>
      </c>
      <c r="J277" s="209" t="s">
        <v>5340</v>
      </c>
      <c r="K277" s="27" t="s">
        <v>4417</v>
      </c>
      <c r="L277" s="26" t="s">
        <v>39</v>
      </c>
      <c r="M277" s="27" t="s">
        <v>51</v>
      </c>
      <c r="N277" s="26" t="s">
        <v>4746</v>
      </c>
      <c r="O277" s="26" t="s">
        <v>4746</v>
      </c>
      <c r="P277" s="35">
        <v>0.4444444444444444</v>
      </c>
      <c r="Q277" s="26" t="s">
        <v>56</v>
      </c>
      <c r="R277" s="26" t="s">
        <v>42</v>
      </c>
      <c r="S277" s="27" t="s">
        <v>3566</v>
      </c>
      <c r="T277" s="27" t="s">
        <v>3566</v>
      </c>
      <c r="U277" s="35">
        <v>0.4444444444444444</v>
      </c>
      <c r="V277" s="26" t="s">
        <v>44</v>
      </c>
      <c r="W277" s="26">
        <v>5.0</v>
      </c>
      <c r="X277" s="26"/>
    </row>
    <row r="278" hidden="1">
      <c r="A278" s="26">
        <v>278.0</v>
      </c>
      <c r="B278" s="188">
        <v>46180.0</v>
      </c>
      <c r="C278" s="26" t="s">
        <v>21</v>
      </c>
      <c r="D278" s="26" t="s">
        <v>34</v>
      </c>
      <c r="E278" s="27" t="s">
        <v>3624</v>
      </c>
      <c r="F278" s="21">
        <v>5.33386669E8</v>
      </c>
      <c r="G278" s="26" t="s">
        <v>27</v>
      </c>
      <c r="H278" s="26" t="s">
        <v>27</v>
      </c>
      <c r="I278" s="26" t="s">
        <v>27</v>
      </c>
      <c r="J278" s="209" t="s">
        <v>5345</v>
      </c>
      <c r="K278" s="27" t="s">
        <v>4417</v>
      </c>
      <c r="L278" s="26" t="s">
        <v>39</v>
      </c>
      <c r="M278" s="27" t="s">
        <v>51</v>
      </c>
      <c r="N278" s="26" t="s">
        <v>4746</v>
      </c>
      <c r="O278" s="26" t="s">
        <v>4746</v>
      </c>
      <c r="P278" s="35">
        <v>0.4444444444444444</v>
      </c>
      <c r="Q278" s="26" t="s">
        <v>56</v>
      </c>
      <c r="R278" s="26" t="s">
        <v>42</v>
      </c>
      <c r="S278" s="27" t="s">
        <v>3566</v>
      </c>
      <c r="T278" s="27" t="s">
        <v>3566</v>
      </c>
      <c r="U278" s="35">
        <v>0.4444444444444444</v>
      </c>
      <c r="V278" s="26" t="s">
        <v>44</v>
      </c>
      <c r="W278" s="26">
        <v>5.0</v>
      </c>
      <c r="X278" s="26"/>
    </row>
    <row r="279" hidden="1">
      <c r="A279" s="26">
        <v>279.0</v>
      </c>
      <c r="B279" s="188">
        <v>46180.0</v>
      </c>
      <c r="C279" s="26" t="s">
        <v>21</v>
      </c>
      <c r="D279" s="26" t="s">
        <v>22</v>
      </c>
      <c r="E279" s="27" t="s">
        <v>5349</v>
      </c>
      <c r="F279" s="21">
        <v>5.56706999E8</v>
      </c>
      <c r="G279" s="26" t="s">
        <v>27</v>
      </c>
      <c r="H279" s="26" t="s">
        <v>27</v>
      </c>
      <c r="I279" s="26" t="s">
        <v>27</v>
      </c>
      <c r="J279" s="209" t="s">
        <v>5350</v>
      </c>
      <c r="K279" s="27"/>
      <c r="L279" s="26" t="s">
        <v>39</v>
      </c>
      <c r="M279" s="27" t="s">
        <v>4868</v>
      </c>
      <c r="N279" s="26" t="s">
        <v>4870</v>
      </c>
      <c r="O279" s="26" t="s">
        <v>4746</v>
      </c>
      <c r="P279" s="114">
        <v>0.4791666666666667</v>
      </c>
      <c r="Q279" s="26" t="s">
        <v>40</v>
      </c>
      <c r="R279" s="26" t="s">
        <v>42</v>
      </c>
      <c r="S279" s="27" t="s">
        <v>3566</v>
      </c>
      <c r="T279" s="27"/>
      <c r="U279" s="35"/>
      <c r="V279" s="26"/>
      <c r="W279" s="26">
        <v>5.0</v>
      </c>
      <c r="X279" s="126" t="s">
        <v>46</v>
      </c>
    </row>
    <row r="280" hidden="1">
      <c r="A280" s="26">
        <v>280.0</v>
      </c>
      <c r="B280" s="188">
        <v>46180.0</v>
      </c>
      <c r="C280" s="26" t="s">
        <v>21</v>
      </c>
      <c r="D280" s="26" t="s">
        <v>34</v>
      </c>
      <c r="E280" s="27" t="s">
        <v>5355</v>
      </c>
      <c r="F280" s="21">
        <v>5.66997519E8</v>
      </c>
      <c r="G280" s="26" t="s">
        <v>27</v>
      </c>
      <c r="H280" s="26" t="s">
        <v>27</v>
      </c>
      <c r="I280" s="26" t="s">
        <v>27</v>
      </c>
      <c r="J280" s="209" t="s">
        <v>5356</v>
      </c>
      <c r="K280" s="27" t="s">
        <v>4417</v>
      </c>
      <c r="L280" s="26" t="s">
        <v>39</v>
      </c>
      <c r="M280" s="27" t="s">
        <v>51</v>
      </c>
      <c r="N280" s="26" t="s">
        <v>4746</v>
      </c>
      <c r="O280" s="26" t="s">
        <v>4746</v>
      </c>
      <c r="P280" s="35">
        <v>0.4444444444444444</v>
      </c>
      <c r="Q280" s="26" t="s">
        <v>56</v>
      </c>
      <c r="R280" s="26" t="s">
        <v>42</v>
      </c>
      <c r="S280" s="27" t="s">
        <v>3566</v>
      </c>
      <c r="T280" s="27" t="s">
        <v>3566</v>
      </c>
      <c r="U280" s="35">
        <v>0.4444444444444444</v>
      </c>
      <c r="V280" s="26" t="s">
        <v>44</v>
      </c>
      <c r="W280" s="26">
        <v>5.0</v>
      </c>
      <c r="X280" s="26"/>
    </row>
    <row r="281" hidden="1">
      <c r="A281" s="26">
        <v>281.0</v>
      </c>
      <c r="B281" s="188">
        <v>46180.0</v>
      </c>
      <c r="C281" s="26" t="s">
        <v>21</v>
      </c>
      <c r="D281" s="26" t="s">
        <v>34</v>
      </c>
      <c r="E281" s="27" t="s">
        <v>5359</v>
      </c>
      <c r="F281" s="21">
        <v>5.60492913E8</v>
      </c>
      <c r="G281" s="26" t="s">
        <v>27</v>
      </c>
      <c r="H281" s="26" t="s">
        <v>27</v>
      </c>
      <c r="I281" s="26" t="s">
        <v>27</v>
      </c>
      <c r="J281" s="209" t="s">
        <v>5360</v>
      </c>
      <c r="K281" s="27" t="s">
        <v>4417</v>
      </c>
      <c r="L281" s="26" t="s">
        <v>39</v>
      </c>
      <c r="M281" s="27" t="s">
        <v>51</v>
      </c>
      <c r="N281" s="26" t="s">
        <v>4746</v>
      </c>
      <c r="O281" s="26" t="s">
        <v>4746</v>
      </c>
      <c r="P281" s="35">
        <v>0.4444444444444444</v>
      </c>
      <c r="Q281" s="26" t="s">
        <v>56</v>
      </c>
      <c r="R281" s="26" t="s">
        <v>42</v>
      </c>
      <c r="S281" s="27" t="s">
        <v>3566</v>
      </c>
      <c r="T281" s="27" t="s">
        <v>3566</v>
      </c>
      <c r="U281" s="35">
        <v>0.4444444444444444</v>
      </c>
      <c r="V281" s="26" t="s">
        <v>44</v>
      </c>
      <c r="W281" s="26">
        <v>5.0</v>
      </c>
      <c r="X281" s="26"/>
    </row>
    <row r="282" hidden="1">
      <c r="A282" s="26">
        <v>282.0</v>
      </c>
      <c r="B282" s="188">
        <v>46180.0</v>
      </c>
      <c r="C282" s="26" t="s">
        <v>21</v>
      </c>
      <c r="D282" s="26" t="s">
        <v>34</v>
      </c>
      <c r="E282" s="27" t="s">
        <v>5363</v>
      </c>
      <c r="F282" s="21">
        <v>5.06910166E8</v>
      </c>
      <c r="G282" s="26" t="s">
        <v>27</v>
      </c>
      <c r="H282" s="26" t="s">
        <v>27</v>
      </c>
      <c r="I282" s="26" t="s">
        <v>27</v>
      </c>
      <c r="J282" s="209" t="s">
        <v>5364</v>
      </c>
      <c r="K282" s="27" t="s">
        <v>4417</v>
      </c>
      <c r="L282" s="26" t="s">
        <v>39</v>
      </c>
      <c r="M282" s="27" t="s">
        <v>51</v>
      </c>
      <c r="N282" s="26" t="s">
        <v>4746</v>
      </c>
      <c r="O282" s="26" t="s">
        <v>4746</v>
      </c>
      <c r="P282" s="35">
        <v>0.4444444444444444</v>
      </c>
      <c r="Q282" s="26" t="s">
        <v>56</v>
      </c>
      <c r="R282" s="26" t="s">
        <v>42</v>
      </c>
      <c r="S282" s="27" t="s">
        <v>3566</v>
      </c>
      <c r="T282" s="27" t="s">
        <v>3566</v>
      </c>
      <c r="U282" s="35">
        <v>0.4444444444444444</v>
      </c>
      <c r="V282" s="26" t="s">
        <v>44</v>
      </c>
      <c r="W282" s="26">
        <v>5.0</v>
      </c>
      <c r="X282" s="26"/>
    </row>
    <row r="283" hidden="1">
      <c r="A283" s="26">
        <v>283.0</v>
      </c>
      <c r="B283" s="188">
        <v>46180.0</v>
      </c>
      <c r="C283" s="26" t="s">
        <v>21</v>
      </c>
      <c r="D283" s="26" t="s">
        <v>24</v>
      </c>
      <c r="E283" s="26" t="s">
        <v>5369</v>
      </c>
      <c r="F283" s="21">
        <v>5.45552377E8</v>
      </c>
      <c r="G283" s="26" t="s">
        <v>4740</v>
      </c>
      <c r="H283" s="27" t="s">
        <v>71</v>
      </c>
      <c r="I283" s="26" t="s">
        <v>27</v>
      </c>
      <c r="J283" s="209" t="s">
        <v>5370</v>
      </c>
      <c r="K283" s="27"/>
      <c r="L283" s="26" t="s">
        <v>39</v>
      </c>
      <c r="M283" s="27" t="s">
        <v>4802</v>
      </c>
      <c r="N283" s="26" t="s">
        <v>4803</v>
      </c>
      <c r="O283" s="26" t="s">
        <v>4746</v>
      </c>
      <c r="P283" s="114">
        <v>0.4791666666666667</v>
      </c>
      <c r="Q283" s="26" t="s">
        <v>56</v>
      </c>
      <c r="R283" s="26" t="s">
        <v>42</v>
      </c>
      <c r="S283" s="27" t="s">
        <v>3566</v>
      </c>
      <c r="T283" s="27"/>
      <c r="U283" s="35"/>
      <c r="V283" s="26"/>
      <c r="W283" s="26">
        <v>5.0</v>
      </c>
      <c r="X283" s="26" t="s">
        <v>46</v>
      </c>
    </row>
    <row r="284" hidden="1">
      <c r="A284" s="26">
        <v>284.0</v>
      </c>
      <c r="B284" s="188">
        <v>46180.0</v>
      </c>
      <c r="C284" s="26" t="s">
        <v>21</v>
      </c>
      <c r="D284" s="26" t="s">
        <v>34</v>
      </c>
      <c r="E284" s="27" t="s">
        <v>5372</v>
      </c>
      <c r="F284" s="21">
        <v>5.5553479E8</v>
      </c>
      <c r="G284" s="26" t="s">
        <v>27</v>
      </c>
      <c r="H284" s="26" t="s">
        <v>27</v>
      </c>
      <c r="I284" s="26" t="s">
        <v>27</v>
      </c>
      <c r="J284" s="209" t="s">
        <v>5373</v>
      </c>
      <c r="K284" s="27" t="s">
        <v>4417</v>
      </c>
      <c r="L284" s="26" t="s">
        <v>39</v>
      </c>
      <c r="M284" s="27" t="s">
        <v>51</v>
      </c>
      <c r="N284" s="26" t="s">
        <v>4746</v>
      </c>
      <c r="O284" s="26" t="s">
        <v>4746</v>
      </c>
      <c r="P284" s="35">
        <v>0.4444444444444444</v>
      </c>
      <c r="Q284" s="26" t="s">
        <v>56</v>
      </c>
      <c r="R284" s="26" t="s">
        <v>42</v>
      </c>
      <c r="S284" s="27" t="s">
        <v>3566</v>
      </c>
      <c r="T284" s="27" t="s">
        <v>3566</v>
      </c>
      <c r="U284" s="35">
        <v>0.4444444444444444</v>
      </c>
      <c r="V284" s="26" t="s">
        <v>44</v>
      </c>
      <c r="W284" s="26">
        <v>5.0</v>
      </c>
      <c r="X284" s="26"/>
    </row>
    <row r="285" hidden="1">
      <c r="A285" s="26">
        <v>285.0</v>
      </c>
      <c r="B285" s="188">
        <v>46180.0</v>
      </c>
      <c r="C285" s="26" t="s">
        <v>21</v>
      </c>
      <c r="D285" s="26" t="s">
        <v>66</v>
      </c>
      <c r="E285" s="27" t="s">
        <v>5379</v>
      </c>
      <c r="F285" s="21">
        <v>5.60351796E8</v>
      </c>
      <c r="G285" s="26" t="s">
        <v>4740</v>
      </c>
      <c r="H285" s="27" t="s">
        <v>79</v>
      </c>
      <c r="I285" s="26" t="s">
        <v>27</v>
      </c>
      <c r="J285" s="209" t="s">
        <v>5382</v>
      </c>
      <c r="K285" s="27"/>
      <c r="L285" s="26" t="s">
        <v>39</v>
      </c>
      <c r="M285" s="27" t="s">
        <v>208</v>
      </c>
      <c r="N285" s="26" t="s">
        <v>49</v>
      </c>
      <c r="O285" s="26" t="s">
        <v>4746</v>
      </c>
      <c r="P285" s="114">
        <v>0.4791666666666667</v>
      </c>
      <c r="Q285" s="26" t="s">
        <v>56</v>
      </c>
      <c r="R285" s="26" t="s">
        <v>518</v>
      </c>
      <c r="S285" s="27" t="s">
        <v>3566</v>
      </c>
      <c r="T285" s="27"/>
      <c r="U285" s="35"/>
      <c r="V285" s="26"/>
      <c r="W285" s="26">
        <v>5.0</v>
      </c>
      <c r="X285" s="26"/>
    </row>
    <row r="286" hidden="1">
      <c r="A286" s="26">
        <v>286.0</v>
      </c>
      <c r="B286" s="188">
        <v>46180.0</v>
      </c>
      <c r="C286" s="26" t="s">
        <v>21</v>
      </c>
      <c r="D286" s="26" t="s">
        <v>34</v>
      </c>
      <c r="E286" s="27" t="s">
        <v>3716</v>
      </c>
      <c r="F286" s="21">
        <v>5.96969636E8</v>
      </c>
      <c r="G286" s="26" t="s">
        <v>27</v>
      </c>
      <c r="H286" s="26" t="s">
        <v>27</v>
      </c>
      <c r="I286" s="26" t="s">
        <v>27</v>
      </c>
      <c r="J286" s="209" t="s">
        <v>5387</v>
      </c>
      <c r="K286" s="27" t="s">
        <v>4417</v>
      </c>
      <c r="L286" s="26" t="s">
        <v>39</v>
      </c>
      <c r="M286" s="27" t="s">
        <v>51</v>
      </c>
      <c r="N286" s="26" t="s">
        <v>4746</v>
      </c>
      <c r="O286" s="26" t="s">
        <v>4746</v>
      </c>
      <c r="P286" s="35">
        <v>0.4444444444444444</v>
      </c>
      <c r="Q286" s="26" t="s">
        <v>56</v>
      </c>
      <c r="R286" s="26" t="s">
        <v>42</v>
      </c>
      <c r="S286" s="27" t="s">
        <v>3566</v>
      </c>
      <c r="T286" s="27" t="s">
        <v>3566</v>
      </c>
      <c r="U286" s="35">
        <v>0.4444444444444444</v>
      </c>
      <c r="V286" s="26" t="s">
        <v>44</v>
      </c>
      <c r="W286" s="26">
        <v>5.0</v>
      </c>
      <c r="X286" s="26"/>
    </row>
    <row r="287" hidden="1">
      <c r="A287" s="26">
        <v>287.0</v>
      </c>
      <c r="B287" s="188">
        <v>46180.0</v>
      </c>
      <c r="C287" s="26" t="s">
        <v>21</v>
      </c>
      <c r="D287" s="26" t="s">
        <v>34</v>
      </c>
      <c r="E287" s="27" t="s">
        <v>5392</v>
      </c>
      <c r="F287" s="21"/>
      <c r="G287" s="26" t="s">
        <v>27</v>
      </c>
      <c r="H287" s="26" t="s">
        <v>27</v>
      </c>
      <c r="I287" s="26" t="s">
        <v>27</v>
      </c>
      <c r="J287" s="209" t="s">
        <v>5393</v>
      </c>
      <c r="K287" s="27" t="s">
        <v>4417</v>
      </c>
      <c r="L287" s="26" t="s">
        <v>39</v>
      </c>
      <c r="M287" s="27" t="s">
        <v>51</v>
      </c>
      <c r="N287" s="26" t="s">
        <v>4746</v>
      </c>
      <c r="O287" s="26" t="s">
        <v>4746</v>
      </c>
      <c r="P287" s="35">
        <v>0.4444444444444444</v>
      </c>
      <c r="Q287" s="26" t="s">
        <v>56</v>
      </c>
      <c r="R287" s="26" t="s">
        <v>42</v>
      </c>
      <c r="S287" s="27" t="s">
        <v>3566</v>
      </c>
      <c r="T287" s="27" t="s">
        <v>3566</v>
      </c>
      <c r="U287" s="35">
        <v>0.4444444444444444</v>
      </c>
      <c r="V287" s="26" t="s">
        <v>44</v>
      </c>
      <c r="W287" s="26">
        <v>5.0</v>
      </c>
      <c r="X287" s="26"/>
    </row>
    <row r="288" hidden="1">
      <c r="A288" s="26">
        <v>288.0</v>
      </c>
      <c r="B288" s="188">
        <v>46180.0</v>
      </c>
      <c r="C288" s="26" t="s">
        <v>21</v>
      </c>
      <c r="D288" s="26" t="s">
        <v>34</v>
      </c>
      <c r="E288" s="27" t="s">
        <v>5397</v>
      </c>
      <c r="F288" s="21">
        <v>5.00217239E8</v>
      </c>
      <c r="G288" s="26" t="s">
        <v>4865</v>
      </c>
      <c r="H288" s="27" t="s">
        <v>319</v>
      </c>
      <c r="I288" s="26" t="s">
        <v>27</v>
      </c>
      <c r="J288" s="209" t="s">
        <v>5398</v>
      </c>
      <c r="K288" s="27" t="s">
        <v>4417</v>
      </c>
      <c r="L288" s="26" t="s">
        <v>39</v>
      </c>
      <c r="M288" s="27" t="s">
        <v>51</v>
      </c>
      <c r="N288" s="26" t="s">
        <v>4746</v>
      </c>
      <c r="O288" s="26" t="s">
        <v>4746</v>
      </c>
      <c r="P288" s="35">
        <v>0.4444444444444444</v>
      </c>
      <c r="Q288" s="26" t="s">
        <v>56</v>
      </c>
      <c r="R288" s="26" t="s">
        <v>42</v>
      </c>
      <c r="S288" s="27" t="s">
        <v>3566</v>
      </c>
      <c r="T288" s="27" t="s">
        <v>3566</v>
      </c>
      <c r="U288" s="35">
        <v>0.4444444444444444</v>
      </c>
      <c r="V288" s="26" t="s">
        <v>44</v>
      </c>
      <c r="W288" s="26">
        <v>5.0</v>
      </c>
      <c r="X288" s="26"/>
    </row>
    <row r="289" hidden="1">
      <c r="A289" s="26">
        <v>289.0</v>
      </c>
      <c r="B289" s="188">
        <v>46180.0</v>
      </c>
      <c r="C289" s="26" t="s">
        <v>21</v>
      </c>
      <c r="D289" s="26" t="s">
        <v>34</v>
      </c>
      <c r="E289" s="26" t="s">
        <v>5403</v>
      </c>
      <c r="F289" s="21">
        <v>5.33660228E8</v>
      </c>
      <c r="G289" s="26" t="s">
        <v>27</v>
      </c>
      <c r="H289" s="26" t="s">
        <v>27</v>
      </c>
      <c r="I289" s="26" t="s">
        <v>27</v>
      </c>
      <c r="J289" s="351" t="s">
        <v>5406</v>
      </c>
      <c r="K289" s="27" t="s">
        <v>4417</v>
      </c>
      <c r="L289" s="26" t="s">
        <v>39</v>
      </c>
      <c r="M289" s="27" t="s">
        <v>51</v>
      </c>
      <c r="N289" s="26" t="s">
        <v>4746</v>
      </c>
      <c r="O289" s="26" t="s">
        <v>4746</v>
      </c>
      <c r="P289" s="35">
        <v>0.4444444444444444</v>
      </c>
      <c r="Q289" s="26" t="s">
        <v>56</v>
      </c>
      <c r="R289" s="26" t="s">
        <v>42</v>
      </c>
      <c r="S289" s="27" t="s">
        <v>3566</v>
      </c>
      <c r="T289" s="27" t="s">
        <v>3566</v>
      </c>
      <c r="U289" s="35">
        <v>0.4444444444444444</v>
      </c>
      <c r="V289" s="26" t="s">
        <v>44</v>
      </c>
      <c r="W289" s="26">
        <v>5.0</v>
      </c>
      <c r="X289" s="26"/>
    </row>
    <row r="290" hidden="1">
      <c r="A290" s="26">
        <v>290.0</v>
      </c>
      <c r="B290" s="188">
        <v>46180.0</v>
      </c>
      <c r="C290" s="26" t="s">
        <v>21</v>
      </c>
      <c r="D290" s="26" t="s">
        <v>22</v>
      </c>
      <c r="E290" s="27" t="s">
        <v>330</v>
      </c>
      <c r="F290" s="21">
        <v>5.5002359E8</v>
      </c>
      <c r="G290" s="26" t="s">
        <v>27</v>
      </c>
      <c r="H290" s="26" t="s">
        <v>27</v>
      </c>
      <c r="I290" s="26" t="s">
        <v>27</v>
      </c>
      <c r="J290" s="209" t="s">
        <v>5413</v>
      </c>
      <c r="K290" s="27"/>
      <c r="L290" s="26" t="s">
        <v>39</v>
      </c>
      <c r="M290" s="27" t="s">
        <v>1389</v>
      </c>
      <c r="N290" s="26" t="s">
        <v>4870</v>
      </c>
      <c r="O290" s="26" t="s">
        <v>4746</v>
      </c>
      <c r="P290" s="114">
        <v>0.4791666666666667</v>
      </c>
      <c r="Q290" s="26" t="s">
        <v>40</v>
      </c>
      <c r="R290" s="26" t="s">
        <v>42</v>
      </c>
      <c r="S290" s="27" t="s">
        <v>3566</v>
      </c>
      <c r="T290" s="27"/>
      <c r="U290" s="35"/>
      <c r="V290" s="26"/>
      <c r="W290" s="26">
        <v>5.0</v>
      </c>
      <c r="X290" s="126" t="s">
        <v>46</v>
      </c>
    </row>
    <row r="291" hidden="1">
      <c r="A291" s="26">
        <v>291.0</v>
      </c>
      <c r="B291" s="188">
        <v>46180.0</v>
      </c>
      <c r="C291" s="26" t="s">
        <v>21</v>
      </c>
      <c r="D291" s="26" t="s">
        <v>34</v>
      </c>
      <c r="E291" s="27" t="s">
        <v>5416</v>
      </c>
      <c r="F291" s="21">
        <v>5.70211544E8</v>
      </c>
      <c r="G291" s="26" t="s">
        <v>27</v>
      </c>
      <c r="H291" s="26" t="s">
        <v>27</v>
      </c>
      <c r="I291" s="26" t="s">
        <v>27</v>
      </c>
      <c r="J291" s="209" t="s">
        <v>4430</v>
      </c>
      <c r="K291" s="27" t="s">
        <v>4417</v>
      </c>
      <c r="L291" s="26" t="s">
        <v>39</v>
      </c>
      <c r="M291" s="27" t="s">
        <v>51</v>
      </c>
      <c r="N291" s="26" t="s">
        <v>4746</v>
      </c>
      <c r="O291" s="26" t="s">
        <v>4746</v>
      </c>
      <c r="P291" s="35">
        <v>0.4444444444444444</v>
      </c>
      <c r="Q291" s="26" t="s">
        <v>56</v>
      </c>
      <c r="R291" s="26" t="s">
        <v>42</v>
      </c>
      <c r="S291" s="27" t="s">
        <v>3566</v>
      </c>
      <c r="T291" s="27" t="s">
        <v>3566</v>
      </c>
      <c r="U291" s="35">
        <v>0.4444444444444444</v>
      </c>
      <c r="V291" s="26" t="s">
        <v>44</v>
      </c>
      <c r="W291" s="26">
        <v>5.0</v>
      </c>
      <c r="X291" s="26"/>
    </row>
    <row r="292" hidden="1">
      <c r="A292" s="26">
        <v>292.0</v>
      </c>
      <c r="B292" s="188">
        <v>46180.0</v>
      </c>
      <c r="C292" s="26" t="s">
        <v>21</v>
      </c>
      <c r="D292" s="26" t="s">
        <v>34</v>
      </c>
      <c r="E292" s="27" t="s">
        <v>5419</v>
      </c>
      <c r="F292" s="21">
        <v>5.02787763E8</v>
      </c>
      <c r="G292" s="26" t="s">
        <v>27</v>
      </c>
      <c r="H292" s="26" t="s">
        <v>27</v>
      </c>
      <c r="I292" s="26" t="s">
        <v>27</v>
      </c>
      <c r="J292" s="209" t="s">
        <v>5422</v>
      </c>
      <c r="K292" s="27" t="s">
        <v>4417</v>
      </c>
      <c r="L292" s="26" t="s">
        <v>39</v>
      </c>
      <c r="M292" s="27" t="s">
        <v>51</v>
      </c>
      <c r="N292" s="26" t="s">
        <v>4746</v>
      </c>
      <c r="O292" s="26" t="s">
        <v>4746</v>
      </c>
      <c r="P292" s="35">
        <v>0.4444444444444444</v>
      </c>
      <c r="Q292" s="26" t="s">
        <v>56</v>
      </c>
      <c r="R292" s="26" t="s">
        <v>42</v>
      </c>
      <c r="S292" s="27" t="s">
        <v>3566</v>
      </c>
      <c r="T292" s="27" t="s">
        <v>3566</v>
      </c>
      <c r="U292" s="35">
        <v>0.4444444444444444</v>
      </c>
      <c r="V292" s="26" t="s">
        <v>44</v>
      </c>
      <c r="W292" s="26">
        <v>5.0</v>
      </c>
      <c r="X292" s="26"/>
    </row>
    <row r="293" hidden="1">
      <c r="A293" s="26">
        <v>293.0</v>
      </c>
      <c r="B293" s="188">
        <v>46180.0</v>
      </c>
      <c r="C293" s="26" t="s">
        <v>21</v>
      </c>
      <c r="D293" s="26" t="s">
        <v>24</v>
      </c>
      <c r="E293" s="27" t="s">
        <v>5426</v>
      </c>
      <c r="F293" s="21">
        <v>5.59559105E8</v>
      </c>
      <c r="G293" s="26" t="s">
        <v>4740</v>
      </c>
      <c r="H293" s="27" t="s">
        <v>71</v>
      </c>
      <c r="I293" s="26" t="s">
        <v>27</v>
      </c>
      <c r="J293" s="209" t="s">
        <v>5428</v>
      </c>
      <c r="K293" s="27"/>
      <c r="L293" s="26" t="s">
        <v>39</v>
      </c>
      <c r="M293" s="27" t="s">
        <v>4802</v>
      </c>
      <c r="N293" s="26" t="s">
        <v>4803</v>
      </c>
      <c r="O293" s="26" t="s">
        <v>4746</v>
      </c>
      <c r="P293" s="114">
        <v>0.4791666666666667</v>
      </c>
      <c r="Q293" s="26" t="s">
        <v>56</v>
      </c>
      <c r="R293" s="26" t="s">
        <v>42</v>
      </c>
      <c r="S293" s="27" t="s">
        <v>3566</v>
      </c>
      <c r="T293" s="27"/>
      <c r="U293" s="35"/>
      <c r="V293" s="26"/>
      <c r="W293" s="26">
        <v>5.0</v>
      </c>
      <c r="X293" s="26" t="s">
        <v>46</v>
      </c>
    </row>
    <row r="294" hidden="1">
      <c r="A294" s="26">
        <v>294.0</v>
      </c>
      <c r="B294" s="188">
        <v>46180.0</v>
      </c>
      <c r="C294" s="26" t="s">
        <v>21</v>
      </c>
      <c r="D294" s="26" t="s">
        <v>34</v>
      </c>
      <c r="E294" s="26" t="s">
        <v>5431</v>
      </c>
      <c r="F294" s="21">
        <v>5.06907071E8</v>
      </c>
      <c r="G294" s="26" t="s">
        <v>27</v>
      </c>
      <c r="H294" s="26" t="s">
        <v>27</v>
      </c>
      <c r="I294" s="26" t="s">
        <v>27</v>
      </c>
      <c r="J294" s="209" t="s">
        <v>5432</v>
      </c>
      <c r="K294" s="27" t="s">
        <v>4417</v>
      </c>
      <c r="L294" s="26" t="s">
        <v>39</v>
      </c>
      <c r="M294" s="27" t="s">
        <v>51</v>
      </c>
      <c r="N294" s="26" t="s">
        <v>4746</v>
      </c>
      <c r="O294" s="26" t="s">
        <v>4746</v>
      </c>
      <c r="P294" s="35">
        <v>0.4444444444444444</v>
      </c>
      <c r="Q294" s="26" t="s">
        <v>56</v>
      </c>
      <c r="R294" s="26" t="s">
        <v>42</v>
      </c>
      <c r="S294" s="27" t="s">
        <v>3566</v>
      </c>
      <c r="T294" s="27" t="s">
        <v>3566</v>
      </c>
      <c r="U294" s="35">
        <v>0.4444444444444444</v>
      </c>
      <c r="V294" s="26" t="s">
        <v>44</v>
      </c>
      <c r="W294" s="26">
        <v>5.0</v>
      </c>
      <c r="X294" s="26"/>
    </row>
    <row r="295" hidden="1">
      <c r="A295" s="26">
        <v>295.0</v>
      </c>
      <c r="B295" s="188">
        <v>46180.0</v>
      </c>
      <c r="C295" s="26" t="s">
        <v>21</v>
      </c>
      <c r="D295" s="26" t="s">
        <v>34</v>
      </c>
      <c r="E295" s="27" t="s">
        <v>5438</v>
      </c>
      <c r="F295" s="21">
        <v>5.04388531E8</v>
      </c>
      <c r="G295" s="26" t="s">
        <v>27</v>
      </c>
      <c r="H295" s="26" t="s">
        <v>27</v>
      </c>
      <c r="I295" s="26" t="s">
        <v>27</v>
      </c>
      <c r="J295" s="209" t="s">
        <v>5439</v>
      </c>
      <c r="K295" s="27" t="s">
        <v>4417</v>
      </c>
      <c r="L295" s="26" t="s">
        <v>39</v>
      </c>
      <c r="M295" s="27" t="s">
        <v>51</v>
      </c>
      <c r="N295" s="26" t="s">
        <v>4746</v>
      </c>
      <c r="O295" s="26" t="s">
        <v>4746</v>
      </c>
      <c r="P295" s="35">
        <v>0.4444444444444444</v>
      </c>
      <c r="Q295" s="26" t="s">
        <v>56</v>
      </c>
      <c r="R295" s="26" t="s">
        <v>42</v>
      </c>
      <c r="S295" s="27" t="s">
        <v>3566</v>
      </c>
      <c r="T295" s="27" t="s">
        <v>3566</v>
      </c>
      <c r="U295" s="35">
        <v>0.4444444444444444</v>
      </c>
      <c r="V295" s="26" t="s">
        <v>44</v>
      </c>
      <c r="W295" s="26">
        <v>5.0</v>
      </c>
      <c r="X295" s="26"/>
    </row>
    <row r="296" hidden="1">
      <c r="A296" s="26">
        <v>296.0</v>
      </c>
      <c r="B296" s="188">
        <v>46180.0</v>
      </c>
      <c r="C296" s="26" t="s">
        <v>21</v>
      </c>
      <c r="D296" s="26" t="s">
        <v>34</v>
      </c>
      <c r="E296" s="27" t="s">
        <v>5445</v>
      </c>
      <c r="F296" s="21">
        <v>5.34949244E8</v>
      </c>
      <c r="G296" s="26" t="s">
        <v>27</v>
      </c>
      <c r="H296" s="26" t="s">
        <v>27</v>
      </c>
      <c r="I296" s="26" t="s">
        <v>27</v>
      </c>
      <c r="J296" s="209" t="s">
        <v>5446</v>
      </c>
      <c r="K296" s="27" t="s">
        <v>4417</v>
      </c>
      <c r="L296" s="26" t="s">
        <v>39</v>
      </c>
      <c r="M296" s="27" t="s">
        <v>51</v>
      </c>
      <c r="N296" s="26" t="s">
        <v>4746</v>
      </c>
      <c r="O296" s="26" t="s">
        <v>4746</v>
      </c>
      <c r="P296" s="35">
        <v>0.4444444444444444</v>
      </c>
      <c r="Q296" s="26" t="s">
        <v>56</v>
      </c>
      <c r="R296" s="26" t="s">
        <v>42</v>
      </c>
      <c r="S296" s="27" t="s">
        <v>3566</v>
      </c>
      <c r="T296" s="27" t="s">
        <v>3566</v>
      </c>
      <c r="U296" s="35">
        <v>0.4444444444444444</v>
      </c>
      <c r="V296" s="26" t="s">
        <v>44</v>
      </c>
      <c r="W296" s="26">
        <v>5.0</v>
      </c>
      <c r="X296" s="26"/>
    </row>
    <row r="297" hidden="1">
      <c r="A297" s="26">
        <v>297.0</v>
      </c>
      <c r="B297" s="188">
        <v>46180.0</v>
      </c>
      <c r="C297" s="26" t="s">
        <v>21</v>
      </c>
      <c r="D297" s="26" t="s">
        <v>34</v>
      </c>
      <c r="E297" s="27" t="s">
        <v>5454</v>
      </c>
      <c r="F297" s="21">
        <v>5.01017287E8</v>
      </c>
      <c r="G297" s="26" t="s">
        <v>27</v>
      </c>
      <c r="H297" s="26" t="s">
        <v>27</v>
      </c>
      <c r="I297" s="26" t="s">
        <v>27</v>
      </c>
      <c r="J297" s="209" t="s">
        <v>5456</v>
      </c>
      <c r="K297" s="27" t="s">
        <v>4417</v>
      </c>
      <c r="L297" s="26" t="s">
        <v>39</v>
      </c>
      <c r="M297" s="27" t="s">
        <v>51</v>
      </c>
      <c r="N297" s="26" t="s">
        <v>4746</v>
      </c>
      <c r="O297" s="26" t="s">
        <v>4746</v>
      </c>
      <c r="P297" s="35">
        <v>0.4444444444444444</v>
      </c>
      <c r="Q297" s="26" t="s">
        <v>56</v>
      </c>
      <c r="R297" s="26" t="s">
        <v>42</v>
      </c>
      <c r="S297" s="27" t="s">
        <v>3566</v>
      </c>
      <c r="T297" s="27" t="s">
        <v>3566</v>
      </c>
      <c r="U297" s="35">
        <v>0.4444444444444444</v>
      </c>
      <c r="V297" s="26" t="s">
        <v>44</v>
      </c>
      <c r="W297" s="26">
        <v>5.0</v>
      </c>
      <c r="X297" s="26"/>
    </row>
    <row r="298" hidden="1">
      <c r="A298" s="26">
        <v>298.0</v>
      </c>
      <c r="B298" s="188">
        <v>46180.0</v>
      </c>
      <c r="C298" s="26" t="s">
        <v>21</v>
      </c>
      <c r="D298" s="26" t="s">
        <v>34</v>
      </c>
      <c r="E298" s="27" t="s">
        <v>5426</v>
      </c>
      <c r="F298" s="21">
        <v>5.56922275E8</v>
      </c>
      <c r="G298" s="26" t="s">
        <v>27</v>
      </c>
      <c r="H298" s="26" t="s">
        <v>27</v>
      </c>
      <c r="I298" s="26" t="s">
        <v>27</v>
      </c>
      <c r="J298" s="209" t="s">
        <v>5459</v>
      </c>
      <c r="K298" s="27" t="s">
        <v>4417</v>
      </c>
      <c r="L298" s="26" t="s">
        <v>39</v>
      </c>
      <c r="M298" s="27" t="s">
        <v>51</v>
      </c>
      <c r="N298" s="26" t="s">
        <v>4746</v>
      </c>
      <c r="O298" s="26" t="s">
        <v>4746</v>
      </c>
      <c r="P298" s="35">
        <v>0.4444444444444444</v>
      </c>
      <c r="Q298" s="26" t="s">
        <v>56</v>
      </c>
      <c r="R298" s="26" t="s">
        <v>42</v>
      </c>
      <c r="S298" s="27" t="s">
        <v>3566</v>
      </c>
      <c r="T298" s="27" t="s">
        <v>3566</v>
      </c>
      <c r="U298" s="35">
        <v>0.4444444444444444</v>
      </c>
      <c r="V298" s="26" t="s">
        <v>44</v>
      </c>
      <c r="W298" s="26">
        <v>5.0</v>
      </c>
      <c r="X298" s="26"/>
    </row>
    <row r="299" hidden="1">
      <c r="A299" s="26">
        <v>299.0</v>
      </c>
      <c r="B299" s="188">
        <v>46180.0</v>
      </c>
      <c r="C299" s="26" t="s">
        <v>21</v>
      </c>
      <c r="D299" s="26" t="s">
        <v>34</v>
      </c>
      <c r="E299" s="27" t="s">
        <v>5463</v>
      </c>
      <c r="F299" s="21">
        <v>5.00757826E8</v>
      </c>
      <c r="G299" s="26" t="s">
        <v>27</v>
      </c>
      <c r="H299" s="26" t="s">
        <v>27</v>
      </c>
      <c r="I299" s="26" t="s">
        <v>27</v>
      </c>
      <c r="J299" s="209" t="s">
        <v>5466</v>
      </c>
      <c r="K299" s="27" t="s">
        <v>4417</v>
      </c>
      <c r="L299" s="26" t="s">
        <v>39</v>
      </c>
      <c r="M299" s="27" t="s">
        <v>51</v>
      </c>
      <c r="N299" s="26" t="s">
        <v>4746</v>
      </c>
      <c r="O299" s="26" t="s">
        <v>4746</v>
      </c>
      <c r="P299" s="35">
        <v>0.4444444444444444</v>
      </c>
      <c r="Q299" s="26" t="s">
        <v>56</v>
      </c>
      <c r="R299" s="26" t="s">
        <v>42</v>
      </c>
      <c r="S299" s="27" t="s">
        <v>3566</v>
      </c>
      <c r="T299" s="27" t="s">
        <v>3566</v>
      </c>
      <c r="U299" s="35">
        <v>0.4444444444444444</v>
      </c>
      <c r="V299" s="26" t="s">
        <v>44</v>
      </c>
      <c r="W299" s="26">
        <v>5.0</v>
      </c>
      <c r="X299" s="26"/>
    </row>
    <row r="300" hidden="1">
      <c r="A300" s="26">
        <v>300.0</v>
      </c>
      <c r="B300" s="188">
        <v>46180.0</v>
      </c>
      <c r="C300" s="26" t="s">
        <v>21</v>
      </c>
      <c r="D300" s="26" t="s">
        <v>24</v>
      </c>
      <c r="E300" s="27" t="s">
        <v>5469</v>
      </c>
      <c r="F300" s="21">
        <v>5.08346588E8</v>
      </c>
      <c r="G300" s="26" t="s">
        <v>4740</v>
      </c>
      <c r="H300" s="27" t="s">
        <v>71</v>
      </c>
      <c r="I300" s="26" t="s">
        <v>27</v>
      </c>
      <c r="J300" s="209" t="s">
        <v>5472</v>
      </c>
      <c r="K300" s="27"/>
      <c r="L300" s="26" t="s">
        <v>39</v>
      </c>
      <c r="M300" s="27" t="s">
        <v>4802</v>
      </c>
      <c r="N300" s="26" t="s">
        <v>4803</v>
      </c>
      <c r="O300" s="26" t="s">
        <v>4746</v>
      </c>
      <c r="P300" s="114">
        <v>0.4791666666666667</v>
      </c>
      <c r="Q300" s="26" t="s">
        <v>56</v>
      </c>
      <c r="R300" s="26" t="s">
        <v>301</v>
      </c>
      <c r="S300" s="27" t="s">
        <v>3566</v>
      </c>
      <c r="T300" s="27"/>
      <c r="U300" s="35"/>
      <c r="V300" s="26"/>
      <c r="W300" s="26">
        <v>5.0</v>
      </c>
      <c r="X300" s="26" t="s">
        <v>46</v>
      </c>
    </row>
    <row r="301" hidden="1">
      <c r="A301" s="26">
        <v>301.0</v>
      </c>
      <c r="B301" s="188">
        <v>46180.0</v>
      </c>
      <c r="C301" s="26" t="s">
        <v>21</v>
      </c>
      <c r="D301" s="26" t="s">
        <v>34</v>
      </c>
      <c r="E301" s="26" t="s">
        <v>5475</v>
      </c>
      <c r="F301" s="21">
        <v>5.94146779E8</v>
      </c>
      <c r="G301" s="26" t="s">
        <v>27</v>
      </c>
      <c r="H301" s="26" t="s">
        <v>27</v>
      </c>
      <c r="I301" s="26" t="s">
        <v>27</v>
      </c>
      <c r="J301" s="209" t="s">
        <v>5477</v>
      </c>
      <c r="K301" s="27" t="s">
        <v>4417</v>
      </c>
      <c r="L301" s="26" t="s">
        <v>39</v>
      </c>
      <c r="M301" s="27" t="s">
        <v>51</v>
      </c>
      <c r="N301" s="26" t="s">
        <v>4746</v>
      </c>
      <c r="O301" s="26" t="s">
        <v>4746</v>
      </c>
      <c r="P301" s="35">
        <v>0.4444444444444444</v>
      </c>
      <c r="Q301" s="26" t="s">
        <v>56</v>
      </c>
      <c r="R301" s="26" t="s">
        <v>42</v>
      </c>
      <c r="S301" s="27" t="s">
        <v>3566</v>
      </c>
      <c r="T301" s="27" t="s">
        <v>3566</v>
      </c>
      <c r="U301" s="35">
        <v>0.4444444444444444</v>
      </c>
      <c r="V301" s="26" t="s">
        <v>44</v>
      </c>
      <c r="W301" s="26">
        <v>5.0</v>
      </c>
      <c r="X301" s="26"/>
    </row>
    <row r="302" hidden="1">
      <c r="A302" s="26">
        <v>302.0</v>
      </c>
      <c r="B302" s="188">
        <v>46180.0</v>
      </c>
      <c r="C302" s="26" t="s">
        <v>21</v>
      </c>
      <c r="D302" s="26" t="s">
        <v>34</v>
      </c>
      <c r="E302" s="27" t="s">
        <v>5481</v>
      </c>
      <c r="F302" s="21">
        <v>5.61189707E8</v>
      </c>
      <c r="G302" s="26" t="s">
        <v>27</v>
      </c>
      <c r="H302" s="26" t="s">
        <v>27</v>
      </c>
      <c r="I302" s="26" t="s">
        <v>27</v>
      </c>
      <c r="J302" s="209" t="s">
        <v>5483</v>
      </c>
      <c r="K302" s="27" t="s">
        <v>4417</v>
      </c>
      <c r="L302" s="26" t="s">
        <v>39</v>
      </c>
      <c r="M302" s="27" t="s">
        <v>51</v>
      </c>
      <c r="N302" s="26" t="s">
        <v>4746</v>
      </c>
      <c r="O302" s="26" t="s">
        <v>4746</v>
      </c>
      <c r="P302" s="35">
        <v>0.4444444444444444</v>
      </c>
      <c r="Q302" s="26" t="s">
        <v>56</v>
      </c>
      <c r="R302" s="26" t="s">
        <v>42</v>
      </c>
      <c r="S302" s="27" t="s">
        <v>3566</v>
      </c>
      <c r="T302" s="27" t="s">
        <v>3566</v>
      </c>
      <c r="U302" s="35">
        <v>0.4444444444444444</v>
      </c>
      <c r="V302" s="26" t="s">
        <v>44</v>
      </c>
      <c r="W302" s="26">
        <v>5.0</v>
      </c>
      <c r="X302" s="26"/>
    </row>
    <row r="303" hidden="1">
      <c r="A303" s="26">
        <v>303.0</v>
      </c>
      <c r="B303" s="188">
        <v>46180.0</v>
      </c>
      <c r="C303" s="26" t="s">
        <v>21</v>
      </c>
      <c r="D303" s="26" t="s">
        <v>34</v>
      </c>
      <c r="E303" s="27" t="s">
        <v>5486</v>
      </c>
      <c r="F303" s="21">
        <v>5.07981375E8</v>
      </c>
      <c r="G303" s="26" t="s">
        <v>27</v>
      </c>
      <c r="H303" s="26" t="s">
        <v>27</v>
      </c>
      <c r="I303" s="26" t="s">
        <v>27</v>
      </c>
      <c r="J303" s="209" t="s">
        <v>5490</v>
      </c>
      <c r="K303" s="27" t="s">
        <v>4417</v>
      </c>
      <c r="L303" s="26" t="s">
        <v>39</v>
      </c>
      <c r="M303" s="27" t="s">
        <v>51</v>
      </c>
      <c r="N303" s="26" t="s">
        <v>4746</v>
      </c>
      <c r="O303" s="26" t="s">
        <v>4746</v>
      </c>
      <c r="P303" s="35">
        <v>0.4444444444444444</v>
      </c>
      <c r="Q303" s="26" t="s">
        <v>56</v>
      </c>
      <c r="R303" s="26" t="s">
        <v>42</v>
      </c>
      <c r="S303" s="27" t="s">
        <v>3566</v>
      </c>
      <c r="T303" s="27" t="s">
        <v>3566</v>
      </c>
      <c r="U303" s="35">
        <v>0.4444444444444444</v>
      </c>
      <c r="V303" s="26" t="s">
        <v>44</v>
      </c>
      <c r="W303" s="26">
        <v>5.0</v>
      </c>
      <c r="X303" s="26"/>
    </row>
    <row r="304" hidden="1">
      <c r="A304" s="26">
        <v>304.0</v>
      </c>
      <c r="B304" s="188">
        <v>46180.0</v>
      </c>
      <c r="C304" s="26" t="s">
        <v>21</v>
      </c>
      <c r="D304" s="26" t="s">
        <v>34</v>
      </c>
      <c r="E304" s="27" t="s">
        <v>5494</v>
      </c>
      <c r="F304" s="21">
        <v>5.42844427E8</v>
      </c>
      <c r="G304" s="26" t="s">
        <v>27</v>
      </c>
      <c r="H304" s="26" t="s">
        <v>27</v>
      </c>
      <c r="I304" s="26" t="s">
        <v>27</v>
      </c>
      <c r="J304" s="209" t="s">
        <v>5496</v>
      </c>
      <c r="K304" s="27" t="s">
        <v>4417</v>
      </c>
      <c r="L304" s="26" t="s">
        <v>39</v>
      </c>
      <c r="M304" s="27" t="s">
        <v>51</v>
      </c>
      <c r="N304" s="26" t="s">
        <v>4746</v>
      </c>
      <c r="O304" s="26" t="s">
        <v>4746</v>
      </c>
      <c r="P304" s="35">
        <v>0.4444444444444444</v>
      </c>
      <c r="Q304" s="26" t="s">
        <v>56</v>
      </c>
      <c r="R304" s="26" t="s">
        <v>42</v>
      </c>
      <c r="S304" s="27" t="s">
        <v>3566</v>
      </c>
      <c r="T304" s="27" t="s">
        <v>3566</v>
      </c>
      <c r="U304" s="35">
        <v>0.4444444444444444</v>
      </c>
      <c r="V304" s="26" t="s">
        <v>44</v>
      </c>
      <c r="W304" s="26">
        <v>5.0</v>
      </c>
      <c r="X304" s="26"/>
    </row>
    <row r="305" hidden="1">
      <c r="A305" s="26">
        <v>305.0</v>
      </c>
      <c r="B305" s="188">
        <v>46180.0</v>
      </c>
      <c r="C305" s="26" t="s">
        <v>47</v>
      </c>
      <c r="D305" s="26" t="s">
        <v>48</v>
      </c>
      <c r="E305" s="27" t="s">
        <v>3442</v>
      </c>
      <c r="F305" s="21">
        <v>5.73754223E8</v>
      </c>
      <c r="G305" s="26" t="s">
        <v>5151</v>
      </c>
      <c r="H305" s="27" t="s">
        <v>28</v>
      </c>
      <c r="I305" s="26" t="s">
        <v>830</v>
      </c>
      <c r="J305" s="220" t="s">
        <v>6643</v>
      </c>
      <c r="K305" s="27" t="s">
        <v>5501</v>
      </c>
      <c r="L305" s="26" t="s">
        <v>36</v>
      </c>
      <c r="M305" s="27" t="s">
        <v>5011</v>
      </c>
      <c r="N305" s="26" t="s">
        <v>4977</v>
      </c>
      <c r="O305" s="26" t="s">
        <v>4746</v>
      </c>
      <c r="P305" s="35">
        <v>0.3958333333333333</v>
      </c>
      <c r="Q305" s="26" t="s">
        <v>56</v>
      </c>
      <c r="R305" s="26" t="s">
        <v>518</v>
      </c>
      <c r="S305" s="27" t="s">
        <v>3765</v>
      </c>
      <c r="T305" s="27" t="s">
        <v>3566</v>
      </c>
      <c r="U305" s="35">
        <v>0.6180555555555556</v>
      </c>
      <c r="V305" s="26" t="s">
        <v>44</v>
      </c>
      <c r="W305" s="26">
        <v>5.0</v>
      </c>
      <c r="X305" s="26" t="s">
        <v>46</v>
      </c>
    </row>
    <row r="306" hidden="1">
      <c r="A306" s="26">
        <v>306.0</v>
      </c>
      <c r="B306" s="188">
        <v>46180.0</v>
      </c>
      <c r="C306" s="26" t="s">
        <v>47</v>
      </c>
      <c r="D306" s="26" t="s">
        <v>92</v>
      </c>
      <c r="E306" s="27" t="s">
        <v>5505</v>
      </c>
      <c r="F306" s="21">
        <v>5.58135551E8</v>
      </c>
      <c r="G306" s="26" t="s">
        <v>5023</v>
      </c>
      <c r="H306" s="27" t="s">
        <v>76</v>
      </c>
      <c r="I306" s="26" t="s">
        <v>735</v>
      </c>
      <c r="J306" s="209" t="s">
        <v>6649</v>
      </c>
      <c r="K306" s="27"/>
      <c r="L306" s="26" t="s">
        <v>148</v>
      </c>
      <c r="M306" s="27" t="s">
        <v>5011</v>
      </c>
      <c r="N306" s="26" t="s">
        <v>4637</v>
      </c>
      <c r="O306" s="26" t="s">
        <v>4746</v>
      </c>
      <c r="P306" s="35">
        <v>0.4444444444444444</v>
      </c>
      <c r="Q306" s="26" t="s">
        <v>40</v>
      </c>
      <c r="R306" s="26" t="s">
        <v>42</v>
      </c>
      <c r="S306" s="27" t="s">
        <v>3566</v>
      </c>
      <c r="T306" s="27"/>
      <c r="U306" s="35"/>
      <c r="V306" s="26"/>
      <c r="W306" s="26">
        <v>5.0</v>
      </c>
      <c r="X306" s="26" t="s">
        <v>46</v>
      </c>
    </row>
    <row r="307" hidden="1">
      <c r="A307" s="26">
        <v>307.0</v>
      </c>
      <c r="B307" s="188">
        <v>46180.0</v>
      </c>
      <c r="C307" s="26" t="s">
        <v>47</v>
      </c>
      <c r="D307" s="26" t="s">
        <v>92</v>
      </c>
      <c r="E307" s="27" t="s">
        <v>5510</v>
      </c>
      <c r="F307" s="21">
        <v>5.57759456E8</v>
      </c>
      <c r="G307" s="26" t="s">
        <v>5023</v>
      </c>
      <c r="H307" s="27" t="s">
        <v>76</v>
      </c>
      <c r="I307" s="26" t="s">
        <v>735</v>
      </c>
      <c r="J307" s="209" t="s">
        <v>6654</v>
      </c>
      <c r="K307" s="27"/>
      <c r="L307" s="26" t="s">
        <v>148</v>
      </c>
      <c r="M307" s="27" t="s">
        <v>5923</v>
      </c>
      <c r="N307" s="26" t="s">
        <v>4637</v>
      </c>
      <c r="O307" s="26" t="s">
        <v>4746</v>
      </c>
      <c r="P307" s="35">
        <v>0.4444444444444444</v>
      </c>
      <c r="Q307" s="26" t="s">
        <v>40</v>
      </c>
      <c r="R307" s="26" t="s">
        <v>42</v>
      </c>
      <c r="S307" s="27" t="s">
        <v>3566</v>
      </c>
      <c r="T307" s="27"/>
      <c r="U307" s="35"/>
      <c r="V307" s="26"/>
      <c r="W307" s="26">
        <v>5.0</v>
      </c>
      <c r="X307" s="26" t="s">
        <v>46</v>
      </c>
    </row>
    <row r="308" hidden="1">
      <c r="A308" s="26">
        <v>308.0</v>
      </c>
      <c r="B308" s="188">
        <v>46180.0</v>
      </c>
      <c r="C308" s="26" t="s">
        <v>47</v>
      </c>
      <c r="D308" s="26" t="s">
        <v>48</v>
      </c>
      <c r="E308" s="26" t="s">
        <v>5514</v>
      </c>
      <c r="F308" s="21">
        <v>5.04571365E8</v>
      </c>
      <c r="G308" s="26" t="s">
        <v>5151</v>
      </c>
      <c r="H308" s="27" t="s">
        <v>28</v>
      </c>
      <c r="I308" s="26" t="s">
        <v>830</v>
      </c>
      <c r="J308" s="209" t="s">
        <v>6659</v>
      </c>
      <c r="K308" s="27"/>
      <c r="L308" s="26" t="s">
        <v>148</v>
      </c>
      <c r="M308" s="27" t="s">
        <v>5011</v>
      </c>
      <c r="N308" s="26" t="s">
        <v>4977</v>
      </c>
      <c r="O308" s="26" t="s">
        <v>4746</v>
      </c>
      <c r="P308" s="35">
        <v>0.4652777777777778</v>
      </c>
      <c r="Q308" s="26" t="s">
        <v>40</v>
      </c>
      <c r="R308" s="26" t="s">
        <v>518</v>
      </c>
      <c r="S308" s="27" t="s">
        <v>3765</v>
      </c>
      <c r="T308" s="27" t="s">
        <v>3566</v>
      </c>
      <c r="U308" s="35">
        <v>0.4652777777777778</v>
      </c>
      <c r="V308" s="26" t="s">
        <v>44</v>
      </c>
      <c r="W308" s="26">
        <v>5.0</v>
      </c>
      <c r="X308" s="26" t="s">
        <v>46</v>
      </c>
    </row>
    <row r="309" hidden="1">
      <c r="A309" s="26">
        <v>309.0</v>
      </c>
      <c r="B309" s="188">
        <v>46180.0</v>
      </c>
      <c r="C309" s="26" t="s">
        <v>47</v>
      </c>
      <c r="D309" s="26" t="s">
        <v>48</v>
      </c>
      <c r="E309" s="27" t="s">
        <v>5518</v>
      </c>
      <c r="F309" s="36">
        <v>5.57769094E8</v>
      </c>
      <c r="G309" s="26" t="s">
        <v>5151</v>
      </c>
      <c r="H309" s="27" t="s">
        <v>28</v>
      </c>
      <c r="I309" s="26" t="s">
        <v>3190</v>
      </c>
      <c r="J309" s="209" t="s">
        <v>5519</v>
      </c>
      <c r="K309" s="27" t="s">
        <v>5521</v>
      </c>
      <c r="L309" s="26" t="s">
        <v>148</v>
      </c>
      <c r="M309" s="318" t="s">
        <v>5522</v>
      </c>
      <c r="N309" s="26" t="s">
        <v>4977</v>
      </c>
      <c r="O309" s="26" t="s">
        <v>4746</v>
      </c>
      <c r="P309" s="35">
        <v>0.4652777777777778</v>
      </c>
      <c r="Q309" s="26" t="s">
        <v>56</v>
      </c>
      <c r="R309" s="26" t="s">
        <v>3811</v>
      </c>
      <c r="S309" s="27" t="s">
        <v>3566</v>
      </c>
      <c r="T309" s="27"/>
      <c r="U309" s="35"/>
      <c r="V309" s="26"/>
      <c r="W309" s="26">
        <v>5.0</v>
      </c>
      <c r="X309" s="26" t="s">
        <v>46</v>
      </c>
    </row>
    <row r="310" hidden="1">
      <c r="A310" s="26">
        <v>310.0</v>
      </c>
      <c r="B310" s="188">
        <v>46180.0</v>
      </c>
      <c r="C310" s="26" t="s">
        <v>47</v>
      </c>
      <c r="D310" s="26" t="s">
        <v>138</v>
      </c>
      <c r="E310" s="27" t="s">
        <v>5524</v>
      </c>
      <c r="F310" s="21">
        <v>5.04124717E8</v>
      </c>
      <c r="G310" s="26" t="s">
        <v>5151</v>
      </c>
      <c r="H310" s="27" t="s">
        <v>28</v>
      </c>
      <c r="I310" s="26" t="s">
        <v>830</v>
      </c>
      <c r="J310" s="209" t="s">
        <v>5527</v>
      </c>
      <c r="K310" s="27" t="s">
        <v>5529</v>
      </c>
      <c r="L310" s="26" t="s">
        <v>148</v>
      </c>
      <c r="M310" s="27" t="s">
        <v>6671</v>
      </c>
      <c r="N310" s="26" t="s">
        <v>4917</v>
      </c>
      <c r="O310" s="26" t="s">
        <v>4746</v>
      </c>
      <c r="P310" s="35">
        <v>0.4652777777777778</v>
      </c>
      <c r="Q310" s="26" t="s">
        <v>40</v>
      </c>
      <c r="R310" s="26" t="s">
        <v>518</v>
      </c>
      <c r="S310" s="27" t="s">
        <v>3566</v>
      </c>
      <c r="T310" s="27"/>
      <c r="U310" s="35"/>
      <c r="V310" s="26"/>
      <c r="W310" s="26">
        <v>5.0</v>
      </c>
      <c r="X310" s="26" t="s">
        <v>46</v>
      </c>
    </row>
    <row r="311" hidden="1">
      <c r="A311" s="26">
        <v>311.0</v>
      </c>
      <c r="B311" s="188">
        <v>46180.0</v>
      </c>
      <c r="C311" s="26" t="s">
        <v>47</v>
      </c>
      <c r="D311" s="26" t="s">
        <v>367</v>
      </c>
      <c r="E311" s="26" t="s">
        <v>5530</v>
      </c>
      <c r="F311" s="21">
        <v>5.53081101E8</v>
      </c>
      <c r="G311" s="26" t="s">
        <v>5151</v>
      </c>
      <c r="H311" s="27" t="s">
        <v>28</v>
      </c>
      <c r="I311" s="26" t="s">
        <v>548</v>
      </c>
      <c r="J311" s="209" t="s">
        <v>5532</v>
      </c>
      <c r="K311" s="27" t="s">
        <v>5533</v>
      </c>
      <c r="L311" s="26" t="s">
        <v>148</v>
      </c>
      <c r="M311" s="27" t="s">
        <v>602</v>
      </c>
      <c r="N311" s="26" t="s">
        <v>4917</v>
      </c>
      <c r="O311" s="26" t="s">
        <v>4746</v>
      </c>
      <c r="P311" s="35">
        <v>0.4652777777777778</v>
      </c>
      <c r="Q311" s="26" t="s">
        <v>40</v>
      </c>
      <c r="R311" s="26" t="s">
        <v>518</v>
      </c>
      <c r="S311" s="27" t="s">
        <v>3566</v>
      </c>
      <c r="T311" s="27"/>
      <c r="U311" s="35"/>
      <c r="V311" s="26"/>
      <c r="W311" s="26">
        <v>5.0</v>
      </c>
      <c r="X311" s="26" t="s">
        <v>46</v>
      </c>
    </row>
    <row r="312" hidden="1">
      <c r="A312" s="26">
        <v>312.0</v>
      </c>
      <c r="B312" s="188">
        <v>46180.0</v>
      </c>
      <c r="C312" s="26" t="s">
        <v>3766</v>
      </c>
      <c r="D312" s="26" t="s">
        <v>57</v>
      </c>
      <c r="E312" s="26" t="s">
        <v>4769</v>
      </c>
      <c r="F312" s="21">
        <v>5.5837773E8</v>
      </c>
      <c r="G312" s="26" t="s">
        <v>4740</v>
      </c>
      <c r="H312" s="27" t="s">
        <v>79</v>
      </c>
      <c r="I312" s="26" t="s">
        <v>80</v>
      </c>
      <c r="J312" s="209" t="s">
        <v>5535</v>
      </c>
      <c r="K312" s="27"/>
      <c r="L312" s="26" t="s">
        <v>148</v>
      </c>
      <c r="M312" s="27" t="s">
        <v>6247</v>
      </c>
      <c r="N312" s="26" t="s">
        <v>4746</v>
      </c>
      <c r="O312" s="26" t="s">
        <v>4746</v>
      </c>
      <c r="P312" s="35"/>
      <c r="Q312" s="26" t="s">
        <v>56</v>
      </c>
      <c r="R312" s="26" t="s">
        <v>42</v>
      </c>
      <c r="S312" s="27" t="s">
        <v>3566</v>
      </c>
      <c r="T312" s="27"/>
      <c r="U312" s="35"/>
      <c r="V312" s="26"/>
      <c r="W312" s="26">
        <v>5.0</v>
      </c>
      <c r="X312" s="26"/>
    </row>
    <row r="313" hidden="1">
      <c r="A313" s="26">
        <v>313.0</v>
      </c>
      <c r="B313" s="188">
        <v>46180.0</v>
      </c>
      <c r="C313" s="26" t="s">
        <v>47</v>
      </c>
      <c r="D313" s="26" t="s">
        <v>138</v>
      </c>
      <c r="E313" s="26" t="s">
        <v>27</v>
      </c>
      <c r="F313" s="21">
        <v>5.0087701E8</v>
      </c>
      <c r="G313" s="26" t="s">
        <v>4740</v>
      </c>
      <c r="H313" s="27" t="s">
        <v>79</v>
      </c>
      <c r="I313" s="26" t="s">
        <v>431</v>
      </c>
      <c r="J313" s="209" t="s">
        <v>5539</v>
      </c>
      <c r="K313" s="27" t="s">
        <v>5540</v>
      </c>
      <c r="L313" s="26" t="s">
        <v>148</v>
      </c>
      <c r="M313" s="308" t="s">
        <v>183</v>
      </c>
      <c r="N313" s="26" t="s">
        <v>4917</v>
      </c>
      <c r="O313" s="26" t="s">
        <v>4746</v>
      </c>
      <c r="P313" s="35">
        <v>0.4652777777777778</v>
      </c>
      <c r="Q313" s="26" t="s">
        <v>56</v>
      </c>
      <c r="R313" s="26" t="s">
        <v>518</v>
      </c>
      <c r="S313" s="27" t="s">
        <v>3566</v>
      </c>
      <c r="T313" s="27"/>
      <c r="U313" s="35"/>
      <c r="V313" s="26"/>
      <c r="W313" s="26">
        <v>5.0</v>
      </c>
      <c r="X313" s="26" t="s">
        <v>46</v>
      </c>
    </row>
    <row r="314" hidden="1">
      <c r="A314" s="26">
        <v>314.0</v>
      </c>
      <c r="B314" s="188">
        <v>46180.0</v>
      </c>
      <c r="C314" s="26" t="s">
        <v>21</v>
      </c>
      <c r="D314" s="26" t="s">
        <v>22</v>
      </c>
      <c r="E314" s="27" t="s">
        <v>5546</v>
      </c>
      <c r="F314" s="21">
        <v>5.31341465E8</v>
      </c>
      <c r="G314" s="26" t="s">
        <v>4852</v>
      </c>
      <c r="H314" s="27" t="s">
        <v>318</v>
      </c>
      <c r="I314" s="26" t="s">
        <v>27</v>
      </c>
      <c r="J314" s="209" t="s">
        <v>5547</v>
      </c>
      <c r="K314" s="27"/>
      <c r="L314" s="26" t="s">
        <v>36</v>
      </c>
      <c r="M314" s="27" t="s">
        <v>4868</v>
      </c>
      <c r="N314" s="26" t="s">
        <v>4870</v>
      </c>
      <c r="O314" s="26" t="s">
        <v>4746</v>
      </c>
      <c r="P314" s="35"/>
      <c r="Q314" s="26" t="s">
        <v>40</v>
      </c>
      <c r="R314" s="26" t="s">
        <v>42</v>
      </c>
      <c r="S314" s="27" t="s">
        <v>3566</v>
      </c>
      <c r="T314" s="27"/>
      <c r="U314" s="35"/>
      <c r="V314" s="26"/>
      <c r="W314" s="26">
        <v>5.0</v>
      </c>
      <c r="X314" s="126" t="s">
        <v>46</v>
      </c>
    </row>
    <row r="315" hidden="1">
      <c r="A315" s="26">
        <v>315.0</v>
      </c>
      <c r="B315" s="188">
        <v>46180.0</v>
      </c>
      <c r="C315" s="26" t="s">
        <v>21</v>
      </c>
      <c r="D315" s="26" t="s">
        <v>24</v>
      </c>
      <c r="E315" s="27" t="s">
        <v>845</v>
      </c>
      <c r="F315" s="21">
        <v>5.05751372E8</v>
      </c>
      <c r="G315" s="26" t="s">
        <v>5023</v>
      </c>
      <c r="H315" s="27" t="s">
        <v>5549</v>
      </c>
      <c r="I315" s="26" t="s">
        <v>27</v>
      </c>
      <c r="J315" s="209" t="s">
        <v>5552</v>
      </c>
      <c r="K315" s="27"/>
      <c r="L315" s="26" t="s">
        <v>36</v>
      </c>
      <c r="M315" s="27" t="s">
        <v>4802</v>
      </c>
      <c r="N315" s="26" t="s">
        <v>4803</v>
      </c>
      <c r="O315" s="26" t="s">
        <v>49</v>
      </c>
      <c r="P315" s="35"/>
      <c r="Q315" s="26" t="s">
        <v>56</v>
      </c>
      <c r="R315" s="26" t="s">
        <v>42</v>
      </c>
      <c r="S315" s="27" t="s">
        <v>3566</v>
      </c>
      <c r="T315" s="27"/>
      <c r="U315" s="35"/>
      <c r="V315" s="26"/>
      <c r="W315" s="26">
        <v>5.0</v>
      </c>
      <c r="X315" s="26" t="s">
        <v>46</v>
      </c>
    </row>
    <row r="316" hidden="1">
      <c r="A316" s="26">
        <v>316.0</v>
      </c>
      <c r="B316" s="188">
        <v>46180.0</v>
      </c>
      <c r="C316" s="26" t="s">
        <v>21</v>
      </c>
      <c r="D316" s="26" t="s">
        <v>22</v>
      </c>
      <c r="E316" s="27" t="s">
        <v>5554</v>
      </c>
      <c r="F316" s="21">
        <v>5.06766626E8</v>
      </c>
      <c r="G316" s="26" t="s">
        <v>5151</v>
      </c>
      <c r="H316" s="27" t="s">
        <v>28</v>
      </c>
      <c r="I316" s="26" t="s">
        <v>27</v>
      </c>
      <c r="J316" s="209" t="s">
        <v>5556</v>
      </c>
      <c r="K316" s="27"/>
      <c r="L316" s="26" t="s">
        <v>36</v>
      </c>
      <c r="M316" s="27" t="s">
        <v>1389</v>
      </c>
      <c r="N316" s="26" t="s">
        <v>4870</v>
      </c>
      <c r="O316" s="26" t="s">
        <v>4746</v>
      </c>
      <c r="P316" s="35"/>
      <c r="Q316" s="26" t="s">
        <v>40</v>
      </c>
      <c r="R316" s="26" t="s">
        <v>518</v>
      </c>
      <c r="S316" s="27" t="s">
        <v>3566</v>
      </c>
      <c r="T316" s="27"/>
      <c r="U316" s="35"/>
      <c r="V316" s="26"/>
      <c r="W316" s="26">
        <v>5.0</v>
      </c>
      <c r="X316" s="126" t="s">
        <v>46</v>
      </c>
    </row>
    <row r="317" hidden="1">
      <c r="A317" s="26">
        <v>317.0</v>
      </c>
      <c r="B317" s="188">
        <v>46180.0</v>
      </c>
      <c r="C317" s="26" t="s">
        <v>21</v>
      </c>
      <c r="D317" s="26" t="s">
        <v>24</v>
      </c>
      <c r="E317" s="27" t="s">
        <v>5560</v>
      </c>
      <c r="F317" s="21">
        <v>5.95771881E8</v>
      </c>
      <c r="G317" s="26" t="s">
        <v>4740</v>
      </c>
      <c r="H317" s="27" t="s">
        <v>71</v>
      </c>
      <c r="I317" s="26" t="s">
        <v>27</v>
      </c>
      <c r="J317" s="209" t="s">
        <v>93</v>
      </c>
      <c r="K317" s="27"/>
      <c r="L317" s="26" t="s">
        <v>36</v>
      </c>
      <c r="M317" s="27" t="s">
        <v>4802</v>
      </c>
      <c r="N317" s="26" t="s">
        <v>4803</v>
      </c>
      <c r="O317" s="26" t="s">
        <v>4746</v>
      </c>
      <c r="P317" s="35"/>
      <c r="Q317" s="26" t="s">
        <v>56</v>
      </c>
      <c r="R317" s="26" t="s">
        <v>42</v>
      </c>
      <c r="S317" s="27" t="s">
        <v>3566</v>
      </c>
      <c r="T317" s="27"/>
      <c r="U317" s="35"/>
      <c r="V317" s="26"/>
      <c r="W317" s="26">
        <v>5.0</v>
      </c>
      <c r="X317" s="26" t="s">
        <v>46</v>
      </c>
    </row>
    <row r="318" ht="20.25" hidden="1" customHeight="1">
      <c r="A318" s="26">
        <v>318.0</v>
      </c>
      <c r="B318" s="188">
        <v>46180.0</v>
      </c>
      <c r="C318" s="26" t="s">
        <v>21</v>
      </c>
      <c r="D318" s="26" t="s">
        <v>22</v>
      </c>
      <c r="E318" s="27" t="s">
        <v>5567</v>
      </c>
      <c r="F318" s="21">
        <v>5.51567145E8</v>
      </c>
      <c r="G318" s="26" t="s">
        <v>5023</v>
      </c>
      <c r="H318" s="27" t="s">
        <v>5569</v>
      </c>
      <c r="I318" s="26" t="s">
        <v>27</v>
      </c>
      <c r="J318" s="209" t="s">
        <v>5570</v>
      </c>
      <c r="K318" s="27"/>
      <c r="L318" s="26" t="s">
        <v>36</v>
      </c>
      <c r="M318" s="27" t="s">
        <v>4868</v>
      </c>
      <c r="N318" s="26" t="s">
        <v>4870</v>
      </c>
      <c r="O318" s="26" t="s">
        <v>49</v>
      </c>
      <c r="P318" s="35"/>
      <c r="Q318" s="26" t="s">
        <v>40</v>
      </c>
      <c r="R318" s="26" t="s">
        <v>42</v>
      </c>
      <c r="S318" s="27" t="s">
        <v>3566</v>
      </c>
      <c r="T318" s="27"/>
      <c r="U318" s="35"/>
      <c r="V318" s="26"/>
      <c r="W318" s="26">
        <v>5.0</v>
      </c>
      <c r="X318" s="26" t="s">
        <v>46</v>
      </c>
    </row>
    <row r="319" ht="33.0" hidden="1" customHeight="1">
      <c r="A319" s="26">
        <v>319.0</v>
      </c>
      <c r="B319" s="188">
        <v>46180.0</v>
      </c>
      <c r="C319" s="26" t="s">
        <v>21</v>
      </c>
      <c r="D319" s="26" t="s">
        <v>22</v>
      </c>
      <c r="E319" s="27" t="s">
        <v>5574</v>
      </c>
      <c r="F319" s="21">
        <v>5.59555455E8</v>
      </c>
      <c r="G319" s="26" t="s">
        <v>4740</v>
      </c>
      <c r="H319" s="27" t="s">
        <v>79</v>
      </c>
      <c r="I319" s="26" t="s">
        <v>27</v>
      </c>
      <c r="J319" s="209" t="s">
        <v>5576</v>
      </c>
      <c r="K319" s="27"/>
      <c r="L319" s="26" t="s">
        <v>36</v>
      </c>
      <c r="M319" s="27" t="s">
        <v>1389</v>
      </c>
      <c r="N319" s="26" t="s">
        <v>4870</v>
      </c>
      <c r="O319" s="26" t="s">
        <v>49</v>
      </c>
      <c r="P319" s="35"/>
      <c r="Q319" s="26" t="s">
        <v>40</v>
      </c>
      <c r="R319" s="26" t="s">
        <v>3811</v>
      </c>
      <c r="S319" s="27" t="s">
        <v>3566</v>
      </c>
      <c r="T319" s="27"/>
      <c r="U319" s="35"/>
      <c r="V319" s="26"/>
      <c r="W319" s="26">
        <v>5.0</v>
      </c>
      <c r="X319" s="26" t="s">
        <v>46</v>
      </c>
    </row>
    <row r="320" ht="30.0" hidden="1" customHeight="1">
      <c r="A320" s="26">
        <v>320.0</v>
      </c>
      <c r="B320" s="188">
        <v>46180.0</v>
      </c>
      <c r="C320" s="26" t="s">
        <v>21</v>
      </c>
      <c r="D320" s="26" t="s">
        <v>24</v>
      </c>
      <c r="E320" s="27" t="s">
        <v>5578</v>
      </c>
      <c r="F320" s="21">
        <v>5.67845728E8</v>
      </c>
      <c r="G320" s="26" t="s">
        <v>4740</v>
      </c>
      <c r="H320" s="27" t="s">
        <v>71</v>
      </c>
      <c r="I320" s="26" t="s">
        <v>27</v>
      </c>
      <c r="J320" s="209" t="s">
        <v>5579</v>
      </c>
      <c r="K320" s="27"/>
      <c r="L320" s="26" t="s">
        <v>36</v>
      </c>
      <c r="M320" s="27" t="s">
        <v>4802</v>
      </c>
      <c r="N320" s="26" t="s">
        <v>4803</v>
      </c>
      <c r="O320" s="26" t="s">
        <v>4746</v>
      </c>
      <c r="P320" s="35"/>
      <c r="Q320" s="26" t="s">
        <v>56</v>
      </c>
      <c r="R320" s="26" t="s">
        <v>3811</v>
      </c>
      <c r="S320" s="27" t="s">
        <v>3566</v>
      </c>
      <c r="T320" s="27"/>
      <c r="U320" s="35"/>
      <c r="V320" s="26"/>
      <c r="W320" s="26">
        <v>5.0</v>
      </c>
      <c r="X320" s="26" t="s">
        <v>46</v>
      </c>
    </row>
    <row r="321" ht="24.75" hidden="1" customHeight="1">
      <c r="A321" s="26">
        <v>321.0</v>
      </c>
      <c r="B321" s="188">
        <v>46180.0</v>
      </c>
      <c r="C321" s="26" t="s">
        <v>21</v>
      </c>
      <c r="D321" s="26" t="s">
        <v>34</v>
      </c>
      <c r="E321" s="26" t="s">
        <v>27</v>
      </c>
      <c r="F321" s="21">
        <v>5.55789182E8</v>
      </c>
      <c r="G321" s="26" t="s">
        <v>27</v>
      </c>
      <c r="H321" s="26" t="s">
        <v>27</v>
      </c>
      <c r="I321" s="26" t="s">
        <v>27</v>
      </c>
      <c r="J321" s="209" t="s">
        <v>5584</v>
      </c>
      <c r="K321" s="27"/>
      <c r="L321" s="26" t="s">
        <v>36</v>
      </c>
      <c r="M321" s="27" t="s">
        <v>51</v>
      </c>
      <c r="N321" s="26" t="s">
        <v>49</v>
      </c>
      <c r="O321" s="26" t="s">
        <v>49</v>
      </c>
      <c r="P321" s="35"/>
      <c r="Q321" s="26" t="s">
        <v>56</v>
      </c>
      <c r="R321" s="26" t="s">
        <v>42</v>
      </c>
      <c r="S321" s="27" t="s">
        <v>3566</v>
      </c>
      <c r="T321" s="27"/>
      <c r="U321" s="35"/>
      <c r="V321" s="26"/>
      <c r="W321" s="26">
        <v>5.0</v>
      </c>
      <c r="X321" s="26"/>
    </row>
    <row r="322" ht="30.0" hidden="1" customHeight="1">
      <c r="A322" s="26">
        <v>322.0</v>
      </c>
      <c r="B322" s="188">
        <v>46180.0</v>
      </c>
      <c r="C322" s="26" t="s">
        <v>21</v>
      </c>
      <c r="D322" s="26" t="s">
        <v>22</v>
      </c>
      <c r="E322" s="27" t="s">
        <v>463</v>
      </c>
      <c r="F322" s="21">
        <v>5.55444112E8</v>
      </c>
      <c r="G322" s="26" t="s">
        <v>4769</v>
      </c>
      <c r="H322" s="27" t="s">
        <v>333</v>
      </c>
      <c r="I322" s="26" t="s">
        <v>27</v>
      </c>
      <c r="J322" s="209" t="s">
        <v>5594</v>
      </c>
      <c r="K322" s="27"/>
      <c r="L322" s="26" t="s">
        <v>36</v>
      </c>
      <c r="M322" s="27" t="s">
        <v>4868</v>
      </c>
      <c r="N322" s="26" t="s">
        <v>4870</v>
      </c>
      <c r="O322" s="26" t="s">
        <v>49</v>
      </c>
      <c r="P322" s="35"/>
      <c r="Q322" s="26" t="s">
        <v>40</v>
      </c>
      <c r="R322" s="26" t="s">
        <v>42</v>
      </c>
      <c r="S322" s="27" t="s">
        <v>3566</v>
      </c>
      <c r="T322" s="27"/>
      <c r="U322" s="35"/>
      <c r="V322" s="26"/>
      <c r="W322" s="26">
        <v>5.0</v>
      </c>
      <c r="X322" s="26" t="s">
        <v>46</v>
      </c>
    </row>
    <row r="323" ht="43.5" hidden="1" customHeight="1">
      <c r="A323" s="26">
        <v>323.0</v>
      </c>
      <c r="B323" s="188">
        <v>46180.0</v>
      </c>
      <c r="C323" s="26" t="s">
        <v>21</v>
      </c>
      <c r="D323" s="26" t="s">
        <v>34</v>
      </c>
      <c r="E323" s="26" t="s">
        <v>27</v>
      </c>
      <c r="F323" s="21">
        <v>5.54598847E8</v>
      </c>
      <c r="G323" s="26" t="s">
        <v>27</v>
      </c>
      <c r="H323" s="26" t="s">
        <v>27</v>
      </c>
      <c r="I323" s="26" t="s">
        <v>27</v>
      </c>
      <c r="J323" s="209" t="s">
        <v>298</v>
      </c>
      <c r="K323" s="27"/>
      <c r="L323" s="26" t="s">
        <v>36</v>
      </c>
      <c r="M323" s="27" t="s">
        <v>51</v>
      </c>
      <c r="N323" s="26" t="s">
        <v>49</v>
      </c>
      <c r="O323" s="26" t="s">
        <v>49</v>
      </c>
      <c r="P323" s="35"/>
      <c r="Q323" s="26" t="s">
        <v>56</v>
      </c>
      <c r="R323" s="26" t="s">
        <v>42</v>
      </c>
      <c r="S323" s="27" t="s">
        <v>3566</v>
      </c>
      <c r="T323" s="27"/>
      <c r="U323" s="35"/>
      <c r="V323" s="26"/>
      <c r="W323" s="26">
        <v>5.0</v>
      </c>
      <c r="X323" s="26"/>
    </row>
    <row r="324" hidden="1">
      <c r="A324" s="26">
        <v>324.0</v>
      </c>
      <c r="B324" s="188">
        <v>46180.0</v>
      </c>
      <c r="C324" s="26" t="s">
        <v>21</v>
      </c>
      <c r="D324" s="26" t="s">
        <v>24</v>
      </c>
      <c r="E324" s="27" t="s">
        <v>5603</v>
      </c>
      <c r="F324" s="21">
        <v>5.44109438E8</v>
      </c>
      <c r="G324" s="26" t="s">
        <v>4740</v>
      </c>
      <c r="H324" s="27" t="s">
        <v>71</v>
      </c>
      <c r="I324" s="26" t="s">
        <v>27</v>
      </c>
      <c r="J324" s="209" t="s">
        <v>5606</v>
      </c>
      <c r="K324" s="27"/>
      <c r="L324" s="26" t="s">
        <v>36</v>
      </c>
      <c r="M324" s="27" t="s">
        <v>4802</v>
      </c>
      <c r="N324" s="26" t="s">
        <v>4803</v>
      </c>
      <c r="O324" s="26" t="s">
        <v>4746</v>
      </c>
      <c r="P324" s="35"/>
      <c r="Q324" s="26" t="s">
        <v>56</v>
      </c>
      <c r="R324" s="26" t="s">
        <v>518</v>
      </c>
      <c r="S324" s="27" t="s">
        <v>3566</v>
      </c>
      <c r="T324" s="27"/>
      <c r="U324" s="35"/>
      <c r="V324" s="26"/>
      <c r="W324" s="26">
        <v>5.0</v>
      </c>
      <c r="X324" s="26" t="s">
        <v>46</v>
      </c>
    </row>
    <row r="325" hidden="1">
      <c r="A325" s="26">
        <v>325.0</v>
      </c>
      <c r="B325" s="188">
        <v>46180.0</v>
      </c>
      <c r="C325" s="26" t="s">
        <v>21</v>
      </c>
      <c r="D325" s="26" t="s">
        <v>22</v>
      </c>
      <c r="E325" s="27" t="s">
        <v>5610</v>
      </c>
      <c r="F325" s="21">
        <v>5.60006133E8</v>
      </c>
      <c r="G325" s="26" t="s">
        <v>4740</v>
      </c>
      <c r="H325" s="27" t="s">
        <v>41</v>
      </c>
      <c r="I325" s="26" t="s">
        <v>27</v>
      </c>
      <c r="J325" s="209" t="s">
        <v>5612</v>
      </c>
      <c r="K325" s="27"/>
      <c r="L325" s="26" t="s">
        <v>36</v>
      </c>
      <c r="M325" s="27" t="s">
        <v>1389</v>
      </c>
      <c r="N325" s="26" t="s">
        <v>4870</v>
      </c>
      <c r="O325" s="26" t="s">
        <v>4746</v>
      </c>
      <c r="P325" s="35"/>
      <c r="Q325" s="26" t="s">
        <v>40</v>
      </c>
      <c r="R325" s="26" t="s">
        <v>301</v>
      </c>
      <c r="S325" s="27" t="s">
        <v>3566</v>
      </c>
      <c r="T325" s="27"/>
      <c r="U325" s="35"/>
      <c r="V325" s="26"/>
      <c r="W325" s="26">
        <v>5.0</v>
      </c>
      <c r="X325" s="26" t="s">
        <v>46</v>
      </c>
    </row>
    <row r="326" ht="48.75" hidden="1" customHeight="1">
      <c r="A326" s="26">
        <v>326.0</v>
      </c>
      <c r="B326" s="188">
        <v>46180.0</v>
      </c>
      <c r="C326" s="26" t="s">
        <v>21</v>
      </c>
      <c r="D326" s="26" t="s">
        <v>22</v>
      </c>
      <c r="E326" s="27" t="s">
        <v>5617</v>
      </c>
      <c r="F326" s="21">
        <v>5.6482875E8</v>
      </c>
      <c r="G326" s="26" t="s">
        <v>4975</v>
      </c>
      <c r="H326" s="27" t="s">
        <v>362</v>
      </c>
      <c r="I326" s="26" t="s">
        <v>27</v>
      </c>
      <c r="J326" s="209" t="s">
        <v>5618</v>
      </c>
      <c r="K326" s="27"/>
      <c r="L326" s="26" t="s">
        <v>36</v>
      </c>
      <c r="M326" s="27" t="s">
        <v>4868</v>
      </c>
      <c r="N326" s="26" t="s">
        <v>4870</v>
      </c>
      <c r="O326" s="26" t="s">
        <v>4746</v>
      </c>
      <c r="P326" s="35"/>
      <c r="Q326" s="26" t="s">
        <v>40</v>
      </c>
      <c r="R326" s="26" t="s">
        <v>42</v>
      </c>
      <c r="S326" s="27" t="s">
        <v>3566</v>
      </c>
      <c r="T326" s="27"/>
      <c r="U326" s="35"/>
      <c r="V326" s="26"/>
      <c r="W326" s="26">
        <v>5.0</v>
      </c>
      <c r="X326" s="26" t="s">
        <v>46</v>
      </c>
    </row>
    <row r="327" hidden="1">
      <c r="A327" s="26">
        <v>327.0</v>
      </c>
      <c r="B327" s="188">
        <v>46180.0</v>
      </c>
      <c r="C327" s="26" t="s">
        <v>21</v>
      </c>
      <c r="D327" s="26" t="s">
        <v>22</v>
      </c>
      <c r="E327" s="27" t="s">
        <v>5621</v>
      </c>
      <c r="F327" s="21">
        <v>5.53755557E8</v>
      </c>
      <c r="G327" s="26" t="s">
        <v>4975</v>
      </c>
      <c r="H327" s="27" t="s">
        <v>5622</v>
      </c>
      <c r="I327" s="26" t="s">
        <v>27</v>
      </c>
      <c r="J327" s="209" t="s">
        <v>5624</v>
      </c>
      <c r="K327" s="27"/>
      <c r="L327" s="26" t="s">
        <v>36</v>
      </c>
      <c r="M327" s="27" t="s">
        <v>1389</v>
      </c>
      <c r="N327" s="26" t="s">
        <v>4870</v>
      </c>
      <c r="O327" s="26" t="s">
        <v>4746</v>
      </c>
      <c r="P327" s="35"/>
      <c r="Q327" s="26" t="s">
        <v>40</v>
      </c>
      <c r="R327" s="26" t="s">
        <v>42</v>
      </c>
      <c r="S327" s="27" t="s">
        <v>3566</v>
      </c>
      <c r="T327" s="27"/>
      <c r="U327" s="35"/>
      <c r="V327" s="26"/>
      <c r="W327" s="26">
        <v>5.0</v>
      </c>
      <c r="X327" s="26" t="s">
        <v>46</v>
      </c>
    </row>
    <row r="328" hidden="1">
      <c r="A328" s="26">
        <v>328.0</v>
      </c>
      <c r="B328" s="188">
        <v>46180.0</v>
      </c>
      <c r="C328" s="26" t="s">
        <v>21</v>
      </c>
      <c r="D328" s="26" t="s">
        <v>24</v>
      </c>
      <c r="E328" s="27" t="s">
        <v>5480</v>
      </c>
      <c r="F328" s="21">
        <v>5.0688221E8</v>
      </c>
      <c r="G328" s="26" t="s">
        <v>4852</v>
      </c>
      <c r="H328" s="27" t="s">
        <v>318</v>
      </c>
      <c r="I328" s="26" t="s">
        <v>27</v>
      </c>
      <c r="J328" s="209" t="s">
        <v>5625</v>
      </c>
      <c r="K328" s="27"/>
      <c r="L328" s="26" t="s">
        <v>36</v>
      </c>
      <c r="M328" s="27" t="s">
        <v>4802</v>
      </c>
      <c r="N328" s="26" t="s">
        <v>4803</v>
      </c>
      <c r="O328" s="26" t="s">
        <v>4746</v>
      </c>
      <c r="P328" s="35"/>
      <c r="Q328" s="26" t="s">
        <v>56</v>
      </c>
      <c r="R328" s="26" t="s">
        <v>42</v>
      </c>
      <c r="S328" s="27" t="s">
        <v>3566</v>
      </c>
      <c r="T328" s="27"/>
      <c r="U328" s="35"/>
      <c r="V328" s="26"/>
      <c r="W328" s="26">
        <v>5.0</v>
      </c>
      <c r="X328" s="26" t="s">
        <v>46</v>
      </c>
    </row>
    <row r="329" hidden="1">
      <c r="A329" s="26">
        <v>329.0</v>
      </c>
      <c r="B329" s="188">
        <v>46181.0</v>
      </c>
      <c r="C329" s="26" t="s">
        <v>58</v>
      </c>
      <c r="D329" s="26" t="s">
        <v>60</v>
      </c>
      <c r="E329" s="26" t="s">
        <v>27</v>
      </c>
      <c r="F329" s="21">
        <v>5.10305405E8</v>
      </c>
      <c r="G329" s="26" t="s">
        <v>27</v>
      </c>
      <c r="H329" s="26" t="s">
        <v>27</v>
      </c>
      <c r="I329" s="26" t="s">
        <v>27</v>
      </c>
      <c r="J329" s="220" t="s">
        <v>484</v>
      </c>
      <c r="K329" s="27"/>
      <c r="L329" s="26" t="s">
        <v>36</v>
      </c>
      <c r="M329" s="27" t="s">
        <v>88</v>
      </c>
      <c r="N329" s="26" t="s">
        <v>4746</v>
      </c>
      <c r="O329" s="26" t="s">
        <v>4746</v>
      </c>
      <c r="P329" s="35"/>
      <c r="Q329" s="26" t="s">
        <v>56</v>
      </c>
      <c r="R329" s="26" t="s">
        <v>42</v>
      </c>
      <c r="S329" s="27" t="s">
        <v>3566</v>
      </c>
      <c r="T329" s="27"/>
      <c r="U329" s="35"/>
      <c r="V329" s="26"/>
      <c r="W329" s="26">
        <v>5.0</v>
      </c>
      <c r="X329" s="26"/>
    </row>
    <row r="330" hidden="1">
      <c r="A330" s="26">
        <v>330.0</v>
      </c>
      <c r="B330" s="188">
        <v>46181.0</v>
      </c>
      <c r="C330" s="26" t="s">
        <v>21</v>
      </c>
      <c r="D330" s="26" t="s">
        <v>66</v>
      </c>
      <c r="E330" s="27" t="s">
        <v>5635</v>
      </c>
      <c r="F330" s="21">
        <v>5.47045088E8</v>
      </c>
      <c r="G330" s="26" t="s">
        <v>5151</v>
      </c>
      <c r="H330" s="27" t="s">
        <v>28</v>
      </c>
      <c r="I330" s="26" t="s">
        <v>27</v>
      </c>
      <c r="J330" s="209" t="s">
        <v>5638</v>
      </c>
      <c r="K330" s="27" t="s">
        <v>1195</v>
      </c>
      <c r="L330" s="26" t="s">
        <v>62</v>
      </c>
      <c r="M330" s="27" t="s">
        <v>208</v>
      </c>
      <c r="N330" s="26" t="s">
        <v>49</v>
      </c>
      <c r="O330" s="26" t="s">
        <v>4746</v>
      </c>
      <c r="P330" s="35"/>
      <c r="Q330" s="26" t="s">
        <v>56</v>
      </c>
      <c r="R330" s="26" t="s">
        <v>301</v>
      </c>
      <c r="S330" s="27" t="s">
        <v>3566</v>
      </c>
      <c r="T330" s="27"/>
      <c r="U330" s="35"/>
      <c r="V330" s="26"/>
      <c r="W330" s="26">
        <v>5.0</v>
      </c>
      <c r="X330" s="26"/>
    </row>
    <row r="331" hidden="1">
      <c r="A331" s="26">
        <v>331.0</v>
      </c>
      <c r="B331" s="188">
        <v>46181.0</v>
      </c>
      <c r="C331" s="26" t="s">
        <v>21</v>
      </c>
      <c r="D331" s="26" t="s">
        <v>24</v>
      </c>
      <c r="E331" s="27" t="s">
        <v>5643</v>
      </c>
      <c r="F331" s="21">
        <v>5.62509563E8</v>
      </c>
      <c r="G331" s="26" t="s">
        <v>4740</v>
      </c>
      <c r="H331" s="27" t="s">
        <v>41</v>
      </c>
      <c r="I331" s="26" t="s">
        <v>27</v>
      </c>
      <c r="J331" s="220" t="s">
        <v>5645</v>
      </c>
      <c r="K331" s="27"/>
      <c r="L331" s="26" t="s">
        <v>62</v>
      </c>
      <c r="M331" s="27" t="s">
        <v>4802</v>
      </c>
      <c r="N331" s="26" t="s">
        <v>4803</v>
      </c>
      <c r="O331" s="26" t="s">
        <v>4746</v>
      </c>
      <c r="P331" s="35"/>
      <c r="Q331" s="26" t="s">
        <v>56</v>
      </c>
      <c r="R331" s="26" t="s">
        <v>42</v>
      </c>
      <c r="S331" s="27" t="s">
        <v>3566</v>
      </c>
      <c r="T331" s="27"/>
      <c r="U331" s="35"/>
      <c r="V331" s="26"/>
      <c r="W331" s="26">
        <v>5.0</v>
      </c>
      <c r="X331" s="26" t="s">
        <v>46</v>
      </c>
    </row>
    <row r="332" hidden="1">
      <c r="A332" s="26">
        <v>332.0</v>
      </c>
      <c r="B332" s="188">
        <v>46181.0</v>
      </c>
      <c r="C332" s="26" t="s">
        <v>47</v>
      </c>
      <c r="D332" s="26" t="s">
        <v>138</v>
      </c>
      <c r="E332" s="36" t="s">
        <v>5650</v>
      </c>
      <c r="F332" s="21" t="s">
        <v>27</v>
      </c>
      <c r="G332" s="26" t="s">
        <v>4740</v>
      </c>
      <c r="H332" s="27" t="s">
        <v>79</v>
      </c>
      <c r="I332" s="26" t="s">
        <v>638</v>
      </c>
      <c r="J332" s="209" t="s">
        <v>5652</v>
      </c>
      <c r="K332" s="27" t="s">
        <v>5654</v>
      </c>
      <c r="L332" s="26" t="s">
        <v>78</v>
      </c>
      <c r="M332" s="27" t="s">
        <v>713</v>
      </c>
      <c r="N332" s="26" t="s">
        <v>4917</v>
      </c>
      <c r="O332" s="26" t="s">
        <v>49</v>
      </c>
      <c r="P332" s="35"/>
      <c r="Q332" s="26" t="s">
        <v>40</v>
      </c>
      <c r="R332" s="26" t="s">
        <v>518</v>
      </c>
      <c r="S332" s="27" t="s">
        <v>3566</v>
      </c>
      <c r="T332" s="27"/>
      <c r="U332" s="35"/>
      <c r="V332" s="26"/>
      <c r="W332" s="26">
        <v>5.0</v>
      </c>
      <c r="X332" s="26" t="s">
        <v>46</v>
      </c>
    </row>
    <row r="333" hidden="1">
      <c r="A333" s="26">
        <v>333.0</v>
      </c>
      <c r="B333" s="188">
        <v>46181.0</v>
      </c>
      <c r="C333" s="26" t="s">
        <v>47</v>
      </c>
      <c r="D333" s="26" t="s">
        <v>48</v>
      </c>
      <c r="E333" s="23" t="s">
        <v>5658</v>
      </c>
      <c r="F333" s="21" t="s">
        <v>27</v>
      </c>
      <c r="G333" s="26" t="s">
        <v>4852</v>
      </c>
      <c r="H333" s="27" t="s">
        <v>874</v>
      </c>
      <c r="I333" s="204" t="s">
        <v>876</v>
      </c>
      <c r="J333" s="209" t="s">
        <v>5660</v>
      </c>
      <c r="K333" s="27" t="s">
        <v>5661</v>
      </c>
      <c r="L333" s="26" t="s">
        <v>78</v>
      </c>
      <c r="M333" s="27" t="s">
        <v>1205</v>
      </c>
      <c r="N333" s="26" t="s">
        <v>4977</v>
      </c>
      <c r="O333" s="26" t="s">
        <v>49</v>
      </c>
      <c r="P333" s="35"/>
      <c r="Q333" s="26" t="s">
        <v>56</v>
      </c>
      <c r="R333" s="26" t="s">
        <v>301</v>
      </c>
      <c r="S333" s="27" t="s">
        <v>3566</v>
      </c>
      <c r="T333" s="27"/>
      <c r="U333" s="35"/>
      <c r="V333" s="26"/>
      <c r="W333" s="26">
        <v>5.0</v>
      </c>
      <c r="X333" s="26" t="s">
        <v>46</v>
      </c>
    </row>
    <row r="334" hidden="1">
      <c r="A334" s="26">
        <v>334.0</v>
      </c>
      <c r="B334" s="188">
        <v>46181.0</v>
      </c>
      <c r="C334" s="26" t="s">
        <v>47</v>
      </c>
      <c r="D334" s="26" t="s">
        <v>48</v>
      </c>
      <c r="E334" s="36" t="s">
        <v>5665</v>
      </c>
      <c r="F334" s="21" t="s">
        <v>27</v>
      </c>
      <c r="G334" s="26" t="s">
        <v>4740</v>
      </c>
      <c r="H334" s="27" t="s">
        <v>79</v>
      </c>
      <c r="I334" s="26" t="s">
        <v>80</v>
      </c>
      <c r="J334" s="209" t="s">
        <v>5666</v>
      </c>
      <c r="K334" s="27"/>
      <c r="L334" s="26" t="s">
        <v>78</v>
      </c>
      <c r="M334" s="27" t="s">
        <v>5011</v>
      </c>
      <c r="N334" s="26" t="s">
        <v>4977</v>
      </c>
      <c r="O334" s="26" t="s">
        <v>49</v>
      </c>
      <c r="P334" s="35"/>
      <c r="Q334" s="26" t="s">
        <v>40</v>
      </c>
      <c r="R334" s="26" t="s">
        <v>518</v>
      </c>
      <c r="S334" s="27" t="s">
        <v>3765</v>
      </c>
      <c r="T334" s="27"/>
      <c r="U334" s="35"/>
      <c r="V334" s="26"/>
      <c r="W334" s="26">
        <v>5.0</v>
      </c>
      <c r="X334" s="26" t="s">
        <v>46</v>
      </c>
    </row>
    <row r="335" hidden="1">
      <c r="A335" s="26">
        <v>335.0</v>
      </c>
      <c r="B335" s="188">
        <v>46181.0</v>
      </c>
      <c r="C335" s="26" t="s">
        <v>47</v>
      </c>
      <c r="D335" s="26" t="s">
        <v>48</v>
      </c>
      <c r="E335" s="23" t="s">
        <v>5672</v>
      </c>
      <c r="F335" s="21" t="s">
        <v>27</v>
      </c>
      <c r="G335" s="26" t="s">
        <v>5151</v>
      </c>
      <c r="H335" s="27" t="s">
        <v>28</v>
      </c>
      <c r="I335" s="204" t="s">
        <v>830</v>
      </c>
      <c r="J335" s="209" t="s">
        <v>5673</v>
      </c>
      <c r="K335" s="27" t="s">
        <v>5674</v>
      </c>
      <c r="L335" s="26" t="s">
        <v>78</v>
      </c>
      <c r="M335" s="27" t="s">
        <v>5011</v>
      </c>
      <c r="N335" s="26" t="s">
        <v>4977</v>
      </c>
      <c r="O335" s="26" t="s">
        <v>49</v>
      </c>
      <c r="P335" s="35"/>
      <c r="Q335" s="26" t="s">
        <v>56</v>
      </c>
      <c r="R335" s="26" t="s">
        <v>518</v>
      </c>
      <c r="S335" s="27" t="s">
        <v>3765</v>
      </c>
      <c r="T335" s="27"/>
      <c r="U335" s="35"/>
      <c r="V335" s="26"/>
      <c r="W335" s="26">
        <v>5.0</v>
      </c>
      <c r="X335" s="26" t="s">
        <v>46</v>
      </c>
    </row>
    <row r="336" hidden="1">
      <c r="A336" s="26">
        <v>336.0</v>
      </c>
      <c r="B336" s="188">
        <v>46181.0</v>
      </c>
      <c r="C336" s="26" t="s">
        <v>47</v>
      </c>
      <c r="D336" s="26" t="s">
        <v>57</v>
      </c>
      <c r="E336" s="351" t="s">
        <v>5680</v>
      </c>
      <c r="F336" s="351" t="s">
        <v>27</v>
      </c>
      <c r="G336" s="26" t="s">
        <v>4865</v>
      </c>
      <c r="H336" s="27" t="s">
        <v>319</v>
      </c>
      <c r="I336" s="204" t="s">
        <v>3826</v>
      </c>
      <c r="J336" s="209" t="s">
        <v>5682</v>
      </c>
      <c r="K336" s="27"/>
      <c r="L336" s="26" t="s">
        <v>78</v>
      </c>
      <c r="M336" s="27" t="s">
        <v>6046</v>
      </c>
      <c r="N336" s="26" t="s">
        <v>49</v>
      </c>
      <c r="O336" s="26" t="s">
        <v>49</v>
      </c>
      <c r="P336" s="35"/>
      <c r="Q336" s="26" t="s">
        <v>56</v>
      </c>
      <c r="R336" s="26" t="s">
        <v>518</v>
      </c>
      <c r="S336" s="27" t="s">
        <v>3566</v>
      </c>
      <c r="T336" s="27"/>
      <c r="U336" s="35"/>
      <c r="V336" s="26"/>
      <c r="W336" s="26">
        <v>5.0</v>
      </c>
      <c r="X336" s="26"/>
    </row>
    <row r="337" hidden="1">
      <c r="A337" s="26">
        <v>337.0</v>
      </c>
      <c r="B337" s="188">
        <v>46181.0</v>
      </c>
      <c r="C337" s="26" t="s">
        <v>47</v>
      </c>
      <c r="D337" s="26" t="s">
        <v>48</v>
      </c>
      <c r="E337" s="36" t="s">
        <v>5685</v>
      </c>
      <c r="F337" s="21" t="s">
        <v>27</v>
      </c>
      <c r="G337" s="26" t="s">
        <v>5151</v>
      </c>
      <c r="H337" s="27" t="s">
        <v>28</v>
      </c>
      <c r="I337" s="26" t="s">
        <v>548</v>
      </c>
      <c r="J337" s="209" t="s">
        <v>5686</v>
      </c>
      <c r="K337" s="27" t="s">
        <v>5687</v>
      </c>
      <c r="L337" s="26" t="s">
        <v>78</v>
      </c>
      <c r="M337" s="27" t="s">
        <v>5011</v>
      </c>
      <c r="N337" s="26" t="s">
        <v>4977</v>
      </c>
      <c r="O337" s="26" t="s">
        <v>49</v>
      </c>
      <c r="P337" s="35"/>
      <c r="Q337" s="26" t="s">
        <v>56</v>
      </c>
      <c r="R337" s="26" t="s">
        <v>518</v>
      </c>
      <c r="S337" s="27" t="s">
        <v>3765</v>
      </c>
      <c r="T337" s="27"/>
      <c r="U337" s="35"/>
      <c r="V337" s="26"/>
      <c r="W337" s="26">
        <v>5.0</v>
      </c>
      <c r="X337" s="26" t="s">
        <v>46</v>
      </c>
    </row>
    <row r="338" hidden="1">
      <c r="A338" s="26">
        <v>338.0</v>
      </c>
      <c r="B338" s="188">
        <v>46181.0</v>
      </c>
      <c r="C338" s="26" t="s">
        <v>47</v>
      </c>
      <c r="D338" s="26" t="s">
        <v>48</v>
      </c>
      <c r="E338" s="23" t="s">
        <v>5692</v>
      </c>
      <c r="F338" s="21" t="s">
        <v>27</v>
      </c>
      <c r="G338" s="26" t="s">
        <v>4740</v>
      </c>
      <c r="H338" s="27" t="s">
        <v>79</v>
      </c>
      <c r="I338" s="26" t="s">
        <v>142</v>
      </c>
      <c r="J338" s="209" t="s">
        <v>5693</v>
      </c>
      <c r="K338" s="27" t="s">
        <v>5694</v>
      </c>
      <c r="L338" s="26" t="s">
        <v>78</v>
      </c>
      <c r="M338" s="27" t="s">
        <v>5011</v>
      </c>
      <c r="N338" s="26" t="s">
        <v>4977</v>
      </c>
      <c r="O338" s="26" t="s">
        <v>49</v>
      </c>
      <c r="P338" s="35"/>
      <c r="Q338" s="26" t="s">
        <v>56</v>
      </c>
      <c r="R338" s="26" t="s">
        <v>518</v>
      </c>
      <c r="S338" s="27" t="s">
        <v>3765</v>
      </c>
      <c r="T338" s="27"/>
      <c r="U338" s="35"/>
      <c r="V338" s="26"/>
      <c r="W338" s="26">
        <v>5.0</v>
      </c>
      <c r="X338" s="26" t="s">
        <v>46</v>
      </c>
    </row>
    <row r="339" hidden="1">
      <c r="A339" s="26">
        <v>339.0</v>
      </c>
      <c r="B339" s="188">
        <v>46181.0</v>
      </c>
      <c r="C339" s="26" t="s">
        <v>47</v>
      </c>
      <c r="D339" s="26" t="s">
        <v>57</v>
      </c>
      <c r="E339" s="23" t="s">
        <v>5697</v>
      </c>
      <c r="F339" s="351" t="s">
        <v>27</v>
      </c>
      <c r="G339" s="26" t="s">
        <v>4865</v>
      </c>
      <c r="H339" s="27" t="s">
        <v>319</v>
      </c>
      <c r="I339" s="204" t="s">
        <v>3826</v>
      </c>
      <c r="J339" s="209" t="s">
        <v>5699</v>
      </c>
      <c r="K339" s="27"/>
      <c r="L339" s="26" t="s">
        <v>78</v>
      </c>
      <c r="M339" s="27" t="s">
        <v>1399</v>
      </c>
      <c r="N339" s="26" t="s">
        <v>49</v>
      </c>
      <c r="O339" s="26" t="s">
        <v>49</v>
      </c>
      <c r="P339" s="35"/>
      <c r="Q339" s="26" t="s">
        <v>56</v>
      </c>
      <c r="R339" s="26" t="s">
        <v>518</v>
      </c>
      <c r="S339" s="27" t="s">
        <v>3566</v>
      </c>
      <c r="T339" s="27"/>
      <c r="U339" s="35"/>
      <c r="V339" s="26"/>
      <c r="W339" s="26">
        <v>5.0</v>
      </c>
      <c r="X339" s="26"/>
    </row>
    <row r="340" hidden="1">
      <c r="A340" s="26">
        <v>340.0</v>
      </c>
      <c r="B340" s="188">
        <v>46181.0</v>
      </c>
      <c r="C340" s="26" t="s">
        <v>47</v>
      </c>
      <c r="D340" s="26" t="s">
        <v>92</v>
      </c>
      <c r="E340" s="36" t="s">
        <v>5704</v>
      </c>
      <c r="F340" s="21" t="s">
        <v>27</v>
      </c>
      <c r="G340" s="26" t="s">
        <v>4740</v>
      </c>
      <c r="H340" s="27" t="s">
        <v>71</v>
      </c>
      <c r="I340" s="26" t="s">
        <v>1801</v>
      </c>
      <c r="J340" s="209" t="s">
        <v>5705</v>
      </c>
      <c r="K340" s="27"/>
      <c r="L340" s="26" t="s">
        <v>78</v>
      </c>
      <c r="M340" s="27" t="s">
        <v>953</v>
      </c>
      <c r="N340" s="26" t="s">
        <v>4637</v>
      </c>
      <c r="O340" s="26" t="s">
        <v>49</v>
      </c>
      <c r="P340" s="35"/>
      <c r="Q340" s="26" t="s">
        <v>40</v>
      </c>
      <c r="R340" s="26" t="s">
        <v>518</v>
      </c>
      <c r="S340" s="27" t="s">
        <v>3566</v>
      </c>
      <c r="T340" s="27"/>
      <c r="U340" s="35"/>
      <c r="V340" s="26"/>
      <c r="W340" s="26"/>
      <c r="X340" s="26" t="s">
        <v>46</v>
      </c>
    </row>
    <row r="341" hidden="1">
      <c r="A341" s="26">
        <v>341.0</v>
      </c>
      <c r="B341" s="188">
        <v>46181.0</v>
      </c>
      <c r="C341" s="26" t="s">
        <v>47</v>
      </c>
      <c r="D341" s="26" t="s">
        <v>57</v>
      </c>
      <c r="E341" s="351" t="s">
        <v>5708</v>
      </c>
      <c r="F341" s="351" t="s">
        <v>27</v>
      </c>
      <c r="G341" s="26" t="s">
        <v>4865</v>
      </c>
      <c r="H341" s="27" t="s">
        <v>319</v>
      </c>
      <c r="I341" s="204" t="s">
        <v>3826</v>
      </c>
      <c r="J341" s="209" t="s">
        <v>5710</v>
      </c>
      <c r="K341" s="27"/>
      <c r="L341" s="26" t="s">
        <v>78</v>
      </c>
      <c r="M341" s="27" t="s">
        <v>1399</v>
      </c>
      <c r="N341" s="26" t="s">
        <v>49</v>
      </c>
      <c r="O341" s="26" t="s">
        <v>49</v>
      </c>
      <c r="P341" s="35"/>
      <c r="Q341" s="26" t="s">
        <v>56</v>
      </c>
      <c r="R341" s="26" t="s">
        <v>518</v>
      </c>
      <c r="S341" s="27" t="s">
        <v>3566</v>
      </c>
      <c r="T341" s="27"/>
      <c r="U341" s="35"/>
      <c r="V341" s="26"/>
      <c r="W341" s="26"/>
      <c r="X341" s="26"/>
    </row>
    <row r="342" hidden="1">
      <c r="A342" s="26">
        <v>342.0</v>
      </c>
      <c r="B342" s="188">
        <v>46181.0</v>
      </c>
      <c r="C342" s="26" t="s">
        <v>47</v>
      </c>
      <c r="D342" s="26" t="s">
        <v>57</v>
      </c>
      <c r="E342" s="23" t="s">
        <v>5186</v>
      </c>
      <c r="F342" s="351" t="s">
        <v>27</v>
      </c>
      <c r="G342" s="26" t="s">
        <v>4865</v>
      </c>
      <c r="H342" s="27" t="s">
        <v>319</v>
      </c>
      <c r="I342" s="204" t="s">
        <v>3826</v>
      </c>
      <c r="J342" s="209" t="s">
        <v>5714</v>
      </c>
      <c r="K342" s="27"/>
      <c r="L342" s="26" t="s">
        <v>78</v>
      </c>
      <c r="M342" s="27" t="s">
        <v>1399</v>
      </c>
      <c r="N342" s="26" t="s">
        <v>49</v>
      </c>
      <c r="O342" s="26" t="s">
        <v>49</v>
      </c>
      <c r="P342" s="35"/>
      <c r="Q342" s="26" t="s">
        <v>56</v>
      </c>
      <c r="R342" s="26" t="s">
        <v>518</v>
      </c>
      <c r="S342" s="27" t="s">
        <v>3566</v>
      </c>
      <c r="T342" s="27"/>
      <c r="U342" s="35"/>
      <c r="V342" s="26"/>
      <c r="W342" s="26"/>
      <c r="X342" s="26"/>
    </row>
    <row r="343" hidden="1">
      <c r="A343" s="26">
        <v>343.0</v>
      </c>
      <c r="B343" s="188">
        <v>46181.0</v>
      </c>
      <c r="C343" s="26" t="s">
        <v>47</v>
      </c>
      <c r="D343" s="26" t="s">
        <v>57</v>
      </c>
      <c r="E343" s="36" t="s">
        <v>5718</v>
      </c>
      <c r="F343" s="351" t="s">
        <v>27</v>
      </c>
      <c r="G343" s="26" t="s">
        <v>4865</v>
      </c>
      <c r="H343" s="27" t="s">
        <v>319</v>
      </c>
      <c r="I343" s="204" t="s">
        <v>3826</v>
      </c>
      <c r="J343" s="209" t="s">
        <v>5720</v>
      </c>
      <c r="K343" s="27"/>
      <c r="L343" s="26" t="s">
        <v>78</v>
      </c>
      <c r="M343" s="27" t="s">
        <v>1399</v>
      </c>
      <c r="N343" s="26" t="s">
        <v>49</v>
      </c>
      <c r="O343" s="26" t="s">
        <v>49</v>
      </c>
      <c r="P343" s="35"/>
      <c r="Q343" s="26" t="s">
        <v>56</v>
      </c>
      <c r="R343" s="26" t="s">
        <v>518</v>
      </c>
      <c r="S343" s="27" t="s">
        <v>3566</v>
      </c>
      <c r="T343" s="27"/>
      <c r="U343" s="35"/>
      <c r="V343" s="26"/>
      <c r="W343" s="26"/>
      <c r="X343" s="26"/>
    </row>
    <row r="344" hidden="1">
      <c r="A344" s="26">
        <v>344.0</v>
      </c>
      <c r="B344" s="188">
        <v>46181.0</v>
      </c>
      <c r="C344" s="26" t="s">
        <v>47</v>
      </c>
      <c r="D344" s="26" t="s">
        <v>57</v>
      </c>
      <c r="E344" s="351" t="s">
        <v>5724</v>
      </c>
      <c r="F344" s="351" t="s">
        <v>27</v>
      </c>
      <c r="G344" s="26" t="s">
        <v>4865</v>
      </c>
      <c r="H344" s="27" t="s">
        <v>319</v>
      </c>
      <c r="I344" s="204" t="s">
        <v>3826</v>
      </c>
      <c r="J344" s="209" t="s">
        <v>5725</v>
      </c>
      <c r="K344" s="27"/>
      <c r="L344" s="26" t="s">
        <v>78</v>
      </c>
      <c r="M344" s="27" t="s">
        <v>1399</v>
      </c>
      <c r="N344" s="26" t="s">
        <v>49</v>
      </c>
      <c r="O344" s="26" t="s">
        <v>49</v>
      </c>
      <c r="P344" s="35"/>
      <c r="Q344" s="26" t="s">
        <v>56</v>
      </c>
      <c r="R344" s="26" t="s">
        <v>42</v>
      </c>
      <c r="S344" s="27" t="s">
        <v>3566</v>
      </c>
      <c r="T344" s="27"/>
      <c r="U344" s="35"/>
      <c r="V344" s="26"/>
      <c r="W344" s="26"/>
      <c r="X344" s="26"/>
    </row>
    <row r="345" hidden="1">
      <c r="A345" s="26">
        <v>345.0</v>
      </c>
      <c r="B345" s="188">
        <v>46181.0</v>
      </c>
      <c r="C345" s="26" t="s">
        <v>47</v>
      </c>
      <c r="D345" s="26" t="s">
        <v>367</v>
      </c>
      <c r="E345" s="27" t="s">
        <v>5731</v>
      </c>
      <c r="F345" s="21" t="s">
        <v>27</v>
      </c>
      <c r="G345" s="26" t="s">
        <v>4740</v>
      </c>
      <c r="H345" s="27" t="s">
        <v>71</v>
      </c>
      <c r="I345" s="26" t="s">
        <v>72</v>
      </c>
      <c r="J345" s="447" t="s">
        <v>6821</v>
      </c>
      <c r="K345" s="27" t="s">
        <v>5734</v>
      </c>
      <c r="L345" s="26" t="s">
        <v>78</v>
      </c>
      <c r="M345" s="27" t="s">
        <v>98</v>
      </c>
      <c r="N345" s="26" t="s">
        <v>4917</v>
      </c>
      <c r="O345" s="26" t="s">
        <v>49</v>
      </c>
      <c r="P345" s="35"/>
      <c r="Q345" s="26" t="s">
        <v>56</v>
      </c>
      <c r="R345" s="26" t="s">
        <v>3811</v>
      </c>
      <c r="S345" s="27" t="s">
        <v>3566</v>
      </c>
      <c r="T345" s="27"/>
      <c r="U345" s="35"/>
      <c r="V345" s="26"/>
      <c r="W345" s="26"/>
      <c r="X345" s="26" t="s">
        <v>46</v>
      </c>
    </row>
    <row r="346" hidden="1">
      <c r="A346" s="26">
        <v>346.0</v>
      </c>
      <c r="B346" s="188">
        <v>46181.0</v>
      </c>
      <c r="C346" s="26" t="s">
        <v>21</v>
      </c>
      <c r="D346" s="26" t="s">
        <v>22</v>
      </c>
      <c r="E346" s="27" t="s">
        <v>276</v>
      </c>
      <c r="F346" s="21">
        <v>5.90568667E8</v>
      </c>
      <c r="G346" s="26" t="s">
        <v>5151</v>
      </c>
      <c r="H346" s="27" t="s">
        <v>28</v>
      </c>
      <c r="I346" s="26" t="s">
        <v>27</v>
      </c>
      <c r="J346" s="209" t="s">
        <v>5736</v>
      </c>
      <c r="K346" s="27"/>
      <c r="L346" s="26" t="s">
        <v>36</v>
      </c>
      <c r="M346" s="27" t="s">
        <v>4868</v>
      </c>
      <c r="N346" s="26" t="s">
        <v>4870</v>
      </c>
      <c r="O346" s="26" t="s">
        <v>4746</v>
      </c>
      <c r="P346" s="35"/>
      <c r="Q346" s="26" t="s">
        <v>40</v>
      </c>
      <c r="R346" s="26" t="s">
        <v>42</v>
      </c>
      <c r="S346" s="27" t="s">
        <v>3566</v>
      </c>
      <c r="T346" s="27"/>
      <c r="U346" s="35"/>
      <c r="V346" s="26"/>
      <c r="W346" s="26">
        <v>5.0</v>
      </c>
      <c r="X346" s="26" t="s">
        <v>46</v>
      </c>
    </row>
    <row r="347" hidden="1">
      <c r="A347" s="26">
        <v>347.0</v>
      </c>
      <c r="B347" s="188">
        <v>46181.0</v>
      </c>
      <c r="C347" s="26" t="s">
        <v>21</v>
      </c>
      <c r="D347" s="26" t="s">
        <v>24</v>
      </c>
      <c r="E347" s="27" t="s">
        <v>5741</v>
      </c>
      <c r="F347" s="21">
        <v>5.0413152E8</v>
      </c>
      <c r="G347" s="26" t="s">
        <v>27</v>
      </c>
      <c r="H347" s="26" t="s">
        <v>27</v>
      </c>
      <c r="I347" s="26" t="s">
        <v>27</v>
      </c>
      <c r="J347" s="209" t="s">
        <v>5742</v>
      </c>
      <c r="K347" s="27"/>
      <c r="L347" s="26" t="s">
        <v>36</v>
      </c>
      <c r="M347" s="27" t="s">
        <v>4802</v>
      </c>
      <c r="N347" s="26" t="s">
        <v>4803</v>
      </c>
      <c r="O347" s="26" t="s">
        <v>49</v>
      </c>
      <c r="P347" s="35"/>
      <c r="Q347" s="26" t="s">
        <v>56</v>
      </c>
      <c r="R347" s="26" t="s">
        <v>301</v>
      </c>
      <c r="S347" s="27" t="s">
        <v>3566</v>
      </c>
      <c r="T347" s="27"/>
      <c r="U347" s="35"/>
      <c r="V347" s="26"/>
      <c r="W347" s="26">
        <v>5.0</v>
      </c>
      <c r="X347" s="26" t="s">
        <v>46</v>
      </c>
    </row>
    <row r="348" ht="24.75" hidden="1" customHeight="1">
      <c r="A348" s="26">
        <v>348.0</v>
      </c>
      <c r="B348" s="188">
        <v>46181.0</v>
      </c>
      <c r="C348" s="26" t="s">
        <v>47</v>
      </c>
      <c r="D348" s="26" t="s">
        <v>48</v>
      </c>
      <c r="E348" s="27" t="s">
        <v>5745</v>
      </c>
      <c r="F348" s="21" t="s">
        <v>27</v>
      </c>
      <c r="G348" s="26" t="s">
        <v>4740</v>
      </c>
      <c r="H348" s="27" t="s">
        <v>41</v>
      </c>
      <c r="I348" s="26" t="s">
        <v>222</v>
      </c>
      <c r="J348" s="209" t="s">
        <v>5746</v>
      </c>
      <c r="K348" s="27" t="s">
        <v>5749</v>
      </c>
      <c r="L348" s="26" t="s">
        <v>78</v>
      </c>
      <c r="M348" s="27" t="s">
        <v>5011</v>
      </c>
      <c r="N348" s="26" t="s">
        <v>4977</v>
      </c>
      <c r="O348" s="26" t="s">
        <v>49</v>
      </c>
      <c r="P348" s="35"/>
      <c r="Q348" s="26" t="s">
        <v>56</v>
      </c>
      <c r="R348" s="26" t="s">
        <v>518</v>
      </c>
      <c r="S348" s="27" t="s">
        <v>3765</v>
      </c>
      <c r="T348" s="27"/>
      <c r="U348" s="35"/>
      <c r="V348" s="26"/>
      <c r="W348" s="26">
        <v>5.0</v>
      </c>
      <c r="X348" s="26" t="s">
        <v>46</v>
      </c>
    </row>
    <row r="349" ht="29.25" customHeight="1">
      <c r="A349" s="26">
        <v>349.0</v>
      </c>
      <c r="B349" s="188">
        <v>46181.0</v>
      </c>
      <c r="C349" s="26" t="s">
        <v>58</v>
      </c>
      <c r="D349" s="26" t="s">
        <v>92</v>
      </c>
      <c r="E349" s="27" t="s">
        <v>5752</v>
      </c>
      <c r="F349" s="21" t="s">
        <v>27</v>
      </c>
      <c r="G349" s="26" t="s">
        <v>4740</v>
      </c>
      <c r="H349" s="27" t="s">
        <v>71</v>
      </c>
      <c r="I349" s="26" t="s">
        <v>1906</v>
      </c>
      <c r="J349" s="209" t="s">
        <v>5753</v>
      </c>
      <c r="K349" s="27"/>
      <c r="L349" s="26" t="s">
        <v>78</v>
      </c>
      <c r="M349" s="27" t="s">
        <v>6835</v>
      </c>
      <c r="N349" s="26" t="s">
        <v>4637</v>
      </c>
      <c r="O349" s="26" t="s">
        <v>49</v>
      </c>
      <c r="P349" s="35"/>
      <c r="Q349" s="26" t="s">
        <v>40</v>
      </c>
      <c r="R349" s="26" t="s">
        <v>301</v>
      </c>
      <c r="S349" s="27" t="s">
        <v>3566</v>
      </c>
      <c r="T349" s="27"/>
      <c r="U349" s="35"/>
      <c r="V349" s="26"/>
      <c r="W349" s="26">
        <v>5.0</v>
      </c>
      <c r="X349" s="26"/>
    </row>
    <row r="350" hidden="1">
      <c r="A350" s="26">
        <v>350.0</v>
      </c>
      <c r="B350" s="188">
        <v>46181.0</v>
      </c>
      <c r="C350" s="26" t="s">
        <v>47</v>
      </c>
      <c r="D350" s="26" t="s">
        <v>138</v>
      </c>
      <c r="E350" s="26" t="s">
        <v>5756</v>
      </c>
      <c r="F350" s="21"/>
      <c r="G350" s="26" t="s">
        <v>4740</v>
      </c>
      <c r="H350" s="27" t="s">
        <v>41</v>
      </c>
      <c r="I350" s="26" t="s">
        <v>253</v>
      </c>
      <c r="J350" s="209" t="s">
        <v>5757</v>
      </c>
      <c r="K350" s="27" t="s">
        <v>5758</v>
      </c>
      <c r="L350" s="26" t="s">
        <v>78</v>
      </c>
      <c r="M350" s="308" t="s">
        <v>183</v>
      </c>
      <c r="N350" s="26" t="s">
        <v>4917</v>
      </c>
      <c r="O350" s="26" t="s">
        <v>49</v>
      </c>
      <c r="P350" s="35"/>
      <c r="Q350" s="26" t="s">
        <v>56</v>
      </c>
      <c r="R350" s="26" t="s">
        <v>518</v>
      </c>
      <c r="S350" s="27" t="s">
        <v>3566</v>
      </c>
      <c r="T350" s="27"/>
      <c r="U350" s="35"/>
      <c r="V350" s="26"/>
      <c r="W350" s="26">
        <v>5.0</v>
      </c>
      <c r="X350" s="26" t="s">
        <v>46</v>
      </c>
    </row>
    <row r="351" hidden="1">
      <c r="A351" s="26">
        <v>351.0</v>
      </c>
      <c r="B351" s="188">
        <v>46181.0</v>
      </c>
      <c r="C351" s="26" t="s">
        <v>58</v>
      </c>
      <c r="D351" s="26" t="s">
        <v>60</v>
      </c>
      <c r="E351" s="26" t="s">
        <v>27</v>
      </c>
      <c r="F351" s="21">
        <v>5.49070211E8</v>
      </c>
      <c r="G351" s="26" t="s">
        <v>27</v>
      </c>
      <c r="H351" s="26" t="s">
        <v>27</v>
      </c>
      <c r="I351" s="26" t="s">
        <v>27</v>
      </c>
      <c r="J351" s="209" t="s">
        <v>554</v>
      </c>
      <c r="K351" s="27"/>
      <c r="L351" s="26" t="s">
        <v>36</v>
      </c>
      <c r="M351" s="27" t="s">
        <v>88</v>
      </c>
      <c r="N351" s="26" t="s">
        <v>49</v>
      </c>
      <c r="O351" s="26" t="s">
        <v>49</v>
      </c>
      <c r="P351" s="35"/>
      <c r="Q351" s="26" t="s">
        <v>56</v>
      </c>
      <c r="R351" s="26" t="s">
        <v>42</v>
      </c>
      <c r="S351" s="27" t="s">
        <v>3566</v>
      </c>
      <c r="T351" s="27"/>
      <c r="U351" s="35"/>
      <c r="V351" s="26"/>
      <c r="W351" s="26">
        <v>5.0</v>
      </c>
      <c r="X351" s="26"/>
    </row>
    <row r="352" hidden="1">
      <c r="A352" s="26">
        <v>352.0</v>
      </c>
      <c r="B352" s="188">
        <v>46181.0</v>
      </c>
      <c r="C352" s="26" t="s">
        <v>47</v>
      </c>
      <c r="D352" s="26" t="s">
        <v>92</v>
      </c>
      <c r="E352" s="23" t="s">
        <v>5763</v>
      </c>
      <c r="F352" s="21" t="s">
        <v>27</v>
      </c>
      <c r="G352" s="26" t="s">
        <v>4740</v>
      </c>
      <c r="H352" s="27" t="s">
        <v>71</v>
      </c>
      <c r="I352" s="26" t="s">
        <v>1801</v>
      </c>
      <c r="J352" s="209" t="s">
        <v>5765</v>
      </c>
      <c r="K352" s="27"/>
      <c r="L352" s="26" t="s">
        <v>148</v>
      </c>
      <c r="M352" s="27" t="s">
        <v>953</v>
      </c>
      <c r="N352" s="26" t="s">
        <v>4637</v>
      </c>
      <c r="O352" s="26" t="s">
        <v>49</v>
      </c>
      <c r="P352" s="35"/>
      <c r="Q352" s="26" t="s">
        <v>40</v>
      </c>
      <c r="R352" s="26" t="s">
        <v>42</v>
      </c>
      <c r="S352" s="27" t="s">
        <v>3566</v>
      </c>
      <c r="T352" s="27"/>
      <c r="U352" s="35"/>
      <c r="V352" s="26"/>
      <c r="W352" s="26">
        <v>5.0</v>
      </c>
      <c r="X352" s="26" t="s">
        <v>46</v>
      </c>
    </row>
    <row r="353" hidden="1">
      <c r="A353" s="26">
        <v>353.0</v>
      </c>
      <c r="B353" s="188">
        <v>46181.0</v>
      </c>
      <c r="C353" s="26" t="s">
        <v>3766</v>
      </c>
      <c r="D353" s="26" t="s">
        <v>60</v>
      </c>
      <c r="E353" s="27" t="s">
        <v>5768</v>
      </c>
      <c r="F353" s="21" t="s">
        <v>27</v>
      </c>
      <c r="G353" s="26" t="s">
        <v>4740</v>
      </c>
      <c r="H353" s="27" t="s">
        <v>41</v>
      </c>
      <c r="I353" s="26" t="s">
        <v>253</v>
      </c>
      <c r="J353" s="209" t="s">
        <v>5770</v>
      </c>
      <c r="K353" s="27"/>
      <c r="L353" s="26" t="s">
        <v>148</v>
      </c>
      <c r="M353" s="27" t="s">
        <v>88</v>
      </c>
      <c r="N353" s="26" t="s">
        <v>49</v>
      </c>
      <c r="O353" s="26" t="s">
        <v>49</v>
      </c>
      <c r="P353" s="35"/>
      <c r="Q353" s="26" t="s">
        <v>56</v>
      </c>
      <c r="R353" s="26" t="s">
        <v>42</v>
      </c>
      <c r="S353" s="27" t="s">
        <v>3566</v>
      </c>
      <c r="T353" s="27"/>
      <c r="U353" s="35"/>
      <c r="V353" s="26"/>
      <c r="W353" s="26">
        <v>5.0</v>
      </c>
      <c r="X353" s="26"/>
    </row>
    <row r="354" hidden="1">
      <c r="A354" s="26">
        <v>354.0</v>
      </c>
      <c r="B354" s="188">
        <v>46181.0</v>
      </c>
      <c r="C354" s="26" t="s">
        <v>47</v>
      </c>
      <c r="D354" s="26" t="s">
        <v>138</v>
      </c>
      <c r="E354" s="27" t="s">
        <v>463</v>
      </c>
      <c r="F354" s="21">
        <v>5.68337146E8</v>
      </c>
      <c r="G354" s="26" t="s">
        <v>4740</v>
      </c>
      <c r="H354" s="27" t="s">
        <v>41</v>
      </c>
      <c r="I354" s="26" t="s">
        <v>188</v>
      </c>
      <c r="J354" s="209" t="s">
        <v>5774</v>
      </c>
      <c r="K354" s="27" t="s">
        <v>5777</v>
      </c>
      <c r="L354" s="26" t="s">
        <v>148</v>
      </c>
      <c r="M354" s="27" t="s">
        <v>150</v>
      </c>
      <c r="N354" s="26" t="s">
        <v>4917</v>
      </c>
      <c r="O354" s="26" t="s">
        <v>49</v>
      </c>
      <c r="P354" s="35"/>
      <c r="Q354" s="26" t="s">
        <v>56</v>
      </c>
      <c r="R354" s="26" t="s">
        <v>518</v>
      </c>
      <c r="S354" s="27" t="s">
        <v>3566</v>
      </c>
      <c r="T354" s="27"/>
      <c r="U354" s="35"/>
      <c r="V354" s="26"/>
      <c r="W354" s="26">
        <v>5.0</v>
      </c>
      <c r="X354" s="26" t="s">
        <v>46</v>
      </c>
    </row>
    <row r="355" hidden="1">
      <c r="A355" s="26">
        <v>355.0</v>
      </c>
      <c r="B355" s="188">
        <v>46181.0</v>
      </c>
      <c r="C355" s="26" t="s">
        <v>3766</v>
      </c>
      <c r="D355" s="26" t="s">
        <v>60</v>
      </c>
      <c r="E355" s="27" t="s">
        <v>5780</v>
      </c>
      <c r="F355" s="21">
        <v>5.70320176E8</v>
      </c>
      <c r="G355" s="26" t="s">
        <v>4740</v>
      </c>
      <c r="H355" s="27" t="s">
        <v>41</v>
      </c>
      <c r="I355" s="26" t="s">
        <v>263</v>
      </c>
      <c r="J355" s="209" t="s">
        <v>5781</v>
      </c>
      <c r="K355" s="27"/>
      <c r="L355" s="26" t="s">
        <v>148</v>
      </c>
      <c r="M355" s="27" t="s">
        <v>88</v>
      </c>
      <c r="N355" s="26" t="s">
        <v>49</v>
      </c>
      <c r="O355" s="26" t="s">
        <v>49</v>
      </c>
      <c r="P355" s="35"/>
      <c r="Q355" s="26" t="s">
        <v>56</v>
      </c>
      <c r="R355" s="26" t="s">
        <v>42</v>
      </c>
      <c r="S355" s="27" t="s">
        <v>3566</v>
      </c>
      <c r="T355" s="27"/>
      <c r="U355" s="35"/>
      <c r="V355" s="26"/>
      <c r="W355" s="26">
        <v>5.0</v>
      </c>
      <c r="X355" s="26"/>
    </row>
    <row r="356" hidden="1">
      <c r="A356" s="26">
        <v>356.0</v>
      </c>
      <c r="B356" s="188">
        <v>46181.0</v>
      </c>
      <c r="C356" s="26" t="s">
        <v>47</v>
      </c>
      <c r="D356" s="26" t="s">
        <v>138</v>
      </c>
      <c r="E356" s="26" t="s">
        <v>3654</v>
      </c>
      <c r="F356" s="21">
        <v>5.36479582E8</v>
      </c>
      <c r="G356" s="26" t="s">
        <v>4740</v>
      </c>
      <c r="H356" s="27" t="s">
        <v>41</v>
      </c>
      <c r="I356" s="26" t="s">
        <v>146</v>
      </c>
      <c r="J356" s="209" t="s">
        <v>5785</v>
      </c>
      <c r="K356" s="27" t="s">
        <v>5786</v>
      </c>
      <c r="L356" s="26" t="s">
        <v>148</v>
      </c>
      <c r="M356" s="308" t="s">
        <v>183</v>
      </c>
      <c r="N356" s="26" t="s">
        <v>4917</v>
      </c>
      <c r="O356" s="26" t="s">
        <v>49</v>
      </c>
      <c r="P356" s="35"/>
      <c r="Q356" s="26" t="s">
        <v>56</v>
      </c>
      <c r="R356" s="26" t="s">
        <v>518</v>
      </c>
      <c r="S356" s="27" t="s">
        <v>3566</v>
      </c>
      <c r="T356" s="27"/>
      <c r="U356" s="35"/>
      <c r="V356" s="26"/>
      <c r="W356" s="26">
        <v>5.0</v>
      </c>
      <c r="X356" s="26" t="s">
        <v>46</v>
      </c>
    </row>
    <row r="357" hidden="1">
      <c r="A357" s="26">
        <v>357.0</v>
      </c>
      <c r="B357" s="188">
        <v>46181.0</v>
      </c>
      <c r="C357" s="26" t="s">
        <v>58</v>
      </c>
      <c r="D357" s="26" t="s">
        <v>60</v>
      </c>
      <c r="E357" s="26" t="s">
        <v>27</v>
      </c>
      <c r="F357" s="21">
        <v>5.34879809E8</v>
      </c>
      <c r="G357" s="26" t="s">
        <v>27</v>
      </c>
      <c r="H357" s="26" t="s">
        <v>27</v>
      </c>
      <c r="I357" s="26" t="s">
        <v>27</v>
      </c>
      <c r="J357" s="209" t="s">
        <v>5790</v>
      </c>
      <c r="K357" s="27"/>
      <c r="L357" s="26" t="s">
        <v>36</v>
      </c>
      <c r="M357" s="27" t="s">
        <v>88</v>
      </c>
      <c r="N357" s="26" t="s">
        <v>49</v>
      </c>
      <c r="O357" s="26" t="s">
        <v>49</v>
      </c>
      <c r="P357" s="35"/>
      <c r="Q357" s="26" t="s">
        <v>56</v>
      </c>
      <c r="R357" s="26" t="s">
        <v>42</v>
      </c>
      <c r="S357" s="27" t="s">
        <v>3566</v>
      </c>
      <c r="T357" s="27"/>
      <c r="U357" s="35"/>
      <c r="V357" s="26"/>
      <c r="W357" s="26">
        <v>5.0</v>
      </c>
      <c r="X357" s="26"/>
    </row>
    <row r="358" ht="76.5" hidden="1" customHeight="1">
      <c r="A358" s="26">
        <v>358.0</v>
      </c>
      <c r="B358" s="188">
        <v>46181.0</v>
      </c>
      <c r="C358" s="26" t="s">
        <v>47</v>
      </c>
      <c r="D358" s="26" t="s">
        <v>138</v>
      </c>
      <c r="E358" s="27" t="s">
        <v>5795</v>
      </c>
      <c r="F358" s="36">
        <v>5.32194184E8</v>
      </c>
      <c r="G358" s="26" t="s">
        <v>4740</v>
      </c>
      <c r="H358" s="27" t="s">
        <v>41</v>
      </c>
      <c r="I358" s="26" t="s">
        <v>146</v>
      </c>
      <c r="J358" s="209" t="s">
        <v>6870</v>
      </c>
      <c r="K358" s="27" t="s">
        <v>5800</v>
      </c>
      <c r="L358" s="26" t="s">
        <v>36</v>
      </c>
      <c r="M358" s="27" t="s">
        <v>6871</v>
      </c>
      <c r="N358" s="26" t="s">
        <v>4917</v>
      </c>
      <c r="O358" s="26" t="s">
        <v>49</v>
      </c>
      <c r="P358" s="35">
        <v>0.5986111111111111</v>
      </c>
      <c r="Q358" s="26" t="s">
        <v>56</v>
      </c>
      <c r="R358" s="26" t="s">
        <v>42</v>
      </c>
      <c r="S358" s="27" t="s">
        <v>3566</v>
      </c>
      <c r="T358" s="27" t="s">
        <v>3765</v>
      </c>
      <c r="U358" s="35">
        <v>0.7006944444444444</v>
      </c>
      <c r="V358" s="26" t="s">
        <v>49</v>
      </c>
      <c r="W358" s="26">
        <v>5.0</v>
      </c>
      <c r="X358" s="26" t="s">
        <v>46</v>
      </c>
    </row>
    <row r="359" ht="27.0" hidden="1" customHeight="1">
      <c r="A359" s="26">
        <v>359.0</v>
      </c>
      <c r="B359" s="188">
        <v>46181.0</v>
      </c>
      <c r="C359" s="26" t="s">
        <v>21</v>
      </c>
      <c r="D359" s="26" t="s">
        <v>24</v>
      </c>
      <c r="E359" s="27" t="s">
        <v>5805</v>
      </c>
      <c r="F359" s="21">
        <v>5.76795927E8</v>
      </c>
      <c r="G359" s="26" t="s">
        <v>4740</v>
      </c>
      <c r="H359" s="27" t="s">
        <v>41</v>
      </c>
      <c r="I359" s="26" t="s">
        <v>27</v>
      </c>
      <c r="J359" s="220" t="s">
        <v>5807</v>
      </c>
      <c r="K359" s="27"/>
      <c r="L359" s="26" t="s">
        <v>62</v>
      </c>
      <c r="M359" s="27" t="s">
        <v>4802</v>
      </c>
      <c r="N359" s="26" t="s">
        <v>4803</v>
      </c>
      <c r="O359" s="26" t="s">
        <v>4746</v>
      </c>
      <c r="P359" s="35"/>
      <c r="Q359" s="26" t="s">
        <v>56</v>
      </c>
      <c r="R359" s="26" t="s">
        <v>42</v>
      </c>
      <c r="S359" s="27" t="s">
        <v>3566</v>
      </c>
      <c r="T359" s="27"/>
      <c r="U359" s="35"/>
      <c r="V359" s="26"/>
      <c r="W359" s="26">
        <v>5.0</v>
      </c>
      <c r="X359" s="26" t="s">
        <v>46</v>
      </c>
    </row>
    <row r="360" ht="37.5" hidden="1" customHeight="1">
      <c r="A360" s="26">
        <v>360.0</v>
      </c>
      <c r="B360" s="188">
        <v>46181.0</v>
      </c>
      <c r="C360" s="26" t="s">
        <v>58</v>
      </c>
      <c r="D360" s="26" t="s">
        <v>60</v>
      </c>
      <c r="E360" s="26" t="s">
        <v>27</v>
      </c>
      <c r="F360" s="21">
        <v>5.38657851E8</v>
      </c>
      <c r="G360" s="26" t="s">
        <v>27</v>
      </c>
      <c r="H360" s="26" t="s">
        <v>27</v>
      </c>
      <c r="I360" s="26" t="s">
        <v>27</v>
      </c>
      <c r="J360" s="220" t="s">
        <v>5080</v>
      </c>
      <c r="K360" s="27" t="s">
        <v>2003</v>
      </c>
      <c r="L360" s="26" t="s">
        <v>62</v>
      </c>
      <c r="M360" s="27" t="s">
        <v>88</v>
      </c>
      <c r="N360" s="26" t="s">
        <v>4746</v>
      </c>
      <c r="O360" s="26" t="s">
        <v>4746</v>
      </c>
      <c r="P360" s="35"/>
      <c r="Q360" s="26" t="s">
        <v>56</v>
      </c>
      <c r="R360" s="26" t="s">
        <v>42</v>
      </c>
      <c r="S360" s="27" t="s">
        <v>3566</v>
      </c>
      <c r="T360" s="27"/>
      <c r="U360" s="35"/>
      <c r="V360" s="26"/>
      <c r="W360" s="26">
        <v>5.0</v>
      </c>
      <c r="X360" s="26"/>
    </row>
    <row r="361" ht="30.0" hidden="1" customHeight="1">
      <c r="A361" s="26">
        <v>361.0</v>
      </c>
      <c r="B361" s="188">
        <v>46181.0</v>
      </c>
      <c r="C361" s="26" t="s">
        <v>58</v>
      </c>
      <c r="D361" s="26" t="s">
        <v>60</v>
      </c>
      <c r="E361" s="26" t="s">
        <v>27</v>
      </c>
      <c r="F361" s="21">
        <v>5.52341009E8</v>
      </c>
      <c r="G361" s="26" t="s">
        <v>27</v>
      </c>
      <c r="H361" s="26" t="s">
        <v>27</v>
      </c>
      <c r="I361" s="26" t="s">
        <v>27</v>
      </c>
      <c r="J361" s="220" t="s">
        <v>5817</v>
      </c>
      <c r="K361" s="27" t="s">
        <v>2003</v>
      </c>
      <c r="L361" s="26" t="s">
        <v>62</v>
      </c>
      <c r="M361" s="27" t="s">
        <v>88</v>
      </c>
      <c r="N361" s="26" t="s">
        <v>4746</v>
      </c>
      <c r="O361" s="26" t="s">
        <v>4746</v>
      </c>
      <c r="P361" s="35"/>
      <c r="Q361" s="26" t="s">
        <v>56</v>
      </c>
      <c r="R361" s="26" t="s">
        <v>42</v>
      </c>
      <c r="S361" s="27" t="s">
        <v>3566</v>
      </c>
      <c r="T361" s="27"/>
      <c r="U361" s="35"/>
      <c r="V361" s="26"/>
      <c r="W361" s="26">
        <v>5.0</v>
      </c>
      <c r="X361" s="26"/>
    </row>
    <row r="362" hidden="1">
      <c r="A362" s="26">
        <v>362.0</v>
      </c>
      <c r="B362" s="188">
        <v>46181.0</v>
      </c>
      <c r="C362" s="26" t="s">
        <v>58</v>
      </c>
      <c r="D362" s="26" t="s">
        <v>60</v>
      </c>
      <c r="E362" s="26" t="s">
        <v>27</v>
      </c>
      <c r="F362" s="21">
        <v>5.09241491E8</v>
      </c>
      <c r="G362" s="26" t="s">
        <v>27</v>
      </c>
      <c r="H362" s="26" t="s">
        <v>27</v>
      </c>
      <c r="I362" s="26" t="s">
        <v>27</v>
      </c>
      <c r="J362" s="220" t="s">
        <v>5817</v>
      </c>
      <c r="K362" s="27"/>
      <c r="L362" s="26" t="s">
        <v>62</v>
      </c>
      <c r="M362" s="27" t="s">
        <v>88</v>
      </c>
      <c r="N362" s="26" t="s">
        <v>4746</v>
      </c>
      <c r="O362" s="26" t="s">
        <v>4746</v>
      </c>
      <c r="P362" s="35"/>
      <c r="Q362" s="26" t="s">
        <v>56</v>
      </c>
      <c r="R362" s="26" t="s">
        <v>42</v>
      </c>
      <c r="S362" s="27" t="s">
        <v>3566</v>
      </c>
      <c r="T362" s="27"/>
      <c r="U362" s="35"/>
      <c r="V362" s="26"/>
      <c r="W362" s="26">
        <v>5.0</v>
      </c>
      <c r="X362" s="26"/>
    </row>
    <row r="363" hidden="1">
      <c r="A363" s="26">
        <v>363.0</v>
      </c>
      <c r="B363" s="188">
        <v>46181.0</v>
      </c>
      <c r="C363" s="26" t="s">
        <v>21</v>
      </c>
      <c r="D363" s="26" t="s">
        <v>34</v>
      </c>
      <c r="E363" s="26" t="s">
        <v>27</v>
      </c>
      <c r="F363" s="21">
        <v>5.41995705E8</v>
      </c>
      <c r="G363" s="26" t="s">
        <v>4865</v>
      </c>
      <c r="H363" s="27" t="s">
        <v>319</v>
      </c>
      <c r="I363" s="26" t="s">
        <v>27</v>
      </c>
      <c r="J363" s="220" t="s">
        <v>5824</v>
      </c>
      <c r="K363" s="27"/>
      <c r="L363" s="26" t="s">
        <v>62</v>
      </c>
      <c r="M363" s="27" t="s">
        <v>51</v>
      </c>
      <c r="N363" s="26" t="s">
        <v>4746</v>
      </c>
      <c r="O363" s="26" t="s">
        <v>4746</v>
      </c>
      <c r="P363" s="35"/>
      <c r="Q363" s="26" t="s">
        <v>56</v>
      </c>
      <c r="R363" s="26" t="s">
        <v>42</v>
      </c>
      <c r="S363" s="27" t="s">
        <v>3566</v>
      </c>
      <c r="T363" s="27"/>
      <c r="U363" s="35"/>
      <c r="V363" s="26"/>
      <c r="W363" s="26">
        <v>5.0</v>
      </c>
      <c r="X363" s="26"/>
    </row>
    <row r="364" hidden="1">
      <c r="A364" s="26">
        <v>364.0</v>
      </c>
      <c r="B364" s="188">
        <v>46181.0</v>
      </c>
      <c r="C364" s="26" t="s">
        <v>21</v>
      </c>
      <c r="D364" s="26" t="s">
        <v>24</v>
      </c>
      <c r="E364" s="27" t="s">
        <v>5829</v>
      </c>
      <c r="F364" s="21">
        <v>5.07862633E8</v>
      </c>
      <c r="G364" s="26" t="s">
        <v>27</v>
      </c>
      <c r="H364" s="26" t="s">
        <v>27</v>
      </c>
      <c r="I364" s="26" t="s">
        <v>27</v>
      </c>
      <c r="J364" s="220" t="s">
        <v>5833</v>
      </c>
      <c r="K364" s="27"/>
      <c r="L364" s="26" t="s">
        <v>62</v>
      </c>
      <c r="M364" s="27" t="s">
        <v>4955</v>
      </c>
      <c r="N364" s="26" t="s">
        <v>4803</v>
      </c>
      <c r="O364" s="26" t="s">
        <v>4746</v>
      </c>
      <c r="P364" s="35"/>
      <c r="Q364" s="26" t="s">
        <v>56</v>
      </c>
      <c r="R364" s="26" t="s">
        <v>42</v>
      </c>
      <c r="S364" s="27" t="s">
        <v>3566</v>
      </c>
      <c r="T364" s="27"/>
      <c r="U364" s="35"/>
      <c r="V364" s="26"/>
      <c r="W364" s="26">
        <v>5.0</v>
      </c>
      <c r="X364" s="26" t="s">
        <v>46</v>
      </c>
    </row>
    <row r="365" hidden="1">
      <c r="A365" s="26">
        <v>365.0</v>
      </c>
      <c r="B365" s="188">
        <v>46181.0</v>
      </c>
      <c r="C365" s="26" t="s">
        <v>58</v>
      </c>
      <c r="D365" s="26" t="s">
        <v>57</v>
      </c>
      <c r="E365" s="26" t="s">
        <v>27</v>
      </c>
      <c r="F365" s="21">
        <v>5.38943667E8</v>
      </c>
      <c r="G365" s="26" t="s">
        <v>4865</v>
      </c>
      <c r="H365" s="27" t="s">
        <v>319</v>
      </c>
      <c r="I365" s="26" t="s">
        <v>27</v>
      </c>
      <c r="J365" s="220" t="s">
        <v>5837</v>
      </c>
      <c r="K365" s="27" t="s">
        <v>2003</v>
      </c>
      <c r="L365" s="26" t="s">
        <v>62</v>
      </c>
      <c r="M365" s="27" t="s">
        <v>1399</v>
      </c>
      <c r="N365" s="26" t="s">
        <v>4746</v>
      </c>
      <c r="O365" s="26" t="s">
        <v>4746</v>
      </c>
      <c r="P365" s="35"/>
      <c r="Q365" s="26" t="s">
        <v>56</v>
      </c>
      <c r="R365" s="26" t="s">
        <v>42</v>
      </c>
      <c r="S365" s="27" t="s">
        <v>3566</v>
      </c>
      <c r="T365" s="27"/>
      <c r="U365" s="35"/>
      <c r="V365" s="26"/>
      <c r="W365" s="26">
        <v>5.0</v>
      </c>
      <c r="X365" s="26"/>
    </row>
    <row r="366" hidden="1">
      <c r="A366" s="26">
        <v>366.0</v>
      </c>
      <c r="B366" s="188">
        <v>46181.0</v>
      </c>
      <c r="C366" s="26" t="s">
        <v>58</v>
      </c>
      <c r="D366" s="26" t="s">
        <v>57</v>
      </c>
      <c r="E366" s="26" t="s">
        <v>27</v>
      </c>
      <c r="F366" s="21">
        <v>5.37305717E8</v>
      </c>
      <c r="G366" s="26" t="s">
        <v>4865</v>
      </c>
      <c r="H366" s="27" t="s">
        <v>319</v>
      </c>
      <c r="I366" s="26" t="s">
        <v>27</v>
      </c>
      <c r="J366" s="220" t="s">
        <v>5842</v>
      </c>
      <c r="K366" s="27" t="s">
        <v>2003</v>
      </c>
      <c r="L366" s="26" t="s">
        <v>62</v>
      </c>
      <c r="M366" s="27" t="s">
        <v>1399</v>
      </c>
      <c r="N366" s="26" t="s">
        <v>4746</v>
      </c>
      <c r="O366" s="26" t="s">
        <v>4746</v>
      </c>
      <c r="P366" s="35"/>
      <c r="Q366" s="26" t="s">
        <v>56</v>
      </c>
      <c r="R366" s="26" t="s">
        <v>42</v>
      </c>
      <c r="S366" s="27" t="s">
        <v>3566</v>
      </c>
      <c r="T366" s="27"/>
      <c r="U366" s="35"/>
      <c r="V366" s="26"/>
      <c r="W366" s="26">
        <v>5.0</v>
      </c>
      <c r="X366" s="26"/>
    </row>
    <row r="367" hidden="1">
      <c r="A367" s="26">
        <v>367.0</v>
      </c>
      <c r="B367" s="188">
        <v>46181.0</v>
      </c>
      <c r="C367" s="26" t="s">
        <v>21</v>
      </c>
      <c r="D367" s="26" t="s">
        <v>34</v>
      </c>
      <c r="E367" s="26" t="s">
        <v>5846</v>
      </c>
      <c r="F367" s="21">
        <v>5.09077992E8</v>
      </c>
      <c r="G367" s="26" t="s">
        <v>27</v>
      </c>
      <c r="H367" s="26" t="s">
        <v>27</v>
      </c>
      <c r="I367" s="26" t="s">
        <v>27</v>
      </c>
      <c r="J367" s="220" t="s">
        <v>5848</v>
      </c>
      <c r="K367" s="27" t="s">
        <v>4417</v>
      </c>
      <c r="L367" s="26" t="s">
        <v>39</v>
      </c>
      <c r="M367" s="27" t="s">
        <v>51</v>
      </c>
      <c r="N367" s="26" t="s">
        <v>4746</v>
      </c>
      <c r="O367" s="26" t="s">
        <v>4746</v>
      </c>
      <c r="P367" s="35">
        <v>0.3958333333333333</v>
      </c>
      <c r="Q367" s="26" t="s">
        <v>56</v>
      </c>
      <c r="R367" s="26" t="s">
        <v>42</v>
      </c>
      <c r="S367" s="27" t="s">
        <v>3566</v>
      </c>
      <c r="T367" s="27" t="s">
        <v>3566</v>
      </c>
      <c r="U367" s="35">
        <v>0.3958333333333333</v>
      </c>
      <c r="V367" s="26" t="s">
        <v>44</v>
      </c>
      <c r="W367" s="26">
        <v>5.0</v>
      </c>
      <c r="X367" s="26"/>
    </row>
    <row r="368" hidden="1">
      <c r="A368" s="26">
        <v>368.0</v>
      </c>
      <c r="B368" s="188">
        <v>46181.0</v>
      </c>
      <c r="C368" s="26" t="s">
        <v>21</v>
      </c>
      <c r="D368" s="26" t="s">
        <v>34</v>
      </c>
      <c r="E368" s="27" t="s">
        <v>5856</v>
      </c>
      <c r="F368" s="21">
        <v>5.00586023E8</v>
      </c>
      <c r="G368" s="26" t="s">
        <v>27</v>
      </c>
      <c r="H368" s="26" t="s">
        <v>27</v>
      </c>
      <c r="I368" s="26" t="s">
        <v>27</v>
      </c>
      <c r="J368" s="220" t="s">
        <v>5857</v>
      </c>
      <c r="K368" s="27" t="s">
        <v>4417</v>
      </c>
      <c r="L368" s="26" t="s">
        <v>39</v>
      </c>
      <c r="M368" s="27" t="s">
        <v>51</v>
      </c>
      <c r="N368" s="26" t="s">
        <v>4746</v>
      </c>
      <c r="O368" s="26" t="s">
        <v>4746</v>
      </c>
      <c r="P368" s="35">
        <v>0.3958333333333333</v>
      </c>
      <c r="Q368" s="26" t="s">
        <v>56</v>
      </c>
      <c r="R368" s="26" t="s">
        <v>42</v>
      </c>
      <c r="S368" s="27" t="s">
        <v>3566</v>
      </c>
      <c r="T368" s="27" t="s">
        <v>3566</v>
      </c>
      <c r="U368" s="35">
        <v>0.3958333333333333</v>
      </c>
      <c r="V368" s="26" t="s">
        <v>44</v>
      </c>
      <c r="W368" s="26">
        <v>5.0</v>
      </c>
      <c r="X368" s="26"/>
    </row>
    <row r="369" hidden="1">
      <c r="A369" s="26">
        <v>369.0</v>
      </c>
      <c r="B369" s="188">
        <v>46181.0</v>
      </c>
      <c r="C369" s="26" t="s">
        <v>21</v>
      </c>
      <c r="D369" s="26" t="s">
        <v>34</v>
      </c>
      <c r="E369" s="27" t="s">
        <v>5860</v>
      </c>
      <c r="F369" s="21">
        <v>5.43025086E8</v>
      </c>
      <c r="G369" s="26" t="s">
        <v>27</v>
      </c>
      <c r="H369" s="26" t="s">
        <v>27</v>
      </c>
      <c r="I369" s="26" t="s">
        <v>27</v>
      </c>
      <c r="J369" s="220" t="s">
        <v>5861</v>
      </c>
      <c r="K369" s="27" t="s">
        <v>4417</v>
      </c>
      <c r="L369" s="26" t="s">
        <v>39</v>
      </c>
      <c r="M369" s="27" t="s">
        <v>51</v>
      </c>
      <c r="N369" s="26" t="s">
        <v>4746</v>
      </c>
      <c r="O369" s="26" t="s">
        <v>4746</v>
      </c>
      <c r="P369" s="35">
        <v>0.3958333333333333</v>
      </c>
      <c r="Q369" s="26" t="s">
        <v>56</v>
      </c>
      <c r="R369" s="26" t="s">
        <v>42</v>
      </c>
      <c r="S369" s="27" t="s">
        <v>3566</v>
      </c>
      <c r="T369" s="27" t="s">
        <v>3566</v>
      </c>
      <c r="U369" s="35">
        <v>0.3958333333333333</v>
      </c>
      <c r="V369" s="26" t="s">
        <v>44</v>
      </c>
      <c r="W369" s="26">
        <v>5.0</v>
      </c>
      <c r="X369" s="26"/>
    </row>
    <row r="370" hidden="1">
      <c r="A370" s="26">
        <v>370.0</v>
      </c>
      <c r="B370" s="188">
        <v>46181.0</v>
      </c>
      <c r="C370" s="26" t="s">
        <v>21</v>
      </c>
      <c r="D370" s="26" t="s">
        <v>34</v>
      </c>
      <c r="E370" s="27" t="s">
        <v>5864</v>
      </c>
      <c r="F370" s="21">
        <v>5.44093499E8</v>
      </c>
      <c r="G370" s="26" t="s">
        <v>27</v>
      </c>
      <c r="H370" s="26" t="s">
        <v>27</v>
      </c>
      <c r="I370" s="26" t="s">
        <v>27</v>
      </c>
      <c r="J370" s="240" t="s">
        <v>5866</v>
      </c>
      <c r="K370" s="27" t="s">
        <v>4417</v>
      </c>
      <c r="L370" s="26" t="s">
        <v>39</v>
      </c>
      <c r="M370" s="27" t="s">
        <v>51</v>
      </c>
      <c r="N370" s="26" t="s">
        <v>4746</v>
      </c>
      <c r="O370" s="26" t="s">
        <v>4746</v>
      </c>
      <c r="P370" s="35">
        <v>0.3958333333333333</v>
      </c>
      <c r="Q370" s="26" t="s">
        <v>56</v>
      </c>
      <c r="R370" s="26" t="s">
        <v>42</v>
      </c>
      <c r="S370" s="27" t="s">
        <v>3566</v>
      </c>
      <c r="T370" s="27" t="s">
        <v>3566</v>
      </c>
      <c r="U370" s="35">
        <v>0.3958333333333333</v>
      </c>
      <c r="V370" s="26" t="s">
        <v>44</v>
      </c>
      <c r="W370" s="26">
        <v>5.0</v>
      </c>
      <c r="X370" s="26"/>
    </row>
    <row r="371" hidden="1">
      <c r="A371" s="26">
        <v>371.0</v>
      </c>
      <c r="B371" s="188">
        <v>46181.0</v>
      </c>
      <c r="C371" s="26" t="s">
        <v>21</v>
      </c>
      <c r="D371" s="26" t="s">
        <v>34</v>
      </c>
      <c r="E371" s="27" t="s">
        <v>5870</v>
      </c>
      <c r="F371" s="21">
        <v>5.44478292E8</v>
      </c>
      <c r="G371" s="26" t="s">
        <v>27</v>
      </c>
      <c r="H371" s="26" t="s">
        <v>27</v>
      </c>
      <c r="I371" s="26" t="s">
        <v>27</v>
      </c>
      <c r="J371" s="220" t="s">
        <v>5871</v>
      </c>
      <c r="K371" s="27" t="s">
        <v>4417</v>
      </c>
      <c r="L371" s="26" t="s">
        <v>39</v>
      </c>
      <c r="M371" s="27" t="s">
        <v>51</v>
      </c>
      <c r="N371" s="26" t="s">
        <v>4746</v>
      </c>
      <c r="O371" s="26" t="s">
        <v>4746</v>
      </c>
      <c r="P371" s="35">
        <v>0.3958333333333333</v>
      </c>
      <c r="Q371" s="26" t="s">
        <v>56</v>
      </c>
      <c r="R371" s="26" t="s">
        <v>42</v>
      </c>
      <c r="S371" s="27" t="s">
        <v>3566</v>
      </c>
      <c r="T371" s="27" t="s">
        <v>3566</v>
      </c>
      <c r="U371" s="35">
        <v>0.3958333333333333</v>
      </c>
      <c r="V371" s="26" t="s">
        <v>44</v>
      </c>
      <c r="W371" s="26">
        <v>5.0</v>
      </c>
      <c r="X371" s="26"/>
    </row>
    <row r="372" hidden="1">
      <c r="A372" s="26">
        <v>372.0</v>
      </c>
      <c r="B372" s="188">
        <v>46181.0</v>
      </c>
      <c r="C372" s="26" t="s">
        <v>21</v>
      </c>
      <c r="D372" s="26" t="s">
        <v>34</v>
      </c>
      <c r="E372" s="27" t="s">
        <v>5876</v>
      </c>
      <c r="F372" s="21">
        <v>5.03528789E8</v>
      </c>
      <c r="G372" s="26" t="s">
        <v>27</v>
      </c>
      <c r="H372" s="26" t="s">
        <v>27</v>
      </c>
      <c r="I372" s="26" t="s">
        <v>27</v>
      </c>
      <c r="J372" s="220" t="s">
        <v>5878</v>
      </c>
      <c r="K372" s="27" t="s">
        <v>4417</v>
      </c>
      <c r="L372" s="26" t="s">
        <v>39</v>
      </c>
      <c r="M372" s="27" t="s">
        <v>51</v>
      </c>
      <c r="N372" s="26" t="s">
        <v>4746</v>
      </c>
      <c r="O372" s="26" t="s">
        <v>4746</v>
      </c>
      <c r="P372" s="35">
        <v>0.3958333333333333</v>
      </c>
      <c r="Q372" s="26" t="s">
        <v>56</v>
      </c>
      <c r="R372" s="26" t="s">
        <v>42</v>
      </c>
      <c r="S372" s="27" t="s">
        <v>3566</v>
      </c>
      <c r="T372" s="27" t="s">
        <v>3566</v>
      </c>
      <c r="U372" s="35">
        <v>0.3958333333333333</v>
      </c>
      <c r="V372" s="26" t="s">
        <v>44</v>
      </c>
      <c r="W372" s="26">
        <v>5.0</v>
      </c>
      <c r="X372" s="26"/>
    </row>
    <row r="373" hidden="1">
      <c r="A373" s="26">
        <v>373.0</v>
      </c>
      <c r="B373" s="188">
        <v>46181.0</v>
      </c>
      <c r="C373" s="26" t="s">
        <v>21</v>
      </c>
      <c r="D373" s="26" t="s">
        <v>34</v>
      </c>
      <c r="E373" s="27" t="s">
        <v>5883</v>
      </c>
      <c r="F373" s="21">
        <v>5.54598847E8</v>
      </c>
      <c r="G373" s="26" t="s">
        <v>27</v>
      </c>
      <c r="H373" s="26" t="s">
        <v>27</v>
      </c>
      <c r="I373" s="26" t="s">
        <v>27</v>
      </c>
      <c r="J373" s="220" t="s">
        <v>5885</v>
      </c>
      <c r="K373" s="27" t="s">
        <v>4417</v>
      </c>
      <c r="L373" s="26" t="s">
        <v>39</v>
      </c>
      <c r="M373" s="27" t="s">
        <v>51</v>
      </c>
      <c r="N373" s="26" t="s">
        <v>4746</v>
      </c>
      <c r="O373" s="26" t="s">
        <v>4746</v>
      </c>
      <c r="P373" s="35">
        <v>0.3958333333333333</v>
      </c>
      <c r="Q373" s="26" t="s">
        <v>56</v>
      </c>
      <c r="R373" s="26" t="s">
        <v>42</v>
      </c>
      <c r="S373" s="27" t="s">
        <v>3566</v>
      </c>
      <c r="T373" s="27" t="s">
        <v>3566</v>
      </c>
      <c r="U373" s="35">
        <v>0.3958333333333333</v>
      </c>
      <c r="V373" s="26" t="s">
        <v>44</v>
      </c>
      <c r="W373" s="26">
        <v>5.0</v>
      </c>
      <c r="X373" s="26"/>
    </row>
    <row r="374" hidden="1">
      <c r="A374" s="26">
        <v>374.0</v>
      </c>
      <c r="B374" s="188">
        <v>46181.0</v>
      </c>
      <c r="C374" s="26" t="s">
        <v>21</v>
      </c>
      <c r="D374" s="26" t="s">
        <v>34</v>
      </c>
      <c r="E374" s="26" t="s">
        <v>416</v>
      </c>
      <c r="F374" s="21">
        <v>5.06798911E8</v>
      </c>
      <c r="G374" s="26" t="s">
        <v>27</v>
      </c>
      <c r="H374" s="26" t="s">
        <v>27</v>
      </c>
      <c r="I374" s="26" t="s">
        <v>27</v>
      </c>
      <c r="J374" s="240" t="s">
        <v>5890</v>
      </c>
      <c r="K374" s="27" t="s">
        <v>4417</v>
      </c>
      <c r="L374" s="26" t="s">
        <v>39</v>
      </c>
      <c r="M374" s="27" t="s">
        <v>51</v>
      </c>
      <c r="N374" s="26" t="s">
        <v>4746</v>
      </c>
      <c r="O374" s="26" t="s">
        <v>4746</v>
      </c>
      <c r="P374" s="35">
        <v>0.3958333333333333</v>
      </c>
      <c r="Q374" s="26" t="s">
        <v>56</v>
      </c>
      <c r="R374" s="26" t="s">
        <v>42</v>
      </c>
      <c r="S374" s="27" t="s">
        <v>3566</v>
      </c>
      <c r="T374" s="27" t="s">
        <v>3566</v>
      </c>
      <c r="U374" s="35">
        <v>0.3958333333333333</v>
      </c>
      <c r="V374" s="26" t="s">
        <v>44</v>
      </c>
      <c r="W374" s="26">
        <v>5.0</v>
      </c>
      <c r="X374" s="26"/>
    </row>
    <row r="375" hidden="1">
      <c r="A375" s="26">
        <v>375.0</v>
      </c>
      <c r="B375" s="188">
        <v>46181.0</v>
      </c>
      <c r="C375" s="26" t="s">
        <v>21</v>
      </c>
      <c r="D375" s="26" t="s">
        <v>34</v>
      </c>
      <c r="E375" s="27" t="s">
        <v>5897</v>
      </c>
      <c r="F375" s="21">
        <v>5.06730446E8</v>
      </c>
      <c r="G375" s="26" t="s">
        <v>27</v>
      </c>
      <c r="H375" s="26" t="s">
        <v>27</v>
      </c>
      <c r="I375" s="26" t="s">
        <v>27</v>
      </c>
      <c r="J375" s="220" t="s">
        <v>5900</v>
      </c>
      <c r="K375" s="27" t="s">
        <v>4417</v>
      </c>
      <c r="L375" s="26" t="s">
        <v>39</v>
      </c>
      <c r="M375" s="27" t="s">
        <v>51</v>
      </c>
      <c r="N375" s="26" t="s">
        <v>4746</v>
      </c>
      <c r="O375" s="26" t="s">
        <v>4746</v>
      </c>
      <c r="P375" s="35">
        <v>0.3958333333333333</v>
      </c>
      <c r="Q375" s="26" t="s">
        <v>56</v>
      </c>
      <c r="R375" s="26" t="s">
        <v>42</v>
      </c>
      <c r="S375" s="27" t="s">
        <v>3566</v>
      </c>
      <c r="T375" s="27" t="s">
        <v>3566</v>
      </c>
      <c r="U375" s="35">
        <v>0.3958333333333333</v>
      </c>
      <c r="V375" s="26" t="s">
        <v>44</v>
      </c>
      <c r="W375" s="26">
        <v>5.0</v>
      </c>
      <c r="X375" s="26"/>
    </row>
    <row r="376" hidden="1">
      <c r="A376" s="26">
        <v>376.0</v>
      </c>
      <c r="B376" s="188">
        <v>46181.0</v>
      </c>
      <c r="C376" s="26" t="s">
        <v>21</v>
      </c>
      <c r="D376" s="26" t="s">
        <v>34</v>
      </c>
      <c r="E376" s="27" t="s">
        <v>5904</v>
      </c>
      <c r="F376" s="21">
        <v>5.05652094E8</v>
      </c>
      <c r="G376" s="26" t="s">
        <v>4865</v>
      </c>
      <c r="H376" s="27" t="s">
        <v>319</v>
      </c>
      <c r="I376" s="26" t="s">
        <v>27</v>
      </c>
      <c r="J376" s="220" t="s">
        <v>5906</v>
      </c>
      <c r="K376" s="27" t="s">
        <v>4417</v>
      </c>
      <c r="L376" s="26" t="s">
        <v>39</v>
      </c>
      <c r="M376" s="27" t="s">
        <v>51</v>
      </c>
      <c r="N376" s="26" t="s">
        <v>4746</v>
      </c>
      <c r="O376" s="26" t="s">
        <v>4746</v>
      </c>
      <c r="P376" s="35">
        <v>0.3958333333333333</v>
      </c>
      <c r="Q376" s="26" t="s">
        <v>56</v>
      </c>
      <c r="R376" s="26" t="s">
        <v>42</v>
      </c>
      <c r="S376" s="27" t="s">
        <v>3566</v>
      </c>
      <c r="T376" s="27" t="s">
        <v>3566</v>
      </c>
      <c r="U376" s="35">
        <v>0.3958333333333333</v>
      </c>
      <c r="V376" s="26" t="s">
        <v>44</v>
      </c>
      <c r="W376" s="26">
        <v>5.0</v>
      </c>
      <c r="X376" s="26"/>
    </row>
    <row r="377" hidden="1">
      <c r="A377" s="26">
        <v>377.0</v>
      </c>
      <c r="B377" s="188">
        <v>46181.0</v>
      </c>
      <c r="C377" s="26" t="s">
        <v>21</v>
      </c>
      <c r="D377" s="26" t="s">
        <v>34</v>
      </c>
      <c r="E377" s="27" t="s">
        <v>1788</v>
      </c>
      <c r="F377" s="21">
        <v>5.03560653E8</v>
      </c>
      <c r="G377" s="26" t="s">
        <v>27</v>
      </c>
      <c r="H377" s="26" t="s">
        <v>27</v>
      </c>
      <c r="I377" s="26" t="s">
        <v>27</v>
      </c>
      <c r="J377" s="220" t="s">
        <v>5910</v>
      </c>
      <c r="K377" s="27" t="s">
        <v>4417</v>
      </c>
      <c r="L377" s="26" t="s">
        <v>39</v>
      </c>
      <c r="M377" s="27" t="s">
        <v>51</v>
      </c>
      <c r="N377" s="26" t="s">
        <v>4746</v>
      </c>
      <c r="O377" s="26" t="s">
        <v>4746</v>
      </c>
      <c r="P377" s="35">
        <v>0.3958333333333333</v>
      </c>
      <c r="Q377" s="26" t="s">
        <v>56</v>
      </c>
      <c r="R377" s="26" t="s">
        <v>42</v>
      </c>
      <c r="S377" s="27" t="s">
        <v>3566</v>
      </c>
      <c r="T377" s="27" t="s">
        <v>3566</v>
      </c>
      <c r="U377" s="35">
        <v>0.3958333333333333</v>
      </c>
      <c r="V377" s="26" t="s">
        <v>44</v>
      </c>
      <c r="W377" s="26">
        <v>5.0</v>
      </c>
      <c r="X377" s="26"/>
    </row>
    <row r="378" hidden="1">
      <c r="A378" s="26">
        <v>378.0</v>
      </c>
      <c r="B378" s="188">
        <v>46181.0</v>
      </c>
      <c r="C378" s="26" t="s">
        <v>58</v>
      </c>
      <c r="D378" s="26" t="s">
        <v>60</v>
      </c>
      <c r="E378" s="26" t="s">
        <v>27</v>
      </c>
      <c r="F378" s="21">
        <v>5.53633469E8</v>
      </c>
      <c r="G378" s="26" t="s">
        <v>27</v>
      </c>
      <c r="H378" s="26" t="s">
        <v>27</v>
      </c>
      <c r="I378" s="26" t="s">
        <v>27</v>
      </c>
      <c r="J378" s="220" t="s">
        <v>5914</v>
      </c>
      <c r="K378" s="27" t="s">
        <v>5915</v>
      </c>
      <c r="L378" s="26" t="s">
        <v>36</v>
      </c>
      <c r="M378" s="27" t="s">
        <v>88</v>
      </c>
      <c r="N378" s="26" t="s">
        <v>4746</v>
      </c>
      <c r="O378" s="26" t="s">
        <v>4746</v>
      </c>
      <c r="P378" s="35"/>
      <c r="Q378" s="26" t="s">
        <v>56</v>
      </c>
      <c r="R378" s="26" t="s">
        <v>42</v>
      </c>
      <c r="S378" s="27" t="s">
        <v>3566</v>
      </c>
      <c r="T378" s="27"/>
      <c r="U378" s="35"/>
      <c r="V378" s="26"/>
      <c r="W378" s="26">
        <v>5.0</v>
      </c>
      <c r="X378" s="26"/>
    </row>
    <row r="379" hidden="1">
      <c r="A379" s="26">
        <v>379.0</v>
      </c>
      <c r="B379" s="188">
        <v>46181.0</v>
      </c>
      <c r="C379" s="26" t="s">
        <v>21</v>
      </c>
      <c r="D379" s="26" t="s">
        <v>22</v>
      </c>
      <c r="E379" s="27" t="s">
        <v>449</v>
      </c>
      <c r="F379" s="21">
        <v>5.00545157E8</v>
      </c>
      <c r="G379" s="26" t="s">
        <v>4769</v>
      </c>
      <c r="H379" s="27" t="s">
        <v>752</v>
      </c>
      <c r="I379" s="26" t="s">
        <v>27</v>
      </c>
      <c r="J379" s="220" t="s">
        <v>5921</v>
      </c>
      <c r="K379" s="27"/>
      <c r="L379" s="26" t="s">
        <v>36</v>
      </c>
      <c r="M379" s="27" t="s">
        <v>1389</v>
      </c>
      <c r="N379" s="26" t="s">
        <v>4870</v>
      </c>
      <c r="O379" s="26" t="s">
        <v>4746</v>
      </c>
      <c r="P379" s="35"/>
      <c r="Q379" s="26" t="s">
        <v>40</v>
      </c>
      <c r="R379" s="26" t="s">
        <v>518</v>
      </c>
      <c r="S379" s="27" t="s">
        <v>3566</v>
      </c>
      <c r="T379" s="27"/>
      <c r="U379" s="35"/>
      <c r="V379" s="26"/>
      <c r="W379" s="26">
        <v>5.0</v>
      </c>
      <c r="X379" s="26" t="s">
        <v>46</v>
      </c>
    </row>
    <row r="380" hidden="1">
      <c r="A380" s="26">
        <v>380.0</v>
      </c>
      <c r="B380" s="188">
        <v>46181.0</v>
      </c>
      <c r="C380" s="26" t="s">
        <v>47</v>
      </c>
      <c r="D380" s="26" t="s">
        <v>48</v>
      </c>
      <c r="E380" s="27" t="s">
        <v>1197</v>
      </c>
      <c r="F380" s="21">
        <v>5.01028413E8</v>
      </c>
      <c r="G380" s="26" t="s">
        <v>4740</v>
      </c>
      <c r="H380" s="27" t="s">
        <v>41</v>
      </c>
      <c r="I380" s="26" t="s">
        <v>956</v>
      </c>
      <c r="J380" s="220" t="s">
        <v>6956</v>
      </c>
      <c r="K380" s="27" t="s">
        <v>5928</v>
      </c>
      <c r="L380" s="26" t="s">
        <v>36</v>
      </c>
      <c r="M380" s="335" t="s">
        <v>5522</v>
      </c>
      <c r="N380" s="26" t="s">
        <v>4977</v>
      </c>
      <c r="O380" s="26" t="s">
        <v>4746</v>
      </c>
      <c r="P380" s="35">
        <v>0.5138888888888888</v>
      </c>
      <c r="Q380" s="26" t="s">
        <v>56</v>
      </c>
      <c r="R380" s="26" t="s">
        <v>3811</v>
      </c>
      <c r="S380" s="27" t="s">
        <v>3566</v>
      </c>
      <c r="T380" s="27" t="s">
        <v>3765</v>
      </c>
      <c r="U380" s="35">
        <v>0.6013888888888889</v>
      </c>
      <c r="V380" s="26" t="s">
        <v>44</v>
      </c>
      <c r="W380" s="26">
        <v>5.0</v>
      </c>
      <c r="X380" s="26" t="s">
        <v>46</v>
      </c>
    </row>
    <row r="381" hidden="1">
      <c r="A381" s="26">
        <v>381.0</v>
      </c>
      <c r="B381" s="188">
        <v>46181.0</v>
      </c>
      <c r="C381" s="26" t="s">
        <v>47</v>
      </c>
      <c r="D381" s="26" t="s">
        <v>60</v>
      </c>
      <c r="E381" s="27" t="s">
        <v>5901</v>
      </c>
      <c r="F381" s="21">
        <v>5.73734554E8</v>
      </c>
      <c r="G381" s="26" t="s">
        <v>4740</v>
      </c>
      <c r="H381" s="27" t="s">
        <v>41</v>
      </c>
      <c r="I381" s="26" t="s">
        <v>188</v>
      </c>
      <c r="J381" s="220" t="s">
        <v>5933</v>
      </c>
      <c r="K381" s="27"/>
      <c r="L381" s="26" t="s">
        <v>36</v>
      </c>
      <c r="M381" s="27" t="s">
        <v>38</v>
      </c>
      <c r="N381" s="26" t="s">
        <v>4746</v>
      </c>
      <c r="O381" s="26" t="s">
        <v>4746</v>
      </c>
      <c r="P381" s="35"/>
      <c r="Q381" s="26" t="s">
        <v>56</v>
      </c>
      <c r="R381" s="26" t="s">
        <v>42</v>
      </c>
      <c r="S381" s="27" t="s">
        <v>3566</v>
      </c>
      <c r="T381" s="27"/>
      <c r="U381" s="35"/>
      <c r="V381" s="26"/>
      <c r="W381" s="26">
        <v>5.0</v>
      </c>
      <c r="X381" s="26" t="s">
        <v>46</v>
      </c>
    </row>
    <row r="382" hidden="1">
      <c r="A382" s="26">
        <v>382.0</v>
      </c>
      <c r="B382" s="188">
        <v>46181.0</v>
      </c>
      <c r="C382" s="26" t="s">
        <v>21</v>
      </c>
      <c r="D382" s="26" t="s">
        <v>66</v>
      </c>
      <c r="E382" s="27" t="s">
        <v>5936</v>
      </c>
      <c r="F382" s="21">
        <v>1.38280009E8</v>
      </c>
      <c r="G382" s="26" t="s">
        <v>4852</v>
      </c>
      <c r="H382" s="27" t="s">
        <v>1452</v>
      </c>
      <c r="I382" s="26" t="s">
        <v>27</v>
      </c>
      <c r="J382" s="220" t="s">
        <v>5939</v>
      </c>
      <c r="K382" s="27"/>
      <c r="L382" s="26" t="s">
        <v>36</v>
      </c>
      <c r="M382" s="27" t="s">
        <v>208</v>
      </c>
      <c r="N382" s="26" t="s">
        <v>49</v>
      </c>
      <c r="O382" s="26" t="s">
        <v>4746</v>
      </c>
      <c r="P382" s="35"/>
      <c r="Q382" s="26" t="s">
        <v>56</v>
      </c>
      <c r="R382" s="26" t="s">
        <v>518</v>
      </c>
      <c r="S382" s="27" t="s">
        <v>3566</v>
      </c>
      <c r="T382" s="27"/>
      <c r="U382" s="35"/>
      <c r="V382" s="26"/>
      <c r="W382" s="26">
        <v>5.0</v>
      </c>
      <c r="X382" s="26"/>
    </row>
    <row r="383" hidden="1">
      <c r="A383" s="26">
        <v>383.0</v>
      </c>
      <c r="B383" s="188">
        <v>46181.0</v>
      </c>
      <c r="C383" s="26" t="s">
        <v>21</v>
      </c>
      <c r="D383" s="26" t="s">
        <v>22</v>
      </c>
      <c r="E383" s="27" t="s">
        <v>5944</v>
      </c>
      <c r="F383" s="21">
        <v>5.48404691E8</v>
      </c>
      <c r="G383" s="26" t="s">
        <v>4740</v>
      </c>
      <c r="H383" s="27" t="s">
        <v>71</v>
      </c>
      <c r="I383" s="26" t="s">
        <v>27</v>
      </c>
      <c r="J383" s="220" t="s">
        <v>5947</v>
      </c>
      <c r="K383" s="27"/>
      <c r="L383" s="26" t="s">
        <v>36</v>
      </c>
      <c r="M383" s="27" t="s">
        <v>4868</v>
      </c>
      <c r="N383" s="26" t="s">
        <v>4870</v>
      </c>
      <c r="O383" s="26" t="s">
        <v>4746</v>
      </c>
      <c r="P383" s="35"/>
      <c r="Q383" s="26" t="s">
        <v>40</v>
      </c>
      <c r="R383" s="26" t="s">
        <v>42</v>
      </c>
      <c r="S383" s="27" t="s">
        <v>3566</v>
      </c>
      <c r="T383" s="27"/>
      <c r="U383" s="35"/>
      <c r="V383" s="26"/>
      <c r="W383" s="26">
        <v>5.0</v>
      </c>
      <c r="X383" s="26" t="s">
        <v>46</v>
      </c>
    </row>
    <row r="384" hidden="1">
      <c r="A384" s="26">
        <v>384.0</v>
      </c>
      <c r="B384" s="188">
        <v>46181.0</v>
      </c>
      <c r="C384" s="26" t="s">
        <v>21</v>
      </c>
      <c r="D384" s="26" t="s">
        <v>34</v>
      </c>
      <c r="E384" s="27" t="s">
        <v>5950</v>
      </c>
      <c r="F384" s="21">
        <v>5.44527402E8</v>
      </c>
      <c r="G384" s="26" t="s">
        <v>4740</v>
      </c>
      <c r="H384" s="27" t="s">
        <v>71</v>
      </c>
      <c r="I384" s="26" t="s">
        <v>27</v>
      </c>
      <c r="J384" s="220" t="s">
        <v>5952</v>
      </c>
      <c r="K384" s="27"/>
      <c r="L384" s="26" t="s">
        <v>36</v>
      </c>
      <c r="M384" s="27" t="s">
        <v>51</v>
      </c>
      <c r="N384" s="26" t="s">
        <v>4746</v>
      </c>
      <c r="O384" s="26" t="s">
        <v>4746</v>
      </c>
      <c r="P384" s="35"/>
      <c r="Q384" s="26" t="s">
        <v>56</v>
      </c>
      <c r="R384" s="26" t="s">
        <v>42</v>
      </c>
      <c r="S384" s="27" t="s">
        <v>3566</v>
      </c>
      <c r="T384" s="27"/>
      <c r="U384" s="35"/>
      <c r="V384" s="26"/>
      <c r="W384" s="26">
        <v>5.0</v>
      </c>
      <c r="X384" s="26"/>
    </row>
    <row r="385" hidden="1">
      <c r="A385" s="26">
        <v>385.0</v>
      </c>
      <c r="B385" s="188">
        <v>46181.0</v>
      </c>
      <c r="C385" s="26" t="s">
        <v>21</v>
      </c>
      <c r="D385" s="26" t="s">
        <v>34</v>
      </c>
      <c r="E385" s="27" t="s">
        <v>5956</v>
      </c>
      <c r="F385" s="21">
        <v>5.43717093E8</v>
      </c>
      <c r="G385" s="21" t="s">
        <v>6975</v>
      </c>
      <c r="H385" s="27" t="s">
        <v>5957</v>
      </c>
      <c r="I385" s="26" t="s">
        <v>27</v>
      </c>
      <c r="J385" s="220" t="s">
        <v>5959</v>
      </c>
      <c r="K385" s="27"/>
      <c r="L385" s="26" t="s">
        <v>36</v>
      </c>
      <c r="M385" s="27" t="s">
        <v>51</v>
      </c>
      <c r="N385" s="26" t="s">
        <v>4746</v>
      </c>
      <c r="O385" s="26" t="s">
        <v>4746</v>
      </c>
      <c r="P385" s="35"/>
      <c r="Q385" s="26" t="s">
        <v>56</v>
      </c>
      <c r="R385" s="26" t="s">
        <v>42</v>
      </c>
      <c r="S385" s="27" t="s">
        <v>3566</v>
      </c>
      <c r="T385" s="27"/>
      <c r="U385" s="35"/>
      <c r="V385" s="26"/>
      <c r="W385" s="26">
        <v>5.0</v>
      </c>
      <c r="X385" s="26"/>
    </row>
    <row r="386" hidden="1">
      <c r="A386" s="26">
        <v>386.0</v>
      </c>
      <c r="B386" s="188">
        <v>46181.0</v>
      </c>
      <c r="C386" s="26" t="s">
        <v>47</v>
      </c>
      <c r="D386" s="26" t="s">
        <v>48</v>
      </c>
      <c r="E386" s="27" t="s">
        <v>5102</v>
      </c>
      <c r="F386" s="21">
        <v>5.53100055E8</v>
      </c>
      <c r="G386" s="26" t="s">
        <v>4740</v>
      </c>
      <c r="H386" s="27" t="s">
        <v>41</v>
      </c>
      <c r="I386" s="26" t="s">
        <v>783</v>
      </c>
      <c r="J386" s="209" t="s">
        <v>6981</v>
      </c>
      <c r="K386" s="27" t="s">
        <v>5965</v>
      </c>
      <c r="L386" s="26" t="s">
        <v>36</v>
      </c>
      <c r="M386" s="335" t="s">
        <v>5968</v>
      </c>
      <c r="N386" s="26" t="s">
        <v>4977</v>
      </c>
      <c r="O386" s="26" t="s">
        <v>4746</v>
      </c>
      <c r="P386" s="35">
        <v>0.4791666666666667</v>
      </c>
      <c r="Q386" s="26" t="s">
        <v>56</v>
      </c>
      <c r="R386" s="26" t="s">
        <v>301</v>
      </c>
      <c r="S386" s="27" t="s">
        <v>3566</v>
      </c>
      <c r="T386" s="27" t="s">
        <v>3997</v>
      </c>
      <c r="U386" s="35">
        <v>0.6076388888888888</v>
      </c>
      <c r="V386" s="26" t="s">
        <v>49</v>
      </c>
      <c r="W386" s="26"/>
      <c r="X386" s="26" t="s">
        <v>46</v>
      </c>
    </row>
    <row r="387" hidden="1">
      <c r="A387" s="26">
        <v>387.0</v>
      </c>
      <c r="B387" s="188">
        <v>46181.0</v>
      </c>
      <c r="C387" s="26" t="s">
        <v>21</v>
      </c>
      <c r="D387" s="26" t="s">
        <v>24</v>
      </c>
      <c r="E387" s="27" t="s">
        <v>5972</v>
      </c>
      <c r="F387" s="21">
        <v>5.06424594E8</v>
      </c>
      <c r="G387" s="26" t="s">
        <v>4769</v>
      </c>
      <c r="H387" s="27" t="s">
        <v>152</v>
      </c>
      <c r="I387" s="26" t="s">
        <v>27</v>
      </c>
      <c r="J387" s="209" t="s">
        <v>5975</v>
      </c>
      <c r="K387" s="27"/>
      <c r="L387" s="26" t="s">
        <v>36</v>
      </c>
      <c r="M387" s="27" t="s">
        <v>4982</v>
      </c>
      <c r="N387" s="26" t="s">
        <v>4803</v>
      </c>
      <c r="O387" s="26" t="s">
        <v>4746</v>
      </c>
      <c r="P387" s="35"/>
      <c r="Q387" s="26" t="s">
        <v>56</v>
      </c>
      <c r="R387" s="26" t="s">
        <v>3811</v>
      </c>
      <c r="S387" s="27" t="s">
        <v>3566</v>
      </c>
      <c r="T387" s="27"/>
      <c r="U387" s="35"/>
      <c r="V387" s="26"/>
      <c r="W387" s="26"/>
      <c r="X387" s="26" t="s">
        <v>46</v>
      </c>
    </row>
    <row r="388" hidden="1">
      <c r="A388" s="26">
        <v>388.0</v>
      </c>
      <c r="B388" s="188">
        <v>46181.0</v>
      </c>
      <c r="C388" s="26" t="s">
        <v>58</v>
      </c>
      <c r="D388" s="26" t="s">
        <v>60</v>
      </c>
      <c r="E388" s="26" t="s">
        <v>27</v>
      </c>
      <c r="F388" s="21">
        <v>5.47739061E8</v>
      </c>
      <c r="G388" s="26" t="s">
        <v>27</v>
      </c>
      <c r="H388" s="26" t="s">
        <v>27</v>
      </c>
      <c r="I388" s="26" t="s">
        <v>27</v>
      </c>
      <c r="J388" s="209" t="s">
        <v>5980</v>
      </c>
      <c r="K388" s="27" t="s">
        <v>123</v>
      </c>
      <c r="L388" s="26" t="s">
        <v>36</v>
      </c>
      <c r="M388" s="27" t="s">
        <v>88</v>
      </c>
      <c r="N388" s="26" t="s">
        <v>4746</v>
      </c>
      <c r="O388" s="26" t="s">
        <v>4746</v>
      </c>
      <c r="P388" s="35"/>
      <c r="Q388" s="26" t="s">
        <v>56</v>
      </c>
      <c r="R388" s="26" t="s">
        <v>42</v>
      </c>
      <c r="S388" s="27" t="s">
        <v>3566</v>
      </c>
      <c r="T388" s="27"/>
      <c r="U388" s="35"/>
      <c r="V388" s="26"/>
      <c r="W388" s="26"/>
      <c r="X388" s="26"/>
    </row>
    <row r="389" hidden="1">
      <c r="A389" s="26">
        <v>389.0</v>
      </c>
      <c r="B389" s="188">
        <v>46182.0</v>
      </c>
      <c r="C389" s="26" t="s">
        <v>21</v>
      </c>
      <c r="D389" s="26" t="s">
        <v>22</v>
      </c>
      <c r="E389" s="27" t="s">
        <v>5984</v>
      </c>
      <c r="F389" s="21">
        <v>5.34147439E8</v>
      </c>
      <c r="G389" s="26" t="s">
        <v>5023</v>
      </c>
      <c r="H389" s="27" t="s">
        <v>76</v>
      </c>
      <c r="I389" s="26" t="s">
        <v>27</v>
      </c>
      <c r="J389" s="209" t="s">
        <v>5986</v>
      </c>
      <c r="K389" s="27"/>
      <c r="L389" s="26" t="s">
        <v>36</v>
      </c>
      <c r="M389" s="27" t="s">
        <v>1389</v>
      </c>
      <c r="N389" s="26" t="s">
        <v>4870</v>
      </c>
      <c r="O389" s="26" t="s">
        <v>4746</v>
      </c>
      <c r="P389" s="35"/>
      <c r="Q389" s="26" t="s">
        <v>40</v>
      </c>
      <c r="R389" s="26" t="s">
        <v>3811</v>
      </c>
      <c r="S389" s="27" t="s">
        <v>3566</v>
      </c>
      <c r="T389" s="27"/>
      <c r="U389" s="35"/>
      <c r="V389" s="26"/>
      <c r="W389" s="26"/>
      <c r="X389" s="26" t="s">
        <v>46</v>
      </c>
    </row>
    <row r="390" hidden="1">
      <c r="A390" s="26">
        <v>390.0</v>
      </c>
      <c r="B390" s="188">
        <v>46182.0</v>
      </c>
      <c r="C390" s="26" t="s">
        <v>58</v>
      </c>
      <c r="D390" s="26" t="s">
        <v>60</v>
      </c>
      <c r="E390" s="27" t="s">
        <v>5989</v>
      </c>
      <c r="F390" s="21">
        <v>5.38887038E8</v>
      </c>
      <c r="G390" s="26" t="s">
        <v>4740</v>
      </c>
      <c r="H390" s="27" t="s">
        <v>79</v>
      </c>
      <c r="I390" s="204" t="s">
        <v>142</v>
      </c>
      <c r="J390" s="209" t="s">
        <v>5991</v>
      </c>
      <c r="K390" s="27" t="s">
        <v>5992</v>
      </c>
      <c r="L390" s="26" t="s">
        <v>36</v>
      </c>
      <c r="M390" s="27" t="s">
        <v>88</v>
      </c>
      <c r="N390" s="26" t="s">
        <v>4746</v>
      </c>
      <c r="O390" s="26" t="s">
        <v>4746</v>
      </c>
      <c r="P390" s="35"/>
      <c r="Q390" s="26" t="s">
        <v>56</v>
      </c>
      <c r="R390" s="26" t="s">
        <v>42</v>
      </c>
      <c r="S390" s="27" t="s">
        <v>3566</v>
      </c>
      <c r="T390" s="27"/>
      <c r="U390" s="35"/>
      <c r="V390" s="26"/>
      <c r="W390" s="26"/>
      <c r="X390" s="26"/>
    </row>
    <row r="391" hidden="1">
      <c r="A391" s="26">
        <v>391.0</v>
      </c>
      <c r="B391" s="188">
        <v>46182.0</v>
      </c>
      <c r="C391" s="26" t="s">
        <v>21</v>
      </c>
      <c r="D391" s="26" t="s">
        <v>24</v>
      </c>
      <c r="E391" s="27" t="s">
        <v>858</v>
      </c>
      <c r="F391" s="21">
        <v>5.08346588E8</v>
      </c>
      <c r="G391" s="26" t="s">
        <v>4740</v>
      </c>
      <c r="H391" s="27" t="s">
        <v>71</v>
      </c>
      <c r="I391" s="26" t="s">
        <v>27</v>
      </c>
      <c r="J391" s="209" t="s">
        <v>5998</v>
      </c>
      <c r="K391" s="27"/>
      <c r="L391" s="26" t="s">
        <v>39</v>
      </c>
      <c r="M391" s="27" t="s">
        <v>5046</v>
      </c>
      <c r="N391" s="26" t="s">
        <v>4803</v>
      </c>
      <c r="O391" s="26" t="s">
        <v>4746</v>
      </c>
      <c r="P391" s="114">
        <v>0.4791666666666667</v>
      </c>
      <c r="Q391" s="26" t="s">
        <v>56</v>
      </c>
      <c r="R391" s="26" t="s">
        <v>518</v>
      </c>
      <c r="S391" s="27" t="s">
        <v>3566</v>
      </c>
      <c r="T391" s="27"/>
      <c r="U391" s="35"/>
      <c r="V391" s="26"/>
      <c r="W391" s="26"/>
      <c r="X391" s="26" t="s">
        <v>46</v>
      </c>
    </row>
    <row r="392" hidden="1">
      <c r="A392" s="26">
        <v>392.0</v>
      </c>
      <c r="B392" s="188">
        <v>46182.0</v>
      </c>
      <c r="C392" s="26" t="s">
        <v>58</v>
      </c>
      <c r="D392" s="26" t="s">
        <v>57</v>
      </c>
      <c r="E392" s="27" t="s">
        <v>6003</v>
      </c>
      <c r="F392" s="21">
        <v>5.6663765E8</v>
      </c>
      <c r="G392" s="26" t="s">
        <v>4865</v>
      </c>
      <c r="H392" s="27" t="s">
        <v>319</v>
      </c>
      <c r="I392" s="26" t="s">
        <v>3826</v>
      </c>
      <c r="J392" s="209" t="s">
        <v>6004</v>
      </c>
      <c r="K392" s="27"/>
      <c r="L392" s="26" t="s">
        <v>36</v>
      </c>
      <c r="M392" s="27" t="s">
        <v>1399</v>
      </c>
      <c r="N392" s="26" t="s">
        <v>4746</v>
      </c>
      <c r="O392" s="26" t="s">
        <v>4746</v>
      </c>
      <c r="P392" s="35"/>
      <c r="Q392" s="26" t="s">
        <v>56</v>
      </c>
      <c r="R392" s="26" t="s">
        <v>42</v>
      </c>
      <c r="S392" s="27" t="s">
        <v>3566</v>
      </c>
      <c r="T392" s="27"/>
      <c r="U392" s="35"/>
      <c r="V392" s="26"/>
      <c r="W392" s="26"/>
      <c r="X392" s="26"/>
    </row>
    <row r="393" hidden="1">
      <c r="A393" s="26">
        <v>393.0</v>
      </c>
      <c r="B393" s="188">
        <v>46182.0</v>
      </c>
      <c r="C393" s="26" t="s">
        <v>21</v>
      </c>
      <c r="D393" s="26" t="s">
        <v>22</v>
      </c>
      <c r="E393" s="27" t="s">
        <v>276</v>
      </c>
      <c r="F393" s="21">
        <v>5.99305528E8</v>
      </c>
      <c r="G393" s="26" t="s">
        <v>5023</v>
      </c>
      <c r="H393" s="407" t="s">
        <v>2174</v>
      </c>
      <c r="I393" s="26" t="s">
        <v>27</v>
      </c>
      <c r="J393" s="209" t="s">
        <v>6010</v>
      </c>
      <c r="K393" s="27"/>
      <c r="L393" s="26" t="s">
        <v>39</v>
      </c>
      <c r="M393" s="27" t="s">
        <v>4868</v>
      </c>
      <c r="N393" s="26" t="s">
        <v>4870</v>
      </c>
      <c r="O393" s="26" t="s">
        <v>4746</v>
      </c>
      <c r="P393" s="114">
        <v>0.4791666666666667</v>
      </c>
      <c r="Q393" s="26" t="s">
        <v>40</v>
      </c>
      <c r="R393" s="26" t="s">
        <v>42</v>
      </c>
      <c r="S393" s="27" t="s">
        <v>3566</v>
      </c>
      <c r="T393" s="27"/>
      <c r="U393" s="35"/>
      <c r="V393" s="26"/>
      <c r="W393" s="26"/>
      <c r="X393" s="26" t="s">
        <v>46</v>
      </c>
    </row>
    <row r="394" hidden="1">
      <c r="A394" s="26">
        <v>394.0</v>
      </c>
      <c r="B394" s="188">
        <v>46182.0</v>
      </c>
      <c r="C394" s="26" t="s">
        <v>21</v>
      </c>
      <c r="D394" s="26" t="s">
        <v>34</v>
      </c>
      <c r="E394" s="27" t="s">
        <v>6018</v>
      </c>
      <c r="F394" s="21">
        <v>5.35492057E8</v>
      </c>
      <c r="G394" s="26" t="s">
        <v>27</v>
      </c>
      <c r="H394" s="26" t="s">
        <v>27</v>
      </c>
      <c r="I394" s="26" t="s">
        <v>27</v>
      </c>
      <c r="J394" s="209" t="s">
        <v>6019</v>
      </c>
      <c r="K394" s="27" t="s">
        <v>4417</v>
      </c>
      <c r="L394" s="26" t="s">
        <v>39</v>
      </c>
      <c r="M394" s="27" t="s">
        <v>51</v>
      </c>
      <c r="N394" s="26" t="s">
        <v>4746</v>
      </c>
      <c r="O394" s="26" t="s">
        <v>4746</v>
      </c>
      <c r="P394" s="35">
        <v>0.3819444444444444</v>
      </c>
      <c r="Q394" s="26" t="s">
        <v>56</v>
      </c>
      <c r="R394" s="26" t="s">
        <v>42</v>
      </c>
      <c r="S394" s="27" t="s">
        <v>3566</v>
      </c>
      <c r="T394" s="27" t="s">
        <v>3566</v>
      </c>
      <c r="U394" s="35">
        <v>0.3819444444444444</v>
      </c>
      <c r="V394" s="26" t="s">
        <v>44</v>
      </c>
      <c r="W394" s="26"/>
      <c r="X394" s="26"/>
    </row>
    <row r="395" hidden="1">
      <c r="A395" s="26">
        <v>395.0</v>
      </c>
      <c r="B395" s="188">
        <v>46182.0</v>
      </c>
      <c r="C395" s="26" t="s">
        <v>21</v>
      </c>
      <c r="D395" s="26" t="s">
        <v>34</v>
      </c>
      <c r="E395" s="26" t="s">
        <v>6026</v>
      </c>
      <c r="F395" s="21">
        <v>5.45563602E8</v>
      </c>
      <c r="G395" s="26" t="s">
        <v>27</v>
      </c>
      <c r="H395" s="26" t="s">
        <v>27</v>
      </c>
      <c r="I395" s="26" t="s">
        <v>27</v>
      </c>
      <c r="J395" s="351" t="s">
        <v>6027</v>
      </c>
      <c r="K395" s="27" t="s">
        <v>4417</v>
      </c>
      <c r="L395" s="26" t="s">
        <v>39</v>
      </c>
      <c r="M395" s="27" t="s">
        <v>51</v>
      </c>
      <c r="N395" s="26" t="s">
        <v>4746</v>
      </c>
      <c r="O395" s="26" t="s">
        <v>4746</v>
      </c>
      <c r="P395" s="35">
        <v>0.3819444444444444</v>
      </c>
      <c r="Q395" s="26" t="s">
        <v>56</v>
      </c>
      <c r="R395" s="26" t="s">
        <v>42</v>
      </c>
      <c r="S395" s="27" t="s">
        <v>3566</v>
      </c>
      <c r="T395" s="27" t="s">
        <v>3566</v>
      </c>
      <c r="U395" s="35">
        <v>0.3819444444444444</v>
      </c>
      <c r="V395" s="26" t="s">
        <v>44</v>
      </c>
      <c r="W395" s="26"/>
      <c r="X395" s="26"/>
    </row>
    <row r="396" hidden="1">
      <c r="A396" s="26">
        <v>396.0</v>
      </c>
      <c r="B396" s="188">
        <v>46182.0</v>
      </c>
      <c r="C396" s="26" t="s">
        <v>21</v>
      </c>
      <c r="D396" s="26" t="s">
        <v>34</v>
      </c>
      <c r="E396" s="27" t="s">
        <v>6032</v>
      </c>
      <c r="F396" s="21">
        <v>5.91064929E8</v>
      </c>
      <c r="G396" s="26" t="s">
        <v>27</v>
      </c>
      <c r="H396" s="26" t="s">
        <v>27</v>
      </c>
      <c r="I396" s="26" t="s">
        <v>27</v>
      </c>
      <c r="J396" s="209" t="s">
        <v>6034</v>
      </c>
      <c r="K396" s="27" t="s">
        <v>4417</v>
      </c>
      <c r="L396" s="26" t="s">
        <v>39</v>
      </c>
      <c r="M396" s="27" t="s">
        <v>51</v>
      </c>
      <c r="N396" s="26" t="s">
        <v>4746</v>
      </c>
      <c r="O396" s="26" t="s">
        <v>4746</v>
      </c>
      <c r="P396" s="35">
        <v>0.3819444444444444</v>
      </c>
      <c r="Q396" s="26" t="s">
        <v>56</v>
      </c>
      <c r="R396" s="26" t="s">
        <v>42</v>
      </c>
      <c r="S396" s="27" t="s">
        <v>3566</v>
      </c>
      <c r="T396" s="27" t="s">
        <v>3566</v>
      </c>
      <c r="U396" s="35">
        <v>0.3819444444444444</v>
      </c>
      <c r="V396" s="26" t="s">
        <v>44</v>
      </c>
      <c r="W396" s="26"/>
      <c r="X396" s="26"/>
    </row>
    <row r="397" hidden="1">
      <c r="A397" s="26">
        <v>397.0</v>
      </c>
      <c r="B397" s="188">
        <v>46182.0</v>
      </c>
      <c r="C397" s="26" t="s">
        <v>21</v>
      </c>
      <c r="D397" s="26" t="s">
        <v>34</v>
      </c>
      <c r="E397" s="27" t="s">
        <v>6038</v>
      </c>
      <c r="F397" s="21">
        <v>5.81314509E8</v>
      </c>
      <c r="G397" s="26" t="s">
        <v>27</v>
      </c>
      <c r="H397" s="26" t="s">
        <v>27</v>
      </c>
      <c r="I397" s="26" t="s">
        <v>27</v>
      </c>
      <c r="J397" s="209" t="s">
        <v>6039</v>
      </c>
      <c r="K397" s="27" t="s">
        <v>4417</v>
      </c>
      <c r="L397" s="26" t="s">
        <v>39</v>
      </c>
      <c r="M397" s="27" t="s">
        <v>51</v>
      </c>
      <c r="N397" s="26" t="s">
        <v>4746</v>
      </c>
      <c r="O397" s="26" t="s">
        <v>4746</v>
      </c>
      <c r="P397" s="35">
        <v>0.3819444444444444</v>
      </c>
      <c r="Q397" s="26" t="s">
        <v>56</v>
      </c>
      <c r="R397" s="26" t="s">
        <v>42</v>
      </c>
      <c r="S397" s="27" t="s">
        <v>3566</v>
      </c>
      <c r="T397" s="27" t="s">
        <v>3566</v>
      </c>
      <c r="U397" s="35">
        <v>0.3819444444444444</v>
      </c>
      <c r="V397" s="26" t="s">
        <v>44</v>
      </c>
      <c r="W397" s="26"/>
      <c r="X397" s="26"/>
    </row>
    <row r="398" hidden="1">
      <c r="A398" s="26">
        <v>398.0</v>
      </c>
      <c r="B398" s="188">
        <v>46182.0</v>
      </c>
      <c r="C398" s="26" t="s">
        <v>21</v>
      </c>
      <c r="D398" s="26" t="s">
        <v>34</v>
      </c>
      <c r="E398" s="27" t="s">
        <v>6043</v>
      </c>
      <c r="F398" s="21">
        <v>5.45404308E8</v>
      </c>
      <c r="G398" s="26" t="s">
        <v>27</v>
      </c>
      <c r="H398" s="26" t="s">
        <v>27</v>
      </c>
      <c r="I398" s="26" t="s">
        <v>27</v>
      </c>
      <c r="J398" s="209" t="s">
        <v>6044</v>
      </c>
      <c r="K398" s="27" t="s">
        <v>4417</v>
      </c>
      <c r="L398" s="26" t="s">
        <v>39</v>
      </c>
      <c r="M398" s="27" t="s">
        <v>51</v>
      </c>
      <c r="N398" s="26" t="s">
        <v>4746</v>
      </c>
      <c r="O398" s="26" t="s">
        <v>4746</v>
      </c>
      <c r="P398" s="35">
        <v>0.3819444444444444</v>
      </c>
      <c r="Q398" s="26" t="s">
        <v>56</v>
      </c>
      <c r="R398" s="26" t="s">
        <v>42</v>
      </c>
      <c r="S398" s="27" t="s">
        <v>3566</v>
      </c>
      <c r="T398" s="27" t="s">
        <v>3566</v>
      </c>
      <c r="U398" s="35">
        <v>0.3819444444444444</v>
      </c>
      <c r="V398" s="26" t="s">
        <v>44</v>
      </c>
      <c r="W398" s="26"/>
      <c r="X398" s="26"/>
    </row>
    <row r="399" hidden="1">
      <c r="A399" s="26">
        <v>399.0</v>
      </c>
      <c r="B399" s="188">
        <v>46182.0</v>
      </c>
      <c r="C399" s="26" t="s">
        <v>21</v>
      </c>
      <c r="D399" s="26" t="s">
        <v>24</v>
      </c>
      <c r="E399" s="27" t="s">
        <v>6048</v>
      </c>
      <c r="F399" s="21">
        <v>5.44753129E8</v>
      </c>
      <c r="G399" s="26" t="s">
        <v>4740</v>
      </c>
      <c r="H399" s="27" t="s">
        <v>71</v>
      </c>
      <c r="I399" s="26" t="s">
        <v>27</v>
      </c>
      <c r="J399" s="209" t="s">
        <v>6049</v>
      </c>
      <c r="K399" s="27"/>
      <c r="L399" s="26" t="s">
        <v>39</v>
      </c>
      <c r="M399" s="27" t="s">
        <v>630</v>
      </c>
      <c r="N399" s="26" t="s">
        <v>4803</v>
      </c>
      <c r="O399" s="26" t="s">
        <v>4746</v>
      </c>
      <c r="P399" s="114">
        <v>0.4791666666666667</v>
      </c>
      <c r="Q399" s="26" t="s">
        <v>56</v>
      </c>
      <c r="R399" s="26" t="s">
        <v>42</v>
      </c>
      <c r="S399" s="27" t="s">
        <v>3566</v>
      </c>
      <c r="T399" s="27"/>
      <c r="U399" s="35"/>
      <c r="V399" s="26"/>
      <c r="W399" s="26"/>
      <c r="X399" s="26" t="s">
        <v>46</v>
      </c>
    </row>
    <row r="400" hidden="1">
      <c r="A400" s="26">
        <v>400.0</v>
      </c>
      <c r="B400" s="188">
        <v>46182.0</v>
      </c>
      <c r="C400" s="26" t="s">
        <v>21</v>
      </c>
      <c r="D400" s="26" t="s">
        <v>24</v>
      </c>
      <c r="E400" s="27" t="s">
        <v>763</v>
      </c>
      <c r="F400" s="21">
        <v>5.68367499E8</v>
      </c>
      <c r="G400" s="26" t="s">
        <v>4740</v>
      </c>
      <c r="H400" s="27" t="s">
        <v>71</v>
      </c>
      <c r="I400" s="26" t="s">
        <v>27</v>
      </c>
      <c r="J400" s="209" t="s">
        <v>6053</v>
      </c>
      <c r="K400" s="27"/>
      <c r="L400" s="26" t="s">
        <v>39</v>
      </c>
      <c r="M400" s="27" t="s">
        <v>4802</v>
      </c>
      <c r="N400" s="26" t="s">
        <v>4803</v>
      </c>
      <c r="O400" s="26" t="s">
        <v>4746</v>
      </c>
      <c r="P400" s="114">
        <v>0.4791666666666667</v>
      </c>
      <c r="Q400" s="26" t="s">
        <v>56</v>
      </c>
      <c r="R400" s="26" t="s">
        <v>42</v>
      </c>
      <c r="S400" s="27" t="s">
        <v>3566</v>
      </c>
      <c r="T400" s="27"/>
      <c r="U400" s="35"/>
      <c r="V400" s="26"/>
      <c r="W400" s="26"/>
      <c r="X400" s="26" t="s">
        <v>46</v>
      </c>
    </row>
    <row r="401" hidden="1">
      <c r="A401" s="26">
        <v>401.0</v>
      </c>
      <c r="B401" s="188">
        <v>46182.0</v>
      </c>
      <c r="C401" s="26" t="s">
        <v>58</v>
      </c>
      <c r="D401" s="26" t="s">
        <v>60</v>
      </c>
      <c r="E401" s="27" t="s">
        <v>751</v>
      </c>
      <c r="F401" s="21">
        <v>5.96562619E8</v>
      </c>
      <c r="G401" s="26" t="s">
        <v>4740</v>
      </c>
      <c r="H401" s="27" t="s">
        <v>71</v>
      </c>
      <c r="I401" s="26" t="s">
        <v>27</v>
      </c>
      <c r="J401" s="209" t="s">
        <v>6055</v>
      </c>
      <c r="K401" s="27"/>
      <c r="L401" s="26" t="s">
        <v>62</v>
      </c>
      <c r="M401" s="27" t="s">
        <v>88</v>
      </c>
      <c r="N401" s="26" t="s">
        <v>4746</v>
      </c>
      <c r="O401" s="26" t="s">
        <v>4746</v>
      </c>
      <c r="P401" s="35"/>
      <c r="Q401" s="26" t="s">
        <v>56</v>
      </c>
      <c r="R401" s="26" t="s">
        <v>42</v>
      </c>
      <c r="S401" s="27" t="s">
        <v>3566</v>
      </c>
      <c r="T401" s="27"/>
      <c r="U401" s="35"/>
      <c r="V401" s="26"/>
      <c r="W401" s="26"/>
      <c r="X401" s="26"/>
    </row>
    <row r="402" hidden="1">
      <c r="A402" s="26">
        <v>402.0</v>
      </c>
      <c r="B402" s="188">
        <v>46182.0</v>
      </c>
      <c r="C402" s="26" t="s">
        <v>21</v>
      </c>
      <c r="D402" s="26" t="s">
        <v>22</v>
      </c>
      <c r="E402" s="27" t="s">
        <v>6059</v>
      </c>
      <c r="F402" s="21">
        <v>5.62472975E8</v>
      </c>
      <c r="G402" s="26" t="s">
        <v>4740</v>
      </c>
      <c r="H402" s="27" t="s">
        <v>71</v>
      </c>
      <c r="I402" s="26" t="s">
        <v>27</v>
      </c>
      <c r="J402" s="209" t="s">
        <v>6061</v>
      </c>
      <c r="K402" s="27"/>
      <c r="L402" s="26" t="s">
        <v>62</v>
      </c>
      <c r="M402" s="27" t="s">
        <v>1389</v>
      </c>
      <c r="N402" s="26" t="s">
        <v>4870</v>
      </c>
      <c r="O402" s="26" t="s">
        <v>4746</v>
      </c>
      <c r="P402" s="35"/>
      <c r="Q402" s="26" t="s">
        <v>40</v>
      </c>
      <c r="R402" s="26" t="s">
        <v>301</v>
      </c>
      <c r="S402" s="27" t="s">
        <v>3566</v>
      </c>
      <c r="T402" s="27"/>
      <c r="U402" s="35"/>
      <c r="V402" s="26"/>
      <c r="W402" s="26"/>
      <c r="X402" s="26" t="s">
        <v>46</v>
      </c>
    </row>
    <row r="403" hidden="1">
      <c r="A403" s="26">
        <v>403.0</v>
      </c>
      <c r="B403" s="188">
        <v>46182.0</v>
      </c>
      <c r="C403" s="26" t="s">
        <v>58</v>
      </c>
      <c r="D403" s="26" t="s">
        <v>60</v>
      </c>
      <c r="E403" s="26" t="s">
        <v>27</v>
      </c>
      <c r="F403" s="21">
        <v>5.38475418E8</v>
      </c>
      <c r="G403" s="26" t="s">
        <v>27</v>
      </c>
      <c r="H403" s="26" t="s">
        <v>27</v>
      </c>
      <c r="I403" s="26" t="s">
        <v>27</v>
      </c>
      <c r="J403" s="209" t="s">
        <v>6063</v>
      </c>
      <c r="K403" s="27" t="s">
        <v>6064</v>
      </c>
      <c r="L403" s="26" t="s">
        <v>62</v>
      </c>
      <c r="M403" s="27" t="s">
        <v>88</v>
      </c>
      <c r="N403" s="26" t="s">
        <v>4746</v>
      </c>
      <c r="O403" s="26" t="s">
        <v>4746</v>
      </c>
      <c r="P403" s="35"/>
      <c r="Q403" s="26" t="s">
        <v>56</v>
      </c>
      <c r="R403" s="26" t="s">
        <v>42</v>
      </c>
      <c r="S403" s="27" t="s">
        <v>3566</v>
      </c>
      <c r="T403" s="27"/>
      <c r="U403" s="35"/>
      <c r="V403" s="26"/>
      <c r="W403" s="26"/>
      <c r="X403" s="26"/>
    </row>
    <row r="404" hidden="1">
      <c r="A404" s="26">
        <v>404.0</v>
      </c>
      <c r="B404" s="188">
        <v>46182.0</v>
      </c>
      <c r="C404" s="26" t="s">
        <v>58</v>
      </c>
      <c r="D404" s="26" t="s">
        <v>22</v>
      </c>
      <c r="E404" s="27" t="s">
        <v>887</v>
      </c>
      <c r="F404" s="21">
        <v>5.62472975E8</v>
      </c>
      <c r="G404" s="26" t="s">
        <v>4740</v>
      </c>
      <c r="H404" s="27" t="s">
        <v>71</v>
      </c>
      <c r="I404" s="26" t="s">
        <v>27</v>
      </c>
      <c r="J404" s="209" t="s">
        <v>6068</v>
      </c>
      <c r="K404" s="27"/>
      <c r="L404" s="26" t="s">
        <v>36</v>
      </c>
      <c r="M404" s="27" t="s">
        <v>4868</v>
      </c>
      <c r="N404" s="26" t="s">
        <v>49</v>
      </c>
      <c r="O404" s="26" t="s">
        <v>4746</v>
      </c>
      <c r="P404" s="35"/>
      <c r="Q404" s="26" t="s">
        <v>40</v>
      </c>
      <c r="R404" s="26" t="s">
        <v>301</v>
      </c>
      <c r="S404" s="27" t="s">
        <v>3566</v>
      </c>
      <c r="T404" s="27"/>
      <c r="U404" s="35"/>
      <c r="V404" s="26"/>
      <c r="W404" s="26"/>
      <c r="X404" s="26" t="s">
        <v>46</v>
      </c>
    </row>
    <row r="405" hidden="1">
      <c r="A405" s="26">
        <v>405.0</v>
      </c>
      <c r="B405" s="188">
        <v>46182.0</v>
      </c>
      <c r="C405" s="26" t="s">
        <v>47</v>
      </c>
      <c r="D405" s="26" t="s">
        <v>48</v>
      </c>
      <c r="E405" s="27" t="s">
        <v>6070</v>
      </c>
      <c r="F405" s="21">
        <v>5.44485907E8</v>
      </c>
      <c r="G405" s="26" t="s">
        <v>4740</v>
      </c>
      <c r="H405" s="27" t="s">
        <v>41</v>
      </c>
      <c r="I405" s="26" t="s">
        <v>222</v>
      </c>
      <c r="J405" s="209" t="s">
        <v>7060</v>
      </c>
      <c r="K405" s="27" t="s">
        <v>6072</v>
      </c>
      <c r="L405" s="26" t="s">
        <v>36</v>
      </c>
      <c r="M405" s="27" t="s">
        <v>5011</v>
      </c>
      <c r="N405" s="26" t="s">
        <v>4977</v>
      </c>
      <c r="O405" s="26" t="s">
        <v>4746</v>
      </c>
      <c r="P405" s="35">
        <v>0.5708333333333333</v>
      </c>
      <c r="Q405" s="26" t="s">
        <v>56</v>
      </c>
      <c r="R405" s="26" t="s">
        <v>518</v>
      </c>
      <c r="S405" s="27" t="s">
        <v>3765</v>
      </c>
      <c r="T405" s="27" t="s">
        <v>3765</v>
      </c>
      <c r="U405" s="35">
        <v>0.7013888888888888</v>
      </c>
      <c r="V405" s="26" t="s">
        <v>49</v>
      </c>
      <c r="W405" s="26">
        <v>5.0</v>
      </c>
      <c r="X405" s="26" t="s">
        <v>46</v>
      </c>
    </row>
    <row r="406" hidden="1">
      <c r="A406" s="26">
        <v>406.0</v>
      </c>
      <c r="B406" s="188">
        <v>46182.0</v>
      </c>
      <c r="C406" s="26" t="s">
        <v>58</v>
      </c>
      <c r="D406" s="26" t="s">
        <v>60</v>
      </c>
      <c r="E406" s="26" t="s">
        <v>27</v>
      </c>
      <c r="F406" s="21">
        <v>5.42528028E8</v>
      </c>
      <c r="G406" s="26" t="s">
        <v>27</v>
      </c>
      <c r="H406" s="26" t="s">
        <v>27</v>
      </c>
      <c r="I406" s="26" t="s">
        <v>27</v>
      </c>
      <c r="J406" s="209" t="s">
        <v>554</v>
      </c>
      <c r="K406" s="27"/>
      <c r="L406" s="26" t="s">
        <v>36</v>
      </c>
      <c r="M406" s="27" t="s">
        <v>88</v>
      </c>
      <c r="N406" s="26" t="s">
        <v>4746</v>
      </c>
      <c r="O406" s="26" t="s">
        <v>4746</v>
      </c>
      <c r="P406" s="35"/>
      <c r="Q406" s="26" t="s">
        <v>56</v>
      </c>
      <c r="R406" s="26" t="s">
        <v>42</v>
      </c>
      <c r="S406" s="27" t="s">
        <v>3566</v>
      </c>
      <c r="T406" s="27"/>
      <c r="U406" s="35"/>
      <c r="V406" s="26"/>
      <c r="W406" s="26"/>
      <c r="X406" s="26"/>
    </row>
    <row r="407" ht="53.25" hidden="1" customHeight="1">
      <c r="A407" s="26">
        <v>407.0</v>
      </c>
      <c r="B407" s="188">
        <v>46182.0</v>
      </c>
      <c r="C407" s="26" t="s">
        <v>47</v>
      </c>
      <c r="D407" s="26" t="s">
        <v>92</v>
      </c>
      <c r="E407" s="26" t="s">
        <v>27</v>
      </c>
      <c r="F407" s="21" t="s">
        <v>27</v>
      </c>
      <c r="G407" s="26" t="s">
        <v>4740</v>
      </c>
      <c r="H407" s="27" t="s">
        <v>71</v>
      </c>
      <c r="I407" s="26" t="s">
        <v>1801</v>
      </c>
      <c r="J407" s="368" t="s">
        <v>7071</v>
      </c>
      <c r="K407" s="27"/>
      <c r="L407" s="26" t="s">
        <v>3070</v>
      </c>
      <c r="M407" s="27" t="s">
        <v>953</v>
      </c>
      <c r="N407" s="26" t="s">
        <v>4637</v>
      </c>
      <c r="O407" s="26" t="s">
        <v>49</v>
      </c>
      <c r="P407" s="35"/>
      <c r="Q407" s="26" t="s">
        <v>40</v>
      </c>
      <c r="R407" s="26" t="s">
        <v>42</v>
      </c>
      <c r="S407" s="27" t="s">
        <v>3566</v>
      </c>
      <c r="T407" s="27"/>
      <c r="U407" s="35"/>
      <c r="V407" s="26"/>
      <c r="W407" s="26"/>
      <c r="X407" s="26" t="s">
        <v>46</v>
      </c>
    </row>
    <row r="408" hidden="1">
      <c r="A408" s="26">
        <v>408.0</v>
      </c>
      <c r="B408" s="188">
        <v>46182.0</v>
      </c>
      <c r="C408" s="26" t="s">
        <v>47</v>
      </c>
      <c r="D408" s="26" t="s">
        <v>138</v>
      </c>
      <c r="E408" s="26" t="s">
        <v>6085</v>
      </c>
      <c r="F408" s="21" t="s">
        <v>27</v>
      </c>
      <c r="G408" s="26" t="s">
        <v>4740</v>
      </c>
      <c r="H408" s="27" t="s">
        <v>79</v>
      </c>
      <c r="I408" s="26" t="s">
        <v>638</v>
      </c>
      <c r="J408" s="209" t="s">
        <v>6086</v>
      </c>
      <c r="K408" s="27" t="s">
        <v>6087</v>
      </c>
      <c r="L408" s="26" t="s">
        <v>148</v>
      </c>
      <c r="M408" s="27" t="s">
        <v>713</v>
      </c>
      <c r="N408" s="26" t="s">
        <v>4917</v>
      </c>
      <c r="O408" s="26" t="s">
        <v>49</v>
      </c>
      <c r="P408" s="35"/>
      <c r="Q408" s="26" t="s">
        <v>40</v>
      </c>
      <c r="R408" s="26" t="s">
        <v>518</v>
      </c>
      <c r="S408" s="27" t="s">
        <v>3566</v>
      </c>
      <c r="T408" s="27"/>
      <c r="U408" s="35"/>
      <c r="V408" s="26"/>
      <c r="W408" s="26"/>
      <c r="X408" s="26" t="s">
        <v>46</v>
      </c>
    </row>
    <row r="409" hidden="1">
      <c r="A409" s="26">
        <v>409.0</v>
      </c>
      <c r="B409" s="188">
        <v>46182.0</v>
      </c>
      <c r="C409" s="26" t="s">
        <v>21</v>
      </c>
      <c r="D409" s="26" t="s">
        <v>22</v>
      </c>
      <c r="E409" s="27" t="s">
        <v>6093</v>
      </c>
      <c r="F409" s="21">
        <v>5.55583319E8</v>
      </c>
      <c r="G409" s="26" t="s">
        <v>4769</v>
      </c>
      <c r="H409" s="27" t="s">
        <v>333</v>
      </c>
      <c r="I409" s="26" t="s">
        <v>27</v>
      </c>
      <c r="J409" s="209" t="s">
        <v>6094</v>
      </c>
      <c r="K409" s="27"/>
      <c r="L409" s="26" t="s">
        <v>36</v>
      </c>
      <c r="M409" s="27" t="s">
        <v>1389</v>
      </c>
      <c r="N409" s="26" t="s">
        <v>4870</v>
      </c>
      <c r="O409" s="26" t="s">
        <v>4746</v>
      </c>
      <c r="P409" s="35"/>
      <c r="Q409" s="26" t="s">
        <v>40</v>
      </c>
      <c r="R409" s="26" t="s">
        <v>42</v>
      </c>
      <c r="S409" s="27" t="s">
        <v>3566</v>
      </c>
      <c r="T409" s="27"/>
      <c r="U409" s="35"/>
      <c r="V409" s="26"/>
      <c r="W409" s="26"/>
      <c r="X409" s="26" t="s">
        <v>46</v>
      </c>
    </row>
    <row r="410" hidden="1">
      <c r="A410" s="26">
        <v>410.0</v>
      </c>
      <c r="B410" s="188">
        <v>46182.0</v>
      </c>
      <c r="C410" s="26" t="s">
        <v>21</v>
      </c>
      <c r="D410" s="26" t="s">
        <v>22</v>
      </c>
      <c r="E410" s="27" t="s">
        <v>6098</v>
      </c>
      <c r="F410" s="21">
        <v>5.6125206E8</v>
      </c>
      <c r="G410" s="26" t="s">
        <v>4740</v>
      </c>
      <c r="H410" s="27" t="s">
        <v>41</v>
      </c>
      <c r="I410" s="26" t="s">
        <v>27</v>
      </c>
      <c r="J410" s="209" t="s">
        <v>6100</v>
      </c>
      <c r="K410" s="27"/>
      <c r="L410" s="26" t="s">
        <v>36</v>
      </c>
      <c r="M410" s="27" t="s">
        <v>4868</v>
      </c>
      <c r="N410" s="26" t="s">
        <v>4870</v>
      </c>
      <c r="O410" s="26" t="s">
        <v>4746</v>
      </c>
      <c r="P410" s="35"/>
      <c r="Q410" s="26" t="s">
        <v>40</v>
      </c>
      <c r="R410" s="26" t="s">
        <v>42</v>
      </c>
      <c r="S410" s="27" t="s">
        <v>3566</v>
      </c>
      <c r="T410" s="27"/>
      <c r="U410" s="35"/>
      <c r="V410" s="26"/>
      <c r="W410" s="26"/>
      <c r="X410" s="26" t="s">
        <v>46</v>
      </c>
    </row>
    <row r="411" hidden="1">
      <c r="A411" s="26">
        <v>411.0</v>
      </c>
      <c r="B411" s="188">
        <v>46182.0</v>
      </c>
      <c r="C411" s="26" t="s">
        <v>21</v>
      </c>
      <c r="D411" s="26" t="s">
        <v>22</v>
      </c>
      <c r="E411" s="27" t="s">
        <v>6101</v>
      </c>
      <c r="F411" s="21">
        <v>5.66701155E8</v>
      </c>
      <c r="G411" s="26" t="s">
        <v>4975</v>
      </c>
      <c r="H411" s="27" t="s">
        <v>362</v>
      </c>
      <c r="I411" s="26" t="s">
        <v>27</v>
      </c>
      <c r="J411" s="368" t="s">
        <v>7083</v>
      </c>
      <c r="K411" s="27"/>
      <c r="L411" s="26" t="s">
        <v>62</v>
      </c>
      <c r="M411" s="27" t="s">
        <v>1389</v>
      </c>
      <c r="N411" s="26" t="s">
        <v>4870</v>
      </c>
      <c r="O411" s="26" t="s">
        <v>4746</v>
      </c>
      <c r="P411" s="35"/>
      <c r="Q411" s="26" t="s">
        <v>40</v>
      </c>
      <c r="R411" s="26" t="s">
        <v>518</v>
      </c>
      <c r="S411" s="27" t="s">
        <v>3566</v>
      </c>
      <c r="T411" s="27"/>
      <c r="U411" s="35"/>
      <c r="V411" s="26"/>
      <c r="W411" s="26"/>
      <c r="X411" s="26" t="s">
        <v>46</v>
      </c>
    </row>
    <row r="412" hidden="1">
      <c r="A412" s="26">
        <v>412.0</v>
      </c>
      <c r="B412" s="188">
        <v>46182.0</v>
      </c>
      <c r="C412" s="26" t="s">
        <v>47</v>
      </c>
      <c r="D412" s="26" t="s">
        <v>92</v>
      </c>
      <c r="E412" s="27" t="s">
        <v>6108</v>
      </c>
      <c r="F412" s="21">
        <v>5.44423294E8</v>
      </c>
      <c r="G412" s="26" t="s">
        <v>4740</v>
      </c>
      <c r="H412" s="27" t="s">
        <v>71</v>
      </c>
      <c r="I412" s="26" t="s">
        <v>6109</v>
      </c>
      <c r="J412" s="368" t="s">
        <v>7088</v>
      </c>
      <c r="K412" s="27" t="s">
        <v>6111</v>
      </c>
      <c r="L412" s="26" t="s">
        <v>62</v>
      </c>
      <c r="M412" s="27" t="s">
        <v>7090</v>
      </c>
      <c r="N412" s="26" t="s">
        <v>4637</v>
      </c>
      <c r="O412" s="26" t="s">
        <v>4746</v>
      </c>
      <c r="P412" s="35">
        <v>0.6666666666666666</v>
      </c>
      <c r="Q412" s="26" t="s">
        <v>40</v>
      </c>
      <c r="R412" s="26" t="s">
        <v>3811</v>
      </c>
      <c r="S412" s="27" t="s">
        <v>3566</v>
      </c>
      <c r="T412" s="27" t="s">
        <v>3566</v>
      </c>
      <c r="U412" s="35">
        <v>0.6909722222222222</v>
      </c>
      <c r="V412" s="26" t="s">
        <v>44</v>
      </c>
      <c r="W412" s="26"/>
      <c r="X412" s="26" t="s">
        <v>46</v>
      </c>
    </row>
    <row r="413" hidden="1">
      <c r="A413" s="26">
        <v>413.0</v>
      </c>
      <c r="B413" s="188">
        <v>46182.0</v>
      </c>
      <c r="C413" s="26" t="s">
        <v>47</v>
      </c>
      <c r="D413" s="26" t="s">
        <v>92</v>
      </c>
      <c r="E413" s="27" t="s">
        <v>6115</v>
      </c>
      <c r="F413" s="21">
        <v>5.45215554E8</v>
      </c>
      <c r="G413" s="26" t="s">
        <v>5023</v>
      </c>
      <c r="H413" s="407" t="s">
        <v>2174</v>
      </c>
      <c r="I413" s="26" t="s">
        <v>1150</v>
      </c>
      <c r="J413" s="209" t="s">
        <v>7095</v>
      </c>
      <c r="K413" s="311"/>
      <c r="L413" s="26" t="s">
        <v>36</v>
      </c>
      <c r="M413" s="27" t="s">
        <v>6835</v>
      </c>
      <c r="N413" s="26" t="s">
        <v>4637</v>
      </c>
      <c r="O413" s="26" t="s">
        <v>4746</v>
      </c>
      <c r="P413" s="35">
        <v>0.6944444444444444</v>
      </c>
      <c r="Q413" s="26" t="s">
        <v>40</v>
      </c>
      <c r="R413" s="26" t="s">
        <v>42</v>
      </c>
      <c r="S413" s="27" t="s">
        <v>3566</v>
      </c>
      <c r="T413" s="27" t="s">
        <v>3765</v>
      </c>
      <c r="U413" s="35">
        <v>0.6083333333333333</v>
      </c>
      <c r="V413" s="26" t="s">
        <v>44</v>
      </c>
      <c r="W413" s="26"/>
      <c r="X413" s="26" t="s">
        <v>46</v>
      </c>
    </row>
    <row r="414" ht="67.5" hidden="1" customHeight="1">
      <c r="A414" s="26">
        <v>414.0</v>
      </c>
      <c r="B414" s="188">
        <v>46183.0</v>
      </c>
      <c r="C414" s="26" t="s">
        <v>47</v>
      </c>
      <c r="D414" s="26" t="s">
        <v>48</v>
      </c>
      <c r="E414" s="27" t="s">
        <v>6119</v>
      </c>
      <c r="F414" s="21">
        <v>5.31505456E8</v>
      </c>
      <c r="G414" s="26" t="s">
        <v>4740</v>
      </c>
      <c r="H414" s="27" t="s">
        <v>41</v>
      </c>
      <c r="I414" s="26" t="s">
        <v>956</v>
      </c>
      <c r="J414" s="209" t="s">
        <v>7102</v>
      </c>
      <c r="K414" s="27" t="s">
        <v>6122</v>
      </c>
      <c r="L414" s="26" t="s">
        <v>36</v>
      </c>
      <c r="M414" s="27" t="s">
        <v>5011</v>
      </c>
      <c r="N414" s="26" t="s">
        <v>4977</v>
      </c>
      <c r="O414" s="26" t="s">
        <v>4746</v>
      </c>
      <c r="P414" s="35">
        <v>0.669224537037037</v>
      </c>
      <c r="Q414" s="26" t="s">
        <v>56</v>
      </c>
      <c r="R414" s="26" t="s">
        <v>3811</v>
      </c>
      <c r="S414" s="27" t="s">
        <v>3765</v>
      </c>
      <c r="T414" s="27" t="s">
        <v>3997</v>
      </c>
      <c r="U414" s="35">
        <v>0.5972222222222222</v>
      </c>
      <c r="V414" s="26" t="s">
        <v>44</v>
      </c>
      <c r="W414" s="26"/>
      <c r="X414" s="26" t="s">
        <v>46</v>
      </c>
    </row>
    <row r="415" hidden="1">
      <c r="A415" s="26">
        <v>415.0</v>
      </c>
      <c r="B415" s="188">
        <v>46183.0</v>
      </c>
      <c r="C415" s="26" t="s">
        <v>47</v>
      </c>
      <c r="D415" s="26" t="s">
        <v>48</v>
      </c>
      <c r="E415" s="27" t="s">
        <v>6124</v>
      </c>
      <c r="F415" s="21">
        <v>5.47342109E8</v>
      </c>
      <c r="G415" s="26" t="s">
        <v>4740</v>
      </c>
      <c r="H415" s="27" t="s">
        <v>41</v>
      </c>
      <c r="I415" s="26" t="s">
        <v>513</v>
      </c>
      <c r="J415" s="209" t="s">
        <v>7107</v>
      </c>
      <c r="K415" s="27"/>
      <c r="L415" s="26" t="s">
        <v>36</v>
      </c>
      <c r="M415" s="335" t="s">
        <v>3926</v>
      </c>
      <c r="N415" s="26" t="s">
        <v>4977</v>
      </c>
      <c r="O415" s="26" t="s">
        <v>4746</v>
      </c>
      <c r="P415" s="35">
        <v>0.6747453703703704</v>
      </c>
      <c r="Q415" s="26" t="s">
        <v>40</v>
      </c>
      <c r="R415" s="26" t="s">
        <v>301</v>
      </c>
      <c r="S415" s="27" t="s">
        <v>3566</v>
      </c>
      <c r="T415" s="27" t="s">
        <v>3566</v>
      </c>
      <c r="U415" s="35">
        <v>0.6159722222222223</v>
      </c>
      <c r="V415" s="26" t="s">
        <v>44</v>
      </c>
      <c r="W415" s="26">
        <v>5.0</v>
      </c>
      <c r="X415" s="26" t="s">
        <v>46</v>
      </c>
    </row>
    <row r="416" hidden="1">
      <c r="A416" s="26">
        <v>416.0</v>
      </c>
      <c r="B416" s="188">
        <v>46183.0</v>
      </c>
      <c r="C416" s="26" t="s">
        <v>21</v>
      </c>
      <c r="D416" s="26" t="s">
        <v>66</v>
      </c>
      <c r="E416" s="27" t="s">
        <v>6129</v>
      </c>
      <c r="F416" s="21">
        <v>5.9407339E8</v>
      </c>
      <c r="G416" s="26" t="s">
        <v>4852</v>
      </c>
      <c r="H416" s="27" t="s">
        <v>1452</v>
      </c>
      <c r="I416" s="26" t="s">
        <v>27</v>
      </c>
      <c r="J416" s="209" t="s">
        <v>6130</v>
      </c>
      <c r="K416" s="27" t="s">
        <v>6131</v>
      </c>
      <c r="L416" s="26" t="s">
        <v>39</v>
      </c>
      <c r="M416" s="27" t="s">
        <v>208</v>
      </c>
      <c r="N416" s="26" t="s">
        <v>49</v>
      </c>
      <c r="O416" s="26" t="s">
        <v>4746</v>
      </c>
      <c r="P416" s="114">
        <v>0.4791666666666667</v>
      </c>
      <c r="Q416" s="26" t="s">
        <v>56</v>
      </c>
      <c r="R416" s="26" t="s">
        <v>518</v>
      </c>
      <c r="S416" s="27" t="s">
        <v>3566</v>
      </c>
      <c r="T416" s="27"/>
      <c r="U416" s="35"/>
      <c r="V416" s="26"/>
      <c r="W416" s="26"/>
      <c r="X416" s="26"/>
    </row>
    <row r="417" hidden="1">
      <c r="A417" s="26">
        <v>417.0</v>
      </c>
      <c r="B417" s="188">
        <v>46183.0</v>
      </c>
      <c r="C417" s="26" t="s">
        <v>58</v>
      </c>
      <c r="D417" s="26" t="s">
        <v>66</v>
      </c>
      <c r="E417" s="27" t="s">
        <v>6132</v>
      </c>
      <c r="F417" s="21">
        <v>5.0650955E8</v>
      </c>
      <c r="G417" s="26" t="s">
        <v>4740</v>
      </c>
      <c r="H417" s="27" t="s">
        <v>71</v>
      </c>
      <c r="I417" s="26" t="s">
        <v>27</v>
      </c>
      <c r="J417" s="209" t="s">
        <v>6134</v>
      </c>
      <c r="K417" s="27" t="s">
        <v>6001</v>
      </c>
      <c r="L417" s="26" t="s">
        <v>62</v>
      </c>
      <c r="M417" s="27" t="s">
        <v>208</v>
      </c>
      <c r="N417" s="26" t="s">
        <v>49</v>
      </c>
      <c r="O417" s="26" t="s">
        <v>4746</v>
      </c>
      <c r="P417" s="35"/>
      <c r="Q417" s="26" t="s">
        <v>56</v>
      </c>
      <c r="R417" s="26" t="s">
        <v>301</v>
      </c>
      <c r="S417" s="27" t="s">
        <v>3566</v>
      </c>
      <c r="T417" s="27"/>
      <c r="U417" s="35"/>
      <c r="V417" s="26"/>
      <c r="W417" s="26"/>
      <c r="X417" s="26"/>
    </row>
    <row r="418" hidden="1">
      <c r="A418" s="26">
        <v>418.0</v>
      </c>
      <c r="B418" s="188">
        <v>46183.0</v>
      </c>
      <c r="C418" s="26" t="s">
        <v>21</v>
      </c>
      <c r="D418" s="26" t="s">
        <v>24</v>
      </c>
      <c r="E418" s="23" t="s">
        <v>6139</v>
      </c>
      <c r="F418" s="375">
        <v>5.36145614E8</v>
      </c>
      <c r="G418" s="26" t="s">
        <v>4865</v>
      </c>
      <c r="H418" s="27" t="s">
        <v>319</v>
      </c>
      <c r="I418" s="26" t="s">
        <v>27</v>
      </c>
      <c r="J418" s="209" t="s">
        <v>6140</v>
      </c>
      <c r="K418" s="27"/>
      <c r="L418" s="26" t="s">
        <v>62</v>
      </c>
      <c r="M418" s="27" t="s">
        <v>4955</v>
      </c>
      <c r="N418" s="26" t="s">
        <v>4803</v>
      </c>
      <c r="O418" s="26" t="s">
        <v>4746</v>
      </c>
      <c r="P418" s="35"/>
      <c r="Q418" s="26" t="s">
        <v>56</v>
      </c>
      <c r="R418" s="26" t="s">
        <v>301</v>
      </c>
      <c r="S418" s="27" t="s">
        <v>3566</v>
      </c>
      <c r="T418" s="27"/>
      <c r="U418" s="35"/>
      <c r="V418" s="26"/>
      <c r="W418" s="26"/>
      <c r="X418" s="26" t="s">
        <v>46</v>
      </c>
    </row>
    <row r="419" hidden="1">
      <c r="A419" s="26">
        <v>419.0</v>
      </c>
      <c r="B419" s="188">
        <v>46183.0</v>
      </c>
      <c r="C419" s="26" t="s">
        <v>58</v>
      </c>
      <c r="D419" s="26" t="s">
        <v>60</v>
      </c>
      <c r="E419" s="26" t="s">
        <v>27</v>
      </c>
      <c r="F419" s="21">
        <v>5.04121163E8</v>
      </c>
      <c r="G419" s="26" t="s">
        <v>4740</v>
      </c>
      <c r="H419" s="27" t="s">
        <v>79</v>
      </c>
      <c r="I419" s="26" t="s">
        <v>27</v>
      </c>
      <c r="J419" s="209" t="s">
        <v>6141</v>
      </c>
      <c r="K419" s="27"/>
      <c r="L419" s="26" t="s">
        <v>62</v>
      </c>
      <c r="M419" s="27" t="s">
        <v>88</v>
      </c>
      <c r="N419" s="26" t="s">
        <v>4746</v>
      </c>
      <c r="O419" s="26" t="s">
        <v>4746</v>
      </c>
      <c r="P419" s="35"/>
      <c r="Q419" s="26" t="s">
        <v>56</v>
      </c>
      <c r="R419" s="26" t="s">
        <v>42</v>
      </c>
      <c r="S419" s="27" t="s">
        <v>3566</v>
      </c>
      <c r="T419" s="27"/>
      <c r="U419" s="35"/>
      <c r="V419" s="26"/>
      <c r="W419" s="26"/>
      <c r="X419" s="26"/>
    </row>
    <row r="420" hidden="1">
      <c r="A420" s="26">
        <v>420.0</v>
      </c>
      <c r="B420" s="188">
        <v>46183.0</v>
      </c>
      <c r="C420" s="26" t="s">
        <v>21</v>
      </c>
      <c r="D420" s="26" t="s">
        <v>66</v>
      </c>
      <c r="E420" s="26" t="s">
        <v>27</v>
      </c>
      <c r="F420" s="21">
        <v>5.0284646E8</v>
      </c>
      <c r="G420" s="26" t="s">
        <v>27</v>
      </c>
      <c r="H420" s="26" t="s">
        <v>27</v>
      </c>
      <c r="I420" s="26" t="s">
        <v>27</v>
      </c>
      <c r="J420" s="368" t="s">
        <v>7129</v>
      </c>
      <c r="K420" s="27" t="s">
        <v>6131</v>
      </c>
      <c r="L420" s="26" t="s">
        <v>62</v>
      </c>
      <c r="M420" s="27" t="s">
        <v>208</v>
      </c>
      <c r="N420" s="26" t="s">
        <v>49</v>
      </c>
      <c r="O420" s="26" t="s">
        <v>4746</v>
      </c>
      <c r="P420" s="35"/>
      <c r="Q420" s="26" t="s">
        <v>56</v>
      </c>
      <c r="R420" s="26" t="s">
        <v>518</v>
      </c>
      <c r="S420" s="27" t="s">
        <v>3566</v>
      </c>
      <c r="T420" s="27"/>
      <c r="U420" s="35"/>
      <c r="V420" s="26"/>
      <c r="W420" s="26"/>
      <c r="X420" s="26"/>
    </row>
    <row r="421" hidden="1">
      <c r="A421" s="26">
        <v>421.0</v>
      </c>
      <c r="B421" s="188">
        <v>46183.0</v>
      </c>
      <c r="C421" s="26" t="s">
        <v>21</v>
      </c>
      <c r="D421" s="26" t="s">
        <v>22</v>
      </c>
      <c r="E421" s="27" t="s">
        <v>6151</v>
      </c>
      <c r="F421" s="21">
        <v>5.54178531E8</v>
      </c>
      <c r="G421" s="26" t="s">
        <v>27</v>
      </c>
      <c r="H421" s="26" t="s">
        <v>27</v>
      </c>
      <c r="I421" s="26" t="s">
        <v>27</v>
      </c>
      <c r="J421" s="209" t="s">
        <v>6152</v>
      </c>
      <c r="K421" s="27"/>
      <c r="L421" s="26" t="s">
        <v>62</v>
      </c>
      <c r="M421" s="27" t="s">
        <v>4868</v>
      </c>
      <c r="N421" s="26" t="s">
        <v>4870</v>
      </c>
      <c r="O421" s="26" t="s">
        <v>4746</v>
      </c>
      <c r="P421" s="35">
        <v>0.4375</v>
      </c>
      <c r="Q421" s="26" t="s">
        <v>40</v>
      </c>
      <c r="R421" s="26" t="s">
        <v>42</v>
      </c>
      <c r="S421" s="27" t="s">
        <v>3566</v>
      </c>
      <c r="T421" s="27"/>
      <c r="U421" s="35"/>
      <c r="V421" s="26"/>
      <c r="W421" s="26"/>
      <c r="X421" s="26" t="s">
        <v>46</v>
      </c>
    </row>
    <row r="422" hidden="1">
      <c r="A422" s="26">
        <v>422.0</v>
      </c>
      <c r="B422" s="188">
        <v>46183.0</v>
      </c>
      <c r="C422" s="26" t="s">
        <v>58</v>
      </c>
      <c r="D422" s="26" t="s">
        <v>60</v>
      </c>
      <c r="E422" s="26" t="s">
        <v>27</v>
      </c>
      <c r="F422" s="21">
        <v>5.79413851E8</v>
      </c>
      <c r="G422" s="26" t="s">
        <v>27</v>
      </c>
      <c r="H422" s="26" t="s">
        <v>27</v>
      </c>
      <c r="I422" s="26" t="s">
        <v>27</v>
      </c>
      <c r="J422" s="209" t="s">
        <v>2833</v>
      </c>
      <c r="K422" s="27" t="s">
        <v>6156</v>
      </c>
      <c r="L422" s="26" t="s">
        <v>36</v>
      </c>
      <c r="M422" s="27" t="s">
        <v>88</v>
      </c>
      <c r="N422" s="26" t="s">
        <v>4746</v>
      </c>
      <c r="O422" s="26" t="s">
        <v>4746</v>
      </c>
      <c r="P422" s="35">
        <v>0.3680555555555556</v>
      </c>
      <c r="Q422" s="26" t="s">
        <v>56</v>
      </c>
      <c r="R422" s="26" t="s">
        <v>42</v>
      </c>
      <c r="S422" s="27" t="s">
        <v>3566</v>
      </c>
      <c r="T422" s="27"/>
      <c r="U422" s="35"/>
      <c r="V422" s="26"/>
      <c r="W422" s="26"/>
      <c r="X422" s="26"/>
    </row>
    <row r="423" hidden="1">
      <c r="A423" s="26">
        <v>423.0</v>
      </c>
      <c r="B423" s="188">
        <v>46183.0</v>
      </c>
      <c r="C423" s="26" t="s">
        <v>21</v>
      </c>
      <c r="D423" s="26" t="s">
        <v>57</v>
      </c>
      <c r="E423" s="27" t="s">
        <v>6159</v>
      </c>
      <c r="F423" s="21">
        <v>5.02499133E8</v>
      </c>
      <c r="G423" s="26" t="s">
        <v>4852</v>
      </c>
      <c r="H423" s="27" t="s">
        <v>1452</v>
      </c>
      <c r="I423" s="26" t="s">
        <v>27</v>
      </c>
      <c r="J423" s="209" t="s">
        <v>6160</v>
      </c>
      <c r="K423" s="27" t="s">
        <v>6161</v>
      </c>
      <c r="L423" s="26" t="s">
        <v>36</v>
      </c>
      <c r="M423" s="27" t="s">
        <v>1399</v>
      </c>
      <c r="N423" s="26" t="s">
        <v>4746</v>
      </c>
      <c r="O423" s="26" t="s">
        <v>4746</v>
      </c>
      <c r="P423" s="35">
        <v>0.4027777777777778</v>
      </c>
      <c r="Q423" s="26" t="s">
        <v>56</v>
      </c>
      <c r="R423" s="26" t="s">
        <v>42</v>
      </c>
      <c r="S423" s="27" t="s">
        <v>3566</v>
      </c>
      <c r="T423" s="27"/>
      <c r="U423" s="35"/>
      <c r="V423" s="26"/>
      <c r="W423" s="26"/>
      <c r="X423" s="26"/>
    </row>
    <row r="424" hidden="1">
      <c r="A424" s="26">
        <v>424.0</v>
      </c>
      <c r="B424" s="188">
        <v>46183.0</v>
      </c>
      <c r="C424" s="26" t="s">
        <v>21</v>
      </c>
      <c r="D424" s="26" t="s">
        <v>22</v>
      </c>
      <c r="E424" s="27" t="s">
        <v>6164</v>
      </c>
      <c r="F424" s="21">
        <v>5.66344611E8</v>
      </c>
      <c r="G424" s="26" t="s">
        <v>5023</v>
      </c>
      <c r="H424" s="27" t="s">
        <v>2756</v>
      </c>
      <c r="I424" s="26" t="s">
        <v>27</v>
      </c>
      <c r="J424" s="209" t="s">
        <v>6167</v>
      </c>
      <c r="K424" s="27"/>
      <c r="L424" s="26" t="s">
        <v>62</v>
      </c>
      <c r="M424" s="27" t="s">
        <v>1389</v>
      </c>
      <c r="N424" s="26" t="s">
        <v>4870</v>
      </c>
      <c r="O424" s="26" t="s">
        <v>4746</v>
      </c>
      <c r="P424" s="35">
        <v>0.4375</v>
      </c>
      <c r="Q424" s="26" t="s">
        <v>40</v>
      </c>
      <c r="R424" s="26" t="s">
        <v>3811</v>
      </c>
      <c r="S424" s="27" t="s">
        <v>3566</v>
      </c>
      <c r="T424" s="27"/>
      <c r="U424" s="35"/>
      <c r="V424" s="26"/>
      <c r="W424" s="26"/>
      <c r="X424" s="26" t="s">
        <v>46</v>
      </c>
    </row>
    <row r="425" hidden="1">
      <c r="A425" s="26">
        <v>425.0</v>
      </c>
      <c r="B425" s="188">
        <v>46183.0</v>
      </c>
      <c r="C425" s="26" t="s">
        <v>21</v>
      </c>
      <c r="D425" s="26" t="s">
        <v>22</v>
      </c>
      <c r="E425" s="27" t="s">
        <v>6169</v>
      </c>
      <c r="F425" s="21">
        <v>5.80089932E8</v>
      </c>
      <c r="G425" s="26" t="s">
        <v>4740</v>
      </c>
      <c r="H425" s="27" t="s">
        <v>71</v>
      </c>
      <c r="I425" s="26" t="s">
        <v>27</v>
      </c>
      <c r="J425" s="209" t="s">
        <v>6170</v>
      </c>
      <c r="K425" s="27"/>
      <c r="L425" s="26" t="s">
        <v>39</v>
      </c>
      <c r="M425" s="27" t="s">
        <v>4868</v>
      </c>
      <c r="N425" s="26" t="s">
        <v>4870</v>
      </c>
      <c r="O425" s="26" t="s">
        <v>4746</v>
      </c>
      <c r="P425" s="114">
        <v>0.4791666666666667</v>
      </c>
      <c r="Q425" s="26" t="s">
        <v>40</v>
      </c>
      <c r="R425" s="26" t="s">
        <v>42</v>
      </c>
      <c r="S425" s="27" t="s">
        <v>3566</v>
      </c>
      <c r="T425" s="27"/>
      <c r="U425" s="35"/>
      <c r="V425" s="26"/>
      <c r="W425" s="26"/>
      <c r="X425" s="26" t="s">
        <v>46</v>
      </c>
    </row>
    <row r="426" hidden="1">
      <c r="A426" s="26">
        <v>426.0</v>
      </c>
      <c r="B426" s="188">
        <v>46183.0</v>
      </c>
      <c r="C426" s="26" t="s">
        <v>47</v>
      </c>
      <c r="D426" s="26" t="s">
        <v>48</v>
      </c>
      <c r="E426" s="27" t="s">
        <v>6172</v>
      </c>
      <c r="F426" s="21" t="s">
        <v>27</v>
      </c>
      <c r="G426" s="26" t="s">
        <v>5151</v>
      </c>
      <c r="H426" s="27" t="s">
        <v>28</v>
      </c>
      <c r="I426" s="26" t="s">
        <v>587</v>
      </c>
      <c r="J426" s="209" t="s">
        <v>6173</v>
      </c>
      <c r="K426" s="27" t="s">
        <v>6174</v>
      </c>
      <c r="L426" s="26" t="s">
        <v>78</v>
      </c>
      <c r="M426" s="27" t="s">
        <v>5011</v>
      </c>
      <c r="N426" s="26" t="s">
        <v>4977</v>
      </c>
      <c r="O426" s="26" t="s">
        <v>49</v>
      </c>
      <c r="P426" s="35"/>
      <c r="Q426" s="26" t="s">
        <v>56</v>
      </c>
      <c r="R426" s="26" t="s">
        <v>518</v>
      </c>
      <c r="S426" s="27" t="s">
        <v>3765</v>
      </c>
      <c r="T426" s="27"/>
      <c r="U426" s="35"/>
      <c r="V426" s="26"/>
      <c r="W426" s="26"/>
      <c r="X426" s="26" t="s">
        <v>46</v>
      </c>
    </row>
    <row r="427" hidden="1">
      <c r="A427" s="26">
        <v>427.0</v>
      </c>
      <c r="B427" s="188">
        <v>46183.0</v>
      </c>
      <c r="C427" s="26" t="s">
        <v>47</v>
      </c>
      <c r="D427" s="26" t="s">
        <v>138</v>
      </c>
      <c r="E427" s="26" t="s">
        <v>6178</v>
      </c>
      <c r="F427" s="21" t="s">
        <v>27</v>
      </c>
      <c r="G427" s="26" t="s">
        <v>4740</v>
      </c>
      <c r="H427" s="27" t="s">
        <v>41</v>
      </c>
      <c r="I427" s="26" t="s">
        <v>146</v>
      </c>
      <c r="J427" s="209" t="s">
        <v>6180</v>
      </c>
      <c r="K427" s="27" t="s">
        <v>6181</v>
      </c>
      <c r="L427" s="26" t="s">
        <v>78</v>
      </c>
      <c r="M427" s="27" t="s">
        <v>713</v>
      </c>
      <c r="N427" s="26" t="s">
        <v>4917</v>
      </c>
      <c r="O427" s="26" t="s">
        <v>49</v>
      </c>
      <c r="P427" s="35"/>
      <c r="Q427" s="26" t="s">
        <v>56</v>
      </c>
      <c r="R427" s="26" t="s">
        <v>518</v>
      </c>
      <c r="S427" s="27" t="s">
        <v>3566</v>
      </c>
      <c r="T427" s="27"/>
      <c r="U427" s="35"/>
      <c r="V427" s="26"/>
      <c r="W427" s="26"/>
      <c r="X427" s="26" t="s">
        <v>46</v>
      </c>
    </row>
    <row r="428" hidden="1">
      <c r="A428" s="26">
        <v>428.0</v>
      </c>
      <c r="B428" s="188">
        <v>46183.0</v>
      </c>
      <c r="C428" s="26" t="s">
        <v>47</v>
      </c>
      <c r="D428" s="26" t="s">
        <v>48</v>
      </c>
      <c r="E428" s="23" t="s">
        <v>6184</v>
      </c>
      <c r="F428" s="21" t="s">
        <v>27</v>
      </c>
      <c r="G428" s="26" t="s">
        <v>4740</v>
      </c>
      <c r="H428" s="27" t="s">
        <v>41</v>
      </c>
      <c r="I428" s="26" t="s">
        <v>956</v>
      </c>
      <c r="J428" s="27" t="s">
        <v>6185</v>
      </c>
      <c r="K428" s="27" t="s">
        <v>6186</v>
      </c>
      <c r="L428" s="26" t="s">
        <v>78</v>
      </c>
      <c r="M428" s="27" t="s">
        <v>5011</v>
      </c>
      <c r="N428" s="26" t="s">
        <v>4977</v>
      </c>
      <c r="O428" s="26" t="s">
        <v>49</v>
      </c>
      <c r="P428" s="35"/>
      <c r="Q428" s="26" t="s">
        <v>56</v>
      </c>
      <c r="R428" s="26" t="s">
        <v>518</v>
      </c>
      <c r="S428" s="27" t="s">
        <v>3765</v>
      </c>
      <c r="T428" s="27"/>
      <c r="U428" s="35"/>
      <c r="V428" s="26"/>
      <c r="W428" s="26"/>
      <c r="X428" s="26" t="s">
        <v>46</v>
      </c>
    </row>
    <row r="429" hidden="1">
      <c r="A429" s="26">
        <v>429.0</v>
      </c>
      <c r="B429" s="188">
        <v>46183.0</v>
      </c>
      <c r="C429" s="26" t="s">
        <v>21</v>
      </c>
      <c r="D429" s="26" t="s">
        <v>22</v>
      </c>
      <c r="E429" s="27" t="s">
        <v>6189</v>
      </c>
      <c r="F429" s="21">
        <v>5.09520138E8</v>
      </c>
      <c r="G429" s="26" t="s">
        <v>4740</v>
      </c>
      <c r="H429" s="27" t="s">
        <v>71</v>
      </c>
      <c r="I429" s="26" t="s">
        <v>27</v>
      </c>
      <c r="J429" s="209" t="s">
        <v>6190</v>
      </c>
      <c r="K429" s="27"/>
      <c r="L429" s="26" t="s">
        <v>36</v>
      </c>
      <c r="M429" s="27" t="s">
        <v>1389</v>
      </c>
      <c r="N429" s="26" t="s">
        <v>4870</v>
      </c>
      <c r="O429" s="26" t="s">
        <v>49</v>
      </c>
      <c r="P429" s="35"/>
      <c r="Q429" s="26" t="s">
        <v>40</v>
      </c>
      <c r="R429" s="26" t="s">
        <v>301</v>
      </c>
      <c r="S429" s="27" t="s">
        <v>3566</v>
      </c>
      <c r="T429" s="27"/>
      <c r="U429" s="35"/>
      <c r="V429" s="26"/>
      <c r="W429" s="26"/>
      <c r="X429" s="26" t="s">
        <v>46</v>
      </c>
    </row>
    <row r="430" hidden="1">
      <c r="A430" s="26">
        <v>430.0</v>
      </c>
      <c r="B430" s="188">
        <v>46183.0</v>
      </c>
      <c r="C430" s="26" t="s">
        <v>58</v>
      </c>
      <c r="D430" s="26" t="s">
        <v>60</v>
      </c>
      <c r="E430" s="26" t="s">
        <v>27</v>
      </c>
      <c r="F430" s="21">
        <v>5.09486445E8</v>
      </c>
      <c r="G430" s="26" t="s">
        <v>27</v>
      </c>
      <c r="H430" s="26" t="s">
        <v>27</v>
      </c>
      <c r="I430" s="26" t="s">
        <v>27</v>
      </c>
      <c r="J430" s="209" t="s">
        <v>6193</v>
      </c>
      <c r="K430" s="27" t="s">
        <v>6195</v>
      </c>
      <c r="L430" s="26" t="s">
        <v>36</v>
      </c>
      <c r="M430" s="27" t="s">
        <v>88</v>
      </c>
      <c r="N430" s="26" t="s">
        <v>4746</v>
      </c>
      <c r="O430" s="26" t="s">
        <v>4746</v>
      </c>
      <c r="P430" s="35"/>
      <c r="Q430" s="26" t="s">
        <v>56</v>
      </c>
      <c r="R430" s="26" t="s">
        <v>42</v>
      </c>
      <c r="S430" s="27" t="s">
        <v>3566</v>
      </c>
      <c r="T430" s="27"/>
      <c r="U430" s="35"/>
      <c r="V430" s="26"/>
      <c r="W430" s="26"/>
      <c r="X430" s="26"/>
    </row>
    <row r="431" hidden="1">
      <c r="A431" s="26">
        <v>431.0</v>
      </c>
      <c r="B431" s="188">
        <v>46183.0</v>
      </c>
      <c r="C431" s="26" t="s">
        <v>21</v>
      </c>
      <c r="D431" s="26" t="s">
        <v>57</v>
      </c>
      <c r="E431" s="27" t="s">
        <v>6198</v>
      </c>
      <c r="F431" s="21">
        <v>5.4217196E8</v>
      </c>
      <c r="G431" s="26" t="s">
        <v>4865</v>
      </c>
      <c r="H431" s="27" t="s">
        <v>319</v>
      </c>
      <c r="I431" s="26" t="s">
        <v>27</v>
      </c>
      <c r="J431" s="209" t="s">
        <v>6200</v>
      </c>
      <c r="K431" s="27" t="s">
        <v>6202</v>
      </c>
      <c r="L431" s="26" t="s">
        <v>36</v>
      </c>
      <c r="M431" s="27" t="s">
        <v>1399</v>
      </c>
      <c r="N431" s="26" t="s">
        <v>4746</v>
      </c>
      <c r="O431" s="26" t="s">
        <v>4746</v>
      </c>
      <c r="P431" s="35"/>
      <c r="Q431" s="26" t="s">
        <v>56</v>
      </c>
      <c r="R431" s="26" t="s">
        <v>42</v>
      </c>
      <c r="S431" s="27" t="s">
        <v>3566</v>
      </c>
      <c r="T431" s="27"/>
      <c r="U431" s="35"/>
      <c r="V431" s="26"/>
      <c r="W431" s="26"/>
      <c r="X431" s="26"/>
    </row>
    <row r="432" hidden="1">
      <c r="A432" s="26">
        <v>432.0</v>
      </c>
      <c r="B432" s="188">
        <v>46183.0</v>
      </c>
      <c r="C432" s="26" t="s">
        <v>21</v>
      </c>
      <c r="D432" s="26" t="s">
        <v>22</v>
      </c>
      <c r="E432" s="27" t="s">
        <v>3742</v>
      </c>
      <c r="F432" s="21">
        <v>5.03155532E8</v>
      </c>
      <c r="G432" s="26" t="s">
        <v>4852</v>
      </c>
      <c r="H432" s="27" t="s">
        <v>447</v>
      </c>
      <c r="I432" s="26" t="s">
        <v>27</v>
      </c>
      <c r="J432" s="209" t="s">
        <v>6204</v>
      </c>
      <c r="K432" s="27"/>
      <c r="L432" s="26" t="s">
        <v>36</v>
      </c>
      <c r="M432" s="27" t="s">
        <v>4868</v>
      </c>
      <c r="N432" s="26" t="s">
        <v>4870</v>
      </c>
      <c r="O432" s="26" t="s">
        <v>4746</v>
      </c>
      <c r="P432" s="35">
        <v>0.4861111111111111</v>
      </c>
      <c r="Q432" s="26" t="s">
        <v>40</v>
      </c>
      <c r="R432" s="26" t="s">
        <v>42</v>
      </c>
      <c r="S432" s="27" t="s">
        <v>3566</v>
      </c>
      <c r="T432" s="27"/>
      <c r="U432" s="35"/>
      <c r="V432" s="26"/>
      <c r="W432" s="26"/>
      <c r="X432" s="26" t="s">
        <v>46</v>
      </c>
    </row>
    <row r="433" hidden="1">
      <c r="A433" s="26">
        <v>433.0</v>
      </c>
      <c r="B433" s="188">
        <v>46183.0</v>
      </c>
      <c r="C433" s="26" t="s">
        <v>47</v>
      </c>
      <c r="D433" s="26" t="s">
        <v>48</v>
      </c>
      <c r="E433" s="27" t="s">
        <v>6208</v>
      </c>
      <c r="F433" s="21">
        <v>5.55566339E8</v>
      </c>
      <c r="G433" s="26" t="s">
        <v>4740</v>
      </c>
      <c r="H433" s="27" t="s">
        <v>41</v>
      </c>
      <c r="I433" s="375" t="s">
        <v>97</v>
      </c>
      <c r="J433" s="209" t="s">
        <v>7186</v>
      </c>
      <c r="K433" s="376" t="s">
        <v>6210</v>
      </c>
      <c r="L433" s="26" t="s">
        <v>36</v>
      </c>
      <c r="M433" s="335" t="s">
        <v>5968</v>
      </c>
      <c r="N433" s="26" t="s">
        <v>4977</v>
      </c>
      <c r="O433" s="26" t="s">
        <v>4746</v>
      </c>
      <c r="P433" s="35">
        <v>0.48194444444444445</v>
      </c>
      <c r="Q433" s="26" t="s">
        <v>56</v>
      </c>
      <c r="R433" s="26" t="s">
        <v>301</v>
      </c>
      <c r="S433" s="27" t="s">
        <v>3566</v>
      </c>
      <c r="T433" s="27" t="s">
        <v>3765</v>
      </c>
      <c r="U433" s="35">
        <v>0.6027777777777777</v>
      </c>
      <c r="V433" s="26" t="s">
        <v>44</v>
      </c>
      <c r="W433" s="26">
        <v>5.0</v>
      </c>
      <c r="X433" s="26" t="s">
        <v>46</v>
      </c>
    </row>
    <row r="434" hidden="1">
      <c r="A434" s="26">
        <v>434.0</v>
      </c>
      <c r="B434" s="188">
        <v>46183.0</v>
      </c>
      <c r="C434" s="26" t="s">
        <v>21</v>
      </c>
      <c r="D434" s="26" t="s">
        <v>22</v>
      </c>
      <c r="E434" s="27" t="s">
        <v>6213</v>
      </c>
      <c r="F434" s="21">
        <v>5.09839994E8</v>
      </c>
      <c r="G434" s="26" t="s">
        <v>4740</v>
      </c>
      <c r="H434" s="27" t="s">
        <v>1107</v>
      </c>
      <c r="I434" s="26" t="s">
        <v>27</v>
      </c>
      <c r="J434" s="209" t="s">
        <v>6215</v>
      </c>
      <c r="K434" s="27"/>
      <c r="L434" s="26" t="s">
        <v>36</v>
      </c>
      <c r="M434" s="27" t="s">
        <v>1389</v>
      </c>
      <c r="N434" s="26" t="s">
        <v>4870</v>
      </c>
      <c r="O434" s="26" t="s">
        <v>4746</v>
      </c>
      <c r="P434" s="35">
        <v>0.4930555555555556</v>
      </c>
      <c r="Q434" s="26" t="s">
        <v>40</v>
      </c>
      <c r="R434" s="26" t="s">
        <v>42</v>
      </c>
      <c r="S434" s="27" t="s">
        <v>3566</v>
      </c>
      <c r="T434" s="27"/>
      <c r="U434" s="35"/>
      <c r="V434" s="26"/>
      <c r="W434" s="26"/>
      <c r="X434" s="26" t="s">
        <v>46</v>
      </c>
    </row>
    <row r="435" hidden="1">
      <c r="A435" s="26">
        <v>435.0</v>
      </c>
      <c r="B435" s="188">
        <v>46183.0</v>
      </c>
      <c r="C435" s="26" t="s">
        <v>58</v>
      </c>
      <c r="D435" s="26" t="s">
        <v>60</v>
      </c>
      <c r="E435" s="26" t="s">
        <v>27</v>
      </c>
      <c r="F435" s="21">
        <v>5.07720468E8</v>
      </c>
      <c r="G435" s="26" t="s">
        <v>27</v>
      </c>
      <c r="H435" s="26" t="s">
        <v>27</v>
      </c>
      <c r="I435" s="26" t="s">
        <v>27</v>
      </c>
      <c r="J435" s="209" t="s">
        <v>554</v>
      </c>
      <c r="K435" s="27"/>
      <c r="L435" s="26" t="s">
        <v>36</v>
      </c>
      <c r="M435" s="27" t="s">
        <v>88</v>
      </c>
      <c r="N435" s="26" t="s">
        <v>49</v>
      </c>
      <c r="O435" s="26" t="s">
        <v>49</v>
      </c>
      <c r="P435" s="35"/>
      <c r="Q435" s="26" t="s">
        <v>56</v>
      </c>
      <c r="R435" s="26" t="s">
        <v>42</v>
      </c>
      <c r="S435" s="27" t="s">
        <v>3566</v>
      </c>
      <c r="T435" s="27"/>
      <c r="U435" s="35"/>
      <c r="V435" s="26"/>
      <c r="W435" s="26"/>
      <c r="X435" s="26"/>
    </row>
    <row r="436" hidden="1">
      <c r="A436" s="26">
        <v>436.0</v>
      </c>
      <c r="B436" s="188">
        <v>46183.0</v>
      </c>
      <c r="C436" s="26" t="s">
        <v>47</v>
      </c>
      <c r="D436" s="26" t="s">
        <v>92</v>
      </c>
      <c r="E436" s="26" t="s">
        <v>27</v>
      </c>
      <c r="F436" s="21">
        <v>5.45077726E8</v>
      </c>
      <c r="G436" s="26" t="s">
        <v>5850</v>
      </c>
      <c r="H436" s="27" t="s">
        <v>132</v>
      </c>
      <c r="I436" s="106" t="s">
        <v>406</v>
      </c>
      <c r="J436" s="209" t="s">
        <v>7194</v>
      </c>
      <c r="K436" s="27"/>
      <c r="L436" s="26" t="s">
        <v>36</v>
      </c>
      <c r="M436" s="27" t="s">
        <v>1148</v>
      </c>
      <c r="N436" s="26" t="s">
        <v>4637</v>
      </c>
      <c r="O436" s="26" t="s">
        <v>49</v>
      </c>
      <c r="P436" s="35">
        <v>0.5479166666666667</v>
      </c>
      <c r="Q436" s="26" t="s">
        <v>40</v>
      </c>
      <c r="R436" s="26" t="s">
        <v>42</v>
      </c>
      <c r="S436" s="27" t="s">
        <v>3566</v>
      </c>
      <c r="T436" s="27" t="s">
        <v>3566</v>
      </c>
      <c r="U436" s="35">
        <v>0.55625</v>
      </c>
      <c r="V436" s="26" t="s">
        <v>49</v>
      </c>
      <c r="W436" s="26"/>
      <c r="X436" s="26" t="s">
        <v>46</v>
      </c>
    </row>
    <row r="437" hidden="1">
      <c r="A437" s="26">
        <v>437.0</v>
      </c>
      <c r="B437" s="188">
        <v>46183.0</v>
      </c>
      <c r="C437" s="26" t="s">
        <v>47</v>
      </c>
      <c r="D437" s="26" t="s">
        <v>92</v>
      </c>
      <c r="E437" s="27" t="s">
        <v>6224</v>
      </c>
      <c r="F437" s="21">
        <v>5.61709495E8</v>
      </c>
      <c r="G437" s="26" t="s">
        <v>4740</v>
      </c>
      <c r="H437" s="27" t="s">
        <v>71</v>
      </c>
      <c r="I437" s="26" t="s">
        <v>1906</v>
      </c>
      <c r="J437" s="209" t="s">
        <v>7200</v>
      </c>
      <c r="K437" s="128"/>
      <c r="L437" s="126" t="s">
        <v>36</v>
      </c>
      <c r="M437" s="27" t="s">
        <v>5630</v>
      </c>
      <c r="N437" s="26" t="s">
        <v>4637</v>
      </c>
      <c r="O437" s="26" t="s">
        <v>4746</v>
      </c>
      <c r="P437" s="88">
        <v>0.4361111111111111</v>
      </c>
      <c r="Q437" s="126" t="s">
        <v>40</v>
      </c>
      <c r="R437" s="126" t="s">
        <v>42</v>
      </c>
      <c r="S437" s="27" t="s">
        <v>3566</v>
      </c>
      <c r="T437" s="128" t="s">
        <v>3566</v>
      </c>
      <c r="U437" s="88">
        <v>0.6104166666666667</v>
      </c>
      <c r="V437" s="126" t="s">
        <v>44</v>
      </c>
      <c r="W437" s="126"/>
      <c r="X437" s="126" t="s">
        <v>46</v>
      </c>
    </row>
    <row r="438" hidden="1">
      <c r="A438" s="26">
        <v>438.0</v>
      </c>
      <c r="B438" s="188">
        <v>46183.0</v>
      </c>
      <c r="C438" s="26" t="s">
        <v>58</v>
      </c>
      <c r="D438" s="26" t="s">
        <v>60</v>
      </c>
      <c r="E438" s="26" t="s">
        <v>27</v>
      </c>
      <c r="F438" s="21">
        <v>5.75174941E8</v>
      </c>
      <c r="G438" s="26" t="s">
        <v>4740</v>
      </c>
      <c r="H438" s="27" t="s">
        <v>41</v>
      </c>
      <c r="I438" s="26" t="s">
        <v>27</v>
      </c>
      <c r="J438" s="209" t="s">
        <v>6228</v>
      </c>
      <c r="K438" s="27" t="s">
        <v>2003</v>
      </c>
      <c r="L438" s="26" t="s">
        <v>36</v>
      </c>
      <c r="M438" s="27" t="s">
        <v>88</v>
      </c>
      <c r="N438" s="26" t="s">
        <v>4746</v>
      </c>
      <c r="O438" s="26" t="s">
        <v>4746</v>
      </c>
      <c r="P438" s="35"/>
      <c r="Q438" s="26" t="s">
        <v>56</v>
      </c>
      <c r="R438" s="26" t="s">
        <v>42</v>
      </c>
      <c r="S438" s="27" t="s">
        <v>3566</v>
      </c>
      <c r="T438" s="27"/>
      <c r="U438" s="35"/>
      <c r="V438" s="26"/>
      <c r="W438" s="26"/>
      <c r="X438" s="26"/>
    </row>
    <row r="439" hidden="1">
      <c r="A439" s="26">
        <v>439.0</v>
      </c>
      <c r="B439" s="188">
        <v>46183.0</v>
      </c>
      <c r="C439" s="26" t="s">
        <v>47</v>
      </c>
      <c r="D439" s="26" t="s">
        <v>92</v>
      </c>
      <c r="E439" s="27" t="s">
        <v>1145</v>
      </c>
      <c r="F439" s="21">
        <v>5.06800777E8</v>
      </c>
      <c r="G439" s="26" t="s">
        <v>5023</v>
      </c>
      <c r="H439" s="27" t="s">
        <v>76</v>
      </c>
      <c r="I439" s="26" t="s">
        <v>735</v>
      </c>
      <c r="J439" s="209" t="s">
        <v>7210</v>
      </c>
      <c r="K439" s="27"/>
      <c r="L439" s="26" t="s">
        <v>36</v>
      </c>
      <c r="M439" s="27" t="s">
        <v>3432</v>
      </c>
      <c r="N439" s="26" t="s">
        <v>4637</v>
      </c>
      <c r="O439" s="26" t="s">
        <v>4746</v>
      </c>
      <c r="P439" s="35">
        <v>0.6208333333333333</v>
      </c>
      <c r="Q439" s="26" t="s">
        <v>40</v>
      </c>
      <c r="R439" s="26" t="s">
        <v>42</v>
      </c>
      <c r="S439" s="27" t="s">
        <v>3566</v>
      </c>
      <c r="T439" s="27" t="s">
        <v>3765</v>
      </c>
      <c r="U439" s="35">
        <v>0.6118055555555556</v>
      </c>
      <c r="V439" s="26" t="s">
        <v>44</v>
      </c>
      <c r="W439" s="26"/>
      <c r="X439" s="26" t="s">
        <v>46</v>
      </c>
    </row>
    <row r="440" hidden="1">
      <c r="A440" s="26">
        <v>440.0</v>
      </c>
      <c r="B440" s="188">
        <v>46183.0</v>
      </c>
      <c r="C440" s="26" t="s">
        <v>21</v>
      </c>
      <c r="D440" s="26" t="s">
        <v>24</v>
      </c>
      <c r="E440" s="27" t="s">
        <v>6235</v>
      </c>
      <c r="F440" s="21">
        <v>5.32204977E8</v>
      </c>
      <c r="G440" s="26" t="s">
        <v>4852</v>
      </c>
      <c r="H440" s="27" t="s">
        <v>1452</v>
      </c>
      <c r="I440" s="26" t="s">
        <v>27</v>
      </c>
      <c r="J440" s="209" t="s">
        <v>6236</v>
      </c>
      <c r="K440" s="27"/>
      <c r="L440" s="26" t="s">
        <v>36</v>
      </c>
      <c r="M440" s="27" t="s">
        <v>4982</v>
      </c>
      <c r="N440" s="26" t="s">
        <v>4803</v>
      </c>
      <c r="O440" s="26" t="s">
        <v>4746</v>
      </c>
      <c r="P440" s="35"/>
      <c r="Q440" s="26" t="s">
        <v>56</v>
      </c>
      <c r="R440" s="26" t="s">
        <v>42</v>
      </c>
      <c r="S440" s="27" t="s">
        <v>3566</v>
      </c>
      <c r="T440" s="27"/>
      <c r="U440" s="35"/>
      <c r="V440" s="26"/>
      <c r="W440" s="26"/>
      <c r="X440" s="26" t="s">
        <v>46</v>
      </c>
    </row>
    <row r="441" hidden="1">
      <c r="A441" s="26">
        <v>441.0</v>
      </c>
      <c r="B441" s="188">
        <v>46183.0</v>
      </c>
      <c r="C441" s="26" t="s">
        <v>21</v>
      </c>
      <c r="D441" s="26" t="s">
        <v>22</v>
      </c>
      <c r="E441" s="27" t="s">
        <v>6240</v>
      </c>
      <c r="F441" s="21">
        <v>5.54649696E8</v>
      </c>
      <c r="G441" s="26" t="s">
        <v>5151</v>
      </c>
      <c r="H441" s="27" t="s">
        <v>28</v>
      </c>
      <c r="I441" s="26" t="s">
        <v>27</v>
      </c>
      <c r="J441" s="209" t="s">
        <v>6241</v>
      </c>
      <c r="K441" s="27"/>
      <c r="L441" s="26" t="s">
        <v>62</v>
      </c>
      <c r="M441" s="27" t="s">
        <v>4868</v>
      </c>
      <c r="N441" s="26" t="s">
        <v>4870</v>
      </c>
      <c r="O441" s="26" t="s">
        <v>4746</v>
      </c>
      <c r="P441" s="35">
        <v>0.6597222222222222</v>
      </c>
      <c r="Q441" s="26" t="s">
        <v>40</v>
      </c>
      <c r="R441" s="26" t="s">
        <v>42</v>
      </c>
      <c r="S441" s="27" t="s">
        <v>3566</v>
      </c>
      <c r="T441" s="27"/>
      <c r="U441" s="35"/>
      <c r="V441" s="26"/>
      <c r="W441" s="26"/>
      <c r="X441" s="26" t="s">
        <v>46</v>
      </c>
    </row>
    <row r="442" hidden="1">
      <c r="A442" s="26">
        <v>442.0</v>
      </c>
      <c r="B442" s="188">
        <v>46183.0</v>
      </c>
      <c r="C442" s="26" t="s">
        <v>47</v>
      </c>
      <c r="D442" s="26" t="s">
        <v>48</v>
      </c>
      <c r="E442" s="27" t="s">
        <v>1911</v>
      </c>
      <c r="F442" s="21">
        <v>5.98825229E8</v>
      </c>
      <c r="G442" s="26" t="s">
        <v>4740</v>
      </c>
      <c r="H442" s="27" t="s">
        <v>79</v>
      </c>
      <c r="I442" s="26" t="s">
        <v>638</v>
      </c>
      <c r="J442" s="209" t="s">
        <v>7220</v>
      </c>
      <c r="K442" s="27" t="s">
        <v>6246</v>
      </c>
      <c r="L442" s="26" t="s">
        <v>36</v>
      </c>
      <c r="M442" s="27" t="s">
        <v>5011</v>
      </c>
      <c r="N442" s="26" t="s">
        <v>4977</v>
      </c>
      <c r="O442" s="26" t="s">
        <v>4746</v>
      </c>
      <c r="P442" s="35">
        <v>0.66875</v>
      </c>
      <c r="Q442" s="26" t="s">
        <v>56</v>
      </c>
      <c r="R442" s="26" t="s">
        <v>518</v>
      </c>
      <c r="S442" s="27" t="s">
        <v>3765</v>
      </c>
      <c r="T442" s="27" t="s">
        <v>3765</v>
      </c>
      <c r="U442" s="35">
        <v>0.6055555555555555</v>
      </c>
      <c r="V442" s="26" t="s">
        <v>44</v>
      </c>
      <c r="W442" s="26">
        <v>5.0</v>
      </c>
      <c r="X442" s="26" t="s">
        <v>46</v>
      </c>
    </row>
    <row r="443" hidden="1">
      <c r="A443" s="26">
        <v>443.0</v>
      </c>
      <c r="B443" s="188">
        <v>46183.0</v>
      </c>
      <c r="C443" s="26" t="s">
        <v>58</v>
      </c>
      <c r="D443" s="26" t="s">
        <v>60</v>
      </c>
      <c r="E443" s="27" t="s">
        <v>6249</v>
      </c>
      <c r="F443" s="21">
        <v>5.92992548E8</v>
      </c>
      <c r="G443" s="26" t="s">
        <v>27</v>
      </c>
      <c r="H443" s="26" t="s">
        <v>27</v>
      </c>
      <c r="I443" s="26" t="s">
        <v>27</v>
      </c>
      <c r="J443" s="209" t="s">
        <v>6251</v>
      </c>
      <c r="K443" s="27"/>
      <c r="L443" s="26" t="s">
        <v>36</v>
      </c>
      <c r="M443" s="27" t="s">
        <v>88</v>
      </c>
      <c r="N443" s="26" t="s">
        <v>49</v>
      </c>
      <c r="O443" s="26" t="s">
        <v>49</v>
      </c>
      <c r="P443" s="35"/>
      <c r="Q443" s="26" t="s">
        <v>56</v>
      </c>
      <c r="R443" s="26" t="s">
        <v>42</v>
      </c>
      <c r="S443" s="27" t="s">
        <v>3566</v>
      </c>
      <c r="T443" s="27"/>
      <c r="U443" s="35"/>
      <c r="V443" s="26"/>
      <c r="W443" s="26"/>
      <c r="X443" s="26"/>
    </row>
    <row r="444" ht="42.75" hidden="1" customHeight="1">
      <c r="A444" s="26">
        <v>444.0</v>
      </c>
      <c r="B444" s="188">
        <v>46183.0</v>
      </c>
      <c r="C444" s="26" t="s">
        <v>47</v>
      </c>
      <c r="D444" s="26" t="s">
        <v>92</v>
      </c>
      <c r="E444" s="27" t="s">
        <v>6108</v>
      </c>
      <c r="F444" s="21">
        <v>5.44423294E8</v>
      </c>
      <c r="G444" s="26" t="s">
        <v>4740</v>
      </c>
      <c r="H444" s="27" t="s">
        <v>71</v>
      </c>
      <c r="I444" s="26" t="s">
        <v>6109</v>
      </c>
      <c r="J444" s="209" t="s">
        <v>6255</v>
      </c>
      <c r="K444" s="27" t="s">
        <v>6256</v>
      </c>
      <c r="L444" s="26" t="s">
        <v>62</v>
      </c>
      <c r="M444" s="27" t="s">
        <v>2143</v>
      </c>
      <c r="N444" s="26" t="s">
        <v>4637</v>
      </c>
      <c r="O444" s="26" t="s">
        <v>4746</v>
      </c>
      <c r="P444" s="35">
        <v>0.625</v>
      </c>
      <c r="Q444" s="26" t="s">
        <v>40</v>
      </c>
      <c r="R444" s="26" t="s">
        <v>42</v>
      </c>
      <c r="S444" s="27" t="s">
        <v>3566</v>
      </c>
      <c r="T444" s="27"/>
      <c r="U444" s="35"/>
      <c r="V444" s="26"/>
      <c r="W444" s="26"/>
      <c r="X444" s="26" t="s">
        <v>46</v>
      </c>
    </row>
    <row r="445" ht="63.0" hidden="1" customHeight="1">
      <c r="A445" s="26">
        <v>445.0</v>
      </c>
      <c r="B445" s="188">
        <v>46183.0</v>
      </c>
      <c r="C445" s="26" t="s">
        <v>47</v>
      </c>
      <c r="D445" s="26" t="s">
        <v>92</v>
      </c>
      <c r="E445" s="27" t="s">
        <v>6259</v>
      </c>
      <c r="F445" s="21">
        <v>5.6608032E8</v>
      </c>
      <c r="G445" s="26" t="s">
        <v>4769</v>
      </c>
      <c r="H445" s="27" t="s">
        <v>152</v>
      </c>
      <c r="I445" s="26" t="s">
        <v>6260</v>
      </c>
      <c r="J445" s="209" t="s">
        <v>7226</v>
      </c>
      <c r="K445" s="27"/>
      <c r="L445" s="26" t="s">
        <v>62</v>
      </c>
      <c r="M445" s="27" t="s">
        <v>1148</v>
      </c>
      <c r="N445" s="26" t="s">
        <v>4637</v>
      </c>
      <c r="O445" s="26" t="s">
        <v>4746</v>
      </c>
      <c r="P445" s="35">
        <v>0.6666666666666666</v>
      </c>
      <c r="Q445" s="26" t="s">
        <v>40</v>
      </c>
      <c r="R445" s="26" t="s">
        <v>42</v>
      </c>
      <c r="S445" s="27" t="s">
        <v>3566</v>
      </c>
      <c r="T445" s="27" t="s">
        <v>3765</v>
      </c>
      <c r="U445" s="35">
        <v>0.6152777777777778</v>
      </c>
      <c r="V445" s="26" t="s">
        <v>44</v>
      </c>
      <c r="W445" s="26"/>
      <c r="X445" s="26" t="s">
        <v>46</v>
      </c>
    </row>
    <row r="446" ht="63.0" hidden="1" customHeight="1">
      <c r="A446" s="26">
        <v>446.0</v>
      </c>
      <c r="B446" s="188">
        <v>46183.0</v>
      </c>
      <c r="C446" s="26" t="s">
        <v>58</v>
      </c>
      <c r="D446" s="26" t="s">
        <v>22</v>
      </c>
      <c r="E446" s="27" t="s">
        <v>734</v>
      </c>
      <c r="F446" s="21">
        <v>5.41441424E8</v>
      </c>
      <c r="G446" s="26" t="s">
        <v>4740</v>
      </c>
      <c r="H446" s="27" t="s">
        <v>71</v>
      </c>
      <c r="I446" s="26" t="s">
        <v>27</v>
      </c>
      <c r="J446" s="209" t="s">
        <v>6263</v>
      </c>
      <c r="K446" s="27" t="s">
        <v>6264</v>
      </c>
      <c r="L446" s="26" t="s">
        <v>36</v>
      </c>
      <c r="M446" s="27" t="s">
        <v>1389</v>
      </c>
      <c r="N446" s="26" t="s">
        <v>49</v>
      </c>
      <c r="O446" s="26" t="s">
        <v>4746</v>
      </c>
      <c r="P446" s="35"/>
      <c r="Q446" s="26" t="s">
        <v>40</v>
      </c>
      <c r="R446" s="26" t="s">
        <v>301</v>
      </c>
      <c r="S446" s="27" t="s">
        <v>3566</v>
      </c>
      <c r="T446" s="27"/>
      <c r="U446" s="35"/>
      <c r="V446" s="26"/>
      <c r="W446" s="26"/>
      <c r="X446" s="26"/>
    </row>
    <row r="447" ht="63.0" hidden="1" customHeight="1">
      <c r="A447" s="26">
        <v>447.0</v>
      </c>
      <c r="B447" s="188">
        <v>46183.0</v>
      </c>
      <c r="C447" s="26" t="s">
        <v>47</v>
      </c>
      <c r="D447" s="26" t="s">
        <v>60</v>
      </c>
      <c r="E447" s="26" t="s">
        <v>27</v>
      </c>
      <c r="F447" s="21">
        <v>5.58807426E8</v>
      </c>
      <c r="G447" s="26" t="s">
        <v>4740</v>
      </c>
      <c r="H447" s="27" t="s">
        <v>41</v>
      </c>
      <c r="I447" s="26" t="s">
        <v>193</v>
      </c>
      <c r="J447" s="209" t="s">
        <v>6268</v>
      </c>
      <c r="K447" s="27"/>
      <c r="L447" s="26" t="s">
        <v>36</v>
      </c>
      <c r="M447" s="27" t="s">
        <v>38</v>
      </c>
      <c r="N447" s="26" t="s">
        <v>49</v>
      </c>
      <c r="O447" s="26" t="s">
        <v>49</v>
      </c>
      <c r="P447" s="35"/>
      <c r="Q447" s="26" t="s">
        <v>56</v>
      </c>
      <c r="R447" s="26" t="s">
        <v>42</v>
      </c>
      <c r="S447" s="27" t="s">
        <v>3566</v>
      </c>
      <c r="T447" s="27"/>
      <c r="U447" s="35"/>
      <c r="V447" s="26"/>
      <c r="W447" s="26"/>
      <c r="X447" s="26"/>
    </row>
    <row r="448" ht="63.0" hidden="1" customHeight="1">
      <c r="A448" s="26">
        <v>448.0</v>
      </c>
      <c r="B448" s="188">
        <v>46183.0</v>
      </c>
      <c r="C448" s="26" t="s">
        <v>21</v>
      </c>
      <c r="D448" s="26" t="s">
        <v>22</v>
      </c>
      <c r="E448" s="27" t="s">
        <v>6269</v>
      </c>
      <c r="F448" s="21">
        <v>5.04731403E8</v>
      </c>
      <c r="G448" s="26" t="s">
        <v>27</v>
      </c>
      <c r="H448" s="26" t="s">
        <v>27</v>
      </c>
      <c r="I448" s="26" t="s">
        <v>27</v>
      </c>
      <c r="J448" s="209" t="s">
        <v>6270</v>
      </c>
      <c r="K448" s="27"/>
      <c r="L448" s="26" t="s">
        <v>321</v>
      </c>
      <c r="M448" s="27" t="s">
        <v>4868</v>
      </c>
      <c r="N448" s="26" t="s">
        <v>4870</v>
      </c>
      <c r="O448" s="26" t="s">
        <v>49</v>
      </c>
      <c r="P448" s="35"/>
      <c r="Q448" s="26" t="s">
        <v>40</v>
      </c>
      <c r="R448" s="26" t="s">
        <v>42</v>
      </c>
      <c r="S448" s="27" t="s">
        <v>3566</v>
      </c>
      <c r="T448" s="27"/>
      <c r="U448" s="35"/>
      <c r="V448" s="26"/>
      <c r="W448" s="26"/>
      <c r="X448" s="26" t="s">
        <v>46</v>
      </c>
    </row>
    <row r="449" ht="63.0" hidden="1" customHeight="1">
      <c r="A449" s="26">
        <v>449.0</v>
      </c>
      <c r="B449" s="188">
        <v>46184.0</v>
      </c>
      <c r="C449" s="26" t="s">
        <v>21</v>
      </c>
      <c r="D449" s="26" t="s">
        <v>57</v>
      </c>
      <c r="E449" s="26" t="s">
        <v>27</v>
      </c>
      <c r="F449" s="21">
        <v>5.38524612E8</v>
      </c>
      <c r="G449" s="26" t="s">
        <v>5151</v>
      </c>
      <c r="H449" s="27" t="s">
        <v>28</v>
      </c>
      <c r="I449" s="26" t="s">
        <v>27</v>
      </c>
      <c r="J449" s="209" t="s">
        <v>6273</v>
      </c>
      <c r="K449" s="27"/>
      <c r="L449" s="26" t="s">
        <v>36</v>
      </c>
      <c r="M449" s="27" t="s">
        <v>1399</v>
      </c>
      <c r="N449" s="26" t="s">
        <v>4746</v>
      </c>
      <c r="O449" s="26" t="s">
        <v>4746</v>
      </c>
      <c r="P449" s="35"/>
      <c r="Q449" s="26" t="s">
        <v>56</v>
      </c>
      <c r="R449" s="26" t="s">
        <v>42</v>
      </c>
      <c r="S449" s="27" t="s">
        <v>3566</v>
      </c>
      <c r="T449" s="27"/>
      <c r="U449" s="35"/>
      <c r="V449" s="26"/>
      <c r="W449" s="26"/>
      <c r="X449" s="26"/>
    </row>
    <row r="450" ht="118.5" hidden="1" customHeight="1">
      <c r="A450" s="26">
        <v>450.0</v>
      </c>
      <c r="B450" s="188">
        <v>46184.0</v>
      </c>
      <c r="C450" s="26" t="s">
        <v>58</v>
      </c>
      <c r="D450" s="26" t="s">
        <v>367</v>
      </c>
      <c r="E450" s="27" t="s">
        <v>6276</v>
      </c>
      <c r="F450" s="21">
        <v>5.71086176E8</v>
      </c>
      <c r="G450" s="26" t="s">
        <v>4740</v>
      </c>
      <c r="H450" s="27" t="s">
        <v>79</v>
      </c>
      <c r="I450" s="26" t="s">
        <v>638</v>
      </c>
      <c r="J450" s="209" t="s">
        <v>6278</v>
      </c>
      <c r="K450" s="27" t="s">
        <v>6280</v>
      </c>
      <c r="L450" s="26" t="s">
        <v>62</v>
      </c>
      <c r="M450" s="27" t="s">
        <v>7232</v>
      </c>
      <c r="N450" s="26" t="s">
        <v>4917</v>
      </c>
      <c r="O450" s="26" t="s">
        <v>4746</v>
      </c>
      <c r="P450" s="35">
        <v>0.3611111111111111</v>
      </c>
      <c r="Q450" s="26" t="s">
        <v>56</v>
      </c>
      <c r="R450" s="26" t="s">
        <v>42</v>
      </c>
      <c r="S450" s="27" t="s">
        <v>3566</v>
      </c>
      <c r="T450" s="27" t="s">
        <v>3566</v>
      </c>
      <c r="U450" s="35">
        <v>0.6125</v>
      </c>
      <c r="V450" s="26"/>
      <c r="W450" s="26"/>
      <c r="X450" s="26"/>
    </row>
    <row r="451" ht="63.0" hidden="1" customHeight="1">
      <c r="A451" s="26">
        <v>451.0</v>
      </c>
      <c r="B451" s="188">
        <v>46184.0</v>
      </c>
      <c r="C451" s="26" t="s">
        <v>58</v>
      </c>
      <c r="D451" s="26" t="s">
        <v>60</v>
      </c>
      <c r="E451" s="26" t="s">
        <v>27</v>
      </c>
      <c r="F451" s="21">
        <v>5.06329731E8</v>
      </c>
      <c r="G451" s="26" t="s">
        <v>7234</v>
      </c>
      <c r="H451" s="27" t="s">
        <v>3176</v>
      </c>
      <c r="I451" s="26" t="s">
        <v>27</v>
      </c>
      <c r="J451" s="209" t="s">
        <v>6282</v>
      </c>
      <c r="K451" s="27" t="s">
        <v>6283</v>
      </c>
      <c r="L451" s="26" t="s">
        <v>62</v>
      </c>
      <c r="M451" s="27" t="s">
        <v>88</v>
      </c>
      <c r="N451" s="26" t="s">
        <v>4746</v>
      </c>
      <c r="O451" s="26" t="s">
        <v>4746</v>
      </c>
      <c r="P451" s="35">
        <v>0.36041666666666666</v>
      </c>
      <c r="Q451" s="26" t="s">
        <v>56</v>
      </c>
      <c r="R451" s="26" t="s">
        <v>42</v>
      </c>
      <c r="S451" s="27" t="s">
        <v>3566</v>
      </c>
      <c r="T451" s="27" t="s">
        <v>2632</v>
      </c>
      <c r="U451" s="35">
        <v>0.36041666666666666</v>
      </c>
      <c r="V451" s="26" t="s">
        <v>44</v>
      </c>
      <c r="W451" s="26">
        <v>5.0</v>
      </c>
      <c r="X451" s="26"/>
    </row>
    <row r="452" ht="95.25" hidden="1" customHeight="1">
      <c r="A452" s="26">
        <v>452.0</v>
      </c>
      <c r="B452" s="188">
        <v>46184.0</v>
      </c>
      <c r="C452" s="26" t="s">
        <v>47</v>
      </c>
      <c r="D452" s="26" t="s">
        <v>48</v>
      </c>
      <c r="E452" s="27" t="s">
        <v>6285</v>
      </c>
      <c r="F452" s="21" t="s">
        <v>27</v>
      </c>
      <c r="G452" s="26" t="s">
        <v>4740</v>
      </c>
      <c r="H452" s="27" t="s">
        <v>41</v>
      </c>
      <c r="I452" s="26" t="s">
        <v>97</v>
      </c>
      <c r="J452" s="209" t="s">
        <v>7237</v>
      </c>
      <c r="K452" s="27"/>
      <c r="L452" s="26" t="s">
        <v>78</v>
      </c>
      <c r="M452" s="318" t="s">
        <v>5968</v>
      </c>
      <c r="N452" s="26" t="s">
        <v>4977</v>
      </c>
      <c r="O452" s="26" t="s">
        <v>49</v>
      </c>
      <c r="P452" s="35"/>
      <c r="Q452" s="26" t="s">
        <v>40</v>
      </c>
      <c r="R452" s="26" t="s">
        <v>301</v>
      </c>
      <c r="S452" s="27" t="s">
        <v>3566</v>
      </c>
      <c r="T452" s="27"/>
      <c r="U452" s="35"/>
      <c r="V452" s="26"/>
      <c r="W452" s="26"/>
      <c r="X452" s="26" t="s">
        <v>46</v>
      </c>
    </row>
    <row r="453" ht="24.0" hidden="1" customHeight="1">
      <c r="A453" s="26">
        <v>453.0</v>
      </c>
      <c r="B453" s="188">
        <v>46184.0</v>
      </c>
      <c r="C453" s="26" t="s">
        <v>47</v>
      </c>
      <c r="D453" s="26" t="s">
        <v>48</v>
      </c>
      <c r="E453" s="26" t="s">
        <v>156</v>
      </c>
      <c r="F453" s="21">
        <v>5.5776664E8</v>
      </c>
      <c r="G453" s="26" t="s">
        <v>5151</v>
      </c>
      <c r="H453" s="27" t="s">
        <v>28</v>
      </c>
      <c r="I453" s="26" t="s">
        <v>1708</v>
      </c>
      <c r="J453" s="209" t="s">
        <v>6287</v>
      </c>
      <c r="K453" s="27"/>
      <c r="L453" s="26" t="s">
        <v>148</v>
      </c>
      <c r="M453" s="318" t="s">
        <v>5449</v>
      </c>
      <c r="N453" s="26" t="s">
        <v>4977</v>
      </c>
      <c r="O453" s="26" t="s">
        <v>4746</v>
      </c>
      <c r="P453" s="35">
        <v>0.3736111111111111</v>
      </c>
      <c r="Q453" s="26" t="s">
        <v>40</v>
      </c>
      <c r="R453" s="26" t="s">
        <v>42</v>
      </c>
      <c r="S453" s="27" t="s">
        <v>3997</v>
      </c>
      <c r="T453" s="27"/>
      <c r="U453" s="35">
        <v>0.6055555555555555</v>
      </c>
      <c r="V453" s="26" t="s">
        <v>44</v>
      </c>
      <c r="W453" s="26"/>
      <c r="X453" s="26" t="s">
        <v>46</v>
      </c>
    </row>
    <row r="454" ht="23.25" hidden="1" customHeight="1">
      <c r="A454" s="26">
        <v>454.0</v>
      </c>
      <c r="B454" s="188">
        <v>46184.0</v>
      </c>
      <c r="C454" s="26" t="s">
        <v>47</v>
      </c>
      <c r="D454" s="26" t="s">
        <v>48</v>
      </c>
      <c r="E454" s="27" t="s">
        <v>302</v>
      </c>
      <c r="F454" s="21">
        <v>5.65551501E8</v>
      </c>
      <c r="G454" s="26" t="s">
        <v>5151</v>
      </c>
      <c r="H454" s="27" t="s">
        <v>28</v>
      </c>
      <c r="I454" s="26" t="s">
        <v>3190</v>
      </c>
      <c r="J454" s="209" t="s">
        <v>6288</v>
      </c>
      <c r="K454" s="27" t="s">
        <v>6289</v>
      </c>
      <c r="L454" s="26" t="s">
        <v>148</v>
      </c>
      <c r="M454" s="27" t="s">
        <v>5011</v>
      </c>
      <c r="N454" s="26" t="s">
        <v>4977</v>
      </c>
      <c r="O454" s="26" t="s">
        <v>4746</v>
      </c>
      <c r="P454" s="35">
        <v>0.3736111111111111</v>
      </c>
      <c r="Q454" s="26" t="s">
        <v>56</v>
      </c>
      <c r="R454" s="26" t="s">
        <v>518</v>
      </c>
      <c r="S454" s="27" t="s">
        <v>3765</v>
      </c>
      <c r="T454" s="27"/>
      <c r="U454" s="35">
        <v>0.6055555555555555</v>
      </c>
      <c r="V454" s="26" t="s">
        <v>44</v>
      </c>
      <c r="W454" s="26"/>
      <c r="X454" s="26" t="s">
        <v>46</v>
      </c>
    </row>
    <row r="455" ht="41.25" hidden="1" customHeight="1">
      <c r="A455" s="26">
        <v>455.0</v>
      </c>
      <c r="B455" s="188">
        <v>46184.0</v>
      </c>
      <c r="C455" s="26" t="s">
        <v>47</v>
      </c>
      <c r="D455" s="26" t="s">
        <v>138</v>
      </c>
      <c r="E455" s="27" t="s">
        <v>6293</v>
      </c>
      <c r="F455" s="21">
        <v>5.38042243E8</v>
      </c>
      <c r="G455" s="26" t="s">
        <v>4852</v>
      </c>
      <c r="H455" s="27" t="s">
        <v>874</v>
      </c>
      <c r="I455" s="26" t="s">
        <v>876</v>
      </c>
      <c r="J455" s="209" t="s">
        <v>6294</v>
      </c>
      <c r="K455" s="27" t="s">
        <v>6295</v>
      </c>
      <c r="L455" s="26" t="s">
        <v>148</v>
      </c>
      <c r="M455" s="308" t="s">
        <v>183</v>
      </c>
      <c r="N455" s="26" t="s">
        <v>4917</v>
      </c>
      <c r="O455" s="26" t="s">
        <v>4746</v>
      </c>
      <c r="P455" s="35">
        <v>0.3736111111111111</v>
      </c>
      <c r="Q455" s="26" t="s">
        <v>56</v>
      </c>
      <c r="R455" s="26" t="s">
        <v>518</v>
      </c>
      <c r="S455" s="27" t="s">
        <v>3566</v>
      </c>
      <c r="T455" s="27"/>
      <c r="U455" s="35"/>
      <c r="V455" s="26"/>
      <c r="W455" s="26"/>
      <c r="X455" s="26" t="s">
        <v>46</v>
      </c>
    </row>
    <row r="456" ht="33.0" hidden="1" customHeight="1">
      <c r="A456" s="26">
        <v>456.0</v>
      </c>
      <c r="B456" s="188">
        <v>46184.0</v>
      </c>
      <c r="C456" s="26" t="s">
        <v>47</v>
      </c>
      <c r="D456" s="26" t="s">
        <v>138</v>
      </c>
      <c r="E456" s="26" t="s">
        <v>583</v>
      </c>
      <c r="F456" s="21">
        <v>5.3118888E8</v>
      </c>
      <c r="G456" s="26" t="s">
        <v>4769</v>
      </c>
      <c r="H456" s="27" t="s">
        <v>333</v>
      </c>
      <c r="I456" s="26" t="s">
        <v>650</v>
      </c>
      <c r="J456" s="209" t="s">
        <v>6298</v>
      </c>
      <c r="K456" s="27" t="s">
        <v>6300</v>
      </c>
      <c r="L456" s="26" t="s">
        <v>148</v>
      </c>
      <c r="M456" s="27" t="s">
        <v>6671</v>
      </c>
      <c r="N456" s="26" t="s">
        <v>4917</v>
      </c>
      <c r="O456" s="26" t="s">
        <v>4746</v>
      </c>
      <c r="P456" s="35">
        <v>0.375</v>
      </c>
      <c r="Q456" s="26" t="s">
        <v>56</v>
      </c>
      <c r="R456" s="26" t="s">
        <v>518</v>
      </c>
      <c r="S456" s="27" t="s">
        <v>3566</v>
      </c>
      <c r="T456" s="27"/>
      <c r="U456" s="35"/>
      <c r="V456" s="26"/>
      <c r="W456" s="26"/>
      <c r="X456" s="26" t="s">
        <v>46</v>
      </c>
    </row>
    <row r="457" ht="45.0" hidden="1" customHeight="1">
      <c r="A457" s="26">
        <v>457.0</v>
      </c>
      <c r="B457" s="188">
        <v>46184.0</v>
      </c>
      <c r="C457" s="26" t="s">
        <v>47</v>
      </c>
      <c r="D457" s="26" t="s">
        <v>92</v>
      </c>
      <c r="E457" s="27" t="s">
        <v>5763</v>
      </c>
      <c r="F457" s="21">
        <v>5.555555555E9</v>
      </c>
      <c r="G457" s="26" t="s">
        <v>4740</v>
      </c>
      <c r="H457" s="27" t="s">
        <v>71</v>
      </c>
      <c r="I457" s="26" t="s">
        <v>1801</v>
      </c>
      <c r="J457" s="209" t="s">
        <v>6303</v>
      </c>
      <c r="K457" s="27"/>
      <c r="L457" s="26" t="s">
        <v>148</v>
      </c>
      <c r="M457" s="27" t="s">
        <v>953</v>
      </c>
      <c r="N457" s="26" t="s">
        <v>4637</v>
      </c>
      <c r="O457" s="26" t="s">
        <v>4746</v>
      </c>
      <c r="P457" s="35"/>
      <c r="Q457" s="26" t="s">
        <v>40</v>
      </c>
      <c r="R457" s="26" t="s">
        <v>42</v>
      </c>
      <c r="S457" s="27" t="s">
        <v>3566</v>
      </c>
      <c r="T457" s="27"/>
      <c r="U457" s="35"/>
      <c r="V457" s="26"/>
      <c r="W457" s="26"/>
      <c r="X457" s="26" t="s">
        <v>46</v>
      </c>
    </row>
    <row r="458" ht="30.75" hidden="1" customHeight="1">
      <c r="A458" s="26">
        <v>458.0</v>
      </c>
      <c r="B458" s="188">
        <v>46184.0</v>
      </c>
      <c r="C458" s="26" t="s">
        <v>58</v>
      </c>
      <c r="D458" s="26" t="s">
        <v>60</v>
      </c>
      <c r="E458" s="27" t="s">
        <v>6308</v>
      </c>
      <c r="F458" s="21">
        <v>5.45605363E8</v>
      </c>
      <c r="G458" s="26" t="s">
        <v>4740</v>
      </c>
      <c r="H458" s="27" t="s">
        <v>79</v>
      </c>
      <c r="I458" s="26" t="s">
        <v>239</v>
      </c>
      <c r="J458" s="209" t="s">
        <v>6309</v>
      </c>
      <c r="K458" s="27"/>
      <c r="L458" s="26" t="s">
        <v>148</v>
      </c>
      <c r="M458" s="27" t="s">
        <v>88</v>
      </c>
      <c r="N458" s="26" t="s">
        <v>4746</v>
      </c>
      <c r="O458" s="26" t="s">
        <v>4746</v>
      </c>
      <c r="P458" s="35">
        <v>0.3784722222222222</v>
      </c>
      <c r="Q458" s="26" t="s">
        <v>56</v>
      </c>
      <c r="R458" s="26" t="s">
        <v>42</v>
      </c>
      <c r="S458" s="27" t="s">
        <v>3566</v>
      </c>
      <c r="T458" s="27"/>
      <c r="U458" s="35">
        <v>0.6055555555555555</v>
      </c>
      <c r="V458" s="26" t="s">
        <v>44</v>
      </c>
      <c r="W458" s="26"/>
      <c r="X458" s="26" t="s">
        <v>46</v>
      </c>
    </row>
    <row r="459" ht="63.0" hidden="1" customHeight="1">
      <c r="A459" s="26">
        <v>459.0</v>
      </c>
      <c r="B459" s="188">
        <v>46184.0</v>
      </c>
      <c r="C459" s="26" t="s">
        <v>47</v>
      </c>
      <c r="D459" s="26" t="s">
        <v>48</v>
      </c>
      <c r="E459" s="26" t="s">
        <v>6312</v>
      </c>
      <c r="F459" s="21" t="s">
        <v>27</v>
      </c>
      <c r="G459" s="26" t="s">
        <v>4740</v>
      </c>
      <c r="H459" s="27" t="s">
        <v>79</v>
      </c>
      <c r="I459" s="26" t="s">
        <v>638</v>
      </c>
      <c r="J459" s="209" t="s">
        <v>6314</v>
      </c>
      <c r="K459" s="27" t="s">
        <v>6315</v>
      </c>
      <c r="L459" s="26" t="s">
        <v>78</v>
      </c>
      <c r="M459" s="27" t="s">
        <v>5011</v>
      </c>
      <c r="N459" s="26" t="s">
        <v>4977</v>
      </c>
      <c r="O459" s="26" t="s">
        <v>49</v>
      </c>
      <c r="P459" s="35"/>
      <c r="Q459" s="26" t="s">
        <v>56</v>
      </c>
      <c r="R459" s="26" t="s">
        <v>518</v>
      </c>
      <c r="S459" s="27" t="s">
        <v>3765</v>
      </c>
      <c r="T459" s="27"/>
      <c r="U459" s="35"/>
      <c r="V459" s="26"/>
      <c r="W459" s="26"/>
      <c r="X459" s="26" t="s">
        <v>46</v>
      </c>
    </row>
    <row r="460" ht="63.0" hidden="1" customHeight="1">
      <c r="A460" s="26">
        <v>460.0</v>
      </c>
      <c r="B460" s="188">
        <v>46184.0</v>
      </c>
      <c r="C460" s="26" t="s">
        <v>47</v>
      </c>
      <c r="D460" s="26" t="s">
        <v>48</v>
      </c>
      <c r="E460" s="27" t="s">
        <v>6320</v>
      </c>
      <c r="F460" s="21" t="s">
        <v>27</v>
      </c>
      <c r="G460" s="26" t="s">
        <v>4852</v>
      </c>
      <c r="H460" s="27" t="s">
        <v>874</v>
      </c>
      <c r="I460" s="106" t="s">
        <v>876</v>
      </c>
      <c r="J460" s="209" t="s">
        <v>6323</v>
      </c>
      <c r="K460" s="27" t="s">
        <v>6324</v>
      </c>
      <c r="L460" s="26" t="s">
        <v>78</v>
      </c>
      <c r="M460" s="27" t="s">
        <v>1205</v>
      </c>
      <c r="N460" s="26" t="s">
        <v>4977</v>
      </c>
      <c r="O460" s="26" t="s">
        <v>49</v>
      </c>
      <c r="P460" s="35"/>
      <c r="Q460" s="26" t="s">
        <v>56</v>
      </c>
      <c r="R460" s="26" t="s">
        <v>301</v>
      </c>
      <c r="S460" s="27" t="s">
        <v>3566</v>
      </c>
      <c r="T460" s="27"/>
      <c r="U460" s="35"/>
      <c r="V460" s="26"/>
      <c r="W460" s="26"/>
      <c r="X460" s="26" t="s">
        <v>46</v>
      </c>
    </row>
    <row r="461" ht="35.25" hidden="1" customHeight="1">
      <c r="A461" s="26">
        <v>461.0</v>
      </c>
      <c r="B461" s="188">
        <v>46184.0</v>
      </c>
      <c r="C461" s="26" t="s">
        <v>47</v>
      </c>
      <c r="D461" s="26" t="s">
        <v>92</v>
      </c>
      <c r="E461" s="26" t="s">
        <v>27</v>
      </c>
      <c r="F461" s="21">
        <v>5.3576567E8</v>
      </c>
      <c r="G461" s="26" t="s">
        <v>4740</v>
      </c>
      <c r="H461" s="27" t="s">
        <v>71</v>
      </c>
      <c r="I461" s="26" t="s">
        <v>94</v>
      </c>
      <c r="J461" s="209" t="s">
        <v>6327</v>
      </c>
      <c r="K461" s="27"/>
      <c r="L461" s="26" t="s">
        <v>148</v>
      </c>
      <c r="M461" s="27" t="s">
        <v>150</v>
      </c>
      <c r="N461" s="26" t="s">
        <v>4637</v>
      </c>
      <c r="O461" s="26" t="s">
        <v>49</v>
      </c>
      <c r="P461" s="35"/>
      <c r="Q461" s="26" t="s">
        <v>40</v>
      </c>
      <c r="R461" s="26" t="s">
        <v>42</v>
      </c>
      <c r="S461" s="27" t="s">
        <v>3566</v>
      </c>
      <c r="T461" s="27"/>
      <c r="U461" s="35"/>
      <c r="V461" s="26"/>
      <c r="W461" s="26"/>
      <c r="X461" s="26" t="s">
        <v>46</v>
      </c>
    </row>
    <row r="462" ht="63.0" hidden="1" customHeight="1">
      <c r="A462" s="26">
        <v>462.0</v>
      </c>
      <c r="B462" s="188">
        <v>46184.0</v>
      </c>
      <c r="C462" s="26" t="s">
        <v>47</v>
      </c>
      <c r="D462" s="26" t="s">
        <v>48</v>
      </c>
      <c r="E462" s="27" t="s">
        <v>1055</v>
      </c>
      <c r="F462" s="36">
        <v>5.415855131E9</v>
      </c>
      <c r="G462" s="26" t="s">
        <v>4740</v>
      </c>
      <c r="H462" s="27" t="s">
        <v>41</v>
      </c>
      <c r="I462" s="26" t="s">
        <v>188</v>
      </c>
      <c r="J462" s="209" t="s">
        <v>7254</v>
      </c>
      <c r="K462" s="27" t="s">
        <v>6329</v>
      </c>
      <c r="L462" s="26" t="s">
        <v>36</v>
      </c>
      <c r="M462" s="27" t="s">
        <v>5011</v>
      </c>
      <c r="N462" s="26" t="s">
        <v>4977</v>
      </c>
      <c r="O462" s="26" t="s">
        <v>49</v>
      </c>
      <c r="P462" s="35">
        <v>0.3784722222222222</v>
      </c>
      <c r="Q462" s="26" t="s">
        <v>56</v>
      </c>
      <c r="R462" s="26" t="s">
        <v>518</v>
      </c>
      <c r="S462" s="27" t="s">
        <v>3765</v>
      </c>
      <c r="T462" s="27" t="s">
        <v>3566</v>
      </c>
      <c r="U462" s="35">
        <v>0.175</v>
      </c>
      <c r="V462" s="26" t="s">
        <v>49</v>
      </c>
      <c r="W462" s="26">
        <v>5.0</v>
      </c>
      <c r="X462" s="26" t="s">
        <v>46</v>
      </c>
    </row>
    <row r="463" ht="63.0" hidden="1" customHeight="1">
      <c r="A463" s="26">
        <v>463.0</v>
      </c>
      <c r="B463" s="188">
        <v>46184.0</v>
      </c>
      <c r="C463" s="26" t="s">
        <v>21</v>
      </c>
      <c r="D463" s="26" t="s">
        <v>57</v>
      </c>
      <c r="E463" s="27" t="s">
        <v>6198</v>
      </c>
      <c r="F463" s="21">
        <v>5.4217196E8</v>
      </c>
      <c r="G463" s="26" t="s">
        <v>4865</v>
      </c>
      <c r="H463" s="27" t="s">
        <v>319</v>
      </c>
      <c r="I463" s="26" t="s">
        <v>27</v>
      </c>
      <c r="J463" s="209" t="s">
        <v>7259</v>
      </c>
      <c r="K463" s="27" t="s">
        <v>6332</v>
      </c>
      <c r="L463" s="26" t="s">
        <v>36</v>
      </c>
      <c r="M463" s="27" t="s">
        <v>1399</v>
      </c>
      <c r="N463" s="26" t="s">
        <v>49</v>
      </c>
      <c r="O463" s="26" t="s">
        <v>49</v>
      </c>
      <c r="P463" s="35">
        <v>0.4076388888888889</v>
      </c>
      <c r="Q463" s="26" t="s">
        <v>56</v>
      </c>
      <c r="R463" s="26" t="s">
        <v>42</v>
      </c>
      <c r="S463" s="27" t="s">
        <v>3566</v>
      </c>
      <c r="T463" s="27"/>
      <c r="U463" s="35"/>
      <c r="V463" s="26"/>
      <c r="W463" s="26"/>
      <c r="X463" s="26"/>
    </row>
    <row r="464" ht="63.0" hidden="1" customHeight="1">
      <c r="A464" s="26">
        <v>464.0</v>
      </c>
      <c r="B464" s="188">
        <v>46184.0</v>
      </c>
      <c r="C464" s="26" t="s">
        <v>58</v>
      </c>
      <c r="D464" s="26" t="s">
        <v>22</v>
      </c>
      <c r="E464" s="27" t="s">
        <v>5617</v>
      </c>
      <c r="F464" s="36">
        <v>5.6482875E8</v>
      </c>
      <c r="G464" s="26" t="s">
        <v>4975</v>
      </c>
      <c r="H464" s="27" t="s">
        <v>362</v>
      </c>
      <c r="I464" s="26" t="s">
        <v>27</v>
      </c>
      <c r="J464" s="209" t="s">
        <v>6337</v>
      </c>
      <c r="K464" s="27"/>
      <c r="L464" s="26" t="s">
        <v>36</v>
      </c>
      <c r="M464" s="27" t="s">
        <v>1389</v>
      </c>
      <c r="N464" s="26" t="s">
        <v>49</v>
      </c>
      <c r="O464" s="26" t="s">
        <v>49</v>
      </c>
      <c r="P464" s="35"/>
      <c r="Q464" s="26" t="s">
        <v>40</v>
      </c>
      <c r="R464" s="26" t="s">
        <v>42</v>
      </c>
      <c r="S464" s="27" t="s">
        <v>3566</v>
      </c>
      <c r="T464" s="27"/>
      <c r="U464" s="35"/>
      <c r="V464" s="26"/>
      <c r="W464" s="26"/>
      <c r="X464" s="26"/>
    </row>
    <row r="465" ht="27.75" hidden="1" customHeight="1">
      <c r="A465" s="26">
        <v>465.0</v>
      </c>
      <c r="B465" s="188">
        <v>46184.0</v>
      </c>
      <c r="C465" s="26" t="s">
        <v>21</v>
      </c>
      <c r="D465" s="26" t="s">
        <v>22</v>
      </c>
      <c r="E465" s="27" t="s">
        <v>6340</v>
      </c>
      <c r="F465" s="21">
        <v>5.04222156E8</v>
      </c>
      <c r="G465" s="26" t="s">
        <v>4769</v>
      </c>
      <c r="H465" s="27" t="s">
        <v>1849</v>
      </c>
      <c r="I465" s="26" t="s">
        <v>27</v>
      </c>
      <c r="J465" s="209" t="s">
        <v>6341</v>
      </c>
      <c r="K465" s="27"/>
      <c r="L465" s="26" t="s">
        <v>36</v>
      </c>
      <c r="M465" s="27" t="s">
        <v>4868</v>
      </c>
      <c r="N465" s="26" t="s">
        <v>4870</v>
      </c>
      <c r="O465" s="26" t="s">
        <v>4746</v>
      </c>
      <c r="P465" s="35"/>
      <c r="Q465" s="26" t="s">
        <v>40</v>
      </c>
      <c r="R465" s="26" t="s">
        <v>42</v>
      </c>
      <c r="S465" s="27" t="s">
        <v>3566</v>
      </c>
      <c r="T465" s="27"/>
      <c r="U465" s="35"/>
      <c r="V465" s="26"/>
      <c r="W465" s="26"/>
      <c r="X465" s="26" t="s">
        <v>46</v>
      </c>
    </row>
    <row r="466" ht="14.25" hidden="1" customHeight="1">
      <c r="A466" s="26">
        <v>466.0</v>
      </c>
      <c r="B466" s="188">
        <v>46184.0</v>
      </c>
      <c r="C466" s="26" t="s">
        <v>21</v>
      </c>
      <c r="D466" s="26" t="s">
        <v>22</v>
      </c>
      <c r="E466" s="27" t="s">
        <v>6344</v>
      </c>
      <c r="F466" s="21">
        <v>5.05208345E8</v>
      </c>
      <c r="G466" s="26" t="s">
        <v>27</v>
      </c>
      <c r="H466" s="26" t="s">
        <v>27</v>
      </c>
      <c r="I466" s="26" t="s">
        <v>27</v>
      </c>
      <c r="J466" s="209" t="s">
        <v>6345</v>
      </c>
      <c r="K466" s="27"/>
      <c r="L466" s="26" t="s">
        <v>36</v>
      </c>
      <c r="M466" s="27" t="s">
        <v>1389</v>
      </c>
      <c r="N466" s="26" t="s">
        <v>4870</v>
      </c>
      <c r="O466" s="26" t="s">
        <v>4746</v>
      </c>
      <c r="P466" s="35"/>
      <c r="Q466" s="26" t="s">
        <v>40</v>
      </c>
      <c r="R466" s="26" t="s">
        <v>518</v>
      </c>
      <c r="S466" s="27" t="s">
        <v>3566</v>
      </c>
      <c r="T466" s="27"/>
      <c r="U466" s="35"/>
      <c r="V466" s="26"/>
      <c r="W466" s="26"/>
      <c r="X466" s="26" t="s">
        <v>46</v>
      </c>
    </row>
    <row r="467" ht="63.0" hidden="1" customHeight="1">
      <c r="A467" s="26">
        <v>467.0</v>
      </c>
      <c r="B467" s="188">
        <v>46184.0</v>
      </c>
      <c r="C467" s="26" t="s">
        <v>58</v>
      </c>
      <c r="D467" s="26" t="s">
        <v>60</v>
      </c>
      <c r="E467" s="26" t="s">
        <v>27</v>
      </c>
      <c r="F467" s="21">
        <v>5.07484968E8</v>
      </c>
      <c r="G467" s="26" t="s">
        <v>27</v>
      </c>
      <c r="H467" s="26" t="s">
        <v>27</v>
      </c>
      <c r="I467" s="26" t="s">
        <v>27</v>
      </c>
      <c r="J467" s="209" t="s">
        <v>6346</v>
      </c>
      <c r="K467" s="27"/>
      <c r="L467" s="26" t="s">
        <v>36</v>
      </c>
      <c r="M467" s="27" t="s">
        <v>88</v>
      </c>
      <c r="N467" s="26" t="s">
        <v>4746</v>
      </c>
      <c r="O467" s="26" t="s">
        <v>4746</v>
      </c>
      <c r="P467" s="35"/>
      <c r="Q467" s="26" t="s">
        <v>56</v>
      </c>
      <c r="R467" s="26" t="s">
        <v>42</v>
      </c>
      <c r="S467" s="27" t="s">
        <v>3566</v>
      </c>
      <c r="T467" s="27"/>
      <c r="U467" s="35"/>
      <c r="V467" s="26"/>
      <c r="W467" s="26"/>
      <c r="X467" s="26"/>
    </row>
    <row r="468" ht="63.0" hidden="1" customHeight="1">
      <c r="A468" s="26">
        <v>468.0</v>
      </c>
      <c r="B468" s="188">
        <v>46184.0</v>
      </c>
      <c r="C468" s="26" t="s">
        <v>21</v>
      </c>
      <c r="D468" s="26" t="s">
        <v>57</v>
      </c>
      <c r="E468" s="27" t="s">
        <v>437</v>
      </c>
      <c r="F468" s="21">
        <v>5.99314675E8</v>
      </c>
      <c r="G468" s="26" t="s">
        <v>4769</v>
      </c>
      <c r="H468" s="27" t="s">
        <v>152</v>
      </c>
      <c r="I468" s="26" t="s">
        <v>27</v>
      </c>
      <c r="J468" s="209" t="s">
        <v>6350</v>
      </c>
      <c r="K468" s="27"/>
      <c r="L468" s="26" t="s">
        <v>36</v>
      </c>
      <c r="M468" s="27" t="s">
        <v>1399</v>
      </c>
      <c r="N468" s="26" t="s">
        <v>4746</v>
      </c>
      <c r="O468" s="26" t="s">
        <v>4746</v>
      </c>
      <c r="P468" s="35"/>
      <c r="Q468" s="26" t="s">
        <v>56</v>
      </c>
      <c r="R468" s="26" t="s">
        <v>42</v>
      </c>
      <c r="S468" s="27" t="s">
        <v>3566</v>
      </c>
      <c r="T468" s="27"/>
      <c r="U468" s="35"/>
      <c r="V468" s="26"/>
      <c r="W468" s="26"/>
      <c r="X468" s="26"/>
    </row>
    <row r="469" ht="63.0" customHeight="1">
      <c r="A469" s="26">
        <v>469.0</v>
      </c>
      <c r="B469" s="188">
        <v>46184.0</v>
      </c>
      <c r="C469" s="26" t="s">
        <v>21</v>
      </c>
      <c r="D469" s="26" t="s">
        <v>48</v>
      </c>
      <c r="E469" s="27" t="s">
        <v>6352</v>
      </c>
      <c r="F469" s="36">
        <v>1.12626069E8</v>
      </c>
      <c r="G469" s="26" t="s">
        <v>4769</v>
      </c>
      <c r="H469" s="27" t="s">
        <v>152</v>
      </c>
      <c r="I469" s="26" t="s">
        <v>27</v>
      </c>
      <c r="J469" s="209" t="s">
        <v>6353</v>
      </c>
      <c r="K469" s="27" t="s">
        <v>3932</v>
      </c>
      <c r="L469" s="26" t="s">
        <v>36</v>
      </c>
      <c r="M469" s="27" t="s">
        <v>208</v>
      </c>
      <c r="N469" s="26" t="s">
        <v>49</v>
      </c>
      <c r="O469" s="26" t="s">
        <v>4746</v>
      </c>
      <c r="P469" s="35">
        <v>0.6111111111111112</v>
      </c>
      <c r="Q469" s="26" t="s">
        <v>56</v>
      </c>
      <c r="R469" s="26" t="s">
        <v>518</v>
      </c>
      <c r="S469" s="27" t="s">
        <v>3566</v>
      </c>
      <c r="T469" s="27"/>
      <c r="U469" s="35"/>
      <c r="V469" s="26"/>
      <c r="W469" s="26"/>
      <c r="X469" s="26"/>
    </row>
    <row r="470" ht="16.5" hidden="1" customHeight="1">
      <c r="A470" s="26">
        <v>470.0</v>
      </c>
      <c r="B470" s="188">
        <v>46184.0</v>
      </c>
      <c r="C470" s="26" t="s">
        <v>21</v>
      </c>
      <c r="D470" s="26" t="s">
        <v>22</v>
      </c>
      <c r="E470" s="27" t="s">
        <v>6189</v>
      </c>
      <c r="F470" s="21">
        <v>5.35742188E8</v>
      </c>
      <c r="G470" s="26" t="s">
        <v>27</v>
      </c>
      <c r="H470" s="26" t="s">
        <v>27</v>
      </c>
      <c r="I470" s="26" t="s">
        <v>27</v>
      </c>
      <c r="J470" s="209" t="s">
        <v>6354</v>
      </c>
      <c r="K470" s="27"/>
      <c r="L470" s="26" t="s">
        <v>36</v>
      </c>
      <c r="M470" s="27" t="s">
        <v>4868</v>
      </c>
      <c r="N470" s="26" t="s">
        <v>4870</v>
      </c>
      <c r="O470" s="26" t="s">
        <v>4746</v>
      </c>
      <c r="P470" s="35"/>
      <c r="Q470" s="26" t="s">
        <v>40</v>
      </c>
      <c r="R470" s="26" t="s">
        <v>42</v>
      </c>
      <c r="S470" s="27" t="s">
        <v>3566</v>
      </c>
      <c r="T470" s="27"/>
      <c r="U470" s="35"/>
      <c r="V470" s="26"/>
      <c r="W470" s="26"/>
      <c r="X470" s="26" t="s">
        <v>46</v>
      </c>
    </row>
    <row r="471" ht="63.0" hidden="1" customHeight="1">
      <c r="A471" s="26">
        <v>471.0</v>
      </c>
      <c r="B471" s="188">
        <v>46184.0</v>
      </c>
      <c r="C471" s="26" t="s">
        <v>21</v>
      </c>
      <c r="D471" s="26" t="s">
        <v>66</v>
      </c>
      <c r="E471" s="27" t="s">
        <v>405</v>
      </c>
      <c r="F471" s="21">
        <v>5.9950005E8</v>
      </c>
      <c r="G471" s="26" t="s">
        <v>27</v>
      </c>
      <c r="H471" s="26" t="s">
        <v>27</v>
      </c>
      <c r="I471" s="26" t="s">
        <v>27</v>
      </c>
      <c r="J471" s="102" t="s">
        <v>6361</v>
      </c>
      <c r="K471" s="27"/>
      <c r="L471" s="26" t="s">
        <v>36</v>
      </c>
      <c r="M471" s="27" t="s">
        <v>208</v>
      </c>
      <c r="N471" s="26" t="s">
        <v>49</v>
      </c>
      <c r="O471" s="26" t="s">
        <v>49</v>
      </c>
      <c r="P471" s="35"/>
      <c r="Q471" s="26" t="s">
        <v>56</v>
      </c>
      <c r="R471" s="26" t="s">
        <v>42</v>
      </c>
      <c r="S471" s="27" t="s">
        <v>3566</v>
      </c>
      <c r="T471" s="27"/>
      <c r="U471" s="35"/>
      <c r="V471" s="26"/>
      <c r="W471" s="26"/>
      <c r="X471" s="26"/>
    </row>
    <row r="472" ht="63.0" hidden="1" customHeight="1">
      <c r="A472" s="26">
        <v>472.0</v>
      </c>
      <c r="B472" s="188">
        <v>46184.0</v>
      </c>
      <c r="C472" s="26" t="s">
        <v>58</v>
      </c>
      <c r="D472" s="26" t="s">
        <v>57</v>
      </c>
      <c r="E472" s="26" t="s">
        <v>27</v>
      </c>
      <c r="F472" s="21">
        <v>5.53547945E8</v>
      </c>
      <c r="G472" s="26" t="s">
        <v>5151</v>
      </c>
      <c r="H472" s="27" t="s">
        <v>28</v>
      </c>
      <c r="I472" s="26" t="s">
        <v>27</v>
      </c>
      <c r="J472" s="209" t="s">
        <v>6363</v>
      </c>
      <c r="K472" s="27"/>
      <c r="L472" s="26" t="s">
        <v>36</v>
      </c>
      <c r="M472" s="27" t="s">
        <v>1399</v>
      </c>
      <c r="N472" s="26" t="s">
        <v>4746</v>
      </c>
      <c r="O472" s="26" t="s">
        <v>4746</v>
      </c>
      <c r="P472" s="35"/>
      <c r="Q472" s="26" t="s">
        <v>56</v>
      </c>
      <c r="R472" s="26" t="s">
        <v>42</v>
      </c>
      <c r="S472" s="27" t="s">
        <v>3566</v>
      </c>
      <c r="T472" s="27"/>
      <c r="U472" s="35"/>
      <c r="V472" s="26"/>
      <c r="W472" s="26"/>
      <c r="X472" s="26"/>
    </row>
    <row r="473" ht="15.0" hidden="1" customHeight="1">
      <c r="A473" s="26">
        <v>473.0</v>
      </c>
      <c r="B473" s="188">
        <v>46184.0</v>
      </c>
      <c r="C473" s="26" t="s">
        <v>21</v>
      </c>
      <c r="D473" s="26" t="s">
        <v>22</v>
      </c>
      <c r="E473" s="27" t="s">
        <v>6365</v>
      </c>
      <c r="F473" s="21">
        <v>5.48277413E8</v>
      </c>
      <c r="G473" s="26" t="s">
        <v>4740</v>
      </c>
      <c r="H473" s="27" t="s">
        <v>41</v>
      </c>
      <c r="I473" s="26" t="s">
        <v>27</v>
      </c>
      <c r="J473" s="209" t="s">
        <v>6366</v>
      </c>
      <c r="K473" s="27"/>
      <c r="L473" s="26" t="s">
        <v>36</v>
      </c>
      <c r="M473" s="27" t="s">
        <v>1389</v>
      </c>
      <c r="N473" s="26" t="s">
        <v>4870</v>
      </c>
      <c r="O473" s="26" t="s">
        <v>4746</v>
      </c>
      <c r="P473" s="35"/>
      <c r="Q473" s="26" t="s">
        <v>40</v>
      </c>
      <c r="R473" s="26" t="s">
        <v>3811</v>
      </c>
      <c r="S473" s="27" t="s">
        <v>3566</v>
      </c>
      <c r="T473" s="27"/>
      <c r="U473" s="35"/>
      <c r="V473" s="26"/>
      <c r="W473" s="26"/>
      <c r="X473" s="26" t="s">
        <v>46</v>
      </c>
    </row>
    <row r="474" ht="15.75" hidden="1" customHeight="1">
      <c r="A474" s="26">
        <v>474.0</v>
      </c>
      <c r="B474" s="188">
        <v>46184.0</v>
      </c>
      <c r="C474" s="26" t="s">
        <v>58</v>
      </c>
      <c r="D474" s="26" t="s">
        <v>22</v>
      </c>
      <c r="E474" s="27" t="s">
        <v>5567</v>
      </c>
      <c r="F474" s="36">
        <v>5.05647837E8</v>
      </c>
      <c r="G474" s="26" t="s">
        <v>5023</v>
      </c>
      <c r="H474" s="27" t="s">
        <v>5569</v>
      </c>
      <c r="I474" s="26" t="s">
        <v>27</v>
      </c>
      <c r="J474" s="209" t="s">
        <v>6370</v>
      </c>
      <c r="K474" s="27"/>
      <c r="L474" s="26" t="s">
        <v>36</v>
      </c>
      <c r="M474" s="27" t="s">
        <v>4868</v>
      </c>
      <c r="N474" s="26" t="s">
        <v>49</v>
      </c>
      <c r="O474" s="26" t="s">
        <v>4746</v>
      </c>
      <c r="P474" s="35"/>
      <c r="Q474" s="26" t="s">
        <v>40</v>
      </c>
      <c r="R474" s="26" t="s">
        <v>301</v>
      </c>
      <c r="S474" s="27" t="s">
        <v>3566</v>
      </c>
      <c r="T474" s="27"/>
      <c r="U474" s="35"/>
      <c r="V474" s="26"/>
      <c r="W474" s="26"/>
      <c r="X474" s="26"/>
    </row>
    <row r="475" ht="14.25" hidden="1" customHeight="1">
      <c r="A475" s="26">
        <v>475.0</v>
      </c>
      <c r="B475" s="188">
        <v>46184.0</v>
      </c>
      <c r="C475" s="26" t="s">
        <v>58</v>
      </c>
      <c r="D475" s="26" t="s">
        <v>22</v>
      </c>
      <c r="E475" s="27" t="s">
        <v>5567</v>
      </c>
      <c r="F475" s="36">
        <v>5.51567145E8</v>
      </c>
      <c r="G475" s="26" t="s">
        <v>5023</v>
      </c>
      <c r="H475" s="27" t="s">
        <v>5569</v>
      </c>
      <c r="I475" s="26" t="s">
        <v>27</v>
      </c>
      <c r="J475" s="209" t="s">
        <v>6373</v>
      </c>
      <c r="K475" s="27"/>
      <c r="L475" s="26" t="s">
        <v>36</v>
      </c>
      <c r="M475" s="27" t="s">
        <v>1389</v>
      </c>
      <c r="N475" s="26" t="s">
        <v>49</v>
      </c>
      <c r="O475" s="26" t="s">
        <v>4746</v>
      </c>
      <c r="P475" s="35"/>
      <c r="Q475" s="26" t="s">
        <v>40</v>
      </c>
      <c r="R475" s="26" t="s">
        <v>518</v>
      </c>
      <c r="S475" s="27" t="s">
        <v>3566</v>
      </c>
      <c r="T475" s="27"/>
      <c r="U475" s="35"/>
      <c r="V475" s="26"/>
      <c r="W475" s="26"/>
      <c r="X475" s="26"/>
    </row>
    <row r="476" ht="63.0" hidden="1" customHeight="1">
      <c r="A476" s="26">
        <v>476.0</v>
      </c>
      <c r="B476" s="188">
        <v>46184.0</v>
      </c>
      <c r="C476" s="26" t="s">
        <v>58</v>
      </c>
      <c r="D476" s="26" t="s">
        <v>57</v>
      </c>
      <c r="E476" s="26" t="s">
        <v>27</v>
      </c>
      <c r="F476" s="21">
        <v>5.53547945E8</v>
      </c>
      <c r="G476" s="26" t="s">
        <v>5151</v>
      </c>
      <c r="H476" s="27" t="s">
        <v>28</v>
      </c>
      <c r="I476" s="26" t="s">
        <v>27</v>
      </c>
      <c r="J476" s="209" t="s">
        <v>6363</v>
      </c>
      <c r="K476" s="27"/>
      <c r="L476" s="26" t="s">
        <v>36</v>
      </c>
      <c r="M476" s="27" t="s">
        <v>1399</v>
      </c>
      <c r="N476" s="26" t="s">
        <v>4746</v>
      </c>
      <c r="O476" s="26" t="s">
        <v>4746</v>
      </c>
      <c r="P476" s="35"/>
      <c r="Q476" s="26" t="s">
        <v>56</v>
      </c>
      <c r="R476" s="26" t="s">
        <v>42</v>
      </c>
      <c r="S476" s="27" t="s">
        <v>3566</v>
      </c>
      <c r="T476" s="27"/>
      <c r="U476" s="35"/>
      <c r="V476" s="26"/>
      <c r="W476" s="26"/>
      <c r="X476" s="26"/>
    </row>
    <row r="477" ht="15.0" hidden="1" customHeight="1">
      <c r="A477" s="26">
        <v>477.0</v>
      </c>
      <c r="B477" s="188">
        <v>46184.0</v>
      </c>
      <c r="C477" s="26" t="s">
        <v>21</v>
      </c>
      <c r="D477" s="26" t="s">
        <v>22</v>
      </c>
      <c r="E477" s="27" t="s">
        <v>6378</v>
      </c>
      <c r="F477" s="21">
        <v>5.34197763E8</v>
      </c>
      <c r="G477" s="26" t="s">
        <v>5023</v>
      </c>
      <c r="H477" s="27" t="s">
        <v>76</v>
      </c>
      <c r="I477" s="26" t="s">
        <v>27</v>
      </c>
      <c r="J477" s="209" t="s">
        <v>6379</v>
      </c>
      <c r="K477" s="27"/>
      <c r="L477" s="26" t="s">
        <v>36</v>
      </c>
      <c r="M477" s="27" t="s">
        <v>4868</v>
      </c>
      <c r="N477" s="26" t="s">
        <v>4870</v>
      </c>
      <c r="O477" s="26" t="s">
        <v>4746</v>
      </c>
      <c r="P477" s="35"/>
      <c r="Q477" s="26" t="s">
        <v>40</v>
      </c>
      <c r="R477" s="26" t="s">
        <v>42</v>
      </c>
      <c r="S477" s="27" t="s">
        <v>3566</v>
      </c>
      <c r="T477" s="27"/>
      <c r="U477" s="35"/>
      <c r="V477" s="26"/>
      <c r="W477" s="26"/>
      <c r="X477" s="26" t="s">
        <v>46</v>
      </c>
    </row>
    <row r="478" ht="77.25" hidden="1" customHeight="1">
      <c r="A478" s="26">
        <v>478.0</v>
      </c>
      <c r="B478" s="188">
        <v>46184.0</v>
      </c>
      <c r="C478" s="26" t="s">
        <v>47</v>
      </c>
      <c r="D478" s="26" t="s">
        <v>138</v>
      </c>
      <c r="E478" s="27" t="s">
        <v>6383</v>
      </c>
      <c r="F478" s="21">
        <v>5.07900306E8</v>
      </c>
      <c r="G478" s="26" t="s">
        <v>4740</v>
      </c>
      <c r="H478" s="27" t="s">
        <v>41</v>
      </c>
      <c r="I478" s="26" t="s">
        <v>146</v>
      </c>
      <c r="J478" s="209" t="s">
        <v>7291</v>
      </c>
      <c r="K478" s="27" t="s">
        <v>6386</v>
      </c>
      <c r="L478" s="26" t="s">
        <v>62</v>
      </c>
      <c r="M478" s="27" t="s">
        <v>713</v>
      </c>
      <c r="N478" s="26" t="s">
        <v>4917</v>
      </c>
      <c r="O478" s="26" t="s">
        <v>4746</v>
      </c>
      <c r="P478" s="35"/>
      <c r="Q478" s="26" t="s">
        <v>56</v>
      </c>
      <c r="R478" s="26" t="s">
        <v>518</v>
      </c>
      <c r="S478" s="27" t="s">
        <v>3566</v>
      </c>
      <c r="T478" s="27"/>
      <c r="U478" s="35"/>
      <c r="V478" s="26"/>
      <c r="W478" s="26"/>
      <c r="X478" s="26" t="s">
        <v>46</v>
      </c>
    </row>
    <row r="479" ht="15.0" hidden="1" customHeight="1">
      <c r="A479" s="26">
        <v>479.0</v>
      </c>
      <c r="B479" s="188">
        <v>46184.0</v>
      </c>
      <c r="C479" s="26" t="s">
        <v>21</v>
      </c>
      <c r="D479" s="26" t="s">
        <v>22</v>
      </c>
      <c r="E479" s="27" t="s">
        <v>6389</v>
      </c>
      <c r="F479" s="21">
        <v>5.04706555E8</v>
      </c>
      <c r="G479" s="26" t="s">
        <v>27</v>
      </c>
      <c r="H479" s="26" t="s">
        <v>27</v>
      </c>
      <c r="I479" s="26" t="s">
        <v>27</v>
      </c>
      <c r="J479" s="209" t="s">
        <v>6390</v>
      </c>
      <c r="K479" s="27"/>
      <c r="L479" s="26" t="s">
        <v>36</v>
      </c>
      <c r="M479" s="27" t="s">
        <v>1389</v>
      </c>
      <c r="N479" s="26" t="s">
        <v>4870</v>
      </c>
      <c r="O479" s="26" t="s">
        <v>4746</v>
      </c>
      <c r="P479" s="35"/>
      <c r="Q479" s="26" t="s">
        <v>40</v>
      </c>
      <c r="R479" s="26" t="s">
        <v>301</v>
      </c>
      <c r="S479" s="27" t="s">
        <v>3566</v>
      </c>
      <c r="T479" s="27"/>
      <c r="U479" s="35"/>
      <c r="V479" s="26"/>
      <c r="W479" s="26"/>
      <c r="X479" s="26" t="s">
        <v>46</v>
      </c>
    </row>
    <row r="480" ht="36.0" hidden="1" customHeight="1">
      <c r="A480" s="26">
        <v>480.0</v>
      </c>
      <c r="B480" s="188">
        <v>46184.0</v>
      </c>
      <c r="C480" s="26" t="s">
        <v>47</v>
      </c>
      <c r="D480" s="26" t="s">
        <v>48</v>
      </c>
      <c r="E480" s="27" t="s">
        <v>6393</v>
      </c>
      <c r="F480" s="21">
        <v>5.51966599E8</v>
      </c>
      <c r="G480" s="26" t="s">
        <v>4769</v>
      </c>
      <c r="H480" s="27" t="s">
        <v>2580</v>
      </c>
      <c r="I480" s="26" t="s">
        <v>1114</v>
      </c>
      <c r="J480" s="209" t="s">
        <v>7296</v>
      </c>
      <c r="K480" s="27"/>
      <c r="L480" s="26" t="s">
        <v>36</v>
      </c>
      <c r="M480" s="27" t="s">
        <v>5011</v>
      </c>
      <c r="N480" s="26" t="s">
        <v>4977</v>
      </c>
      <c r="O480" s="26" t="s">
        <v>4746</v>
      </c>
      <c r="P480" s="35">
        <v>0.6111111111111112</v>
      </c>
      <c r="Q480" s="26" t="s">
        <v>40</v>
      </c>
      <c r="R480" s="26" t="s">
        <v>518</v>
      </c>
      <c r="S480" s="27" t="s">
        <v>3765</v>
      </c>
      <c r="T480" s="27" t="s">
        <v>3765</v>
      </c>
      <c r="U480" s="35">
        <v>0.6055555555555555</v>
      </c>
      <c r="V480" s="26" t="s">
        <v>44</v>
      </c>
      <c r="W480" s="26">
        <v>5.0</v>
      </c>
      <c r="X480" s="26" t="s">
        <v>46</v>
      </c>
    </row>
    <row r="481" ht="75.75" hidden="1" customHeight="1">
      <c r="A481" s="26">
        <v>481.0</v>
      </c>
      <c r="B481" s="188">
        <v>46184.0</v>
      </c>
      <c r="C481" s="26" t="s">
        <v>47</v>
      </c>
      <c r="D481" s="26" t="s">
        <v>92</v>
      </c>
      <c r="E481" s="27" t="s">
        <v>6397</v>
      </c>
      <c r="F481" s="36">
        <v>5.53335447E8</v>
      </c>
      <c r="G481" s="26" t="s">
        <v>5151</v>
      </c>
      <c r="H481" s="27" t="s">
        <v>28</v>
      </c>
      <c r="I481" s="26" t="s">
        <v>5830</v>
      </c>
      <c r="J481" s="209" t="s">
        <v>7299</v>
      </c>
      <c r="K481" s="27"/>
      <c r="L481" s="26" t="s">
        <v>36</v>
      </c>
      <c r="M481" s="27" t="s">
        <v>1473</v>
      </c>
      <c r="N481" s="26" t="s">
        <v>4637</v>
      </c>
      <c r="O481" s="26" t="s">
        <v>4746</v>
      </c>
      <c r="P481" s="35">
        <v>0.6208333333333333</v>
      </c>
      <c r="Q481" s="26" t="s">
        <v>40</v>
      </c>
      <c r="R481" s="26" t="s">
        <v>301</v>
      </c>
      <c r="S481" s="27" t="s">
        <v>3566</v>
      </c>
      <c r="T481" s="27" t="s">
        <v>3997</v>
      </c>
      <c r="U481" s="26" t="s">
        <v>27</v>
      </c>
      <c r="V481" s="26" t="s">
        <v>49</v>
      </c>
      <c r="W481" s="26"/>
      <c r="X481" s="26" t="s">
        <v>46</v>
      </c>
    </row>
    <row r="482" ht="63.0" hidden="1" customHeight="1">
      <c r="A482" s="26">
        <v>482.0</v>
      </c>
      <c r="B482" s="188">
        <v>46187.0</v>
      </c>
      <c r="C482" s="26" t="s">
        <v>21</v>
      </c>
      <c r="D482" s="26" t="s">
        <v>22</v>
      </c>
      <c r="E482" s="27" t="s">
        <v>6403</v>
      </c>
      <c r="F482" s="21">
        <v>5.67529094E8</v>
      </c>
      <c r="G482" s="26" t="s">
        <v>4865</v>
      </c>
      <c r="H482" s="27" t="s">
        <v>319</v>
      </c>
      <c r="I482" s="26" t="s">
        <v>27</v>
      </c>
      <c r="J482" s="209" t="s">
        <v>6404</v>
      </c>
      <c r="K482" s="27"/>
      <c r="L482" s="26" t="s">
        <v>321</v>
      </c>
      <c r="M482" s="27" t="s">
        <v>4868</v>
      </c>
      <c r="N482" s="26" t="s">
        <v>4870</v>
      </c>
      <c r="O482" s="26" t="s">
        <v>49</v>
      </c>
      <c r="P482" s="35"/>
      <c r="Q482" s="26" t="s">
        <v>40</v>
      </c>
      <c r="R482" s="26" t="s">
        <v>42</v>
      </c>
      <c r="S482" s="27" t="s">
        <v>3566</v>
      </c>
      <c r="T482" s="27"/>
      <c r="U482" s="35"/>
      <c r="V482" s="26"/>
      <c r="W482" s="26"/>
      <c r="X482" s="26" t="s">
        <v>46</v>
      </c>
    </row>
    <row r="483" ht="15.0" hidden="1" customHeight="1">
      <c r="A483" s="26">
        <v>483.0</v>
      </c>
      <c r="B483" s="188">
        <v>46187.0</v>
      </c>
      <c r="C483" s="26" t="s">
        <v>21</v>
      </c>
      <c r="D483" s="26" t="s">
        <v>34</v>
      </c>
      <c r="E483" s="26" t="s">
        <v>27</v>
      </c>
      <c r="F483" s="21">
        <v>5.3635325E8</v>
      </c>
      <c r="G483" s="26" t="s">
        <v>27</v>
      </c>
      <c r="H483" s="26" t="s">
        <v>27</v>
      </c>
      <c r="I483" s="26" t="s">
        <v>27</v>
      </c>
      <c r="J483" s="209" t="s">
        <v>643</v>
      </c>
      <c r="K483" s="27"/>
      <c r="L483" s="26" t="s">
        <v>36</v>
      </c>
      <c r="M483" s="27" t="s">
        <v>51</v>
      </c>
      <c r="N483" s="26" t="s">
        <v>4746</v>
      </c>
      <c r="O483" s="26" t="s">
        <v>4746</v>
      </c>
      <c r="P483" s="35">
        <v>0.6458333333333334</v>
      </c>
      <c r="Q483" s="26" t="s">
        <v>56</v>
      </c>
      <c r="R483" s="26" t="s">
        <v>42</v>
      </c>
      <c r="S483" s="27" t="s">
        <v>3566</v>
      </c>
      <c r="T483" s="27"/>
      <c r="U483" s="35"/>
      <c r="V483" s="26"/>
      <c r="W483" s="26"/>
      <c r="X483" s="26"/>
    </row>
    <row r="484" ht="15.0" hidden="1" customHeight="1">
      <c r="A484" s="26">
        <v>484.0</v>
      </c>
      <c r="B484" s="188">
        <v>46187.0</v>
      </c>
      <c r="C484" s="26" t="s">
        <v>21</v>
      </c>
      <c r="D484" s="26" t="s">
        <v>22</v>
      </c>
      <c r="E484" s="27" t="s">
        <v>6407</v>
      </c>
      <c r="F484" s="21">
        <v>5.65783638E8</v>
      </c>
      <c r="G484" s="26" t="s">
        <v>4865</v>
      </c>
      <c r="H484" s="27" t="s">
        <v>319</v>
      </c>
      <c r="I484" s="26" t="s">
        <v>27</v>
      </c>
      <c r="J484" s="209" t="s">
        <v>1389</v>
      </c>
      <c r="K484" s="27"/>
      <c r="L484" s="26" t="s">
        <v>36</v>
      </c>
      <c r="M484" s="27" t="s">
        <v>1389</v>
      </c>
      <c r="N484" s="26" t="s">
        <v>4870</v>
      </c>
      <c r="O484" s="26" t="s">
        <v>4746</v>
      </c>
      <c r="P484" s="35">
        <v>0.6638888888888889</v>
      </c>
      <c r="Q484" s="26" t="s">
        <v>40</v>
      </c>
      <c r="R484" s="26" t="s">
        <v>42</v>
      </c>
      <c r="S484" s="27" t="s">
        <v>3566</v>
      </c>
      <c r="T484" s="27"/>
      <c r="U484" s="35"/>
      <c r="V484" s="26"/>
      <c r="W484" s="26"/>
      <c r="X484" s="26" t="s">
        <v>46</v>
      </c>
    </row>
    <row r="485" ht="15.0" hidden="1" customHeight="1">
      <c r="A485" s="26">
        <v>485.0</v>
      </c>
      <c r="B485" s="188">
        <v>46187.0</v>
      </c>
      <c r="C485" s="26" t="s">
        <v>58</v>
      </c>
      <c r="D485" s="26" t="s">
        <v>60</v>
      </c>
      <c r="E485" s="27" t="s">
        <v>6412</v>
      </c>
      <c r="F485" s="21">
        <v>5.44485907E8</v>
      </c>
      <c r="G485" s="26" t="s">
        <v>4740</v>
      </c>
      <c r="H485" s="27" t="s">
        <v>41</v>
      </c>
      <c r="I485" s="26" t="s">
        <v>222</v>
      </c>
      <c r="J485" s="209" t="s">
        <v>6413</v>
      </c>
      <c r="K485" s="27" t="s">
        <v>6414</v>
      </c>
      <c r="L485" s="26" t="s">
        <v>36</v>
      </c>
      <c r="M485" s="27" t="s">
        <v>88</v>
      </c>
      <c r="N485" s="26" t="s">
        <v>4746</v>
      </c>
      <c r="O485" s="26" t="s">
        <v>4746</v>
      </c>
      <c r="P485" s="35">
        <v>0.6680555555555555</v>
      </c>
      <c r="Q485" s="26" t="s">
        <v>56</v>
      </c>
      <c r="R485" s="26" t="s">
        <v>42</v>
      </c>
      <c r="S485" s="27" t="s">
        <v>3566</v>
      </c>
      <c r="T485" s="27"/>
      <c r="U485" s="35"/>
      <c r="V485" s="26" t="s">
        <v>44</v>
      </c>
      <c r="W485" s="26"/>
      <c r="X485" s="26"/>
    </row>
    <row r="486" ht="42.75" hidden="1" customHeight="1">
      <c r="A486" s="26">
        <v>486.0</v>
      </c>
      <c r="B486" s="188">
        <v>46187.0</v>
      </c>
      <c r="C486" s="26" t="s">
        <v>47</v>
      </c>
      <c r="D486" s="26" t="s">
        <v>48</v>
      </c>
      <c r="E486" s="27" t="s">
        <v>6416</v>
      </c>
      <c r="F486" s="21">
        <v>5.54160982E8</v>
      </c>
      <c r="G486" s="26" t="s">
        <v>4740</v>
      </c>
      <c r="H486" s="27" t="s">
        <v>41</v>
      </c>
      <c r="I486" s="26" t="s">
        <v>263</v>
      </c>
      <c r="J486" s="209" t="s">
        <v>6419</v>
      </c>
      <c r="K486" s="27" t="s">
        <v>6420</v>
      </c>
      <c r="L486" s="26" t="s">
        <v>36</v>
      </c>
      <c r="M486" s="275" t="s">
        <v>5441</v>
      </c>
      <c r="N486" s="26" t="s">
        <v>4977</v>
      </c>
      <c r="O486" s="26" t="s">
        <v>4746</v>
      </c>
      <c r="P486" s="35">
        <v>0.6993055555555555</v>
      </c>
      <c r="Q486" s="26" t="s">
        <v>56</v>
      </c>
      <c r="R486" s="26" t="s">
        <v>3811</v>
      </c>
      <c r="S486" s="27" t="s">
        <v>3566</v>
      </c>
      <c r="T486" s="27" t="s">
        <v>3566</v>
      </c>
      <c r="U486" s="35">
        <v>0.7652777777777777</v>
      </c>
      <c r="V486" s="26" t="s">
        <v>44</v>
      </c>
      <c r="W486" s="26"/>
      <c r="X486" s="26" t="s">
        <v>46</v>
      </c>
    </row>
    <row r="487" ht="37.5" hidden="1" customHeight="1">
      <c r="A487" s="26">
        <v>487.0</v>
      </c>
      <c r="B487" s="188">
        <v>46187.0</v>
      </c>
      <c r="C487" s="26" t="s">
        <v>21</v>
      </c>
      <c r="D487" s="26" t="s">
        <v>22</v>
      </c>
      <c r="E487" s="27" t="s">
        <v>6421</v>
      </c>
      <c r="F487" s="21">
        <v>5.46681556E8</v>
      </c>
      <c r="G487" s="26" t="s">
        <v>4740</v>
      </c>
      <c r="H487" s="27" t="s">
        <v>79</v>
      </c>
      <c r="I487" s="26" t="s">
        <v>27</v>
      </c>
      <c r="J487" s="209" t="s">
        <v>6422</v>
      </c>
      <c r="K487" s="27"/>
      <c r="L487" s="26" t="s">
        <v>62</v>
      </c>
      <c r="M487" s="27" t="s">
        <v>4868</v>
      </c>
      <c r="N487" s="26" t="s">
        <v>4870</v>
      </c>
      <c r="O487" s="26" t="s">
        <v>4746</v>
      </c>
      <c r="P487" s="35">
        <v>0.6791666666666667</v>
      </c>
      <c r="Q487" s="26" t="s">
        <v>40</v>
      </c>
      <c r="R487" s="26" t="s">
        <v>42</v>
      </c>
      <c r="S487" s="27" t="s">
        <v>3566</v>
      </c>
      <c r="T487" s="27"/>
      <c r="U487" s="35"/>
      <c r="V487" s="26"/>
      <c r="W487" s="26"/>
      <c r="X487" s="26" t="s">
        <v>46</v>
      </c>
    </row>
    <row r="488" ht="28.5" hidden="1" customHeight="1">
      <c r="A488" s="26">
        <v>488.0</v>
      </c>
      <c r="B488" s="188">
        <v>46187.0</v>
      </c>
      <c r="C488" s="26" t="s">
        <v>58</v>
      </c>
      <c r="D488" s="26" t="s">
        <v>57</v>
      </c>
      <c r="E488" s="27" t="s">
        <v>6426</v>
      </c>
      <c r="F488" s="21">
        <v>5.33149396E8</v>
      </c>
      <c r="G488" s="26" t="s">
        <v>4740</v>
      </c>
      <c r="H488" s="27" t="s">
        <v>41</v>
      </c>
      <c r="I488" s="26" t="s">
        <v>27</v>
      </c>
      <c r="J488" s="209" t="s">
        <v>6427</v>
      </c>
      <c r="K488" s="27"/>
      <c r="L488" s="26" t="s">
        <v>36</v>
      </c>
      <c r="M488" s="27" t="s">
        <v>1399</v>
      </c>
      <c r="N488" s="26" t="s">
        <v>4746</v>
      </c>
      <c r="O488" s="26" t="s">
        <v>4746</v>
      </c>
      <c r="P488" s="35">
        <v>0.3472222222222222</v>
      </c>
      <c r="Q488" s="26" t="s">
        <v>56</v>
      </c>
      <c r="R488" s="26" t="s">
        <v>42</v>
      </c>
      <c r="S488" s="27" t="s">
        <v>3566</v>
      </c>
      <c r="T488" s="27"/>
      <c r="U488" s="35"/>
      <c r="V488" s="26"/>
      <c r="W488" s="26"/>
      <c r="X488" s="26"/>
    </row>
    <row r="489" ht="15.75" hidden="1" customHeight="1">
      <c r="A489" s="26">
        <v>489.0</v>
      </c>
      <c r="B489" s="188">
        <v>46187.0</v>
      </c>
      <c r="C489" s="26" t="s">
        <v>21</v>
      </c>
      <c r="D489" s="26" t="s">
        <v>22</v>
      </c>
      <c r="E489" s="27" t="s">
        <v>2724</v>
      </c>
      <c r="F489" s="21">
        <v>5.58554436E8</v>
      </c>
      <c r="G489" s="26" t="s">
        <v>4740</v>
      </c>
      <c r="H489" s="27" t="s">
        <v>41</v>
      </c>
      <c r="I489" s="26" t="s">
        <v>27</v>
      </c>
      <c r="J489" s="209" t="s">
        <v>6431</v>
      </c>
      <c r="K489" s="27"/>
      <c r="L489" s="26" t="s">
        <v>36</v>
      </c>
      <c r="M489" s="27" t="s">
        <v>1389</v>
      </c>
      <c r="N489" s="26" t="s">
        <v>4870</v>
      </c>
      <c r="O489" s="26" t="s">
        <v>4746</v>
      </c>
      <c r="P489" s="35">
        <v>0.35347222222222224</v>
      </c>
      <c r="Q489" s="26" t="s">
        <v>40</v>
      </c>
      <c r="R489" s="26" t="s">
        <v>518</v>
      </c>
      <c r="S489" s="27" t="s">
        <v>3566</v>
      </c>
      <c r="T489" s="27"/>
      <c r="U489" s="35"/>
      <c r="V489" s="26"/>
      <c r="W489" s="26"/>
      <c r="X489" s="26" t="s">
        <v>46</v>
      </c>
    </row>
    <row r="490" hidden="1">
      <c r="A490" s="26">
        <v>490.0</v>
      </c>
      <c r="B490" s="188">
        <v>46187.0</v>
      </c>
      <c r="C490" s="26" t="s">
        <v>47</v>
      </c>
      <c r="D490" s="26" t="s">
        <v>48</v>
      </c>
      <c r="E490" s="27" t="s">
        <v>6436</v>
      </c>
      <c r="F490" s="21" t="s">
        <v>27</v>
      </c>
      <c r="G490" s="26" t="s">
        <v>4740</v>
      </c>
      <c r="H490" s="27" t="s">
        <v>41</v>
      </c>
      <c r="I490" s="26" t="s">
        <v>222</v>
      </c>
      <c r="J490" s="209" t="s">
        <v>6437</v>
      </c>
      <c r="K490" s="27" t="s">
        <v>6438</v>
      </c>
      <c r="L490" s="26" t="s">
        <v>78</v>
      </c>
      <c r="M490" s="275" t="s">
        <v>4232</v>
      </c>
      <c r="N490" s="26" t="s">
        <v>4977</v>
      </c>
      <c r="O490" s="26" t="s">
        <v>49</v>
      </c>
      <c r="P490" s="35"/>
      <c r="Q490" s="26" t="s">
        <v>56</v>
      </c>
      <c r="R490" s="26" t="s">
        <v>518</v>
      </c>
      <c r="S490" s="27" t="s">
        <v>3765</v>
      </c>
      <c r="T490" s="27"/>
      <c r="U490" s="35"/>
      <c r="V490" s="26"/>
      <c r="W490" s="26"/>
      <c r="X490" s="26" t="s">
        <v>46</v>
      </c>
    </row>
    <row r="491" ht="31.5" hidden="1" customHeight="1">
      <c r="A491" s="26">
        <v>491.0</v>
      </c>
      <c r="B491" s="188">
        <v>46187.0</v>
      </c>
      <c r="C491" s="26" t="s">
        <v>47</v>
      </c>
      <c r="D491" s="26" t="s">
        <v>367</v>
      </c>
      <c r="E491" s="26" t="s">
        <v>6441</v>
      </c>
      <c r="F491" s="21" t="s">
        <v>27</v>
      </c>
      <c r="G491" s="26" t="s">
        <v>4740</v>
      </c>
      <c r="H491" s="27" t="s">
        <v>41</v>
      </c>
      <c r="I491" s="26" t="s">
        <v>956</v>
      </c>
      <c r="J491" s="209" t="s">
        <v>6442</v>
      </c>
      <c r="K491" s="27" t="s">
        <v>6443</v>
      </c>
      <c r="L491" s="26" t="s">
        <v>78</v>
      </c>
      <c r="M491" s="20" t="s">
        <v>1273</v>
      </c>
      <c r="N491" s="26" t="s">
        <v>4917</v>
      </c>
      <c r="O491" s="26" t="s">
        <v>49</v>
      </c>
      <c r="P491" s="35"/>
      <c r="Q491" s="26" t="s">
        <v>56</v>
      </c>
      <c r="R491" s="26" t="s">
        <v>301</v>
      </c>
      <c r="S491" s="27" t="s">
        <v>3566</v>
      </c>
      <c r="T491" s="27"/>
      <c r="U491" s="35"/>
      <c r="V491" s="26"/>
      <c r="W491" s="26"/>
      <c r="X491" s="26" t="s">
        <v>46</v>
      </c>
    </row>
    <row r="492" hidden="1">
      <c r="A492" s="26">
        <v>492.0</v>
      </c>
      <c r="B492" s="188">
        <v>46187.0</v>
      </c>
      <c r="C492" s="26" t="s">
        <v>47</v>
      </c>
      <c r="D492" s="26" t="s">
        <v>92</v>
      </c>
      <c r="E492" s="26" t="s">
        <v>3130</v>
      </c>
      <c r="F492" s="21" t="s">
        <v>27</v>
      </c>
      <c r="G492" s="26" t="s">
        <v>5151</v>
      </c>
      <c r="H492" s="27" t="s">
        <v>28</v>
      </c>
      <c r="I492" s="26" t="s">
        <v>777</v>
      </c>
      <c r="J492" s="209" t="s">
        <v>6447</v>
      </c>
      <c r="K492" s="27"/>
      <c r="L492" s="26" t="s">
        <v>78</v>
      </c>
      <c r="M492" s="27" t="s">
        <v>5011</v>
      </c>
      <c r="N492" s="26" t="s">
        <v>4637</v>
      </c>
      <c r="O492" s="26" t="s">
        <v>49</v>
      </c>
      <c r="P492" s="35"/>
      <c r="Q492" s="26" t="s">
        <v>40</v>
      </c>
      <c r="R492" s="26" t="s">
        <v>42</v>
      </c>
      <c r="S492" s="27" t="s">
        <v>3566</v>
      </c>
      <c r="T492" s="27"/>
      <c r="U492" s="35"/>
      <c r="V492" s="26"/>
      <c r="W492" s="26"/>
      <c r="X492" s="26" t="s">
        <v>46</v>
      </c>
    </row>
    <row r="493" hidden="1">
      <c r="A493" s="26">
        <v>493.0</v>
      </c>
      <c r="B493" s="188">
        <v>46187.0</v>
      </c>
      <c r="C493" s="26" t="s">
        <v>47</v>
      </c>
      <c r="D493" s="26" t="s">
        <v>92</v>
      </c>
      <c r="E493" s="26" t="s">
        <v>6450</v>
      </c>
      <c r="F493" s="21" t="s">
        <v>27</v>
      </c>
      <c r="G493" s="26" t="s">
        <v>5151</v>
      </c>
      <c r="H493" s="27" t="s">
        <v>28</v>
      </c>
      <c r="I493" s="26" t="s">
        <v>777</v>
      </c>
      <c r="J493" s="209" t="s">
        <v>6451</v>
      </c>
      <c r="K493" s="27"/>
      <c r="L493" s="26" t="s">
        <v>78</v>
      </c>
      <c r="M493" s="27" t="s">
        <v>2143</v>
      </c>
      <c r="N493" s="26" t="s">
        <v>4637</v>
      </c>
      <c r="O493" s="26" t="s">
        <v>49</v>
      </c>
      <c r="P493" s="35"/>
      <c r="Q493" s="26" t="s">
        <v>40</v>
      </c>
      <c r="R493" s="26" t="s">
        <v>42</v>
      </c>
      <c r="S493" s="27" t="s">
        <v>3566</v>
      </c>
      <c r="T493" s="27"/>
      <c r="U493" s="35"/>
      <c r="V493" s="26"/>
      <c r="W493" s="26"/>
      <c r="X493" s="26" t="s">
        <v>46</v>
      </c>
    </row>
    <row r="494" hidden="1">
      <c r="A494" s="26">
        <v>494.0</v>
      </c>
      <c r="B494" s="188">
        <v>46187.0</v>
      </c>
      <c r="C494" s="26" t="s">
        <v>47</v>
      </c>
      <c r="D494" s="26" t="s">
        <v>48</v>
      </c>
      <c r="E494" s="26" t="s">
        <v>6455</v>
      </c>
      <c r="F494" s="21" t="s">
        <v>27</v>
      </c>
      <c r="G494" s="26" t="s">
        <v>4740</v>
      </c>
      <c r="H494" s="27" t="s">
        <v>79</v>
      </c>
      <c r="I494" s="26" t="s">
        <v>2109</v>
      </c>
      <c r="J494" s="209" t="s">
        <v>6456</v>
      </c>
      <c r="K494" s="27"/>
      <c r="L494" s="26" t="s">
        <v>78</v>
      </c>
      <c r="M494" s="27" t="s">
        <v>5011</v>
      </c>
      <c r="N494" s="26" t="s">
        <v>4977</v>
      </c>
      <c r="O494" s="26" t="s">
        <v>49</v>
      </c>
      <c r="P494" s="35"/>
      <c r="Q494" s="26" t="s">
        <v>40</v>
      </c>
      <c r="R494" s="26" t="s">
        <v>518</v>
      </c>
      <c r="S494" s="27" t="s">
        <v>3765</v>
      </c>
      <c r="T494" s="27"/>
      <c r="U494" s="35"/>
      <c r="V494" s="26"/>
      <c r="W494" s="26"/>
      <c r="X494" s="26" t="s">
        <v>46</v>
      </c>
    </row>
    <row r="495" hidden="1">
      <c r="A495" s="26">
        <v>495.0</v>
      </c>
      <c r="B495" s="188">
        <v>46187.0</v>
      </c>
      <c r="C495" s="26" t="s">
        <v>47</v>
      </c>
      <c r="D495" s="26" t="s">
        <v>48</v>
      </c>
      <c r="E495" s="26" t="s">
        <v>27</v>
      </c>
      <c r="F495" s="21" t="s">
        <v>27</v>
      </c>
      <c r="G495" s="26" t="s">
        <v>4740</v>
      </c>
      <c r="H495" s="27" t="s">
        <v>79</v>
      </c>
      <c r="I495" s="26" t="s">
        <v>142</v>
      </c>
      <c r="J495" s="209" t="s">
        <v>6461</v>
      </c>
      <c r="K495" s="27" t="s">
        <v>6462</v>
      </c>
      <c r="L495" s="26" t="s">
        <v>78</v>
      </c>
      <c r="M495" s="27" t="s">
        <v>5011</v>
      </c>
      <c r="N495" s="26" t="s">
        <v>4977</v>
      </c>
      <c r="O495" s="26" t="s">
        <v>49</v>
      </c>
      <c r="P495" s="35"/>
      <c r="Q495" s="26" t="s">
        <v>56</v>
      </c>
      <c r="R495" s="26" t="s">
        <v>518</v>
      </c>
      <c r="S495" s="27" t="s">
        <v>3765</v>
      </c>
      <c r="T495" s="27"/>
      <c r="U495" s="35"/>
      <c r="V495" s="26"/>
      <c r="W495" s="26"/>
      <c r="X495" s="26" t="s">
        <v>46</v>
      </c>
    </row>
    <row r="496" hidden="1">
      <c r="A496" s="26">
        <v>496.0</v>
      </c>
      <c r="B496" s="188">
        <v>46187.0</v>
      </c>
      <c r="C496" s="26" t="s">
        <v>21</v>
      </c>
      <c r="D496" s="26" t="s">
        <v>22</v>
      </c>
      <c r="E496" s="27" t="s">
        <v>6465</v>
      </c>
      <c r="F496" s="21">
        <v>5.00770606E8</v>
      </c>
      <c r="G496" s="26" t="s">
        <v>4975</v>
      </c>
      <c r="H496" s="27" t="s">
        <v>362</v>
      </c>
      <c r="I496" s="26" t="s">
        <v>27</v>
      </c>
      <c r="J496" s="209" t="s">
        <v>6467</v>
      </c>
      <c r="K496" s="27"/>
      <c r="L496" s="26" t="s">
        <v>62</v>
      </c>
      <c r="M496" s="27" t="s">
        <v>4868</v>
      </c>
      <c r="N496" s="26" t="s">
        <v>4870</v>
      </c>
      <c r="O496" s="26" t="s">
        <v>4746</v>
      </c>
      <c r="P496" s="35">
        <v>0.3680555555555556</v>
      </c>
      <c r="Q496" s="26" t="s">
        <v>40</v>
      </c>
      <c r="R496" s="26" t="s">
        <v>42</v>
      </c>
      <c r="S496" s="27" t="s">
        <v>3566</v>
      </c>
      <c r="T496" s="27"/>
      <c r="U496" s="35"/>
      <c r="V496" s="26"/>
      <c r="W496" s="26"/>
      <c r="X496" s="26" t="s">
        <v>46</v>
      </c>
    </row>
    <row r="497" hidden="1">
      <c r="A497" s="26">
        <v>497.0</v>
      </c>
      <c r="B497" s="188">
        <v>46187.0</v>
      </c>
      <c r="C497" s="26" t="s">
        <v>21</v>
      </c>
      <c r="D497" s="26" t="s">
        <v>24</v>
      </c>
      <c r="E497" s="27" t="s">
        <v>6470</v>
      </c>
      <c r="F497" s="21">
        <v>5.34964627E8</v>
      </c>
      <c r="G497" s="26" t="s">
        <v>4740</v>
      </c>
      <c r="H497" s="27" t="s">
        <v>41</v>
      </c>
      <c r="I497" s="26" t="s">
        <v>27</v>
      </c>
      <c r="J497" s="209" t="s">
        <v>6471</v>
      </c>
      <c r="K497" s="27"/>
      <c r="L497" s="26" t="s">
        <v>62</v>
      </c>
      <c r="M497" s="27" t="s">
        <v>5046</v>
      </c>
      <c r="N497" s="26" t="s">
        <v>4803</v>
      </c>
      <c r="O497" s="26" t="s">
        <v>4746</v>
      </c>
      <c r="P497" s="35">
        <v>0.3680555555555556</v>
      </c>
      <c r="Q497" s="26" t="s">
        <v>56</v>
      </c>
      <c r="R497" s="26" t="s">
        <v>42</v>
      </c>
      <c r="S497" s="27" t="s">
        <v>3566</v>
      </c>
      <c r="T497" s="27"/>
      <c r="U497" s="35">
        <v>0.4166666666666667</v>
      </c>
      <c r="V497" s="26" t="s">
        <v>44</v>
      </c>
      <c r="W497" s="26">
        <v>5.0</v>
      </c>
      <c r="X497" s="26" t="s">
        <v>46</v>
      </c>
    </row>
    <row r="498" hidden="1">
      <c r="A498" s="26">
        <v>498.0</v>
      </c>
      <c r="B498" s="188">
        <v>46187.0</v>
      </c>
      <c r="C498" s="26" t="s">
        <v>21</v>
      </c>
      <c r="D498" s="26" t="s">
        <v>22</v>
      </c>
      <c r="E498" s="27" t="s">
        <v>463</v>
      </c>
      <c r="F498" s="21">
        <v>5.65959991E8</v>
      </c>
      <c r="G498" s="26" t="s">
        <v>4865</v>
      </c>
      <c r="H498" s="27" t="s">
        <v>394</v>
      </c>
      <c r="I498" s="26" t="s">
        <v>27</v>
      </c>
      <c r="J498" s="209" t="s">
        <v>6474</v>
      </c>
      <c r="K498" s="27"/>
      <c r="L498" s="26" t="s">
        <v>62</v>
      </c>
      <c r="M498" s="27" t="s">
        <v>1389</v>
      </c>
      <c r="N498" s="26" t="s">
        <v>4870</v>
      </c>
      <c r="O498" s="26" t="s">
        <v>4746</v>
      </c>
      <c r="P498" s="35">
        <v>0.3680555555555556</v>
      </c>
      <c r="Q498" s="26" t="s">
        <v>40</v>
      </c>
      <c r="R498" s="26" t="s">
        <v>3811</v>
      </c>
      <c r="S498" s="27" t="s">
        <v>3566</v>
      </c>
      <c r="T498" s="27"/>
      <c r="U498" s="35"/>
      <c r="V498" s="26"/>
      <c r="W498" s="26"/>
      <c r="X498" s="26" t="s">
        <v>46</v>
      </c>
    </row>
    <row r="499" hidden="1">
      <c r="A499" s="26">
        <v>499.0</v>
      </c>
      <c r="B499" s="188">
        <v>46187.0</v>
      </c>
      <c r="C499" s="26" t="s">
        <v>58</v>
      </c>
      <c r="D499" s="26" t="s">
        <v>60</v>
      </c>
      <c r="E499" s="26" t="s">
        <v>6476</v>
      </c>
      <c r="F499" s="21">
        <v>5.57553088E8</v>
      </c>
      <c r="G499" s="26" t="s">
        <v>27</v>
      </c>
      <c r="H499" s="26" t="s">
        <v>27</v>
      </c>
      <c r="I499" s="26" t="s">
        <v>27</v>
      </c>
      <c r="J499" s="453"/>
      <c r="K499" s="27"/>
      <c r="L499" s="26" t="s">
        <v>62</v>
      </c>
      <c r="M499" s="27" t="s">
        <v>88</v>
      </c>
      <c r="N499" s="26" t="s">
        <v>4746</v>
      </c>
      <c r="O499" s="26" t="s">
        <v>4746</v>
      </c>
      <c r="P499" s="35">
        <v>0.3680555555555556</v>
      </c>
      <c r="Q499" s="26" t="s">
        <v>56</v>
      </c>
      <c r="R499" s="26" t="s">
        <v>42</v>
      </c>
      <c r="S499" s="27" t="s">
        <v>3566</v>
      </c>
      <c r="T499" s="27"/>
      <c r="U499" s="35"/>
      <c r="V499" s="26"/>
      <c r="W499" s="26"/>
      <c r="X499" s="26"/>
    </row>
    <row r="500" hidden="1">
      <c r="A500" s="26">
        <v>500.0</v>
      </c>
      <c r="B500" s="188">
        <v>46187.0</v>
      </c>
      <c r="C500" s="26" t="s">
        <v>21</v>
      </c>
      <c r="D500" s="26" t="s">
        <v>22</v>
      </c>
      <c r="E500" s="27" t="s">
        <v>6479</v>
      </c>
      <c r="F500" s="21">
        <v>5.8333202E8</v>
      </c>
      <c r="G500" s="26" t="s">
        <v>4740</v>
      </c>
      <c r="H500" s="27" t="s">
        <v>41</v>
      </c>
      <c r="I500" s="26" t="s">
        <v>27</v>
      </c>
      <c r="J500" s="209" t="s">
        <v>6481</v>
      </c>
      <c r="K500" s="27"/>
      <c r="L500" s="26" t="s">
        <v>62</v>
      </c>
      <c r="M500" s="27" t="s">
        <v>4868</v>
      </c>
      <c r="N500" s="26" t="s">
        <v>4870</v>
      </c>
      <c r="O500" s="26" t="s">
        <v>4746</v>
      </c>
      <c r="P500" s="35">
        <v>0.3680555555555556</v>
      </c>
      <c r="Q500" s="26" t="s">
        <v>40</v>
      </c>
      <c r="R500" s="26" t="s">
        <v>518</v>
      </c>
      <c r="S500" s="27" t="s">
        <v>3566</v>
      </c>
      <c r="T500" s="27"/>
      <c r="U500" s="35"/>
      <c r="V500" s="26"/>
      <c r="W500" s="26"/>
      <c r="X500" s="26" t="s">
        <v>46</v>
      </c>
    </row>
    <row r="501" hidden="1">
      <c r="A501" s="26">
        <v>501.0</v>
      </c>
      <c r="B501" s="188">
        <v>46187.0</v>
      </c>
      <c r="C501" s="26" t="s">
        <v>21</v>
      </c>
      <c r="D501" s="26" t="s">
        <v>24</v>
      </c>
      <c r="E501" s="27" t="s">
        <v>6484</v>
      </c>
      <c r="F501" s="21">
        <v>5.00108633E8</v>
      </c>
      <c r="G501" s="26" t="s">
        <v>4852</v>
      </c>
      <c r="H501" s="27" t="s">
        <v>1452</v>
      </c>
      <c r="I501" s="26" t="s">
        <v>27</v>
      </c>
      <c r="J501" s="209" t="s">
        <v>6485</v>
      </c>
      <c r="K501" s="27"/>
      <c r="L501" s="26" t="s">
        <v>62</v>
      </c>
      <c r="M501" s="27" t="s">
        <v>630</v>
      </c>
      <c r="N501" s="26" t="s">
        <v>4803</v>
      </c>
      <c r="O501" s="26" t="s">
        <v>4746</v>
      </c>
      <c r="P501" s="35">
        <v>0.3680555555555556</v>
      </c>
      <c r="Q501" s="26" t="s">
        <v>56</v>
      </c>
      <c r="R501" s="26" t="s">
        <v>42</v>
      </c>
      <c r="S501" s="27" t="s">
        <v>3566</v>
      </c>
      <c r="T501" s="27"/>
      <c r="U501" s="35">
        <v>0.4166666666666667</v>
      </c>
      <c r="V501" s="26" t="s">
        <v>44</v>
      </c>
      <c r="W501" s="26">
        <v>5.0</v>
      </c>
      <c r="X501" s="26" t="s">
        <v>46</v>
      </c>
    </row>
    <row r="502" hidden="1">
      <c r="A502" s="26">
        <v>502.0</v>
      </c>
      <c r="B502" s="188">
        <v>46187.0</v>
      </c>
      <c r="C502" s="26" t="s">
        <v>58</v>
      </c>
      <c r="D502" s="26" t="s">
        <v>60</v>
      </c>
      <c r="E502" s="26" t="s">
        <v>27</v>
      </c>
      <c r="F502" s="21">
        <v>5.57333121E8</v>
      </c>
      <c r="G502" s="26" t="s">
        <v>27</v>
      </c>
      <c r="H502" s="26" t="s">
        <v>27</v>
      </c>
      <c r="I502" s="26" t="s">
        <v>27</v>
      </c>
      <c r="J502" s="209" t="s">
        <v>4974</v>
      </c>
      <c r="K502" s="27"/>
      <c r="L502" s="26" t="s">
        <v>62</v>
      </c>
      <c r="M502" s="27" t="s">
        <v>88</v>
      </c>
      <c r="N502" s="26" t="s">
        <v>4746</v>
      </c>
      <c r="O502" s="26" t="s">
        <v>4746</v>
      </c>
      <c r="P502" s="35">
        <v>0.3680555555555556</v>
      </c>
      <c r="Q502" s="26" t="s">
        <v>56</v>
      </c>
      <c r="R502" s="26" t="s">
        <v>42</v>
      </c>
      <c r="S502" s="27" t="s">
        <v>3566</v>
      </c>
      <c r="T502" s="27"/>
      <c r="U502" s="35"/>
      <c r="V502" s="26"/>
      <c r="W502" s="26"/>
      <c r="X502" s="26"/>
    </row>
    <row r="503" ht="16.5" hidden="1" customHeight="1">
      <c r="A503" s="26">
        <v>503.0</v>
      </c>
      <c r="B503" s="188">
        <v>46187.0</v>
      </c>
      <c r="C503" s="26" t="s">
        <v>58</v>
      </c>
      <c r="D503" s="26" t="s">
        <v>60</v>
      </c>
      <c r="E503" s="26" t="s">
        <v>27</v>
      </c>
      <c r="F503" s="21">
        <v>5.36503345E8</v>
      </c>
      <c r="G503" s="26" t="s">
        <v>27</v>
      </c>
      <c r="H503" s="26" t="s">
        <v>27</v>
      </c>
      <c r="I503" s="26" t="s">
        <v>27</v>
      </c>
      <c r="J503" s="351" t="s">
        <v>6489</v>
      </c>
      <c r="K503" s="27" t="s">
        <v>124</v>
      </c>
      <c r="L503" s="26" t="s">
        <v>65</v>
      </c>
      <c r="M503" s="27" t="s">
        <v>38</v>
      </c>
      <c r="N503" s="26" t="s">
        <v>4746</v>
      </c>
      <c r="O503" s="26" t="s">
        <v>4746</v>
      </c>
      <c r="P503" s="35">
        <v>0.3611111111111111</v>
      </c>
      <c r="Q503" s="26" t="s">
        <v>56</v>
      </c>
      <c r="R503" s="26" t="s">
        <v>42</v>
      </c>
      <c r="S503" s="27" t="s">
        <v>3566</v>
      </c>
      <c r="T503" s="27"/>
      <c r="U503" s="35"/>
      <c r="V503" s="26"/>
      <c r="W503" s="26"/>
      <c r="X503" s="26"/>
    </row>
    <row r="504" hidden="1">
      <c r="A504" s="26">
        <v>504.0</v>
      </c>
      <c r="B504" s="188">
        <v>46187.0</v>
      </c>
      <c r="C504" s="26" t="s">
        <v>58</v>
      </c>
      <c r="D504" s="26" t="s">
        <v>60</v>
      </c>
      <c r="E504" s="27" t="s">
        <v>6492</v>
      </c>
      <c r="F504" s="21">
        <v>5.64101382E8</v>
      </c>
      <c r="G504" s="26" t="s">
        <v>4740</v>
      </c>
      <c r="H504" s="27" t="s">
        <v>79</v>
      </c>
      <c r="I504" s="26" t="s">
        <v>638</v>
      </c>
      <c r="J504" s="209" t="s">
        <v>6493</v>
      </c>
      <c r="K504" s="27"/>
      <c r="L504" s="26" t="s">
        <v>36</v>
      </c>
      <c r="M504" s="27" t="s">
        <v>88</v>
      </c>
      <c r="N504" s="26" t="s">
        <v>4746</v>
      </c>
      <c r="O504" s="26" t="s">
        <v>4746</v>
      </c>
      <c r="P504" s="35">
        <v>0.3611111111111111</v>
      </c>
      <c r="Q504" s="26" t="s">
        <v>56</v>
      </c>
      <c r="R504" s="26" t="s">
        <v>42</v>
      </c>
      <c r="S504" s="27" t="s">
        <v>3566</v>
      </c>
      <c r="T504" s="27"/>
      <c r="U504" s="35"/>
      <c r="V504" s="26"/>
      <c r="W504" s="26"/>
      <c r="X504" s="26"/>
    </row>
    <row r="505" hidden="1">
      <c r="A505" s="26">
        <v>505.0</v>
      </c>
      <c r="B505" s="188">
        <v>46187.0</v>
      </c>
      <c r="C505" s="26" t="s">
        <v>47</v>
      </c>
      <c r="D505" s="26" t="s">
        <v>367</v>
      </c>
      <c r="E505" s="27" t="s">
        <v>6495</v>
      </c>
      <c r="F505" s="21">
        <v>5.31450305E8</v>
      </c>
      <c r="G505" s="26" t="s">
        <v>4852</v>
      </c>
      <c r="H505" s="27" t="s">
        <v>874</v>
      </c>
      <c r="I505" s="26" t="s">
        <v>876</v>
      </c>
      <c r="J505" s="209" t="s">
        <v>6496</v>
      </c>
      <c r="K505" s="27" t="s">
        <v>6497</v>
      </c>
      <c r="L505" s="26" t="s">
        <v>62</v>
      </c>
      <c r="M505" s="27" t="s">
        <v>98</v>
      </c>
      <c r="N505" s="26" t="s">
        <v>4917</v>
      </c>
      <c r="O505" s="26" t="s">
        <v>4746</v>
      </c>
      <c r="P505" s="35">
        <v>0.375</v>
      </c>
      <c r="Q505" s="26" t="s">
        <v>40</v>
      </c>
      <c r="R505" s="26" t="s">
        <v>3811</v>
      </c>
      <c r="S505" s="27" t="s">
        <v>3566</v>
      </c>
      <c r="T505" s="27"/>
      <c r="U505" s="35"/>
      <c r="V505" s="26"/>
      <c r="W505" s="26"/>
      <c r="X505" s="26" t="s">
        <v>46</v>
      </c>
    </row>
    <row r="506" hidden="1">
      <c r="A506" s="26">
        <v>506.0</v>
      </c>
      <c r="B506" s="188">
        <v>46187.0</v>
      </c>
      <c r="C506" s="26" t="s">
        <v>58</v>
      </c>
      <c r="D506" s="26" t="s">
        <v>22</v>
      </c>
      <c r="E506" s="27" t="s">
        <v>5567</v>
      </c>
      <c r="F506" s="21">
        <v>5.05647837E8</v>
      </c>
      <c r="G506" s="26" t="s">
        <v>5023</v>
      </c>
      <c r="H506" s="27" t="s">
        <v>5569</v>
      </c>
      <c r="I506" s="26" t="s">
        <v>27</v>
      </c>
      <c r="J506" s="209" t="s">
        <v>6498</v>
      </c>
      <c r="K506" s="27"/>
      <c r="L506" s="26" t="s">
        <v>36</v>
      </c>
      <c r="M506" s="27" t="s">
        <v>1389</v>
      </c>
      <c r="N506" s="26" t="s">
        <v>49</v>
      </c>
      <c r="O506" s="26" t="s">
        <v>4746</v>
      </c>
      <c r="P506" s="35">
        <v>0.38055555555555554</v>
      </c>
      <c r="Q506" s="26" t="s">
        <v>40</v>
      </c>
      <c r="R506" s="26" t="s">
        <v>301</v>
      </c>
      <c r="S506" s="27" t="s">
        <v>3566</v>
      </c>
      <c r="T506" s="27"/>
      <c r="U506" s="35"/>
      <c r="V506" s="26"/>
      <c r="W506" s="26"/>
      <c r="X506" s="26"/>
    </row>
    <row r="507" hidden="1">
      <c r="A507" s="26">
        <v>507.0</v>
      </c>
      <c r="B507" s="188">
        <v>46187.0</v>
      </c>
      <c r="C507" s="26" t="s">
        <v>21</v>
      </c>
      <c r="D507" s="26" t="s">
        <v>34</v>
      </c>
      <c r="E507" s="27" t="s">
        <v>276</v>
      </c>
      <c r="F507" s="21">
        <v>5.56965409E8</v>
      </c>
      <c r="G507" s="26" t="s">
        <v>27</v>
      </c>
      <c r="H507" s="26" t="s">
        <v>27</v>
      </c>
      <c r="I507" s="26" t="s">
        <v>27</v>
      </c>
      <c r="J507" s="209" t="s">
        <v>6499</v>
      </c>
      <c r="K507" s="27"/>
      <c r="L507" s="26" t="s">
        <v>62</v>
      </c>
      <c r="M507" s="27" t="s">
        <v>51</v>
      </c>
      <c r="N507" s="26" t="s">
        <v>4746</v>
      </c>
      <c r="O507" s="26" t="s">
        <v>4746</v>
      </c>
      <c r="P507" s="35">
        <v>0.3958333333333333</v>
      </c>
      <c r="Q507" s="26" t="s">
        <v>56</v>
      </c>
      <c r="R507" s="26" t="s">
        <v>42</v>
      </c>
      <c r="S507" s="27" t="s">
        <v>3566</v>
      </c>
      <c r="T507" s="27"/>
      <c r="U507" s="35"/>
      <c r="V507" s="26"/>
      <c r="W507" s="26"/>
      <c r="X507" s="26"/>
    </row>
    <row r="508" hidden="1">
      <c r="A508" s="26">
        <v>508.0</v>
      </c>
      <c r="B508" s="188">
        <v>46187.0</v>
      </c>
      <c r="C508" s="26" t="s">
        <v>21</v>
      </c>
      <c r="D508" s="26" t="s">
        <v>34</v>
      </c>
      <c r="E508" s="27" t="s">
        <v>437</v>
      </c>
      <c r="F508" s="21">
        <v>5.52609197E8</v>
      </c>
      <c r="G508" s="26" t="s">
        <v>27</v>
      </c>
      <c r="H508" s="26" t="s">
        <v>27</v>
      </c>
      <c r="I508" s="26" t="s">
        <v>27</v>
      </c>
      <c r="J508" s="209" t="s">
        <v>6500</v>
      </c>
      <c r="K508" s="27"/>
      <c r="L508" s="26" t="s">
        <v>62</v>
      </c>
      <c r="M508" s="27" t="s">
        <v>51</v>
      </c>
      <c r="N508" s="26" t="s">
        <v>4746</v>
      </c>
      <c r="O508" s="26" t="s">
        <v>4746</v>
      </c>
      <c r="P508" s="35">
        <v>0.3958333333333333</v>
      </c>
      <c r="Q508" s="26" t="s">
        <v>56</v>
      </c>
      <c r="R508" s="26" t="s">
        <v>42</v>
      </c>
      <c r="S508" s="27" t="s">
        <v>3566</v>
      </c>
      <c r="T508" s="27"/>
      <c r="U508" s="35"/>
      <c r="V508" s="26"/>
      <c r="W508" s="26"/>
      <c r="X508" s="26"/>
    </row>
    <row r="509" hidden="1">
      <c r="A509" s="26">
        <v>509.0</v>
      </c>
      <c r="B509" s="188">
        <v>46187.0</v>
      </c>
      <c r="C509" s="26" t="s">
        <v>58</v>
      </c>
      <c r="D509" s="26" t="s">
        <v>60</v>
      </c>
      <c r="E509" s="27" t="s">
        <v>6501</v>
      </c>
      <c r="F509" s="21">
        <v>5.42542233E8</v>
      </c>
      <c r="G509" s="26" t="s">
        <v>27</v>
      </c>
      <c r="H509" s="26" t="s">
        <v>27</v>
      </c>
      <c r="I509" s="26" t="s">
        <v>27</v>
      </c>
      <c r="J509" s="209" t="s">
        <v>3095</v>
      </c>
      <c r="K509" s="27"/>
      <c r="L509" s="26" t="s">
        <v>62</v>
      </c>
      <c r="M509" s="27" t="s">
        <v>88</v>
      </c>
      <c r="N509" s="26" t="s">
        <v>4746</v>
      </c>
      <c r="O509" s="26" t="s">
        <v>4746</v>
      </c>
      <c r="P509" s="35">
        <v>0.3958333333333333</v>
      </c>
      <c r="Q509" s="26" t="s">
        <v>56</v>
      </c>
      <c r="R509" s="26" t="s">
        <v>42</v>
      </c>
      <c r="S509" s="27" t="s">
        <v>3566</v>
      </c>
      <c r="T509" s="27"/>
      <c r="U509" s="35"/>
      <c r="V509" s="26"/>
      <c r="W509" s="26"/>
      <c r="X509" s="26"/>
    </row>
    <row r="510" hidden="1">
      <c r="A510" s="26">
        <v>510.0</v>
      </c>
      <c r="B510" s="188">
        <v>46187.0</v>
      </c>
      <c r="C510" s="26" t="s">
        <v>21</v>
      </c>
      <c r="D510" s="26" t="s">
        <v>24</v>
      </c>
      <c r="E510" s="27" t="s">
        <v>302</v>
      </c>
      <c r="F510" s="21">
        <v>5.55525073E8</v>
      </c>
      <c r="G510" s="26" t="s">
        <v>4769</v>
      </c>
      <c r="H510" s="27" t="s">
        <v>152</v>
      </c>
      <c r="I510" s="26" t="s">
        <v>27</v>
      </c>
      <c r="J510" s="209" t="s">
        <v>6506</v>
      </c>
      <c r="K510" s="27"/>
      <c r="L510" s="26" t="s">
        <v>62</v>
      </c>
      <c r="M510" s="27" t="s">
        <v>4802</v>
      </c>
      <c r="N510" s="26" t="s">
        <v>4803</v>
      </c>
      <c r="O510" s="26" t="s">
        <v>4746</v>
      </c>
      <c r="P510" s="35">
        <v>0.3958333333333333</v>
      </c>
      <c r="Q510" s="26" t="s">
        <v>56</v>
      </c>
      <c r="R510" s="26" t="s">
        <v>42</v>
      </c>
      <c r="S510" s="27" t="s">
        <v>3566</v>
      </c>
      <c r="T510" s="27"/>
      <c r="U510" s="35"/>
      <c r="V510" s="26"/>
      <c r="W510" s="26"/>
      <c r="X510" s="26" t="s">
        <v>46</v>
      </c>
    </row>
    <row r="511" hidden="1">
      <c r="A511" s="26">
        <v>511.0</v>
      </c>
      <c r="B511" s="188">
        <v>46187.0</v>
      </c>
      <c r="C511" s="26" t="s">
        <v>47</v>
      </c>
      <c r="D511" s="26" t="s">
        <v>367</v>
      </c>
      <c r="E511" s="26" t="s">
        <v>6509</v>
      </c>
      <c r="F511" s="21">
        <v>5.32217266E8</v>
      </c>
      <c r="G511" s="26" t="s">
        <v>4740</v>
      </c>
      <c r="H511" s="27" t="s">
        <v>41</v>
      </c>
      <c r="I511" s="26" t="s">
        <v>146</v>
      </c>
      <c r="J511" s="209" t="s">
        <v>6510</v>
      </c>
      <c r="K511" s="27" t="s">
        <v>6511</v>
      </c>
      <c r="L511" s="26" t="s">
        <v>148</v>
      </c>
      <c r="M511" s="20" t="s">
        <v>3759</v>
      </c>
      <c r="N511" s="26" t="s">
        <v>4917</v>
      </c>
      <c r="O511" s="26" t="s">
        <v>49</v>
      </c>
      <c r="P511" s="35"/>
      <c r="Q511" s="26" t="s">
        <v>56</v>
      </c>
      <c r="R511" s="26" t="s">
        <v>518</v>
      </c>
      <c r="S511" s="27" t="s">
        <v>3566</v>
      </c>
      <c r="T511" s="27"/>
      <c r="U511" s="35"/>
      <c r="V511" s="26"/>
      <c r="W511" s="26"/>
      <c r="X511" s="26" t="s">
        <v>46</v>
      </c>
    </row>
    <row r="512" hidden="1">
      <c r="A512" s="26">
        <v>512.0</v>
      </c>
      <c r="B512" s="188">
        <v>46187.0</v>
      </c>
      <c r="C512" s="26" t="s">
        <v>47</v>
      </c>
      <c r="D512" s="26" t="s">
        <v>138</v>
      </c>
      <c r="E512" s="27" t="s">
        <v>1260</v>
      </c>
      <c r="F512" s="21">
        <v>5.67227269E8</v>
      </c>
      <c r="G512" s="26" t="s">
        <v>4740</v>
      </c>
      <c r="H512" s="27" t="s">
        <v>41</v>
      </c>
      <c r="I512" s="26" t="s">
        <v>193</v>
      </c>
      <c r="J512" s="209" t="s">
        <v>6513</v>
      </c>
      <c r="K512" s="27" t="s">
        <v>6514</v>
      </c>
      <c r="L512" s="26" t="s">
        <v>148</v>
      </c>
      <c r="M512" s="308" t="s">
        <v>183</v>
      </c>
      <c r="N512" s="26" t="s">
        <v>4917</v>
      </c>
      <c r="O512" s="26" t="s">
        <v>49</v>
      </c>
      <c r="P512" s="35"/>
      <c r="Q512" s="26" t="s">
        <v>56</v>
      </c>
      <c r="R512" s="26" t="s">
        <v>518</v>
      </c>
      <c r="S512" s="27" t="s">
        <v>3566</v>
      </c>
      <c r="T512" s="27"/>
      <c r="U512" s="35"/>
      <c r="V512" s="26"/>
      <c r="W512" s="26"/>
      <c r="X512" s="26" t="s">
        <v>46</v>
      </c>
    </row>
    <row r="513" hidden="1">
      <c r="A513" s="26">
        <v>513.0</v>
      </c>
      <c r="B513" s="188">
        <v>46187.0</v>
      </c>
      <c r="C513" s="26" t="s">
        <v>58</v>
      </c>
      <c r="D513" s="26" t="s">
        <v>60</v>
      </c>
      <c r="E513" s="27" t="s">
        <v>2523</v>
      </c>
      <c r="F513" s="21">
        <v>5.31304811E8</v>
      </c>
      <c r="G513" s="26" t="s">
        <v>4740</v>
      </c>
      <c r="H513" s="27" t="s">
        <v>79</v>
      </c>
      <c r="I513" s="26" t="s">
        <v>27</v>
      </c>
      <c r="J513" s="209" t="s">
        <v>6517</v>
      </c>
      <c r="K513" s="27"/>
      <c r="L513" s="26" t="s">
        <v>62</v>
      </c>
      <c r="M513" s="27" t="s">
        <v>88</v>
      </c>
      <c r="N513" s="26" t="s">
        <v>4746</v>
      </c>
      <c r="O513" s="26" t="s">
        <v>4746</v>
      </c>
      <c r="P513" s="35">
        <v>0.3958333333333333</v>
      </c>
      <c r="Q513" s="26" t="s">
        <v>56</v>
      </c>
      <c r="R513" s="26" t="s">
        <v>42</v>
      </c>
      <c r="S513" s="27" t="s">
        <v>3566</v>
      </c>
      <c r="T513" s="27"/>
      <c r="U513" s="35"/>
      <c r="V513" s="26"/>
      <c r="W513" s="26"/>
      <c r="X513" s="26"/>
    </row>
    <row r="514" hidden="1">
      <c r="A514" s="26">
        <v>514.0</v>
      </c>
      <c r="B514" s="188">
        <v>46187.0</v>
      </c>
      <c r="C514" s="26" t="s">
        <v>58</v>
      </c>
      <c r="D514" s="26" t="s">
        <v>57</v>
      </c>
      <c r="E514" s="26" t="s">
        <v>6520</v>
      </c>
      <c r="F514" s="21">
        <v>5.55634585E8</v>
      </c>
      <c r="G514" s="26" t="s">
        <v>27</v>
      </c>
      <c r="H514" s="26" t="s">
        <v>27</v>
      </c>
      <c r="I514" s="26" t="s">
        <v>27</v>
      </c>
      <c r="J514" s="209" t="s">
        <v>6521</v>
      </c>
      <c r="K514" s="27"/>
      <c r="L514" s="26" t="s">
        <v>62</v>
      </c>
      <c r="M514" s="27" t="s">
        <v>7358</v>
      </c>
      <c r="N514" s="26" t="s">
        <v>4746</v>
      </c>
      <c r="O514" s="26" t="s">
        <v>4746</v>
      </c>
      <c r="P514" s="35">
        <v>0.3958333333333333</v>
      </c>
      <c r="Q514" s="26" t="s">
        <v>56</v>
      </c>
      <c r="R514" s="26" t="s">
        <v>42</v>
      </c>
      <c r="S514" s="27" t="s">
        <v>3566</v>
      </c>
      <c r="T514" s="27"/>
      <c r="U514" s="35"/>
      <c r="V514" s="26"/>
      <c r="W514" s="26"/>
      <c r="X514" s="26"/>
    </row>
    <row r="515" hidden="1">
      <c r="A515" s="26">
        <v>515.0</v>
      </c>
      <c r="B515" s="188">
        <v>46187.0</v>
      </c>
      <c r="C515" s="26" t="s">
        <v>58</v>
      </c>
      <c r="D515" s="26" t="s">
        <v>24</v>
      </c>
      <c r="E515" s="27" t="s">
        <v>501</v>
      </c>
      <c r="F515" s="21">
        <v>5.63971008E8</v>
      </c>
      <c r="G515" s="26" t="s">
        <v>27</v>
      </c>
      <c r="H515" s="26" t="s">
        <v>27</v>
      </c>
      <c r="I515" s="26" t="s">
        <v>27</v>
      </c>
      <c r="J515" s="209" t="s">
        <v>6523</v>
      </c>
      <c r="K515" s="27"/>
      <c r="L515" s="26" t="s">
        <v>62</v>
      </c>
      <c r="M515" s="27" t="s">
        <v>4955</v>
      </c>
      <c r="N515" s="26" t="s">
        <v>49</v>
      </c>
      <c r="O515" s="26" t="s">
        <v>4746</v>
      </c>
      <c r="P515" s="35">
        <v>0.3958333333333333</v>
      </c>
      <c r="Q515" s="26" t="s">
        <v>56</v>
      </c>
      <c r="R515" s="26" t="s">
        <v>518</v>
      </c>
      <c r="S515" s="27" t="s">
        <v>3566</v>
      </c>
      <c r="T515" s="27"/>
      <c r="U515" s="35"/>
      <c r="V515" s="26"/>
      <c r="W515" s="26"/>
      <c r="X515" s="26"/>
    </row>
    <row r="516" hidden="1">
      <c r="A516" s="26">
        <v>516.0</v>
      </c>
      <c r="B516" s="188">
        <v>46187.0</v>
      </c>
      <c r="C516" s="26" t="s">
        <v>58</v>
      </c>
      <c r="D516" s="26" t="s">
        <v>60</v>
      </c>
      <c r="E516" s="27" t="s">
        <v>5829</v>
      </c>
      <c r="F516" s="21">
        <v>5.07862633E8</v>
      </c>
      <c r="G516" s="26" t="s">
        <v>27</v>
      </c>
      <c r="H516" s="26" t="s">
        <v>27</v>
      </c>
      <c r="I516" s="26" t="s">
        <v>27</v>
      </c>
      <c r="J516" s="209" t="s">
        <v>6527</v>
      </c>
      <c r="K516" s="27" t="s">
        <v>6528</v>
      </c>
      <c r="L516" s="26" t="s">
        <v>62</v>
      </c>
      <c r="M516" s="27" t="s">
        <v>88</v>
      </c>
      <c r="N516" s="26" t="s">
        <v>4746</v>
      </c>
      <c r="O516" s="26" t="s">
        <v>4746</v>
      </c>
      <c r="P516" s="35">
        <v>0.3958333333333333</v>
      </c>
      <c r="Q516" s="26" t="s">
        <v>56</v>
      </c>
      <c r="R516" s="26" t="s">
        <v>42</v>
      </c>
      <c r="S516" s="27" t="s">
        <v>3566</v>
      </c>
      <c r="T516" s="27"/>
      <c r="U516" s="35"/>
      <c r="V516" s="26"/>
      <c r="W516" s="26"/>
      <c r="X516" s="26"/>
    </row>
    <row r="517" hidden="1">
      <c r="A517" s="26">
        <v>517.0</v>
      </c>
      <c r="B517" s="188">
        <v>46187.0</v>
      </c>
      <c r="C517" s="26" t="s">
        <v>21</v>
      </c>
      <c r="D517" s="26" t="s">
        <v>24</v>
      </c>
      <c r="E517" s="26" t="s">
        <v>6531</v>
      </c>
      <c r="F517" s="21">
        <v>5.05329939E8</v>
      </c>
      <c r="G517" s="26" t="s">
        <v>4740</v>
      </c>
      <c r="H517" s="27" t="s">
        <v>71</v>
      </c>
      <c r="I517" s="26" t="s">
        <v>27</v>
      </c>
      <c r="J517" s="209" t="s">
        <v>6533</v>
      </c>
      <c r="K517" s="27"/>
      <c r="L517" s="26" t="s">
        <v>39</v>
      </c>
      <c r="M517" s="27" t="s">
        <v>4982</v>
      </c>
      <c r="N517" s="26" t="s">
        <v>4803</v>
      </c>
      <c r="O517" s="26" t="s">
        <v>4746</v>
      </c>
      <c r="P517" s="35">
        <v>0.4166666666666667</v>
      </c>
      <c r="Q517" s="26" t="s">
        <v>56</v>
      </c>
      <c r="R517" s="26" t="s">
        <v>42</v>
      </c>
      <c r="S517" s="27" t="s">
        <v>3566</v>
      </c>
      <c r="T517" s="27"/>
      <c r="U517" s="35">
        <v>0.4166666666666667</v>
      </c>
      <c r="V517" s="26" t="s">
        <v>44</v>
      </c>
      <c r="W517" s="26">
        <v>5.0</v>
      </c>
      <c r="X517" s="26" t="s">
        <v>46</v>
      </c>
    </row>
    <row r="518" hidden="1">
      <c r="A518" s="26">
        <v>518.0</v>
      </c>
      <c r="B518" s="188">
        <v>46187.0</v>
      </c>
      <c r="C518" s="26" t="s">
        <v>21</v>
      </c>
      <c r="D518" s="26" t="s">
        <v>34</v>
      </c>
      <c r="E518" s="27" t="s">
        <v>277</v>
      </c>
      <c r="F518" s="21">
        <v>5.45540058E8</v>
      </c>
      <c r="G518" s="26" t="s">
        <v>27</v>
      </c>
      <c r="H518" s="26" t="s">
        <v>27</v>
      </c>
      <c r="I518" s="26" t="s">
        <v>27</v>
      </c>
      <c r="J518" s="209" t="s">
        <v>6538</v>
      </c>
      <c r="K518" s="27" t="s">
        <v>4417</v>
      </c>
      <c r="L518" s="26" t="s">
        <v>39</v>
      </c>
      <c r="M518" s="27" t="s">
        <v>51</v>
      </c>
      <c r="N518" s="26" t="s">
        <v>4746</v>
      </c>
      <c r="O518" s="26" t="s">
        <v>4746</v>
      </c>
      <c r="P518" s="35">
        <v>0.4166666666666667</v>
      </c>
      <c r="Q518" s="26" t="s">
        <v>56</v>
      </c>
      <c r="R518" s="26" t="s">
        <v>42</v>
      </c>
      <c r="S518" s="27" t="s">
        <v>3566</v>
      </c>
      <c r="T518" s="27" t="s">
        <v>3566</v>
      </c>
      <c r="U518" s="35">
        <v>0.4166666666666667</v>
      </c>
      <c r="V518" s="26" t="s">
        <v>44</v>
      </c>
      <c r="W518" s="26"/>
      <c r="X518" s="26"/>
    </row>
    <row r="519" hidden="1">
      <c r="A519" s="26">
        <v>519.0</v>
      </c>
      <c r="B519" s="188">
        <v>46187.0</v>
      </c>
      <c r="C519" s="26" t="s">
        <v>21</v>
      </c>
      <c r="D519" s="26" t="s">
        <v>34</v>
      </c>
      <c r="E519" s="27" t="s">
        <v>6541</v>
      </c>
      <c r="F519" s="21">
        <v>2.01033433398E11</v>
      </c>
      <c r="G519" s="26" t="s">
        <v>27</v>
      </c>
      <c r="H519" s="26" t="s">
        <v>27</v>
      </c>
      <c r="I519" s="26" t="s">
        <v>27</v>
      </c>
      <c r="J519" s="209" t="s">
        <v>6542</v>
      </c>
      <c r="K519" s="27" t="s">
        <v>4417</v>
      </c>
      <c r="L519" s="26" t="s">
        <v>39</v>
      </c>
      <c r="M519" s="27" t="s">
        <v>51</v>
      </c>
      <c r="N519" s="26" t="s">
        <v>4746</v>
      </c>
      <c r="O519" s="26" t="s">
        <v>4746</v>
      </c>
      <c r="P519" s="35">
        <v>0.4166666666666667</v>
      </c>
      <c r="Q519" s="26" t="s">
        <v>56</v>
      </c>
      <c r="R519" s="26" t="s">
        <v>42</v>
      </c>
      <c r="S519" s="27" t="s">
        <v>3566</v>
      </c>
      <c r="T519" s="27" t="s">
        <v>3566</v>
      </c>
      <c r="U519" s="35">
        <v>0.4166666666666667</v>
      </c>
      <c r="V519" s="26" t="s">
        <v>44</v>
      </c>
      <c r="W519" s="26"/>
      <c r="X519" s="26"/>
    </row>
    <row r="520" hidden="1">
      <c r="A520" s="26">
        <v>520.0</v>
      </c>
      <c r="B520" s="188">
        <v>46187.0</v>
      </c>
      <c r="C520" s="26" t="s">
        <v>21</v>
      </c>
      <c r="D520" s="26" t="s">
        <v>34</v>
      </c>
      <c r="E520" s="26" t="s">
        <v>6544</v>
      </c>
      <c r="F520" s="21">
        <v>5.56170938E8</v>
      </c>
      <c r="G520" s="26" t="s">
        <v>27</v>
      </c>
      <c r="H520" s="26" t="s">
        <v>27</v>
      </c>
      <c r="I520" s="26" t="s">
        <v>27</v>
      </c>
      <c r="J520" s="368" t="s">
        <v>7366</v>
      </c>
      <c r="K520" s="27" t="s">
        <v>4417</v>
      </c>
      <c r="L520" s="26" t="s">
        <v>39</v>
      </c>
      <c r="M520" s="27" t="s">
        <v>51</v>
      </c>
      <c r="N520" s="26" t="s">
        <v>4746</v>
      </c>
      <c r="O520" s="26" t="s">
        <v>4746</v>
      </c>
      <c r="P520" s="35">
        <v>0.4166666666666667</v>
      </c>
      <c r="Q520" s="26" t="s">
        <v>56</v>
      </c>
      <c r="R520" s="26" t="s">
        <v>42</v>
      </c>
      <c r="S520" s="27" t="s">
        <v>3566</v>
      </c>
      <c r="T520" s="27" t="s">
        <v>3566</v>
      </c>
      <c r="U520" s="35">
        <v>0.4166666666666667</v>
      </c>
      <c r="V520" s="26" t="s">
        <v>44</v>
      </c>
      <c r="W520" s="26"/>
      <c r="X520" s="26"/>
    </row>
    <row r="521" hidden="1">
      <c r="A521" s="26">
        <v>521.0</v>
      </c>
      <c r="B521" s="188">
        <v>46187.0</v>
      </c>
      <c r="C521" s="26" t="s">
        <v>21</v>
      </c>
      <c r="D521" s="26" t="s">
        <v>34</v>
      </c>
      <c r="E521" s="27" t="s">
        <v>6548</v>
      </c>
      <c r="F521" s="21">
        <v>2.010079117E11</v>
      </c>
      <c r="G521" s="26" t="s">
        <v>27</v>
      </c>
      <c r="H521" s="26" t="s">
        <v>27</v>
      </c>
      <c r="I521" s="26" t="s">
        <v>27</v>
      </c>
      <c r="J521" s="209" t="s">
        <v>6549</v>
      </c>
      <c r="K521" s="27" t="s">
        <v>4417</v>
      </c>
      <c r="L521" s="26" t="s">
        <v>39</v>
      </c>
      <c r="M521" s="27" t="s">
        <v>51</v>
      </c>
      <c r="N521" s="26" t="s">
        <v>4746</v>
      </c>
      <c r="O521" s="26" t="s">
        <v>4746</v>
      </c>
      <c r="P521" s="35">
        <v>0.4166666666666667</v>
      </c>
      <c r="Q521" s="26" t="s">
        <v>56</v>
      </c>
      <c r="R521" s="26" t="s">
        <v>42</v>
      </c>
      <c r="S521" s="27" t="s">
        <v>3566</v>
      </c>
      <c r="T521" s="27" t="s">
        <v>3566</v>
      </c>
      <c r="U521" s="35">
        <v>0.4166666666666667</v>
      </c>
      <c r="V521" s="26" t="s">
        <v>44</v>
      </c>
      <c r="W521" s="26"/>
      <c r="X521" s="26"/>
    </row>
    <row r="522" hidden="1">
      <c r="A522" s="26">
        <v>522.0</v>
      </c>
      <c r="B522" s="188">
        <v>46187.0</v>
      </c>
      <c r="C522" s="26" t="s">
        <v>21</v>
      </c>
      <c r="D522" s="26" t="s">
        <v>34</v>
      </c>
      <c r="E522" s="27" t="s">
        <v>6551</v>
      </c>
      <c r="F522" s="21">
        <v>5.57612739E8</v>
      </c>
      <c r="G522" s="26" t="s">
        <v>27</v>
      </c>
      <c r="H522" s="26" t="s">
        <v>27</v>
      </c>
      <c r="I522" s="26" t="s">
        <v>27</v>
      </c>
      <c r="J522" s="209" t="s">
        <v>6552</v>
      </c>
      <c r="K522" s="27" t="s">
        <v>4417</v>
      </c>
      <c r="L522" s="26" t="s">
        <v>39</v>
      </c>
      <c r="M522" s="27" t="s">
        <v>51</v>
      </c>
      <c r="N522" s="26" t="s">
        <v>4746</v>
      </c>
      <c r="O522" s="26" t="s">
        <v>4746</v>
      </c>
      <c r="P522" s="35">
        <v>0.4166666666666667</v>
      </c>
      <c r="Q522" s="26" t="s">
        <v>56</v>
      </c>
      <c r="R522" s="26" t="s">
        <v>42</v>
      </c>
      <c r="S522" s="27" t="s">
        <v>3566</v>
      </c>
      <c r="T522" s="27" t="s">
        <v>3566</v>
      </c>
      <c r="U522" s="35">
        <v>0.4166666666666667</v>
      </c>
      <c r="V522" s="26" t="s">
        <v>44</v>
      </c>
      <c r="W522" s="26"/>
      <c r="X522" s="26"/>
    </row>
    <row r="523" hidden="1">
      <c r="A523" s="26">
        <v>523.0</v>
      </c>
      <c r="B523" s="188">
        <v>46187.0</v>
      </c>
      <c r="C523" s="26" t="s">
        <v>21</v>
      </c>
      <c r="D523" s="26" t="s">
        <v>34</v>
      </c>
      <c r="E523" s="27" t="s">
        <v>6554</v>
      </c>
      <c r="F523" s="21">
        <v>5.68000296E8</v>
      </c>
      <c r="G523" s="26" t="s">
        <v>27</v>
      </c>
      <c r="H523" s="26" t="s">
        <v>27</v>
      </c>
      <c r="I523" s="26" t="s">
        <v>27</v>
      </c>
      <c r="J523" s="209" t="s">
        <v>6556</v>
      </c>
      <c r="K523" s="27" t="s">
        <v>4417</v>
      </c>
      <c r="L523" s="26" t="s">
        <v>39</v>
      </c>
      <c r="M523" s="27" t="s">
        <v>51</v>
      </c>
      <c r="N523" s="26" t="s">
        <v>4746</v>
      </c>
      <c r="O523" s="26" t="s">
        <v>4746</v>
      </c>
      <c r="P523" s="35">
        <v>0.4166666666666667</v>
      </c>
      <c r="Q523" s="26" t="s">
        <v>56</v>
      </c>
      <c r="R523" s="26" t="s">
        <v>42</v>
      </c>
      <c r="S523" s="27" t="s">
        <v>3566</v>
      </c>
      <c r="T523" s="27" t="s">
        <v>3566</v>
      </c>
      <c r="U523" s="35">
        <v>0.4166666666666667</v>
      </c>
      <c r="V523" s="26" t="s">
        <v>44</v>
      </c>
      <c r="W523" s="26"/>
      <c r="X523" s="26"/>
    </row>
    <row r="524" hidden="1">
      <c r="A524" s="26">
        <v>524.0</v>
      </c>
      <c r="B524" s="188">
        <v>46187.0</v>
      </c>
      <c r="C524" s="26" t="s">
        <v>21</v>
      </c>
      <c r="D524" s="26" t="s">
        <v>24</v>
      </c>
      <c r="E524" s="27" t="s">
        <v>6560</v>
      </c>
      <c r="F524" s="21">
        <v>5.67618386E8</v>
      </c>
      <c r="G524" s="26" t="s">
        <v>4852</v>
      </c>
      <c r="H524" s="27" t="s">
        <v>3774</v>
      </c>
      <c r="I524" s="26" t="s">
        <v>27</v>
      </c>
      <c r="J524" s="209" t="s">
        <v>6561</v>
      </c>
      <c r="K524" s="27"/>
      <c r="L524" s="26" t="s">
        <v>39</v>
      </c>
      <c r="M524" s="27" t="s">
        <v>5046</v>
      </c>
      <c r="N524" s="26" t="s">
        <v>4803</v>
      </c>
      <c r="O524" s="26" t="s">
        <v>4746</v>
      </c>
      <c r="P524" s="35">
        <v>0.4166666666666667</v>
      </c>
      <c r="Q524" s="26" t="s">
        <v>56</v>
      </c>
      <c r="R524" s="26" t="s">
        <v>42</v>
      </c>
      <c r="S524" s="27" t="s">
        <v>3566</v>
      </c>
      <c r="T524" s="27"/>
      <c r="U524" s="35">
        <v>0.4166666666666667</v>
      </c>
      <c r="V524" s="26" t="s">
        <v>44</v>
      </c>
      <c r="W524" s="26">
        <v>5.0</v>
      </c>
      <c r="X524" s="26" t="s">
        <v>46</v>
      </c>
    </row>
    <row r="525" hidden="1">
      <c r="A525" s="26">
        <v>525.0</v>
      </c>
      <c r="B525" s="188">
        <v>46187.0</v>
      </c>
      <c r="C525" s="26" t="s">
        <v>21</v>
      </c>
      <c r="D525" s="26" t="s">
        <v>22</v>
      </c>
      <c r="E525" s="27" t="s">
        <v>6563</v>
      </c>
      <c r="F525" s="21">
        <v>5.62746666E8</v>
      </c>
      <c r="G525" s="26" t="s">
        <v>4740</v>
      </c>
      <c r="H525" s="27" t="s">
        <v>79</v>
      </c>
      <c r="I525" s="26" t="s">
        <v>27</v>
      </c>
      <c r="J525" s="209" t="s">
        <v>6564</v>
      </c>
      <c r="K525" s="27"/>
      <c r="L525" s="26" t="s">
        <v>39</v>
      </c>
      <c r="M525" s="27" t="s">
        <v>4868</v>
      </c>
      <c r="N525" s="26" t="s">
        <v>4870</v>
      </c>
      <c r="O525" s="26" t="s">
        <v>4746</v>
      </c>
      <c r="P525" s="35">
        <v>0.4166666666666667</v>
      </c>
      <c r="Q525" s="26" t="s">
        <v>40</v>
      </c>
      <c r="R525" s="26" t="s">
        <v>42</v>
      </c>
      <c r="S525" s="27" t="s">
        <v>3566</v>
      </c>
      <c r="T525" s="27"/>
      <c r="U525" s="35"/>
      <c r="V525" s="26"/>
      <c r="W525" s="26"/>
      <c r="X525" s="26" t="s">
        <v>46</v>
      </c>
    </row>
    <row r="526" hidden="1">
      <c r="A526" s="26">
        <v>526.0</v>
      </c>
      <c r="B526" s="188">
        <v>46187.0</v>
      </c>
      <c r="C526" s="26" t="s">
        <v>21</v>
      </c>
      <c r="D526" s="26" t="s">
        <v>34</v>
      </c>
      <c r="E526" s="27" t="s">
        <v>6565</v>
      </c>
      <c r="F526" s="21">
        <v>5.07200489E8</v>
      </c>
      <c r="G526" s="26" t="s">
        <v>27</v>
      </c>
      <c r="H526" s="26" t="s">
        <v>27</v>
      </c>
      <c r="I526" s="26" t="s">
        <v>27</v>
      </c>
      <c r="J526" s="209" t="s">
        <v>6566</v>
      </c>
      <c r="K526" s="27" t="s">
        <v>4417</v>
      </c>
      <c r="L526" s="26" t="s">
        <v>39</v>
      </c>
      <c r="M526" s="27" t="s">
        <v>51</v>
      </c>
      <c r="N526" s="26" t="s">
        <v>4746</v>
      </c>
      <c r="O526" s="26" t="s">
        <v>4746</v>
      </c>
      <c r="P526" s="35">
        <v>0.4166666666666667</v>
      </c>
      <c r="Q526" s="26" t="s">
        <v>56</v>
      </c>
      <c r="R526" s="26" t="s">
        <v>42</v>
      </c>
      <c r="S526" s="27" t="s">
        <v>3566</v>
      </c>
      <c r="T526" s="27" t="s">
        <v>3566</v>
      </c>
      <c r="U526" s="35">
        <v>0.4166666666666667</v>
      </c>
      <c r="V526" s="26" t="s">
        <v>44</v>
      </c>
      <c r="W526" s="26"/>
      <c r="X526" s="26"/>
    </row>
    <row r="527" hidden="1">
      <c r="A527" s="26">
        <v>527.0</v>
      </c>
      <c r="B527" s="188">
        <v>46187.0</v>
      </c>
      <c r="C527" s="26" t="s">
        <v>21</v>
      </c>
      <c r="D527" s="26" t="s">
        <v>24</v>
      </c>
      <c r="E527" s="27" t="s">
        <v>6569</v>
      </c>
      <c r="F527" s="21">
        <v>5.0911552E8</v>
      </c>
      <c r="G527" s="26" t="s">
        <v>4740</v>
      </c>
      <c r="H527" s="27" t="s">
        <v>71</v>
      </c>
      <c r="I527" s="26" t="s">
        <v>27</v>
      </c>
      <c r="J527" s="209" t="s">
        <v>6570</v>
      </c>
      <c r="K527" s="27"/>
      <c r="L527" s="26" t="s">
        <v>39</v>
      </c>
      <c r="M527" s="27" t="s">
        <v>630</v>
      </c>
      <c r="N527" s="26" t="s">
        <v>4803</v>
      </c>
      <c r="O527" s="26" t="s">
        <v>4746</v>
      </c>
      <c r="P527" s="35">
        <v>0.4166666666666667</v>
      </c>
      <c r="Q527" s="26" t="s">
        <v>56</v>
      </c>
      <c r="R527" s="26" t="s">
        <v>42</v>
      </c>
      <c r="S527" s="27" t="s">
        <v>3566</v>
      </c>
      <c r="T527" s="27"/>
      <c r="U527" s="35">
        <v>0.4166666666666667</v>
      </c>
      <c r="V527" s="26" t="s">
        <v>44</v>
      </c>
      <c r="W527" s="26">
        <v>5.0</v>
      </c>
      <c r="X527" s="26" t="s">
        <v>46</v>
      </c>
    </row>
    <row r="528" hidden="1">
      <c r="A528" s="26">
        <v>528.0</v>
      </c>
      <c r="B528" s="188">
        <v>46187.0</v>
      </c>
      <c r="C528" s="26" t="s">
        <v>21</v>
      </c>
      <c r="D528" s="26" t="s">
        <v>34</v>
      </c>
      <c r="E528" s="27" t="s">
        <v>6573</v>
      </c>
      <c r="F528" s="21">
        <v>5.64247417E8</v>
      </c>
      <c r="G528" s="26" t="s">
        <v>27</v>
      </c>
      <c r="H528" s="26" t="s">
        <v>27</v>
      </c>
      <c r="I528" s="26" t="s">
        <v>27</v>
      </c>
      <c r="J528" s="209" t="s">
        <v>6574</v>
      </c>
      <c r="K528" s="27" t="s">
        <v>4417</v>
      </c>
      <c r="L528" s="26" t="s">
        <v>39</v>
      </c>
      <c r="M528" s="27" t="s">
        <v>51</v>
      </c>
      <c r="N528" s="26" t="s">
        <v>4746</v>
      </c>
      <c r="O528" s="26" t="s">
        <v>4746</v>
      </c>
      <c r="P528" s="35">
        <v>0.4166666666666667</v>
      </c>
      <c r="Q528" s="26" t="s">
        <v>56</v>
      </c>
      <c r="R528" s="26" t="s">
        <v>42</v>
      </c>
      <c r="S528" s="27" t="s">
        <v>3566</v>
      </c>
      <c r="T528" s="27" t="s">
        <v>3566</v>
      </c>
      <c r="U528" s="35">
        <v>0.4166666666666667</v>
      </c>
      <c r="V528" s="26" t="s">
        <v>44</v>
      </c>
      <c r="W528" s="26"/>
      <c r="X528" s="26"/>
    </row>
    <row r="529" hidden="1">
      <c r="A529" s="26">
        <v>529.0</v>
      </c>
      <c r="B529" s="188">
        <v>46187.0</v>
      </c>
      <c r="C529" s="26" t="s">
        <v>21</v>
      </c>
      <c r="D529" s="26" t="s">
        <v>34</v>
      </c>
      <c r="E529" s="27" t="s">
        <v>6576</v>
      </c>
      <c r="F529" s="21">
        <v>5.6464054E8</v>
      </c>
      <c r="G529" s="26" t="s">
        <v>27</v>
      </c>
      <c r="H529" s="26" t="s">
        <v>27</v>
      </c>
      <c r="I529" s="26" t="s">
        <v>27</v>
      </c>
      <c r="J529" s="209" t="s">
        <v>6579</v>
      </c>
      <c r="K529" s="27" t="s">
        <v>4417</v>
      </c>
      <c r="L529" s="26" t="s">
        <v>39</v>
      </c>
      <c r="M529" s="27" t="s">
        <v>51</v>
      </c>
      <c r="N529" s="26" t="s">
        <v>4746</v>
      </c>
      <c r="O529" s="26" t="s">
        <v>4746</v>
      </c>
      <c r="P529" s="35">
        <v>0.4166666666666667</v>
      </c>
      <c r="Q529" s="26" t="s">
        <v>56</v>
      </c>
      <c r="R529" s="26" t="s">
        <v>42</v>
      </c>
      <c r="S529" s="27" t="s">
        <v>3566</v>
      </c>
      <c r="T529" s="27" t="s">
        <v>3566</v>
      </c>
      <c r="U529" s="35">
        <v>0.4166666666666667</v>
      </c>
      <c r="V529" s="26" t="s">
        <v>44</v>
      </c>
      <c r="W529" s="26"/>
      <c r="X529" s="26"/>
    </row>
    <row r="530" hidden="1">
      <c r="A530" s="26">
        <v>530.0</v>
      </c>
      <c r="B530" s="188">
        <v>46187.0</v>
      </c>
      <c r="C530" s="26" t="s">
        <v>21</v>
      </c>
      <c r="D530" s="26" t="s">
        <v>24</v>
      </c>
      <c r="E530" s="26" t="s">
        <v>6580</v>
      </c>
      <c r="F530" s="21">
        <v>5.58844011E8</v>
      </c>
      <c r="G530" s="26" t="s">
        <v>4852</v>
      </c>
      <c r="H530" s="27" t="s">
        <v>318</v>
      </c>
      <c r="I530" s="26" t="s">
        <v>27</v>
      </c>
      <c r="J530" s="209" t="s">
        <v>6581</v>
      </c>
      <c r="K530" s="27"/>
      <c r="L530" s="26" t="s">
        <v>39</v>
      </c>
      <c r="M530" s="27" t="s">
        <v>4802</v>
      </c>
      <c r="N530" s="26" t="s">
        <v>4803</v>
      </c>
      <c r="O530" s="26" t="s">
        <v>4746</v>
      </c>
      <c r="P530" s="35">
        <v>0.4166666666666667</v>
      </c>
      <c r="Q530" s="26" t="s">
        <v>56</v>
      </c>
      <c r="R530" s="26" t="s">
        <v>42</v>
      </c>
      <c r="S530" s="27" t="s">
        <v>3566</v>
      </c>
      <c r="T530" s="27"/>
      <c r="U530" s="35">
        <v>0.4166666666666667</v>
      </c>
      <c r="V530" s="26" t="s">
        <v>44</v>
      </c>
      <c r="W530" s="26">
        <v>5.0</v>
      </c>
      <c r="X530" s="26" t="s">
        <v>46</v>
      </c>
    </row>
    <row r="531" hidden="1">
      <c r="A531" s="26">
        <v>531.0</v>
      </c>
      <c r="B531" s="188">
        <v>46187.0</v>
      </c>
      <c r="C531" s="26" t="s">
        <v>21</v>
      </c>
      <c r="D531" s="26" t="s">
        <v>60</v>
      </c>
      <c r="E531" s="27" t="s">
        <v>6585</v>
      </c>
      <c r="F531" s="21">
        <v>5.5536146E8</v>
      </c>
      <c r="G531" s="26" t="s">
        <v>4740</v>
      </c>
      <c r="H531" s="27" t="s">
        <v>71</v>
      </c>
      <c r="I531" s="26" t="s">
        <v>27</v>
      </c>
      <c r="J531" s="209" t="s">
        <v>6586</v>
      </c>
      <c r="K531" s="27" t="s">
        <v>6587</v>
      </c>
      <c r="L531" s="26" t="s">
        <v>36</v>
      </c>
      <c r="M531" s="27" t="s">
        <v>88</v>
      </c>
      <c r="N531" s="26" t="s">
        <v>4746</v>
      </c>
      <c r="O531" s="26" t="s">
        <v>4746</v>
      </c>
      <c r="P531" s="35">
        <v>0.4222222222222222</v>
      </c>
      <c r="Q531" s="26" t="s">
        <v>56</v>
      </c>
      <c r="R531" s="26" t="s">
        <v>42</v>
      </c>
      <c r="S531" s="27" t="s">
        <v>3566</v>
      </c>
      <c r="T531" s="27"/>
      <c r="U531" s="35">
        <v>0.4222222222222222</v>
      </c>
      <c r="V531" s="26"/>
      <c r="W531" s="26"/>
      <c r="X531" s="26"/>
    </row>
    <row r="532" hidden="1">
      <c r="A532" s="26">
        <v>532.0</v>
      </c>
      <c r="B532" s="188">
        <v>46187.0</v>
      </c>
      <c r="C532" s="26" t="s">
        <v>21</v>
      </c>
      <c r="D532" s="26" t="s">
        <v>34</v>
      </c>
      <c r="E532" s="27" t="s">
        <v>6590</v>
      </c>
      <c r="F532" s="21">
        <v>5.42476405E8</v>
      </c>
      <c r="G532" s="26" t="s">
        <v>27</v>
      </c>
      <c r="H532" s="26" t="s">
        <v>27</v>
      </c>
      <c r="I532" s="26" t="s">
        <v>27</v>
      </c>
      <c r="J532" s="209" t="s">
        <v>6591</v>
      </c>
      <c r="K532" s="27" t="s">
        <v>4417</v>
      </c>
      <c r="L532" s="26" t="s">
        <v>39</v>
      </c>
      <c r="M532" s="27" t="s">
        <v>51</v>
      </c>
      <c r="N532" s="26" t="s">
        <v>4746</v>
      </c>
      <c r="O532" s="26" t="s">
        <v>4746</v>
      </c>
      <c r="P532" s="35">
        <v>0.4270833333333333</v>
      </c>
      <c r="Q532" s="26" t="s">
        <v>56</v>
      </c>
      <c r="R532" s="26" t="s">
        <v>42</v>
      </c>
      <c r="S532" s="27" t="s">
        <v>3566</v>
      </c>
      <c r="T532" s="27" t="s">
        <v>3566</v>
      </c>
      <c r="U532" s="35">
        <v>0.4270833333333333</v>
      </c>
      <c r="V532" s="26" t="s">
        <v>44</v>
      </c>
      <c r="W532" s="26"/>
      <c r="X532" s="26"/>
    </row>
    <row r="533" hidden="1">
      <c r="A533" s="26">
        <v>533.0</v>
      </c>
      <c r="B533" s="188">
        <v>46187.0</v>
      </c>
      <c r="C533" s="26" t="s">
        <v>21</v>
      </c>
      <c r="D533" s="26" t="s">
        <v>24</v>
      </c>
      <c r="E533" s="27" t="s">
        <v>873</v>
      </c>
      <c r="F533" s="21">
        <v>5.50178113E8</v>
      </c>
      <c r="G533" s="26" t="s">
        <v>4740</v>
      </c>
      <c r="H533" s="27" t="s">
        <v>71</v>
      </c>
      <c r="I533" s="26" t="s">
        <v>27</v>
      </c>
      <c r="J533" s="209" t="s">
        <v>6594</v>
      </c>
      <c r="K533" s="27"/>
      <c r="L533" s="26" t="s">
        <v>39</v>
      </c>
      <c r="M533" s="27" t="s">
        <v>4955</v>
      </c>
      <c r="N533" s="26" t="s">
        <v>4803</v>
      </c>
      <c r="O533" s="26" t="s">
        <v>4746</v>
      </c>
      <c r="P533" s="35">
        <v>0.4270833333333333</v>
      </c>
      <c r="Q533" s="26" t="s">
        <v>56</v>
      </c>
      <c r="R533" s="26" t="s">
        <v>42</v>
      </c>
      <c r="S533" s="27" t="s">
        <v>3566</v>
      </c>
      <c r="T533" s="27"/>
      <c r="U533" s="35">
        <v>0.4270833333333333</v>
      </c>
      <c r="V533" s="26" t="s">
        <v>44</v>
      </c>
      <c r="W533" s="26">
        <v>5.0</v>
      </c>
      <c r="X533" s="26" t="s">
        <v>46</v>
      </c>
    </row>
    <row r="534" hidden="1">
      <c r="A534" s="26">
        <v>534.0</v>
      </c>
      <c r="B534" s="188">
        <v>46187.0</v>
      </c>
      <c r="C534" s="26" t="s">
        <v>21</v>
      </c>
      <c r="D534" s="26" t="s">
        <v>34</v>
      </c>
      <c r="E534" s="27" t="s">
        <v>6596</v>
      </c>
      <c r="F534" s="21">
        <v>5.55812764E8</v>
      </c>
      <c r="G534" s="26" t="s">
        <v>27</v>
      </c>
      <c r="H534" s="26" t="s">
        <v>27</v>
      </c>
      <c r="I534" s="26" t="s">
        <v>27</v>
      </c>
      <c r="J534" s="209" t="s">
        <v>6597</v>
      </c>
      <c r="K534" s="27" t="s">
        <v>4417</v>
      </c>
      <c r="L534" s="26" t="s">
        <v>39</v>
      </c>
      <c r="M534" s="27" t="s">
        <v>51</v>
      </c>
      <c r="N534" s="26" t="s">
        <v>4746</v>
      </c>
      <c r="O534" s="26" t="s">
        <v>4746</v>
      </c>
      <c r="P534" s="35">
        <v>0.4270833333333333</v>
      </c>
      <c r="Q534" s="26" t="s">
        <v>56</v>
      </c>
      <c r="R534" s="26" t="s">
        <v>42</v>
      </c>
      <c r="S534" s="27" t="s">
        <v>3566</v>
      </c>
      <c r="T534" s="27" t="s">
        <v>3566</v>
      </c>
      <c r="U534" s="35">
        <v>0.4270833333333333</v>
      </c>
      <c r="V534" s="26" t="s">
        <v>44</v>
      </c>
      <c r="W534" s="26"/>
      <c r="X534" s="26"/>
    </row>
    <row r="535" hidden="1">
      <c r="A535" s="26">
        <v>535.0</v>
      </c>
      <c r="B535" s="188">
        <v>46187.0</v>
      </c>
      <c r="C535" s="26" t="s">
        <v>58</v>
      </c>
      <c r="D535" s="26" t="s">
        <v>60</v>
      </c>
      <c r="E535" s="26" t="s">
        <v>27</v>
      </c>
      <c r="F535" s="21">
        <v>5.45966964E8</v>
      </c>
      <c r="G535" s="26" t="s">
        <v>4740</v>
      </c>
      <c r="H535" s="27" t="s">
        <v>41</v>
      </c>
      <c r="I535" s="26" t="s">
        <v>27</v>
      </c>
      <c r="J535" s="209" t="s">
        <v>6599</v>
      </c>
      <c r="K535" s="27" t="s">
        <v>2806</v>
      </c>
      <c r="L535" s="26" t="s">
        <v>36</v>
      </c>
      <c r="M535" s="27" t="s">
        <v>88</v>
      </c>
      <c r="N535" s="26" t="s">
        <v>4746</v>
      </c>
      <c r="O535" s="26" t="s">
        <v>4746</v>
      </c>
      <c r="P535" s="35">
        <v>0.4361111111111111</v>
      </c>
      <c r="Q535" s="26" t="s">
        <v>56</v>
      </c>
      <c r="R535" s="26" t="s">
        <v>42</v>
      </c>
      <c r="S535" s="27" t="s">
        <v>3566</v>
      </c>
      <c r="T535" s="27" t="s">
        <v>3566</v>
      </c>
      <c r="U535" s="35">
        <v>0.4361111111111111</v>
      </c>
      <c r="V535" s="26"/>
      <c r="W535" s="26"/>
      <c r="X535" s="26"/>
    </row>
    <row r="536" hidden="1">
      <c r="A536" s="26">
        <v>536.0</v>
      </c>
      <c r="B536" s="188">
        <v>46187.0</v>
      </c>
      <c r="C536" s="26" t="s">
        <v>21</v>
      </c>
      <c r="D536" s="26" t="s">
        <v>24</v>
      </c>
      <c r="E536" s="27" t="s">
        <v>6602</v>
      </c>
      <c r="F536" s="21">
        <v>5.82588808E8</v>
      </c>
      <c r="G536" s="26" t="s">
        <v>4740</v>
      </c>
      <c r="H536" s="27" t="s">
        <v>71</v>
      </c>
      <c r="I536" s="26" t="s">
        <v>27</v>
      </c>
      <c r="J536" s="209" t="s">
        <v>6604</v>
      </c>
      <c r="K536" s="27"/>
      <c r="L536" s="26" t="s">
        <v>36</v>
      </c>
      <c r="M536" s="27" t="s">
        <v>4982</v>
      </c>
      <c r="N536" s="26" t="s">
        <v>4803</v>
      </c>
      <c r="O536" s="26" t="s">
        <v>4746</v>
      </c>
      <c r="P536" s="35">
        <v>0.48125</v>
      </c>
      <c r="Q536" s="26" t="s">
        <v>56</v>
      </c>
      <c r="R536" s="26" t="s">
        <v>42</v>
      </c>
      <c r="S536" s="27" t="s">
        <v>3566</v>
      </c>
      <c r="T536" s="27"/>
      <c r="U536" s="35"/>
      <c r="V536" s="26"/>
      <c r="W536" s="26"/>
      <c r="X536" s="26" t="s">
        <v>46</v>
      </c>
    </row>
    <row r="537" hidden="1">
      <c r="A537" s="26">
        <v>537.0</v>
      </c>
      <c r="B537" s="188">
        <v>46187.0</v>
      </c>
      <c r="C537" s="26" t="s">
        <v>21</v>
      </c>
      <c r="D537" s="26" t="s">
        <v>22</v>
      </c>
      <c r="E537" s="27" t="s">
        <v>887</v>
      </c>
      <c r="F537" s="21">
        <v>5.62472975E8</v>
      </c>
      <c r="G537" s="26" t="s">
        <v>4740</v>
      </c>
      <c r="H537" s="27" t="s">
        <v>71</v>
      </c>
      <c r="I537" s="26" t="s">
        <v>27</v>
      </c>
      <c r="J537" s="209" t="s">
        <v>6606</v>
      </c>
      <c r="K537" s="27"/>
      <c r="L537" s="26" t="s">
        <v>36</v>
      </c>
      <c r="M537" s="27" t="s">
        <v>1389</v>
      </c>
      <c r="N537" s="26" t="s">
        <v>4870</v>
      </c>
      <c r="O537" s="26" t="s">
        <v>4746</v>
      </c>
      <c r="P537" s="35">
        <v>0.4979166666666667</v>
      </c>
      <c r="Q537" s="26" t="s">
        <v>40</v>
      </c>
      <c r="R537" s="26" t="s">
        <v>301</v>
      </c>
      <c r="S537" s="27" t="s">
        <v>3566</v>
      </c>
      <c r="T537" s="27"/>
      <c r="U537" s="35"/>
      <c r="V537" s="26"/>
      <c r="W537" s="26"/>
      <c r="X537" s="26" t="s">
        <v>46</v>
      </c>
    </row>
    <row r="538" hidden="1">
      <c r="A538" s="26">
        <v>538.0</v>
      </c>
      <c r="B538" s="188">
        <v>46187.0</v>
      </c>
      <c r="C538" s="26" t="s">
        <v>47</v>
      </c>
      <c r="D538" s="26" t="s">
        <v>367</v>
      </c>
      <c r="E538" s="26" t="s">
        <v>27</v>
      </c>
      <c r="F538" s="21" t="s">
        <v>27</v>
      </c>
      <c r="G538" s="26" t="s">
        <v>4740</v>
      </c>
      <c r="H538" s="27" t="s">
        <v>79</v>
      </c>
      <c r="I538" s="26" t="s">
        <v>80</v>
      </c>
      <c r="J538" s="209" t="s">
        <v>6610</v>
      </c>
      <c r="K538" s="27" t="s">
        <v>6611</v>
      </c>
      <c r="L538" s="26" t="s">
        <v>3070</v>
      </c>
      <c r="M538" s="106" t="s">
        <v>6612</v>
      </c>
      <c r="N538" s="26" t="s">
        <v>4917</v>
      </c>
      <c r="O538" s="26" t="s">
        <v>4746</v>
      </c>
      <c r="P538" s="35">
        <v>0.51875</v>
      </c>
      <c r="Q538" s="26" t="s">
        <v>56</v>
      </c>
      <c r="R538" s="26" t="s">
        <v>518</v>
      </c>
      <c r="S538" s="27" t="s">
        <v>3566</v>
      </c>
      <c r="T538" s="27"/>
      <c r="U538" s="35"/>
      <c r="V538" s="26"/>
      <c r="W538" s="26"/>
      <c r="X538" s="26" t="s">
        <v>46</v>
      </c>
    </row>
    <row r="539" hidden="1">
      <c r="A539" s="26">
        <v>539.0</v>
      </c>
      <c r="B539" s="188">
        <v>46187.0</v>
      </c>
      <c r="C539" s="26" t="s">
        <v>21</v>
      </c>
      <c r="D539" s="26" t="s">
        <v>22</v>
      </c>
      <c r="E539" s="27" t="s">
        <v>184</v>
      </c>
      <c r="F539" s="21">
        <v>5.57573113E8</v>
      </c>
      <c r="G539" s="26" t="s">
        <v>7234</v>
      </c>
      <c r="H539" s="27" t="s">
        <v>3176</v>
      </c>
      <c r="I539" s="26" t="s">
        <v>27</v>
      </c>
      <c r="J539" s="209" t="s">
        <v>6614</v>
      </c>
      <c r="K539" s="27"/>
      <c r="L539" s="26" t="s">
        <v>36</v>
      </c>
      <c r="M539" s="27" t="s">
        <v>4868</v>
      </c>
      <c r="N539" s="26" t="s">
        <v>4870</v>
      </c>
      <c r="O539" s="26" t="s">
        <v>49</v>
      </c>
      <c r="P539" s="35"/>
      <c r="Q539" s="26" t="s">
        <v>40</v>
      </c>
      <c r="R539" s="26" t="s">
        <v>42</v>
      </c>
      <c r="S539" s="27" t="s">
        <v>3566</v>
      </c>
      <c r="T539" s="27"/>
      <c r="U539" s="35"/>
      <c r="V539" s="26"/>
      <c r="W539" s="26"/>
      <c r="X539" s="26" t="s">
        <v>46</v>
      </c>
    </row>
    <row r="540" hidden="1">
      <c r="A540" s="26">
        <v>540.0</v>
      </c>
      <c r="B540" s="188">
        <v>46187.0</v>
      </c>
      <c r="C540" s="26" t="s">
        <v>58</v>
      </c>
      <c r="D540" s="26" t="s">
        <v>60</v>
      </c>
      <c r="E540" s="26" t="s">
        <v>27</v>
      </c>
      <c r="F540" s="21">
        <v>5.55084065E8</v>
      </c>
      <c r="G540" s="26" t="s">
        <v>27</v>
      </c>
      <c r="H540" s="26" t="s">
        <v>27</v>
      </c>
      <c r="I540" s="26" t="s">
        <v>27</v>
      </c>
      <c r="J540" s="209" t="s">
        <v>6617</v>
      </c>
      <c r="K540" s="27" t="s">
        <v>2003</v>
      </c>
      <c r="L540" s="26" t="s">
        <v>36</v>
      </c>
      <c r="M540" s="27" t="s">
        <v>88</v>
      </c>
      <c r="N540" s="26" t="s">
        <v>4746</v>
      </c>
      <c r="O540" s="26" t="s">
        <v>4746</v>
      </c>
      <c r="P540" s="35">
        <v>0.5416666666666666</v>
      </c>
      <c r="Q540" s="26" t="s">
        <v>56</v>
      </c>
      <c r="R540" s="26" t="s">
        <v>42</v>
      </c>
      <c r="S540" s="27" t="s">
        <v>3566</v>
      </c>
      <c r="T540" s="27"/>
      <c r="U540" s="35">
        <v>0.5416666666666666</v>
      </c>
      <c r="V540" s="26"/>
      <c r="W540" s="26"/>
      <c r="X540" s="26"/>
    </row>
    <row r="541" ht="45.75" hidden="1" customHeight="1">
      <c r="A541" s="26">
        <v>541.0</v>
      </c>
      <c r="B541" s="188">
        <v>46187.0</v>
      </c>
      <c r="C541" s="26" t="s">
        <v>47</v>
      </c>
      <c r="D541" s="26" t="s">
        <v>92</v>
      </c>
      <c r="E541" s="27" t="s">
        <v>405</v>
      </c>
      <c r="F541" s="21">
        <v>5.63555722E8</v>
      </c>
      <c r="G541" s="26" t="s">
        <v>5151</v>
      </c>
      <c r="H541" s="128" t="s">
        <v>28</v>
      </c>
      <c r="I541" s="26" t="s">
        <v>5830</v>
      </c>
      <c r="J541" s="209" t="s">
        <v>7410</v>
      </c>
      <c r="K541" s="128"/>
      <c r="L541" s="126" t="s">
        <v>36</v>
      </c>
      <c r="M541" s="27" t="s">
        <v>3432</v>
      </c>
      <c r="N541" s="26" t="s">
        <v>4637</v>
      </c>
      <c r="O541" s="26" t="s">
        <v>4746</v>
      </c>
      <c r="P541" s="88">
        <v>0.5277777777777778</v>
      </c>
      <c r="Q541" s="126" t="s">
        <v>40</v>
      </c>
      <c r="R541" s="126" t="s">
        <v>301</v>
      </c>
      <c r="S541" s="27" t="s">
        <v>3566</v>
      </c>
      <c r="T541" s="128" t="s">
        <v>3997</v>
      </c>
      <c r="U541" s="126" t="s">
        <v>27</v>
      </c>
      <c r="V541" s="126" t="s">
        <v>49</v>
      </c>
      <c r="W541" s="126"/>
      <c r="X541" s="126" t="s">
        <v>46</v>
      </c>
    </row>
    <row r="542" hidden="1">
      <c r="A542" s="26">
        <v>542.0</v>
      </c>
      <c r="B542" s="188">
        <v>46187.0</v>
      </c>
      <c r="C542" s="26" t="s">
        <v>58</v>
      </c>
      <c r="D542" s="26" t="s">
        <v>22</v>
      </c>
      <c r="E542" s="27" t="s">
        <v>6479</v>
      </c>
      <c r="F542" s="21">
        <v>5.8333202E8</v>
      </c>
      <c r="G542" s="26" t="s">
        <v>4740</v>
      </c>
      <c r="H542" s="27" t="s">
        <v>41</v>
      </c>
      <c r="I542" s="26" t="s">
        <v>27</v>
      </c>
      <c r="J542" s="209" t="s">
        <v>4107</v>
      </c>
      <c r="K542" s="27"/>
      <c r="L542" s="26" t="s">
        <v>36</v>
      </c>
      <c r="M542" s="27" t="s">
        <v>1389</v>
      </c>
      <c r="N542" s="26" t="s">
        <v>49</v>
      </c>
      <c r="O542" s="26" t="s">
        <v>4746</v>
      </c>
      <c r="P542" s="35">
        <v>0.6041666666666666</v>
      </c>
      <c r="Q542" s="26" t="s">
        <v>40</v>
      </c>
      <c r="R542" s="26" t="s">
        <v>301</v>
      </c>
      <c r="S542" s="27" t="s">
        <v>3566</v>
      </c>
      <c r="T542" s="27"/>
      <c r="U542" s="35"/>
      <c r="V542" s="26"/>
      <c r="W542" s="26"/>
      <c r="X542" s="26"/>
    </row>
    <row r="543" hidden="1">
      <c r="A543" s="26">
        <v>543.0</v>
      </c>
      <c r="B543" s="188">
        <v>46187.0</v>
      </c>
      <c r="C543" s="26" t="s">
        <v>58</v>
      </c>
      <c r="D543" s="26" t="s">
        <v>60</v>
      </c>
      <c r="E543" s="26" t="s">
        <v>27</v>
      </c>
      <c r="F543" s="21">
        <v>5.00500438E8</v>
      </c>
      <c r="G543" s="26" t="s">
        <v>4740</v>
      </c>
      <c r="H543" s="27" t="s">
        <v>71</v>
      </c>
      <c r="I543" s="26" t="s">
        <v>72</v>
      </c>
      <c r="J543" s="209" t="s">
        <v>6625</v>
      </c>
      <c r="K543" s="27"/>
      <c r="L543" s="26" t="s">
        <v>36</v>
      </c>
      <c r="M543" s="27" t="s">
        <v>88</v>
      </c>
      <c r="N543" s="26" t="s">
        <v>4746</v>
      </c>
      <c r="O543" s="26" t="s">
        <v>4746</v>
      </c>
      <c r="P543" s="35"/>
      <c r="Q543" s="26" t="s">
        <v>56</v>
      </c>
      <c r="R543" s="26" t="s">
        <v>42</v>
      </c>
      <c r="S543" s="27" t="s">
        <v>3566</v>
      </c>
      <c r="T543" s="27"/>
      <c r="U543" s="35"/>
      <c r="V543" s="26"/>
      <c r="W543" s="26"/>
      <c r="X543" s="26"/>
    </row>
    <row r="544" hidden="1">
      <c r="A544" s="26">
        <v>544.0</v>
      </c>
      <c r="B544" s="188">
        <v>46187.0</v>
      </c>
      <c r="C544" s="26" t="s">
        <v>21</v>
      </c>
      <c r="D544" s="26" t="s">
        <v>22</v>
      </c>
      <c r="E544" s="27" t="s">
        <v>6627</v>
      </c>
      <c r="F544" s="21">
        <v>5.51774606E8</v>
      </c>
      <c r="G544" s="26" t="s">
        <v>5023</v>
      </c>
      <c r="H544" s="27" t="s">
        <v>76</v>
      </c>
      <c r="I544" s="26" t="s">
        <v>27</v>
      </c>
      <c r="J544" s="209" t="s">
        <v>6628</v>
      </c>
      <c r="K544" s="27"/>
      <c r="L544" s="26" t="s">
        <v>36</v>
      </c>
      <c r="M544" s="27" t="s">
        <v>4868</v>
      </c>
      <c r="N544" s="26" t="s">
        <v>4870</v>
      </c>
      <c r="O544" s="26" t="s">
        <v>4746</v>
      </c>
      <c r="P544" s="35">
        <v>0.6173611111111111</v>
      </c>
      <c r="Q544" s="26" t="s">
        <v>40</v>
      </c>
      <c r="R544" s="26" t="s">
        <v>42</v>
      </c>
      <c r="S544" s="27" t="s">
        <v>3566</v>
      </c>
      <c r="T544" s="27"/>
      <c r="U544" s="35"/>
      <c r="V544" s="26"/>
      <c r="W544" s="26"/>
      <c r="X544" s="26" t="s">
        <v>46</v>
      </c>
    </row>
    <row r="545" hidden="1">
      <c r="A545" s="26">
        <v>545.0</v>
      </c>
      <c r="B545" s="188">
        <v>46187.0</v>
      </c>
      <c r="C545" s="26" t="s">
        <v>21</v>
      </c>
      <c r="D545" s="26" t="s">
        <v>66</v>
      </c>
      <c r="E545" s="26" t="s">
        <v>6629</v>
      </c>
      <c r="F545" s="21">
        <v>5.544262E8</v>
      </c>
      <c r="G545" s="26" t="s">
        <v>27</v>
      </c>
      <c r="H545" s="26" t="s">
        <v>27</v>
      </c>
      <c r="I545" s="26" t="s">
        <v>27</v>
      </c>
      <c r="J545" s="209" t="s">
        <v>6630</v>
      </c>
      <c r="K545" s="27" t="s">
        <v>6631</v>
      </c>
      <c r="L545" s="26" t="s">
        <v>62</v>
      </c>
      <c r="M545" s="27" t="s">
        <v>208</v>
      </c>
      <c r="N545" s="26" t="s">
        <v>49</v>
      </c>
      <c r="O545" s="26" t="s">
        <v>4746</v>
      </c>
      <c r="P545" s="35">
        <v>0.6180555555555556</v>
      </c>
      <c r="Q545" s="26" t="s">
        <v>56</v>
      </c>
      <c r="R545" s="26" t="s">
        <v>518</v>
      </c>
      <c r="S545" s="27" t="s">
        <v>3566</v>
      </c>
      <c r="T545" s="27" t="s">
        <v>3566</v>
      </c>
      <c r="U545" s="35">
        <v>0.6180555555555556</v>
      </c>
      <c r="V545" s="26" t="s">
        <v>44</v>
      </c>
      <c r="W545" s="26">
        <v>5.0</v>
      </c>
      <c r="X545" s="26"/>
    </row>
    <row r="546" hidden="1">
      <c r="A546" s="26">
        <v>546.0</v>
      </c>
      <c r="B546" s="188">
        <v>46187.0</v>
      </c>
      <c r="C546" s="26" t="s">
        <v>21</v>
      </c>
      <c r="D546" s="26" t="s">
        <v>22</v>
      </c>
      <c r="E546" s="27" t="s">
        <v>6634</v>
      </c>
      <c r="F546" s="21">
        <v>5.80089932E8</v>
      </c>
      <c r="G546" s="26" t="s">
        <v>4740</v>
      </c>
      <c r="H546" s="27" t="s">
        <v>71</v>
      </c>
      <c r="I546" s="26" t="s">
        <v>27</v>
      </c>
      <c r="J546" s="209" t="s">
        <v>6170</v>
      </c>
      <c r="K546" s="27"/>
      <c r="L546" s="26" t="s">
        <v>62</v>
      </c>
      <c r="M546" s="27" t="s">
        <v>1389</v>
      </c>
      <c r="N546" s="26" t="s">
        <v>4870</v>
      </c>
      <c r="O546" s="26" t="s">
        <v>4746</v>
      </c>
      <c r="P546" s="35">
        <v>0.5395833333333333</v>
      </c>
      <c r="Q546" s="26" t="s">
        <v>40</v>
      </c>
      <c r="R546" s="26" t="s">
        <v>42</v>
      </c>
      <c r="S546" s="27" t="s">
        <v>3566</v>
      </c>
      <c r="T546" s="27"/>
      <c r="U546" s="35"/>
      <c r="V546" s="26"/>
      <c r="W546" s="26"/>
      <c r="X546" s="26" t="s">
        <v>46</v>
      </c>
    </row>
    <row r="547" hidden="1">
      <c r="A547" s="26">
        <v>547.0</v>
      </c>
      <c r="B547" s="188">
        <v>46187.0</v>
      </c>
      <c r="C547" s="26" t="s">
        <v>21</v>
      </c>
      <c r="D547" s="26" t="s">
        <v>57</v>
      </c>
      <c r="E547" s="27" t="s">
        <v>6637</v>
      </c>
      <c r="F547" s="21">
        <v>5.51703284E8</v>
      </c>
      <c r="G547" s="26" t="s">
        <v>4769</v>
      </c>
      <c r="H547" s="27" t="s">
        <v>152</v>
      </c>
      <c r="I547" s="26" t="s">
        <v>27</v>
      </c>
      <c r="J547" s="209" t="s">
        <v>6638</v>
      </c>
      <c r="K547" s="27"/>
      <c r="L547" s="26" t="s">
        <v>36</v>
      </c>
      <c r="M547" s="27" t="s">
        <v>7358</v>
      </c>
      <c r="N547" s="26" t="s">
        <v>4746</v>
      </c>
      <c r="O547" s="26" t="s">
        <v>4746</v>
      </c>
      <c r="P547" s="35"/>
      <c r="Q547" s="26" t="s">
        <v>56</v>
      </c>
      <c r="R547" s="26" t="s">
        <v>42</v>
      </c>
      <c r="S547" s="27" t="s">
        <v>3566</v>
      </c>
      <c r="T547" s="27"/>
      <c r="U547" s="35"/>
      <c r="V547" s="26"/>
      <c r="W547" s="26"/>
      <c r="X547" s="26"/>
    </row>
    <row r="548" hidden="1">
      <c r="A548" s="26">
        <v>548.0</v>
      </c>
      <c r="B548" s="188">
        <v>46188.0</v>
      </c>
      <c r="C548" s="26" t="s">
        <v>58</v>
      </c>
      <c r="D548" s="26" t="s">
        <v>60</v>
      </c>
      <c r="E548" s="26" t="s">
        <v>27</v>
      </c>
      <c r="F548" s="21">
        <v>5.47333121E8</v>
      </c>
      <c r="G548" s="26" t="s">
        <v>27</v>
      </c>
      <c r="H548" s="26" t="s">
        <v>27</v>
      </c>
      <c r="I548" s="26" t="s">
        <v>27</v>
      </c>
      <c r="J548" s="209" t="s">
        <v>6644</v>
      </c>
      <c r="K548" s="27"/>
      <c r="L548" s="26" t="s">
        <v>36</v>
      </c>
      <c r="M548" s="27" t="s">
        <v>88</v>
      </c>
      <c r="N548" s="26" t="s">
        <v>4746</v>
      </c>
      <c r="O548" s="26" t="s">
        <v>4746</v>
      </c>
      <c r="P548" s="35">
        <v>0.7069444444444445</v>
      </c>
      <c r="Q548" s="26" t="s">
        <v>56</v>
      </c>
      <c r="R548" s="26" t="s">
        <v>42</v>
      </c>
      <c r="S548" s="27" t="s">
        <v>3566</v>
      </c>
      <c r="T548" s="27"/>
      <c r="U548" s="35"/>
      <c r="V548" s="26"/>
      <c r="W548" s="26"/>
      <c r="X548" s="26"/>
    </row>
    <row r="549" hidden="1">
      <c r="A549" s="26">
        <v>549.0</v>
      </c>
      <c r="B549" s="188">
        <v>46188.0</v>
      </c>
      <c r="C549" s="26" t="s">
        <v>21</v>
      </c>
      <c r="D549" s="26" t="s">
        <v>34</v>
      </c>
      <c r="E549" s="27" t="s">
        <v>6389</v>
      </c>
      <c r="F549" s="21">
        <v>5.04706555E8</v>
      </c>
      <c r="G549" s="26" t="s">
        <v>4865</v>
      </c>
      <c r="H549" s="27" t="s">
        <v>319</v>
      </c>
      <c r="I549" s="26" t="s">
        <v>27</v>
      </c>
      <c r="J549" s="209" t="s">
        <v>6648</v>
      </c>
      <c r="K549" s="27"/>
      <c r="L549" s="26" t="s">
        <v>62</v>
      </c>
      <c r="M549" s="27" t="s">
        <v>51</v>
      </c>
      <c r="N549" s="26" t="s">
        <v>4746</v>
      </c>
      <c r="O549" s="26" t="s">
        <v>4746</v>
      </c>
      <c r="P549" s="35"/>
      <c r="Q549" s="26" t="s">
        <v>56</v>
      </c>
      <c r="R549" s="26" t="s">
        <v>42</v>
      </c>
      <c r="S549" s="27" t="s">
        <v>3566</v>
      </c>
      <c r="T549" s="27"/>
      <c r="U549" s="35"/>
      <c r="V549" s="26"/>
      <c r="W549" s="26"/>
      <c r="X549" s="26"/>
    </row>
    <row r="550" hidden="1">
      <c r="A550" s="26">
        <v>550.0</v>
      </c>
      <c r="B550" s="188">
        <v>46188.0</v>
      </c>
      <c r="C550" s="26" t="s">
        <v>47</v>
      </c>
      <c r="D550" s="26" t="s">
        <v>48</v>
      </c>
      <c r="E550" s="27" t="s">
        <v>6651</v>
      </c>
      <c r="F550" s="21">
        <v>5.5560654E8</v>
      </c>
      <c r="G550" s="26" t="s">
        <v>4740</v>
      </c>
      <c r="H550" s="27" t="s">
        <v>41</v>
      </c>
      <c r="I550" s="126" t="s">
        <v>956</v>
      </c>
      <c r="J550" s="209" t="s">
        <v>7427</v>
      </c>
      <c r="K550" s="27"/>
      <c r="L550" s="26" t="s">
        <v>62</v>
      </c>
      <c r="M550" s="275" t="s">
        <v>3764</v>
      </c>
      <c r="N550" s="26" t="s">
        <v>4977</v>
      </c>
      <c r="O550" s="26" t="s">
        <v>4746</v>
      </c>
      <c r="P550" s="35">
        <v>0.46458333333333335</v>
      </c>
      <c r="Q550" s="26" t="s">
        <v>40</v>
      </c>
      <c r="R550" s="26" t="s">
        <v>518</v>
      </c>
      <c r="S550" s="27" t="s">
        <v>3765</v>
      </c>
      <c r="T550" s="27" t="s">
        <v>3566</v>
      </c>
      <c r="U550" s="35">
        <v>0.6729166666666667</v>
      </c>
      <c r="V550" s="26" t="s">
        <v>44</v>
      </c>
      <c r="W550" s="26">
        <v>5.0</v>
      </c>
      <c r="X550" s="26" t="s">
        <v>46</v>
      </c>
    </row>
    <row r="551" hidden="1">
      <c r="A551" s="26">
        <v>551.0</v>
      </c>
      <c r="B551" s="188">
        <v>46188.0</v>
      </c>
      <c r="C551" s="26" t="s">
        <v>21</v>
      </c>
      <c r="D551" s="26" t="s">
        <v>34</v>
      </c>
      <c r="E551" s="26" t="s">
        <v>6655</v>
      </c>
      <c r="F551" s="21">
        <v>5.6601916E8</v>
      </c>
      <c r="G551" s="26" t="s">
        <v>4740</v>
      </c>
      <c r="H551" s="27" t="s">
        <v>41</v>
      </c>
      <c r="I551" s="26" t="s">
        <v>27</v>
      </c>
      <c r="J551" s="209" t="s">
        <v>6656</v>
      </c>
      <c r="K551" s="27" t="s">
        <v>35</v>
      </c>
      <c r="L551" s="26" t="s">
        <v>62</v>
      </c>
      <c r="M551" s="27" t="s">
        <v>51</v>
      </c>
      <c r="N551" s="26" t="s">
        <v>4746</v>
      </c>
      <c r="O551" s="26" t="s">
        <v>4746</v>
      </c>
      <c r="P551" s="35"/>
      <c r="Q551" s="26" t="s">
        <v>56</v>
      </c>
      <c r="R551" s="26" t="s">
        <v>42</v>
      </c>
      <c r="S551" s="27" t="s">
        <v>3566</v>
      </c>
      <c r="T551" s="27"/>
      <c r="U551" s="35"/>
      <c r="V551" s="26"/>
      <c r="W551" s="26"/>
      <c r="X551" s="26"/>
    </row>
    <row r="552" hidden="1">
      <c r="A552" s="26">
        <v>552.0</v>
      </c>
      <c r="B552" s="188">
        <v>46188.0</v>
      </c>
      <c r="C552" s="26" t="s">
        <v>58</v>
      </c>
      <c r="D552" s="26" t="s">
        <v>60</v>
      </c>
      <c r="E552" s="26" t="s">
        <v>6660</v>
      </c>
      <c r="F552" s="21">
        <v>5.58884202E8</v>
      </c>
      <c r="G552" s="26" t="s">
        <v>27</v>
      </c>
      <c r="H552" s="26" t="s">
        <v>27</v>
      </c>
      <c r="I552" s="26" t="s">
        <v>27</v>
      </c>
      <c r="J552" s="209" t="s">
        <v>6661</v>
      </c>
      <c r="K552" s="27" t="s">
        <v>6663</v>
      </c>
      <c r="L552" s="26" t="s">
        <v>62</v>
      </c>
      <c r="M552" s="27" t="s">
        <v>88</v>
      </c>
      <c r="N552" s="26" t="s">
        <v>4746</v>
      </c>
      <c r="O552" s="26" t="s">
        <v>4746</v>
      </c>
      <c r="P552" s="35"/>
      <c r="Q552" s="26" t="s">
        <v>56</v>
      </c>
      <c r="R552" s="26" t="s">
        <v>42</v>
      </c>
      <c r="S552" s="27" t="s">
        <v>3566</v>
      </c>
      <c r="T552" s="27"/>
      <c r="U552" s="35"/>
      <c r="V552" s="26"/>
      <c r="W552" s="26"/>
      <c r="X552" s="26"/>
    </row>
    <row r="553" hidden="1">
      <c r="A553" s="26">
        <v>553.0</v>
      </c>
      <c r="B553" s="188">
        <v>46188.0</v>
      </c>
      <c r="C553" s="26" t="s">
        <v>58</v>
      </c>
      <c r="D553" s="26" t="s">
        <v>60</v>
      </c>
      <c r="E553" s="27" t="s">
        <v>6501</v>
      </c>
      <c r="F553" s="21">
        <v>5.42542233E8</v>
      </c>
      <c r="G553" s="26" t="s">
        <v>27</v>
      </c>
      <c r="H553" s="26" t="s">
        <v>27</v>
      </c>
      <c r="I553" s="26" t="s">
        <v>27</v>
      </c>
      <c r="J553" s="209" t="s">
        <v>6477</v>
      </c>
      <c r="K553" s="27"/>
      <c r="L553" s="26" t="s">
        <v>62</v>
      </c>
      <c r="M553" s="27" t="s">
        <v>88</v>
      </c>
      <c r="N553" s="26" t="s">
        <v>4746</v>
      </c>
      <c r="O553" s="26" t="s">
        <v>4746</v>
      </c>
      <c r="P553" s="35"/>
      <c r="Q553" s="26" t="s">
        <v>56</v>
      </c>
      <c r="R553" s="26" t="s">
        <v>42</v>
      </c>
      <c r="S553" s="27" t="s">
        <v>3566</v>
      </c>
      <c r="T553" s="27"/>
      <c r="U553" s="35"/>
      <c r="V553" s="26"/>
      <c r="W553" s="26"/>
      <c r="X553" s="26"/>
    </row>
    <row r="554" hidden="1">
      <c r="A554" s="26">
        <v>554.0</v>
      </c>
      <c r="B554" s="188">
        <v>46188.0</v>
      </c>
      <c r="C554" s="26" t="s">
        <v>58</v>
      </c>
      <c r="D554" s="26" t="s">
        <v>60</v>
      </c>
      <c r="E554" s="26" t="s">
        <v>27</v>
      </c>
      <c r="F554" s="21">
        <v>5.83959985E8</v>
      </c>
      <c r="G554" s="26" t="s">
        <v>4740</v>
      </c>
      <c r="H554" s="27" t="s">
        <v>41</v>
      </c>
      <c r="I554" s="26" t="s">
        <v>27</v>
      </c>
      <c r="J554" s="209" t="s">
        <v>6668</v>
      </c>
      <c r="K554" s="27" t="s">
        <v>6669</v>
      </c>
      <c r="L554" s="26" t="s">
        <v>36</v>
      </c>
      <c r="M554" s="27" t="s">
        <v>88</v>
      </c>
      <c r="N554" s="26" t="s">
        <v>4746</v>
      </c>
      <c r="O554" s="26" t="s">
        <v>4746</v>
      </c>
      <c r="P554" s="35"/>
      <c r="Q554" s="26" t="s">
        <v>56</v>
      </c>
      <c r="R554" s="26" t="s">
        <v>42</v>
      </c>
      <c r="S554" s="27" t="s">
        <v>3566</v>
      </c>
      <c r="T554" s="27"/>
      <c r="U554" s="35"/>
      <c r="V554" s="26"/>
      <c r="W554" s="26"/>
      <c r="X554" s="26"/>
    </row>
    <row r="555" hidden="1">
      <c r="A555" s="26">
        <v>555.0</v>
      </c>
      <c r="B555" s="188">
        <v>46188.0</v>
      </c>
      <c r="C555" s="26" t="s">
        <v>58</v>
      </c>
      <c r="D555" s="26" t="s">
        <v>60</v>
      </c>
      <c r="E555" s="26" t="s">
        <v>27</v>
      </c>
      <c r="F555" s="21">
        <v>5.05583194E8</v>
      </c>
      <c r="G555" s="26" t="s">
        <v>27</v>
      </c>
      <c r="H555" s="26" t="s">
        <v>27</v>
      </c>
      <c r="I555" s="26" t="s">
        <v>27</v>
      </c>
      <c r="J555" s="209" t="s">
        <v>6673</v>
      </c>
      <c r="K555" s="27"/>
      <c r="L555" s="26" t="s">
        <v>65</v>
      </c>
      <c r="M555" s="27" t="s">
        <v>38</v>
      </c>
      <c r="N555" s="26" t="s">
        <v>4746</v>
      </c>
      <c r="O555" s="26" t="s">
        <v>4746</v>
      </c>
      <c r="P555" s="35">
        <v>0.3611111111111111</v>
      </c>
      <c r="Q555" s="26" t="s">
        <v>56</v>
      </c>
      <c r="R555" s="26" t="s">
        <v>42</v>
      </c>
      <c r="S555" s="27" t="s">
        <v>3566</v>
      </c>
      <c r="T555" s="27"/>
      <c r="U555" s="35"/>
      <c r="V555" s="26"/>
      <c r="W555" s="26"/>
      <c r="X555" s="26"/>
    </row>
    <row r="556" hidden="1">
      <c r="A556" s="26">
        <v>556.0</v>
      </c>
      <c r="B556" s="188">
        <v>46188.0</v>
      </c>
      <c r="C556" s="26" t="s">
        <v>58</v>
      </c>
      <c r="D556" s="26" t="s">
        <v>60</v>
      </c>
      <c r="E556" s="27" t="s">
        <v>6676</v>
      </c>
      <c r="F556" s="21">
        <v>5.64101382E8</v>
      </c>
      <c r="G556" s="26" t="s">
        <v>4740</v>
      </c>
      <c r="H556" s="27" t="s">
        <v>79</v>
      </c>
      <c r="I556" s="26" t="s">
        <v>27</v>
      </c>
      <c r="J556" s="209" t="s">
        <v>6677</v>
      </c>
      <c r="K556" s="27"/>
      <c r="L556" s="26" t="s">
        <v>36</v>
      </c>
      <c r="M556" s="27" t="s">
        <v>88</v>
      </c>
      <c r="N556" s="26" t="s">
        <v>4746</v>
      </c>
      <c r="O556" s="26" t="s">
        <v>4746</v>
      </c>
      <c r="P556" s="35"/>
      <c r="Q556" s="26" t="s">
        <v>56</v>
      </c>
      <c r="R556" s="26" t="s">
        <v>42</v>
      </c>
      <c r="S556" s="27" t="s">
        <v>3566</v>
      </c>
      <c r="T556" s="27"/>
      <c r="U556" s="35"/>
      <c r="V556" s="26"/>
      <c r="W556" s="26"/>
      <c r="X556" s="26"/>
    </row>
    <row r="557" hidden="1">
      <c r="A557" s="26">
        <v>557.0</v>
      </c>
      <c r="B557" s="188">
        <v>46188.0</v>
      </c>
      <c r="C557" s="26" t="s">
        <v>58</v>
      </c>
      <c r="D557" s="26" t="s">
        <v>57</v>
      </c>
      <c r="E557" s="27" t="s">
        <v>6679</v>
      </c>
      <c r="F557" s="21">
        <v>5.97227869E8</v>
      </c>
      <c r="G557" s="26" t="s">
        <v>27</v>
      </c>
      <c r="H557" s="26" t="s">
        <v>27</v>
      </c>
      <c r="I557" s="26" t="s">
        <v>27</v>
      </c>
      <c r="J557" s="209" t="s">
        <v>6682</v>
      </c>
      <c r="K557" s="27" t="s">
        <v>6683</v>
      </c>
      <c r="L557" s="26" t="s">
        <v>62</v>
      </c>
      <c r="M557" s="27" t="s">
        <v>1399</v>
      </c>
      <c r="N557" s="26" t="s">
        <v>4746</v>
      </c>
      <c r="O557" s="26" t="s">
        <v>4746</v>
      </c>
      <c r="P557" s="35"/>
      <c r="Q557" s="26" t="s">
        <v>56</v>
      </c>
      <c r="R557" s="26" t="s">
        <v>42</v>
      </c>
      <c r="S557" s="27" t="s">
        <v>3566</v>
      </c>
      <c r="T557" s="27"/>
      <c r="U557" s="35"/>
      <c r="V557" s="26"/>
      <c r="W557" s="26"/>
      <c r="X557" s="26"/>
    </row>
    <row r="558" hidden="1">
      <c r="A558" s="26">
        <v>558.0</v>
      </c>
      <c r="B558" s="188">
        <v>46188.0</v>
      </c>
      <c r="C558" s="26" t="s">
        <v>58</v>
      </c>
      <c r="D558" s="26" t="s">
        <v>57</v>
      </c>
      <c r="E558" s="27" t="s">
        <v>6426</v>
      </c>
      <c r="F558" s="21">
        <v>5.33938139E8</v>
      </c>
      <c r="G558" s="26" t="s">
        <v>4740</v>
      </c>
      <c r="H558" s="27" t="s">
        <v>41</v>
      </c>
      <c r="I558" s="26" t="s">
        <v>27</v>
      </c>
      <c r="J558" s="209" t="s">
        <v>6687</v>
      </c>
      <c r="K558" s="27" t="s">
        <v>6688</v>
      </c>
      <c r="L558" s="26" t="s">
        <v>62</v>
      </c>
      <c r="M558" s="27" t="s">
        <v>1399</v>
      </c>
      <c r="N558" s="26" t="s">
        <v>4746</v>
      </c>
      <c r="O558" s="26" t="s">
        <v>4746</v>
      </c>
      <c r="P558" s="35"/>
      <c r="Q558" s="26" t="s">
        <v>56</v>
      </c>
      <c r="R558" s="26" t="s">
        <v>42</v>
      </c>
      <c r="S558" s="27" t="s">
        <v>3566</v>
      </c>
      <c r="T558" s="27"/>
      <c r="U558" s="35"/>
      <c r="V558" s="26"/>
      <c r="W558" s="26"/>
      <c r="X558" s="26"/>
    </row>
    <row r="559" hidden="1">
      <c r="A559" s="26">
        <v>559.0</v>
      </c>
      <c r="B559" s="188">
        <v>46188.0</v>
      </c>
      <c r="C559" s="26" t="s">
        <v>21</v>
      </c>
      <c r="D559" s="26" t="s">
        <v>22</v>
      </c>
      <c r="E559" s="27" t="s">
        <v>1197</v>
      </c>
      <c r="F559" s="21">
        <v>5.75267061E8</v>
      </c>
      <c r="G559" s="26" t="s">
        <v>27</v>
      </c>
      <c r="H559" s="26" t="s">
        <v>27</v>
      </c>
      <c r="I559" s="26" t="s">
        <v>27</v>
      </c>
      <c r="J559" s="368" t="s">
        <v>7447</v>
      </c>
      <c r="K559" s="27"/>
      <c r="L559" s="26" t="s">
        <v>62</v>
      </c>
      <c r="M559" s="27" t="s">
        <v>4868</v>
      </c>
      <c r="N559" s="26" t="s">
        <v>4870</v>
      </c>
      <c r="O559" s="26" t="s">
        <v>4746</v>
      </c>
      <c r="P559" s="35"/>
      <c r="Q559" s="26" t="s">
        <v>40</v>
      </c>
      <c r="R559" s="26" t="s">
        <v>42</v>
      </c>
      <c r="S559" s="27" t="s">
        <v>3566</v>
      </c>
      <c r="T559" s="27"/>
      <c r="U559" s="35"/>
      <c r="V559" s="26"/>
      <c r="W559" s="26"/>
      <c r="X559" s="26" t="s">
        <v>46</v>
      </c>
    </row>
    <row r="560" hidden="1">
      <c r="A560" s="26">
        <v>560.0</v>
      </c>
      <c r="B560" s="188">
        <v>46188.0</v>
      </c>
      <c r="C560" s="26" t="s">
        <v>47</v>
      </c>
      <c r="D560" s="26" t="s">
        <v>60</v>
      </c>
      <c r="E560" s="27" t="s">
        <v>6696</v>
      </c>
      <c r="F560" s="21">
        <v>5.57333121E8</v>
      </c>
      <c r="G560" s="26" t="s">
        <v>4740</v>
      </c>
      <c r="H560" s="27" t="s">
        <v>41</v>
      </c>
      <c r="I560" s="26" t="s">
        <v>27</v>
      </c>
      <c r="J560" s="209" t="s">
        <v>6697</v>
      </c>
      <c r="K560" s="27"/>
      <c r="L560" s="26" t="s">
        <v>62</v>
      </c>
      <c r="M560" s="27" t="s">
        <v>38</v>
      </c>
      <c r="N560" s="26" t="s">
        <v>4746</v>
      </c>
      <c r="O560" s="26" t="s">
        <v>4746</v>
      </c>
      <c r="P560" s="35"/>
      <c r="Q560" s="26" t="s">
        <v>56</v>
      </c>
      <c r="R560" s="26" t="s">
        <v>42</v>
      </c>
      <c r="S560" s="27" t="s">
        <v>3566</v>
      </c>
      <c r="T560" s="27"/>
      <c r="U560" s="35"/>
      <c r="V560" s="26"/>
      <c r="W560" s="26"/>
      <c r="X560" s="26"/>
    </row>
    <row r="561" hidden="1">
      <c r="A561" s="26">
        <v>561.0</v>
      </c>
      <c r="B561" s="188">
        <v>46188.0</v>
      </c>
      <c r="C561" s="26" t="s">
        <v>58</v>
      </c>
      <c r="D561" s="26" t="s">
        <v>60</v>
      </c>
      <c r="E561" s="27" t="s">
        <v>6702</v>
      </c>
      <c r="F561" s="21">
        <v>5.10104752E8</v>
      </c>
      <c r="G561" s="26" t="s">
        <v>27</v>
      </c>
      <c r="H561" s="26" t="s">
        <v>27</v>
      </c>
      <c r="I561" s="26" t="s">
        <v>27</v>
      </c>
      <c r="J561" s="209" t="s">
        <v>6703</v>
      </c>
      <c r="K561" s="27" t="s">
        <v>6704</v>
      </c>
      <c r="L561" s="26" t="s">
        <v>62</v>
      </c>
      <c r="M561" s="27" t="s">
        <v>88</v>
      </c>
      <c r="N561" s="26" t="s">
        <v>4746</v>
      </c>
      <c r="O561" s="26" t="s">
        <v>4746</v>
      </c>
      <c r="P561" s="35">
        <v>0.3770833333333333</v>
      </c>
      <c r="Q561" s="26" t="s">
        <v>56</v>
      </c>
      <c r="R561" s="26" t="s">
        <v>42</v>
      </c>
      <c r="S561" s="27" t="s">
        <v>3566</v>
      </c>
      <c r="T561" s="27"/>
      <c r="U561" s="35"/>
      <c r="V561" s="26"/>
      <c r="W561" s="26"/>
      <c r="X561" s="26"/>
    </row>
    <row r="562" hidden="1">
      <c r="A562" s="26">
        <v>562.0</v>
      </c>
      <c r="B562" s="188">
        <v>46188.0</v>
      </c>
      <c r="C562" s="26" t="s">
        <v>58</v>
      </c>
      <c r="D562" s="26" t="s">
        <v>57</v>
      </c>
      <c r="E562" s="27" t="s">
        <v>6426</v>
      </c>
      <c r="F562" s="21">
        <v>5.33149396E8</v>
      </c>
      <c r="G562" s="26" t="s">
        <v>4740</v>
      </c>
      <c r="H562" s="27" t="s">
        <v>41</v>
      </c>
      <c r="I562" s="26" t="s">
        <v>27</v>
      </c>
      <c r="J562" s="209" t="s">
        <v>6707</v>
      </c>
      <c r="K562" s="27"/>
      <c r="L562" s="26" t="s">
        <v>36</v>
      </c>
      <c r="M562" s="27" t="s">
        <v>7358</v>
      </c>
      <c r="N562" s="26" t="s">
        <v>4746</v>
      </c>
      <c r="O562" s="26" t="s">
        <v>4746</v>
      </c>
      <c r="P562" s="35">
        <v>0.3819444444444444</v>
      </c>
      <c r="Q562" s="26" t="s">
        <v>56</v>
      </c>
      <c r="R562" s="26" t="s">
        <v>42</v>
      </c>
      <c r="S562" s="27" t="s">
        <v>3566</v>
      </c>
      <c r="T562" s="27"/>
      <c r="U562" s="35"/>
      <c r="V562" s="26"/>
      <c r="W562" s="26"/>
      <c r="X562" s="26"/>
    </row>
    <row r="563" hidden="1">
      <c r="A563" s="26">
        <v>563.0</v>
      </c>
      <c r="B563" s="188">
        <v>46188.0</v>
      </c>
      <c r="C563" s="26" t="s">
        <v>47</v>
      </c>
      <c r="D563" s="26" t="s">
        <v>48</v>
      </c>
      <c r="E563" s="26" t="s">
        <v>6709</v>
      </c>
      <c r="F563" s="21" t="s">
        <v>27</v>
      </c>
      <c r="G563" s="26" t="s">
        <v>4740</v>
      </c>
      <c r="H563" s="27" t="s">
        <v>41</v>
      </c>
      <c r="I563" s="26" t="s">
        <v>783</v>
      </c>
      <c r="J563" s="209" t="s">
        <v>6710</v>
      </c>
      <c r="K563" s="27" t="s">
        <v>6711</v>
      </c>
      <c r="L563" s="26" t="s">
        <v>78</v>
      </c>
      <c r="M563" s="275" t="s">
        <v>4232</v>
      </c>
      <c r="N563" s="26" t="s">
        <v>4977</v>
      </c>
      <c r="O563" s="26" t="s">
        <v>49</v>
      </c>
      <c r="P563" s="35"/>
      <c r="Q563" s="26" t="s">
        <v>56</v>
      </c>
      <c r="R563" s="26" t="s">
        <v>518</v>
      </c>
      <c r="S563" s="27" t="s">
        <v>3765</v>
      </c>
      <c r="T563" s="27"/>
      <c r="U563" s="35"/>
      <c r="V563" s="26"/>
      <c r="W563" s="26"/>
      <c r="X563" s="26" t="s">
        <v>46</v>
      </c>
    </row>
    <row r="564" ht="33.75" hidden="1" customHeight="1">
      <c r="A564" s="26">
        <v>564.0</v>
      </c>
      <c r="B564" s="188">
        <v>46188.0</v>
      </c>
      <c r="C564" s="26" t="s">
        <v>47</v>
      </c>
      <c r="D564" s="26" t="s">
        <v>92</v>
      </c>
      <c r="E564" s="26" t="s">
        <v>6715</v>
      </c>
      <c r="F564" s="21" t="s">
        <v>27</v>
      </c>
      <c r="G564" s="26" t="s">
        <v>4740</v>
      </c>
      <c r="H564" s="27" t="s">
        <v>71</v>
      </c>
      <c r="I564" s="26" t="s">
        <v>291</v>
      </c>
      <c r="J564" s="209" t="s">
        <v>6716</v>
      </c>
      <c r="K564" s="27"/>
      <c r="L564" s="26" t="s">
        <v>78</v>
      </c>
      <c r="M564" s="27" t="s">
        <v>5011</v>
      </c>
      <c r="N564" s="26" t="s">
        <v>4637</v>
      </c>
      <c r="O564" s="26" t="s">
        <v>49</v>
      </c>
      <c r="P564" s="35"/>
      <c r="Q564" s="26" t="s">
        <v>40</v>
      </c>
      <c r="R564" s="26" t="s">
        <v>42</v>
      </c>
      <c r="S564" s="27" t="s">
        <v>3566</v>
      </c>
      <c r="T564" s="27"/>
      <c r="U564" s="35"/>
      <c r="V564" s="26"/>
      <c r="W564" s="26"/>
      <c r="X564" s="26" t="s">
        <v>46</v>
      </c>
    </row>
    <row r="565" ht="30.75" hidden="1" customHeight="1">
      <c r="A565" s="26">
        <v>565.0</v>
      </c>
      <c r="B565" s="188">
        <v>46188.0</v>
      </c>
      <c r="C565" s="26" t="s">
        <v>47</v>
      </c>
      <c r="D565" s="26" t="s">
        <v>48</v>
      </c>
      <c r="E565" s="27" t="s">
        <v>6719</v>
      </c>
      <c r="F565" s="21">
        <v>5.04518519E8</v>
      </c>
      <c r="G565" s="26" t="s">
        <v>4740</v>
      </c>
      <c r="H565" s="27" t="s">
        <v>41</v>
      </c>
      <c r="I565" s="26" t="s">
        <v>956</v>
      </c>
      <c r="J565" s="209" t="s">
        <v>6722</v>
      </c>
      <c r="K565" s="27"/>
      <c r="L565" s="26" t="s">
        <v>148</v>
      </c>
      <c r="M565" s="275" t="s">
        <v>3764</v>
      </c>
      <c r="N565" s="26" t="s">
        <v>4977</v>
      </c>
      <c r="O565" s="26" t="s">
        <v>49</v>
      </c>
      <c r="P565" s="35"/>
      <c r="Q565" s="26" t="s">
        <v>40</v>
      </c>
      <c r="R565" s="26" t="s">
        <v>518</v>
      </c>
      <c r="S565" s="27" t="s">
        <v>3765</v>
      </c>
      <c r="T565" s="27"/>
      <c r="U565" s="35"/>
      <c r="V565" s="26"/>
      <c r="W565" s="26"/>
      <c r="X565" s="26" t="s">
        <v>46</v>
      </c>
    </row>
    <row r="566" hidden="1">
      <c r="A566" s="26">
        <v>566.0</v>
      </c>
      <c r="B566" s="188">
        <v>46188.0</v>
      </c>
      <c r="C566" s="26" t="s">
        <v>58</v>
      </c>
      <c r="D566" s="26" t="s">
        <v>60</v>
      </c>
      <c r="E566" s="27" t="s">
        <v>482</v>
      </c>
      <c r="F566" s="21">
        <v>5.65111081E8</v>
      </c>
      <c r="G566" s="26" t="s">
        <v>4740</v>
      </c>
      <c r="H566" s="27" t="s">
        <v>41</v>
      </c>
      <c r="I566" s="26" t="s">
        <v>146</v>
      </c>
      <c r="J566" s="209" t="s">
        <v>6726</v>
      </c>
      <c r="K566" s="27"/>
      <c r="L566" s="26" t="s">
        <v>148</v>
      </c>
      <c r="M566" s="27" t="s">
        <v>88</v>
      </c>
      <c r="N566" s="26" t="s">
        <v>49</v>
      </c>
      <c r="O566" s="26" t="s">
        <v>49</v>
      </c>
      <c r="P566" s="35"/>
      <c r="Q566" s="26" t="s">
        <v>56</v>
      </c>
      <c r="R566" s="26" t="s">
        <v>42</v>
      </c>
      <c r="S566" s="27" t="s">
        <v>3566</v>
      </c>
      <c r="T566" s="27"/>
      <c r="U566" s="35"/>
      <c r="V566" s="26"/>
      <c r="W566" s="26"/>
      <c r="X566" s="26" t="s">
        <v>46</v>
      </c>
    </row>
    <row r="567" hidden="1">
      <c r="A567" s="26">
        <v>567.0</v>
      </c>
      <c r="B567" s="188">
        <v>46188.0</v>
      </c>
      <c r="C567" s="26" t="s">
        <v>21</v>
      </c>
      <c r="D567" s="26" t="s">
        <v>57</v>
      </c>
      <c r="E567" s="27" t="s">
        <v>276</v>
      </c>
      <c r="F567" s="21">
        <v>5.37561833E8</v>
      </c>
      <c r="G567" s="26" t="s">
        <v>4865</v>
      </c>
      <c r="H567" s="27" t="s">
        <v>319</v>
      </c>
      <c r="I567" s="26" t="s">
        <v>27</v>
      </c>
      <c r="J567" s="209" t="s">
        <v>6731</v>
      </c>
      <c r="K567" s="27" t="s">
        <v>3270</v>
      </c>
      <c r="L567" s="26" t="s">
        <v>62</v>
      </c>
      <c r="M567" s="27" t="s">
        <v>1399</v>
      </c>
      <c r="N567" s="26" t="s">
        <v>4746</v>
      </c>
      <c r="O567" s="26" t="s">
        <v>4746</v>
      </c>
      <c r="P567" s="35">
        <v>0.4513888888888889</v>
      </c>
      <c r="Q567" s="26" t="s">
        <v>56</v>
      </c>
      <c r="R567" s="26" t="s">
        <v>42</v>
      </c>
      <c r="S567" s="27" t="s">
        <v>3566</v>
      </c>
      <c r="T567" s="27"/>
      <c r="U567" s="35"/>
      <c r="V567" s="26"/>
      <c r="W567" s="26"/>
      <c r="X567" s="26"/>
    </row>
    <row r="568" hidden="1">
      <c r="A568" s="26">
        <v>568.0</v>
      </c>
      <c r="B568" s="188">
        <v>46188.0</v>
      </c>
      <c r="C568" s="26" t="s">
        <v>58</v>
      </c>
      <c r="D568" s="26" t="s">
        <v>22</v>
      </c>
      <c r="E568" s="27" t="s">
        <v>184</v>
      </c>
      <c r="F568" s="21">
        <v>5.57573113E8</v>
      </c>
      <c r="G568" s="26" t="s">
        <v>7234</v>
      </c>
      <c r="H568" s="27" t="s">
        <v>3176</v>
      </c>
      <c r="I568" s="26" t="s">
        <v>27</v>
      </c>
      <c r="J568" s="209" t="s">
        <v>6733</v>
      </c>
      <c r="K568" s="27"/>
      <c r="L568" s="26" t="s">
        <v>36</v>
      </c>
      <c r="M568" s="27" t="s">
        <v>1389</v>
      </c>
      <c r="N568" s="26" t="s">
        <v>49</v>
      </c>
      <c r="O568" s="26" t="s">
        <v>4746</v>
      </c>
      <c r="P568" s="35"/>
      <c r="Q568" s="26" t="s">
        <v>40</v>
      </c>
      <c r="R568" s="26" t="s">
        <v>301</v>
      </c>
      <c r="S568" s="27" t="s">
        <v>3566</v>
      </c>
      <c r="T568" s="27"/>
      <c r="U568" s="35"/>
      <c r="V568" s="26"/>
      <c r="W568" s="26"/>
      <c r="X568" s="26"/>
    </row>
    <row r="569" hidden="1">
      <c r="A569" s="26">
        <v>569.0</v>
      </c>
      <c r="B569" s="188">
        <v>46188.0</v>
      </c>
      <c r="C569" s="26" t="s">
        <v>58</v>
      </c>
      <c r="D569" s="26" t="s">
        <v>60</v>
      </c>
      <c r="E569" s="26" t="s">
        <v>27</v>
      </c>
      <c r="F569" s="21">
        <v>5.55598818E8</v>
      </c>
      <c r="G569" s="26" t="s">
        <v>27</v>
      </c>
      <c r="H569" s="26" t="s">
        <v>27</v>
      </c>
      <c r="I569" s="26" t="s">
        <v>27</v>
      </c>
      <c r="J569" s="209" t="s">
        <v>6737</v>
      </c>
      <c r="K569" s="27" t="s">
        <v>6738</v>
      </c>
      <c r="L569" s="26" t="s">
        <v>62</v>
      </c>
      <c r="M569" s="27" t="s">
        <v>88</v>
      </c>
      <c r="N569" s="26" t="s">
        <v>4746</v>
      </c>
      <c r="O569" s="26" t="s">
        <v>4746</v>
      </c>
      <c r="P569" s="35"/>
      <c r="Q569" s="26" t="s">
        <v>56</v>
      </c>
      <c r="R569" s="26" t="s">
        <v>42</v>
      </c>
      <c r="S569" s="27" t="s">
        <v>3566</v>
      </c>
      <c r="T569" s="27"/>
      <c r="U569" s="35"/>
      <c r="V569" s="26"/>
      <c r="W569" s="26"/>
      <c r="X569" s="26"/>
    </row>
    <row r="570" hidden="1">
      <c r="A570" s="26">
        <v>570.0</v>
      </c>
      <c r="B570" s="188">
        <v>46188.0</v>
      </c>
      <c r="C570" s="26" t="s">
        <v>21</v>
      </c>
      <c r="D570" s="26" t="s">
        <v>24</v>
      </c>
      <c r="E570" s="27" t="s">
        <v>6741</v>
      </c>
      <c r="F570" s="21">
        <v>5.3322706E8</v>
      </c>
      <c r="G570" s="26" t="s">
        <v>4740</v>
      </c>
      <c r="H570" s="27" t="s">
        <v>41</v>
      </c>
      <c r="I570" s="26" t="s">
        <v>27</v>
      </c>
      <c r="J570" s="209" t="s">
        <v>6742</v>
      </c>
      <c r="K570" s="27"/>
      <c r="L570" s="26" t="s">
        <v>62</v>
      </c>
      <c r="M570" s="27" t="s">
        <v>5046</v>
      </c>
      <c r="N570" s="26" t="s">
        <v>4803</v>
      </c>
      <c r="O570" s="26" t="s">
        <v>4746</v>
      </c>
      <c r="P570" s="35">
        <v>0.3680555555555556</v>
      </c>
      <c r="Q570" s="26" t="s">
        <v>56</v>
      </c>
      <c r="R570" s="26" t="s">
        <v>42</v>
      </c>
      <c r="S570" s="27" t="s">
        <v>3566</v>
      </c>
      <c r="T570" s="27"/>
      <c r="U570" s="35"/>
      <c r="V570" s="26"/>
      <c r="W570" s="26"/>
      <c r="X570" s="26" t="s">
        <v>46</v>
      </c>
    </row>
    <row r="571" hidden="1">
      <c r="A571" s="26">
        <v>571.0</v>
      </c>
      <c r="B571" s="188">
        <v>46188.0</v>
      </c>
      <c r="C571" s="26" t="s">
        <v>21</v>
      </c>
      <c r="D571" s="26" t="s">
        <v>24</v>
      </c>
      <c r="E571" s="27" t="s">
        <v>6746</v>
      </c>
      <c r="F571" s="21">
        <v>5.66638995E8</v>
      </c>
      <c r="G571" s="26" t="s">
        <v>4740</v>
      </c>
      <c r="H571" s="27" t="s">
        <v>71</v>
      </c>
      <c r="I571" s="26" t="s">
        <v>27</v>
      </c>
      <c r="J571" s="209" t="s">
        <v>6747</v>
      </c>
      <c r="K571" s="27"/>
      <c r="L571" s="26" t="s">
        <v>36</v>
      </c>
      <c r="M571" s="27" t="s">
        <v>630</v>
      </c>
      <c r="N571" s="26" t="s">
        <v>4803</v>
      </c>
      <c r="O571" s="26" t="s">
        <v>4746</v>
      </c>
      <c r="P571" s="35">
        <v>0.4</v>
      </c>
      <c r="Q571" s="26" t="s">
        <v>56</v>
      </c>
      <c r="R571" s="26" t="s">
        <v>42</v>
      </c>
      <c r="S571" s="27" t="s">
        <v>3566</v>
      </c>
      <c r="T571" s="27"/>
      <c r="U571" s="35"/>
      <c r="V571" s="26"/>
      <c r="W571" s="26"/>
      <c r="X571" s="26" t="s">
        <v>46</v>
      </c>
    </row>
    <row r="572" hidden="1">
      <c r="A572" s="26">
        <v>572.0</v>
      </c>
      <c r="B572" s="188">
        <v>46188.0</v>
      </c>
      <c r="C572" s="26" t="s">
        <v>58</v>
      </c>
      <c r="D572" s="26" t="s">
        <v>60</v>
      </c>
      <c r="E572" s="27" t="s">
        <v>6750</v>
      </c>
      <c r="F572" s="21">
        <v>5.32234147E8</v>
      </c>
      <c r="G572" s="26" t="s">
        <v>27</v>
      </c>
      <c r="H572" s="26" t="s">
        <v>27</v>
      </c>
      <c r="I572" s="26" t="s">
        <v>27</v>
      </c>
      <c r="J572" s="209" t="s">
        <v>6751</v>
      </c>
      <c r="K572" s="27" t="s">
        <v>6752</v>
      </c>
      <c r="L572" s="26" t="s">
        <v>62</v>
      </c>
      <c r="M572" s="27" t="s">
        <v>88</v>
      </c>
      <c r="N572" s="26" t="s">
        <v>4746</v>
      </c>
      <c r="O572" s="26" t="s">
        <v>4746</v>
      </c>
      <c r="P572" s="35"/>
      <c r="Q572" s="26" t="s">
        <v>56</v>
      </c>
      <c r="R572" s="26" t="s">
        <v>42</v>
      </c>
      <c r="S572" s="27" t="s">
        <v>3566</v>
      </c>
      <c r="T572" s="27"/>
      <c r="U572" s="35"/>
      <c r="V572" s="26"/>
      <c r="W572" s="26"/>
      <c r="X572" s="26"/>
    </row>
    <row r="573" hidden="1">
      <c r="A573" s="26">
        <v>573.0</v>
      </c>
      <c r="B573" s="188">
        <v>46188.0</v>
      </c>
      <c r="C573" s="26" t="s">
        <v>58</v>
      </c>
      <c r="D573" s="26" t="s">
        <v>60</v>
      </c>
      <c r="E573" s="26" t="s">
        <v>27</v>
      </c>
      <c r="F573" s="21">
        <v>5.56061666E8</v>
      </c>
      <c r="G573" s="26" t="s">
        <v>4769</v>
      </c>
      <c r="H573" s="27" t="s">
        <v>152</v>
      </c>
      <c r="I573" s="26" t="s">
        <v>27</v>
      </c>
      <c r="J573" s="209" t="s">
        <v>6754</v>
      </c>
      <c r="K573" s="27" t="s">
        <v>1969</v>
      </c>
      <c r="L573" s="26" t="s">
        <v>36</v>
      </c>
      <c r="M573" s="27" t="s">
        <v>88</v>
      </c>
      <c r="N573" s="26" t="s">
        <v>4746</v>
      </c>
      <c r="O573" s="26" t="s">
        <v>4746</v>
      </c>
      <c r="P573" s="35">
        <v>0.4791666666666667</v>
      </c>
      <c r="Q573" s="26" t="s">
        <v>56</v>
      </c>
      <c r="R573" s="26" t="s">
        <v>42</v>
      </c>
      <c r="S573" s="27" t="s">
        <v>3566</v>
      </c>
      <c r="T573" s="27"/>
      <c r="U573" s="35"/>
      <c r="V573" s="26"/>
      <c r="W573" s="26"/>
      <c r="X573" s="26"/>
    </row>
    <row r="574" hidden="1">
      <c r="A574" s="26">
        <v>574.0</v>
      </c>
      <c r="B574" s="188">
        <v>46188.0</v>
      </c>
      <c r="C574" s="26" t="s">
        <v>21</v>
      </c>
      <c r="D574" s="26" t="s">
        <v>24</v>
      </c>
      <c r="E574" s="27" t="s">
        <v>6756</v>
      </c>
      <c r="F574" s="21">
        <v>5.62066523E8</v>
      </c>
      <c r="G574" s="26" t="s">
        <v>4740</v>
      </c>
      <c r="H574" s="27" t="s">
        <v>1107</v>
      </c>
      <c r="I574" s="26" t="s">
        <v>27</v>
      </c>
      <c r="J574" s="209" t="s">
        <v>6758</v>
      </c>
      <c r="K574" s="27"/>
      <c r="L574" s="26" t="s">
        <v>62</v>
      </c>
      <c r="M574" s="27" t="s">
        <v>4802</v>
      </c>
      <c r="N574" s="26" t="s">
        <v>4803</v>
      </c>
      <c r="O574" s="26" t="s">
        <v>4746</v>
      </c>
      <c r="P574" s="35">
        <v>0.5020833333333333</v>
      </c>
      <c r="Q574" s="26" t="s">
        <v>56</v>
      </c>
      <c r="R574" s="26" t="s">
        <v>42</v>
      </c>
      <c r="S574" s="27" t="s">
        <v>3566</v>
      </c>
      <c r="T574" s="27"/>
      <c r="U574" s="35"/>
      <c r="V574" s="26"/>
      <c r="W574" s="26"/>
      <c r="X574" s="26" t="s">
        <v>46</v>
      </c>
    </row>
    <row r="575" hidden="1">
      <c r="A575" s="26">
        <v>575.0</v>
      </c>
      <c r="B575" s="188">
        <v>46188.0</v>
      </c>
      <c r="C575" s="26" t="s">
        <v>47</v>
      </c>
      <c r="D575" s="26" t="s">
        <v>48</v>
      </c>
      <c r="E575" s="27" t="s">
        <v>6760</v>
      </c>
      <c r="F575" s="21">
        <v>5.95113404E8</v>
      </c>
      <c r="G575" s="26" t="s">
        <v>4740</v>
      </c>
      <c r="H575" s="27" t="s">
        <v>41</v>
      </c>
      <c r="I575" s="26" t="s">
        <v>567</v>
      </c>
      <c r="J575" s="209" t="s">
        <v>7477</v>
      </c>
      <c r="K575" s="27"/>
      <c r="L575" s="26" t="s">
        <v>36</v>
      </c>
      <c r="M575" s="275" t="s">
        <v>5968</v>
      </c>
      <c r="N575" s="26" t="s">
        <v>4977</v>
      </c>
      <c r="O575" s="26" t="s">
        <v>49</v>
      </c>
      <c r="P575" s="35">
        <v>0.55625</v>
      </c>
      <c r="Q575" s="26" t="s">
        <v>40</v>
      </c>
      <c r="R575" s="26" t="s">
        <v>301</v>
      </c>
      <c r="S575" s="27" t="s">
        <v>3566</v>
      </c>
      <c r="T575" s="27" t="s">
        <v>3566</v>
      </c>
      <c r="U575" s="35">
        <v>0.39861111111111114</v>
      </c>
      <c r="V575" s="26" t="s">
        <v>44</v>
      </c>
      <c r="W575" s="26"/>
      <c r="X575" s="26" t="s">
        <v>46</v>
      </c>
    </row>
    <row r="576" hidden="1">
      <c r="A576" s="26">
        <v>576.0</v>
      </c>
      <c r="B576" s="188">
        <v>46188.0</v>
      </c>
      <c r="C576" s="26" t="s">
        <v>21</v>
      </c>
      <c r="D576" s="26" t="s">
        <v>24</v>
      </c>
      <c r="E576" s="27" t="s">
        <v>6764</v>
      </c>
      <c r="F576" s="21">
        <v>5.63336071E8</v>
      </c>
      <c r="G576" s="26" t="s">
        <v>4865</v>
      </c>
      <c r="H576" s="27" t="s">
        <v>394</v>
      </c>
      <c r="I576" s="26" t="s">
        <v>27</v>
      </c>
      <c r="J576" s="209" t="s">
        <v>6765</v>
      </c>
      <c r="K576" s="27"/>
      <c r="L576" s="26" t="s">
        <v>62</v>
      </c>
      <c r="M576" s="27" t="s">
        <v>4955</v>
      </c>
      <c r="N576" s="26" t="s">
        <v>4803</v>
      </c>
      <c r="O576" s="26" t="s">
        <v>4746</v>
      </c>
      <c r="P576" s="35">
        <v>0.6083333333333333</v>
      </c>
      <c r="Q576" s="26" t="s">
        <v>56</v>
      </c>
      <c r="R576" s="26" t="s">
        <v>42</v>
      </c>
      <c r="S576" s="27" t="s">
        <v>3566</v>
      </c>
      <c r="T576" s="27"/>
      <c r="U576" s="35"/>
      <c r="V576" s="26"/>
      <c r="W576" s="26"/>
      <c r="X576" s="26" t="s">
        <v>46</v>
      </c>
    </row>
    <row r="577" hidden="1">
      <c r="A577" s="26">
        <v>577.0</v>
      </c>
      <c r="B577" s="188">
        <v>46189.0</v>
      </c>
      <c r="C577" s="26" t="s">
        <v>58</v>
      </c>
      <c r="D577" s="26" t="s">
        <v>60</v>
      </c>
      <c r="E577" s="26" t="s">
        <v>27</v>
      </c>
      <c r="F577" s="21">
        <v>5.0370871E8</v>
      </c>
      <c r="G577" s="26" t="s">
        <v>27</v>
      </c>
      <c r="H577" s="26" t="s">
        <v>27</v>
      </c>
      <c r="I577" s="26" t="s">
        <v>27</v>
      </c>
      <c r="J577" s="351" t="s">
        <v>6768</v>
      </c>
      <c r="K577" s="27" t="s">
        <v>124</v>
      </c>
      <c r="L577" s="26" t="s">
        <v>65</v>
      </c>
      <c r="M577" s="27" t="s">
        <v>38</v>
      </c>
      <c r="N577" s="26" t="s">
        <v>4746</v>
      </c>
      <c r="O577" s="26" t="s">
        <v>4746</v>
      </c>
      <c r="P577" s="35"/>
      <c r="Q577" s="26" t="s">
        <v>56</v>
      </c>
      <c r="R577" s="26" t="s">
        <v>42</v>
      </c>
      <c r="S577" s="27" t="s">
        <v>3566</v>
      </c>
      <c r="T577" s="27"/>
      <c r="U577" s="35"/>
      <c r="V577" s="26"/>
      <c r="W577" s="26"/>
      <c r="X577" s="26"/>
    </row>
    <row r="578" hidden="1">
      <c r="A578" s="26">
        <v>578.0</v>
      </c>
      <c r="B578" s="188">
        <v>46189.0</v>
      </c>
      <c r="C578" s="26" t="s">
        <v>58</v>
      </c>
      <c r="D578" s="26" t="s">
        <v>60</v>
      </c>
      <c r="E578" s="26" t="s">
        <v>27</v>
      </c>
      <c r="F578" s="21">
        <v>5.51049227E8</v>
      </c>
      <c r="G578" s="26" t="s">
        <v>27</v>
      </c>
      <c r="H578" s="26" t="s">
        <v>27</v>
      </c>
      <c r="I578" s="26" t="s">
        <v>27</v>
      </c>
      <c r="J578" s="351" t="s">
        <v>6769</v>
      </c>
      <c r="K578" s="27" t="s">
        <v>124</v>
      </c>
      <c r="L578" s="26" t="s">
        <v>65</v>
      </c>
      <c r="M578" s="27" t="s">
        <v>38</v>
      </c>
      <c r="N578" s="26" t="s">
        <v>4746</v>
      </c>
      <c r="O578" s="26" t="s">
        <v>4746</v>
      </c>
      <c r="P578" s="35"/>
      <c r="Q578" s="26" t="s">
        <v>56</v>
      </c>
      <c r="R578" s="26" t="s">
        <v>42</v>
      </c>
      <c r="S578" s="27" t="s">
        <v>3566</v>
      </c>
      <c r="T578" s="27"/>
      <c r="U578" s="35"/>
      <c r="V578" s="26"/>
      <c r="W578" s="26"/>
      <c r="X578" s="26"/>
    </row>
    <row r="579" hidden="1">
      <c r="A579" s="26">
        <v>579.0</v>
      </c>
      <c r="B579" s="188">
        <v>46189.0</v>
      </c>
      <c r="C579" s="26" t="s">
        <v>58</v>
      </c>
      <c r="D579" s="26" t="s">
        <v>60</v>
      </c>
      <c r="E579" s="26" t="s">
        <v>27</v>
      </c>
      <c r="F579" s="21">
        <v>5.40547438E8</v>
      </c>
      <c r="G579" s="26" t="s">
        <v>27</v>
      </c>
      <c r="H579" s="26" t="s">
        <v>27</v>
      </c>
      <c r="I579" s="26" t="s">
        <v>27</v>
      </c>
      <c r="J579" s="351" t="s">
        <v>6771</v>
      </c>
      <c r="K579" s="27" t="s">
        <v>124</v>
      </c>
      <c r="L579" s="26" t="s">
        <v>65</v>
      </c>
      <c r="M579" s="27" t="s">
        <v>38</v>
      </c>
      <c r="N579" s="26" t="s">
        <v>4746</v>
      </c>
      <c r="O579" s="26" t="s">
        <v>4746</v>
      </c>
      <c r="P579" s="35"/>
      <c r="Q579" s="26" t="s">
        <v>56</v>
      </c>
      <c r="R579" s="26" t="s">
        <v>42</v>
      </c>
      <c r="S579" s="27" t="s">
        <v>3566</v>
      </c>
      <c r="T579" s="27"/>
      <c r="U579" s="35"/>
      <c r="V579" s="26"/>
      <c r="W579" s="26"/>
      <c r="X579" s="26"/>
    </row>
    <row r="580" hidden="1">
      <c r="A580" s="26">
        <v>580.0</v>
      </c>
      <c r="B580" s="188">
        <v>46189.0</v>
      </c>
      <c r="C580" s="26" t="s">
        <v>58</v>
      </c>
      <c r="D580" s="26" t="s">
        <v>60</v>
      </c>
      <c r="E580" s="27" t="s">
        <v>6772</v>
      </c>
      <c r="F580" s="21">
        <v>5.0655598E8</v>
      </c>
      <c r="G580" s="26" t="s">
        <v>4740</v>
      </c>
      <c r="H580" s="27" t="s">
        <v>41</v>
      </c>
      <c r="I580" s="26" t="s">
        <v>27</v>
      </c>
      <c r="J580" s="209" t="s">
        <v>6773</v>
      </c>
      <c r="K580" s="27" t="s">
        <v>35</v>
      </c>
      <c r="L580" s="26" t="s">
        <v>62</v>
      </c>
      <c r="M580" s="27" t="s">
        <v>88</v>
      </c>
      <c r="N580" s="26" t="s">
        <v>4746</v>
      </c>
      <c r="O580" s="26" t="s">
        <v>4746</v>
      </c>
      <c r="P580" s="35"/>
      <c r="Q580" s="26" t="s">
        <v>56</v>
      </c>
      <c r="R580" s="26" t="s">
        <v>42</v>
      </c>
      <c r="S580" s="27" t="s">
        <v>3566</v>
      </c>
      <c r="T580" s="27"/>
      <c r="U580" s="35"/>
      <c r="V580" s="26"/>
      <c r="W580" s="26"/>
      <c r="X580" s="26"/>
    </row>
    <row r="581" hidden="1">
      <c r="A581" s="26">
        <v>581.0</v>
      </c>
      <c r="B581" s="188">
        <v>46189.0</v>
      </c>
      <c r="C581" s="26" t="s">
        <v>58</v>
      </c>
      <c r="D581" s="26" t="s">
        <v>24</v>
      </c>
      <c r="E581" s="27" t="s">
        <v>6776</v>
      </c>
      <c r="F581" s="21">
        <v>5.96562619E8</v>
      </c>
      <c r="G581" s="26" t="s">
        <v>4740</v>
      </c>
      <c r="H581" s="27" t="s">
        <v>71</v>
      </c>
      <c r="I581" s="26" t="s">
        <v>27</v>
      </c>
      <c r="J581" s="209" t="s">
        <v>6777</v>
      </c>
      <c r="K581" s="27"/>
      <c r="L581" s="26" t="s">
        <v>62</v>
      </c>
      <c r="M581" s="27" t="s">
        <v>4982</v>
      </c>
      <c r="N581" s="26" t="s">
        <v>49</v>
      </c>
      <c r="O581" s="26" t="s">
        <v>4746</v>
      </c>
      <c r="P581" s="35"/>
      <c r="Q581" s="26" t="s">
        <v>56</v>
      </c>
      <c r="R581" s="26" t="s">
        <v>518</v>
      </c>
      <c r="S581" s="27" t="s">
        <v>3566</v>
      </c>
      <c r="T581" s="27"/>
      <c r="U581" s="35"/>
      <c r="V581" s="26"/>
      <c r="W581" s="26"/>
      <c r="X581" s="26"/>
    </row>
    <row r="582" hidden="1">
      <c r="A582" s="26">
        <v>582.0</v>
      </c>
      <c r="B582" s="188">
        <v>46189.0</v>
      </c>
      <c r="C582" s="26" t="s">
        <v>21</v>
      </c>
      <c r="D582" s="26" t="s">
        <v>22</v>
      </c>
      <c r="E582" s="27" t="s">
        <v>6779</v>
      </c>
      <c r="F582" s="21">
        <v>5.68808888E8</v>
      </c>
      <c r="G582" s="26" t="s">
        <v>4865</v>
      </c>
      <c r="H582" s="27" t="s">
        <v>319</v>
      </c>
      <c r="I582" s="26" t="s">
        <v>27</v>
      </c>
      <c r="J582" s="209" t="s">
        <v>6781</v>
      </c>
      <c r="K582" s="27"/>
      <c r="L582" s="26" t="s">
        <v>62</v>
      </c>
      <c r="M582" s="27" t="s">
        <v>4868</v>
      </c>
      <c r="N582" s="26" t="s">
        <v>4870</v>
      </c>
      <c r="O582" s="26" t="s">
        <v>4746</v>
      </c>
      <c r="P582" s="35"/>
      <c r="Q582" s="26" t="s">
        <v>40</v>
      </c>
      <c r="R582" s="26" t="s">
        <v>42</v>
      </c>
      <c r="S582" s="27" t="s">
        <v>3566</v>
      </c>
      <c r="T582" s="27"/>
      <c r="U582" s="35"/>
      <c r="V582" s="26"/>
      <c r="W582" s="26"/>
      <c r="X582" s="26" t="s">
        <v>46</v>
      </c>
    </row>
    <row r="583" hidden="1">
      <c r="A583" s="26">
        <v>583.0</v>
      </c>
      <c r="B583" s="188">
        <v>46189.0</v>
      </c>
      <c r="C583" s="26" t="s">
        <v>58</v>
      </c>
      <c r="D583" s="26" t="s">
        <v>60</v>
      </c>
      <c r="E583" s="27" t="s">
        <v>2105</v>
      </c>
      <c r="F583" s="21">
        <v>5.51705575E8</v>
      </c>
      <c r="G583" s="26" t="s">
        <v>4769</v>
      </c>
      <c r="H583" s="27" t="s">
        <v>152</v>
      </c>
      <c r="I583" s="26" t="s">
        <v>27</v>
      </c>
      <c r="J583" s="209" t="s">
        <v>7495</v>
      </c>
      <c r="K583" s="27"/>
      <c r="L583" s="26" t="s">
        <v>62</v>
      </c>
      <c r="M583" s="27" t="s">
        <v>88</v>
      </c>
      <c r="N583" s="26" t="s">
        <v>4746</v>
      </c>
      <c r="O583" s="26" t="s">
        <v>4746</v>
      </c>
      <c r="P583" s="35"/>
      <c r="Q583" s="26" t="s">
        <v>56</v>
      </c>
      <c r="R583" s="26" t="s">
        <v>42</v>
      </c>
      <c r="S583" s="27" t="s">
        <v>3566</v>
      </c>
      <c r="T583" s="27"/>
      <c r="U583" s="35"/>
      <c r="V583" s="26"/>
      <c r="W583" s="26"/>
      <c r="X583" s="26"/>
    </row>
    <row r="584" hidden="1">
      <c r="A584" s="26">
        <v>584.0</v>
      </c>
      <c r="B584" s="188">
        <v>46189.0</v>
      </c>
      <c r="C584" s="26" t="s">
        <v>58</v>
      </c>
      <c r="D584" s="26" t="s">
        <v>60</v>
      </c>
      <c r="E584" s="27" t="s">
        <v>6787</v>
      </c>
      <c r="F584" s="21">
        <v>5.31470613E8</v>
      </c>
      <c r="G584" s="26" t="s">
        <v>27</v>
      </c>
      <c r="H584" s="26" t="s">
        <v>27</v>
      </c>
      <c r="I584" s="26" t="s">
        <v>27</v>
      </c>
      <c r="J584" s="209" t="s">
        <v>6788</v>
      </c>
      <c r="K584" s="27"/>
      <c r="L584" s="26" t="s">
        <v>62</v>
      </c>
      <c r="M584" s="27" t="s">
        <v>88</v>
      </c>
      <c r="N584" s="26" t="s">
        <v>4746</v>
      </c>
      <c r="O584" s="26" t="s">
        <v>4746</v>
      </c>
      <c r="P584" s="35"/>
      <c r="Q584" s="26" t="s">
        <v>56</v>
      </c>
      <c r="R584" s="26" t="s">
        <v>42</v>
      </c>
      <c r="S584" s="27" t="s">
        <v>3566</v>
      </c>
      <c r="T584" s="27"/>
      <c r="U584" s="35"/>
      <c r="V584" s="26"/>
      <c r="W584" s="26"/>
      <c r="X584" s="26"/>
    </row>
    <row r="585" hidden="1">
      <c r="A585" s="26">
        <v>585.0</v>
      </c>
      <c r="B585" s="188">
        <v>46189.0</v>
      </c>
      <c r="C585" s="26" t="s">
        <v>58</v>
      </c>
      <c r="D585" s="26" t="s">
        <v>60</v>
      </c>
      <c r="E585" s="26" t="s">
        <v>27</v>
      </c>
      <c r="F585" s="21">
        <v>5.04721274E8</v>
      </c>
      <c r="G585" s="26" t="s">
        <v>27</v>
      </c>
      <c r="H585" s="26" t="s">
        <v>27</v>
      </c>
      <c r="I585" s="26" t="s">
        <v>27</v>
      </c>
      <c r="J585" s="209" t="s">
        <v>6477</v>
      </c>
      <c r="K585" s="27"/>
      <c r="L585" s="26" t="s">
        <v>62</v>
      </c>
      <c r="M585" s="27" t="s">
        <v>88</v>
      </c>
      <c r="N585" s="26" t="s">
        <v>4746</v>
      </c>
      <c r="O585" s="26" t="s">
        <v>4746</v>
      </c>
      <c r="P585" s="35"/>
      <c r="Q585" s="26" t="s">
        <v>56</v>
      </c>
      <c r="R585" s="26" t="s">
        <v>42</v>
      </c>
      <c r="S585" s="27" t="s">
        <v>3566</v>
      </c>
      <c r="T585" s="27"/>
      <c r="U585" s="35"/>
      <c r="V585" s="26"/>
      <c r="W585" s="26"/>
      <c r="X585" s="26"/>
    </row>
    <row r="586" hidden="1">
      <c r="A586" s="26">
        <v>586.0</v>
      </c>
      <c r="B586" s="188">
        <v>46189.0</v>
      </c>
      <c r="C586" s="26" t="s">
        <v>58</v>
      </c>
      <c r="D586" s="26" t="s">
        <v>60</v>
      </c>
      <c r="E586" s="26" t="s">
        <v>27</v>
      </c>
      <c r="F586" s="21">
        <v>5.33131152E8</v>
      </c>
      <c r="G586" s="26" t="s">
        <v>27</v>
      </c>
      <c r="H586" s="26" t="s">
        <v>27</v>
      </c>
      <c r="I586" s="26" t="s">
        <v>27</v>
      </c>
      <c r="J586" s="209" t="s">
        <v>298</v>
      </c>
      <c r="K586" s="27" t="s">
        <v>35</v>
      </c>
      <c r="L586" s="26" t="s">
        <v>62</v>
      </c>
      <c r="M586" s="27" t="s">
        <v>88</v>
      </c>
      <c r="N586" s="26" t="s">
        <v>4746</v>
      </c>
      <c r="O586" s="26" t="s">
        <v>4746</v>
      </c>
      <c r="P586" s="35"/>
      <c r="Q586" s="26" t="s">
        <v>56</v>
      </c>
      <c r="R586" s="26" t="s">
        <v>42</v>
      </c>
      <c r="S586" s="27" t="s">
        <v>3566</v>
      </c>
      <c r="T586" s="27"/>
      <c r="U586" s="35"/>
      <c r="V586" s="26"/>
      <c r="W586" s="26"/>
      <c r="X586" s="26"/>
    </row>
    <row r="587" hidden="1">
      <c r="A587" s="26">
        <v>587.0</v>
      </c>
      <c r="B587" s="188">
        <v>46189.0</v>
      </c>
      <c r="C587" s="26" t="s">
        <v>58</v>
      </c>
      <c r="D587" s="26" t="s">
        <v>60</v>
      </c>
      <c r="E587" s="27" t="s">
        <v>6792</v>
      </c>
      <c r="F587" s="21">
        <v>5.59359353E8</v>
      </c>
      <c r="G587" s="26" t="s">
        <v>27</v>
      </c>
      <c r="H587" s="26" t="s">
        <v>27</v>
      </c>
      <c r="I587" s="26" t="s">
        <v>27</v>
      </c>
      <c r="J587" s="209" t="s">
        <v>6793</v>
      </c>
      <c r="K587" s="27"/>
      <c r="L587" s="26" t="s">
        <v>62</v>
      </c>
      <c r="M587" s="27" t="s">
        <v>88</v>
      </c>
      <c r="N587" s="26" t="s">
        <v>4746</v>
      </c>
      <c r="O587" s="26" t="s">
        <v>4746</v>
      </c>
      <c r="P587" s="35"/>
      <c r="Q587" s="26" t="s">
        <v>56</v>
      </c>
      <c r="R587" s="26" t="s">
        <v>42</v>
      </c>
      <c r="S587" s="27" t="s">
        <v>3566</v>
      </c>
      <c r="T587" s="27"/>
      <c r="U587" s="35"/>
      <c r="V587" s="26"/>
      <c r="W587" s="26"/>
      <c r="X587" s="26"/>
    </row>
    <row r="588" hidden="1">
      <c r="A588" s="26">
        <v>588.0</v>
      </c>
      <c r="B588" s="188">
        <v>46189.0</v>
      </c>
      <c r="C588" s="26" t="s">
        <v>58</v>
      </c>
      <c r="D588" s="26" t="s">
        <v>60</v>
      </c>
      <c r="E588" s="27" t="s">
        <v>6796</v>
      </c>
      <c r="F588" s="21">
        <v>5.52661496E8</v>
      </c>
      <c r="G588" s="26" t="s">
        <v>27</v>
      </c>
      <c r="H588" s="26" t="s">
        <v>27</v>
      </c>
      <c r="I588" s="26" t="s">
        <v>27</v>
      </c>
      <c r="J588" s="209" t="s">
        <v>6477</v>
      </c>
      <c r="K588" s="27"/>
      <c r="L588" s="26" t="s">
        <v>62</v>
      </c>
      <c r="M588" s="27" t="s">
        <v>88</v>
      </c>
      <c r="N588" s="26" t="s">
        <v>4746</v>
      </c>
      <c r="O588" s="26" t="s">
        <v>4746</v>
      </c>
      <c r="P588" s="35"/>
      <c r="Q588" s="26" t="s">
        <v>56</v>
      </c>
      <c r="R588" s="26" t="s">
        <v>42</v>
      </c>
      <c r="S588" s="27" t="s">
        <v>3566</v>
      </c>
      <c r="T588" s="27"/>
      <c r="U588" s="35"/>
      <c r="V588" s="26"/>
      <c r="W588" s="26"/>
      <c r="X588" s="26"/>
    </row>
    <row r="589" hidden="1">
      <c r="A589" s="26">
        <v>589.0</v>
      </c>
      <c r="B589" s="188">
        <v>46189.0</v>
      </c>
      <c r="C589" s="26" t="s">
        <v>58</v>
      </c>
      <c r="D589" s="26" t="s">
        <v>60</v>
      </c>
      <c r="E589" s="26" t="s">
        <v>27</v>
      </c>
      <c r="F589" s="21">
        <v>5.3486486E8</v>
      </c>
      <c r="G589" s="26" t="s">
        <v>27</v>
      </c>
      <c r="H589" s="26" t="s">
        <v>27</v>
      </c>
      <c r="I589" s="26" t="s">
        <v>27</v>
      </c>
      <c r="J589" s="209" t="s">
        <v>6477</v>
      </c>
      <c r="K589" s="27"/>
      <c r="L589" s="26" t="s">
        <v>62</v>
      </c>
      <c r="M589" s="27" t="s">
        <v>88</v>
      </c>
      <c r="N589" s="26" t="s">
        <v>4746</v>
      </c>
      <c r="O589" s="26" t="s">
        <v>4746</v>
      </c>
      <c r="P589" s="35"/>
      <c r="Q589" s="26" t="s">
        <v>56</v>
      </c>
      <c r="R589" s="26" t="s">
        <v>42</v>
      </c>
      <c r="S589" s="27" t="s">
        <v>3566</v>
      </c>
      <c r="T589" s="27"/>
      <c r="U589" s="35"/>
      <c r="V589" s="26"/>
      <c r="W589" s="26"/>
      <c r="X589" s="26"/>
    </row>
    <row r="590" hidden="1">
      <c r="A590" s="26">
        <v>590.0</v>
      </c>
      <c r="B590" s="188">
        <v>46189.0</v>
      </c>
      <c r="C590" s="26" t="s">
        <v>58</v>
      </c>
      <c r="D590" s="26" t="s">
        <v>60</v>
      </c>
      <c r="E590" s="26" t="s">
        <v>439</v>
      </c>
      <c r="F590" s="21">
        <v>5.99181907E8</v>
      </c>
      <c r="G590" s="26" t="s">
        <v>27</v>
      </c>
      <c r="H590" s="26" t="s">
        <v>27</v>
      </c>
      <c r="I590" s="26" t="s">
        <v>27</v>
      </c>
      <c r="J590" s="209" t="s">
        <v>6803</v>
      </c>
      <c r="K590" s="27" t="s">
        <v>6805</v>
      </c>
      <c r="L590" s="26" t="s">
        <v>62</v>
      </c>
      <c r="M590" s="27" t="s">
        <v>88</v>
      </c>
      <c r="N590" s="26" t="s">
        <v>4746</v>
      </c>
      <c r="O590" s="26" t="s">
        <v>4746</v>
      </c>
      <c r="P590" s="35"/>
      <c r="Q590" s="26" t="s">
        <v>56</v>
      </c>
      <c r="R590" s="26" t="s">
        <v>42</v>
      </c>
      <c r="S590" s="27" t="s">
        <v>3566</v>
      </c>
      <c r="T590" s="27"/>
      <c r="U590" s="35"/>
      <c r="V590" s="26"/>
      <c r="W590" s="26"/>
      <c r="X590" s="26"/>
    </row>
    <row r="591" hidden="1">
      <c r="A591" s="26">
        <v>591.0</v>
      </c>
      <c r="B591" s="188">
        <v>46189.0</v>
      </c>
      <c r="C591" s="26" t="s">
        <v>58</v>
      </c>
      <c r="D591" s="26" t="s">
        <v>60</v>
      </c>
      <c r="E591" s="27" t="s">
        <v>6807</v>
      </c>
      <c r="F591" s="21">
        <v>5.95959202E8</v>
      </c>
      <c r="G591" s="26" t="s">
        <v>27</v>
      </c>
      <c r="H591" s="26" t="s">
        <v>27</v>
      </c>
      <c r="I591" s="26" t="s">
        <v>27</v>
      </c>
      <c r="J591" s="209" t="s">
        <v>6793</v>
      </c>
      <c r="K591" s="27"/>
      <c r="L591" s="26" t="s">
        <v>62</v>
      </c>
      <c r="M591" s="27" t="s">
        <v>88</v>
      </c>
      <c r="N591" s="26" t="s">
        <v>4746</v>
      </c>
      <c r="O591" s="26" t="s">
        <v>4746</v>
      </c>
      <c r="P591" s="35"/>
      <c r="Q591" s="26" t="s">
        <v>56</v>
      </c>
      <c r="R591" s="26" t="s">
        <v>42</v>
      </c>
      <c r="S591" s="27" t="s">
        <v>3566</v>
      </c>
      <c r="T591" s="27"/>
      <c r="U591" s="35"/>
      <c r="V591" s="26"/>
      <c r="W591" s="26"/>
      <c r="X591" s="26"/>
    </row>
    <row r="592" hidden="1">
      <c r="A592" s="26">
        <v>592.0</v>
      </c>
      <c r="B592" s="188">
        <v>46189.0</v>
      </c>
      <c r="C592" s="26" t="s">
        <v>58</v>
      </c>
      <c r="D592" s="26" t="s">
        <v>60</v>
      </c>
      <c r="E592" s="27" t="s">
        <v>3231</v>
      </c>
      <c r="F592" s="21">
        <v>5.42570018E8</v>
      </c>
      <c r="G592" s="26" t="s">
        <v>27</v>
      </c>
      <c r="H592" s="26" t="s">
        <v>27</v>
      </c>
      <c r="I592" s="26" t="s">
        <v>27</v>
      </c>
      <c r="J592" s="209" t="s">
        <v>298</v>
      </c>
      <c r="K592" s="27"/>
      <c r="L592" s="26" t="s">
        <v>62</v>
      </c>
      <c r="M592" s="27" t="s">
        <v>88</v>
      </c>
      <c r="N592" s="26" t="s">
        <v>4746</v>
      </c>
      <c r="O592" s="26" t="s">
        <v>4746</v>
      </c>
      <c r="P592" s="35"/>
      <c r="Q592" s="26" t="s">
        <v>56</v>
      </c>
      <c r="R592" s="26" t="s">
        <v>42</v>
      </c>
      <c r="S592" s="27" t="s">
        <v>3566</v>
      </c>
      <c r="T592" s="27"/>
      <c r="U592" s="35"/>
      <c r="V592" s="26"/>
      <c r="W592" s="26"/>
      <c r="X592" s="26"/>
    </row>
    <row r="593" hidden="1">
      <c r="A593" s="26">
        <v>593.0</v>
      </c>
      <c r="B593" s="188">
        <v>46189.0</v>
      </c>
      <c r="C593" s="26" t="s">
        <v>58</v>
      </c>
      <c r="D593" s="26" t="s">
        <v>60</v>
      </c>
      <c r="E593" s="27" t="s">
        <v>6810</v>
      </c>
      <c r="F593" s="21">
        <v>5.51168994E8</v>
      </c>
      <c r="G593" s="26" t="s">
        <v>27</v>
      </c>
      <c r="H593" s="26" t="s">
        <v>27</v>
      </c>
      <c r="I593" s="26" t="s">
        <v>27</v>
      </c>
      <c r="J593" s="209" t="s">
        <v>6811</v>
      </c>
      <c r="K593" s="27" t="s">
        <v>6812</v>
      </c>
      <c r="L593" s="26" t="s">
        <v>62</v>
      </c>
      <c r="M593" s="27" t="s">
        <v>88</v>
      </c>
      <c r="N593" s="26" t="s">
        <v>4746</v>
      </c>
      <c r="O593" s="26" t="s">
        <v>4746</v>
      </c>
      <c r="P593" s="35"/>
      <c r="Q593" s="26" t="s">
        <v>56</v>
      </c>
      <c r="R593" s="26" t="s">
        <v>42</v>
      </c>
      <c r="S593" s="27" t="s">
        <v>3566</v>
      </c>
      <c r="T593" s="27"/>
      <c r="U593" s="35"/>
      <c r="V593" s="26"/>
      <c r="W593" s="26"/>
      <c r="X593" s="26"/>
    </row>
    <row r="594" hidden="1">
      <c r="A594" s="26">
        <v>594.0</v>
      </c>
      <c r="B594" s="188">
        <v>46189.0</v>
      </c>
      <c r="C594" s="26" t="s">
        <v>58</v>
      </c>
      <c r="D594" s="26" t="s">
        <v>60</v>
      </c>
      <c r="E594" s="26" t="s">
        <v>27</v>
      </c>
      <c r="F594" s="21">
        <v>5.02067049E8</v>
      </c>
      <c r="G594" s="26" t="s">
        <v>27</v>
      </c>
      <c r="H594" s="26" t="s">
        <v>27</v>
      </c>
      <c r="I594" s="26" t="s">
        <v>27</v>
      </c>
      <c r="J594" s="209" t="s">
        <v>6815</v>
      </c>
      <c r="K594" s="27" t="s">
        <v>2806</v>
      </c>
      <c r="L594" s="26" t="s">
        <v>36</v>
      </c>
      <c r="M594" s="27" t="s">
        <v>88</v>
      </c>
      <c r="N594" s="26" t="s">
        <v>4746</v>
      </c>
      <c r="O594" s="26" t="s">
        <v>4746</v>
      </c>
      <c r="P594" s="35"/>
      <c r="Q594" s="26" t="s">
        <v>56</v>
      </c>
      <c r="R594" s="26" t="s">
        <v>42</v>
      </c>
      <c r="S594" s="27" t="s">
        <v>3566</v>
      </c>
      <c r="T594" s="27"/>
      <c r="U594" s="35"/>
      <c r="V594" s="26"/>
      <c r="W594" s="26"/>
      <c r="X594" s="26"/>
    </row>
    <row r="595" hidden="1">
      <c r="A595" s="26">
        <v>595.0</v>
      </c>
      <c r="B595" s="188">
        <v>46189.0</v>
      </c>
      <c r="C595" s="26" t="s">
        <v>47</v>
      </c>
      <c r="D595" s="26" t="s">
        <v>48</v>
      </c>
      <c r="E595" s="27" t="s">
        <v>751</v>
      </c>
      <c r="F595" s="21">
        <v>5.0410882E8</v>
      </c>
      <c r="G595" s="26" t="s">
        <v>4769</v>
      </c>
      <c r="H595" s="27" t="s">
        <v>152</v>
      </c>
      <c r="I595" s="26" t="s">
        <v>272</v>
      </c>
      <c r="J595" s="209" t="s">
        <v>7525</v>
      </c>
      <c r="K595" s="27" t="s">
        <v>6820</v>
      </c>
      <c r="L595" s="26" t="s">
        <v>36</v>
      </c>
      <c r="M595" s="27" t="s">
        <v>611</v>
      </c>
      <c r="N595" s="26" t="s">
        <v>4977</v>
      </c>
      <c r="O595" s="26" t="s">
        <v>4746</v>
      </c>
      <c r="P595" s="35">
        <v>0.4027777777777778</v>
      </c>
      <c r="Q595" s="26" t="s">
        <v>56</v>
      </c>
      <c r="R595" s="26" t="s">
        <v>518</v>
      </c>
      <c r="S595" s="27" t="s">
        <v>3765</v>
      </c>
      <c r="T595" s="27" t="s">
        <v>3566</v>
      </c>
      <c r="U595" s="35">
        <v>0.3784722222222222</v>
      </c>
      <c r="V595" s="26" t="s">
        <v>44</v>
      </c>
      <c r="W595" s="26">
        <v>5.0</v>
      </c>
      <c r="X595" s="26" t="s">
        <v>46</v>
      </c>
    </row>
    <row r="596" hidden="1">
      <c r="A596" s="26">
        <v>596.0</v>
      </c>
      <c r="B596" s="188">
        <v>46189.0</v>
      </c>
      <c r="C596" s="26" t="s">
        <v>21</v>
      </c>
      <c r="D596" s="26" t="s">
        <v>22</v>
      </c>
      <c r="E596" s="27" t="s">
        <v>6823</v>
      </c>
      <c r="F596" s="21">
        <v>5.58899347E8</v>
      </c>
      <c r="G596" s="26" t="s">
        <v>7529</v>
      </c>
      <c r="H596" s="27" t="s">
        <v>6825</v>
      </c>
      <c r="I596" s="26" t="s">
        <v>27</v>
      </c>
      <c r="J596" s="209" t="s">
        <v>6826</v>
      </c>
      <c r="K596" s="27"/>
      <c r="L596" s="26" t="s">
        <v>321</v>
      </c>
      <c r="M596" s="27" t="s">
        <v>1389</v>
      </c>
      <c r="N596" s="26" t="s">
        <v>4870</v>
      </c>
      <c r="O596" s="26" t="s">
        <v>49</v>
      </c>
      <c r="P596" s="35"/>
      <c r="Q596" s="26" t="s">
        <v>40</v>
      </c>
      <c r="R596" s="26" t="s">
        <v>518</v>
      </c>
      <c r="S596" s="27" t="s">
        <v>3566</v>
      </c>
      <c r="T596" s="27"/>
      <c r="U596" s="35"/>
      <c r="V596" s="26"/>
      <c r="W596" s="26"/>
      <c r="X596" s="26" t="s">
        <v>46</v>
      </c>
    </row>
    <row r="597" ht="20.25" hidden="1" customHeight="1">
      <c r="A597" s="26">
        <v>597.0</v>
      </c>
      <c r="B597" s="188">
        <v>46189.0</v>
      </c>
      <c r="C597" s="26" t="s">
        <v>21</v>
      </c>
      <c r="D597" s="26" t="s">
        <v>24</v>
      </c>
      <c r="E597" s="27" t="s">
        <v>1948</v>
      </c>
      <c r="F597" s="21">
        <v>5.56424228E8</v>
      </c>
      <c r="G597" s="26" t="s">
        <v>4852</v>
      </c>
      <c r="H597" s="27" t="s">
        <v>3774</v>
      </c>
      <c r="I597" s="26" t="s">
        <v>27</v>
      </c>
      <c r="J597" s="209" t="s">
        <v>6828</v>
      </c>
      <c r="K597" s="27"/>
      <c r="L597" s="26" t="s">
        <v>36</v>
      </c>
      <c r="M597" s="27" t="s">
        <v>5046</v>
      </c>
      <c r="N597" s="26" t="s">
        <v>4803</v>
      </c>
      <c r="O597" s="26" t="s">
        <v>49</v>
      </c>
      <c r="P597" s="35"/>
      <c r="Q597" s="26" t="s">
        <v>56</v>
      </c>
      <c r="R597" s="26" t="s">
        <v>42</v>
      </c>
      <c r="S597" s="27" t="s">
        <v>3566</v>
      </c>
      <c r="T597" s="27"/>
      <c r="U597" s="35"/>
      <c r="V597" s="26"/>
      <c r="W597" s="26"/>
      <c r="X597" s="26" t="s">
        <v>46</v>
      </c>
    </row>
    <row r="598" hidden="1">
      <c r="A598" s="26">
        <v>598.0</v>
      </c>
      <c r="B598" s="188">
        <v>46189.0</v>
      </c>
      <c r="C598" s="26" t="s">
        <v>21</v>
      </c>
      <c r="D598" s="26" t="s">
        <v>34</v>
      </c>
      <c r="E598" s="27" t="s">
        <v>6831</v>
      </c>
      <c r="F598" s="21">
        <v>5.65507207E8</v>
      </c>
      <c r="G598" s="26" t="s">
        <v>27</v>
      </c>
      <c r="H598" s="26" t="s">
        <v>27</v>
      </c>
      <c r="I598" s="26" t="s">
        <v>27</v>
      </c>
      <c r="J598" s="209" t="s">
        <v>896</v>
      </c>
      <c r="K598" s="27" t="s">
        <v>4417</v>
      </c>
      <c r="L598" s="26" t="s">
        <v>39</v>
      </c>
      <c r="M598" s="27" t="s">
        <v>51</v>
      </c>
      <c r="N598" s="26" t="s">
        <v>4746</v>
      </c>
      <c r="O598" s="26" t="s">
        <v>4746</v>
      </c>
      <c r="P598" s="35">
        <v>0.4305555555555556</v>
      </c>
      <c r="Q598" s="26" t="s">
        <v>56</v>
      </c>
      <c r="R598" s="26" t="s">
        <v>42</v>
      </c>
      <c r="S598" s="27" t="s">
        <v>3566</v>
      </c>
      <c r="T598" s="27"/>
      <c r="U598" s="35"/>
      <c r="V598" s="26" t="s">
        <v>44</v>
      </c>
      <c r="W598" s="26"/>
      <c r="X598" s="26"/>
    </row>
    <row r="599" hidden="1">
      <c r="A599" s="26">
        <v>599.0</v>
      </c>
      <c r="B599" s="188">
        <v>46189.0</v>
      </c>
      <c r="C599" s="26" t="s">
        <v>21</v>
      </c>
      <c r="D599" s="26" t="s">
        <v>34</v>
      </c>
      <c r="E599" s="27" t="s">
        <v>5795</v>
      </c>
      <c r="F599" s="21">
        <v>5.46460603E8</v>
      </c>
      <c r="G599" s="26" t="s">
        <v>27</v>
      </c>
      <c r="H599" s="26" t="s">
        <v>27</v>
      </c>
      <c r="I599" s="26" t="s">
        <v>27</v>
      </c>
      <c r="J599" s="209" t="s">
        <v>896</v>
      </c>
      <c r="K599" s="27" t="s">
        <v>4417</v>
      </c>
      <c r="L599" s="26" t="s">
        <v>39</v>
      </c>
      <c r="M599" s="27" t="s">
        <v>51</v>
      </c>
      <c r="N599" s="26" t="s">
        <v>4746</v>
      </c>
      <c r="O599" s="26" t="s">
        <v>4746</v>
      </c>
      <c r="P599" s="35">
        <v>0.4305555555555556</v>
      </c>
      <c r="Q599" s="26" t="s">
        <v>56</v>
      </c>
      <c r="R599" s="26" t="s">
        <v>42</v>
      </c>
      <c r="S599" s="27" t="s">
        <v>3566</v>
      </c>
      <c r="T599" s="27"/>
      <c r="U599" s="35"/>
      <c r="V599" s="26" t="s">
        <v>44</v>
      </c>
      <c r="W599" s="26"/>
      <c r="X599" s="26"/>
    </row>
    <row r="600" hidden="1">
      <c r="A600" s="26">
        <v>600.0</v>
      </c>
      <c r="B600" s="188">
        <v>46189.0</v>
      </c>
      <c r="C600" s="26" t="s">
        <v>21</v>
      </c>
      <c r="D600" s="26" t="s">
        <v>34</v>
      </c>
      <c r="E600" s="27" t="s">
        <v>6838</v>
      </c>
      <c r="F600" s="21">
        <v>5.01075061E8</v>
      </c>
      <c r="G600" s="26" t="s">
        <v>27</v>
      </c>
      <c r="H600" s="26" t="s">
        <v>27</v>
      </c>
      <c r="I600" s="26" t="s">
        <v>27</v>
      </c>
      <c r="J600" s="209" t="s">
        <v>6839</v>
      </c>
      <c r="K600" s="27" t="s">
        <v>4417</v>
      </c>
      <c r="L600" s="26" t="s">
        <v>39</v>
      </c>
      <c r="M600" s="27" t="s">
        <v>51</v>
      </c>
      <c r="N600" s="26" t="s">
        <v>4746</v>
      </c>
      <c r="O600" s="26" t="s">
        <v>4746</v>
      </c>
      <c r="P600" s="35">
        <v>0.4305555555555556</v>
      </c>
      <c r="Q600" s="26" t="s">
        <v>56</v>
      </c>
      <c r="R600" s="26" t="s">
        <v>42</v>
      </c>
      <c r="S600" s="27" t="s">
        <v>3566</v>
      </c>
      <c r="T600" s="27"/>
      <c r="U600" s="35"/>
      <c r="V600" s="26" t="s">
        <v>44</v>
      </c>
      <c r="W600" s="26"/>
      <c r="X600" s="26"/>
    </row>
    <row r="601" hidden="1">
      <c r="A601" s="26">
        <v>601.0</v>
      </c>
      <c r="B601" s="188">
        <v>46189.0</v>
      </c>
      <c r="C601" s="26" t="s">
        <v>21</v>
      </c>
      <c r="D601" s="26" t="s">
        <v>34</v>
      </c>
      <c r="E601" s="27" t="s">
        <v>2635</v>
      </c>
      <c r="F601" s="21">
        <v>5.63405299E8</v>
      </c>
      <c r="G601" s="26" t="s">
        <v>27</v>
      </c>
      <c r="H601" s="26" t="s">
        <v>27</v>
      </c>
      <c r="I601" s="26" t="s">
        <v>27</v>
      </c>
      <c r="J601" s="209" t="s">
        <v>6841</v>
      </c>
      <c r="K601" s="27" t="s">
        <v>4417</v>
      </c>
      <c r="L601" s="26" t="s">
        <v>39</v>
      </c>
      <c r="M601" s="27" t="s">
        <v>51</v>
      </c>
      <c r="N601" s="26" t="s">
        <v>4746</v>
      </c>
      <c r="O601" s="26" t="s">
        <v>4746</v>
      </c>
      <c r="P601" s="35">
        <v>0.4305555555555556</v>
      </c>
      <c r="Q601" s="26" t="s">
        <v>56</v>
      </c>
      <c r="R601" s="26" t="s">
        <v>42</v>
      </c>
      <c r="S601" s="27" t="s">
        <v>3566</v>
      </c>
      <c r="T601" s="27"/>
      <c r="U601" s="35"/>
      <c r="V601" s="26" t="s">
        <v>44</v>
      </c>
      <c r="W601" s="26"/>
      <c r="X601" s="26"/>
    </row>
    <row r="602" hidden="1">
      <c r="A602" s="26">
        <v>602.0</v>
      </c>
      <c r="B602" s="188">
        <v>46189.0</v>
      </c>
      <c r="C602" s="26" t="s">
        <v>21</v>
      </c>
      <c r="D602" s="26" t="s">
        <v>34</v>
      </c>
      <c r="E602" s="27" t="s">
        <v>6844</v>
      </c>
      <c r="F602" s="21">
        <v>5.43517736E8</v>
      </c>
      <c r="G602" s="26" t="s">
        <v>27</v>
      </c>
      <c r="H602" s="26" t="s">
        <v>27</v>
      </c>
      <c r="I602" s="26" t="s">
        <v>27</v>
      </c>
      <c r="J602" s="209" t="s">
        <v>6845</v>
      </c>
      <c r="K602" s="27" t="s">
        <v>4417</v>
      </c>
      <c r="L602" s="26" t="s">
        <v>39</v>
      </c>
      <c r="M602" s="27" t="s">
        <v>51</v>
      </c>
      <c r="N602" s="26" t="s">
        <v>4746</v>
      </c>
      <c r="O602" s="26" t="s">
        <v>4746</v>
      </c>
      <c r="P602" s="35">
        <v>0.4305555555555556</v>
      </c>
      <c r="Q602" s="26" t="s">
        <v>56</v>
      </c>
      <c r="R602" s="26" t="s">
        <v>42</v>
      </c>
      <c r="S602" s="27" t="s">
        <v>3566</v>
      </c>
      <c r="T602" s="27"/>
      <c r="U602" s="35"/>
      <c r="V602" s="26" t="s">
        <v>44</v>
      </c>
      <c r="W602" s="26"/>
      <c r="X602" s="26"/>
    </row>
    <row r="603" hidden="1">
      <c r="A603" s="26">
        <v>603.0</v>
      </c>
      <c r="B603" s="188">
        <v>46189.0</v>
      </c>
      <c r="C603" s="26" t="s">
        <v>21</v>
      </c>
      <c r="D603" s="26" t="s">
        <v>34</v>
      </c>
      <c r="E603" s="27" t="s">
        <v>6847</v>
      </c>
      <c r="F603" s="21">
        <v>5.57514247E8</v>
      </c>
      <c r="G603" s="26" t="s">
        <v>27</v>
      </c>
      <c r="H603" s="26" t="s">
        <v>27</v>
      </c>
      <c r="I603" s="26" t="s">
        <v>27</v>
      </c>
      <c r="J603" s="209" t="s">
        <v>6848</v>
      </c>
      <c r="K603" s="27" t="s">
        <v>4417</v>
      </c>
      <c r="L603" s="26" t="s">
        <v>39</v>
      </c>
      <c r="M603" s="27" t="s">
        <v>51</v>
      </c>
      <c r="N603" s="26" t="s">
        <v>4746</v>
      </c>
      <c r="O603" s="26" t="s">
        <v>4746</v>
      </c>
      <c r="P603" s="35">
        <v>0.4305555555555556</v>
      </c>
      <c r="Q603" s="26" t="s">
        <v>56</v>
      </c>
      <c r="R603" s="26" t="s">
        <v>42</v>
      </c>
      <c r="S603" s="27" t="s">
        <v>3566</v>
      </c>
      <c r="T603" s="27"/>
      <c r="U603" s="35"/>
      <c r="V603" s="26" t="s">
        <v>44</v>
      </c>
      <c r="W603" s="26"/>
      <c r="X603" s="26"/>
    </row>
    <row r="604" hidden="1">
      <c r="A604" s="26">
        <v>604.0</v>
      </c>
      <c r="B604" s="188">
        <v>46189.0</v>
      </c>
      <c r="C604" s="26" t="s">
        <v>21</v>
      </c>
      <c r="D604" s="26" t="s">
        <v>34</v>
      </c>
      <c r="E604" s="27" t="s">
        <v>6853</v>
      </c>
      <c r="F604" s="21">
        <v>5.49960841E8</v>
      </c>
      <c r="G604" s="26" t="s">
        <v>27</v>
      </c>
      <c r="H604" s="26" t="s">
        <v>27</v>
      </c>
      <c r="I604" s="26" t="s">
        <v>27</v>
      </c>
      <c r="J604" s="209" t="s">
        <v>6854</v>
      </c>
      <c r="K604" s="27" t="s">
        <v>4417</v>
      </c>
      <c r="L604" s="26" t="s">
        <v>39</v>
      </c>
      <c r="M604" s="27" t="s">
        <v>51</v>
      </c>
      <c r="N604" s="26" t="s">
        <v>4746</v>
      </c>
      <c r="O604" s="26" t="s">
        <v>4746</v>
      </c>
      <c r="P604" s="35">
        <v>0.4305555555555556</v>
      </c>
      <c r="Q604" s="26" t="s">
        <v>56</v>
      </c>
      <c r="R604" s="26" t="s">
        <v>42</v>
      </c>
      <c r="S604" s="27" t="s">
        <v>3566</v>
      </c>
      <c r="T604" s="27"/>
      <c r="U604" s="35"/>
      <c r="V604" s="26" t="s">
        <v>44</v>
      </c>
      <c r="W604" s="26"/>
      <c r="X604" s="26"/>
    </row>
    <row r="605" hidden="1">
      <c r="A605" s="26">
        <v>605.0</v>
      </c>
      <c r="B605" s="188">
        <v>46189.0</v>
      </c>
      <c r="C605" s="26" t="s">
        <v>21</v>
      </c>
      <c r="D605" s="26" t="s">
        <v>34</v>
      </c>
      <c r="E605" s="27" t="s">
        <v>1310</v>
      </c>
      <c r="F605" s="21">
        <v>5.47934507E8</v>
      </c>
      <c r="G605" s="26" t="s">
        <v>27</v>
      </c>
      <c r="H605" s="26" t="s">
        <v>27</v>
      </c>
      <c r="I605" s="26" t="s">
        <v>27</v>
      </c>
      <c r="J605" s="209" t="s">
        <v>6858</v>
      </c>
      <c r="K605" s="27" t="s">
        <v>4417</v>
      </c>
      <c r="L605" s="26" t="s">
        <v>39</v>
      </c>
      <c r="M605" s="27" t="s">
        <v>51</v>
      </c>
      <c r="N605" s="26" t="s">
        <v>4746</v>
      </c>
      <c r="O605" s="26" t="s">
        <v>4746</v>
      </c>
      <c r="P605" s="35">
        <v>0.4305555555555556</v>
      </c>
      <c r="Q605" s="26" t="s">
        <v>56</v>
      </c>
      <c r="R605" s="26" t="s">
        <v>42</v>
      </c>
      <c r="S605" s="27" t="s">
        <v>3566</v>
      </c>
      <c r="T605" s="27"/>
      <c r="U605" s="35"/>
      <c r="V605" s="26" t="s">
        <v>44</v>
      </c>
      <c r="W605" s="26"/>
      <c r="X605" s="26"/>
    </row>
    <row r="606" hidden="1">
      <c r="A606" s="26">
        <v>606.0</v>
      </c>
      <c r="B606" s="188">
        <v>46189.0</v>
      </c>
      <c r="C606" s="26" t="s">
        <v>21</v>
      </c>
      <c r="D606" s="26" t="s">
        <v>34</v>
      </c>
      <c r="E606" s="26" t="s">
        <v>6863</v>
      </c>
      <c r="F606" s="21">
        <v>5.45481873E8</v>
      </c>
      <c r="G606" s="26" t="s">
        <v>27</v>
      </c>
      <c r="H606" s="26" t="s">
        <v>27</v>
      </c>
      <c r="I606" s="26" t="s">
        <v>27</v>
      </c>
      <c r="J606" s="351" t="s">
        <v>6864</v>
      </c>
      <c r="K606" s="27" t="s">
        <v>4417</v>
      </c>
      <c r="L606" s="26" t="s">
        <v>39</v>
      </c>
      <c r="M606" s="27" t="s">
        <v>51</v>
      </c>
      <c r="N606" s="26" t="s">
        <v>4746</v>
      </c>
      <c r="O606" s="26" t="s">
        <v>4746</v>
      </c>
      <c r="P606" s="35">
        <v>0.4305555555555556</v>
      </c>
      <c r="Q606" s="26" t="s">
        <v>56</v>
      </c>
      <c r="R606" s="26" t="s">
        <v>42</v>
      </c>
      <c r="S606" s="27" t="s">
        <v>3566</v>
      </c>
      <c r="T606" s="27"/>
      <c r="U606" s="35"/>
      <c r="V606" s="26" t="s">
        <v>44</v>
      </c>
      <c r="W606" s="26"/>
      <c r="X606" s="26"/>
    </row>
    <row r="607" hidden="1">
      <c r="A607" s="26">
        <v>607.0</v>
      </c>
      <c r="B607" s="188">
        <v>46189.0</v>
      </c>
      <c r="C607" s="26" t="s">
        <v>21</v>
      </c>
      <c r="D607" s="26" t="s">
        <v>34</v>
      </c>
      <c r="E607" s="27" t="s">
        <v>6867</v>
      </c>
      <c r="F607" s="21">
        <v>5.30166932E8</v>
      </c>
      <c r="G607" s="26" t="s">
        <v>27</v>
      </c>
      <c r="H607" s="26" t="s">
        <v>27</v>
      </c>
      <c r="I607" s="26" t="s">
        <v>27</v>
      </c>
      <c r="J607" s="209" t="s">
        <v>6869</v>
      </c>
      <c r="K607" s="27" t="s">
        <v>4417</v>
      </c>
      <c r="L607" s="26" t="s">
        <v>39</v>
      </c>
      <c r="M607" s="27" t="s">
        <v>51</v>
      </c>
      <c r="N607" s="26" t="s">
        <v>4746</v>
      </c>
      <c r="O607" s="26" t="s">
        <v>4746</v>
      </c>
      <c r="P607" s="35">
        <v>0.4305555555555556</v>
      </c>
      <c r="Q607" s="26" t="s">
        <v>56</v>
      </c>
      <c r="R607" s="26" t="s">
        <v>42</v>
      </c>
      <c r="S607" s="27" t="s">
        <v>3566</v>
      </c>
      <c r="T607" s="27"/>
      <c r="U607" s="35"/>
      <c r="V607" s="26" t="s">
        <v>44</v>
      </c>
      <c r="W607" s="26"/>
      <c r="X607" s="26"/>
    </row>
    <row r="608" hidden="1">
      <c r="A608" s="26">
        <v>608.0</v>
      </c>
      <c r="B608" s="188">
        <v>46189.0</v>
      </c>
      <c r="C608" s="26" t="s">
        <v>21</v>
      </c>
      <c r="D608" s="26" t="s">
        <v>34</v>
      </c>
      <c r="E608" s="27" t="s">
        <v>6873</v>
      </c>
      <c r="F608" s="21">
        <v>5.63534574E8</v>
      </c>
      <c r="G608" s="26" t="s">
        <v>27</v>
      </c>
      <c r="H608" s="26" t="s">
        <v>27</v>
      </c>
      <c r="I608" s="26" t="s">
        <v>27</v>
      </c>
      <c r="J608" s="209" t="s">
        <v>6874</v>
      </c>
      <c r="K608" s="27" t="s">
        <v>4417</v>
      </c>
      <c r="L608" s="26" t="s">
        <v>39</v>
      </c>
      <c r="M608" s="27" t="s">
        <v>51</v>
      </c>
      <c r="N608" s="26" t="s">
        <v>4746</v>
      </c>
      <c r="O608" s="26" t="s">
        <v>4746</v>
      </c>
      <c r="P608" s="35">
        <v>0.4305555555555556</v>
      </c>
      <c r="Q608" s="26" t="s">
        <v>56</v>
      </c>
      <c r="R608" s="26" t="s">
        <v>42</v>
      </c>
      <c r="S608" s="27" t="s">
        <v>3566</v>
      </c>
      <c r="T608" s="27"/>
      <c r="U608" s="35"/>
      <c r="V608" s="26" t="s">
        <v>44</v>
      </c>
      <c r="W608" s="26"/>
      <c r="X608" s="26"/>
    </row>
    <row r="609" hidden="1">
      <c r="A609" s="26">
        <v>609.0</v>
      </c>
      <c r="B609" s="188">
        <v>46189.0</v>
      </c>
      <c r="C609" s="26" t="s">
        <v>21</v>
      </c>
      <c r="D609" s="26" t="s">
        <v>34</v>
      </c>
      <c r="E609" s="27" t="s">
        <v>6875</v>
      </c>
      <c r="F609" s="21">
        <v>5.56151925E8</v>
      </c>
      <c r="G609" s="26" t="s">
        <v>27</v>
      </c>
      <c r="H609" s="26" t="s">
        <v>27</v>
      </c>
      <c r="I609" s="26" t="s">
        <v>27</v>
      </c>
      <c r="J609" s="209" t="s">
        <v>6876</v>
      </c>
      <c r="K609" s="27" t="s">
        <v>4417</v>
      </c>
      <c r="L609" s="26" t="s">
        <v>39</v>
      </c>
      <c r="M609" s="27" t="s">
        <v>51</v>
      </c>
      <c r="N609" s="26" t="s">
        <v>4746</v>
      </c>
      <c r="O609" s="26" t="s">
        <v>4746</v>
      </c>
      <c r="P609" s="35">
        <v>0.4305555555555556</v>
      </c>
      <c r="Q609" s="26" t="s">
        <v>56</v>
      </c>
      <c r="R609" s="26" t="s">
        <v>42</v>
      </c>
      <c r="S609" s="27" t="s">
        <v>3566</v>
      </c>
      <c r="T609" s="27"/>
      <c r="U609" s="35"/>
      <c r="V609" s="26" t="s">
        <v>44</v>
      </c>
      <c r="W609" s="26"/>
      <c r="X609" s="26"/>
    </row>
    <row r="610" hidden="1">
      <c r="A610" s="26">
        <v>610.0</v>
      </c>
      <c r="B610" s="188">
        <v>46189.0</v>
      </c>
      <c r="C610" s="26" t="s">
        <v>21</v>
      </c>
      <c r="D610" s="26" t="s">
        <v>34</v>
      </c>
      <c r="E610" s="27" t="s">
        <v>6878</v>
      </c>
      <c r="F610" s="21">
        <v>5.42160084E8</v>
      </c>
      <c r="G610" s="26" t="s">
        <v>27</v>
      </c>
      <c r="H610" s="26" t="s">
        <v>27</v>
      </c>
      <c r="I610" s="26" t="s">
        <v>27</v>
      </c>
      <c r="J610" s="209" t="s">
        <v>896</v>
      </c>
      <c r="K610" s="27" t="s">
        <v>4417</v>
      </c>
      <c r="L610" s="26" t="s">
        <v>39</v>
      </c>
      <c r="M610" s="27" t="s">
        <v>51</v>
      </c>
      <c r="N610" s="26" t="s">
        <v>4746</v>
      </c>
      <c r="O610" s="26" t="s">
        <v>4746</v>
      </c>
      <c r="P610" s="35">
        <v>0.4305555555555556</v>
      </c>
      <c r="Q610" s="26" t="s">
        <v>56</v>
      </c>
      <c r="R610" s="26" t="s">
        <v>42</v>
      </c>
      <c r="S610" s="27" t="s">
        <v>3566</v>
      </c>
      <c r="T610" s="27"/>
      <c r="U610" s="35"/>
      <c r="V610" s="26" t="s">
        <v>44</v>
      </c>
      <c r="W610" s="26"/>
      <c r="X610" s="26"/>
    </row>
    <row r="611" hidden="1">
      <c r="A611" s="26">
        <v>611.0</v>
      </c>
      <c r="B611" s="188">
        <v>46189.0</v>
      </c>
      <c r="C611" s="26" t="s">
        <v>21</v>
      </c>
      <c r="D611" s="26" t="s">
        <v>34</v>
      </c>
      <c r="E611" s="27" t="s">
        <v>6880</v>
      </c>
      <c r="F611" s="21">
        <v>5.66331609E8</v>
      </c>
      <c r="G611" s="26" t="s">
        <v>27</v>
      </c>
      <c r="H611" s="26" t="s">
        <v>27</v>
      </c>
      <c r="I611" s="26" t="s">
        <v>27</v>
      </c>
      <c r="J611" s="209" t="s">
        <v>896</v>
      </c>
      <c r="K611" s="27" t="s">
        <v>4417</v>
      </c>
      <c r="L611" s="26" t="s">
        <v>39</v>
      </c>
      <c r="M611" s="27" t="s">
        <v>51</v>
      </c>
      <c r="N611" s="26" t="s">
        <v>4746</v>
      </c>
      <c r="O611" s="26" t="s">
        <v>4746</v>
      </c>
      <c r="P611" s="35">
        <v>0.4305555555555556</v>
      </c>
      <c r="Q611" s="26" t="s">
        <v>56</v>
      </c>
      <c r="R611" s="26" t="s">
        <v>42</v>
      </c>
      <c r="S611" s="27" t="s">
        <v>3566</v>
      </c>
      <c r="T611" s="27"/>
      <c r="U611" s="35"/>
      <c r="V611" s="26" t="s">
        <v>44</v>
      </c>
      <c r="W611" s="26"/>
      <c r="X611" s="26"/>
    </row>
    <row r="612" hidden="1">
      <c r="A612" s="26">
        <v>612.0</v>
      </c>
      <c r="B612" s="188">
        <v>46189.0</v>
      </c>
      <c r="C612" s="26" t="s">
        <v>21</v>
      </c>
      <c r="D612" s="26" t="s">
        <v>34</v>
      </c>
      <c r="E612" s="27" t="s">
        <v>6883</v>
      </c>
      <c r="F612" s="21">
        <v>5.33357549E8</v>
      </c>
      <c r="G612" s="26" t="s">
        <v>27</v>
      </c>
      <c r="H612" s="26" t="s">
        <v>27</v>
      </c>
      <c r="I612" s="26" t="s">
        <v>27</v>
      </c>
      <c r="J612" s="209" t="s">
        <v>6884</v>
      </c>
      <c r="K612" s="27" t="s">
        <v>4417</v>
      </c>
      <c r="L612" s="26" t="s">
        <v>39</v>
      </c>
      <c r="M612" s="27" t="s">
        <v>51</v>
      </c>
      <c r="N612" s="26" t="s">
        <v>4746</v>
      </c>
      <c r="O612" s="26" t="s">
        <v>4746</v>
      </c>
      <c r="P612" s="35">
        <v>0.4305555555555556</v>
      </c>
      <c r="Q612" s="26" t="s">
        <v>56</v>
      </c>
      <c r="R612" s="26" t="s">
        <v>42</v>
      </c>
      <c r="S612" s="27" t="s">
        <v>3566</v>
      </c>
      <c r="T612" s="27"/>
      <c r="U612" s="35"/>
      <c r="V612" s="26" t="s">
        <v>44</v>
      </c>
      <c r="W612" s="26"/>
      <c r="X612" s="26"/>
    </row>
    <row r="613" hidden="1">
      <c r="A613" s="26">
        <v>613.0</v>
      </c>
      <c r="B613" s="188">
        <v>46189.0</v>
      </c>
      <c r="C613" s="26" t="s">
        <v>21</v>
      </c>
      <c r="D613" s="26" t="s">
        <v>34</v>
      </c>
      <c r="E613" s="27" t="s">
        <v>6887</v>
      </c>
      <c r="F613" s="21">
        <v>5.63585044E8</v>
      </c>
      <c r="G613" s="26" t="s">
        <v>27</v>
      </c>
      <c r="H613" s="26" t="s">
        <v>27</v>
      </c>
      <c r="I613" s="26" t="s">
        <v>27</v>
      </c>
      <c r="J613" s="209" t="s">
        <v>6889</v>
      </c>
      <c r="K613" s="27" t="s">
        <v>4417</v>
      </c>
      <c r="L613" s="26" t="s">
        <v>39</v>
      </c>
      <c r="M613" s="27" t="s">
        <v>51</v>
      </c>
      <c r="N613" s="26" t="s">
        <v>4746</v>
      </c>
      <c r="O613" s="26" t="s">
        <v>4746</v>
      </c>
      <c r="P613" s="35">
        <v>0.4305555555555556</v>
      </c>
      <c r="Q613" s="26" t="s">
        <v>56</v>
      </c>
      <c r="R613" s="26" t="s">
        <v>42</v>
      </c>
      <c r="S613" s="27" t="s">
        <v>3566</v>
      </c>
      <c r="T613" s="27"/>
      <c r="U613" s="35"/>
      <c r="V613" s="26" t="s">
        <v>44</v>
      </c>
      <c r="W613" s="26"/>
      <c r="X613" s="26"/>
    </row>
    <row r="614" hidden="1">
      <c r="A614" s="26">
        <v>614.0</v>
      </c>
      <c r="B614" s="188">
        <v>46189.0</v>
      </c>
      <c r="C614" s="26" t="s">
        <v>21</v>
      </c>
      <c r="D614" s="26" t="s">
        <v>34</v>
      </c>
      <c r="E614" s="26" t="s">
        <v>403</v>
      </c>
      <c r="F614" s="21">
        <v>5.6334514E8</v>
      </c>
      <c r="G614" s="26" t="s">
        <v>27</v>
      </c>
      <c r="H614" s="26" t="s">
        <v>27</v>
      </c>
      <c r="I614" s="26" t="s">
        <v>27</v>
      </c>
      <c r="J614" s="209" t="s">
        <v>896</v>
      </c>
      <c r="K614" s="27" t="s">
        <v>4417</v>
      </c>
      <c r="L614" s="26" t="s">
        <v>39</v>
      </c>
      <c r="M614" s="27" t="s">
        <v>51</v>
      </c>
      <c r="N614" s="26" t="s">
        <v>4746</v>
      </c>
      <c r="O614" s="26" t="s">
        <v>4746</v>
      </c>
      <c r="P614" s="35">
        <v>0.4305555555555556</v>
      </c>
      <c r="Q614" s="26" t="s">
        <v>56</v>
      </c>
      <c r="R614" s="26" t="s">
        <v>42</v>
      </c>
      <c r="S614" s="27" t="s">
        <v>3566</v>
      </c>
      <c r="T614" s="27"/>
      <c r="U614" s="35"/>
      <c r="V614" s="26" t="s">
        <v>44</v>
      </c>
      <c r="W614" s="26"/>
      <c r="X614" s="26"/>
    </row>
    <row r="615" hidden="1">
      <c r="A615" s="26">
        <v>615.0</v>
      </c>
      <c r="B615" s="188">
        <v>46189.0</v>
      </c>
      <c r="C615" s="26" t="s">
        <v>21</v>
      </c>
      <c r="D615" s="26" t="s">
        <v>34</v>
      </c>
      <c r="E615" s="27" t="s">
        <v>6893</v>
      </c>
      <c r="F615" s="21">
        <v>5.65875613E8</v>
      </c>
      <c r="G615" s="26" t="s">
        <v>27</v>
      </c>
      <c r="H615" s="26" t="s">
        <v>27</v>
      </c>
      <c r="I615" s="26" t="s">
        <v>27</v>
      </c>
      <c r="J615" s="209" t="s">
        <v>896</v>
      </c>
      <c r="K615" s="27" t="s">
        <v>4417</v>
      </c>
      <c r="L615" s="26" t="s">
        <v>39</v>
      </c>
      <c r="M615" s="27" t="s">
        <v>51</v>
      </c>
      <c r="N615" s="26" t="s">
        <v>4746</v>
      </c>
      <c r="O615" s="26" t="s">
        <v>4746</v>
      </c>
      <c r="P615" s="35">
        <v>0.4305555555555556</v>
      </c>
      <c r="Q615" s="26" t="s">
        <v>56</v>
      </c>
      <c r="R615" s="26" t="s">
        <v>42</v>
      </c>
      <c r="S615" s="27" t="s">
        <v>3566</v>
      </c>
      <c r="T615" s="27"/>
      <c r="U615" s="35"/>
      <c r="V615" s="26" t="s">
        <v>44</v>
      </c>
      <c r="W615" s="26"/>
      <c r="X615" s="26"/>
    </row>
    <row r="616" hidden="1">
      <c r="A616" s="26">
        <v>616.0</v>
      </c>
      <c r="B616" s="188">
        <v>46189.0</v>
      </c>
      <c r="C616" s="26" t="s">
        <v>21</v>
      </c>
      <c r="D616" s="26" t="s">
        <v>34</v>
      </c>
      <c r="E616" s="27" t="s">
        <v>6895</v>
      </c>
      <c r="F616" s="21">
        <v>5.44205587E8</v>
      </c>
      <c r="G616" s="26" t="s">
        <v>27</v>
      </c>
      <c r="H616" s="26" t="s">
        <v>27</v>
      </c>
      <c r="I616" s="26" t="s">
        <v>27</v>
      </c>
      <c r="J616" s="209" t="s">
        <v>6896</v>
      </c>
      <c r="K616" s="27" t="s">
        <v>4417</v>
      </c>
      <c r="L616" s="26" t="s">
        <v>39</v>
      </c>
      <c r="M616" s="27" t="s">
        <v>51</v>
      </c>
      <c r="N616" s="26" t="s">
        <v>4746</v>
      </c>
      <c r="O616" s="26" t="s">
        <v>4746</v>
      </c>
      <c r="P616" s="35">
        <v>0.4305555555555556</v>
      </c>
      <c r="Q616" s="26" t="s">
        <v>56</v>
      </c>
      <c r="R616" s="26" t="s">
        <v>42</v>
      </c>
      <c r="S616" s="27" t="s">
        <v>3566</v>
      </c>
      <c r="T616" s="27"/>
      <c r="U616" s="35"/>
      <c r="V616" s="26" t="s">
        <v>44</v>
      </c>
      <c r="W616" s="26"/>
      <c r="X616" s="26"/>
    </row>
    <row r="617" hidden="1">
      <c r="A617" s="26">
        <v>617.0</v>
      </c>
      <c r="B617" s="188">
        <v>46189.0</v>
      </c>
      <c r="C617" s="26" t="s">
        <v>21</v>
      </c>
      <c r="D617" s="26" t="s">
        <v>34</v>
      </c>
      <c r="E617" s="27" t="s">
        <v>6899</v>
      </c>
      <c r="F617" s="21">
        <v>5.32303363E8</v>
      </c>
      <c r="G617" s="26" t="s">
        <v>27</v>
      </c>
      <c r="H617" s="26" t="s">
        <v>27</v>
      </c>
      <c r="I617" s="26" t="s">
        <v>27</v>
      </c>
      <c r="J617" s="209" t="s">
        <v>6900</v>
      </c>
      <c r="K617" s="27" t="s">
        <v>4417</v>
      </c>
      <c r="L617" s="26" t="s">
        <v>39</v>
      </c>
      <c r="M617" s="27" t="s">
        <v>51</v>
      </c>
      <c r="N617" s="26" t="s">
        <v>4746</v>
      </c>
      <c r="O617" s="26" t="s">
        <v>4746</v>
      </c>
      <c r="P617" s="35">
        <v>0.4305555555555556</v>
      </c>
      <c r="Q617" s="26" t="s">
        <v>56</v>
      </c>
      <c r="R617" s="26" t="s">
        <v>42</v>
      </c>
      <c r="S617" s="27" t="s">
        <v>3566</v>
      </c>
      <c r="T617" s="27"/>
      <c r="U617" s="35"/>
      <c r="V617" s="26" t="s">
        <v>44</v>
      </c>
      <c r="W617" s="26"/>
      <c r="X617" s="26"/>
    </row>
    <row r="618" hidden="1">
      <c r="A618" s="26">
        <v>618.0</v>
      </c>
      <c r="B618" s="188">
        <v>46189.0</v>
      </c>
      <c r="C618" s="26" t="s">
        <v>21</v>
      </c>
      <c r="D618" s="26" t="s">
        <v>34</v>
      </c>
      <c r="E618" s="27" t="s">
        <v>6903</v>
      </c>
      <c r="F618" s="21">
        <v>5.49256578E8</v>
      </c>
      <c r="G618" s="26" t="s">
        <v>27</v>
      </c>
      <c r="H618" s="26" t="s">
        <v>27</v>
      </c>
      <c r="I618" s="26" t="s">
        <v>27</v>
      </c>
      <c r="J618" s="209" t="s">
        <v>896</v>
      </c>
      <c r="K618" s="27" t="s">
        <v>4417</v>
      </c>
      <c r="L618" s="26" t="s">
        <v>39</v>
      </c>
      <c r="M618" s="27" t="s">
        <v>51</v>
      </c>
      <c r="N618" s="26" t="s">
        <v>4746</v>
      </c>
      <c r="O618" s="26" t="s">
        <v>4746</v>
      </c>
      <c r="P618" s="35">
        <v>0.4305555555555556</v>
      </c>
      <c r="Q618" s="26" t="s">
        <v>56</v>
      </c>
      <c r="R618" s="26" t="s">
        <v>42</v>
      </c>
      <c r="S618" s="27" t="s">
        <v>3566</v>
      </c>
      <c r="T618" s="27"/>
      <c r="U618" s="35"/>
      <c r="V618" s="26" t="s">
        <v>44</v>
      </c>
      <c r="W618" s="26"/>
      <c r="X618" s="26"/>
    </row>
    <row r="619" hidden="1">
      <c r="A619" s="26">
        <v>619.0</v>
      </c>
      <c r="B619" s="188">
        <v>46189.0</v>
      </c>
      <c r="C619" s="26" t="s">
        <v>21</v>
      </c>
      <c r="D619" s="26" t="s">
        <v>34</v>
      </c>
      <c r="E619" s="27" t="s">
        <v>6907</v>
      </c>
      <c r="F619" s="21">
        <v>5.47053604E8</v>
      </c>
      <c r="G619" s="26" t="s">
        <v>27</v>
      </c>
      <c r="H619" s="26" t="s">
        <v>27</v>
      </c>
      <c r="I619" s="26" t="s">
        <v>27</v>
      </c>
      <c r="J619" s="209" t="s">
        <v>896</v>
      </c>
      <c r="K619" s="27" t="s">
        <v>4417</v>
      </c>
      <c r="L619" s="26" t="s">
        <v>39</v>
      </c>
      <c r="M619" s="27" t="s">
        <v>51</v>
      </c>
      <c r="N619" s="26" t="s">
        <v>4746</v>
      </c>
      <c r="O619" s="26" t="s">
        <v>4746</v>
      </c>
      <c r="P619" s="35">
        <v>0.4305555555555556</v>
      </c>
      <c r="Q619" s="26" t="s">
        <v>56</v>
      </c>
      <c r="R619" s="26" t="s">
        <v>42</v>
      </c>
      <c r="S619" s="27" t="s">
        <v>3566</v>
      </c>
      <c r="T619" s="27"/>
      <c r="U619" s="35"/>
      <c r="V619" s="26" t="s">
        <v>44</v>
      </c>
      <c r="W619" s="26"/>
      <c r="X619" s="26"/>
    </row>
    <row r="620" hidden="1">
      <c r="A620" s="26">
        <v>620.0</v>
      </c>
      <c r="B620" s="188">
        <v>46189.0</v>
      </c>
      <c r="C620" s="26" t="s">
        <v>21</v>
      </c>
      <c r="D620" s="26" t="s">
        <v>34</v>
      </c>
      <c r="E620" s="27" t="s">
        <v>6883</v>
      </c>
      <c r="F620" s="21">
        <v>5.33357549E8</v>
      </c>
      <c r="G620" s="26" t="s">
        <v>27</v>
      </c>
      <c r="H620" s="26" t="s">
        <v>27</v>
      </c>
      <c r="I620" s="26" t="s">
        <v>27</v>
      </c>
      <c r="J620" s="209" t="s">
        <v>6910</v>
      </c>
      <c r="K620" s="27" t="s">
        <v>4417</v>
      </c>
      <c r="L620" s="26" t="s">
        <v>39</v>
      </c>
      <c r="M620" s="27" t="s">
        <v>51</v>
      </c>
      <c r="N620" s="26" t="s">
        <v>4746</v>
      </c>
      <c r="O620" s="26" t="s">
        <v>4746</v>
      </c>
      <c r="P620" s="35">
        <v>0.4305555555555556</v>
      </c>
      <c r="Q620" s="26" t="s">
        <v>56</v>
      </c>
      <c r="R620" s="26" t="s">
        <v>42</v>
      </c>
      <c r="S620" s="27" t="s">
        <v>3566</v>
      </c>
      <c r="T620" s="27"/>
      <c r="U620" s="35"/>
      <c r="V620" s="26" t="s">
        <v>44</v>
      </c>
      <c r="W620" s="26"/>
      <c r="X620" s="26"/>
    </row>
    <row r="621" hidden="1">
      <c r="A621" s="26">
        <v>621.0</v>
      </c>
      <c r="B621" s="188">
        <v>46189.0</v>
      </c>
      <c r="C621" s="26" t="s">
        <v>21</v>
      </c>
      <c r="D621" s="26" t="s">
        <v>34</v>
      </c>
      <c r="E621" s="27" t="s">
        <v>6912</v>
      </c>
      <c r="F621" s="21">
        <v>5.61494567E8</v>
      </c>
      <c r="G621" s="26" t="s">
        <v>27</v>
      </c>
      <c r="H621" s="26" t="s">
        <v>27</v>
      </c>
      <c r="I621" s="26" t="s">
        <v>27</v>
      </c>
      <c r="J621" s="209" t="s">
        <v>896</v>
      </c>
      <c r="K621" s="27" t="s">
        <v>4417</v>
      </c>
      <c r="L621" s="26" t="s">
        <v>39</v>
      </c>
      <c r="M621" s="27" t="s">
        <v>51</v>
      </c>
      <c r="N621" s="26" t="s">
        <v>4746</v>
      </c>
      <c r="O621" s="26" t="s">
        <v>4746</v>
      </c>
      <c r="P621" s="35">
        <v>0.4305555555555556</v>
      </c>
      <c r="Q621" s="26" t="s">
        <v>56</v>
      </c>
      <c r="R621" s="26" t="s">
        <v>42</v>
      </c>
      <c r="S621" s="27" t="s">
        <v>3566</v>
      </c>
      <c r="T621" s="27"/>
      <c r="U621" s="35"/>
      <c r="V621" s="26" t="s">
        <v>44</v>
      </c>
      <c r="W621" s="26"/>
      <c r="X621" s="26"/>
    </row>
    <row r="622" hidden="1">
      <c r="A622" s="26">
        <v>622.0</v>
      </c>
      <c r="B622" s="188">
        <v>46189.0</v>
      </c>
      <c r="C622" s="26" t="s">
        <v>21</v>
      </c>
      <c r="D622" s="26" t="s">
        <v>34</v>
      </c>
      <c r="E622" s="27" t="s">
        <v>3346</v>
      </c>
      <c r="F622" s="21">
        <v>5.04104065E8</v>
      </c>
      <c r="G622" s="26" t="s">
        <v>27</v>
      </c>
      <c r="H622" s="26" t="s">
        <v>27</v>
      </c>
      <c r="I622" s="26" t="s">
        <v>27</v>
      </c>
      <c r="J622" s="209" t="s">
        <v>6915</v>
      </c>
      <c r="K622" s="27" t="s">
        <v>4417</v>
      </c>
      <c r="L622" s="26" t="s">
        <v>39</v>
      </c>
      <c r="M622" s="27" t="s">
        <v>51</v>
      </c>
      <c r="N622" s="26" t="s">
        <v>4746</v>
      </c>
      <c r="O622" s="26" t="s">
        <v>4746</v>
      </c>
      <c r="P622" s="35">
        <v>0.4305555555555556</v>
      </c>
      <c r="Q622" s="26" t="s">
        <v>56</v>
      </c>
      <c r="R622" s="26" t="s">
        <v>42</v>
      </c>
      <c r="S622" s="27" t="s">
        <v>3566</v>
      </c>
      <c r="T622" s="27"/>
      <c r="U622" s="35"/>
      <c r="V622" s="26" t="s">
        <v>44</v>
      </c>
      <c r="W622" s="26"/>
      <c r="X622" s="26"/>
    </row>
    <row r="623" hidden="1">
      <c r="A623" s="26">
        <v>623.0</v>
      </c>
      <c r="B623" s="188">
        <v>46189.0</v>
      </c>
      <c r="C623" s="26" t="s">
        <v>21</v>
      </c>
      <c r="D623" s="26" t="s">
        <v>34</v>
      </c>
      <c r="E623" s="27" t="s">
        <v>947</v>
      </c>
      <c r="F623" s="21">
        <v>5.44478968E8</v>
      </c>
      <c r="G623" s="26" t="s">
        <v>27</v>
      </c>
      <c r="H623" s="26" t="s">
        <v>27</v>
      </c>
      <c r="I623" s="26" t="s">
        <v>27</v>
      </c>
      <c r="J623" s="209" t="s">
        <v>6920</v>
      </c>
      <c r="K623" s="27" t="s">
        <v>4417</v>
      </c>
      <c r="L623" s="26" t="s">
        <v>39</v>
      </c>
      <c r="M623" s="27" t="s">
        <v>51</v>
      </c>
      <c r="N623" s="26" t="s">
        <v>4746</v>
      </c>
      <c r="O623" s="26" t="s">
        <v>4746</v>
      </c>
      <c r="P623" s="35">
        <v>0.4305555555555556</v>
      </c>
      <c r="Q623" s="26" t="s">
        <v>56</v>
      </c>
      <c r="R623" s="26" t="s">
        <v>42</v>
      </c>
      <c r="S623" s="27" t="s">
        <v>3566</v>
      </c>
      <c r="T623" s="27"/>
      <c r="U623" s="35"/>
      <c r="V623" s="26" t="s">
        <v>44</v>
      </c>
      <c r="W623" s="26"/>
      <c r="X623" s="26"/>
    </row>
    <row r="624" hidden="1">
      <c r="A624" s="26">
        <v>624.0</v>
      </c>
      <c r="B624" s="188">
        <v>46189.0</v>
      </c>
      <c r="C624" s="26" t="s">
        <v>21</v>
      </c>
      <c r="D624" s="26" t="s">
        <v>34</v>
      </c>
      <c r="E624" s="27" t="s">
        <v>6922</v>
      </c>
      <c r="F624" s="21">
        <v>5.65885076E8</v>
      </c>
      <c r="G624" s="26" t="s">
        <v>27</v>
      </c>
      <c r="H624" s="26" t="s">
        <v>27</v>
      </c>
      <c r="I624" s="26" t="s">
        <v>27</v>
      </c>
      <c r="J624" s="209" t="s">
        <v>6923</v>
      </c>
      <c r="K624" s="27" t="s">
        <v>4417</v>
      </c>
      <c r="L624" s="26" t="s">
        <v>39</v>
      </c>
      <c r="M624" s="27" t="s">
        <v>51</v>
      </c>
      <c r="N624" s="26" t="s">
        <v>4746</v>
      </c>
      <c r="O624" s="26" t="s">
        <v>4746</v>
      </c>
      <c r="P624" s="35">
        <v>0.4305555555555556</v>
      </c>
      <c r="Q624" s="26" t="s">
        <v>56</v>
      </c>
      <c r="R624" s="26" t="s">
        <v>42</v>
      </c>
      <c r="S624" s="27" t="s">
        <v>3566</v>
      </c>
      <c r="T624" s="27"/>
      <c r="U624" s="35"/>
      <c r="V624" s="26" t="s">
        <v>44</v>
      </c>
      <c r="W624" s="26"/>
      <c r="X624" s="26"/>
    </row>
    <row r="625" hidden="1">
      <c r="A625" s="26">
        <v>625.0</v>
      </c>
      <c r="B625" s="188">
        <v>46189.0</v>
      </c>
      <c r="C625" s="26" t="s">
        <v>21</v>
      </c>
      <c r="D625" s="26" t="s">
        <v>34</v>
      </c>
      <c r="E625" s="27" t="s">
        <v>6927</v>
      </c>
      <c r="F625" s="21">
        <v>5.66369857E8</v>
      </c>
      <c r="G625" s="26" t="s">
        <v>27</v>
      </c>
      <c r="H625" s="26" t="s">
        <v>27</v>
      </c>
      <c r="I625" s="26" t="s">
        <v>27</v>
      </c>
      <c r="J625" s="209" t="s">
        <v>6928</v>
      </c>
      <c r="K625" s="27" t="s">
        <v>4417</v>
      </c>
      <c r="L625" s="26" t="s">
        <v>39</v>
      </c>
      <c r="M625" s="27" t="s">
        <v>51</v>
      </c>
      <c r="N625" s="26" t="s">
        <v>4746</v>
      </c>
      <c r="O625" s="26" t="s">
        <v>4746</v>
      </c>
      <c r="P625" s="35">
        <v>0.4305555555555556</v>
      </c>
      <c r="Q625" s="26" t="s">
        <v>56</v>
      </c>
      <c r="R625" s="26" t="s">
        <v>42</v>
      </c>
      <c r="S625" s="27" t="s">
        <v>3566</v>
      </c>
      <c r="T625" s="27"/>
      <c r="U625" s="35"/>
      <c r="V625" s="26" t="s">
        <v>44</v>
      </c>
      <c r="W625" s="26"/>
      <c r="X625" s="26"/>
    </row>
    <row r="626" hidden="1">
      <c r="A626" s="26">
        <v>626.0</v>
      </c>
      <c r="B626" s="188">
        <v>46189.0</v>
      </c>
      <c r="C626" s="26" t="s">
        <v>21</v>
      </c>
      <c r="D626" s="26" t="s">
        <v>34</v>
      </c>
      <c r="E626" s="27" t="s">
        <v>6930</v>
      </c>
      <c r="F626" s="21">
        <v>5.56872829E8</v>
      </c>
      <c r="G626" s="26" t="s">
        <v>27</v>
      </c>
      <c r="H626" s="26" t="s">
        <v>27</v>
      </c>
      <c r="I626" s="26" t="s">
        <v>27</v>
      </c>
      <c r="J626" s="209" t="s">
        <v>6931</v>
      </c>
      <c r="K626" s="27" t="s">
        <v>4417</v>
      </c>
      <c r="L626" s="26" t="s">
        <v>39</v>
      </c>
      <c r="M626" s="27" t="s">
        <v>51</v>
      </c>
      <c r="N626" s="26" t="s">
        <v>4746</v>
      </c>
      <c r="O626" s="26" t="s">
        <v>4746</v>
      </c>
      <c r="P626" s="35">
        <v>0.4305555555555556</v>
      </c>
      <c r="Q626" s="26" t="s">
        <v>56</v>
      </c>
      <c r="R626" s="26" t="s">
        <v>42</v>
      </c>
      <c r="S626" s="27" t="s">
        <v>3566</v>
      </c>
      <c r="T626" s="27"/>
      <c r="U626" s="35"/>
      <c r="V626" s="26" t="s">
        <v>44</v>
      </c>
      <c r="W626" s="26"/>
      <c r="X626" s="26"/>
    </row>
    <row r="627" hidden="1">
      <c r="A627" s="26">
        <v>627.0</v>
      </c>
      <c r="B627" s="188">
        <v>46189.0</v>
      </c>
      <c r="C627" s="26" t="s">
        <v>21</v>
      </c>
      <c r="D627" s="26" t="s">
        <v>34</v>
      </c>
      <c r="E627" s="27" t="s">
        <v>6933</v>
      </c>
      <c r="F627" s="21">
        <v>5.64113889E8</v>
      </c>
      <c r="G627" s="26" t="s">
        <v>27</v>
      </c>
      <c r="H627" s="26" t="s">
        <v>27</v>
      </c>
      <c r="I627" s="26" t="s">
        <v>27</v>
      </c>
      <c r="J627" s="209" t="s">
        <v>896</v>
      </c>
      <c r="K627" s="27" t="s">
        <v>4417</v>
      </c>
      <c r="L627" s="26" t="s">
        <v>39</v>
      </c>
      <c r="M627" s="27" t="s">
        <v>51</v>
      </c>
      <c r="N627" s="26" t="s">
        <v>4746</v>
      </c>
      <c r="O627" s="26" t="s">
        <v>4746</v>
      </c>
      <c r="P627" s="35">
        <v>0.4305555555555556</v>
      </c>
      <c r="Q627" s="26" t="s">
        <v>56</v>
      </c>
      <c r="R627" s="26" t="s">
        <v>42</v>
      </c>
      <c r="S627" s="27" t="s">
        <v>3566</v>
      </c>
      <c r="T627" s="27"/>
      <c r="U627" s="35"/>
      <c r="V627" s="26" t="s">
        <v>44</v>
      </c>
      <c r="W627" s="26"/>
      <c r="X627" s="26"/>
    </row>
    <row r="628" hidden="1">
      <c r="A628" s="26">
        <v>628.0</v>
      </c>
      <c r="B628" s="188">
        <v>46189.0</v>
      </c>
      <c r="C628" s="26" t="s">
        <v>21</v>
      </c>
      <c r="D628" s="26" t="s">
        <v>34</v>
      </c>
      <c r="E628" s="27" t="s">
        <v>6936</v>
      </c>
      <c r="F628" s="21">
        <v>5.48872602E8</v>
      </c>
      <c r="G628" s="26" t="s">
        <v>27</v>
      </c>
      <c r="H628" s="26" t="s">
        <v>27</v>
      </c>
      <c r="I628" s="26" t="s">
        <v>27</v>
      </c>
      <c r="J628" s="209" t="s">
        <v>6937</v>
      </c>
      <c r="K628" s="27" t="s">
        <v>4417</v>
      </c>
      <c r="L628" s="26" t="s">
        <v>39</v>
      </c>
      <c r="M628" s="27" t="s">
        <v>51</v>
      </c>
      <c r="N628" s="26" t="s">
        <v>4746</v>
      </c>
      <c r="O628" s="26" t="s">
        <v>4746</v>
      </c>
      <c r="P628" s="35">
        <v>0.4305555555555556</v>
      </c>
      <c r="Q628" s="26" t="s">
        <v>56</v>
      </c>
      <c r="R628" s="26" t="s">
        <v>42</v>
      </c>
      <c r="S628" s="27" t="s">
        <v>3566</v>
      </c>
      <c r="T628" s="27"/>
      <c r="U628" s="35"/>
      <c r="V628" s="26" t="s">
        <v>44</v>
      </c>
      <c r="W628" s="26"/>
      <c r="X628" s="26"/>
    </row>
    <row r="629" hidden="1">
      <c r="A629" s="26">
        <v>629.0</v>
      </c>
      <c r="B629" s="188">
        <v>46189.0</v>
      </c>
      <c r="C629" s="26" t="s">
        <v>21</v>
      </c>
      <c r="D629" s="26" t="s">
        <v>34</v>
      </c>
      <c r="E629" s="27" t="s">
        <v>6942</v>
      </c>
      <c r="F629" s="21">
        <v>5.06572965E8</v>
      </c>
      <c r="G629" s="26" t="s">
        <v>27</v>
      </c>
      <c r="H629" s="26" t="s">
        <v>27</v>
      </c>
      <c r="I629" s="26" t="s">
        <v>27</v>
      </c>
      <c r="J629" s="209" t="s">
        <v>6943</v>
      </c>
      <c r="K629" s="27" t="s">
        <v>4417</v>
      </c>
      <c r="L629" s="26" t="s">
        <v>39</v>
      </c>
      <c r="M629" s="27" t="s">
        <v>51</v>
      </c>
      <c r="N629" s="26" t="s">
        <v>4746</v>
      </c>
      <c r="O629" s="26" t="s">
        <v>4746</v>
      </c>
      <c r="P629" s="35">
        <v>0.4305555555555556</v>
      </c>
      <c r="Q629" s="26" t="s">
        <v>56</v>
      </c>
      <c r="R629" s="26" t="s">
        <v>42</v>
      </c>
      <c r="S629" s="27" t="s">
        <v>3566</v>
      </c>
      <c r="T629" s="27"/>
      <c r="U629" s="35"/>
      <c r="V629" s="26" t="s">
        <v>44</v>
      </c>
      <c r="W629" s="26"/>
      <c r="X629" s="26"/>
    </row>
    <row r="630" hidden="1">
      <c r="A630" s="26">
        <v>630.0</v>
      </c>
      <c r="B630" s="188">
        <v>46189.0</v>
      </c>
      <c r="C630" s="26" t="s">
        <v>21</v>
      </c>
      <c r="D630" s="26" t="s">
        <v>34</v>
      </c>
      <c r="E630" s="27" t="s">
        <v>6944</v>
      </c>
      <c r="F630" s="21">
        <v>5.6533538E8</v>
      </c>
      <c r="G630" s="26" t="s">
        <v>27</v>
      </c>
      <c r="H630" s="26" t="s">
        <v>27</v>
      </c>
      <c r="I630" s="26" t="s">
        <v>27</v>
      </c>
      <c r="J630" s="209" t="s">
        <v>6945</v>
      </c>
      <c r="K630" s="27" t="s">
        <v>4417</v>
      </c>
      <c r="L630" s="26" t="s">
        <v>39</v>
      </c>
      <c r="M630" s="27" t="s">
        <v>51</v>
      </c>
      <c r="N630" s="26" t="s">
        <v>4746</v>
      </c>
      <c r="O630" s="26" t="s">
        <v>4746</v>
      </c>
      <c r="P630" s="35">
        <v>0.4305555555555556</v>
      </c>
      <c r="Q630" s="26" t="s">
        <v>56</v>
      </c>
      <c r="R630" s="26" t="s">
        <v>42</v>
      </c>
      <c r="S630" s="27" t="s">
        <v>3566</v>
      </c>
      <c r="T630" s="27"/>
      <c r="U630" s="35"/>
      <c r="V630" s="26" t="s">
        <v>44</v>
      </c>
      <c r="W630" s="26"/>
      <c r="X630" s="26"/>
    </row>
    <row r="631" hidden="1">
      <c r="A631" s="26">
        <v>631.0</v>
      </c>
      <c r="B631" s="188">
        <v>46189.0</v>
      </c>
      <c r="C631" s="26" t="s">
        <v>21</v>
      </c>
      <c r="D631" s="26" t="s">
        <v>34</v>
      </c>
      <c r="E631" s="27" t="s">
        <v>6946</v>
      </c>
      <c r="F631" s="21">
        <v>5.6270061E8</v>
      </c>
      <c r="G631" s="26" t="s">
        <v>27</v>
      </c>
      <c r="H631" s="26" t="s">
        <v>27</v>
      </c>
      <c r="I631" s="26" t="s">
        <v>27</v>
      </c>
      <c r="J631" s="209" t="s">
        <v>6947</v>
      </c>
      <c r="K631" s="27" t="s">
        <v>4417</v>
      </c>
      <c r="L631" s="26" t="s">
        <v>39</v>
      </c>
      <c r="M631" s="27" t="s">
        <v>51</v>
      </c>
      <c r="N631" s="26" t="s">
        <v>4746</v>
      </c>
      <c r="O631" s="26" t="s">
        <v>4746</v>
      </c>
      <c r="P631" s="35">
        <v>0.4305555555555556</v>
      </c>
      <c r="Q631" s="26" t="s">
        <v>56</v>
      </c>
      <c r="R631" s="26" t="s">
        <v>42</v>
      </c>
      <c r="S631" s="27" t="s">
        <v>3566</v>
      </c>
      <c r="T631" s="27"/>
      <c r="U631" s="35"/>
      <c r="V631" s="26" t="s">
        <v>44</v>
      </c>
      <c r="W631" s="26"/>
      <c r="X631" s="26"/>
    </row>
    <row r="632" hidden="1">
      <c r="A632" s="26">
        <v>632.0</v>
      </c>
      <c r="B632" s="188">
        <v>46189.0</v>
      </c>
      <c r="C632" s="26" t="s">
        <v>21</v>
      </c>
      <c r="D632" s="26" t="s">
        <v>34</v>
      </c>
      <c r="E632" s="27" t="s">
        <v>2493</v>
      </c>
      <c r="F632" s="21">
        <v>5.95220902E8</v>
      </c>
      <c r="G632" s="26" t="s">
        <v>27</v>
      </c>
      <c r="H632" s="26" t="s">
        <v>27</v>
      </c>
      <c r="I632" s="26" t="s">
        <v>27</v>
      </c>
      <c r="J632" s="209" t="s">
        <v>6949</v>
      </c>
      <c r="K632" s="27" t="s">
        <v>4417</v>
      </c>
      <c r="L632" s="26" t="s">
        <v>39</v>
      </c>
      <c r="M632" s="27" t="s">
        <v>51</v>
      </c>
      <c r="N632" s="26" t="s">
        <v>4746</v>
      </c>
      <c r="O632" s="26" t="s">
        <v>4746</v>
      </c>
      <c r="P632" s="35">
        <v>0.4305555555555556</v>
      </c>
      <c r="Q632" s="26" t="s">
        <v>56</v>
      </c>
      <c r="R632" s="26" t="s">
        <v>42</v>
      </c>
      <c r="S632" s="27" t="s">
        <v>3566</v>
      </c>
      <c r="T632" s="27"/>
      <c r="U632" s="35"/>
      <c r="V632" s="26" t="s">
        <v>44</v>
      </c>
      <c r="W632" s="26"/>
      <c r="X632" s="26"/>
    </row>
    <row r="633" hidden="1">
      <c r="A633" s="26">
        <v>633.0</v>
      </c>
      <c r="B633" s="188">
        <v>46189.0</v>
      </c>
      <c r="C633" s="26" t="s">
        <v>21</v>
      </c>
      <c r="D633" s="26" t="s">
        <v>34</v>
      </c>
      <c r="E633" s="27" t="s">
        <v>6952</v>
      </c>
      <c r="F633" s="21">
        <v>5.6727264E8</v>
      </c>
      <c r="G633" s="26" t="s">
        <v>27</v>
      </c>
      <c r="H633" s="26" t="s">
        <v>27</v>
      </c>
      <c r="I633" s="26" t="s">
        <v>27</v>
      </c>
      <c r="J633" s="209" t="s">
        <v>6954</v>
      </c>
      <c r="K633" s="27" t="s">
        <v>4417</v>
      </c>
      <c r="L633" s="26" t="s">
        <v>39</v>
      </c>
      <c r="M633" s="27" t="s">
        <v>51</v>
      </c>
      <c r="N633" s="26" t="s">
        <v>4746</v>
      </c>
      <c r="O633" s="26" t="s">
        <v>4746</v>
      </c>
      <c r="P633" s="35">
        <v>0.4305555555555556</v>
      </c>
      <c r="Q633" s="26" t="s">
        <v>56</v>
      </c>
      <c r="R633" s="26" t="s">
        <v>42</v>
      </c>
      <c r="S633" s="27" t="s">
        <v>3566</v>
      </c>
      <c r="T633" s="27"/>
      <c r="U633" s="35"/>
      <c r="V633" s="26" t="s">
        <v>44</v>
      </c>
      <c r="W633" s="26"/>
      <c r="X633" s="26"/>
    </row>
    <row r="634" hidden="1">
      <c r="A634" s="26">
        <v>634.0</v>
      </c>
      <c r="B634" s="188">
        <v>46189.0</v>
      </c>
      <c r="C634" s="26" t="s">
        <v>21</v>
      </c>
      <c r="D634" s="26" t="s">
        <v>34</v>
      </c>
      <c r="E634" s="27" t="s">
        <v>6957</v>
      </c>
      <c r="F634" s="21">
        <v>5.64755302E8</v>
      </c>
      <c r="G634" s="26" t="s">
        <v>27</v>
      </c>
      <c r="H634" s="26" t="s">
        <v>27</v>
      </c>
      <c r="I634" s="26" t="s">
        <v>27</v>
      </c>
      <c r="J634" s="209" t="s">
        <v>6959</v>
      </c>
      <c r="K634" s="27" t="s">
        <v>4417</v>
      </c>
      <c r="L634" s="26" t="s">
        <v>39</v>
      </c>
      <c r="M634" s="27" t="s">
        <v>51</v>
      </c>
      <c r="N634" s="26" t="s">
        <v>4746</v>
      </c>
      <c r="O634" s="26" t="s">
        <v>4746</v>
      </c>
      <c r="P634" s="35">
        <v>0.4305555555555556</v>
      </c>
      <c r="Q634" s="26" t="s">
        <v>56</v>
      </c>
      <c r="R634" s="26" t="s">
        <v>42</v>
      </c>
      <c r="S634" s="27" t="s">
        <v>3566</v>
      </c>
      <c r="T634" s="27"/>
      <c r="U634" s="35"/>
      <c r="V634" s="26" t="s">
        <v>44</v>
      </c>
      <c r="W634" s="26"/>
      <c r="X634" s="26"/>
    </row>
    <row r="635" hidden="1">
      <c r="A635" s="26">
        <v>635.0</v>
      </c>
      <c r="B635" s="188">
        <v>46189.0</v>
      </c>
      <c r="C635" s="26" t="s">
        <v>21</v>
      </c>
      <c r="D635" s="26" t="s">
        <v>34</v>
      </c>
      <c r="E635" s="27" t="s">
        <v>6960</v>
      </c>
      <c r="F635" s="21">
        <v>5.46563431E8</v>
      </c>
      <c r="G635" s="26" t="s">
        <v>27</v>
      </c>
      <c r="H635" s="26" t="s">
        <v>27</v>
      </c>
      <c r="I635" s="26" t="s">
        <v>27</v>
      </c>
      <c r="J635" s="209" t="s">
        <v>896</v>
      </c>
      <c r="K635" s="27" t="s">
        <v>4417</v>
      </c>
      <c r="L635" s="26" t="s">
        <v>39</v>
      </c>
      <c r="M635" s="27" t="s">
        <v>51</v>
      </c>
      <c r="N635" s="26" t="s">
        <v>4746</v>
      </c>
      <c r="O635" s="26" t="s">
        <v>4746</v>
      </c>
      <c r="P635" s="35">
        <v>0.4305555555555556</v>
      </c>
      <c r="Q635" s="26" t="s">
        <v>56</v>
      </c>
      <c r="R635" s="26" t="s">
        <v>42</v>
      </c>
      <c r="S635" s="27" t="s">
        <v>3566</v>
      </c>
      <c r="T635" s="27"/>
      <c r="U635" s="35"/>
      <c r="V635" s="26" t="s">
        <v>44</v>
      </c>
      <c r="W635" s="26"/>
      <c r="X635" s="26"/>
    </row>
    <row r="636" hidden="1">
      <c r="A636" s="26">
        <v>636.0</v>
      </c>
      <c r="B636" s="188">
        <v>46189.0</v>
      </c>
      <c r="C636" s="26" t="s">
        <v>21</v>
      </c>
      <c r="D636" s="26" t="s">
        <v>34</v>
      </c>
      <c r="E636" s="27" t="s">
        <v>6961</v>
      </c>
      <c r="F636" s="21">
        <v>5.37265327E8</v>
      </c>
      <c r="G636" s="26" t="s">
        <v>27</v>
      </c>
      <c r="H636" s="26" t="s">
        <v>27</v>
      </c>
      <c r="I636" s="26" t="s">
        <v>27</v>
      </c>
      <c r="J636" s="209" t="s">
        <v>6963</v>
      </c>
      <c r="K636" s="27" t="s">
        <v>4417</v>
      </c>
      <c r="L636" s="26" t="s">
        <v>39</v>
      </c>
      <c r="M636" s="27" t="s">
        <v>51</v>
      </c>
      <c r="N636" s="26" t="s">
        <v>4746</v>
      </c>
      <c r="O636" s="26" t="s">
        <v>4746</v>
      </c>
      <c r="P636" s="35">
        <v>0.4305555555555556</v>
      </c>
      <c r="Q636" s="26" t="s">
        <v>56</v>
      </c>
      <c r="R636" s="26" t="s">
        <v>42</v>
      </c>
      <c r="S636" s="27" t="s">
        <v>3566</v>
      </c>
      <c r="T636" s="27"/>
      <c r="U636" s="35"/>
      <c r="V636" s="26" t="s">
        <v>44</v>
      </c>
      <c r="W636" s="26"/>
      <c r="X636" s="26"/>
    </row>
    <row r="637" hidden="1">
      <c r="A637" s="26">
        <v>637.0</v>
      </c>
      <c r="B637" s="188">
        <v>46189.0</v>
      </c>
      <c r="C637" s="26" t="s">
        <v>21</v>
      </c>
      <c r="D637" s="26" t="s">
        <v>34</v>
      </c>
      <c r="E637" s="27" t="s">
        <v>6965</v>
      </c>
      <c r="F637" s="21">
        <v>5.46396086E8</v>
      </c>
      <c r="G637" s="26" t="s">
        <v>27</v>
      </c>
      <c r="H637" s="26" t="s">
        <v>27</v>
      </c>
      <c r="I637" s="26" t="s">
        <v>27</v>
      </c>
      <c r="J637" s="209" t="s">
        <v>6967</v>
      </c>
      <c r="K637" s="27" t="s">
        <v>4417</v>
      </c>
      <c r="L637" s="26" t="s">
        <v>39</v>
      </c>
      <c r="M637" s="27" t="s">
        <v>51</v>
      </c>
      <c r="N637" s="26" t="s">
        <v>4746</v>
      </c>
      <c r="O637" s="26" t="s">
        <v>4746</v>
      </c>
      <c r="P637" s="35">
        <v>0.4305555555555556</v>
      </c>
      <c r="Q637" s="26" t="s">
        <v>56</v>
      </c>
      <c r="R637" s="26" t="s">
        <v>42</v>
      </c>
      <c r="S637" s="27" t="s">
        <v>3566</v>
      </c>
      <c r="T637" s="27"/>
      <c r="U637" s="35"/>
      <c r="V637" s="26" t="s">
        <v>44</v>
      </c>
      <c r="W637" s="26"/>
      <c r="X637" s="26"/>
    </row>
    <row r="638" hidden="1">
      <c r="A638" s="26">
        <v>638.0</v>
      </c>
      <c r="B638" s="188">
        <v>46189.0</v>
      </c>
      <c r="C638" s="26" t="s">
        <v>21</v>
      </c>
      <c r="D638" s="26" t="s">
        <v>34</v>
      </c>
      <c r="E638" s="27" t="s">
        <v>275</v>
      </c>
      <c r="F638" s="21">
        <v>5.00552805E8</v>
      </c>
      <c r="G638" s="26" t="s">
        <v>27</v>
      </c>
      <c r="H638" s="26" t="s">
        <v>27</v>
      </c>
      <c r="I638" s="26" t="s">
        <v>27</v>
      </c>
      <c r="J638" s="209" t="s">
        <v>6969</v>
      </c>
      <c r="K638" s="27" t="s">
        <v>4417</v>
      </c>
      <c r="L638" s="26" t="s">
        <v>39</v>
      </c>
      <c r="M638" s="27" t="s">
        <v>51</v>
      </c>
      <c r="N638" s="26" t="s">
        <v>4746</v>
      </c>
      <c r="O638" s="26" t="s">
        <v>4746</v>
      </c>
      <c r="P638" s="35">
        <v>0.4305555555555556</v>
      </c>
      <c r="Q638" s="26" t="s">
        <v>56</v>
      </c>
      <c r="R638" s="26" t="s">
        <v>42</v>
      </c>
      <c r="S638" s="27" t="s">
        <v>3566</v>
      </c>
      <c r="T638" s="27"/>
      <c r="U638" s="35"/>
      <c r="V638" s="26" t="s">
        <v>44</v>
      </c>
      <c r="W638" s="26"/>
      <c r="X638" s="26"/>
    </row>
    <row r="639" hidden="1">
      <c r="A639" s="26">
        <v>639.0</v>
      </c>
      <c r="B639" s="188">
        <v>46189.0</v>
      </c>
      <c r="C639" s="26" t="s">
        <v>21</v>
      </c>
      <c r="D639" s="26" t="s">
        <v>34</v>
      </c>
      <c r="E639" s="27" t="s">
        <v>6973</v>
      </c>
      <c r="F639" s="21">
        <v>5.30789963E8</v>
      </c>
      <c r="G639" s="26" t="s">
        <v>27</v>
      </c>
      <c r="H639" s="26" t="s">
        <v>27</v>
      </c>
      <c r="I639" s="26" t="s">
        <v>27</v>
      </c>
      <c r="J639" s="209" t="s">
        <v>6974</v>
      </c>
      <c r="K639" s="27" t="s">
        <v>4417</v>
      </c>
      <c r="L639" s="26" t="s">
        <v>39</v>
      </c>
      <c r="M639" s="27" t="s">
        <v>51</v>
      </c>
      <c r="N639" s="26" t="s">
        <v>4746</v>
      </c>
      <c r="O639" s="26" t="s">
        <v>4746</v>
      </c>
      <c r="P639" s="35">
        <v>0.4305555555555556</v>
      </c>
      <c r="Q639" s="26" t="s">
        <v>56</v>
      </c>
      <c r="R639" s="26" t="s">
        <v>42</v>
      </c>
      <c r="S639" s="27" t="s">
        <v>3566</v>
      </c>
      <c r="T639" s="27"/>
      <c r="U639" s="35"/>
      <c r="V639" s="26" t="s">
        <v>44</v>
      </c>
      <c r="W639" s="26"/>
      <c r="X639" s="26"/>
    </row>
    <row r="640" hidden="1">
      <c r="A640" s="26">
        <v>640.0</v>
      </c>
      <c r="B640" s="188">
        <v>46189.0</v>
      </c>
      <c r="C640" s="26" t="s">
        <v>21</v>
      </c>
      <c r="D640" s="26" t="s">
        <v>34</v>
      </c>
      <c r="E640" s="27" t="s">
        <v>6977</v>
      </c>
      <c r="F640" s="21">
        <v>5.6282721E8</v>
      </c>
      <c r="G640" s="26" t="s">
        <v>27</v>
      </c>
      <c r="H640" s="26" t="s">
        <v>27</v>
      </c>
      <c r="I640" s="26" t="s">
        <v>27</v>
      </c>
      <c r="J640" s="209" t="s">
        <v>6978</v>
      </c>
      <c r="K640" s="27" t="s">
        <v>4417</v>
      </c>
      <c r="L640" s="26" t="s">
        <v>39</v>
      </c>
      <c r="M640" s="27" t="s">
        <v>51</v>
      </c>
      <c r="N640" s="26" t="s">
        <v>4746</v>
      </c>
      <c r="O640" s="26" t="s">
        <v>4746</v>
      </c>
      <c r="P640" s="35">
        <v>0.4305555555555556</v>
      </c>
      <c r="Q640" s="26" t="s">
        <v>56</v>
      </c>
      <c r="R640" s="26" t="s">
        <v>42</v>
      </c>
      <c r="S640" s="27" t="s">
        <v>3566</v>
      </c>
      <c r="T640" s="27"/>
      <c r="U640" s="35"/>
      <c r="V640" s="26" t="s">
        <v>44</v>
      </c>
      <c r="W640" s="26"/>
      <c r="X640" s="26"/>
    </row>
    <row r="641" hidden="1">
      <c r="A641" s="26">
        <v>641.0</v>
      </c>
      <c r="B641" s="188">
        <v>46189.0</v>
      </c>
      <c r="C641" s="26" t="s">
        <v>21</v>
      </c>
      <c r="D641" s="26" t="s">
        <v>34</v>
      </c>
      <c r="E641" s="27" t="s">
        <v>6980</v>
      </c>
      <c r="F641" s="21">
        <v>5.07551832E8</v>
      </c>
      <c r="G641" s="26" t="s">
        <v>27</v>
      </c>
      <c r="H641" s="26" t="s">
        <v>27</v>
      </c>
      <c r="I641" s="26" t="s">
        <v>27</v>
      </c>
      <c r="J641" s="209" t="s">
        <v>6982</v>
      </c>
      <c r="K641" s="27" t="s">
        <v>4417</v>
      </c>
      <c r="L641" s="26" t="s">
        <v>39</v>
      </c>
      <c r="M641" s="27" t="s">
        <v>51</v>
      </c>
      <c r="N641" s="26" t="s">
        <v>4746</v>
      </c>
      <c r="O641" s="26" t="s">
        <v>4746</v>
      </c>
      <c r="P641" s="35">
        <v>0.4305555555555556</v>
      </c>
      <c r="Q641" s="26" t="s">
        <v>56</v>
      </c>
      <c r="R641" s="26" t="s">
        <v>42</v>
      </c>
      <c r="S641" s="27" t="s">
        <v>3566</v>
      </c>
      <c r="T641" s="27"/>
      <c r="U641" s="35"/>
      <c r="V641" s="26" t="s">
        <v>44</v>
      </c>
      <c r="W641" s="26"/>
      <c r="X641" s="26"/>
    </row>
    <row r="642" hidden="1">
      <c r="A642" s="26">
        <v>642.0</v>
      </c>
      <c r="B642" s="188">
        <v>46189.0</v>
      </c>
      <c r="C642" s="26" t="s">
        <v>21</v>
      </c>
      <c r="D642" s="26" t="s">
        <v>34</v>
      </c>
      <c r="E642" s="27" t="s">
        <v>6984</v>
      </c>
      <c r="F642" s="21">
        <v>5.67895888E8</v>
      </c>
      <c r="G642" s="26" t="s">
        <v>27</v>
      </c>
      <c r="H642" s="26" t="s">
        <v>27</v>
      </c>
      <c r="I642" s="26" t="s">
        <v>27</v>
      </c>
      <c r="J642" s="209" t="s">
        <v>896</v>
      </c>
      <c r="K642" s="27" t="s">
        <v>4417</v>
      </c>
      <c r="L642" s="26" t="s">
        <v>39</v>
      </c>
      <c r="M642" s="27" t="s">
        <v>51</v>
      </c>
      <c r="N642" s="26" t="s">
        <v>4746</v>
      </c>
      <c r="O642" s="26" t="s">
        <v>4746</v>
      </c>
      <c r="P642" s="35">
        <v>0.4305555555555556</v>
      </c>
      <c r="Q642" s="26" t="s">
        <v>56</v>
      </c>
      <c r="R642" s="26" t="s">
        <v>42</v>
      </c>
      <c r="S642" s="27" t="s">
        <v>3566</v>
      </c>
      <c r="T642" s="27"/>
      <c r="U642" s="35"/>
      <c r="V642" s="26" t="s">
        <v>44</v>
      </c>
      <c r="W642" s="26"/>
      <c r="X642" s="26"/>
    </row>
    <row r="643" hidden="1">
      <c r="A643" s="26">
        <v>643.0</v>
      </c>
      <c r="B643" s="188">
        <v>46189.0</v>
      </c>
      <c r="C643" s="26" t="s">
        <v>21</v>
      </c>
      <c r="D643" s="26" t="s">
        <v>34</v>
      </c>
      <c r="E643" s="27" t="s">
        <v>2635</v>
      </c>
      <c r="F643" s="21">
        <v>5.50533488E8</v>
      </c>
      <c r="G643" s="26" t="s">
        <v>27</v>
      </c>
      <c r="H643" s="26" t="s">
        <v>27</v>
      </c>
      <c r="I643" s="26" t="s">
        <v>27</v>
      </c>
      <c r="J643" s="209" t="s">
        <v>6986</v>
      </c>
      <c r="K643" s="27" t="s">
        <v>4417</v>
      </c>
      <c r="L643" s="26" t="s">
        <v>39</v>
      </c>
      <c r="M643" s="27" t="s">
        <v>51</v>
      </c>
      <c r="N643" s="26" t="s">
        <v>4746</v>
      </c>
      <c r="O643" s="26" t="s">
        <v>4746</v>
      </c>
      <c r="P643" s="35">
        <v>0.4305555555555556</v>
      </c>
      <c r="Q643" s="26" t="s">
        <v>56</v>
      </c>
      <c r="R643" s="26" t="s">
        <v>42</v>
      </c>
      <c r="S643" s="27" t="s">
        <v>3566</v>
      </c>
      <c r="T643" s="27"/>
      <c r="U643" s="35"/>
      <c r="V643" s="26" t="s">
        <v>44</v>
      </c>
      <c r="W643" s="26"/>
      <c r="X643" s="26"/>
    </row>
    <row r="644" hidden="1">
      <c r="A644" s="26">
        <v>644.0</v>
      </c>
      <c r="B644" s="188">
        <v>46189.0</v>
      </c>
      <c r="C644" s="26" t="s">
        <v>21</v>
      </c>
      <c r="D644" s="26" t="s">
        <v>34</v>
      </c>
      <c r="E644" s="27" t="s">
        <v>6990</v>
      </c>
      <c r="F644" s="21">
        <v>5.0717733E8</v>
      </c>
      <c r="G644" s="26" t="s">
        <v>27</v>
      </c>
      <c r="H644" s="26" t="s">
        <v>27</v>
      </c>
      <c r="I644" s="26" t="s">
        <v>27</v>
      </c>
      <c r="J644" s="209" t="s">
        <v>6991</v>
      </c>
      <c r="K644" s="27" t="s">
        <v>4417</v>
      </c>
      <c r="L644" s="26" t="s">
        <v>39</v>
      </c>
      <c r="M644" s="27" t="s">
        <v>51</v>
      </c>
      <c r="N644" s="26" t="s">
        <v>4746</v>
      </c>
      <c r="O644" s="26" t="s">
        <v>4746</v>
      </c>
      <c r="P644" s="35">
        <v>0.4305555555555556</v>
      </c>
      <c r="Q644" s="26" t="s">
        <v>56</v>
      </c>
      <c r="R644" s="26" t="s">
        <v>42</v>
      </c>
      <c r="S644" s="27" t="s">
        <v>3566</v>
      </c>
      <c r="T644" s="27"/>
      <c r="U644" s="35"/>
      <c r="V644" s="26" t="s">
        <v>44</v>
      </c>
      <c r="W644" s="26"/>
      <c r="X644" s="26"/>
    </row>
    <row r="645" hidden="1">
      <c r="A645" s="26">
        <v>645.0</v>
      </c>
      <c r="B645" s="188">
        <v>46189.0</v>
      </c>
      <c r="C645" s="26" t="s">
        <v>21</v>
      </c>
      <c r="D645" s="26" t="s">
        <v>34</v>
      </c>
      <c r="E645" s="27" t="s">
        <v>6995</v>
      </c>
      <c r="F645" s="21">
        <v>5.42986848E8</v>
      </c>
      <c r="G645" s="26" t="s">
        <v>27</v>
      </c>
      <c r="H645" s="26" t="s">
        <v>27</v>
      </c>
      <c r="I645" s="26" t="s">
        <v>27</v>
      </c>
      <c r="J645" s="351" t="s">
        <v>6996</v>
      </c>
      <c r="K645" s="27" t="s">
        <v>4417</v>
      </c>
      <c r="L645" s="26" t="s">
        <v>39</v>
      </c>
      <c r="M645" s="27" t="s">
        <v>51</v>
      </c>
      <c r="N645" s="26" t="s">
        <v>4746</v>
      </c>
      <c r="O645" s="26" t="s">
        <v>4746</v>
      </c>
      <c r="P645" s="35">
        <v>0.4305555555555556</v>
      </c>
      <c r="Q645" s="26" t="s">
        <v>56</v>
      </c>
      <c r="R645" s="26" t="s">
        <v>42</v>
      </c>
      <c r="S645" s="27" t="s">
        <v>3566</v>
      </c>
      <c r="T645" s="27"/>
      <c r="U645" s="35"/>
      <c r="V645" s="26" t="s">
        <v>44</v>
      </c>
      <c r="W645" s="26"/>
      <c r="X645" s="26"/>
    </row>
    <row r="646" hidden="1">
      <c r="A646" s="26">
        <v>646.0</v>
      </c>
      <c r="B646" s="188">
        <v>46189.0</v>
      </c>
      <c r="C646" s="26" t="s">
        <v>21</v>
      </c>
      <c r="D646" s="26" t="s">
        <v>34</v>
      </c>
      <c r="E646" s="27" t="s">
        <v>6999</v>
      </c>
      <c r="F646" s="21">
        <v>5.35822611E8</v>
      </c>
      <c r="G646" s="26" t="s">
        <v>27</v>
      </c>
      <c r="H646" s="26" t="s">
        <v>27</v>
      </c>
      <c r="I646" s="26" t="s">
        <v>27</v>
      </c>
      <c r="J646" s="209" t="s">
        <v>7001</v>
      </c>
      <c r="K646" s="27" t="s">
        <v>4417</v>
      </c>
      <c r="L646" s="26" t="s">
        <v>39</v>
      </c>
      <c r="M646" s="27" t="s">
        <v>51</v>
      </c>
      <c r="N646" s="26" t="s">
        <v>4746</v>
      </c>
      <c r="O646" s="26" t="s">
        <v>4746</v>
      </c>
      <c r="P646" s="35">
        <v>0.4305555555555556</v>
      </c>
      <c r="Q646" s="26" t="s">
        <v>56</v>
      </c>
      <c r="R646" s="26" t="s">
        <v>42</v>
      </c>
      <c r="S646" s="27" t="s">
        <v>3566</v>
      </c>
      <c r="T646" s="27"/>
      <c r="U646" s="35"/>
      <c r="V646" s="26" t="s">
        <v>44</v>
      </c>
      <c r="W646" s="26"/>
      <c r="X646" s="26"/>
    </row>
    <row r="647" hidden="1">
      <c r="A647" s="26">
        <v>647.0</v>
      </c>
      <c r="B647" s="188">
        <v>46189.0</v>
      </c>
      <c r="C647" s="26" t="s">
        <v>21</v>
      </c>
      <c r="D647" s="26" t="s">
        <v>34</v>
      </c>
      <c r="E647" s="27" t="s">
        <v>7003</v>
      </c>
      <c r="F647" s="21">
        <v>5.64442001E8</v>
      </c>
      <c r="G647" s="26" t="s">
        <v>27</v>
      </c>
      <c r="H647" s="26" t="s">
        <v>27</v>
      </c>
      <c r="I647" s="26" t="s">
        <v>27</v>
      </c>
      <c r="J647" s="209" t="s">
        <v>7004</v>
      </c>
      <c r="K647" s="27" t="s">
        <v>4417</v>
      </c>
      <c r="L647" s="26" t="s">
        <v>39</v>
      </c>
      <c r="M647" s="27" t="s">
        <v>51</v>
      </c>
      <c r="N647" s="26" t="s">
        <v>4746</v>
      </c>
      <c r="O647" s="26" t="s">
        <v>4746</v>
      </c>
      <c r="P647" s="35">
        <v>0.4305555555555556</v>
      </c>
      <c r="Q647" s="26" t="s">
        <v>56</v>
      </c>
      <c r="R647" s="26" t="s">
        <v>42</v>
      </c>
      <c r="S647" s="27" t="s">
        <v>3566</v>
      </c>
      <c r="T647" s="27"/>
      <c r="U647" s="35"/>
      <c r="V647" s="26" t="s">
        <v>44</v>
      </c>
      <c r="W647" s="26"/>
      <c r="X647" s="26"/>
    </row>
    <row r="648" hidden="1">
      <c r="A648" s="26">
        <v>648.0</v>
      </c>
      <c r="B648" s="188">
        <v>46189.0</v>
      </c>
      <c r="C648" s="26" t="s">
        <v>21</v>
      </c>
      <c r="D648" s="26" t="s">
        <v>34</v>
      </c>
      <c r="E648" s="27" t="s">
        <v>7006</v>
      </c>
      <c r="F648" s="21">
        <v>5.4621552E8</v>
      </c>
      <c r="G648" s="26" t="s">
        <v>27</v>
      </c>
      <c r="H648" s="26" t="s">
        <v>27</v>
      </c>
      <c r="I648" s="26" t="s">
        <v>27</v>
      </c>
      <c r="J648" s="209" t="s">
        <v>7007</v>
      </c>
      <c r="K648" s="27" t="s">
        <v>4417</v>
      </c>
      <c r="L648" s="26" t="s">
        <v>39</v>
      </c>
      <c r="M648" s="27" t="s">
        <v>51</v>
      </c>
      <c r="N648" s="26" t="s">
        <v>4746</v>
      </c>
      <c r="O648" s="26" t="s">
        <v>4746</v>
      </c>
      <c r="P648" s="35">
        <v>0.4305555555555556</v>
      </c>
      <c r="Q648" s="26" t="s">
        <v>56</v>
      </c>
      <c r="R648" s="26" t="s">
        <v>42</v>
      </c>
      <c r="S648" s="27" t="s">
        <v>3566</v>
      </c>
      <c r="T648" s="27"/>
      <c r="U648" s="35"/>
      <c r="V648" s="26" t="s">
        <v>44</v>
      </c>
      <c r="W648" s="26"/>
      <c r="X648" s="26"/>
    </row>
    <row r="649" hidden="1">
      <c r="A649" s="26">
        <v>649.0</v>
      </c>
      <c r="B649" s="188">
        <v>46189.0</v>
      </c>
      <c r="C649" s="26" t="s">
        <v>21</v>
      </c>
      <c r="D649" s="26" t="s">
        <v>34</v>
      </c>
      <c r="E649" s="27" t="s">
        <v>7012</v>
      </c>
      <c r="F649" s="21">
        <v>5.34749838E8</v>
      </c>
      <c r="G649" s="26" t="s">
        <v>27</v>
      </c>
      <c r="H649" s="26" t="s">
        <v>27</v>
      </c>
      <c r="I649" s="26" t="s">
        <v>27</v>
      </c>
      <c r="J649" s="209" t="s">
        <v>7013</v>
      </c>
      <c r="K649" s="27" t="s">
        <v>4417</v>
      </c>
      <c r="L649" s="26" t="s">
        <v>39</v>
      </c>
      <c r="M649" s="27" t="s">
        <v>51</v>
      </c>
      <c r="N649" s="26" t="s">
        <v>4746</v>
      </c>
      <c r="O649" s="26" t="s">
        <v>4746</v>
      </c>
      <c r="P649" s="35">
        <v>0.4305555555555556</v>
      </c>
      <c r="Q649" s="26" t="s">
        <v>56</v>
      </c>
      <c r="R649" s="26" t="s">
        <v>42</v>
      </c>
      <c r="S649" s="27" t="s">
        <v>3566</v>
      </c>
      <c r="T649" s="27"/>
      <c r="U649" s="35"/>
      <c r="V649" s="26" t="s">
        <v>44</v>
      </c>
      <c r="W649" s="26"/>
      <c r="X649" s="26"/>
    </row>
    <row r="650" hidden="1">
      <c r="A650" s="26">
        <v>650.0</v>
      </c>
      <c r="B650" s="188">
        <v>46189.0</v>
      </c>
      <c r="C650" s="26" t="s">
        <v>21</v>
      </c>
      <c r="D650" s="26" t="s">
        <v>34</v>
      </c>
      <c r="E650" s="27" t="s">
        <v>7016</v>
      </c>
      <c r="F650" s="21">
        <v>5.55852821E8</v>
      </c>
      <c r="G650" s="26" t="s">
        <v>27</v>
      </c>
      <c r="H650" s="26" t="s">
        <v>27</v>
      </c>
      <c r="I650" s="26" t="s">
        <v>27</v>
      </c>
      <c r="J650" s="209" t="s">
        <v>7017</v>
      </c>
      <c r="K650" s="27" t="s">
        <v>4417</v>
      </c>
      <c r="L650" s="26" t="s">
        <v>39</v>
      </c>
      <c r="M650" s="27" t="s">
        <v>51</v>
      </c>
      <c r="N650" s="26" t="s">
        <v>4746</v>
      </c>
      <c r="O650" s="26" t="s">
        <v>4746</v>
      </c>
      <c r="P650" s="35">
        <v>0.4305555555555556</v>
      </c>
      <c r="Q650" s="26" t="s">
        <v>56</v>
      </c>
      <c r="R650" s="26" t="s">
        <v>42</v>
      </c>
      <c r="S650" s="27" t="s">
        <v>3566</v>
      </c>
      <c r="T650" s="27"/>
      <c r="U650" s="35"/>
      <c r="V650" s="26" t="s">
        <v>44</v>
      </c>
      <c r="W650" s="26"/>
      <c r="X650" s="26"/>
    </row>
    <row r="651" hidden="1">
      <c r="A651" s="26">
        <v>651.0</v>
      </c>
      <c r="B651" s="188">
        <v>46189.0</v>
      </c>
      <c r="C651" s="26" t="s">
        <v>21</v>
      </c>
      <c r="D651" s="26" t="s">
        <v>34</v>
      </c>
      <c r="E651" s="27" t="s">
        <v>7019</v>
      </c>
      <c r="F651" s="21">
        <v>5.30751269E8</v>
      </c>
      <c r="G651" s="26" t="s">
        <v>27</v>
      </c>
      <c r="H651" s="26" t="s">
        <v>27</v>
      </c>
      <c r="I651" s="26" t="s">
        <v>27</v>
      </c>
      <c r="J651" s="209" t="s">
        <v>7020</v>
      </c>
      <c r="K651" s="27" t="s">
        <v>4417</v>
      </c>
      <c r="L651" s="26" t="s">
        <v>39</v>
      </c>
      <c r="M651" s="27" t="s">
        <v>51</v>
      </c>
      <c r="N651" s="26" t="s">
        <v>4746</v>
      </c>
      <c r="O651" s="26" t="s">
        <v>4746</v>
      </c>
      <c r="P651" s="35">
        <v>0.4305555555555556</v>
      </c>
      <c r="Q651" s="26" t="s">
        <v>56</v>
      </c>
      <c r="R651" s="26" t="s">
        <v>42</v>
      </c>
      <c r="S651" s="27" t="s">
        <v>3566</v>
      </c>
      <c r="T651" s="27"/>
      <c r="U651" s="35"/>
      <c r="V651" s="26" t="s">
        <v>44</v>
      </c>
      <c r="W651" s="26"/>
      <c r="X651" s="26"/>
    </row>
    <row r="652" hidden="1">
      <c r="A652" s="26">
        <v>652.0</v>
      </c>
      <c r="B652" s="188">
        <v>46189.0</v>
      </c>
      <c r="C652" s="26" t="s">
        <v>21</v>
      </c>
      <c r="D652" s="26" t="s">
        <v>34</v>
      </c>
      <c r="E652" s="27" t="s">
        <v>7022</v>
      </c>
      <c r="F652" s="21">
        <v>5.50850522E8</v>
      </c>
      <c r="G652" s="26" t="s">
        <v>27</v>
      </c>
      <c r="H652" s="26" t="s">
        <v>27</v>
      </c>
      <c r="I652" s="26" t="s">
        <v>27</v>
      </c>
      <c r="J652" s="209" t="s">
        <v>7023</v>
      </c>
      <c r="K652" s="27" t="s">
        <v>4417</v>
      </c>
      <c r="L652" s="26" t="s">
        <v>39</v>
      </c>
      <c r="M652" s="27" t="s">
        <v>51</v>
      </c>
      <c r="N652" s="26" t="s">
        <v>4746</v>
      </c>
      <c r="O652" s="26" t="s">
        <v>4746</v>
      </c>
      <c r="P652" s="35">
        <v>0.4305555555555556</v>
      </c>
      <c r="Q652" s="26" t="s">
        <v>56</v>
      </c>
      <c r="R652" s="26" t="s">
        <v>42</v>
      </c>
      <c r="S652" s="27" t="s">
        <v>3566</v>
      </c>
      <c r="T652" s="27"/>
      <c r="U652" s="35"/>
      <c r="V652" s="26" t="s">
        <v>44</v>
      </c>
      <c r="W652" s="26"/>
      <c r="X652" s="26"/>
    </row>
    <row r="653" hidden="1">
      <c r="A653" s="26">
        <v>653.0</v>
      </c>
      <c r="B653" s="188">
        <v>46189.0</v>
      </c>
      <c r="C653" s="26" t="s">
        <v>21</v>
      </c>
      <c r="D653" s="26" t="s">
        <v>34</v>
      </c>
      <c r="E653" s="27" t="s">
        <v>7026</v>
      </c>
      <c r="F653" s="21">
        <v>5.9501614E8</v>
      </c>
      <c r="G653" s="26" t="s">
        <v>27</v>
      </c>
      <c r="H653" s="26" t="s">
        <v>27</v>
      </c>
      <c r="I653" s="26" t="s">
        <v>27</v>
      </c>
      <c r="J653" s="209" t="s">
        <v>7028</v>
      </c>
      <c r="K653" s="27" t="s">
        <v>4417</v>
      </c>
      <c r="L653" s="26" t="s">
        <v>39</v>
      </c>
      <c r="M653" s="27" t="s">
        <v>51</v>
      </c>
      <c r="N653" s="26" t="s">
        <v>4746</v>
      </c>
      <c r="O653" s="26" t="s">
        <v>4746</v>
      </c>
      <c r="P653" s="35">
        <v>0.4305555555555556</v>
      </c>
      <c r="Q653" s="26" t="s">
        <v>56</v>
      </c>
      <c r="R653" s="26" t="s">
        <v>42</v>
      </c>
      <c r="S653" s="27" t="s">
        <v>3566</v>
      </c>
      <c r="T653" s="27"/>
      <c r="U653" s="35"/>
      <c r="V653" s="26" t="s">
        <v>44</v>
      </c>
      <c r="W653" s="26"/>
      <c r="X653" s="26"/>
    </row>
    <row r="654" hidden="1">
      <c r="A654" s="26">
        <v>654.0</v>
      </c>
      <c r="B654" s="188">
        <v>46189.0</v>
      </c>
      <c r="C654" s="26" t="s">
        <v>21</v>
      </c>
      <c r="D654" s="26" t="s">
        <v>34</v>
      </c>
      <c r="E654" s="27" t="s">
        <v>7031</v>
      </c>
      <c r="F654" s="21">
        <v>5.63749095E8</v>
      </c>
      <c r="G654" s="26" t="s">
        <v>27</v>
      </c>
      <c r="H654" s="26" t="s">
        <v>27</v>
      </c>
      <c r="I654" s="26" t="s">
        <v>27</v>
      </c>
      <c r="J654" s="209" t="s">
        <v>896</v>
      </c>
      <c r="K654" s="27" t="s">
        <v>4417</v>
      </c>
      <c r="L654" s="26" t="s">
        <v>39</v>
      </c>
      <c r="M654" s="27" t="s">
        <v>51</v>
      </c>
      <c r="N654" s="26" t="s">
        <v>4746</v>
      </c>
      <c r="O654" s="26" t="s">
        <v>4746</v>
      </c>
      <c r="P654" s="35">
        <v>0.4305555555555556</v>
      </c>
      <c r="Q654" s="26" t="s">
        <v>56</v>
      </c>
      <c r="R654" s="26" t="s">
        <v>42</v>
      </c>
      <c r="S654" s="27" t="s">
        <v>3566</v>
      </c>
      <c r="T654" s="27"/>
      <c r="U654" s="35"/>
      <c r="V654" s="26" t="s">
        <v>44</v>
      </c>
      <c r="W654" s="26"/>
      <c r="X654" s="26"/>
    </row>
    <row r="655" hidden="1">
      <c r="A655" s="26">
        <v>655.0</v>
      </c>
      <c r="B655" s="188">
        <v>46189.0</v>
      </c>
      <c r="C655" s="26" t="s">
        <v>21</v>
      </c>
      <c r="D655" s="26" t="s">
        <v>34</v>
      </c>
      <c r="E655" s="27" t="s">
        <v>7034</v>
      </c>
      <c r="F655" s="21">
        <v>5.04700122E8</v>
      </c>
      <c r="G655" s="26" t="s">
        <v>27</v>
      </c>
      <c r="H655" s="26" t="s">
        <v>27</v>
      </c>
      <c r="I655" s="26" t="s">
        <v>27</v>
      </c>
      <c r="J655" s="209" t="s">
        <v>896</v>
      </c>
      <c r="K655" s="27" t="s">
        <v>4417</v>
      </c>
      <c r="L655" s="26" t="s">
        <v>39</v>
      </c>
      <c r="M655" s="27" t="s">
        <v>51</v>
      </c>
      <c r="N655" s="26" t="s">
        <v>4746</v>
      </c>
      <c r="O655" s="26" t="s">
        <v>4746</v>
      </c>
      <c r="P655" s="35">
        <v>0.4305555555555556</v>
      </c>
      <c r="Q655" s="26" t="s">
        <v>56</v>
      </c>
      <c r="R655" s="26" t="s">
        <v>42</v>
      </c>
      <c r="S655" s="27" t="s">
        <v>3566</v>
      </c>
      <c r="T655" s="27"/>
      <c r="U655" s="35"/>
      <c r="V655" s="26" t="s">
        <v>44</v>
      </c>
      <c r="W655" s="26"/>
      <c r="X655" s="26"/>
    </row>
    <row r="656" hidden="1">
      <c r="A656" s="26">
        <v>656.0</v>
      </c>
      <c r="B656" s="188">
        <v>46189.0</v>
      </c>
      <c r="C656" s="26" t="s">
        <v>21</v>
      </c>
      <c r="D656" s="26" t="s">
        <v>34</v>
      </c>
      <c r="E656" s="27" t="s">
        <v>7037</v>
      </c>
      <c r="F656" s="21">
        <v>5.6944307E8</v>
      </c>
      <c r="G656" s="26" t="s">
        <v>27</v>
      </c>
      <c r="H656" s="26" t="s">
        <v>27</v>
      </c>
      <c r="I656" s="26" t="s">
        <v>27</v>
      </c>
      <c r="J656" s="209" t="s">
        <v>7038</v>
      </c>
      <c r="K656" s="27" t="s">
        <v>4417</v>
      </c>
      <c r="L656" s="26" t="s">
        <v>39</v>
      </c>
      <c r="M656" s="27" t="s">
        <v>51</v>
      </c>
      <c r="N656" s="26" t="s">
        <v>4746</v>
      </c>
      <c r="O656" s="26" t="s">
        <v>4746</v>
      </c>
      <c r="P656" s="35">
        <v>0.4305555555555556</v>
      </c>
      <c r="Q656" s="26" t="s">
        <v>56</v>
      </c>
      <c r="R656" s="26" t="s">
        <v>42</v>
      </c>
      <c r="S656" s="27" t="s">
        <v>3566</v>
      </c>
      <c r="T656" s="27"/>
      <c r="U656" s="35"/>
      <c r="V656" s="26" t="s">
        <v>44</v>
      </c>
      <c r="W656" s="26"/>
      <c r="X656" s="26"/>
    </row>
    <row r="657" hidden="1">
      <c r="A657" s="26">
        <v>657.0</v>
      </c>
      <c r="B657" s="188">
        <v>46189.0</v>
      </c>
      <c r="C657" s="26" t="s">
        <v>21</v>
      </c>
      <c r="D657" s="26" t="s">
        <v>34</v>
      </c>
      <c r="E657" s="27" t="s">
        <v>7041</v>
      </c>
      <c r="F657" s="21">
        <v>5.6272795E8</v>
      </c>
      <c r="G657" s="26" t="s">
        <v>27</v>
      </c>
      <c r="H657" s="26" t="s">
        <v>27</v>
      </c>
      <c r="I657" s="26" t="s">
        <v>27</v>
      </c>
      <c r="J657" s="209" t="s">
        <v>7042</v>
      </c>
      <c r="K657" s="27" t="s">
        <v>4417</v>
      </c>
      <c r="L657" s="26" t="s">
        <v>39</v>
      </c>
      <c r="M657" s="27" t="s">
        <v>51</v>
      </c>
      <c r="N657" s="26" t="s">
        <v>4746</v>
      </c>
      <c r="O657" s="26" t="s">
        <v>4746</v>
      </c>
      <c r="P657" s="35">
        <v>0.4305555555555556</v>
      </c>
      <c r="Q657" s="26" t="s">
        <v>56</v>
      </c>
      <c r="R657" s="26" t="s">
        <v>42</v>
      </c>
      <c r="S657" s="27" t="s">
        <v>3566</v>
      </c>
      <c r="T657" s="27"/>
      <c r="U657" s="35"/>
      <c r="V657" s="26" t="s">
        <v>44</v>
      </c>
      <c r="W657" s="26"/>
      <c r="X657" s="26"/>
    </row>
    <row r="658" hidden="1">
      <c r="A658" s="26">
        <v>658.0</v>
      </c>
      <c r="B658" s="188">
        <v>46189.0</v>
      </c>
      <c r="C658" s="26" t="s">
        <v>21</v>
      </c>
      <c r="D658" s="26" t="s">
        <v>34</v>
      </c>
      <c r="E658" s="27" t="s">
        <v>7045</v>
      </c>
      <c r="F658" s="21">
        <v>5.4128208E8</v>
      </c>
      <c r="G658" s="26" t="s">
        <v>27</v>
      </c>
      <c r="H658" s="26" t="s">
        <v>27</v>
      </c>
      <c r="I658" s="26" t="s">
        <v>27</v>
      </c>
      <c r="J658" s="209" t="s">
        <v>7047</v>
      </c>
      <c r="K658" s="27" t="s">
        <v>4417</v>
      </c>
      <c r="L658" s="26" t="s">
        <v>39</v>
      </c>
      <c r="M658" s="27" t="s">
        <v>51</v>
      </c>
      <c r="N658" s="26" t="s">
        <v>4746</v>
      </c>
      <c r="O658" s="26" t="s">
        <v>4746</v>
      </c>
      <c r="P658" s="35">
        <v>0.4305555555555556</v>
      </c>
      <c r="Q658" s="26" t="s">
        <v>56</v>
      </c>
      <c r="R658" s="26" t="s">
        <v>42</v>
      </c>
      <c r="S658" s="27" t="s">
        <v>3566</v>
      </c>
      <c r="T658" s="27"/>
      <c r="U658" s="35"/>
      <c r="V658" s="26" t="s">
        <v>44</v>
      </c>
      <c r="W658" s="26"/>
      <c r="X658" s="26"/>
    </row>
    <row r="659" hidden="1">
      <c r="A659" s="26">
        <v>659.0</v>
      </c>
      <c r="B659" s="188">
        <v>46189.0</v>
      </c>
      <c r="C659" s="26" t="s">
        <v>21</v>
      </c>
      <c r="D659" s="26" t="s">
        <v>34</v>
      </c>
      <c r="E659" s="27" t="s">
        <v>7050</v>
      </c>
      <c r="F659" s="21">
        <v>5.09631181E8</v>
      </c>
      <c r="G659" s="26" t="s">
        <v>27</v>
      </c>
      <c r="H659" s="26" t="s">
        <v>27</v>
      </c>
      <c r="I659" s="26" t="s">
        <v>27</v>
      </c>
      <c r="J659" s="209" t="s">
        <v>896</v>
      </c>
      <c r="K659" s="27" t="s">
        <v>4417</v>
      </c>
      <c r="L659" s="26" t="s">
        <v>39</v>
      </c>
      <c r="M659" s="27" t="s">
        <v>51</v>
      </c>
      <c r="N659" s="26" t="s">
        <v>4746</v>
      </c>
      <c r="O659" s="26" t="s">
        <v>4746</v>
      </c>
      <c r="P659" s="35">
        <v>0.4305555555555556</v>
      </c>
      <c r="Q659" s="26" t="s">
        <v>56</v>
      </c>
      <c r="R659" s="26" t="s">
        <v>42</v>
      </c>
      <c r="S659" s="27" t="s">
        <v>3566</v>
      </c>
      <c r="T659" s="27"/>
      <c r="U659" s="35"/>
      <c r="V659" s="26" t="s">
        <v>44</v>
      </c>
      <c r="W659" s="26"/>
      <c r="X659" s="26"/>
    </row>
    <row r="660" hidden="1">
      <c r="A660" s="26">
        <v>660.0</v>
      </c>
      <c r="B660" s="188">
        <v>46189.0</v>
      </c>
      <c r="C660" s="26" t="s">
        <v>21</v>
      </c>
      <c r="D660" s="26" t="s">
        <v>34</v>
      </c>
      <c r="E660" s="27" t="s">
        <v>7054</v>
      </c>
      <c r="F660" s="21">
        <v>5.04721274E8</v>
      </c>
      <c r="G660" s="26" t="s">
        <v>27</v>
      </c>
      <c r="H660" s="26" t="s">
        <v>27</v>
      </c>
      <c r="I660" s="26" t="s">
        <v>27</v>
      </c>
      <c r="J660" s="209" t="s">
        <v>7055</v>
      </c>
      <c r="K660" s="27" t="s">
        <v>4417</v>
      </c>
      <c r="L660" s="26" t="s">
        <v>39</v>
      </c>
      <c r="M660" s="27" t="s">
        <v>51</v>
      </c>
      <c r="N660" s="26" t="s">
        <v>4746</v>
      </c>
      <c r="O660" s="26" t="s">
        <v>4746</v>
      </c>
      <c r="P660" s="35">
        <v>0.4305555555555556</v>
      </c>
      <c r="Q660" s="26" t="s">
        <v>56</v>
      </c>
      <c r="R660" s="26" t="s">
        <v>42</v>
      </c>
      <c r="S660" s="27" t="s">
        <v>3566</v>
      </c>
      <c r="T660" s="27"/>
      <c r="U660" s="35"/>
      <c r="V660" s="26" t="s">
        <v>44</v>
      </c>
      <c r="W660" s="26"/>
      <c r="X660" s="26"/>
    </row>
    <row r="661" hidden="1">
      <c r="A661" s="26">
        <v>661.0</v>
      </c>
      <c r="B661" s="188">
        <v>46189.0</v>
      </c>
      <c r="C661" s="26" t="s">
        <v>21</v>
      </c>
      <c r="D661" s="26" t="s">
        <v>34</v>
      </c>
      <c r="E661" s="27" t="s">
        <v>7057</v>
      </c>
      <c r="F661" s="21">
        <v>5.93611383E8</v>
      </c>
      <c r="G661" s="26" t="s">
        <v>27</v>
      </c>
      <c r="H661" s="26" t="s">
        <v>27</v>
      </c>
      <c r="I661" s="26" t="s">
        <v>27</v>
      </c>
      <c r="J661" s="209" t="s">
        <v>7059</v>
      </c>
      <c r="K661" s="27" t="s">
        <v>4417</v>
      </c>
      <c r="L661" s="26" t="s">
        <v>39</v>
      </c>
      <c r="M661" s="27" t="s">
        <v>51</v>
      </c>
      <c r="N661" s="26" t="s">
        <v>4746</v>
      </c>
      <c r="O661" s="26" t="s">
        <v>4746</v>
      </c>
      <c r="P661" s="35">
        <v>0.4305555555555556</v>
      </c>
      <c r="Q661" s="26" t="s">
        <v>56</v>
      </c>
      <c r="R661" s="26" t="s">
        <v>42</v>
      </c>
      <c r="S661" s="27" t="s">
        <v>3566</v>
      </c>
      <c r="T661" s="27"/>
      <c r="U661" s="35"/>
      <c r="V661" s="26" t="s">
        <v>44</v>
      </c>
      <c r="W661" s="26"/>
      <c r="X661" s="26"/>
    </row>
    <row r="662" hidden="1">
      <c r="A662" s="26">
        <v>662.0</v>
      </c>
      <c r="B662" s="188">
        <v>46189.0</v>
      </c>
      <c r="C662" s="26" t="s">
        <v>21</v>
      </c>
      <c r="D662" s="26" t="s">
        <v>34</v>
      </c>
      <c r="E662" s="27" t="s">
        <v>7063</v>
      </c>
      <c r="F662" s="21">
        <v>5.46882286E8</v>
      </c>
      <c r="G662" s="26" t="s">
        <v>27</v>
      </c>
      <c r="H662" s="26" t="s">
        <v>27</v>
      </c>
      <c r="I662" s="26" t="s">
        <v>27</v>
      </c>
      <c r="J662" s="209" t="s">
        <v>896</v>
      </c>
      <c r="K662" s="27" t="s">
        <v>4417</v>
      </c>
      <c r="L662" s="26" t="s">
        <v>39</v>
      </c>
      <c r="M662" s="27" t="s">
        <v>51</v>
      </c>
      <c r="N662" s="26" t="s">
        <v>4746</v>
      </c>
      <c r="O662" s="26" t="s">
        <v>4746</v>
      </c>
      <c r="P662" s="35">
        <v>0.4305555555555556</v>
      </c>
      <c r="Q662" s="26" t="s">
        <v>56</v>
      </c>
      <c r="R662" s="26" t="s">
        <v>42</v>
      </c>
      <c r="S662" s="27" t="s">
        <v>3566</v>
      </c>
      <c r="T662" s="27"/>
      <c r="U662" s="35"/>
      <c r="V662" s="26" t="s">
        <v>44</v>
      </c>
      <c r="W662" s="26"/>
      <c r="X662" s="26"/>
    </row>
    <row r="663" hidden="1">
      <c r="A663" s="26">
        <v>663.0</v>
      </c>
      <c r="B663" s="188">
        <v>46189.0</v>
      </c>
      <c r="C663" s="26" t="s">
        <v>21</v>
      </c>
      <c r="D663" s="26" t="s">
        <v>34</v>
      </c>
      <c r="E663" s="26" t="s">
        <v>7066</v>
      </c>
      <c r="F663" s="21">
        <v>5.0452744E8</v>
      </c>
      <c r="G663" s="26" t="s">
        <v>27</v>
      </c>
      <c r="H663" s="26" t="s">
        <v>27</v>
      </c>
      <c r="I663" s="26" t="s">
        <v>27</v>
      </c>
      <c r="J663" s="209" t="s">
        <v>7068</v>
      </c>
      <c r="K663" s="27" t="s">
        <v>4417</v>
      </c>
      <c r="L663" s="26" t="s">
        <v>39</v>
      </c>
      <c r="M663" s="27" t="s">
        <v>51</v>
      </c>
      <c r="N663" s="26" t="s">
        <v>4746</v>
      </c>
      <c r="O663" s="26" t="s">
        <v>4746</v>
      </c>
      <c r="P663" s="35">
        <v>0.4305555555555556</v>
      </c>
      <c r="Q663" s="26" t="s">
        <v>56</v>
      </c>
      <c r="R663" s="26" t="s">
        <v>42</v>
      </c>
      <c r="S663" s="27" t="s">
        <v>3566</v>
      </c>
      <c r="T663" s="27"/>
      <c r="U663" s="35"/>
      <c r="V663" s="26" t="s">
        <v>44</v>
      </c>
      <c r="W663" s="26"/>
      <c r="X663" s="26"/>
    </row>
    <row r="664" hidden="1">
      <c r="A664" s="26">
        <v>664.0</v>
      </c>
      <c r="B664" s="188">
        <v>46189.0</v>
      </c>
      <c r="C664" s="26" t="s">
        <v>21</v>
      </c>
      <c r="D664" s="26" t="s">
        <v>34</v>
      </c>
      <c r="E664" s="27" t="s">
        <v>7072</v>
      </c>
      <c r="F664" s="21">
        <v>5.46419441E8</v>
      </c>
      <c r="G664" s="26" t="s">
        <v>27</v>
      </c>
      <c r="H664" s="26" t="s">
        <v>27</v>
      </c>
      <c r="I664" s="26" t="s">
        <v>27</v>
      </c>
      <c r="J664" s="209" t="s">
        <v>896</v>
      </c>
      <c r="K664" s="27" t="s">
        <v>4417</v>
      </c>
      <c r="L664" s="26" t="s">
        <v>39</v>
      </c>
      <c r="M664" s="27" t="s">
        <v>51</v>
      </c>
      <c r="N664" s="26" t="s">
        <v>4746</v>
      </c>
      <c r="O664" s="26" t="s">
        <v>4746</v>
      </c>
      <c r="P664" s="35">
        <v>0.4305555555555556</v>
      </c>
      <c r="Q664" s="26" t="s">
        <v>56</v>
      </c>
      <c r="R664" s="26" t="s">
        <v>42</v>
      </c>
      <c r="S664" s="27" t="s">
        <v>3566</v>
      </c>
      <c r="T664" s="27"/>
      <c r="U664" s="35"/>
      <c r="V664" s="26" t="s">
        <v>44</v>
      </c>
      <c r="W664" s="26"/>
      <c r="X664" s="26"/>
    </row>
    <row r="665" hidden="1">
      <c r="A665" s="26">
        <v>665.0</v>
      </c>
      <c r="B665" s="188">
        <v>46189.0</v>
      </c>
      <c r="C665" s="26" t="s">
        <v>21</v>
      </c>
      <c r="D665" s="26" t="s">
        <v>34</v>
      </c>
      <c r="E665" s="27" t="s">
        <v>7075</v>
      </c>
      <c r="F665" s="21">
        <v>5.92744532E8</v>
      </c>
      <c r="G665" s="26" t="s">
        <v>27</v>
      </c>
      <c r="H665" s="26" t="s">
        <v>27</v>
      </c>
      <c r="I665" s="26" t="s">
        <v>27</v>
      </c>
      <c r="J665" s="209" t="s">
        <v>896</v>
      </c>
      <c r="K665" s="27" t="s">
        <v>4417</v>
      </c>
      <c r="L665" s="26" t="s">
        <v>39</v>
      </c>
      <c r="M665" s="27" t="s">
        <v>51</v>
      </c>
      <c r="N665" s="26" t="s">
        <v>4746</v>
      </c>
      <c r="O665" s="26" t="s">
        <v>4746</v>
      </c>
      <c r="P665" s="35">
        <v>0.4305555555555556</v>
      </c>
      <c r="Q665" s="26" t="s">
        <v>56</v>
      </c>
      <c r="R665" s="26" t="s">
        <v>42</v>
      </c>
      <c r="S665" s="27" t="s">
        <v>3566</v>
      </c>
      <c r="T665" s="27"/>
      <c r="U665" s="35"/>
      <c r="V665" s="26" t="s">
        <v>44</v>
      </c>
      <c r="W665" s="26"/>
      <c r="X665" s="26"/>
    </row>
    <row r="666" hidden="1">
      <c r="A666" s="26">
        <v>666.0</v>
      </c>
      <c r="B666" s="188">
        <v>46189.0</v>
      </c>
      <c r="C666" s="26" t="s">
        <v>21</v>
      </c>
      <c r="D666" s="26" t="s">
        <v>34</v>
      </c>
      <c r="E666" s="26" t="s">
        <v>7077</v>
      </c>
      <c r="F666" s="21">
        <v>5.01055466E8</v>
      </c>
      <c r="G666" s="26" t="s">
        <v>27</v>
      </c>
      <c r="H666" s="26" t="s">
        <v>27</v>
      </c>
      <c r="I666" s="26" t="s">
        <v>27</v>
      </c>
      <c r="J666" s="209" t="s">
        <v>896</v>
      </c>
      <c r="K666" s="27" t="s">
        <v>4417</v>
      </c>
      <c r="L666" s="26" t="s">
        <v>39</v>
      </c>
      <c r="M666" s="27" t="s">
        <v>51</v>
      </c>
      <c r="N666" s="26" t="s">
        <v>4746</v>
      </c>
      <c r="O666" s="26" t="s">
        <v>4746</v>
      </c>
      <c r="P666" s="35">
        <v>0.4305555555555556</v>
      </c>
      <c r="Q666" s="26" t="s">
        <v>56</v>
      </c>
      <c r="R666" s="26" t="s">
        <v>42</v>
      </c>
      <c r="S666" s="27" t="s">
        <v>3566</v>
      </c>
      <c r="T666" s="27"/>
      <c r="U666" s="35"/>
      <c r="V666" s="26" t="s">
        <v>44</v>
      </c>
      <c r="W666" s="26"/>
      <c r="X666" s="26"/>
    </row>
    <row r="667" hidden="1">
      <c r="A667" s="26">
        <v>667.0</v>
      </c>
      <c r="B667" s="188">
        <v>46189.0</v>
      </c>
      <c r="C667" s="26" t="s">
        <v>21</v>
      </c>
      <c r="D667" s="26" t="s">
        <v>34</v>
      </c>
      <c r="E667" s="27" t="s">
        <v>7079</v>
      </c>
      <c r="F667" s="21">
        <v>5.66837662E8</v>
      </c>
      <c r="G667" s="26" t="s">
        <v>27</v>
      </c>
      <c r="H667" s="26" t="s">
        <v>27</v>
      </c>
      <c r="I667" s="26" t="s">
        <v>27</v>
      </c>
      <c r="J667" s="209" t="s">
        <v>7080</v>
      </c>
      <c r="K667" s="27" t="s">
        <v>4417</v>
      </c>
      <c r="L667" s="26" t="s">
        <v>39</v>
      </c>
      <c r="M667" s="27" t="s">
        <v>51</v>
      </c>
      <c r="N667" s="26" t="s">
        <v>4746</v>
      </c>
      <c r="O667" s="26" t="s">
        <v>4746</v>
      </c>
      <c r="P667" s="35">
        <v>0.4305555555555556</v>
      </c>
      <c r="Q667" s="26" t="s">
        <v>56</v>
      </c>
      <c r="R667" s="26" t="s">
        <v>42</v>
      </c>
      <c r="S667" s="27" t="s">
        <v>3566</v>
      </c>
      <c r="T667" s="27"/>
      <c r="U667" s="35"/>
      <c r="V667" s="26" t="s">
        <v>44</v>
      </c>
      <c r="W667" s="26"/>
      <c r="X667" s="26"/>
    </row>
    <row r="668" hidden="1">
      <c r="A668" s="26">
        <v>668.0</v>
      </c>
      <c r="B668" s="188">
        <v>46189.0</v>
      </c>
      <c r="C668" s="26" t="s">
        <v>21</v>
      </c>
      <c r="D668" s="26" t="s">
        <v>34</v>
      </c>
      <c r="E668" s="27" t="s">
        <v>1664</v>
      </c>
      <c r="F668" s="21">
        <v>5.08005997E8</v>
      </c>
      <c r="G668" s="26" t="s">
        <v>27</v>
      </c>
      <c r="H668" s="26" t="s">
        <v>27</v>
      </c>
      <c r="I668" s="26" t="s">
        <v>27</v>
      </c>
      <c r="J668" s="209" t="s">
        <v>7085</v>
      </c>
      <c r="K668" s="27" t="s">
        <v>4417</v>
      </c>
      <c r="L668" s="26" t="s">
        <v>39</v>
      </c>
      <c r="M668" s="27" t="s">
        <v>51</v>
      </c>
      <c r="N668" s="26" t="s">
        <v>4746</v>
      </c>
      <c r="O668" s="26" t="s">
        <v>4746</v>
      </c>
      <c r="P668" s="35">
        <v>0.44583333333333336</v>
      </c>
      <c r="Q668" s="26" t="s">
        <v>56</v>
      </c>
      <c r="R668" s="26" t="s">
        <v>42</v>
      </c>
      <c r="S668" s="27" t="s">
        <v>3566</v>
      </c>
      <c r="T668" s="27"/>
      <c r="U668" s="35"/>
      <c r="V668" s="26" t="s">
        <v>44</v>
      </c>
      <c r="W668" s="26"/>
      <c r="X668" s="26"/>
    </row>
    <row r="669" hidden="1">
      <c r="A669" s="26">
        <v>669.0</v>
      </c>
      <c r="B669" s="188">
        <v>46189.0</v>
      </c>
      <c r="C669" s="26" t="s">
        <v>21</v>
      </c>
      <c r="D669" s="26" t="s">
        <v>34</v>
      </c>
      <c r="E669" s="27" t="s">
        <v>7086</v>
      </c>
      <c r="F669" s="21">
        <v>5.99976662E8</v>
      </c>
      <c r="G669" s="26" t="s">
        <v>27</v>
      </c>
      <c r="H669" s="26" t="s">
        <v>27</v>
      </c>
      <c r="I669" s="26" t="s">
        <v>27</v>
      </c>
      <c r="J669" s="209" t="s">
        <v>896</v>
      </c>
      <c r="K669" s="27" t="s">
        <v>4417</v>
      </c>
      <c r="L669" s="26" t="s">
        <v>39</v>
      </c>
      <c r="M669" s="27" t="s">
        <v>51</v>
      </c>
      <c r="N669" s="26" t="s">
        <v>4746</v>
      </c>
      <c r="O669" s="26" t="s">
        <v>4746</v>
      </c>
      <c r="P669" s="35">
        <v>0.44583333333333336</v>
      </c>
      <c r="Q669" s="26" t="s">
        <v>56</v>
      </c>
      <c r="R669" s="26" t="s">
        <v>42</v>
      </c>
      <c r="S669" s="27" t="s">
        <v>3566</v>
      </c>
      <c r="T669" s="27"/>
      <c r="U669" s="35"/>
      <c r="V669" s="26" t="s">
        <v>44</v>
      </c>
      <c r="W669" s="26"/>
      <c r="X669" s="26"/>
    </row>
    <row r="670" hidden="1">
      <c r="A670" s="26">
        <v>670.0</v>
      </c>
      <c r="B670" s="188">
        <v>46189.0</v>
      </c>
      <c r="C670" s="26" t="s">
        <v>21</v>
      </c>
      <c r="D670" s="26" t="s">
        <v>34</v>
      </c>
      <c r="E670" s="27" t="s">
        <v>7091</v>
      </c>
      <c r="F670" s="21">
        <v>5.0472119E8</v>
      </c>
      <c r="G670" s="26" t="s">
        <v>27</v>
      </c>
      <c r="H670" s="26" t="s">
        <v>27</v>
      </c>
      <c r="I670" s="26" t="s">
        <v>27</v>
      </c>
      <c r="J670" s="209" t="s">
        <v>896</v>
      </c>
      <c r="K670" s="27" t="s">
        <v>4417</v>
      </c>
      <c r="L670" s="26" t="s">
        <v>39</v>
      </c>
      <c r="M670" s="27" t="s">
        <v>51</v>
      </c>
      <c r="N670" s="26" t="s">
        <v>4746</v>
      </c>
      <c r="O670" s="26" t="s">
        <v>4746</v>
      </c>
      <c r="P670" s="35">
        <v>0.44583333333333336</v>
      </c>
      <c r="Q670" s="26" t="s">
        <v>56</v>
      </c>
      <c r="R670" s="26" t="s">
        <v>42</v>
      </c>
      <c r="S670" s="27" t="s">
        <v>3566</v>
      </c>
      <c r="T670" s="27"/>
      <c r="U670" s="35"/>
      <c r="V670" s="26" t="s">
        <v>44</v>
      </c>
      <c r="W670" s="26"/>
      <c r="X670" s="26"/>
    </row>
    <row r="671" hidden="1">
      <c r="A671" s="26">
        <v>671.0</v>
      </c>
      <c r="B671" s="188">
        <v>46189.0</v>
      </c>
      <c r="C671" s="26" t="s">
        <v>21</v>
      </c>
      <c r="D671" s="26" t="s">
        <v>34</v>
      </c>
      <c r="E671" s="27" t="s">
        <v>7097</v>
      </c>
      <c r="F671" s="21">
        <v>5.09799913E8</v>
      </c>
      <c r="G671" s="26" t="s">
        <v>27</v>
      </c>
      <c r="H671" s="26" t="s">
        <v>27</v>
      </c>
      <c r="I671" s="26" t="s">
        <v>27</v>
      </c>
      <c r="J671" s="209" t="s">
        <v>7098</v>
      </c>
      <c r="K671" s="27" t="s">
        <v>4417</v>
      </c>
      <c r="L671" s="26" t="s">
        <v>39</v>
      </c>
      <c r="M671" s="27" t="s">
        <v>51</v>
      </c>
      <c r="N671" s="26" t="s">
        <v>4746</v>
      </c>
      <c r="O671" s="26" t="s">
        <v>4746</v>
      </c>
      <c r="P671" s="35">
        <v>0.44583333333333336</v>
      </c>
      <c r="Q671" s="26" t="s">
        <v>56</v>
      </c>
      <c r="R671" s="26" t="s">
        <v>42</v>
      </c>
      <c r="S671" s="27" t="s">
        <v>3566</v>
      </c>
      <c r="T671" s="27"/>
      <c r="U671" s="35"/>
      <c r="V671" s="26" t="s">
        <v>44</v>
      </c>
      <c r="W671" s="26"/>
      <c r="X671" s="26"/>
    </row>
    <row r="672" hidden="1">
      <c r="A672" s="26">
        <v>672.0</v>
      </c>
      <c r="B672" s="188">
        <v>46189.0</v>
      </c>
      <c r="C672" s="26" t="s">
        <v>21</v>
      </c>
      <c r="D672" s="26" t="s">
        <v>34</v>
      </c>
      <c r="E672" s="27" t="s">
        <v>7101</v>
      </c>
      <c r="F672" s="21">
        <v>5.30880523E8</v>
      </c>
      <c r="G672" s="26" t="s">
        <v>27</v>
      </c>
      <c r="H672" s="26" t="s">
        <v>27</v>
      </c>
      <c r="I672" s="26" t="s">
        <v>27</v>
      </c>
      <c r="J672" s="209" t="s">
        <v>896</v>
      </c>
      <c r="K672" s="27" t="s">
        <v>4417</v>
      </c>
      <c r="L672" s="26" t="s">
        <v>39</v>
      </c>
      <c r="M672" s="27" t="s">
        <v>51</v>
      </c>
      <c r="N672" s="26" t="s">
        <v>4746</v>
      </c>
      <c r="O672" s="26" t="s">
        <v>4746</v>
      </c>
      <c r="P672" s="35">
        <v>0.44583333333333336</v>
      </c>
      <c r="Q672" s="26" t="s">
        <v>56</v>
      </c>
      <c r="R672" s="26" t="s">
        <v>42</v>
      </c>
      <c r="S672" s="27" t="s">
        <v>3566</v>
      </c>
      <c r="T672" s="27"/>
      <c r="U672" s="35"/>
      <c r="V672" s="26" t="s">
        <v>44</v>
      </c>
      <c r="W672" s="26"/>
      <c r="X672" s="26"/>
    </row>
    <row r="673" hidden="1">
      <c r="A673" s="26">
        <v>673.0</v>
      </c>
      <c r="B673" s="188">
        <v>46189.0</v>
      </c>
      <c r="C673" s="26" t="s">
        <v>21</v>
      </c>
      <c r="D673" s="26" t="s">
        <v>34</v>
      </c>
      <c r="E673" s="27" t="s">
        <v>7106</v>
      </c>
      <c r="F673" s="21">
        <v>5.65920183E8</v>
      </c>
      <c r="G673" s="26" t="s">
        <v>27</v>
      </c>
      <c r="H673" s="26" t="s">
        <v>27</v>
      </c>
      <c r="I673" s="26" t="s">
        <v>27</v>
      </c>
      <c r="J673" s="209" t="s">
        <v>7108</v>
      </c>
      <c r="K673" s="27" t="s">
        <v>4417</v>
      </c>
      <c r="L673" s="26" t="s">
        <v>39</v>
      </c>
      <c r="M673" s="27" t="s">
        <v>51</v>
      </c>
      <c r="N673" s="26" t="s">
        <v>4746</v>
      </c>
      <c r="O673" s="26" t="s">
        <v>4746</v>
      </c>
      <c r="P673" s="35">
        <v>0.44583333333333336</v>
      </c>
      <c r="Q673" s="26" t="s">
        <v>56</v>
      </c>
      <c r="R673" s="26" t="s">
        <v>42</v>
      </c>
      <c r="S673" s="27" t="s">
        <v>3566</v>
      </c>
      <c r="T673" s="27"/>
      <c r="U673" s="35"/>
      <c r="V673" s="26" t="s">
        <v>44</v>
      </c>
      <c r="W673" s="26"/>
      <c r="X673" s="26"/>
    </row>
    <row r="674" hidden="1">
      <c r="A674" s="26">
        <v>674.0</v>
      </c>
      <c r="B674" s="188">
        <v>46189.0</v>
      </c>
      <c r="C674" s="26" t="s">
        <v>21</v>
      </c>
      <c r="D674" s="26" t="s">
        <v>34</v>
      </c>
      <c r="E674" s="27" t="s">
        <v>7109</v>
      </c>
      <c r="F674" s="21">
        <v>5.70227619E8</v>
      </c>
      <c r="G674" s="26" t="s">
        <v>27</v>
      </c>
      <c r="H674" s="26" t="s">
        <v>27</v>
      </c>
      <c r="I674" s="26" t="s">
        <v>27</v>
      </c>
      <c r="J674" s="209" t="s">
        <v>7110</v>
      </c>
      <c r="K674" s="27" t="s">
        <v>4417</v>
      </c>
      <c r="L674" s="26" t="s">
        <v>39</v>
      </c>
      <c r="M674" s="27" t="s">
        <v>51</v>
      </c>
      <c r="N674" s="26" t="s">
        <v>4746</v>
      </c>
      <c r="O674" s="26" t="s">
        <v>4746</v>
      </c>
      <c r="P674" s="35">
        <v>0.44583333333333336</v>
      </c>
      <c r="Q674" s="26" t="s">
        <v>56</v>
      </c>
      <c r="R674" s="26" t="s">
        <v>42</v>
      </c>
      <c r="S674" s="27" t="s">
        <v>3566</v>
      </c>
      <c r="T674" s="27"/>
      <c r="U674" s="35"/>
      <c r="V674" s="26" t="s">
        <v>44</v>
      </c>
      <c r="W674" s="26"/>
      <c r="X674" s="26"/>
    </row>
    <row r="675" hidden="1">
      <c r="A675" s="26">
        <v>675.0</v>
      </c>
      <c r="B675" s="188">
        <v>46189.0</v>
      </c>
      <c r="C675" s="26" t="s">
        <v>21</v>
      </c>
      <c r="D675" s="26" t="s">
        <v>34</v>
      </c>
      <c r="E675" s="27" t="s">
        <v>7112</v>
      </c>
      <c r="F675" s="21">
        <v>5.05668878E8</v>
      </c>
      <c r="G675" s="26" t="s">
        <v>27</v>
      </c>
      <c r="H675" s="26" t="s">
        <v>27</v>
      </c>
      <c r="I675" s="26" t="s">
        <v>27</v>
      </c>
      <c r="J675" s="351" t="s">
        <v>7113</v>
      </c>
      <c r="K675" s="27" t="s">
        <v>4417</v>
      </c>
      <c r="L675" s="26" t="s">
        <v>39</v>
      </c>
      <c r="M675" s="27" t="s">
        <v>51</v>
      </c>
      <c r="N675" s="26" t="s">
        <v>4746</v>
      </c>
      <c r="O675" s="26" t="s">
        <v>4746</v>
      </c>
      <c r="P675" s="35">
        <v>0.44583333333333336</v>
      </c>
      <c r="Q675" s="26" t="s">
        <v>56</v>
      </c>
      <c r="R675" s="26" t="s">
        <v>42</v>
      </c>
      <c r="S675" s="27" t="s">
        <v>3566</v>
      </c>
      <c r="T675" s="27"/>
      <c r="U675" s="35"/>
      <c r="V675" s="26" t="s">
        <v>44</v>
      </c>
      <c r="W675" s="26"/>
      <c r="X675" s="26"/>
    </row>
    <row r="676" hidden="1">
      <c r="A676" s="26">
        <v>676.0</v>
      </c>
      <c r="B676" s="188">
        <v>46189.0</v>
      </c>
      <c r="C676" s="26" t="s">
        <v>21</v>
      </c>
      <c r="D676" s="26" t="s">
        <v>34</v>
      </c>
      <c r="E676" s="27" t="s">
        <v>7115</v>
      </c>
      <c r="F676" s="21">
        <v>5.69509539E8</v>
      </c>
      <c r="G676" s="26" t="s">
        <v>27</v>
      </c>
      <c r="H676" s="26" t="s">
        <v>27</v>
      </c>
      <c r="I676" s="26" t="s">
        <v>27</v>
      </c>
      <c r="J676" s="209" t="s">
        <v>7117</v>
      </c>
      <c r="K676" s="27" t="s">
        <v>4417</v>
      </c>
      <c r="L676" s="26" t="s">
        <v>39</v>
      </c>
      <c r="M676" s="27" t="s">
        <v>51</v>
      </c>
      <c r="N676" s="26" t="s">
        <v>4746</v>
      </c>
      <c r="O676" s="26" t="s">
        <v>4746</v>
      </c>
      <c r="P676" s="35">
        <v>0.44583333333333336</v>
      </c>
      <c r="Q676" s="26" t="s">
        <v>56</v>
      </c>
      <c r="R676" s="26" t="s">
        <v>42</v>
      </c>
      <c r="S676" s="27" t="s">
        <v>3566</v>
      </c>
      <c r="T676" s="27"/>
      <c r="U676" s="35"/>
      <c r="V676" s="26" t="s">
        <v>44</v>
      </c>
      <c r="W676" s="26"/>
      <c r="X676" s="26"/>
    </row>
    <row r="677" hidden="1">
      <c r="A677" s="26">
        <v>677.0</v>
      </c>
      <c r="B677" s="188">
        <v>46189.0</v>
      </c>
      <c r="C677" s="26" t="s">
        <v>21</v>
      </c>
      <c r="D677" s="26" t="s">
        <v>34</v>
      </c>
      <c r="E677" s="27" t="s">
        <v>7120</v>
      </c>
      <c r="F677" s="21">
        <v>5.43455734E8</v>
      </c>
      <c r="G677" s="26" t="s">
        <v>27</v>
      </c>
      <c r="H677" s="26" t="s">
        <v>27</v>
      </c>
      <c r="I677" s="26" t="s">
        <v>27</v>
      </c>
      <c r="J677" s="209" t="s">
        <v>7121</v>
      </c>
      <c r="K677" s="27" t="s">
        <v>4417</v>
      </c>
      <c r="L677" s="26" t="s">
        <v>39</v>
      </c>
      <c r="M677" s="27" t="s">
        <v>51</v>
      </c>
      <c r="N677" s="26" t="s">
        <v>4746</v>
      </c>
      <c r="O677" s="26" t="s">
        <v>4746</v>
      </c>
      <c r="P677" s="35">
        <v>0.44583333333333336</v>
      </c>
      <c r="Q677" s="26" t="s">
        <v>56</v>
      </c>
      <c r="R677" s="26" t="s">
        <v>42</v>
      </c>
      <c r="S677" s="27" t="s">
        <v>3566</v>
      </c>
      <c r="T677" s="27"/>
      <c r="U677" s="35"/>
      <c r="V677" s="26" t="s">
        <v>44</v>
      </c>
      <c r="W677" s="26"/>
      <c r="X677" s="26"/>
    </row>
    <row r="678" hidden="1">
      <c r="A678" s="26">
        <v>678.0</v>
      </c>
      <c r="B678" s="188">
        <v>46189.0</v>
      </c>
      <c r="C678" s="26" t="s">
        <v>21</v>
      </c>
      <c r="D678" s="26" t="s">
        <v>34</v>
      </c>
      <c r="E678" s="27" t="s">
        <v>7123</v>
      </c>
      <c r="F678" s="21">
        <v>5.30313973E8</v>
      </c>
      <c r="G678" s="26" t="s">
        <v>27</v>
      </c>
      <c r="H678" s="26" t="s">
        <v>27</v>
      </c>
      <c r="I678" s="26" t="s">
        <v>27</v>
      </c>
      <c r="J678" s="209" t="s">
        <v>7124</v>
      </c>
      <c r="K678" s="27" t="s">
        <v>4417</v>
      </c>
      <c r="L678" s="26" t="s">
        <v>39</v>
      </c>
      <c r="M678" s="27" t="s">
        <v>51</v>
      </c>
      <c r="N678" s="26" t="s">
        <v>4746</v>
      </c>
      <c r="O678" s="26" t="s">
        <v>4746</v>
      </c>
      <c r="P678" s="35">
        <v>0.44583333333333336</v>
      </c>
      <c r="Q678" s="26" t="s">
        <v>56</v>
      </c>
      <c r="R678" s="26" t="s">
        <v>42</v>
      </c>
      <c r="S678" s="27" t="s">
        <v>3566</v>
      </c>
      <c r="T678" s="27"/>
      <c r="U678" s="35"/>
      <c r="V678" s="26" t="s">
        <v>44</v>
      </c>
      <c r="W678" s="26"/>
      <c r="X678" s="26"/>
    </row>
    <row r="679" hidden="1">
      <c r="A679" s="26">
        <v>679.0</v>
      </c>
      <c r="B679" s="188">
        <v>46189.0</v>
      </c>
      <c r="C679" s="26" t="s">
        <v>21</v>
      </c>
      <c r="D679" s="26" t="s">
        <v>34</v>
      </c>
      <c r="E679" s="27" t="s">
        <v>7126</v>
      </c>
      <c r="F679" s="21">
        <v>5.41300448E8</v>
      </c>
      <c r="G679" s="26" t="s">
        <v>27</v>
      </c>
      <c r="H679" s="26" t="s">
        <v>27</v>
      </c>
      <c r="I679" s="26" t="s">
        <v>27</v>
      </c>
      <c r="J679" s="209" t="s">
        <v>896</v>
      </c>
      <c r="K679" s="27" t="s">
        <v>4417</v>
      </c>
      <c r="L679" s="26" t="s">
        <v>39</v>
      </c>
      <c r="M679" s="27" t="s">
        <v>51</v>
      </c>
      <c r="N679" s="26" t="s">
        <v>4746</v>
      </c>
      <c r="O679" s="26" t="s">
        <v>4746</v>
      </c>
      <c r="P679" s="35">
        <v>0.44583333333333336</v>
      </c>
      <c r="Q679" s="26" t="s">
        <v>56</v>
      </c>
      <c r="R679" s="26" t="s">
        <v>42</v>
      </c>
      <c r="S679" s="27" t="s">
        <v>3566</v>
      </c>
      <c r="T679" s="27"/>
      <c r="U679" s="35"/>
      <c r="V679" s="26" t="s">
        <v>44</v>
      </c>
      <c r="W679" s="26"/>
      <c r="X679" s="26"/>
    </row>
    <row r="680" hidden="1">
      <c r="A680" s="26">
        <v>680.0</v>
      </c>
      <c r="B680" s="188">
        <v>46189.0</v>
      </c>
      <c r="C680" s="26" t="s">
        <v>21</v>
      </c>
      <c r="D680" s="26" t="s">
        <v>34</v>
      </c>
      <c r="E680" s="27" t="s">
        <v>7130</v>
      </c>
      <c r="F680" s="21">
        <v>5.46494003E8</v>
      </c>
      <c r="G680" s="26" t="s">
        <v>27</v>
      </c>
      <c r="H680" s="26" t="s">
        <v>27</v>
      </c>
      <c r="I680" s="26" t="s">
        <v>27</v>
      </c>
      <c r="J680" s="209" t="s">
        <v>7132</v>
      </c>
      <c r="K680" s="27" t="s">
        <v>4417</v>
      </c>
      <c r="L680" s="26" t="s">
        <v>39</v>
      </c>
      <c r="M680" s="27" t="s">
        <v>51</v>
      </c>
      <c r="N680" s="26" t="s">
        <v>4746</v>
      </c>
      <c r="O680" s="26" t="s">
        <v>4746</v>
      </c>
      <c r="P680" s="35">
        <v>0.44583333333333336</v>
      </c>
      <c r="Q680" s="26" t="s">
        <v>56</v>
      </c>
      <c r="R680" s="26" t="s">
        <v>42</v>
      </c>
      <c r="S680" s="27" t="s">
        <v>3566</v>
      </c>
      <c r="T680" s="27"/>
      <c r="U680" s="35"/>
      <c r="V680" s="26" t="s">
        <v>44</v>
      </c>
      <c r="W680" s="26"/>
      <c r="X680" s="26"/>
    </row>
    <row r="681" hidden="1">
      <c r="A681" s="26">
        <v>681.0</v>
      </c>
      <c r="B681" s="188">
        <v>46189.0</v>
      </c>
      <c r="C681" s="26" t="s">
        <v>21</v>
      </c>
      <c r="D681" s="26" t="s">
        <v>34</v>
      </c>
      <c r="E681" s="27" t="s">
        <v>7136</v>
      </c>
      <c r="F681" s="21">
        <v>5.60553714E8</v>
      </c>
      <c r="G681" s="26" t="s">
        <v>27</v>
      </c>
      <c r="H681" s="26" t="s">
        <v>27</v>
      </c>
      <c r="I681" s="26" t="s">
        <v>27</v>
      </c>
      <c r="J681" s="209" t="s">
        <v>896</v>
      </c>
      <c r="K681" s="27" t="s">
        <v>4417</v>
      </c>
      <c r="L681" s="26" t="s">
        <v>39</v>
      </c>
      <c r="M681" s="27" t="s">
        <v>51</v>
      </c>
      <c r="N681" s="26" t="s">
        <v>4746</v>
      </c>
      <c r="O681" s="26" t="s">
        <v>4746</v>
      </c>
      <c r="P681" s="35">
        <v>0.44583333333333336</v>
      </c>
      <c r="Q681" s="26" t="s">
        <v>56</v>
      </c>
      <c r="R681" s="26" t="s">
        <v>42</v>
      </c>
      <c r="S681" s="27" t="s">
        <v>3566</v>
      </c>
      <c r="T681" s="27"/>
      <c r="U681" s="35"/>
      <c r="V681" s="26" t="s">
        <v>44</v>
      </c>
      <c r="W681" s="26"/>
      <c r="X681" s="26"/>
    </row>
    <row r="682" hidden="1">
      <c r="A682" s="26">
        <v>682.0</v>
      </c>
      <c r="B682" s="188">
        <v>46189.0</v>
      </c>
      <c r="C682" s="26" t="s">
        <v>21</v>
      </c>
      <c r="D682" s="26" t="s">
        <v>34</v>
      </c>
      <c r="E682" s="27" t="s">
        <v>7137</v>
      </c>
      <c r="F682" s="21">
        <v>5.56285744E8</v>
      </c>
      <c r="G682" s="26" t="s">
        <v>27</v>
      </c>
      <c r="H682" s="26" t="s">
        <v>27</v>
      </c>
      <c r="I682" s="26" t="s">
        <v>27</v>
      </c>
      <c r="J682" s="209" t="s">
        <v>7138</v>
      </c>
      <c r="K682" s="27" t="s">
        <v>4417</v>
      </c>
      <c r="L682" s="26" t="s">
        <v>39</v>
      </c>
      <c r="M682" s="27" t="s">
        <v>51</v>
      </c>
      <c r="N682" s="26" t="s">
        <v>4746</v>
      </c>
      <c r="O682" s="26" t="s">
        <v>4746</v>
      </c>
      <c r="P682" s="35">
        <v>0.44583333333333336</v>
      </c>
      <c r="Q682" s="26" t="s">
        <v>56</v>
      </c>
      <c r="R682" s="26" t="s">
        <v>42</v>
      </c>
      <c r="S682" s="27" t="s">
        <v>3566</v>
      </c>
      <c r="T682" s="27"/>
      <c r="U682" s="35"/>
      <c r="V682" s="26" t="s">
        <v>44</v>
      </c>
      <c r="W682" s="26"/>
      <c r="X682" s="26"/>
    </row>
    <row r="683" hidden="1">
      <c r="A683" s="26">
        <v>683.0</v>
      </c>
      <c r="B683" s="188">
        <v>46189.0</v>
      </c>
      <c r="C683" s="26" t="s">
        <v>21</v>
      </c>
      <c r="D683" s="26" t="s">
        <v>34</v>
      </c>
      <c r="E683" s="27" t="s">
        <v>7140</v>
      </c>
      <c r="F683" s="21">
        <v>5.40777751E8</v>
      </c>
      <c r="G683" s="26" t="s">
        <v>27</v>
      </c>
      <c r="H683" s="26" t="s">
        <v>27</v>
      </c>
      <c r="I683" s="26" t="s">
        <v>27</v>
      </c>
      <c r="J683" s="209" t="s">
        <v>7141</v>
      </c>
      <c r="K683" s="27" t="s">
        <v>4417</v>
      </c>
      <c r="L683" s="26" t="s">
        <v>39</v>
      </c>
      <c r="M683" s="27" t="s">
        <v>51</v>
      </c>
      <c r="N683" s="26" t="s">
        <v>4746</v>
      </c>
      <c r="O683" s="26" t="s">
        <v>4746</v>
      </c>
      <c r="P683" s="35">
        <v>0.44583333333333336</v>
      </c>
      <c r="Q683" s="26" t="s">
        <v>56</v>
      </c>
      <c r="R683" s="26" t="s">
        <v>42</v>
      </c>
      <c r="S683" s="27" t="s">
        <v>3566</v>
      </c>
      <c r="T683" s="27"/>
      <c r="U683" s="35"/>
      <c r="V683" s="26" t="s">
        <v>44</v>
      </c>
      <c r="W683" s="26"/>
      <c r="X683" s="26"/>
    </row>
    <row r="684" hidden="1">
      <c r="A684" s="26">
        <v>684.0</v>
      </c>
      <c r="B684" s="188">
        <v>46189.0</v>
      </c>
      <c r="C684" s="26" t="s">
        <v>21</v>
      </c>
      <c r="D684" s="26" t="s">
        <v>34</v>
      </c>
      <c r="E684" s="26" t="s">
        <v>7142</v>
      </c>
      <c r="F684" s="21">
        <v>5.55595002E8</v>
      </c>
      <c r="G684" s="26" t="s">
        <v>27</v>
      </c>
      <c r="H684" s="26" t="s">
        <v>27</v>
      </c>
      <c r="I684" s="26" t="s">
        <v>27</v>
      </c>
      <c r="J684" s="209" t="s">
        <v>7144</v>
      </c>
      <c r="K684" s="27" t="s">
        <v>4417</v>
      </c>
      <c r="L684" s="26" t="s">
        <v>39</v>
      </c>
      <c r="M684" s="27" t="s">
        <v>51</v>
      </c>
      <c r="N684" s="26" t="s">
        <v>4746</v>
      </c>
      <c r="O684" s="26" t="s">
        <v>4746</v>
      </c>
      <c r="P684" s="35">
        <v>0.44583333333333336</v>
      </c>
      <c r="Q684" s="26" t="s">
        <v>56</v>
      </c>
      <c r="R684" s="26" t="s">
        <v>42</v>
      </c>
      <c r="S684" s="27" t="s">
        <v>3566</v>
      </c>
      <c r="T684" s="27"/>
      <c r="U684" s="35"/>
      <c r="V684" s="26" t="s">
        <v>44</v>
      </c>
      <c r="W684" s="26"/>
      <c r="X684" s="26"/>
    </row>
    <row r="685" hidden="1">
      <c r="A685" s="26">
        <v>685.0</v>
      </c>
      <c r="B685" s="188">
        <v>46189.0</v>
      </c>
      <c r="C685" s="26" t="s">
        <v>21</v>
      </c>
      <c r="D685" s="26" t="s">
        <v>34</v>
      </c>
      <c r="E685" s="27" t="s">
        <v>7146</v>
      </c>
      <c r="F685" s="21">
        <v>5.54666707E8</v>
      </c>
      <c r="G685" s="26" t="s">
        <v>27</v>
      </c>
      <c r="H685" s="26" t="s">
        <v>27</v>
      </c>
      <c r="I685" s="26" t="s">
        <v>27</v>
      </c>
      <c r="J685" s="209" t="s">
        <v>7148</v>
      </c>
      <c r="K685" s="27" t="s">
        <v>4417</v>
      </c>
      <c r="L685" s="26" t="s">
        <v>39</v>
      </c>
      <c r="M685" s="27" t="s">
        <v>51</v>
      </c>
      <c r="N685" s="26" t="s">
        <v>4746</v>
      </c>
      <c r="O685" s="26" t="s">
        <v>4746</v>
      </c>
      <c r="P685" s="35">
        <v>0.44583333333333336</v>
      </c>
      <c r="Q685" s="26" t="s">
        <v>56</v>
      </c>
      <c r="R685" s="26" t="s">
        <v>42</v>
      </c>
      <c r="S685" s="27" t="s">
        <v>3566</v>
      </c>
      <c r="T685" s="27"/>
      <c r="U685" s="35"/>
      <c r="V685" s="26" t="s">
        <v>44</v>
      </c>
      <c r="W685" s="26"/>
      <c r="X685" s="26"/>
    </row>
    <row r="686" hidden="1">
      <c r="A686" s="26">
        <v>686.0</v>
      </c>
      <c r="B686" s="188">
        <v>46189.0</v>
      </c>
      <c r="C686" s="26" t="s">
        <v>21</v>
      </c>
      <c r="D686" s="26" t="s">
        <v>34</v>
      </c>
      <c r="E686" s="26" t="s">
        <v>156</v>
      </c>
      <c r="F686" s="21">
        <v>5.53894609E8</v>
      </c>
      <c r="G686" s="26" t="s">
        <v>27</v>
      </c>
      <c r="H686" s="26" t="s">
        <v>27</v>
      </c>
      <c r="I686" s="26" t="s">
        <v>27</v>
      </c>
      <c r="J686" s="209" t="s">
        <v>7149</v>
      </c>
      <c r="K686" s="27" t="s">
        <v>4417</v>
      </c>
      <c r="L686" s="26" t="s">
        <v>39</v>
      </c>
      <c r="M686" s="27" t="s">
        <v>51</v>
      </c>
      <c r="N686" s="26" t="s">
        <v>4746</v>
      </c>
      <c r="O686" s="26" t="s">
        <v>4746</v>
      </c>
      <c r="P686" s="35">
        <v>0.44583333333333336</v>
      </c>
      <c r="Q686" s="26" t="s">
        <v>56</v>
      </c>
      <c r="R686" s="26" t="s">
        <v>42</v>
      </c>
      <c r="S686" s="27" t="s">
        <v>3566</v>
      </c>
      <c r="T686" s="27"/>
      <c r="U686" s="35"/>
      <c r="V686" s="26" t="s">
        <v>44</v>
      </c>
      <c r="W686" s="26"/>
      <c r="X686" s="26"/>
    </row>
    <row r="687" hidden="1">
      <c r="A687" s="26">
        <v>687.0</v>
      </c>
      <c r="B687" s="188">
        <v>46189.0</v>
      </c>
      <c r="C687" s="26" t="s">
        <v>21</v>
      </c>
      <c r="D687" s="26" t="s">
        <v>34</v>
      </c>
      <c r="E687" s="27" t="s">
        <v>7151</v>
      </c>
      <c r="F687" s="21">
        <v>5.68094123E8</v>
      </c>
      <c r="G687" s="26" t="s">
        <v>27</v>
      </c>
      <c r="H687" s="26" t="s">
        <v>27</v>
      </c>
      <c r="I687" s="26" t="s">
        <v>27</v>
      </c>
      <c r="J687" s="209" t="s">
        <v>7152</v>
      </c>
      <c r="K687" s="27" t="s">
        <v>4417</v>
      </c>
      <c r="L687" s="26" t="s">
        <v>39</v>
      </c>
      <c r="M687" s="27" t="s">
        <v>51</v>
      </c>
      <c r="N687" s="26" t="s">
        <v>4746</v>
      </c>
      <c r="O687" s="26" t="s">
        <v>4746</v>
      </c>
      <c r="P687" s="35">
        <v>0.44583333333333336</v>
      </c>
      <c r="Q687" s="26" t="s">
        <v>56</v>
      </c>
      <c r="R687" s="26" t="s">
        <v>42</v>
      </c>
      <c r="S687" s="27" t="s">
        <v>3566</v>
      </c>
      <c r="T687" s="27"/>
      <c r="U687" s="35"/>
      <c r="V687" s="26" t="s">
        <v>44</v>
      </c>
      <c r="W687" s="26"/>
      <c r="X687" s="26"/>
    </row>
    <row r="688" hidden="1">
      <c r="A688" s="26">
        <v>688.0</v>
      </c>
      <c r="B688" s="188">
        <v>46189.0</v>
      </c>
      <c r="C688" s="26" t="s">
        <v>21</v>
      </c>
      <c r="D688" s="26" t="s">
        <v>34</v>
      </c>
      <c r="E688" s="27" t="s">
        <v>7154</v>
      </c>
      <c r="F688" s="21">
        <v>5.58001698E8</v>
      </c>
      <c r="G688" s="26" t="s">
        <v>27</v>
      </c>
      <c r="H688" s="26" t="s">
        <v>27</v>
      </c>
      <c r="I688" s="26" t="s">
        <v>27</v>
      </c>
      <c r="J688" s="209" t="s">
        <v>7156</v>
      </c>
      <c r="K688" s="27" t="s">
        <v>4417</v>
      </c>
      <c r="L688" s="26" t="s">
        <v>39</v>
      </c>
      <c r="M688" s="27" t="s">
        <v>51</v>
      </c>
      <c r="N688" s="26" t="s">
        <v>4746</v>
      </c>
      <c r="O688" s="26" t="s">
        <v>4746</v>
      </c>
      <c r="P688" s="35">
        <v>0.44583333333333336</v>
      </c>
      <c r="Q688" s="26" t="s">
        <v>56</v>
      </c>
      <c r="R688" s="26" t="s">
        <v>42</v>
      </c>
      <c r="S688" s="27" t="s">
        <v>3566</v>
      </c>
      <c r="T688" s="27"/>
      <c r="U688" s="35"/>
      <c r="V688" s="26" t="s">
        <v>44</v>
      </c>
      <c r="W688" s="26"/>
      <c r="X688" s="26"/>
    </row>
    <row r="689" hidden="1">
      <c r="A689" s="26">
        <v>689.0</v>
      </c>
      <c r="B689" s="188">
        <v>46189.0</v>
      </c>
      <c r="C689" s="26" t="s">
        <v>21</v>
      </c>
      <c r="D689" s="26" t="s">
        <v>34</v>
      </c>
      <c r="E689" s="26" t="s">
        <v>7158</v>
      </c>
      <c r="F689" s="21">
        <v>5.6309101E8</v>
      </c>
      <c r="G689" s="26" t="s">
        <v>27</v>
      </c>
      <c r="H689" s="26" t="s">
        <v>27</v>
      </c>
      <c r="I689" s="26" t="s">
        <v>27</v>
      </c>
      <c r="J689" s="209" t="s">
        <v>896</v>
      </c>
      <c r="K689" s="27" t="s">
        <v>4417</v>
      </c>
      <c r="L689" s="26" t="s">
        <v>39</v>
      </c>
      <c r="M689" s="27" t="s">
        <v>51</v>
      </c>
      <c r="N689" s="26" t="s">
        <v>4746</v>
      </c>
      <c r="O689" s="26" t="s">
        <v>4746</v>
      </c>
      <c r="P689" s="35">
        <v>0.44583333333333336</v>
      </c>
      <c r="Q689" s="26" t="s">
        <v>56</v>
      </c>
      <c r="R689" s="26" t="s">
        <v>42</v>
      </c>
      <c r="S689" s="27" t="s">
        <v>3566</v>
      </c>
      <c r="T689" s="27"/>
      <c r="U689" s="35"/>
      <c r="V689" s="26" t="s">
        <v>44</v>
      </c>
      <c r="W689" s="26"/>
      <c r="X689" s="26"/>
    </row>
    <row r="690" hidden="1">
      <c r="A690" s="26">
        <v>690.0</v>
      </c>
      <c r="B690" s="188">
        <v>46189.0</v>
      </c>
      <c r="C690" s="26" t="s">
        <v>21</v>
      </c>
      <c r="D690" s="26" t="s">
        <v>34</v>
      </c>
      <c r="E690" s="27" t="s">
        <v>7163</v>
      </c>
      <c r="F690" s="21">
        <v>5.05300492E8</v>
      </c>
      <c r="G690" s="26" t="s">
        <v>27</v>
      </c>
      <c r="H690" s="26" t="s">
        <v>27</v>
      </c>
      <c r="I690" s="26" t="s">
        <v>27</v>
      </c>
      <c r="J690" s="209" t="s">
        <v>896</v>
      </c>
      <c r="K690" s="27" t="s">
        <v>4417</v>
      </c>
      <c r="L690" s="26" t="s">
        <v>39</v>
      </c>
      <c r="M690" s="27" t="s">
        <v>51</v>
      </c>
      <c r="N690" s="26" t="s">
        <v>4746</v>
      </c>
      <c r="O690" s="26" t="s">
        <v>4746</v>
      </c>
      <c r="P690" s="35">
        <v>0.44583333333333336</v>
      </c>
      <c r="Q690" s="26" t="s">
        <v>56</v>
      </c>
      <c r="R690" s="26" t="s">
        <v>42</v>
      </c>
      <c r="S690" s="27" t="s">
        <v>3566</v>
      </c>
      <c r="T690" s="27"/>
      <c r="U690" s="35"/>
      <c r="V690" s="26" t="s">
        <v>44</v>
      </c>
      <c r="W690" s="26"/>
      <c r="X690" s="26"/>
    </row>
    <row r="691" hidden="1">
      <c r="A691" s="26">
        <v>691.0</v>
      </c>
      <c r="B691" s="188">
        <v>46189.0</v>
      </c>
      <c r="C691" s="26" t="s">
        <v>21</v>
      </c>
      <c r="D691" s="26" t="s">
        <v>34</v>
      </c>
      <c r="E691" s="27" t="s">
        <v>7165</v>
      </c>
      <c r="F691" s="21">
        <v>5.54541435E8</v>
      </c>
      <c r="G691" s="26" t="s">
        <v>27</v>
      </c>
      <c r="H691" s="26" t="s">
        <v>27</v>
      </c>
      <c r="I691" s="26" t="s">
        <v>27</v>
      </c>
      <c r="J691" s="209" t="s">
        <v>7166</v>
      </c>
      <c r="K691" s="27" t="s">
        <v>4417</v>
      </c>
      <c r="L691" s="26" t="s">
        <v>39</v>
      </c>
      <c r="M691" s="27" t="s">
        <v>51</v>
      </c>
      <c r="N691" s="26" t="s">
        <v>4746</v>
      </c>
      <c r="O691" s="26" t="s">
        <v>4746</v>
      </c>
      <c r="P691" s="35">
        <v>0.44583333333333336</v>
      </c>
      <c r="Q691" s="26" t="s">
        <v>56</v>
      </c>
      <c r="R691" s="26" t="s">
        <v>42</v>
      </c>
      <c r="S691" s="27" t="s">
        <v>3566</v>
      </c>
      <c r="T691" s="27"/>
      <c r="U691" s="35"/>
      <c r="V691" s="26" t="s">
        <v>44</v>
      </c>
      <c r="W691" s="26"/>
      <c r="X691" s="26"/>
    </row>
    <row r="692" hidden="1">
      <c r="A692" s="26">
        <v>692.0</v>
      </c>
      <c r="B692" s="188">
        <v>46189.0</v>
      </c>
      <c r="C692" s="26" t="s">
        <v>21</v>
      </c>
      <c r="D692" s="26" t="s">
        <v>34</v>
      </c>
      <c r="E692" s="27" t="s">
        <v>108</v>
      </c>
      <c r="F692" s="21">
        <v>5.43519414E8</v>
      </c>
      <c r="G692" s="26" t="s">
        <v>27</v>
      </c>
      <c r="H692" s="26" t="s">
        <v>27</v>
      </c>
      <c r="I692" s="26" t="s">
        <v>27</v>
      </c>
      <c r="J692" s="209" t="s">
        <v>7172</v>
      </c>
      <c r="K692" s="27" t="s">
        <v>4417</v>
      </c>
      <c r="L692" s="26" t="s">
        <v>39</v>
      </c>
      <c r="M692" s="27" t="s">
        <v>51</v>
      </c>
      <c r="N692" s="26" t="s">
        <v>4746</v>
      </c>
      <c r="O692" s="26" t="s">
        <v>4746</v>
      </c>
      <c r="P692" s="35">
        <v>0.44583333333333336</v>
      </c>
      <c r="Q692" s="26" t="s">
        <v>56</v>
      </c>
      <c r="R692" s="26" t="s">
        <v>42</v>
      </c>
      <c r="S692" s="27" t="s">
        <v>3566</v>
      </c>
      <c r="T692" s="27"/>
      <c r="U692" s="35"/>
      <c r="V692" s="26" t="s">
        <v>44</v>
      </c>
      <c r="W692" s="26"/>
      <c r="X692" s="26"/>
    </row>
    <row r="693" hidden="1">
      <c r="A693" s="26">
        <v>693.0</v>
      </c>
      <c r="B693" s="188">
        <v>46189.0</v>
      </c>
      <c r="C693" s="26" t="s">
        <v>21</v>
      </c>
      <c r="D693" s="26" t="s">
        <v>34</v>
      </c>
      <c r="E693" s="27" t="s">
        <v>7174</v>
      </c>
      <c r="F693" s="21">
        <v>5.36353279E8</v>
      </c>
      <c r="G693" s="26" t="s">
        <v>27</v>
      </c>
      <c r="H693" s="26" t="s">
        <v>27</v>
      </c>
      <c r="I693" s="26" t="s">
        <v>27</v>
      </c>
      <c r="J693" s="209" t="s">
        <v>7175</v>
      </c>
      <c r="K693" s="27" t="s">
        <v>4417</v>
      </c>
      <c r="L693" s="26" t="s">
        <v>39</v>
      </c>
      <c r="M693" s="27" t="s">
        <v>51</v>
      </c>
      <c r="N693" s="26" t="s">
        <v>4746</v>
      </c>
      <c r="O693" s="26" t="s">
        <v>4746</v>
      </c>
      <c r="P693" s="35">
        <v>0.44583333333333336</v>
      </c>
      <c r="Q693" s="26" t="s">
        <v>56</v>
      </c>
      <c r="R693" s="26" t="s">
        <v>42</v>
      </c>
      <c r="S693" s="27" t="s">
        <v>3566</v>
      </c>
      <c r="T693" s="27"/>
      <c r="U693" s="35"/>
      <c r="V693" s="26" t="s">
        <v>44</v>
      </c>
      <c r="W693" s="26"/>
      <c r="X693" s="26"/>
    </row>
    <row r="694" hidden="1">
      <c r="A694" s="26">
        <v>694.0</v>
      </c>
      <c r="B694" s="188">
        <v>46189.0</v>
      </c>
      <c r="C694" s="26" t="s">
        <v>21</v>
      </c>
      <c r="D694" s="26" t="s">
        <v>34</v>
      </c>
      <c r="E694" s="27" t="s">
        <v>7177</v>
      </c>
      <c r="F694" s="21">
        <v>5.69550049E8</v>
      </c>
      <c r="G694" s="26" t="s">
        <v>27</v>
      </c>
      <c r="H694" s="26" t="s">
        <v>27</v>
      </c>
      <c r="I694" s="26" t="s">
        <v>27</v>
      </c>
      <c r="J694" s="209" t="s">
        <v>7178</v>
      </c>
      <c r="K694" s="27" t="s">
        <v>4417</v>
      </c>
      <c r="L694" s="26" t="s">
        <v>39</v>
      </c>
      <c r="M694" s="27" t="s">
        <v>51</v>
      </c>
      <c r="N694" s="26" t="s">
        <v>4746</v>
      </c>
      <c r="O694" s="26" t="s">
        <v>4746</v>
      </c>
      <c r="P694" s="35">
        <v>0.44583333333333336</v>
      </c>
      <c r="Q694" s="26" t="s">
        <v>56</v>
      </c>
      <c r="R694" s="26" t="s">
        <v>42</v>
      </c>
      <c r="S694" s="27" t="s">
        <v>3566</v>
      </c>
      <c r="T694" s="27"/>
      <c r="U694" s="35"/>
      <c r="V694" s="26" t="s">
        <v>44</v>
      </c>
      <c r="W694" s="26"/>
      <c r="X694" s="26"/>
    </row>
    <row r="695" hidden="1">
      <c r="A695" s="26">
        <v>695.0</v>
      </c>
      <c r="B695" s="188">
        <v>46189.0</v>
      </c>
      <c r="C695" s="26" t="s">
        <v>21</v>
      </c>
      <c r="D695" s="26" t="s">
        <v>34</v>
      </c>
      <c r="E695" s="27" t="s">
        <v>7180</v>
      </c>
      <c r="F695" s="21">
        <v>5.52167844E8</v>
      </c>
      <c r="G695" s="26" t="s">
        <v>27</v>
      </c>
      <c r="H695" s="26" t="s">
        <v>27</v>
      </c>
      <c r="I695" s="26" t="s">
        <v>27</v>
      </c>
      <c r="J695" s="209" t="s">
        <v>7182</v>
      </c>
      <c r="K695" s="27" t="s">
        <v>4417</v>
      </c>
      <c r="L695" s="26" t="s">
        <v>39</v>
      </c>
      <c r="M695" s="27" t="s">
        <v>51</v>
      </c>
      <c r="N695" s="26" t="s">
        <v>4746</v>
      </c>
      <c r="O695" s="26" t="s">
        <v>4746</v>
      </c>
      <c r="P695" s="35">
        <v>0.44583333333333336</v>
      </c>
      <c r="Q695" s="26" t="s">
        <v>56</v>
      </c>
      <c r="R695" s="26" t="s">
        <v>42</v>
      </c>
      <c r="S695" s="27" t="s">
        <v>3566</v>
      </c>
      <c r="T695" s="27"/>
      <c r="U695" s="35"/>
      <c r="V695" s="26" t="s">
        <v>44</v>
      </c>
      <c r="W695" s="26"/>
      <c r="X695" s="26"/>
    </row>
    <row r="696" hidden="1">
      <c r="A696" s="26">
        <v>696.0</v>
      </c>
      <c r="B696" s="188">
        <v>46189.0</v>
      </c>
      <c r="C696" s="26" t="s">
        <v>21</v>
      </c>
      <c r="D696" s="26" t="s">
        <v>66</v>
      </c>
      <c r="E696" s="27" t="s">
        <v>108</v>
      </c>
      <c r="F696" s="21">
        <v>5.42986848E8</v>
      </c>
      <c r="G696" s="26" t="s">
        <v>27</v>
      </c>
      <c r="H696" s="26" t="s">
        <v>27</v>
      </c>
      <c r="I696" s="26" t="s">
        <v>27</v>
      </c>
      <c r="J696" s="209" t="s">
        <v>7184</v>
      </c>
      <c r="K696" s="27"/>
      <c r="L696" s="26" t="s">
        <v>36</v>
      </c>
      <c r="M696" s="27" t="s">
        <v>208</v>
      </c>
      <c r="N696" s="26" t="s">
        <v>49</v>
      </c>
      <c r="O696" s="26" t="s">
        <v>4746</v>
      </c>
      <c r="P696" s="35"/>
      <c r="Q696" s="26" t="s">
        <v>56</v>
      </c>
      <c r="R696" s="26" t="s">
        <v>301</v>
      </c>
      <c r="S696" s="27" t="s">
        <v>3566</v>
      </c>
      <c r="T696" s="27"/>
      <c r="U696" s="35"/>
      <c r="V696" s="26"/>
      <c r="W696" s="26"/>
      <c r="X696" s="26"/>
    </row>
    <row r="697" hidden="1">
      <c r="A697" s="26">
        <v>697.0</v>
      </c>
      <c r="B697" s="188">
        <v>46189.0</v>
      </c>
      <c r="C697" s="26" t="s">
        <v>58</v>
      </c>
      <c r="D697" s="26" t="s">
        <v>60</v>
      </c>
      <c r="E697" s="26" t="s">
        <v>27</v>
      </c>
      <c r="F697" s="21">
        <v>5.40753049E8</v>
      </c>
      <c r="G697" s="26" t="s">
        <v>27</v>
      </c>
      <c r="H697" s="26" t="s">
        <v>27</v>
      </c>
      <c r="I697" s="26" t="s">
        <v>27</v>
      </c>
      <c r="J697" s="209" t="s">
        <v>7187</v>
      </c>
      <c r="K697" s="27" t="s">
        <v>2806</v>
      </c>
      <c r="L697" s="26" t="s">
        <v>36</v>
      </c>
      <c r="M697" s="27" t="s">
        <v>88</v>
      </c>
      <c r="N697" s="26" t="s">
        <v>4746</v>
      </c>
      <c r="O697" s="26" t="s">
        <v>4746</v>
      </c>
      <c r="P697" s="35"/>
      <c r="Q697" s="26" t="s">
        <v>56</v>
      </c>
      <c r="R697" s="26" t="s">
        <v>42</v>
      </c>
      <c r="S697" s="27" t="s">
        <v>3566</v>
      </c>
      <c r="T697" s="27"/>
      <c r="U697" s="35"/>
      <c r="V697" s="26"/>
      <c r="W697" s="26"/>
      <c r="X697" s="26"/>
    </row>
    <row r="698" hidden="1">
      <c r="A698" s="26">
        <v>698.0</v>
      </c>
      <c r="B698" s="188">
        <v>46189.0</v>
      </c>
      <c r="C698" s="26" t="s">
        <v>21</v>
      </c>
      <c r="D698" s="26" t="s">
        <v>24</v>
      </c>
      <c r="E698" s="27" t="s">
        <v>1174</v>
      </c>
      <c r="F698" s="21">
        <v>5.51377887E8</v>
      </c>
      <c r="G698" s="26" t="s">
        <v>4852</v>
      </c>
      <c r="H698" s="27" t="s">
        <v>447</v>
      </c>
      <c r="I698" s="26" t="s">
        <v>27</v>
      </c>
      <c r="J698" s="209" t="s">
        <v>7192</v>
      </c>
      <c r="K698" s="27"/>
      <c r="L698" s="26" t="s">
        <v>36</v>
      </c>
      <c r="M698" s="27" t="s">
        <v>630</v>
      </c>
      <c r="N698" s="26" t="s">
        <v>4803</v>
      </c>
      <c r="O698" s="26" t="s">
        <v>4746</v>
      </c>
      <c r="P698" s="35"/>
      <c r="Q698" s="26" t="s">
        <v>56</v>
      </c>
      <c r="R698" s="26" t="s">
        <v>42</v>
      </c>
      <c r="S698" s="27" t="s">
        <v>3566</v>
      </c>
      <c r="T698" s="27"/>
      <c r="U698" s="35"/>
      <c r="V698" s="26"/>
      <c r="W698" s="26"/>
      <c r="X698" s="26" t="s">
        <v>46</v>
      </c>
    </row>
    <row r="699" hidden="1">
      <c r="A699" s="26">
        <v>699.0</v>
      </c>
      <c r="B699" s="188">
        <v>46190.0</v>
      </c>
      <c r="C699" s="26" t="s">
        <v>58</v>
      </c>
      <c r="D699" s="26" t="s">
        <v>22</v>
      </c>
      <c r="E699" s="27" t="s">
        <v>6421</v>
      </c>
      <c r="F699" s="21">
        <v>5.46681556E8</v>
      </c>
      <c r="G699" s="26" t="s">
        <v>27</v>
      </c>
      <c r="H699" s="26" t="s">
        <v>27</v>
      </c>
      <c r="I699" s="26" t="s">
        <v>27</v>
      </c>
      <c r="J699" s="209" t="s">
        <v>7197</v>
      </c>
      <c r="K699" s="27"/>
      <c r="L699" s="26" t="s">
        <v>62</v>
      </c>
      <c r="M699" s="27" t="s">
        <v>4868</v>
      </c>
      <c r="N699" s="26" t="s">
        <v>49</v>
      </c>
      <c r="O699" s="26" t="s">
        <v>4746</v>
      </c>
      <c r="P699" s="35"/>
      <c r="Q699" s="26" t="s">
        <v>40</v>
      </c>
      <c r="R699" s="26" t="s">
        <v>518</v>
      </c>
      <c r="S699" s="27" t="s">
        <v>3566</v>
      </c>
      <c r="T699" s="27"/>
      <c r="U699" s="35"/>
      <c r="V699" s="26"/>
      <c r="W699" s="26"/>
      <c r="X699" s="26"/>
    </row>
    <row r="700" hidden="1">
      <c r="A700" s="26">
        <v>700.0</v>
      </c>
      <c r="B700" s="188">
        <v>46189.0</v>
      </c>
      <c r="C700" s="26" t="s">
        <v>3766</v>
      </c>
      <c r="D700" s="26" t="s">
        <v>57</v>
      </c>
      <c r="E700" s="27" t="s">
        <v>751</v>
      </c>
      <c r="F700" s="21">
        <v>5.34122653E8</v>
      </c>
      <c r="G700" s="26" t="s">
        <v>4769</v>
      </c>
      <c r="H700" s="27" t="s">
        <v>152</v>
      </c>
      <c r="I700" s="26" t="s">
        <v>27</v>
      </c>
      <c r="J700" s="209" t="s">
        <v>7202</v>
      </c>
      <c r="K700" s="27"/>
      <c r="L700" s="26" t="s">
        <v>36</v>
      </c>
      <c r="M700" s="27" t="s">
        <v>6247</v>
      </c>
      <c r="N700" s="26" t="s">
        <v>4746</v>
      </c>
      <c r="O700" s="26" t="s">
        <v>4746</v>
      </c>
      <c r="P700" s="35"/>
      <c r="Q700" s="26" t="s">
        <v>56</v>
      </c>
      <c r="R700" s="26" t="s">
        <v>42</v>
      </c>
      <c r="S700" s="27" t="s">
        <v>3566</v>
      </c>
      <c r="T700" s="27"/>
      <c r="U700" s="35"/>
      <c r="V700" s="26"/>
      <c r="W700" s="26"/>
      <c r="X700" s="26"/>
    </row>
    <row r="701" hidden="1">
      <c r="A701" s="26">
        <v>701.0</v>
      </c>
      <c r="B701" s="188">
        <v>46189.0</v>
      </c>
      <c r="C701" s="26" t="s">
        <v>58</v>
      </c>
      <c r="D701" s="26" t="s">
        <v>60</v>
      </c>
      <c r="E701" s="27" t="s">
        <v>6760</v>
      </c>
      <c r="F701" s="21">
        <v>5.95113404E8</v>
      </c>
      <c r="G701" s="26" t="s">
        <v>4740</v>
      </c>
      <c r="H701" s="27" t="s">
        <v>41</v>
      </c>
      <c r="I701" s="26" t="s">
        <v>567</v>
      </c>
      <c r="J701" s="209" t="s">
        <v>7207</v>
      </c>
      <c r="K701" s="27" t="s">
        <v>7209</v>
      </c>
      <c r="L701" s="26" t="s">
        <v>36</v>
      </c>
      <c r="M701" s="27" t="s">
        <v>88</v>
      </c>
      <c r="N701" s="26" t="s">
        <v>4746</v>
      </c>
      <c r="O701" s="26" t="s">
        <v>4746</v>
      </c>
      <c r="P701" s="35"/>
      <c r="Q701" s="26" t="s">
        <v>56</v>
      </c>
      <c r="R701" s="26" t="s">
        <v>42</v>
      </c>
      <c r="S701" s="27" t="s">
        <v>3566</v>
      </c>
      <c r="T701" s="27"/>
      <c r="U701" s="35"/>
      <c r="V701" s="26"/>
      <c r="W701" s="26"/>
      <c r="X701" s="26"/>
    </row>
    <row r="702" hidden="1">
      <c r="A702" s="26">
        <v>702.0</v>
      </c>
      <c r="B702" s="188">
        <v>46189.0</v>
      </c>
      <c r="C702" s="26" t="s">
        <v>21</v>
      </c>
      <c r="D702" s="26" t="s">
        <v>22</v>
      </c>
      <c r="E702" s="27" t="s">
        <v>7213</v>
      </c>
      <c r="F702" s="21">
        <v>5.55948688E8</v>
      </c>
      <c r="G702" s="26" t="s">
        <v>4852</v>
      </c>
      <c r="H702" s="27" t="s">
        <v>318</v>
      </c>
      <c r="I702" s="26" t="s">
        <v>27</v>
      </c>
      <c r="J702" s="209" t="s">
        <v>7214</v>
      </c>
      <c r="K702" s="27"/>
      <c r="L702" s="26" t="s">
        <v>36</v>
      </c>
      <c r="M702" s="27" t="s">
        <v>1389</v>
      </c>
      <c r="N702" s="26" t="s">
        <v>4870</v>
      </c>
      <c r="O702" s="26" t="s">
        <v>4746</v>
      </c>
      <c r="P702" s="35"/>
      <c r="Q702" s="26" t="s">
        <v>40</v>
      </c>
      <c r="R702" s="26" t="s">
        <v>42</v>
      </c>
      <c r="S702" s="27" t="s">
        <v>3566</v>
      </c>
      <c r="T702" s="27"/>
      <c r="U702" s="35"/>
      <c r="V702" s="26"/>
      <c r="W702" s="26"/>
      <c r="X702" s="26" t="s">
        <v>46</v>
      </c>
    </row>
    <row r="703" hidden="1">
      <c r="A703" s="26">
        <v>703.0</v>
      </c>
      <c r="B703" s="188">
        <v>46189.0</v>
      </c>
      <c r="C703" s="26" t="s">
        <v>58</v>
      </c>
      <c r="D703" s="26" t="s">
        <v>60</v>
      </c>
      <c r="E703" s="26" t="s">
        <v>27</v>
      </c>
      <c r="F703" s="21">
        <v>5.73833711E8</v>
      </c>
      <c r="G703" s="26" t="s">
        <v>27</v>
      </c>
      <c r="H703" s="26" t="s">
        <v>27</v>
      </c>
      <c r="I703" s="26" t="s">
        <v>27</v>
      </c>
      <c r="J703" s="209" t="s">
        <v>124</v>
      </c>
      <c r="K703" s="27"/>
      <c r="L703" s="26" t="s">
        <v>3070</v>
      </c>
      <c r="M703" s="27" t="s">
        <v>88</v>
      </c>
      <c r="N703" s="26" t="s">
        <v>4746</v>
      </c>
      <c r="O703" s="26" t="s">
        <v>4746</v>
      </c>
      <c r="P703" s="35"/>
      <c r="Q703" s="26" t="s">
        <v>56</v>
      </c>
      <c r="R703" s="26" t="s">
        <v>42</v>
      </c>
      <c r="S703" s="27" t="s">
        <v>3566</v>
      </c>
      <c r="T703" s="27"/>
      <c r="U703" s="35"/>
      <c r="V703" s="26"/>
      <c r="W703" s="26"/>
      <c r="X703" s="26"/>
    </row>
    <row r="704" hidden="1">
      <c r="A704" s="26">
        <v>704.0</v>
      </c>
      <c r="B704" s="188">
        <v>46189.0</v>
      </c>
      <c r="C704" s="26" t="s">
        <v>21</v>
      </c>
      <c r="D704" s="26" t="s">
        <v>22</v>
      </c>
      <c r="E704" s="27" t="s">
        <v>7217</v>
      </c>
      <c r="F704" s="21">
        <v>5.55522919E8</v>
      </c>
      <c r="G704" s="26" t="s">
        <v>4740</v>
      </c>
      <c r="H704" s="27" t="s">
        <v>41</v>
      </c>
      <c r="I704" s="26" t="s">
        <v>27</v>
      </c>
      <c r="J704" s="209" t="s">
        <v>7219</v>
      </c>
      <c r="K704" s="27"/>
      <c r="L704" s="26" t="s">
        <v>36</v>
      </c>
      <c r="M704" s="27" t="s">
        <v>4868</v>
      </c>
      <c r="N704" s="26" t="s">
        <v>4870</v>
      </c>
      <c r="O704" s="26" t="s">
        <v>4746</v>
      </c>
      <c r="P704" s="35"/>
      <c r="Q704" s="26" t="s">
        <v>40</v>
      </c>
      <c r="R704" s="26" t="s">
        <v>42</v>
      </c>
      <c r="S704" s="27" t="s">
        <v>3566</v>
      </c>
      <c r="T704" s="27"/>
      <c r="U704" s="35"/>
      <c r="V704" s="26"/>
      <c r="W704" s="26"/>
      <c r="X704" s="26" t="s">
        <v>46</v>
      </c>
    </row>
    <row r="705" hidden="1">
      <c r="A705" s="26">
        <v>705.0</v>
      </c>
      <c r="B705" s="188">
        <v>46189.0</v>
      </c>
      <c r="C705" s="26" t="s">
        <v>21</v>
      </c>
      <c r="D705" s="26" t="s">
        <v>66</v>
      </c>
      <c r="E705" s="27" t="s">
        <v>7221</v>
      </c>
      <c r="F705" s="21">
        <v>1.12290318E8</v>
      </c>
      <c r="G705" s="26" t="s">
        <v>4769</v>
      </c>
      <c r="H705" s="27" t="s">
        <v>152</v>
      </c>
      <c r="I705" s="26" t="s">
        <v>27</v>
      </c>
      <c r="J705" s="209" t="s">
        <v>7222</v>
      </c>
      <c r="K705" s="27"/>
      <c r="L705" s="26" t="s">
        <v>36</v>
      </c>
      <c r="M705" s="27" t="s">
        <v>208</v>
      </c>
      <c r="N705" s="26" t="s">
        <v>49</v>
      </c>
      <c r="O705" s="26" t="s">
        <v>4746</v>
      </c>
      <c r="P705" s="35"/>
      <c r="Q705" s="26" t="s">
        <v>56</v>
      </c>
      <c r="R705" s="26" t="s">
        <v>301</v>
      </c>
      <c r="S705" s="27" t="s">
        <v>3566</v>
      </c>
      <c r="T705" s="27"/>
      <c r="U705" s="35"/>
      <c r="V705" s="26"/>
      <c r="W705" s="26"/>
      <c r="X705" s="26"/>
    </row>
    <row r="706" hidden="1">
      <c r="A706" s="26">
        <v>706.0</v>
      </c>
      <c r="B706" s="188">
        <v>46189.0</v>
      </c>
      <c r="C706" s="26" t="s">
        <v>58</v>
      </c>
      <c r="D706" s="26" t="s">
        <v>60</v>
      </c>
      <c r="E706" s="26" t="s">
        <v>27</v>
      </c>
      <c r="F706" s="21">
        <v>5.57477021E8</v>
      </c>
      <c r="G706" s="26" t="s">
        <v>27</v>
      </c>
      <c r="H706" s="26" t="s">
        <v>27</v>
      </c>
      <c r="I706" s="26" t="s">
        <v>27</v>
      </c>
      <c r="J706" s="209" t="s">
        <v>554</v>
      </c>
      <c r="K706" s="27"/>
      <c r="L706" s="26" t="s">
        <v>36</v>
      </c>
      <c r="M706" s="27" t="s">
        <v>88</v>
      </c>
      <c r="N706" s="26" t="s">
        <v>4746</v>
      </c>
      <c r="O706" s="26" t="s">
        <v>4746</v>
      </c>
      <c r="P706" s="35"/>
      <c r="Q706" s="26" t="s">
        <v>56</v>
      </c>
      <c r="R706" s="26" t="s">
        <v>42</v>
      </c>
      <c r="S706" s="27" t="s">
        <v>3566</v>
      </c>
      <c r="T706" s="27"/>
      <c r="U706" s="35"/>
      <c r="V706" s="26"/>
      <c r="W706" s="26"/>
      <c r="X706" s="26"/>
    </row>
    <row r="707" hidden="1">
      <c r="A707" s="26">
        <v>707.0</v>
      </c>
      <c r="B707" s="188">
        <v>46189.0</v>
      </c>
      <c r="C707" s="26" t="s">
        <v>58</v>
      </c>
      <c r="D707" s="26" t="s">
        <v>60</v>
      </c>
      <c r="E707" s="26" t="s">
        <v>27</v>
      </c>
      <c r="F707" s="21">
        <v>5.51826745E8</v>
      </c>
      <c r="G707" s="26" t="s">
        <v>27</v>
      </c>
      <c r="H707" s="26" t="s">
        <v>27</v>
      </c>
      <c r="I707" s="26" t="s">
        <v>27</v>
      </c>
      <c r="J707" s="209" t="s">
        <v>554</v>
      </c>
      <c r="K707" s="27"/>
      <c r="L707" s="26" t="s">
        <v>36</v>
      </c>
      <c r="M707" s="27" t="s">
        <v>88</v>
      </c>
      <c r="N707" s="26" t="s">
        <v>4746</v>
      </c>
      <c r="O707" s="26" t="s">
        <v>4746</v>
      </c>
      <c r="P707" s="35"/>
      <c r="Q707" s="26" t="s">
        <v>56</v>
      </c>
      <c r="R707" s="26" t="s">
        <v>42</v>
      </c>
      <c r="S707" s="27" t="s">
        <v>3566</v>
      </c>
      <c r="T707" s="27"/>
      <c r="U707" s="35"/>
      <c r="V707" s="26"/>
      <c r="W707" s="26"/>
      <c r="X707" s="26"/>
    </row>
    <row r="708" hidden="1">
      <c r="A708" s="26">
        <v>708.0</v>
      </c>
      <c r="B708" s="188">
        <v>46189.0</v>
      </c>
      <c r="C708" s="26" t="s">
        <v>58</v>
      </c>
      <c r="D708" s="26" t="s">
        <v>60</v>
      </c>
      <c r="E708" s="27" t="s">
        <v>6776</v>
      </c>
      <c r="F708" s="21">
        <v>5.96562619E8</v>
      </c>
      <c r="G708" s="26" t="s">
        <v>4740</v>
      </c>
      <c r="H708" s="27" t="s">
        <v>71</v>
      </c>
      <c r="I708" s="26" t="s">
        <v>27</v>
      </c>
      <c r="J708" s="209" t="s">
        <v>7223</v>
      </c>
      <c r="K708" s="27" t="s">
        <v>7224</v>
      </c>
      <c r="L708" s="26" t="s">
        <v>62</v>
      </c>
      <c r="M708" s="27" t="s">
        <v>88</v>
      </c>
      <c r="N708" s="26" t="s">
        <v>4746</v>
      </c>
      <c r="O708" s="26" t="s">
        <v>4746</v>
      </c>
      <c r="P708" s="35"/>
      <c r="Q708" s="26" t="s">
        <v>56</v>
      </c>
      <c r="R708" s="26" t="s">
        <v>42</v>
      </c>
      <c r="S708" s="27" t="s">
        <v>3566</v>
      </c>
      <c r="T708" s="27"/>
      <c r="U708" s="35"/>
      <c r="V708" s="26"/>
      <c r="W708" s="26"/>
      <c r="X708" s="26"/>
    </row>
    <row r="709" hidden="1">
      <c r="A709" s="26">
        <v>709.0</v>
      </c>
      <c r="B709" s="188">
        <v>46189.0</v>
      </c>
      <c r="C709" s="26" t="s">
        <v>58</v>
      </c>
      <c r="D709" s="26" t="s">
        <v>66</v>
      </c>
      <c r="E709" s="26" t="s">
        <v>27</v>
      </c>
      <c r="F709" s="21">
        <v>5.51510007E8</v>
      </c>
      <c r="G709" s="26" t="s">
        <v>27</v>
      </c>
      <c r="H709" s="26" t="s">
        <v>27</v>
      </c>
      <c r="I709" s="26" t="s">
        <v>27</v>
      </c>
      <c r="J709" s="209" t="s">
        <v>6948</v>
      </c>
      <c r="K709" s="27" t="s">
        <v>7225</v>
      </c>
      <c r="L709" s="26" t="s">
        <v>62</v>
      </c>
      <c r="M709" s="27" t="s">
        <v>208</v>
      </c>
      <c r="N709" s="26" t="s">
        <v>49</v>
      </c>
      <c r="O709" s="26" t="s">
        <v>4746</v>
      </c>
      <c r="P709" s="35"/>
      <c r="Q709" s="26" t="s">
        <v>56</v>
      </c>
      <c r="R709" s="26" t="s">
        <v>518</v>
      </c>
      <c r="S709" s="27" t="s">
        <v>3566</v>
      </c>
      <c r="T709" s="27"/>
      <c r="U709" s="35"/>
      <c r="V709" s="26"/>
      <c r="W709" s="26"/>
      <c r="X709" s="26"/>
    </row>
    <row r="710" hidden="1">
      <c r="A710" s="26">
        <v>710.0</v>
      </c>
      <c r="B710" s="188">
        <v>46189.0</v>
      </c>
      <c r="C710" s="26" t="s">
        <v>21</v>
      </c>
      <c r="D710" s="26" t="s">
        <v>57</v>
      </c>
      <c r="E710" s="27" t="s">
        <v>5433</v>
      </c>
      <c r="F710" s="21">
        <v>4.42030512566E11</v>
      </c>
      <c r="G710" s="26" t="s">
        <v>27</v>
      </c>
      <c r="H710" s="26" t="s">
        <v>27</v>
      </c>
      <c r="I710" s="26" t="s">
        <v>27</v>
      </c>
      <c r="J710" s="351" t="s">
        <v>7227</v>
      </c>
      <c r="K710" s="27" t="s">
        <v>7228</v>
      </c>
      <c r="L710" s="26" t="s">
        <v>36</v>
      </c>
      <c r="M710" s="27" t="s">
        <v>1399</v>
      </c>
      <c r="N710" s="26" t="s">
        <v>4746</v>
      </c>
      <c r="O710" s="26" t="s">
        <v>4746</v>
      </c>
      <c r="P710" s="35"/>
      <c r="Q710" s="26" t="s">
        <v>56</v>
      </c>
      <c r="R710" s="26" t="s">
        <v>42</v>
      </c>
      <c r="S710" s="27" t="s">
        <v>3566</v>
      </c>
      <c r="T710" s="27"/>
      <c r="U710" s="35"/>
      <c r="V710" s="26"/>
      <c r="W710" s="26"/>
      <c r="X710" s="26"/>
    </row>
    <row r="711" hidden="1">
      <c r="A711" s="26">
        <v>711.0</v>
      </c>
      <c r="B711" s="188">
        <v>46189.0</v>
      </c>
      <c r="C711" s="26" t="s">
        <v>21</v>
      </c>
      <c r="D711" s="26" t="s">
        <v>22</v>
      </c>
      <c r="E711" s="27" t="s">
        <v>108</v>
      </c>
      <c r="F711" s="21">
        <v>5.51168994E8</v>
      </c>
      <c r="G711" s="26" t="s">
        <v>4769</v>
      </c>
      <c r="H711" s="27" t="s">
        <v>152</v>
      </c>
      <c r="I711" s="26" t="s">
        <v>27</v>
      </c>
      <c r="J711" s="209" t="s">
        <v>7229</v>
      </c>
      <c r="K711" s="27"/>
      <c r="L711" s="26" t="s">
        <v>36</v>
      </c>
      <c r="M711" s="27" t="s">
        <v>1389</v>
      </c>
      <c r="N711" s="26" t="s">
        <v>4870</v>
      </c>
      <c r="O711" s="26" t="s">
        <v>4746</v>
      </c>
      <c r="P711" s="35"/>
      <c r="Q711" s="26" t="s">
        <v>40</v>
      </c>
      <c r="R711" s="26" t="s">
        <v>42</v>
      </c>
      <c r="S711" s="27" t="s">
        <v>3566</v>
      </c>
      <c r="T711" s="27"/>
      <c r="U711" s="35"/>
      <c r="V711" s="26"/>
      <c r="W711" s="26"/>
      <c r="X711" s="26" t="s">
        <v>46</v>
      </c>
    </row>
    <row r="712" hidden="1">
      <c r="A712" s="26">
        <v>712.0</v>
      </c>
      <c r="B712" s="188">
        <v>46189.0</v>
      </c>
      <c r="C712" s="26" t="s">
        <v>21</v>
      </c>
      <c r="D712" s="26" t="s">
        <v>60</v>
      </c>
      <c r="E712" s="26" t="s">
        <v>27</v>
      </c>
      <c r="F712" s="21">
        <v>5.99721257E8</v>
      </c>
      <c r="G712" s="26" t="s">
        <v>4740</v>
      </c>
      <c r="H712" s="27" t="s">
        <v>71</v>
      </c>
      <c r="I712" s="26" t="s">
        <v>27</v>
      </c>
      <c r="J712" s="209" t="s">
        <v>7230</v>
      </c>
      <c r="K712" s="27"/>
      <c r="L712" s="26" t="s">
        <v>36</v>
      </c>
      <c r="M712" s="27" t="s">
        <v>88</v>
      </c>
      <c r="N712" s="26" t="s">
        <v>4746</v>
      </c>
      <c r="O712" s="26" t="s">
        <v>4746</v>
      </c>
      <c r="P712" s="35"/>
      <c r="Q712" s="26" t="s">
        <v>56</v>
      </c>
      <c r="R712" s="26" t="s">
        <v>42</v>
      </c>
      <c r="S712" s="27" t="s">
        <v>3566</v>
      </c>
      <c r="T712" s="27"/>
      <c r="U712" s="35"/>
      <c r="V712" s="26"/>
      <c r="W712" s="26"/>
      <c r="X712" s="26"/>
    </row>
    <row r="713" hidden="1">
      <c r="A713" s="26">
        <v>713.0</v>
      </c>
      <c r="B713" s="188">
        <v>46190.0</v>
      </c>
      <c r="C713" s="26" t="s">
        <v>58</v>
      </c>
      <c r="D713" s="26" t="s">
        <v>60</v>
      </c>
      <c r="E713" s="26" t="s">
        <v>27</v>
      </c>
      <c r="F713" s="21">
        <v>5.52697851E8</v>
      </c>
      <c r="G713" s="26" t="s">
        <v>27</v>
      </c>
      <c r="H713" s="26" t="s">
        <v>27</v>
      </c>
      <c r="I713" s="26" t="s">
        <v>27</v>
      </c>
      <c r="J713" s="209" t="s">
        <v>554</v>
      </c>
      <c r="K713" s="27"/>
      <c r="L713" s="26" t="s">
        <v>36</v>
      </c>
      <c r="M713" s="27" t="s">
        <v>88</v>
      </c>
      <c r="N713" s="26" t="s">
        <v>4746</v>
      </c>
      <c r="O713" s="26" t="s">
        <v>4746</v>
      </c>
      <c r="P713" s="35"/>
      <c r="Q713" s="26" t="s">
        <v>56</v>
      </c>
      <c r="R713" s="26" t="s">
        <v>42</v>
      </c>
      <c r="S713" s="27" t="s">
        <v>3566</v>
      </c>
      <c r="T713" s="27"/>
      <c r="U713" s="35"/>
      <c r="V713" s="26"/>
      <c r="W713" s="26"/>
      <c r="X713" s="26"/>
    </row>
    <row r="714" ht="54.0" hidden="1" customHeight="1">
      <c r="A714" s="26">
        <v>714.0</v>
      </c>
      <c r="B714" s="188">
        <v>46190.0</v>
      </c>
      <c r="C714" s="26" t="s">
        <v>47</v>
      </c>
      <c r="D714" s="26" t="s">
        <v>60</v>
      </c>
      <c r="E714" s="26" t="s">
        <v>27</v>
      </c>
      <c r="F714" s="21"/>
      <c r="G714" s="26" t="s">
        <v>4740</v>
      </c>
      <c r="H714" s="27" t="s">
        <v>41</v>
      </c>
      <c r="I714" s="26" t="s">
        <v>956</v>
      </c>
      <c r="J714" s="209" t="s">
        <v>7231</v>
      </c>
      <c r="K714" s="27"/>
      <c r="L714" s="26" t="s">
        <v>78</v>
      </c>
      <c r="M714" s="27" t="s">
        <v>38</v>
      </c>
      <c r="N714" s="26" t="s">
        <v>49</v>
      </c>
      <c r="O714" s="26" t="s">
        <v>49</v>
      </c>
      <c r="P714" s="35"/>
      <c r="Q714" s="26" t="s">
        <v>56</v>
      </c>
      <c r="R714" s="26" t="s">
        <v>42</v>
      </c>
      <c r="S714" s="27" t="s">
        <v>3566</v>
      </c>
      <c r="T714" s="27"/>
      <c r="U714" s="35"/>
      <c r="V714" s="26"/>
      <c r="W714" s="26"/>
      <c r="X714" s="26"/>
    </row>
    <row r="715" ht="53.25" hidden="1" customHeight="1">
      <c r="A715" s="26">
        <v>715.0</v>
      </c>
      <c r="B715" s="188">
        <v>46190.0</v>
      </c>
      <c r="C715" s="26" t="s">
        <v>47</v>
      </c>
      <c r="D715" s="26" t="s">
        <v>60</v>
      </c>
      <c r="E715" s="26" t="s">
        <v>27</v>
      </c>
      <c r="F715" s="21"/>
      <c r="G715" s="26" t="s">
        <v>4740</v>
      </c>
      <c r="H715" s="27" t="s">
        <v>41</v>
      </c>
      <c r="I715" s="26" t="s">
        <v>513</v>
      </c>
      <c r="J715" s="209" t="s">
        <v>7233</v>
      </c>
      <c r="K715" s="27"/>
      <c r="L715" s="26" t="s">
        <v>78</v>
      </c>
      <c r="M715" s="27" t="s">
        <v>38</v>
      </c>
      <c r="N715" s="26" t="s">
        <v>49</v>
      </c>
      <c r="O715" s="26" t="s">
        <v>49</v>
      </c>
      <c r="P715" s="35"/>
      <c r="Q715" s="26" t="s">
        <v>56</v>
      </c>
      <c r="R715" s="26" t="s">
        <v>42</v>
      </c>
      <c r="S715" s="27" t="s">
        <v>3566</v>
      </c>
      <c r="T715" s="27"/>
      <c r="U715" s="35"/>
      <c r="V715" s="26"/>
      <c r="W715" s="26"/>
      <c r="X715" s="26"/>
    </row>
    <row r="716" ht="59.25" hidden="1" customHeight="1">
      <c r="A716" s="26">
        <v>716.0</v>
      </c>
      <c r="B716" s="188">
        <v>46190.0</v>
      </c>
      <c r="C716" s="26" t="s">
        <v>47</v>
      </c>
      <c r="D716" s="26" t="s">
        <v>92</v>
      </c>
      <c r="E716" s="26" t="s">
        <v>27</v>
      </c>
      <c r="F716" s="21" t="s">
        <v>27</v>
      </c>
      <c r="G716" s="26" t="s">
        <v>4740</v>
      </c>
      <c r="H716" s="27" t="s">
        <v>71</v>
      </c>
      <c r="I716" s="26" t="s">
        <v>1906</v>
      </c>
      <c r="J716" s="209" t="s">
        <v>7235</v>
      </c>
      <c r="K716" s="27"/>
      <c r="L716" s="26" t="s">
        <v>78</v>
      </c>
      <c r="M716" s="27" t="s">
        <v>7750</v>
      </c>
      <c r="N716" s="26" t="s">
        <v>4637</v>
      </c>
      <c r="O716" s="26" t="s">
        <v>49</v>
      </c>
      <c r="P716" s="35"/>
      <c r="Q716" s="26" t="s">
        <v>40</v>
      </c>
      <c r="R716" s="26" t="s">
        <v>42</v>
      </c>
      <c r="S716" s="27" t="s">
        <v>3566</v>
      </c>
      <c r="T716" s="27"/>
      <c r="U716" s="35"/>
      <c r="V716" s="26"/>
      <c r="W716" s="26"/>
      <c r="X716" s="26" t="s">
        <v>46</v>
      </c>
    </row>
    <row r="717" ht="107.25" hidden="1" customHeight="1">
      <c r="A717" s="26">
        <v>717.0</v>
      </c>
      <c r="B717" s="188">
        <v>46190.0</v>
      </c>
      <c r="C717" s="26" t="s">
        <v>58</v>
      </c>
      <c r="D717" s="26" t="s">
        <v>22</v>
      </c>
      <c r="E717" s="27" t="s">
        <v>6028</v>
      </c>
      <c r="F717" s="21">
        <v>5.30000888E8</v>
      </c>
      <c r="G717" s="26" t="s">
        <v>4852</v>
      </c>
      <c r="H717" s="27" t="s">
        <v>447</v>
      </c>
      <c r="I717" s="26" t="s">
        <v>27</v>
      </c>
      <c r="J717" s="209" t="s">
        <v>7236</v>
      </c>
      <c r="K717" s="27"/>
      <c r="L717" s="26" t="s">
        <v>78</v>
      </c>
      <c r="M717" s="27" t="s">
        <v>4868</v>
      </c>
      <c r="N717" s="26" t="s">
        <v>49</v>
      </c>
      <c r="O717" s="26" t="s">
        <v>49</v>
      </c>
      <c r="P717" s="35"/>
      <c r="Q717" s="26" t="s">
        <v>40</v>
      </c>
      <c r="R717" s="26" t="s">
        <v>42</v>
      </c>
      <c r="S717" s="27" t="s">
        <v>3566</v>
      </c>
      <c r="T717" s="27"/>
      <c r="U717" s="35"/>
      <c r="V717" s="26"/>
      <c r="W717" s="26"/>
      <c r="X717" s="26"/>
    </row>
    <row r="718" hidden="1">
      <c r="A718" s="26">
        <v>718.0</v>
      </c>
      <c r="B718" s="188">
        <v>46190.0</v>
      </c>
      <c r="C718" s="26" t="s">
        <v>58</v>
      </c>
      <c r="D718" s="26" t="s">
        <v>60</v>
      </c>
      <c r="E718" s="26" t="s">
        <v>27</v>
      </c>
      <c r="F718" s="21">
        <v>5.44891656E8</v>
      </c>
      <c r="G718" s="26" t="s">
        <v>27</v>
      </c>
      <c r="H718" s="26" t="s">
        <v>27</v>
      </c>
      <c r="I718" s="26" t="s">
        <v>27</v>
      </c>
      <c r="J718" s="209" t="s">
        <v>7238</v>
      </c>
      <c r="K718" s="27"/>
      <c r="L718" s="26" t="s">
        <v>65</v>
      </c>
      <c r="M718" s="27" t="s">
        <v>38</v>
      </c>
      <c r="N718" s="26" t="s">
        <v>4746</v>
      </c>
      <c r="O718" s="26" t="s">
        <v>4746</v>
      </c>
      <c r="P718" s="35"/>
      <c r="Q718" s="26" t="s">
        <v>56</v>
      </c>
      <c r="R718" s="26" t="s">
        <v>42</v>
      </c>
      <c r="S718" s="27" t="s">
        <v>3566</v>
      </c>
      <c r="T718" s="35"/>
      <c r="U718" s="26"/>
      <c r="V718" s="26"/>
      <c r="W718" s="26"/>
      <c r="X718" s="26"/>
    </row>
    <row r="719" hidden="1">
      <c r="A719" s="26">
        <v>719.0</v>
      </c>
      <c r="B719" s="188">
        <v>46190.0</v>
      </c>
      <c r="C719" s="26" t="s">
        <v>58</v>
      </c>
      <c r="D719" s="26" t="s">
        <v>60</v>
      </c>
      <c r="E719" s="26" t="s">
        <v>27</v>
      </c>
      <c r="F719" s="21">
        <v>5.99721257E8</v>
      </c>
      <c r="G719" s="26" t="s">
        <v>27</v>
      </c>
      <c r="H719" s="26" t="s">
        <v>27</v>
      </c>
      <c r="I719" s="26" t="s">
        <v>27</v>
      </c>
      <c r="J719" s="209" t="s">
        <v>7239</v>
      </c>
      <c r="K719" s="27"/>
      <c r="L719" s="26" t="s">
        <v>36</v>
      </c>
      <c r="M719" s="27" t="s">
        <v>88</v>
      </c>
      <c r="N719" s="26" t="s">
        <v>4746</v>
      </c>
      <c r="O719" s="26" t="s">
        <v>4746</v>
      </c>
      <c r="P719" s="35"/>
      <c r="Q719" s="26" t="s">
        <v>56</v>
      </c>
      <c r="R719" s="26" t="s">
        <v>42</v>
      </c>
      <c r="S719" s="27" t="s">
        <v>3566</v>
      </c>
      <c r="T719" s="35"/>
      <c r="U719" s="26"/>
      <c r="V719" s="26"/>
      <c r="W719" s="26"/>
      <c r="X719" s="26"/>
    </row>
    <row r="720" hidden="1">
      <c r="A720" s="26">
        <v>720.0</v>
      </c>
      <c r="B720" s="188">
        <v>46190.0</v>
      </c>
      <c r="C720" s="26" t="s">
        <v>21</v>
      </c>
      <c r="D720" s="26" t="s">
        <v>24</v>
      </c>
      <c r="E720" s="27" t="s">
        <v>4462</v>
      </c>
      <c r="F720" s="21">
        <v>5.95006877E8</v>
      </c>
      <c r="G720" s="26" t="s">
        <v>4769</v>
      </c>
      <c r="H720" s="27" t="s">
        <v>152</v>
      </c>
      <c r="I720" s="26" t="s">
        <v>27</v>
      </c>
      <c r="J720" s="209" t="s">
        <v>7240</v>
      </c>
      <c r="K720" s="27"/>
      <c r="L720" s="26" t="s">
        <v>62</v>
      </c>
      <c r="M720" s="27" t="s">
        <v>4802</v>
      </c>
      <c r="N720" s="26" t="s">
        <v>4803</v>
      </c>
      <c r="O720" s="26" t="s">
        <v>4746</v>
      </c>
      <c r="P720" s="35"/>
      <c r="Q720" s="26" t="s">
        <v>56</v>
      </c>
      <c r="R720" s="26" t="s">
        <v>42</v>
      </c>
      <c r="S720" s="27" t="s">
        <v>3566</v>
      </c>
      <c r="T720" s="27"/>
      <c r="U720" s="35"/>
      <c r="V720" s="26"/>
      <c r="W720" s="26"/>
      <c r="X720" s="26" t="s">
        <v>46</v>
      </c>
    </row>
    <row r="721" ht="65.25" hidden="1" customHeight="1">
      <c r="A721" s="26">
        <v>721.0</v>
      </c>
      <c r="B721" s="188">
        <v>46190.0</v>
      </c>
      <c r="C721" s="26" t="s">
        <v>47</v>
      </c>
      <c r="D721" s="26" t="s">
        <v>48</v>
      </c>
      <c r="E721" s="27" t="s">
        <v>7241</v>
      </c>
      <c r="F721" s="21">
        <v>5.44484914E8</v>
      </c>
      <c r="G721" s="26" t="s">
        <v>4740</v>
      </c>
      <c r="H721" s="27" t="s">
        <v>41</v>
      </c>
      <c r="I721" s="26" t="s">
        <v>1751</v>
      </c>
      <c r="J721" s="209" t="s">
        <v>7763</v>
      </c>
      <c r="K721" s="128"/>
      <c r="L721" s="26" t="s">
        <v>62</v>
      </c>
      <c r="M721" s="275" t="s">
        <v>5441</v>
      </c>
      <c r="N721" s="26" t="s">
        <v>4977</v>
      </c>
      <c r="O721" s="26" t="s">
        <v>4746</v>
      </c>
      <c r="P721" s="35">
        <v>0.6090277777777777</v>
      </c>
      <c r="Q721" s="26" t="s">
        <v>40</v>
      </c>
      <c r="R721" s="26" t="s">
        <v>3811</v>
      </c>
      <c r="S721" s="27" t="s">
        <v>3566</v>
      </c>
      <c r="T721" s="27" t="s">
        <v>3566</v>
      </c>
      <c r="U721" s="35">
        <v>0.6833333333333333</v>
      </c>
      <c r="V721" s="26" t="s">
        <v>44</v>
      </c>
      <c r="W721" s="26">
        <v>5.0</v>
      </c>
      <c r="X721" s="26" t="s">
        <v>46</v>
      </c>
    </row>
    <row r="722" hidden="1">
      <c r="A722" s="26">
        <v>722.0</v>
      </c>
      <c r="B722" s="188">
        <v>46190.0</v>
      </c>
      <c r="C722" s="26" t="s">
        <v>21</v>
      </c>
      <c r="D722" s="26" t="s">
        <v>34</v>
      </c>
      <c r="E722" s="27" t="s">
        <v>4170</v>
      </c>
      <c r="F722" s="21">
        <v>5.56965409E8</v>
      </c>
      <c r="G722" s="26" t="s">
        <v>27</v>
      </c>
      <c r="H722" s="26" t="s">
        <v>27</v>
      </c>
      <c r="I722" s="26" t="s">
        <v>27</v>
      </c>
      <c r="J722" s="209" t="s">
        <v>7243</v>
      </c>
      <c r="K722" s="27"/>
      <c r="L722" s="26" t="s">
        <v>62</v>
      </c>
      <c r="M722" s="27" t="s">
        <v>51</v>
      </c>
      <c r="N722" s="26" t="s">
        <v>4746</v>
      </c>
      <c r="O722" s="26" t="s">
        <v>4746</v>
      </c>
      <c r="P722" s="35"/>
      <c r="Q722" s="26" t="s">
        <v>56</v>
      </c>
      <c r="R722" s="26" t="s">
        <v>42</v>
      </c>
      <c r="S722" s="27" t="s">
        <v>3566</v>
      </c>
      <c r="T722" s="35"/>
      <c r="U722" s="26"/>
      <c r="V722" s="26"/>
      <c r="W722" s="26">
        <v>5.0</v>
      </c>
      <c r="X722" s="26"/>
    </row>
    <row r="723" hidden="1">
      <c r="A723" s="26">
        <v>723.0</v>
      </c>
      <c r="B723" s="188">
        <v>46190.0</v>
      </c>
      <c r="C723" s="26" t="s">
        <v>21</v>
      </c>
      <c r="D723" s="26" t="s">
        <v>34</v>
      </c>
      <c r="E723" s="26" t="s">
        <v>7244</v>
      </c>
      <c r="F723" s="21">
        <v>5.41500858E8</v>
      </c>
      <c r="G723" s="26" t="s">
        <v>27</v>
      </c>
      <c r="H723" s="26" t="s">
        <v>27</v>
      </c>
      <c r="I723" s="26" t="s">
        <v>27</v>
      </c>
      <c r="J723" s="209" t="s">
        <v>4430</v>
      </c>
      <c r="K723" s="27"/>
      <c r="L723" s="26" t="s">
        <v>62</v>
      </c>
      <c r="M723" s="27" t="s">
        <v>51</v>
      </c>
      <c r="N723" s="26" t="s">
        <v>4746</v>
      </c>
      <c r="O723" s="26" t="s">
        <v>4746</v>
      </c>
      <c r="P723" s="35"/>
      <c r="Q723" s="26" t="s">
        <v>56</v>
      </c>
      <c r="R723" s="26" t="s">
        <v>42</v>
      </c>
      <c r="S723" s="27" t="s">
        <v>3566</v>
      </c>
      <c r="T723" s="35"/>
      <c r="U723" s="26"/>
      <c r="V723" s="26"/>
      <c r="W723" s="26">
        <v>5.0</v>
      </c>
      <c r="X723" s="26"/>
    </row>
    <row r="724" hidden="1">
      <c r="A724" s="26">
        <v>724.0</v>
      </c>
      <c r="B724" s="188">
        <v>46190.0</v>
      </c>
      <c r="C724" s="26" t="s">
        <v>58</v>
      </c>
      <c r="D724" s="26" t="s">
        <v>60</v>
      </c>
      <c r="E724" s="26" t="s">
        <v>27</v>
      </c>
      <c r="F724" s="21">
        <v>5.04700477E8</v>
      </c>
      <c r="G724" s="26" t="s">
        <v>27</v>
      </c>
      <c r="H724" s="26" t="s">
        <v>27</v>
      </c>
      <c r="I724" s="26" t="s">
        <v>27</v>
      </c>
      <c r="J724" s="209" t="s">
        <v>7245</v>
      </c>
      <c r="K724" s="27"/>
      <c r="L724" s="26" t="s">
        <v>62</v>
      </c>
      <c r="M724" s="27" t="s">
        <v>88</v>
      </c>
      <c r="N724" s="26" t="s">
        <v>4746</v>
      </c>
      <c r="O724" s="26" t="s">
        <v>4746</v>
      </c>
      <c r="P724" s="35"/>
      <c r="Q724" s="26" t="s">
        <v>56</v>
      </c>
      <c r="R724" s="26" t="s">
        <v>42</v>
      </c>
      <c r="S724" s="27" t="s">
        <v>3566</v>
      </c>
      <c r="T724" s="35"/>
      <c r="U724" s="26"/>
      <c r="V724" s="26"/>
      <c r="W724" s="26">
        <v>5.0</v>
      </c>
      <c r="X724" s="26"/>
    </row>
    <row r="725" hidden="1">
      <c r="A725" s="26">
        <v>725.0</v>
      </c>
      <c r="B725" s="188">
        <v>46190.0</v>
      </c>
      <c r="C725" s="26" t="s">
        <v>58</v>
      </c>
      <c r="D725" s="26" t="s">
        <v>24</v>
      </c>
      <c r="E725" s="27" t="s">
        <v>7246</v>
      </c>
      <c r="F725" s="21">
        <v>5.3323095E8</v>
      </c>
      <c r="G725" s="26" t="s">
        <v>5023</v>
      </c>
      <c r="H725" s="407" t="s">
        <v>2174</v>
      </c>
      <c r="I725" s="26" t="s">
        <v>27</v>
      </c>
      <c r="J725" s="209" t="s">
        <v>7247</v>
      </c>
      <c r="K725" s="179"/>
      <c r="L725" s="26" t="s">
        <v>62</v>
      </c>
      <c r="M725" s="27" t="s">
        <v>4955</v>
      </c>
      <c r="N725" s="26" t="s">
        <v>49</v>
      </c>
      <c r="O725" s="26" t="s">
        <v>4746</v>
      </c>
      <c r="P725" s="35"/>
      <c r="Q725" s="26" t="s">
        <v>56</v>
      </c>
      <c r="R725" s="26" t="s">
        <v>301</v>
      </c>
      <c r="S725" s="27" t="s">
        <v>3566</v>
      </c>
      <c r="T725" s="35"/>
      <c r="U725" s="26"/>
      <c r="V725" s="26"/>
      <c r="W725" s="26">
        <v>5.0</v>
      </c>
      <c r="X725" s="26"/>
    </row>
    <row r="726" hidden="1">
      <c r="A726" s="26">
        <v>726.0</v>
      </c>
      <c r="B726" s="188">
        <v>46190.0</v>
      </c>
      <c r="C726" s="26" t="s">
        <v>58</v>
      </c>
      <c r="D726" s="26" t="s">
        <v>60</v>
      </c>
      <c r="E726" s="26" t="s">
        <v>27</v>
      </c>
      <c r="F726" s="21">
        <v>5.09610379E8</v>
      </c>
      <c r="G726" s="26" t="s">
        <v>27</v>
      </c>
      <c r="H726" s="26" t="s">
        <v>27</v>
      </c>
      <c r="I726" s="26" t="s">
        <v>27</v>
      </c>
      <c r="J726" s="209" t="s">
        <v>7248</v>
      </c>
      <c r="K726" s="27"/>
      <c r="L726" s="26" t="s">
        <v>62</v>
      </c>
      <c r="M726" s="27" t="s">
        <v>88</v>
      </c>
      <c r="N726" s="26" t="s">
        <v>4746</v>
      </c>
      <c r="O726" s="26" t="s">
        <v>4746</v>
      </c>
      <c r="P726" s="35"/>
      <c r="Q726" s="26" t="s">
        <v>56</v>
      </c>
      <c r="R726" s="26" t="s">
        <v>42</v>
      </c>
      <c r="S726" s="27" t="s">
        <v>3566</v>
      </c>
      <c r="T726" s="35"/>
      <c r="U726" s="26"/>
      <c r="V726" s="26"/>
      <c r="W726" s="26">
        <v>5.0</v>
      </c>
      <c r="X726" s="26"/>
    </row>
    <row r="727" hidden="1">
      <c r="A727" s="26">
        <v>727.0</v>
      </c>
      <c r="B727" s="188">
        <v>46190.0</v>
      </c>
      <c r="C727" s="26" t="s">
        <v>58</v>
      </c>
      <c r="D727" s="26" t="s">
        <v>60</v>
      </c>
      <c r="E727" s="26" t="s">
        <v>27</v>
      </c>
      <c r="F727" s="21">
        <v>5.32649104E8</v>
      </c>
      <c r="G727" s="26" t="s">
        <v>27</v>
      </c>
      <c r="H727" s="26" t="s">
        <v>27</v>
      </c>
      <c r="I727" s="26" t="s">
        <v>27</v>
      </c>
      <c r="J727" s="209" t="s">
        <v>7249</v>
      </c>
      <c r="K727" s="27"/>
      <c r="L727" s="26" t="s">
        <v>62</v>
      </c>
      <c r="M727" s="27" t="s">
        <v>88</v>
      </c>
      <c r="N727" s="26" t="s">
        <v>4746</v>
      </c>
      <c r="O727" s="26" t="s">
        <v>4746</v>
      </c>
      <c r="P727" s="35"/>
      <c r="Q727" s="26" t="s">
        <v>56</v>
      </c>
      <c r="R727" s="26" t="s">
        <v>42</v>
      </c>
      <c r="S727" s="27" t="s">
        <v>3566</v>
      </c>
      <c r="T727" s="35"/>
      <c r="U727" s="26"/>
      <c r="V727" s="26"/>
      <c r="W727" s="26">
        <v>5.0</v>
      </c>
      <c r="X727" s="26"/>
    </row>
    <row r="728" hidden="1">
      <c r="A728" s="26">
        <v>728.0</v>
      </c>
      <c r="B728" s="188">
        <v>46190.0</v>
      </c>
      <c r="C728" s="26" t="s">
        <v>21</v>
      </c>
      <c r="D728" s="26" t="s">
        <v>24</v>
      </c>
      <c r="E728" s="27" t="s">
        <v>7250</v>
      </c>
      <c r="F728" s="21">
        <v>5.50033581E8</v>
      </c>
      <c r="G728" s="26" t="s">
        <v>4740</v>
      </c>
      <c r="H728" s="27" t="s">
        <v>41</v>
      </c>
      <c r="I728" s="26" t="s">
        <v>27</v>
      </c>
      <c r="J728" s="209" t="s">
        <v>7251</v>
      </c>
      <c r="K728" s="27"/>
      <c r="L728" s="26" t="s">
        <v>457</v>
      </c>
      <c r="M728" s="27" t="s">
        <v>4982</v>
      </c>
      <c r="N728" s="26" t="s">
        <v>4803</v>
      </c>
      <c r="O728" s="26" t="s">
        <v>4746</v>
      </c>
      <c r="P728" s="35"/>
      <c r="Q728" s="26" t="s">
        <v>56</v>
      </c>
      <c r="R728" s="26" t="s">
        <v>42</v>
      </c>
      <c r="S728" s="27" t="s">
        <v>3566</v>
      </c>
      <c r="T728" s="27"/>
      <c r="U728" s="35"/>
      <c r="V728" s="26"/>
      <c r="W728" s="26">
        <v>5.0</v>
      </c>
      <c r="X728" s="26" t="s">
        <v>46</v>
      </c>
    </row>
    <row r="729" hidden="1">
      <c r="A729" s="26">
        <v>729.0</v>
      </c>
      <c r="B729" s="188">
        <v>46190.0</v>
      </c>
      <c r="C729" s="26" t="s">
        <v>21</v>
      </c>
      <c r="D729" s="26" t="s">
        <v>24</v>
      </c>
      <c r="E729" s="27" t="s">
        <v>7252</v>
      </c>
      <c r="F729" s="21">
        <v>5.054519216E9</v>
      </c>
      <c r="G729" s="26" t="s">
        <v>4740</v>
      </c>
      <c r="H729" s="27" t="s">
        <v>41</v>
      </c>
      <c r="I729" s="26" t="s">
        <v>27</v>
      </c>
      <c r="J729" s="209" t="s">
        <v>7253</v>
      </c>
      <c r="K729" s="27"/>
      <c r="L729" s="26" t="s">
        <v>457</v>
      </c>
      <c r="M729" s="27" t="s">
        <v>5046</v>
      </c>
      <c r="N729" s="26" t="s">
        <v>4803</v>
      </c>
      <c r="O729" s="26" t="s">
        <v>4746</v>
      </c>
      <c r="P729" s="35"/>
      <c r="Q729" s="26" t="s">
        <v>56</v>
      </c>
      <c r="R729" s="26" t="s">
        <v>42</v>
      </c>
      <c r="S729" s="27" t="s">
        <v>3566</v>
      </c>
      <c r="T729" s="27"/>
      <c r="U729" s="35"/>
      <c r="V729" s="26"/>
      <c r="W729" s="26">
        <v>5.0</v>
      </c>
      <c r="X729" s="26" t="s">
        <v>46</v>
      </c>
    </row>
    <row r="730" hidden="1">
      <c r="A730" s="26">
        <v>730.0</v>
      </c>
      <c r="B730" s="188">
        <v>46190.0</v>
      </c>
      <c r="C730" s="26" t="s">
        <v>21</v>
      </c>
      <c r="D730" s="26" t="s">
        <v>24</v>
      </c>
      <c r="E730" s="27" t="s">
        <v>7255</v>
      </c>
      <c r="F730" s="21">
        <v>5.57182813E8</v>
      </c>
      <c r="G730" s="26" t="s">
        <v>4740</v>
      </c>
      <c r="H730" s="27" t="s">
        <v>41</v>
      </c>
      <c r="I730" s="26" t="s">
        <v>27</v>
      </c>
      <c r="J730" s="209" t="s">
        <v>7256</v>
      </c>
      <c r="K730" s="27"/>
      <c r="L730" s="26" t="s">
        <v>457</v>
      </c>
      <c r="M730" s="27" t="s">
        <v>630</v>
      </c>
      <c r="N730" s="26" t="s">
        <v>4803</v>
      </c>
      <c r="O730" s="26" t="s">
        <v>4746</v>
      </c>
      <c r="P730" s="35"/>
      <c r="Q730" s="26" t="s">
        <v>56</v>
      </c>
      <c r="R730" s="26" t="s">
        <v>42</v>
      </c>
      <c r="S730" s="27" t="s">
        <v>3566</v>
      </c>
      <c r="T730" s="27"/>
      <c r="U730" s="35"/>
      <c r="V730" s="26"/>
      <c r="W730" s="26">
        <v>5.0</v>
      </c>
      <c r="X730" s="26" t="s">
        <v>46</v>
      </c>
    </row>
    <row r="731" hidden="1">
      <c r="A731" s="26">
        <v>731.0</v>
      </c>
      <c r="B731" s="188">
        <v>46190.0</v>
      </c>
      <c r="C731" s="26" t="s">
        <v>21</v>
      </c>
      <c r="D731" s="26" t="s">
        <v>22</v>
      </c>
      <c r="E731" s="27" t="s">
        <v>7257</v>
      </c>
      <c r="F731" s="21">
        <v>5.30686821E8</v>
      </c>
      <c r="G731" s="26" t="s">
        <v>5023</v>
      </c>
      <c r="H731" s="27" t="s">
        <v>198</v>
      </c>
      <c r="I731" s="26" t="s">
        <v>27</v>
      </c>
      <c r="J731" s="209" t="s">
        <v>7258</v>
      </c>
      <c r="K731" s="27"/>
      <c r="L731" s="26" t="s">
        <v>457</v>
      </c>
      <c r="M731" s="27" t="s">
        <v>1389</v>
      </c>
      <c r="N731" s="26" t="s">
        <v>4870</v>
      </c>
      <c r="O731" s="26" t="s">
        <v>4746</v>
      </c>
      <c r="P731" s="35"/>
      <c r="Q731" s="26" t="s">
        <v>40</v>
      </c>
      <c r="R731" s="26" t="s">
        <v>42</v>
      </c>
      <c r="S731" s="27" t="s">
        <v>3566</v>
      </c>
      <c r="T731" s="35"/>
      <c r="U731" s="35"/>
      <c r="V731" s="26"/>
      <c r="W731" s="26">
        <v>5.0</v>
      </c>
      <c r="X731" s="26" t="s">
        <v>46</v>
      </c>
    </row>
    <row r="732" hidden="1">
      <c r="A732" s="26">
        <v>732.0</v>
      </c>
      <c r="B732" s="188">
        <v>46190.0</v>
      </c>
      <c r="C732" s="26" t="s">
        <v>21</v>
      </c>
      <c r="D732" s="26" t="s">
        <v>22</v>
      </c>
      <c r="E732" s="27" t="s">
        <v>7260</v>
      </c>
      <c r="F732" s="21">
        <v>5.64244485E8</v>
      </c>
      <c r="G732" s="26" t="s">
        <v>4740</v>
      </c>
      <c r="H732" s="27" t="s">
        <v>79</v>
      </c>
      <c r="I732" s="26" t="s">
        <v>27</v>
      </c>
      <c r="J732" s="209" t="s">
        <v>7261</v>
      </c>
      <c r="K732" s="27"/>
      <c r="L732" s="26" t="s">
        <v>457</v>
      </c>
      <c r="M732" s="27" t="s">
        <v>4868</v>
      </c>
      <c r="N732" s="26" t="s">
        <v>4870</v>
      </c>
      <c r="O732" s="26" t="s">
        <v>4746</v>
      </c>
      <c r="P732" s="35"/>
      <c r="Q732" s="26" t="s">
        <v>40</v>
      </c>
      <c r="R732" s="26" t="s">
        <v>42</v>
      </c>
      <c r="S732" s="27" t="s">
        <v>3566</v>
      </c>
      <c r="T732" s="35"/>
      <c r="U732" s="35"/>
      <c r="V732" s="26"/>
      <c r="W732" s="26">
        <v>5.0</v>
      </c>
      <c r="X732" s="26" t="s">
        <v>46</v>
      </c>
    </row>
    <row r="733" hidden="1">
      <c r="A733" s="26">
        <v>733.0</v>
      </c>
      <c r="B733" s="188">
        <v>46190.0</v>
      </c>
      <c r="C733" s="26" t="s">
        <v>21</v>
      </c>
      <c r="D733" s="26" t="s">
        <v>22</v>
      </c>
      <c r="E733" s="27" t="s">
        <v>1197</v>
      </c>
      <c r="F733" s="21">
        <v>5.58899347E8</v>
      </c>
      <c r="G733" s="26" t="s">
        <v>7529</v>
      </c>
      <c r="H733" s="27" t="s">
        <v>6825</v>
      </c>
      <c r="I733" s="26" t="s">
        <v>27</v>
      </c>
      <c r="J733" s="209" t="s">
        <v>7262</v>
      </c>
      <c r="K733" s="27"/>
      <c r="L733" s="26" t="s">
        <v>457</v>
      </c>
      <c r="M733" s="27" t="s">
        <v>1389</v>
      </c>
      <c r="N733" s="26" t="s">
        <v>4870</v>
      </c>
      <c r="O733" s="26" t="s">
        <v>4746</v>
      </c>
      <c r="P733" s="35"/>
      <c r="Q733" s="26" t="s">
        <v>40</v>
      </c>
      <c r="R733" s="26" t="s">
        <v>42</v>
      </c>
      <c r="S733" s="27" t="s">
        <v>3566</v>
      </c>
      <c r="T733" s="35"/>
      <c r="U733" s="35"/>
      <c r="V733" s="26"/>
      <c r="W733" s="26">
        <v>5.0</v>
      </c>
      <c r="X733" s="26" t="s">
        <v>46</v>
      </c>
    </row>
    <row r="734" hidden="1">
      <c r="A734" s="26">
        <v>734.0</v>
      </c>
      <c r="B734" s="188">
        <v>46190.0</v>
      </c>
      <c r="C734" s="26" t="s">
        <v>21</v>
      </c>
      <c r="D734" s="26" t="s">
        <v>22</v>
      </c>
      <c r="E734" s="27" t="s">
        <v>7263</v>
      </c>
      <c r="F734" s="21">
        <v>5.0003053E8</v>
      </c>
      <c r="G734" s="26" t="s">
        <v>4740</v>
      </c>
      <c r="H734" s="19" t="s">
        <v>1107</v>
      </c>
      <c r="I734" s="26" t="s">
        <v>27</v>
      </c>
      <c r="J734" s="209" t="s">
        <v>7264</v>
      </c>
      <c r="K734" s="27"/>
      <c r="L734" s="26" t="s">
        <v>457</v>
      </c>
      <c r="M734" s="27" t="s">
        <v>4868</v>
      </c>
      <c r="N734" s="26" t="s">
        <v>4870</v>
      </c>
      <c r="O734" s="26" t="s">
        <v>4746</v>
      </c>
      <c r="P734" s="35"/>
      <c r="Q734" s="26" t="s">
        <v>40</v>
      </c>
      <c r="R734" s="26" t="s">
        <v>42</v>
      </c>
      <c r="S734" s="27" t="s">
        <v>3566</v>
      </c>
      <c r="T734" s="35"/>
      <c r="U734" s="35"/>
      <c r="V734" s="26"/>
      <c r="W734" s="26">
        <v>5.0</v>
      </c>
      <c r="X734" s="26" t="s">
        <v>46</v>
      </c>
    </row>
    <row r="735" hidden="1">
      <c r="A735" s="26">
        <v>735.0</v>
      </c>
      <c r="B735" s="188">
        <v>46190.0</v>
      </c>
      <c r="C735" s="26" t="s">
        <v>21</v>
      </c>
      <c r="D735" s="26" t="s">
        <v>22</v>
      </c>
      <c r="E735" s="27" t="s">
        <v>184</v>
      </c>
      <c r="F735" s="21">
        <v>5.57573113E8</v>
      </c>
      <c r="G735" s="21" t="s">
        <v>6975</v>
      </c>
      <c r="H735" s="19" t="s">
        <v>5957</v>
      </c>
      <c r="I735" s="26" t="s">
        <v>27</v>
      </c>
      <c r="J735" s="209" t="s">
        <v>7265</v>
      </c>
      <c r="K735" s="27"/>
      <c r="L735" s="26" t="s">
        <v>457</v>
      </c>
      <c r="M735" s="27" t="s">
        <v>1389</v>
      </c>
      <c r="N735" s="26" t="s">
        <v>4870</v>
      </c>
      <c r="O735" s="26" t="s">
        <v>4746</v>
      </c>
      <c r="P735" s="35"/>
      <c r="Q735" s="26" t="s">
        <v>40</v>
      </c>
      <c r="R735" s="26" t="s">
        <v>42</v>
      </c>
      <c r="S735" s="27" t="s">
        <v>3566</v>
      </c>
      <c r="T735" s="35"/>
      <c r="U735" s="35"/>
      <c r="V735" s="26"/>
      <c r="W735" s="26">
        <v>5.0</v>
      </c>
      <c r="X735" s="26" t="s">
        <v>46</v>
      </c>
    </row>
    <row r="736" hidden="1">
      <c r="A736" s="26">
        <v>736.0</v>
      </c>
      <c r="B736" s="188">
        <v>46190.0</v>
      </c>
      <c r="C736" s="26" t="s">
        <v>21</v>
      </c>
      <c r="D736" s="26" t="s">
        <v>22</v>
      </c>
      <c r="E736" s="27" t="s">
        <v>7266</v>
      </c>
      <c r="F736" s="21">
        <v>5.0333606E8</v>
      </c>
      <c r="G736" s="26" t="s">
        <v>4975</v>
      </c>
      <c r="H736" s="27" t="s">
        <v>362</v>
      </c>
      <c r="I736" s="26" t="s">
        <v>27</v>
      </c>
      <c r="J736" s="209" t="s">
        <v>7267</v>
      </c>
      <c r="K736" s="27"/>
      <c r="L736" s="26" t="s">
        <v>457</v>
      </c>
      <c r="M736" s="27" t="s">
        <v>4868</v>
      </c>
      <c r="N736" s="26" t="s">
        <v>4870</v>
      </c>
      <c r="O736" s="26" t="s">
        <v>4746</v>
      </c>
      <c r="P736" s="35"/>
      <c r="Q736" s="26" t="s">
        <v>40</v>
      </c>
      <c r="R736" s="26" t="s">
        <v>42</v>
      </c>
      <c r="S736" s="27" t="s">
        <v>3566</v>
      </c>
      <c r="T736" s="35"/>
      <c r="U736" s="35"/>
      <c r="V736" s="26"/>
      <c r="W736" s="26">
        <v>5.0</v>
      </c>
      <c r="X736" s="26" t="s">
        <v>46</v>
      </c>
    </row>
    <row r="737" hidden="1">
      <c r="A737" s="26">
        <v>737.0</v>
      </c>
      <c r="B737" s="188">
        <v>46190.0</v>
      </c>
      <c r="C737" s="26" t="s">
        <v>21</v>
      </c>
      <c r="D737" s="26" t="s">
        <v>34</v>
      </c>
      <c r="E737" s="27" t="s">
        <v>7268</v>
      </c>
      <c r="F737" s="21">
        <v>5.62848257E8</v>
      </c>
      <c r="G737" s="26" t="s">
        <v>4740</v>
      </c>
      <c r="H737" s="27" t="s">
        <v>71</v>
      </c>
      <c r="I737" s="26" t="s">
        <v>27</v>
      </c>
      <c r="J737" s="209" t="s">
        <v>7269</v>
      </c>
      <c r="K737" s="27"/>
      <c r="L737" s="26" t="s">
        <v>39</v>
      </c>
      <c r="M737" s="27" t="s">
        <v>51</v>
      </c>
      <c r="N737" s="26" t="s">
        <v>4746</v>
      </c>
      <c r="O737" s="26" t="s">
        <v>4746</v>
      </c>
      <c r="P737" s="35"/>
      <c r="Q737" s="26" t="s">
        <v>56</v>
      </c>
      <c r="R737" s="26" t="s">
        <v>42</v>
      </c>
      <c r="S737" s="27" t="s">
        <v>3566</v>
      </c>
      <c r="T737" s="35"/>
      <c r="U737" s="26"/>
      <c r="V737" s="26"/>
      <c r="W737" s="26">
        <v>5.0</v>
      </c>
      <c r="X737" s="26"/>
    </row>
    <row r="738" hidden="1">
      <c r="A738" s="26">
        <v>738.0</v>
      </c>
      <c r="B738" s="188">
        <v>46190.0</v>
      </c>
      <c r="C738" s="26" t="s">
        <v>21</v>
      </c>
      <c r="D738" s="26" t="s">
        <v>34</v>
      </c>
      <c r="E738" s="27" t="s">
        <v>7270</v>
      </c>
      <c r="F738" s="21">
        <v>5.96368002E8</v>
      </c>
      <c r="G738" s="26" t="s">
        <v>27</v>
      </c>
      <c r="H738" s="26" t="s">
        <v>27</v>
      </c>
      <c r="I738" s="26" t="s">
        <v>27</v>
      </c>
      <c r="J738" s="209" t="s">
        <v>7271</v>
      </c>
      <c r="K738" s="27"/>
      <c r="L738" s="26" t="s">
        <v>39</v>
      </c>
      <c r="M738" s="27" t="s">
        <v>51</v>
      </c>
      <c r="N738" s="26" t="s">
        <v>4746</v>
      </c>
      <c r="O738" s="26" t="s">
        <v>4746</v>
      </c>
      <c r="P738" s="35"/>
      <c r="Q738" s="26" t="s">
        <v>56</v>
      </c>
      <c r="R738" s="26" t="s">
        <v>42</v>
      </c>
      <c r="S738" s="27" t="s">
        <v>3566</v>
      </c>
      <c r="T738" s="35"/>
      <c r="U738" s="26"/>
      <c r="V738" s="26"/>
      <c r="W738" s="26">
        <v>5.0</v>
      </c>
      <c r="X738" s="26"/>
    </row>
    <row r="739" hidden="1">
      <c r="A739" s="26">
        <v>739.0</v>
      </c>
      <c r="B739" s="188">
        <v>46190.0</v>
      </c>
      <c r="C739" s="26" t="s">
        <v>21</v>
      </c>
      <c r="D739" s="26" t="s">
        <v>34</v>
      </c>
      <c r="E739" s="27" t="s">
        <v>7272</v>
      </c>
      <c r="F739" s="21">
        <v>5.66835378E8</v>
      </c>
      <c r="G739" s="26" t="s">
        <v>27</v>
      </c>
      <c r="H739" s="26" t="s">
        <v>27</v>
      </c>
      <c r="I739" s="26" t="s">
        <v>27</v>
      </c>
      <c r="J739" s="209" t="s">
        <v>7273</v>
      </c>
      <c r="K739" s="27"/>
      <c r="L739" s="26" t="s">
        <v>39</v>
      </c>
      <c r="M739" s="27" t="s">
        <v>51</v>
      </c>
      <c r="N739" s="26" t="s">
        <v>4746</v>
      </c>
      <c r="O739" s="26" t="s">
        <v>4746</v>
      </c>
      <c r="P739" s="35"/>
      <c r="Q739" s="26" t="s">
        <v>56</v>
      </c>
      <c r="R739" s="26" t="s">
        <v>42</v>
      </c>
      <c r="S739" s="27" t="s">
        <v>3566</v>
      </c>
      <c r="T739" s="35"/>
      <c r="U739" s="26"/>
      <c r="V739" s="26"/>
      <c r="W739" s="26">
        <v>5.0</v>
      </c>
      <c r="X739" s="26"/>
    </row>
    <row r="740" hidden="1">
      <c r="A740" s="26">
        <v>740.0</v>
      </c>
      <c r="B740" s="188">
        <v>46190.0</v>
      </c>
      <c r="C740" s="26" t="s">
        <v>21</v>
      </c>
      <c r="D740" s="26" t="s">
        <v>34</v>
      </c>
      <c r="E740" s="27" t="s">
        <v>7274</v>
      </c>
      <c r="F740" s="461">
        <f>+966593019190</f>
        <v>966593019190</v>
      </c>
      <c r="G740" s="26" t="s">
        <v>27</v>
      </c>
      <c r="H740" s="26" t="s">
        <v>27</v>
      </c>
      <c r="I740" s="26" t="s">
        <v>27</v>
      </c>
      <c r="J740" s="209" t="s">
        <v>7275</v>
      </c>
      <c r="K740" s="27"/>
      <c r="L740" s="26" t="s">
        <v>39</v>
      </c>
      <c r="M740" s="27" t="s">
        <v>51</v>
      </c>
      <c r="N740" s="26" t="s">
        <v>4746</v>
      </c>
      <c r="O740" s="26" t="s">
        <v>4746</v>
      </c>
      <c r="P740" s="35"/>
      <c r="Q740" s="26" t="s">
        <v>56</v>
      </c>
      <c r="R740" s="26" t="s">
        <v>42</v>
      </c>
      <c r="S740" s="27" t="s">
        <v>3566</v>
      </c>
      <c r="T740" s="35"/>
      <c r="U740" s="26"/>
      <c r="V740" s="26"/>
      <c r="W740" s="26">
        <v>5.0</v>
      </c>
      <c r="X740" s="26"/>
    </row>
    <row r="741" hidden="1">
      <c r="A741" s="26">
        <v>741.0</v>
      </c>
      <c r="B741" s="188">
        <v>46190.0</v>
      </c>
      <c r="C741" s="26" t="s">
        <v>21</v>
      </c>
      <c r="D741" s="26" t="s">
        <v>34</v>
      </c>
      <c r="E741" s="26" t="s">
        <v>7276</v>
      </c>
      <c r="F741" s="461">
        <f>+966571981993</f>
        <v>966571981993</v>
      </c>
      <c r="G741" s="26" t="s">
        <v>27</v>
      </c>
      <c r="H741" s="26" t="s">
        <v>27</v>
      </c>
      <c r="I741" s="26" t="s">
        <v>27</v>
      </c>
      <c r="J741" s="351" t="s">
        <v>7277</v>
      </c>
      <c r="K741" s="27"/>
      <c r="L741" s="26" t="s">
        <v>39</v>
      </c>
      <c r="M741" s="27" t="s">
        <v>51</v>
      </c>
      <c r="N741" s="26" t="s">
        <v>4746</v>
      </c>
      <c r="O741" s="26" t="s">
        <v>4746</v>
      </c>
      <c r="P741" s="35"/>
      <c r="Q741" s="26" t="s">
        <v>56</v>
      </c>
      <c r="R741" s="26" t="s">
        <v>42</v>
      </c>
      <c r="S741" s="27" t="s">
        <v>3566</v>
      </c>
      <c r="T741" s="35"/>
      <c r="U741" s="26"/>
      <c r="V741" s="26"/>
      <c r="W741" s="26">
        <v>5.0</v>
      </c>
      <c r="X741" s="26"/>
    </row>
    <row r="742" hidden="1">
      <c r="A742" s="26">
        <v>742.0</v>
      </c>
      <c r="B742" s="188">
        <v>46190.0</v>
      </c>
      <c r="C742" s="26" t="s">
        <v>21</v>
      </c>
      <c r="D742" s="26" t="s">
        <v>34</v>
      </c>
      <c r="E742" s="27" t="s">
        <v>7278</v>
      </c>
      <c r="F742" s="461">
        <f>+966569425560</f>
        <v>966569425560</v>
      </c>
      <c r="G742" s="26" t="s">
        <v>27</v>
      </c>
      <c r="H742" s="26" t="s">
        <v>27</v>
      </c>
      <c r="I742" s="26" t="s">
        <v>27</v>
      </c>
      <c r="J742" s="209" t="s">
        <v>7279</v>
      </c>
      <c r="K742" s="27"/>
      <c r="L742" s="26" t="s">
        <v>39</v>
      </c>
      <c r="M742" s="27" t="s">
        <v>51</v>
      </c>
      <c r="N742" s="26" t="s">
        <v>4746</v>
      </c>
      <c r="O742" s="26" t="s">
        <v>4746</v>
      </c>
      <c r="P742" s="35"/>
      <c r="Q742" s="26" t="s">
        <v>56</v>
      </c>
      <c r="R742" s="26" t="s">
        <v>42</v>
      </c>
      <c r="S742" s="27" t="s">
        <v>3566</v>
      </c>
      <c r="T742" s="35"/>
      <c r="U742" s="26"/>
      <c r="V742" s="26"/>
      <c r="W742" s="26">
        <v>5.0</v>
      </c>
      <c r="X742" s="26"/>
    </row>
    <row r="743" hidden="1">
      <c r="A743" s="26">
        <v>743.0</v>
      </c>
      <c r="B743" s="188">
        <v>46190.0</v>
      </c>
      <c r="C743" s="26" t="s">
        <v>21</v>
      </c>
      <c r="D743" s="26" t="s">
        <v>34</v>
      </c>
      <c r="E743" s="27" t="s">
        <v>7280</v>
      </c>
      <c r="F743" s="461">
        <f>+966546067758</f>
        <v>966546067758</v>
      </c>
      <c r="G743" s="26" t="s">
        <v>27</v>
      </c>
      <c r="H743" s="26" t="s">
        <v>27</v>
      </c>
      <c r="I743" s="26" t="s">
        <v>27</v>
      </c>
      <c r="J743" s="209" t="s">
        <v>7281</v>
      </c>
      <c r="K743" s="27"/>
      <c r="L743" s="26" t="s">
        <v>39</v>
      </c>
      <c r="M743" s="27" t="s">
        <v>51</v>
      </c>
      <c r="N743" s="26" t="s">
        <v>4746</v>
      </c>
      <c r="O743" s="26" t="s">
        <v>4746</v>
      </c>
      <c r="P743" s="35"/>
      <c r="Q743" s="26" t="s">
        <v>56</v>
      </c>
      <c r="R743" s="26" t="s">
        <v>42</v>
      </c>
      <c r="S743" s="27" t="s">
        <v>3566</v>
      </c>
      <c r="T743" s="35"/>
      <c r="U743" s="26"/>
      <c r="V743" s="26"/>
      <c r="W743" s="26">
        <v>5.0</v>
      </c>
      <c r="X743" s="26"/>
    </row>
    <row r="744" hidden="1">
      <c r="A744" s="26">
        <v>744.0</v>
      </c>
      <c r="B744" s="188">
        <v>46190.0</v>
      </c>
      <c r="C744" s="26" t="s">
        <v>21</v>
      </c>
      <c r="D744" s="26" t="s">
        <v>34</v>
      </c>
      <c r="E744" s="27" t="s">
        <v>7094</v>
      </c>
      <c r="F744" s="461">
        <f>+966580523370</f>
        <v>966580523370</v>
      </c>
      <c r="G744" s="26" t="s">
        <v>27</v>
      </c>
      <c r="H744" s="26" t="s">
        <v>27</v>
      </c>
      <c r="I744" s="26" t="s">
        <v>27</v>
      </c>
      <c r="J744" s="209" t="s">
        <v>7282</v>
      </c>
      <c r="K744" s="27"/>
      <c r="L744" s="26" t="s">
        <v>39</v>
      </c>
      <c r="M744" s="27" t="s">
        <v>51</v>
      </c>
      <c r="N744" s="26" t="s">
        <v>4746</v>
      </c>
      <c r="O744" s="26" t="s">
        <v>4746</v>
      </c>
      <c r="P744" s="35"/>
      <c r="Q744" s="26" t="s">
        <v>56</v>
      </c>
      <c r="R744" s="26" t="s">
        <v>42</v>
      </c>
      <c r="S744" s="27" t="s">
        <v>3566</v>
      </c>
      <c r="T744" s="35"/>
      <c r="U744" s="26"/>
      <c r="V744" s="26"/>
      <c r="W744" s="26">
        <v>5.0</v>
      </c>
      <c r="X744" s="26"/>
    </row>
    <row r="745" hidden="1">
      <c r="A745" s="26">
        <v>745.0</v>
      </c>
      <c r="B745" s="188">
        <v>46190.0</v>
      </c>
      <c r="C745" s="26" t="s">
        <v>21</v>
      </c>
      <c r="D745" s="26" t="s">
        <v>34</v>
      </c>
      <c r="E745" s="27" t="s">
        <v>7283</v>
      </c>
      <c r="F745" s="461">
        <f>+966542060908</f>
        <v>966542060908</v>
      </c>
      <c r="G745" s="26" t="s">
        <v>27</v>
      </c>
      <c r="H745" s="26" t="s">
        <v>27</v>
      </c>
      <c r="I745" s="26" t="s">
        <v>27</v>
      </c>
      <c r="J745" s="209" t="s">
        <v>7284</v>
      </c>
      <c r="K745" s="27"/>
      <c r="L745" s="26" t="s">
        <v>39</v>
      </c>
      <c r="M745" s="27" t="s">
        <v>51</v>
      </c>
      <c r="N745" s="26" t="s">
        <v>4746</v>
      </c>
      <c r="O745" s="26" t="s">
        <v>4746</v>
      </c>
      <c r="P745" s="35"/>
      <c r="Q745" s="26" t="s">
        <v>56</v>
      </c>
      <c r="R745" s="26" t="s">
        <v>42</v>
      </c>
      <c r="S745" s="27" t="s">
        <v>3566</v>
      </c>
      <c r="T745" s="35"/>
      <c r="U745" s="26"/>
      <c r="V745" s="26"/>
      <c r="W745" s="26">
        <v>5.0</v>
      </c>
      <c r="X745" s="26"/>
    </row>
    <row r="746" hidden="1">
      <c r="A746" s="26">
        <v>746.0</v>
      </c>
      <c r="B746" s="188">
        <v>46190.0</v>
      </c>
      <c r="C746" s="26" t="s">
        <v>21</v>
      </c>
      <c r="D746" s="26" t="s">
        <v>34</v>
      </c>
      <c r="E746" s="27" t="s">
        <v>7285</v>
      </c>
      <c r="F746" s="461">
        <f>+966559274767</f>
        <v>966559274767</v>
      </c>
      <c r="G746" s="26" t="s">
        <v>27</v>
      </c>
      <c r="H746" s="26" t="s">
        <v>27</v>
      </c>
      <c r="I746" s="26" t="s">
        <v>27</v>
      </c>
      <c r="J746" s="209" t="s">
        <v>7286</v>
      </c>
      <c r="K746" s="27"/>
      <c r="L746" s="26" t="s">
        <v>39</v>
      </c>
      <c r="M746" s="27" t="s">
        <v>51</v>
      </c>
      <c r="N746" s="26" t="s">
        <v>4746</v>
      </c>
      <c r="O746" s="26" t="s">
        <v>4746</v>
      </c>
      <c r="P746" s="35"/>
      <c r="Q746" s="26" t="s">
        <v>56</v>
      </c>
      <c r="R746" s="26" t="s">
        <v>42</v>
      </c>
      <c r="S746" s="27" t="s">
        <v>3566</v>
      </c>
      <c r="T746" s="35"/>
      <c r="U746" s="26"/>
      <c r="V746" s="26"/>
      <c r="W746" s="26">
        <v>5.0</v>
      </c>
      <c r="X746" s="26"/>
    </row>
    <row r="747" hidden="1">
      <c r="A747" s="26">
        <v>747.0</v>
      </c>
      <c r="B747" s="188">
        <v>46190.0</v>
      </c>
      <c r="C747" s="26" t="s">
        <v>21</v>
      </c>
      <c r="D747" s="26" t="s">
        <v>34</v>
      </c>
      <c r="E747" s="26" t="s">
        <v>7287</v>
      </c>
      <c r="F747" s="461">
        <f>+966564422753</f>
        <v>966564422753</v>
      </c>
      <c r="G747" s="26" t="s">
        <v>27</v>
      </c>
      <c r="H747" s="26" t="s">
        <v>27</v>
      </c>
      <c r="I747" s="26" t="s">
        <v>27</v>
      </c>
      <c r="J747" s="209" t="s">
        <v>7288</v>
      </c>
      <c r="K747" s="27"/>
      <c r="L747" s="26" t="s">
        <v>39</v>
      </c>
      <c r="M747" s="27" t="s">
        <v>51</v>
      </c>
      <c r="N747" s="26" t="s">
        <v>4746</v>
      </c>
      <c r="O747" s="26" t="s">
        <v>4746</v>
      </c>
      <c r="P747" s="35"/>
      <c r="Q747" s="26" t="s">
        <v>56</v>
      </c>
      <c r="R747" s="26" t="s">
        <v>42</v>
      </c>
      <c r="S747" s="27" t="s">
        <v>3566</v>
      </c>
      <c r="T747" s="35"/>
      <c r="U747" s="26"/>
      <c r="V747" s="26"/>
      <c r="W747" s="26">
        <v>5.0</v>
      </c>
      <c r="X747" s="26"/>
    </row>
    <row r="748" hidden="1">
      <c r="A748" s="26">
        <v>748.0</v>
      </c>
      <c r="B748" s="188">
        <v>46190.0</v>
      </c>
      <c r="C748" s="26" t="s">
        <v>21</v>
      </c>
      <c r="D748" s="26" t="s">
        <v>34</v>
      </c>
      <c r="E748" s="27" t="s">
        <v>7289</v>
      </c>
      <c r="F748" s="461">
        <f>+966596227010</f>
        <v>966596227010</v>
      </c>
      <c r="G748" s="26" t="s">
        <v>27</v>
      </c>
      <c r="H748" s="26" t="s">
        <v>27</v>
      </c>
      <c r="I748" s="26" t="s">
        <v>27</v>
      </c>
      <c r="J748" s="209" t="s">
        <v>7290</v>
      </c>
      <c r="K748" s="27"/>
      <c r="L748" s="26" t="s">
        <v>39</v>
      </c>
      <c r="M748" s="27" t="s">
        <v>51</v>
      </c>
      <c r="N748" s="26" t="s">
        <v>4746</v>
      </c>
      <c r="O748" s="26" t="s">
        <v>4746</v>
      </c>
      <c r="P748" s="35"/>
      <c r="Q748" s="26" t="s">
        <v>56</v>
      </c>
      <c r="R748" s="26" t="s">
        <v>42</v>
      </c>
      <c r="S748" s="27" t="s">
        <v>3566</v>
      </c>
      <c r="T748" s="35"/>
      <c r="U748" s="26"/>
      <c r="V748" s="26"/>
      <c r="W748" s="26">
        <v>5.0</v>
      </c>
      <c r="X748" s="26"/>
    </row>
    <row r="749" hidden="1">
      <c r="A749" s="26">
        <v>749.0</v>
      </c>
      <c r="B749" s="188">
        <v>46190.0</v>
      </c>
      <c r="C749" s="26" t="s">
        <v>21</v>
      </c>
      <c r="D749" s="26" t="s">
        <v>34</v>
      </c>
      <c r="E749" s="27" t="s">
        <v>7292</v>
      </c>
      <c r="F749" s="461">
        <f>+966580404685</f>
        <v>966580404685</v>
      </c>
      <c r="G749" s="26" t="s">
        <v>27</v>
      </c>
      <c r="H749" s="26" t="s">
        <v>27</v>
      </c>
      <c r="I749" s="26" t="s">
        <v>27</v>
      </c>
      <c r="J749" s="209" t="s">
        <v>7293</v>
      </c>
      <c r="K749" s="27"/>
      <c r="L749" s="26" t="s">
        <v>39</v>
      </c>
      <c r="M749" s="27" t="s">
        <v>51</v>
      </c>
      <c r="N749" s="26" t="s">
        <v>4746</v>
      </c>
      <c r="O749" s="26" t="s">
        <v>4746</v>
      </c>
      <c r="P749" s="35"/>
      <c r="Q749" s="26" t="s">
        <v>56</v>
      </c>
      <c r="R749" s="26" t="s">
        <v>42</v>
      </c>
      <c r="S749" s="27" t="s">
        <v>3566</v>
      </c>
      <c r="T749" s="35"/>
      <c r="U749" s="26"/>
      <c r="V749" s="26"/>
      <c r="W749" s="26">
        <v>5.0</v>
      </c>
      <c r="X749" s="26"/>
    </row>
    <row r="750" hidden="1">
      <c r="A750" s="26">
        <v>750.0</v>
      </c>
      <c r="B750" s="188">
        <v>46190.0</v>
      </c>
      <c r="C750" s="26" t="s">
        <v>21</v>
      </c>
      <c r="D750" s="26" t="s">
        <v>34</v>
      </c>
      <c r="E750" s="27" t="s">
        <v>7294</v>
      </c>
      <c r="F750" s="461">
        <f>+966598449316</f>
        <v>966598449316</v>
      </c>
      <c r="G750" s="26" t="s">
        <v>27</v>
      </c>
      <c r="H750" s="26" t="s">
        <v>27</v>
      </c>
      <c r="I750" s="26" t="s">
        <v>27</v>
      </c>
      <c r="J750" s="209" t="s">
        <v>7295</v>
      </c>
      <c r="K750" s="27"/>
      <c r="L750" s="26" t="s">
        <v>39</v>
      </c>
      <c r="M750" s="27" t="s">
        <v>51</v>
      </c>
      <c r="N750" s="26" t="s">
        <v>4746</v>
      </c>
      <c r="O750" s="26" t="s">
        <v>4746</v>
      </c>
      <c r="P750" s="35"/>
      <c r="Q750" s="26" t="s">
        <v>56</v>
      </c>
      <c r="R750" s="26" t="s">
        <v>42</v>
      </c>
      <c r="S750" s="27" t="s">
        <v>3566</v>
      </c>
      <c r="T750" s="35"/>
      <c r="U750" s="26"/>
      <c r="V750" s="26"/>
      <c r="W750" s="26">
        <v>5.0</v>
      </c>
      <c r="X750" s="26"/>
    </row>
    <row r="751" hidden="1">
      <c r="A751" s="26">
        <v>751.0</v>
      </c>
      <c r="B751" s="188">
        <v>46190.0</v>
      </c>
      <c r="C751" s="26" t="s">
        <v>21</v>
      </c>
      <c r="D751" s="26" t="s">
        <v>34</v>
      </c>
      <c r="E751" s="26" t="s">
        <v>7297</v>
      </c>
      <c r="F751" s="461">
        <f>+966598221144</f>
        <v>966598221144</v>
      </c>
      <c r="G751" s="26" t="s">
        <v>27</v>
      </c>
      <c r="H751" s="26" t="s">
        <v>27</v>
      </c>
      <c r="I751" s="26" t="s">
        <v>27</v>
      </c>
      <c r="J751" s="209" t="s">
        <v>7298</v>
      </c>
      <c r="K751" s="27"/>
      <c r="L751" s="26" t="s">
        <v>39</v>
      </c>
      <c r="M751" s="27" t="s">
        <v>51</v>
      </c>
      <c r="N751" s="26" t="s">
        <v>4746</v>
      </c>
      <c r="O751" s="26" t="s">
        <v>4746</v>
      </c>
      <c r="P751" s="35"/>
      <c r="Q751" s="26" t="s">
        <v>56</v>
      </c>
      <c r="R751" s="26" t="s">
        <v>42</v>
      </c>
      <c r="S751" s="27" t="s">
        <v>3566</v>
      </c>
      <c r="T751" s="35"/>
      <c r="U751" s="26"/>
      <c r="V751" s="26"/>
      <c r="W751" s="26">
        <v>5.0</v>
      </c>
      <c r="X751" s="26"/>
    </row>
    <row r="752" hidden="1">
      <c r="A752" s="26">
        <v>752.0</v>
      </c>
      <c r="B752" s="188">
        <v>46190.0</v>
      </c>
      <c r="C752" s="26" t="s">
        <v>21</v>
      </c>
      <c r="D752" s="26" t="s">
        <v>34</v>
      </c>
      <c r="E752" s="27" t="s">
        <v>7300</v>
      </c>
      <c r="F752" s="461">
        <f>+966534361821</f>
        <v>966534361821</v>
      </c>
      <c r="G752" s="26" t="s">
        <v>27</v>
      </c>
      <c r="H752" s="26" t="s">
        <v>27</v>
      </c>
      <c r="I752" s="26" t="s">
        <v>27</v>
      </c>
      <c r="J752" s="209" t="s">
        <v>7301</v>
      </c>
      <c r="K752" s="27"/>
      <c r="L752" s="26" t="s">
        <v>39</v>
      </c>
      <c r="M752" s="27" t="s">
        <v>51</v>
      </c>
      <c r="N752" s="26" t="s">
        <v>4746</v>
      </c>
      <c r="O752" s="26" t="s">
        <v>4746</v>
      </c>
      <c r="P752" s="35"/>
      <c r="Q752" s="26" t="s">
        <v>56</v>
      </c>
      <c r="R752" s="26" t="s">
        <v>42</v>
      </c>
      <c r="S752" s="27" t="s">
        <v>3566</v>
      </c>
      <c r="T752" s="35"/>
      <c r="U752" s="26"/>
      <c r="V752" s="26"/>
      <c r="W752" s="26">
        <v>5.0</v>
      </c>
      <c r="X752" s="26"/>
    </row>
    <row r="753" hidden="1">
      <c r="A753" s="26">
        <v>753.0</v>
      </c>
      <c r="B753" s="188">
        <v>46190.0</v>
      </c>
      <c r="C753" s="26" t="s">
        <v>21</v>
      </c>
      <c r="D753" s="26" t="s">
        <v>34</v>
      </c>
      <c r="E753" s="27" t="s">
        <v>7302</v>
      </c>
      <c r="F753" s="461">
        <f>+966561848494</f>
        <v>966561848494</v>
      </c>
      <c r="G753" s="26" t="s">
        <v>27</v>
      </c>
      <c r="H753" s="26" t="s">
        <v>27</v>
      </c>
      <c r="I753" s="26" t="s">
        <v>27</v>
      </c>
      <c r="J753" s="209" t="s">
        <v>7303</v>
      </c>
      <c r="K753" s="27"/>
      <c r="L753" s="26" t="s">
        <v>39</v>
      </c>
      <c r="M753" s="27" t="s">
        <v>51</v>
      </c>
      <c r="N753" s="26" t="s">
        <v>4746</v>
      </c>
      <c r="O753" s="26" t="s">
        <v>4746</v>
      </c>
      <c r="P753" s="35"/>
      <c r="Q753" s="26" t="s">
        <v>56</v>
      </c>
      <c r="R753" s="26" t="s">
        <v>42</v>
      </c>
      <c r="S753" s="27" t="s">
        <v>3566</v>
      </c>
      <c r="T753" s="35"/>
      <c r="U753" s="26"/>
      <c r="V753" s="26"/>
      <c r="W753" s="26">
        <v>5.0</v>
      </c>
      <c r="X753" s="26"/>
    </row>
    <row r="754" hidden="1">
      <c r="A754" s="26">
        <v>754.0</v>
      </c>
      <c r="B754" s="188">
        <v>46190.0</v>
      </c>
      <c r="C754" s="26" t="s">
        <v>21</v>
      </c>
      <c r="D754" s="26" t="s">
        <v>34</v>
      </c>
      <c r="E754" s="27" t="s">
        <v>7304</v>
      </c>
      <c r="F754" s="461">
        <f>+966546118954</f>
        <v>966546118954</v>
      </c>
      <c r="G754" s="26" t="s">
        <v>27</v>
      </c>
      <c r="H754" s="26" t="s">
        <v>27</v>
      </c>
      <c r="I754" s="26" t="s">
        <v>27</v>
      </c>
      <c r="J754" s="209" t="s">
        <v>7305</v>
      </c>
      <c r="K754" s="27"/>
      <c r="L754" s="26" t="s">
        <v>39</v>
      </c>
      <c r="M754" s="27" t="s">
        <v>51</v>
      </c>
      <c r="N754" s="26" t="s">
        <v>4746</v>
      </c>
      <c r="O754" s="26" t="s">
        <v>4746</v>
      </c>
      <c r="P754" s="35"/>
      <c r="Q754" s="26" t="s">
        <v>56</v>
      </c>
      <c r="R754" s="26" t="s">
        <v>42</v>
      </c>
      <c r="S754" s="27" t="s">
        <v>3566</v>
      </c>
      <c r="T754" s="35"/>
      <c r="U754" s="26"/>
      <c r="V754" s="26"/>
      <c r="W754" s="26">
        <v>5.0</v>
      </c>
      <c r="X754" s="26"/>
    </row>
    <row r="755" hidden="1">
      <c r="A755" s="26">
        <v>755.0</v>
      </c>
      <c r="B755" s="188">
        <v>46190.0</v>
      </c>
      <c r="C755" s="26" t="s">
        <v>21</v>
      </c>
      <c r="D755" s="26" t="s">
        <v>34</v>
      </c>
      <c r="E755" s="27" t="s">
        <v>7306</v>
      </c>
      <c r="F755" s="461">
        <f>+966503432304</f>
        <v>966503432304</v>
      </c>
      <c r="G755" s="26" t="s">
        <v>27</v>
      </c>
      <c r="H755" s="26" t="s">
        <v>27</v>
      </c>
      <c r="I755" s="26" t="s">
        <v>27</v>
      </c>
      <c r="J755" s="209" t="s">
        <v>7307</v>
      </c>
      <c r="K755" s="27"/>
      <c r="L755" s="26" t="s">
        <v>39</v>
      </c>
      <c r="M755" s="27" t="s">
        <v>51</v>
      </c>
      <c r="N755" s="26" t="s">
        <v>4746</v>
      </c>
      <c r="O755" s="26" t="s">
        <v>4746</v>
      </c>
      <c r="P755" s="35"/>
      <c r="Q755" s="26" t="s">
        <v>56</v>
      </c>
      <c r="R755" s="26" t="s">
        <v>42</v>
      </c>
      <c r="S755" s="27" t="s">
        <v>3566</v>
      </c>
      <c r="T755" s="35"/>
      <c r="U755" s="26"/>
      <c r="V755" s="26"/>
      <c r="W755" s="26">
        <v>5.0</v>
      </c>
      <c r="X755" s="26"/>
    </row>
    <row r="756" hidden="1">
      <c r="A756" s="26">
        <v>756.0</v>
      </c>
      <c r="B756" s="188">
        <v>46190.0</v>
      </c>
      <c r="C756" s="26" t="s">
        <v>21</v>
      </c>
      <c r="D756" s="26" t="s">
        <v>34</v>
      </c>
      <c r="E756" s="27" t="s">
        <v>7308</v>
      </c>
      <c r="F756" s="461">
        <f>+966590077705</f>
        <v>966590077705</v>
      </c>
      <c r="G756" s="26" t="s">
        <v>27</v>
      </c>
      <c r="H756" s="26" t="s">
        <v>27</v>
      </c>
      <c r="I756" s="26" t="s">
        <v>27</v>
      </c>
      <c r="J756" s="209" t="s">
        <v>7309</v>
      </c>
      <c r="K756" s="27"/>
      <c r="L756" s="26" t="s">
        <v>39</v>
      </c>
      <c r="M756" s="27" t="s">
        <v>51</v>
      </c>
      <c r="N756" s="26" t="s">
        <v>4746</v>
      </c>
      <c r="O756" s="26" t="s">
        <v>4746</v>
      </c>
      <c r="P756" s="35"/>
      <c r="Q756" s="26" t="s">
        <v>56</v>
      </c>
      <c r="R756" s="26" t="s">
        <v>42</v>
      </c>
      <c r="S756" s="27" t="s">
        <v>3566</v>
      </c>
      <c r="T756" s="35"/>
      <c r="U756" s="26"/>
      <c r="V756" s="26"/>
      <c r="W756" s="26">
        <v>5.0</v>
      </c>
      <c r="X756" s="26"/>
    </row>
    <row r="757" hidden="1">
      <c r="A757" s="26">
        <v>757.0</v>
      </c>
      <c r="B757" s="188">
        <v>46190.0</v>
      </c>
      <c r="C757" s="26" t="s">
        <v>21</v>
      </c>
      <c r="D757" s="26" t="s">
        <v>34</v>
      </c>
      <c r="E757" s="27" t="s">
        <v>7310</v>
      </c>
      <c r="F757" s="461">
        <f>+966596089911</f>
        <v>966596089911</v>
      </c>
      <c r="G757" s="26" t="s">
        <v>27</v>
      </c>
      <c r="H757" s="26" t="s">
        <v>27</v>
      </c>
      <c r="I757" s="26" t="s">
        <v>27</v>
      </c>
      <c r="J757" s="209" t="s">
        <v>7311</v>
      </c>
      <c r="K757" s="27"/>
      <c r="L757" s="26" t="s">
        <v>39</v>
      </c>
      <c r="M757" s="27" t="s">
        <v>51</v>
      </c>
      <c r="N757" s="26" t="s">
        <v>4746</v>
      </c>
      <c r="O757" s="26" t="s">
        <v>4746</v>
      </c>
      <c r="P757" s="35"/>
      <c r="Q757" s="26" t="s">
        <v>56</v>
      </c>
      <c r="R757" s="26" t="s">
        <v>42</v>
      </c>
      <c r="S757" s="27" t="s">
        <v>3566</v>
      </c>
      <c r="T757" s="35"/>
      <c r="U757" s="26"/>
      <c r="V757" s="26"/>
      <c r="W757" s="26">
        <v>5.0</v>
      </c>
      <c r="X757" s="26"/>
    </row>
    <row r="758" hidden="1">
      <c r="A758" s="26">
        <v>758.0</v>
      </c>
      <c r="B758" s="188">
        <v>46190.0</v>
      </c>
      <c r="C758" s="26" t="s">
        <v>21</v>
      </c>
      <c r="D758" s="26" t="s">
        <v>34</v>
      </c>
      <c r="E758" s="27" t="s">
        <v>7312</v>
      </c>
      <c r="F758" s="461">
        <f>+966504413402</f>
        <v>966504413402</v>
      </c>
      <c r="G758" s="26" t="s">
        <v>27</v>
      </c>
      <c r="H758" s="26" t="s">
        <v>27</v>
      </c>
      <c r="I758" s="26" t="s">
        <v>27</v>
      </c>
      <c r="J758" s="209" t="s">
        <v>7313</v>
      </c>
      <c r="K758" s="27"/>
      <c r="L758" s="26" t="s">
        <v>39</v>
      </c>
      <c r="M758" s="27" t="s">
        <v>51</v>
      </c>
      <c r="N758" s="26" t="s">
        <v>4746</v>
      </c>
      <c r="O758" s="26" t="s">
        <v>4746</v>
      </c>
      <c r="P758" s="35"/>
      <c r="Q758" s="26" t="s">
        <v>56</v>
      </c>
      <c r="R758" s="26" t="s">
        <v>42</v>
      </c>
      <c r="S758" s="27" t="s">
        <v>3566</v>
      </c>
      <c r="T758" s="35"/>
      <c r="U758" s="26"/>
      <c r="V758" s="26"/>
      <c r="W758" s="26">
        <v>5.0</v>
      </c>
      <c r="X758" s="26"/>
    </row>
    <row r="759" hidden="1">
      <c r="A759" s="26">
        <v>759.0</v>
      </c>
      <c r="B759" s="188">
        <v>46190.0</v>
      </c>
      <c r="C759" s="26" t="s">
        <v>21</v>
      </c>
      <c r="D759" s="26" t="s">
        <v>34</v>
      </c>
      <c r="E759" s="27" t="s">
        <v>7314</v>
      </c>
      <c r="F759" s="461">
        <f>+966535343116</f>
        <v>966535343116</v>
      </c>
      <c r="G759" s="26" t="s">
        <v>27</v>
      </c>
      <c r="H759" s="26" t="s">
        <v>27</v>
      </c>
      <c r="I759" s="26" t="s">
        <v>27</v>
      </c>
      <c r="J759" s="209" t="s">
        <v>7315</v>
      </c>
      <c r="K759" s="27"/>
      <c r="L759" s="26" t="s">
        <v>39</v>
      </c>
      <c r="M759" s="27" t="s">
        <v>51</v>
      </c>
      <c r="N759" s="26" t="s">
        <v>4746</v>
      </c>
      <c r="O759" s="26" t="s">
        <v>4746</v>
      </c>
      <c r="P759" s="35"/>
      <c r="Q759" s="26" t="s">
        <v>56</v>
      </c>
      <c r="R759" s="26" t="s">
        <v>42</v>
      </c>
      <c r="S759" s="27" t="s">
        <v>3566</v>
      </c>
      <c r="T759" s="35"/>
      <c r="U759" s="26"/>
      <c r="V759" s="26"/>
      <c r="W759" s="26">
        <v>5.0</v>
      </c>
      <c r="X759" s="26"/>
    </row>
    <row r="760" hidden="1">
      <c r="A760" s="26">
        <v>760.0</v>
      </c>
      <c r="B760" s="188">
        <v>46190.0</v>
      </c>
      <c r="C760" s="26" t="s">
        <v>21</v>
      </c>
      <c r="D760" s="26" t="s">
        <v>34</v>
      </c>
      <c r="E760" s="27" t="s">
        <v>7316</v>
      </c>
      <c r="F760" s="461">
        <f>+966551755970</f>
        <v>966551755970</v>
      </c>
      <c r="G760" s="26" t="s">
        <v>27</v>
      </c>
      <c r="H760" s="26" t="s">
        <v>27</v>
      </c>
      <c r="I760" s="26" t="s">
        <v>27</v>
      </c>
      <c r="J760" s="209" t="s">
        <v>7317</v>
      </c>
      <c r="K760" s="27"/>
      <c r="L760" s="26" t="s">
        <v>39</v>
      </c>
      <c r="M760" s="27" t="s">
        <v>51</v>
      </c>
      <c r="N760" s="26" t="s">
        <v>4746</v>
      </c>
      <c r="O760" s="26" t="s">
        <v>4746</v>
      </c>
      <c r="P760" s="35"/>
      <c r="Q760" s="26" t="s">
        <v>56</v>
      </c>
      <c r="R760" s="26" t="s">
        <v>42</v>
      </c>
      <c r="S760" s="27" t="s">
        <v>3566</v>
      </c>
      <c r="T760" s="35"/>
      <c r="U760" s="26"/>
      <c r="V760" s="26"/>
      <c r="W760" s="26">
        <v>5.0</v>
      </c>
      <c r="X760" s="26"/>
    </row>
    <row r="761" hidden="1">
      <c r="A761" s="26">
        <v>761.0</v>
      </c>
      <c r="B761" s="188">
        <v>46190.0</v>
      </c>
      <c r="C761" s="26" t="s">
        <v>21</v>
      </c>
      <c r="D761" s="26" t="s">
        <v>34</v>
      </c>
      <c r="E761" s="27" t="s">
        <v>7318</v>
      </c>
      <c r="F761" s="461">
        <f>+966501887683</f>
        <v>966501887683</v>
      </c>
      <c r="G761" s="26" t="s">
        <v>27</v>
      </c>
      <c r="H761" s="26" t="s">
        <v>27</v>
      </c>
      <c r="I761" s="26" t="s">
        <v>27</v>
      </c>
      <c r="J761" s="209" t="s">
        <v>7319</v>
      </c>
      <c r="K761" s="27"/>
      <c r="L761" s="26" t="s">
        <v>39</v>
      </c>
      <c r="M761" s="27" t="s">
        <v>51</v>
      </c>
      <c r="N761" s="26" t="s">
        <v>4746</v>
      </c>
      <c r="O761" s="26" t="s">
        <v>4746</v>
      </c>
      <c r="P761" s="35"/>
      <c r="Q761" s="26" t="s">
        <v>56</v>
      </c>
      <c r="R761" s="26" t="s">
        <v>42</v>
      </c>
      <c r="S761" s="27" t="s">
        <v>3566</v>
      </c>
      <c r="T761" s="35"/>
      <c r="U761" s="26"/>
      <c r="V761" s="26"/>
      <c r="W761" s="26">
        <v>5.0</v>
      </c>
      <c r="X761" s="26"/>
    </row>
    <row r="762" hidden="1">
      <c r="A762" s="26">
        <v>762.0</v>
      </c>
      <c r="B762" s="188">
        <v>46190.0</v>
      </c>
      <c r="C762" s="26" t="s">
        <v>21</v>
      </c>
      <c r="D762" s="26" t="s">
        <v>34</v>
      </c>
      <c r="E762" s="26" t="s">
        <v>7320</v>
      </c>
      <c r="F762" s="461">
        <f>+966555518796</f>
        <v>966555518796</v>
      </c>
      <c r="G762" s="26" t="s">
        <v>27</v>
      </c>
      <c r="H762" s="26" t="s">
        <v>27</v>
      </c>
      <c r="I762" s="26" t="s">
        <v>27</v>
      </c>
      <c r="J762" s="209" t="s">
        <v>7321</v>
      </c>
      <c r="K762" s="27"/>
      <c r="L762" s="26" t="s">
        <v>39</v>
      </c>
      <c r="M762" s="27" t="s">
        <v>51</v>
      </c>
      <c r="N762" s="26" t="s">
        <v>4746</v>
      </c>
      <c r="O762" s="26" t="s">
        <v>4746</v>
      </c>
      <c r="P762" s="35"/>
      <c r="Q762" s="26" t="s">
        <v>56</v>
      </c>
      <c r="R762" s="26" t="s">
        <v>42</v>
      </c>
      <c r="S762" s="27" t="s">
        <v>3566</v>
      </c>
      <c r="T762" s="35"/>
      <c r="U762" s="26"/>
      <c r="V762" s="26"/>
      <c r="W762" s="26">
        <v>5.0</v>
      </c>
      <c r="X762" s="26"/>
    </row>
    <row r="763" hidden="1">
      <c r="A763" s="26">
        <v>763.0</v>
      </c>
      <c r="B763" s="188">
        <v>46190.0</v>
      </c>
      <c r="C763" s="26" t="s">
        <v>21</v>
      </c>
      <c r="D763" s="26" t="s">
        <v>34</v>
      </c>
      <c r="E763" s="26" t="s">
        <v>7322</v>
      </c>
      <c r="F763" s="461">
        <f>+966595959202</f>
        <v>966595959202</v>
      </c>
      <c r="G763" s="26" t="s">
        <v>27</v>
      </c>
      <c r="H763" s="26" t="s">
        <v>27</v>
      </c>
      <c r="I763" s="26" t="s">
        <v>27</v>
      </c>
      <c r="J763" s="351" t="s">
        <v>34</v>
      </c>
      <c r="K763" s="27"/>
      <c r="L763" s="26" t="s">
        <v>39</v>
      </c>
      <c r="M763" s="27" t="s">
        <v>51</v>
      </c>
      <c r="N763" s="26" t="s">
        <v>4746</v>
      </c>
      <c r="O763" s="26" t="s">
        <v>4746</v>
      </c>
      <c r="P763" s="35"/>
      <c r="Q763" s="26" t="s">
        <v>56</v>
      </c>
      <c r="R763" s="26" t="s">
        <v>42</v>
      </c>
      <c r="S763" s="27" t="s">
        <v>3566</v>
      </c>
      <c r="T763" s="35"/>
      <c r="U763" s="26"/>
      <c r="V763" s="26"/>
      <c r="W763" s="26">
        <v>5.0</v>
      </c>
      <c r="X763" s="26"/>
    </row>
    <row r="764" hidden="1">
      <c r="A764" s="26">
        <v>764.0</v>
      </c>
      <c r="B764" s="188">
        <v>46190.0</v>
      </c>
      <c r="C764" s="26" t="s">
        <v>21</v>
      </c>
      <c r="D764" s="26" t="s">
        <v>34</v>
      </c>
      <c r="E764" s="27" t="s">
        <v>7323</v>
      </c>
      <c r="F764" s="461">
        <f>+966530510175</f>
        <v>966530510175</v>
      </c>
      <c r="G764" s="26" t="s">
        <v>27</v>
      </c>
      <c r="H764" s="26" t="s">
        <v>27</v>
      </c>
      <c r="I764" s="26" t="s">
        <v>27</v>
      </c>
      <c r="J764" s="209" t="s">
        <v>7324</v>
      </c>
      <c r="K764" s="27"/>
      <c r="L764" s="26" t="s">
        <v>39</v>
      </c>
      <c r="M764" s="27" t="s">
        <v>51</v>
      </c>
      <c r="N764" s="26" t="s">
        <v>4746</v>
      </c>
      <c r="O764" s="26" t="s">
        <v>4746</v>
      </c>
      <c r="P764" s="35"/>
      <c r="Q764" s="26" t="s">
        <v>56</v>
      </c>
      <c r="R764" s="26" t="s">
        <v>42</v>
      </c>
      <c r="S764" s="27" t="s">
        <v>3566</v>
      </c>
      <c r="T764" s="35"/>
      <c r="U764" s="26"/>
      <c r="V764" s="26"/>
      <c r="W764" s="26">
        <v>5.0</v>
      </c>
      <c r="X764" s="26"/>
    </row>
    <row r="765" hidden="1">
      <c r="A765" s="26">
        <v>765.0</v>
      </c>
      <c r="B765" s="188">
        <v>46190.0</v>
      </c>
      <c r="C765" s="26" t="s">
        <v>21</v>
      </c>
      <c r="D765" s="26" t="s">
        <v>34</v>
      </c>
      <c r="E765" s="27" t="s">
        <v>7325</v>
      </c>
      <c r="F765" s="461">
        <f>+966561111172</f>
        <v>966561111172</v>
      </c>
      <c r="G765" s="26" t="s">
        <v>27</v>
      </c>
      <c r="H765" s="26" t="s">
        <v>27</v>
      </c>
      <c r="I765" s="26" t="s">
        <v>27</v>
      </c>
      <c r="J765" s="209" t="s">
        <v>7326</v>
      </c>
      <c r="K765" s="27"/>
      <c r="L765" s="26" t="s">
        <v>39</v>
      </c>
      <c r="M765" s="27" t="s">
        <v>51</v>
      </c>
      <c r="N765" s="26" t="s">
        <v>4746</v>
      </c>
      <c r="O765" s="26" t="s">
        <v>4746</v>
      </c>
      <c r="P765" s="35"/>
      <c r="Q765" s="26" t="s">
        <v>56</v>
      </c>
      <c r="R765" s="26" t="s">
        <v>42</v>
      </c>
      <c r="S765" s="27" t="s">
        <v>3566</v>
      </c>
      <c r="T765" s="35"/>
      <c r="U765" s="26"/>
      <c r="V765" s="26"/>
      <c r="W765" s="26">
        <v>5.0</v>
      </c>
      <c r="X765" s="26"/>
    </row>
    <row r="766" hidden="1">
      <c r="A766" s="26">
        <v>766.0</v>
      </c>
      <c r="B766" s="188">
        <v>46190.0</v>
      </c>
      <c r="C766" s="26" t="s">
        <v>21</v>
      </c>
      <c r="D766" s="26" t="s">
        <v>34</v>
      </c>
      <c r="E766" s="27" t="s">
        <v>7091</v>
      </c>
      <c r="F766" s="461">
        <f>+966504721190</f>
        <v>966504721190</v>
      </c>
      <c r="G766" s="26" t="s">
        <v>27</v>
      </c>
      <c r="H766" s="26" t="s">
        <v>27</v>
      </c>
      <c r="I766" s="26" t="s">
        <v>27</v>
      </c>
      <c r="J766" s="209" t="s">
        <v>7327</v>
      </c>
      <c r="K766" s="27"/>
      <c r="L766" s="26" t="s">
        <v>39</v>
      </c>
      <c r="M766" s="27" t="s">
        <v>51</v>
      </c>
      <c r="N766" s="26" t="s">
        <v>4746</v>
      </c>
      <c r="O766" s="26" t="s">
        <v>4746</v>
      </c>
      <c r="P766" s="35"/>
      <c r="Q766" s="26" t="s">
        <v>56</v>
      </c>
      <c r="R766" s="26" t="s">
        <v>42</v>
      </c>
      <c r="S766" s="27" t="s">
        <v>3566</v>
      </c>
      <c r="T766" s="35"/>
      <c r="U766" s="26"/>
      <c r="V766" s="26"/>
      <c r="W766" s="26">
        <v>5.0</v>
      </c>
      <c r="X766" s="26"/>
    </row>
    <row r="767" hidden="1">
      <c r="A767" s="26">
        <v>767.0</v>
      </c>
      <c r="B767" s="188">
        <v>46190.0</v>
      </c>
      <c r="C767" s="26" t="s">
        <v>21</v>
      </c>
      <c r="D767" s="26" t="s">
        <v>34</v>
      </c>
      <c r="E767" s="27" t="s">
        <v>7328</v>
      </c>
      <c r="F767" s="461">
        <f>+966580610585</f>
        <v>966580610585</v>
      </c>
      <c r="G767" s="26" t="s">
        <v>27</v>
      </c>
      <c r="H767" s="26" t="s">
        <v>27</v>
      </c>
      <c r="I767" s="26" t="s">
        <v>27</v>
      </c>
      <c r="J767" s="209" t="s">
        <v>7329</v>
      </c>
      <c r="K767" s="27"/>
      <c r="L767" s="26" t="s">
        <v>39</v>
      </c>
      <c r="M767" s="27" t="s">
        <v>51</v>
      </c>
      <c r="N767" s="26" t="s">
        <v>4746</v>
      </c>
      <c r="O767" s="26" t="s">
        <v>4746</v>
      </c>
      <c r="P767" s="35"/>
      <c r="Q767" s="26" t="s">
        <v>56</v>
      </c>
      <c r="R767" s="26" t="s">
        <v>42</v>
      </c>
      <c r="S767" s="27" t="s">
        <v>3566</v>
      </c>
      <c r="T767" s="35"/>
      <c r="U767" s="26"/>
      <c r="V767" s="26"/>
      <c r="W767" s="26">
        <v>5.0</v>
      </c>
      <c r="X767" s="26"/>
    </row>
    <row r="768" hidden="1">
      <c r="A768" s="26">
        <v>768.0</v>
      </c>
      <c r="B768" s="188">
        <v>46190.0</v>
      </c>
      <c r="C768" s="26" t="s">
        <v>21</v>
      </c>
      <c r="D768" s="26" t="s">
        <v>34</v>
      </c>
      <c r="E768" s="27" t="s">
        <v>7330</v>
      </c>
      <c r="F768" s="461">
        <f>+966555077603</f>
        <v>966555077603</v>
      </c>
      <c r="G768" s="26" t="s">
        <v>27</v>
      </c>
      <c r="H768" s="26" t="s">
        <v>27</v>
      </c>
      <c r="I768" s="26" t="s">
        <v>27</v>
      </c>
      <c r="J768" s="209" t="s">
        <v>7331</v>
      </c>
      <c r="K768" s="27"/>
      <c r="L768" s="26" t="s">
        <v>39</v>
      </c>
      <c r="M768" s="27" t="s">
        <v>51</v>
      </c>
      <c r="N768" s="26" t="s">
        <v>4746</v>
      </c>
      <c r="O768" s="26" t="s">
        <v>4746</v>
      </c>
      <c r="P768" s="35"/>
      <c r="Q768" s="26" t="s">
        <v>56</v>
      </c>
      <c r="R768" s="26" t="s">
        <v>42</v>
      </c>
      <c r="S768" s="27" t="s">
        <v>3566</v>
      </c>
      <c r="T768" s="35"/>
      <c r="U768" s="26"/>
      <c r="V768" s="26"/>
      <c r="W768" s="26">
        <v>5.0</v>
      </c>
      <c r="X768" s="26"/>
    </row>
    <row r="769" hidden="1">
      <c r="A769" s="26">
        <v>769.0</v>
      </c>
      <c r="B769" s="188">
        <v>46190.0</v>
      </c>
      <c r="C769" s="26" t="s">
        <v>21</v>
      </c>
      <c r="D769" s="26" t="s">
        <v>34</v>
      </c>
      <c r="E769" s="27" t="s">
        <v>7332</v>
      </c>
      <c r="F769" s="461">
        <f>+966531982735</f>
        <v>966531982735</v>
      </c>
      <c r="G769" s="26" t="s">
        <v>27</v>
      </c>
      <c r="H769" s="26" t="s">
        <v>27</v>
      </c>
      <c r="I769" s="26" t="s">
        <v>27</v>
      </c>
      <c r="J769" s="209" t="s">
        <v>7333</v>
      </c>
      <c r="K769" s="27"/>
      <c r="L769" s="26" t="s">
        <v>39</v>
      </c>
      <c r="M769" s="27" t="s">
        <v>51</v>
      </c>
      <c r="N769" s="26" t="s">
        <v>4746</v>
      </c>
      <c r="O769" s="26" t="s">
        <v>4746</v>
      </c>
      <c r="P769" s="35"/>
      <c r="Q769" s="26" t="s">
        <v>56</v>
      </c>
      <c r="R769" s="26" t="s">
        <v>42</v>
      </c>
      <c r="S769" s="27" t="s">
        <v>3566</v>
      </c>
      <c r="T769" s="35"/>
      <c r="U769" s="26"/>
      <c r="V769" s="26"/>
      <c r="W769" s="26">
        <v>5.0</v>
      </c>
      <c r="X769" s="26"/>
    </row>
    <row r="770" hidden="1">
      <c r="A770" s="26">
        <v>770.0</v>
      </c>
      <c r="B770" s="188">
        <v>46190.0</v>
      </c>
      <c r="C770" s="26" t="s">
        <v>21</v>
      </c>
      <c r="D770" s="26" t="s">
        <v>34</v>
      </c>
      <c r="E770" s="27" t="s">
        <v>7334</v>
      </c>
      <c r="F770" s="461">
        <f>+966566420622</f>
        <v>966566420622</v>
      </c>
      <c r="G770" s="26" t="s">
        <v>27</v>
      </c>
      <c r="H770" s="26" t="s">
        <v>27</v>
      </c>
      <c r="I770" s="26" t="s">
        <v>27</v>
      </c>
      <c r="J770" s="209" t="s">
        <v>7335</v>
      </c>
      <c r="K770" s="27"/>
      <c r="L770" s="26" t="s">
        <v>39</v>
      </c>
      <c r="M770" s="27" t="s">
        <v>51</v>
      </c>
      <c r="N770" s="26" t="s">
        <v>4746</v>
      </c>
      <c r="O770" s="26" t="s">
        <v>4746</v>
      </c>
      <c r="P770" s="35"/>
      <c r="Q770" s="26" t="s">
        <v>56</v>
      </c>
      <c r="R770" s="26" t="s">
        <v>42</v>
      </c>
      <c r="S770" s="27" t="s">
        <v>3566</v>
      </c>
      <c r="T770" s="35"/>
      <c r="U770" s="26"/>
      <c r="V770" s="26"/>
      <c r="W770" s="26">
        <v>5.0</v>
      </c>
      <c r="X770" s="26"/>
    </row>
    <row r="771" hidden="1">
      <c r="A771" s="26">
        <v>771.0</v>
      </c>
      <c r="B771" s="188">
        <v>46190.0</v>
      </c>
      <c r="C771" s="26" t="s">
        <v>21</v>
      </c>
      <c r="D771" s="26" t="s">
        <v>34</v>
      </c>
      <c r="E771" s="27" t="s">
        <v>7336</v>
      </c>
      <c r="F771" s="461">
        <f>+966569977660</f>
        <v>966569977660</v>
      </c>
      <c r="G771" s="26" t="s">
        <v>27</v>
      </c>
      <c r="H771" s="26" t="s">
        <v>27</v>
      </c>
      <c r="I771" s="26" t="s">
        <v>27</v>
      </c>
      <c r="J771" s="209" t="s">
        <v>7337</v>
      </c>
      <c r="K771" s="27"/>
      <c r="L771" s="26" t="s">
        <v>39</v>
      </c>
      <c r="M771" s="27" t="s">
        <v>51</v>
      </c>
      <c r="N771" s="26" t="s">
        <v>4746</v>
      </c>
      <c r="O771" s="26" t="s">
        <v>4746</v>
      </c>
      <c r="P771" s="35"/>
      <c r="Q771" s="26" t="s">
        <v>56</v>
      </c>
      <c r="R771" s="26" t="s">
        <v>42</v>
      </c>
      <c r="S771" s="27" t="s">
        <v>3566</v>
      </c>
      <c r="T771" s="35"/>
      <c r="U771" s="26"/>
      <c r="V771" s="26"/>
      <c r="W771" s="26">
        <v>5.0</v>
      </c>
      <c r="X771" s="26"/>
    </row>
    <row r="772" hidden="1">
      <c r="A772" s="26">
        <v>772.0</v>
      </c>
      <c r="B772" s="188">
        <v>46190.0</v>
      </c>
      <c r="C772" s="26" t="s">
        <v>21</v>
      </c>
      <c r="D772" s="26" t="s">
        <v>34</v>
      </c>
      <c r="E772" s="27" t="s">
        <v>7338</v>
      </c>
      <c r="F772" s="461">
        <f>+966565845500</f>
        <v>966565845500</v>
      </c>
      <c r="G772" s="26" t="s">
        <v>27</v>
      </c>
      <c r="H772" s="26" t="s">
        <v>27</v>
      </c>
      <c r="I772" s="26" t="s">
        <v>27</v>
      </c>
      <c r="J772" s="209" t="s">
        <v>7339</v>
      </c>
      <c r="K772" s="27"/>
      <c r="L772" s="26" t="s">
        <v>39</v>
      </c>
      <c r="M772" s="27" t="s">
        <v>51</v>
      </c>
      <c r="N772" s="26" t="s">
        <v>4746</v>
      </c>
      <c r="O772" s="26" t="s">
        <v>4746</v>
      </c>
      <c r="P772" s="35"/>
      <c r="Q772" s="26" t="s">
        <v>56</v>
      </c>
      <c r="R772" s="26" t="s">
        <v>42</v>
      </c>
      <c r="S772" s="27" t="s">
        <v>3566</v>
      </c>
      <c r="T772" s="35"/>
      <c r="U772" s="26"/>
      <c r="V772" s="26"/>
      <c r="W772" s="26">
        <v>5.0</v>
      </c>
      <c r="X772" s="26"/>
    </row>
    <row r="773" hidden="1">
      <c r="A773" s="26">
        <v>773.0</v>
      </c>
      <c r="B773" s="188">
        <v>46190.0</v>
      </c>
      <c r="C773" s="26" t="s">
        <v>21</v>
      </c>
      <c r="D773" s="26" t="s">
        <v>34</v>
      </c>
      <c r="E773" s="26" t="s">
        <v>7340</v>
      </c>
      <c r="F773" s="461">
        <f>+966546942202</f>
        <v>966546942202</v>
      </c>
      <c r="G773" s="26" t="s">
        <v>27</v>
      </c>
      <c r="H773" s="26" t="s">
        <v>27</v>
      </c>
      <c r="I773" s="26" t="s">
        <v>27</v>
      </c>
      <c r="J773" s="209" t="s">
        <v>7341</v>
      </c>
      <c r="K773" s="27"/>
      <c r="L773" s="26" t="s">
        <v>39</v>
      </c>
      <c r="M773" s="27" t="s">
        <v>51</v>
      </c>
      <c r="N773" s="26" t="s">
        <v>4746</v>
      </c>
      <c r="O773" s="26" t="s">
        <v>4746</v>
      </c>
      <c r="P773" s="35"/>
      <c r="Q773" s="26" t="s">
        <v>56</v>
      </c>
      <c r="R773" s="26" t="s">
        <v>42</v>
      </c>
      <c r="S773" s="27" t="s">
        <v>3566</v>
      </c>
      <c r="T773" s="35"/>
      <c r="U773" s="26"/>
      <c r="V773" s="26"/>
      <c r="W773" s="26">
        <v>5.0</v>
      </c>
      <c r="X773" s="26"/>
    </row>
    <row r="774" hidden="1">
      <c r="A774" s="26">
        <v>774.0</v>
      </c>
      <c r="B774" s="188">
        <v>46190.0</v>
      </c>
      <c r="C774" s="26" t="s">
        <v>21</v>
      </c>
      <c r="D774" s="26" t="s">
        <v>34</v>
      </c>
      <c r="E774" s="27" t="s">
        <v>7342</v>
      </c>
      <c r="F774" s="461">
        <f>+966535854810</f>
        <v>966535854810</v>
      </c>
      <c r="G774" s="26" t="s">
        <v>27</v>
      </c>
      <c r="H774" s="26" t="s">
        <v>27</v>
      </c>
      <c r="I774" s="26" t="s">
        <v>27</v>
      </c>
      <c r="J774" s="209" t="s">
        <v>7343</v>
      </c>
      <c r="K774" s="27"/>
      <c r="L774" s="26" t="s">
        <v>39</v>
      </c>
      <c r="M774" s="27" t="s">
        <v>51</v>
      </c>
      <c r="N774" s="26" t="s">
        <v>4746</v>
      </c>
      <c r="O774" s="26" t="s">
        <v>4746</v>
      </c>
      <c r="P774" s="35"/>
      <c r="Q774" s="26" t="s">
        <v>56</v>
      </c>
      <c r="R774" s="26" t="s">
        <v>42</v>
      </c>
      <c r="S774" s="27" t="s">
        <v>3566</v>
      </c>
      <c r="T774" s="35"/>
      <c r="U774" s="26"/>
      <c r="V774" s="26"/>
      <c r="W774" s="26">
        <v>5.0</v>
      </c>
      <c r="X774" s="26"/>
    </row>
    <row r="775" hidden="1">
      <c r="A775" s="26">
        <v>775.0</v>
      </c>
      <c r="B775" s="188">
        <v>46190.0</v>
      </c>
      <c r="C775" s="26" t="s">
        <v>21</v>
      </c>
      <c r="D775" s="26" t="s">
        <v>34</v>
      </c>
      <c r="E775" s="27" t="s">
        <v>7344</v>
      </c>
      <c r="F775" s="461">
        <f>+966509893904</f>
        <v>966509893904</v>
      </c>
      <c r="G775" s="26" t="s">
        <v>27</v>
      </c>
      <c r="H775" s="26" t="s">
        <v>27</v>
      </c>
      <c r="I775" s="26" t="s">
        <v>27</v>
      </c>
      <c r="J775" s="209" t="s">
        <v>7345</v>
      </c>
      <c r="K775" s="27"/>
      <c r="L775" s="26" t="s">
        <v>39</v>
      </c>
      <c r="M775" s="27" t="s">
        <v>51</v>
      </c>
      <c r="N775" s="26" t="s">
        <v>4746</v>
      </c>
      <c r="O775" s="26" t="s">
        <v>4746</v>
      </c>
      <c r="P775" s="35"/>
      <c r="Q775" s="26" t="s">
        <v>56</v>
      </c>
      <c r="R775" s="26" t="s">
        <v>42</v>
      </c>
      <c r="S775" s="27" t="s">
        <v>3566</v>
      </c>
      <c r="T775" s="35"/>
      <c r="U775" s="26"/>
      <c r="V775" s="26"/>
      <c r="W775" s="26">
        <v>5.0</v>
      </c>
      <c r="X775" s="26"/>
    </row>
    <row r="776" hidden="1">
      <c r="A776" s="26">
        <v>776.0</v>
      </c>
      <c r="B776" s="188">
        <v>46190.0</v>
      </c>
      <c r="C776" s="26" t="s">
        <v>21</v>
      </c>
      <c r="D776" s="26" t="s">
        <v>34</v>
      </c>
      <c r="E776" s="27" t="s">
        <v>7346</v>
      </c>
      <c r="F776" s="461">
        <f>+966560695385</f>
        <v>966560695385</v>
      </c>
      <c r="G776" s="26" t="s">
        <v>27</v>
      </c>
      <c r="H776" s="26" t="s">
        <v>27</v>
      </c>
      <c r="I776" s="26" t="s">
        <v>27</v>
      </c>
      <c r="J776" s="209" t="s">
        <v>7347</v>
      </c>
      <c r="K776" s="27"/>
      <c r="L776" s="26" t="s">
        <v>39</v>
      </c>
      <c r="M776" s="27" t="s">
        <v>51</v>
      </c>
      <c r="N776" s="26" t="s">
        <v>4746</v>
      </c>
      <c r="O776" s="26" t="s">
        <v>4746</v>
      </c>
      <c r="P776" s="35"/>
      <c r="Q776" s="26" t="s">
        <v>56</v>
      </c>
      <c r="R776" s="26" t="s">
        <v>42</v>
      </c>
      <c r="S776" s="27" t="s">
        <v>3566</v>
      </c>
      <c r="T776" s="35"/>
      <c r="U776" s="26"/>
      <c r="V776" s="26"/>
      <c r="W776" s="26">
        <v>5.0</v>
      </c>
      <c r="X776" s="26"/>
    </row>
    <row r="777" hidden="1">
      <c r="A777" s="26">
        <v>777.0</v>
      </c>
      <c r="B777" s="188">
        <v>46190.0</v>
      </c>
      <c r="C777" s="26" t="s">
        <v>21</v>
      </c>
      <c r="D777" s="26" t="s">
        <v>34</v>
      </c>
      <c r="E777" s="27" t="s">
        <v>7348</v>
      </c>
      <c r="F777" s="461">
        <f t="shared" ref="F777:F778" si="1">+966575674908</f>
        <v>966575674908</v>
      </c>
      <c r="G777" s="26" t="s">
        <v>27</v>
      </c>
      <c r="H777" s="26" t="s">
        <v>27</v>
      </c>
      <c r="I777" s="26" t="s">
        <v>27</v>
      </c>
      <c r="J777" s="209" t="s">
        <v>7349</v>
      </c>
      <c r="K777" s="27"/>
      <c r="L777" s="26" t="s">
        <v>39</v>
      </c>
      <c r="M777" s="27" t="s">
        <v>51</v>
      </c>
      <c r="N777" s="26" t="s">
        <v>4746</v>
      </c>
      <c r="O777" s="26" t="s">
        <v>4746</v>
      </c>
      <c r="P777" s="35"/>
      <c r="Q777" s="26" t="s">
        <v>56</v>
      </c>
      <c r="R777" s="26" t="s">
        <v>42</v>
      </c>
      <c r="S777" s="27" t="s">
        <v>3566</v>
      </c>
      <c r="T777" s="35"/>
      <c r="U777" s="26"/>
      <c r="V777" s="26"/>
      <c r="W777" s="26">
        <v>5.0</v>
      </c>
      <c r="X777" s="26"/>
    </row>
    <row r="778" hidden="1">
      <c r="A778" s="26">
        <v>778.0</v>
      </c>
      <c r="B778" s="188">
        <v>46190.0</v>
      </c>
      <c r="C778" s="26" t="s">
        <v>21</v>
      </c>
      <c r="D778" s="26" t="s">
        <v>34</v>
      </c>
      <c r="E778" s="27" t="s">
        <v>7348</v>
      </c>
      <c r="F778" s="461">
        <f t="shared" si="1"/>
        <v>966575674908</v>
      </c>
      <c r="G778" s="26" t="s">
        <v>27</v>
      </c>
      <c r="H778" s="26" t="s">
        <v>27</v>
      </c>
      <c r="I778" s="26" t="s">
        <v>27</v>
      </c>
      <c r="J778" s="209" t="s">
        <v>7350</v>
      </c>
      <c r="K778" s="27"/>
      <c r="L778" s="26" t="s">
        <v>39</v>
      </c>
      <c r="M778" s="27" t="s">
        <v>51</v>
      </c>
      <c r="N778" s="26" t="s">
        <v>4746</v>
      </c>
      <c r="O778" s="26" t="s">
        <v>4746</v>
      </c>
      <c r="P778" s="35"/>
      <c r="Q778" s="26" t="s">
        <v>56</v>
      </c>
      <c r="R778" s="26" t="s">
        <v>42</v>
      </c>
      <c r="S778" s="27" t="s">
        <v>3566</v>
      </c>
      <c r="T778" s="35"/>
      <c r="U778" s="26"/>
      <c r="V778" s="26"/>
      <c r="W778" s="26">
        <v>5.0</v>
      </c>
      <c r="X778" s="26"/>
    </row>
    <row r="779" hidden="1">
      <c r="A779" s="26">
        <v>779.0</v>
      </c>
      <c r="B779" s="188">
        <v>46190.0</v>
      </c>
      <c r="C779" s="26" t="s">
        <v>21</v>
      </c>
      <c r="D779" s="26" t="s">
        <v>34</v>
      </c>
      <c r="E779" s="27" t="s">
        <v>7351</v>
      </c>
      <c r="F779" s="461">
        <f>+966590775540</f>
        <v>966590775540</v>
      </c>
      <c r="G779" s="26" t="s">
        <v>27</v>
      </c>
      <c r="H779" s="26" t="s">
        <v>27</v>
      </c>
      <c r="I779" s="26" t="s">
        <v>27</v>
      </c>
      <c r="J779" s="209" t="s">
        <v>7352</v>
      </c>
      <c r="K779" s="27"/>
      <c r="L779" s="26" t="s">
        <v>39</v>
      </c>
      <c r="M779" s="27" t="s">
        <v>51</v>
      </c>
      <c r="N779" s="26" t="s">
        <v>4746</v>
      </c>
      <c r="O779" s="26" t="s">
        <v>4746</v>
      </c>
      <c r="P779" s="35"/>
      <c r="Q779" s="26" t="s">
        <v>56</v>
      </c>
      <c r="R779" s="26" t="s">
        <v>42</v>
      </c>
      <c r="S779" s="27" t="s">
        <v>3566</v>
      </c>
      <c r="T779" s="35"/>
      <c r="U779" s="26"/>
      <c r="V779" s="26"/>
      <c r="W779" s="26">
        <v>5.0</v>
      </c>
      <c r="X779" s="26"/>
    </row>
    <row r="780" hidden="1">
      <c r="A780" s="26">
        <v>780.0</v>
      </c>
      <c r="B780" s="188">
        <v>46190.0</v>
      </c>
      <c r="C780" s="26" t="s">
        <v>21</v>
      </c>
      <c r="D780" s="26" t="s">
        <v>34</v>
      </c>
      <c r="E780" s="27" t="s">
        <v>7353</v>
      </c>
      <c r="F780" s="461">
        <f t="shared" ref="F780:F781" si="2">+966542769383</f>
        <v>966542769383</v>
      </c>
      <c r="G780" s="26" t="s">
        <v>27</v>
      </c>
      <c r="H780" s="26" t="s">
        <v>27</v>
      </c>
      <c r="I780" s="26" t="s">
        <v>27</v>
      </c>
      <c r="J780" s="209" t="s">
        <v>7354</v>
      </c>
      <c r="K780" s="27"/>
      <c r="L780" s="26" t="s">
        <v>39</v>
      </c>
      <c r="M780" s="27" t="s">
        <v>51</v>
      </c>
      <c r="N780" s="26" t="s">
        <v>4746</v>
      </c>
      <c r="O780" s="26" t="s">
        <v>4746</v>
      </c>
      <c r="P780" s="35"/>
      <c r="Q780" s="26" t="s">
        <v>56</v>
      </c>
      <c r="R780" s="26" t="s">
        <v>42</v>
      </c>
      <c r="S780" s="27" t="s">
        <v>3566</v>
      </c>
      <c r="T780" s="35"/>
      <c r="U780" s="26"/>
      <c r="V780" s="26"/>
      <c r="W780" s="26">
        <v>5.0</v>
      </c>
      <c r="X780" s="26"/>
    </row>
    <row r="781" hidden="1">
      <c r="A781" s="26">
        <v>781.0</v>
      </c>
      <c r="B781" s="188">
        <v>46190.0</v>
      </c>
      <c r="C781" s="26" t="s">
        <v>21</v>
      </c>
      <c r="D781" s="26" t="s">
        <v>34</v>
      </c>
      <c r="E781" s="27" t="s">
        <v>7353</v>
      </c>
      <c r="F781" s="461">
        <f t="shared" si="2"/>
        <v>966542769383</v>
      </c>
      <c r="G781" s="26" t="s">
        <v>27</v>
      </c>
      <c r="H781" s="26" t="s">
        <v>27</v>
      </c>
      <c r="I781" s="26" t="s">
        <v>27</v>
      </c>
      <c r="J781" s="209" t="s">
        <v>7355</v>
      </c>
      <c r="K781" s="27"/>
      <c r="L781" s="26" t="s">
        <v>39</v>
      </c>
      <c r="M781" s="27" t="s">
        <v>51</v>
      </c>
      <c r="N781" s="26" t="s">
        <v>4746</v>
      </c>
      <c r="O781" s="26" t="s">
        <v>4746</v>
      </c>
      <c r="P781" s="35"/>
      <c r="Q781" s="26" t="s">
        <v>56</v>
      </c>
      <c r="R781" s="26" t="s">
        <v>42</v>
      </c>
      <c r="S781" s="27" t="s">
        <v>3566</v>
      </c>
      <c r="T781" s="35"/>
      <c r="U781" s="26"/>
      <c r="V781" s="26"/>
      <c r="W781" s="26">
        <v>5.0</v>
      </c>
      <c r="X781" s="26"/>
    </row>
    <row r="782" hidden="1">
      <c r="A782" s="26">
        <v>782.0</v>
      </c>
      <c r="B782" s="188">
        <v>46190.0</v>
      </c>
      <c r="C782" s="26" t="s">
        <v>21</v>
      </c>
      <c r="D782" s="26" t="s">
        <v>34</v>
      </c>
      <c r="E782" s="27" t="s">
        <v>6772</v>
      </c>
      <c r="F782" s="461">
        <f>+966557898002</f>
        <v>966557898002</v>
      </c>
      <c r="G782" s="26" t="s">
        <v>27</v>
      </c>
      <c r="H782" s="26" t="s">
        <v>27</v>
      </c>
      <c r="I782" s="26" t="s">
        <v>27</v>
      </c>
      <c r="J782" s="209" t="s">
        <v>7356</v>
      </c>
      <c r="K782" s="27"/>
      <c r="L782" s="26" t="s">
        <v>39</v>
      </c>
      <c r="M782" s="27" t="s">
        <v>51</v>
      </c>
      <c r="N782" s="26" t="s">
        <v>4746</v>
      </c>
      <c r="O782" s="26" t="s">
        <v>4746</v>
      </c>
      <c r="P782" s="35"/>
      <c r="Q782" s="26" t="s">
        <v>56</v>
      </c>
      <c r="R782" s="26" t="s">
        <v>42</v>
      </c>
      <c r="S782" s="27" t="s">
        <v>3566</v>
      </c>
      <c r="T782" s="35"/>
      <c r="U782" s="26"/>
      <c r="V782" s="26"/>
      <c r="W782" s="26">
        <v>5.0</v>
      </c>
      <c r="X782" s="26"/>
    </row>
    <row r="783" hidden="1">
      <c r="A783" s="26">
        <v>783.0</v>
      </c>
      <c r="B783" s="188">
        <v>46190.0</v>
      </c>
      <c r="C783" s="26" t="s">
        <v>21</v>
      </c>
      <c r="D783" s="26" t="s">
        <v>34</v>
      </c>
      <c r="E783" s="27" t="s">
        <v>7357</v>
      </c>
      <c r="F783" s="461">
        <f>+966565689300</f>
        <v>966565689300</v>
      </c>
      <c r="G783" s="26" t="s">
        <v>27</v>
      </c>
      <c r="H783" s="26" t="s">
        <v>27</v>
      </c>
      <c r="I783" s="26" t="s">
        <v>27</v>
      </c>
      <c r="J783" s="209" t="s">
        <v>7359</v>
      </c>
      <c r="K783" s="27"/>
      <c r="L783" s="26" t="s">
        <v>39</v>
      </c>
      <c r="M783" s="27" t="s">
        <v>51</v>
      </c>
      <c r="N783" s="26" t="s">
        <v>4746</v>
      </c>
      <c r="O783" s="26" t="s">
        <v>4746</v>
      </c>
      <c r="P783" s="35"/>
      <c r="Q783" s="26" t="s">
        <v>56</v>
      </c>
      <c r="R783" s="26" t="s">
        <v>42</v>
      </c>
      <c r="S783" s="27" t="s">
        <v>3566</v>
      </c>
      <c r="T783" s="35"/>
      <c r="U783" s="26"/>
      <c r="V783" s="26"/>
      <c r="W783" s="26">
        <v>5.0</v>
      </c>
      <c r="X783" s="26"/>
    </row>
    <row r="784" hidden="1">
      <c r="A784" s="26">
        <v>784.0</v>
      </c>
      <c r="B784" s="188">
        <v>46190.0</v>
      </c>
      <c r="C784" s="26" t="s">
        <v>21</v>
      </c>
      <c r="D784" s="26" t="s">
        <v>34</v>
      </c>
      <c r="E784" s="27" t="s">
        <v>4136</v>
      </c>
      <c r="F784" s="461">
        <f>+966561346904</f>
        <v>966561346904</v>
      </c>
      <c r="G784" s="26" t="s">
        <v>27</v>
      </c>
      <c r="H784" s="26" t="s">
        <v>27</v>
      </c>
      <c r="I784" s="26" t="s">
        <v>27</v>
      </c>
      <c r="J784" s="209" t="s">
        <v>7360</v>
      </c>
      <c r="K784" s="27"/>
      <c r="L784" s="26" t="s">
        <v>39</v>
      </c>
      <c r="M784" s="27" t="s">
        <v>51</v>
      </c>
      <c r="N784" s="26" t="s">
        <v>4746</v>
      </c>
      <c r="O784" s="26" t="s">
        <v>4746</v>
      </c>
      <c r="P784" s="35"/>
      <c r="Q784" s="26" t="s">
        <v>56</v>
      </c>
      <c r="R784" s="26" t="s">
        <v>42</v>
      </c>
      <c r="S784" s="27" t="s">
        <v>3566</v>
      </c>
      <c r="T784" s="35"/>
      <c r="U784" s="26"/>
      <c r="V784" s="26"/>
      <c r="W784" s="26">
        <v>5.0</v>
      </c>
      <c r="X784" s="26"/>
    </row>
    <row r="785" hidden="1">
      <c r="A785" s="26">
        <v>785.0</v>
      </c>
      <c r="B785" s="188">
        <v>46190.0</v>
      </c>
      <c r="C785" s="26" t="s">
        <v>21</v>
      </c>
      <c r="D785" s="26" t="s">
        <v>34</v>
      </c>
      <c r="E785" s="26" t="s">
        <v>7361</v>
      </c>
      <c r="F785" s="461">
        <f>+966533942422</f>
        <v>966533942422</v>
      </c>
      <c r="G785" s="26" t="s">
        <v>27</v>
      </c>
      <c r="H785" s="26" t="s">
        <v>27</v>
      </c>
      <c r="I785" s="26" t="s">
        <v>27</v>
      </c>
      <c r="J785" s="209" t="s">
        <v>7362</v>
      </c>
      <c r="K785" s="27"/>
      <c r="L785" s="26" t="s">
        <v>39</v>
      </c>
      <c r="M785" s="27" t="s">
        <v>51</v>
      </c>
      <c r="N785" s="26" t="s">
        <v>4746</v>
      </c>
      <c r="O785" s="26" t="s">
        <v>4746</v>
      </c>
      <c r="P785" s="35"/>
      <c r="Q785" s="26" t="s">
        <v>56</v>
      </c>
      <c r="R785" s="26" t="s">
        <v>42</v>
      </c>
      <c r="S785" s="27" t="s">
        <v>3566</v>
      </c>
      <c r="T785" s="35"/>
      <c r="U785" s="26"/>
      <c r="V785" s="26"/>
      <c r="W785" s="26">
        <v>5.0</v>
      </c>
      <c r="X785" s="26"/>
    </row>
    <row r="786" hidden="1">
      <c r="A786" s="26">
        <v>786.0</v>
      </c>
      <c r="B786" s="188">
        <v>46190.0</v>
      </c>
      <c r="C786" s="26" t="s">
        <v>21</v>
      </c>
      <c r="D786" s="26" t="s">
        <v>34</v>
      </c>
      <c r="E786" s="27" t="s">
        <v>5352</v>
      </c>
      <c r="F786" s="461">
        <f>+966531338714</f>
        <v>966531338714</v>
      </c>
      <c r="G786" s="26" t="s">
        <v>27</v>
      </c>
      <c r="H786" s="26" t="s">
        <v>27</v>
      </c>
      <c r="I786" s="26" t="s">
        <v>27</v>
      </c>
      <c r="J786" s="209" t="s">
        <v>7363</v>
      </c>
      <c r="K786" s="27"/>
      <c r="L786" s="26" t="s">
        <v>39</v>
      </c>
      <c r="M786" s="27" t="s">
        <v>51</v>
      </c>
      <c r="N786" s="26" t="s">
        <v>4746</v>
      </c>
      <c r="O786" s="26" t="s">
        <v>4746</v>
      </c>
      <c r="P786" s="35"/>
      <c r="Q786" s="26" t="s">
        <v>56</v>
      </c>
      <c r="R786" s="26" t="s">
        <v>42</v>
      </c>
      <c r="S786" s="27" t="s">
        <v>3566</v>
      </c>
      <c r="T786" s="35"/>
      <c r="U786" s="26"/>
      <c r="V786" s="26"/>
      <c r="W786" s="26">
        <v>5.0</v>
      </c>
      <c r="X786" s="26"/>
    </row>
    <row r="787" hidden="1">
      <c r="A787" s="26">
        <v>787.0</v>
      </c>
      <c r="B787" s="188">
        <v>46190.0</v>
      </c>
      <c r="C787" s="26" t="s">
        <v>21</v>
      </c>
      <c r="D787" s="26" t="s">
        <v>34</v>
      </c>
      <c r="E787" s="27" t="s">
        <v>7364</v>
      </c>
      <c r="F787" s="461">
        <f>+966556001206</f>
        <v>966556001206</v>
      </c>
      <c r="G787" s="26" t="s">
        <v>27</v>
      </c>
      <c r="H787" s="26" t="s">
        <v>27</v>
      </c>
      <c r="I787" s="26" t="s">
        <v>27</v>
      </c>
      <c r="J787" s="209" t="s">
        <v>7365</v>
      </c>
      <c r="K787" s="27"/>
      <c r="L787" s="26" t="s">
        <v>39</v>
      </c>
      <c r="M787" s="27" t="s">
        <v>51</v>
      </c>
      <c r="N787" s="26" t="s">
        <v>4746</v>
      </c>
      <c r="O787" s="26" t="s">
        <v>4746</v>
      </c>
      <c r="P787" s="35"/>
      <c r="Q787" s="26" t="s">
        <v>56</v>
      </c>
      <c r="R787" s="26" t="s">
        <v>42</v>
      </c>
      <c r="S787" s="27" t="s">
        <v>3566</v>
      </c>
      <c r="T787" s="35"/>
      <c r="U787" s="26"/>
      <c r="V787" s="26"/>
      <c r="W787" s="26">
        <v>5.0</v>
      </c>
      <c r="X787" s="26"/>
    </row>
    <row r="788" hidden="1">
      <c r="A788" s="26">
        <v>788.0</v>
      </c>
      <c r="B788" s="188">
        <v>46190.0</v>
      </c>
      <c r="C788" s="26" t="s">
        <v>21</v>
      </c>
      <c r="D788" s="26" t="s">
        <v>34</v>
      </c>
      <c r="E788" s="27" t="s">
        <v>7367</v>
      </c>
      <c r="F788" s="461">
        <f>+966565606503</f>
        <v>966565606503</v>
      </c>
      <c r="G788" s="26" t="s">
        <v>27</v>
      </c>
      <c r="H788" s="26" t="s">
        <v>27</v>
      </c>
      <c r="I788" s="26" t="s">
        <v>27</v>
      </c>
      <c r="J788" s="209" t="s">
        <v>7368</v>
      </c>
      <c r="K788" s="27"/>
      <c r="L788" s="26" t="s">
        <v>39</v>
      </c>
      <c r="M788" s="27" t="s">
        <v>51</v>
      </c>
      <c r="N788" s="26" t="s">
        <v>4746</v>
      </c>
      <c r="O788" s="26" t="s">
        <v>4746</v>
      </c>
      <c r="P788" s="35"/>
      <c r="Q788" s="26" t="s">
        <v>56</v>
      </c>
      <c r="R788" s="26" t="s">
        <v>42</v>
      </c>
      <c r="S788" s="27" t="s">
        <v>3566</v>
      </c>
      <c r="T788" s="35"/>
      <c r="U788" s="26"/>
      <c r="V788" s="26"/>
      <c r="W788" s="26">
        <v>5.0</v>
      </c>
      <c r="X788" s="26"/>
    </row>
    <row r="789" hidden="1">
      <c r="A789" s="26">
        <v>789.0</v>
      </c>
      <c r="B789" s="188">
        <v>46190.0</v>
      </c>
      <c r="C789" s="26" t="s">
        <v>21</v>
      </c>
      <c r="D789" s="26" t="s">
        <v>34</v>
      </c>
      <c r="E789" s="27" t="s">
        <v>7369</v>
      </c>
      <c r="F789" s="461">
        <f>+966565616213</f>
        <v>966565616213</v>
      </c>
      <c r="G789" s="26" t="s">
        <v>27</v>
      </c>
      <c r="H789" s="26" t="s">
        <v>27</v>
      </c>
      <c r="I789" s="26" t="s">
        <v>27</v>
      </c>
      <c r="J789" s="209" t="s">
        <v>7370</v>
      </c>
      <c r="K789" s="27"/>
      <c r="L789" s="26" t="s">
        <v>39</v>
      </c>
      <c r="M789" s="27" t="s">
        <v>51</v>
      </c>
      <c r="N789" s="26" t="s">
        <v>4746</v>
      </c>
      <c r="O789" s="26" t="s">
        <v>4746</v>
      </c>
      <c r="P789" s="35"/>
      <c r="Q789" s="26" t="s">
        <v>56</v>
      </c>
      <c r="R789" s="26" t="s">
        <v>42</v>
      </c>
      <c r="S789" s="27" t="s">
        <v>3566</v>
      </c>
      <c r="T789" s="35"/>
      <c r="U789" s="26"/>
      <c r="V789" s="26"/>
      <c r="W789" s="26">
        <v>5.0</v>
      </c>
      <c r="X789" s="26"/>
    </row>
    <row r="790" hidden="1">
      <c r="A790" s="26">
        <v>790.0</v>
      </c>
      <c r="B790" s="188">
        <v>46190.0</v>
      </c>
      <c r="C790" s="26" t="s">
        <v>21</v>
      </c>
      <c r="D790" s="26" t="s">
        <v>34</v>
      </c>
      <c r="E790" s="26" t="s">
        <v>7371</v>
      </c>
      <c r="F790" s="461">
        <f>+966592990447</f>
        <v>966592990447</v>
      </c>
      <c r="G790" s="26" t="s">
        <v>27</v>
      </c>
      <c r="H790" s="26" t="s">
        <v>27</v>
      </c>
      <c r="I790" s="26" t="s">
        <v>27</v>
      </c>
      <c r="J790" s="209" t="s">
        <v>7372</v>
      </c>
      <c r="K790" s="27"/>
      <c r="L790" s="26" t="s">
        <v>39</v>
      </c>
      <c r="M790" s="27" t="s">
        <v>51</v>
      </c>
      <c r="N790" s="26" t="s">
        <v>4746</v>
      </c>
      <c r="O790" s="26" t="s">
        <v>4746</v>
      </c>
      <c r="P790" s="35"/>
      <c r="Q790" s="26" t="s">
        <v>56</v>
      </c>
      <c r="R790" s="26" t="s">
        <v>42</v>
      </c>
      <c r="S790" s="27" t="s">
        <v>3566</v>
      </c>
      <c r="T790" s="35"/>
      <c r="U790" s="26"/>
      <c r="V790" s="26"/>
      <c r="W790" s="26">
        <v>5.0</v>
      </c>
      <c r="X790" s="26"/>
    </row>
    <row r="791" hidden="1">
      <c r="A791" s="26">
        <v>791.0</v>
      </c>
      <c r="B791" s="188">
        <v>46190.0</v>
      </c>
      <c r="C791" s="26" t="s">
        <v>21</v>
      </c>
      <c r="D791" s="26" t="s">
        <v>34</v>
      </c>
      <c r="E791" s="27" t="s">
        <v>7373</v>
      </c>
      <c r="F791" s="461">
        <f>+966580187283</f>
        <v>966580187283</v>
      </c>
      <c r="G791" s="26" t="s">
        <v>27</v>
      </c>
      <c r="H791" s="26" t="s">
        <v>27</v>
      </c>
      <c r="I791" s="26" t="s">
        <v>27</v>
      </c>
      <c r="J791" s="209" t="s">
        <v>7374</v>
      </c>
      <c r="K791" s="27"/>
      <c r="L791" s="26" t="s">
        <v>39</v>
      </c>
      <c r="M791" s="27" t="s">
        <v>51</v>
      </c>
      <c r="N791" s="26" t="s">
        <v>4746</v>
      </c>
      <c r="O791" s="26" t="s">
        <v>4746</v>
      </c>
      <c r="P791" s="35"/>
      <c r="Q791" s="26" t="s">
        <v>56</v>
      </c>
      <c r="R791" s="26" t="s">
        <v>42</v>
      </c>
      <c r="S791" s="27" t="s">
        <v>3566</v>
      </c>
      <c r="T791" s="35"/>
      <c r="U791" s="26"/>
      <c r="V791" s="26"/>
      <c r="W791" s="26">
        <v>5.0</v>
      </c>
      <c r="X791" s="26"/>
    </row>
    <row r="792" hidden="1">
      <c r="A792" s="26">
        <v>792.0</v>
      </c>
      <c r="B792" s="188">
        <v>46190.0</v>
      </c>
      <c r="C792" s="26" t="s">
        <v>21</v>
      </c>
      <c r="D792" s="26" t="s">
        <v>34</v>
      </c>
      <c r="E792" s="26" t="s">
        <v>7375</v>
      </c>
      <c r="F792" s="461">
        <f>+966535783535</f>
        <v>966535783535</v>
      </c>
      <c r="G792" s="26" t="s">
        <v>27</v>
      </c>
      <c r="H792" s="26" t="s">
        <v>27</v>
      </c>
      <c r="I792" s="26" t="s">
        <v>27</v>
      </c>
      <c r="J792" s="351" t="s">
        <v>7376</v>
      </c>
      <c r="K792" s="27"/>
      <c r="L792" s="26" t="s">
        <v>39</v>
      </c>
      <c r="M792" s="27" t="s">
        <v>51</v>
      </c>
      <c r="N792" s="26" t="s">
        <v>4746</v>
      </c>
      <c r="O792" s="26" t="s">
        <v>4746</v>
      </c>
      <c r="P792" s="35"/>
      <c r="Q792" s="26" t="s">
        <v>56</v>
      </c>
      <c r="R792" s="26" t="s">
        <v>42</v>
      </c>
      <c r="S792" s="27" t="s">
        <v>3566</v>
      </c>
      <c r="T792" s="35"/>
      <c r="U792" s="26"/>
      <c r="V792" s="26"/>
      <c r="W792" s="26">
        <v>5.0</v>
      </c>
      <c r="X792" s="26"/>
    </row>
    <row r="793" hidden="1">
      <c r="A793" s="26">
        <v>793.0</v>
      </c>
      <c r="B793" s="188">
        <v>46190.0</v>
      </c>
      <c r="C793" s="26" t="s">
        <v>21</v>
      </c>
      <c r="D793" s="26" t="s">
        <v>34</v>
      </c>
      <c r="E793" s="27" t="s">
        <v>7377</v>
      </c>
      <c r="F793" s="461">
        <f>+966555234935</f>
        <v>966555234935</v>
      </c>
      <c r="G793" s="26" t="s">
        <v>27</v>
      </c>
      <c r="H793" s="26" t="s">
        <v>27</v>
      </c>
      <c r="I793" s="26" t="s">
        <v>27</v>
      </c>
      <c r="J793" s="209" t="s">
        <v>7378</v>
      </c>
      <c r="K793" s="27"/>
      <c r="L793" s="26" t="s">
        <v>39</v>
      </c>
      <c r="M793" s="27" t="s">
        <v>51</v>
      </c>
      <c r="N793" s="26" t="s">
        <v>4746</v>
      </c>
      <c r="O793" s="26" t="s">
        <v>4746</v>
      </c>
      <c r="P793" s="35"/>
      <c r="Q793" s="26" t="s">
        <v>56</v>
      </c>
      <c r="R793" s="26" t="s">
        <v>42</v>
      </c>
      <c r="S793" s="27" t="s">
        <v>3566</v>
      </c>
      <c r="T793" s="35"/>
      <c r="U793" s="26"/>
      <c r="V793" s="26"/>
      <c r="W793" s="26">
        <v>5.0</v>
      </c>
      <c r="X793" s="26"/>
    </row>
    <row r="794" hidden="1">
      <c r="A794" s="26">
        <v>794.0</v>
      </c>
      <c r="B794" s="188">
        <v>46190.0</v>
      </c>
      <c r="C794" s="26" t="s">
        <v>21</v>
      </c>
      <c r="D794" s="26" t="s">
        <v>34</v>
      </c>
      <c r="E794" s="27" t="s">
        <v>7379</v>
      </c>
      <c r="F794" s="461">
        <f>+966500466406</f>
        <v>966500466406</v>
      </c>
      <c r="G794" s="26" t="s">
        <v>27</v>
      </c>
      <c r="H794" s="26" t="s">
        <v>27</v>
      </c>
      <c r="I794" s="26" t="s">
        <v>27</v>
      </c>
      <c r="J794" s="209" t="s">
        <v>7380</v>
      </c>
      <c r="K794" s="27"/>
      <c r="L794" s="26" t="s">
        <v>39</v>
      </c>
      <c r="M794" s="27" t="s">
        <v>51</v>
      </c>
      <c r="N794" s="26" t="s">
        <v>4746</v>
      </c>
      <c r="O794" s="26" t="s">
        <v>4746</v>
      </c>
      <c r="P794" s="35"/>
      <c r="Q794" s="26" t="s">
        <v>56</v>
      </c>
      <c r="R794" s="26" t="s">
        <v>42</v>
      </c>
      <c r="S794" s="27" t="s">
        <v>3566</v>
      </c>
      <c r="T794" s="35"/>
      <c r="U794" s="26"/>
      <c r="V794" s="26"/>
      <c r="W794" s="26">
        <v>5.0</v>
      </c>
      <c r="X794" s="26"/>
    </row>
    <row r="795" hidden="1">
      <c r="A795" s="26">
        <v>795.0</v>
      </c>
      <c r="B795" s="188">
        <v>46190.0</v>
      </c>
      <c r="C795" s="26" t="s">
        <v>21</v>
      </c>
      <c r="D795" s="26" t="s">
        <v>34</v>
      </c>
      <c r="E795" s="27" t="s">
        <v>7381</v>
      </c>
      <c r="F795" s="461">
        <f>+966532288878</f>
        <v>966532288878</v>
      </c>
      <c r="G795" s="26" t="s">
        <v>27</v>
      </c>
      <c r="H795" s="26" t="s">
        <v>27</v>
      </c>
      <c r="I795" s="26" t="s">
        <v>27</v>
      </c>
      <c r="J795" s="209" t="s">
        <v>7382</v>
      </c>
      <c r="K795" s="27"/>
      <c r="L795" s="26" t="s">
        <v>39</v>
      </c>
      <c r="M795" s="27" t="s">
        <v>51</v>
      </c>
      <c r="N795" s="26" t="s">
        <v>4746</v>
      </c>
      <c r="O795" s="26" t="s">
        <v>4746</v>
      </c>
      <c r="P795" s="35"/>
      <c r="Q795" s="26" t="s">
        <v>56</v>
      </c>
      <c r="R795" s="26" t="s">
        <v>42</v>
      </c>
      <c r="S795" s="27" t="s">
        <v>3566</v>
      </c>
      <c r="T795" s="35"/>
      <c r="U795" s="26"/>
      <c r="V795" s="26"/>
      <c r="W795" s="26">
        <v>5.0</v>
      </c>
      <c r="X795" s="26"/>
    </row>
    <row r="796" hidden="1">
      <c r="A796" s="26">
        <v>796.0</v>
      </c>
      <c r="B796" s="188">
        <v>46190.0</v>
      </c>
      <c r="C796" s="26" t="s">
        <v>21</v>
      </c>
      <c r="D796" s="26" t="s">
        <v>34</v>
      </c>
      <c r="E796" s="26" t="s">
        <v>7383</v>
      </c>
      <c r="F796" s="461">
        <f>+966503335066</f>
        <v>966503335066</v>
      </c>
      <c r="G796" s="26" t="s">
        <v>27</v>
      </c>
      <c r="H796" s="26" t="s">
        <v>27</v>
      </c>
      <c r="I796" s="26" t="s">
        <v>27</v>
      </c>
      <c r="J796" s="209" t="s">
        <v>7384</v>
      </c>
      <c r="K796" s="27"/>
      <c r="L796" s="26" t="s">
        <v>39</v>
      </c>
      <c r="M796" s="27" t="s">
        <v>51</v>
      </c>
      <c r="N796" s="26" t="s">
        <v>4746</v>
      </c>
      <c r="O796" s="26" t="s">
        <v>4746</v>
      </c>
      <c r="P796" s="35"/>
      <c r="Q796" s="26" t="s">
        <v>56</v>
      </c>
      <c r="R796" s="26" t="s">
        <v>42</v>
      </c>
      <c r="S796" s="27" t="s">
        <v>3566</v>
      </c>
      <c r="T796" s="35"/>
      <c r="U796" s="26"/>
      <c r="V796" s="26"/>
      <c r="W796" s="26">
        <v>5.0</v>
      </c>
      <c r="X796" s="26"/>
    </row>
    <row r="797" hidden="1">
      <c r="A797" s="26">
        <v>797.0</v>
      </c>
      <c r="B797" s="188">
        <v>46190.0</v>
      </c>
      <c r="C797" s="26" t="s">
        <v>21</v>
      </c>
      <c r="D797" s="26" t="s">
        <v>34</v>
      </c>
      <c r="E797" s="27" t="s">
        <v>7385</v>
      </c>
      <c r="F797" s="461">
        <f>+966568763965</f>
        <v>966568763965</v>
      </c>
      <c r="G797" s="26" t="s">
        <v>27</v>
      </c>
      <c r="H797" s="26" t="s">
        <v>27</v>
      </c>
      <c r="I797" s="26" t="s">
        <v>27</v>
      </c>
      <c r="J797" s="209" t="s">
        <v>7386</v>
      </c>
      <c r="K797" s="27"/>
      <c r="L797" s="26" t="s">
        <v>39</v>
      </c>
      <c r="M797" s="27" t="s">
        <v>51</v>
      </c>
      <c r="N797" s="26" t="s">
        <v>4746</v>
      </c>
      <c r="O797" s="26" t="s">
        <v>4746</v>
      </c>
      <c r="P797" s="35"/>
      <c r="Q797" s="26" t="s">
        <v>56</v>
      </c>
      <c r="R797" s="26" t="s">
        <v>42</v>
      </c>
      <c r="S797" s="27" t="s">
        <v>3566</v>
      </c>
      <c r="T797" s="35"/>
      <c r="U797" s="26"/>
      <c r="V797" s="26"/>
      <c r="W797" s="26">
        <v>5.0</v>
      </c>
      <c r="X797" s="26"/>
    </row>
    <row r="798" hidden="1">
      <c r="A798" s="26">
        <v>798.0</v>
      </c>
      <c r="B798" s="188">
        <v>46190.0</v>
      </c>
      <c r="C798" s="26" t="s">
        <v>21</v>
      </c>
      <c r="D798" s="26" t="s">
        <v>34</v>
      </c>
      <c r="E798" s="27" t="s">
        <v>7387</v>
      </c>
      <c r="F798" s="461">
        <f>+966538115309</f>
        <v>966538115309</v>
      </c>
      <c r="G798" s="26" t="s">
        <v>27</v>
      </c>
      <c r="H798" s="26" t="s">
        <v>27</v>
      </c>
      <c r="I798" s="26" t="s">
        <v>27</v>
      </c>
      <c r="J798" s="209" t="s">
        <v>7388</v>
      </c>
      <c r="K798" s="27"/>
      <c r="L798" s="26" t="s">
        <v>39</v>
      </c>
      <c r="M798" s="27" t="s">
        <v>51</v>
      </c>
      <c r="N798" s="26" t="s">
        <v>4746</v>
      </c>
      <c r="O798" s="26" t="s">
        <v>4746</v>
      </c>
      <c r="P798" s="35"/>
      <c r="Q798" s="26" t="s">
        <v>56</v>
      </c>
      <c r="R798" s="26" t="s">
        <v>42</v>
      </c>
      <c r="S798" s="27" t="s">
        <v>3566</v>
      </c>
      <c r="T798" s="35"/>
      <c r="U798" s="26"/>
      <c r="V798" s="26"/>
      <c r="W798" s="26">
        <v>5.0</v>
      </c>
      <c r="X798" s="26"/>
    </row>
    <row r="799" hidden="1">
      <c r="A799" s="26">
        <v>799.0</v>
      </c>
      <c r="B799" s="188">
        <v>46190.0</v>
      </c>
      <c r="C799" s="26" t="s">
        <v>21</v>
      </c>
      <c r="D799" s="26" t="s">
        <v>34</v>
      </c>
      <c r="E799" s="27" t="s">
        <v>7389</v>
      </c>
      <c r="F799" s="461">
        <f>+966561779001</f>
        <v>966561779001</v>
      </c>
      <c r="G799" s="26" t="s">
        <v>27</v>
      </c>
      <c r="H799" s="26" t="s">
        <v>27</v>
      </c>
      <c r="I799" s="26" t="s">
        <v>27</v>
      </c>
      <c r="J799" s="209" t="s">
        <v>7390</v>
      </c>
      <c r="K799" s="27"/>
      <c r="L799" s="26" t="s">
        <v>39</v>
      </c>
      <c r="M799" s="27" t="s">
        <v>51</v>
      </c>
      <c r="N799" s="26" t="s">
        <v>4746</v>
      </c>
      <c r="O799" s="26" t="s">
        <v>4746</v>
      </c>
      <c r="P799" s="35"/>
      <c r="Q799" s="26" t="s">
        <v>56</v>
      </c>
      <c r="R799" s="26" t="s">
        <v>42</v>
      </c>
      <c r="S799" s="27" t="s">
        <v>3566</v>
      </c>
      <c r="T799" s="35"/>
      <c r="U799" s="26"/>
      <c r="V799" s="26"/>
      <c r="W799" s="26">
        <v>5.0</v>
      </c>
      <c r="X799" s="26"/>
    </row>
    <row r="800" hidden="1">
      <c r="A800" s="26">
        <v>800.0</v>
      </c>
      <c r="B800" s="188">
        <v>46190.0</v>
      </c>
      <c r="C800" s="26" t="s">
        <v>21</v>
      </c>
      <c r="D800" s="26" t="s">
        <v>34</v>
      </c>
      <c r="E800" s="26" t="s">
        <v>7391</v>
      </c>
      <c r="F800" s="461">
        <f>+966552085874</f>
        <v>966552085874</v>
      </c>
      <c r="G800" s="26" t="s">
        <v>27</v>
      </c>
      <c r="H800" s="26" t="s">
        <v>27</v>
      </c>
      <c r="I800" s="26" t="s">
        <v>27</v>
      </c>
      <c r="J800" s="209" t="s">
        <v>7392</v>
      </c>
      <c r="K800" s="27"/>
      <c r="L800" s="26" t="s">
        <v>39</v>
      </c>
      <c r="M800" s="27" t="s">
        <v>51</v>
      </c>
      <c r="N800" s="26" t="s">
        <v>4746</v>
      </c>
      <c r="O800" s="26" t="s">
        <v>4746</v>
      </c>
      <c r="P800" s="35"/>
      <c r="Q800" s="26" t="s">
        <v>56</v>
      </c>
      <c r="R800" s="26" t="s">
        <v>42</v>
      </c>
      <c r="S800" s="27" t="s">
        <v>3566</v>
      </c>
      <c r="T800" s="35"/>
      <c r="U800" s="26"/>
      <c r="V800" s="26"/>
      <c r="W800" s="26">
        <v>5.0</v>
      </c>
      <c r="X800" s="26"/>
    </row>
    <row r="801" hidden="1">
      <c r="A801" s="26">
        <v>801.0</v>
      </c>
      <c r="B801" s="188">
        <v>46190.0</v>
      </c>
      <c r="C801" s="26" t="s">
        <v>21</v>
      </c>
      <c r="D801" s="26" t="s">
        <v>34</v>
      </c>
      <c r="E801" s="27" t="s">
        <v>7393</v>
      </c>
      <c r="F801" s="461">
        <f>+966567126112</f>
        <v>966567126112</v>
      </c>
      <c r="G801" s="26" t="s">
        <v>27</v>
      </c>
      <c r="H801" s="26" t="s">
        <v>27</v>
      </c>
      <c r="I801" s="26" t="s">
        <v>27</v>
      </c>
      <c r="J801" s="209" t="s">
        <v>7394</v>
      </c>
      <c r="K801" s="27"/>
      <c r="L801" s="26" t="s">
        <v>39</v>
      </c>
      <c r="M801" s="27" t="s">
        <v>51</v>
      </c>
      <c r="N801" s="26" t="s">
        <v>4746</v>
      </c>
      <c r="O801" s="26" t="s">
        <v>4746</v>
      </c>
      <c r="P801" s="35"/>
      <c r="Q801" s="26" t="s">
        <v>56</v>
      </c>
      <c r="R801" s="26" t="s">
        <v>42</v>
      </c>
      <c r="S801" s="27" t="s">
        <v>3566</v>
      </c>
      <c r="T801" s="35"/>
      <c r="U801" s="26"/>
      <c r="V801" s="26"/>
      <c r="W801" s="26">
        <v>5.0</v>
      </c>
      <c r="X801" s="26"/>
    </row>
    <row r="802" hidden="1">
      <c r="A802" s="26">
        <v>802.0</v>
      </c>
      <c r="B802" s="188">
        <v>46190.0</v>
      </c>
      <c r="C802" s="26" t="s">
        <v>21</v>
      </c>
      <c r="D802" s="26" t="s">
        <v>34</v>
      </c>
      <c r="E802" s="27" t="s">
        <v>7395</v>
      </c>
      <c r="F802" s="461">
        <f>+966555800381</f>
        <v>966555800381</v>
      </c>
      <c r="G802" s="26" t="s">
        <v>27</v>
      </c>
      <c r="H802" s="26" t="s">
        <v>27</v>
      </c>
      <c r="I802" s="26" t="s">
        <v>27</v>
      </c>
      <c r="J802" s="209" t="s">
        <v>7396</v>
      </c>
      <c r="K802" s="27"/>
      <c r="L802" s="26" t="s">
        <v>39</v>
      </c>
      <c r="M802" s="27" t="s">
        <v>51</v>
      </c>
      <c r="N802" s="26" t="s">
        <v>4746</v>
      </c>
      <c r="O802" s="26" t="s">
        <v>4746</v>
      </c>
      <c r="P802" s="35"/>
      <c r="Q802" s="26" t="s">
        <v>56</v>
      </c>
      <c r="R802" s="26" t="s">
        <v>42</v>
      </c>
      <c r="S802" s="27" t="s">
        <v>3566</v>
      </c>
      <c r="T802" s="35"/>
      <c r="U802" s="26"/>
      <c r="V802" s="26"/>
      <c r="W802" s="26">
        <v>5.0</v>
      </c>
      <c r="X802" s="26"/>
    </row>
    <row r="803" hidden="1">
      <c r="A803" s="26">
        <v>803.0</v>
      </c>
      <c r="B803" s="188">
        <v>46190.0</v>
      </c>
      <c r="C803" s="26" t="s">
        <v>21</v>
      </c>
      <c r="D803" s="26" t="s">
        <v>34</v>
      </c>
      <c r="E803" s="27" t="s">
        <v>7397</v>
      </c>
      <c r="F803" s="461">
        <f>+966507923531</f>
        <v>966507923531</v>
      </c>
      <c r="G803" s="26" t="s">
        <v>27</v>
      </c>
      <c r="H803" s="26" t="s">
        <v>27</v>
      </c>
      <c r="I803" s="26" t="s">
        <v>27</v>
      </c>
      <c r="J803" s="209" t="s">
        <v>7398</v>
      </c>
      <c r="K803" s="27"/>
      <c r="L803" s="26" t="s">
        <v>39</v>
      </c>
      <c r="M803" s="27" t="s">
        <v>51</v>
      </c>
      <c r="N803" s="26" t="s">
        <v>4746</v>
      </c>
      <c r="O803" s="26" t="s">
        <v>4746</v>
      </c>
      <c r="P803" s="35"/>
      <c r="Q803" s="26" t="s">
        <v>56</v>
      </c>
      <c r="R803" s="26" t="s">
        <v>42</v>
      </c>
      <c r="S803" s="27" t="s">
        <v>3566</v>
      </c>
      <c r="T803" s="35"/>
      <c r="U803" s="26"/>
      <c r="V803" s="26"/>
      <c r="W803" s="26">
        <v>5.0</v>
      </c>
      <c r="X803" s="26"/>
    </row>
    <row r="804" hidden="1">
      <c r="A804" s="26">
        <v>804.0</v>
      </c>
      <c r="B804" s="188">
        <v>46190.0</v>
      </c>
      <c r="C804" s="26" t="s">
        <v>21</v>
      </c>
      <c r="D804" s="26" t="s">
        <v>34</v>
      </c>
      <c r="E804" s="27" t="s">
        <v>1113</v>
      </c>
      <c r="F804" s="461">
        <f>+966553341160</f>
        <v>966553341160</v>
      </c>
      <c r="G804" s="26" t="s">
        <v>27</v>
      </c>
      <c r="H804" s="26" t="s">
        <v>27</v>
      </c>
      <c r="I804" s="26" t="s">
        <v>27</v>
      </c>
      <c r="J804" s="209" t="s">
        <v>7399</v>
      </c>
      <c r="K804" s="27"/>
      <c r="L804" s="26" t="s">
        <v>39</v>
      </c>
      <c r="M804" s="27" t="s">
        <v>51</v>
      </c>
      <c r="N804" s="26" t="s">
        <v>4746</v>
      </c>
      <c r="O804" s="26" t="s">
        <v>4746</v>
      </c>
      <c r="P804" s="35"/>
      <c r="Q804" s="26" t="s">
        <v>56</v>
      </c>
      <c r="R804" s="26" t="s">
        <v>42</v>
      </c>
      <c r="S804" s="27" t="s">
        <v>3566</v>
      </c>
      <c r="T804" s="35"/>
      <c r="U804" s="26"/>
      <c r="V804" s="26"/>
      <c r="W804" s="26">
        <v>5.0</v>
      </c>
      <c r="X804" s="26"/>
    </row>
    <row r="805" hidden="1">
      <c r="A805" s="26">
        <v>805.0</v>
      </c>
      <c r="B805" s="188">
        <v>46190.0</v>
      </c>
      <c r="C805" s="26" t="s">
        <v>21</v>
      </c>
      <c r="D805" s="26" t="s">
        <v>34</v>
      </c>
      <c r="E805" s="27" t="s">
        <v>7400</v>
      </c>
      <c r="F805" s="461">
        <f>+966561342401</f>
        <v>966561342401</v>
      </c>
      <c r="G805" s="26" t="s">
        <v>27</v>
      </c>
      <c r="H805" s="26" t="s">
        <v>27</v>
      </c>
      <c r="I805" s="26" t="s">
        <v>27</v>
      </c>
      <c r="J805" s="209" t="s">
        <v>7401</v>
      </c>
      <c r="K805" s="27"/>
      <c r="L805" s="26" t="s">
        <v>39</v>
      </c>
      <c r="M805" s="27" t="s">
        <v>51</v>
      </c>
      <c r="N805" s="26" t="s">
        <v>4746</v>
      </c>
      <c r="O805" s="26" t="s">
        <v>4746</v>
      </c>
      <c r="P805" s="35"/>
      <c r="Q805" s="26" t="s">
        <v>56</v>
      </c>
      <c r="R805" s="26" t="s">
        <v>42</v>
      </c>
      <c r="S805" s="27" t="s">
        <v>3566</v>
      </c>
      <c r="T805" s="35"/>
      <c r="U805" s="26"/>
      <c r="V805" s="26"/>
      <c r="W805" s="26">
        <v>5.0</v>
      </c>
      <c r="X805" s="26"/>
    </row>
    <row r="806" hidden="1">
      <c r="A806" s="26">
        <v>806.0</v>
      </c>
      <c r="B806" s="188">
        <v>46190.0</v>
      </c>
      <c r="C806" s="26" t="s">
        <v>21</v>
      </c>
      <c r="D806" s="26" t="s">
        <v>34</v>
      </c>
      <c r="E806" s="27" t="s">
        <v>7402</v>
      </c>
      <c r="F806" s="461">
        <f>+966548054902</f>
        <v>966548054902</v>
      </c>
      <c r="G806" s="26" t="s">
        <v>27</v>
      </c>
      <c r="H806" s="26" t="s">
        <v>27</v>
      </c>
      <c r="I806" s="26" t="s">
        <v>27</v>
      </c>
      <c r="J806" s="209" t="s">
        <v>7403</v>
      </c>
      <c r="K806" s="27"/>
      <c r="L806" s="26" t="s">
        <v>39</v>
      </c>
      <c r="M806" s="27" t="s">
        <v>51</v>
      </c>
      <c r="N806" s="26" t="s">
        <v>4746</v>
      </c>
      <c r="O806" s="26" t="s">
        <v>4746</v>
      </c>
      <c r="P806" s="35"/>
      <c r="Q806" s="26" t="s">
        <v>56</v>
      </c>
      <c r="R806" s="26" t="s">
        <v>42</v>
      </c>
      <c r="S806" s="27" t="s">
        <v>3566</v>
      </c>
      <c r="T806" s="35"/>
      <c r="U806" s="26"/>
      <c r="V806" s="26"/>
      <c r="W806" s="26">
        <v>5.0</v>
      </c>
      <c r="X806" s="26"/>
    </row>
    <row r="807" hidden="1">
      <c r="A807" s="26">
        <v>807.0</v>
      </c>
      <c r="B807" s="188">
        <v>46190.0</v>
      </c>
      <c r="C807" s="26" t="s">
        <v>21</v>
      </c>
      <c r="D807" s="26" t="s">
        <v>34</v>
      </c>
      <c r="E807" s="27" t="s">
        <v>7404</v>
      </c>
      <c r="F807" s="461">
        <f>+966558231497</f>
        <v>966558231497</v>
      </c>
      <c r="G807" s="26" t="s">
        <v>27</v>
      </c>
      <c r="H807" s="26" t="s">
        <v>27</v>
      </c>
      <c r="I807" s="26" t="s">
        <v>27</v>
      </c>
      <c r="J807" s="209" t="s">
        <v>7405</v>
      </c>
      <c r="K807" s="27"/>
      <c r="L807" s="26" t="s">
        <v>39</v>
      </c>
      <c r="M807" s="27" t="s">
        <v>51</v>
      </c>
      <c r="N807" s="26" t="s">
        <v>4746</v>
      </c>
      <c r="O807" s="26" t="s">
        <v>4746</v>
      </c>
      <c r="P807" s="35"/>
      <c r="Q807" s="26" t="s">
        <v>56</v>
      </c>
      <c r="R807" s="26" t="s">
        <v>42</v>
      </c>
      <c r="S807" s="27" t="s">
        <v>3566</v>
      </c>
      <c r="T807" s="35"/>
      <c r="U807" s="26"/>
      <c r="V807" s="26"/>
      <c r="W807" s="26">
        <v>5.0</v>
      </c>
      <c r="X807" s="26"/>
    </row>
    <row r="808" hidden="1">
      <c r="A808" s="26">
        <v>808.0</v>
      </c>
      <c r="B808" s="188">
        <v>46190.0</v>
      </c>
      <c r="C808" s="26" t="s">
        <v>21</v>
      </c>
      <c r="D808" s="26" t="s">
        <v>34</v>
      </c>
      <c r="E808" s="27" t="s">
        <v>7406</v>
      </c>
      <c r="F808" s="461">
        <f>+966542949480</f>
        <v>966542949480</v>
      </c>
      <c r="G808" s="26" t="s">
        <v>27</v>
      </c>
      <c r="H808" s="26" t="s">
        <v>27</v>
      </c>
      <c r="I808" s="26" t="s">
        <v>27</v>
      </c>
      <c r="J808" s="209" t="s">
        <v>7407</v>
      </c>
      <c r="K808" s="27"/>
      <c r="L808" s="26" t="s">
        <v>39</v>
      </c>
      <c r="M808" s="27" t="s">
        <v>51</v>
      </c>
      <c r="N808" s="26" t="s">
        <v>4746</v>
      </c>
      <c r="O808" s="26" t="s">
        <v>4746</v>
      </c>
      <c r="P808" s="35"/>
      <c r="Q808" s="26" t="s">
        <v>56</v>
      </c>
      <c r="R808" s="26" t="s">
        <v>42</v>
      </c>
      <c r="S808" s="27" t="s">
        <v>3566</v>
      </c>
      <c r="T808" s="35"/>
      <c r="U808" s="26"/>
      <c r="V808" s="26"/>
      <c r="W808" s="26">
        <v>5.0</v>
      </c>
      <c r="X808" s="26"/>
    </row>
    <row r="809" hidden="1">
      <c r="A809" s="26">
        <v>809.0</v>
      </c>
      <c r="B809" s="188">
        <v>46190.0</v>
      </c>
      <c r="C809" s="26" t="s">
        <v>21</v>
      </c>
      <c r="D809" s="26" t="s">
        <v>34</v>
      </c>
      <c r="E809" s="26" t="s">
        <v>7408</v>
      </c>
      <c r="F809" s="461">
        <f>+966544970003</f>
        <v>966544970003</v>
      </c>
      <c r="G809" s="26" t="s">
        <v>27</v>
      </c>
      <c r="H809" s="26" t="s">
        <v>27</v>
      </c>
      <c r="I809" s="26" t="s">
        <v>27</v>
      </c>
      <c r="J809" s="209" t="s">
        <v>7409</v>
      </c>
      <c r="K809" s="27"/>
      <c r="L809" s="26" t="s">
        <v>39</v>
      </c>
      <c r="M809" s="27" t="s">
        <v>51</v>
      </c>
      <c r="N809" s="26" t="s">
        <v>4746</v>
      </c>
      <c r="O809" s="26" t="s">
        <v>4746</v>
      </c>
      <c r="P809" s="35"/>
      <c r="Q809" s="26" t="s">
        <v>56</v>
      </c>
      <c r="R809" s="26" t="s">
        <v>42</v>
      </c>
      <c r="S809" s="27" t="s">
        <v>3566</v>
      </c>
      <c r="T809" s="35"/>
      <c r="U809" s="26"/>
      <c r="V809" s="26"/>
      <c r="W809" s="26">
        <v>5.0</v>
      </c>
      <c r="X809" s="26"/>
    </row>
    <row r="810" hidden="1">
      <c r="A810" s="26">
        <v>810.0</v>
      </c>
      <c r="B810" s="188">
        <v>46190.0</v>
      </c>
      <c r="C810" s="26" t="s">
        <v>21</v>
      </c>
      <c r="D810" s="26" t="s">
        <v>34</v>
      </c>
      <c r="E810" s="26" t="s">
        <v>7411</v>
      </c>
      <c r="F810" s="461">
        <f>+966565008321</f>
        <v>966565008321</v>
      </c>
      <c r="G810" s="26" t="s">
        <v>27</v>
      </c>
      <c r="H810" s="26" t="s">
        <v>27</v>
      </c>
      <c r="I810" s="26" t="s">
        <v>27</v>
      </c>
      <c r="J810" s="351" t="s">
        <v>7412</v>
      </c>
      <c r="K810" s="27"/>
      <c r="L810" s="26" t="s">
        <v>39</v>
      </c>
      <c r="M810" s="27" t="s">
        <v>51</v>
      </c>
      <c r="N810" s="26" t="s">
        <v>4746</v>
      </c>
      <c r="O810" s="26" t="s">
        <v>4746</v>
      </c>
      <c r="P810" s="35"/>
      <c r="Q810" s="26" t="s">
        <v>56</v>
      </c>
      <c r="R810" s="26" t="s">
        <v>42</v>
      </c>
      <c r="S810" s="27" t="s">
        <v>3566</v>
      </c>
      <c r="T810" s="35"/>
      <c r="U810" s="26"/>
      <c r="V810" s="26"/>
      <c r="W810" s="26">
        <v>5.0</v>
      </c>
      <c r="X810" s="26"/>
    </row>
    <row r="811" hidden="1">
      <c r="A811" s="26">
        <v>811.0</v>
      </c>
      <c r="B811" s="188">
        <v>46190.0</v>
      </c>
      <c r="C811" s="26" t="s">
        <v>21</v>
      </c>
      <c r="D811" s="26" t="s">
        <v>34</v>
      </c>
      <c r="E811" s="27" t="s">
        <v>7413</v>
      </c>
      <c r="F811" s="461">
        <f>+966551510007</f>
        <v>966551510007</v>
      </c>
      <c r="G811" s="26" t="s">
        <v>27</v>
      </c>
      <c r="H811" s="26" t="s">
        <v>27</v>
      </c>
      <c r="I811" s="26" t="s">
        <v>27</v>
      </c>
      <c r="J811" s="209" t="s">
        <v>7414</v>
      </c>
      <c r="K811" s="27"/>
      <c r="L811" s="26" t="s">
        <v>39</v>
      </c>
      <c r="M811" s="27" t="s">
        <v>51</v>
      </c>
      <c r="N811" s="26" t="s">
        <v>4746</v>
      </c>
      <c r="O811" s="26" t="s">
        <v>4746</v>
      </c>
      <c r="P811" s="35"/>
      <c r="Q811" s="26" t="s">
        <v>56</v>
      </c>
      <c r="R811" s="26" t="s">
        <v>42</v>
      </c>
      <c r="S811" s="27" t="s">
        <v>3566</v>
      </c>
      <c r="T811" s="35"/>
      <c r="U811" s="26"/>
      <c r="V811" s="26"/>
      <c r="W811" s="26">
        <v>5.0</v>
      </c>
      <c r="X811" s="26"/>
    </row>
    <row r="812" hidden="1">
      <c r="A812" s="26">
        <v>812.0</v>
      </c>
      <c r="B812" s="188">
        <v>46190.0</v>
      </c>
      <c r="C812" s="26" t="s">
        <v>21</v>
      </c>
      <c r="D812" s="26" t="s">
        <v>34</v>
      </c>
      <c r="E812" s="26" t="s">
        <v>7415</v>
      </c>
      <c r="F812" s="461">
        <f>+201015293997</f>
        <v>201015293997</v>
      </c>
      <c r="G812" s="26" t="s">
        <v>27</v>
      </c>
      <c r="H812" s="26" t="s">
        <v>27</v>
      </c>
      <c r="I812" s="26" t="s">
        <v>27</v>
      </c>
      <c r="J812" s="209" t="s">
        <v>7416</v>
      </c>
      <c r="K812" s="27"/>
      <c r="L812" s="26" t="s">
        <v>39</v>
      </c>
      <c r="M812" s="27" t="s">
        <v>51</v>
      </c>
      <c r="N812" s="26" t="s">
        <v>4746</v>
      </c>
      <c r="O812" s="26" t="s">
        <v>4746</v>
      </c>
      <c r="P812" s="35"/>
      <c r="Q812" s="26" t="s">
        <v>56</v>
      </c>
      <c r="R812" s="26" t="s">
        <v>42</v>
      </c>
      <c r="S812" s="27" t="s">
        <v>3566</v>
      </c>
      <c r="T812" s="35"/>
      <c r="U812" s="26"/>
      <c r="V812" s="26"/>
      <c r="W812" s="26">
        <v>5.0</v>
      </c>
      <c r="X812" s="26"/>
    </row>
    <row r="813" hidden="1">
      <c r="A813" s="26">
        <v>813.0</v>
      </c>
      <c r="B813" s="188">
        <v>46190.0</v>
      </c>
      <c r="C813" s="26" t="s">
        <v>21</v>
      </c>
      <c r="D813" s="26" t="s">
        <v>34</v>
      </c>
      <c r="E813" s="27" t="s">
        <v>7417</v>
      </c>
      <c r="F813" s="461">
        <f>+966548236000</f>
        <v>966548236000</v>
      </c>
      <c r="G813" s="26" t="s">
        <v>27</v>
      </c>
      <c r="H813" s="26" t="s">
        <v>27</v>
      </c>
      <c r="I813" s="26" t="s">
        <v>27</v>
      </c>
      <c r="J813" s="209" t="s">
        <v>7418</v>
      </c>
      <c r="K813" s="27"/>
      <c r="L813" s="26" t="s">
        <v>39</v>
      </c>
      <c r="M813" s="27" t="s">
        <v>51</v>
      </c>
      <c r="N813" s="26" t="s">
        <v>4746</v>
      </c>
      <c r="O813" s="26" t="s">
        <v>4746</v>
      </c>
      <c r="P813" s="35"/>
      <c r="Q813" s="26" t="s">
        <v>56</v>
      </c>
      <c r="R813" s="26" t="s">
        <v>42</v>
      </c>
      <c r="S813" s="27" t="s">
        <v>3566</v>
      </c>
      <c r="T813" s="35"/>
      <c r="U813" s="26"/>
      <c r="V813" s="26"/>
      <c r="W813" s="26">
        <v>5.0</v>
      </c>
      <c r="X813" s="26"/>
    </row>
    <row r="814" hidden="1">
      <c r="A814" s="26">
        <v>814.0</v>
      </c>
      <c r="B814" s="188">
        <v>46190.0</v>
      </c>
      <c r="C814" s="26" t="s">
        <v>21</v>
      </c>
      <c r="D814" s="26" t="s">
        <v>34</v>
      </c>
      <c r="E814" s="27" t="s">
        <v>7419</v>
      </c>
      <c r="F814" s="461">
        <f>+966595965656</f>
        <v>966595965656</v>
      </c>
      <c r="G814" s="26" t="s">
        <v>27</v>
      </c>
      <c r="H814" s="26" t="s">
        <v>27</v>
      </c>
      <c r="I814" s="26" t="s">
        <v>27</v>
      </c>
      <c r="J814" s="209" t="s">
        <v>7420</v>
      </c>
      <c r="K814" s="27"/>
      <c r="L814" s="26" t="s">
        <v>39</v>
      </c>
      <c r="M814" s="27" t="s">
        <v>51</v>
      </c>
      <c r="N814" s="26" t="s">
        <v>4746</v>
      </c>
      <c r="O814" s="26" t="s">
        <v>4746</v>
      </c>
      <c r="P814" s="35"/>
      <c r="Q814" s="26" t="s">
        <v>56</v>
      </c>
      <c r="R814" s="26" t="s">
        <v>42</v>
      </c>
      <c r="S814" s="27" t="s">
        <v>3566</v>
      </c>
      <c r="T814" s="35"/>
      <c r="U814" s="26"/>
      <c r="V814" s="26"/>
      <c r="W814" s="26">
        <v>5.0</v>
      </c>
      <c r="X814" s="26"/>
    </row>
    <row r="815" hidden="1">
      <c r="A815" s="26">
        <v>815.0</v>
      </c>
      <c r="B815" s="188">
        <v>46190.0</v>
      </c>
      <c r="C815" s="26" t="s">
        <v>21</v>
      </c>
      <c r="D815" s="26" t="s">
        <v>34</v>
      </c>
      <c r="E815" s="27" t="s">
        <v>7421</v>
      </c>
      <c r="F815" s="461">
        <f>+966533270871</f>
        <v>966533270871</v>
      </c>
      <c r="G815" s="26" t="s">
        <v>27</v>
      </c>
      <c r="H815" s="26" t="s">
        <v>27</v>
      </c>
      <c r="I815" s="26" t="s">
        <v>27</v>
      </c>
      <c r="J815" s="209" t="s">
        <v>7422</v>
      </c>
      <c r="K815" s="27"/>
      <c r="L815" s="26" t="s">
        <v>39</v>
      </c>
      <c r="M815" s="27" t="s">
        <v>51</v>
      </c>
      <c r="N815" s="26" t="s">
        <v>4746</v>
      </c>
      <c r="O815" s="26" t="s">
        <v>4746</v>
      </c>
      <c r="P815" s="35"/>
      <c r="Q815" s="26" t="s">
        <v>56</v>
      </c>
      <c r="R815" s="26" t="s">
        <v>42</v>
      </c>
      <c r="S815" s="27" t="s">
        <v>3566</v>
      </c>
      <c r="T815" s="35"/>
      <c r="U815" s="26"/>
      <c r="V815" s="26"/>
      <c r="W815" s="26">
        <v>5.0</v>
      </c>
      <c r="X815" s="26"/>
    </row>
    <row r="816" hidden="1">
      <c r="A816" s="26">
        <v>816.0</v>
      </c>
      <c r="B816" s="188">
        <v>46190.0</v>
      </c>
      <c r="C816" s="26" t="s">
        <v>21</v>
      </c>
      <c r="D816" s="26" t="s">
        <v>34</v>
      </c>
      <c r="E816" s="27" t="s">
        <v>7423</v>
      </c>
      <c r="F816" s="461">
        <f>+966543138679</f>
        <v>966543138679</v>
      </c>
      <c r="G816" s="26" t="s">
        <v>27</v>
      </c>
      <c r="H816" s="26" t="s">
        <v>27</v>
      </c>
      <c r="I816" s="26" t="s">
        <v>27</v>
      </c>
      <c r="J816" s="209" t="s">
        <v>7424</v>
      </c>
      <c r="K816" s="27"/>
      <c r="L816" s="26" t="s">
        <v>39</v>
      </c>
      <c r="M816" s="27" t="s">
        <v>51</v>
      </c>
      <c r="N816" s="26" t="s">
        <v>4746</v>
      </c>
      <c r="O816" s="26" t="s">
        <v>4746</v>
      </c>
      <c r="P816" s="35"/>
      <c r="Q816" s="26" t="s">
        <v>56</v>
      </c>
      <c r="R816" s="26" t="s">
        <v>42</v>
      </c>
      <c r="S816" s="27" t="s">
        <v>3566</v>
      </c>
      <c r="T816" s="35"/>
      <c r="U816" s="26"/>
      <c r="V816" s="26"/>
      <c r="W816" s="26">
        <v>5.0</v>
      </c>
      <c r="X816" s="26"/>
    </row>
    <row r="817" hidden="1">
      <c r="A817" s="26">
        <v>817.0</v>
      </c>
      <c r="B817" s="188">
        <v>46190.0</v>
      </c>
      <c r="C817" s="26" t="s">
        <v>21</v>
      </c>
      <c r="D817" s="26" t="s">
        <v>34</v>
      </c>
      <c r="E817" s="27" t="s">
        <v>7425</v>
      </c>
      <c r="F817" s="461">
        <f>+966558327716</f>
        <v>966558327716</v>
      </c>
      <c r="G817" s="26" t="s">
        <v>27</v>
      </c>
      <c r="H817" s="26" t="s">
        <v>27</v>
      </c>
      <c r="I817" s="26" t="s">
        <v>27</v>
      </c>
      <c r="J817" s="209" t="s">
        <v>7426</v>
      </c>
      <c r="K817" s="27"/>
      <c r="L817" s="26" t="s">
        <v>39</v>
      </c>
      <c r="M817" s="27" t="s">
        <v>51</v>
      </c>
      <c r="N817" s="26" t="s">
        <v>4746</v>
      </c>
      <c r="O817" s="26" t="s">
        <v>4746</v>
      </c>
      <c r="P817" s="35"/>
      <c r="Q817" s="26" t="s">
        <v>56</v>
      </c>
      <c r="R817" s="26" t="s">
        <v>42</v>
      </c>
      <c r="S817" s="27" t="s">
        <v>3566</v>
      </c>
      <c r="T817" s="35"/>
      <c r="U817" s="26"/>
      <c r="V817" s="26"/>
      <c r="W817" s="26">
        <v>5.0</v>
      </c>
      <c r="X817" s="26"/>
    </row>
    <row r="818" hidden="1">
      <c r="A818" s="26">
        <v>818.0</v>
      </c>
      <c r="B818" s="188">
        <v>46190.0</v>
      </c>
      <c r="C818" s="26" t="s">
        <v>21</v>
      </c>
      <c r="D818" s="26" t="s">
        <v>34</v>
      </c>
      <c r="E818" s="27" t="s">
        <v>7379</v>
      </c>
      <c r="F818" s="461">
        <f>+966500466406</f>
        <v>966500466406</v>
      </c>
      <c r="G818" s="26" t="s">
        <v>27</v>
      </c>
      <c r="H818" s="26" t="s">
        <v>27</v>
      </c>
      <c r="I818" s="26" t="s">
        <v>27</v>
      </c>
      <c r="J818" s="209" t="s">
        <v>7428</v>
      </c>
      <c r="K818" s="27"/>
      <c r="L818" s="26" t="s">
        <v>39</v>
      </c>
      <c r="M818" s="27" t="s">
        <v>51</v>
      </c>
      <c r="N818" s="26" t="s">
        <v>4746</v>
      </c>
      <c r="O818" s="26" t="s">
        <v>4746</v>
      </c>
      <c r="P818" s="35"/>
      <c r="Q818" s="26" t="s">
        <v>56</v>
      </c>
      <c r="R818" s="26" t="s">
        <v>42</v>
      </c>
      <c r="S818" s="27" t="s">
        <v>3566</v>
      </c>
      <c r="T818" s="35"/>
      <c r="U818" s="26"/>
      <c r="V818" s="26"/>
      <c r="W818" s="26">
        <v>5.0</v>
      </c>
      <c r="X818" s="26"/>
    </row>
    <row r="819" hidden="1">
      <c r="A819" s="26">
        <v>819.0</v>
      </c>
      <c r="B819" s="188">
        <v>46190.0</v>
      </c>
      <c r="C819" s="26" t="s">
        <v>21</v>
      </c>
      <c r="D819" s="26" t="s">
        <v>34</v>
      </c>
      <c r="E819" s="27" t="s">
        <v>7429</v>
      </c>
      <c r="F819" s="461">
        <f>+966558494597</f>
        <v>966558494597</v>
      </c>
      <c r="G819" s="26" t="s">
        <v>27</v>
      </c>
      <c r="H819" s="26" t="s">
        <v>27</v>
      </c>
      <c r="I819" s="26" t="s">
        <v>27</v>
      </c>
      <c r="J819" s="351" t="s">
        <v>7430</v>
      </c>
      <c r="K819" s="27"/>
      <c r="L819" s="26" t="s">
        <v>39</v>
      </c>
      <c r="M819" s="27" t="s">
        <v>51</v>
      </c>
      <c r="N819" s="26" t="s">
        <v>4746</v>
      </c>
      <c r="O819" s="26" t="s">
        <v>4746</v>
      </c>
      <c r="P819" s="35"/>
      <c r="Q819" s="26" t="s">
        <v>56</v>
      </c>
      <c r="R819" s="26" t="s">
        <v>42</v>
      </c>
      <c r="S819" s="27" t="s">
        <v>3566</v>
      </c>
      <c r="T819" s="35"/>
      <c r="U819" s="26"/>
      <c r="V819" s="26"/>
      <c r="W819" s="26">
        <v>5.0</v>
      </c>
      <c r="X819" s="26"/>
    </row>
    <row r="820" hidden="1">
      <c r="A820" s="26">
        <v>820.0</v>
      </c>
      <c r="B820" s="188">
        <v>46190.0</v>
      </c>
      <c r="C820" s="26" t="s">
        <v>21</v>
      </c>
      <c r="D820" s="26" t="s">
        <v>34</v>
      </c>
      <c r="E820" s="27" t="s">
        <v>7431</v>
      </c>
      <c r="F820" s="461">
        <f>+966554088919</f>
        <v>966554088919</v>
      </c>
      <c r="G820" s="26" t="s">
        <v>27</v>
      </c>
      <c r="H820" s="26" t="s">
        <v>27</v>
      </c>
      <c r="I820" s="26" t="s">
        <v>27</v>
      </c>
      <c r="J820" s="209" t="s">
        <v>7432</v>
      </c>
      <c r="K820" s="27"/>
      <c r="L820" s="26" t="s">
        <v>39</v>
      </c>
      <c r="M820" s="27" t="s">
        <v>51</v>
      </c>
      <c r="N820" s="26" t="s">
        <v>4746</v>
      </c>
      <c r="O820" s="26" t="s">
        <v>4746</v>
      </c>
      <c r="P820" s="35"/>
      <c r="Q820" s="26" t="s">
        <v>56</v>
      </c>
      <c r="R820" s="26" t="s">
        <v>42</v>
      </c>
      <c r="S820" s="27" t="s">
        <v>3566</v>
      </c>
      <c r="T820" s="35"/>
      <c r="U820" s="26"/>
      <c r="V820" s="26"/>
      <c r="W820" s="26">
        <v>5.0</v>
      </c>
      <c r="X820" s="26"/>
    </row>
    <row r="821" hidden="1">
      <c r="A821" s="26">
        <v>821.0</v>
      </c>
      <c r="B821" s="188">
        <v>46190.0</v>
      </c>
      <c r="C821" s="26" t="s">
        <v>21</v>
      </c>
      <c r="D821" s="26" t="s">
        <v>34</v>
      </c>
      <c r="E821" s="27" t="s">
        <v>5944</v>
      </c>
      <c r="F821" s="461">
        <f>+966531182871</f>
        <v>966531182871</v>
      </c>
      <c r="G821" s="26" t="s">
        <v>27</v>
      </c>
      <c r="H821" s="26" t="s">
        <v>27</v>
      </c>
      <c r="I821" s="26" t="s">
        <v>27</v>
      </c>
      <c r="J821" s="209" t="s">
        <v>7433</v>
      </c>
      <c r="K821" s="27"/>
      <c r="L821" s="26" t="s">
        <v>39</v>
      </c>
      <c r="M821" s="27" t="s">
        <v>51</v>
      </c>
      <c r="N821" s="26" t="s">
        <v>4746</v>
      </c>
      <c r="O821" s="26" t="s">
        <v>4746</v>
      </c>
      <c r="P821" s="35"/>
      <c r="Q821" s="26" t="s">
        <v>56</v>
      </c>
      <c r="R821" s="26" t="s">
        <v>42</v>
      </c>
      <c r="S821" s="27" t="s">
        <v>3566</v>
      </c>
      <c r="T821" s="35"/>
      <c r="U821" s="26"/>
      <c r="V821" s="26"/>
      <c r="W821" s="26">
        <v>5.0</v>
      </c>
      <c r="X821" s="26"/>
    </row>
    <row r="822" hidden="1">
      <c r="A822" s="26">
        <v>822.0</v>
      </c>
      <c r="B822" s="188">
        <v>46190.0</v>
      </c>
      <c r="C822" s="26" t="s">
        <v>21</v>
      </c>
      <c r="D822" s="26" t="s">
        <v>34</v>
      </c>
      <c r="E822" s="27" t="s">
        <v>7434</v>
      </c>
      <c r="F822" s="461">
        <f>+966503323846</f>
        <v>966503323846</v>
      </c>
      <c r="G822" s="26" t="s">
        <v>27</v>
      </c>
      <c r="H822" s="26" t="s">
        <v>27</v>
      </c>
      <c r="I822" s="26" t="s">
        <v>27</v>
      </c>
      <c r="J822" s="351" t="s">
        <v>7435</v>
      </c>
      <c r="K822" s="27"/>
      <c r="L822" s="26" t="s">
        <v>39</v>
      </c>
      <c r="M822" s="27" t="s">
        <v>51</v>
      </c>
      <c r="N822" s="26" t="s">
        <v>4746</v>
      </c>
      <c r="O822" s="26" t="s">
        <v>4746</v>
      </c>
      <c r="P822" s="35"/>
      <c r="Q822" s="26" t="s">
        <v>56</v>
      </c>
      <c r="R822" s="26" t="s">
        <v>42</v>
      </c>
      <c r="S822" s="27" t="s">
        <v>3566</v>
      </c>
      <c r="T822" s="35"/>
      <c r="U822" s="26"/>
      <c r="V822" s="26"/>
      <c r="W822" s="26">
        <v>5.0</v>
      </c>
      <c r="X822" s="26"/>
    </row>
    <row r="823" hidden="1">
      <c r="A823" s="26">
        <v>823.0</v>
      </c>
      <c r="B823" s="188">
        <v>46190.0</v>
      </c>
      <c r="C823" s="26" t="s">
        <v>21</v>
      </c>
      <c r="D823" s="26" t="s">
        <v>34</v>
      </c>
      <c r="E823" s="27" t="s">
        <v>7436</v>
      </c>
      <c r="F823" s="461">
        <f>+966565117407</f>
        <v>966565117407</v>
      </c>
      <c r="G823" s="26" t="s">
        <v>27</v>
      </c>
      <c r="H823" s="26" t="s">
        <v>27</v>
      </c>
      <c r="I823" s="26" t="s">
        <v>27</v>
      </c>
      <c r="J823" s="209" t="s">
        <v>7437</v>
      </c>
      <c r="K823" s="27"/>
      <c r="L823" s="26" t="s">
        <v>39</v>
      </c>
      <c r="M823" s="27" t="s">
        <v>51</v>
      </c>
      <c r="N823" s="26" t="s">
        <v>4746</v>
      </c>
      <c r="O823" s="26" t="s">
        <v>4746</v>
      </c>
      <c r="P823" s="35"/>
      <c r="Q823" s="26" t="s">
        <v>56</v>
      </c>
      <c r="R823" s="26" t="s">
        <v>42</v>
      </c>
      <c r="S823" s="27" t="s">
        <v>3566</v>
      </c>
      <c r="T823" s="35"/>
      <c r="U823" s="26"/>
      <c r="V823" s="26"/>
      <c r="W823" s="26">
        <v>5.0</v>
      </c>
      <c r="X823" s="26"/>
    </row>
    <row r="824" hidden="1">
      <c r="A824" s="26">
        <v>824.0</v>
      </c>
      <c r="B824" s="188">
        <v>46190.0</v>
      </c>
      <c r="C824" s="26" t="s">
        <v>21</v>
      </c>
      <c r="D824" s="26" t="s">
        <v>34</v>
      </c>
      <c r="E824" s="27" t="s">
        <v>7438</v>
      </c>
      <c r="F824" s="461">
        <f>+966555709198</f>
        <v>966555709198</v>
      </c>
      <c r="G824" s="26" t="s">
        <v>27</v>
      </c>
      <c r="H824" s="26" t="s">
        <v>27</v>
      </c>
      <c r="I824" s="26" t="s">
        <v>27</v>
      </c>
      <c r="J824" s="209" t="s">
        <v>7439</v>
      </c>
      <c r="K824" s="27"/>
      <c r="L824" s="26" t="s">
        <v>39</v>
      </c>
      <c r="M824" s="27" t="s">
        <v>51</v>
      </c>
      <c r="N824" s="26" t="s">
        <v>4746</v>
      </c>
      <c r="O824" s="26" t="s">
        <v>4746</v>
      </c>
      <c r="P824" s="35"/>
      <c r="Q824" s="26" t="s">
        <v>56</v>
      </c>
      <c r="R824" s="26" t="s">
        <v>42</v>
      </c>
      <c r="S824" s="27" t="s">
        <v>3566</v>
      </c>
      <c r="T824" s="35"/>
      <c r="U824" s="26"/>
      <c r="V824" s="26"/>
      <c r="W824" s="26">
        <v>5.0</v>
      </c>
      <c r="X824" s="26"/>
    </row>
    <row r="825" hidden="1">
      <c r="A825" s="26">
        <v>825.0</v>
      </c>
      <c r="B825" s="188">
        <v>46190.0</v>
      </c>
      <c r="C825" s="26" t="s">
        <v>21</v>
      </c>
      <c r="D825" s="26" t="s">
        <v>34</v>
      </c>
      <c r="E825" s="27" t="s">
        <v>7440</v>
      </c>
      <c r="F825" s="461">
        <f>+966555503273</f>
        <v>966555503273</v>
      </c>
      <c r="G825" s="26" t="s">
        <v>27</v>
      </c>
      <c r="H825" s="26" t="s">
        <v>27</v>
      </c>
      <c r="I825" s="26" t="s">
        <v>27</v>
      </c>
      <c r="J825" s="209" t="s">
        <v>7441</v>
      </c>
      <c r="K825" s="27"/>
      <c r="L825" s="26" t="s">
        <v>39</v>
      </c>
      <c r="M825" s="27" t="s">
        <v>51</v>
      </c>
      <c r="N825" s="26" t="s">
        <v>4746</v>
      </c>
      <c r="O825" s="26" t="s">
        <v>4746</v>
      </c>
      <c r="P825" s="35"/>
      <c r="Q825" s="26" t="s">
        <v>56</v>
      </c>
      <c r="R825" s="26" t="s">
        <v>42</v>
      </c>
      <c r="S825" s="27" t="s">
        <v>3566</v>
      </c>
      <c r="T825" s="35"/>
      <c r="U825" s="26"/>
      <c r="V825" s="26"/>
      <c r="W825" s="26">
        <v>5.0</v>
      </c>
      <c r="X825" s="26"/>
    </row>
    <row r="826" hidden="1">
      <c r="A826" s="26">
        <v>826.0</v>
      </c>
      <c r="B826" s="188">
        <v>46190.0</v>
      </c>
      <c r="C826" s="26" t="s">
        <v>21</v>
      </c>
      <c r="D826" s="26" t="s">
        <v>34</v>
      </c>
      <c r="E826" s="27" t="s">
        <v>7442</v>
      </c>
      <c r="F826" s="461">
        <f>+966565005569</f>
        <v>966565005569</v>
      </c>
      <c r="G826" s="26" t="s">
        <v>27</v>
      </c>
      <c r="H826" s="26" t="s">
        <v>27</v>
      </c>
      <c r="I826" s="26" t="s">
        <v>27</v>
      </c>
      <c r="J826" s="209" t="s">
        <v>7443</v>
      </c>
      <c r="K826" s="27"/>
      <c r="L826" s="26" t="s">
        <v>39</v>
      </c>
      <c r="M826" s="27" t="s">
        <v>51</v>
      </c>
      <c r="N826" s="26" t="s">
        <v>4746</v>
      </c>
      <c r="O826" s="26" t="s">
        <v>4746</v>
      </c>
      <c r="P826" s="35"/>
      <c r="Q826" s="26" t="s">
        <v>56</v>
      </c>
      <c r="R826" s="26" t="s">
        <v>42</v>
      </c>
      <c r="S826" s="27" t="s">
        <v>3566</v>
      </c>
      <c r="T826" s="35"/>
      <c r="U826" s="26"/>
      <c r="V826" s="26"/>
      <c r="W826" s="26">
        <v>5.0</v>
      </c>
      <c r="X826" s="26"/>
    </row>
    <row r="827" hidden="1">
      <c r="A827" s="26">
        <v>827.0</v>
      </c>
      <c r="B827" s="188">
        <v>46190.0</v>
      </c>
      <c r="C827" s="26" t="s">
        <v>21</v>
      </c>
      <c r="D827" s="26" t="s">
        <v>34</v>
      </c>
      <c r="E827" s="27" t="s">
        <v>7444</v>
      </c>
      <c r="F827" s="461">
        <f>+966534678985</f>
        <v>966534678985</v>
      </c>
      <c r="G827" s="26" t="s">
        <v>27</v>
      </c>
      <c r="H827" s="26" t="s">
        <v>27</v>
      </c>
      <c r="I827" s="26" t="s">
        <v>27</v>
      </c>
      <c r="J827" s="209" t="s">
        <v>7445</v>
      </c>
      <c r="K827" s="27"/>
      <c r="L827" s="26" t="s">
        <v>39</v>
      </c>
      <c r="M827" s="27" t="s">
        <v>51</v>
      </c>
      <c r="N827" s="26" t="s">
        <v>4746</v>
      </c>
      <c r="O827" s="26" t="s">
        <v>4746</v>
      </c>
      <c r="P827" s="35"/>
      <c r="Q827" s="26" t="s">
        <v>56</v>
      </c>
      <c r="R827" s="26" t="s">
        <v>42</v>
      </c>
      <c r="S827" s="27" t="s">
        <v>3566</v>
      </c>
      <c r="T827" s="35"/>
      <c r="U827" s="26"/>
      <c r="V827" s="26"/>
      <c r="W827" s="26">
        <v>5.0</v>
      </c>
      <c r="X827" s="26"/>
    </row>
    <row r="828" hidden="1">
      <c r="A828" s="26">
        <v>828.0</v>
      </c>
      <c r="B828" s="188">
        <v>46190.0</v>
      </c>
      <c r="C828" s="26" t="s">
        <v>21</v>
      </c>
      <c r="D828" s="26" t="s">
        <v>34</v>
      </c>
      <c r="E828" s="26" t="s">
        <v>7446</v>
      </c>
      <c r="F828" s="461">
        <f>+966546443863</f>
        <v>966546443863</v>
      </c>
      <c r="G828" s="26" t="s">
        <v>27</v>
      </c>
      <c r="H828" s="26" t="s">
        <v>27</v>
      </c>
      <c r="I828" s="26" t="s">
        <v>27</v>
      </c>
      <c r="J828" s="351" t="s">
        <v>7448</v>
      </c>
      <c r="K828" s="27"/>
      <c r="L828" s="26" t="s">
        <v>39</v>
      </c>
      <c r="M828" s="27" t="s">
        <v>51</v>
      </c>
      <c r="N828" s="26" t="s">
        <v>4746</v>
      </c>
      <c r="O828" s="26" t="s">
        <v>4746</v>
      </c>
      <c r="P828" s="35"/>
      <c r="Q828" s="26" t="s">
        <v>56</v>
      </c>
      <c r="R828" s="26" t="s">
        <v>42</v>
      </c>
      <c r="S828" s="27" t="s">
        <v>3566</v>
      </c>
      <c r="T828" s="35"/>
      <c r="U828" s="26"/>
      <c r="V828" s="26"/>
      <c r="W828" s="26">
        <v>5.0</v>
      </c>
      <c r="X828" s="26"/>
    </row>
    <row r="829" hidden="1">
      <c r="A829" s="26">
        <v>829.0</v>
      </c>
      <c r="B829" s="188">
        <v>46190.0</v>
      </c>
      <c r="C829" s="26" t="s">
        <v>21</v>
      </c>
      <c r="D829" s="26" t="s">
        <v>34</v>
      </c>
      <c r="E829" s="27" t="s">
        <v>7449</v>
      </c>
      <c r="F829" s="461">
        <f>+966541500858</f>
        <v>966541500858</v>
      </c>
      <c r="G829" s="26" t="s">
        <v>27</v>
      </c>
      <c r="H829" s="26" t="s">
        <v>27</v>
      </c>
      <c r="I829" s="26" t="s">
        <v>27</v>
      </c>
      <c r="J829" s="209" t="s">
        <v>7450</v>
      </c>
      <c r="K829" s="27"/>
      <c r="L829" s="26" t="s">
        <v>39</v>
      </c>
      <c r="M829" s="27" t="s">
        <v>51</v>
      </c>
      <c r="N829" s="26" t="s">
        <v>4746</v>
      </c>
      <c r="O829" s="26" t="s">
        <v>4746</v>
      </c>
      <c r="P829" s="35"/>
      <c r="Q829" s="26" t="s">
        <v>56</v>
      </c>
      <c r="R829" s="26" t="s">
        <v>42</v>
      </c>
      <c r="S829" s="27" t="s">
        <v>3566</v>
      </c>
      <c r="T829" s="35"/>
      <c r="U829" s="26"/>
      <c r="V829" s="26"/>
      <c r="W829" s="26">
        <v>5.0</v>
      </c>
      <c r="X829" s="26"/>
    </row>
    <row r="830" hidden="1">
      <c r="A830" s="26">
        <v>830.0</v>
      </c>
      <c r="B830" s="188">
        <v>46190.0</v>
      </c>
      <c r="C830" s="26" t="s">
        <v>21</v>
      </c>
      <c r="D830" s="26" t="s">
        <v>34</v>
      </c>
      <c r="E830" s="27" t="s">
        <v>7451</v>
      </c>
      <c r="F830" s="461">
        <f>+966556051030</f>
        <v>966556051030</v>
      </c>
      <c r="G830" s="26" t="s">
        <v>27</v>
      </c>
      <c r="H830" s="26" t="s">
        <v>27</v>
      </c>
      <c r="I830" s="26" t="s">
        <v>27</v>
      </c>
      <c r="J830" s="209" t="s">
        <v>7452</v>
      </c>
      <c r="K830" s="27"/>
      <c r="L830" s="26" t="s">
        <v>39</v>
      </c>
      <c r="M830" s="27" t="s">
        <v>51</v>
      </c>
      <c r="N830" s="26" t="s">
        <v>4746</v>
      </c>
      <c r="O830" s="26" t="s">
        <v>4746</v>
      </c>
      <c r="P830" s="35"/>
      <c r="Q830" s="26" t="s">
        <v>56</v>
      </c>
      <c r="R830" s="26" t="s">
        <v>42</v>
      </c>
      <c r="S830" s="27" t="s">
        <v>3566</v>
      </c>
      <c r="T830" s="35"/>
      <c r="U830" s="26"/>
      <c r="V830" s="26"/>
      <c r="W830" s="26">
        <v>5.0</v>
      </c>
      <c r="X830" s="26"/>
    </row>
    <row r="831" hidden="1">
      <c r="A831" s="26">
        <v>831.0</v>
      </c>
      <c r="B831" s="188">
        <v>46190.0</v>
      </c>
      <c r="C831" s="26" t="s">
        <v>21</v>
      </c>
      <c r="D831" s="26" t="s">
        <v>34</v>
      </c>
      <c r="E831" s="27" t="s">
        <v>7453</v>
      </c>
      <c r="F831" s="461">
        <f>+966550930065</f>
        <v>966550930065</v>
      </c>
      <c r="G831" s="26" t="s">
        <v>27</v>
      </c>
      <c r="H831" s="26" t="s">
        <v>27</v>
      </c>
      <c r="I831" s="26" t="s">
        <v>27</v>
      </c>
      <c r="J831" s="209" t="s">
        <v>7454</v>
      </c>
      <c r="K831" s="27"/>
      <c r="L831" s="26" t="s">
        <v>39</v>
      </c>
      <c r="M831" s="27" t="s">
        <v>51</v>
      </c>
      <c r="N831" s="26" t="s">
        <v>4746</v>
      </c>
      <c r="O831" s="26" t="s">
        <v>4746</v>
      </c>
      <c r="P831" s="35"/>
      <c r="Q831" s="26" t="s">
        <v>56</v>
      </c>
      <c r="R831" s="26" t="s">
        <v>42</v>
      </c>
      <c r="S831" s="27" t="s">
        <v>3566</v>
      </c>
      <c r="T831" s="35"/>
      <c r="U831" s="26"/>
      <c r="V831" s="26"/>
      <c r="W831" s="26">
        <v>5.0</v>
      </c>
      <c r="X831" s="26"/>
    </row>
    <row r="832" hidden="1">
      <c r="A832" s="26">
        <v>832.0</v>
      </c>
      <c r="B832" s="188">
        <v>46190.0</v>
      </c>
      <c r="C832" s="26" t="s">
        <v>21</v>
      </c>
      <c r="D832" s="26" t="s">
        <v>24</v>
      </c>
      <c r="E832" s="26" t="s">
        <v>7455</v>
      </c>
      <c r="F832" s="21">
        <v>5.43287124E8</v>
      </c>
      <c r="G832" s="26" t="s">
        <v>4852</v>
      </c>
      <c r="H832" s="27" t="s">
        <v>874</v>
      </c>
      <c r="I832" s="26" t="s">
        <v>27</v>
      </c>
      <c r="J832" s="209" t="s">
        <v>7456</v>
      </c>
      <c r="K832" s="27"/>
      <c r="L832" s="26" t="s">
        <v>39</v>
      </c>
      <c r="M832" s="27" t="s">
        <v>4802</v>
      </c>
      <c r="N832" s="26" t="s">
        <v>4803</v>
      </c>
      <c r="O832" s="26" t="s">
        <v>4746</v>
      </c>
      <c r="P832" s="35"/>
      <c r="Q832" s="26" t="s">
        <v>56</v>
      </c>
      <c r="R832" s="26" t="s">
        <v>42</v>
      </c>
      <c r="S832" s="27" t="s">
        <v>3566</v>
      </c>
      <c r="T832" s="27"/>
      <c r="U832" s="35"/>
      <c r="V832" s="26"/>
      <c r="W832" s="26">
        <v>5.0</v>
      </c>
      <c r="X832" s="26" t="s">
        <v>46</v>
      </c>
    </row>
    <row r="833" hidden="1">
      <c r="A833" s="26">
        <v>833.0</v>
      </c>
      <c r="B833" s="188">
        <v>46190.0</v>
      </c>
      <c r="C833" s="26" t="s">
        <v>21</v>
      </c>
      <c r="D833" s="26" t="s">
        <v>24</v>
      </c>
      <c r="E833" s="27" t="s">
        <v>7457</v>
      </c>
      <c r="F833" s="21">
        <v>5.34209095E8</v>
      </c>
      <c r="G833" s="26" t="s">
        <v>4740</v>
      </c>
      <c r="H833" s="27" t="s">
        <v>79</v>
      </c>
      <c r="I833" s="26" t="s">
        <v>27</v>
      </c>
      <c r="J833" s="209" t="s">
        <v>7458</v>
      </c>
      <c r="K833" s="27"/>
      <c r="L833" s="26" t="s">
        <v>36</v>
      </c>
      <c r="M833" s="27" t="s">
        <v>4955</v>
      </c>
      <c r="N833" s="26" t="s">
        <v>4803</v>
      </c>
      <c r="O833" s="26" t="s">
        <v>4746</v>
      </c>
      <c r="P833" s="35"/>
      <c r="Q833" s="26" t="s">
        <v>56</v>
      </c>
      <c r="R833" s="26" t="s">
        <v>42</v>
      </c>
      <c r="S833" s="27" t="s">
        <v>3566</v>
      </c>
      <c r="T833" s="27"/>
      <c r="U833" s="35"/>
      <c r="V833" s="26"/>
      <c r="W833" s="26">
        <v>5.0</v>
      </c>
      <c r="X833" s="26" t="s">
        <v>46</v>
      </c>
    </row>
    <row r="834" hidden="1">
      <c r="A834" s="26">
        <v>834.0</v>
      </c>
      <c r="B834" s="188">
        <v>46190.0</v>
      </c>
      <c r="C834" s="26" t="s">
        <v>58</v>
      </c>
      <c r="D834" s="26" t="s">
        <v>60</v>
      </c>
      <c r="E834" s="26" t="s">
        <v>27</v>
      </c>
      <c r="F834" s="21">
        <v>5.36537739E8</v>
      </c>
      <c r="G834" s="26" t="s">
        <v>27</v>
      </c>
      <c r="H834" s="26" t="s">
        <v>27</v>
      </c>
      <c r="I834" s="26" t="s">
        <v>27</v>
      </c>
      <c r="J834" s="209" t="s">
        <v>7459</v>
      </c>
      <c r="K834" s="27"/>
      <c r="L834" s="26" t="s">
        <v>36</v>
      </c>
      <c r="M834" s="27" t="s">
        <v>88</v>
      </c>
      <c r="N834" s="26" t="s">
        <v>4746</v>
      </c>
      <c r="O834" s="26" t="s">
        <v>4746</v>
      </c>
      <c r="P834" s="35"/>
      <c r="Q834" s="26" t="s">
        <v>56</v>
      </c>
      <c r="R834" s="26" t="s">
        <v>42</v>
      </c>
      <c r="S834" s="27" t="s">
        <v>3566</v>
      </c>
      <c r="T834" s="35"/>
      <c r="U834" s="26"/>
      <c r="V834" s="26"/>
      <c r="W834" s="26">
        <v>5.0</v>
      </c>
      <c r="X834" s="26"/>
    </row>
    <row r="835" hidden="1">
      <c r="A835" s="26">
        <v>835.0</v>
      </c>
      <c r="B835" s="188">
        <v>46190.0</v>
      </c>
      <c r="C835" s="26" t="s">
        <v>21</v>
      </c>
      <c r="D835" s="26" t="s">
        <v>22</v>
      </c>
      <c r="E835" s="27" t="s">
        <v>7460</v>
      </c>
      <c r="F835" s="21">
        <v>5.07999461E8</v>
      </c>
      <c r="G835" s="26" t="s">
        <v>4852</v>
      </c>
      <c r="H835" s="27" t="s">
        <v>3774</v>
      </c>
      <c r="I835" s="26" t="s">
        <v>27</v>
      </c>
      <c r="J835" s="209" t="s">
        <v>7461</v>
      </c>
      <c r="K835" s="27"/>
      <c r="L835" s="26" t="s">
        <v>36</v>
      </c>
      <c r="M835" s="27" t="s">
        <v>1389</v>
      </c>
      <c r="N835" s="26" t="s">
        <v>4870</v>
      </c>
      <c r="O835" s="26" t="s">
        <v>4746</v>
      </c>
      <c r="P835" s="35"/>
      <c r="Q835" s="26" t="s">
        <v>40</v>
      </c>
      <c r="R835" s="26" t="s">
        <v>42</v>
      </c>
      <c r="S835" s="27" t="s">
        <v>3566</v>
      </c>
      <c r="T835" s="35"/>
      <c r="U835" s="35"/>
      <c r="V835" s="26"/>
      <c r="W835" s="26">
        <v>5.0</v>
      </c>
      <c r="X835" s="26" t="s">
        <v>46</v>
      </c>
    </row>
    <row r="836" hidden="1">
      <c r="A836" s="26">
        <v>836.0</v>
      </c>
      <c r="B836" s="188">
        <v>46190.0</v>
      </c>
      <c r="C836" s="26" t="s">
        <v>21</v>
      </c>
      <c r="D836" s="26" t="s">
        <v>22</v>
      </c>
      <c r="E836" s="27" t="s">
        <v>7462</v>
      </c>
      <c r="F836" s="21">
        <v>5.58899347E8</v>
      </c>
      <c r="G836" s="26" t="s">
        <v>4740</v>
      </c>
      <c r="H836" s="27" t="s">
        <v>41</v>
      </c>
      <c r="I836" s="26" t="s">
        <v>27</v>
      </c>
      <c r="J836" s="209" t="s">
        <v>7463</v>
      </c>
      <c r="K836" s="27"/>
      <c r="L836" s="26" t="s">
        <v>36</v>
      </c>
      <c r="M836" s="27" t="s">
        <v>4868</v>
      </c>
      <c r="N836" s="26" t="s">
        <v>4870</v>
      </c>
      <c r="O836" s="26" t="s">
        <v>4746</v>
      </c>
      <c r="P836" s="35"/>
      <c r="Q836" s="26" t="s">
        <v>40</v>
      </c>
      <c r="R836" s="26" t="s">
        <v>42</v>
      </c>
      <c r="S836" s="27" t="s">
        <v>3566</v>
      </c>
      <c r="T836" s="35"/>
      <c r="U836" s="35"/>
      <c r="V836" s="26"/>
      <c r="W836" s="26">
        <v>5.0</v>
      </c>
      <c r="X836" s="26" t="s">
        <v>46</v>
      </c>
    </row>
    <row r="837" hidden="1">
      <c r="A837" s="26">
        <v>837.0</v>
      </c>
      <c r="B837" s="188">
        <v>46190.0</v>
      </c>
      <c r="C837" s="26" t="s">
        <v>21</v>
      </c>
      <c r="D837" s="26" t="s">
        <v>24</v>
      </c>
      <c r="E837" s="27" t="s">
        <v>850</v>
      </c>
      <c r="F837" s="21">
        <v>5.0952571E8</v>
      </c>
      <c r="G837" s="26" t="s">
        <v>4852</v>
      </c>
      <c r="H837" s="27" t="s">
        <v>1452</v>
      </c>
      <c r="I837" s="26" t="s">
        <v>27</v>
      </c>
      <c r="J837" s="209" t="s">
        <v>7464</v>
      </c>
      <c r="K837" s="27"/>
      <c r="L837" s="26" t="s">
        <v>36</v>
      </c>
      <c r="M837" s="27" t="s">
        <v>4982</v>
      </c>
      <c r="N837" s="26" t="s">
        <v>4803</v>
      </c>
      <c r="O837" s="26" t="s">
        <v>4746</v>
      </c>
      <c r="P837" s="35"/>
      <c r="Q837" s="26" t="s">
        <v>56</v>
      </c>
      <c r="R837" s="26" t="s">
        <v>42</v>
      </c>
      <c r="S837" s="27" t="s">
        <v>3566</v>
      </c>
      <c r="T837" s="27"/>
      <c r="U837" s="35"/>
      <c r="V837" s="26"/>
      <c r="W837" s="26">
        <v>5.0</v>
      </c>
      <c r="X837" s="26" t="s">
        <v>46</v>
      </c>
    </row>
    <row r="838" hidden="1">
      <c r="A838" s="26">
        <v>838.0</v>
      </c>
      <c r="B838" s="188">
        <v>46190.0</v>
      </c>
      <c r="C838" s="26" t="s">
        <v>58</v>
      </c>
      <c r="D838" s="26" t="s">
        <v>60</v>
      </c>
      <c r="E838" s="26" t="s">
        <v>27</v>
      </c>
      <c r="F838" s="21">
        <v>5.57013735E8</v>
      </c>
      <c r="G838" s="26" t="s">
        <v>27</v>
      </c>
      <c r="H838" s="26" t="s">
        <v>27</v>
      </c>
      <c r="I838" s="26" t="s">
        <v>27</v>
      </c>
      <c r="J838" s="209" t="s">
        <v>7465</v>
      </c>
      <c r="K838" s="27"/>
      <c r="L838" s="26" t="s">
        <v>36</v>
      </c>
      <c r="M838" s="27" t="s">
        <v>88</v>
      </c>
      <c r="N838" s="26" t="s">
        <v>4746</v>
      </c>
      <c r="O838" s="26" t="s">
        <v>4746</v>
      </c>
      <c r="P838" s="35"/>
      <c r="Q838" s="26" t="s">
        <v>56</v>
      </c>
      <c r="R838" s="26" t="s">
        <v>42</v>
      </c>
      <c r="S838" s="27" t="s">
        <v>3566</v>
      </c>
      <c r="T838" s="35"/>
      <c r="U838" s="26"/>
      <c r="V838" s="26"/>
      <c r="W838" s="26">
        <v>5.0</v>
      </c>
      <c r="X838" s="26"/>
    </row>
    <row r="839" hidden="1">
      <c r="A839" s="26">
        <v>839.0</v>
      </c>
      <c r="B839" s="188">
        <v>46190.0</v>
      </c>
      <c r="C839" s="26" t="s">
        <v>21</v>
      </c>
      <c r="D839" s="26" t="s">
        <v>60</v>
      </c>
      <c r="E839" s="26" t="s">
        <v>27</v>
      </c>
      <c r="F839" s="21">
        <v>5.31400912E8</v>
      </c>
      <c r="G839" s="26" t="s">
        <v>27</v>
      </c>
      <c r="H839" s="26" t="s">
        <v>27</v>
      </c>
      <c r="I839" s="26" t="s">
        <v>27</v>
      </c>
      <c r="J839" s="209" t="s">
        <v>7466</v>
      </c>
      <c r="K839" s="27"/>
      <c r="L839" s="26" t="s">
        <v>36</v>
      </c>
      <c r="M839" s="27" t="s">
        <v>88</v>
      </c>
      <c r="N839" s="26" t="s">
        <v>4746</v>
      </c>
      <c r="O839" s="26" t="s">
        <v>4746</v>
      </c>
      <c r="P839" s="35"/>
      <c r="Q839" s="26" t="s">
        <v>56</v>
      </c>
      <c r="R839" s="26" t="s">
        <v>42</v>
      </c>
      <c r="S839" s="27" t="s">
        <v>3566</v>
      </c>
      <c r="T839" s="35"/>
      <c r="U839" s="26"/>
      <c r="V839" s="26"/>
      <c r="W839" s="26">
        <v>5.0</v>
      </c>
      <c r="X839" s="26"/>
    </row>
    <row r="840" hidden="1">
      <c r="A840" s="26">
        <v>840.0</v>
      </c>
      <c r="B840" s="188">
        <v>46190.0</v>
      </c>
      <c r="C840" s="26" t="s">
        <v>58</v>
      </c>
      <c r="D840" s="26" t="s">
        <v>60</v>
      </c>
      <c r="E840" s="26" t="s">
        <v>27</v>
      </c>
      <c r="F840" s="21">
        <v>5.54850559E8</v>
      </c>
      <c r="G840" s="26" t="s">
        <v>27</v>
      </c>
      <c r="H840" s="26" t="s">
        <v>27</v>
      </c>
      <c r="I840" s="26" t="s">
        <v>27</v>
      </c>
      <c r="J840" s="209" t="s">
        <v>554</v>
      </c>
      <c r="K840" s="27"/>
      <c r="L840" s="26" t="s">
        <v>36</v>
      </c>
      <c r="M840" s="27" t="s">
        <v>88</v>
      </c>
      <c r="N840" s="26" t="s">
        <v>4746</v>
      </c>
      <c r="O840" s="26" t="s">
        <v>4746</v>
      </c>
      <c r="P840" s="35"/>
      <c r="Q840" s="26" t="s">
        <v>56</v>
      </c>
      <c r="R840" s="26" t="s">
        <v>42</v>
      </c>
      <c r="S840" s="27" t="s">
        <v>3566</v>
      </c>
      <c r="T840" s="35"/>
      <c r="U840" s="26"/>
      <c r="V840" s="26"/>
      <c r="W840" s="26">
        <v>5.0</v>
      </c>
      <c r="X840" s="26"/>
    </row>
    <row r="841" hidden="1">
      <c r="A841" s="26">
        <v>841.0</v>
      </c>
      <c r="B841" s="188">
        <v>46190.0</v>
      </c>
      <c r="C841" s="26" t="s">
        <v>21</v>
      </c>
      <c r="D841" s="26" t="s">
        <v>34</v>
      </c>
      <c r="E841" s="27" t="s">
        <v>775</v>
      </c>
      <c r="F841" s="21">
        <v>5.34749838E8</v>
      </c>
      <c r="G841" s="26" t="s">
        <v>27</v>
      </c>
      <c r="H841" s="26" t="s">
        <v>27</v>
      </c>
      <c r="I841" s="26" t="s">
        <v>27</v>
      </c>
      <c r="J841" s="209" t="s">
        <v>7467</v>
      </c>
      <c r="K841" s="27"/>
      <c r="L841" s="26" t="s">
        <v>36</v>
      </c>
      <c r="M841" s="27" t="s">
        <v>51</v>
      </c>
      <c r="N841" s="26" t="s">
        <v>4746</v>
      </c>
      <c r="O841" s="26" t="s">
        <v>4746</v>
      </c>
      <c r="P841" s="35"/>
      <c r="Q841" s="26" t="s">
        <v>56</v>
      </c>
      <c r="R841" s="26" t="s">
        <v>42</v>
      </c>
      <c r="S841" s="27" t="s">
        <v>3566</v>
      </c>
      <c r="T841" s="35"/>
      <c r="U841" s="26"/>
      <c r="V841" s="26"/>
      <c r="W841" s="26">
        <v>5.0</v>
      </c>
      <c r="X841" s="26"/>
    </row>
    <row r="842" hidden="1">
      <c r="A842" s="26">
        <v>842.0</v>
      </c>
      <c r="B842" s="188">
        <v>46191.0</v>
      </c>
      <c r="C842" s="26" t="s">
        <v>58</v>
      </c>
      <c r="D842" s="26" t="s">
        <v>367</v>
      </c>
      <c r="E842" s="27" t="s">
        <v>7468</v>
      </c>
      <c r="F842" s="21">
        <v>5.35556704E8</v>
      </c>
      <c r="G842" s="26" t="s">
        <v>4740</v>
      </c>
      <c r="H842" s="27" t="s">
        <v>41</v>
      </c>
      <c r="I842" s="26" t="s">
        <v>783</v>
      </c>
      <c r="J842" s="209" t="s">
        <v>7812</v>
      </c>
      <c r="K842" s="27" t="s">
        <v>7470</v>
      </c>
      <c r="L842" s="26" t="s">
        <v>36</v>
      </c>
      <c r="M842" s="27" t="s">
        <v>7471</v>
      </c>
      <c r="N842" s="26" t="s">
        <v>4917</v>
      </c>
      <c r="O842" s="26" t="s">
        <v>49</v>
      </c>
      <c r="P842" s="35"/>
      <c r="Q842" s="26" t="s">
        <v>56</v>
      </c>
      <c r="R842" s="26" t="s">
        <v>42</v>
      </c>
      <c r="S842" s="27" t="s">
        <v>3566</v>
      </c>
      <c r="T842" s="35">
        <v>0.4486111111111111</v>
      </c>
      <c r="U842" s="26"/>
      <c r="V842" s="26" t="s">
        <v>49</v>
      </c>
      <c r="W842" s="26">
        <v>5.0</v>
      </c>
      <c r="X842" s="26" t="s">
        <v>46</v>
      </c>
    </row>
    <row r="843" hidden="1">
      <c r="A843" s="26">
        <v>843.0</v>
      </c>
      <c r="B843" s="188">
        <v>46191.0</v>
      </c>
      <c r="C843" s="26" t="s">
        <v>58</v>
      </c>
      <c r="D843" s="26" t="s">
        <v>60</v>
      </c>
      <c r="E843" s="26" t="s">
        <v>27</v>
      </c>
      <c r="F843" s="21">
        <v>5.70860672E8</v>
      </c>
      <c r="G843" s="26" t="s">
        <v>27</v>
      </c>
      <c r="H843" s="26" t="s">
        <v>27</v>
      </c>
      <c r="I843" s="26" t="s">
        <v>27</v>
      </c>
      <c r="J843" s="209" t="s">
        <v>7472</v>
      </c>
      <c r="K843" s="27"/>
      <c r="L843" s="26" t="s">
        <v>65</v>
      </c>
      <c r="M843" s="27" t="s">
        <v>38</v>
      </c>
      <c r="N843" s="26" t="s">
        <v>4746</v>
      </c>
      <c r="O843" s="26" t="s">
        <v>4746</v>
      </c>
      <c r="P843" s="35"/>
      <c r="Q843" s="26" t="s">
        <v>56</v>
      </c>
      <c r="R843" s="26" t="s">
        <v>42</v>
      </c>
      <c r="S843" s="27" t="s">
        <v>3566</v>
      </c>
      <c r="T843" s="35"/>
      <c r="U843" s="26"/>
      <c r="V843" s="26"/>
      <c r="W843" s="26">
        <v>5.0</v>
      </c>
      <c r="X843" s="26"/>
    </row>
    <row r="844" hidden="1">
      <c r="A844" s="26">
        <v>844.0</v>
      </c>
      <c r="B844" s="188">
        <v>46191.0</v>
      </c>
      <c r="C844" s="26" t="s">
        <v>21</v>
      </c>
      <c r="D844" s="26" t="s">
        <v>22</v>
      </c>
      <c r="E844" s="27" t="s">
        <v>1745</v>
      </c>
      <c r="F844" s="21">
        <v>5.56664903E8</v>
      </c>
      <c r="G844" s="26" t="s">
        <v>4769</v>
      </c>
      <c r="H844" s="27" t="s">
        <v>752</v>
      </c>
      <c r="I844" s="26" t="s">
        <v>27</v>
      </c>
      <c r="J844" s="368" t="s">
        <v>7813</v>
      </c>
      <c r="K844" s="27"/>
      <c r="L844" s="26" t="s">
        <v>62</v>
      </c>
      <c r="M844" s="27" t="s">
        <v>1389</v>
      </c>
      <c r="N844" s="26" t="s">
        <v>4870</v>
      </c>
      <c r="O844" s="26" t="s">
        <v>4746</v>
      </c>
      <c r="P844" s="35"/>
      <c r="Q844" s="26" t="s">
        <v>40</v>
      </c>
      <c r="R844" s="26" t="s">
        <v>3811</v>
      </c>
      <c r="S844" s="27" t="s">
        <v>3566</v>
      </c>
      <c r="T844" s="35"/>
      <c r="U844" s="35"/>
      <c r="V844" s="26"/>
      <c r="W844" s="26">
        <v>5.0</v>
      </c>
      <c r="X844" s="26" t="s">
        <v>46</v>
      </c>
    </row>
    <row r="845">
      <c r="A845" s="26">
        <v>845.0</v>
      </c>
      <c r="B845" s="188">
        <v>46191.0</v>
      </c>
      <c r="C845" s="26" t="s">
        <v>21</v>
      </c>
      <c r="D845" s="26" t="s">
        <v>48</v>
      </c>
      <c r="E845" s="27" t="s">
        <v>7474</v>
      </c>
      <c r="F845" s="21">
        <v>5.3520922E8</v>
      </c>
      <c r="G845" s="26" t="s">
        <v>27</v>
      </c>
      <c r="H845" s="26" t="s">
        <v>27</v>
      </c>
      <c r="I845" s="26" t="s">
        <v>27</v>
      </c>
      <c r="J845" s="209" t="s">
        <v>7475</v>
      </c>
      <c r="K845" s="27"/>
      <c r="L845" s="26" t="s">
        <v>62</v>
      </c>
      <c r="M845" s="27" t="s">
        <v>208</v>
      </c>
      <c r="N845" s="26" t="s">
        <v>49</v>
      </c>
      <c r="O845" s="26" t="s">
        <v>4746</v>
      </c>
      <c r="P845" s="35"/>
      <c r="Q845" s="26" t="s">
        <v>56</v>
      </c>
      <c r="R845" s="26" t="s">
        <v>518</v>
      </c>
      <c r="S845" s="27" t="s">
        <v>3566</v>
      </c>
      <c r="T845" s="35"/>
      <c r="U845" s="26"/>
      <c r="V845" s="26"/>
      <c r="W845" s="26">
        <v>5.0</v>
      </c>
      <c r="X845" s="26"/>
    </row>
    <row r="846" hidden="1">
      <c r="A846" s="26">
        <v>846.0</v>
      </c>
      <c r="B846" s="188">
        <v>46191.0</v>
      </c>
      <c r="C846" s="26" t="s">
        <v>58</v>
      </c>
      <c r="D846" s="26" t="s">
        <v>60</v>
      </c>
      <c r="E846" s="26" t="s">
        <v>27</v>
      </c>
      <c r="F846" s="21">
        <v>5.82180257E8</v>
      </c>
      <c r="G846" s="26" t="s">
        <v>27</v>
      </c>
      <c r="H846" s="26" t="s">
        <v>27</v>
      </c>
      <c r="I846" s="26" t="s">
        <v>27</v>
      </c>
      <c r="J846" s="209" t="s">
        <v>7476</v>
      </c>
      <c r="K846" s="27"/>
      <c r="L846" s="26" t="s">
        <v>62</v>
      </c>
      <c r="M846" s="27" t="s">
        <v>88</v>
      </c>
      <c r="N846" s="26" t="s">
        <v>4746</v>
      </c>
      <c r="O846" s="26" t="s">
        <v>4746</v>
      </c>
      <c r="P846" s="35"/>
      <c r="Q846" s="26" t="s">
        <v>56</v>
      </c>
      <c r="R846" s="26" t="s">
        <v>42</v>
      </c>
      <c r="S846" s="27" t="s">
        <v>3566</v>
      </c>
      <c r="T846" s="35"/>
      <c r="U846" s="26"/>
      <c r="V846" s="26"/>
      <c r="W846" s="26">
        <v>5.0</v>
      </c>
      <c r="X846" s="26"/>
    </row>
    <row r="847" hidden="1">
      <c r="A847" s="26">
        <v>847.0</v>
      </c>
      <c r="B847" s="188">
        <v>46191.0</v>
      </c>
      <c r="C847" s="26" t="s">
        <v>21</v>
      </c>
      <c r="D847" s="26" t="s">
        <v>57</v>
      </c>
      <c r="E847" s="26" t="s">
        <v>27</v>
      </c>
      <c r="F847" s="21">
        <v>5.46772194E8</v>
      </c>
      <c r="G847" s="26" t="s">
        <v>27</v>
      </c>
      <c r="H847" s="26" t="s">
        <v>27</v>
      </c>
      <c r="I847" s="26" t="s">
        <v>27</v>
      </c>
      <c r="J847" s="209" t="s">
        <v>1306</v>
      </c>
      <c r="K847" s="27"/>
      <c r="L847" s="26" t="s">
        <v>36</v>
      </c>
      <c r="M847" s="27" t="s">
        <v>7358</v>
      </c>
      <c r="N847" s="26" t="s">
        <v>4746</v>
      </c>
      <c r="O847" s="26" t="s">
        <v>4746</v>
      </c>
      <c r="P847" s="35"/>
      <c r="Q847" s="26" t="s">
        <v>56</v>
      </c>
      <c r="R847" s="26" t="s">
        <v>42</v>
      </c>
      <c r="S847" s="27" t="s">
        <v>3566</v>
      </c>
      <c r="T847" s="35"/>
      <c r="U847" s="26"/>
      <c r="V847" s="26"/>
      <c r="W847" s="26">
        <v>5.0</v>
      </c>
      <c r="X847" s="26"/>
    </row>
    <row r="848" hidden="1">
      <c r="A848" s="26">
        <v>848.0</v>
      </c>
      <c r="B848" s="188">
        <v>46191.0</v>
      </c>
      <c r="C848" s="26" t="s">
        <v>21</v>
      </c>
      <c r="D848" s="26" t="s">
        <v>66</v>
      </c>
      <c r="E848" s="27" t="s">
        <v>7478</v>
      </c>
      <c r="F848" s="21">
        <v>5.35853333E8</v>
      </c>
      <c r="G848" s="26" t="s">
        <v>7814</v>
      </c>
      <c r="H848" s="27" t="s">
        <v>3000</v>
      </c>
      <c r="I848" s="26" t="s">
        <v>27</v>
      </c>
      <c r="J848" s="209" t="s">
        <v>7479</v>
      </c>
      <c r="K848" s="27"/>
      <c r="L848" s="26" t="s">
        <v>36</v>
      </c>
      <c r="M848" s="27" t="s">
        <v>208</v>
      </c>
      <c r="N848" s="26" t="s">
        <v>49</v>
      </c>
      <c r="O848" s="26" t="s">
        <v>4746</v>
      </c>
      <c r="P848" s="35"/>
      <c r="Q848" s="26" t="s">
        <v>56</v>
      </c>
      <c r="R848" s="26" t="s">
        <v>301</v>
      </c>
      <c r="S848" s="27" t="s">
        <v>3566</v>
      </c>
      <c r="T848" s="35"/>
      <c r="U848" s="26"/>
      <c r="V848" s="26"/>
      <c r="W848" s="26">
        <v>5.0</v>
      </c>
      <c r="X848" s="26"/>
    </row>
    <row r="849" hidden="1">
      <c r="A849" s="26">
        <v>849.0</v>
      </c>
      <c r="B849" s="188">
        <v>46191.0</v>
      </c>
      <c r="C849" s="26" t="s">
        <v>21</v>
      </c>
      <c r="D849" s="26" t="s">
        <v>22</v>
      </c>
      <c r="E849" s="27" t="s">
        <v>7480</v>
      </c>
      <c r="F849" s="21">
        <v>5.00499396E8</v>
      </c>
      <c r="G849" s="26" t="s">
        <v>4769</v>
      </c>
      <c r="H849" s="27" t="s">
        <v>152</v>
      </c>
      <c r="I849" s="26" t="s">
        <v>27</v>
      </c>
      <c r="J849" s="209" t="s">
        <v>7481</v>
      </c>
      <c r="K849" s="27"/>
      <c r="L849" s="126" t="s">
        <v>457</v>
      </c>
      <c r="M849" s="27" t="s">
        <v>4868</v>
      </c>
      <c r="N849" s="26" t="s">
        <v>4870</v>
      </c>
      <c r="O849" s="26" t="s">
        <v>4746</v>
      </c>
      <c r="P849" s="35"/>
      <c r="Q849" s="26" t="s">
        <v>40</v>
      </c>
      <c r="R849" s="26" t="s">
        <v>42</v>
      </c>
      <c r="S849" s="27" t="s">
        <v>3566</v>
      </c>
      <c r="T849" s="35"/>
      <c r="U849" s="35"/>
      <c r="V849" s="26"/>
      <c r="W849" s="26">
        <v>5.0</v>
      </c>
      <c r="X849" s="26" t="s">
        <v>46</v>
      </c>
    </row>
    <row r="850" hidden="1">
      <c r="A850" s="26">
        <v>850.0</v>
      </c>
      <c r="B850" s="188">
        <v>46191.0</v>
      </c>
      <c r="C850" s="26" t="s">
        <v>58</v>
      </c>
      <c r="D850" s="26" t="s">
        <v>60</v>
      </c>
      <c r="E850" s="27" t="s">
        <v>1330</v>
      </c>
      <c r="F850" s="21">
        <v>5.57045555E8</v>
      </c>
      <c r="G850" s="26" t="s">
        <v>4740</v>
      </c>
      <c r="H850" s="27" t="s">
        <v>79</v>
      </c>
      <c r="I850" s="26" t="s">
        <v>239</v>
      </c>
      <c r="J850" s="209" t="s">
        <v>7482</v>
      </c>
      <c r="K850" s="27"/>
      <c r="L850" s="126" t="s">
        <v>36</v>
      </c>
      <c r="M850" s="27" t="s">
        <v>88</v>
      </c>
      <c r="N850" s="26" t="s">
        <v>4746</v>
      </c>
      <c r="O850" s="26" t="s">
        <v>4746</v>
      </c>
      <c r="P850" s="35"/>
      <c r="Q850" s="26" t="s">
        <v>56</v>
      </c>
      <c r="R850" s="26" t="s">
        <v>42</v>
      </c>
      <c r="S850" s="27" t="s">
        <v>3566</v>
      </c>
      <c r="T850" s="35"/>
      <c r="U850" s="26"/>
      <c r="V850" s="26"/>
      <c r="W850" s="26">
        <v>5.0</v>
      </c>
      <c r="X850" s="26"/>
    </row>
    <row r="851" hidden="1">
      <c r="A851" s="26">
        <v>851.0</v>
      </c>
      <c r="B851" s="188">
        <v>46191.0</v>
      </c>
      <c r="C851" s="26" t="s">
        <v>58</v>
      </c>
      <c r="D851" s="26" t="s">
        <v>60</v>
      </c>
      <c r="E851" s="27" t="s">
        <v>1449</v>
      </c>
      <c r="F851" s="21">
        <v>5.50802275E8</v>
      </c>
      <c r="G851" s="26" t="s">
        <v>27</v>
      </c>
      <c r="H851" s="26" t="s">
        <v>27</v>
      </c>
      <c r="I851" s="26" t="s">
        <v>27</v>
      </c>
      <c r="J851" s="209" t="s">
        <v>7483</v>
      </c>
      <c r="K851" s="27"/>
      <c r="L851" s="126" t="s">
        <v>36</v>
      </c>
      <c r="M851" s="27" t="s">
        <v>88</v>
      </c>
      <c r="N851" s="26" t="s">
        <v>4746</v>
      </c>
      <c r="O851" s="26" t="s">
        <v>4746</v>
      </c>
      <c r="P851" s="35"/>
      <c r="Q851" s="26" t="s">
        <v>56</v>
      </c>
      <c r="R851" s="26" t="s">
        <v>42</v>
      </c>
      <c r="S851" s="27" t="s">
        <v>3566</v>
      </c>
      <c r="T851" s="35"/>
      <c r="U851" s="26"/>
      <c r="V851" s="26"/>
      <c r="W851" s="26">
        <v>5.0</v>
      </c>
      <c r="X851" s="26"/>
    </row>
    <row r="852" ht="74.25" hidden="1" customHeight="1">
      <c r="A852" s="26">
        <v>852.0</v>
      </c>
      <c r="B852" s="188">
        <v>46191.0</v>
      </c>
      <c r="C852" s="26" t="s">
        <v>47</v>
      </c>
      <c r="D852" s="26" t="s">
        <v>48</v>
      </c>
      <c r="E852" s="27" t="s">
        <v>7484</v>
      </c>
      <c r="F852" s="21">
        <v>5.56891446E8</v>
      </c>
      <c r="G852" s="26" t="s">
        <v>5151</v>
      </c>
      <c r="H852" s="27" t="s">
        <v>28</v>
      </c>
      <c r="I852" s="26" t="s">
        <v>830</v>
      </c>
      <c r="J852" s="209" t="s">
        <v>7815</v>
      </c>
      <c r="K852" s="27"/>
      <c r="L852" s="26" t="s">
        <v>36</v>
      </c>
      <c r="M852" s="275" t="s">
        <v>5968</v>
      </c>
      <c r="N852" s="26" t="s">
        <v>4977</v>
      </c>
      <c r="O852" s="26" t="s">
        <v>49</v>
      </c>
      <c r="P852" s="35">
        <v>0.6159722222222223</v>
      </c>
      <c r="Q852" s="26" t="s">
        <v>40</v>
      </c>
      <c r="R852" s="26" t="s">
        <v>301</v>
      </c>
      <c r="S852" s="27" t="s">
        <v>3566</v>
      </c>
      <c r="T852" s="27" t="s">
        <v>3566</v>
      </c>
      <c r="U852" s="35">
        <v>0.3611111111111111</v>
      </c>
      <c r="V852" s="26" t="s">
        <v>49</v>
      </c>
      <c r="W852" s="26">
        <v>5.0</v>
      </c>
      <c r="X852" s="26" t="s">
        <v>46</v>
      </c>
    </row>
    <row r="853" hidden="1">
      <c r="A853" s="26">
        <v>853.0</v>
      </c>
      <c r="B853" s="188">
        <v>46191.0</v>
      </c>
      <c r="C853" s="26" t="s">
        <v>21</v>
      </c>
      <c r="D853" s="26" t="s">
        <v>24</v>
      </c>
      <c r="E853" s="27" t="s">
        <v>1584</v>
      </c>
      <c r="F853" s="21">
        <v>5.06375745E8</v>
      </c>
      <c r="G853" s="26" t="s">
        <v>4740</v>
      </c>
      <c r="H853" s="27" t="s">
        <v>71</v>
      </c>
      <c r="I853" s="26" t="s">
        <v>27</v>
      </c>
      <c r="J853" s="209" t="s">
        <v>7486</v>
      </c>
      <c r="K853" s="27"/>
      <c r="L853" s="26" t="s">
        <v>36</v>
      </c>
      <c r="M853" s="27" t="s">
        <v>5046</v>
      </c>
      <c r="N853" s="26" t="s">
        <v>4803</v>
      </c>
      <c r="O853" s="26" t="s">
        <v>4746</v>
      </c>
      <c r="P853" s="35"/>
      <c r="Q853" s="26" t="s">
        <v>56</v>
      </c>
      <c r="R853" s="26" t="s">
        <v>42</v>
      </c>
      <c r="S853" s="27" t="s">
        <v>3566</v>
      </c>
      <c r="T853" s="27"/>
      <c r="U853" s="35"/>
      <c r="V853" s="26"/>
      <c r="W853" s="26">
        <v>5.0</v>
      </c>
      <c r="X853" s="26" t="s">
        <v>46</v>
      </c>
    </row>
    <row r="854" hidden="1">
      <c r="A854" s="26">
        <v>854.0</v>
      </c>
      <c r="B854" s="188">
        <v>46191.0</v>
      </c>
      <c r="C854" s="26" t="s">
        <v>21</v>
      </c>
      <c r="D854" s="26" t="s">
        <v>24</v>
      </c>
      <c r="E854" s="27" t="s">
        <v>7487</v>
      </c>
      <c r="F854" s="21">
        <v>5.00079622E8</v>
      </c>
      <c r="G854" s="26" t="s">
        <v>4769</v>
      </c>
      <c r="H854" s="27" t="s">
        <v>152</v>
      </c>
      <c r="I854" s="26" t="s">
        <v>27</v>
      </c>
      <c r="J854" s="209" t="s">
        <v>7488</v>
      </c>
      <c r="K854" s="27"/>
      <c r="L854" s="26" t="s">
        <v>36</v>
      </c>
      <c r="M854" s="27" t="s">
        <v>630</v>
      </c>
      <c r="N854" s="26" t="s">
        <v>4803</v>
      </c>
      <c r="O854" s="26" t="s">
        <v>4746</v>
      </c>
      <c r="P854" s="35"/>
      <c r="Q854" s="26" t="s">
        <v>56</v>
      </c>
      <c r="R854" s="26" t="s">
        <v>42</v>
      </c>
      <c r="S854" s="27" t="s">
        <v>3566</v>
      </c>
      <c r="T854" s="27"/>
      <c r="U854" s="26"/>
      <c r="V854" s="26"/>
      <c r="W854" s="26">
        <v>5.0</v>
      </c>
      <c r="X854" s="26" t="s">
        <v>46</v>
      </c>
    </row>
    <row r="855" hidden="1">
      <c r="A855" s="26">
        <v>855.0</v>
      </c>
      <c r="B855" s="188">
        <v>46194.0</v>
      </c>
      <c r="C855" s="26" t="s">
        <v>47</v>
      </c>
      <c r="D855" s="26" t="s">
        <v>48</v>
      </c>
      <c r="E855" s="26" t="s">
        <v>7489</v>
      </c>
      <c r="F855" s="21">
        <v>5.36535811E8</v>
      </c>
      <c r="G855" s="26" t="s">
        <v>4740</v>
      </c>
      <c r="H855" s="27" t="s">
        <v>41</v>
      </c>
      <c r="I855" s="26" t="s">
        <v>956</v>
      </c>
      <c r="J855" s="209" t="s">
        <v>7816</v>
      </c>
      <c r="K855" s="27"/>
      <c r="L855" s="26" t="s">
        <v>36</v>
      </c>
      <c r="M855" s="275" t="s">
        <v>5132</v>
      </c>
      <c r="N855" s="26" t="s">
        <v>4977</v>
      </c>
      <c r="O855" s="26" t="s">
        <v>4746</v>
      </c>
      <c r="P855" s="35">
        <v>0.7048611111111112</v>
      </c>
      <c r="Q855" s="26" t="s">
        <v>40</v>
      </c>
      <c r="R855" s="26" t="s">
        <v>518</v>
      </c>
      <c r="S855" s="27" t="s">
        <v>3765</v>
      </c>
      <c r="T855" s="27" t="s">
        <v>3566</v>
      </c>
      <c r="U855" s="35">
        <v>0.7048611111111112</v>
      </c>
      <c r="V855" s="26" t="s">
        <v>44</v>
      </c>
      <c r="W855" s="26">
        <v>5.0</v>
      </c>
      <c r="X855" s="26" t="s">
        <v>46</v>
      </c>
    </row>
    <row r="856" hidden="1">
      <c r="A856" s="26">
        <v>856.0</v>
      </c>
      <c r="B856" s="188">
        <v>46194.0</v>
      </c>
      <c r="C856" s="26" t="s">
        <v>58</v>
      </c>
      <c r="D856" s="26" t="s">
        <v>60</v>
      </c>
      <c r="E856" s="26" t="s">
        <v>27</v>
      </c>
      <c r="F856" s="21">
        <v>5.64599208E8</v>
      </c>
      <c r="G856" s="26" t="s">
        <v>27</v>
      </c>
      <c r="H856" s="26" t="s">
        <v>27</v>
      </c>
      <c r="I856" s="26" t="s">
        <v>27</v>
      </c>
      <c r="J856" s="209" t="s">
        <v>7491</v>
      </c>
      <c r="K856" s="27"/>
      <c r="L856" s="26" t="s">
        <v>65</v>
      </c>
      <c r="M856" s="27" t="s">
        <v>38</v>
      </c>
      <c r="N856" s="26" t="s">
        <v>4746</v>
      </c>
      <c r="O856" s="26" t="s">
        <v>4746</v>
      </c>
      <c r="P856" s="35"/>
      <c r="Q856" s="26" t="s">
        <v>56</v>
      </c>
      <c r="R856" s="26" t="s">
        <v>42</v>
      </c>
      <c r="S856" s="27" t="s">
        <v>3566</v>
      </c>
      <c r="T856" s="35"/>
      <c r="U856" s="26"/>
      <c r="V856" s="26"/>
      <c r="W856" s="26">
        <v>5.0</v>
      </c>
      <c r="X856" s="26"/>
    </row>
    <row r="857" hidden="1">
      <c r="A857" s="26">
        <v>857.0</v>
      </c>
      <c r="B857" s="188">
        <v>46194.0</v>
      </c>
      <c r="C857" s="26" t="s">
        <v>47</v>
      </c>
      <c r="D857" s="26" t="s">
        <v>92</v>
      </c>
      <c r="E857" s="27" t="s">
        <v>7492</v>
      </c>
      <c r="F857" s="21">
        <v>5.08037357E8</v>
      </c>
      <c r="G857" s="26" t="s">
        <v>4740</v>
      </c>
      <c r="H857" s="27" t="s">
        <v>71</v>
      </c>
      <c r="I857" s="26" t="s">
        <v>94</v>
      </c>
      <c r="J857" s="209" t="s">
        <v>7493</v>
      </c>
      <c r="K857" s="27"/>
      <c r="L857" s="26" t="s">
        <v>36</v>
      </c>
      <c r="M857" s="27" t="s">
        <v>7750</v>
      </c>
      <c r="N857" s="26" t="s">
        <v>4637</v>
      </c>
      <c r="O857" s="26" t="s">
        <v>4746</v>
      </c>
      <c r="P857" s="35"/>
      <c r="Q857" s="26" t="s">
        <v>40</v>
      </c>
      <c r="R857" s="26" t="s">
        <v>42</v>
      </c>
      <c r="S857" s="27" t="s">
        <v>3566</v>
      </c>
      <c r="T857" s="35"/>
      <c r="U857" s="26"/>
      <c r="V857" s="26"/>
      <c r="W857" s="26">
        <v>5.0</v>
      </c>
      <c r="X857" s="26" t="s">
        <v>46</v>
      </c>
    </row>
    <row r="858" hidden="1">
      <c r="A858" s="26">
        <v>858.0</v>
      </c>
      <c r="B858" s="188">
        <v>46194.0</v>
      </c>
      <c r="C858" s="26" t="s">
        <v>58</v>
      </c>
      <c r="D858" s="26" t="s">
        <v>60</v>
      </c>
      <c r="E858" s="26" t="s">
        <v>27</v>
      </c>
      <c r="F858" s="21">
        <v>5.5727758E8</v>
      </c>
      <c r="G858" s="26" t="s">
        <v>27</v>
      </c>
      <c r="H858" s="26" t="s">
        <v>27</v>
      </c>
      <c r="I858" s="26" t="s">
        <v>27</v>
      </c>
      <c r="J858" s="209" t="s">
        <v>7494</v>
      </c>
      <c r="K858" s="27"/>
      <c r="L858" s="26" t="s">
        <v>65</v>
      </c>
      <c r="M858" s="27" t="s">
        <v>38</v>
      </c>
      <c r="N858" s="26" t="s">
        <v>4746</v>
      </c>
      <c r="O858" s="26" t="s">
        <v>4746</v>
      </c>
      <c r="P858" s="35"/>
      <c r="Q858" s="26" t="s">
        <v>56</v>
      </c>
      <c r="R858" s="26" t="s">
        <v>42</v>
      </c>
      <c r="S858" s="27" t="s">
        <v>3566</v>
      </c>
      <c r="T858" s="35"/>
      <c r="U858" s="26"/>
      <c r="V858" s="26"/>
      <c r="W858" s="26">
        <v>5.0</v>
      </c>
      <c r="X858" s="26"/>
    </row>
    <row r="859" hidden="1">
      <c r="A859" s="26">
        <v>859.0</v>
      </c>
      <c r="B859" s="188">
        <v>46194.0</v>
      </c>
      <c r="C859" s="26" t="s">
        <v>58</v>
      </c>
      <c r="D859" s="26" t="s">
        <v>60</v>
      </c>
      <c r="E859" s="26" t="s">
        <v>27</v>
      </c>
      <c r="F859" s="21">
        <v>5.79827098E8</v>
      </c>
      <c r="G859" s="26" t="s">
        <v>27</v>
      </c>
      <c r="H859" s="26" t="s">
        <v>27</v>
      </c>
      <c r="I859" s="26" t="s">
        <v>27</v>
      </c>
      <c r="J859" s="209" t="s">
        <v>554</v>
      </c>
      <c r="K859" s="27"/>
      <c r="L859" s="26" t="s">
        <v>36</v>
      </c>
      <c r="M859" s="27" t="s">
        <v>88</v>
      </c>
      <c r="N859" s="26" t="s">
        <v>4746</v>
      </c>
      <c r="O859" s="26" t="s">
        <v>4746</v>
      </c>
      <c r="P859" s="35"/>
      <c r="Q859" s="26" t="s">
        <v>56</v>
      </c>
      <c r="R859" s="26" t="s">
        <v>42</v>
      </c>
      <c r="S859" s="27" t="s">
        <v>3566</v>
      </c>
      <c r="T859" s="35"/>
      <c r="U859" s="26"/>
      <c r="V859" s="26"/>
      <c r="W859" s="26">
        <v>5.0</v>
      </c>
      <c r="X859" s="26"/>
    </row>
    <row r="860" hidden="1">
      <c r="A860" s="26">
        <v>860.0</v>
      </c>
      <c r="B860" s="188">
        <v>46194.0</v>
      </c>
      <c r="C860" s="26" t="s">
        <v>58</v>
      </c>
      <c r="D860" s="26" t="s">
        <v>60</v>
      </c>
      <c r="E860" s="26" t="s">
        <v>27</v>
      </c>
      <c r="F860" s="21">
        <v>5.5751143E8</v>
      </c>
      <c r="G860" s="26" t="s">
        <v>27</v>
      </c>
      <c r="H860" s="26" t="s">
        <v>27</v>
      </c>
      <c r="I860" s="26" t="s">
        <v>27</v>
      </c>
      <c r="J860" s="209" t="s">
        <v>7496</v>
      </c>
      <c r="K860" s="27"/>
      <c r="L860" s="26" t="s">
        <v>65</v>
      </c>
      <c r="M860" s="27" t="s">
        <v>38</v>
      </c>
      <c r="N860" s="26" t="s">
        <v>4746</v>
      </c>
      <c r="O860" s="26" t="s">
        <v>4746</v>
      </c>
      <c r="P860" s="35"/>
      <c r="Q860" s="26" t="s">
        <v>56</v>
      </c>
      <c r="R860" s="26" t="s">
        <v>42</v>
      </c>
      <c r="S860" s="27" t="s">
        <v>3566</v>
      </c>
      <c r="T860" s="35"/>
      <c r="U860" s="26"/>
      <c r="V860" s="26"/>
      <c r="W860" s="26">
        <v>5.0</v>
      </c>
      <c r="X860" s="26"/>
    </row>
    <row r="861" hidden="1">
      <c r="A861" s="26">
        <v>861.0</v>
      </c>
      <c r="B861" s="188">
        <v>46194.0</v>
      </c>
      <c r="C861" s="26" t="s">
        <v>58</v>
      </c>
      <c r="D861" s="26" t="s">
        <v>60</v>
      </c>
      <c r="E861" s="26" t="s">
        <v>27</v>
      </c>
      <c r="F861" s="21">
        <v>5.33675118E8</v>
      </c>
      <c r="G861" s="26" t="s">
        <v>27</v>
      </c>
      <c r="H861" s="26" t="s">
        <v>27</v>
      </c>
      <c r="I861" s="26" t="s">
        <v>27</v>
      </c>
      <c r="J861" s="351" t="s">
        <v>7497</v>
      </c>
      <c r="K861" s="27"/>
      <c r="L861" s="26" t="s">
        <v>65</v>
      </c>
      <c r="M861" s="27" t="s">
        <v>38</v>
      </c>
      <c r="N861" s="26" t="s">
        <v>4746</v>
      </c>
      <c r="O861" s="26" t="s">
        <v>4746</v>
      </c>
      <c r="P861" s="35"/>
      <c r="Q861" s="26" t="s">
        <v>56</v>
      </c>
      <c r="R861" s="26" t="s">
        <v>42</v>
      </c>
      <c r="S861" s="27" t="s">
        <v>3566</v>
      </c>
      <c r="T861" s="35"/>
      <c r="U861" s="26"/>
      <c r="V861" s="26"/>
      <c r="W861" s="26">
        <v>5.0</v>
      </c>
      <c r="X861" s="26"/>
    </row>
    <row r="862" hidden="1">
      <c r="A862" s="26">
        <v>862.0</v>
      </c>
      <c r="B862" s="188">
        <v>46194.0</v>
      </c>
      <c r="C862" s="26" t="s">
        <v>47</v>
      </c>
      <c r="D862" s="26" t="s">
        <v>48</v>
      </c>
      <c r="E862" s="27" t="s">
        <v>7498</v>
      </c>
      <c r="F862" s="21">
        <v>5.98722404E8</v>
      </c>
      <c r="G862" s="26" t="s">
        <v>4740</v>
      </c>
      <c r="H862" s="27" t="s">
        <v>41</v>
      </c>
      <c r="I862" s="26" t="s">
        <v>263</v>
      </c>
      <c r="J862" s="209" t="s">
        <v>7817</v>
      </c>
      <c r="K862" s="27" t="s">
        <v>7500</v>
      </c>
      <c r="L862" s="26" t="s">
        <v>36</v>
      </c>
      <c r="M862" s="275" t="s">
        <v>5011</v>
      </c>
      <c r="N862" s="26" t="s">
        <v>4977</v>
      </c>
      <c r="O862" s="26" t="s">
        <v>4746</v>
      </c>
      <c r="P862" s="35">
        <v>0.4166666666666667</v>
      </c>
      <c r="Q862" s="26" t="s">
        <v>56</v>
      </c>
      <c r="R862" s="26" t="s">
        <v>518</v>
      </c>
      <c r="S862" s="27" t="s">
        <v>3765</v>
      </c>
      <c r="T862" s="27" t="s">
        <v>3566</v>
      </c>
      <c r="U862" s="35">
        <v>0.4166666666666667</v>
      </c>
      <c r="V862" s="26" t="s">
        <v>44</v>
      </c>
      <c r="W862" s="26">
        <v>5.0</v>
      </c>
      <c r="X862" s="26" t="s">
        <v>46</v>
      </c>
    </row>
    <row r="863" ht="134.25" hidden="1" customHeight="1">
      <c r="A863" s="26">
        <v>863.0</v>
      </c>
      <c r="B863" s="188">
        <v>46194.0</v>
      </c>
      <c r="C863" s="26" t="s">
        <v>47</v>
      </c>
      <c r="D863" s="26" t="s">
        <v>48</v>
      </c>
      <c r="E863" s="27" t="s">
        <v>7501</v>
      </c>
      <c r="F863" s="36">
        <v>5.3428028E8</v>
      </c>
      <c r="G863" s="26" t="s">
        <v>4740</v>
      </c>
      <c r="H863" s="27" t="s">
        <v>41</v>
      </c>
      <c r="I863" s="26" t="s">
        <v>1751</v>
      </c>
      <c r="J863" s="209" t="s">
        <v>7818</v>
      </c>
      <c r="K863" s="27"/>
      <c r="L863" s="26" t="s">
        <v>36</v>
      </c>
      <c r="M863" s="275" t="s">
        <v>5011</v>
      </c>
      <c r="N863" s="26" t="s">
        <v>4977</v>
      </c>
      <c r="O863" s="26" t="s">
        <v>4746</v>
      </c>
      <c r="P863" s="35">
        <v>0.42569444444444443</v>
      </c>
      <c r="Q863" s="26" t="s">
        <v>40</v>
      </c>
      <c r="R863" s="26" t="s">
        <v>518</v>
      </c>
      <c r="S863" s="27" t="s">
        <v>3765</v>
      </c>
      <c r="T863" s="27" t="s">
        <v>3765</v>
      </c>
      <c r="U863" s="35">
        <v>0.6180555555555556</v>
      </c>
      <c r="V863" s="26" t="s">
        <v>44</v>
      </c>
      <c r="W863" s="26">
        <v>5.0</v>
      </c>
      <c r="X863" s="26" t="s">
        <v>46</v>
      </c>
    </row>
    <row r="864" hidden="1">
      <c r="A864" s="26">
        <v>864.0</v>
      </c>
      <c r="B864" s="188">
        <v>46194.0</v>
      </c>
      <c r="C864" s="26" t="s">
        <v>58</v>
      </c>
      <c r="D864" s="26" t="s">
        <v>60</v>
      </c>
      <c r="E864" s="26" t="s">
        <v>27</v>
      </c>
      <c r="F864" s="21">
        <v>5.00555095E8</v>
      </c>
      <c r="G864" s="26" t="s">
        <v>27</v>
      </c>
      <c r="H864" s="26" t="s">
        <v>27</v>
      </c>
      <c r="I864" s="26" t="s">
        <v>27</v>
      </c>
      <c r="J864" s="351" t="s">
        <v>7503</v>
      </c>
      <c r="K864" s="27"/>
      <c r="L864" s="26" t="s">
        <v>65</v>
      </c>
      <c r="M864" s="27" t="s">
        <v>38</v>
      </c>
      <c r="N864" s="26" t="s">
        <v>4746</v>
      </c>
      <c r="O864" s="26" t="s">
        <v>4746</v>
      </c>
      <c r="P864" s="35"/>
      <c r="Q864" s="26" t="s">
        <v>56</v>
      </c>
      <c r="R864" s="26" t="s">
        <v>42</v>
      </c>
      <c r="S864" s="27" t="s">
        <v>3566</v>
      </c>
      <c r="T864" s="35"/>
      <c r="U864" s="26"/>
      <c r="V864" s="26"/>
      <c r="W864" s="26">
        <v>5.0</v>
      </c>
      <c r="X864" s="26"/>
    </row>
    <row r="865" hidden="1">
      <c r="A865" s="26">
        <v>865.0</v>
      </c>
      <c r="B865" s="188">
        <v>46194.0</v>
      </c>
      <c r="C865" s="26" t="s">
        <v>58</v>
      </c>
      <c r="D865" s="26" t="s">
        <v>57</v>
      </c>
      <c r="E865" s="26" t="s">
        <v>27</v>
      </c>
      <c r="F865" s="21">
        <v>5.54254979E8</v>
      </c>
      <c r="G865" s="26" t="s">
        <v>5151</v>
      </c>
      <c r="H865" s="27" t="s">
        <v>28</v>
      </c>
      <c r="I865" s="26" t="s">
        <v>27</v>
      </c>
      <c r="J865" s="209" t="s">
        <v>7504</v>
      </c>
      <c r="K865" s="27"/>
      <c r="L865" s="26" t="s">
        <v>36</v>
      </c>
      <c r="M865" s="27" t="s">
        <v>7358</v>
      </c>
      <c r="N865" s="26" t="s">
        <v>4746</v>
      </c>
      <c r="O865" s="26" t="s">
        <v>4746</v>
      </c>
      <c r="P865" s="35"/>
      <c r="Q865" s="26" t="s">
        <v>56</v>
      </c>
      <c r="R865" s="26" t="s">
        <v>42</v>
      </c>
      <c r="S865" s="27" t="s">
        <v>3566</v>
      </c>
      <c r="T865" s="35"/>
      <c r="U865" s="26"/>
      <c r="V865" s="26"/>
      <c r="W865" s="26">
        <v>5.0</v>
      </c>
      <c r="X865" s="26"/>
    </row>
    <row r="866" hidden="1">
      <c r="A866" s="26">
        <v>866.0</v>
      </c>
      <c r="B866" s="188">
        <v>46194.0</v>
      </c>
      <c r="C866" s="26" t="s">
        <v>47</v>
      </c>
      <c r="D866" s="26" t="s">
        <v>92</v>
      </c>
      <c r="E866" s="27" t="s">
        <v>4136</v>
      </c>
      <c r="F866" s="21">
        <v>5.70681347E8</v>
      </c>
      <c r="G866" s="26" t="s">
        <v>5023</v>
      </c>
      <c r="H866" s="27" t="s">
        <v>3439</v>
      </c>
      <c r="I866" s="26" t="s">
        <v>735</v>
      </c>
      <c r="J866" s="209" t="s">
        <v>7505</v>
      </c>
      <c r="K866" s="27"/>
      <c r="L866" s="26" t="s">
        <v>36</v>
      </c>
      <c r="M866" s="27" t="s">
        <v>7750</v>
      </c>
      <c r="N866" s="26" t="s">
        <v>4637</v>
      </c>
      <c r="O866" s="26" t="s">
        <v>4746</v>
      </c>
      <c r="P866" s="35">
        <v>0.4375</v>
      </c>
      <c r="Q866" s="26" t="s">
        <v>40</v>
      </c>
      <c r="R866" s="26" t="s">
        <v>42</v>
      </c>
      <c r="S866" s="27" t="s">
        <v>3566</v>
      </c>
      <c r="T866" s="35"/>
      <c r="U866" s="26"/>
      <c r="V866" s="26"/>
      <c r="W866" s="26">
        <v>5.0</v>
      </c>
      <c r="X866" s="26" t="s">
        <v>46</v>
      </c>
    </row>
    <row r="867" hidden="1">
      <c r="A867" s="26">
        <v>867.0</v>
      </c>
      <c r="B867" s="188">
        <v>46194.0</v>
      </c>
      <c r="C867" s="26" t="s">
        <v>47</v>
      </c>
      <c r="D867" s="26" t="s">
        <v>48</v>
      </c>
      <c r="E867" s="27" t="s">
        <v>7506</v>
      </c>
      <c r="F867" s="21">
        <v>5.09029563E8</v>
      </c>
      <c r="G867" s="26" t="s">
        <v>5023</v>
      </c>
      <c r="H867" s="27" t="s">
        <v>2715</v>
      </c>
      <c r="I867" s="26" t="s">
        <v>2716</v>
      </c>
      <c r="J867" s="209" t="s">
        <v>7819</v>
      </c>
      <c r="K867" s="27" t="s">
        <v>7508</v>
      </c>
      <c r="L867" s="26" t="s">
        <v>148</v>
      </c>
      <c r="M867" s="275" t="s">
        <v>4232</v>
      </c>
      <c r="N867" s="26" t="s">
        <v>4977</v>
      </c>
      <c r="O867" s="26" t="s">
        <v>4746</v>
      </c>
      <c r="P867" s="35"/>
      <c r="Q867" s="26" t="s">
        <v>56</v>
      </c>
      <c r="R867" s="26" t="s">
        <v>518</v>
      </c>
      <c r="S867" s="27" t="s">
        <v>3765</v>
      </c>
      <c r="T867" s="35"/>
      <c r="U867" s="26"/>
      <c r="V867" s="26"/>
      <c r="W867" s="26">
        <v>5.0</v>
      </c>
      <c r="X867" s="26" t="s">
        <v>46</v>
      </c>
    </row>
    <row r="868" hidden="1">
      <c r="A868" s="26">
        <v>868.0</v>
      </c>
      <c r="B868" s="188">
        <v>46194.0</v>
      </c>
      <c r="C868" s="26" t="s">
        <v>47</v>
      </c>
      <c r="D868" s="26" t="s">
        <v>48</v>
      </c>
      <c r="E868" s="27" t="s">
        <v>463</v>
      </c>
      <c r="F868" s="21">
        <v>5.53709954E8</v>
      </c>
      <c r="G868" s="26" t="s">
        <v>5023</v>
      </c>
      <c r="H868" s="27" t="s">
        <v>2715</v>
      </c>
      <c r="I868" s="26" t="s">
        <v>2716</v>
      </c>
      <c r="J868" s="209" t="s">
        <v>7509</v>
      </c>
      <c r="K868" s="365" t="s">
        <v>7510</v>
      </c>
      <c r="L868" s="26" t="s">
        <v>148</v>
      </c>
      <c r="M868" s="275" t="s">
        <v>4232</v>
      </c>
      <c r="N868" s="26" t="s">
        <v>4977</v>
      </c>
      <c r="O868" s="26" t="s">
        <v>4746</v>
      </c>
      <c r="P868" s="35"/>
      <c r="Q868" s="26" t="s">
        <v>56</v>
      </c>
      <c r="R868" s="26" t="s">
        <v>518</v>
      </c>
      <c r="S868" s="27" t="s">
        <v>3765</v>
      </c>
      <c r="T868" s="35"/>
      <c r="U868" s="26"/>
      <c r="V868" s="26"/>
      <c r="W868" s="26">
        <v>5.0</v>
      </c>
      <c r="X868" s="26" t="s">
        <v>46</v>
      </c>
    </row>
    <row r="869" hidden="1">
      <c r="A869" s="26">
        <v>869.0</v>
      </c>
      <c r="B869" s="188">
        <v>46194.0</v>
      </c>
      <c r="C869" s="26" t="s">
        <v>47</v>
      </c>
      <c r="D869" s="26" t="s">
        <v>48</v>
      </c>
      <c r="E869" s="27" t="s">
        <v>7511</v>
      </c>
      <c r="F869" s="21">
        <v>5.02068873E8</v>
      </c>
      <c r="G869" s="26" t="s">
        <v>5023</v>
      </c>
      <c r="H869" s="27" t="s">
        <v>2715</v>
      </c>
      <c r="I869" s="26" t="s">
        <v>2716</v>
      </c>
      <c r="J869" s="209" t="s">
        <v>7512</v>
      </c>
      <c r="K869" s="27" t="s">
        <v>7513</v>
      </c>
      <c r="L869" s="26" t="s">
        <v>148</v>
      </c>
      <c r="M869" s="275" t="s">
        <v>4232</v>
      </c>
      <c r="N869" s="26" t="s">
        <v>4977</v>
      </c>
      <c r="O869" s="26" t="s">
        <v>4746</v>
      </c>
      <c r="P869" s="35"/>
      <c r="Q869" s="26" t="s">
        <v>56</v>
      </c>
      <c r="R869" s="26" t="s">
        <v>518</v>
      </c>
      <c r="S869" s="27" t="s">
        <v>3765</v>
      </c>
      <c r="T869" s="35"/>
      <c r="U869" s="26"/>
      <c r="V869" s="26"/>
      <c r="W869" s="26">
        <v>5.0</v>
      </c>
      <c r="X869" s="26" t="s">
        <v>46</v>
      </c>
    </row>
    <row r="870" ht="18.0" hidden="1" customHeight="1">
      <c r="A870" s="26">
        <v>870.0</v>
      </c>
      <c r="B870" s="188">
        <v>46194.0</v>
      </c>
      <c r="C870" s="26" t="s">
        <v>58</v>
      </c>
      <c r="D870" s="26" t="s">
        <v>60</v>
      </c>
      <c r="E870" s="27" t="s">
        <v>7514</v>
      </c>
      <c r="F870" s="21">
        <v>5.9901856E8</v>
      </c>
      <c r="G870" s="26" t="s">
        <v>4740</v>
      </c>
      <c r="H870" s="27" t="s">
        <v>41</v>
      </c>
      <c r="I870" s="26" t="s">
        <v>1751</v>
      </c>
      <c r="J870" s="209" t="s">
        <v>7515</v>
      </c>
      <c r="K870" s="27"/>
      <c r="L870" s="26" t="s">
        <v>36</v>
      </c>
      <c r="M870" s="27" t="s">
        <v>88</v>
      </c>
      <c r="N870" s="26" t="s">
        <v>4746</v>
      </c>
      <c r="O870" s="26" t="s">
        <v>4746</v>
      </c>
      <c r="P870" s="35"/>
      <c r="Q870" s="26" t="s">
        <v>56</v>
      </c>
      <c r="R870" s="26" t="s">
        <v>42</v>
      </c>
      <c r="S870" s="27" t="s">
        <v>3566</v>
      </c>
      <c r="T870" s="35"/>
      <c r="U870" s="26"/>
      <c r="V870" s="26"/>
      <c r="W870" s="26">
        <v>5.0</v>
      </c>
      <c r="X870" s="26"/>
    </row>
    <row r="871" hidden="1">
      <c r="A871" s="26">
        <v>871.0</v>
      </c>
      <c r="B871" s="188">
        <v>46194.0</v>
      </c>
      <c r="C871" s="26" t="s">
        <v>47</v>
      </c>
      <c r="D871" s="26" t="s">
        <v>48</v>
      </c>
      <c r="E871" s="26" t="s">
        <v>7516</v>
      </c>
      <c r="F871" s="21">
        <v>5.56897014E8</v>
      </c>
      <c r="G871" s="26" t="s">
        <v>5023</v>
      </c>
      <c r="H871" s="27" t="s">
        <v>2715</v>
      </c>
      <c r="I871" s="26" t="s">
        <v>2716</v>
      </c>
      <c r="J871" s="209" t="s">
        <v>7517</v>
      </c>
      <c r="K871" s="27" t="s">
        <v>7518</v>
      </c>
      <c r="L871" s="26" t="s">
        <v>148</v>
      </c>
      <c r="M871" s="275" t="s">
        <v>4232</v>
      </c>
      <c r="N871" s="26" t="s">
        <v>4977</v>
      </c>
      <c r="O871" s="26" t="s">
        <v>4746</v>
      </c>
      <c r="P871" s="35"/>
      <c r="Q871" s="26" t="s">
        <v>56</v>
      </c>
      <c r="R871" s="26" t="s">
        <v>518</v>
      </c>
      <c r="S871" s="27" t="s">
        <v>3765</v>
      </c>
      <c r="T871" s="35"/>
      <c r="U871" s="26"/>
      <c r="V871" s="26"/>
      <c r="W871" s="26">
        <v>5.0</v>
      </c>
      <c r="X871" s="26" t="s">
        <v>46</v>
      </c>
    </row>
    <row r="872" hidden="1">
      <c r="A872" s="26">
        <v>872.0</v>
      </c>
      <c r="B872" s="188">
        <v>46194.0</v>
      </c>
      <c r="C872" s="26" t="s">
        <v>47</v>
      </c>
      <c r="D872" s="26" t="s">
        <v>92</v>
      </c>
      <c r="E872" s="27" t="s">
        <v>276</v>
      </c>
      <c r="F872" s="21">
        <v>5.65867172E8</v>
      </c>
      <c r="G872" s="26" t="s">
        <v>5151</v>
      </c>
      <c r="H872" s="27" t="s">
        <v>28</v>
      </c>
      <c r="I872" s="26" t="s">
        <v>7519</v>
      </c>
      <c r="J872" s="209" t="s">
        <v>7520</v>
      </c>
      <c r="K872" s="27"/>
      <c r="L872" s="26" t="s">
        <v>148</v>
      </c>
      <c r="M872" s="27" t="s">
        <v>7750</v>
      </c>
      <c r="N872" s="26" t="s">
        <v>4637</v>
      </c>
      <c r="O872" s="26" t="s">
        <v>4746</v>
      </c>
      <c r="P872" s="35"/>
      <c r="Q872" s="26" t="s">
        <v>40</v>
      </c>
      <c r="R872" s="26" t="s">
        <v>42</v>
      </c>
      <c r="S872" s="27" t="s">
        <v>3566</v>
      </c>
      <c r="T872" s="35"/>
      <c r="U872" s="26"/>
      <c r="V872" s="26"/>
      <c r="W872" s="26">
        <v>5.0</v>
      </c>
      <c r="X872" s="26" t="s">
        <v>46</v>
      </c>
    </row>
    <row r="873" hidden="1">
      <c r="A873" s="26">
        <v>873.0</v>
      </c>
      <c r="B873" s="188">
        <v>46194.0</v>
      </c>
      <c r="C873" s="26" t="s">
        <v>21</v>
      </c>
      <c r="D873" s="26" t="s">
        <v>57</v>
      </c>
      <c r="E873" s="27" t="s">
        <v>7521</v>
      </c>
      <c r="F873" s="21">
        <v>5.47949467E8</v>
      </c>
      <c r="G873" s="26" t="s">
        <v>4740</v>
      </c>
      <c r="H873" s="27" t="s">
        <v>79</v>
      </c>
      <c r="I873" s="26" t="s">
        <v>27</v>
      </c>
      <c r="J873" s="209" t="s">
        <v>7522</v>
      </c>
      <c r="K873" s="27" t="s">
        <v>2278</v>
      </c>
      <c r="L873" s="26" t="s">
        <v>36</v>
      </c>
      <c r="M873" s="27" t="s">
        <v>1399</v>
      </c>
      <c r="N873" s="26" t="s">
        <v>4746</v>
      </c>
      <c r="O873" s="26" t="s">
        <v>4746</v>
      </c>
      <c r="P873" s="35"/>
      <c r="Q873" s="26" t="s">
        <v>56</v>
      </c>
      <c r="R873" s="26" t="s">
        <v>42</v>
      </c>
      <c r="S873" s="27" t="s">
        <v>3566</v>
      </c>
      <c r="T873" s="35"/>
      <c r="U873" s="26"/>
      <c r="V873" s="26"/>
      <c r="W873" s="26">
        <v>5.0</v>
      </c>
      <c r="X873" s="26"/>
    </row>
    <row r="874">
      <c r="A874" s="26">
        <v>874.0</v>
      </c>
      <c r="B874" s="188">
        <v>46194.0</v>
      </c>
      <c r="C874" s="26" t="s">
        <v>21</v>
      </c>
      <c r="D874" s="26" t="s">
        <v>48</v>
      </c>
      <c r="E874" s="27" t="s">
        <v>7523</v>
      </c>
      <c r="F874" s="21">
        <v>5.56507159E8</v>
      </c>
      <c r="G874" s="26" t="s">
        <v>4740</v>
      </c>
      <c r="H874" s="27" t="s">
        <v>41</v>
      </c>
      <c r="I874" s="26" t="s">
        <v>27</v>
      </c>
      <c r="J874" s="209" t="s">
        <v>7524</v>
      </c>
      <c r="K874" s="27" t="s">
        <v>6001</v>
      </c>
      <c r="L874" s="26" t="s">
        <v>36</v>
      </c>
      <c r="M874" s="27" t="s">
        <v>208</v>
      </c>
      <c r="N874" s="26" t="s">
        <v>49</v>
      </c>
      <c r="O874" s="26" t="s">
        <v>4746</v>
      </c>
      <c r="P874" s="35"/>
      <c r="Q874" s="26" t="s">
        <v>56</v>
      </c>
      <c r="R874" s="26" t="s">
        <v>518</v>
      </c>
      <c r="S874" s="27" t="s">
        <v>3566</v>
      </c>
      <c r="T874" s="35"/>
      <c r="U874" s="26"/>
      <c r="V874" s="26"/>
      <c r="W874" s="26">
        <v>5.0</v>
      </c>
      <c r="X874" s="26"/>
    </row>
    <row r="875" hidden="1">
      <c r="A875" s="26">
        <v>875.0</v>
      </c>
      <c r="B875" s="188">
        <v>46194.0</v>
      </c>
      <c r="C875" s="26" t="s">
        <v>47</v>
      </c>
      <c r="D875" s="26" t="s">
        <v>367</v>
      </c>
      <c r="E875" s="27" t="s">
        <v>7526</v>
      </c>
      <c r="F875" s="21">
        <v>5.67275566E8</v>
      </c>
      <c r="G875" s="26" t="s">
        <v>4740</v>
      </c>
      <c r="H875" s="27" t="s">
        <v>79</v>
      </c>
      <c r="I875" s="26" t="s">
        <v>142</v>
      </c>
      <c r="J875" s="209" t="s">
        <v>7527</v>
      </c>
      <c r="K875" s="27" t="s">
        <v>7528</v>
      </c>
      <c r="L875" s="26" t="s">
        <v>148</v>
      </c>
      <c r="M875" s="27" t="s">
        <v>346</v>
      </c>
      <c r="N875" s="26" t="s">
        <v>4917</v>
      </c>
      <c r="O875" s="26" t="s">
        <v>4746</v>
      </c>
      <c r="P875" s="35"/>
      <c r="Q875" s="26" t="s">
        <v>56</v>
      </c>
      <c r="R875" s="26" t="s">
        <v>518</v>
      </c>
      <c r="S875" s="27" t="s">
        <v>3566</v>
      </c>
      <c r="T875" s="35"/>
      <c r="U875" s="26"/>
      <c r="V875" s="26"/>
      <c r="W875" s="26">
        <v>5.0</v>
      </c>
      <c r="X875" s="26" t="s">
        <v>46</v>
      </c>
    </row>
    <row r="876" hidden="1">
      <c r="A876" s="26">
        <v>876.0</v>
      </c>
      <c r="B876" s="188">
        <v>46194.0</v>
      </c>
      <c r="C876" s="26" t="s">
        <v>47</v>
      </c>
      <c r="D876" s="26" t="s">
        <v>138</v>
      </c>
      <c r="E876" s="27" t="s">
        <v>118</v>
      </c>
      <c r="F876" s="21">
        <v>5.62282501E8</v>
      </c>
      <c r="G876" s="26" t="s">
        <v>4740</v>
      </c>
      <c r="H876" s="27" t="s">
        <v>79</v>
      </c>
      <c r="I876" s="26" t="s">
        <v>2109</v>
      </c>
      <c r="J876" s="209" t="s">
        <v>7530</v>
      </c>
      <c r="K876" s="27" t="s">
        <v>7531</v>
      </c>
      <c r="L876" s="26" t="s">
        <v>148</v>
      </c>
      <c r="M876" s="308" t="s">
        <v>183</v>
      </c>
      <c r="N876" s="26" t="s">
        <v>4917</v>
      </c>
      <c r="O876" s="26" t="s">
        <v>4746</v>
      </c>
      <c r="P876" s="35"/>
      <c r="Q876" s="26" t="s">
        <v>56</v>
      </c>
      <c r="R876" s="26" t="s">
        <v>518</v>
      </c>
      <c r="S876" s="27" t="s">
        <v>3566</v>
      </c>
      <c r="T876" s="35"/>
      <c r="U876" s="26"/>
      <c r="V876" s="26"/>
      <c r="W876" s="26">
        <v>5.0</v>
      </c>
      <c r="X876" s="26" t="s">
        <v>46</v>
      </c>
    </row>
    <row r="877" hidden="1">
      <c r="A877" s="26">
        <v>877.0</v>
      </c>
      <c r="B877" s="188">
        <v>46194.0</v>
      </c>
      <c r="C877" s="26" t="s">
        <v>47</v>
      </c>
      <c r="D877" s="26" t="s">
        <v>367</v>
      </c>
      <c r="E877" s="27" t="s">
        <v>108</v>
      </c>
      <c r="F877" s="21">
        <v>5.66922356E8</v>
      </c>
      <c r="G877" s="26" t="s">
        <v>4740</v>
      </c>
      <c r="H877" s="27" t="s">
        <v>79</v>
      </c>
      <c r="I877" s="26" t="s">
        <v>451</v>
      </c>
      <c r="J877" s="209" t="s">
        <v>7532</v>
      </c>
      <c r="K877" s="27" t="s">
        <v>7533</v>
      </c>
      <c r="L877" s="26" t="s">
        <v>148</v>
      </c>
      <c r="M877" s="27" t="s">
        <v>346</v>
      </c>
      <c r="N877" s="26" t="s">
        <v>4917</v>
      </c>
      <c r="O877" s="26" t="s">
        <v>4746</v>
      </c>
      <c r="P877" s="35"/>
      <c r="Q877" s="26" t="s">
        <v>56</v>
      </c>
      <c r="R877" s="26" t="s">
        <v>518</v>
      </c>
      <c r="S877" s="27" t="s">
        <v>3566</v>
      </c>
      <c r="T877" s="35"/>
      <c r="U877" s="26"/>
      <c r="V877" s="26"/>
      <c r="W877" s="26">
        <v>5.0</v>
      </c>
      <c r="X877" s="26" t="s">
        <v>46</v>
      </c>
    </row>
    <row r="878" hidden="1">
      <c r="A878" s="26">
        <v>878.0</v>
      </c>
      <c r="B878" s="188">
        <v>46194.0</v>
      </c>
      <c r="C878" s="26" t="s">
        <v>58</v>
      </c>
      <c r="D878" s="26" t="s">
        <v>57</v>
      </c>
      <c r="E878" s="27" t="s">
        <v>1310</v>
      </c>
      <c r="F878" s="21">
        <v>5.09322833E8</v>
      </c>
      <c r="G878" s="26" t="s">
        <v>5151</v>
      </c>
      <c r="H878" s="27" t="s">
        <v>28</v>
      </c>
      <c r="I878" s="26" t="s">
        <v>27</v>
      </c>
      <c r="J878" s="209" t="s">
        <v>7534</v>
      </c>
      <c r="K878" s="27"/>
      <c r="L878" s="26" t="s">
        <v>62</v>
      </c>
      <c r="M878" s="27" t="s">
        <v>7358</v>
      </c>
      <c r="N878" s="26" t="s">
        <v>4746</v>
      </c>
      <c r="O878" s="26" t="s">
        <v>4746</v>
      </c>
      <c r="P878" s="35"/>
      <c r="Q878" s="26" t="s">
        <v>56</v>
      </c>
      <c r="R878" s="26" t="s">
        <v>42</v>
      </c>
      <c r="S878" s="27" t="s">
        <v>3566</v>
      </c>
      <c r="T878" s="35"/>
      <c r="U878" s="26"/>
      <c r="V878" s="26"/>
      <c r="W878" s="26">
        <v>5.0</v>
      </c>
      <c r="X878" s="26"/>
    </row>
    <row r="879" hidden="1">
      <c r="A879" s="26">
        <v>879.0</v>
      </c>
      <c r="B879" s="188">
        <v>46194.0</v>
      </c>
      <c r="C879" s="26" t="s">
        <v>58</v>
      </c>
      <c r="D879" s="26" t="s">
        <v>60</v>
      </c>
      <c r="E879" s="27" t="s">
        <v>5055</v>
      </c>
      <c r="F879" s="21">
        <v>5.0851991E8</v>
      </c>
      <c r="G879" s="26" t="s">
        <v>4740</v>
      </c>
      <c r="H879" s="27" t="s">
        <v>79</v>
      </c>
      <c r="I879" s="26" t="s">
        <v>27</v>
      </c>
      <c r="J879" s="209" t="s">
        <v>7535</v>
      </c>
      <c r="K879" s="27"/>
      <c r="L879" s="26" t="s">
        <v>36</v>
      </c>
      <c r="M879" s="27" t="s">
        <v>88</v>
      </c>
      <c r="N879" s="26" t="s">
        <v>4746</v>
      </c>
      <c r="O879" s="26" t="s">
        <v>4746</v>
      </c>
      <c r="P879" s="35"/>
      <c r="Q879" s="26" t="s">
        <v>56</v>
      </c>
      <c r="R879" s="26" t="s">
        <v>42</v>
      </c>
      <c r="S879" s="27" t="s">
        <v>3566</v>
      </c>
      <c r="T879" s="35"/>
      <c r="U879" s="26"/>
      <c r="V879" s="26"/>
      <c r="W879" s="26">
        <v>5.0</v>
      </c>
      <c r="X879" s="26"/>
    </row>
    <row r="880" hidden="1">
      <c r="A880" s="26">
        <v>880.0</v>
      </c>
      <c r="B880" s="188">
        <v>46194.0</v>
      </c>
      <c r="C880" s="26" t="s">
        <v>58</v>
      </c>
      <c r="D880" s="26" t="s">
        <v>60</v>
      </c>
      <c r="E880" s="26" t="s">
        <v>27</v>
      </c>
      <c r="F880" s="21">
        <v>5.92793462E8</v>
      </c>
      <c r="G880" s="26" t="s">
        <v>27</v>
      </c>
      <c r="H880" s="26" t="s">
        <v>27</v>
      </c>
      <c r="I880" s="26" t="s">
        <v>27</v>
      </c>
      <c r="J880" s="209" t="s">
        <v>7536</v>
      </c>
      <c r="K880" s="27" t="s">
        <v>1207</v>
      </c>
      <c r="L880" s="26" t="s">
        <v>36</v>
      </c>
      <c r="M880" s="27" t="s">
        <v>88</v>
      </c>
      <c r="N880" s="26" t="s">
        <v>4746</v>
      </c>
      <c r="O880" s="26" t="s">
        <v>4746</v>
      </c>
      <c r="P880" s="35"/>
      <c r="Q880" s="26" t="s">
        <v>56</v>
      </c>
      <c r="R880" s="26" t="s">
        <v>42</v>
      </c>
      <c r="S880" s="27" t="s">
        <v>3566</v>
      </c>
      <c r="T880" s="35"/>
      <c r="U880" s="26"/>
      <c r="V880" s="26"/>
      <c r="W880" s="26">
        <v>5.0</v>
      </c>
      <c r="X880" s="26"/>
    </row>
    <row r="881" hidden="1">
      <c r="A881" s="26">
        <v>881.0</v>
      </c>
      <c r="B881" s="188">
        <v>46194.0</v>
      </c>
      <c r="C881" s="26" t="s">
        <v>21</v>
      </c>
      <c r="D881" s="26" t="s">
        <v>22</v>
      </c>
      <c r="E881" s="27" t="s">
        <v>7537</v>
      </c>
      <c r="F881" s="21">
        <v>5.95377071E8</v>
      </c>
      <c r="G881" s="26" t="s">
        <v>4852</v>
      </c>
      <c r="H881" s="27" t="s">
        <v>1452</v>
      </c>
      <c r="I881" s="26" t="s">
        <v>27</v>
      </c>
      <c r="J881" s="209" t="s">
        <v>7538</v>
      </c>
      <c r="K881" s="27"/>
      <c r="L881" s="26" t="s">
        <v>62</v>
      </c>
      <c r="M881" s="27" t="s">
        <v>1389</v>
      </c>
      <c r="N881" s="26" t="s">
        <v>4870</v>
      </c>
      <c r="O881" s="26" t="s">
        <v>4746</v>
      </c>
      <c r="P881" s="35"/>
      <c r="Q881" s="26" t="s">
        <v>40</v>
      </c>
      <c r="R881" s="26" t="s">
        <v>301</v>
      </c>
      <c r="S881" s="27" t="s">
        <v>3566</v>
      </c>
      <c r="T881" s="35"/>
      <c r="U881" s="35"/>
      <c r="V881" s="26"/>
      <c r="W881" s="26">
        <v>5.0</v>
      </c>
      <c r="X881" s="26" t="s">
        <v>46</v>
      </c>
    </row>
    <row r="882" hidden="1">
      <c r="A882" s="26">
        <v>882.0</v>
      </c>
      <c r="B882" s="188">
        <v>46194.0</v>
      </c>
      <c r="C882" s="26" t="s">
        <v>21</v>
      </c>
      <c r="D882" s="26" t="s">
        <v>66</v>
      </c>
      <c r="E882" s="27" t="s">
        <v>7539</v>
      </c>
      <c r="F882" s="21">
        <v>5.73801101E8</v>
      </c>
      <c r="G882" s="26" t="s">
        <v>27</v>
      </c>
      <c r="H882" s="26" t="s">
        <v>27</v>
      </c>
      <c r="I882" s="26" t="s">
        <v>27</v>
      </c>
      <c r="J882" s="209" t="s">
        <v>7540</v>
      </c>
      <c r="K882" s="27"/>
      <c r="L882" s="26" t="s">
        <v>62</v>
      </c>
      <c r="M882" s="27" t="s">
        <v>208</v>
      </c>
      <c r="N882" s="26" t="s">
        <v>49</v>
      </c>
      <c r="O882" s="26" t="s">
        <v>4746</v>
      </c>
      <c r="P882" s="35"/>
      <c r="Q882" s="26" t="s">
        <v>56</v>
      </c>
      <c r="R882" s="26" t="s">
        <v>301</v>
      </c>
      <c r="S882" s="27" t="s">
        <v>3566</v>
      </c>
      <c r="T882" s="35"/>
      <c r="U882" s="26"/>
      <c r="V882" s="26"/>
      <c r="W882" s="26">
        <v>5.0</v>
      </c>
      <c r="X882" s="26"/>
    </row>
    <row r="883" hidden="1">
      <c r="A883" s="26">
        <v>883.0</v>
      </c>
      <c r="B883" s="188">
        <v>46194.0</v>
      </c>
      <c r="C883" s="26" t="s">
        <v>58</v>
      </c>
      <c r="D883" s="26" t="s">
        <v>60</v>
      </c>
      <c r="E883" s="26" t="s">
        <v>27</v>
      </c>
      <c r="F883" s="21">
        <v>5.04700477E8</v>
      </c>
      <c r="G883" s="26" t="s">
        <v>4740</v>
      </c>
      <c r="H883" s="27" t="s">
        <v>79</v>
      </c>
      <c r="I883" s="26" t="s">
        <v>27</v>
      </c>
      <c r="J883" s="209" t="s">
        <v>7541</v>
      </c>
      <c r="K883" s="27" t="s">
        <v>7542</v>
      </c>
      <c r="L883" s="26" t="s">
        <v>62</v>
      </c>
      <c r="M883" s="27" t="s">
        <v>88</v>
      </c>
      <c r="N883" s="26" t="s">
        <v>4746</v>
      </c>
      <c r="O883" s="26" t="s">
        <v>4746</v>
      </c>
      <c r="P883" s="35"/>
      <c r="Q883" s="26" t="s">
        <v>56</v>
      </c>
      <c r="R883" s="26" t="s">
        <v>42</v>
      </c>
      <c r="S883" s="27" t="s">
        <v>3566</v>
      </c>
      <c r="T883" s="35"/>
      <c r="U883" s="26"/>
      <c r="V883" s="26"/>
      <c r="W883" s="26">
        <v>5.0</v>
      </c>
      <c r="X883" s="26"/>
    </row>
    <row r="884" hidden="1">
      <c r="A884" s="26">
        <v>884.0</v>
      </c>
      <c r="B884" s="188">
        <v>46194.0</v>
      </c>
      <c r="C884" s="26" t="s">
        <v>58</v>
      </c>
      <c r="D884" s="26" t="s">
        <v>60</v>
      </c>
      <c r="E884" s="27" t="s">
        <v>7543</v>
      </c>
      <c r="F884" s="21" t="s">
        <v>27</v>
      </c>
      <c r="G884" s="26" t="s">
        <v>4740</v>
      </c>
      <c r="H884" s="27" t="s">
        <v>41</v>
      </c>
      <c r="I884" s="26" t="s">
        <v>27</v>
      </c>
      <c r="J884" s="209" t="s">
        <v>7544</v>
      </c>
      <c r="K884" s="27"/>
      <c r="L884" s="26" t="s">
        <v>321</v>
      </c>
      <c r="M884" s="27" t="s">
        <v>88</v>
      </c>
      <c r="N884" s="26" t="s">
        <v>49</v>
      </c>
      <c r="O884" s="26" t="s">
        <v>49</v>
      </c>
      <c r="P884" s="35"/>
      <c r="Q884" s="26" t="s">
        <v>56</v>
      </c>
      <c r="R884" s="26" t="s">
        <v>42</v>
      </c>
      <c r="S884" s="27" t="s">
        <v>3566</v>
      </c>
      <c r="T884" s="35"/>
      <c r="U884" s="26"/>
      <c r="V884" s="26"/>
      <c r="W884" s="26">
        <v>5.0</v>
      </c>
      <c r="X884" s="26"/>
    </row>
    <row r="885" ht="27.75" hidden="1" customHeight="1">
      <c r="A885" s="26">
        <v>885.0</v>
      </c>
      <c r="B885" s="188">
        <v>46194.0</v>
      </c>
      <c r="C885" s="26" t="s">
        <v>21</v>
      </c>
      <c r="D885" s="26" t="s">
        <v>22</v>
      </c>
      <c r="E885" s="27" t="s">
        <v>7545</v>
      </c>
      <c r="F885" s="21">
        <v>5.45468406E8</v>
      </c>
      <c r="G885" s="26" t="s">
        <v>4740</v>
      </c>
      <c r="H885" s="27" t="s">
        <v>71</v>
      </c>
      <c r="I885" s="26" t="s">
        <v>27</v>
      </c>
      <c r="J885" s="209" t="s">
        <v>7546</v>
      </c>
      <c r="K885" s="27"/>
      <c r="L885" s="26" t="s">
        <v>62</v>
      </c>
      <c r="M885" s="27" t="s">
        <v>4868</v>
      </c>
      <c r="N885" s="26" t="s">
        <v>4870</v>
      </c>
      <c r="O885" s="26" t="s">
        <v>49</v>
      </c>
      <c r="P885" s="35"/>
      <c r="Q885" s="26" t="s">
        <v>40</v>
      </c>
      <c r="R885" s="26" t="s">
        <v>42</v>
      </c>
      <c r="S885" s="27" t="s">
        <v>3566</v>
      </c>
      <c r="T885" s="35"/>
      <c r="U885" s="35"/>
      <c r="V885" s="26"/>
      <c r="W885" s="26">
        <v>5.0</v>
      </c>
      <c r="X885" s="26" t="s">
        <v>46</v>
      </c>
    </row>
    <row r="886" hidden="1">
      <c r="A886" s="26">
        <v>886.0</v>
      </c>
      <c r="B886" s="188">
        <v>46194.0</v>
      </c>
      <c r="C886" s="26" t="s">
        <v>21</v>
      </c>
      <c r="D886" s="26" t="s">
        <v>22</v>
      </c>
      <c r="E886" s="27" t="s">
        <v>7547</v>
      </c>
      <c r="F886" s="21">
        <v>5.09688663E8</v>
      </c>
      <c r="G886" s="26" t="s">
        <v>5151</v>
      </c>
      <c r="H886" s="27" t="s">
        <v>28</v>
      </c>
      <c r="I886" s="26" t="s">
        <v>27</v>
      </c>
      <c r="J886" s="209" t="s">
        <v>7548</v>
      </c>
      <c r="K886" s="27"/>
      <c r="L886" s="26" t="s">
        <v>62</v>
      </c>
      <c r="M886" s="27" t="s">
        <v>1389</v>
      </c>
      <c r="N886" s="26" t="s">
        <v>4870</v>
      </c>
      <c r="O886" s="26" t="s">
        <v>49</v>
      </c>
      <c r="P886" s="35"/>
      <c r="Q886" s="26" t="s">
        <v>40</v>
      </c>
      <c r="R886" s="26" t="s">
        <v>42</v>
      </c>
      <c r="S886" s="27" t="s">
        <v>3566</v>
      </c>
      <c r="T886" s="35"/>
      <c r="U886" s="35"/>
      <c r="V886" s="26"/>
      <c r="W886" s="26">
        <v>5.0</v>
      </c>
      <c r="X886" s="26" t="s">
        <v>46</v>
      </c>
    </row>
    <row r="887" hidden="1">
      <c r="A887" s="26">
        <v>887.0</v>
      </c>
      <c r="B887" s="188">
        <v>46194.0</v>
      </c>
      <c r="C887" s="26" t="s">
        <v>47</v>
      </c>
      <c r="D887" s="26" t="s">
        <v>92</v>
      </c>
      <c r="E887" s="27" t="s">
        <v>4136</v>
      </c>
      <c r="F887" s="21">
        <v>5.33889741E8</v>
      </c>
      <c r="G887" s="26" t="s">
        <v>5023</v>
      </c>
      <c r="H887" s="27" t="s">
        <v>3439</v>
      </c>
      <c r="I887" s="462" t="s">
        <v>735</v>
      </c>
      <c r="J887" s="209" t="s">
        <v>7549</v>
      </c>
      <c r="K887" s="27"/>
      <c r="L887" s="26" t="s">
        <v>62</v>
      </c>
      <c r="M887" s="27" t="s">
        <v>7750</v>
      </c>
      <c r="N887" s="26" t="s">
        <v>4637</v>
      </c>
      <c r="O887" s="26" t="s">
        <v>49</v>
      </c>
      <c r="P887" s="35"/>
      <c r="Q887" s="26" t="s">
        <v>40</v>
      </c>
      <c r="R887" s="26" t="s">
        <v>42</v>
      </c>
      <c r="S887" s="27" t="s">
        <v>3566</v>
      </c>
      <c r="T887" s="35"/>
      <c r="U887" s="26"/>
      <c r="V887" s="26"/>
      <c r="W887" s="26">
        <v>5.0</v>
      </c>
      <c r="X887" s="26" t="s">
        <v>46</v>
      </c>
    </row>
    <row r="888" ht="20.25" hidden="1" customHeight="1">
      <c r="A888" s="26">
        <v>888.0</v>
      </c>
      <c r="B888" s="188">
        <v>46194.0</v>
      </c>
      <c r="C888" s="26" t="s">
        <v>21</v>
      </c>
      <c r="D888" s="26" t="s">
        <v>22</v>
      </c>
      <c r="E888" s="27" t="s">
        <v>1297</v>
      </c>
      <c r="F888" s="21">
        <v>5.82180257E8</v>
      </c>
      <c r="G888" s="26" t="s">
        <v>27</v>
      </c>
      <c r="H888" s="26" t="s">
        <v>27</v>
      </c>
      <c r="I888" s="26" t="s">
        <v>27</v>
      </c>
      <c r="J888" s="209" t="s">
        <v>7550</v>
      </c>
      <c r="K888" s="179"/>
      <c r="L888" s="26" t="s">
        <v>62</v>
      </c>
      <c r="M888" s="27" t="s">
        <v>4868</v>
      </c>
      <c r="N888" s="26" t="s">
        <v>4870</v>
      </c>
      <c r="O888" s="26" t="s">
        <v>49</v>
      </c>
      <c r="P888" s="35"/>
      <c r="Q888" s="26" t="s">
        <v>40</v>
      </c>
      <c r="R888" s="26" t="s">
        <v>42</v>
      </c>
      <c r="S888" s="27" t="s">
        <v>3566</v>
      </c>
      <c r="T888" s="35"/>
      <c r="U888" s="35"/>
      <c r="V888" s="26"/>
      <c r="W888" s="26">
        <v>5.0</v>
      </c>
      <c r="X888" s="26" t="s">
        <v>46</v>
      </c>
    </row>
    <row r="889" ht="40.5" hidden="1" customHeight="1">
      <c r="A889" s="26">
        <v>889.0</v>
      </c>
      <c r="B889" s="188">
        <v>46194.0</v>
      </c>
      <c r="C889" s="26" t="s">
        <v>47</v>
      </c>
      <c r="D889" s="26" t="s">
        <v>60</v>
      </c>
      <c r="E889" s="27" t="s">
        <v>85</v>
      </c>
      <c r="F889" s="21">
        <v>5.53160009E8</v>
      </c>
      <c r="G889" s="26" t="s">
        <v>4769</v>
      </c>
      <c r="H889" s="27" t="s">
        <v>152</v>
      </c>
      <c r="I889" s="26" t="s">
        <v>272</v>
      </c>
      <c r="J889" s="209" t="s">
        <v>7820</v>
      </c>
      <c r="K889" s="27"/>
      <c r="L889" s="26" t="s">
        <v>62</v>
      </c>
      <c r="M889" s="27" t="s">
        <v>38</v>
      </c>
      <c r="N889" s="26" t="s">
        <v>49</v>
      </c>
      <c r="O889" s="26" t="s">
        <v>49</v>
      </c>
      <c r="P889" s="35"/>
      <c r="Q889" s="26" t="s">
        <v>56</v>
      </c>
      <c r="R889" s="26" t="s">
        <v>42</v>
      </c>
      <c r="S889" s="27" t="s">
        <v>3566</v>
      </c>
      <c r="T889" s="35"/>
      <c r="U889" s="26"/>
      <c r="V889" s="26"/>
      <c r="W889" s="26">
        <v>5.0</v>
      </c>
      <c r="X889" s="26"/>
    </row>
    <row r="890" ht="177.75" hidden="1" customHeight="1">
      <c r="A890" s="26">
        <v>890.0</v>
      </c>
      <c r="B890" s="188">
        <v>46194.0</v>
      </c>
      <c r="C890" s="26" t="s">
        <v>47</v>
      </c>
      <c r="D890" s="26" t="s">
        <v>48</v>
      </c>
      <c r="E890" s="27" t="s">
        <v>1297</v>
      </c>
      <c r="F890" s="21">
        <v>5.32360112E8</v>
      </c>
      <c r="G890" s="26" t="s">
        <v>4769</v>
      </c>
      <c r="H890" s="27" t="s">
        <v>333</v>
      </c>
      <c r="I890" s="26" t="s">
        <v>650</v>
      </c>
      <c r="J890" s="209" t="s">
        <v>7552</v>
      </c>
      <c r="K890" s="27"/>
      <c r="L890" s="26" t="s">
        <v>62</v>
      </c>
      <c r="M890" s="275" t="s">
        <v>3764</v>
      </c>
      <c r="N890" s="26" t="s">
        <v>4977</v>
      </c>
      <c r="O890" s="26" t="s">
        <v>49</v>
      </c>
      <c r="P890" s="35">
        <v>0.35625</v>
      </c>
      <c r="Q890" s="26" t="s">
        <v>40</v>
      </c>
      <c r="R890" s="26" t="s">
        <v>518</v>
      </c>
      <c r="S890" s="27" t="s">
        <v>3765</v>
      </c>
      <c r="T890" s="35"/>
      <c r="U890" s="26"/>
      <c r="V890" s="26"/>
      <c r="W890" s="26">
        <v>5.0</v>
      </c>
      <c r="X890" s="26" t="s">
        <v>46</v>
      </c>
    </row>
    <row r="891" hidden="1">
      <c r="A891" s="26">
        <v>891.0</v>
      </c>
      <c r="B891" s="188">
        <v>46194.0</v>
      </c>
      <c r="C891" s="26" t="s">
        <v>58</v>
      </c>
      <c r="D891" s="26" t="s">
        <v>60</v>
      </c>
      <c r="E891" s="27" t="s">
        <v>1297</v>
      </c>
      <c r="F891" s="36">
        <v>5.51955184E8</v>
      </c>
      <c r="G891" s="26" t="s">
        <v>27</v>
      </c>
      <c r="H891" s="26" t="s">
        <v>27</v>
      </c>
      <c r="I891" s="26" t="s">
        <v>27</v>
      </c>
      <c r="J891" s="209" t="s">
        <v>7553</v>
      </c>
      <c r="K891" s="27"/>
      <c r="L891" s="26" t="s">
        <v>62</v>
      </c>
      <c r="M891" s="27" t="s">
        <v>88</v>
      </c>
      <c r="N891" s="26" t="s">
        <v>49</v>
      </c>
      <c r="O891" s="26" t="s">
        <v>49</v>
      </c>
      <c r="P891" s="35"/>
      <c r="Q891" s="26" t="s">
        <v>56</v>
      </c>
      <c r="R891" s="26" t="s">
        <v>42</v>
      </c>
      <c r="S891" s="27" t="s">
        <v>3566</v>
      </c>
      <c r="T891" s="27"/>
      <c r="U891" s="35"/>
      <c r="V891" s="26"/>
      <c r="W891" s="26">
        <v>5.0</v>
      </c>
      <c r="X891" s="26"/>
    </row>
    <row r="892" hidden="1">
      <c r="A892" s="26">
        <v>892.0</v>
      </c>
      <c r="B892" s="188">
        <v>46194.0</v>
      </c>
      <c r="C892" s="26" t="s">
        <v>21</v>
      </c>
      <c r="D892" s="26" t="s">
        <v>24</v>
      </c>
      <c r="E892" s="27" t="s">
        <v>6310</v>
      </c>
      <c r="F892" s="21">
        <v>5.06416759E8</v>
      </c>
      <c r="G892" s="26" t="s">
        <v>4852</v>
      </c>
      <c r="H892" s="27" t="s">
        <v>318</v>
      </c>
      <c r="I892" s="26" t="s">
        <v>27</v>
      </c>
      <c r="J892" s="209" t="s">
        <v>7554</v>
      </c>
      <c r="K892" s="27"/>
      <c r="L892" s="26" t="s">
        <v>62</v>
      </c>
      <c r="M892" s="27" t="s">
        <v>4802</v>
      </c>
      <c r="N892" s="26" t="s">
        <v>4803</v>
      </c>
      <c r="O892" s="26" t="s">
        <v>49</v>
      </c>
      <c r="P892" s="35"/>
      <c r="Q892" s="26" t="s">
        <v>56</v>
      </c>
      <c r="R892" s="26" t="s">
        <v>42</v>
      </c>
      <c r="S892" s="27" t="s">
        <v>3566</v>
      </c>
      <c r="T892" s="27"/>
      <c r="U892" s="35"/>
      <c r="V892" s="26"/>
      <c r="W892" s="26">
        <v>5.0</v>
      </c>
      <c r="X892" s="26" t="s">
        <v>46</v>
      </c>
    </row>
    <row r="893" hidden="1">
      <c r="A893" s="26">
        <v>893.0</v>
      </c>
      <c r="B893" s="188">
        <v>46194.0</v>
      </c>
      <c r="C893" s="26" t="s">
        <v>21</v>
      </c>
      <c r="D893" s="26" t="s">
        <v>22</v>
      </c>
      <c r="E893" s="27" t="s">
        <v>7555</v>
      </c>
      <c r="F893" s="21">
        <v>5.05418225E8</v>
      </c>
      <c r="G893" s="26" t="s">
        <v>4769</v>
      </c>
      <c r="H893" s="27" t="s">
        <v>1849</v>
      </c>
      <c r="I893" s="26" t="s">
        <v>27</v>
      </c>
      <c r="J893" s="209" t="s">
        <v>7557</v>
      </c>
      <c r="K893" s="27"/>
      <c r="L893" s="26" t="s">
        <v>36</v>
      </c>
      <c r="M893" s="27" t="s">
        <v>1389</v>
      </c>
      <c r="N893" s="26" t="s">
        <v>4870</v>
      </c>
      <c r="O893" s="26" t="s">
        <v>4746</v>
      </c>
      <c r="P893" s="35"/>
      <c r="Q893" s="26" t="s">
        <v>40</v>
      </c>
      <c r="R893" s="26" t="s">
        <v>518</v>
      </c>
      <c r="S893" s="27" t="s">
        <v>3566</v>
      </c>
      <c r="T893" s="35"/>
      <c r="U893" s="35"/>
      <c r="V893" s="26"/>
      <c r="W893" s="26">
        <v>5.0</v>
      </c>
      <c r="X893" s="26" t="s">
        <v>46</v>
      </c>
    </row>
    <row r="894" hidden="1">
      <c r="A894" s="26">
        <v>894.0</v>
      </c>
      <c r="B894" s="188">
        <v>46194.0</v>
      </c>
      <c r="C894" s="26" t="s">
        <v>58</v>
      </c>
      <c r="D894" s="26" t="s">
        <v>60</v>
      </c>
      <c r="E894" s="26" t="s">
        <v>27</v>
      </c>
      <c r="F894" s="21">
        <v>5.92746715E8</v>
      </c>
      <c r="G894" s="26" t="s">
        <v>27</v>
      </c>
      <c r="H894" s="26" t="s">
        <v>27</v>
      </c>
      <c r="I894" s="26" t="s">
        <v>27</v>
      </c>
      <c r="J894" s="209" t="s">
        <v>7558</v>
      </c>
      <c r="K894" s="27"/>
      <c r="L894" s="26" t="s">
        <v>36</v>
      </c>
      <c r="M894" s="27" t="s">
        <v>88</v>
      </c>
      <c r="N894" s="26" t="s">
        <v>4746</v>
      </c>
      <c r="O894" s="26" t="s">
        <v>4746</v>
      </c>
      <c r="P894" s="35"/>
      <c r="Q894" s="26" t="s">
        <v>56</v>
      </c>
      <c r="R894" s="26" t="s">
        <v>42</v>
      </c>
      <c r="S894" s="27" t="s">
        <v>3566</v>
      </c>
      <c r="T894" s="35"/>
      <c r="U894" s="26"/>
      <c r="V894" s="26"/>
      <c r="W894" s="26">
        <v>5.0</v>
      </c>
      <c r="X894" s="26"/>
    </row>
    <row r="895" hidden="1">
      <c r="A895" s="26">
        <v>895.0</v>
      </c>
      <c r="B895" s="188">
        <v>46194.0</v>
      </c>
      <c r="C895" s="26" t="s">
        <v>58</v>
      </c>
      <c r="D895" s="26" t="s">
        <v>60</v>
      </c>
      <c r="E895" s="27" t="s">
        <v>7559</v>
      </c>
      <c r="F895" s="21">
        <v>5.5532289E8</v>
      </c>
      <c r="G895" s="26" t="s">
        <v>27</v>
      </c>
      <c r="H895" s="26" t="s">
        <v>27</v>
      </c>
      <c r="I895" s="26" t="s">
        <v>27</v>
      </c>
      <c r="J895" s="209" t="s">
        <v>7560</v>
      </c>
      <c r="K895" s="27" t="s">
        <v>7561</v>
      </c>
      <c r="L895" s="26" t="s">
        <v>36</v>
      </c>
      <c r="M895" s="27" t="s">
        <v>88</v>
      </c>
      <c r="N895" s="26" t="s">
        <v>4746</v>
      </c>
      <c r="O895" s="26" t="s">
        <v>4746</v>
      </c>
      <c r="P895" s="35"/>
      <c r="Q895" s="26" t="s">
        <v>56</v>
      </c>
      <c r="R895" s="26" t="s">
        <v>42</v>
      </c>
      <c r="S895" s="27" t="s">
        <v>3566</v>
      </c>
      <c r="T895" s="35"/>
      <c r="U895" s="26"/>
      <c r="V895" s="26"/>
      <c r="W895" s="26">
        <v>5.0</v>
      </c>
      <c r="X895" s="26"/>
    </row>
    <row r="896" hidden="1">
      <c r="A896" s="26">
        <v>896.0</v>
      </c>
      <c r="B896" s="188">
        <v>46194.0</v>
      </c>
      <c r="C896" s="26" t="s">
        <v>47</v>
      </c>
      <c r="D896" s="26" t="s">
        <v>48</v>
      </c>
      <c r="E896" s="27" t="s">
        <v>2820</v>
      </c>
      <c r="F896" s="21">
        <v>5.5757193E8</v>
      </c>
      <c r="G896" s="26" t="s">
        <v>5023</v>
      </c>
      <c r="H896" s="27" t="s">
        <v>2715</v>
      </c>
      <c r="I896" s="26" t="s">
        <v>2716</v>
      </c>
      <c r="J896" s="209" t="s">
        <v>7821</v>
      </c>
      <c r="K896" s="27"/>
      <c r="L896" s="26" t="s">
        <v>36</v>
      </c>
      <c r="M896" s="275" t="s">
        <v>3764</v>
      </c>
      <c r="N896" s="26" t="s">
        <v>4977</v>
      </c>
      <c r="O896" s="26" t="s">
        <v>4746</v>
      </c>
      <c r="P896" s="35"/>
      <c r="Q896" s="26" t="s">
        <v>40</v>
      </c>
      <c r="R896" s="26" t="s">
        <v>518</v>
      </c>
      <c r="S896" s="27" t="s">
        <v>3765</v>
      </c>
      <c r="T896" s="27" t="s">
        <v>3566</v>
      </c>
      <c r="U896" s="26"/>
      <c r="V896" s="26"/>
      <c r="W896" s="26">
        <v>5.0</v>
      </c>
      <c r="X896" s="26" t="s">
        <v>46</v>
      </c>
    </row>
    <row r="897" hidden="1">
      <c r="A897" s="26">
        <v>897.0</v>
      </c>
      <c r="B897" s="188">
        <v>46194.0</v>
      </c>
      <c r="C897" s="26" t="s">
        <v>58</v>
      </c>
      <c r="D897" s="26" t="s">
        <v>60</v>
      </c>
      <c r="E897" s="26" t="s">
        <v>27</v>
      </c>
      <c r="F897" s="21">
        <v>5.64862762E8</v>
      </c>
      <c r="G897" s="26" t="s">
        <v>27</v>
      </c>
      <c r="H897" s="26" t="s">
        <v>27</v>
      </c>
      <c r="I897" s="26" t="s">
        <v>27</v>
      </c>
      <c r="J897" s="209" t="s">
        <v>7563</v>
      </c>
      <c r="K897" s="27"/>
      <c r="L897" s="26" t="s">
        <v>36</v>
      </c>
      <c r="M897" s="27" t="s">
        <v>88</v>
      </c>
      <c r="N897" s="26" t="s">
        <v>4746</v>
      </c>
      <c r="O897" s="26" t="s">
        <v>4746</v>
      </c>
      <c r="P897" s="35"/>
      <c r="Q897" s="26" t="s">
        <v>56</v>
      </c>
      <c r="R897" s="26" t="s">
        <v>42</v>
      </c>
      <c r="S897" s="27" t="s">
        <v>3566</v>
      </c>
      <c r="T897" s="35"/>
      <c r="U897" s="26"/>
      <c r="V897" s="26"/>
      <c r="W897" s="26">
        <v>5.0</v>
      </c>
      <c r="X897" s="26"/>
    </row>
    <row r="898" hidden="1">
      <c r="A898" s="26">
        <v>898.0</v>
      </c>
      <c r="B898" s="188">
        <v>46194.0</v>
      </c>
      <c r="C898" s="26" t="s">
        <v>58</v>
      </c>
      <c r="D898" s="26" t="s">
        <v>60</v>
      </c>
      <c r="E898" s="27" t="s">
        <v>5795</v>
      </c>
      <c r="F898" s="21">
        <v>5.32194184E8</v>
      </c>
      <c r="G898" s="26" t="s">
        <v>4740</v>
      </c>
      <c r="H898" s="27" t="s">
        <v>41</v>
      </c>
      <c r="I898" s="26" t="s">
        <v>27</v>
      </c>
      <c r="J898" s="209" t="s">
        <v>7564</v>
      </c>
      <c r="K898" s="27"/>
      <c r="L898" s="26" t="s">
        <v>36</v>
      </c>
      <c r="M898" s="27" t="s">
        <v>88</v>
      </c>
      <c r="N898" s="26" t="s">
        <v>4746</v>
      </c>
      <c r="O898" s="26" t="s">
        <v>4746</v>
      </c>
      <c r="P898" s="35"/>
      <c r="Q898" s="26" t="s">
        <v>56</v>
      </c>
      <c r="R898" s="26" t="s">
        <v>42</v>
      </c>
      <c r="S898" s="27" t="s">
        <v>3566</v>
      </c>
      <c r="T898" s="35"/>
      <c r="U898" s="26"/>
      <c r="V898" s="26"/>
      <c r="W898" s="26">
        <v>5.0</v>
      </c>
      <c r="X898" s="26"/>
    </row>
    <row r="899">
      <c r="A899" s="26">
        <v>899.0</v>
      </c>
      <c r="B899" s="188">
        <v>46194.0</v>
      </c>
      <c r="C899" s="26" t="s">
        <v>21</v>
      </c>
      <c r="D899" s="26" t="s">
        <v>48</v>
      </c>
      <c r="E899" s="27" t="s">
        <v>2940</v>
      </c>
      <c r="F899" s="21">
        <v>5.70654343E8</v>
      </c>
      <c r="G899" s="26" t="s">
        <v>27</v>
      </c>
      <c r="H899" s="26" t="s">
        <v>27</v>
      </c>
      <c r="I899" s="26" t="s">
        <v>27</v>
      </c>
      <c r="J899" s="209" t="s">
        <v>7524</v>
      </c>
      <c r="K899" s="27" t="s">
        <v>6001</v>
      </c>
      <c r="L899" s="26" t="s">
        <v>36</v>
      </c>
      <c r="M899" s="27" t="s">
        <v>208</v>
      </c>
      <c r="N899" s="26" t="s">
        <v>49</v>
      </c>
      <c r="O899" s="26" t="s">
        <v>4746</v>
      </c>
      <c r="P899" s="35"/>
      <c r="Q899" s="26" t="s">
        <v>56</v>
      </c>
      <c r="R899" s="26" t="s">
        <v>518</v>
      </c>
      <c r="S899" s="27" t="s">
        <v>3566</v>
      </c>
      <c r="T899" s="35"/>
      <c r="U899" s="26"/>
      <c r="V899" s="26"/>
      <c r="W899" s="26">
        <v>5.0</v>
      </c>
      <c r="X899" s="26"/>
    </row>
    <row r="900" hidden="1">
      <c r="A900" s="26">
        <v>900.0</v>
      </c>
      <c r="B900" s="188">
        <v>46194.0</v>
      </c>
      <c r="C900" s="26" t="s">
        <v>58</v>
      </c>
      <c r="D900" s="26" t="s">
        <v>22</v>
      </c>
      <c r="E900" s="27" t="s">
        <v>7565</v>
      </c>
      <c r="F900" s="21">
        <v>5.31341465E8</v>
      </c>
      <c r="G900" s="26" t="s">
        <v>4852</v>
      </c>
      <c r="H900" s="27" t="s">
        <v>318</v>
      </c>
      <c r="I900" s="26" t="s">
        <v>27</v>
      </c>
      <c r="J900" s="209" t="s">
        <v>7566</v>
      </c>
      <c r="K900" s="27"/>
      <c r="L900" s="26" t="s">
        <v>36</v>
      </c>
      <c r="M900" s="27" t="s">
        <v>4868</v>
      </c>
      <c r="N900" s="26" t="s">
        <v>49</v>
      </c>
      <c r="O900" s="26" t="s">
        <v>4746</v>
      </c>
      <c r="P900" s="35"/>
      <c r="Q900" s="26" t="s">
        <v>40</v>
      </c>
      <c r="R900" s="26" t="s">
        <v>301</v>
      </c>
      <c r="S900" s="27" t="s">
        <v>3566</v>
      </c>
      <c r="T900" s="35"/>
      <c r="U900" s="26"/>
      <c r="V900" s="26"/>
      <c r="W900" s="26">
        <v>5.0</v>
      </c>
      <c r="X900" s="26"/>
    </row>
    <row r="901" hidden="1">
      <c r="A901" s="26">
        <v>901.0</v>
      </c>
      <c r="B901" s="188">
        <v>46195.0</v>
      </c>
      <c r="C901" s="26" t="s">
        <v>21</v>
      </c>
      <c r="D901" s="26" t="s">
        <v>24</v>
      </c>
      <c r="E901" s="27" t="s">
        <v>5025</v>
      </c>
      <c r="F901" s="21">
        <v>5.01333288E8</v>
      </c>
      <c r="G901" s="26" t="s">
        <v>4852</v>
      </c>
      <c r="H901" s="27" t="s">
        <v>2537</v>
      </c>
      <c r="I901" s="26" t="s">
        <v>27</v>
      </c>
      <c r="J901" s="209" t="s">
        <v>7567</v>
      </c>
      <c r="K901" s="27"/>
      <c r="L901" s="26" t="s">
        <v>36</v>
      </c>
      <c r="M901" s="27" t="s">
        <v>4955</v>
      </c>
      <c r="N901" s="26" t="s">
        <v>4803</v>
      </c>
      <c r="O901" s="26" t="s">
        <v>4746</v>
      </c>
      <c r="P901" s="35"/>
      <c r="Q901" s="26" t="s">
        <v>56</v>
      </c>
      <c r="R901" s="26" t="s">
        <v>42</v>
      </c>
      <c r="S901" s="27" t="s">
        <v>3566</v>
      </c>
      <c r="T901" s="35"/>
      <c r="U901" s="26"/>
      <c r="V901" s="26"/>
      <c r="W901" s="26">
        <v>5.0</v>
      </c>
      <c r="X901" s="26" t="s">
        <v>46</v>
      </c>
    </row>
    <row r="902" hidden="1">
      <c r="A902" s="26">
        <v>902.0</v>
      </c>
      <c r="B902" s="188">
        <v>46195.0</v>
      </c>
      <c r="C902" s="26" t="s">
        <v>21</v>
      </c>
      <c r="D902" s="26" t="s">
        <v>24</v>
      </c>
      <c r="E902" s="27" t="s">
        <v>7568</v>
      </c>
      <c r="F902" s="21">
        <v>5.05126858E8</v>
      </c>
      <c r="G902" s="26" t="s">
        <v>27</v>
      </c>
      <c r="H902" s="26" t="s">
        <v>27</v>
      </c>
      <c r="I902" s="26" t="s">
        <v>27</v>
      </c>
      <c r="J902" s="209" t="s">
        <v>7569</v>
      </c>
      <c r="K902" s="27"/>
      <c r="L902" s="26" t="s">
        <v>62</v>
      </c>
      <c r="M902" s="27" t="s">
        <v>4982</v>
      </c>
      <c r="N902" s="26" t="s">
        <v>4803</v>
      </c>
      <c r="O902" s="26" t="s">
        <v>4746</v>
      </c>
      <c r="P902" s="35"/>
      <c r="Q902" s="26" t="s">
        <v>56</v>
      </c>
      <c r="R902" s="26" t="s">
        <v>42</v>
      </c>
      <c r="S902" s="27" t="s">
        <v>3566</v>
      </c>
      <c r="T902" s="35"/>
      <c r="U902" s="26"/>
      <c r="V902" s="26"/>
      <c r="W902" s="26">
        <v>5.0</v>
      </c>
      <c r="X902" s="26" t="s">
        <v>46</v>
      </c>
    </row>
    <row r="903" hidden="1">
      <c r="A903" s="26">
        <v>903.0</v>
      </c>
      <c r="B903" s="188">
        <v>46195.0</v>
      </c>
      <c r="C903" s="26" t="s">
        <v>58</v>
      </c>
      <c r="D903" s="26" t="s">
        <v>24</v>
      </c>
      <c r="E903" s="26" t="s">
        <v>7570</v>
      </c>
      <c r="F903" s="21">
        <v>5.3323095E8</v>
      </c>
      <c r="G903" s="26" t="s">
        <v>27</v>
      </c>
      <c r="H903" s="26" t="s">
        <v>27</v>
      </c>
      <c r="I903" s="26" t="s">
        <v>27</v>
      </c>
      <c r="J903" s="209" t="s">
        <v>7571</v>
      </c>
      <c r="K903" s="27" t="s">
        <v>7572</v>
      </c>
      <c r="L903" s="26" t="s">
        <v>62</v>
      </c>
      <c r="M903" s="27" t="s">
        <v>5046</v>
      </c>
      <c r="N903" s="26" t="s">
        <v>49</v>
      </c>
      <c r="O903" s="26" t="s">
        <v>4746</v>
      </c>
      <c r="P903" s="35"/>
      <c r="Q903" s="26" t="s">
        <v>56</v>
      </c>
      <c r="R903" s="26" t="s">
        <v>518</v>
      </c>
      <c r="S903" s="27" t="s">
        <v>3566</v>
      </c>
      <c r="T903" s="35"/>
      <c r="U903" s="26"/>
      <c r="V903" s="26"/>
      <c r="W903" s="26">
        <v>5.0</v>
      </c>
      <c r="X903" s="26"/>
    </row>
    <row r="904" hidden="1">
      <c r="A904" s="26">
        <v>904.0</v>
      </c>
      <c r="B904" s="188">
        <v>46195.0</v>
      </c>
      <c r="C904" s="26" t="s">
        <v>47</v>
      </c>
      <c r="D904" s="26" t="s">
        <v>92</v>
      </c>
      <c r="E904" s="26" t="s">
        <v>7573</v>
      </c>
      <c r="F904" s="21">
        <v>5.41925338E8</v>
      </c>
      <c r="G904" s="26" t="s">
        <v>4740</v>
      </c>
      <c r="H904" s="27" t="s">
        <v>71</v>
      </c>
      <c r="I904" s="26" t="s">
        <v>94</v>
      </c>
      <c r="J904" s="209" t="s">
        <v>7574</v>
      </c>
      <c r="K904" s="27"/>
      <c r="L904" s="26" t="s">
        <v>148</v>
      </c>
      <c r="M904" s="27" t="s">
        <v>7750</v>
      </c>
      <c r="N904" s="26" t="s">
        <v>4637</v>
      </c>
      <c r="O904" s="26" t="s">
        <v>49</v>
      </c>
      <c r="P904" s="35"/>
      <c r="Q904" s="26" t="s">
        <v>40</v>
      </c>
      <c r="R904" s="26" t="s">
        <v>42</v>
      </c>
      <c r="S904" s="27" t="s">
        <v>3566</v>
      </c>
      <c r="T904" s="35"/>
      <c r="U904" s="26"/>
      <c r="V904" s="26"/>
      <c r="W904" s="26">
        <v>5.0</v>
      </c>
      <c r="X904" s="26" t="s">
        <v>46</v>
      </c>
    </row>
    <row r="905" hidden="1">
      <c r="A905" s="26">
        <v>905.0</v>
      </c>
      <c r="B905" s="188">
        <v>46195.0</v>
      </c>
      <c r="C905" s="26" t="s">
        <v>47</v>
      </c>
      <c r="D905" s="26" t="s">
        <v>92</v>
      </c>
      <c r="E905" s="27" t="s">
        <v>1664</v>
      </c>
      <c r="F905" s="21">
        <v>5.60699246E8</v>
      </c>
      <c r="G905" s="26" t="s">
        <v>4740</v>
      </c>
      <c r="H905" s="27" t="s">
        <v>71</v>
      </c>
      <c r="I905" s="26" t="s">
        <v>94</v>
      </c>
      <c r="J905" s="209" t="s">
        <v>7575</v>
      </c>
      <c r="K905" s="27"/>
      <c r="L905" s="26" t="s">
        <v>148</v>
      </c>
      <c r="M905" s="27" t="s">
        <v>7750</v>
      </c>
      <c r="N905" s="26" t="s">
        <v>4637</v>
      </c>
      <c r="O905" s="26" t="s">
        <v>49</v>
      </c>
      <c r="P905" s="35"/>
      <c r="Q905" s="26" t="s">
        <v>40</v>
      </c>
      <c r="R905" s="26" t="s">
        <v>42</v>
      </c>
      <c r="S905" s="27" t="s">
        <v>3566</v>
      </c>
      <c r="T905" s="35"/>
      <c r="U905" s="26"/>
      <c r="V905" s="26"/>
      <c r="W905" s="26">
        <v>5.0</v>
      </c>
      <c r="X905" s="26" t="s">
        <v>46</v>
      </c>
    </row>
    <row r="906" hidden="1">
      <c r="A906" s="26">
        <v>906.0</v>
      </c>
      <c r="B906" s="188">
        <v>46195.0</v>
      </c>
      <c r="C906" s="26" t="s">
        <v>47</v>
      </c>
      <c r="D906" s="26" t="s">
        <v>138</v>
      </c>
      <c r="E906" s="26" t="s">
        <v>7577</v>
      </c>
      <c r="F906" s="21">
        <v>5.58089716E8</v>
      </c>
      <c r="G906" s="26" t="s">
        <v>4740</v>
      </c>
      <c r="H906" s="27" t="s">
        <v>41</v>
      </c>
      <c r="I906" s="26" t="s">
        <v>146</v>
      </c>
      <c r="J906" s="209" t="s">
        <v>7578</v>
      </c>
      <c r="K906" s="365" t="s">
        <v>7579</v>
      </c>
      <c r="L906" s="26" t="s">
        <v>148</v>
      </c>
      <c r="M906" s="27" t="s">
        <v>150</v>
      </c>
      <c r="N906" s="26" t="s">
        <v>4917</v>
      </c>
      <c r="O906" s="26" t="s">
        <v>49</v>
      </c>
      <c r="P906" s="35"/>
      <c r="Q906" s="26" t="s">
        <v>56</v>
      </c>
      <c r="R906" s="26" t="s">
        <v>518</v>
      </c>
      <c r="S906" s="27" t="s">
        <v>3566</v>
      </c>
      <c r="T906" s="35"/>
      <c r="U906" s="26"/>
      <c r="V906" s="26"/>
      <c r="W906" s="26">
        <v>5.0</v>
      </c>
      <c r="X906" s="26" t="s">
        <v>46</v>
      </c>
    </row>
    <row r="907" hidden="1">
      <c r="A907" s="26">
        <v>907.0</v>
      </c>
      <c r="B907" s="188">
        <v>46195.0</v>
      </c>
      <c r="C907" s="26" t="s">
        <v>47</v>
      </c>
      <c r="D907" s="26" t="s">
        <v>138</v>
      </c>
      <c r="E907" s="27" t="s">
        <v>7580</v>
      </c>
      <c r="F907" s="21">
        <v>5.01122253E8</v>
      </c>
      <c r="G907" s="26" t="s">
        <v>4740</v>
      </c>
      <c r="H907" s="27" t="s">
        <v>41</v>
      </c>
      <c r="I907" s="26" t="s">
        <v>146</v>
      </c>
      <c r="J907" s="209" t="s">
        <v>7581</v>
      </c>
      <c r="K907" s="27" t="s">
        <v>7582</v>
      </c>
      <c r="L907" s="26" t="s">
        <v>148</v>
      </c>
      <c r="M907" s="308" t="s">
        <v>183</v>
      </c>
      <c r="N907" s="26" t="s">
        <v>4917</v>
      </c>
      <c r="O907" s="26" t="s">
        <v>49</v>
      </c>
      <c r="P907" s="35"/>
      <c r="Q907" s="26" t="s">
        <v>56</v>
      </c>
      <c r="R907" s="26" t="s">
        <v>518</v>
      </c>
      <c r="S907" s="27" t="s">
        <v>3566</v>
      </c>
      <c r="T907" s="35"/>
      <c r="U907" s="26"/>
      <c r="V907" s="26"/>
      <c r="W907" s="26">
        <v>5.0</v>
      </c>
      <c r="X907" s="26" t="s">
        <v>46</v>
      </c>
    </row>
    <row r="908" hidden="1">
      <c r="A908" s="26">
        <v>908.0</v>
      </c>
      <c r="B908" s="188">
        <v>46195.0</v>
      </c>
      <c r="C908" s="26" t="s">
        <v>47</v>
      </c>
      <c r="D908" s="26" t="s">
        <v>48</v>
      </c>
      <c r="E908" s="27" t="s">
        <v>5319</v>
      </c>
      <c r="F908" s="21">
        <v>5.60812179E8</v>
      </c>
      <c r="G908" s="26" t="s">
        <v>4740</v>
      </c>
      <c r="H908" s="27" t="s">
        <v>41</v>
      </c>
      <c r="I908" s="26" t="s">
        <v>222</v>
      </c>
      <c r="J908" s="209" t="s">
        <v>7583</v>
      </c>
      <c r="K908" s="27" t="s">
        <v>7584</v>
      </c>
      <c r="L908" s="26" t="s">
        <v>148</v>
      </c>
      <c r="M908" s="27" t="s">
        <v>3764</v>
      </c>
      <c r="N908" s="26" t="s">
        <v>4977</v>
      </c>
      <c r="O908" s="26" t="s">
        <v>49</v>
      </c>
      <c r="P908" s="35"/>
      <c r="Q908" s="26" t="s">
        <v>56</v>
      </c>
      <c r="R908" s="26" t="s">
        <v>518</v>
      </c>
      <c r="S908" s="27" t="s">
        <v>3765</v>
      </c>
      <c r="T908" s="35"/>
      <c r="U908" s="26"/>
      <c r="V908" s="26"/>
      <c r="W908" s="26">
        <v>5.0</v>
      </c>
      <c r="X908" s="26" t="s">
        <v>46</v>
      </c>
    </row>
    <row r="909" hidden="1">
      <c r="A909" s="26">
        <v>909.0</v>
      </c>
      <c r="B909" s="188">
        <v>46195.0</v>
      </c>
      <c r="C909" s="26" t="s">
        <v>47</v>
      </c>
      <c r="D909" s="26" t="s">
        <v>92</v>
      </c>
      <c r="E909" s="27" t="s">
        <v>108</v>
      </c>
      <c r="F909" s="21">
        <v>5.60018174E8</v>
      </c>
      <c r="G909" s="26" t="s">
        <v>4740</v>
      </c>
      <c r="H909" s="27" t="s">
        <v>41</v>
      </c>
      <c r="I909" s="26" t="s">
        <v>133</v>
      </c>
      <c r="J909" s="209" t="s">
        <v>7585</v>
      </c>
      <c r="K909" s="27"/>
      <c r="L909" s="26" t="s">
        <v>148</v>
      </c>
      <c r="M909" s="27" t="s">
        <v>7750</v>
      </c>
      <c r="N909" s="26" t="s">
        <v>4637</v>
      </c>
      <c r="O909" s="26" t="s">
        <v>49</v>
      </c>
      <c r="P909" s="35"/>
      <c r="Q909" s="26" t="s">
        <v>40</v>
      </c>
      <c r="R909" s="26" t="s">
        <v>42</v>
      </c>
      <c r="S909" s="27" t="s">
        <v>3566</v>
      </c>
      <c r="T909" s="35"/>
      <c r="U909" s="26"/>
      <c r="V909" s="26"/>
      <c r="W909" s="26">
        <v>5.0</v>
      </c>
      <c r="X909" s="26" t="s">
        <v>46</v>
      </c>
    </row>
    <row r="910" hidden="1">
      <c r="A910" s="26">
        <v>910.0</v>
      </c>
      <c r="B910" s="188">
        <v>46195.0</v>
      </c>
      <c r="C910" s="26" t="s">
        <v>47</v>
      </c>
      <c r="D910" s="26" t="s">
        <v>48</v>
      </c>
      <c r="E910" s="26" t="s">
        <v>27</v>
      </c>
      <c r="F910" s="21" t="s">
        <v>27</v>
      </c>
      <c r="G910" s="26" t="s">
        <v>4740</v>
      </c>
      <c r="H910" s="27" t="s">
        <v>41</v>
      </c>
      <c r="I910" s="26" t="s">
        <v>329</v>
      </c>
      <c r="J910" s="209" t="s">
        <v>7586</v>
      </c>
      <c r="K910" s="27"/>
      <c r="L910" s="26" t="s">
        <v>148</v>
      </c>
      <c r="M910" s="275" t="s">
        <v>5449</v>
      </c>
      <c r="N910" s="26" t="s">
        <v>4977</v>
      </c>
      <c r="O910" s="26" t="s">
        <v>49</v>
      </c>
      <c r="P910" s="35"/>
      <c r="Q910" s="26" t="s">
        <v>40</v>
      </c>
      <c r="R910" s="26" t="s">
        <v>42</v>
      </c>
      <c r="S910" s="27" t="s">
        <v>3997</v>
      </c>
      <c r="T910" s="35"/>
      <c r="U910" s="26"/>
      <c r="V910" s="26"/>
      <c r="W910" s="26">
        <v>5.0</v>
      </c>
      <c r="X910" s="26" t="s">
        <v>46</v>
      </c>
    </row>
    <row r="911" hidden="1">
      <c r="A911" s="26">
        <v>911.0</v>
      </c>
      <c r="B911" s="188">
        <v>46195.0</v>
      </c>
      <c r="C911" s="26" t="s">
        <v>47</v>
      </c>
      <c r="D911" s="26" t="s">
        <v>48</v>
      </c>
      <c r="E911" s="26" t="s">
        <v>7587</v>
      </c>
      <c r="F911" s="21" t="s">
        <v>27</v>
      </c>
      <c r="G911" s="26" t="s">
        <v>4769</v>
      </c>
      <c r="H911" s="27" t="s">
        <v>333</v>
      </c>
      <c r="I911" s="26" t="s">
        <v>516</v>
      </c>
      <c r="J911" s="209" t="s">
        <v>7588</v>
      </c>
      <c r="K911" s="27"/>
      <c r="L911" s="26" t="s">
        <v>78</v>
      </c>
      <c r="M911" s="27" t="s">
        <v>611</v>
      </c>
      <c r="N911" s="26" t="s">
        <v>4977</v>
      </c>
      <c r="O911" s="26" t="s">
        <v>49</v>
      </c>
      <c r="P911" s="35"/>
      <c r="Q911" s="26" t="s">
        <v>40</v>
      </c>
      <c r="R911" s="26" t="s">
        <v>518</v>
      </c>
      <c r="S911" s="27" t="s">
        <v>3765</v>
      </c>
      <c r="T911" s="35"/>
      <c r="U911" s="26"/>
      <c r="V911" s="26"/>
      <c r="W911" s="26">
        <v>5.0</v>
      </c>
      <c r="X911" s="26" t="s">
        <v>46</v>
      </c>
    </row>
    <row r="912" hidden="1">
      <c r="A912" s="26">
        <v>912.0</v>
      </c>
      <c r="B912" s="188">
        <v>46195.0</v>
      </c>
      <c r="C912" s="26" t="s">
        <v>47</v>
      </c>
      <c r="D912" s="26" t="s">
        <v>48</v>
      </c>
      <c r="E912" s="26" t="s">
        <v>7589</v>
      </c>
      <c r="F912" s="21" t="s">
        <v>27</v>
      </c>
      <c r="G912" s="26" t="s">
        <v>4740</v>
      </c>
      <c r="H912" s="27" t="s">
        <v>41</v>
      </c>
      <c r="I912" s="26" t="s">
        <v>956</v>
      </c>
      <c r="J912" s="209" t="s">
        <v>7590</v>
      </c>
      <c r="K912" s="27" t="s">
        <v>7591</v>
      </c>
      <c r="L912" s="26" t="s">
        <v>78</v>
      </c>
      <c r="M912" s="275" t="s">
        <v>5011</v>
      </c>
      <c r="N912" s="26" t="s">
        <v>4977</v>
      </c>
      <c r="O912" s="26" t="s">
        <v>49</v>
      </c>
      <c r="P912" s="35"/>
      <c r="Q912" s="26" t="s">
        <v>56</v>
      </c>
      <c r="R912" s="26" t="s">
        <v>518</v>
      </c>
      <c r="S912" s="27" t="s">
        <v>3765</v>
      </c>
      <c r="T912" s="35"/>
      <c r="U912" s="26"/>
      <c r="V912" s="26"/>
      <c r="W912" s="26">
        <v>5.0</v>
      </c>
      <c r="X912" s="26" t="s">
        <v>46</v>
      </c>
    </row>
    <row r="913">
      <c r="A913" s="26">
        <v>913.0</v>
      </c>
      <c r="B913" s="188">
        <v>46195.0</v>
      </c>
      <c r="C913" s="26" t="s">
        <v>58</v>
      </c>
      <c r="D913" s="26" t="s">
        <v>48</v>
      </c>
      <c r="E913" s="26" t="s">
        <v>7592</v>
      </c>
      <c r="F913" s="21" t="s">
        <v>27</v>
      </c>
      <c r="G913" s="26" t="s">
        <v>4740</v>
      </c>
      <c r="H913" s="27" t="s">
        <v>41</v>
      </c>
      <c r="I913" s="26" t="s">
        <v>222</v>
      </c>
      <c r="J913" s="209" t="s">
        <v>7593</v>
      </c>
      <c r="K913" s="27"/>
      <c r="L913" s="26" t="s">
        <v>78</v>
      </c>
      <c r="M913" s="27" t="s">
        <v>208</v>
      </c>
      <c r="N913" s="26" t="s">
        <v>4977</v>
      </c>
      <c r="O913" s="26" t="s">
        <v>49</v>
      </c>
      <c r="P913" s="35"/>
      <c r="Q913" s="26" t="s">
        <v>56</v>
      </c>
      <c r="R913" s="26" t="s">
        <v>42</v>
      </c>
      <c r="S913" s="27" t="s">
        <v>3566</v>
      </c>
      <c r="T913" s="35"/>
      <c r="U913" s="26"/>
      <c r="V913" s="26"/>
      <c r="W913" s="26">
        <v>5.0</v>
      </c>
      <c r="X913" s="26" t="s">
        <v>46</v>
      </c>
    </row>
    <row r="914">
      <c r="A914" s="26">
        <v>914.0</v>
      </c>
      <c r="B914" s="188">
        <v>46195.0</v>
      </c>
      <c r="C914" s="26" t="s">
        <v>3766</v>
      </c>
      <c r="D914" s="26" t="s">
        <v>48</v>
      </c>
      <c r="E914" s="27" t="s">
        <v>7594</v>
      </c>
      <c r="F914" s="21" t="s">
        <v>27</v>
      </c>
      <c r="G914" s="26" t="s">
        <v>4769</v>
      </c>
      <c r="H914" s="27" t="s">
        <v>333</v>
      </c>
      <c r="I914" s="26" t="s">
        <v>650</v>
      </c>
      <c r="J914" s="209" t="s">
        <v>7595</v>
      </c>
      <c r="K914" s="27"/>
      <c r="L914" s="26" t="s">
        <v>78</v>
      </c>
      <c r="M914" s="27" t="s">
        <v>208</v>
      </c>
      <c r="N914" s="26" t="s">
        <v>4977</v>
      </c>
      <c r="O914" s="26" t="s">
        <v>49</v>
      </c>
      <c r="P914" s="35"/>
      <c r="Q914" s="26" t="s">
        <v>56</v>
      </c>
      <c r="R914" s="26" t="s">
        <v>42</v>
      </c>
      <c r="S914" s="27" t="s">
        <v>3566</v>
      </c>
      <c r="T914" s="35"/>
      <c r="U914" s="26"/>
      <c r="V914" s="26"/>
      <c r="W914" s="26">
        <v>5.0</v>
      </c>
      <c r="X914" s="26"/>
    </row>
    <row r="915" hidden="1">
      <c r="A915" s="26">
        <v>915.0</v>
      </c>
      <c r="B915" s="188">
        <v>46195.0</v>
      </c>
      <c r="C915" s="26" t="s">
        <v>47</v>
      </c>
      <c r="D915" s="26" t="s">
        <v>92</v>
      </c>
      <c r="E915" s="26" t="s">
        <v>7596</v>
      </c>
      <c r="F915" s="21" t="s">
        <v>27</v>
      </c>
      <c r="G915" s="26" t="s">
        <v>4740</v>
      </c>
      <c r="H915" s="27" t="s">
        <v>71</v>
      </c>
      <c r="I915" s="26" t="s">
        <v>94</v>
      </c>
      <c r="J915" s="209" t="s">
        <v>7597</v>
      </c>
      <c r="K915" s="27"/>
      <c r="L915" s="26" t="s">
        <v>78</v>
      </c>
      <c r="M915" s="27" t="s">
        <v>7750</v>
      </c>
      <c r="N915" s="26" t="s">
        <v>4637</v>
      </c>
      <c r="O915" s="26" t="s">
        <v>49</v>
      </c>
      <c r="P915" s="35"/>
      <c r="Q915" s="26" t="s">
        <v>40</v>
      </c>
      <c r="R915" s="26" t="s">
        <v>42</v>
      </c>
      <c r="S915" s="27" t="s">
        <v>3566</v>
      </c>
      <c r="T915" s="35"/>
      <c r="U915" s="26"/>
      <c r="V915" s="26"/>
      <c r="W915" s="26">
        <v>5.0</v>
      </c>
      <c r="X915" s="26" t="s">
        <v>46</v>
      </c>
    </row>
    <row r="916" hidden="1">
      <c r="A916" s="26">
        <v>916.0</v>
      </c>
      <c r="B916" s="188">
        <v>46195.0</v>
      </c>
      <c r="C916" s="26" t="s">
        <v>58</v>
      </c>
      <c r="D916" s="26" t="s">
        <v>57</v>
      </c>
      <c r="E916" s="26" t="s">
        <v>27</v>
      </c>
      <c r="F916" s="21">
        <v>5.37700093E8</v>
      </c>
      <c r="G916" s="26" t="s">
        <v>27</v>
      </c>
      <c r="H916" s="26" t="s">
        <v>27</v>
      </c>
      <c r="I916" s="26" t="s">
        <v>27</v>
      </c>
      <c r="J916" s="209" t="s">
        <v>7598</v>
      </c>
      <c r="K916" s="27"/>
      <c r="L916" s="26" t="s">
        <v>36</v>
      </c>
      <c r="M916" s="27" t="s">
        <v>4839</v>
      </c>
      <c r="N916" s="26" t="s">
        <v>4746</v>
      </c>
      <c r="O916" s="26" t="s">
        <v>4746</v>
      </c>
      <c r="P916" s="35"/>
      <c r="Q916" s="26" t="s">
        <v>56</v>
      </c>
      <c r="R916" s="26" t="s">
        <v>42</v>
      </c>
      <c r="S916" s="27" t="s">
        <v>3566</v>
      </c>
      <c r="T916" s="35"/>
      <c r="U916" s="26"/>
      <c r="V916" s="26"/>
      <c r="W916" s="26">
        <v>5.0</v>
      </c>
      <c r="X916" s="26"/>
    </row>
    <row r="917" hidden="1">
      <c r="A917" s="26">
        <v>917.0</v>
      </c>
      <c r="B917" s="188">
        <v>46195.0</v>
      </c>
      <c r="C917" s="26" t="s">
        <v>21</v>
      </c>
      <c r="D917" s="26" t="s">
        <v>66</v>
      </c>
      <c r="E917" s="27" t="s">
        <v>7599</v>
      </c>
      <c r="F917" s="21">
        <v>5.36873435E8</v>
      </c>
      <c r="G917" s="26" t="s">
        <v>27</v>
      </c>
      <c r="H917" s="26" t="s">
        <v>27</v>
      </c>
      <c r="I917" s="26" t="s">
        <v>27</v>
      </c>
      <c r="J917" s="209" t="s">
        <v>7600</v>
      </c>
      <c r="K917" s="27"/>
      <c r="L917" s="26" t="s">
        <v>36</v>
      </c>
      <c r="M917" s="27" t="s">
        <v>208</v>
      </c>
      <c r="N917" s="26" t="s">
        <v>49</v>
      </c>
      <c r="O917" s="26" t="s">
        <v>4746</v>
      </c>
      <c r="P917" s="35"/>
      <c r="Q917" s="26" t="s">
        <v>56</v>
      </c>
      <c r="R917" s="26" t="s">
        <v>301</v>
      </c>
      <c r="S917" s="27" t="s">
        <v>3566</v>
      </c>
      <c r="T917" s="35"/>
      <c r="U917" s="26"/>
      <c r="V917" s="26"/>
      <c r="W917" s="26">
        <v>5.0</v>
      </c>
      <c r="X917" s="26"/>
    </row>
    <row r="918" hidden="1">
      <c r="A918" s="26">
        <v>918.0</v>
      </c>
      <c r="B918" s="188">
        <v>46195.0</v>
      </c>
      <c r="C918" s="26" t="s">
        <v>58</v>
      </c>
      <c r="D918" s="26" t="s">
        <v>60</v>
      </c>
      <c r="E918" s="27" t="s">
        <v>7601</v>
      </c>
      <c r="F918" s="21">
        <v>5.01540679E8</v>
      </c>
      <c r="G918" s="26" t="s">
        <v>4740</v>
      </c>
      <c r="H918" s="27" t="s">
        <v>41</v>
      </c>
      <c r="I918" s="26" t="s">
        <v>188</v>
      </c>
      <c r="J918" s="209" t="s">
        <v>7602</v>
      </c>
      <c r="K918" s="27" t="s">
        <v>7603</v>
      </c>
      <c r="L918" s="26" t="s">
        <v>62</v>
      </c>
      <c r="M918" s="27" t="s">
        <v>88</v>
      </c>
      <c r="N918" s="26" t="s">
        <v>4746</v>
      </c>
      <c r="O918" s="26" t="s">
        <v>4746</v>
      </c>
      <c r="P918" s="35"/>
      <c r="Q918" s="26" t="s">
        <v>56</v>
      </c>
      <c r="R918" s="26" t="s">
        <v>42</v>
      </c>
      <c r="S918" s="27" t="s">
        <v>3566</v>
      </c>
      <c r="T918" s="35"/>
      <c r="U918" s="26"/>
      <c r="V918" s="26"/>
      <c r="W918" s="26">
        <v>5.0</v>
      </c>
      <c r="X918" s="26"/>
    </row>
    <row r="919" hidden="1">
      <c r="A919" s="26">
        <v>919.0</v>
      </c>
      <c r="B919" s="188">
        <v>46195.0</v>
      </c>
      <c r="C919" s="26" t="s">
        <v>21</v>
      </c>
      <c r="D919" s="26" t="s">
        <v>24</v>
      </c>
      <c r="E919" s="27" t="s">
        <v>7604</v>
      </c>
      <c r="F919" s="21">
        <v>5.68111115E8</v>
      </c>
      <c r="G919" s="26" t="s">
        <v>4852</v>
      </c>
      <c r="H919" s="27" t="s">
        <v>318</v>
      </c>
      <c r="I919" s="26" t="s">
        <v>27</v>
      </c>
      <c r="J919" s="209" t="s">
        <v>7605</v>
      </c>
      <c r="K919" s="27"/>
      <c r="L919" s="26" t="s">
        <v>36</v>
      </c>
      <c r="M919" s="27" t="s">
        <v>630</v>
      </c>
      <c r="N919" s="26" t="s">
        <v>4803</v>
      </c>
      <c r="O919" s="26" t="s">
        <v>4746</v>
      </c>
      <c r="P919" s="35"/>
      <c r="Q919" s="26" t="s">
        <v>56</v>
      </c>
      <c r="R919" s="26" t="s">
        <v>42</v>
      </c>
      <c r="S919" s="27" t="s">
        <v>3566</v>
      </c>
      <c r="T919" s="35"/>
      <c r="U919" s="26"/>
      <c r="V919" s="26"/>
      <c r="W919" s="26">
        <v>5.0</v>
      </c>
      <c r="X919" s="26" t="s">
        <v>46</v>
      </c>
    </row>
    <row r="920" hidden="1">
      <c r="A920" s="26">
        <v>920.0</v>
      </c>
      <c r="B920" s="188">
        <v>46195.0</v>
      </c>
      <c r="C920" s="26" t="s">
        <v>21</v>
      </c>
      <c r="D920" s="26" t="s">
        <v>24</v>
      </c>
      <c r="E920" s="27" t="s">
        <v>7606</v>
      </c>
      <c r="F920" s="21">
        <v>5.40846321E8</v>
      </c>
      <c r="G920" s="26" t="s">
        <v>4740</v>
      </c>
      <c r="H920" s="27" t="s">
        <v>41</v>
      </c>
      <c r="I920" s="26" t="s">
        <v>27</v>
      </c>
      <c r="J920" s="209" t="s">
        <v>7607</v>
      </c>
      <c r="K920" s="27"/>
      <c r="L920" s="26" t="s">
        <v>36</v>
      </c>
      <c r="M920" s="27" t="s">
        <v>4802</v>
      </c>
      <c r="N920" s="26" t="s">
        <v>4803</v>
      </c>
      <c r="O920" s="26" t="s">
        <v>4746</v>
      </c>
      <c r="P920" s="35"/>
      <c r="Q920" s="26" t="s">
        <v>56</v>
      </c>
      <c r="R920" s="26" t="s">
        <v>42</v>
      </c>
      <c r="S920" s="27" t="s">
        <v>3566</v>
      </c>
      <c r="T920" s="35"/>
      <c r="U920" s="26"/>
      <c r="V920" s="26"/>
      <c r="W920" s="26">
        <v>5.0</v>
      </c>
      <c r="X920" s="26" t="s">
        <v>46</v>
      </c>
    </row>
    <row r="921" hidden="1">
      <c r="A921" s="26">
        <v>921.0</v>
      </c>
      <c r="B921" s="188">
        <v>46195.0</v>
      </c>
      <c r="C921" s="26" t="s">
        <v>21</v>
      </c>
      <c r="D921" s="26" t="s">
        <v>34</v>
      </c>
      <c r="E921" s="26" t="s">
        <v>27</v>
      </c>
      <c r="F921" s="21">
        <v>5.42367457E8</v>
      </c>
      <c r="G921" s="26" t="s">
        <v>27</v>
      </c>
      <c r="H921" s="26" t="s">
        <v>27</v>
      </c>
      <c r="I921" s="26" t="s">
        <v>27</v>
      </c>
      <c r="J921" s="209" t="s">
        <v>2075</v>
      </c>
      <c r="K921" s="27"/>
      <c r="L921" s="26" t="s">
        <v>36</v>
      </c>
      <c r="M921" s="27" t="s">
        <v>51</v>
      </c>
      <c r="N921" s="26" t="s">
        <v>4746</v>
      </c>
      <c r="O921" s="26" t="s">
        <v>4746</v>
      </c>
      <c r="P921" s="35"/>
      <c r="Q921" s="26" t="s">
        <v>56</v>
      </c>
      <c r="R921" s="26" t="s">
        <v>42</v>
      </c>
      <c r="S921" s="27" t="s">
        <v>3566</v>
      </c>
      <c r="T921" s="35"/>
      <c r="U921" s="26"/>
      <c r="V921" s="26"/>
      <c r="W921" s="26">
        <v>5.0</v>
      </c>
      <c r="X921" s="26"/>
    </row>
    <row r="922" hidden="1">
      <c r="A922" s="26">
        <v>922.0</v>
      </c>
      <c r="B922" s="188">
        <v>46195.0</v>
      </c>
      <c r="C922" s="26" t="s">
        <v>58</v>
      </c>
      <c r="D922" s="26" t="s">
        <v>22</v>
      </c>
      <c r="E922" s="27" t="s">
        <v>1745</v>
      </c>
      <c r="F922" s="21">
        <v>5.56664903E8</v>
      </c>
      <c r="G922" s="26" t="s">
        <v>27</v>
      </c>
      <c r="H922" s="26" t="s">
        <v>27</v>
      </c>
      <c r="I922" s="26" t="s">
        <v>27</v>
      </c>
      <c r="J922" s="209" t="s">
        <v>6337</v>
      </c>
      <c r="K922" s="27"/>
      <c r="L922" s="26" t="s">
        <v>62</v>
      </c>
      <c r="M922" s="27" t="s">
        <v>1389</v>
      </c>
      <c r="N922" s="26" t="s">
        <v>49</v>
      </c>
      <c r="O922" s="26" t="s">
        <v>4746</v>
      </c>
      <c r="P922" s="35"/>
      <c r="Q922" s="26" t="s">
        <v>40</v>
      </c>
      <c r="R922" s="26" t="s">
        <v>518</v>
      </c>
      <c r="S922" s="27" t="s">
        <v>3566</v>
      </c>
      <c r="T922" s="35"/>
      <c r="U922" s="26"/>
      <c r="V922" s="26"/>
      <c r="W922" s="26">
        <v>5.0</v>
      </c>
      <c r="X922" s="26"/>
    </row>
    <row r="923" hidden="1">
      <c r="A923" s="26">
        <v>923.0</v>
      </c>
      <c r="B923" s="188">
        <v>46195.0</v>
      </c>
      <c r="C923" s="26" t="s">
        <v>21</v>
      </c>
      <c r="D923" s="26" t="s">
        <v>22</v>
      </c>
      <c r="E923" s="27" t="s">
        <v>302</v>
      </c>
      <c r="F923" s="21">
        <v>5.34651873E8</v>
      </c>
      <c r="G923" s="26" t="s">
        <v>4740</v>
      </c>
      <c r="H923" s="27" t="s">
        <v>41</v>
      </c>
      <c r="I923" s="26" t="s">
        <v>27</v>
      </c>
      <c r="J923" s="209" t="s">
        <v>7608</v>
      </c>
      <c r="K923" s="27"/>
      <c r="L923" s="26" t="s">
        <v>36</v>
      </c>
      <c r="M923" s="27" t="s">
        <v>4868</v>
      </c>
      <c r="N923" s="26" t="s">
        <v>4870</v>
      </c>
      <c r="O923" s="26" t="s">
        <v>4746</v>
      </c>
      <c r="P923" s="35"/>
      <c r="Q923" s="26" t="s">
        <v>40</v>
      </c>
      <c r="R923" s="26" t="s">
        <v>42</v>
      </c>
      <c r="S923" s="27" t="s">
        <v>3566</v>
      </c>
      <c r="T923" s="35"/>
      <c r="U923" s="26"/>
      <c r="V923" s="26"/>
      <c r="W923" s="26">
        <v>5.0</v>
      </c>
      <c r="X923" s="26" t="s">
        <v>46</v>
      </c>
    </row>
    <row r="924" hidden="1">
      <c r="A924" s="26">
        <v>924.0</v>
      </c>
      <c r="B924" s="188">
        <v>46195.0</v>
      </c>
      <c r="C924" s="26" t="s">
        <v>21</v>
      </c>
      <c r="D924" s="26" t="s">
        <v>24</v>
      </c>
      <c r="E924" s="27" t="s">
        <v>7609</v>
      </c>
      <c r="F924" s="21">
        <v>5.80772352E8</v>
      </c>
      <c r="G924" s="26" t="s">
        <v>4740</v>
      </c>
      <c r="H924" s="27" t="s">
        <v>71</v>
      </c>
      <c r="I924" s="26" t="s">
        <v>27</v>
      </c>
      <c r="J924" s="209" t="s">
        <v>7610</v>
      </c>
      <c r="K924" s="27"/>
      <c r="L924" s="26" t="s">
        <v>36</v>
      </c>
      <c r="M924" s="27" t="s">
        <v>4955</v>
      </c>
      <c r="N924" s="26" t="s">
        <v>4803</v>
      </c>
      <c r="O924" s="26" t="s">
        <v>4746</v>
      </c>
      <c r="P924" s="35"/>
      <c r="Q924" s="26" t="s">
        <v>56</v>
      </c>
      <c r="R924" s="26" t="s">
        <v>42</v>
      </c>
      <c r="S924" s="27" t="s">
        <v>3566</v>
      </c>
      <c r="T924" s="35"/>
      <c r="U924" s="26"/>
      <c r="V924" s="26"/>
      <c r="W924" s="26">
        <v>5.0</v>
      </c>
      <c r="X924" s="26" t="s">
        <v>46</v>
      </c>
    </row>
    <row r="925" hidden="1">
      <c r="A925" s="26">
        <v>925.0</v>
      </c>
      <c r="B925" s="188">
        <v>46195.0</v>
      </c>
      <c r="C925" s="26" t="s">
        <v>21</v>
      </c>
      <c r="D925" s="26" t="s">
        <v>34</v>
      </c>
      <c r="E925" s="27" t="s">
        <v>7611</v>
      </c>
      <c r="F925" s="21">
        <v>5.08444939E8</v>
      </c>
      <c r="G925" s="26" t="s">
        <v>27</v>
      </c>
      <c r="H925" s="26" t="s">
        <v>27</v>
      </c>
      <c r="I925" s="26" t="s">
        <v>27</v>
      </c>
      <c r="J925" s="209" t="s">
        <v>7612</v>
      </c>
      <c r="K925" s="27"/>
      <c r="L925" s="26" t="s">
        <v>36</v>
      </c>
      <c r="M925" s="27" t="s">
        <v>51</v>
      </c>
      <c r="N925" s="26" t="s">
        <v>4746</v>
      </c>
      <c r="O925" s="26" t="s">
        <v>4746</v>
      </c>
      <c r="P925" s="35"/>
      <c r="Q925" s="26" t="s">
        <v>56</v>
      </c>
      <c r="R925" s="26" t="s">
        <v>42</v>
      </c>
      <c r="S925" s="27" t="s">
        <v>3566</v>
      </c>
      <c r="T925" s="35"/>
      <c r="U925" s="26"/>
      <c r="V925" s="26"/>
      <c r="W925" s="26">
        <v>5.0</v>
      </c>
      <c r="X925" s="26"/>
    </row>
    <row r="926" hidden="1">
      <c r="A926" s="26">
        <v>926.0</v>
      </c>
      <c r="B926" s="188">
        <v>46195.0</v>
      </c>
      <c r="C926" s="26" t="s">
        <v>21</v>
      </c>
      <c r="D926" s="26" t="s">
        <v>22</v>
      </c>
      <c r="E926" s="27" t="s">
        <v>7613</v>
      </c>
      <c r="F926" s="21">
        <v>5.52504749E8</v>
      </c>
      <c r="G926" s="26" t="s">
        <v>4769</v>
      </c>
      <c r="H926" s="27" t="s">
        <v>752</v>
      </c>
      <c r="I926" s="26" t="s">
        <v>27</v>
      </c>
      <c r="J926" s="209" t="s">
        <v>7614</v>
      </c>
      <c r="K926" s="27"/>
      <c r="L926" s="26" t="s">
        <v>36</v>
      </c>
      <c r="M926" s="27" t="s">
        <v>1389</v>
      </c>
      <c r="N926" s="26" t="s">
        <v>4870</v>
      </c>
      <c r="O926" s="26" t="s">
        <v>4746</v>
      </c>
      <c r="P926" s="35"/>
      <c r="Q926" s="26" t="s">
        <v>40</v>
      </c>
      <c r="R926" s="26" t="s">
        <v>42</v>
      </c>
      <c r="S926" s="27" t="s">
        <v>3566</v>
      </c>
      <c r="T926" s="35"/>
      <c r="U926" s="26"/>
      <c r="V926" s="26"/>
      <c r="W926" s="26">
        <v>5.0</v>
      </c>
      <c r="X926" s="26" t="s">
        <v>46</v>
      </c>
    </row>
    <row r="927" hidden="1">
      <c r="A927" s="26">
        <v>927.0</v>
      </c>
      <c r="B927" s="188">
        <v>46195.0</v>
      </c>
      <c r="C927" s="26" t="s">
        <v>21</v>
      </c>
      <c r="D927" s="26" t="s">
        <v>57</v>
      </c>
      <c r="E927" s="27" t="s">
        <v>7615</v>
      </c>
      <c r="F927" s="21">
        <v>5.62326651E8</v>
      </c>
      <c r="G927" s="26" t="s">
        <v>4852</v>
      </c>
      <c r="H927" s="27" t="s">
        <v>318</v>
      </c>
      <c r="I927" s="26" t="s">
        <v>27</v>
      </c>
      <c r="J927" s="209" t="s">
        <v>7616</v>
      </c>
      <c r="K927" s="27"/>
      <c r="L927" s="26" t="s">
        <v>36</v>
      </c>
      <c r="M927" s="27" t="s">
        <v>6046</v>
      </c>
      <c r="N927" s="26" t="s">
        <v>4746</v>
      </c>
      <c r="O927" s="26" t="s">
        <v>4746</v>
      </c>
      <c r="P927" s="35"/>
      <c r="Q927" s="26" t="s">
        <v>56</v>
      </c>
      <c r="R927" s="26" t="s">
        <v>42</v>
      </c>
      <c r="S927" s="27" t="s">
        <v>3566</v>
      </c>
      <c r="T927" s="35"/>
      <c r="U927" s="26"/>
      <c r="V927" s="26"/>
      <c r="W927" s="26">
        <v>5.0</v>
      </c>
      <c r="X927" s="26"/>
    </row>
    <row r="928" hidden="1">
      <c r="A928" s="26">
        <v>928.0</v>
      </c>
      <c r="B928" s="188">
        <v>46195.0</v>
      </c>
      <c r="C928" s="26" t="s">
        <v>58</v>
      </c>
      <c r="D928" s="26" t="s">
        <v>57</v>
      </c>
      <c r="E928" s="26" t="s">
        <v>27</v>
      </c>
      <c r="F928" s="21">
        <v>5.34243126E8</v>
      </c>
      <c r="G928" s="26" t="s">
        <v>4852</v>
      </c>
      <c r="H928" s="27" t="s">
        <v>318</v>
      </c>
      <c r="I928" s="26" t="s">
        <v>27</v>
      </c>
      <c r="J928" s="209" t="s">
        <v>7617</v>
      </c>
      <c r="K928" s="27" t="s">
        <v>2806</v>
      </c>
      <c r="L928" s="26" t="s">
        <v>36</v>
      </c>
      <c r="M928" s="27" t="s">
        <v>1399</v>
      </c>
      <c r="N928" s="26" t="s">
        <v>4746</v>
      </c>
      <c r="O928" s="26" t="s">
        <v>4746</v>
      </c>
      <c r="P928" s="35"/>
      <c r="Q928" s="26" t="s">
        <v>56</v>
      </c>
      <c r="R928" s="26" t="s">
        <v>42</v>
      </c>
      <c r="S928" s="27" t="s">
        <v>3566</v>
      </c>
      <c r="T928" s="35"/>
      <c r="U928" s="26"/>
      <c r="V928" s="26"/>
      <c r="W928" s="26">
        <v>5.0</v>
      </c>
      <c r="X928" s="26"/>
    </row>
    <row r="929" hidden="1">
      <c r="A929" s="26">
        <v>929.0</v>
      </c>
      <c r="B929" s="188">
        <v>46195.0</v>
      </c>
      <c r="C929" s="26" t="s">
        <v>58</v>
      </c>
      <c r="D929" s="26" t="s">
        <v>57</v>
      </c>
      <c r="E929" s="26" t="s">
        <v>27</v>
      </c>
      <c r="F929" s="21">
        <v>5.02659885E8</v>
      </c>
      <c r="G929" s="26" t="s">
        <v>4852</v>
      </c>
      <c r="H929" s="27" t="s">
        <v>318</v>
      </c>
      <c r="I929" s="26" t="s">
        <v>27</v>
      </c>
      <c r="J929" s="209" t="s">
        <v>7617</v>
      </c>
      <c r="K929" s="27" t="s">
        <v>2806</v>
      </c>
      <c r="L929" s="26" t="s">
        <v>36</v>
      </c>
      <c r="M929" s="27" t="s">
        <v>1399</v>
      </c>
      <c r="N929" s="26" t="s">
        <v>4746</v>
      </c>
      <c r="O929" s="26" t="s">
        <v>4746</v>
      </c>
      <c r="P929" s="35"/>
      <c r="Q929" s="26" t="s">
        <v>56</v>
      </c>
      <c r="R929" s="26" t="s">
        <v>42</v>
      </c>
      <c r="S929" s="27" t="s">
        <v>3566</v>
      </c>
      <c r="T929" s="35"/>
      <c r="U929" s="26"/>
      <c r="V929" s="26"/>
      <c r="W929" s="26">
        <v>5.0</v>
      </c>
      <c r="X929" s="26"/>
    </row>
    <row r="930" hidden="1">
      <c r="A930" s="26">
        <v>930.0</v>
      </c>
      <c r="B930" s="188">
        <v>46195.0</v>
      </c>
      <c r="C930" s="26" t="s">
        <v>21</v>
      </c>
      <c r="D930" s="26" t="s">
        <v>22</v>
      </c>
      <c r="E930" s="27" t="s">
        <v>7618</v>
      </c>
      <c r="F930" s="21">
        <v>5.66008239E8</v>
      </c>
      <c r="G930" s="26" t="s">
        <v>4769</v>
      </c>
      <c r="H930" s="27" t="s">
        <v>752</v>
      </c>
      <c r="I930" s="26" t="s">
        <v>27</v>
      </c>
      <c r="J930" s="209" t="s">
        <v>7619</v>
      </c>
      <c r="K930" s="27"/>
      <c r="L930" s="26" t="s">
        <v>36</v>
      </c>
      <c r="M930" s="27" t="s">
        <v>4868</v>
      </c>
      <c r="N930" s="26" t="s">
        <v>4870</v>
      </c>
      <c r="O930" s="26" t="s">
        <v>4746</v>
      </c>
      <c r="P930" s="35"/>
      <c r="Q930" s="26" t="s">
        <v>40</v>
      </c>
      <c r="R930" s="26" t="s">
        <v>42</v>
      </c>
      <c r="S930" s="27" t="s">
        <v>3566</v>
      </c>
      <c r="T930" s="35"/>
      <c r="U930" s="26"/>
      <c r="V930" s="26"/>
      <c r="W930" s="26">
        <v>5.0</v>
      </c>
      <c r="X930" s="26" t="s">
        <v>46</v>
      </c>
    </row>
    <row r="931" hidden="1">
      <c r="A931" s="26">
        <v>931.0</v>
      </c>
      <c r="B931" s="188">
        <v>46195.0</v>
      </c>
      <c r="C931" s="26" t="s">
        <v>21</v>
      </c>
      <c r="D931" s="26" t="s">
        <v>24</v>
      </c>
      <c r="E931" s="27" t="s">
        <v>7620</v>
      </c>
      <c r="F931" s="21">
        <v>5.39500688E8</v>
      </c>
      <c r="G931" s="26" t="s">
        <v>4740</v>
      </c>
      <c r="H931" s="27" t="s">
        <v>71</v>
      </c>
      <c r="I931" s="26" t="s">
        <v>27</v>
      </c>
      <c r="J931" s="209" t="s">
        <v>7621</v>
      </c>
      <c r="K931" s="27"/>
      <c r="L931" s="26" t="s">
        <v>36</v>
      </c>
      <c r="M931" s="27" t="s">
        <v>4982</v>
      </c>
      <c r="N931" s="26" t="s">
        <v>4803</v>
      </c>
      <c r="O931" s="26" t="s">
        <v>4746</v>
      </c>
      <c r="P931" s="35"/>
      <c r="Q931" s="26" t="s">
        <v>56</v>
      </c>
      <c r="R931" s="26" t="s">
        <v>42</v>
      </c>
      <c r="S931" s="27" t="s">
        <v>3566</v>
      </c>
      <c r="T931" s="35"/>
      <c r="U931" s="26"/>
      <c r="V931" s="26"/>
      <c r="W931" s="26">
        <v>5.0</v>
      </c>
      <c r="X931" s="26" t="s">
        <v>46</v>
      </c>
    </row>
    <row r="932" hidden="1">
      <c r="A932" s="26">
        <v>932.0</v>
      </c>
      <c r="B932" s="188">
        <v>46195.0</v>
      </c>
      <c r="C932" s="26" t="s">
        <v>58</v>
      </c>
      <c r="D932" s="26" t="s">
        <v>57</v>
      </c>
      <c r="E932" s="26" t="s">
        <v>27</v>
      </c>
      <c r="F932" s="21">
        <v>5.59634516E8</v>
      </c>
      <c r="G932" s="26" t="s">
        <v>4852</v>
      </c>
      <c r="H932" s="27" t="s">
        <v>318</v>
      </c>
      <c r="I932" s="26" t="s">
        <v>27</v>
      </c>
      <c r="J932" s="209" t="s">
        <v>7617</v>
      </c>
      <c r="K932" s="27" t="s">
        <v>2806</v>
      </c>
      <c r="L932" s="26" t="s">
        <v>36</v>
      </c>
      <c r="M932" s="27" t="s">
        <v>1399</v>
      </c>
      <c r="N932" s="26" t="s">
        <v>4746</v>
      </c>
      <c r="O932" s="26" t="s">
        <v>4746</v>
      </c>
      <c r="P932" s="35"/>
      <c r="Q932" s="26" t="s">
        <v>56</v>
      </c>
      <c r="R932" s="26" t="s">
        <v>42</v>
      </c>
      <c r="S932" s="27" t="s">
        <v>3566</v>
      </c>
      <c r="T932" s="35"/>
      <c r="U932" s="26"/>
      <c r="V932" s="26"/>
      <c r="W932" s="26">
        <v>5.0</v>
      </c>
      <c r="X932" s="26"/>
    </row>
    <row r="933" hidden="1">
      <c r="A933" s="26">
        <v>933.0</v>
      </c>
      <c r="B933" s="188">
        <v>46195.0</v>
      </c>
      <c r="C933" s="26" t="s">
        <v>47</v>
      </c>
      <c r="D933" s="26" t="s">
        <v>48</v>
      </c>
      <c r="E933" s="27" t="s">
        <v>7622</v>
      </c>
      <c r="F933" s="21">
        <v>5.02799904E8</v>
      </c>
      <c r="G933" s="26" t="s">
        <v>4740</v>
      </c>
      <c r="H933" s="27" t="s">
        <v>79</v>
      </c>
      <c r="I933" s="26" t="s">
        <v>2109</v>
      </c>
      <c r="J933" s="209" t="s">
        <v>7623</v>
      </c>
      <c r="K933" s="27" t="s">
        <v>7624</v>
      </c>
      <c r="L933" s="26" t="s">
        <v>36</v>
      </c>
      <c r="M933" s="27" t="s">
        <v>3764</v>
      </c>
      <c r="N933" s="26" t="s">
        <v>4977</v>
      </c>
      <c r="O933" s="26" t="s">
        <v>49</v>
      </c>
      <c r="P933" s="35"/>
      <c r="Q933" s="26" t="s">
        <v>56</v>
      </c>
      <c r="R933" s="26" t="s">
        <v>518</v>
      </c>
      <c r="S933" s="27" t="s">
        <v>3765</v>
      </c>
      <c r="T933" s="27" t="s">
        <v>3566</v>
      </c>
      <c r="U933" s="26"/>
      <c r="V933" s="26"/>
      <c r="W933" s="26">
        <v>5.0</v>
      </c>
      <c r="X933" s="26" t="s">
        <v>46</v>
      </c>
    </row>
    <row r="934" hidden="1">
      <c r="A934" s="26">
        <v>934.0</v>
      </c>
      <c r="B934" s="188">
        <v>46195.0</v>
      </c>
      <c r="C934" s="26" t="s">
        <v>21</v>
      </c>
      <c r="D934" s="26" t="s">
        <v>24</v>
      </c>
      <c r="E934" s="27" t="s">
        <v>7625</v>
      </c>
      <c r="F934" s="21">
        <v>5.4256629E8</v>
      </c>
      <c r="G934" s="26" t="s">
        <v>7529</v>
      </c>
      <c r="H934" s="27" t="s">
        <v>267</v>
      </c>
      <c r="I934" s="26" t="s">
        <v>27</v>
      </c>
      <c r="J934" s="209" t="s">
        <v>7626</v>
      </c>
      <c r="K934" s="27"/>
      <c r="L934" s="26" t="s">
        <v>36</v>
      </c>
      <c r="M934" s="27" t="s">
        <v>5046</v>
      </c>
      <c r="N934" s="26" t="s">
        <v>4803</v>
      </c>
      <c r="O934" s="26" t="s">
        <v>49</v>
      </c>
      <c r="P934" s="35"/>
      <c r="Q934" s="26" t="s">
        <v>56</v>
      </c>
      <c r="R934" s="26" t="s">
        <v>42</v>
      </c>
      <c r="S934" s="27" t="s">
        <v>3566</v>
      </c>
      <c r="T934" s="35"/>
      <c r="U934" s="26"/>
      <c r="V934" s="26"/>
      <c r="W934" s="26">
        <v>5.0</v>
      </c>
      <c r="X934" s="26" t="s">
        <v>46</v>
      </c>
    </row>
    <row r="935" hidden="1">
      <c r="A935" s="26">
        <v>935.0</v>
      </c>
      <c r="B935" s="188">
        <v>46196.0</v>
      </c>
      <c r="C935" s="26" t="s">
        <v>58</v>
      </c>
      <c r="D935" s="26" t="s">
        <v>57</v>
      </c>
      <c r="E935" s="27" t="s">
        <v>7627</v>
      </c>
      <c r="F935" s="21">
        <v>5.77845265E8</v>
      </c>
      <c r="G935" s="26" t="s">
        <v>4769</v>
      </c>
      <c r="H935" s="27" t="s">
        <v>152</v>
      </c>
      <c r="I935" s="26" t="s">
        <v>27</v>
      </c>
      <c r="J935" s="209" t="s">
        <v>7628</v>
      </c>
      <c r="K935" s="27" t="s">
        <v>7629</v>
      </c>
      <c r="L935" s="26" t="s">
        <v>62</v>
      </c>
      <c r="M935" s="27" t="s">
        <v>1399</v>
      </c>
      <c r="N935" s="26" t="s">
        <v>4746</v>
      </c>
      <c r="O935" s="26" t="s">
        <v>4746</v>
      </c>
      <c r="P935" s="35"/>
      <c r="Q935" s="26" t="s">
        <v>56</v>
      </c>
      <c r="R935" s="26" t="s">
        <v>42</v>
      </c>
      <c r="S935" s="27" t="s">
        <v>3566</v>
      </c>
      <c r="T935" s="35"/>
      <c r="U935" s="26"/>
      <c r="V935" s="26"/>
      <c r="W935" s="26">
        <v>5.0</v>
      </c>
      <c r="X935" s="26"/>
    </row>
    <row r="936" hidden="1">
      <c r="A936" s="26">
        <v>936.0</v>
      </c>
      <c r="B936" s="188">
        <v>46196.0</v>
      </c>
      <c r="C936" s="26" t="s">
        <v>58</v>
      </c>
      <c r="D936" s="26" t="s">
        <v>57</v>
      </c>
      <c r="E936" s="26" t="s">
        <v>27</v>
      </c>
      <c r="F936" s="21">
        <v>5.33811957E8</v>
      </c>
      <c r="G936" s="26" t="s">
        <v>27</v>
      </c>
      <c r="H936" s="26" t="s">
        <v>27</v>
      </c>
      <c r="I936" s="26" t="s">
        <v>27</v>
      </c>
      <c r="J936" s="209" t="s">
        <v>1306</v>
      </c>
      <c r="K936" s="27"/>
      <c r="L936" s="26" t="s">
        <v>36</v>
      </c>
      <c r="M936" s="27" t="s">
        <v>1399</v>
      </c>
      <c r="N936" s="26" t="s">
        <v>4746</v>
      </c>
      <c r="O936" s="26" t="s">
        <v>4746</v>
      </c>
      <c r="P936" s="35"/>
      <c r="Q936" s="26" t="s">
        <v>56</v>
      </c>
      <c r="R936" s="26" t="s">
        <v>42</v>
      </c>
      <c r="S936" s="27" t="s">
        <v>3566</v>
      </c>
      <c r="T936" s="35"/>
      <c r="U936" s="26"/>
      <c r="V936" s="26"/>
      <c r="W936" s="26">
        <v>5.0</v>
      </c>
      <c r="X936" s="26"/>
    </row>
    <row r="937" hidden="1">
      <c r="A937" s="26">
        <v>937.0</v>
      </c>
      <c r="B937" s="188">
        <v>46196.0</v>
      </c>
      <c r="C937" s="26" t="s">
        <v>21</v>
      </c>
      <c r="D937" s="26" t="s">
        <v>66</v>
      </c>
      <c r="E937" s="27" t="s">
        <v>7630</v>
      </c>
      <c r="F937" s="21">
        <v>5.54712161E8</v>
      </c>
      <c r="G937" s="26" t="s">
        <v>27</v>
      </c>
      <c r="H937" s="26" t="s">
        <v>27</v>
      </c>
      <c r="I937" s="26" t="s">
        <v>27</v>
      </c>
      <c r="J937" s="209" t="s">
        <v>7631</v>
      </c>
      <c r="K937" s="27"/>
      <c r="L937" s="26" t="s">
        <v>62</v>
      </c>
      <c r="M937" s="27" t="s">
        <v>208</v>
      </c>
      <c r="N937" s="26" t="s">
        <v>49</v>
      </c>
      <c r="O937" s="26" t="s">
        <v>4746</v>
      </c>
      <c r="P937" s="35"/>
      <c r="Q937" s="26" t="s">
        <v>56</v>
      </c>
      <c r="R937" s="26" t="s">
        <v>301</v>
      </c>
      <c r="S937" s="27" t="s">
        <v>3566</v>
      </c>
      <c r="T937" s="35"/>
      <c r="U937" s="26"/>
      <c r="V937" s="26"/>
      <c r="W937" s="26">
        <v>5.0</v>
      </c>
      <c r="X937" s="26"/>
    </row>
    <row r="938" hidden="1">
      <c r="A938" s="26">
        <v>938.0</v>
      </c>
      <c r="B938" s="188">
        <v>46196.0</v>
      </c>
      <c r="C938" s="26" t="s">
        <v>58</v>
      </c>
      <c r="D938" s="26" t="s">
        <v>60</v>
      </c>
      <c r="E938" s="26" t="s">
        <v>27</v>
      </c>
      <c r="F938" s="21">
        <v>5.03606602E8</v>
      </c>
      <c r="G938" s="26" t="s">
        <v>27</v>
      </c>
      <c r="H938" s="26" t="s">
        <v>27</v>
      </c>
      <c r="I938" s="26" t="s">
        <v>27</v>
      </c>
      <c r="J938" s="209" t="s">
        <v>7632</v>
      </c>
      <c r="K938" s="27"/>
      <c r="L938" s="26" t="s">
        <v>62</v>
      </c>
      <c r="M938" s="27" t="s">
        <v>88</v>
      </c>
      <c r="N938" s="26" t="s">
        <v>4746</v>
      </c>
      <c r="O938" s="26" t="s">
        <v>4746</v>
      </c>
      <c r="P938" s="35"/>
      <c r="Q938" s="26" t="s">
        <v>56</v>
      </c>
      <c r="R938" s="26" t="s">
        <v>42</v>
      </c>
      <c r="S938" s="27" t="s">
        <v>3566</v>
      </c>
      <c r="T938" s="35"/>
      <c r="U938" s="26"/>
      <c r="V938" s="26"/>
      <c r="W938" s="26">
        <v>5.0</v>
      </c>
      <c r="X938" s="26"/>
    </row>
    <row r="939" hidden="1">
      <c r="A939" s="26">
        <v>939.0</v>
      </c>
      <c r="B939" s="188">
        <v>46196.0</v>
      </c>
      <c r="C939" s="26" t="s">
        <v>21</v>
      </c>
      <c r="D939" s="26" t="s">
        <v>66</v>
      </c>
      <c r="E939" s="27" t="s">
        <v>7633</v>
      </c>
      <c r="F939" s="21">
        <v>5.81211861E8</v>
      </c>
      <c r="G939" s="26" t="s">
        <v>27</v>
      </c>
      <c r="H939" s="26" t="s">
        <v>27</v>
      </c>
      <c r="I939" s="26" t="s">
        <v>27</v>
      </c>
      <c r="J939" s="209" t="s">
        <v>7634</v>
      </c>
      <c r="K939" s="27"/>
      <c r="L939" s="26" t="s">
        <v>62</v>
      </c>
      <c r="M939" s="27" t="s">
        <v>208</v>
      </c>
      <c r="N939" s="26" t="s">
        <v>49</v>
      </c>
      <c r="O939" s="26" t="s">
        <v>4746</v>
      </c>
      <c r="P939" s="35"/>
      <c r="Q939" s="26" t="s">
        <v>56</v>
      </c>
      <c r="R939" s="26" t="s">
        <v>518</v>
      </c>
      <c r="S939" s="27" t="s">
        <v>3566</v>
      </c>
      <c r="T939" s="35"/>
      <c r="U939" s="26"/>
      <c r="V939" s="26"/>
      <c r="W939" s="26">
        <v>5.0</v>
      </c>
      <c r="X939" s="26"/>
    </row>
    <row r="940" hidden="1">
      <c r="A940" s="26">
        <v>940.0</v>
      </c>
      <c r="B940" s="188">
        <v>46196.0</v>
      </c>
      <c r="C940" s="26" t="s">
        <v>58</v>
      </c>
      <c r="D940" s="26" t="s">
        <v>60</v>
      </c>
      <c r="E940" s="27" t="s">
        <v>7635</v>
      </c>
      <c r="F940" s="21">
        <v>5.68774249E8</v>
      </c>
      <c r="G940" s="26" t="s">
        <v>27</v>
      </c>
      <c r="H940" s="26" t="s">
        <v>27</v>
      </c>
      <c r="I940" s="26" t="s">
        <v>27</v>
      </c>
      <c r="J940" s="209" t="s">
        <v>7636</v>
      </c>
      <c r="K940" s="27"/>
      <c r="L940" s="26" t="s">
        <v>62</v>
      </c>
      <c r="M940" s="27" t="s">
        <v>88</v>
      </c>
      <c r="N940" s="26" t="s">
        <v>4746</v>
      </c>
      <c r="O940" s="26" t="s">
        <v>4746</v>
      </c>
      <c r="P940" s="35"/>
      <c r="Q940" s="26" t="s">
        <v>56</v>
      </c>
      <c r="R940" s="26" t="s">
        <v>42</v>
      </c>
      <c r="S940" s="27" t="s">
        <v>3566</v>
      </c>
      <c r="T940" s="35"/>
      <c r="U940" s="26"/>
      <c r="V940" s="26"/>
      <c r="W940" s="26">
        <v>5.0</v>
      </c>
      <c r="X940" s="26"/>
    </row>
    <row r="941" hidden="1">
      <c r="A941" s="26">
        <v>941.0</v>
      </c>
      <c r="B941" s="188">
        <v>46196.0</v>
      </c>
      <c r="C941" s="26" t="s">
        <v>58</v>
      </c>
      <c r="D941" s="26" t="s">
        <v>57</v>
      </c>
      <c r="E941" s="26" t="s">
        <v>27</v>
      </c>
      <c r="F941" s="21">
        <v>5.72836769E8</v>
      </c>
      <c r="G941" s="26" t="s">
        <v>27</v>
      </c>
      <c r="H941" s="26" t="s">
        <v>27</v>
      </c>
      <c r="I941" s="26" t="s">
        <v>27</v>
      </c>
      <c r="J941" s="209" t="s">
        <v>7617</v>
      </c>
      <c r="K941" s="27"/>
      <c r="L941" s="26" t="s">
        <v>36</v>
      </c>
      <c r="M941" s="27" t="s">
        <v>1399</v>
      </c>
      <c r="N941" s="26" t="s">
        <v>4746</v>
      </c>
      <c r="O941" s="26" t="s">
        <v>4746</v>
      </c>
      <c r="P941" s="35"/>
      <c r="Q941" s="26" t="s">
        <v>56</v>
      </c>
      <c r="R941" s="26" t="s">
        <v>42</v>
      </c>
      <c r="S941" s="27" t="s">
        <v>3566</v>
      </c>
      <c r="T941" s="35"/>
      <c r="U941" s="26"/>
      <c r="V941" s="26"/>
      <c r="W941" s="26">
        <v>5.0</v>
      </c>
      <c r="X941" s="26"/>
    </row>
    <row r="942" hidden="1">
      <c r="A942" s="26">
        <v>942.0</v>
      </c>
      <c r="B942" s="188">
        <v>46196.0</v>
      </c>
      <c r="C942" s="26" t="s">
        <v>58</v>
      </c>
      <c r="D942" s="26" t="s">
        <v>60</v>
      </c>
      <c r="E942" s="26" t="s">
        <v>27</v>
      </c>
      <c r="F942" s="21">
        <v>5.69957124E8</v>
      </c>
      <c r="G942" s="26" t="s">
        <v>27</v>
      </c>
      <c r="H942" s="26" t="s">
        <v>27</v>
      </c>
      <c r="I942" s="26" t="s">
        <v>27</v>
      </c>
      <c r="J942" s="209" t="s">
        <v>7637</v>
      </c>
      <c r="K942" s="27"/>
      <c r="L942" s="26" t="s">
        <v>36</v>
      </c>
      <c r="M942" s="27" t="s">
        <v>88</v>
      </c>
      <c r="N942" s="26" t="s">
        <v>4746</v>
      </c>
      <c r="O942" s="26" t="s">
        <v>4746</v>
      </c>
      <c r="P942" s="35"/>
      <c r="Q942" s="26" t="s">
        <v>56</v>
      </c>
      <c r="R942" s="26" t="s">
        <v>42</v>
      </c>
      <c r="S942" s="27" t="s">
        <v>3566</v>
      </c>
      <c r="T942" s="35"/>
      <c r="U942" s="26"/>
      <c r="V942" s="26"/>
      <c r="W942" s="26">
        <v>5.0</v>
      </c>
      <c r="X942" s="26"/>
    </row>
    <row r="943" hidden="1">
      <c r="A943" s="26">
        <v>943.0</v>
      </c>
      <c r="B943" s="188">
        <v>46196.0</v>
      </c>
      <c r="C943" s="26" t="s">
        <v>47</v>
      </c>
      <c r="D943" s="26" t="s">
        <v>48</v>
      </c>
      <c r="E943" s="27" t="s">
        <v>7638</v>
      </c>
      <c r="F943" s="21">
        <v>5.07067747E8</v>
      </c>
      <c r="G943" s="26" t="s">
        <v>5151</v>
      </c>
      <c r="H943" s="27" t="s">
        <v>28</v>
      </c>
      <c r="I943" s="26" t="s">
        <v>3190</v>
      </c>
      <c r="J943" s="209" t="s">
        <v>7822</v>
      </c>
      <c r="K943" s="27" t="s">
        <v>7640</v>
      </c>
      <c r="L943" s="26" t="s">
        <v>36</v>
      </c>
      <c r="M943" s="27" t="s">
        <v>5011</v>
      </c>
      <c r="N943" s="26" t="s">
        <v>4977</v>
      </c>
      <c r="O943" s="26" t="s">
        <v>4746</v>
      </c>
      <c r="P943" s="35"/>
      <c r="Q943" s="26" t="s">
        <v>56</v>
      </c>
      <c r="R943" s="26" t="s">
        <v>518</v>
      </c>
      <c r="S943" s="27" t="s">
        <v>3765</v>
      </c>
      <c r="T943" s="27" t="s">
        <v>3566</v>
      </c>
      <c r="U943" s="26"/>
      <c r="V943" s="26"/>
      <c r="W943" s="26">
        <v>5.0</v>
      </c>
      <c r="X943" s="26" t="s">
        <v>46</v>
      </c>
    </row>
    <row r="944" ht="141.75" hidden="1" customHeight="1">
      <c r="A944" s="26">
        <v>944.0</v>
      </c>
      <c r="B944" s="188">
        <v>46196.0</v>
      </c>
      <c r="C944" s="26" t="s">
        <v>47</v>
      </c>
      <c r="D944" s="26" t="s">
        <v>367</v>
      </c>
      <c r="E944" s="27" t="s">
        <v>7641</v>
      </c>
      <c r="F944" s="21">
        <v>5.5730019E8</v>
      </c>
      <c r="G944" s="26" t="s">
        <v>4769</v>
      </c>
      <c r="H944" s="27" t="s">
        <v>152</v>
      </c>
      <c r="I944" s="26" t="s">
        <v>272</v>
      </c>
      <c r="J944" s="209" t="s">
        <v>7642</v>
      </c>
      <c r="K944" s="27" t="s">
        <v>7643</v>
      </c>
      <c r="L944" s="26" t="s">
        <v>36</v>
      </c>
      <c r="M944" s="27" t="s">
        <v>98</v>
      </c>
      <c r="N944" s="26" t="s">
        <v>4917</v>
      </c>
      <c r="O944" s="26" t="s">
        <v>49</v>
      </c>
      <c r="P944" s="35"/>
      <c r="Q944" s="26" t="s">
        <v>56</v>
      </c>
      <c r="R944" s="26" t="s">
        <v>3811</v>
      </c>
      <c r="S944" s="27" t="s">
        <v>3566</v>
      </c>
      <c r="T944" s="35"/>
      <c r="U944" s="26"/>
      <c r="V944" s="26"/>
      <c r="W944" s="26">
        <v>5.0</v>
      </c>
      <c r="X944" s="26" t="s">
        <v>46</v>
      </c>
    </row>
    <row r="945" hidden="1">
      <c r="A945" s="26">
        <v>945.0</v>
      </c>
      <c r="B945" s="188">
        <v>46196.0</v>
      </c>
      <c r="C945" s="26" t="s">
        <v>47</v>
      </c>
      <c r="D945" s="26" t="s">
        <v>60</v>
      </c>
      <c r="E945" s="27" t="s">
        <v>5251</v>
      </c>
      <c r="F945" s="21">
        <v>5.55564346E8</v>
      </c>
      <c r="G945" s="26" t="s">
        <v>4740</v>
      </c>
      <c r="H945" s="27" t="s">
        <v>71</v>
      </c>
      <c r="I945" s="26" t="s">
        <v>27</v>
      </c>
      <c r="J945" s="209" t="s">
        <v>7644</v>
      </c>
      <c r="K945" s="27" t="s">
        <v>7645</v>
      </c>
      <c r="L945" s="26" t="s">
        <v>36</v>
      </c>
      <c r="M945" s="27" t="s">
        <v>38</v>
      </c>
      <c r="N945" s="26" t="s">
        <v>4746</v>
      </c>
      <c r="O945" s="26" t="s">
        <v>4746</v>
      </c>
      <c r="P945" s="35"/>
      <c r="Q945" s="26" t="s">
        <v>56</v>
      </c>
      <c r="R945" s="26" t="s">
        <v>42</v>
      </c>
      <c r="S945" s="27" t="s">
        <v>3566</v>
      </c>
      <c r="T945" s="35"/>
      <c r="U945" s="26"/>
      <c r="V945" s="26"/>
      <c r="W945" s="26">
        <v>5.0</v>
      </c>
      <c r="X945" s="26"/>
    </row>
    <row r="946" hidden="1">
      <c r="A946" s="26">
        <v>946.0</v>
      </c>
      <c r="B946" s="188">
        <v>46196.0</v>
      </c>
      <c r="C946" s="26" t="s">
        <v>58</v>
      </c>
      <c r="D946" s="26" t="s">
        <v>60</v>
      </c>
      <c r="E946" s="27" t="s">
        <v>7646</v>
      </c>
      <c r="F946" s="21">
        <v>5.42419192E8</v>
      </c>
      <c r="G946" s="26" t="s">
        <v>4740</v>
      </c>
      <c r="H946" s="27" t="s">
        <v>41</v>
      </c>
      <c r="I946" s="26" t="s">
        <v>27</v>
      </c>
      <c r="J946" s="209" t="s">
        <v>7647</v>
      </c>
      <c r="K946" s="27"/>
      <c r="L946" s="26" t="s">
        <v>36</v>
      </c>
      <c r="M946" s="27" t="s">
        <v>88</v>
      </c>
      <c r="N946" s="26" t="s">
        <v>4746</v>
      </c>
      <c r="O946" s="26" t="s">
        <v>4746</v>
      </c>
      <c r="P946" s="35"/>
      <c r="Q946" s="26" t="s">
        <v>56</v>
      </c>
      <c r="R946" s="26" t="s">
        <v>42</v>
      </c>
      <c r="S946" s="27" t="s">
        <v>3566</v>
      </c>
      <c r="T946" s="35"/>
      <c r="U946" s="26"/>
      <c r="V946" s="26"/>
      <c r="W946" s="26">
        <v>5.0</v>
      </c>
      <c r="X946" s="26"/>
    </row>
    <row r="947" hidden="1">
      <c r="A947" s="26">
        <v>947.0</v>
      </c>
      <c r="B947" s="188">
        <v>46196.0</v>
      </c>
      <c r="C947" s="26" t="s">
        <v>58</v>
      </c>
      <c r="D947" s="26" t="s">
        <v>60</v>
      </c>
      <c r="E947" s="26" t="s">
        <v>27</v>
      </c>
      <c r="F947" s="21">
        <v>5.59861828E8</v>
      </c>
      <c r="G947" s="26" t="s">
        <v>27</v>
      </c>
      <c r="H947" s="26" t="s">
        <v>27</v>
      </c>
      <c r="I947" s="26" t="s">
        <v>27</v>
      </c>
      <c r="J947" s="209" t="s">
        <v>359</v>
      </c>
      <c r="K947" s="27"/>
      <c r="L947" s="26" t="s">
        <v>36</v>
      </c>
      <c r="M947" s="27" t="s">
        <v>88</v>
      </c>
      <c r="N947" s="26" t="s">
        <v>4746</v>
      </c>
      <c r="O947" s="26" t="s">
        <v>4746</v>
      </c>
      <c r="P947" s="35"/>
      <c r="Q947" s="26" t="s">
        <v>56</v>
      </c>
      <c r="R947" s="26" t="s">
        <v>42</v>
      </c>
      <c r="S947" s="27" t="s">
        <v>3566</v>
      </c>
      <c r="T947" s="35"/>
      <c r="U947" s="26"/>
      <c r="V947" s="26"/>
      <c r="W947" s="26">
        <v>5.0</v>
      </c>
      <c r="X947" s="26"/>
    </row>
    <row r="948" hidden="1">
      <c r="A948" s="26">
        <v>948.0</v>
      </c>
      <c r="B948" s="188">
        <v>46196.0</v>
      </c>
      <c r="C948" s="26" t="s">
        <v>21</v>
      </c>
      <c r="D948" s="26" t="s">
        <v>22</v>
      </c>
      <c r="E948" s="27" t="s">
        <v>7648</v>
      </c>
      <c r="F948" s="21">
        <v>5.54242494E8</v>
      </c>
      <c r="G948" s="26" t="s">
        <v>4769</v>
      </c>
      <c r="H948" s="27" t="s">
        <v>152</v>
      </c>
      <c r="I948" s="26" t="s">
        <v>27</v>
      </c>
      <c r="J948" s="209" t="s">
        <v>7649</v>
      </c>
      <c r="K948" s="27"/>
      <c r="L948" s="26" t="s">
        <v>36</v>
      </c>
      <c r="M948" s="27" t="s">
        <v>1389</v>
      </c>
      <c r="N948" s="26" t="s">
        <v>4870</v>
      </c>
      <c r="O948" s="26" t="s">
        <v>4746</v>
      </c>
      <c r="P948" s="35"/>
      <c r="Q948" s="26" t="s">
        <v>40</v>
      </c>
      <c r="R948" s="26" t="s">
        <v>42</v>
      </c>
      <c r="S948" s="27" t="s">
        <v>3566</v>
      </c>
      <c r="T948" s="35"/>
      <c r="U948" s="26"/>
      <c r="V948" s="26"/>
      <c r="W948" s="26">
        <v>5.0</v>
      </c>
      <c r="X948" s="26" t="s">
        <v>46</v>
      </c>
    </row>
    <row r="949" hidden="1">
      <c r="A949" s="26">
        <v>949.0</v>
      </c>
      <c r="B949" s="188">
        <v>46196.0</v>
      </c>
      <c r="C949" s="26" t="s">
        <v>3766</v>
      </c>
      <c r="D949" s="26" t="s">
        <v>57</v>
      </c>
      <c r="E949" s="26" t="s">
        <v>7650</v>
      </c>
      <c r="F949" s="21" t="s">
        <v>27</v>
      </c>
      <c r="G949" s="26" t="s">
        <v>4740</v>
      </c>
      <c r="H949" s="27" t="s">
        <v>41</v>
      </c>
      <c r="I949" s="26" t="s">
        <v>27</v>
      </c>
      <c r="J949" s="209" t="s">
        <v>7651</v>
      </c>
      <c r="K949" s="27"/>
      <c r="L949" s="26" t="s">
        <v>3070</v>
      </c>
      <c r="M949" s="27" t="s">
        <v>6247</v>
      </c>
      <c r="N949" s="26" t="s">
        <v>4746</v>
      </c>
      <c r="O949" s="26" t="s">
        <v>4746</v>
      </c>
      <c r="P949" s="35"/>
      <c r="Q949" s="26" t="s">
        <v>56</v>
      </c>
      <c r="R949" s="26" t="s">
        <v>42</v>
      </c>
      <c r="S949" s="27" t="s">
        <v>3566</v>
      </c>
      <c r="T949" s="35"/>
      <c r="U949" s="26"/>
      <c r="V949" s="26"/>
      <c r="W949" s="26">
        <v>5.0</v>
      </c>
      <c r="X949" s="26"/>
    </row>
    <row r="950" hidden="1">
      <c r="A950" s="26">
        <v>950.0</v>
      </c>
      <c r="B950" s="188">
        <v>46196.0</v>
      </c>
      <c r="C950" s="26" t="s">
        <v>21</v>
      </c>
      <c r="D950" s="26" t="s">
        <v>22</v>
      </c>
      <c r="E950" s="27" t="s">
        <v>7652</v>
      </c>
      <c r="F950" s="21">
        <v>5.054771E8</v>
      </c>
      <c r="G950" s="26" t="s">
        <v>4769</v>
      </c>
      <c r="H950" s="27" t="s">
        <v>152</v>
      </c>
      <c r="I950" s="26" t="s">
        <v>27</v>
      </c>
      <c r="J950" s="209" t="s">
        <v>7653</v>
      </c>
      <c r="K950" s="27"/>
      <c r="L950" s="26" t="s">
        <v>36</v>
      </c>
      <c r="M950" s="27" t="s">
        <v>4868</v>
      </c>
      <c r="N950" s="26" t="s">
        <v>4870</v>
      </c>
      <c r="O950" s="26" t="s">
        <v>4746</v>
      </c>
      <c r="P950" s="35"/>
      <c r="Q950" s="26" t="s">
        <v>40</v>
      </c>
      <c r="R950" s="26" t="s">
        <v>42</v>
      </c>
      <c r="S950" s="27" t="s">
        <v>3566</v>
      </c>
      <c r="T950" s="35"/>
      <c r="U950" s="26"/>
      <c r="V950" s="26"/>
      <c r="W950" s="26">
        <v>5.0</v>
      </c>
      <c r="X950" s="26" t="s">
        <v>46</v>
      </c>
    </row>
    <row r="951" hidden="1">
      <c r="A951" s="26">
        <v>951.0</v>
      </c>
      <c r="B951" s="188">
        <v>46196.0</v>
      </c>
      <c r="C951" s="26" t="s">
        <v>47</v>
      </c>
      <c r="D951" s="26" t="s">
        <v>92</v>
      </c>
      <c r="E951" s="27" t="s">
        <v>7654</v>
      </c>
      <c r="F951" s="21">
        <v>5.01876784E8</v>
      </c>
      <c r="G951" s="26" t="s">
        <v>4740</v>
      </c>
      <c r="H951" s="27" t="s">
        <v>71</v>
      </c>
      <c r="I951" s="26" t="s">
        <v>94</v>
      </c>
      <c r="J951" s="209" t="s">
        <v>7655</v>
      </c>
      <c r="K951" s="27"/>
      <c r="L951" s="26" t="s">
        <v>36</v>
      </c>
      <c r="M951" s="27" t="s">
        <v>7750</v>
      </c>
      <c r="N951" s="26" t="s">
        <v>4637</v>
      </c>
      <c r="O951" s="26" t="s">
        <v>4746</v>
      </c>
      <c r="P951" s="35"/>
      <c r="Q951" s="26" t="s">
        <v>40</v>
      </c>
      <c r="R951" s="26" t="s">
        <v>42</v>
      </c>
      <c r="S951" s="27" t="s">
        <v>3566</v>
      </c>
      <c r="T951" s="35"/>
      <c r="U951" s="26"/>
      <c r="V951" s="26"/>
      <c r="W951" s="26">
        <v>5.0</v>
      </c>
      <c r="X951" s="26" t="s">
        <v>46</v>
      </c>
    </row>
    <row r="952" hidden="1">
      <c r="A952" s="26">
        <v>952.0</v>
      </c>
      <c r="B952" s="188">
        <v>46196.0</v>
      </c>
      <c r="C952" s="26" t="s">
        <v>47</v>
      </c>
      <c r="D952" s="26" t="s">
        <v>48</v>
      </c>
      <c r="E952" s="27" t="s">
        <v>7656</v>
      </c>
      <c r="F952" s="21">
        <v>5.63436668E8</v>
      </c>
      <c r="G952" s="26" t="s">
        <v>4740</v>
      </c>
      <c r="H952" s="27" t="s">
        <v>79</v>
      </c>
      <c r="I952" s="26" t="s">
        <v>431</v>
      </c>
      <c r="J952" s="209" t="s">
        <v>7657</v>
      </c>
      <c r="K952" s="27"/>
      <c r="L952" s="26" t="s">
        <v>36</v>
      </c>
      <c r="M952" s="27" t="s">
        <v>5011</v>
      </c>
      <c r="N952" s="26" t="s">
        <v>4977</v>
      </c>
      <c r="O952" s="26" t="s">
        <v>4746</v>
      </c>
      <c r="P952" s="35"/>
      <c r="Q952" s="26" t="s">
        <v>40</v>
      </c>
      <c r="R952" s="26" t="s">
        <v>518</v>
      </c>
      <c r="S952" s="27" t="s">
        <v>3765</v>
      </c>
      <c r="T952" s="27" t="s">
        <v>3566</v>
      </c>
      <c r="U952" s="26"/>
      <c r="V952" s="26"/>
      <c r="W952" s="26">
        <v>5.0</v>
      </c>
      <c r="X952" s="26" t="s">
        <v>46</v>
      </c>
    </row>
    <row r="953" hidden="1">
      <c r="A953" s="26">
        <v>953.0</v>
      </c>
      <c r="B953" s="188">
        <v>46196.0</v>
      </c>
      <c r="C953" s="26" t="s">
        <v>47</v>
      </c>
      <c r="D953" s="26" t="s">
        <v>92</v>
      </c>
      <c r="E953" s="27" t="s">
        <v>3823</v>
      </c>
      <c r="F953" s="21">
        <v>5.480802E8</v>
      </c>
      <c r="G953" s="26" t="s">
        <v>4865</v>
      </c>
      <c r="H953" s="27" t="s">
        <v>319</v>
      </c>
      <c r="I953" s="26" t="s">
        <v>3826</v>
      </c>
      <c r="J953" s="209" t="s">
        <v>7823</v>
      </c>
      <c r="K953" s="27"/>
      <c r="L953" s="26" t="s">
        <v>36</v>
      </c>
      <c r="M953" s="27" t="s">
        <v>7750</v>
      </c>
      <c r="N953" s="26" t="s">
        <v>4637</v>
      </c>
      <c r="O953" s="26" t="s">
        <v>4746</v>
      </c>
      <c r="P953" s="35"/>
      <c r="Q953" s="26" t="s">
        <v>40</v>
      </c>
      <c r="R953" s="26" t="s">
        <v>42</v>
      </c>
      <c r="S953" s="27" t="s">
        <v>3566</v>
      </c>
      <c r="T953" s="35"/>
      <c r="U953" s="26"/>
      <c r="V953" s="26" t="s">
        <v>44</v>
      </c>
      <c r="W953" s="26">
        <v>5.0</v>
      </c>
      <c r="X953" s="26" t="s">
        <v>46</v>
      </c>
    </row>
    <row r="954" hidden="1">
      <c r="A954" s="26">
        <v>954.0</v>
      </c>
      <c r="B954" s="188">
        <v>46196.0</v>
      </c>
      <c r="C954" s="26" t="s">
        <v>21</v>
      </c>
      <c r="D954" s="26" t="s">
        <v>22</v>
      </c>
      <c r="E954" s="27" t="s">
        <v>7659</v>
      </c>
      <c r="F954" s="21">
        <v>5.51514433E8</v>
      </c>
      <c r="G954" s="463" t="s">
        <v>7824</v>
      </c>
      <c r="H954" s="27" t="s">
        <v>112</v>
      </c>
      <c r="I954" s="26" t="s">
        <v>27</v>
      </c>
      <c r="J954" s="209" t="s">
        <v>7660</v>
      </c>
      <c r="K954" s="27"/>
      <c r="L954" s="26" t="s">
        <v>36</v>
      </c>
      <c r="M954" s="27" t="s">
        <v>1389</v>
      </c>
      <c r="N954" s="26" t="s">
        <v>4870</v>
      </c>
      <c r="O954" s="26" t="s">
        <v>4746</v>
      </c>
      <c r="P954" s="35"/>
      <c r="Q954" s="26" t="s">
        <v>40</v>
      </c>
      <c r="R954" s="26" t="s">
        <v>42</v>
      </c>
      <c r="S954" s="27" t="s">
        <v>3566</v>
      </c>
      <c r="T954" s="35"/>
      <c r="U954" s="26"/>
      <c r="V954" s="26"/>
      <c r="W954" s="26">
        <v>5.0</v>
      </c>
      <c r="X954" s="26" t="s">
        <v>46</v>
      </c>
    </row>
    <row r="955" hidden="1">
      <c r="A955" s="26">
        <v>955.0</v>
      </c>
      <c r="B955" s="188">
        <v>46196.0</v>
      </c>
      <c r="C955" s="26" t="s">
        <v>47</v>
      </c>
      <c r="D955" s="26" t="s">
        <v>48</v>
      </c>
      <c r="E955" s="27" t="s">
        <v>7661</v>
      </c>
      <c r="F955" s="21">
        <v>5.42419192E8</v>
      </c>
      <c r="G955" s="26" t="s">
        <v>4740</v>
      </c>
      <c r="H955" s="27" t="s">
        <v>41</v>
      </c>
      <c r="I955" s="26" t="s">
        <v>193</v>
      </c>
      <c r="J955" s="209" t="s">
        <v>7662</v>
      </c>
      <c r="K955" s="27" t="s">
        <v>7663</v>
      </c>
      <c r="L955" s="26" t="s">
        <v>148</v>
      </c>
      <c r="M955" s="27" t="s">
        <v>5011</v>
      </c>
      <c r="N955" s="26" t="s">
        <v>4977</v>
      </c>
      <c r="O955" s="26" t="s">
        <v>49</v>
      </c>
      <c r="P955" s="35"/>
      <c r="Q955" s="26" t="s">
        <v>56</v>
      </c>
      <c r="R955" s="26" t="s">
        <v>518</v>
      </c>
      <c r="S955" s="27" t="s">
        <v>3765</v>
      </c>
      <c r="T955" s="35"/>
      <c r="U955" s="26"/>
      <c r="V955" s="26"/>
      <c r="W955" s="26">
        <v>5.0</v>
      </c>
      <c r="X955" s="26" t="s">
        <v>46</v>
      </c>
    </row>
    <row r="956" hidden="1">
      <c r="A956" s="26">
        <v>956.0</v>
      </c>
      <c r="B956" s="188">
        <v>46196.0</v>
      </c>
      <c r="C956" s="26" t="s">
        <v>21</v>
      </c>
      <c r="D956" s="26" t="s">
        <v>66</v>
      </c>
      <c r="E956" s="27" t="s">
        <v>7664</v>
      </c>
      <c r="F956" s="21">
        <v>1.12690091E8</v>
      </c>
      <c r="G956" s="26" t="s">
        <v>4769</v>
      </c>
      <c r="H956" s="27" t="s">
        <v>152</v>
      </c>
      <c r="I956" s="26" t="s">
        <v>27</v>
      </c>
      <c r="J956" s="209" t="s">
        <v>7665</v>
      </c>
      <c r="K956" s="27"/>
      <c r="L956" s="26" t="s">
        <v>36</v>
      </c>
      <c r="M956" s="27" t="s">
        <v>208</v>
      </c>
      <c r="N956" s="26" t="s">
        <v>49</v>
      </c>
      <c r="O956" s="26" t="s">
        <v>4746</v>
      </c>
      <c r="P956" s="35"/>
      <c r="Q956" s="26" t="s">
        <v>56</v>
      </c>
      <c r="R956" s="26" t="s">
        <v>301</v>
      </c>
      <c r="S956" s="27" t="s">
        <v>3566</v>
      </c>
      <c r="T956" s="35"/>
      <c r="U956" s="26"/>
      <c r="V956" s="26"/>
      <c r="W956" s="26">
        <v>5.0</v>
      </c>
      <c r="X956" s="26"/>
    </row>
    <row r="957" hidden="1">
      <c r="A957" s="26">
        <v>957.0</v>
      </c>
      <c r="B957" s="188">
        <v>46196.0</v>
      </c>
      <c r="C957" s="26" t="s">
        <v>58</v>
      </c>
      <c r="D957" s="26" t="s">
        <v>60</v>
      </c>
      <c r="E957" s="26" t="s">
        <v>27</v>
      </c>
      <c r="F957" s="21">
        <v>5.07231541E8</v>
      </c>
      <c r="G957" s="26" t="s">
        <v>4740</v>
      </c>
      <c r="H957" s="27" t="s">
        <v>71</v>
      </c>
      <c r="I957" s="26" t="s">
        <v>27</v>
      </c>
      <c r="J957" s="209" t="s">
        <v>7637</v>
      </c>
      <c r="K957" s="27"/>
      <c r="L957" s="26" t="s">
        <v>36</v>
      </c>
      <c r="M957" s="27" t="s">
        <v>88</v>
      </c>
      <c r="N957" s="26" t="s">
        <v>4746</v>
      </c>
      <c r="O957" s="26" t="s">
        <v>4746</v>
      </c>
      <c r="P957" s="35"/>
      <c r="Q957" s="26" t="s">
        <v>56</v>
      </c>
      <c r="R957" s="26" t="s">
        <v>42</v>
      </c>
      <c r="S957" s="27" t="s">
        <v>3566</v>
      </c>
      <c r="T957" s="35"/>
      <c r="U957" s="26"/>
      <c r="V957" s="26"/>
      <c r="W957" s="26">
        <v>5.0</v>
      </c>
      <c r="X957" s="26"/>
    </row>
    <row r="958" hidden="1">
      <c r="A958" s="26">
        <v>958.0</v>
      </c>
      <c r="B958" s="188">
        <v>46196.0</v>
      </c>
      <c r="C958" s="26" t="s">
        <v>21</v>
      </c>
      <c r="D958" s="26" t="s">
        <v>66</v>
      </c>
      <c r="E958" s="27" t="s">
        <v>7666</v>
      </c>
      <c r="F958" s="21">
        <v>5.57117643E8</v>
      </c>
      <c r="G958" s="26" t="s">
        <v>4769</v>
      </c>
      <c r="H958" s="27" t="s">
        <v>152</v>
      </c>
      <c r="I958" s="26" t="s">
        <v>27</v>
      </c>
      <c r="J958" s="209" t="s">
        <v>7667</v>
      </c>
      <c r="K958" s="27"/>
      <c r="L958" s="26" t="s">
        <v>36</v>
      </c>
      <c r="M958" s="27" t="s">
        <v>208</v>
      </c>
      <c r="N958" s="26" t="s">
        <v>49</v>
      </c>
      <c r="O958" s="26" t="s">
        <v>4746</v>
      </c>
      <c r="P958" s="35"/>
      <c r="Q958" s="26" t="s">
        <v>56</v>
      </c>
      <c r="R958" s="26" t="s">
        <v>518</v>
      </c>
      <c r="S958" s="27" t="s">
        <v>3566</v>
      </c>
      <c r="T958" s="35"/>
      <c r="U958" s="26"/>
      <c r="V958" s="26"/>
      <c r="W958" s="26">
        <v>5.0</v>
      </c>
      <c r="X958" s="26"/>
    </row>
    <row r="959" hidden="1">
      <c r="A959" s="26">
        <v>959.0</v>
      </c>
      <c r="B959" s="188">
        <v>46196.0</v>
      </c>
      <c r="C959" s="26" t="s">
        <v>58</v>
      </c>
      <c r="D959" s="26" t="s">
        <v>66</v>
      </c>
      <c r="E959" s="27"/>
      <c r="F959" s="21">
        <v>5.62868418E8</v>
      </c>
      <c r="G959" s="26" t="s">
        <v>27</v>
      </c>
      <c r="H959" s="26" t="s">
        <v>27</v>
      </c>
      <c r="I959" s="26" t="s">
        <v>27</v>
      </c>
      <c r="J959" s="209" t="s">
        <v>7668</v>
      </c>
      <c r="K959" s="27" t="s">
        <v>7669</v>
      </c>
      <c r="L959" s="26" t="s">
        <v>62</v>
      </c>
      <c r="M959" s="27" t="s">
        <v>208</v>
      </c>
      <c r="N959" s="26" t="s">
        <v>49</v>
      </c>
      <c r="O959" s="26" t="s">
        <v>4746</v>
      </c>
      <c r="P959" s="35"/>
      <c r="Q959" s="26" t="s">
        <v>56</v>
      </c>
      <c r="R959" s="26" t="s">
        <v>301</v>
      </c>
      <c r="S959" s="27" t="s">
        <v>3566</v>
      </c>
      <c r="T959" s="35"/>
      <c r="U959" s="26"/>
      <c r="V959" s="26"/>
      <c r="W959" s="26">
        <v>5.0</v>
      </c>
      <c r="X959" s="26"/>
    </row>
    <row r="960" hidden="1">
      <c r="A960" s="26">
        <v>960.0</v>
      </c>
      <c r="B960" s="188">
        <v>46197.0</v>
      </c>
      <c r="C960" s="26" t="s">
        <v>21</v>
      </c>
      <c r="D960" s="26" t="s">
        <v>22</v>
      </c>
      <c r="E960" s="27" t="s">
        <v>7670</v>
      </c>
      <c r="F960" s="21">
        <v>5.56644553E8</v>
      </c>
      <c r="G960" s="26" t="s">
        <v>4975</v>
      </c>
      <c r="H960" s="27" t="s">
        <v>362</v>
      </c>
      <c r="I960" s="26" t="s">
        <v>27</v>
      </c>
      <c r="J960" s="209" t="s">
        <v>7671</v>
      </c>
      <c r="K960" s="27"/>
      <c r="L960" s="26" t="s">
        <v>36</v>
      </c>
      <c r="M960" s="27" t="s">
        <v>4868</v>
      </c>
      <c r="N960" s="26" t="s">
        <v>4870</v>
      </c>
      <c r="O960" s="26" t="s">
        <v>4746</v>
      </c>
      <c r="P960" s="35"/>
      <c r="Q960" s="26" t="s">
        <v>40</v>
      </c>
      <c r="R960" s="26" t="s">
        <v>42</v>
      </c>
      <c r="S960" s="27" t="s">
        <v>3566</v>
      </c>
      <c r="T960" s="35"/>
      <c r="U960" s="26"/>
      <c r="V960" s="26"/>
      <c r="W960" s="26">
        <v>5.0</v>
      </c>
      <c r="X960" s="26" t="s">
        <v>46</v>
      </c>
    </row>
    <row r="961" ht="20.25" hidden="1" customHeight="1">
      <c r="A961" s="26">
        <v>961.0</v>
      </c>
      <c r="B961" s="188">
        <v>46197.0</v>
      </c>
      <c r="C961" s="26" t="s">
        <v>58</v>
      </c>
      <c r="D961" s="26" t="s">
        <v>60</v>
      </c>
      <c r="E961" s="26" t="s">
        <v>27</v>
      </c>
      <c r="F961" s="21">
        <v>5.61015755E8</v>
      </c>
      <c r="G961" s="26" t="s">
        <v>4740</v>
      </c>
      <c r="H961" s="27" t="s">
        <v>41</v>
      </c>
      <c r="I961" s="26" t="s">
        <v>27</v>
      </c>
      <c r="J961" s="209" t="s">
        <v>7672</v>
      </c>
      <c r="K961" s="27"/>
      <c r="L961" s="26" t="s">
        <v>36</v>
      </c>
      <c r="M961" s="27" t="s">
        <v>88</v>
      </c>
      <c r="N961" s="26" t="s">
        <v>49</v>
      </c>
      <c r="O961" s="26" t="s">
        <v>49</v>
      </c>
      <c r="P961" s="35"/>
      <c r="Q961" s="26" t="s">
        <v>56</v>
      </c>
      <c r="R961" s="26" t="s">
        <v>42</v>
      </c>
      <c r="S961" s="27" t="s">
        <v>3566</v>
      </c>
      <c r="T961" s="35"/>
      <c r="U961" s="26"/>
      <c r="V961" s="26"/>
      <c r="W961" s="26">
        <v>5.0</v>
      </c>
      <c r="X961" s="26"/>
    </row>
    <row r="962" hidden="1">
      <c r="A962" s="26">
        <v>962.0</v>
      </c>
      <c r="B962" s="188">
        <v>46197.0</v>
      </c>
      <c r="C962" s="26" t="s">
        <v>21</v>
      </c>
      <c r="D962" s="26" t="s">
        <v>24</v>
      </c>
      <c r="E962" s="27" t="s">
        <v>7673</v>
      </c>
      <c r="F962" s="21">
        <v>5.05126858E8</v>
      </c>
      <c r="G962" s="26" t="s">
        <v>4740</v>
      </c>
      <c r="H962" s="27" t="s">
        <v>71</v>
      </c>
      <c r="I962" s="26" t="s">
        <v>27</v>
      </c>
      <c r="J962" s="209" t="s">
        <v>7674</v>
      </c>
      <c r="K962" s="27"/>
      <c r="L962" s="26" t="s">
        <v>36</v>
      </c>
      <c r="M962" s="27" t="s">
        <v>630</v>
      </c>
      <c r="N962" s="26" t="s">
        <v>4803</v>
      </c>
      <c r="O962" s="26" t="s">
        <v>4746</v>
      </c>
      <c r="P962" s="35"/>
      <c r="Q962" s="26" t="s">
        <v>56</v>
      </c>
      <c r="R962" s="464" t="s">
        <v>301</v>
      </c>
      <c r="S962" s="27" t="s">
        <v>3566</v>
      </c>
      <c r="T962" s="35"/>
      <c r="U962" s="26"/>
      <c r="V962" s="26"/>
      <c r="W962" s="26">
        <v>5.0</v>
      </c>
      <c r="X962" s="26" t="s">
        <v>46</v>
      </c>
    </row>
    <row r="963" hidden="1">
      <c r="A963" s="26">
        <v>963.0</v>
      </c>
      <c r="B963" s="188">
        <v>46197.0</v>
      </c>
      <c r="C963" s="26" t="s">
        <v>58</v>
      </c>
      <c r="D963" s="26" t="s">
        <v>60</v>
      </c>
      <c r="E963" s="27"/>
      <c r="F963" s="21">
        <v>5.61015755E8</v>
      </c>
      <c r="G963" s="26" t="s">
        <v>27</v>
      </c>
      <c r="H963" s="26" t="s">
        <v>27</v>
      </c>
      <c r="I963" s="26" t="s">
        <v>27</v>
      </c>
      <c r="J963" s="209" t="s">
        <v>1945</v>
      </c>
      <c r="K963" s="27"/>
      <c r="L963" s="26" t="s">
        <v>36</v>
      </c>
      <c r="M963" s="27" t="s">
        <v>88</v>
      </c>
      <c r="N963" s="26" t="s">
        <v>4746</v>
      </c>
      <c r="O963" s="26" t="s">
        <v>4746</v>
      </c>
      <c r="P963" s="35"/>
      <c r="Q963" s="26" t="s">
        <v>56</v>
      </c>
      <c r="R963" s="26" t="s">
        <v>42</v>
      </c>
      <c r="S963" s="27" t="s">
        <v>3566</v>
      </c>
      <c r="T963" s="35"/>
      <c r="U963" s="26"/>
      <c r="V963" s="26"/>
      <c r="W963" s="26">
        <v>5.0</v>
      </c>
      <c r="X963" s="26"/>
    </row>
    <row r="964" hidden="1">
      <c r="A964" s="26">
        <v>964.0</v>
      </c>
      <c r="B964" s="188">
        <v>46197.0</v>
      </c>
      <c r="C964" s="26" t="s">
        <v>47</v>
      </c>
      <c r="D964" s="26" t="s">
        <v>48</v>
      </c>
      <c r="E964" s="27" t="s">
        <v>7675</v>
      </c>
      <c r="F964" s="21">
        <v>5.61390548E8</v>
      </c>
      <c r="G964" s="26" t="s">
        <v>4740</v>
      </c>
      <c r="H964" s="27" t="s">
        <v>41</v>
      </c>
      <c r="I964" s="26" t="s">
        <v>914</v>
      </c>
      <c r="J964" s="209" t="s">
        <v>7825</v>
      </c>
      <c r="K964" s="27"/>
      <c r="L964" s="26" t="s">
        <v>62</v>
      </c>
      <c r="M964" s="27" t="s">
        <v>611</v>
      </c>
      <c r="N964" s="26" t="s">
        <v>4977</v>
      </c>
      <c r="O964" s="26" t="s">
        <v>4746</v>
      </c>
      <c r="P964" s="35"/>
      <c r="Q964" s="26" t="s">
        <v>40</v>
      </c>
      <c r="R964" s="26" t="s">
        <v>518</v>
      </c>
      <c r="S964" s="27" t="s">
        <v>3765</v>
      </c>
      <c r="T964" s="35"/>
      <c r="U964" s="26"/>
      <c r="V964" s="26"/>
      <c r="W964" s="26">
        <v>5.0</v>
      </c>
      <c r="X964" s="26" t="s">
        <v>46</v>
      </c>
    </row>
    <row r="965" ht="32.25" hidden="1" customHeight="1">
      <c r="A965" s="26">
        <v>965.0</v>
      </c>
      <c r="B965" s="188">
        <v>46197.0</v>
      </c>
      <c r="C965" s="26" t="s">
        <v>47</v>
      </c>
      <c r="D965" s="26" t="s">
        <v>24</v>
      </c>
      <c r="E965" s="27" t="s">
        <v>7677</v>
      </c>
      <c r="F965" s="21">
        <v>5.49777758E8</v>
      </c>
      <c r="G965" s="26" t="s">
        <v>4769</v>
      </c>
      <c r="H965" s="27" t="s">
        <v>333</v>
      </c>
      <c r="I965" s="26" t="s">
        <v>650</v>
      </c>
      <c r="J965" s="368" t="s">
        <v>7826</v>
      </c>
      <c r="K965" s="27" t="s">
        <v>7679</v>
      </c>
      <c r="L965" s="26" t="s">
        <v>62</v>
      </c>
      <c r="M965" s="27" t="s">
        <v>5430</v>
      </c>
      <c r="N965" s="26" t="s">
        <v>49</v>
      </c>
      <c r="O965" s="26" t="s">
        <v>4746</v>
      </c>
      <c r="P965" s="35"/>
      <c r="Q965" s="26" t="s">
        <v>56</v>
      </c>
      <c r="R965" s="26" t="s">
        <v>518</v>
      </c>
      <c r="S965" s="27" t="s">
        <v>3566</v>
      </c>
      <c r="T965" s="35"/>
      <c r="U965" s="26"/>
      <c r="V965" s="26"/>
      <c r="W965" s="26">
        <v>5.0</v>
      </c>
      <c r="X965" s="26"/>
    </row>
    <row r="966" hidden="1">
      <c r="A966" s="26">
        <v>966.0</v>
      </c>
      <c r="B966" s="188">
        <v>46197.0</v>
      </c>
      <c r="C966" s="26" t="s">
        <v>58</v>
      </c>
      <c r="D966" s="26" t="s">
        <v>22</v>
      </c>
      <c r="E966" s="27" t="s">
        <v>4856</v>
      </c>
      <c r="F966" s="465">
        <v>5.68030565E8</v>
      </c>
      <c r="G966" s="26" t="s">
        <v>5151</v>
      </c>
      <c r="H966" s="466" t="s">
        <v>28</v>
      </c>
      <c r="I966" s="26" t="s">
        <v>27</v>
      </c>
      <c r="J966" s="209" t="s">
        <v>7680</v>
      </c>
      <c r="K966" s="27"/>
      <c r="L966" s="26" t="s">
        <v>62</v>
      </c>
      <c r="M966" s="27" t="s">
        <v>1389</v>
      </c>
      <c r="N966" s="26" t="s">
        <v>49</v>
      </c>
      <c r="O966" s="26" t="s">
        <v>4746</v>
      </c>
      <c r="P966" s="35"/>
      <c r="Q966" s="26" t="s">
        <v>40</v>
      </c>
      <c r="R966" s="26" t="s">
        <v>301</v>
      </c>
      <c r="S966" s="27" t="s">
        <v>3566</v>
      </c>
      <c r="T966" s="35"/>
      <c r="U966" s="26"/>
      <c r="V966" s="26"/>
      <c r="W966" s="26">
        <v>5.0</v>
      </c>
      <c r="X966" s="26"/>
    </row>
    <row r="967" hidden="1">
      <c r="A967" s="26">
        <v>967.0</v>
      </c>
      <c r="B967" s="188">
        <v>46197.0</v>
      </c>
      <c r="C967" s="26" t="s">
        <v>21</v>
      </c>
      <c r="D967" s="26" t="s">
        <v>66</v>
      </c>
      <c r="E967" s="27" t="s">
        <v>7681</v>
      </c>
      <c r="F967" s="21">
        <v>5.33181152E8</v>
      </c>
      <c r="G967" s="26" t="s">
        <v>27</v>
      </c>
      <c r="H967" s="26" t="s">
        <v>27</v>
      </c>
      <c r="I967" s="26" t="s">
        <v>27</v>
      </c>
      <c r="J967" s="209" t="s">
        <v>7682</v>
      </c>
      <c r="K967" s="27"/>
      <c r="L967" s="26" t="s">
        <v>62</v>
      </c>
      <c r="M967" s="27" t="s">
        <v>208</v>
      </c>
      <c r="N967" s="26" t="s">
        <v>49</v>
      </c>
      <c r="O967" s="26" t="s">
        <v>4746</v>
      </c>
      <c r="P967" s="35"/>
      <c r="Q967" s="26" t="s">
        <v>56</v>
      </c>
      <c r="R967" s="26" t="s">
        <v>518</v>
      </c>
      <c r="S967" s="27" t="s">
        <v>3566</v>
      </c>
      <c r="T967" s="35"/>
      <c r="U967" s="26"/>
      <c r="V967" s="26"/>
      <c r="W967" s="26">
        <v>5.0</v>
      </c>
      <c r="X967" s="26"/>
    </row>
    <row r="968" hidden="1">
      <c r="A968" s="26">
        <v>968.0</v>
      </c>
      <c r="B968" s="188">
        <v>46197.0</v>
      </c>
      <c r="C968" s="26" t="s">
        <v>21</v>
      </c>
      <c r="D968" s="26" t="s">
        <v>22</v>
      </c>
      <c r="E968" s="27" t="s">
        <v>7683</v>
      </c>
      <c r="F968" s="21">
        <v>5.55700021E8</v>
      </c>
      <c r="G968" s="26" t="s">
        <v>4740</v>
      </c>
      <c r="H968" s="27" t="s">
        <v>41</v>
      </c>
      <c r="I968" s="26" t="s">
        <v>27</v>
      </c>
      <c r="J968" s="209" t="s">
        <v>7684</v>
      </c>
      <c r="K968" s="27"/>
      <c r="L968" s="26" t="s">
        <v>62</v>
      </c>
      <c r="M968" s="27" t="s">
        <v>4868</v>
      </c>
      <c r="N968" s="26" t="s">
        <v>4870</v>
      </c>
      <c r="O968" s="26" t="s">
        <v>4746</v>
      </c>
      <c r="P968" s="35"/>
      <c r="Q968" s="26" t="s">
        <v>40</v>
      </c>
      <c r="R968" s="26" t="s">
        <v>42</v>
      </c>
      <c r="S968" s="27" t="s">
        <v>3566</v>
      </c>
      <c r="T968" s="35"/>
      <c r="U968" s="26"/>
      <c r="V968" s="26"/>
      <c r="W968" s="26">
        <v>5.0</v>
      </c>
      <c r="X968" s="26" t="s">
        <v>46</v>
      </c>
    </row>
    <row r="969" hidden="1">
      <c r="A969" s="26">
        <v>969.0</v>
      </c>
      <c r="B969" s="188">
        <v>46197.0</v>
      </c>
      <c r="C969" s="26" t="s">
        <v>47</v>
      </c>
      <c r="D969" s="26" t="s">
        <v>48</v>
      </c>
      <c r="E969" s="27" t="s">
        <v>7685</v>
      </c>
      <c r="F969" s="21">
        <v>5.32775858E8</v>
      </c>
      <c r="G969" s="26" t="s">
        <v>4740</v>
      </c>
      <c r="H969" s="27" t="s">
        <v>211</v>
      </c>
      <c r="I969" s="26" t="s">
        <v>97</v>
      </c>
      <c r="J969" s="209" t="s">
        <v>7827</v>
      </c>
      <c r="K969" s="27"/>
      <c r="L969" s="26" t="s">
        <v>62</v>
      </c>
      <c r="M969" s="27" t="s">
        <v>611</v>
      </c>
      <c r="N969" s="26" t="s">
        <v>4977</v>
      </c>
      <c r="O969" s="26" t="s">
        <v>4746</v>
      </c>
      <c r="P969" s="35"/>
      <c r="Q969" s="26" t="s">
        <v>40</v>
      </c>
      <c r="R969" s="26" t="s">
        <v>518</v>
      </c>
      <c r="S969" s="27" t="s">
        <v>3765</v>
      </c>
      <c r="T969" s="35"/>
      <c r="U969" s="26"/>
      <c r="V969" s="26"/>
      <c r="W969" s="26">
        <v>5.0</v>
      </c>
      <c r="X969" s="26" t="s">
        <v>46</v>
      </c>
    </row>
    <row r="970" hidden="1">
      <c r="A970" s="26">
        <v>970.0</v>
      </c>
      <c r="B970" s="188">
        <v>46197.0</v>
      </c>
      <c r="C970" s="26" t="s">
        <v>58</v>
      </c>
      <c r="D970" s="26" t="s">
        <v>60</v>
      </c>
      <c r="E970" s="26" t="s">
        <v>27</v>
      </c>
      <c r="F970" s="21">
        <v>5.31998088E8</v>
      </c>
      <c r="G970" s="26" t="s">
        <v>27</v>
      </c>
      <c r="H970" s="26" t="s">
        <v>27</v>
      </c>
      <c r="I970" s="26" t="s">
        <v>27</v>
      </c>
      <c r="J970" s="209" t="s">
        <v>7687</v>
      </c>
      <c r="K970" s="27"/>
      <c r="L970" s="26" t="s">
        <v>62</v>
      </c>
      <c r="M970" s="27" t="s">
        <v>88</v>
      </c>
      <c r="N970" s="26" t="s">
        <v>4746</v>
      </c>
      <c r="O970" s="26" t="s">
        <v>4746</v>
      </c>
      <c r="P970" s="35"/>
      <c r="Q970" s="26" t="s">
        <v>56</v>
      </c>
      <c r="R970" s="26" t="s">
        <v>42</v>
      </c>
      <c r="S970" s="27" t="s">
        <v>3566</v>
      </c>
      <c r="T970" s="35"/>
      <c r="U970" s="26"/>
      <c r="V970" s="26"/>
      <c r="W970" s="26">
        <v>5.0</v>
      </c>
      <c r="X970" s="26"/>
    </row>
    <row r="971" hidden="1">
      <c r="A971" s="26">
        <v>971.0</v>
      </c>
      <c r="B971" s="188">
        <v>46197.0</v>
      </c>
      <c r="C971" s="26" t="s">
        <v>58</v>
      </c>
      <c r="D971" s="26" t="s">
        <v>60</v>
      </c>
      <c r="E971" s="26" t="s">
        <v>27</v>
      </c>
      <c r="F971" s="21">
        <v>7.72022056E8</v>
      </c>
      <c r="G971" s="26" t="s">
        <v>27</v>
      </c>
      <c r="H971" s="26" t="s">
        <v>27</v>
      </c>
      <c r="I971" s="26" t="s">
        <v>27</v>
      </c>
      <c r="J971" s="209" t="s">
        <v>7688</v>
      </c>
      <c r="K971" s="27"/>
      <c r="L971" s="26" t="s">
        <v>62</v>
      </c>
      <c r="M971" s="27" t="s">
        <v>88</v>
      </c>
      <c r="N971" s="26" t="s">
        <v>4746</v>
      </c>
      <c r="O971" s="26" t="s">
        <v>4746</v>
      </c>
      <c r="P971" s="35"/>
      <c r="Q971" s="26" t="s">
        <v>56</v>
      </c>
      <c r="R971" s="26" t="s">
        <v>42</v>
      </c>
      <c r="S971" s="27" t="s">
        <v>3566</v>
      </c>
      <c r="T971" s="35"/>
      <c r="U971" s="26"/>
      <c r="V971" s="26"/>
      <c r="W971" s="26">
        <v>5.0</v>
      </c>
      <c r="X971" s="26"/>
    </row>
    <row r="972" hidden="1">
      <c r="A972" s="26">
        <v>972.0</v>
      </c>
      <c r="B972" s="188">
        <v>46197.0</v>
      </c>
      <c r="C972" s="26" t="s">
        <v>58</v>
      </c>
      <c r="D972" s="26" t="s">
        <v>60</v>
      </c>
      <c r="E972" s="26" t="s">
        <v>27</v>
      </c>
      <c r="F972" s="21">
        <v>5.33342365E8</v>
      </c>
      <c r="G972" s="26" t="s">
        <v>27</v>
      </c>
      <c r="H972" s="26" t="s">
        <v>27</v>
      </c>
      <c r="I972" s="26" t="s">
        <v>27</v>
      </c>
      <c r="J972" s="209" t="s">
        <v>7689</v>
      </c>
      <c r="K972" s="27"/>
      <c r="L972" s="26" t="s">
        <v>62</v>
      </c>
      <c r="M972" s="27" t="s">
        <v>88</v>
      </c>
      <c r="N972" s="26" t="s">
        <v>4746</v>
      </c>
      <c r="O972" s="26" t="s">
        <v>4746</v>
      </c>
      <c r="P972" s="35"/>
      <c r="Q972" s="26" t="s">
        <v>56</v>
      </c>
      <c r="R972" s="26" t="s">
        <v>42</v>
      </c>
      <c r="S972" s="27" t="s">
        <v>3566</v>
      </c>
      <c r="T972" s="35"/>
      <c r="U972" s="26"/>
      <c r="V972" s="26"/>
      <c r="W972" s="26">
        <v>5.0</v>
      </c>
      <c r="X972" s="26"/>
    </row>
    <row r="973" hidden="1">
      <c r="A973" s="26">
        <v>973.0</v>
      </c>
      <c r="B973" s="188">
        <v>46197.0</v>
      </c>
      <c r="C973" s="26" t="s">
        <v>21</v>
      </c>
      <c r="D973" s="26" t="s">
        <v>24</v>
      </c>
      <c r="E973" s="26" t="s">
        <v>7690</v>
      </c>
      <c r="F973" s="21">
        <v>5.07726874E8</v>
      </c>
      <c r="G973" s="26" t="s">
        <v>4852</v>
      </c>
      <c r="H973" s="27" t="s">
        <v>318</v>
      </c>
      <c r="I973" s="26" t="s">
        <v>27</v>
      </c>
      <c r="J973" s="351" t="s">
        <v>7691</v>
      </c>
      <c r="K973" s="27"/>
      <c r="L973" s="26" t="s">
        <v>62</v>
      </c>
      <c r="M973" s="27" t="s">
        <v>4955</v>
      </c>
      <c r="N973" s="26" t="s">
        <v>4803</v>
      </c>
      <c r="O973" s="26" t="s">
        <v>4746</v>
      </c>
      <c r="P973" s="35"/>
      <c r="Q973" s="26" t="s">
        <v>56</v>
      </c>
      <c r="R973" s="467" t="s">
        <v>42</v>
      </c>
      <c r="S973" s="27" t="s">
        <v>3566</v>
      </c>
      <c r="T973" s="35"/>
      <c r="U973" s="26"/>
      <c r="V973" s="26"/>
      <c r="W973" s="26">
        <v>5.0</v>
      </c>
      <c r="X973" s="26" t="s">
        <v>46</v>
      </c>
    </row>
    <row r="974">
      <c r="A974" s="26">
        <v>974.0</v>
      </c>
      <c r="B974" s="188">
        <v>46197.0</v>
      </c>
      <c r="C974" s="26" t="s">
        <v>21</v>
      </c>
      <c r="D974" s="26" t="s">
        <v>48</v>
      </c>
      <c r="E974" s="27" t="s">
        <v>7692</v>
      </c>
      <c r="F974" s="21">
        <v>5.03935304E8</v>
      </c>
      <c r="G974" s="26" t="s">
        <v>27</v>
      </c>
      <c r="H974" s="26" t="s">
        <v>27</v>
      </c>
      <c r="I974" s="26" t="s">
        <v>27</v>
      </c>
      <c r="J974" s="209" t="s">
        <v>7693</v>
      </c>
      <c r="K974" s="27"/>
      <c r="L974" s="26" t="s">
        <v>36</v>
      </c>
      <c r="M974" s="27" t="s">
        <v>208</v>
      </c>
      <c r="N974" s="26" t="s">
        <v>49</v>
      </c>
      <c r="O974" s="26" t="s">
        <v>4746</v>
      </c>
      <c r="P974" s="35"/>
      <c r="Q974" s="26" t="s">
        <v>56</v>
      </c>
      <c r="R974" s="26" t="s">
        <v>301</v>
      </c>
      <c r="S974" s="27" t="s">
        <v>3566</v>
      </c>
      <c r="T974" s="35"/>
      <c r="U974" s="26"/>
      <c r="V974" s="26"/>
      <c r="W974" s="26">
        <v>5.0</v>
      </c>
      <c r="X974" s="26"/>
    </row>
    <row r="975" hidden="1">
      <c r="A975" s="26">
        <v>975.0</v>
      </c>
      <c r="B975" s="188">
        <v>46197.0</v>
      </c>
      <c r="C975" s="26" t="s">
        <v>47</v>
      </c>
      <c r="D975" s="26" t="s">
        <v>48</v>
      </c>
      <c r="E975" s="27" t="s">
        <v>7694</v>
      </c>
      <c r="F975" s="21" t="s">
        <v>27</v>
      </c>
      <c r="G975" s="26" t="s">
        <v>4740</v>
      </c>
      <c r="H975" s="27" t="s">
        <v>41</v>
      </c>
      <c r="I975" s="26" t="s">
        <v>513</v>
      </c>
      <c r="J975" s="209" t="s">
        <v>7695</v>
      </c>
      <c r="K975" s="27" t="s">
        <v>7696</v>
      </c>
      <c r="L975" s="26" t="s">
        <v>78</v>
      </c>
      <c r="M975" s="275" t="s">
        <v>4232</v>
      </c>
      <c r="N975" s="26" t="s">
        <v>4977</v>
      </c>
      <c r="O975" s="26" t="s">
        <v>49</v>
      </c>
      <c r="P975" s="35"/>
      <c r="Q975" s="26" t="s">
        <v>56</v>
      </c>
      <c r="R975" s="26" t="s">
        <v>518</v>
      </c>
      <c r="S975" s="27" t="s">
        <v>3765</v>
      </c>
      <c r="T975" s="35"/>
      <c r="U975" s="26"/>
      <c r="V975" s="26"/>
      <c r="W975" s="26">
        <v>5.0</v>
      </c>
      <c r="X975" s="26" t="s">
        <v>46</v>
      </c>
    </row>
    <row r="976" hidden="1">
      <c r="A976" s="26">
        <v>976.0</v>
      </c>
      <c r="B976" s="188">
        <v>46197.0</v>
      </c>
      <c r="C976" s="26" t="s">
        <v>47</v>
      </c>
      <c r="D976" s="26" t="s">
        <v>48</v>
      </c>
      <c r="E976" s="209" t="s">
        <v>7697</v>
      </c>
      <c r="F976" s="21" t="s">
        <v>27</v>
      </c>
      <c r="G976" s="26" t="s">
        <v>4740</v>
      </c>
      <c r="H976" s="27" t="s">
        <v>41</v>
      </c>
      <c r="I976" s="26" t="s">
        <v>956</v>
      </c>
      <c r="J976" s="209" t="s">
        <v>7698</v>
      </c>
      <c r="K976" s="27" t="s">
        <v>7699</v>
      </c>
      <c r="L976" s="26" t="s">
        <v>78</v>
      </c>
      <c r="M976" s="27" t="s">
        <v>5011</v>
      </c>
      <c r="N976" s="26" t="s">
        <v>4977</v>
      </c>
      <c r="O976" s="26" t="s">
        <v>49</v>
      </c>
      <c r="P976" s="35"/>
      <c r="Q976" s="26" t="s">
        <v>56</v>
      </c>
      <c r="R976" s="26" t="s">
        <v>518</v>
      </c>
      <c r="S976" s="27" t="s">
        <v>3765</v>
      </c>
      <c r="T976" s="35"/>
      <c r="U976" s="26"/>
      <c r="V976" s="26"/>
      <c r="W976" s="26">
        <v>5.0</v>
      </c>
      <c r="X976" s="26" t="s">
        <v>46</v>
      </c>
    </row>
    <row r="977" hidden="1">
      <c r="A977" s="26">
        <v>977.0</v>
      </c>
      <c r="B977" s="188">
        <v>46197.0</v>
      </c>
      <c r="C977" s="26" t="s">
        <v>47</v>
      </c>
      <c r="D977" s="26" t="s">
        <v>92</v>
      </c>
      <c r="E977" s="351" t="s">
        <v>7700</v>
      </c>
      <c r="F977" s="21" t="s">
        <v>27</v>
      </c>
      <c r="G977" s="26" t="s">
        <v>4740</v>
      </c>
      <c r="H977" s="27" t="s">
        <v>71</v>
      </c>
      <c r="I977" s="26" t="s">
        <v>337</v>
      </c>
      <c r="J977" s="209" t="s">
        <v>7701</v>
      </c>
      <c r="K977" s="27"/>
      <c r="L977" s="26" t="s">
        <v>78</v>
      </c>
      <c r="M977" s="27" t="s">
        <v>7750</v>
      </c>
      <c r="N977" s="26" t="s">
        <v>4637</v>
      </c>
      <c r="O977" s="26" t="s">
        <v>49</v>
      </c>
      <c r="P977" s="35"/>
      <c r="Q977" s="26" t="s">
        <v>40</v>
      </c>
      <c r="R977" s="26" t="s">
        <v>42</v>
      </c>
      <c r="S977" s="27" t="s">
        <v>3566</v>
      </c>
      <c r="T977" s="35"/>
      <c r="U977" s="26"/>
      <c r="V977" s="26"/>
      <c r="W977" s="26">
        <v>5.0</v>
      </c>
      <c r="X977" s="26" t="s">
        <v>46</v>
      </c>
    </row>
    <row r="978" hidden="1">
      <c r="A978" s="26">
        <v>978.0</v>
      </c>
      <c r="B978" s="188">
        <v>46197.0</v>
      </c>
      <c r="C978" s="26" t="s">
        <v>21</v>
      </c>
      <c r="D978" s="26" t="s">
        <v>22</v>
      </c>
      <c r="E978" s="27" t="s">
        <v>7702</v>
      </c>
      <c r="F978" s="21">
        <v>5.00003705E8</v>
      </c>
      <c r="G978" s="26" t="s">
        <v>4865</v>
      </c>
      <c r="H978" s="27" t="s">
        <v>999</v>
      </c>
      <c r="I978" s="26" t="s">
        <v>27</v>
      </c>
      <c r="J978" s="209" t="s">
        <v>7703</v>
      </c>
      <c r="K978" s="27"/>
      <c r="L978" s="26" t="s">
        <v>36</v>
      </c>
      <c r="M978" s="27" t="s">
        <v>1389</v>
      </c>
      <c r="N978" s="26" t="s">
        <v>4870</v>
      </c>
      <c r="O978" s="26" t="s">
        <v>49</v>
      </c>
      <c r="P978" s="35"/>
      <c r="Q978" s="26" t="s">
        <v>40</v>
      </c>
      <c r="R978" s="26" t="s">
        <v>42</v>
      </c>
      <c r="S978" s="27" t="s">
        <v>3566</v>
      </c>
      <c r="T978" s="35"/>
      <c r="U978" s="26"/>
      <c r="V978" s="26"/>
      <c r="W978" s="26">
        <v>5.0</v>
      </c>
      <c r="X978" s="26"/>
    </row>
    <row r="979" hidden="1">
      <c r="A979" s="26">
        <v>979.0</v>
      </c>
      <c r="B979" s="188">
        <v>46197.0</v>
      </c>
      <c r="C979" s="26" t="s">
        <v>21</v>
      </c>
      <c r="D979" s="26" t="s">
        <v>34</v>
      </c>
      <c r="E979" s="26" t="s">
        <v>27</v>
      </c>
      <c r="F979" s="21">
        <v>5.42367457E8</v>
      </c>
      <c r="G979" s="26" t="s">
        <v>4740</v>
      </c>
      <c r="H979" s="27" t="s">
        <v>41</v>
      </c>
      <c r="I979" s="26" t="s">
        <v>27</v>
      </c>
      <c r="J979" s="209" t="s">
        <v>298</v>
      </c>
      <c r="K979" s="27"/>
      <c r="L979" s="26" t="s">
        <v>36</v>
      </c>
      <c r="M979" s="27" t="s">
        <v>51</v>
      </c>
      <c r="N979" s="26" t="s">
        <v>49</v>
      </c>
      <c r="O979" s="26" t="s">
        <v>49</v>
      </c>
      <c r="P979" s="35"/>
      <c r="Q979" s="26" t="s">
        <v>56</v>
      </c>
      <c r="R979" s="26" t="s">
        <v>42</v>
      </c>
      <c r="S979" s="27" t="s">
        <v>3566</v>
      </c>
      <c r="T979" s="35"/>
      <c r="U979" s="26"/>
      <c r="V979" s="26"/>
      <c r="W979" s="26">
        <v>5.0</v>
      </c>
      <c r="X979" s="26"/>
    </row>
    <row r="980" hidden="1">
      <c r="A980" s="26">
        <v>980.0</v>
      </c>
      <c r="B980" s="188">
        <v>46197.0</v>
      </c>
      <c r="C980" s="26" t="s">
        <v>47</v>
      </c>
      <c r="D980" s="26" t="s">
        <v>24</v>
      </c>
      <c r="E980" s="27" t="s">
        <v>7704</v>
      </c>
      <c r="F980" s="21">
        <v>5.40958267E8</v>
      </c>
      <c r="G980" s="26" t="s">
        <v>4740</v>
      </c>
      <c r="H980" s="27" t="s">
        <v>41</v>
      </c>
      <c r="I980" s="26" t="s">
        <v>97</v>
      </c>
      <c r="J980" s="209" t="s">
        <v>7705</v>
      </c>
      <c r="K980" s="27"/>
      <c r="L980" s="26" t="s">
        <v>36</v>
      </c>
      <c r="M980" s="27" t="s">
        <v>5430</v>
      </c>
      <c r="N980" s="26" t="s">
        <v>49</v>
      </c>
      <c r="O980" s="26" t="s">
        <v>49</v>
      </c>
      <c r="P980" s="35"/>
      <c r="Q980" s="26" t="s">
        <v>56</v>
      </c>
      <c r="R980" s="26" t="s">
        <v>42</v>
      </c>
      <c r="S980" s="27" t="s">
        <v>3566</v>
      </c>
      <c r="T980" s="35"/>
      <c r="U980" s="26"/>
      <c r="V980" s="26"/>
      <c r="W980" s="26">
        <v>5.0</v>
      </c>
      <c r="X980" s="26"/>
    </row>
    <row r="981" hidden="1">
      <c r="A981" s="26">
        <v>981.0</v>
      </c>
      <c r="B981" s="188">
        <v>46197.0</v>
      </c>
      <c r="C981" s="26" t="s">
        <v>21</v>
      </c>
      <c r="D981" s="26" t="s">
        <v>22</v>
      </c>
      <c r="E981" s="27" t="s">
        <v>7706</v>
      </c>
      <c r="F981" s="21">
        <v>5.35403666E8</v>
      </c>
      <c r="G981" s="26" t="s">
        <v>7814</v>
      </c>
      <c r="H981" s="27" t="s">
        <v>3000</v>
      </c>
      <c r="I981" s="26" t="s">
        <v>27</v>
      </c>
      <c r="J981" s="209" t="s">
        <v>7707</v>
      </c>
      <c r="K981" s="27"/>
      <c r="L981" s="26" t="s">
        <v>36</v>
      </c>
      <c r="M981" s="27" t="s">
        <v>4868</v>
      </c>
      <c r="N981" s="26" t="s">
        <v>4870</v>
      </c>
      <c r="O981" s="26" t="s">
        <v>4746</v>
      </c>
      <c r="P981" s="35"/>
      <c r="Q981" s="26" t="s">
        <v>40</v>
      </c>
      <c r="R981" s="26" t="s">
        <v>42</v>
      </c>
      <c r="S981" s="27" t="s">
        <v>3566</v>
      </c>
      <c r="T981" s="35"/>
      <c r="U981" s="26"/>
      <c r="V981" s="26"/>
      <c r="W981" s="26">
        <v>5.0</v>
      </c>
      <c r="X981" s="26" t="s">
        <v>46</v>
      </c>
    </row>
    <row r="982" hidden="1">
      <c r="A982" s="26">
        <v>982.0</v>
      </c>
      <c r="B982" s="188">
        <v>46197.0</v>
      </c>
      <c r="C982" s="26" t="s">
        <v>47</v>
      </c>
      <c r="D982" s="26" t="s">
        <v>138</v>
      </c>
      <c r="E982" s="26" t="s">
        <v>7708</v>
      </c>
      <c r="F982" s="21">
        <v>5.52115615E8</v>
      </c>
      <c r="G982" s="26" t="s">
        <v>5151</v>
      </c>
      <c r="H982" s="27" t="s">
        <v>28</v>
      </c>
      <c r="I982" s="26" t="s">
        <v>830</v>
      </c>
      <c r="J982" s="209" t="s">
        <v>7709</v>
      </c>
      <c r="K982" s="27" t="s">
        <v>7710</v>
      </c>
      <c r="L982" s="26" t="s">
        <v>148</v>
      </c>
      <c r="M982" s="308" t="s">
        <v>183</v>
      </c>
      <c r="N982" s="26" t="s">
        <v>4917</v>
      </c>
      <c r="O982" s="26" t="s">
        <v>4746</v>
      </c>
      <c r="P982" s="35"/>
      <c r="Q982" s="26" t="s">
        <v>40</v>
      </c>
      <c r="R982" s="26" t="s">
        <v>518</v>
      </c>
      <c r="S982" s="27" t="s">
        <v>3566</v>
      </c>
      <c r="T982" s="35"/>
      <c r="U982" s="26"/>
      <c r="V982" s="26"/>
      <c r="W982" s="26">
        <v>5.0</v>
      </c>
      <c r="X982" s="26" t="s">
        <v>46</v>
      </c>
    </row>
    <row r="983" hidden="1">
      <c r="A983" s="26">
        <v>983.0</v>
      </c>
      <c r="B983" s="188">
        <v>46197.0</v>
      </c>
      <c r="C983" s="26" t="s">
        <v>47</v>
      </c>
      <c r="D983" s="26" t="s">
        <v>138</v>
      </c>
      <c r="E983" s="27" t="s">
        <v>922</v>
      </c>
      <c r="F983" s="21">
        <v>5.31595312E8</v>
      </c>
      <c r="G983" s="26" t="s">
        <v>4975</v>
      </c>
      <c r="H983" s="27" t="s">
        <v>362</v>
      </c>
      <c r="I983" s="26" t="s">
        <v>1029</v>
      </c>
      <c r="J983" s="209" t="s">
        <v>7711</v>
      </c>
      <c r="K983" s="27" t="s">
        <v>7712</v>
      </c>
      <c r="L983" s="26" t="s">
        <v>148</v>
      </c>
      <c r="M983" s="308" t="s">
        <v>183</v>
      </c>
      <c r="N983" s="26" t="s">
        <v>4917</v>
      </c>
      <c r="O983" s="26" t="s">
        <v>4746</v>
      </c>
      <c r="P983" s="35"/>
      <c r="Q983" s="26" t="s">
        <v>56</v>
      </c>
      <c r="R983" s="26" t="s">
        <v>518</v>
      </c>
      <c r="S983" s="27" t="s">
        <v>3566</v>
      </c>
      <c r="T983" s="35"/>
      <c r="U983" s="26"/>
      <c r="V983" s="26"/>
      <c r="W983" s="26">
        <v>5.0</v>
      </c>
      <c r="X983" s="26" t="s">
        <v>46</v>
      </c>
    </row>
    <row r="984" hidden="1">
      <c r="A984" s="26">
        <v>984.0</v>
      </c>
      <c r="B984" s="188">
        <v>46197.0</v>
      </c>
      <c r="C984" s="26" t="s">
        <v>47</v>
      </c>
      <c r="D984" s="26" t="s">
        <v>92</v>
      </c>
      <c r="E984" s="26" t="s">
        <v>7713</v>
      </c>
      <c r="F984" s="21">
        <v>5.45523105E8</v>
      </c>
      <c r="G984" s="26" t="s">
        <v>4852</v>
      </c>
      <c r="H984" s="27" t="s">
        <v>3774</v>
      </c>
      <c r="I984" s="26" t="s">
        <v>7714</v>
      </c>
      <c r="J984" s="209" t="s">
        <v>7715</v>
      </c>
      <c r="K984" s="27"/>
      <c r="L984" s="26" t="s">
        <v>148</v>
      </c>
      <c r="M984" s="27" t="s">
        <v>7750</v>
      </c>
      <c r="N984" s="26" t="s">
        <v>4637</v>
      </c>
      <c r="O984" s="26" t="s">
        <v>4746</v>
      </c>
      <c r="P984" s="35"/>
      <c r="Q984" s="26" t="s">
        <v>40</v>
      </c>
      <c r="R984" s="26" t="s">
        <v>42</v>
      </c>
      <c r="S984" s="27" t="s">
        <v>3566</v>
      </c>
      <c r="T984" s="35"/>
      <c r="U984" s="26"/>
      <c r="V984" s="26"/>
      <c r="W984" s="26">
        <v>5.0</v>
      </c>
      <c r="X984" s="26" t="s">
        <v>46</v>
      </c>
    </row>
    <row r="985" hidden="1">
      <c r="A985" s="26">
        <v>985.0</v>
      </c>
      <c r="B985" s="188">
        <v>46197.0</v>
      </c>
      <c r="C985" s="26" t="s">
        <v>47</v>
      </c>
      <c r="D985" s="26" t="s">
        <v>92</v>
      </c>
      <c r="E985" s="27" t="s">
        <v>1260</v>
      </c>
      <c r="F985" s="21">
        <v>5.00027458E8</v>
      </c>
      <c r="G985" s="26" t="s">
        <v>4769</v>
      </c>
      <c r="H985" s="27" t="s">
        <v>152</v>
      </c>
      <c r="I985" s="26" t="s">
        <v>3958</v>
      </c>
      <c r="J985" s="209" t="s">
        <v>7716</v>
      </c>
      <c r="K985" s="27"/>
      <c r="L985" s="26" t="s">
        <v>148</v>
      </c>
      <c r="M985" s="27" t="s">
        <v>7750</v>
      </c>
      <c r="N985" s="26" t="s">
        <v>4637</v>
      </c>
      <c r="O985" s="26" t="s">
        <v>4746</v>
      </c>
      <c r="P985" s="35"/>
      <c r="Q985" s="26" t="s">
        <v>40</v>
      </c>
      <c r="R985" s="26" t="s">
        <v>42</v>
      </c>
      <c r="S985" s="27" t="s">
        <v>3566</v>
      </c>
      <c r="T985" s="35"/>
      <c r="U985" s="26"/>
      <c r="V985" s="26"/>
      <c r="W985" s="26">
        <v>5.0</v>
      </c>
      <c r="X985" s="26" t="s">
        <v>46</v>
      </c>
    </row>
    <row r="986" hidden="1">
      <c r="A986" s="26">
        <v>986.0</v>
      </c>
      <c r="B986" s="188">
        <v>46197.0</v>
      </c>
      <c r="C986" s="26" t="s">
        <v>47</v>
      </c>
      <c r="D986" s="26" t="s">
        <v>367</v>
      </c>
      <c r="E986" s="27" t="s">
        <v>7717</v>
      </c>
      <c r="F986" s="21">
        <v>5.00045405E8</v>
      </c>
      <c r="G986" s="26" t="s">
        <v>4740</v>
      </c>
      <c r="H986" s="27" t="s">
        <v>79</v>
      </c>
      <c r="I986" s="26" t="s">
        <v>142</v>
      </c>
      <c r="J986" s="209" t="s">
        <v>7718</v>
      </c>
      <c r="K986" s="27" t="s">
        <v>7719</v>
      </c>
      <c r="L986" s="26" t="s">
        <v>148</v>
      </c>
      <c r="M986" s="20" t="s">
        <v>7828</v>
      </c>
      <c r="N986" s="26" t="s">
        <v>4917</v>
      </c>
      <c r="O986" s="26" t="s">
        <v>4746</v>
      </c>
      <c r="P986" s="35"/>
      <c r="Q986" s="26" t="s">
        <v>40</v>
      </c>
      <c r="R986" s="26" t="s">
        <v>42</v>
      </c>
      <c r="S986" s="27" t="s">
        <v>3566</v>
      </c>
      <c r="T986" s="35"/>
      <c r="U986" s="26"/>
      <c r="V986" s="26"/>
      <c r="W986" s="26">
        <v>5.0</v>
      </c>
      <c r="X986" s="26" t="s">
        <v>46</v>
      </c>
    </row>
    <row r="987" hidden="1">
      <c r="A987" s="26">
        <v>987.0</v>
      </c>
      <c r="B987" s="188">
        <v>46197.0</v>
      </c>
      <c r="C987" s="26" t="s">
        <v>21</v>
      </c>
      <c r="D987" s="26" t="s">
        <v>251</v>
      </c>
      <c r="E987" s="27" t="s">
        <v>7721</v>
      </c>
      <c r="F987" s="21">
        <v>5.44836544E8</v>
      </c>
      <c r="G987" s="26" t="s">
        <v>4740</v>
      </c>
      <c r="H987" s="27" t="s">
        <v>79</v>
      </c>
      <c r="I987" s="26" t="s">
        <v>487</v>
      </c>
      <c r="J987" s="209" t="s">
        <v>7722</v>
      </c>
      <c r="K987" s="27"/>
      <c r="L987" s="26" t="s">
        <v>148</v>
      </c>
      <c r="M987" s="27" t="s">
        <v>7829</v>
      </c>
      <c r="N987" s="26" t="s">
        <v>49</v>
      </c>
      <c r="O987" s="26" t="s">
        <v>4746</v>
      </c>
      <c r="P987" s="35"/>
      <c r="Q987" s="26" t="s">
        <v>56</v>
      </c>
      <c r="R987" s="26" t="s">
        <v>518</v>
      </c>
      <c r="S987" s="27" t="s">
        <v>3566</v>
      </c>
      <c r="T987" s="35"/>
      <c r="U987" s="26"/>
      <c r="V987" s="26"/>
      <c r="W987" s="26">
        <v>5.0</v>
      </c>
      <c r="X987" s="26"/>
    </row>
    <row r="988" hidden="1">
      <c r="A988" s="26">
        <v>988.0</v>
      </c>
      <c r="B988" s="188">
        <v>46197.0</v>
      </c>
      <c r="C988" s="26" t="s">
        <v>47</v>
      </c>
      <c r="D988" s="26" t="s">
        <v>48</v>
      </c>
      <c r="E988" s="209" t="s">
        <v>7723</v>
      </c>
      <c r="F988" s="21" t="s">
        <v>27</v>
      </c>
      <c r="G988" s="26" t="s">
        <v>4740</v>
      </c>
      <c r="H988" s="27" t="s">
        <v>41</v>
      </c>
      <c r="I988" s="26" t="s">
        <v>97</v>
      </c>
      <c r="J988" s="209" t="s">
        <v>7724</v>
      </c>
      <c r="K988" s="27"/>
      <c r="L988" s="26" t="s">
        <v>78</v>
      </c>
      <c r="M988" s="27" t="s">
        <v>3926</v>
      </c>
      <c r="N988" s="26" t="s">
        <v>4977</v>
      </c>
      <c r="O988" s="26" t="s">
        <v>49</v>
      </c>
      <c r="P988" s="35"/>
      <c r="Q988" s="26" t="s">
        <v>40</v>
      </c>
      <c r="R988" s="26" t="s">
        <v>301</v>
      </c>
      <c r="S988" s="27" t="s">
        <v>3566</v>
      </c>
      <c r="T988" s="35"/>
      <c r="U988" s="26"/>
      <c r="V988" s="26"/>
      <c r="W988" s="26">
        <v>5.0</v>
      </c>
      <c r="X988" s="26" t="s">
        <v>46</v>
      </c>
    </row>
    <row r="989" hidden="1">
      <c r="A989" s="26">
        <v>989.0</v>
      </c>
      <c r="B989" s="188">
        <v>46197.0</v>
      </c>
      <c r="C989" s="26" t="s">
        <v>47</v>
      </c>
      <c r="D989" s="26" t="s">
        <v>48</v>
      </c>
      <c r="E989" s="351" t="s">
        <v>7725</v>
      </c>
      <c r="F989" s="21" t="s">
        <v>27</v>
      </c>
      <c r="G989" s="26" t="s">
        <v>5023</v>
      </c>
      <c r="H989" s="27" t="s">
        <v>2715</v>
      </c>
      <c r="I989" s="26" t="s">
        <v>2716</v>
      </c>
      <c r="J989" s="209" t="s">
        <v>7726</v>
      </c>
      <c r="K989" s="27"/>
      <c r="L989" s="26" t="s">
        <v>78</v>
      </c>
      <c r="M989" s="27" t="s">
        <v>5011</v>
      </c>
      <c r="N989" s="26" t="s">
        <v>4977</v>
      </c>
      <c r="O989" s="26" t="s">
        <v>49</v>
      </c>
      <c r="P989" s="35"/>
      <c r="Q989" s="26" t="s">
        <v>40</v>
      </c>
      <c r="R989" s="26" t="s">
        <v>518</v>
      </c>
      <c r="S989" s="27" t="s">
        <v>3765</v>
      </c>
      <c r="T989" s="35"/>
      <c r="U989" s="26"/>
      <c r="V989" s="26"/>
      <c r="W989" s="26">
        <v>5.0</v>
      </c>
      <c r="X989" s="26" t="s">
        <v>46</v>
      </c>
    </row>
    <row r="990" hidden="1">
      <c r="A990" s="26">
        <v>990.0</v>
      </c>
      <c r="B990" s="188">
        <v>46197.0</v>
      </c>
      <c r="C990" s="26" t="s">
        <v>47</v>
      </c>
      <c r="D990" s="26" t="s">
        <v>48</v>
      </c>
      <c r="E990" s="26" t="s">
        <v>7727</v>
      </c>
      <c r="F990" s="21" t="s">
        <v>27</v>
      </c>
      <c r="G990" s="26" t="s">
        <v>4740</v>
      </c>
      <c r="H990" s="27" t="s">
        <v>71</v>
      </c>
      <c r="I990" s="26" t="s">
        <v>72</v>
      </c>
      <c r="J990" s="209" t="s">
        <v>7728</v>
      </c>
      <c r="K990" s="27"/>
      <c r="L990" s="26" t="s">
        <v>78</v>
      </c>
      <c r="M990" s="27" t="s">
        <v>3926</v>
      </c>
      <c r="N990" s="26" t="s">
        <v>4977</v>
      </c>
      <c r="O990" s="26" t="s">
        <v>49</v>
      </c>
      <c r="P990" s="35"/>
      <c r="Q990" s="26" t="s">
        <v>40</v>
      </c>
      <c r="R990" s="26" t="s">
        <v>301</v>
      </c>
      <c r="S990" s="27" t="s">
        <v>3566</v>
      </c>
      <c r="T990" s="35"/>
      <c r="U990" s="26"/>
      <c r="V990" s="26"/>
      <c r="W990" s="26">
        <v>5.0</v>
      </c>
      <c r="X990" s="26" t="s">
        <v>46</v>
      </c>
    </row>
    <row r="991" hidden="1">
      <c r="A991" s="26">
        <v>991.0</v>
      </c>
      <c r="B991" s="188">
        <v>46197.0</v>
      </c>
      <c r="C991" s="26" t="s">
        <v>47</v>
      </c>
      <c r="D991" s="26" t="s">
        <v>92</v>
      </c>
      <c r="E991" s="27" t="s">
        <v>108</v>
      </c>
      <c r="F991" s="21">
        <v>5.55165475E8</v>
      </c>
      <c r="G991" s="26" t="s">
        <v>4740</v>
      </c>
      <c r="H991" s="27" t="s">
        <v>71</v>
      </c>
      <c r="I991" s="26" t="s">
        <v>1801</v>
      </c>
      <c r="J991" s="209" t="s">
        <v>7729</v>
      </c>
      <c r="K991" s="27"/>
      <c r="L991" s="26" t="s">
        <v>148</v>
      </c>
      <c r="M991" s="27" t="s">
        <v>7750</v>
      </c>
      <c r="N991" s="26" t="s">
        <v>4637</v>
      </c>
      <c r="O991" s="26" t="s">
        <v>49</v>
      </c>
      <c r="P991" s="35"/>
      <c r="Q991" s="26" t="s">
        <v>40</v>
      </c>
      <c r="R991" s="26" t="s">
        <v>42</v>
      </c>
      <c r="S991" s="27" t="s">
        <v>3566</v>
      </c>
      <c r="T991" s="35"/>
      <c r="U991" s="26"/>
      <c r="V991" s="26"/>
      <c r="W991" s="26">
        <v>5.0</v>
      </c>
      <c r="X991" s="26" t="s">
        <v>46</v>
      </c>
    </row>
    <row r="992" hidden="1">
      <c r="A992" s="26">
        <v>992.0</v>
      </c>
      <c r="B992" s="188">
        <v>46197.0</v>
      </c>
      <c r="C992" s="26" t="s">
        <v>47</v>
      </c>
      <c r="D992" s="26" t="s">
        <v>48</v>
      </c>
      <c r="E992" s="26" t="s">
        <v>27</v>
      </c>
      <c r="F992" s="21" t="s">
        <v>27</v>
      </c>
      <c r="G992" s="26" t="s">
        <v>4740</v>
      </c>
      <c r="H992" s="27" t="s">
        <v>41</v>
      </c>
      <c r="I992" s="26" t="s">
        <v>146</v>
      </c>
      <c r="J992" s="209" t="s">
        <v>7730</v>
      </c>
      <c r="K992" s="365" t="s">
        <v>7731</v>
      </c>
      <c r="L992" s="26" t="s">
        <v>148</v>
      </c>
      <c r="M992" s="27" t="s">
        <v>5011</v>
      </c>
      <c r="N992" s="26" t="s">
        <v>4977</v>
      </c>
      <c r="O992" s="26" t="s">
        <v>49</v>
      </c>
      <c r="P992" s="35"/>
      <c r="Q992" s="26" t="s">
        <v>56</v>
      </c>
      <c r="R992" s="26" t="s">
        <v>518</v>
      </c>
      <c r="S992" s="27" t="s">
        <v>3765</v>
      </c>
      <c r="T992" s="35"/>
      <c r="U992" s="26"/>
      <c r="V992" s="26"/>
      <c r="W992" s="26">
        <v>5.0</v>
      </c>
      <c r="X992" s="26" t="s">
        <v>46</v>
      </c>
    </row>
    <row r="993" hidden="1">
      <c r="A993" s="26">
        <v>993.0</v>
      </c>
      <c r="B993" s="188">
        <v>46197.0</v>
      </c>
      <c r="C993" s="26" t="s">
        <v>47</v>
      </c>
      <c r="D993" s="26" t="s">
        <v>48</v>
      </c>
      <c r="E993" s="26" t="s">
        <v>27</v>
      </c>
      <c r="F993" s="21" t="s">
        <v>27</v>
      </c>
      <c r="G993" s="26" t="s">
        <v>4740</v>
      </c>
      <c r="H993" s="27" t="s">
        <v>41</v>
      </c>
      <c r="I993" s="26" t="s">
        <v>914</v>
      </c>
      <c r="J993" s="209" t="s">
        <v>7732</v>
      </c>
      <c r="K993" s="27" t="s">
        <v>7731</v>
      </c>
      <c r="L993" s="26" t="s">
        <v>148</v>
      </c>
      <c r="M993" s="27" t="s">
        <v>5011</v>
      </c>
      <c r="N993" s="26" t="s">
        <v>4977</v>
      </c>
      <c r="O993" s="26" t="s">
        <v>49</v>
      </c>
      <c r="P993" s="35"/>
      <c r="Q993" s="26" t="s">
        <v>56</v>
      </c>
      <c r="R993" s="26" t="s">
        <v>518</v>
      </c>
      <c r="S993" s="27" t="s">
        <v>3765</v>
      </c>
      <c r="T993" s="35"/>
      <c r="U993" s="26"/>
      <c r="V993" s="26"/>
      <c r="W993" s="26">
        <v>5.0</v>
      </c>
      <c r="X993" s="26" t="s">
        <v>46</v>
      </c>
    </row>
    <row r="994" hidden="1">
      <c r="A994" s="26">
        <v>994.0</v>
      </c>
      <c r="B994" s="188">
        <v>46197.0</v>
      </c>
      <c r="C994" s="26" t="s">
        <v>21</v>
      </c>
      <c r="D994" s="26" t="s">
        <v>24</v>
      </c>
      <c r="E994" s="27" t="s">
        <v>7733</v>
      </c>
      <c r="F994" s="468">
        <v>5.43270081E8</v>
      </c>
      <c r="G994" s="26" t="s">
        <v>4740</v>
      </c>
      <c r="H994" s="27" t="s">
        <v>79</v>
      </c>
      <c r="I994" s="26" t="s">
        <v>27</v>
      </c>
      <c r="J994" s="209" t="s">
        <v>7734</v>
      </c>
      <c r="K994" s="27"/>
      <c r="L994" s="26" t="s">
        <v>36</v>
      </c>
      <c r="M994" s="27" t="s">
        <v>5046</v>
      </c>
      <c r="N994" s="26" t="s">
        <v>4803</v>
      </c>
      <c r="O994" s="26" t="s">
        <v>49</v>
      </c>
      <c r="P994" s="35"/>
      <c r="Q994" s="26" t="s">
        <v>56</v>
      </c>
      <c r="R994" s="467" t="s">
        <v>42</v>
      </c>
      <c r="S994" s="27" t="s">
        <v>3566</v>
      </c>
      <c r="T994" s="35"/>
      <c r="U994" s="26"/>
      <c r="V994" s="26"/>
      <c r="W994" s="26">
        <v>5.0</v>
      </c>
      <c r="X994" s="26"/>
    </row>
    <row r="995" hidden="1">
      <c r="A995" s="26">
        <v>995.0</v>
      </c>
      <c r="B995" s="188">
        <v>46197.0</v>
      </c>
      <c r="C995" s="26" t="s">
        <v>21</v>
      </c>
      <c r="D995" s="26" t="s">
        <v>24</v>
      </c>
      <c r="E995" s="27" t="s">
        <v>7735</v>
      </c>
      <c r="F995" s="468">
        <v>5.55558542E8</v>
      </c>
      <c r="G995" s="26" t="s">
        <v>4740</v>
      </c>
      <c r="H995" s="27" t="s">
        <v>79</v>
      </c>
      <c r="I995" s="26" t="s">
        <v>27</v>
      </c>
      <c r="J995" s="209" t="s">
        <v>7736</v>
      </c>
      <c r="K995" s="27"/>
      <c r="L995" s="26" t="s">
        <v>36</v>
      </c>
      <c r="M995" s="27" t="s">
        <v>630</v>
      </c>
      <c r="N995" s="26" t="s">
        <v>4803</v>
      </c>
      <c r="O995" s="26" t="s">
        <v>49</v>
      </c>
      <c r="P995" s="35"/>
      <c r="Q995" s="26" t="s">
        <v>56</v>
      </c>
      <c r="R995" s="469" t="s">
        <v>3811</v>
      </c>
      <c r="S995" s="27" t="s">
        <v>3566</v>
      </c>
      <c r="T995" s="35"/>
      <c r="U995" s="26"/>
      <c r="V995" s="26"/>
      <c r="W995" s="26">
        <v>5.0</v>
      </c>
      <c r="X995" s="26"/>
    </row>
    <row r="996" hidden="1">
      <c r="A996" s="26">
        <v>996.0</v>
      </c>
      <c r="B996" s="188">
        <v>46197.0</v>
      </c>
      <c r="C996" s="26" t="s">
        <v>21</v>
      </c>
      <c r="D996" s="26" t="s">
        <v>24</v>
      </c>
      <c r="E996" s="27" t="s">
        <v>5480</v>
      </c>
      <c r="F996" s="468">
        <v>5.07407555E8</v>
      </c>
      <c r="G996" s="26" t="s">
        <v>4740</v>
      </c>
      <c r="H996" s="27" t="s">
        <v>79</v>
      </c>
      <c r="I996" s="26" t="s">
        <v>27</v>
      </c>
      <c r="J996" s="351" t="s">
        <v>27</v>
      </c>
      <c r="K996" s="27"/>
      <c r="L996" s="26" t="s">
        <v>36</v>
      </c>
      <c r="M996" s="27" t="s">
        <v>4802</v>
      </c>
      <c r="N996" s="26" t="s">
        <v>4803</v>
      </c>
      <c r="O996" s="26" t="s">
        <v>49</v>
      </c>
      <c r="P996" s="35"/>
      <c r="Q996" s="26" t="s">
        <v>56</v>
      </c>
      <c r="R996" s="470" t="s">
        <v>518</v>
      </c>
      <c r="S996" s="27" t="s">
        <v>3566</v>
      </c>
      <c r="T996" s="35"/>
      <c r="U996" s="26"/>
      <c r="V996" s="26"/>
      <c r="W996" s="26">
        <v>5.0</v>
      </c>
      <c r="X996" s="26"/>
    </row>
    <row r="997" hidden="1">
      <c r="A997" s="26">
        <v>997.0</v>
      </c>
      <c r="B997" s="188">
        <v>46197.0</v>
      </c>
      <c r="C997" s="26" t="s">
        <v>21</v>
      </c>
      <c r="D997" s="26" t="s">
        <v>24</v>
      </c>
      <c r="E997" s="27" t="s">
        <v>5558</v>
      </c>
      <c r="F997" s="468">
        <v>5.64847785E8</v>
      </c>
      <c r="G997" s="26" t="s">
        <v>4740</v>
      </c>
      <c r="H997" s="27" t="s">
        <v>79</v>
      </c>
      <c r="I997" s="26" t="s">
        <v>27</v>
      </c>
      <c r="J997" s="209" t="s">
        <v>7737</v>
      </c>
      <c r="K997" s="27"/>
      <c r="L997" s="26" t="s">
        <v>36</v>
      </c>
      <c r="M997" s="27" t="s">
        <v>4955</v>
      </c>
      <c r="N997" s="26" t="s">
        <v>4803</v>
      </c>
      <c r="O997" s="26" t="s">
        <v>49</v>
      </c>
      <c r="P997" s="35"/>
      <c r="Q997" s="26" t="s">
        <v>56</v>
      </c>
      <c r="R997" s="467" t="s">
        <v>42</v>
      </c>
      <c r="S997" s="27" t="s">
        <v>3566</v>
      </c>
      <c r="T997" s="35"/>
      <c r="U997" s="26"/>
      <c r="V997" s="26"/>
      <c r="W997" s="26">
        <v>5.0</v>
      </c>
      <c r="X997" s="26"/>
    </row>
    <row r="998" hidden="1">
      <c r="A998" s="26">
        <v>998.0</v>
      </c>
      <c r="B998" s="188">
        <v>46197.0</v>
      </c>
      <c r="C998" s="26" t="s">
        <v>21</v>
      </c>
      <c r="D998" s="26" t="s">
        <v>24</v>
      </c>
      <c r="E998" s="27" t="s">
        <v>7664</v>
      </c>
      <c r="F998" s="468">
        <v>5.05135281E8</v>
      </c>
      <c r="G998" s="26" t="s">
        <v>4740</v>
      </c>
      <c r="H998" s="27" t="s">
        <v>79</v>
      </c>
      <c r="I998" s="26" t="s">
        <v>27</v>
      </c>
      <c r="J998" s="209" t="s">
        <v>7738</v>
      </c>
      <c r="K998" s="27"/>
      <c r="L998" s="26" t="s">
        <v>36</v>
      </c>
      <c r="M998" s="27" t="s">
        <v>4982</v>
      </c>
      <c r="N998" s="26" t="s">
        <v>4803</v>
      </c>
      <c r="O998" s="26" t="s">
        <v>49</v>
      </c>
      <c r="P998" s="35"/>
      <c r="Q998" s="26" t="s">
        <v>56</v>
      </c>
      <c r="R998" s="26" t="s">
        <v>42</v>
      </c>
      <c r="S998" s="27" t="s">
        <v>3566</v>
      </c>
      <c r="T998" s="35"/>
      <c r="U998" s="26"/>
      <c r="V998" s="26"/>
      <c r="W998" s="26">
        <v>5.0</v>
      </c>
      <c r="X998" s="26"/>
    </row>
    <row r="999" hidden="1">
      <c r="A999" s="26">
        <v>999.0</v>
      </c>
      <c r="B999" s="188">
        <v>46197.0</v>
      </c>
      <c r="C999" s="26" t="s">
        <v>21</v>
      </c>
      <c r="D999" s="26" t="s">
        <v>24</v>
      </c>
      <c r="E999" s="27" t="s">
        <v>7739</v>
      </c>
      <c r="F999" s="468">
        <v>5.0205561E8</v>
      </c>
      <c r="G999" s="26" t="s">
        <v>4740</v>
      </c>
      <c r="H999" s="27" t="s">
        <v>79</v>
      </c>
      <c r="I999" s="26" t="s">
        <v>27</v>
      </c>
      <c r="J999" s="209" t="s">
        <v>7740</v>
      </c>
      <c r="K999" s="27"/>
      <c r="L999" s="26" t="s">
        <v>36</v>
      </c>
      <c r="M999" s="27" t="s">
        <v>5046</v>
      </c>
      <c r="N999" s="26" t="s">
        <v>4803</v>
      </c>
      <c r="O999" s="26" t="s">
        <v>49</v>
      </c>
      <c r="P999" s="35"/>
      <c r="Q999" s="26" t="s">
        <v>56</v>
      </c>
      <c r="R999" s="26" t="s">
        <v>42</v>
      </c>
      <c r="S999" s="27" t="s">
        <v>3566</v>
      </c>
      <c r="T999" s="35"/>
      <c r="U999" s="26"/>
      <c r="V999" s="26"/>
      <c r="W999" s="26">
        <v>5.0</v>
      </c>
      <c r="X999" s="26"/>
    </row>
    <row r="1000" hidden="1">
      <c r="A1000" s="26">
        <v>1000.0</v>
      </c>
      <c r="B1000" s="188">
        <v>46197.0</v>
      </c>
      <c r="C1000" s="26" t="s">
        <v>21</v>
      </c>
      <c r="D1000" s="26" t="s">
        <v>24</v>
      </c>
      <c r="E1000" s="27" t="s">
        <v>7741</v>
      </c>
      <c r="F1000" s="468">
        <v>5.44999536E8</v>
      </c>
      <c r="G1000" s="26" t="s">
        <v>4740</v>
      </c>
      <c r="H1000" s="27" t="s">
        <v>79</v>
      </c>
      <c r="I1000" s="26" t="s">
        <v>27</v>
      </c>
      <c r="J1000" s="209" t="s">
        <v>7742</v>
      </c>
      <c r="K1000" s="27"/>
      <c r="L1000" s="26" t="s">
        <v>36</v>
      </c>
      <c r="M1000" s="27" t="s">
        <v>630</v>
      </c>
      <c r="N1000" s="26" t="s">
        <v>4803</v>
      </c>
      <c r="O1000" s="26" t="s">
        <v>49</v>
      </c>
      <c r="P1000" s="35"/>
      <c r="Q1000" s="26" t="s">
        <v>56</v>
      </c>
      <c r="R1000" s="26" t="s">
        <v>42</v>
      </c>
      <c r="S1000" s="27" t="s">
        <v>3566</v>
      </c>
      <c r="T1000" s="35"/>
      <c r="U1000" s="26"/>
      <c r="V1000" s="26"/>
      <c r="W1000" s="26">
        <v>5.0</v>
      </c>
      <c r="X1000" s="26"/>
    </row>
    <row r="1001" hidden="1">
      <c r="A1001" s="26">
        <v>1001.0</v>
      </c>
      <c r="B1001" s="188">
        <v>46197.0</v>
      </c>
      <c r="C1001" s="26" t="s">
        <v>21</v>
      </c>
      <c r="D1001" s="26" t="s">
        <v>24</v>
      </c>
      <c r="E1001" s="27" t="s">
        <v>4386</v>
      </c>
      <c r="F1001" s="468">
        <v>5.44501658E8</v>
      </c>
      <c r="G1001" s="26" t="s">
        <v>4740</v>
      </c>
      <c r="H1001" s="27" t="s">
        <v>79</v>
      </c>
      <c r="I1001" s="26" t="s">
        <v>27</v>
      </c>
      <c r="J1001" s="209" t="s">
        <v>7743</v>
      </c>
      <c r="K1001" s="27"/>
      <c r="L1001" s="26" t="s">
        <v>36</v>
      </c>
      <c r="M1001" s="27" t="s">
        <v>4802</v>
      </c>
      <c r="N1001" s="26" t="s">
        <v>4803</v>
      </c>
      <c r="O1001" s="26" t="s">
        <v>49</v>
      </c>
      <c r="P1001" s="35"/>
      <c r="Q1001" s="26" t="s">
        <v>56</v>
      </c>
      <c r="R1001" s="26" t="s">
        <v>42</v>
      </c>
      <c r="S1001" s="27" t="s">
        <v>3566</v>
      </c>
      <c r="T1001" s="35"/>
      <c r="U1001" s="26"/>
      <c r="V1001" s="26"/>
      <c r="W1001" s="26">
        <v>5.0</v>
      </c>
      <c r="X1001" s="26"/>
    </row>
    <row r="1002" hidden="1">
      <c r="A1002" s="26">
        <v>1002.0</v>
      </c>
      <c r="B1002" s="188">
        <v>46197.0</v>
      </c>
      <c r="C1002" s="26" t="s">
        <v>21</v>
      </c>
      <c r="D1002" s="26" t="s">
        <v>24</v>
      </c>
      <c r="E1002" s="27" t="s">
        <v>5795</v>
      </c>
      <c r="F1002" s="468">
        <v>5.44802385E8</v>
      </c>
      <c r="G1002" s="26" t="s">
        <v>4740</v>
      </c>
      <c r="H1002" s="27" t="s">
        <v>79</v>
      </c>
      <c r="I1002" s="26" t="s">
        <v>27</v>
      </c>
      <c r="J1002" s="209" t="s">
        <v>7744</v>
      </c>
      <c r="K1002" s="27"/>
      <c r="L1002" s="26" t="s">
        <v>36</v>
      </c>
      <c r="M1002" s="27" t="s">
        <v>4955</v>
      </c>
      <c r="N1002" s="26" t="s">
        <v>4803</v>
      </c>
      <c r="O1002" s="26" t="s">
        <v>49</v>
      </c>
      <c r="P1002" s="35"/>
      <c r="Q1002" s="26" t="s">
        <v>56</v>
      </c>
      <c r="R1002" s="26" t="s">
        <v>42</v>
      </c>
      <c r="S1002" s="27" t="s">
        <v>3566</v>
      </c>
      <c r="T1002" s="35"/>
      <c r="U1002" s="26"/>
      <c r="V1002" s="26"/>
      <c r="W1002" s="26">
        <v>5.0</v>
      </c>
      <c r="X1002" s="26"/>
    </row>
    <row r="1003" hidden="1">
      <c r="A1003" s="26">
        <v>1003.0</v>
      </c>
      <c r="B1003" s="188">
        <v>46197.0</v>
      </c>
      <c r="C1003" s="26" t="s">
        <v>21</v>
      </c>
      <c r="D1003" s="26" t="s">
        <v>24</v>
      </c>
      <c r="E1003" s="27" t="s">
        <v>108</v>
      </c>
      <c r="F1003" s="468">
        <v>5.08426954E8</v>
      </c>
      <c r="G1003" s="26" t="s">
        <v>4740</v>
      </c>
      <c r="H1003" s="27" t="s">
        <v>79</v>
      </c>
      <c r="I1003" s="26" t="s">
        <v>27</v>
      </c>
      <c r="J1003" s="209" t="s">
        <v>7745</v>
      </c>
      <c r="K1003" s="27"/>
      <c r="L1003" s="26" t="s">
        <v>36</v>
      </c>
      <c r="M1003" s="27" t="s">
        <v>4982</v>
      </c>
      <c r="N1003" s="26" t="s">
        <v>4803</v>
      </c>
      <c r="O1003" s="26" t="s">
        <v>49</v>
      </c>
      <c r="P1003" s="35"/>
      <c r="Q1003" s="26" t="s">
        <v>56</v>
      </c>
      <c r="R1003" s="26" t="s">
        <v>42</v>
      </c>
      <c r="S1003" s="27" t="s">
        <v>3566</v>
      </c>
      <c r="T1003" s="35"/>
      <c r="U1003" s="26"/>
      <c r="V1003" s="26"/>
      <c r="W1003" s="26">
        <v>5.0</v>
      </c>
      <c r="X1003" s="26"/>
    </row>
    <row r="1004" hidden="1">
      <c r="A1004" s="26">
        <v>1004.0</v>
      </c>
      <c r="B1004" s="188">
        <v>46197.0</v>
      </c>
      <c r="C1004" s="26" t="s">
        <v>21</v>
      </c>
      <c r="D1004" s="26" t="s">
        <v>24</v>
      </c>
      <c r="E1004" s="27" t="s">
        <v>7746</v>
      </c>
      <c r="F1004" s="468">
        <v>5.06611194E8</v>
      </c>
      <c r="G1004" s="26" t="s">
        <v>4740</v>
      </c>
      <c r="H1004" s="27" t="s">
        <v>79</v>
      </c>
      <c r="I1004" s="26" t="s">
        <v>27</v>
      </c>
      <c r="J1004" s="209" t="s">
        <v>7747</v>
      </c>
      <c r="K1004" s="27"/>
      <c r="L1004" s="26" t="s">
        <v>36</v>
      </c>
      <c r="M1004" s="27" t="s">
        <v>5046</v>
      </c>
      <c r="N1004" s="26" t="s">
        <v>4803</v>
      </c>
      <c r="O1004" s="26" t="s">
        <v>49</v>
      </c>
      <c r="P1004" s="35"/>
      <c r="Q1004" s="26" t="s">
        <v>56</v>
      </c>
      <c r="R1004" s="26" t="s">
        <v>42</v>
      </c>
      <c r="S1004" s="27" t="s">
        <v>3566</v>
      </c>
      <c r="T1004" s="35"/>
      <c r="U1004" s="26"/>
      <c r="V1004" s="26"/>
      <c r="W1004" s="26">
        <v>5.0</v>
      </c>
      <c r="X1004" s="26"/>
    </row>
    <row r="1005" hidden="1">
      <c r="A1005" s="26">
        <v>1005.0</v>
      </c>
      <c r="B1005" s="188">
        <v>46197.0</v>
      </c>
      <c r="C1005" s="26" t="s">
        <v>47</v>
      </c>
      <c r="D1005" s="26" t="s">
        <v>48</v>
      </c>
      <c r="E1005" s="27" t="s">
        <v>6308</v>
      </c>
      <c r="F1005" s="21">
        <v>5.06280798E8</v>
      </c>
      <c r="G1005" s="26" t="s">
        <v>4769</v>
      </c>
      <c r="H1005" s="27" t="s">
        <v>152</v>
      </c>
      <c r="I1005" s="26" t="s">
        <v>272</v>
      </c>
      <c r="J1005" s="209" t="s">
        <v>7830</v>
      </c>
      <c r="K1005" s="27" t="s">
        <v>7749</v>
      </c>
      <c r="L1005" s="26" t="s">
        <v>36</v>
      </c>
      <c r="M1005" s="27" t="s">
        <v>5011</v>
      </c>
      <c r="N1005" s="26" t="s">
        <v>4977</v>
      </c>
      <c r="O1005" s="26" t="s">
        <v>4746</v>
      </c>
      <c r="P1005" s="35"/>
      <c r="Q1005" s="26" t="s">
        <v>56</v>
      </c>
      <c r="R1005" s="26" t="s">
        <v>518</v>
      </c>
      <c r="S1005" s="27" t="s">
        <v>3765</v>
      </c>
      <c r="T1005" s="27" t="s">
        <v>3566</v>
      </c>
      <c r="U1005" s="26"/>
      <c r="V1005" s="26"/>
      <c r="W1005" s="26">
        <v>5.0</v>
      </c>
      <c r="X1005" s="26" t="s">
        <v>46</v>
      </c>
    </row>
    <row r="1006" hidden="1">
      <c r="A1006" s="26">
        <v>1006.0</v>
      </c>
      <c r="B1006" s="188">
        <v>46197.0</v>
      </c>
      <c r="C1006" s="26" t="s">
        <v>47</v>
      </c>
      <c r="D1006" s="26" t="s">
        <v>92</v>
      </c>
      <c r="E1006" s="27" t="s">
        <v>7751</v>
      </c>
      <c r="F1006" s="21">
        <v>5.60045047E8</v>
      </c>
      <c r="G1006" s="26" t="s">
        <v>4740</v>
      </c>
      <c r="H1006" s="27" t="s">
        <v>71</v>
      </c>
      <c r="I1006" s="26" t="s">
        <v>94</v>
      </c>
      <c r="J1006" s="209" t="s">
        <v>7752</v>
      </c>
      <c r="K1006" s="27"/>
      <c r="L1006" s="26" t="s">
        <v>36</v>
      </c>
      <c r="M1006" s="27" t="s">
        <v>7750</v>
      </c>
      <c r="N1006" s="26" t="s">
        <v>4637</v>
      </c>
      <c r="O1006" s="26" t="s">
        <v>4746</v>
      </c>
      <c r="P1006" s="35"/>
      <c r="Q1006" s="26" t="s">
        <v>40</v>
      </c>
      <c r="R1006" s="26" t="s">
        <v>42</v>
      </c>
      <c r="S1006" s="27" t="s">
        <v>3566</v>
      </c>
      <c r="T1006" s="35"/>
      <c r="U1006" s="26"/>
      <c r="V1006" s="26"/>
      <c r="W1006" s="26">
        <v>5.0</v>
      </c>
      <c r="X1006" s="26" t="s">
        <v>46</v>
      </c>
    </row>
    <row r="1007" hidden="1">
      <c r="A1007" s="26">
        <v>1007.0</v>
      </c>
      <c r="B1007" s="188">
        <v>46197.0</v>
      </c>
      <c r="C1007" s="26" t="s">
        <v>47</v>
      </c>
      <c r="D1007" s="26" t="s">
        <v>92</v>
      </c>
      <c r="E1007" s="27" t="s">
        <v>7753</v>
      </c>
      <c r="F1007" s="21">
        <v>5.3084471E8</v>
      </c>
      <c r="G1007" s="26" t="s">
        <v>5023</v>
      </c>
      <c r="H1007" s="27" t="s">
        <v>3439</v>
      </c>
      <c r="I1007" s="26" t="s">
        <v>735</v>
      </c>
      <c r="J1007" s="209" t="s">
        <v>7754</v>
      </c>
      <c r="K1007" s="27"/>
      <c r="L1007" s="26" t="s">
        <v>36</v>
      </c>
      <c r="M1007" s="27" t="s">
        <v>7750</v>
      </c>
      <c r="N1007" s="26" t="s">
        <v>4637</v>
      </c>
      <c r="O1007" s="26" t="s">
        <v>4746</v>
      </c>
      <c r="P1007" s="35"/>
      <c r="Q1007" s="26" t="s">
        <v>40</v>
      </c>
      <c r="R1007" s="26" t="s">
        <v>42</v>
      </c>
      <c r="S1007" s="27" t="s">
        <v>3566</v>
      </c>
      <c r="T1007" s="35"/>
      <c r="U1007" s="26"/>
      <c r="V1007" s="26"/>
      <c r="W1007" s="26">
        <v>5.0</v>
      </c>
      <c r="X1007" s="26" t="s">
        <v>46</v>
      </c>
    </row>
    <row r="1008" hidden="1">
      <c r="A1008" s="26">
        <v>1008.0</v>
      </c>
      <c r="B1008" s="188">
        <v>46197.0</v>
      </c>
      <c r="C1008" s="26" t="s">
        <v>47</v>
      </c>
      <c r="D1008" s="26" t="s">
        <v>92</v>
      </c>
      <c r="E1008" s="27" t="s">
        <v>7755</v>
      </c>
      <c r="F1008" s="21">
        <v>5.06226643E8</v>
      </c>
      <c r="G1008" s="26" t="s">
        <v>4740</v>
      </c>
      <c r="H1008" s="27" t="s">
        <v>71</v>
      </c>
      <c r="I1008" s="26" t="s">
        <v>94</v>
      </c>
      <c r="J1008" s="209" t="s">
        <v>7756</v>
      </c>
      <c r="K1008" s="27"/>
      <c r="L1008" s="26" t="s">
        <v>36</v>
      </c>
      <c r="M1008" s="27" t="s">
        <v>7750</v>
      </c>
      <c r="N1008" s="26" t="s">
        <v>4637</v>
      </c>
      <c r="O1008" s="26" t="s">
        <v>4746</v>
      </c>
      <c r="P1008" s="35"/>
      <c r="Q1008" s="26" t="s">
        <v>40</v>
      </c>
      <c r="R1008" s="26" t="s">
        <v>42</v>
      </c>
      <c r="S1008" s="27" t="s">
        <v>3566</v>
      </c>
      <c r="T1008" s="35"/>
      <c r="U1008" s="26"/>
      <c r="V1008" s="26"/>
      <c r="W1008" s="26">
        <v>5.0</v>
      </c>
      <c r="X1008" s="26" t="s">
        <v>46</v>
      </c>
    </row>
    <row r="1009" hidden="1">
      <c r="A1009" s="26">
        <v>1009.0</v>
      </c>
      <c r="B1009" s="188">
        <v>46197.0</v>
      </c>
      <c r="C1009" s="26" t="s">
        <v>21</v>
      </c>
      <c r="D1009" s="26" t="s">
        <v>24</v>
      </c>
      <c r="E1009" s="27" t="s">
        <v>7757</v>
      </c>
      <c r="F1009" s="21">
        <v>5.33793385E8</v>
      </c>
      <c r="G1009" s="26" t="s">
        <v>5023</v>
      </c>
      <c r="H1009" s="407" t="s">
        <v>2174</v>
      </c>
      <c r="I1009" s="26" t="s">
        <v>27</v>
      </c>
      <c r="J1009" s="209" t="s">
        <v>7758</v>
      </c>
      <c r="K1009" s="27"/>
      <c r="L1009" s="26" t="s">
        <v>62</v>
      </c>
      <c r="M1009" s="27" t="s">
        <v>630</v>
      </c>
      <c r="N1009" s="26" t="s">
        <v>4803</v>
      </c>
      <c r="O1009" s="26" t="s">
        <v>4746</v>
      </c>
      <c r="P1009" s="35"/>
      <c r="Q1009" s="26" t="s">
        <v>56</v>
      </c>
      <c r="R1009" s="26" t="s">
        <v>42</v>
      </c>
      <c r="S1009" s="27" t="s">
        <v>3566</v>
      </c>
      <c r="T1009" s="35"/>
      <c r="U1009" s="26"/>
      <c r="V1009" s="26"/>
      <c r="W1009" s="26">
        <v>5.0</v>
      </c>
      <c r="X1009" s="26" t="s">
        <v>46</v>
      </c>
    </row>
    <row r="1010" hidden="1">
      <c r="A1010" s="26">
        <v>1010.0</v>
      </c>
      <c r="B1010" s="188">
        <v>46197.0</v>
      </c>
      <c r="C1010" s="26" t="s">
        <v>21</v>
      </c>
      <c r="D1010" s="26" t="s">
        <v>22</v>
      </c>
      <c r="E1010" s="27" t="s">
        <v>7759</v>
      </c>
      <c r="F1010" s="21">
        <v>5.6755231E8</v>
      </c>
      <c r="G1010" s="26" t="s">
        <v>4769</v>
      </c>
      <c r="H1010" s="27" t="s">
        <v>152</v>
      </c>
      <c r="I1010" s="26" t="s">
        <v>27</v>
      </c>
      <c r="J1010" s="209" t="s">
        <v>7760</v>
      </c>
      <c r="K1010" s="27"/>
      <c r="L1010" s="26" t="s">
        <v>36</v>
      </c>
      <c r="M1010" s="27" t="s">
        <v>1389</v>
      </c>
      <c r="N1010" s="26" t="s">
        <v>4870</v>
      </c>
      <c r="O1010" s="26" t="s">
        <v>4746</v>
      </c>
      <c r="P1010" s="35"/>
      <c r="Q1010" s="26" t="s">
        <v>40</v>
      </c>
      <c r="R1010" s="26" t="s">
        <v>42</v>
      </c>
      <c r="S1010" s="27" t="s">
        <v>3566</v>
      </c>
      <c r="T1010" s="35"/>
      <c r="U1010" s="26"/>
      <c r="V1010" s="26"/>
      <c r="W1010" s="26">
        <v>5.0</v>
      </c>
      <c r="X1010" s="26" t="s">
        <v>46</v>
      </c>
    </row>
    <row r="1011" hidden="1">
      <c r="A1011" s="26">
        <v>1011.0</v>
      </c>
      <c r="B1011" s="188">
        <v>46198.0</v>
      </c>
      <c r="C1011" s="26" t="s">
        <v>47</v>
      </c>
      <c r="D1011" s="26" t="s">
        <v>48</v>
      </c>
      <c r="E1011" s="27" t="s">
        <v>7761</v>
      </c>
      <c r="F1011" s="21" t="s">
        <v>7762</v>
      </c>
      <c r="G1011" s="26" t="s">
        <v>4740</v>
      </c>
      <c r="H1011" s="27" t="s">
        <v>79</v>
      </c>
      <c r="I1011" s="26" t="s">
        <v>2109</v>
      </c>
      <c r="J1011" s="209" t="s">
        <v>7831</v>
      </c>
      <c r="K1011" s="27"/>
      <c r="L1011" s="26" t="s">
        <v>36</v>
      </c>
      <c r="M1011" s="275" t="s">
        <v>5441</v>
      </c>
      <c r="N1011" s="26" t="s">
        <v>4977</v>
      </c>
      <c r="O1011" s="26" t="s">
        <v>49</v>
      </c>
      <c r="P1011" s="35">
        <v>0.42291666666666666</v>
      </c>
      <c r="Q1011" s="26" t="s">
        <v>40</v>
      </c>
      <c r="R1011" s="26" t="s">
        <v>3811</v>
      </c>
      <c r="S1011" s="27" t="s">
        <v>3566</v>
      </c>
      <c r="T1011" s="27" t="s">
        <v>3566</v>
      </c>
      <c r="U1011" s="35">
        <v>0.3680555555555556</v>
      </c>
      <c r="V1011" s="26" t="s">
        <v>49</v>
      </c>
      <c r="W1011" s="26">
        <v>5.0</v>
      </c>
      <c r="X1011" s="26" t="s">
        <v>46</v>
      </c>
    </row>
    <row r="1012" hidden="1">
      <c r="A1012" s="26">
        <v>1012.0</v>
      </c>
      <c r="B1012" s="188">
        <v>46198.0</v>
      </c>
      <c r="C1012" s="26" t="s">
        <v>58</v>
      </c>
      <c r="D1012" s="26" t="s">
        <v>57</v>
      </c>
      <c r="E1012" s="27" t="s">
        <v>7765</v>
      </c>
      <c r="F1012" s="21">
        <v>5.94919946E8</v>
      </c>
      <c r="G1012" s="26" t="s">
        <v>4740</v>
      </c>
      <c r="H1012" s="27" t="s">
        <v>79</v>
      </c>
      <c r="I1012" s="26" t="s">
        <v>27</v>
      </c>
      <c r="J1012" s="209" t="s">
        <v>7766</v>
      </c>
      <c r="K1012" s="27"/>
      <c r="L1012" s="26" t="s">
        <v>36</v>
      </c>
      <c r="M1012" s="27" t="s">
        <v>7358</v>
      </c>
      <c r="N1012" s="26" t="s">
        <v>4746</v>
      </c>
      <c r="O1012" s="26" t="s">
        <v>4746</v>
      </c>
      <c r="P1012" s="35"/>
      <c r="Q1012" s="26" t="s">
        <v>56</v>
      </c>
      <c r="R1012" s="26" t="s">
        <v>42</v>
      </c>
      <c r="S1012" s="27" t="s">
        <v>3566</v>
      </c>
      <c r="T1012" s="35"/>
      <c r="U1012" s="26"/>
      <c r="V1012" s="26"/>
      <c r="W1012" s="26">
        <v>5.0</v>
      </c>
      <c r="X1012" s="26"/>
    </row>
    <row r="1013" hidden="1">
      <c r="A1013" s="26">
        <v>1013.0</v>
      </c>
      <c r="B1013" s="188">
        <v>46198.0</v>
      </c>
      <c r="C1013" s="26" t="s">
        <v>58</v>
      </c>
      <c r="D1013" s="26" t="s">
        <v>60</v>
      </c>
      <c r="E1013" s="26" t="s">
        <v>27</v>
      </c>
      <c r="F1013" s="21">
        <v>5.06572906E8</v>
      </c>
      <c r="G1013" s="26" t="s">
        <v>27</v>
      </c>
      <c r="H1013" s="26" t="s">
        <v>27</v>
      </c>
      <c r="I1013" s="26" t="s">
        <v>27</v>
      </c>
      <c r="J1013" s="209" t="s">
        <v>7767</v>
      </c>
      <c r="K1013" s="27"/>
      <c r="L1013" s="26" t="s">
        <v>36</v>
      </c>
      <c r="M1013" s="27" t="s">
        <v>88</v>
      </c>
      <c r="N1013" s="26" t="s">
        <v>4746</v>
      </c>
      <c r="O1013" s="26" t="s">
        <v>4746</v>
      </c>
      <c r="P1013" s="35"/>
      <c r="Q1013" s="26" t="s">
        <v>56</v>
      </c>
      <c r="R1013" s="26" t="s">
        <v>42</v>
      </c>
      <c r="S1013" s="27" t="s">
        <v>3566</v>
      </c>
      <c r="T1013" s="35"/>
      <c r="U1013" s="26"/>
      <c r="V1013" s="26"/>
      <c r="W1013" s="26">
        <v>5.0</v>
      </c>
      <c r="X1013" s="26"/>
    </row>
    <row r="1014" hidden="1">
      <c r="A1014" s="26">
        <v>1014.0</v>
      </c>
      <c r="B1014" s="188">
        <v>46198.0</v>
      </c>
      <c r="C1014" s="26" t="s">
        <v>58</v>
      </c>
      <c r="D1014" s="26" t="s">
        <v>60</v>
      </c>
      <c r="E1014" s="26" t="s">
        <v>27</v>
      </c>
      <c r="F1014" s="21">
        <v>5.44904702E8</v>
      </c>
      <c r="G1014" s="26" t="s">
        <v>27</v>
      </c>
      <c r="H1014" s="26" t="s">
        <v>27</v>
      </c>
      <c r="I1014" s="26" t="s">
        <v>27</v>
      </c>
      <c r="J1014" s="209" t="s">
        <v>124</v>
      </c>
      <c r="K1014" s="27"/>
      <c r="L1014" s="26" t="s">
        <v>36</v>
      </c>
      <c r="M1014" s="27" t="s">
        <v>88</v>
      </c>
      <c r="N1014" s="26" t="s">
        <v>4746</v>
      </c>
      <c r="O1014" s="26" t="s">
        <v>4746</v>
      </c>
      <c r="P1014" s="35"/>
      <c r="Q1014" s="26" t="s">
        <v>56</v>
      </c>
      <c r="R1014" s="26" t="s">
        <v>42</v>
      </c>
      <c r="S1014" s="27" t="s">
        <v>3566</v>
      </c>
      <c r="T1014" s="35"/>
      <c r="U1014" s="26"/>
      <c r="V1014" s="26"/>
      <c r="W1014" s="26">
        <v>5.0</v>
      </c>
      <c r="X1014" s="26"/>
    </row>
    <row r="1015" hidden="1">
      <c r="A1015" s="26">
        <v>1015.0</v>
      </c>
      <c r="B1015" s="188">
        <v>46198.0</v>
      </c>
      <c r="C1015" s="26" t="s">
        <v>58</v>
      </c>
      <c r="D1015" s="26" t="s">
        <v>60</v>
      </c>
      <c r="E1015" s="26" t="s">
        <v>27</v>
      </c>
      <c r="F1015" s="21">
        <v>5.80206129E8</v>
      </c>
      <c r="G1015" s="26" t="s">
        <v>27</v>
      </c>
      <c r="H1015" s="26" t="s">
        <v>27</v>
      </c>
      <c r="I1015" s="26" t="s">
        <v>27</v>
      </c>
      <c r="J1015" s="209" t="s">
        <v>7768</v>
      </c>
      <c r="K1015" s="27"/>
      <c r="L1015" s="26" t="s">
        <v>36</v>
      </c>
      <c r="M1015" s="27" t="s">
        <v>88</v>
      </c>
      <c r="N1015" s="26" t="s">
        <v>4746</v>
      </c>
      <c r="O1015" s="26" t="s">
        <v>4746</v>
      </c>
      <c r="P1015" s="35"/>
      <c r="Q1015" s="26" t="s">
        <v>56</v>
      </c>
      <c r="R1015" s="26" t="s">
        <v>42</v>
      </c>
      <c r="S1015" s="27" t="s">
        <v>3566</v>
      </c>
      <c r="T1015" s="35"/>
      <c r="U1015" s="26"/>
      <c r="V1015" s="26"/>
      <c r="W1015" s="26">
        <v>5.0</v>
      </c>
      <c r="X1015" s="26"/>
    </row>
    <row r="1016" hidden="1">
      <c r="A1016" s="26">
        <v>1016.0</v>
      </c>
      <c r="B1016" s="188">
        <v>46198.0</v>
      </c>
      <c r="C1016" s="26" t="s">
        <v>58</v>
      </c>
      <c r="D1016" s="26" t="s">
        <v>60</v>
      </c>
      <c r="E1016" s="26" t="s">
        <v>27</v>
      </c>
      <c r="F1016" s="21">
        <v>5.96794697E8</v>
      </c>
      <c r="G1016" s="26" t="s">
        <v>27</v>
      </c>
      <c r="H1016" s="26" t="s">
        <v>27</v>
      </c>
      <c r="I1016" s="26" t="s">
        <v>27</v>
      </c>
      <c r="J1016" s="209" t="s">
        <v>7769</v>
      </c>
      <c r="K1016" s="27"/>
      <c r="L1016" s="26" t="s">
        <v>36</v>
      </c>
      <c r="M1016" s="27" t="s">
        <v>88</v>
      </c>
      <c r="N1016" s="26" t="s">
        <v>4746</v>
      </c>
      <c r="O1016" s="26" t="s">
        <v>4746</v>
      </c>
      <c r="P1016" s="35"/>
      <c r="Q1016" s="26" t="s">
        <v>56</v>
      </c>
      <c r="R1016" s="26" t="s">
        <v>42</v>
      </c>
      <c r="S1016" s="27" t="s">
        <v>3566</v>
      </c>
      <c r="T1016" s="35"/>
      <c r="U1016" s="26"/>
      <c r="V1016" s="26"/>
      <c r="W1016" s="26">
        <v>5.0</v>
      </c>
      <c r="X1016" s="26"/>
    </row>
    <row r="1017" hidden="1">
      <c r="A1017" s="26">
        <v>1017.0</v>
      </c>
      <c r="B1017" s="188">
        <v>46198.0</v>
      </c>
      <c r="C1017" s="26" t="s">
        <v>58</v>
      </c>
      <c r="D1017" s="26" t="s">
        <v>60</v>
      </c>
      <c r="E1017" s="27" t="s">
        <v>7770</v>
      </c>
      <c r="F1017" s="21">
        <v>5.93603101E8</v>
      </c>
      <c r="G1017" s="26" t="s">
        <v>27</v>
      </c>
      <c r="H1017" s="26" t="s">
        <v>27</v>
      </c>
      <c r="I1017" s="26" t="s">
        <v>27</v>
      </c>
      <c r="J1017" s="209" t="s">
        <v>7771</v>
      </c>
      <c r="K1017" s="27" t="s">
        <v>7772</v>
      </c>
      <c r="L1017" s="26" t="s">
        <v>36</v>
      </c>
      <c r="M1017" s="27" t="s">
        <v>88</v>
      </c>
      <c r="N1017" s="26" t="s">
        <v>4746</v>
      </c>
      <c r="O1017" s="26" t="s">
        <v>4746</v>
      </c>
      <c r="P1017" s="35"/>
      <c r="Q1017" s="26" t="s">
        <v>56</v>
      </c>
      <c r="R1017" s="26" t="s">
        <v>42</v>
      </c>
      <c r="S1017" s="27" t="s">
        <v>3566</v>
      </c>
      <c r="T1017" s="35"/>
      <c r="U1017" s="26"/>
      <c r="V1017" s="26"/>
      <c r="W1017" s="26">
        <v>5.0</v>
      </c>
      <c r="X1017" s="26"/>
    </row>
    <row r="1018" hidden="1">
      <c r="A1018" s="26">
        <v>1018.0</v>
      </c>
      <c r="B1018" s="188">
        <v>46198.0</v>
      </c>
      <c r="C1018" s="26" t="s">
        <v>47</v>
      </c>
      <c r="D1018" s="26" t="s">
        <v>48</v>
      </c>
      <c r="E1018" s="27" t="s">
        <v>7773</v>
      </c>
      <c r="F1018" s="21">
        <v>5.92290934E8</v>
      </c>
      <c r="G1018" s="26" t="s">
        <v>4740</v>
      </c>
      <c r="H1018" s="27" t="s">
        <v>79</v>
      </c>
      <c r="I1018" s="26" t="s">
        <v>80</v>
      </c>
      <c r="J1018" s="209" t="s">
        <v>7774</v>
      </c>
      <c r="K1018" s="27"/>
      <c r="L1018" s="26" t="s">
        <v>36</v>
      </c>
      <c r="M1018" s="27" t="s">
        <v>6835</v>
      </c>
      <c r="N1018" s="26" t="s">
        <v>4977</v>
      </c>
      <c r="O1018" s="26" t="s">
        <v>4746</v>
      </c>
      <c r="P1018" s="35"/>
      <c r="Q1018" s="26" t="s">
        <v>40</v>
      </c>
      <c r="R1018" s="26" t="s">
        <v>42</v>
      </c>
      <c r="S1018" s="27" t="s">
        <v>3997</v>
      </c>
      <c r="T1018" s="27" t="s">
        <v>3566</v>
      </c>
      <c r="U1018" s="26"/>
      <c r="V1018" s="26"/>
      <c r="W1018" s="26">
        <v>5.0</v>
      </c>
      <c r="X1018" s="26" t="s">
        <v>46</v>
      </c>
    </row>
    <row r="1019" hidden="1">
      <c r="A1019" s="26">
        <v>1019.0</v>
      </c>
      <c r="B1019" s="188">
        <v>46198.0</v>
      </c>
      <c r="C1019" s="26" t="s">
        <v>21</v>
      </c>
      <c r="D1019" s="26" t="s">
        <v>66</v>
      </c>
      <c r="E1019" s="27" t="s">
        <v>7775</v>
      </c>
      <c r="F1019" s="21">
        <v>5.37504757E8</v>
      </c>
      <c r="G1019" s="26" t="s">
        <v>27</v>
      </c>
      <c r="H1019" s="26" t="s">
        <v>27</v>
      </c>
      <c r="I1019" s="26" t="s">
        <v>27</v>
      </c>
      <c r="J1019" s="209" t="s">
        <v>7776</v>
      </c>
      <c r="K1019" s="27" t="s">
        <v>7777</v>
      </c>
      <c r="L1019" s="26" t="s">
        <v>62</v>
      </c>
      <c r="M1019" s="27" t="s">
        <v>208</v>
      </c>
      <c r="N1019" s="26" t="s">
        <v>49</v>
      </c>
      <c r="O1019" s="26" t="s">
        <v>4746</v>
      </c>
      <c r="P1019" s="35"/>
      <c r="Q1019" s="26" t="s">
        <v>56</v>
      </c>
      <c r="R1019" s="26" t="s">
        <v>301</v>
      </c>
      <c r="S1019" s="27" t="s">
        <v>3566</v>
      </c>
      <c r="T1019" s="35"/>
      <c r="U1019" s="26"/>
      <c r="V1019" s="26"/>
      <c r="W1019" s="26">
        <v>5.0</v>
      </c>
      <c r="X1019" s="26"/>
    </row>
    <row r="1020" hidden="1">
      <c r="A1020" s="26">
        <v>1020.0</v>
      </c>
      <c r="B1020" s="188">
        <v>46198.0</v>
      </c>
      <c r="C1020" s="26" t="s">
        <v>21</v>
      </c>
      <c r="D1020" s="26" t="s">
        <v>22</v>
      </c>
      <c r="E1020" s="27" t="s">
        <v>7778</v>
      </c>
      <c r="F1020" s="21">
        <v>5.65339466E8</v>
      </c>
      <c r="G1020" s="26" t="s">
        <v>4740</v>
      </c>
      <c r="H1020" s="27" t="s">
        <v>71</v>
      </c>
      <c r="I1020" s="26" t="s">
        <v>27</v>
      </c>
      <c r="J1020" s="209" t="s">
        <v>7779</v>
      </c>
      <c r="K1020" s="27"/>
      <c r="L1020" s="26" t="s">
        <v>36</v>
      </c>
      <c r="M1020" s="27" t="s">
        <v>4868</v>
      </c>
      <c r="N1020" s="26" t="s">
        <v>4870</v>
      </c>
      <c r="O1020" s="26" t="s">
        <v>4746</v>
      </c>
      <c r="P1020" s="35"/>
      <c r="Q1020" s="26" t="s">
        <v>40</v>
      </c>
      <c r="R1020" s="26" t="s">
        <v>42</v>
      </c>
      <c r="S1020" s="27" t="s">
        <v>3566</v>
      </c>
      <c r="T1020" s="35"/>
      <c r="U1020" s="26"/>
      <c r="V1020" s="26"/>
      <c r="W1020" s="26">
        <v>5.0</v>
      </c>
      <c r="X1020" s="26" t="s">
        <v>46</v>
      </c>
    </row>
    <row r="1021" hidden="1">
      <c r="A1021" s="26">
        <v>1021.0</v>
      </c>
      <c r="B1021" s="188">
        <v>46198.0</v>
      </c>
      <c r="C1021" s="26" t="s">
        <v>47</v>
      </c>
      <c r="D1021" s="26" t="s">
        <v>153</v>
      </c>
      <c r="E1021" s="27" t="s">
        <v>7780</v>
      </c>
      <c r="F1021" s="21">
        <v>5.03935304E8</v>
      </c>
      <c r="G1021" s="26" t="s">
        <v>27</v>
      </c>
      <c r="H1021" s="26" t="s">
        <v>27</v>
      </c>
      <c r="I1021" s="26" t="s">
        <v>27</v>
      </c>
      <c r="J1021" s="209" t="s">
        <v>7781</v>
      </c>
      <c r="K1021" s="27"/>
      <c r="L1021" s="26" t="s">
        <v>36</v>
      </c>
      <c r="M1021" s="27" t="s">
        <v>7782</v>
      </c>
      <c r="N1021" s="26" t="s">
        <v>49</v>
      </c>
      <c r="O1021" s="26" t="s">
        <v>4746</v>
      </c>
      <c r="P1021" s="35"/>
      <c r="Q1021" s="26" t="s">
        <v>56</v>
      </c>
      <c r="R1021" s="26" t="s">
        <v>518</v>
      </c>
      <c r="S1021" s="27" t="s">
        <v>3566</v>
      </c>
      <c r="T1021" s="35"/>
      <c r="U1021" s="26"/>
      <c r="V1021" s="26"/>
      <c r="W1021" s="26">
        <v>5.0</v>
      </c>
      <c r="X1021" s="26"/>
    </row>
    <row r="1022" hidden="1">
      <c r="A1022" s="26">
        <v>1022.0</v>
      </c>
      <c r="B1022" s="188">
        <v>46198.0</v>
      </c>
      <c r="C1022" s="26" t="s">
        <v>21</v>
      </c>
      <c r="D1022" s="26" t="s">
        <v>22</v>
      </c>
      <c r="E1022" s="27" t="s">
        <v>7783</v>
      </c>
      <c r="F1022" s="21">
        <v>5.95550989E8</v>
      </c>
      <c r="G1022" s="26" t="s">
        <v>4740</v>
      </c>
      <c r="H1022" s="27" t="s">
        <v>41</v>
      </c>
      <c r="I1022" s="26" t="s">
        <v>27</v>
      </c>
      <c r="J1022" s="27" t="s">
        <v>7784</v>
      </c>
      <c r="K1022" s="27"/>
      <c r="L1022" s="26" t="s">
        <v>36</v>
      </c>
      <c r="M1022" s="27" t="s">
        <v>1389</v>
      </c>
      <c r="N1022" s="26" t="s">
        <v>4870</v>
      </c>
      <c r="O1022" s="26" t="s">
        <v>4746</v>
      </c>
      <c r="P1022" s="35"/>
      <c r="Q1022" s="26" t="s">
        <v>40</v>
      </c>
      <c r="R1022" s="26" t="s">
        <v>42</v>
      </c>
      <c r="S1022" s="27" t="s">
        <v>3566</v>
      </c>
      <c r="T1022" s="35"/>
      <c r="U1022" s="26"/>
      <c r="V1022" s="26"/>
      <c r="W1022" s="26">
        <v>5.0</v>
      </c>
      <c r="X1022" s="26" t="s">
        <v>46</v>
      </c>
    </row>
    <row r="1023" hidden="1">
      <c r="A1023" s="26">
        <v>1023.0</v>
      </c>
      <c r="B1023" s="188">
        <v>46198.0</v>
      </c>
      <c r="C1023" s="26" t="s">
        <v>21</v>
      </c>
      <c r="D1023" s="26" t="s">
        <v>22</v>
      </c>
      <c r="E1023" s="27" t="s">
        <v>6219</v>
      </c>
      <c r="F1023" s="21">
        <v>5.3950709E8</v>
      </c>
      <c r="G1023" s="26" t="s">
        <v>5023</v>
      </c>
      <c r="H1023" s="27" t="s">
        <v>2756</v>
      </c>
      <c r="I1023" s="26" t="s">
        <v>27</v>
      </c>
      <c r="J1023" s="209" t="s">
        <v>7785</v>
      </c>
      <c r="K1023" s="27"/>
      <c r="L1023" s="26" t="s">
        <v>62</v>
      </c>
      <c r="M1023" s="27" t="s">
        <v>1389</v>
      </c>
      <c r="N1023" s="26" t="s">
        <v>4870</v>
      </c>
      <c r="O1023" s="26" t="s">
        <v>4746</v>
      </c>
      <c r="P1023" s="35"/>
      <c r="Q1023" s="26" t="s">
        <v>40</v>
      </c>
      <c r="R1023" s="26" t="s">
        <v>3811</v>
      </c>
      <c r="S1023" s="27" t="s">
        <v>3566</v>
      </c>
      <c r="T1023" s="35"/>
      <c r="U1023" s="26"/>
      <c r="V1023" s="26"/>
      <c r="W1023" s="26">
        <v>5.0</v>
      </c>
      <c r="X1023" s="26" t="s">
        <v>46</v>
      </c>
    </row>
    <row r="1024" hidden="1">
      <c r="A1024" s="26">
        <v>1024.0</v>
      </c>
      <c r="B1024" s="188">
        <v>46198.0</v>
      </c>
      <c r="C1024" s="26" t="s">
        <v>58</v>
      </c>
      <c r="D1024" s="26" t="s">
        <v>60</v>
      </c>
      <c r="E1024" s="27" t="s">
        <v>7786</v>
      </c>
      <c r="F1024" s="21">
        <v>5.35228565E8</v>
      </c>
      <c r="G1024" s="26" t="s">
        <v>7529</v>
      </c>
      <c r="H1024" s="27" t="s">
        <v>41</v>
      </c>
      <c r="I1024" s="26" t="s">
        <v>27</v>
      </c>
      <c r="J1024" s="209" t="s">
        <v>7787</v>
      </c>
      <c r="K1024" s="27"/>
      <c r="L1024" s="26" t="s">
        <v>36</v>
      </c>
      <c r="M1024" s="27" t="s">
        <v>88</v>
      </c>
      <c r="N1024" s="26" t="s">
        <v>4746</v>
      </c>
      <c r="O1024" s="26" t="s">
        <v>4746</v>
      </c>
      <c r="P1024" s="35"/>
      <c r="Q1024" s="26" t="s">
        <v>56</v>
      </c>
      <c r="R1024" s="26" t="s">
        <v>42</v>
      </c>
      <c r="S1024" s="27" t="s">
        <v>3566</v>
      </c>
      <c r="T1024" s="35"/>
      <c r="U1024" s="26"/>
      <c r="V1024" s="26"/>
      <c r="W1024" s="26">
        <v>5.0</v>
      </c>
      <c r="X1024" s="26"/>
    </row>
    <row r="1025">
      <c r="A1025" s="26">
        <v>1025.0</v>
      </c>
      <c r="B1025" s="188">
        <v>46198.0</v>
      </c>
      <c r="C1025" s="26" t="s">
        <v>21</v>
      </c>
      <c r="D1025" s="26" t="s">
        <v>48</v>
      </c>
      <c r="E1025" s="26" t="s">
        <v>27</v>
      </c>
      <c r="F1025" s="21">
        <v>5.99144739E8</v>
      </c>
      <c r="G1025" s="26" t="s">
        <v>27</v>
      </c>
      <c r="H1025" s="26" t="s">
        <v>27</v>
      </c>
      <c r="I1025" s="26" t="s">
        <v>27</v>
      </c>
      <c r="J1025" s="209" t="s">
        <v>7788</v>
      </c>
      <c r="K1025" s="27"/>
      <c r="L1025" s="26" t="s">
        <v>62</v>
      </c>
      <c r="M1025" s="27" t="s">
        <v>208</v>
      </c>
      <c r="N1025" s="26" t="s">
        <v>49</v>
      </c>
      <c r="O1025" s="26" t="s">
        <v>4746</v>
      </c>
      <c r="P1025" s="35"/>
      <c r="Q1025" s="26" t="s">
        <v>56</v>
      </c>
      <c r="R1025" s="26" t="s">
        <v>301</v>
      </c>
      <c r="S1025" s="27" t="s">
        <v>3566</v>
      </c>
      <c r="T1025" s="35"/>
      <c r="U1025" s="26"/>
      <c r="V1025" s="26"/>
      <c r="W1025" s="26">
        <v>5.0</v>
      </c>
      <c r="X1025" s="26"/>
    </row>
    <row r="1026" hidden="1">
      <c r="A1026" s="26">
        <v>1026.0</v>
      </c>
      <c r="B1026" s="188">
        <v>46198.0</v>
      </c>
      <c r="C1026" s="26" t="s">
        <v>58</v>
      </c>
      <c r="D1026" s="26" t="s">
        <v>60</v>
      </c>
      <c r="E1026" s="26" t="s">
        <v>27</v>
      </c>
      <c r="F1026" s="21">
        <v>5.05126858E8</v>
      </c>
      <c r="G1026" s="26" t="s">
        <v>27</v>
      </c>
      <c r="H1026" s="26" t="s">
        <v>27</v>
      </c>
      <c r="I1026" s="26" t="s">
        <v>27</v>
      </c>
      <c r="J1026" s="209" t="s">
        <v>7789</v>
      </c>
      <c r="K1026" s="27"/>
      <c r="L1026" s="26" t="s">
        <v>62</v>
      </c>
      <c r="M1026" s="27" t="s">
        <v>88</v>
      </c>
      <c r="N1026" s="26" t="s">
        <v>4746</v>
      </c>
      <c r="O1026" s="26" t="s">
        <v>4746</v>
      </c>
      <c r="P1026" s="35"/>
      <c r="Q1026" s="26" t="s">
        <v>56</v>
      </c>
      <c r="R1026" s="26" t="s">
        <v>42</v>
      </c>
      <c r="S1026" s="27" t="s">
        <v>3566</v>
      </c>
      <c r="T1026" s="35"/>
      <c r="U1026" s="26"/>
      <c r="V1026" s="26"/>
      <c r="W1026" s="26">
        <v>5.0</v>
      </c>
      <c r="X1026" s="26"/>
    </row>
    <row r="1027" hidden="1">
      <c r="A1027" s="26">
        <v>1027.0</v>
      </c>
      <c r="B1027" s="188">
        <v>46198.0</v>
      </c>
      <c r="C1027" s="26" t="s">
        <v>58</v>
      </c>
      <c r="D1027" s="26" t="s">
        <v>60</v>
      </c>
      <c r="E1027" s="27" t="s">
        <v>7790</v>
      </c>
      <c r="F1027" s="21">
        <v>5.50702817E8</v>
      </c>
      <c r="G1027" s="26" t="s">
        <v>4740</v>
      </c>
      <c r="H1027" s="27" t="s">
        <v>41</v>
      </c>
      <c r="I1027" s="26" t="s">
        <v>27</v>
      </c>
      <c r="J1027" s="209" t="s">
        <v>7791</v>
      </c>
      <c r="K1027" s="27" t="s">
        <v>7792</v>
      </c>
      <c r="L1027" s="26" t="s">
        <v>36</v>
      </c>
      <c r="M1027" s="27" t="s">
        <v>88</v>
      </c>
      <c r="N1027" s="26" t="s">
        <v>4746</v>
      </c>
      <c r="O1027" s="26" t="s">
        <v>4746</v>
      </c>
      <c r="P1027" s="35"/>
      <c r="Q1027" s="26" t="s">
        <v>56</v>
      </c>
      <c r="R1027" s="26" t="s">
        <v>42</v>
      </c>
      <c r="S1027" s="27" t="s">
        <v>3566</v>
      </c>
      <c r="T1027" s="35"/>
      <c r="U1027" s="26"/>
      <c r="V1027" s="26"/>
      <c r="W1027" s="26">
        <v>5.0</v>
      </c>
      <c r="X1027" s="26"/>
    </row>
    <row r="1028" hidden="1">
      <c r="A1028" s="26">
        <v>1028.0</v>
      </c>
      <c r="B1028" s="188">
        <v>46198.0</v>
      </c>
      <c r="C1028" s="26" t="s">
        <v>21</v>
      </c>
      <c r="D1028" s="26" t="s">
        <v>153</v>
      </c>
      <c r="E1028" s="26" t="s">
        <v>27</v>
      </c>
      <c r="F1028" s="21">
        <v>1.18393193E8</v>
      </c>
      <c r="G1028" s="26" t="s">
        <v>4769</v>
      </c>
      <c r="H1028" s="27" t="s">
        <v>152</v>
      </c>
      <c r="I1028" s="26" t="s">
        <v>27</v>
      </c>
      <c r="J1028" s="209" t="s">
        <v>7793</v>
      </c>
      <c r="K1028" s="27" t="s">
        <v>7794</v>
      </c>
      <c r="L1028" s="26" t="s">
        <v>36</v>
      </c>
      <c r="M1028" s="27" t="s">
        <v>208</v>
      </c>
      <c r="N1028" s="26" t="s">
        <v>49</v>
      </c>
      <c r="O1028" s="26" t="s">
        <v>4746</v>
      </c>
      <c r="P1028" s="35"/>
      <c r="Q1028" s="26" t="s">
        <v>56</v>
      </c>
      <c r="R1028" s="26" t="s">
        <v>518</v>
      </c>
      <c r="S1028" s="27" t="s">
        <v>3566</v>
      </c>
      <c r="T1028" s="35"/>
      <c r="U1028" s="26"/>
      <c r="V1028" s="26"/>
      <c r="W1028" s="26">
        <v>5.0</v>
      </c>
      <c r="X1028" s="26"/>
    </row>
    <row r="1029" hidden="1">
      <c r="A1029" s="26">
        <v>1029.0</v>
      </c>
      <c r="B1029" s="188">
        <v>46198.0</v>
      </c>
      <c r="C1029" s="26" t="s">
        <v>47</v>
      </c>
      <c r="D1029" s="26" t="s">
        <v>92</v>
      </c>
      <c r="E1029" s="26" t="s">
        <v>7795</v>
      </c>
      <c r="F1029" s="21">
        <v>5.37074448E8</v>
      </c>
      <c r="G1029" s="26" t="s">
        <v>5023</v>
      </c>
      <c r="H1029" s="27" t="s">
        <v>3439</v>
      </c>
      <c r="I1029" s="26" t="s">
        <v>735</v>
      </c>
      <c r="J1029" s="209" t="s">
        <v>7796</v>
      </c>
      <c r="K1029" s="27"/>
      <c r="L1029" s="26" t="s">
        <v>148</v>
      </c>
      <c r="M1029" s="27" t="s">
        <v>7750</v>
      </c>
      <c r="N1029" s="26" t="s">
        <v>4637</v>
      </c>
      <c r="O1029" s="26" t="s">
        <v>4746</v>
      </c>
      <c r="P1029" s="35"/>
      <c r="Q1029" s="26" t="s">
        <v>40</v>
      </c>
      <c r="R1029" s="26" t="s">
        <v>42</v>
      </c>
      <c r="S1029" s="27" t="s">
        <v>3566</v>
      </c>
      <c r="T1029" s="35"/>
      <c r="U1029" s="26"/>
      <c r="V1029" s="26"/>
      <c r="W1029" s="26">
        <v>5.0</v>
      </c>
      <c r="X1029" s="26" t="s">
        <v>46</v>
      </c>
    </row>
    <row r="1030">
      <c r="A1030" s="26">
        <v>1030.0</v>
      </c>
      <c r="B1030" s="188">
        <v>46198.0</v>
      </c>
      <c r="C1030" s="26" t="s">
        <v>3766</v>
      </c>
      <c r="D1030" s="26" t="s">
        <v>48</v>
      </c>
      <c r="E1030" s="27" t="s">
        <v>7797</v>
      </c>
      <c r="F1030" s="21">
        <v>5.57157146E8</v>
      </c>
      <c r="G1030" s="26" t="s">
        <v>5151</v>
      </c>
      <c r="H1030" s="27" t="s">
        <v>28</v>
      </c>
      <c r="I1030" s="26" t="s">
        <v>177</v>
      </c>
      <c r="J1030" s="209" t="s">
        <v>7798</v>
      </c>
      <c r="K1030" s="27"/>
      <c r="L1030" s="26" t="s">
        <v>148</v>
      </c>
      <c r="M1030" s="27" t="s">
        <v>208</v>
      </c>
      <c r="N1030" s="26" t="s">
        <v>4977</v>
      </c>
      <c r="O1030" s="26" t="s">
        <v>4746</v>
      </c>
      <c r="P1030" s="35"/>
      <c r="Q1030" s="26" t="s">
        <v>56</v>
      </c>
      <c r="R1030" s="26" t="s">
        <v>42</v>
      </c>
      <c r="S1030" s="27" t="s">
        <v>3566</v>
      </c>
      <c r="T1030" s="35"/>
      <c r="U1030" s="26"/>
      <c r="V1030" s="26"/>
      <c r="W1030" s="26">
        <v>5.0</v>
      </c>
      <c r="X1030" s="26"/>
    </row>
    <row r="1031" hidden="1">
      <c r="A1031" s="26">
        <v>1031.0</v>
      </c>
      <c r="B1031" s="188">
        <v>46198.0</v>
      </c>
      <c r="C1031" s="26" t="s">
        <v>47</v>
      </c>
      <c r="D1031" s="26" t="s">
        <v>138</v>
      </c>
      <c r="E1031" s="26" t="s">
        <v>44</v>
      </c>
      <c r="F1031" s="21">
        <v>5.07945154E8</v>
      </c>
      <c r="G1031" s="26" t="s">
        <v>4740</v>
      </c>
      <c r="H1031" s="27" t="s">
        <v>79</v>
      </c>
      <c r="I1031" s="26" t="s">
        <v>178</v>
      </c>
      <c r="J1031" s="209" t="s">
        <v>7799</v>
      </c>
      <c r="K1031" s="27" t="s">
        <v>7800</v>
      </c>
      <c r="L1031" s="26" t="s">
        <v>148</v>
      </c>
      <c r="M1031" s="308" t="s">
        <v>183</v>
      </c>
      <c r="N1031" s="26" t="s">
        <v>4917</v>
      </c>
      <c r="O1031" s="26" t="s">
        <v>4746</v>
      </c>
      <c r="P1031" s="35"/>
      <c r="Q1031" s="26" t="s">
        <v>40</v>
      </c>
      <c r="R1031" s="26" t="s">
        <v>518</v>
      </c>
      <c r="S1031" s="27" t="s">
        <v>3566</v>
      </c>
      <c r="T1031" s="35"/>
      <c r="U1031" s="26"/>
      <c r="V1031" s="26"/>
      <c r="W1031" s="26">
        <v>5.0</v>
      </c>
      <c r="X1031" s="26" t="s">
        <v>46</v>
      </c>
    </row>
    <row r="1032" ht="25.5" hidden="1" customHeight="1">
      <c r="A1032" s="26">
        <v>1032.0</v>
      </c>
      <c r="B1032" s="188">
        <v>46198.0</v>
      </c>
      <c r="C1032" s="26" t="s">
        <v>47</v>
      </c>
      <c r="D1032" s="26" t="s">
        <v>48</v>
      </c>
      <c r="E1032" s="26" t="s">
        <v>7801</v>
      </c>
      <c r="F1032" s="21" t="s">
        <v>27</v>
      </c>
      <c r="G1032" s="26" t="s">
        <v>4740</v>
      </c>
      <c r="H1032" s="27" t="s">
        <v>79</v>
      </c>
      <c r="I1032" s="26" t="s">
        <v>80</v>
      </c>
      <c r="J1032" s="209" t="s">
        <v>7802</v>
      </c>
      <c r="K1032" s="27" t="s">
        <v>7696</v>
      </c>
      <c r="L1032" s="26" t="s">
        <v>78</v>
      </c>
      <c r="M1032" s="27" t="s">
        <v>5011</v>
      </c>
      <c r="N1032" s="26" t="s">
        <v>4977</v>
      </c>
      <c r="O1032" s="26" t="s">
        <v>49</v>
      </c>
      <c r="P1032" s="35"/>
      <c r="Q1032" s="26" t="s">
        <v>56</v>
      </c>
      <c r="R1032" s="26" t="s">
        <v>518</v>
      </c>
      <c r="S1032" s="27" t="s">
        <v>3765</v>
      </c>
      <c r="T1032" s="35"/>
      <c r="U1032" s="26"/>
      <c r="V1032" s="26" t="s">
        <v>49</v>
      </c>
      <c r="W1032" s="26">
        <v>5.0</v>
      </c>
      <c r="X1032" s="26" t="s">
        <v>46</v>
      </c>
    </row>
    <row r="1033" hidden="1">
      <c r="A1033" s="26">
        <v>1033.0</v>
      </c>
      <c r="B1033" s="188">
        <v>46198.0</v>
      </c>
      <c r="C1033" s="26" t="s">
        <v>47</v>
      </c>
      <c r="D1033" s="26" t="s">
        <v>48</v>
      </c>
      <c r="E1033" s="26" t="s">
        <v>27</v>
      </c>
      <c r="F1033" s="21" t="s">
        <v>27</v>
      </c>
      <c r="G1033" s="26" t="s">
        <v>4740</v>
      </c>
      <c r="H1033" s="27" t="s">
        <v>41</v>
      </c>
      <c r="I1033" s="26" t="s">
        <v>956</v>
      </c>
      <c r="J1033" s="209" t="s">
        <v>7803</v>
      </c>
      <c r="K1033" s="27"/>
      <c r="L1033" s="26" t="s">
        <v>78</v>
      </c>
      <c r="M1033" s="27" t="s">
        <v>5011</v>
      </c>
      <c r="N1033" s="26" t="s">
        <v>4977</v>
      </c>
      <c r="O1033" s="26" t="s">
        <v>49</v>
      </c>
      <c r="P1033" s="35"/>
      <c r="Q1033" s="26" t="s">
        <v>40</v>
      </c>
      <c r="R1033" s="26" t="s">
        <v>518</v>
      </c>
      <c r="S1033" s="27" t="s">
        <v>3765</v>
      </c>
      <c r="T1033" s="35"/>
      <c r="U1033" s="26"/>
      <c r="V1033" s="26" t="s">
        <v>49</v>
      </c>
      <c r="W1033" s="26">
        <v>5.0</v>
      </c>
      <c r="X1033" s="26" t="s">
        <v>46</v>
      </c>
    </row>
    <row r="1034" hidden="1">
      <c r="A1034" s="26">
        <v>1034.0</v>
      </c>
      <c r="B1034" s="188">
        <v>46198.0</v>
      </c>
      <c r="C1034" s="26" t="s">
        <v>58</v>
      </c>
      <c r="D1034" s="26" t="s">
        <v>60</v>
      </c>
      <c r="E1034" s="26" t="s">
        <v>27</v>
      </c>
      <c r="F1034" s="21">
        <v>5.58300177E8</v>
      </c>
      <c r="G1034" s="26" t="s">
        <v>27</v>
      </c>
      <c r="H1034" s="26" t="s">
        <v>27</v>
      </c>
      <c r="I1034" s="26" t="s">
        <v>27</v>
      </c>
      <c r="J1034" s="209" t="s">
        <v>7804</v>
      </c>
      <c r="K1034" s="27" t="s">
        <v>7805</v>
      </c>
      <c r="L1034" s="26" t="s">
        <v>36</v>
      </c>
      <c r="M1034" s="27" t="s">
        <v>88</v>
      </c>
      <c r="N1034" s="26" t="s">
        <v>4746</v>
      </c>
      <c r="O1034" s="26" t="s">
        <v>4746</v>
      </c>
      <c r="P1034" s="35"/>
      <c r="Q1034" s="26" t="s">
        <v>56</v>
      </c>
      <c r="R1034" s="26" t="s">
        <v>42</v>
      </c>
      <c r="S1034" s="27" t="s">
        <v>3566</v>
      </c>
      <c r="T1034" s="35"/>
      <c r="U1034" s="26"/>
      <c r="V1034" s="26"/>
      <c r="W1034" s="26">
        <v>5.0</v>
      </c>
      <c r="X1034" s="26"/>
    </row>
    <row r="1035" hidden="1">
      <c r="A1035" s="26">
        <v>1035.0</v>
      </c>
      <c r="B1035" s="188">
        <v>46198.0</v>
      </c>
      <c r="C1035" s="26" t="s">
        <v>21</v>
      </c>
      <c r="D1035" s="26" t="s">
        <v>24</v>
      </c>
      <c r="E1035" s="27" t="s">
        <v>937</v>
      </c>
      <c r="F1035" s="21">
        <v>5.41866905E8</v>
      </c>
      <c r="G1035" s="26" t="s">
        <v>27</v>
      </c>
      <c r="H1035" s="26" t="s">
        <v>27</v>
      </c>
      <c r="I1035" s="26" t="s">
        <v>27</v>
      </c>
      <c r="J1035" s="209" t="s">
        <v>7806</v>
      </c>
      <c r="K1035" s="27"/>
      <c r="L1035" s="26" t="s">
        <v>36</v>
      </c>
      <c r="M1035" s="27" t="s">
        <v>630</v>
      </c>
      <c r="N1035" s="26" t="s">
        <v>4803</v>
      </c>
      <c r="O1035" s="26" t="s">
        <v>49</v>
      </c>
      <c r="P1035" s="35"/>
      <c r="Q1035" s="26" t="s">
        <v>56</v>
      </c>
      <c r="R1035" s="26" t="s">
        <v>42</v>
      </c>
      <c r="S1035" s="27" t="s">
        <v>3566</v>
      </c>
      <c r="T1035" s="35"/>
      <c r="U1035" s="26"/>
      <c r="V1035" s="26"/>
      <c r="W1035" s="26"/>
      <c r="X1035" s="26"/>
    </row>
    <row r="1036" hidden="1">
      <c r="A1036" s="26">
        <v>1036.0</v>
      </c>
      <c r="B1036" s="188">
        <v>46198.0</v>
      </c>
      <c r="C1036" s="26" t="s">
        <v>21</v>
      </c>
      <c r="D1036" s="26" t="s">
        <v>24</v>
      </c>
      <c r="E1036" s="27" t="s">
        <v>7807</v>
      </c>
      <c r="F1036" s="21">
        <v>5.4064797E8</v>
      </c>
      <c r="G1036" s="26" t="s">
        <v>27</v>
      </c>
      <c r="H1036" s="26" t="s">
        <v>27</v>
      </c>
      <c r="I1036" s="26" t="s">
        <v>27</v>
      </c>
      <c r="J1036" s="209" t="s">
        <v>7808</v>
      </c>
      <c r="K1036" s="27"/>
      <c r="L1036" s="26" t="s">
        <v>36</v>
      </c>
      <c r="M1036" s="27" t="s">
        <v>630</v>
      </c>
      <c r="N1036" s="26" t="s">
        <v>4803</v>
      </c>
      <c r="O1036" s="26" t="s">
        <v>49</v>
      </c>
      <c r="P1036" s="35"/>
      <c r="Q1036" s="26" t="s">
        <v>56</v>
      </c>
      <c r="R1036" s="26" t="s">
        <v>42</v>
      </c>
      <c r="S1036" s="27" t="s">
        <v>3566</v>
      </c>
      <c r="T1036" s="35"/>
      <c r="U1036" s="26"/>
      <c r="V1036" s="26"/>
      <c r="W1036" s="26"/>
      <c r="X1036" s="26"/>
    </row>
    <row r="1037">
      <c r="A1037" s="26">
        <v>1037.0</v>
      </c>
      <c r="B1037" s="188">
        <v>46198.0</v>
      </c>
      <c r="C1037" s="26" t="s">
        <v>21</v>
      </c>
      <c r="D1037" s="26" t="s">
        <v>48</v>
      </c>
      <c r="E1037" s="27" t="s">
        <v>7809</v>
      </c>
      <c r="F1037" s="21">
        <v>5.42977782E8</v>
      </c>
      <c r="G1037" s="26" t="s">
        <v>4740</v>
      </c>
      <c r="H1037" s="27" t="s">
        <v>71</v>
      </c>
      <c r="I1037" s="26" t="s">
        <v>27</v>
      </c>
      <c r="J1037" s="209" t="s">
        <v>7810</v>
      </c>
      <c r="K1037" s="27" t="s">
        <v>7811</v>
      </c>
      <c r="L1037" s="26" t="s">
        <v>36</v>
      </c>
      <c r="M1037" s="27" t="s">
        <v>208</v>
      </c>
      <c r="N1037" s="26" t="s">
        <v>49</v>
      </c>
      <c r="O1037" s="26" t="s">
        <v>4746</v>
      </c>
      <c r="P1037" s="35"/>
      <c r="Q1037" s="26" t="s">
        <v>56</v>
      </c>
      <c r="R1037" s="26" t="s">
        <v>301</v>
      </c>
      <c r="S1037" s="27" t="s">
        <v>3566</v>
      </c>
      <c r="T1037" s="35"/>
      <c r="U1037" s="26"/>
      <c r="V1037" s="26"/>
      <c r="W1037" s="26">
        <v>5.0</v>
      </c>
      <c r="X1037" s="26"/>
    </row>
  </sheetData>
  <autoFilter ref="$A$1:$X$1037">
    <filterColumn colId="3">
      <filters>
        <filter val="Franchise"/>
        <filter val="Operations"/>
      </filters>
    </filterColumn>
    <filterColumn colId="2">
      <filters>
        <filter val="inquiries"/>
        <filter val="suggestion"/>
        <filter val="Requests"/>
      </filters>
    </filterColumn>
  </autoFilter>
  <dataValidations>
    <dataValidation type="list" allowBlank="1" showErrorMessage="1" sqref="R2:R1037">
      <formula1>"High,Medium,Low,Urgent"</formula1>
    </dataValidation>
    <dataValidation type="list" allowBlank="1" showErrorMessage="1" sqref="Q2:Q1037">
      <formula1>"In process,Closed"</formula1>
    </dataValidation>
    <dataValidation type="list" allowBlank="1" showErrorMessage="1" sqref="N2:N1037">
      <formula1>"Amani,Samiyah,Kamal,Hussain,Raghad,Tahani,Salman"</formula1>
    </dataValidation>
    <dataValidation type="list" allowBlank="1" showErrorMessage="1" sqref="X2 X4:X1037">
      <formula1>"Uploaded,Non"</formula1>
    </dataValidation>
    <dataValidation type="list" allowBlank="1" showErrorMessage="1" sqref="C2:C1037">
      <formula1>"Complaint,Requests,inquiries,suggestion"</formula1>
    </dataValidation>
    <dataValidation type="list" allowBlank="1" showErrorMessage="1" sqref="L2:L1037">
      <formula1>"Call,Google maps,X,Tiktok,SurveyApp,Email,Website,Instgram,Voicemaill,WhatsApp"</formula1>
    </dataValidation>
    <dataValidation type="list" allowBlank="1" showErrorMessage="1" sqref="W2:W717 V718:V719 W720:W1037">
      <formula1>"0,1,2,3,4,5"</formula1>
    </dataValidation>
    <dataValidation type="list" allowBlank="1" showErrorMessage="1" sqref="D2:D1037">
      <formula1>"Customer S,Operations ,Investment,Real Estate,Franchise ,Marketing ,Maintenance,Environment,Project M,HR,Procurement,Finance,IT"</formula1>
    </dataValidation>
    <dataValidation type="list" allowBlank="1" showErrorMessage="1" sqref="V2:V717 U718:U719 V720:V721 U722:V727 V728:V736 U737:V831 V832:V833 U834:V834 V835:V837 U838:V841 V842 U843:V843 V844:V845 U846:V848 V849 U850:V851 V852:V853 U854:V854 V855 U856:V856 V857 U858:V861 V862:V863 U864:V865 V866:V869 U870:V870 V871:V872 U873:V874 V875:V877 U878:V880 V881 U882:V884 V885:V888 U889:V889 V890:V893 U894:V895 V896 U897:V903 V904:V913 U914:V914 V915 U916:V932 V933 U934:V942 V943:V944 U945:V950 V951:V953 U954:V954 V955 U956:V963 V964 U965:V968 V969 U970:V974 V975:V977 U978:V981 V982:V986 U987:V987 V988:V993 U994:V1004 V1005:V1008 U1009:V1010 V1011 U1012:V1017 V1018 U1019:V1028 V1029 U1030:V1030 V1031:V1033 O2:O1037 U1034:V1037">
      <formula1>"Samiyah,Amani,Dania"</formula1>
    </dataValidation>
    <dataValidation type="list" allowBlank="1" showErrorMessage="1" sqref="T2:T22 S23:T23 T24:T31 S32:T32 T33:T35 S36:T230 S231:U231 S232:T1037">
      <formula1>"خلال 24 ساعة عمل ,خلال 2-5 ايام عمل ,خلال 7 ايام عمل "</formula1>
    </dataValidation>
  </dataValidations>
  <hyperlinks>
    <hyperlink r:id="rId1" ref="J194"/>
    <hyperlink r:id="rId2" ref="J407"/>
    <hyperlink r:id="rId3" ref="J411"/>
    <hyperlink r:id="rId4" ref="J412"/>
    <hyperlink r:id="rId5" ref="J420"/>
    <hyperlink r:id="rId6" ref="J520"/>
    <hyperlink r:id="rId7" ref="J559"/>
    <hyperlink r:id="rId8" ref="J844"/>
    <hyperlink r:id="rId9" ref="J965"/>
  </hyperlinks>
  <printOptions gridLines="1" horizontalCentered="1"/>
  <pageMargins bottom="0.75" footer="0.0" header="0.0" left="0.7" right="0.7" top="0.75"/>
  <pageSetup fitToHeight="0" paperSize="13" cellComments="atEnd" orientation="landscape" pageOrder="overThenDown"/>
  <drawing r:id="rId10"/>
</worksheet>
</file>