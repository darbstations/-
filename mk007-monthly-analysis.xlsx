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تحليل كل شهر" sheetId="1" state="visible" r:id="rId3"/>
    <sheet name="سبب كل شهر" sheetId="2" state="visible" r:id="rId4"/>
    <sheet name="الحملات والفعاليات"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<sst xmlns="http://schemas.openxmlformats.org/spreadsheetml/2006/main" count="232" uniqueCount="172">
  <si>
    <t xml:space="preserve">درب العمرة الجديدة (النوارية) MK007 — تحليل كل شهر، يناير → سبتمبر 2026</t>
  </si>
  <si>
    <t xml:space="preserve">المصادر: حركات نقاط البيع Fuel Station 360° (الإيراد واللترات والحركات)، ملف Darb_Target_2026 (المستهدف)، سجل خدمة العملاء يناير–أغسطس، ورقة الحملات 2026. الأعمدة المحسوبة بصيغ: إيراد/يوم، حركات/يوم، لترات/يوم، الفاتورة، لتر/حركة، الإنجاز، التغير.</t>
  </si>
  <si>
    <t xml:space="preserve">الشهر</t>
  </si>
  <si>
    <t xml:space="preserve">الحالة</t>
  </si>
  <si>
    <t xml:space="preserve">أيام مسجلة</t>
  </si>
  <si>
    <t xml:space="preserve">الإيراد (ر.س)</t>
  </si>
  <si>
    <t xml:space="preserve">اللترات</t>
  </si>
  <si>
    <t xml:space="preserve">الحركات</t>
  </si>
  <si>
    <t xml:space="preserve">إيراد/يوم (ر.س)</t>
  </si>
  <si>
    <t xml:space="preserve">حركات/يوم</t>
  </si>
  <si>
    <t xml:space="preserve">لترات/يوم</t>
  </si>
  <si>
    <t xml:space="preserve">متوسط الفاتورة (ر.س)</t>
  </si>
  <si>
    <t xml:space="preserve">لتر/حركة</t>
  </si>
  <si>
    <t xml:space="preserve">بنزين 91 ٪</t>
  </si>
  <si>
    <t xml:space="preserve">بنزين 95 ٪</t>
  </si>
  <si>
    <t xml:space="preserve">ديزل ٪</t>
  </si>
  <si>
    <t xml:space="preserve">كاش ٪</t>
  </si>
  <si>
    <t xml:space="preserve">بطاقة ٪</t>
  </si>
  <si>
    <t xml:space="preserve">ساعة الذروة</t>
  </si>
  <si>
    <t xml:space="preserve">أفضل يوم</t>
  </si>
  <si>
    <t xml:space="preserve">أدنى يوم</t>
  </si>
  <si>
    <t xml:space="preserve">المستهدف (لتر)</t>
  </si>
  <si>
    <t xml:space="preserve">الإنجاز ٪</t>
  </si>
  <si>
    <t xml:space="preserve">التغير عن الشهر السابق ٪</t>
  </si>
  <si>
    <t xml:space="preserve">سجلات خدمة العملاء</t>
  </si>
  <si>
    <t xml:space="preserve">التحليل الموسمي</t>
  </si>
  <si>
    <t xml:space="preserve">الحملات والفعاليات</t>
  </si>
  <si>
    <t xml:space="preserve">تأثير شكاوى العملاء</t>
  </si>
  <si>
    <t xml:space="preserve">الإجراء المقترح</t>
  </si>
  <si>
    <t xml:space="preserve">الأسباب المعلّمة</t>
  </si>
  <si>
    <t xml:space="preserve">يناير</t>
  </si>
  <si>
    <t xml:space="preserve">جيد</t>
  </si>
  <si>
    <t xml:space="preserve">5م</t>
  </si>
  <si>
    <t xml:space="preserve">2026-01-27 · 337,180 ر.س</t>
  </si>
  <si>
    <t xml:space="preserve">2026-01-02 · 249,142 ر.س</t>
  </si>
  <si>
    <t xml:space="preserve">—</t>
  </si>
  <si>
    <t xml:space="preserve">بداية السنة بمستوى قوي: المحطة على طريق المدينة المنورة (النوارية) تخدم المعتمرين والمسافرين، مع موسم عمرة شتوي مستمر ودخول شهر رجب (من نحو 20 يناير) الذي يرتفع فيه إقبال المعتمرين. حصة الديزل 32٪ تعكس حركة شاحنات وإنشاءات نشطة حول مكة. أفضل يوم 27 يناير (337 ألف) وأدنى يوم 2 يناير (249 ألف، جمعة).</t>
  </si>
  <si>
    <t xml:space="preserve">لا حملات تسويقية مسجلة للمحطة في يناير.</t>
  </si>
  <si>
    <t xml:space="preserve">ذروة الشكاوى في السنة: 28 سجلًا. الأنماط: بطء الخدمة وقت تبديل الورديات (12 ليلًا و12 ظهرًا)، سلوك العمال، سحب مبلغ زائد (2 حالة)، رفض التعبئة عبر تطبيق سيارة، وطلبات تأجير (مغسلة، بنشر، مطاعم). تعليقات «المحطة جديدة» تشير إلى فريق تشغيل لم يستقر بعد.</t>
  </si>
  <si>
    <t xml:space="preserve">تثبيت إجراء تبديل الوردية دون إيقاف المسارات، ومنع الجوال، وتدريب العمال الجدد على سؤال العميل عن المبلغ ونوع الوقود قبل التعبئة.</t>
  </si>
  <si>
    <t xml:space="preserve">موسم العمرة · الموقع على طريق رئيسي — حركة عابرة · ارتفاع الحركة المرورية · حركة شاحنات وديزل · بطء الخدمة وطول الانتظار · تغيّر فريق التشغيل</t>
  </si>
  <si>
    <t xml:space="preserve">فبراير</t>
  </si>
  <si>
    <t xml:space="preserve">2026-02-26 · 378,337 ر.س</t>
  </si>
  <si>
    <t xml:space="preserve">2026-02-04 · 241,410 ر.س</t>
  </si>
  <si>
    <t xml:space="preserve">أقصر شهر لكن متوسط اليوم ارتفع 8٪. السبب الرئيسي دخول رمضان 1447 في 18 فبراير: متوسط الأيام قبل رمضان (1–17 فبراير) 302 ألف ر.س/يوم مقابل 331 ألف في أيام رمضان، وأعلى يوم 26 فبراير (378 ألف، خميس). زيادة المعتمرين ترفع حركة طريق المدينة والمساء. الديزل 34٪ ما زال قويًا (إنشاءات ما قبل الموسم).</t>
  </si>
  <si>
    <t xml:space="preserve">لا حملات مسجلة للمحطة. ملاحظة تشغيلية: 15 فبراير توقف بعض المضخات لصيانة دورية (شكوى موثقة).</t>
  </si>
  <si>
    <t xml:space="preserve">13 سجلًا: سلوك العمال وبطء الخدمة (20 دقيقة انتظار دون زحام في 3 فبراير)، إجبار عميل على مبلغ أكبر، وعدم معرفة العمال بالتعبئة عبر تطبيق سيارة. تأثيرها على الإيراد محدود لأن الطلب الموسمي يغطيها، لكنها تتراكم على سمعة جوجل.</t>
  </si>
  <si>
    <t xml:space="preserve">تجهيز خطة رمضان مبكرًا: تعزيز الوردية المسائية والليلية، وتخصيص عامل لتطبيقات التعبئة في كل وردية.</t>
  </si>
  <si>
    <t xml:space="preserve">بداية رمضان (18 فبراير) · موسم العمرة · الموقع على طريق رئيسي — حركة عابرة · صيانة مضخات أو توقف جزئي · ملاحظات تشغيلية أثّرت على رضا العملاء</t>
  </si>
  <si>
    <t xml:space="preserve">مارس</t>
  </si>
  <si>
    <t xml:space="preserve">ممتاز</t>
  </si>
  <si>
    <t xml:space="preserve">9م</t>
  </si>
  <si>
    <t xml:space="preserve">2026-03-19 · 400,665 ر.س</t>
  </si>
  <si>
    <t xml:space="preserve">2026-03-31 · 270,054 ر.س</t>
  </si>
  <si>
    <t xml:space="preserve">أفضل شهر في السنة (329 ألف ر.س/يوم، 120٪ من المستهدف). رمضان كامل حتى 19 مارس ثم عيد الفطر (20 مارس): أعلى يوم 19 مارس (401 ألف) ثم 20 مارس (391 ألف)، وكل الأيام من 16 إلى 23 مارس فوق 320 ألف. ساعة الذروة انتقلت من 5 عصرًا إلى 9 مساءً (نمط ما بعد الإفطار والتراويح). متوسط الفاتورة 70 ر.س والتعبئة 33.5 لتر هما الأعلى في السنة (سيارات زوار تملأ الخزان). بعد العيد (24–31 مارس) تراجع المتوسط إلى 302 ألف وأدنى يوم 31 مارس (270 ألف).</t>
  </si>
  <si>
    <t xml:space="preserve">حملة اليوم العالمي للمرأة 3–8 مارس: خصم 50٪ على مشروبات مختارة من الشريك «بويا» مقابل بنزين بأي قيمة، في درب النوارية (MK007) ودرب الشوقية. مؤشرات ورقة الحملات: 18,000 و1,000. أثرها على الوقود غير ملموس: متوسط أيام الحملة 331 ألف/يوم مقابل 331 ألف في الأسبوع التالي، أي أن الرفع الحقيقي للشهر موسمي (رمضان) والحملة لعبت دور تنشيط للشريك والعلامة.</t>
  </si>
  <si>
    <t xml:space="preserve">12 سجلًا: بطء الخدمة في الذروة (شكاوى 1 و9 و11 مارس)، توقف مؤقت لتبديل الوردية (25 مارس)، شكوى ديزل «فيه ماء» أُغلقت لعدم وجود إثبات، وعامل يطلب تقييمًا من العملاء. لا أثر مؤثر على المبيعات لكن ذروة الزحام كشفت ضعف تنظيم المسارات.</t>
  </si>
  <si>
    <t xml:space="preserve">اعتماد مارس مرجعًا للطاقة القصوى: 5,400 حركة/يوم تحتاج تنظيم مرور ومُوجّه مسارات في المساء؛ إعادة الحملات الشريكية في مواسم الضعف لا في مواسم الذروة.</t>
  </si>
  <si>
    <t xml:space="preserve">رمضان · عيد الفطر (20 مارس) · موسم العمرة · ارتفاع الحركة المرورية · حملة تسويقية (اليوم العالمي للمرأة 3–8) · ذروة مسائية 9م</t>
  </si>
  <si>
    <t xml:space="preserve">أبريل</t>
  </si>
  <si>
    <t xml:space="preserve">متراجع</t>
  </si>
  <si>
    <t xml:space="preserve">2026-04-23 · 315,487 ر.س</t>
  </si>
  <si>
    <t xml:space="preserve">2026-04-15 · 219,298 ر.س</t>
  </si>
  <si>
    <t xml:space="preserve">انخفاض 22٪ في متوسط اليوم (258 ألف) وإنجاز 85٪. السبب الموسمي: شهر شوال بعد انتهاء رمضان والعيد؛ رحيل المعتمرين وانخفاض الحركة على طريق المدينة. منتصف الشهر (10–22 أبريل) هو الأضعف بمتوسط 236 ألف وأدنى يوم 15 أبريل (219 ألف). تغيّر لافت في مزيج الوقود: حصة الديزل هبطت من 34٪ إلى 20٪ دفعة واحدة، ما يفسر جزءًا كبيرًا من الفجوة؛ الأسباب المرشحة: تراجع حركة الشاحنات والإنشاءات بعد رمضان، وبدء قيود دخول الشاحنات إلى مكة استعدادًا للحج. في الشهر نفسه تغيّر مزيج الدفع (البطاقة 52٪ تتجاوز الكاش، وظهور External Device وSyarah App) ما يشير إلى تغيير في نظام نقاط البيع يجب التحقق منه قبل مقارنة الأشهر.</t>
  </si>
  <si>
    <t xml:space="preserve">لا حملات مسجلة للمحطة في أبريل. استفسار عميل (9 أبريل) عن توفر Petro App في النوارية يدل على طلب على تطبيقات التعبئة.</t>
  </si>
  <si>
    <t xml:space="preserve">قفزة إلى 23 سجلًا (ثاني أعلى شهر) رغم انخفاض الحركة: بطء الخدمة وطول الانتظار (أكثر من 10 دقائق في الصف، 21 أبريل)، سلوك العمال (الجوال، النفخ على العميل)، تعبئة وقود خاطئ (3 حالات)، أعطال مضخات (8 أبريل)، ونظافة دورات المياه مع غياب عاملة النظافة «بسبب موسم الحج والتشديد على التصاريح». شكاوى كثيرة مع حركة أقل تعني أن الخدمة نفسها هي المشكلة لا الزحام، وهي عامل مرجح في فقدان عملاء الحي المتكررين لصالح الدريس وبترولي.</t>
  </si>
  <si>
    <t xml:space="preserve">خطة استرداد: فحص سبب هبوط الديزل (مسارات الشاحنات، قيود الموسم)، إنذارات مكتوبة لتكرار سوء التعامل، ومتابعة ميدانية يومية للمسارات في الذروة.</t>
  </si>
  <si>
    <t xml:space="preserve">انتهاء رمضان والعيد · انخفاض الحركة المرورية · انخفاض حصة الديزل · بطء الخدمة وطول الانتظار · تعامل العاملين · أخطاء تشغيلية · شكاوى العملاء · تغيّر نظام الدفع/نقاط البيع</t>
  </si>
  <si>
    <t xml:space="preserve">مايو</t>
  </si>
  <si>
    <t xml:space="preserve">2026-05-30 · 413,722 ر.س</t>
  </si>
  <si>
    <t xml:space="preserve">2026-05-26 · 150,028 ر.س</t>
  </si>
  <si>
    <t xml:space="preserve">أضعف شهر في السنة: 217 ألف ر.س/يوم، 3,460 حركة/يوم، إنجاز 72٪. موسم الحج 1447 (ذو الحجة يبدأ نحو 18 مايو، عرفة 26 مايو، عيد الأضحى 27 مايو): توقف تأشيرات العمرة قبل الحج، وقيود دخول مكة لغير المصرح لهم، وتقييد الشاحنات. أدنى يوم في السنة هو يوم عرفة 26 مايو (150 ألف) حيث يبقى السكان في منازلهم وتُغلق المحاور، ثم أعلى يوم في السنة 30 مايو (414 ألف، 13 ذو الحجة) مع مغادرة الحجاج وعودة حركة السكان دفعة واحدة. متوسط أيام الحج (17–29 مايو) 207 ألف مقابل 354 ألف في 30–31 مايو. البطاقة بلغت 57٪ وهي الأعلى (عملاء زوار).</t>
  </si>
  <si>
    <t xml:space="preserve">حملة اليوم العالمي للشاي 5–21 مايو: كوب شاي مجانًا من «المذاق المغربي» مقابل بنزين بأي قيمة، في النوارية والعوالي والكر النازل وكورنيش جازان. مؤشرات الورقة: 12,216 و190+ عميل مباشر. متوسط أيام الحملة في المحطة 204 ألف/يوم مقابل 219 ألف في 1–4 مايو؛ لم تعوّض الانخفاض الموسمي، وهو متوقع لأن العائق كان دخول الزوار لا الحافز.</t>
  </si>
  <si>
    <t xml:space="preserve">9 سجلات فقط (الأقل): سلوك العمال وبطء الخدمة على خرائط جوجل (3 و17 و19 مايو)، تعبئة خاطئة (5 مايو)، ومضخة «خربانة» بعد التعبئة (3 مايو). انخفاض العدد يوازي انخفاض الحركة لا تحسّن الخدمة.</t>
  </si>
  <si>
    <t xml:space="preserve">احتساب موازنة مايو على أساس موسم الحج (72٪ ليس انحرافًا تشغيليًا)، واستغلال الأسبوع الأخير بعد الحج بعروض عودة السكان.</t>
  </si>
  <si>
    <t xml:space="preserve">ذروة موسم الحج · قيود دخول مكة والشاحنات · توقف تأشيرات العمرة · انخفاض الحركة المرورية · حملة تسويقية (اليوم العالمي للشاي 5–21) · جودة الخدمة</t>
  </si>
  <si>
    <t xml:space="preserve">يونيو</t>
  </si>
  <si>
    <t xml:space="preserve">متراجع نسبيًا</t>
  </si>
  <si>
    <t xml:space="preserve">2026-06-28 · 305,338 ر.س</t>
  </si>
  <si>
    <t xml:space="preserve">2026-06-19 · 209,891 ر.س</t>
  </si>
  <si>
    <t xml:space="preserve">تعافٍ جزئي (+13٪ عن مايو) لكنه ما زال دون المستهدف (79٪). الأسبوع الأول بعد الحج 257 ألف/يوم، ثم ركود 8–27 يونيو بمتوسط 236 ألف (أدنى يوم 19 يونيو، جمعة، 210 ألف) بسبب حرارة الصيف، ونهاية العام الدراسي وسفر الأسر، وعدم عودة العمرة بكامل زخمها بعد (بداية محرم 1448 نحو 16 يونيو). متوسط الفاتورة 59 ر.س والتعبئة 27.8 لتر هما الأدنى في السنة (تعبئات صغيرة لسكان الحي). أواخر الشهر (28–30 يونيو) عاد المتوسط إلى 272 ألف مع بداية إجازة الصيف.</t>
  </si>
  <si>
    <t xml:space="preserve">بدء حملة «كفرات بلس» على مستوى الشبكة أواخر يونيو؛ شكوى 30 يونيو تفيد أن عامل النوارية «ما عنده عرض» عند طلب الخصم، أي أن الحملة أُطلقت دون تهيئة العمال.</t>
  </si>
  <si>
    <t xml:space="preserve">11 سجلًا: نظافة دورات المياه (3 حالات في أسبوع واحد)، أقفال مكسورة، سلوك العمال (22 يونيو، 8–9 يونيو)، انتظار تبديل الوردية (14 يونيو)، وتنبيه عن محتالين بسيارة إماراتية يستغلون العملاء عند المسجد. التأثير: ملاحظات المرافق تضر بصورة «أكبر محطة في مكة» لدى عملاء الحي.</t>
  </si>
  <si>
    <t xml:space="preserve">صيانة دورية للمرافق قبل موسم الصيف، وربط كل عرض شبكي بمادة تدريب للعمال وباركود احتياطي يُرسل للعميل.</t>
  </si>
  <si>
    <t xml:space="preserve">ما بعد الحج · حرارة الصيف · موسم إجازات أو نهاية مدارس · انخفاض متوسط الفاتورة · نظافة المرافق · حملة تسويقية (كفرات بلس) دون تهيئة العمال</t>
  </si>
  <si>
    <t xml:space="preserve">يوليو</t>
  </si>
  <si>
    <t xml:space="preserve">2026-07-30 · 324,487 ر.س</t>
  </si>
  <si>
    <t xml:space="preserve">2026-07-03 · 240,335 ر.س</t>
  </si>
  <si>
    <t xml:space="preserve">عودة قوية (+14٪، 280 ألف/يوم، 93٪). صيف مكة: عودة العمرة بعد الحج مع تأشيرات محرم وصفر، سفر العائلات في إجازة الصيف عبر طريق المدينة، وعودة الشاحنات بعد رفع قيود الموسم (الديزل عاد إلى 28٪). النصف الثاني من الشهر أقوى (282 ألف) من الأول (277 ألف). أعلى يوم 30 يوليو (324 ألف، خميس) وأدنى 3 يوليو (240 ألف، جمعة).</t>
  </si>
  <si>
    <t xml:space="preserve">استمرار حملة «كفرات بلس» وكوبونات خصم تصل إلى 150 ر.س على مستوى الشبكة؛ شكوى 2 يوليو: العامل «ما في كوبون». الحملة أسهمت في الوعي لكن تنفيذها في المحطة كان ناقصًا.</t>
  </si>
  <si>
    <t xml:space="preserve">19 سجلًا (ثاني ذروة): سلوك عمال الوردية الليلية (تقييمات 16 يوليو على جوجل وتوجيه رسمي بمساءلتهم)، بطء الخدمة، رفض تعبئة (20 يوليو)، جهاز الهواء لا يعمل (27 يوليو)، تهوية دورات المياه، وفجوة وعي بالعروض. الأثر: تهديد التقييم 4.8★ أكثر من الإيراد الذي يحميه الموسم.</t>
  </si>
  <si>
    <t xml:space="preserve">تدقيق ميداني ليلي أسبوعي، ولوحة عروض مطبوعة عند كل مضخة حتى لا يعتمد العميل على معرفة العامل.</t>
  </si>
  <si>
    <t xml:space="preserve">موسم العمرة الصيفي · موسم إجازات (سفر الصيف) · عودة حركة الشاحنات والديزل · حملة تسويقية (كفرات بلس + كوبونات) · تعامل العاملين (الوردية الليلية) · ملاحظات تشغيلية أثّرت على رضا العملاء</t>
  </si>
  <si>
    <t xml:space="preserve">أغسطس</t>
  </si>
  <si>
    <t xml:space="preserve">2026-08-27 · 350,734 ر.س</t>
  </si>
  <si>
    <t xml:space="preserve">2026-08-05 · 249,968 ر.س</t>
  </si>
  <si>
    <t xml:space="preserve">استقرار على مستوى مرتفع (+3٪، 289 ألف/يوم، 94٪). ذروة سفر الصيف ثم العودة الموسمية وبدء العام الدراسي في الأسبوع الأخير من أغسطس، ما رفع حركة الصباح. أعلى يوم 27 أغسطس (351 ألف، خميس) وأدنى 5 أغسطس (250 ألف). الديزل 29٪ ونهاية الأسبوع (الخميس والجمعة) 1.07× أيام العمل.</t>
  </si>
  <si>
    <t xml:space="preserve">حملة فطور محطة العمرة (النوارية) CMP-2026-01 مع الشريكين «بف» (19–31 أغسطس) و«انسول» (20–31 أغسطس) — انتهت. قياس الأثر من بيانات الساعة: حركات الصباح (6–11ص) ارتفعت من 893/يوم قبل الحملة (1–18 أغسطس) إلى 1,007/يوم خلالها (+13٪)، واستمرت عند 1,116/يوم في النصف الأول من سبتمبر مع عودة المدارس. إجمالي اليوم ارتفع من 287 ألف إلى 291 ألف ر.س (+1٪) والحركات من 4,435 إلى 4,563 (+3٪). أثر ملموس في الفترة المستهدفة (الصباح) دون قفزة في الإيراد الإجمالي.</t>
  </si>
  <si>
    <t xml:space="preserve">سجلان فقط حتى 2 أغسطس (بيانات خدمة العملاء غير مكتملة للشهر): استفسار عن مبلغ مسحوب زائد واستفسار عن ديزل بالجركل.</t>
  </si>
  <si>
    <t xml:space="preserve">تكرار حملات الصباح في بداية كل فصل دراسي، واستكمال سجل خدمة العملاء لأغسطس وسبتمبر.</t>
  </si>
  <si>
    <t xml:space="preserve">ذروة سفر الصيف ثم العودة · عودة المدارس (أواخر أغسطس) · حملة تسويقية (فطور 19–31 أغسطس) · ارتفاع حركة الصباح · حركة شاحنات وديزل</t>
  </si>
  <si>
    <t xml:space="preserve">سبتمبر</t>
  </si>
  <si>
    <t xml:space="preserve">2026-09-03 · 351,414 ر.س</t>
  </si>
  <si>
    <t xml:space="preserve">2026-09-08 · 237,452 ر.س</t>
  </si>
  <si>
    <t xml:space="preserve">غير متاح</t>
  </si>
  <si>
    <t xml:space="preserve">أعلى عدد حركات يومية في السنة (4,822/يوم) و301 ألف ر.س/يوم (+4٪، 93٪ من المستهدف): عودة كاملة للمدارس والعمل بعد الصيف، وعمرة ربيع الأول، وحركة تعليم/أعمال صباحية. متوسط الفاتورة 62 ر.س (تعبئات يومية صغيرة لسكان الحي). أعلى يوم 3 سبتمبر (351 ألف) وأدنى 8 سبتمبر (237 ألف، ثلاثاء).</t>
  </si>
  <si>
    <t xml:space="preserve">اليوم الوطني السعودي الأربعاء 23 سبتمبر: إيراد اليوم 310,882 ر.س مقابل متوسط 281 ألف لأيام الأربعاء الأخرى في سبتمبر (+10٪). نمط الساعات تغيّر بوضوح: صباح إجازة ضعيف (6–9ص نحو 130 حركة/ساعة مقابل 220–280 في أربعاء عادي) وذروة مسائية احتفالية (5–9م بين 307 و339 حركة/ساعة مقابل 240–300). امتدت العطلة إلى الخميس 24 (334 ألف) وبلغت موجة العودة الأحد 27 سبتمبر (341 ألف). لا حملة خاصة بالمحطة مسجلة في اليوم الوطني، وهي فرصة فائتة لربط الذروة المسائية بالمتجر والشركاء.</t>
  </si>
  <si>
    <t xml:space="preserve">لا سجلات خدمة عملاء متاحة لسبتمبر في المرجع (السجل حتى أغسطس). قائمة الدخل والتريلات لسبتمبر غير مزوّدة بعد.</t>
  </si>
  <si>
    <t xml:space="preserve">تثبيت مستهدف أكتوبر على 4,800 حركة/يوم، وتجهيز عرض مسائي لليوم الوطني القادم وموسم ربيع.</t>
  </si>
  <si>
    <t xml:space="preserve">عودة المدارس والعمل · اليوم الوطني (23 سبتمبر) · موسم العمرة (ربيع الأول) · ارتفاع الحركة المرورية · ذروة مسائية احتفالية</t>
  </si>
  <si>
    <t xml:space="preserve">الإجمالي / المتوسط</t>
  </si>
  <si>
    <t xml:space="preserve">ملاحظات: الحالة والتحليل والأسباب من تحليل المبيعات والشكاوى (قابلة للتعديل). التواريخ الهجرية تقريبية: رمضان 18 فبراير → 19 مارس، عيد الفطر 20 مارس، عرفة 26 مايو، عيد الأضحى 27 مايو. اليوم الوطني 23 سبتمبر. من أبريل تغيّر مزيج الدفع وحصة الديزل فجأة (يُتحقق من نظام نقاط البيع). سجل خدمة العملاء حتى 2 أغسطس. أرقام الحملات منقولة من ورقة الحملات كما وردت.</t>
  </si>
  <si>
    <t xml:space="preserve">MK007 درب العمرة الجديدة — سبب كل شهر (يُقرأ بجانب نسبة الإنجاز)</t>
  </si>
  <si>
    <t xml:space="preserve">ملخص موجز لكل شهر: الحالة، التحليل الموسمي، الحملات والفعاليات، تأثير الشكاوى، الأسباب المعلّمة في بطاقة الشهر</t>
  </si>
  <si>
    <t xml:space="preserve">تأثير الشكاوى</t>
  </si>
  <si>
    <t xml:space="preserve">الأسباب المعلّمة في بطاقة الشهر</t>
  </si>
  <si>
    <t xml:space="preserve">➖ جيد</t>
  </si>
  <si>
    <t xml:space="preserve">بداية السنة بمستوى قوي: المحطة على طريق المدينة المنورة (النوارية) تخدم المعتمرين والمسافرين، مع موسم عمرة شتوي مستمر ودخول شهر رجب (من نحو 20 يناير) الذي يرتفع فيه إقبال المعتمرين. حصة الديزل 32٪ تعكس حركة شاحنات وإنشاءات نشطة حول مكة.</t>
  </si>
  <si>
    <t xml:space="preserve">ذروة الشكاوى في السنة: 28 سجلًا. الأنماط: بطء الخدمة وقت تبديل الورديات (12 ليلًا و12 ظهرًا)، سلوك العمال، سحب مبلغ زائد (2 حالة)، رفض التعبئة عبر تطبيق سيارة، وطلبات تأجير (مغسلة، بنشر، مطاعم).</t>
  </si>
  <si>
    <t xml:space="preserve">📈 ارتفاع</t>
  </si>
  <si>
    <t xml:space="preserve">أقصر شهر لكن متوسط اليوم ارتفع 8٪. السبب الرئيسي دخول رمضان 1447 في 18 فبراير: متوسط الأيام قبل رمضان (1–17 فبراير) 302 ألف ر.س/يوم مقابل 331 ألف في أيام رمضان، وأعلى يوم 26 فبراير (378 ألف، خميس).</t>
  </si>
  <si>
    <t xml:space="preserve">📈 ارتفاع (ممتاز)</t>
  </si>
  <si>
    <t xml:space="preserve">أفضل شهر في السنة (329 ألف ر.س/يوم، 120٪ من المستهدف). رمضان كامل حتى 19 مارس ثم عيد الفطر (20 مارس): أعلى يوم 19 مارس (401 ألف) ثم 20 مارس (391 ألف)، وكل الأيام من 16 إلى 23 مارس فوق 320 ألف.</t>
  </si>
  <si>
    <t xml:space="preserve">حملة اليوم العالمي للمرأة 3–8 مارس: خصم 50٪ على مشروبات مختارة من الشريك «بويا» مقابل بنزين بأي قيمة، في درب النوارية (MK007) ودرب الشوقية. مؤشرات ورقة الحملات: 18,000 و1,000.</t>
  </si>
  <si>
    <t xml:space="preserve">📉 انخفاض</t>
  </si>
  <si>
    <t xml:space="preserve">انخفاض 22٪ في متوسط اليوم (258 ألف) وإنجاز 85٪. السبب الموسمي: شهر شوال بعد انتهاء رمضان والعيد.</t>
  </si>
  <si>
    <t xml:space="preserve">أضعف شهر في السنة: 217 ألف ر.س/يوم، 3,460 حركة/يوم، إنجاز 72٪. موسم الحج 1447 (ذو الحجة يبدأ نحو 18 مايو، عرفة 26 مايو، عيد الأضحى 27 مايو): توقف تأشيرات العمرة قبل الحج، وقيود دخول مكة لغير المصرح لهم، وتقييد الشاحنات.</t>
  </si>
  <si>
    <t xml:space="preserve">حملة اليوم العالمي للشاي 5–21 مايو: كوب شاي مجانًا من «المذاق المغربي» مقابل بنزين بأي قيمة، في النوارية والعوالي والكر النازل وكورنيش جازان. مؤشرات الورقة: 12,216 و190+ عميل مباشر.</t>
  </si>
  <si>
    <t xml:space="preserve">📉 انخفاض نسبي</t>
  </si>
  <si>
    <t xml:space="preserve">تعافٍ جزئي (+13٪ عن مايو) لكنه ما زال دون المستهدف (79٪). الأسبوع الأول بعد الحج 257 ألف/يوم، ثم ركود 8–27 يونيو بمتوسط 236 ألف (أدنى يوم 19 يونيو، جمعة، 210 ألف) بسبب حرارة الصيف، ونهاية العام الدراسي وسفر الأسر، وعدم عودة العمرة بكامل زخمها بعد (بداية محرم 1448 نحو 16 يونيو).</t>
  </si>
  <si>
    <t xml:space="preserve">بدء حملة «كفرات بلس» على مستوى الشبكة أواخر يونيو. شكوى 30 يونيو تفيد أن عامل النوارية «ما عنده عرض» عند طلب الخصم، أي أن الحملة أُطلقت دون تهيئة العمال.</t>
  </si>
  <si>
    <t xml:space="preserve">عودة قوية (+14٪، 280 ألف/يوم، 93٪). صيف مكة: عودة العمرة بعد الحج مع تأشيرات محرم وصفر، سفر العائلات في إجازة الصيف عبر طريق المدينة، وعودة الشاحنات بعد رفع قيود الموسم (الديزل عاد إلى 28٪).</t>
  </si>
  <si>
    <t xml:space="preserve">استمرار حملة «كفرات بلس» وكوبونات خصم تصل إلى 150 ر.س على مستوى الشبكة. شكوى 2 يوليو: العامل «ما في كوبون».</t>
  </si>
  <si>
    <t xml:space="preserve">استقرار على مستوى مرتفع (+3٪، 289 ألف/يوم، 94٪). ذروة سفر الصيف ثم العودة الموسمية وبدء العام الدراسي في الأسبوع الأخير من أغسطس، ما رفع حركة الصباح.</t>
  </si>
  <si>
    <t xml:space="preserve">حملة فطور محطة العمرة (النوارية) CMP-2026-01 مع الشريكين «بف» (19–31 أغسطس) و«انسول» (20–31 أغسطس) — انتهت. قياس الأثر من بيانات الساعة: حركات الصباح (6–11ص) ارتفعت من 893/يوم قبل الحملة (1–18 أغسطس) إلى 1,007/يوم خلالها (+13٪)، واستمرت عند 1,116/يوم في النصف الأول من سبتمبر مع عودة المدارس.</t>
  </si>
  <si>
    <t xml:space="preserve">أعلى عدد حركات يومية في السنة (4,822/يوم) و301 ألف ر.س/يوم (+4٪، 93٪ من المستهدف): عودة كاملة للمدارس والعمل بعد الصيف، وعمرة ربيع الأول، وحركة تعليم/أعمال صباحية. متوسط الفاتورة 62 ر.س (تعبئات يومية صغيرة لسكان الحي).</t>
  </si>
  <si>
    <t xml:space="preserve">اليوم الوطني السعودي الأربعاء 23 سبتمبر: إيراد اليوم 310,882 ر.س مقابل متوسط 281 ألف لأيام الأربعاء الأخرى في سبتمبر (+10٪). نمط الساعات تغيّر بوضوح: صباح إجازة ضعيف (6–9ص نحو 130 حركة/ساعة مقابل 220–280 في أربعاء عادي) وذروة مسائية احتفالية (5–9م بين 307 و339 حركة/ساعة مقابل 240–300).</t>
  </si>
  <si>
    <t xml:space="preserve">الحملات والفعاليات المؤثرة على MK007 — يناير → سبتمبر 2026</t>
  </si>
  <si>
    <t xml:space="preserve">من ورقة الحملات 2026 وسجل خدمة العملاء · الأثر محسوب من بيانات اليوم والساعة في ملف المبيعات</t>
  </si>
  <si>
    <t xml:space="preserve">الفترة</t>
  </si>
  <si>
    <t xml:space="preserve">الحملة / الفعالية</t>
  </si>
  <si>
    <t xml:space="preserve">الآلية</t>
  </si>
  <si>
    <t xml:space="preserve">المواقع</t>
  </si>
  <si>
    <t xml:space="preserve">مؤشرات ورقة الحملات</t>
  </si>
  <si>
    <t xml:space="preserve">الأثر المقاس على MK007</t>
  </si>
  <si>
    <t xml:space="preserve">3–8 مارس</t>
  </si>
  <si>
    <t xml:space="preserve">اليوم العالمي للمرأة</t>
  </si>
  <si>
    <t xml:space="preserve">خصم 50٪ على مشروبات مختارة من الشريك «بويا» مقابل بنزين بأي قيمة</t>
  </si>
  <si>
    <t xml:space="preserve">درب النوارية (MK007)، درب الشوقية</t>
  </si>
  <si>
    <t xml:space="preserve">18,000 · 1,000</t>
  </si>
  <si>
    <t xml:space="preserve">متوسط أيام الحملة 331 ألف ر.س/يوم = الأسبوع التالي 331 ألف؛ الرفع موسمي (رمضان) لا من الحملة</t>
  </si>
  <si>
    <t xml:space="preserve">5–21 مايو</t>
  </si>
  <si>
    <t xml:space="preserve">اليوم العالمي للشاي</t>
  </si>
  <si>
    <t xml:space="preserve">كوب شاي مجانًا من «المذاق المغربي» مقابل بنزين بأي قيمة</t>
  </si>
  <si>
    <t xml:space="preserve">النوارية، العوالي، الكر النازل، كورنيش جازان</t>
  </si>
  <si>
    <t xml:space="preserve">12,216 · 190+ عميل مباشر</t>
  </si>
  <si>
    <t xml:space="preserve">204 ألف/يوم خلال الحملة مقابل 219 ألف قبلها؛ لم تعوّض قيود موسم الحج</t>
  </si>
  <si>
    <t xml:space="preserve">يونيو–يوليو</t>
  </si>
  <si>
    <t xml:space="preserve">أواخر يونيو → يوليو</t>
  </si>
  <si>
    <t xml:space="preserve">كفرات بلس + كوبونات خصم حتى 150 ر.س (شبكية)</t>
  </si>
  <si>
    <t xml:space="preserve">عرض شبكي</t>
  </si>
  <si>
    <t xml:space="preserve">جميع المحطات</t>
  </si>
  <si>
    <t xml:space="preserve">شكويان (30 يونيو، 2 يوليو): العامل لا يعرف العرض؛ وعي عالٍ وتنفيذ ناقص</t>
  </si>
  <si>
    <t xml:space="preserve">19–31 أغسطس</t>
  </si>
  <si>
    <t xml:space="preserve">حملة فطور محطة العمرة (النوارية) CMP-2026-01</t>
  </si>
  <si>
    <t xml:space="preserve">شراكة فطور مع «بف» (من 19) و«انسول» (من 20) — انتهت</t>
  </si>
  <si>
    <t xml:space="preserve">درب العمرة النورية MK007</t>
  </si>
  <si>
    <t xml:space="preserve">حركات الصباح 6–11ص من 893 إلى 1,007/يوم (+13٪) ثم 1,116 في سبتمبر؛ إجمالي اليوم +1٪ إيرادًا و+3٪ حركات</t>
  </si>
  <si>
    <t xml:space="preserve">23 سبتمبر</t>
  </si>
  <si>
    <t xml:space="preserve">اليوم الوطني السعودي</t>
  </si>
  <si>
    <t xml:space="preserve">إجازة الأربعاء وعطلة ممتدة · لا حملة خاصة بالمحطة</t>
  </si>
  <si>
    <t xml:space="preserve">310,882 ر.س (+10٪ عن متوسط الأربعاء) بصباح ضعيف وذروة مسائية 5–9م؛ موجة عودة الأحد 27 (341 ألف)</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</si>
</sst>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E6A64"/>
      <name val="Arial"/>
      <family val="0"/>
      <charset val="1"/>
    </font>
    <font>
      <b val="true"/>
      <sz val="11"/>
      <color rgb="FFFFFFFF"/>
      <name val="Arial"/>
      <family val="0"/>
      <charset val="1"/>
    </font>
    <font>
      <b val="true"/>
      <sz val="11"/>
      <name val="Arial"/>
      <family val="0"/>
      <charset val="1"/>
    </font>
    <font>
      <sz val="11"/>
      <name val="Arial"/>
      <family val="0"/>
      <charset val="1"/>
    </font>
  </fonts>
  <fills count="6">
    <fill>
      <patternFill patternType="none"/>
    </fill>
    <fill>
      <patternFill patternType="gray125"/>
    </fill>
    <fill>
      <patternFill patternType="solid">
        <fgColor rgb="FFF5831F"/>
        <bgColor rgb="FFFF6600"/>
      </patternFill>
    </fill>
    <fill>
      <patternFill patternType="solid">
        <fgColor rgb="FFF1EFEB"/>
        <bgColor rgb="FFE9F2EC"/>
      </patternFill>
    </fill>
    <fill>
      <patternFill patternType="solid">
        <fgColor rgb="FFE9F2EC"/>
        <bgColor rgb="FFF1EFEB"/>
      </patternFill>
    </fill>
    <fill>
      <patternFill patternType="solid">
        <fgColor rgb="FFFBF0ED"/>
        <bgColor rgb="FFF1EFEB"/>
      </patternFill>
    </fill>
  </fills>
  <borders count="2">
    <border diagonalUp="false" diagonalDown="false">
      <left/>
      <right/>
      <top/>
      <bottom/>
      <diagonal/>
    </border>
    <border diagonalUp="false" diagonalDown="false">
      <left style="thin">
        <color rgb="FFE3DCD1"/>
      </left>
      <right style="thin">
        <color rgb="FFE3DCD1"/>
      </right>
      <top style="thin">
        <color rgb="FFE3DCD1"/>
      </top>
      <bottom style="thin">
        <color rgb="FFE3DC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0ED"/>
      <rgbColor rgb="FFE9F2EC"/>
      <rgbColor rgb="FF660066"/>
      <rgbColor rgb="FFFF8080"/>
      <rgbColor rgb="FF0066CC"/>
      <rgbColor rgb="FFE3DCD1"/>
      <rgbColor rgb="FF000080"/>
      <rgbColor rgb="FFFF00FF"/>
      <rgbColor rgb="FFFFFF00"/>
      <rgbColor rgb="FF00FFFF"/>
      <rgbColor rgb="FF800080"/>
      <rgbColor rgb="FF800000"/>
      <rgbColor rgb="FF008080"/>
      <rgbColor rgb="FF0000FF"/>
      <rgbColor rgb="FF00CCFF"/>
      <rgbColor rgb="FFF1EFEB"/>
      <rgbColor rgb="FFCCFFCC"/>
      <rgbColor rgb="FFFFFF99"/>
      <rgbColor rgb="FF99CCFF"/>
      <rgbColor rgb="FFFF99CC"/>
      <rgbColor rgb="FFCC99FF"/>
      <rgbColor rgb="FFFFCC99"/>
      <rgbColor rgb="FF3366FF"/>
      <rgbColor rgb="FF33CCCC"/>
      <rgbColor rgb="FF99CC00"/>
      <rgbColor rgb="FFFFCC00"/>
      <rgbColor rgb="FFF5831F"/>
      <rgbColor rgb="FFFF6600"/>
      <rgbColor rgb="FF6E6A6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6"/>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8"/>
    <col collapsed="false" customWidth="true" hidden="false" outlineLevel="0" max="4" min="4" style="0" width="14"/>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11"/>
    <col collapsed="false" customWidth="true" hidden="false" outlineLevel="0" max="10" min="9" style="0" width="12"/>
    <col collapsed="false" customWidth="true" hidden="false" outlineLevel="0" max="13" min="11" style="0" width="9"/>
    <col collapsed="false" customWidth="true" hidden="false" outlineLevel="0" max="16" min="14" style="0" width="8"/>
    <col collapsed="false" customWidth="true" hidden="false" outlineLevel="0" max="17" min="17" style="0" width="9"/>
    <col collapsed="false" customWidth="true" hidden="false" outlineLevel="0" max="19" min="18" style="0" width="20"/>
    <col collapsed="false" customWidth="true" hidden="false" outlineLevel="0" max="20" min="20" style="0" width="13"/>
    <col collapsed="false" customWidth="true" hidden="false" outlineLevel="0" max="21" min="21" style="0" width="9"/>
    <col collapsed="false" customWidth="true" hidden="false" outlineLevel="0" max="22" min="22" style="0" width="11"/>
    <col collapsed="false" customWidth="true" hidden="false" outlineLevel="0" max="23" min="23" style="0" width="10"/>
    <col collapsed="false" customWidth="true" hidden="false" outlineLevel="0" max="24" min="24" style="0" width="70"/>
    <col collapsed="false" customWidth="true" hidden="false" outlineLevel="0" max="26" min="25" style="0" width="55"/>
    <col collapsed="false" customWidth="true" hidden="false" outlineLevel="0" max="28" min="27" style="0" width="45"/>
  </cols>
  <sheetData>
    <row r="1" customFormat="false" ht="17.15" hidden="false" customHeight="false" outlineLevel="0" collapsed="false">
      <c r="A1" s="1" t="s">
        <v>0</v>
      </c>
    </row>
    <row r="2" customFormat="false" ht="15" hidden="false" customHeight="false" outlineLevel="0" collapsed="false">
      <c r="A2" s="2" t="s">
        <v>1</v>
      </c>
    </row>
    <row r="4" customFormat="false" ht="39.5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row>
    <row r="5" customFormat="false" ht="229.5" hidden="false" customHeight="true" outlineLevel="0" collapsed="false">
      <c r="A5" s="4" t="s">
        <v>30</v>
      </c>
      <c r="B5" s="5" t="s">
        <v>31</v>
      </c>
      <c r="C5" s="6" t="n">
        <v>31</v>
      </c>
      <c r="D5" s="7" t="n">
        <v>8881211.49</v>
      </c>
      <c r="E5" s="7" t="n">
        <v>4250476.97</v>
      </c>
      <c r="F5" s="7" t="n">
        <v>133979</v>
      </c>
      <c r="G5" s="7" t="n">
        <f aca="false">D5/C5</f>
        <v>286490.693225806</v>
      </c>
      <c r="H5" s="7" t="n">
        <f aca="false">F5/C5</f>
        <v>4321.90322580645</v>
      </c>
      <c r="I5" s="7" t="n">
        <f aca="false">E5/C5</f>
        <v>137112.160322581</v>
      </c>
      <c r="J5" s="8" t="n">
        <f aca="false">D5/F5</f>
        <v>66.2880861179737</v>
      </c>
      <c r="K5" s="8" t="n">
        <f aca="false">E5/F5</f>
        <v>31.724949208458</v>
      </c>
      <c r="L5" s="9" t="n">
        <v>0.341</v>
      </c>
      <c r="M5" s="9" t="n">
        <v>0.337</v>
      </c>
      <c r="N5" s="9" t="n">
        <v>0.322</v>
      </c>
      <c r="O5" s="9" t="n">
        <v>0.593</v>
      </c>
      <c r="P5" s="9" t="n">
        <v>0.388</v>
      </c>
      <c r="Q5" s="6" t="s">
        <v>32</v>
      </c>
      <c r="R5" s="6" t="s">
        <v>33</v>
      </c>
      <c r="S5" s="6" t="s">
        <v>34</v>
      </c>
      <c r="T5" s="7" t="n">
        <v>3720000</v>
      </c>
      <c r="U5" s="9" t="n">
        <f aca="false">E5/T5</f>
        <v>1.14260133602151</v>
      </c>
      <c r="V5" s="10" t="s">
        <v>35</v>
      </c>
      <c r="W5" s="6" t="n">
        <v>28</v>
      </c>
      <c r="X5" s="11" t="s">
        <v>36</v>
      </c>
      <c r="Y5" s="11" t="s">
        <v>37</v>
      </c>
      <c r="Z5" s="11" t="s">
        <v>38</v>
      </c>
      <c r="AA5" s="11" t="s">
        <v>39</v>
      </c>
      <c r="AB5" s="11" t="s">
        <v>40</v>
      </c>
    </row>
    <row r="6" customFormat="false" ht="229.5" hidden="false" customHeight="true" outlineLevel="0" collapsed="false">
      <c r="A6" s="4" t="s">
        <v>41</v>
      </c>
      <c r="B6" s="5" t="s">
        <v>31</v>
      </c>
      <c r="C6" s="6" t="n">
        <v>28</v>
      </c>
      <c r="D6" s="7" t="n">
        <v>8680077.83</v>
      </c>
      <c r="E6" s="7" t="n">
        <v>4167797.71</v>
      </c>
      <c r="F6" s="7" t="n">
        <v>129709</v>
      </c>
      <c r="G6" s="7" t="n">
        <f aca="false">D6/C6</f>
        <v>310002.779642857</v>
      </c>
      <c r="H6" s="7" t="n">
        <f aca="false">F6/C6</f>
        <v>4632.46428571429</v>
      </c>
      <c r="I6" s="7" t="n">
        <f aca="false">E6/C6</f>
        <v>148849.918214286</v>
      </c>
      <c r="J6" s="8" t="n">
        <f aca="false">D6/F6</f>
        <v>66.9196264715633</v>
      </c>
      <c r="K6" s="8" t="n">
        <f aca="false">E6/F6</f>
        <v>32.1319084257839</v>
      </c>
      <c r="L6" s="9" t="n">
        <v>0.335</v>
      </c>
      <c r="M6" s="9" t="n">
        <v>0.329</v>
      </c>
      <c r="N6" s="9" t="n">
        <v>0.336</v>
      </c>
      <c r="O6" s="9" t="n">
        <v>0.565</v>
      </c>
      <c r="P6" s="9" t="n">
        <v>0.394</v>
      </c>
      <c r="Q6" s="6" t="s">
        <v>32</v>
      </c>
      <c r="R6" s="6" t="s">
        <v>42</v>
      </c>
      <c r="S6" s="6" t="s">
        <v>43</v>
      </c>
      <c r="T6" s="7" t="n">
        <v>3906000</v>
      </c>
      <c r="U6" s="9" t="n">
        <f aca="false">E6/T6</f>
        <v>1.06702450332821</v>
      </c>
      <c r="V6" s="10" t="n">
        <f aca="false">G6/G5-1</f>
        <v>0.0820692852263754</v>
      </c>
      <c r="W6" s="6" t="n">
        <v>13</v>
      </c>
      <c r="X6" s="11" t="s">
        <v>44</v>
      </c>
      <c r="Y6" s="11" t="s">
        <v>45</v>
      </c>
      <c r="Z6" s="11" t="s">
        <v>46</v>
      </c>
      <c r="AA6" s="11" t="s">
        <v>47</v>
      </c>
      <c r="AB6" s="11" t="s">
        <v>48</v>
      </c>
    </row>
    <row r="7" customFormat="false" ht="229.5" hidden="false" customHeight="true" outlineLevel="0" collapsed="false">
      <c r="A7" s="4" t="s">
        <v>49</v>
      </c>
      <c r="B7" s="12" t="s">
        <v>50</v>
      </c>
      <c r="C7" s="6" t="n">
        <v>31</v>
      </c>
      <c r="D7" s="7" t="n">
        <v>10212807.73</v>
      </c>
      <c r="E7" s="7" t="n">
        <v>4912346.99</v>
      </c>
      <c r="F7" s="7" t="n">
        <v>146745</v>
      </c>
      <c r="G7" s="7" t="n">
        <f aca="false">D7/C7</f>
        <v>329445.410645161</v>
      </c>
      <c r="H7" s="7" t="n">
        <f aca="false">F7/C7</f>
        <v>4733.70967741936</v>
      </c>
      <c r="I7" s="7" t="n">
        <f aca="false">E7/C7</f>
        <v>158462.806129032</v>
      </c>
      <c r="J7" s="8" t="n">
        <f aca="false">D7/F7</f>
        <v>69.5956095948755</v>
      </c>
      <c r="K7" s="8" t="n">
        <f aca="false">E7/F7</f>
        <v>33.4753960271219</v>
      </c>
      <c r="L7" s="9" t="n">
        <v>0.334</v>
      </c>
      <c r="M7" s="9" t="n">
        <v>0.323</v>
      </c>
      <c r="N7" s="9" t="n">
        <v>0.342</v>
      </c>
      <c r="O7" s="9" t="n">
        <v>0.585</v>
      </c>
      <c r="P7" s="9" t="n">
        <v>0.371</v>
      </c>
      <c r="Q7" s="6" t="s">
        <v>51</v>
      </c>
      <c r="R7" s="6" t="s">
        <v>52</v>
      </c>
      <c r="S7" s="6" t="s">
        <v>53</v>
      </c>
      <c r="T7" s="7" t="n">
        <v>4101300</v>
      </c>
      <c r="U7" s="9" t="n">
        <f aca="false">E7/T7</f>
        <v>1.19775363665179</v>
      </c>
      <c r="V7" s="10" t="n">
        <f aca="false">G7/G6-1</f>
        <v>0.062717602160546</v>
      </c>
      <c r="W7" s="6" t="n">
        <v>12</v>
      </c>
      <c r="X7" s="11" t="s">
        <v>54</v>
      </c>
      <c r="Y7" s="11" t="s">
        <v>55</v>
      </c>
      <c r="Z7" s="11" t="s">
        <v>56</v>
      </c>
      <c r="AA7" s="11" t="s">
        <v>57</v>
      </c>
      <c r="AB7" s="11" t="s">
        <v>58</v>
      </c>
    </row>
    <row r="8" customFormat="false" ht="229.5" hidden="false" customHeight="true" outlineLevel="0" collapsed="false">
      <c r="A8" s="4" t="s">
        <v>59</v>
      </c>
      <c r="B8" s="13" t="s">
        <v>60</v>
      </c>
      <c r="C8" s="6" t="n">
        <v>30</v>
      </c>
      <c r="D8" s="7" t="n">
        <v>7752203.43</v>
      </c>
      <c r="E8" s="7" t="n">
        <v>3602221.52</v>
      </c>
      <c r="F8" s="7" t="n">
        <v>125321</v>
      </c>
      <c r="G8" s="7" t="n">
        <f aca="false">D8/C8</f>
        <v>258406.781</v>
      </c>
      <c r="H8" s="7" t="n">
        <f aca="false">F8/C8</f>
        <v>4177.36666666667</v>
      </c>
      <c r="I8" s="7" t="n">
        <f aca="false">E8/C8</f>
        <v>120074.050666667</v>
      </c>
      <c r="J8" s="8" t="n">
        <f aca="false">D8/F8</f>
        <v>61.8587741080904</v>
      </c>
      <c r="K8" s="8" t="n">
        <f aca="false">E8/F8</f>
        <v>28.7439576766863</v>
      </c>
      <c r="L8" s="9" t="n">
        <v>0.385</v>
      </c>
      <c r="M8" s="9" t="n">
        <v>0.411</v>
      </c>
      <c r="N8" s="9" t="n">
        <v>0.204</v>
      </c>
      <c r="O8" s="9" t="n">
        <v>0.436</v>
      </c>
      <c r="P8" s="9" t="n">
        <v>0.521</v>
      </c>
      <c r="Q8" s="6" t="s">
        <v>32</v>
      </c>
      <c r="R8" s="6" t="s">
        <v>61</v>
      </c>
      <c r="S8" s="6" t="s">
        <v>62</v>
      </c>
      <c r="T8" s="7" t="n">
        <v>4224339</v>
      </c>
      <c r="U8" s="9" t="n">
        <f aca="false">E8/T8</f>
        <v>0.852730218857909</v>
      </c>
      <c r="V8" s="10" t="n">
        <f aca="false">G8/G7-1</f>
        <v>-0.215630958422048</v>
      </c>
      <c r="W8" s="6" t="n">
        <v>23</v>
      </c>
      <c r="X8" s="11" t="s">
        <v>63</v>
      </c>
      <c r="Y8" s="11" t="s">
        <v>64</v>
      </c>
      <c r="Z8" s="11" t="s">
        <v>65</v>
      </c>
      <c r="AA8" s="11" t="s">
        <v>66</v>
      </c>
      <c r="AB8" s="11" t="s">
        <v>67</v>
      </c>
    </row>
    <row r="9" customFormat="false" ht="229.5" hidden="false" customHeight="true" outlineLevel="0" collapsed="false">
      <c r="A9" s="4" t="s">
        <v>68</v>
      </c>
      <c r="B9" s="13" t="s">
        <v>60</v>
      </c>
      <c r="C9" s="6" t="n">
        <v>31</v>
      </c>
      <c r="D9" s="7" t="n">
        <v>6722955.07</v>
      </c>
      <c r="E9" s="7" t="n">
        <v>3127641.09</v>
      </c>
      <c r="F9" s="7" t="n">
        <v>107250</v>
      </c>
      <c r="G9" s="7" t="n">
        <f aca="false">D9/C9</f>
        <v>216869.518387097</v>
      </c>
      <c r="H9" s="7" t="n">
        <f aca="false">F9/C9</f>
        <v>3459.67741935484</v>
      </c>
      <c r="I9" s="7" t="n">
        <f aca="false">E9/C9</f>
        <v>100891.648064516</v>
      </c>
      <c r="J9" s="8" t="n">
        <f aca="false">D9/F9</f>
        <v>62.6848957575758</v>
      </c>
      <c r="K9" s="8" t="n">
        <f aca="false">E9/F9</f>
        <v>29.1621546853147</v>
      </c>
      <c r="L9" s="9" t="n">
        <v>0.382</v>
      </c>
      <c r="M9" s="9" t="n">
        <v>0.41</v>
      </c>
      <c r="N9" s="9" t="n">
        <v>0.209</v>
      </c>
      <c r="O9" s="9" t="n">
        <v>0.339</v>
      </c>
      <c r="P9" s="9" t="n">
        <v>0.574</v>
      </c>
      <c r="Q9" s="6" t="s">
        <v>32</v>
      </c>
      <c r="R9" s="6" t="s">
        <v>69</v>
      </c>
      <c r="S9" s="6" t="s">
        <v>70</v>
      </c>
      <c r="T9" s="7" t="n">
        <v>4351069</v>
      </c>
      <c r="U9" s="9" t="n">
        <f aca="false">E9/T9</f>
        <v>0.718821303454392</v>
      </c>
      <c r="V9" s="10" t="n">
        <f aca="false">G9/G8-1</f>
        <v>-0.16074370205054</v>
      </c>
      <c r="W9" s="6" t="n">
        <v>9</v>
      </c>
      <c r="X9" s="11" t="s">
        <v>71</v>
      </c>
      <c r="Y9" s="11" t="s">
        <v>72</v>
      </c>
      <c r="Z9" s="11" t="s">
        <v>73</v>
      </c>
      <c r="AA9" s="11" t="s">
        <v>74</v>
      </c>
      <c r="AB9" s="11" t="s">
        <v>75</v>
      </c>
    </row>
    <row r="10" customFormat="false" ht="229.5" hidden="false" customHeight="true" outlineLevel="0" collapsed="false">
      <c r="A10" s="4" t="s">
        <v>76</v>
      </c>
      <c r="B10" s="13" t="s">
        <v>77</v>
      </c>
      <c r="C10" s="6" t="n">
        <v>30</v>
      </c>
      <c r="D10" s="7" t="n">
        <v>7341314.71</v>
      </c>
      <c r="E10" s="7" t="n">
        <v>3432743.25</v>
      </c>
      <c r="F10" s="7" t="n">
        <v>123643</v>
      </c>
      <c r="G10" s="7" t="n">
        <f aca="false">D10/C10</f>
        <v>244710.490333333</v>
      </c>
      <c r="H10" s="7" t="n">
        <f aca="false">F10/C10</f>
        <v>4121.43333333333</v>
      </c>
      <c r="I10" s="7" t="n">
        <f aca="false">E10/C10</f>
        <v>114424.775</v>
      </c>
      <c r="J10" s="8" t="n">
        <f aca="false">D10/F10</f>
        <v>59.3750936971765</v>
      </c>
      <c r="K10" s="8" t="n">
        <f aca="false">E10/F10</f>
        <v>27.7633448719297</v>
      </c>
      <c r="L10" s="9" t="n">
        <v>0.384</v>
      </c>
      <c r="M10" s="9" t="n">
        <v>0.389</v>
      </c>
      <c r="N10" s="9" t="n">
        <v>0.227</v>
      </c>
      <c r="O10" s="9" t="n">
        <v>0.436</v>
      </c>
      <c r="P10" s="9" t="n">
        <v>0.488</v>
      </c>
      <c r="Q10" s="6" t="s">
        <v>32</v>
      </c>
      <c r="R10" s="6" t="s">
        <v>78</v>
      </c>
      <c r="S10" s="6" t="s">
        <v>79</v>
      </c>
      <c r="T10" s="7" t="n">
        <v>4351069</v>
      </c>
      <c r="U10" s="9" t="n">
        <f aca="false">E10/T10</f>
        <v>0.788942498958302</v>
      </c>
      <c r="V10" s="10" t="n">
        <f aca="false">G10/G9-1</f>
        <v>0.128376602453381</v>
      </c>
      <c r="W10" s="6" t="n">
        <v>11</v>
      </c>
      <c r="X10" s="11" t="s">
        <v>80</v>
      </c>
      <c r="Y10" s="11" t="s">
        <v>81</v>
      </c>
      <c r="Z10" s="11" t="s">
        <v>82</v>
      </c>
      <c r="AA10" s="11" t="s">
        <v>83</v>
      </c>
      <c r="AB10" s="11" t="s">
        <v>84</v>
      </c>
    </row>
    <row r="11" customFormat="false" ht="229.5" hidden="false" customHeight="true" outlineLevel="0" collapsed="false">
      <c r="A11" s="4" t="s">
        <v>85</v>
      </c>
      <c r="B11" s="5" t="s">
        <v>31</v>
      </c>
      <c r="C11" s="6" t="n">
        <v>31</v>
      </c>
      <c r="D11" s="7" t="n">
        <v>8673109.46</v>
      </c>
      <c r="E11" s="7" t="n">
        <v>4111752.94</v>
      </c>
      <c r="F11" s="7" t="n">
        <v>136582</v>
      </c>
      <c r="G11" s="7" t="n">
        <f aca="false">D11/C11</f>
        <v>279777.724516129</v>
      </c>
      <c r="H11" s="7" t="n">
        <f aca="false">F11/C11</f>
        <v>4405.87096774194</v>
      </c>
      <c r="I11" s="7" t="n">
        <f aca="false">E11/C11</f>
        <v>132637.191612903</v>
      </c>
      <c r="J11" s="8" t="n">
        <f aca="false">D11/F11</f>
        <v>63.5011162525077</v>
      </c>
      <c r="K11" s="8" t="n">
        <f aca="false">E11/F11</f>
        <v>30.1046473180946</v>
      </c>
      <c r="L11" s="9" t="n">
        <v>0.362</v>
      </c>
      <c r="M11" s="9" t="n">
        <v>0.355</v>
      </c>
      <c r="N11" s="9" t="n">
        <v>0.282</v>
      </c>
      <c r="O11" s="9" t="n">
        <v>0.455</v>
      </c>
      <c r="P11" s="9" t="n">
        <v>0.475</v>
      </c>
      <c r="Q11" s="6" t="s">
        <v>32</v>
      </c>
      <c r="R11" s="6" t="s">
        <v>86</v>
      </c>
      <c r="S11" s="6" t="s">
        <v>87</v>
      </c>
      <c r="T11" s="7" t="n">
        <v>4438091</v>
      </c>
      <c r="U11" s="9" t="n">
        <f aca="false">E11/T11</f>
        <v>0.926468821842544</v>
      </c>
      <c r="V11" s="10" t="n">
        <f aca="false">G11/G10-1</f>
        <v>0.143300902773023</v>
      </c>
      <c r="W11" s="6" t="n">
        <v>19</v>
      </c>
      <c r="X11" s="11" t="s">
        <v>88</v>
      </c>
      <c r="Y11" s="11" t="s">
        <v>89</v>
      </c>
      <c r="Z11" s="11" t="s">
        <v>90</v>
      </c>
      <c r="AA11" s="11" t="s">
        <v>91</v>
      </c>
      <c r="AB11" s="11" t="s">
        <v>92</v>
      </c>
    </row>
    <row r="12" customFormat="false" ht="229.5" hidden="false" customHeight="true" outlineLevel="0" collapsed="false">
      <c r="A12" s="4" t="s">
        <v>93</v>
      </c>
      <c r="B12" s="5" t="s">
        <v>31</v>
      </c>
      <c r="C12" s="6" t="n">
        <v>31</v>
      </c>
      <c r="D12" s="7" t="n">
        <v>8955664.83</v>
      </c>
      <c r="E12" s="7" t="n">
        <v>4254521.82</v>
      </c>
      <c r="F12" s="7" t="n">
        <v>139151</v>
      </c>
      <c r="G12" s="7" t="n">
        <f aca="false">D12/C12</f>
        <v>288892.413870968</v>
      </c>
      <c r="H12" s="7" t="n">
        <f aca="false">F12/C12</f>
        <v>4488.74193548387</v>
      </c>
      <c r="I12" s="7" t="n">
        <f aca="false">E12/C12</f>
        <v>137242.639354839</v>
      </c>
      <c r="J12" s="8" t="n">
        <f aca="false">D12/F12</f>
        <v>64.3593278524768</v>
      </c>
      <c r="K12" s="8" t="n">
        <f aca="false">E12/F12</f>
        <v>30.5748562353127</v>
      </c>
      <c r="L12" s="9" t="n">
        <v>0.353</v>
      </c>
      <c r="M12" s="9" t="n">
        <v>0.355</v>
      </c>
      <c r="N12" s="9" t="n">
        <v>0.292</v>
      </c>
      <c r="O12" s="9" t="n">
        <v>0.452</v>
      </c>
      <c r="P12" s="9" t="n">
        <v>0.456</v>
      </c>
      <c r="Q12" s="6" t="s">
        <v>32</v>
      </c>
      <c r="R12" s="6" t="s">
        <v>94</v>
      </c>
      <c r="S12" s="6" t="s">
        <v>95</v>
      </c>
      <c r="T12" s="7" t="n">
        <v>4504662</v>
      </c>
      <c r="U12" s="9" t="n">
        <f aca="false">E12/T12</f>
        <v>0.944470821562195</v>
      </c>
      <c r="V12" s="10" t="n">
        <f aca="false">G12/G11-1</f>
        <v>0.0325783239913127</v>
      </c>
      <c r="W12" s="6" t="n">
        <v>2</v>
      </c>
      <c r="X12" s="11" t="s">
        <v>96</v>
      </c>
      <c r="Y12" s="11" t="s">
        <v>97</v>
      </c>
      <c r="Z12" s="11" t="s">
        <v>98</v>
      </c>
      <c r="AA12" s="11" t="s">
        <v>99</v>
      </c>
      <c r="AB12" s="11" t="s">
        <v>100</v>
      </c>
    </row>
    <row r="13" customFormat="false" ht="229.5" hidden="false" customHeight="true" outlineLevel="0" collapsed="false">
      <c r="A13" s="4" t="s">
        <v>101</v>
      </c>
      <c r="B13" s="5" t="s">
        <v>31</v>
      </c>
      <c r="C13" s="6" t="n">
        <v>30</v>
      </c>
      <c r="D13" s="7" t="n">
        <v>9026141.18</v>
      </c>
      <c r="E13" s="7" t="n">
        <v>4272089.35</v>
      </c>
      <c r="F13" s="7" t="n">
        <v>144656</v>
      </c>
      <c r="G13" s="7" t="n">
        <f aca="false">D13/C13</f>
        <v>300871.372666667</v>
      </c>
      <c r="H13" s="7" t="n">
        <f aca="false">F13/C13</f>
        <v>4821.86666666667</v>
      </c>
      <c r="I13" s="7" t="n">
        <f aca="false">E13/C13</f>
        <v>142402.978333333</v>
      </c>
      <c r="J13" s="8" t="n">
        <f aca="false">D13/F13</f>
        <v>62.3972816889725</v>
      </c>
      <c r="K13" s="8" t="n">
        <f aca="false">E13/F13</f>
        <v>29.5327490736644</v>
      </c>
      <c r="L13" s="9" t="n">
        <v>0.357</v>
      </c>
      <c r="M13" s="9" t="n">
        <v>0.366</v>
      </c>
      <c r="N13" s="9" t="n">
        <v>0.277</v>
      </c>
      <c r="O13" s="9" t="n">
        <v>0.453</v>
      </c>
      <c r="P13" s="9" t="n">
        <v>0.474</v>
      </c>
      <c r="Q13" s="6" t="s">
        <v>32</v>
      </c>
      <c r="R13" s="6" t="s">
        <v>102</v>
      </c>
      <c r="S13" s="6" t="s">
        <v>103</v>
      </c>
      <c r="T13" s="7" t="n">
        <v>4572232</v>
      </c>
      <c r="U13" s="9" t="n">
        <f aca="false">E13/T13</f>
        <v>0.934355332362837</v>
      </c>
      <c r="V13" s="10" t="n">
        <f aca="false">G13/G12-1</f>
        <v>0.0414651206488559</v>
      </c>
      <c r="W13" s="6" t="s">
        <v>104</v>
      </c>
      <c r="X13" s="11" t="s">
        <v>105</v>
      </c>
      <c r="Y13" s="11" t="s">
        <v>106</v>
      </c>
      <c r="Z13" s="11" t="s">
        <v>107</v>
      </c>
      <c r="AA13" s="11" t="s">
        <v>108</v>
      </c>
      <c r="AB13" s="11" t="s">
        <v>109</v>
      </c>
    </row>
    <row r="14" customFormat="false" ht="15" hidden="false" customHeight="false" outlineLevel="0" collapsed="false">
      <c r="A14" s="14" t="s">
        <v>110</v>
      </c>
      <c r="C14" s="15" t="n">
        <f aca="false">SUM(C5:C13)</f>
        <v>273</v>
      </c>
      <c r="D14" s="15" t="n">
        <f aca="false">SUM(D5:D13)</f>
        <v>76245485.73</v>
      </c>
      <c r="E14" s="15" t="n">
        <f aca="false">SUM(E5:E13)</f>
        <v>36131591.64</v>
      </c>
      <c r="F14" s="15" t="n">
        <f aca="false">SUM(F5:F13)</f>
        <v>1187036</v>
      </c>
      <c r="G14" s="15" t="n">
        <f aca="false">D14/C14</f>
        <v>279287.493516484</v>
      </c>
      <c r="H14" s="15" t="n">
        <f aca="false">F14/C14</f>
        <v>4348.11721611722</v>
      </c>
      <c r="I14" s="15" t="n">
        <f aca="false">E14/C14</f>
        <v>132350.152527473</v>
      </c>
      <c r="J14" s="16" t="n">
        <f aca="false">D14/F14</f>
        <v>64.2318225647748</v>
      </c>
      <c r="K14" s="16" t="n">
        <f aca="false">E14/F14</f>
        <v>30.4384969284841</v>
      </c>
      <c r="T14" s="15" t="n">
        <f aca="false">SUM(T5:T13)</f>
        <v>38168762</v>
      </c>
      <c r="U14" s="17" t="n">
        <f aca="false">E14/T14</f>
        <v>0.946627287518521</v>
      </c>
    </row>
    <row r="16" customFormat="false" ht="15" hidden="false" customHeight="false" outlineLevel="0" collapsed="false">
      <c r="A16" s="2"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3"/>
    <col collapsed="false" customWidth="true" hidden="false" outlineLevel="0" max="4" min="4" style="0" width="9"/>
    <col collapsed="false" customWidth="true" hidden="false" outlineLevel="0" max="5" min="5" style="0" width="60"/>
    <col collapsed="false" customWidth="true" hidden="false" outlineLevel="0" max="7" min="6" style="0" width="50"/>
    <col collapsed="false" customWidth="true" hidden="false" outlineLevel="0" max="8" min="8" style="0" width="45"/>
  </cols>
  <sheetData>
    <row r="1" customFormat="false" ht="17.15" hidden="false" customHeight="false" outlineLevel="0" collapsed="false">
      <c r="A1" s="1" t="s">
        <v>112</v>
      </c>
    </row>
    <row r="2" customFormat="false" ht="15" hidden="false" customHeight="false" outlineLevel="0" collapsed="false">
      <c r="A2" s="2" t="s">
        <v>113</v>
      </c>
    </row>
    <row r="4" customFormat="false" ht="15" hidden="false" customHeight="false" outlineLevel="0" collapsed="false">
      <c r="A4" s="3" t="s">
        <v>2</v>
      </c>
      <c r="B4" s="3" t="s">
        <v>3</v>
      </c>
      <c r="C4" s="3" t="s">
        <v>8</v>
      </c>
      <c r="D4" s="3" t="s">
        <v>22</v>
      </c>
      <c r="E4" s="3" t="s">
        <v>25</v>
      </c>
      <c r="F4" s="3" t="s">
        <v>26</v>
      </c>
      <c r="G4" s="3" t="s">
        <v>114</v>
      </c>
      <c r="H4" s="3" t="s">
        <v>115</v>
      </c>
    </row>
    <row r="5" customFormat="false" ht="120" hidden="false" customHeight="true" outlineLevel="0" collapsed="false">
      <c r="A5" s="4" t="s">
        <v>30</v>
      </c>
      <c r="B5" s="5" t="s">
        <v>116</v>
      </c>
      <c r="C5" s="7" t="n">
        <f aca="false">'تحليل كل شهر'!G5</f>
        <v>286490.693225806</v>
      </c>
      <c r="D5" s="9" t="n">
        <f aca="false">'تحليل كل شهر'!U5</f>
        <v>1.14260133602151</v>
      </c>
      <c r="E5" s="11" t="s">
        <v>117</v>
      </c>
      <c r="F5" s="11" t="s">
        <v>37</v>
      </c>
      <c r="G5" s="11" t="s">
        <v>118</v>
      </c>
      <c r="H5" s="11" t="s">
        <v>40</v>
      </c>
    </row>
    <row r="6" customFormat="false" ht="120" hidden="false" customHeight="true" outlineLevel="0" collapsed="false">
      <c r="A6" s="4" t="s">
        <v>41</v>
      </c>
      <c r="B6" s="5" t="s">
        <v>119</v>
      </c>
      <c r="C6" s="7" t="n">
        <f aca="false">'تحليل كل شهر'!G6</f>
        <v>310002.779642857</v>
      </c>
      <c r="D6" s="9" t="n">
        <f aca="false">'تحليل كل شهر'!U6</f>
        <v>1.06702450332821</v>
      </c>
      <c r="E6" s="11" t="s">
        <v>120</v>
      </c>
      <c r="F6" s="11" t="s">
        <v>45</v>
      </c>
      <c r="G6" s="11" t="s">
        <v>46</v>
      </c>
      <c r="H6" s="11" t="s">
        <v>48</v>
      </c>
    </row>
    <row r="7" customFormat="false" ht="120" hidden="false" customHeight="true" outlineLevel="0" collapsed="false">
      <c r="A7" s="4" t="s">
        <v>49</v>
      </c>
      <c r="B7" s="12" t="s">
        <v>121</v>
      </c>
      <c r="C7" s="7" t="n">
        <f aca="false">'تحليل كل شهر'!G7</f>
        <v>329445.410645161</v>
      </c>
      <c r="D7" s="9" t="n">
        <f aca="false">'تحليل كل شهر'!U7</f>
        <v>1.19775363665179</v>
      </c>
      <c r="E7" s="11" t="s">
        <v>122</v>
      </c>
      <c r="F7" s="11" t="s">
        <v>123</v>
      </c>
      <c r="G7" s="11" t="s">
        <v>56</v>
      </c>
      <c r="H7" s="11" t="s">
        <v>58</v>
      </c>
    </row>
    <row r="8" customFormat="false" ht="120" hidden="false" customHeight="true" outlineLevel="0" collapsed="false">
      <c r="A8" s="4" t="s">
        <v>59</v>
      </c>
      <c r="B8" s="13" t="s">
        <v>124</v>
      </c>
      <c r="C8" s="7" t="n">
        <f aca="false">'تحليل كل شهر'!G8</f>
        <v>258406.781</v>
      </c>
      <c r="D8" s="9" t="n">
        <f aca="false">'تحليل كل شهر'!U8</f>
        <v>0.852730218857909</v>
      </c>
      <c r="E8" s="11" t="s">
        <v>125</v>
      </c>
      <c r="F8" s="11" t="s">
        <v>64</v>
      </c>
      <c r="G8" s="11" t="s">
        <v>65</v>
      </c>
      <c r="H8" s="11" t="s">
        <v>67</v>
      </c>
    </row>
    <row r="9" customFormat="false" ht="120" hidden="false" customHeight="true" outlineLevel="0" collapsed="false">
      <c r="A9" s="4" t="s">
        <v>68</v>
      </c>
      <c r="B9" s="13" t="s">
        <v>124</v>
      </c>
      <c r="C9" s="7" t="n">
        <f aca="false">'تحليل كل شهر'!G9</f>
        <v>216869.518387097</v>
      </c>
      <c r="D9" s="9" t="n">
        <f aca="false">'تحليل كل شهر'!U9</f>
        <v>0.718821303454392</v>
      </c>
      <c r="E9" s="11" t="s">
        <v>126</v>
      </c>
      <c r="F9" s="11" t="s">
        <v>127</v>
      </c>
      <c r="G9" s="11" t="s">
        <v>73</v>
      </c>
      <c r="H9" s="11" t="s">
        <v>75</v>
      </c>
    </row>
    <row r="10" customFormat="false" ht="120" hidden="false" customHeight="true" outlineLevel="0" collapsed="false">
      <c r="A10" s="4" t="s">
        <v>76</v>
      </c>
      <c r="B10" s="13" t="s">
        <v>128</v>
      </c>
      <c r="C10" s="7" t="n">
        <f aca="false">'تحليل كل شهر'!G10</f>
        <v>244710.490333333</v>
      </c>
      <c r="D10" s="9" t="n">
        <f aca="false">'تحليل كل شهر'!U10</f>
        <v>0.788942498958302</v>
      </c>
      <c r="E10" s="11" t="s">
        <v>129</v>
      </c>
      <c r="F10" s="11" t="s">
        <v>130</v>
      </c>
      <c r="G10" s="11" t="s">
        <v>82</v>
      </c>
      <c r="H10" s="11" t="s">
        <v>84</v>
      </c>
    </row>
    <row r="11" customFormat="false" ht="120" hidden="false" customHeight="true" outlineLevel="0" collapsed="false">
      <c r="A11" s="4" t="s">
        <v>85</v>
      </c>
      <c r="B11" s="5" t="s">
        <v>119</v>
      </c>
      <c r="C11" s="7" t="n">
        <f aca="false">'تحليل كل شهر'!G11</f>
        <v>279777.724516129</v>
      </c>
      <c r="D11" s="9" t="n">
        <f aca="false">'تحليل كل شهر'!U11</f>
        <v>0.926468821842544</v>
      </c>
      <c r="E11" s="11" t="s">
        <v>131</v>
      </c>
      <c r="F11" s="11" t="s">
        <v>132</v>
      </c>
      <c r="G11" s="11" t="s">
        <v>90</v>
      </c>
      <c r="H11" s="11" t="s">
        <v>92</v>
      </c>
    </row>
    <row r="12" customFormat="false" ht="120" hidden="false" customHeight="true" outlineLevel="0" collapsed="false">
      <c r="A12" s="4" t="s">
        <v>93</v>
      </c>
      <c r="B12" s="5" t="s">
        <v>116</v>
      </c>
      <c r="C12" s="7" t="n">
        <f aca="false">'تحليل كل شهر'!G12</f>
        <v>288892.413870968</v>
      </c>
      <c r="D12" s="9" t="n">
        <f aca="false">'تحليل كل شهر'!U12</f>
        <v>0.944470821562195</v>
      </c>
      <c r="E12" s="11" t="s">
        <v>133</v>
      </c>
      <c r="F12" s="11" t="s">
        <v>134</v>
      </c>
      <c r="G12" s="11" t="s">
        <v>98</v>
      </c>
      <c r="H12" s="11" t="s">
        <v>100</v>
      </c>
    </row>
    <row r="13" customFormat="false" ht="120" hidden="false" customHeight="true" outlineLevel="0" collapsed="false">
      <c r="A13" s="4" t="s">
        <v>101</v>
      </c>
      <c r="B13" s="5" t="s">
        <v>119</v>
      </c>
      <c r="C13" s="7" t="n">
        <f aca="false">'تحليل كل شهر'!G13</f>
        <v>300871.372666667</v>
      </c>
      <c r="D13" s="9" t="n">
        <f aca="false">'تحليل كل شهر'!U13</f>
        <v>0.934355332362837</v>
      </c>
      <c r="E13" s="11" t="s">
        <v>135</v>
      </c>
      <c r="F13" s="11" t="s">
        <v>136</v>
      </c>
      <c r="G13" s="11" t="s">
        <v>107</v>
      </c>
      <c r="H13" s="11"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34"/>
    <col collapsed="false" customWidth="true" hidden="false" outlineLevel="0" max="4" min="4" style="0" width="45"/>
    <col collapsed="false" customWidth="true" hidden="false" outlineLevel="0" max="5" min="5" style="0" width="34"/>
    <col collapsed="false" customWidth="true" hidden="false" outlineLevel="0" max="6" min="6" style="0" width="22"/>
    <col collapsed="false" customWidth="true" hidden="false" outlineLevel="0" max="7" min="7" style="0" width="60"/>
  </cols>
  <sheetData>
    <row r="1" customFormat="false" ht="17.15" hidden="false" customHeight="false" outlineLevel="0" collapsed="false">
      <c r="A1" s="1" t="s">
        <v>137</v>
      </c>
    </row>
    <row r="2" customFormat="false" ht="15" hidden="false" customHeight="false" outlineLevel="0" collapsed="false">
      <c r="A2" s="2" t="s">
        <v>138</v>
      </c>
    </row>
    <row r="4" customFormat="false" ht="15" hidden="false" customHeight="false" outlineLevel="0" collapsed="false">
      <c r="A4" s="3" t="s">
        <v>2</v>
      </c>
      <c r="B4" s="3" t="s">
        <v>139</v>
      </c>
      <c r="C4" s="3" t="s">
        <v>140</v>
      </c>
      <c r="D4" s="3" t="s">
        <v>141</v>
      </c>
      <c r="E4" s="3" t="s">
        <v>142</v>
      </c>
      <c r="F4" s="3" t="s">
        <v>143</v>
      </c>
      <c r="G4" s="3" t="s">
        <v>144</v>
      </c>
    </row>
    <row r="5" customFormat="false" ht="75" hidden="false" customHeight="true" outlineLevel="0" collapsed="false">
      <c r="A5" s="11" t="s">
        <v>49</v>
      </c>
      <c r="B5" s="11" t="s">
        <v>145</v>
      </c>
      <c r="C5" s="11" t="s">
        <v>146</v>
      </c>
      <c r="D5" s="11" t="s">
        <v>147</v>
      </c>
      <c r="E5" s="11" t="s">
        <v>148</v>
      </c>
      <c r="F5" s="11" t="s">
        <v>149</v>
      </c>
      <c r="G5" s="11" t="s">
        <v>150</v>
      </c>
    </row>
    <row r="6" customFormat="false" ht="75" hidden="false" customHeight="true" outlineLevel="0" collapsed="false">
      <c r="A6" s="11" t="s">
        <v>68</v>
      </c>
      <c r="B6" s="11" t="s">
        <v>151</v>
      </c>
      <c r="C6" s="11" t="s">
        <v>152</v>
      </c>
      <c r="D6" s="11" t="s">
        <v>153</v>
      </c>
      <c r="E6" s="11" t="s">
        <v>154</v>
      </c>
      <c r="F6" s="11" t="s">
        <v>155</v>
      </c>
      <c r="G6" s="11" t="s">
        <v>156</v>
      </c>
    </row>
    <row r="7" customFormat="false" ht="75" hidden="false" customHeight="true" outlineLevel="0" collapsed="false">
      <c r="A7" s="11" t="s">
        <v>157</v>
      </c>
      <c r="B7" s="11" t="s">
        <v>158</v>
      </c>
      <c r="C7" s="11" t="s">
        <v>159</v>
      </c>
      <c r="D7" s="11" t="s">
        <v>160</v>
      </c>
      <c r="E7" s="11" t="s">
        <v>161</v>
      </c>
      <c r="F7" s="11" t="s">
        <v>35</v>
      </c>
      <c r="G7" s="11" t="s">
        <v>162</v>
      </c>
    </row>
    <row r="8" customFormat="false" ht="75" hidden="false" customHeight="true" outlineLevel="0" collapsed="false">
      <c r="A8" s="11" t="s">
        <v>93</v>
      </c>
      <c r="B8" s="11" t="s">
        <v>163</v>
      </c>
      <c r="C8" s="11" t="s">
        <v>164</v>
      </c>
      <c r="D8" s="11" t="s">
        <v>165</v>
      </c>
      <c r="E8" s="11" t="s">
        <v>166</v>
      </c>
      <c r="F8" s="11" t="s">
        <v>35</v>
      </c>
      <c r="G8" s="11" t="s">
        <v>167</v>
      </c>
    </row>
    <row r="9" customFormat="false" ht="75" hidden="false" customHeight="true" outlineLevel="0" collapsed="false">
      <c r="A9" s="11" t="s">
        <v>101</v>
      </c>
      <c r="B9" s="11" t="s">
        <v>168</v>
      </c>
      <c r="C9" s="11" t="s">
        <v>169</v>
      </c>
      <c r="D9" s="11" t="s">
        <v>170</v>
      </c>
      <c r="E9" s="11" t="s">
        <v>35</v>
      </c>
      <c r="F9" s="11" t="s">
        <v>35</v>
      </c>
      <c r="G9" s="11"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2026-10-14T08:04:36Z</dcterms:created>
  <dc:creator>openpyxl</dc:creator>
  <dc:description/>
  <dc:language>en-US</dc:language>
  <cp:lastModifiedBy/>
  <dcterms:modified xsi:type="dcterms:W3CDTF">2026-10-14T08:04:36Z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