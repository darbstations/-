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أساس التوزيع" sheetId="2" state="visible" r:id="rId2"/>
    <sheet name="المحطات المستهدفة" sheetId="3" state="visible" r:id="rId3"/>
    <sheet name="خطة التوزيع" sheetId="4" state="visible" r:id="rId4"/>
    <sheet name="متابعة التنفيذ" sheetId="5" state="visible" r:id="rId5"/>
    <sheet name="نتائج الحملة" sheetId="6" state="visible" r:id="rId6"/>
    <sheet name="القوائم" sheetId="7" state="hidden" r:id="rId7"/>
  </sheets>
  <definedNames>
    <definedName name="_xlnm.Print_Titles" localSheetId="2">'المحطات المستهدفة'!$1:$1</definedName>
    <definedName name="_xlnm.Print_Titles" localSheetId="3">'خطة التوزيع'!$1:$1</definedName>
    <definedName name="_xlnm.Print_Titles" localSheetId="4">'متابعة التنفيذ'!$1:$1</definedName>
    <definedName name="_xlnm.Print_Titles" localSheetId="5">'نتائج الحملة'!$1:$1</definedName>
    <definedName name="_xlnm.Print_Titles" localSheetId="6">'القوائم'!$1:$1</definedName>
  </definedNames>
  <calcPr calcId="124519" fullCalcOnLoad="1"/>
</workbook>
</file>

<file path=xl/styles.xml><?xml version="1.0" encoding="utf-8"?>
<styleSheet xmlns="http://schemas.openxmlformats.org/spreadsheetml/2006/main">
  <numFmts count="5">
    <numFmt numFmtId="164" formatCode="0.0%"/>
    <numFmt numFmtId="165" formatCode="dd-mm-yyyy"/>
    <numFmt numFmtId="166" formatCode="0٪"/>
    <numFmt numFmtId="167" formatCode="0.0٪"/>
    <numFmt numFmtId="168" formatCode="yyyy-mm-dd"/>
  </numFmts>
  <fonts count="6">
    <font>
      <name val="Calibri"/>
      <family val="2"/>
      <color theme="1"/>
      <sz val="11"/>
      <scheme val="minor"/>
    </font>
    <font>
      <b val="1"/>
      <color rgb="00FFFFFF"/>
    </font>
    <font>
      <b val="1"/>
      <sz val="18"/>
    </font>
    <font>
      <b val="1"/>
    </font>
    <font>
      <b val="1"/>
      <sz val="14"/>
    </font>
    <font>
      <b val="1"/>
      <sz val="13"/>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34">
    <xf numFmtId="0" fontId="0" fillId="0" borderId="0" pivotButton="0" quotePrefix="0" xfId="0"/>
    <xf numFmtId="0" fontId="2" fillId="0" borderId="0" applyAlignment="1" pivotButton="0" quotePrefix="0" xfId="0">
      <alignment vertical="center"/>
    </xf>
    <xf numFmtId="0" fontId="3" fillId="3" borderId="1" applyAlignment="1" pivotButton="0" quotePrefix="0" xfId="0">
      <alignment vertical="center"/>
    </xf>
    <xf numFmtId="0" fontId="4" fillId="4" borderId="1" applyAlignment="1" pivotButton="0" quotePrefix="0" xfId="0">
      <alignment horizontal="center"/>
    </xf>
    <xf numFmtId="0" fontId="3" fillId="0" borderId="0" applyAlignment="1" pivotButton="0" quotePrefix="0" xfId="0">
      <alignment vertical="center"/>
    </xf>
    <xf numFmtId="0" fontId="0" fillId="5" borderId="0" applyAlignment="1" pivotButton="0" quotePrefix="0" xfId="0">
      <alignment vertical="center" wrapText="1"/>
    </xf>
    <xf numFmtId="0" fontId="0" fillId="3" borderId="0" applyAlignment="1" pivotButton="0" quotePrefix="0" xfId="0">
      <alignment vertical="center" wrapText="1"/>
    </xf>
    <xf numFmtId="3" fontId="4" fillId="4" borderId="1" applyAlignment="1" pivotButton="0" quotePrefix="0" xfId="0">
      <alignment horizontal="center"/>
    </xf>
    <xf numFmtId="3" fontId="0" fillId="0" borderId="0" pivotButton="0" quotePrefix="0" xfId="0"/>
    <xf numFmtId="164" fontId="0" fillId="0" borderId="0" pivotButton="0" quotePrefix="0" xfId="0"/>
    <xf numFmtId="0" fontId="5" fillId="0" borderId="0" applyAlignment="1" pivotButton="0" quotePrefix="0" xfId="0">
      <alignment vertical="center"/>
    </xf>
    <xf numFmtId="0" fontId="0" fillId="0" borderId="0" applyAlignment="1" pivotButton="0" quotePrefix="0" xfId="0">
      <alignment wrapText="1"/>
    </xf>
    <xf numFmtId="0" fontId="1" fillId="2" borderId="1" applyAlignment="1" pivotButton="0" quotePrefix="0" xfId="0">
      <alignment horizontal="center" vertical="center"/>
    </xf>
    <xf numFmtId="0" fontId="0" fillId="0" borderId="1" applyAlignment="1" pivotButton="0" quotePrefix="0" xfId="0">
      <alignment vertical="center"/>
    </xf>
    <xf numFmtId="3" fontId="0" fillId="0" borderId="1" applyAlignment="1" pivotButton="0" quotePrefix="0" xfId="0">
      <alignment vertical="center"/>
    </xf>
    <xf numFmtId="165" fontId="0" fillId="0" borderId="1" applyAlignment="1" pivotButton="0" quotePrefix="0" xfId="0">
      <alignment vertical="center"/>
    </xf>
    <xf numFmtId="164" fontId="0" fillId="0" borderId="1" applyAlignment="1" pivotButton="0" quotePrefix="0" xfId="0">
      <alignment vertical="center"/>
    </xf>
    <xf numFmtId="4" fontId="0" fillId="0" borderId="1" applyAlignment="1" pivotButton="0" quotePrefix="0" xfId="0">
      <alignment vertical="center"/>
    </xf>
    <xf numFmtId="0" fontId="0" fillId="0" borderId="0" applyAlignment="1" pivotButton="0" quotePrefix="0" xfId="0">
      <alignment vertical="center"/>
    </xf>
    <xf numFmtId="164" fontId="4" fillId="4" borderId="1" applyAlignment="1" pivotButton="0" quotePrefix="0" xfId="0">
      <alignment horizontal="center"/>
    </xf>
    <xf numFmtId="0" fontId="2" fillId="0" borderId="0" pivotButton="0" quotePrefix="0" xfId="0"/>
    <xf numFmtId="166" fontId="4" fillId="4" borderId="1" applyAlignment="1" pivotButton="0" quotePrefix="0" xfId="0">
      <alignment horizontal="center"/>
    </xf>
    <xf numFmtId="4" fontId="4" fillId="4" borderId="1" applyAlignment="1" pivotButton="0" quotePrefix="0" xfId="0">
      <alignment horizontal="center"/>
    </xf>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3" fontId="0" fillId="0" borderId="1" applyAlignment="1" pivotButton="0" quotePrefix="0" xfId="0">
      <alignment horizontal="center" vertical="center"/>
    </xf>
    <xf numFmtId="167" fontId="0" fillId="0" borderId="1" applyAlignment="1" pivotButton="0" quotePrefix="0" xfId="0">
      <alignment horizontal="center" vertical="center"/>
    </xf>
    <xf numFmtId="0" fontId="1" fillId="2" borderId="1" applyAlignment="1" pivotButton="0" quotePrefix="0" xfId="0">
      <alignment horizontal="center" vertical="center"/>
    </xf>
    <xf numFmtId="3" fontId="1" fillId="2" borderId="1" applyAlignment="1" pivotButton="0" quotePrefix="0" xfId="0">
      <alignment horizontal="center" vertical="center"/>
    </xf>
    <xf numFmtId="167" fontId="1" fillId="2" borderId="1" applyAlignment="1" pivotButton="0" quotePrefix="0" xfId="0">
      <alignment horizontal="center" vertical="center"/>
    </xf>
    <xf numFmtId="168" fontId="0" fillId="0" borderId="1" applyAlignment="1" pivotButton="0" quotePrefix="0" xfId="0">
      <alignment horizontal="center" vertical="center"/>
    </xf>
    <xf numFmtId="165" fontId="0" fillId="0" borderId="1" applyAlignment="1" pivotButton="0" quotePrefix="0" xfId="0">
      <alignment vertical="center"/>
    </xf>
    <xf numFmtId="167" fontId="0" fillId="0" borderId="1" applyAlignment="1" pivotButton="0" quotePrefix="0" xfId="0">
      <alignment vertical="center"/>
    </xf>
    <xf numFmtId="164" fontId="0" fillId="0" borderId="1" applyAlignment="1" pivotButton="0" quotePrefix="0" xfId="0">
      <alignment vertical="center"/>
    </xf>
  </cellXfs>
  <cellStyles count="1">
    <cellStyle name="Normal" xfId="0" builtinId="0" hidden="0"/>
  </cellStyles>
  <dxfs count="3">
    <dxf>
      <fill>
        <patternFill patternType="solid">
          <fgColor rgb="00E2F0D9"/>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نسبة التغير في المبيعات حسب المحطة</a:t>
            </a:r>
          </a:p>
        </rich>
      </tx>
    </title>
    <plotArea>
      <barChart>
        <barDir val="col"/>
        <grouping val="clustered"/>
        <ser>
          <idx val="0"/>
          <order val="0"/>
          <tx>
            <strRef>
              <f>'نتائج الحملة'!H1</f>
            </strRef>
          </tx>
          <spPr>
            <a:ln>
              <a:prstDash val="solid"/>
            </a:ln>
          </spPr>
          <cat>
            <numRef>
              <f>'نتائج الحملة'!$B$2:$B$11</f>
            </numRef>
          </cat>
          <val>
            <numRef>
              <f>'نتائج الحملة'!$H$2:$H$11</f>
            </numRef>
          </val>
        </ser>
        <gapWidth val="150"/>
        <axId val="10"/>
        <axId val="100"/>
      </barChart>
      <catAx>
        <axId val="10"/>
        <scaling>
          <orientation val="minMax"/>
        </scaling>
        <axPos val="l"/>
        <title>
          <tx>
            <rich>
              <a:bodyPr/>
              <a:p>
                <a:pPr>
                  <a:defRPr/>
                </a:pPr>
                <a:r>
                  <a:t>المحطة</a:t>
                </a:r>
              </a:p>
            </rich>
          </tx>
        </title>
        <majorTickMark val="none"/>
        <minorTickMark val="none"/>
        <crossAx val="100"/>
        <lblOffset val="100"/>
      </catAx>
      <valAx>
        <axId val="100"/>
        <scaling>
          <orientation val="minMax"/>
        </scaling>
        <axPos val="l"/>
        <majorGridlines/>
        <title>
          <tx>
            <rich>
              <a:bodyPr/>
              <a:p>
                <a:pPr>
                  <a:defRPr/>
                </a:pPr>
                <a:r>
                  <a:t>نسبة التغير</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21</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StationsTable" displayName="StationsTable" ref="A1:P101" headerRowCount="1">
  <autoFilter ref="A1:P101"/>
  <tableColumns count="16">
    <tableColumn id="1" name="م"/>
    <tableColumn id="2" name="كود المحطة"/>
    <tableColumn id="3" name="اسم المحطة"/>
    <tableColumn id="4" name="المدينة"/>
    <tableColumn id="5" name="المنطقة"/>
    <tableColumn id="6" name="المبيعات قبل الحملة"/>
    <tableColumn id="7" name="المستهدف الشهري"/>
    <tableColumn id="8" name="الفارق عن المستهدف"/>
    <tableColumn id="9" name="تصنيف المبيعات"/>
    <tableColumn id="10" name="الأولوية"/>
    <tableColumn id="11" name="الهدف من الحملة"/>
    <tableColumn id="12" name="كمية المناديل المخططة"/>
    <tableColumn id="13" name="تاريخ التوزيع المخطط"/>
    <tableColumn id="14" name="المسؤول"/>
    <tableColumn id="15" name="الحالة"/>
    <tableColumn id="16" name="ملاحظات"/>
  </tableColumns>
  <tableStyleInfo name="TableStyleMedium2" showRowStripes="1" showColumnStripes="0"/>
</table>
</file>

<file path=xl/tables/table2.xml><?xml version="1.0" encoding="utf-8"?>
<table xmlns="http://schemas.openxmlformats.org/spreadsheetml/2006/main" id="2" name="FollowTable" displayName="FollowTable" ref="A1:K101" headerRowCount="1">
  <autoFilter ref="A1:K101"/>
  <tableColumns count="11">
    <tableColumn id="1" name="م"/>
    <tableColumn id="2" name="كود المحطة"/>
    <tableColumn id="3" name="اسم المحطة"/>
    <tableColumn id="4" name="تاريخ التوزيع"/>
    <tableColumn id="5" name="الكمية المخططة"/>
    <tableColumn id="6" name="الكمية الفعلية"/>
    <tableColumn id="7" name="الفرق"/>
    <tableColumn id="8" name="المستلم/المسؤول"/>
    <tableColumn id="9" name="الحالة"/>
    <tableColumn id="10" name="رابط الصور/الإثبات"/>
    <tableColumn id="11" name="ملاحظات"/>
  </tableColumns>
  <tableStyleInfo name="TableStyleMedium4" showRowStripes="1" showColumnStripes="0"/>
</table>
</file>

<file path=xl/tables/table3.xml><?xml version="1.0" encoding="utf-8"?>
<table xmlns="http://schemas.openxmlformats.org/spreadsheetml/2006/main" id="3" name="ResultsTable" displayName="ResultsTable" ref="A1:L101" headerRowCount="1">
  <autoFilter ref="A1:L101"/>
  <tableColumns count="12">
    <tableColumn id="1" name="كود المحطة"/>
    <tableColumn id="2" name="اسم المحطة"/>
    <tableColumn id="3" name="المبيعات قبل الحملة"/>
    <tableColumn id="4" name="مبيعات أسبوع 1"/>
    <tableColumn id="5" name="مبيعات أسبوع 2"/>
    <tableColumn id="6" name="مبيعات أسبوع 3"/>
    <tableColumn id="7" name="مبيعات بعد الحملة"/>
    <tableColumn id="8" name="نسبة التغير"/>
    <tableColumn id="9" name="كمية المناديل"/>
    <tableColumn id="10" name="تكلفة الحملة"/>
    <tableColumn id="11" name="نتيجة الحملة"/>
    <tableColumn id="12" name="ملاحظات"/>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B2:H19"/>
  <sheetViews>
    <sheetView showGridLines="0" workbookViewId="0">
      <selection activeCell="A1" sqref="A1"/>
    </sheetView>
  </sheetViews>
  <sheetFormatPr baseColWidth="8" defaultRowHeight="15"/>
  <cols>
    <col width="34" customWidth="1" min="2" max="2"/>
    <col width="20" customWidth="1" min="3" max="3"/>
    <col width="20" customWidth="1" min="4" max="4"/>
    <col width="20" customWidth="1" min="5" max="5"/>
    <col width="20" customWidth="1" min="6" max="6"/>
    <col width="20" customWidth="1" min="7" max="7"/>
    <col width="20" customWidth="1" min="8" max="8"/>
  </cols>
  <sheetData>
    <row r="2">
      <c r="B2" s="1" t="inlineStr">
        <is>
          <t>Dashboard – حملة توزيع المناديل على المحطات منخفضة المبيعات</t>
        </is>
      </c>
    </row>
    <row r="4">
      <c r="B4" s="2" t="inlineStr">
        <is>
          <t>عدد المحطات المستهدفة</t>
        </is>
      </c>
      <c r="C4" s="3">
        <f>COUNTA('المحطات المستهدفة'!B2:B101)</f>
        <v/>
      </c>
      <c r="E4" s="4" t="inlineStr">
        <is>
          <t>طريقة الاستهداف</t>
        </is>
      </c>
    </row>
    <row r="5">
      <c r="B5" s="2" t="inlineStr">
        <is>
          <t>المحطات المكتملة</t>
        </is>
      </c>
      <c r="C5" s="3">
        <f>COUNTIF('المحطات المستهدفة'!O2:O101,"مكتملة")</f>
        <v/>
      </c>
      <c r="E5" s="5" t="inlineStr">
        <is>
          <t>المحطات ذات المبيعات الأقل من المستهدف، مع إعطاء أولوية للمحطات الأقل أداءً.</t>
        </is>
      </c>
    </row>
    <row r="6">
      <c r="B6" s="2" t="inlineStr">
        <is>
          <t>المحطات الجاري تنفيذها</t>
        </is>
      </c>
      <c r="C6" s="3">
        <f>COUNTIF('المحطات المستهدفة'!O2:O101,"جاري")</f>
        <v/>
      </c>
    </row>
    <row r="7">
      <c r="B7" s="2" t="inlineStr">
        <is>
          <t>المحطات المتبقية</t>
        </is>
      </c>
      <c r="C7" s="3">
        <f>B4-B5-B6</f>
        <v/>
      </c>
    </row>
    <row r="8">
      <c r="B8" s="2" t="inlineStr">
        <is>
          <t>إجمالي المناديل المخططة</t>
        </is>
      </c>
      <c r="C8" s="3">
        <f>SUM('المحطات المستهدفة'!L2:L101)</f>
        <v/>
      </c>
      <c r="E8" s="4" t="inlineStr">
        <is>
          <t>قياس النجاح</t>
        </is>
      </c>
    </row>
    <row r="9">
      <c r="B9" s="2" t="inlineStr">
        <is>
          <t>إجمالي المناديل الموزعة فعليًا</t>
        </is>
      </c>
      <c r="C9" s="3">
        <f>SUM('متابعة التنفيذ'!F2:F101)</f>
        <v/>
      </c>
      <c r="E9" s="6" t="inlineStr">
        <is>
          <t>قارني مبيعات ما بعد الحملة بالمبيعات قبل الحملة، وراقبي التحسن أسبوعيًا.</t>
        </is>
      </c>
    </row>
    <row r="10">
      <c r="B10" s="2" t="inlineStr">
        <is>
          <t>متوسط نسبة التغير</t>
        </is>
      </c>
      <c r="C10" s="7">
        <f>IFERROR(AVERAGE('نتائج الحملة'!H2:H101),0)</f>
        <v/>
      </c>
    </row>
    <row r="11">
      <c r="B11" s="2" t="inlineStr">
        <is>
          <t>تكلفة الحملة (ر.س)</t>
        </is>
      </c>
      <c r="C11" s="7">
        <f>'أساس التوزيع'!C10</f>
        <v/>
      </c>
      <c r="E11" s="4" t="inlineStr">
        <is>
          <t>أساس توزيع الكمية</t>
        </is>
      </c>
    </row>
    <row r="12" ht="58" customHeight="1">
      <c r="B12" s="2" t="inlineStr">
        <is>
          <t>وحدة المبيعات</t>
        </is>
      </c>
      <c r="C12" s="19" t="inlineStr">
        <is>
          <t>لتر</t>
        </is>
      </c>
      <c r="E12" s="5" t="inlineStr">
        <is>
          <t>الكمية موزَّعة بنسبة عدد العملاء في كل محطة — زيارات يوليو 2026. التفصيل والمُحدِّدات في ورقة «أساس التوزيع»: غيّر «مدة الحملة» أو «علبة واحدة لكل كم عميل» فتُعاد كل الكميات تلقائيًا.</t>
        </is>
      </c>
    </row>
    <row r="14">
      <c r="B14" s="10" t="inlineStr">
        <is>
          <t>طريقة الاستخدام</t>
        </is>
      </c>
    </row>
    <row r="15">
      <c r="B15" s="11" t="inlineStr">
        <is>
          <t>1) أدخلي المحطات المستهدفة والمبيعات والمستهدف الشهري في ورقة «المحطات المستهدفة».</t>
        </is>
      </c>
    </row>
    <row r="16">
      <c r="B16" s="11" t="inlineStr">
        <is>
          <t>2) حددي الأولوية وكمية المناديل وتاريخ التوزيع.</t>
        </is>
      </c>
    </row>
    <row r="17">
      <c r="B17" s="11" t="inlineStr">
        <is>
          <t>3) استخدمي «خطة التوزيع» لترتيب التوزيع أسبوعيًا.</t>
        </is>
      </c>
    </row>
    <row r="18">
      <c r="B18" s="11" t="inlineStr">
        <is>
          <t>4) بعد كل توزيع، سجلي الكمية الفعلية ورابط الصور في «متابعة التنفيذ».</t>
        </is>
      </c>
    </row>
    <row r="19">
      <c r="B19" s="11" t="inlineStr">
        <is>
          <t>5) سجلي المبيعات الأسبوعية في «نتائج الحملة» لمقارنة الأثر.</t>
        </is>
      </c>
    </row>
  </sheetData>
  <mergeCells count="9">
    <mergeCell ref="B17:H17"/>
    <mergeCell ref="B18:H18"/>
    <mergeCell ref="E9:H10"/>
    <mergeCell ref="E12:H12"/>
    <mergeCell ref="B16:H16"/>
    <mergeCell ref="B2:H2"/>
    <mergeCell ref="B15:H15"/>
    <mergeCell ref="B19:H19"/>
    <mergeCell ref="E5:H6"/>
  </mergeCells>
  <pageMargins left="0.75" right="0.75" top="1" bottom="1" header="0.5" footer="0.5"/>
  <pageSetup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L24"/>
  <sheetViews>
    <sheetView showGridLines="0" workbookViewId="0">
      <selection activeCell="A1" sqref="A1"/>
    </sheetView>
  </sheetViews>
  <sheetFormatPr baseColWidth="8" defaultRowHeight="15"/>
  <cols>
    <col width="13" customWidth="1" min="1" max="1"/>
    <col width="22" customWidth="1" min="2" max="2"/>
    <col width="20" customWidth="1" min="3" max="3"/>
    <col width="20" customWidth="1" min="4" max="4"/>
    <col width="11" customWidth="1" min="5" max="5"/>
    <col width="13" customWidth="1" min="6" max="6"/>
    <col width="13" customWidth="1" min="7" max="7"/>
    <col width="20" customWidth="1" min="8" max="8"/>
    <col width="22" customWidth="1" min="9" max="9"/>
    <col width="20" customWidth="1" min="10" max="10"/>
    <col width="14" customWidth="1" min="11" max="11"/>
    <col width="16" customWidth="1" min="12" max="12"/>
  </cols>
  <sheetData>
    <row r="2">
      <c r="B2" s="20" t="inlineStr">
        <is>
          <t>أساس توزيع المناديل — الكمية بنسبة عدد العملاء في كل محطة</t>
        </is>
      </c>
    </row>
    <row r="3">
      <c r="B3" s="2" t="inlineStr">
        <is>
          <t>مدة الحملة (أسابيع)</t>
        </is>
      </c>
      <c r="C3" s="7" t="n">
        <v>4</v>
      </c>
      <c r="E3" s="4" t="inlineStr">
        <is>
          <t>كيف تتغيّر الخطة</t>
        </is>
      </c>
    </row>
    <row r="4" ht="58" customHeight="1">
      <c r="B4" s="2" t="inlineStr">
        <is>
          <t>أيام التوزيع</t>
        </is>
      </c>
      <c r="C4" s="7">
        <f>C3*7</f>
        <v/>
      </c>
      <c r="E4" s="5" t="inlineStr">
        <is>
          <t>الكميات كلها صيغ مربوطة بالخليتين C3 و C5. غيّر «مدة الحملة» أو «علبة واحدة لكل كم عميل» فتُعاد الكميات وأسابيع التوزيع والتكاليف تلقائيًا في كل الأوراق — لا تكتب كمية يدويًا إلا إذا أردت تثبيتها.</t>
        </is>
      </c>
    </row>
    <row r="5">
      <c r="B5" s="2" t="inlineStr">
        <is>
          <t>علبة واحدة لكل كم عميل</t>
        </is>
      </c>
      <c r="C5" s="7" t="n">
        <v>4</v>
      </c>
    </row>
    <row r="6">
      <c r="B6" s="2" t="inlineStr">
        <is>
          <t>معدل التغطية</t>
        </is>
      </c>
      <c r="C6" s="21">
        <f>IFERROR(1/C5,0)</f>
        <v/>
      </c>
    </row>
    <row r="7">
      <c r="B7" s="2" t="inlineStr">
        <is>
          <t>تكلفة العلبة (ر.س)</t>
        </is>
      </c>
      <c r="C7" s="22" t="n">
        <v>1.5</v>
      </c>
    </row>
    <row r="8">
      <c r="B8" s="2" t="inlineStr">
        <is>
          <t>إجمالي عملاء الشهر</t>
        </is>
      </c>
      <c r="C8" s="7">
        <f>SUM(D13:D17)</f>
        <v/>
      </c>
    </row>
    <row r="9">
      <c r="B9" s="2" t="inlineStr">
        <is>
          <t>إجمالي المناديل المخططة</t>
        </is>
      </c>
      <c r="C9" s="7">
        <f>SUM(I13:I17)</f>
        <v/>
      </c>
    </row>
    <row r="10">
      <c r="B10" s="2" t="inlineStr">
        <is>
          <t>تكلفة الحملة (ر.س)</t>
        </is>
      </c>
      <c r="C10" s="7">
        <f>C9*C7</f>
        <v/>
      </c>
    </row>
    <row r="12" ht="32" customHeight="1">
      <c r="A12" s="23" t="inlineStr">
        <is>
          <t>كود المحطة</t>
        </is>
      </c>
      <c r="B12" s="23" t="inlineStr">
        <is>
          <t>اسم المحطة</t>
        </is>
      </c>
      <c r="C12" s="23" t="inlineStr">
        <is>
          <t>الحي</t>
        </is>
      </c>
      <c r="D12" s="23" t="inlineStr">
        <is>
          <t>عملاء الشهر (زيارات يوليو)</t>
        </is>
      </c>
      <c r="E12" s="23" t="inlineStr">
        <is>
          <t>أيام الشهر</t>
        </is>
      </c>
      <c r="F12" s="23" t="inlineStr">
        <is>
          <t>عملاء/يوم</t>
        </is>
      </c>
      <c r="G12" s="23" t="inlineStr">
        <is>
          <t>نسبة العملاء</t>
        </is>
      </c>
      <c r="H12" s="23" t="inlineStr">
        <is>
          <t>الأولوية</t>
        </is>
      </c>
      <c r="I12" s="23" t="inlineStr">
        <is>
          <t>كمية المناديل المخططة</t>
        </is>
      </c>
      <c r="J12" s="23" t="inlineStr">
        <is>
          <t>معدل التوزيع اليومي</t>
        </is>
      </c>
      <c r="K12" s="23" t="inlineStr">
        <is>
          <t>تغطية العملاء</t>
        </is>
      </c>
      <c r="L12" s="23" t="inlineStr">
        <is>
          <t>التكلفة (ر.س)</t>
        </is>
      </c>
    </row>
    <row r="13">
      <c r="A13" s="24" t="inlineStr">
        <is>
          <t>MK002</t>
        </is>
      </c>
      <c r="B13" s="13" t="inlineStr">
        <is>
          <t>درب المعيصم</t>
        </is>
      </c>
      <c r="C13" s="13" t="inlineStr">
        <is>
          <t>حي المعيصم</t>
        </is>
      </c>
      <c r="D13" s="25" t="n">
        <v>18107</v>
      </c>
      <c r="E13" s="25" t="n">
        <v>31</v>
      </c>
      <c r="F13" s="25">
        <f>ROUND(D13/E13,0)</f>
        <v/>
      </c>
      <c r="G13" s="26">
        <f>IFERROR(D13/$C$8,0)</f>
        <v/>
      </c>
      <c r="H13" s="24" t="inlineStr">
        <is>
          <t>أولوية 1 - مرتفعة</t>
        </is>
      </c>
      <c r="I13" s="25">
        <f>ROUND(F13*$C$4*$C$6,-2)</f>
        <v/>
      </c>
      <c r="J13" s="25">
        <f>ROUND(I13/$C$4,0)</f>
        <v/>
      </c>
      <c r="K13" s="26">
        <f>IFERROR(I13/(F13*$C$4),0)</f>
        <v/>
      </c>
      <c r="L13" s="25">
        <f>I13*$C$7</f>
        <v/>
      </c>
    </row>
    <row r="14">
      <c r="A14" s="24" t="inlineStr">
        <is>
          <t>MK019</t>
        </is>
      </c>
      <c r="B14" s="13" t="inlineStr">
        <is>
          <t>درب عرفات الشرايع</t>
        </is>
      </c>
      <c r="C14" s="13" t="inlineStr">
        <is>
          <t>حي الخضراء</t>
        </is>
      </c>
      <c r="D14" s="25" t="n">
        <v>10863</v>
      </c>
      <c r="E14" s="25" t="n">
        <v>30</v>
      </c>
      <c r="F14" s="25">
        <f>ROUND(D14/E14,0)</f>
        <v/>
      </c>
      <c r="G14" s="26">
        <f>IFERROR(D14/$C$8,0)</f>
        <v/>
      </c>
      <c r="H14" s="24" t="inlineStr">
        <is>
          <t>أولوية 1 - مرتفعة</t>
        </is>
      </c>
      <c r="I14" s="25">
        <f>ROUND(F14*$C$4*$C$6,-2)</f>
        <v/>
      </c>
      <c r="J14" s="25">
        <f>ROUND(I14/$C$4,0)</f>
        <v/>
      </c>
      <c r="K14" s="26">
        <f>IFERROR(I14/(F14*$C$4),0)</f>
        <v/>
      </c>
      <c r="L14" s="25">
        <f>I14*$C$7</f>
        <v/>
      </c>
    </row>
    <row r="15">
      <c r="A15" s="24" t="inlineStr">
        <is>
          <t>MK023</t>
        </is>
      </c>
      <c r="B15" s="13" t="inlineStr">
        <is>
          <t>درب بن درويش</t>
        </is>
      </c>
      <c r="C15" s="13" t="inlineStr">
        <is>
          <t>حي الخضراء</t>
        </is>
      </c>
      <c r="D15" s="25" t="n">
        <v>21575</v>
      </c>
      <c r="E15" s="25" t="n">
        <v>31</v>
      </c>
      <c r="F15" s="25">
        <f>ROUND(D15/E15,0)</f>
        <v/>
      </c>
      <c r="G15" s="26">
        <f>IFERROR(D15/$C$8,0)</f>
        <v/>
      </c>
      <c r="H15" s="24" t="inlineStr">
        <is>
          <t>أولوية 2 - متوسطة</t>
        </is>
      </c>
      <c r="I15" s="25">
        <f>ROUND(F15*$C$4*$C$6,-2)</f>
        <v/>
      </c>
      <c r="J15" s="25">
        <f>ROUND(I15/$C$4,0)</f>
        <v/>
      </c>
      <c r="K15" s="26">
        <f>IFERROR(I15/(F15*$C$4),0)</f>
        <v/>
      </c>
      <c r="L15" s="25">
        <f>I15*$C$7</f>
        <v/>
      </c>
    </row>
    <row r="16">
      <c r="A16" s="24" t="inlineStr">
        <is>
          <t>MK007</t>
        </is>
      </c>
      <c r="B16" s="13" t="inlineStr">
        <is>
          <t>درب العمرة النورية</t>
        </is>
      </c>
      <c r="C16" s="13" t="inlineStr">
        <is>
          <t>حي العمرة الجديدة</t>
        </is>
      </c>
      <c r="D16" s="25" t="n">
        <v>136584</v>
      </c>
      <c r="E16" s="25" t="n">
        <v>31</v>
      </c>
      <c r="F16" s="25">
        <f>ROUND(D16/E16,0)</f>
        <v/>
      </c>
      <c r="G16" s="26">
        <f>IFERROR(D16/$C$8,0)</f>
        <v/>
      </c>
      <c r="H16" s="24" t="inlineStr">
        <is>
          <t>أولوية 2 - متوسطة</t>
        </is>
      </c>
      <c r="I16" s="25">
        <f>ROUND(F16*$C$4*$C$6,-2)</f>
        <v/>
      </c>
      <c r="J16" s="25">
        <f>ROUND(I16/$C$4,0)</f>
        <v/>
      </c>
      <c r="K16" s="26">
        <f>IFERROR(I16/(F16*$C$4),0)</f>
        <v/>
      </c>
      <c r="L16" s="25">
        <f>I16*$C$7</f>
        <v/>
      </c>
    </row>
    <row r="17">
      <c r="A17" s="24" t="inlineStr">
        <is>
          <t>MK017</t>
        </is>
      </c>
      <c r="B17" s="13" t="inlineStr">
        <is>
          <t>درب عرفات الشوقية</t>
        </is>
      </c>
      <c r="C17" s="13" t="inlineStr">
        <is>
          <t>حي الشوقية</t>
        </is>
      </c>
      <c r="D17" s="25" t="n">
        <v>35640</v>
      </c>
      <c r="E17" s="25" t="n">
        <v>31</v>
      </c>
      <c r="F17" s="25">
        <f>ROUND(D17/E17,0)</f>
        <v/>
      </c>
      <c r="G17" s="26">
        <f>IFERROR(D17/$C$8,0)</f>
        <v/>
      </c>
      <c r="H17" s="24" t="inlineStr">
        <is>
          <t>أولوية 3 - منخفضة</t>
        </is>
      </c>
      <c r="I17" s="25">
        <f>ROUND(F17*$C$4*$C$6,-2)</f>
        <v/>
      </c>
      <c r="J17" s="25">
        <f>ROUND(I17/$C$4,0)</f>
        <v/>
      </c>
      <c r="K17" s="26">
        <f>IFERROR(I17/(F17*$C$4),0)</f>
        <v/>
      </c>
      <c r="L17" s="25">
        <f>I17*$C$7</f>
        <v/>
      </c>
    </row>
    <row r="18">
      <c r="A18" s="27" t="inlineStr">
        <is>
          <t>الإجمالي</t>
        </is>
      </c>
      <c r="B18" s="12" t="n"/>
      <c r="C18" s="12" t="n"/>
      <c r="D18" s="28">
        <f>SUM(D13:D17)</f>
        <v/>
      </c>
      <c r="E18" s="12" t="n"/>
      <c r="F18" s="28">
        <f>SUM(F13:F17)</f>
        <v/>
      </c>
      <c r="G18" s="29">
        <f>SUM(G13:G17)</f>
        <v/>
      </c>
      <c r="H18" s="12" t="n"/>
      <c r="I18" s="28">
        <f>SUM(I13:I17)</f>
        <v/>
      </c>
      <c r="J18" s="12" t="n"/>
      <c r="K18" s="12" t="n"/>
      <c r="L18" s="28">
        <f>SUM(L13:L17)</f>
        <v/>
      </c>
    </row>
    <row r="20">
      <c r="B20" s="4" t="inlineStr">
        <is>
          <t>المصدر</t>
        </is>
      </c>
    </row>
    <row r="21" ht="58" customHeight="1">
      <c r="B21" s="5" t="inlineStr">
        <is>
          <t>عدد العملاء = الزيارات المسجَّلة في يوليو 2026 بمنصّة تحليل المحطات الخمس (آخر شهر مُقاس كاملًا؛ MK019 ثلاثون يومًا لنقص يوم في المصدر). الفعلي والموازنة بالّلتر من ملف Sales Analysis 2026. التقريب لأقرب 100 علبة لتسهيل التعبئة بالكراتين.</t>
        </is>
      </c>
    </row>
    <row r="23">
      <c r="B23" s="4" t="inlineStr">
        <is>
          <t>ملاحظة على الأساس</t>
        </is>
      </c>
    </row>
    <row r="24" ht="72" customHeight="1">
      <c r="B24" s="5" t="inlineStr">
        <is>
          <t>التوزيع بنسبة عدد العملاء وحده يمنح MK007 نحو 61٪ من الكمية لأنها الأكبر حركةً، مع أن إنجازها 93٪؛ بينما MK002 و MK019 — وفجوتهما معًا 1.82 مليون لتر شهريًا وإنجازهما 24٪ و29٪ — تأخذان 13٪ فقط. عمود «الأولوية» هنا يوازن ذلك تشغيليًا؛ ولو أُريد ترجيح الكمية بالأولوية لا بعدد العملاء فهو تغيير في قاعدة التوزيع يُقرَّر صراحةً.</t>
        </is>
      </c>
    </row>
  </sheetData>
  <mergeCells count="3">
    <mergeCell ref="B24:H24"/>
    <mergeCell ref="B21:H21"/>
    <mergeCell ref="E4:H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P1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6" customWidth="1" min="4" max="4"/>
    <col width="16" customWidth="1" min="5" max="5"/>
    <col width="18" customWidth="1" min="6" max="6"/>
    <col width="18" customWidth="1" min="7" max="7"/>
    <col width="18" customWidth="1" min="8" max="8"/>
    <col width="20" customWidth="1" min="9" max="9"/>
    <col width="24" customWidth="1" min="10" max="10"/>
    <col width="25" customWidth="1" min="11" max="11"/>
    <col width="20" customWidth="1" min="12" max="12"/>
    <col width="22" customWidth="1" min="13" max="13"/>
    <col width="20" customWidth="1" min="14" max="14"/>
    <col width="16" customWidth="1" min="15" max="15"/>
    <col width="30" customWidth="1" min="16" max="16"/>
  </cols>
  <sheetData>
    <row r="1" ht="28" customHeight="1">
      <c r="A1" s="12" t="inlineStr">
        <is>
          <t>م</t>
        </is>
      </c>
      <c r="B1" s="12" t="inlineStr">
        <is>
          <t>كود المحطة</t>
        </is>
      </c>
      <c r="C1" s="12" t="inlineStr">
        <is>
          <t>اسم المحطة</t>
        </is>
      </c>
      <c r="D1" s="12" t="inlineStr">
        <is>
          <t>المدينة</t>
        </is>
      </c>
      <c r="E1" s="12" t="inlineStr">
        <is>
          <t>المنطقة</t>
        </is>
      </c>
      <c r="F1" s="12" t="inlineStr">
        <is>
          <t>المبيعات قبل الحملة (لتر)</t>
        </is>
      </c>
      <c r="G1" s="12" t="inlineStr">
        <is>
          <t>المستهدف الشهري (لتر)</t>
        </is>
      </c>
      <c r="H1" s="12" t="inlineStr">
        <is>
          <t>الفارق عن المستهدف</t>
        </is>
      </c>
      <c r="I1" s="12" t="inlineStr">
        <is>
          <t>تصنيف المبيعات</t>
        </is>
      </c>
      <c r="J1" s="12" t="inlineStr">
        <is>
          <t>الأولوية</t>
        </is>
      </c>
      <c r="K1" s="12" t="inlineStr">
        <is>
          <t>الهدف من الحملة</t>
        </is>
      </c>
      <c r="L1" s="12" t="inlineStr">
        <is>
          <t>كمية المناديل المخططة</t>
        </is>
      </c>
      <c r="M1" s="12" t="inlineStr">
        <is>
          <t>تاريخ التوزيع المخطط</t>
        </is>
      </c>
      <c r="N1" s="12" t="inlineStr">
        <is>
          <t>المسؤول</t>
        </is>
      </c>
      <c r="O1" s="12" t="inlineStr">
        <is>
          <t>الحالة</t>
        </is>
      </c>
      <c r="P1" s="12" t="inlineStr">
        <is>
          <t>ملاحظات</t>
        </is>
      </c>
    </row>
    <row r="2">
      <c r="A2" s="13" t="n">
        <v>1</v>
      </c>
      <c r="B2" s="24" t="inlineStr">
        <is>
          <t>MK002</t>
        </is>
      </c>
      <c r="C2" s="13" t="inlineStr">
        <is>
          <t>درب المعيصم</t>
        </is>
      </c>
      <c r="D2" s="24" t="inlineStr">
        <is>
          <t>مكة</t>
        </is>
      </c>
      <c r="E2" s="13" t="inlineStr">
        <is>
          <t>حي المعيصم</t>
        </is>
      </c>
      <c r="F2" s="25" t="n">
        <v>375727</v>
      </c>
      <c r="G2" s="25" t="n">
        <v>1568154</v>
      </c>
      <c r="H2" s="14">
        <f>IF(OR(F2="",G2=""),"",F2-G2)</f>
        <v/>
      </c>
      <c r="I2" s="13">
        <f>IF(F2="","",IF(F2&lt;G2*0.7,"منخفضة جدًا",IF(F2&lt;G2,"منخفضة","مقبولة")))</f>
        <v/>
      </c>
      <c r="J2" s="13" t="inlineStr">
        <is>
          <t>أولوية 1 - مرتفعة</t>
        </is>
      </c>
      <c r="K2" s="13" t="inlineStr">
        <is>
          <t>سدّ فجوة 1,192,427 لتر شهريًا — أكبر فجوة في الشبكة وأقل إنجاز</t>
        </is>
      </c>
      <c r="L2" s="25">
        <f>'أساس التوزيع'!I13</f>
        <v/>
      </c>
      <c r="M2" s="30" t="n">
        <v>46306</v>
      </c>
      <c r="N2" s="13" t="inlineStr">
        <is>
          <t>مدير المحطة</t>
        </is>
      </c>
      <c r="O2" s="24" t="inlineStr">
        <is>
          <t>لم تبدأ</t>
        </is>
      </c>
      <c r="P2" s="13" t="inlineStr">
        <is>
          <t>الإنجاز في يوليو 24٪ · الذروة 6م · الكمية بنسبة 18,107 عميل</t>
        </is>
      </c>
    </row>
    <row r="3">
      <c r="A3" s="13" t="n">
        <v>2</v>
      </c>
      <c r="B3" s="24" t="inlineStr">
        <is>
          <t>MK019</t>
        </is>
      </c>
      <c r="C3" s="13" t="inlineStr">
        <is>
          <t>درب عرفات الشرايع</t>
        </is>
      </c>
      <c r="D3" s="24" t="inlineStr">
        <is>
          <t>مكة</t>
        </is>
      </c>
      <c r="E3" s="13" t="inlineStr">
        <is>
          <t>حي الخضراء</t>
        </is>
      </c>
      <c r="F3" s="25" t="n">
        <v>250930</v>
      </c>
      <c r="G3" s="25" t="n">
        <v>875943</v>
      </c>
      <c r="H3" s="14">
        <f>IF(OR(F3="",G3=""),"",F3-G3)</f>
        <v/>
      </c>
      <c r="I3" s="13">
        <f>IF(F3="","",IF(F3&lt;G3*0.7,"منخفضة جدًا",IF(F3&lt;G3,"منخفضة","مقبولة")))</f>
        <v/>
      </c>
      <c r="J3" s="13" t="inlineStr">
        <is>
          <t>أولوية 1 - مرتفعة</t>
        </is>
      </c>
      <c r="K3" s="13" t="inlineStr">
        <is>
          <t>سدّ فجوة 625,013 لتر شهريًا — ثاني أقل إنجاز</t>
        </is>
      </c>
      <c r="L3" s="25">
        <f>'أساس التوزيع'!I14</f>
        <v/>
      </c>
      <c r="M3" s="30" t="n">
        <v>46306</v>
      </c>
      <c r="N3" s="13" t="inlineStr">
        <is>
          <t>مدير المحطة</t>
        </is>
      </c>
      <c r="O3" s="24" t="inlineStr">
        <is>
          <t>لم تبدأ</t>
        </is>
      </c>
      <c r="P3" s="13" t="inlineStr">
        <is>
          <t>الإنجاز في يوليو 29٪ · الذروة 9م · الكمية بنسبة 10,863 عميل</t>
        </is>
      </c>
    </row>
    <row r="4">
      <c r="A4" s="13" t="n">
        <v>3</v>
      </c>
      <c r="B4" s="24" t="inlineStr">
        <is>
          <t>MK023</t>
        </is>
      </c>
      <c r="C4" s="13" t="inlineStr">
        <is>
          <t>درب بن درويش</t>
        </is>
      </c>
      <c r="D4" s="24" t="inlineStr">
        <is>
          <t>مكة</t>
        </is>
      </c>
      <c r="E4" s="13" t="inlineStr">
        <is>
          <t>حي الخضراء</t>
        </is>
      </c>
      <c r="F4" s="25" t="n">
        <v>428657</v>
      </c>
      <c r="G4" s="25" t="n">
        <v>502777</v>
      </c>
      <c r="H4" s="14">
        <f>IF(OR(F4="",G4=""),"",F4-G4)</f>
        <v/>
      </c>
      <c r="I4" s="13">
        <f>IF(F4="","",IF(F4&lt;G4*0.7,"منخفضة جدًا",IF(F4&lt;G4,"منخفضة","مقبولة")))</f>
        <v/>
      </c>
      <c r="J4" s="13" t="inlineStr">
        <is>
          <t>أولوية 2 - متوسطة</t>
        </is>
      </c>
      <c r="K4" s="13" t="inlineStr">
        <is>
          <t>سدّ فجوة 74,120 لتر والعودة إلى تحقيق الموازنة</t>
        </is>
      </c>
      <c r="L4" s="25">
        <f>'أساس التوزيع'!I15</f>
        <v/>
      </c>
      <c r="M4" s="30" t="n">
        <v>46306</v>
      </c>
      <c r="N4" s="13" t="inlineStr">
        <is>
          <t>مدير المحطة</t>
        </is>
      </c>
      <c r="O4" s="24" t="inlineStr">
        <is>
          <t>لم تبدأ</t>
        </is>
      </c>
      <c r="P4" s="13" t="inlineStr">
        <is>
          <t>الإنجاز في يوليو 85٪ · الذروة 5م · الكمية بنسبة 21,575 عميل</t>
        </is>
      </c>
    </row>
    <row r="5">
      <c r="A5" s="13" t="n">
        <v>4</v>
      </c>
      <c r="B5" s="24" t="inlineStr">
        <is>
          <t>MK007</t>
        </is>
      </c>
      <c r="C5" s="13" t="inlineStr">
        <is>
          <t>درب العمرة النورية</t>
        </is>
      </c>
      <c r="D5" s="24" t="inlineStr">
        <is>
          <t>مكة</t>
        </is>
      </c>
      <c r="E5" s="13" t="inlineStr">
        <is>
          <t>حي العمرة الجديدة</t>
        </is>
      </c>
      <c r="F5" s="25" t="n">
        <v>4111763</v>
      </c>
      <c r="G5" s="25" t="n">
        <v>4438091</v>
      </c>
      <c r="H5" s="14">
        <f>IF(OR(F5="",G5=""),"",F5-G5)</f>
        <v/>
      </c>
      <c r="I5" s="13">
        <f>IF(F5="","",IF(F5&lt;G5*0.7,"منخفضة جدًا",IF(F5&lt;G5,"منخفضة","مقبولة")))</f>
        <v/>
      </c>
      <c r="J5" s="13" t="inlineStr">
        <is>
          <t>أولوية 2 - متوسطة</t>
        </is>
      </c>
      <c r="K5" s="13" t="inlineStr">
        <is>
          <t>سدّ فجوة 326,328 لتر — أكبر قاعدة عملاء، فأعلى وصول لكل علبة</t>
        </is>
      </c>
      <c r="L5" s="25">
        <f>'أساس التوزيع'!I16</f>
        <v/>
      </c>
      <c r="M5" s="30" t="n">
        <v>46306</v>
      </c>
      <c r="N5" s="13" t="inlineStr">
        <is>
          <t>مدير المحطة</t>
        </is>
      </c>
      <c r="O5" s="24" t="inlineStr">
        <is>
          <t>لم تبدأ</t>
        </is>
      </c>
      <c r="P5" s="13" t="inlineStr">
        <is>
          <t>الإنجاز في يوليو 93٪ · الذروة 5م · الكمية بنسبة 136,584 عميل</t>
        </is>
      </c>
    </row>
    <row r="6">
      <c r="A6" s="13" t="n">
        <v>5</v>
      </c>
      <c r="B6" s="24" t="inlineStr">
        <is>
          <t>MK017</t>
        </is>
      </c>
      <c r="C6" s="13" t="inlineStr">
        <is>
          <t>درب عرفات الشوقية</t>
        </is>
      </c>
      <c r="D6" s="24" t="inlineStr">
        <is>
          <t>مكة</t>
        </is>
      </c>
      <c r="E6" s="13" t="inlineStr">
        <is>
          <t>حي الشوقية</t>
        </is>
      </c>
      <c r="F6" s="25" t="n">
        <v>744369</v>
      </c>
      <c r="G6" s="25" t="n">
        <v>769484</v>
      </c>
      <c r="H6" s="14">
        <f>IF(OR(F6="",G6=""),"",F6-G6)</f>
        <v/>
      </c>
      <c r="I6" s="13">
        <f>IF(F6="","",IF(F6&lt;G6*0.7,"منخفضة جدًا",IF(F6&lt;G6,"منخفضة","مقبولة")))</f>
        <v/>
      </c>
      <c r="J6" s="13" t="inlineStr">
        <is>
          <t>أولوية 3 - منخفضة</t>
        </is>
      </c>
      <c r="K6" s="13" t="inlineStr">
        <is>
          <t>فوق الموازنة — الهدف حفاظ على العملاء ومنع تسرّبهم للمنافس</t>
        </is>
      </c>
      <c r="L6" s="25">
        <f>'أساس التوزيع'!I17</f>
        <v/>
      </c>
      <c r="M6" s="30" t="n">
        <v>46306</v>
      </c>
      <c r="N6" s="13" t="inlineStr">
        <is>
          <t>مدير المحطة</t>
        </is>
      </c>
      <c r="O6" s="24" t="inlineStr">
        <is>
          <t>لم تبدأ</t>
        </is>
      </c>
      <c r="P6" s="13" t="inlineStr">
        <is>
          <t>الإنجاز في يوليو 97٪ · الذروة 10م · الكمية بنسبة 35,640 عميل</t>
        </is>
      </c>
    </row>
    <row r="7">
      <c r="A7" s="13" t="n">
        <v>6</v>
      </c>
      <c r="B7" s="13" t="n"/>
      <c r="C7" s="13" t="n"/>
      <c r="D7" s="13" t="n"/>
      <c r="E7" s="13" t="n"/>
      <c r="F7" s="14" t="n"/>
      <c r="G7" s="14" t="n"/>
      <c r="H7" s="14">
        <f>IF(OR(F7="",G7=""),"",F7-G7)</f>
        <v/>
      </c>
      <c r="I7" s="13">
        <f>IF(F7="","",IF(F7&lt;G7*0.7,"منخفضة جدًا",IF(F7&lt;G7,"منخفضة","مقبولة")))</f>
        <v/>
      </c>
      <c r="J7" s="13" t="n"/>
      <c r="K7" s="13" t="n"/>
      <c r="L7" s="14" t="n"/>
      <c r="M7" s="31" t="n"/>
      <c r="N7" s="13" t="n"/>
      <c r="O7" s="13" t="n"/>
      <c r="P7" s="13" t="n"/>
    </row>
    <row r="8">
      <c r="A8" s="13" t="n">
        <v>7</v>
      </c>
      <c r="B8" s="13" t="n"/>
      <c r="C8" s="13" t="n"/>
      <c r="D8" s="13" t="n"/>
      <c r="E8" s="13" t="n"/>
      <c r="F8" s="14" t="n"/>
      <c r="G8" s="14" t="n"/>
      <c r="H8" s="14">
        <f>IF(OR(F8="",G8=""),"",F8-G8)</f>
        <v/>
      </c>
      <c r="I8" s="13">
        <f>IF(F8="","",IF(F8&lt;G8*0.7,"منخفضة جدًا",IF(F8&lt;G8,"منخفضة","مقبولة")))</f>
        <v/>
      </c>
      <c r="J8" s="13" t="n"/>
      <c r="K8" s="13" t="n"/>
      <c r="L8" s="14" t="n"/>
      <c r="M8" s="31" t="n"/>
      <c r="N8" s="13" t="n"/>
      <c r="O8" s="13" t="n"/>
      <c r="P8" s="13" t="n"/>
    </row>
    <row r="9">
      <c r="A9" s="13" t="n">
        <v>8</v>
      </c>
      <c r="B9" s="13" t="n"/>
      <c r="C9" s="13" t="n"/>
      <c r="D9" s="13" t="n"/>
      <c r="E9" s="13" t="n"/>
      <c r="F9" s="14" t="n"/>
      <c r="G9" s="14" t="n"/>
      <c r="H9" s="14">
        <f>IF(OR(F9="",G9=""),"",F9-G9)</f>
        <v/>
      </c>
      <c r="I9" s="13">
        <f>IF(F9="","",IF(F9&lt;G9*0.7,"منخفضة جدًا",IF(F9&lt;G9,"منخفضة","مقبولة")))</f>
        <v/>
      </c>
      <c r="J9" s="13" t="n"/>
      <c r="K9" s="13" t="n"/>
      <c r="L9" s="14" t="n"/>
      <c r="M9" s="31" t="n"/>
      <c r="N9" s="13" t="n"/>
      <c r="O9" s="13" t="n"/>
      <c r="P9" s="13" t="n"/>
    </row>
    <row r="10">
      <c r="A10" s="13" t="n">
        <v>9</v>
      </c>
      <c r="B10" s="13" t="n"/>
      <c r="C10" s="13" t="n"/>
      <c r="D10" s="13" t="n"/>
      <c r="E10" s="13" t="n"/>
      <c r="F10" s="14" t="n"/>
      <c r="G10" s="14" t="n"/>
      <c r="H10" s="14">
        <f>IF(OR(F10="",G10=""),"",F10-G10)</f>
        <v/>
      </c>
      <c r="I10" s="13">
        <f>IF(F10="","",IF(F10&lt;G10*0.7,"منخفضة جدًا",IF(F10&lt;G10,"منخفضة","مقبولة")))</f>
        <v/>
      </c>
      <c r="J10" s="13" t="n"/>
      <c r="K10" s="13" t="n"/>
      <c r="L10" s="14" t="n"/>
      <c r="M10" s="31" t="n"/>
      <c r="N10" s="13" t="n"/>
      <c r="O10" s="13" t="n"/>
      <c r="P10" s="13" t="n"/>
    </row>
    <row r="11">
      <c r="A11" s="13" t="n">
        <v>10</v>
      </c>
      <c r="B11" s="13" t="n"/>
      <c r="C11" s="13" t="n"/>
      <c r="D11" s="13" t="n"/>
      <c r="E11" s="13" t="n"/>
      <c r="F11" s="14" t="n"/>
      <c r="G11" s="14" t="n"/>
      <c r="H11" s="14">
        <f>IF(OR(F11="",G11=""),"",F11-G11)</f>
        <v/>
      </c>
      <c r="I11" s="13">
        <f>IF(F11="","",IF(F11&lt;G11*0.7,"منخفضة جدًا",IF(F11&lt;G11,"منخفضة","مقبولة")))</f>
        <v/>
      </c>
      <c r="J11" s="13" t="n"/>
      <c r="K11" s="13" t="n"/>
      <c r="L11" s="14" t="n"/>
      <c r="M11" s="31" t="n"/>
      <c r="N11" s="13" t="n"/>
      <c r="O11" s="13" t="n"/>
      <c r="P11" s="13" t="n"/>
    </row>
    <row r="12">
      <c r="A12" s="13" t="n">
        <v>11</v>
      </c>
      <c r="B12" s="13" t="n"/>
      <c r="C12" s="13" t="n"/>
      <c r="D12" s="13" t="n"/>
      <c r="E12" s="13" t="n"/>
      <c r="F12" s="14" t="n"/>
      <c r="G12" s="14" t="n"/>
      <c r="H12" s="14">
        <f>IF(OR(F12="",G12=""),"",F12-G12)</f>
        <v/>
      </c>
      <c r="I12" s="13">
        <f>IF(F12="","",IF(F12&lt;G12*0.7,"منخفضة جدًا",IF(F12&lt;G12,"منخفضة","مقبولة")))</f>
        <v/>
      </c>
      <c r="J12" s="13" t="n"/>
      <c r="K12" s="13" t="n"/>
      <c r="L12" s="14" t="n"/>
      <c r="M12" s="31" t="n"/>
      <c r="N12" s="13" t="n"/>
      <c r="O12" s="13" t="n"/>
      <c r="P12" s="13" t="n"/>
    </row>
    <row r="13">
      <c r="A13" s="13" t="n">
        <v>12</v>
      </c>
      <c r="B13" s="13" t="n"/>
      <c r="C13" s="13" t="n"/>
      <c r="D13" s="13" t="n"/>
      <c r="E13" s="13" t="n"/>
      <c r="F13" s="14" t="n"/>
      <c r="G13" s="14" t="n"/>
      <c r="H13" s="14">
        <f>IF(OR(F13="",G13=""),"",F13-G13)</f>
        <v/>
      </c>
      <c r="I13" s="13">
        <f>IF(F13="","",IF(F13&lt;G13*0.7,"منخفضة جدًا",IF(F13&lt;G13,"منخفضة","مقبولة")))</f>
        <v/>
      </c>
      <c r="J13" s="13" t="n"/>
      <c r="K13" s="13" t="n"/>
      <c r="L13" s="14" t="n"/>
      <c r="M13" s="31" t="n"/>
      <c r="N13" s="13" t="n"/>
      <c r="O13" s="13" t="n"/>
      <c r="P13" s="13" t="n"/>
    </row>
    <row r="14">
      <c r="A14" s="13" t="n">
        <v>13</v>
      </c>
      <c r="B14" s="13" t="n"/>
      <c r="C14" s="13" t="n"/>
      <c r="D14" s="13" t="n"/>
      <c r="E14" s="13" t="n"/>
      <c r="F14" s="14" t="n"/>
      <c r="G14" s="14" t="n"/>
      <c r="H14" s="14">
        <f>IF(OR(F14="",G14=""),"",F14-G14)</f>
        <v/>
      </c>
      <c r="I14" s="13">
        <f>IF(F14="","",IF(F14&lt;G14*0.7,"منخفضة جدًا",IF(F14&lt;G14,"منخفضة","مقبولة")))</f>
        <v/>
      </c>
      <c r="J14" s="13" t="n"/>
      <c r="K14" s="13" t="n"/>
      <c r="L14" s="14" t="n"/>
      <c r="M14" s="31" t="n"/>
      <c r="N14" s="13" t="n"/>
      <c r="O14" s="13" t="n"/>
      <c r="P14" s="13" t="n"/>
    </row>
    <row r="15">
      <c r="A15" s="13" t="n">
        <v>14</v>
      </c>
      <c r="B15" s="13" t="n"/>
      <c r="C15" s="13" t="n"/>
      <c r="D15" s="13" t="n"/>
      <c r="E15" s="13" t="n"/>
      <c r="F15" s="14" t="n"/>
      <c r="G15" s="14" t="n"/>
      <c r="H15" s="14">
        <f>IF(OR(F15="",G15=""),"",F15-G15)</f>
        <v/>
      </c>
      <c r="I15" s="13">
        <f>IF(F15="","",IF(F15&lt;G15*0.7,"منخفضة جدًا",IF(F15&lt;G15,"منخفضة","مقبولة")))</f>
        <v/>
      </c>
      <c r="J15" s="13" t="n"/>
      <c r="K15" s="13" t="n"/>
      <c r="L15" s="14" t="n"/>
      <c r="M15" s="31" t="n"/>
      <c r="N15" s="13" t="n"/>
      <c r="O15" s="13" t="n"/>
      <c r="P15" s="13" t="n"/>
    </row>
    <row r="16">
      <c r="A16" s="13" t="n">
        <v>15</v>
      </c>
      <c r="B16" s="13" t="n"/>
      <c r="C16" s="13" t="n"/>
      <c r="D16" s="13" t="n"/>
      <c r="E16" s="13" t="n"/>
      <c r="F16" s="14" t="n"/>
      <c r="G16" s="14" t="n"/>
      <c r="H16" s="14">
        <f>IF(OR(F16="",G16=""),"",F16-G16)</f>
        <v/>
      </c>
      <c r="I16" s="13">
        <f>IF(F16="","",IF(F16&lt;G16*0.7,"منخفضة جدًا",IF(F16&lt;G16,"منخفضة","مقبولة")))</f>
        <v/>
      </c>
      <c r="J16" s="13" t="n"/>
      <c r="K16" s="13" t="n"/>
      <c r="L16" s="14" t="n"/>
      <c r="M16" s="31" t="n"/>
      <c r="N16" s="13" t="n"/>
      <c r="O16" s="13" t="n"/>
      <c r="P16" s="13" t="n"/>
    </row>
    <row r="17">
      <c r="A17" s="13" t="n">
        <v>16</v>
      </c>
      <c r="B17" s="13" t="n"/>
      <c r="C17" s="13" t="n"/>
      <c r="D17" s="13" t="n"/>
      <c r="E17" s="13" t="n"/>
      <c r="F17" s="14" t="n"/>
      <c r="G17" s="14" t="n"/>
      <c r="H17" s="14">
        <f>IF(OR(F17="",G17=""),"",F17-G17)</f>
        <v/>
      </c>
      <c r="I17" s="13">
        <f>IF(F17="","",IF(F17&lt;G17*0.7,"منخفضة جدًا",IF(F17&lt;G17,"منخفضة","مقبولة")))</f>
        <v/>
      </c>
      <c r="J17" s="13" t="n"/>
      <c r="K17" s="13" t="n"/>
      <c r="L17" s="14" t="n"/>
      <c r="M17" s="31" t="n"/>
      <c r="N17" s="13" t="n"/>
      <c r="O17" s="13" t="n"/>
      <c r="P17" s="13" t="n"/>
    </row>
    <row r="18">
      <c r="A18" s="13" t="n">
        <v>17</v>
      </c>
      <c r="B18" s="13" t="n"/>
      <c r="C18" s="13" t="n"/>
      <c r="D18" s="13" t="n"/>
      <c r="E18" s="13" t="n"/>
      <c r="F18" s="14" t="n"/>
      <c r="G18" s="14" t="n"/>
      <c r="H18" s="14">
        <f>IF(OR(F18="",G18=""),"",F18-G18)</f>
        <v/>
      </c>
      <c r="I18" s="13">
        <f>IF(F18="","",IF(F18&lt;G18*0.7,"منخفضة جدًا",IF(F18&lt;G18,"منخفضة","مقبولة")))</f>
        <v/>
      </c>
      <c r="J18" s="13" t="n"/>
      <c r="K18" s="13" t="n"/>
      <c r="L18" s="14" t="n"/>
      <c r="M18" s="31" t="n"/>
      <c r="N18" s="13" t="n"/>
      <c r="O18" s="13" t="n"/>
      <c r="P18" s="13" t="n"/>
    </row>
    <row r="19">
      <c r="A19" s="13" t="n">
        <v>18</v>
      </c>
      <c r="B19" s="13" t="n"/>
      <c r="C19" s="13" t="n"/>
      <c r="D19" s="13" t="n"/>
      <c r="E19" s="13" t="n"/>
      <c r="F19" s="14" t="n"/>
      <c r="G19" s="14" t="n"/>
      <c r="H19" s="14">
        <f>IF(OR(F19="",G19=""),"",F19-G19)</f>
        <v/>
      </c>
      <c r="I19" s="13">
        <f>IF(F19="","",IF(F19&lt;G19*0.7,"منخفضة جدًا",IF(F19&lt;G19,"منخفضة","مقبولة")))</f>
        <v/>
      </c>
      <c r="J19" s="13" t="n"/>
      <c r="K19" s="13" t="n"/>
      <c r="L19" s="14" t="n"/>
      <c r="M19" s="31" t="n"/>
      <c r="N19" s="13" t="n"/>
      <c r="O19" s="13" t="n"/>
      <c r="P19" s="13" t="n"/>
    </row>
    <row r="20">
      <c r="A20" s="13" t="n">
        <v>19</v>
      </c>
      <c r="B20" s="13" t="n"/>
      <c r="C20" s="13" t="n"/>
      <c r="D20" s="13" t="n"/>
      <c r="E20" s="13" t="n"/>
      <c r="F20" s="14" t="n"/>
      <c r="G20" s="14" t="n"/>
      <c r="H20" s="14">
        <f>IF(OR(F20="",G20=""),"",F20-G20)</f>
        <v/>
      </c>
      <c r="I20" s="13">
        <f>IF(F20="","",IF(F20&lt;G20*0.7,"منخفضة جدًا",IF(F20&lt;G20,"منخفضة","مقبولة")))</f>
        <v/>
      </c>
      <c r="J20" s="13" t="n"/>
      <c r="K20" s="13" t="n"/>
      <c r="L20" s="14" t="n"/>
      <c r="M20" s="31" t="n"/>
      <c r="N20" s="13" t="n"/>
      <c r="O20" s="13" t="n"/>
      <c r="P20" s="13" t="n"/>
    </row>
    <row r="21">
      <c r="A21" s="13" t="n">
        <v>20</v>
      </c>
      <c r="B21" s="13" t="n"/>
      <c r="C21" s="13" t="n"/>
      <c r="D21" s="13" t="n"/>
      <c r="E21" s="13" t="n"/>
      <c r="F21" s="14" t="n"/>
      <c r="G21" s="14" t="n"/>
      <c r="H21" s="14">
        <f>IF(OR(F21="",G21=""),"",F21-G21)</f>
        <v/>
      </c>
      <c r="I21" s="13">
        <f>IF(F21="","",IF(F21&lt;G21*0.7,"منخفضة جدًا",IF(F21&lt;G21,"منخفضة","مقبولة")))</f>
        <v/>
      </c>
      <c r="J21" s="13" t="n"/>
      <c r="K21" s="13" t="n"/>
      <c r="L21" s="14" t="n"/>
      <c r="M21" s="31" t="n"/>
      <c r="N21" s="13" t="n"/>
      <c r="O21" s="13" t="n"/>
      <c r="P21" s="13" t="n"/>
    </row>
    <row r="22">
      <c r="A22" s="13" t="n">
        <v>21</v>
      </c>
      <c r="B22" s="13" t="n"/>
      <c r="C22" s="13" t="n"/>
      <c r="D22" s="13" t="n"/>
      <c r="E22" s="13" t="n"/>
      <c r="F22" s="14" t="n"/>
      <c r="G22" s="14" t="n"/>
      <c r="H22" s="14">
        <f>IF(OR(F22="",G22=""),"",F22-G22)</f>
        <v/>
      </c>
      <c r="I22" s="13">
        <f>IF(F22="","",IF(F22&lt;G22*0.7,"منخفضة جدًا",IF(F22&lt;G22,"منخفضة","مقبولة")))</f>
        <v/>
      </c>
      <c r="J22" s="13" t="n"/>
      <c r="K22" s="13" t="n"/>
      <c r="L22" s="14" t="n"/>
      <c r="M22" s="31" t="n"/>
      <c r="N22" s="13" t="n"/>
      <c r="O22" s="13" t="n"/>
      <c r="P22" s="13" t="n"/>
    </row>
    <row r="23">
      <c r="A23" s="13" t="n">
        <v>22</v>
      </c>
      <c r="B23" s="13" t="n"/>
      <c r="C23" s="13" t="n"/>
      <c r="D23" s="13" t="n"/>
      <c r="E23" s="13" t="n"/>
      <c r="F23" s="14" t="n"/>
      <c r="G23" s="14" t="n"/>
      <c r="H23" s="14">
        <f>IF(OR(F23="",G23=""),"",F23-G23)</f>
        <v/>
      </c>
      <c r="I23" s="13">
        <f>IF(F23="","",IF(F23&lt;G23*0.7,"منخفضة جدًا",IF(F23&lt;G23,"منخفضة","مقبولة")))</f>
        <v/>
      </c>
      <c r="J23" s="13" t="n"/>
      <c r="K23" s="13" t="n"/>
      <c r="L23" s="14" t="n"/>
      <c r="M23" s="31" t="n"/>
      <c r="N23" s="13" t="n"/>
      <c r="O23" s="13" t="n"/>
      <c r="P23" s="13" t="n"/>
    </row>
    <row r="24">
      <c r="A24" s="13" t="n">
        <v>23</v>
      </c>
      <c r="B24" s="13" t="n"/>
      <c r="C24" s="13" t="n"/>
      <c r="D24" s="13" t="n"/>
      <c r="E24" s="13" t="n"/>
      <c r="F24" s="14" t="n"/>
      <c r="G24" s="14" t="n"/>
      <c r="H24" s="14">
        <f>IF(OR(F24="",G24=""),"",F24-G24)</f>
        <v/>
      </c>
      <c r="I24" s="13">
        <f>IF(F24="","",IF(F24&lt;G24*0.7,"منخفضة جدًا",IF(F24&lt;G24,"منخفضة","مقبولة")))</f>
        <v/>
      </c>
      <c r="J24" s="13" t="n"/>
      <c r="K24" s="13" t="n"/>
      <c r="L24" s="14" t="n"/>
      <c r="M24" s="31" t="n"/>
      <c r="N24" s="13" t="n"/>
      <c r="O24" s="13" t="n"/>
      <c r="P24" s="13" t="n"/>
    </row>
    <row r="25">
      <c r="A25" s="13" t="n">
        <v>24</v>
      </c>
      <c r="B25" s="13" t="n"/>
      <c r="C25" s="13" t="n"/>
      <c r="D25" s="13" t="n"/>
      <c r="E25" s="13" t="n"/>
      <c r="F25" s="14" t="n"/>
      <c r="G25" s="14" t="n"/>
      <c r="H25" s="14">
        <f>IF(OR(F25="",G25=""),"",F25-G25)</f>
        <v/>
      </c>
      <c r="I25" s="13">
        <f>IF(F25="","",IF(F25&lt;G25*0.7,"منخفضة جدًا",IF(F25&lt;G25,"منخفضة","مقبولة")))</f>
        <v/>
      </c>
      <c r="J25" s="13" t="n"/>
      <c r="K25" s="13" t="n"/>
      <c r="L25" s="14" t="n"/>
      <c r="M25" s="31" t="n"/>
      <c r="N25" s="13" t="n"/>
      <c r="O25" s="13" t="n"/>
      <c r="P25" s="13" t="n"/>
    </row>
    <row r="26">
      <c r="A26" s="13" t="n">
        <v>25</v>
      </c>
      <c r="B26" s="13" t="n"/>
      <c r="C26" s="13" t="n"/>
      <c r="D26" s="13" t="n"/>
      <c r="E26" s="13" t="n"/>
      <c r="F26" s="14" t="n"/>
      <c r="G26" s="14" t="n"/>
      <c r="H26" s="14">
        <f>IF(OR(F26="",G26=""),"",F26-G26)</f>
        <v/>
      </c>
      <c r="I26" s="13">
        <f>IF(F26="","",IF(F26&lt;G26*0.7,"منخفضة جدًا",IF(F26&lt;G26,"منخفضة","مقبولة")))</f>
        <v/>
      </c>
      <c r="J26" s="13" t="n"/>
      <c r="K26" s="13" t="n"/>
      <c r="L26" s="14" t="n"/>
      <c r="M26" s="31" t="n"/>
      <c r="N26" s="13" t="n"/>
      <c r="O26" s="13" t="n"/>
      <c r="P26" s="13" t="n"/>
    </row>
    <row r="27">
      <c r="A27" s="13" t="n">
        <v>26</v>
      </c>
      <c r="B27" s="13" t="n"/>
      <c r="C27" s="13" t="n"/>
      <c r="D27" s="13" t="n"/>
      <c r="E27" s="13" t="n"/>
      <c r="F27" s="14" t="n"/>
      <c r="G27" s="14" t="n"/>
      <c r="H27" s="14">
        <f>IF(OR(F27="",G27=""),"",F27-G27)</f>
        <v/>
      </c>
      <c r="I27" s="13">
        <f>IF(F27="","",IF(F27&lt;G27*0.7,"منخفضة جدًا",IF(F27&lt;G27,"منخفضة","مقبولة")))</f>
        <v/>
      </c>
      <c r="J27" s="13" t="n"/>
      <c r="K27" s="13" t="n"/>
      <c r="L27" s="14" t="n"/>
      <c r="M27" s="31" t="n"/>
      <c r="N27" s="13" t="n"/>
      <c r="O27" s="13" t="n"/>
      <c r="P27" s="13" t="n"/>
    </row>
    <row r="28">
      <c r="A28" s="13" t="n">
        <v>27</v>
      </c>
      <c r="B28" s="13" t="n"/>
      <c r="C28" s="13" t="n"/>
      <c r="D28" s="13" t="n"/>
      <c r="E28" s="13" t="n"/>
      <c r="F28" s="14" t="n"/>
      <c r="G28" s="14" t="n"/>
      <c r="H28" s="14">
        <f>IF(OR(F28="",G28=""),"",F28-G28)</f>
        <v/>
      </c>
      <c r="I28" s="13">
        <f>IF(F28="","",IF(F28&lt;G28*0.7,"منخفضة جدًا",IF(F28&lt;G28,"منخفضة","مقبولة")))</f>
        <v/>
      </c>
      <c r="J28" s="13" t="n"/>
      <c r="K28" s="13" t="n"/>
      <c r="L28" s="14" t="n"/>
      <c r="M28" s="31" t="n"/>
      <c r="N28" s="13" t="n"/>
      <c r="O28" s="13" t="n"/>
      <c r="P28" s="13" t="n"/>
    </row>
    <row r="29">
      <c r="A29" s="13" t="n">
        <v>28</v>
      </c>
      <c r="B29" s="13" t="n"/>
      <c r="C29" s="13" t="n"/>
      <c r="D29" s="13" t="n"/>
      <c r="E29" s="13" t="n"/>
      <c r="F29" s="14" t="n"/>
      <c r="G29" s="14" t="n"/>
      <c r="H29" s="14">
        <f>IF(OR(F29="",G29=""),"",F29-G29)</f>
        <v/>
      </c>
      <c r="I29" s="13">
        <f>IF(F29="","",IF(F29&lt;G29*0.7,"منخفضة جدًا",IF(F29&lt;G29,"منخفضة","مقبولة")))</f>
        <v/>
      </c>
      <c r="J29" s="13" t="n"/>
      <c r="K29" s="13" t="n"/>
      <c r="L29" s="14" t="n"/>
      <c r="M29" s="31" t="n"/>
      <c r="N29" s="13" t="n"/>
      <c r="O29" s="13" t="n"/>
      <c r="P29" s="13" t="n"/>
    </row>
    <row r="30">
      <c r="A30" s="13" t="n">
        <v>29</v>
      </c>
      <c r="B30" s="13" t="n"/>
      <c r="C30" s="13" t="n"/>
      <c r="D30" s="13" t="n"/>
      <c r="E30" s="13" t="n"/>
      <c r="F30" s="14" t="n"/>
      <c r="G30" s="14" t="n"/>
      <c r="H30" s="14">
        <f>IF(OR(F30="",G30=""),"",F30-G30)</f>
        <v/>
      </c>
      <c r="I30" s="13">
        <f>IF(F30="","",IF(F30&lt;G30*0.7,"منخفضة جدًا",IF(F30&lt;G30,"منخفضة","مقبولة")))</f>
        <v/>
      </c>
      <c r="J30" s="13" t="n"/>
      <c r="K30" s="13" t="n"/>
      <c r="L30" s="14" t="n"/>
      <c r="M30" s="31" t="n"/>
      <c r="N30" s="13" t="n"/>
      <c r="O30" s="13" t="n"/>
      <c r="P30" s="13" t="n"/>
    </row>
    <row r="31">
      <c r="A31" s="13" t="n">
        <v>30</v>
      </c>
      <c r="B31" s="13" t="n"/>
      <c r="C31" s="13" t="n"/>
      <c r="D31" s="13" t="n"/>
      <c r="E31" s="13" t="n"/>
      <c r="F31" s="14" t="n"/>
      <c r="G31" s="14" t="n"/>
      <c r="H31" s="14">
        <f>IF(OR(F31="",G31=""),"",F31-G31)</f>
        <v/>
      </c>
      <c r="I31" s="13">
        <f>IF(F31="","",IF(F31&lt;G31*0.7,"منخفضة جدًا",IF(F31&lt;G31,"منخفضة","مقبولة")))</f>
        <v/>
      </c>
      <c r="J31" s="13" t="n"/>
      <c r="K31" s="13" t="n"/>
      <c r="L31" s="14" t="n"/>
      <c r="M31" s="31" t="n"/>
      <c r="N31" s="13" t="n"/>
      <c r="O31" s="13" t="n"/>
      <c r="P31" s="13" t="n"/>
    </row>
    <row r="32">
      <c r="A32" s="13" t="n">
        <v>31</v>
      </c>
      <c r="B32" s="13" t="n"/>
      <c r="C32" s="13" t="n"/>
      <c r="D32" s="13" t="n"/>
      <c r="E32" s="13" t="n"/>
      <c r="F32" s="14" t="n"/>
      <c r="G32" s="14" t="n"/>
      <c r="H32" s="14">
        <f>IF(OR(F32="",G32=""),"",F32-G32)</f>
        <v/>
      </c>
      <c r="I32" s="13">
        <f>IF(F32="","",IF(F32&lt;G32*0.7,"منخفضة جدًا",IF(F32&lt;G32,"منخفضة","مقبولة")))</f>
        <v/>
      </c>
      <c r="J32" s="13" t="n"/>
      <c r="K32" s="13" t="n"/>
      <c r="L32" s="14" t="n"/>
      <c r="M32" s="31" t="n"/>
      <c r="N32" s="13" t="n"/>
      <c r="O32" s="13" t="n"/>
      <c r="P32" s="13" t="n"/>
    </row>
    <row r="33">
      <c r="A33" s="13" t="n">
        <v>32</v>
      </c>
      <c r="B33" s="13" t="n"/>
      <c r="C33" s="13" t="n"/>
      <c r="D33" s="13" t="n"/>
      <c r="E33" s="13" t="n"/>
      <c r="F33" s="14" t="n"/>
      <c r="G33" s="14" t="n"/>
      <c r="H33" s="14">
        <f>IF(OR(F33="",G33=""),"",F33-G33)</f>
        <v/>
      </c>
      <c r="I33" s="13">
        <f>IF(F33="","",IF(F33&lt;G33*0.7,"منخفضة جدًا",IF(F33&lt;G33,"منخفضة","مقبولة")))</f>
        <v/>
      </c>
      <c r="J33" s="13" t="n"/>
      <c r="K33" s="13" t="n"/>
      <c r="L33" s="14" t="n"/>
      <c r="M33" s="31" t="n"/>
      <c r="N33" s="13" t="n"/>
      <c r="O33" s="13" t="n"/>
      <c r="P33" s="13" t="n"/>
    </row>
    <row r="34">
      <c r="A34" s="13" t="n">
        <v>33</v>
      </c>
      <c r="B34" s="13" t="n"/>
      <c r="C34" s="13" t="n"/>
      <c r="D34" s="13" t="n"/>
      <c r="E34" s="13" t="n"/>
      <c r="F34" s="14" t="n"/>
      <c r="G34" s="14" t="n"/>
      <c r="H34" s="14">
        <f>IF(OR(F34="",G34=""),"",F34-G34)</f>
        <v/>
      </c>
      <c r="I34" s="13">
        <f>IF(F34="","",IF(F34&lt;G34*0.7,"منخفضة جدًا",IF(F34&lt;G34,"منخفضة","مقبولة")))</f>
        <v/>
      </c>
      <c r="J34" s="13" t="n"/>
      <c r="K34" s="13" t="n"/>
      <c r="L34" s="14" t="n"/>
      <c r="M34" s="31" t="n"/>
      <c r="N34" s="13" t="n"/>
      <c r="O34" s="13" t="n"/>
      <c r="P34" s="13" t="n"/>
    </row>
    <row r="35">
      <c r="A35" s="13" t="n">
        <v>34</v>
      </c>
      <c r="B35" s="13" t="n"/>
      <c r="C35" s="13" t="n"/>
      <c r="D35" s="13" t="n"/>
      <c r="E35" s="13" t="n"/>
      <c r="F35" s="14" t="n"/>
      <c r="G35" s="14" t="n"/>
      <c r="H35" s="14">
        <f>IF(OR(F35="",G35=""),"",F35-G35)</f>
        <v/>
      </c>
      <c r="I35" s="13">
        <f>IF(F35="","",IF(F35&lt;G35*0.7,"منخفضة جدًا",IF(F35&lt;G35,"منخفضة","مقبولة")))</f>
        <v/>
      </c>
      <c r="J35" s="13" t="n"/>
      <c r="K35" s="13" t="n"/>
      <c r="L35" s="14" t="n"/>
      <c r="M35" s="31" t="n"/>
      <c r="N35" s="13" t="n"/>
      <c r="O35" s="13" t="n"/>
      <c r="P35" s="13" t="n"/>
    </row>
    <row r="36">
      <c r="A36" s="13" t="n">
        <v>35</v>
      </c>
      <c r="B36" s="13" t="n"/>
      <c r="C36" s="13" t="n"/>
      <c r="D36" s="13" t="n"/>
      <c r="E36" s="13" t="n"/>
      <c r="F36" s="14" t="n"/>
      <c r="G36" s="14" t="n"/>
      <c r="H36" s="14">
        <f>IF(OR(F36="",G36=""),"",F36-G36)</f>
        <v/>
      </c>
      <c r="I36" s="13">
        <f>IF(F36="","",IF(F36&lt;G36*0.7,"منخفضة جدًا",IF(F36&lt;G36,"منخفضة","مقبولة")))</f>
        <v/>
      </c>
      <c r="J36" s="13" t="n"/>
      <c r="K36" s="13" t="n"/>
      <c r="L36" s="14" t="n"/>
      <c r="M36" s="31" t="n"/>
      <c r="N36" s="13" t="n"/>
      <c r="O36" s="13" t="n"/>
      <c r="P36" s="13" t="n"/>
    </row>
    <row r="37">
      <c r="A37" s="13" t="n">
        <v>36</v>
      </c>
      <c r="B37" s="13" t="n"/>
      <c r="C37" s="13" t="n"/>
      <c r="D37" s="13" t="n"/>
      <c r="E37" s="13" t="n"/>
      <c r="F37" s="14" t="n"/>
      <c r="G37" s="14" t="n"/>
      <c r="H37" s="14">
        <f>IF(OR(F37="",G37=""),"",F37-G37)</f>
        <v/>
      </c>
      <c r="I37" s="13">
        <f>IF(F37="","",IF(F37&lt;G37*0.7,"منخفضة جدًا",IF(F37&lt;G37,"منخفضة","مقبولة")))</f>
        <v/>
      </c>
      <c r="J37" s="13" t="n"/>
      <c r="K37" s="13" t="n"/>
      <c r="L37" s="14" t="n"/>
      <c r="M37" s="31" t="n"/>
      <c r="N37" s="13" t="n"/>
      <c r="O37" s="13" t="n"/>
      <c r="P37" s="13" t="n"/>
    </row>
    <row r="38">
      <c r="A38" s="13" t="n">
        <v>37</v>
      </c>
      <c r="B38" s="13" t="n"/>
      <c r="C38" s="13" t="n"/>
      <c r="D38" s="13" t="n"/>
      <c r="E38" s="13" t="n"/>
      <c r="F38" s="14" t="n"/>
      <c r="G38" s="14" t="n"/>
      <c r="H38" s="14">
        <f>IF(OR(F38="",G38=""),"",F38-G38)</f>
        <v/>
      </c>
      <c r="I38" s="13">
        <f>IF(F38="","",IF(F38&lt;G38*0.7,"منخفضة جدًا",IF(F38&lt;G38,"منخفضة","مقبولة")))</f>
        <v/>
      </c>
      <c r="J38" s="13" t="n"/>
      <c r="K38" s="13" t="n"/>
      <c r="L38" s="14" t="n"/>
      <c r="M38" s="31" t="n"/>
      <c r="N38" s="13" t="n"/>
      <c r="O38" s="13" t="n"/>
      <c r="P38" s="13" t="n"/>
    </row>
    <row r="39">
      <c r="A39" s="13" t="n">
        <v>38</v>
      </c>
      <c r="B39" s="13" t="n"/>
      <c r="C39" s="13" t="n"/>
      <c r="D39" s="13" t="n"/>
      <c r="E39" s="13" t="n"/>
      <c r="F39" s="14" t="n"/>
      <c r="G39" s="14" t="n"/>
      <c r="H39" s="14">
        <f>IF(OR(F39="",G39=""),"",F39-G39)</f>
        <v/>
      </c>
      <c r="I39" s="13">
        <f>IF(F39="","",IF(F39&lt;G39*0.7,"منخفضة جدًا",IF(F39&lt;G39,"منخفضة","مقبولة")))</f>
        <v/>
      </c>
      <c r="J39" s="13" t="n"/>
      <c r="K39" s="13" t="n"/>
      <c r="L39" s="14" t="n"/>
      <c r="M39" s="31" t="n"/>
      <c r="N39" s="13" t="n"/>
      <c r="O39" s="13" t="n"/>
      <c r="P39" s="13" t="n"/>
    </row>
    <row r="40">
      <c r="A40" s="13" t="n">
        <v>39</v>
      </c>
      <c r="B40" s="13" t="n"/>
      <c r="C40" s="13" t="n"/>
      <c r="D40" s="13" t="n"/>
      <c r="E40" s="13" t="n"/>
      <c r="F40" s="14" t="n"/>
      <c r="G40" s="14" t="n"/>
      <c r="H40" s="14">
        <f>IF(OR(F40="",G40=""),"",F40-G40)</f>
        <v/>
      </c>
      <c r="I40" s="13">
        <f>IF(F40="","",IF(F40&lt;G40*0.7,"منخفضة جدًا",IF(F40&lt;G40,"منخفضة","مقبولة")))</f>
        <v/>
      </c>
      <c r="J40" s="13" t="n"/>
      <c r="K40" s="13" t="n"/>
      <c r="L40" s="14" t="n"/>
      <c r="M40" s="31" t="n"/>
      <c r="N40" s="13" t="n"/>
      <c r="O40" s="13" t="n"/>
      <c r="P40" s="13" t="n"/>
    </row>
    <row r="41">
      <c r="A41" s="13" t="n">
        <v>40</v>
      </c>
      <c r="B41" s="13" t="n"/>
      <c r="C41" s="13" t="n"/>
      <c r="D41" s="13" t="n"/>
      <c r="E41" s="13" t="n"/>
      <c r="F41" s="14" t="n"/>
      <c r="G41" s="14" t="n"/>
      <c r="H41" s="14">
        <f>IF(OR(F41="",G41=""),"",F41-G41)</f>
        <v/>
      </c>
      <c r="I41" s="13">
        <f>IF(F41="","",IF(F41&lt;G41*0.7,"منخفضة جدًا",IF(F41&lt;G41,"منخفضة","مقبولة")))</f>
        <v/>
      </c>
      <c r="J41" s="13" t="n"/>
      <c r="K41" s="13" t="n"/>
      <c r="L41" s="14" t="n"/>
      <c r="M41" s="31" t="n"/>
      <c r="N41" s="13" t="n"/>
      <c r="O41" s="13" t="n"/>
      <c r="P41" s="13" t="n"/>
    </row>
    <row r="42">
      <c r="A42" s="13" t="n">
        <v>41</v>
      </c>
      <c r="B42" s="13" t="n"/>
      <c r="C42" s="13" t="n"/>
      <c r="D42" s="13" t="n"/>
      <c r="E42" s="13" t="n"/>
      <c r="F42" s="14" t="n"/>
      <c r="G42" s="14" t="n"/>
      <c r="H42" s="14">
        <f>IF(OR(F42="",G42=""),"",F42-G42)</f>
        <v/>
      </c>
      <c r="I42" s="13">
        <f>IF(F42="","",IF(F42&lt;G42*0.7,"منخفضة جدًا",IF(F42&lt;G42,"منخفضة","مقبولة")))</f>
        <v/>
      </c>
      <c r="J42" s="13" t="n"/>
      <c r="K42" s="13" t="n"/>
      <c r="L42" s="14" t="n"/>
      <c r="M42" s="31" t="n"/>
      <c r="N42" s="13" t="n"/>
      <c r="O42" s="13" t="n"/>
      <c r="P42" s="13" t="n"/>
    </row>
    <row r="43">
      <c r="A43" s="13" t="n">
        <v>42</v>
      </c>
      <c r="B43" s="13" t="n"/>
      <c r="C43" s="13" t="n"/>
      <c r="D43" s="13" t="n"/>
      <c r="E43" s="13" t="n"/>
      <c r="F43" s="14" t="n"/>
      <c r="G43" s="14" t="n"/>
      <c r="H43" s="14">
        <f>IF(OR(F43="",G43=""),"",F43-G43)</f>
        <v/>
      </c>
      <c r="I43" s="13">
        <f>IF(F43="","",IF(F43&lt;G43*0.7,"منخفضة جدًا",IF(F43&lt;G43,"منخفضة","مقبولة")))</f>
        <v/>
      </c>
      <c r="J43" s="13" t="n"/>
      <c r="K43" s="13" t="n"/>
      <c r="L43" s="14" t="n"/>
      <c r="M43" s="31" t="n"/>
      <c r="N43" s="13" t="n"/>
      <c r="O43" s="13" t="n"/>
      <c r="P43" s="13" t="n"/>
    </row>
    <row r="44">
      <c r="A44" s="13" t="n">
        <v>43</v>
      </c>
      <c r="B44" s="13" t="n"/>
      <c r="C44" s="13" t="n"/>
      <c r="D44" s="13" t="n"/>
      <c r="E44" s="13" t="n"/>
      <c r="F44" s="14" t="n"/>
      <c r="G44" s="14" t="n"/>
      <c r="H44" s="14">
        <f>IF(OR(F44="",G44=""),"",F44-G44)</f>
        <v/>
      </c>
      <c r="I44" s="13">
        <f>IF(F44="","",IF(F44&lt;G44*0.7,"منخفضة جدًا",IF(F44&lt;G44,"منخفضة","مقبولة")))</f>
        <v/>
      </c>
      <c r="J44" s="13" t="n"/>
      <c r="K44" s="13" t="n"/>
      <c r="L44" s="14" t="n"/>
      <c r="M44" s="31" t="n"/>
      <c r="N44" s="13" t="n"/>
      <c r="O44" s="13" t="n"/>
      <c r="P44" s="13" t="n"/>
    </row>
    <row r="45">
      <c r="A45" s="13" t="n">
        <v>44</v>
      </c>
      <c r="B45" s="13" t="n"/>
      <c r="C45" s="13" t="n"/>
      <c r="D45" s="13" t="n"/>
      <c r="E45" s="13" t="n"/>
      <c r="F45" s="14" t="n"/>
      <c r="G45" s="14" t="n"/>
      <c r="H45" s="14">
        <f>IF(OR(F45="",G45=""),"",F45-G45)</f>
        <v/>
      </c>
      <c r="I45" s="13">
        <f>IF(F45="","",IF(F45&lt;G45*0.7,"منخفضة جدًا",IF(F45&lt;G45,"منخفضة","مقبولة")))</f>
        <v/>
      </c>
      <c r="J45" s="13" t="n"/>
      <c r="K45" s="13" t="n"/>
      <c r="L45" s="14" t="n"/>
      <c r="M45" s="31" t="n"/>
      <c r="N45" s="13" t="n"/>
      <c r="O45" s="13" t="n"/>
      <c r="P45" s="13" t="n"/>
    </row>
    <row r="46">
      <c r="A46" s="13" t="n">
        <v>45</v>
      </c>
      <c r="B46" s="13" t="n"/>
      <c r="C46" s="13" t="n"/>
      <c r="D46" s="13" t="n"/>
      <c r="E46" s="13" t="n"/>
      <c r="F46" s="14" t="n"/>
      <c r="G46" s="14" t="n"/>
      <c r="H46" s="14">
        <f>IF(OR(F46="",G46=""),"",F46-G46)</f>
        <v/>
      </c>
      <c r="I46" s="13">
        <f>IF(F46="","",IF(F46&lt;G46*0.7,"منخفضة جدًا",IF(F46&lt;G46,"منخفضة","مقبولة")))</f>
        <v/>
      </c>
      <c r="J46" s="13" t="n"/>
      <c r="K46" s="13" t="n"/>
      <c r="L46" s="14" t="n"/>
      <c r="M46" s="31" t="n"/>
      <c r="N46" s="13" t="n"/>
      <c r="O46" s="13" t="n"/>
      <c r="P46" s="13" t="n"/>
    </row>
    <row r="47">
      <c r="A47" s="13" t="n">
        <v>46</v>
      </c>
      <c r="B47" s="13" t="n"/>
      <c r="C47" s="13" t="n"/>
      <c r="D47" s="13" t="n"/>
      <c r="E47" s="13" t="n"/>
      <c r="F47" s="14" t="n"/>
      <c r="G47" s="14" t="n"/>
      <c r="H47" s="14">
        <f>IF(OR(F47="",G47=""),"",F47-G47)</f>
        <v/>
      </c>
      <c r="I47" s="13">
        <f>IF(F47="","",IF(F47&lt;G47*0.7,"منخفضة جدًا",IF(F47&lt;G47,"منخفضة","مقبولة")))</f>
        <v/>
      </c>
      <c r="J47" s="13" t="n"/>
      <c r="K47" s="13" t="n"/>
      <c r="L47" s="14" t="n"/>
      <c r="M47" s="31" t="n"/>
      <c r="N47" s="13" t="n"/>
      <c r="O47" s="13" t="n"/>
      <c r="P47" s="13" t="n"/>
    </row>
    <row r="48">
      <c r="A48" s="13" t="n">
        <v>47</v>
      </c>
      <c r="B48" s="13" t="n"/>
      <c r="C48" s="13" t="n"/>
      <c r="D48" s="13" t="n"/>
      <c r="E48" s="13" t="n"/>
      <c r="F48" s="14" t="n"/>
      <c r="G48" s="14" t="n"/>
      <c r="H48" s="14">
        <f>IF(OR(F48="",G48=""),"",F48-G48)</f>
        <v/>
      </c>
      <c r="I48" s="13">
        <f>IF(F48="","",IF(F48&lt;G48*0.7,"منخفضة جدًا",IF(F48&lt;G48,"منخفضة","مقبولة")))</f>
        <v/>
      </c>
      <c r="J48" s="13" t="n"/>
      <c r="K48" s="13" t="n"/>
      <c r="L48" s="14" t="n"/>
      <c r="M48" s="31" t="n"/>
      <c r="N48" s="13" t="n"/>
      <c r="O48" s="13" t="n"/>
      <c r="P48" s="13" t="n"/>
    </row>
    <row r="49">
      <c r="A49" s="13" t="n">
        <v>48</v>
      </c>
      <c r="B49" s="13" t="n"/>
      <c r="C49" s="13" t="n"/>
      <c r="D49" s="13" t="n"/>
      <c r="E49" s="13" t="n"/>
      <c r="F49" s="14" t="n"/>
      <c r="G49" s="14" t="n"/>
      <c r="H49" s="14">
        <f>IF(OR(F49="",G49=""),"",F49-G49)</f>
        <v/>
      </c>
      <c r="I49" s="13">
        <f>IF(F49="","",IF(F49&lt;G49*0.7,"منخفضة جدًا",IF(F49&lt;G49,"منخفضة","مقبولة")))</f>
        <v/>
      </c>
      <c r="J49" s="13" t="n"/>
      <c r="K49" s="13" t="n"/>
      <c r="L49" s="14" t="n"/>
      <c r="M49" s="31" t="n"/>
      <c r="N49" s="13" t="n"/>
      <c r="O49" s="13" t="n"/>
      <c r="P49" s="13" t="n"/>
    </row>
    <row r="50">
      <c r="A50" s="13" t="n">
        <v>49</v>
      </c>
      <c r="B50" s="13" t="n"/>
      <c r="C50" s="13" t="n"/>
      <c r="D50" s="13" t="n"/>
      <c r="E50" s="13" t="n"/>
      <c r="F50" s="14" t="n"/>
      <c r="G50" s="14" t="n"/>
      <c r="H50" s="14">
        <f>IF(OR(F50="",G50=""),"",F50-G50)</f>
        <v/>
      </c>
      <c r="I50" s="13">
        <f>IF(F50="","",IF(F50&lt;G50*0.7,"منخفضة جدًا",IF(F50&lt;G50,"منخفضة","مقبولة")))</f>
        <v/>
      </c>
      <c r="J50" s="13" t="n"/>
      <c r="K50" s="13" t="n"/>
      <c r="L50" s="14" t="n"/>
      <c r="M50" s="31" t="n"/>
      <c r="N50" s="13" t="n"/>
      <c r="O50" s="13" t="n"/>
      <c r="P50" s="13" t="n"/>
    </row>
    <row r="51">
      <c r="A51" s="13" t="n">
        <v>50</v>
      </c>
      <c r="B51" s="13" t="n"/>
      <c r="C51" s="13" t="n"/>
      <c r="D51" s="13" t="n"/>
      <c r="E51" s="13" t="n"/>
      <c r="F51" s="14" t="n"/>
      <c r="G51" s="14" t="n"/>
      <c r="H51" s="14">
        <f>IF(OR(F51="",G51=""),"",F51-G51)</f>
        <v/>
      </c>
      <c r="I51" s="13">
        <f>IF(F51="","",IF(F51&lt;G51*0.7,"منخفضة جدًا",IF(F51&lt;G51,"منخفضة","مقبولة")))</f>
        <v/>
      </c>
      <c r="J51" s="13" t="n"/>
      <c r="K51" s="13" t="n"/>
      <c r="L51" s="14" t="n"/>
      <c r="M51" s="31" t="n"/>
      <c r="N51" s="13" t="n"/>
      <c r="O51" s="13" t="n"/>
      <c r="P51" s="13" t="n"/>
    </row>
    <row r="52">
      <c r="A52" s="13" t="n">
        <v>51</v>
      </c>
      <c r="B52" s="13" t="n"/>
      <c r="C52" s="13" t="n"/>
      <c r="D52" s="13" t="n"/>
      <c r="E52" s="13" t="n"/>
      <c r="F52" s="14" t="n"/>
      <c r="G52" s="14" t="n"/>
      <c r="H52" s="14">
        <f>IF(OR(F52="",G52=""),"",F52-G52)</f>
        <v/>
      </c>
      <c r="I52" s="13">
        <f>IF(F52="","",IF(F52&lt;G52*0.7,"منخفضة جدًا",IF(F52&lt;G52,"منخفضة","مقبولة")))</f>
        <v/>
      </c>
      <c r="J52" s="13" t="n"/>
      <c r="K52" s="13" t="n"/>
      <c r="L52" s="14" t="n"/>
      <c r="M52" s="31" t="n"/>
      <c r="N52" s="13" t="n"/>
      <c r="O52" s="13" t="n"/>
      <c r="P52" s="13" t="n"/>
    </row>
    <row r="53">
      <c r="A53" s="13" t="n">
        <v>52</v>
      </c>
      <c r="B53" s="13" t="n"/>
      <c r="C53" s="13" t="n"/>
      <c r="D53" s="13" t="n"/>
      <c r="E53" s="13" t="n"/>
      <c r="F53" s="14" t="n"/>
      <c r="G53" s="14" t="n"/>
      <c r="H53" s="14">
        <f>IF(OR(F53="",G53=""),"",F53-G53)</f>
        <v/>
      </c>
      <c r="I53" s="13">
        <f>IF(F53="","",IF(F53&lt;G53*0.7,"منخفضة جدًا",IF(F53&lt;G53,"منخفضة","مقبولة")))</f>
        <v/>
      </c>
      <c r="J53" s="13" t="n"/>
      <c r="K53" s="13" t="n"/>
      <c r="L53" s="14" t="n"/>
      <c r="M53" s="31" t="n"/>
      <c r="N53" s="13" t="n"/>
      <c r="O53" s="13" t="n"/>
      <c r="P53" s="13" t="n"/>
    </row>
    <row r="54">
      <c r="A54" s="13" t="n">
        <v>53</v>
      </c>
      <c r="B54" s="13" t="n"/>
      <c r="C54" s="13" t="n"/>
      <c r="D54" s="13" t="n"/>
      <c r="E54" s="13" t="n"/>
      <c r="F54" s="14" t="n"/>
      <c r="G54" s="14" t="n"/>
      <c r="H54" s="14">
        <f>IF(OR(F54="",G54=""),"",F54-G54)</f>
        <v/>
      </c>
      <c r="I54" s="13">
        <f>IF(F54="","",IF(F54&lt;G54*0.7,"منخفضة جدًا",IF(F54&lt;G54,"منخفضة","مقبولة")))</f>
        <v/>
      </c>
      <c r="J54" s="13" t="n"/>
      <c r="K54" s="13" t="n"/>
      <c r="L54" s="14" t="n"/>
      <c r="M54" s="31" t="n"/>
      <c r="N54" s="13" t="n"/>
      <c r="O54" s="13" t="n"/>
      <c r="P54" s="13" t="n"/>
    </row>
    <row r="55">
      <c r="A55" s="13" t="n">
        <v>54</v>
      </c>
      <c r="B55" s="13" t="n"/>
      <c r="C55" s="13" t="n"/>
      <c r="D55" s="13" t="n"/>
      <c r="E55" s="13" t="n"/>
      <c r="F55" s="14" t="n"/>
      <c r="G55" s="14" t="n"/>
      <c r="H55" s="14">
        <f>IF(OR(F55="",G55=""),"",F55-G55)</f>
        <v/>
      </c>
      <c r="I55" s="13">
        <f>IF(F55="","",IF(F55&lt;G55*0.7,"منخفضة جدًا",IF(F55&lt;G55,"منخفضة","مقبولة")))</f>
        <v/>
      </c>
      <c r="J55" s="13" t="n"/>
      <c r="K55" s="13" t="n"/>
      <c r="L55" s="14" t="n"/>
      <c r="M55" s="31" t="n"/>
      <c r="N55" s="13" t="n"/>
      <c r="O55" s="13" t="n"/>
      <c r="P55" s="13" t="n"/>
    </row>
    <row r="56">
      <c r="A56" s="13" t="n">
        <v>55</v>
      </c>
      <c r="B56" s="13" t="n"/>
      <c r="C56" s="13" t="n"/>
      <c r="D56" s="13" t="n"/>
      <c r="E56" s="13" t="n"/>
      <c r="F56" s="14" t="n"/>
      <c r="G56" s="14" t="n"/>
      <c r="H56" s="14">
        <f>IF(OR(F56="",G56=""),"",F56-G56)</f>
        <v/>
      </c>
      <c r="I56" s="13">
        <f>IF(F56="","",IF(F56&lt;G56*0.7,"منخفضة جدًا",IF(F56&lt;G56,"منخفضة","مقبولة")))</f>
        <v/>
      </c>
      <c r="J56" s="13" t="n"/>
      <c r="K56" s="13" t="n"/>
      <c r="L56" s="14" t="n"/>
      <c r="M56" s="31" t="n"/>
      <c r="N56" s="13" t="n"/>
      <c r="O56" s="13" t="n"/>
      <c r="P56" s="13" t="n"/>
    </row>
    <row r="57">
      <c r="A57" s="13" t="n">
        <v>56</v>
      </c>
      <c r="B57" s="13" t="n"/>
      <c r="C57" s="13" t="n"/>
      <c r="D57" s="13" t="n"/>
      <c r="E57" s="13" t="n"/>
      <c r="F57" s="14" t="n"/>
      <c r="G57" s="14" t="n"/>
      <c r="H57" s="14">
        <f>IF(OR(F57="",G57=""),"",F57-G57)</f>
        <v/>
      </c>
      <c r="I57" s="13">
        <f>IF(F57="","",IF(F57&lt;G57*0.7,"منخفضة جدًا",IF(F57&lt;G57,"منخفضة","مقبولة")))</f>
        <v/>
      </c>
      <c r="J57" s="13" t="n"/>
      <c r="K57" s="13" t="n"/>
      <c r="L57" s="14" t="n"/>
      <c r="M57" s="31" t="n"/>
      <c r="N57" s="13" t="n"/>
      <c r="O57" s="13" t="n"/>
      <c r="P57" s="13" t="n"/>
    </row>
    <row r="58">
      <c r="A58" s="13" t="n">
        <v>57</v>
      </c>
      <c r="B58" s="13" t="n"/>
      <c r="C58" s="13" t="n"/>
      <c r="D58" s="13" t="n"/>
      <c r="E58" s="13" t="n"/>
      <c r="F58" s="14" t="n"/>
      <c r="G58" s="14" t="n"/>
      <c r="H58" s="14">
        <f>IF(OR(F58="",G58=""),"",F58-G58)</f>
        <v/>
      </c>
      <c r="I58" s="13">
        <f>IF(F58="","",IF(F58&lt;G58*0.7,"منخفضة جدًا",IF(F58&lt;G58,"منخفضة","مقبولة")))</f>
        <v/>
      </c>
      <c r="J58" s="13" t="n"/>
      <c r="K58" s="13" t="n"/>
      <c r="L58" s="14" t="n"/>
      <c r="M58" s="31" t="n"/>
      <c r="N58" s="13" t="n"/>
      <c r="O58" s="13" t="n"/>
      <c r="P58" s="13" t="n"/>
    </row>
    <row r="59">
      <c r="A59" s="13" t="n">
        <v>58</v>
      </c>
      <c r="B59" s="13" t="n"/>
      <c r="C59" s="13" t="n"/>
      <c r="D59" s="13" t="n"/>
      <c r="E59" s="13" t="n"/>
      <c r="F59" s="14" t="n"/>
      <c r="G59" s="14" t="n"/>
      <c r="H59" s="14">
        <f>IF(OR(F59="",G59=""),"",F59-G59)</f>
        <v/>
      </c>
      <c r="I59" s="13">
        <f>IF(F59="","",IF(F59&lt;G59*0.7,"منخفضة جدًا",IF(F59&lt;G59,"منخفضة","مقبولة")))</f>
        <v/>
      </c>
      <c r="J59" s="13" t="n"/>
      <c r="K59" s="13" t="n"/>
      <c r="L59" s="14" t="n"/>
      <c r="M59" s="31" t="n"/>
      <c r="N59" s="13" t="n"/>
      <c r="O59" s="13" t="n"/>
      <c r="P59" s="13" t="n"/>
    </row>
    <row r="60">
      <c r="A60" s="13" t="n">
        <v>59</v>
      </c>
      <c r="B60" s="13" t="n"/>
      <c r="C60" s="13" t="n"/>
      <c r="D60" s="13" t="n"/>
      <c r="E60" s="13" t="n"/>
      <c r="F60" s="14" t="n"/>
      <c r="G60" s="14" t="n"/>
      <c r="H60" s="14">
        <f>IF(OR(F60="",G60=""),"",F60-G60)</f>
        <v/>
      </c>
      <c r="I60" s="13">
        <f>IF(F60="","",IF(F60&lt;G60*0.7,"منخفضة جدًا",IF(F60&lt;G60,"منخفضة","مقبولة")))</f>
        <v/>
      </c>
      <c r="J60" s="13" t="n"/>
      <c r="K60" s="13" t="n"/>
      <c r="L60" s="14" t="n"/>
      <c r="M60" s="31" t="n"/>
      <c r="N60" s="13" t="n"/>
      <c r="O60" s="13" t="n"/>
      <c r="P60" s="13" t="n"/>
    </row>
    <row r="61">
      <c r="A61" s="13" t="n">
        <v>60</v>
      </c>
      <c r="B61" s="13" t="n"/>
      <c r="C61" s="13" t="n"/>
      <c r="D61" s="13" t="n"/>
      <c r="E61" s="13" t="n"/>
      <c r="F61" s="14" t="n"/>
      <c r="G61" s="14" t="n"/>
      <c r="H61" s="14">
        <f>IF(OR(F61="",G61=""),"",F61-G61)</f>
        <v/>
      </c>
      <c r="I61" s="13">
        <f>IF(F61="","",IF(F61&lt;G61*0.7,"منخفضة جدًا",IF(F61&lt;G61,"منخفضة","مقبولة")))</f>
        <v/>
      </c>
      <c r="J61" s="13" t="n"/>
      <c r="K61" s="13" t="n"/>
      <c r="L61" s="14" t="n"/>
      <c r="M61" s="31" t="n"/>
      <c r="N61" s="13" t="n"/>
      <c r="O61" s="13" t="n"/>
      <c r="P61" s="13" t="n"/>
    </row>
    <row r="62">
      <c r="A62" s="13" t="n">
        <v>61</v>
      </c>
      <c r="B62" s="13" t="n"/>
      <c r="C62" s="13" t="n"/>
      <c r="D62" s="13" t="n"/>
      <c r="E62" s="13" t="n"/>
      <c r="F62" s="14" t="n"/>
      <c r="G62" s="14" t="n"/>
      <c r="H62" s="14">
        <f>IF(OR(F62="",G62=""),"",F62-G62)</f>
        <v/>
      </c>
      <c r="I62" s="13">
        <f>IF(F62="","",IF(F62&lt;G62*0.7,"منخفضة جدًا",IF(F62&lt;G62,"منخفضة","مقبولة")))</f>
        <v/>
      </c>
      <c r="J62" s="13" t="n"/>
      <c r="K62" s="13" t="n"/>
      <c r="L62" s="14" t="n"/>
      <c r="M62" s="31" t="n"/>
      <c r="N62" s="13" t="n"/>
      <c r="O62" s="13" t="n"/>
      <c r="P62" s="13" t="n"/>
    </row>
    <row r="63">
      <c r="A63" s="13" t="n">
        <v>62</v>
      </c>
      <c r="B63" s="13" t="n"/>
      <c r="C63" s="13" t="n"/>
      <c r="D63" s="13" t="n"/>
      <c r="E63" s="13" t="n"/>
      <c r="F63" s="14" t="n"/>
      <c r="G63" s="14" t="n"/>
      <c r="H63" s="14">
        <f>IF(OR(F63="",G63=""),"",F63-G63)</f>
        <v/>
      </c>
      <c r="I63" s="13">
        <f>IF(F63="","",IF(F63&lt;G63*0.7,"منخفضة جدًا",IF(F63&lt;G63,"منخفضة","مقبولة")))</f>
        <v/>
      </c>
      <c r="J63" s="13" t="n"/>
      <c r="K63" s="13" t="n"/>
      <c r="L63" s="14" t="n"/>
      <c r="M63" s="31" t="n"/>
      <c r="N63" s="13" t="n"/>
      <c r="O63" s="13" t="n"/>
      <c r="P63" s="13" t="n"/>
    </row>
    <row r="64">
      <c r="A64" s="13" t="n">
        <v>63</v>
      </c>
      <c r="B64" s="13" t="n"/>
      <c r="C64" s="13" t="n"/>
      <c r="D64" s="13" t="n"/>
      <c r="E64" s="13" t="n"/>
      <c r="F64" s="14" t="n"/>
      <c r="G64" s="14" t="n"/>
      <c r="H64" s="14">
        <f>IF(OR(F64="",G64=""),"",F64-G64)</f>
        <v/>
      </c>
      <c r="I64" s="13">
        <f>IF(F64="","",IF(F64&lt;G64*0.7,"منخفضة جدًا",IF(F64&lt;G64,"منخفضة","مقبولة")))</f>
        <v/>
      </c>
      <c r="J64" s="13" t="n"/>
      <c r="K64" s="13" t="n"/>
      <c r="L64" s="14" t="n"/>
      <c r="M64" s="31" t="n"/>
      <c r="N64" s="13" t="n"/>
      <c r="O64" s="13" t="n"/>
      <c r="P64" s="13" t="n"/>
    </row>
    <row r="65">
      <c r="A65" s="13" t="n">
        <v>64</v>
      </c>
      <c r="B65" s="13" t="n"/>
      <c r="C65" s="13" t="n"/>
      <c r="D65" s="13" t="n"/>
      <c r="E65" s="13" t="n"/>
      <c r="F65" s="14" t="n"/>
      <c r="G65" s="14" t="n"/>
      <c r="H65" s="14">
        <f>IF(OR(F65="",G65=""),"",F65-G65)</f>
        <v/>
      </c>
      <c r="I65" s="13">
        <f>IF(F65="","",IF(F65&lt;G65*0.7,"منخفضة جدًا",IF(F65&lt;G65,"منخفضة","مقبولة")))</f>
        <v/>
      </c>
      <c r="J65" s="13" t="n"/>
      <c r="K65" s="13" t="n"/>
      <c r="L65" s="14" t="n"/>
      <c r="M65" s="31" t="n"/>
      <c r="N65" s="13" t="n"/>
      <c r="O65" s="13" t="n"/>
      <c r="P65" s="13" t="n"/>
    </row>
    <row r="66">
      <c r="A66" s="13" t="n">
        <v>65</v>
      </c>
      <c r="B66" s="13" t="n"/>
      <c r="C66" s="13" t="n"/>
      <c r="D66" s="13" t="n"/>
      <c r="E66" s="13" t="n"/>
      <c r="F66" s="14" t="n"/>
      <c r="G66" s="14" t="n"/>
      <c r="H66" s="14">
        <f>IF(OR(F66="",G66=""),"",F66-G66)</f>
        <v/>
      </c>
      <c r="I66" s="13">
        <f>IF(F66="","",IF(F66&lt;G66*0.7,"منخفضة جدًا",IF(F66&lt;G66,"منخفضة","مقبولة")))</f>
        <v/>
      </c>
      <c r="J66" s="13" t="n"/>
      <c r="K66" s="13" t="n"/>
      <c r="L66" s="14" t="n"/>
      <c r="M66" s="31" t="n"/>
      <c r="N66" s="13" t="n"/>
      <c r="O66" s="13" t="n"/>
      <c r="P66" s="13" t="n"/>
    </row>
    <row r="67">
      <c r="A67" s="13" t="n">
        <v>66</v>
      </c>
      <c r="B67" s="13" t="n"/>
      <c r="C67" s="13" t="n"/>
      <c r="D67" s="13" t="n"/>
      <c r="E67" s="13" t="n"/>
      <c r="F67" s="14" t="n"/>
      <c r="G67" s="14" t="n"/>
      <c r="H67" s="14">
        <f>IF(OR(F67="",G67=""),"",F67-G67)</f>
        <v/>
      </c>
      <c r="I67" s="13">
        <f>IF(F67="","",IF(F67&lt;G67*0.7,"منخفضة جدًا",IF(F67&lt;G67,"منخفضة","مقبولة")))</f>
        <v/>
      </c>
      <c r="J67" s="13" t="n"/>
      <c r="K67" s="13" t="n"/>
      <c r="L67" s="14" t="n"/>
      <c r="M67" s="31" t="n"/>
      <c r="N67" s="13" t="n"/>
      <c r="O67" s="13" t="n"/>
      <c r="P67" s="13" t="n"/>
    </row>
    <row r="68">
      <c r="A68" s="13" t="n">
        <v>67</v>
      </c>
      <c r="B68" s="13" t="n"/>
      <c r="C68" s="13" t="n"/>
      <c r="D68" s="13" t="n"/>
      <c r="E68" s="13" t="n"/>
      <c r="F68" s="14" t="n"/>
      <c r="G68" s="14" t="n"/>
      <c r="H68" s="14">
        <f>IF(OR(F68="",G68=""),"",F68-G68)</f>
        <v/>
      </c>
      <c r="I68" s="13">
        <f>IF(F68="","",IF(F68&lt;G68*0.7,"منخفضة جدًا",IF(F68&lt;G68,"منخفضة","مقبولة")))</f>
        <v/>
      </c>
      <c r="J68" s="13" t="n"/>
      <c r="K68" s="13" t="n"/>
      <c r="L68" s="14" t="n"/>
      <c r="M68" s="31" t="n"/>
      <c r="N68" s="13" t="n"/>
      <c r="O68" s="13" t="n"/>
      <c r="P68" s="13" t="n"/>
    </row>
    <row r="69">
      <c r="A69" s="13" t="n">
        <v>68</v>
      </c>
      <c r="B69" s="13" t="n"/>
      <c r="C69" s="13" t="n"/>
      <c r="D69" s="13" t="n"/>
      <c r="E69" s="13" t="n"/>
      <c r="F69" s="14" t="n"/>
      <c r="G69" s="14" t="n"/>
      <c r="H69" s="14">
        <f>IF(OR(F69="",G69=""),"",F69-G69)</f>
        <v/>
      </c>
      <c r="I69" s="13">
        <f>IF(F69="","",IF(F69&lt;G69*0.7,"منخفضة جدًا",IF(F69&lt;G69,"منخفضة","مقبولة")))</f>
        <v/>
      </c>
      <c r="J69" s="13" t="n"/>
      <c r="K69" s="13" t="n"/>
      <c r="L69" s="14" t="n"/>
      <c r="M69" s="31" t="n"/>
      <c r="N69" s="13" t="n"/>
      <c r="O69" s="13" t="n"/>
      <c r="P69" s="13" t="n"/>
    </row>
    <row r="70">
      <c r="A70" s="13" t="n">
        <v>69</v>
      </c>
      <c r="B70" s="13" t="n"/>
      <c r="C70" s="13" t="n"/>
      <c r="D70" s="13" t="n"/>
      <c r="E70" s="13" t="n"/>
      <c r="F70" s="14" t="n"/>
      <c r="G70" s="14" t="n"/>
      <c r="H70" s="14">
        <f>IF(OR(F70="",G70=""),"",F70-G70)</f>
        <v/>
      </c>
      <c r="I70" s="13">
        <f>IF(F70="","",IF(F70&lt;G70*0.7,"منخفضة جدًا",IF(F70&lt;G70,"منخفضة","مقبولة")))</f>
        <v/>
      </c>
      <c r="J70" s="13" t="n"/>
      <c r="K70" s="13" t="n"/>
      <c r="L70" s="14" t="n"/>
      <c r="M70" s="31" t="n"/>
      <c r="N70" s="13" t="n"/>
      <c r="O70" s="13" t="n"/>
      <c r="P70" s="13" t="n"/>
    </row>
    <row r="71">
      <c r="A71" s="13" t="n">
        <v>70</v>
      </c>
      <c r="B71" s="13" t="n"/>
      <c r="C71" s="13" t="n"/>
      <c r="D71" s="13" t="n"/>
      <c r="E71" s="13" t="n"/>
      <c r="F71" s="14" t="n"/>
      <c r="G71" s="14" t="n"/>
      <c r="H71" s="14">
        <f>IF(OR(F71="",G71=""),"",F71-G71)</f>
        <v/>
      </c>
      <c r="I71" s="13">
        <f>IF(F71="","",IF(F71&lt;G71*0.7,"منخفضة جدًا",IF(F71&lt;G71,"منخفضة","مقبولة")))</f>
        <v/>
      </c>
      <c r="J71" s="13" t="n"/>
      <c r="K71" s="13" t="n"/>
      <c r="L71" s="14" t="n"/>
      <c r="M71" s="31" t="n"/>
      <c r="N71" s="13" t="n"/>
      <c r="O71" s="13" t="n"/>
      <c r="P71" s="13" t="n"/>
    </row>
    <row r="72">
      <c r="A72" s="13" t="n">
        <v>71</v>
      </c>
      <c r="B72" s="13" t="n"/>
      <c r="C72" s="13" t="n"/>
      <c r="D72" s="13" t="n"/>
      <c r="E72" s="13" t="n"/>
      <c r="F72" s="14" t="n"/>
      <c r="G72" s="14" t="n"/>
      <c r="H72" s="14">
        <f>IF(OR(F72="",G72=""),"",F72-G72)</f>
        <v/>
      </c>
      <c r="I72" s="13">
        <f>IF(F72="","",IF(F72&lt;G72*0.7,"منخفضة جدًا",IF(F72&lt;G72,"منخفضة","مقبولة")))</f>
        <v/>
      </c>
      <c r="J72" s="13" t="n"/>
      <c r="K72" s="13" t="n"/>
      <c r="L72" s="14" t="n"/>
      <c r="M72" s="31" t="n"/>
      <c r="N72" s="13" t="n"/>
      <c r="O72" s="13" t="n"/>
      <c r="P72" s="13" t="n"/>
    </row>
    <row r="73">
      <c r="A73" s="13" t="n">
        <v>72</v>
      </c>
      <c r="B73" s="13" t="n"/>
      <c r="C73" s="13" t="n"/>
      <c r="D73" s="13" t="n"/>
      <c r="E73" s="13" t="n"/>
      <c r="F73" s="14" t="n"/>
      <c r="G73" s="14" t="n"/>
      <c r="H73" s="14">
        <f>IF(OR(F73="",G73=""),"",F73-G73)</f>
        <v/>
      </c>
      <c r="I73" s="13">
        <f>IF(F73="","",IF(F73&lt;G73*0.7,"منخفضة جدًا",IF(F73&lt;G73,"منخفضة","مقبولة")))</f>
        <v/>
      </c>
      <c r="J73" s="13" t="n"/>
      <c r="K73" s="13" t="n"/>
      <c r="L73" s="14" t="n"/>
      <c r="M73" s="31" t="n"/>
      <c r="N73" s="13" t="n"/>
      <c r="O73" s="13" t="n"/>
      <c r="P73" s="13" t="n"/>
    </row>
    <row r="74">
      <c r="A74" s="13" t="n">
        <v>73</v>
      </c>
      <c r="B74" s="13" t="n"/>
      <c r="C74" s="13" t="n"/>
      <c r="D74" s="13" t="n"/>
      <c r="E74" s="13" t="n"/>
      <c r="F74" s="14" t="n"/>
      <c r="G74" s="14" t="n"/>
      <c r="H74" s="14">
        <f>IF(OR(F74="",G74=""),"",F74-G74)</f>
        <v/>
      </c>
      <c r="I74" s="13">
        <f>IF(F74="","",IF(F74&lt;G74*0.7,"منخفضة جدًا",IF(F74&lt;G74,"منخفضة","مقبولة")))</f>
        <v/>
      </c>
      <c r="J74" s="13" t="n"/>
      <c r="K74" s="13" t="n"/>
      <c r="L74" s="14" t="n"/>
      <c r="M74" s="31" t="n"/>
      <c r="N74" s="13" t="n"/>
      <c r="O74" s="13" t="n"/>
      <c r="P74" s="13" t="n"/>
    </row>
    <row r="75">
      <c r="A75" s="13" t="n">
        <v>74</v>
      </c>
      <c r="B75" s="13" t="n"/>
      <c r="C75" s="13" t="n"/>
      <c r="D75" s="13" t="n"/>
      <c r="E75" s="13" t="n"/>
      <c r="F75" s="14" t="n"/>
      <c r="G75" s="14" t="n"/>
      <c r="H75" s="14">
        <f>IF(OR(F75="",G75=""),"",F75-G75)</f>
        <v/>
      </c>
      <c r="I75" s="13">
        <f>IF(F75="","",IF(F75&lt;G75*0.7,"منخفضة جدًا",IF(F75&lt;G75,"منخفضة","مقبولة")))</f>
        <v/>
      </c>
      <c r="J75" s="13" t="n"/>
      <c r="K75" s="13" t="n"/>
      <c r="L75" s="14" t="n"/>
      <c r="M75" s="31" t="n"/>
      <c r="N75" s="13" t="n"/>
      <c r="O75" s="13" t="n"/>
      <c r="P75" s="13" t="n"/>
    </row>
    <row r="76">
      <c r="A76" s="13" t="n">
        <v>75</v>
      </c>
      <c r="B76" s="13" t="n"/>
      <c r="C76" s="13" t="n"/>
      <c r="D76" s="13" t="n"/>
      <c r="E76" s="13" t="n"/>
      <c r="F76" s="14" t="n"/>
      <c r="G76" s="14" t="n"/>
      <c r="H76" s="14">
        <f>IF(OR(F76="",G76=""),"",F76-G76)</f>
        <v/>
      </c>
      <c r="I76" s="13">
        <f>IF(F76="","",IF(F76&lt;G76*0.7,"منخفضة جدًا",IF(F76&lt;G76,"منخفضة","مقبولة")))</f>
        <v/>
      </c>
      <c r="J76" s="13" t="n"/>
      <c r="K76" s="13" t="n"/>
      <c r="L76" s="14" t="n"/>
      <c r="M76" s="31" t="n"/>
      <c r="N76" s="13" t="n"/>
      <c r="O76" s="13" t="n"/>
      <c r="P76" s="13" t="n"/>
    </row>
    <row r="77">
      <c r="A77" s="13" t="n">
        <v>76</v>
      </c>
      <c r="B77" s="13" t="n"/>
      <c r="C77" s="13" t="n"/>
      <c r="D77" s="13" t="n"/>
      <c r="E77" s="13" t="n"/>
      <c r="F77" s="14" t="n"/>
      <c r="G77" s="14" t="n"/>
      <c r="H77" s="14">
        <f>IF(OR(F77="",G77=""),"",F77-G77)</f>
        <v/>
      </c>
      <c r="I77" s="13">
        <f>IF(F77="","",IF(F77&lt;G77*0.7,"منخفضة جدًا",IF(F77&lt;G77,"منخفضة","مقبولة")))</f>
        <v/>
      </c>
      <c r="J77" s="13" t="n"/>
      <c r="K77" s="13" t="n"/>
      <c r="L77" s="14" t="n"/>
      <c r="M77" s="31" t="n"/>
      <c r="N77" s="13" t="n"/>
      <c r="O77" s="13" t="n"/>
      <c r="P77" s="13" t="n"/>
    </row>
    <row r="78">
      <c r="A78" s="13" t="n">
        <v>77</v>
      </c>
      <c r="B78" s="13" t="n"/>
      <c r="C78" s="13" t="n"/>
      <c r="D78" s="13" t="n"/>
      <c r="E78" s="13" t="n"/>
      <c r="F78" s="14" t="n"/>
      <c r="G78" s="14" t="n"/>
      <c r="H78" s="14">
        <f>IF(OR(F78="",G78=""),"",F78-G78)</f>
        <v/>
      </c>
      <c r="I78" s="13">
        <f>IF(F78="","",IF(F78&lt;G78*0.7,"منخفضة جدًا",IF(F78&lt;G78,"منخفضة","مقبولة")))</f>
        <v/>
      </c>
      <c r="J78" s="13" t="n"/>
      <c r="K78" s="13" t="n"/>
      <c r="L78" s="14" t="n"/>
      <c r="M78" s="31" t="n"/>
      <c r="N78" s="13" t="n"/>
      <c r="O78" s="13" t="n"/>
      <c r="P78" s="13" t="n"/>
    </row>
    <row r="79">
      <c r="A79" s="13" t="n">
        <v>78</v>
      </c>
      <c r="B79" s="13" t="n"/>
      <c r="C79" s="13" t="n"/>
      <c r="D79" s="13" t="n"/>
      <c r="E79" s="13" t="n"/>
      <c r="F79" s="14" t="n"/>
      <c r="G79" s="14" t="n"/>
      <c r="H79" s="14">
        <f>IF(OR(F79="",G79=""),"",F79-G79)</f>
        <v/>
      </c>
      <c r="I79" s="13">
        <f>IF(F79="","",IF(F79&lt;G79*0.7,"منخفضة جدًا",IF(F79&lt;G79,"منخفضة","مقبولة")))</f>
        <v/>
      </c>
      <c r="J79" s="13" t="n"/>
      <c r="K79" s="13" t="n"/>
      <c r="L79" s="14" t="n"/>
      <c r="M79" s="31" t="n"/>
      <c r="N79" s="13" t="n"/>
      <c r="O79" s="13" t="n"/>
      <c r="P79" s="13" t="n"/>
    </row>
    <row r="80">
      <c r="A80" s="13" t="n">
        <v>79</v>
      </c>
      <c r="B80" s="13" t="n"/>
      <c r="C80" s="13" t="n"/>
      <c r="D80" s="13" t="n"/>
      <c r="E80" s="13" t="n"/>
      <c r="F80" s="14" t="n"/>
      <c r="G80" s="14" t="n"/>
      <c r="H80" s="14">
        <f>IF(OR(F80="",G80=""),"",F80-G80)</f>
        <v/>
      </c>
      <c r="I80" s="13">
        <f>IF(F80="","",IF(F80&lt;G80*0.7,"منخفضة جدًا",IF(F80&lt;G80,"منخفضة","مقبولة")))</f>
        <v/>
      </c>
      <c r="J80" s="13" t="n"/>
      <c r="K80" s="13" t="n"/>
      <c r="L80" s="14" t="n"/>
      <c r="M80" s="31" t="n"/>
      <c r="N80" s="13" t="n"/>
      <c r="O80" s="13" t="n"/>
      <c r="P80" s="13" t="n"/>
    </row>
    <row r="81">
      <c r="A81" s="13" t="n">
        <v>80</v>
      </c>
      <c r="B81" s="13" t="n"/>
      <c r="C81" s="13" t="n"/>
      <c r="D81" s="13" t="n"/>
      <c r="E81" s="13" t="n"/>
      <c r="F81" s="14" t="n"/>
      <c r="G81" s="14" t="n"/>
      <c r="H81" s="14">
        <f>IF(OR(F81="",G81=""),"",F81-G81)</f>
        <v/>
      </c>
      <c r="I81" s="13">
        <f>IF(F81="","",IF(F81&lt;G81*0.7,"منخفضة جدًا",IF(F81&lt;G81,"منخفضة","مقبولة")))</f>
        <v/>
      </c>
      <c r="J81" s="13" t="n"/>
      <c r="K81" s="13" t="n"/>
      <c r="L81" s="14" t="n"/>
      <c r="M81" s="31" t="n"/>
      <c r="N81" s="13" t="n"/>
      <c r="O81" s="13" t="n"/>
      <c r="P81" s="13" t="n"/>
    </row>
    <row r="82">
      <c r="A82" s="13" t="n">
        <v>81</v>
      </c>
      <c r="B82" s="13" t="n"/>
      <c r="C82" s="13" t="n"/>
      <c r="D82" s="13" t="n"/>
      <c r="E82" s="13" t="n"/>
      <c r="F82" s="14" t="n"/>
      <c r="G82" s="14" t="n"/>
      <c r="H82" s="14">
        <f>IF(OR(F82="",G82=""),"",F82-G82)</f>
        <v/>
      </c>
      <c r="I82" s="13">
        <f>IF(F82="","",IF(F82&lt;G82*0.7,"منخفضة جدًا",IF(F82&lt;G82,"منخفضة","مقبولة")))</f>
        <v/>
      </c>
      <c r="J82" s="13" t="n"/>
      <c r="K82" s="13" t="n"/>
      <c r="L82" s="14" t="n"/>
      <c r="M82" s="31" t="n"/>
      <c r="N82" s="13" t="n"/>
      <c r="O82" s="13" t="n"/>
      <c r="P82" s="13" t="n"/>
    </row>
    <row r="83">
      <c r="A83" s="13" t="n">
        <v>82</v>
      </c>
      <c r="B83" s="13" t="n"/>
      <c r="C83" s="13" t="n"/>
      <c r="D83" s="13" t="n"/>
      <c r="E83" s="13" t="n"/>
      <c r="F83" s="14" t="n"/>
      <c r="G83" s="14" t="n"/>
      <c r="H83" s="14">
        <f>IF(OR(F83="",G83=""),"",F83-G83)</f>
        <v/>
      </c>
      <c r="I83" s="13">
        <f>IF(F83="","",IF(F83&lt;G83*0.7,"منخفضة جدًا",IF(F83&lt;G83,"منخفضة","مقبولة")))</f>
        <v/>
      </c>
      <c r="J83" s="13" t="n"/>
      <c r="K83" s="13" t="n"/>
      <c r="L83" s="14" t="n"/>
      <c r="M83" s="31" t="n"/>
      <c r="N83" s="13" t="n"/>
      <c r="O83" s="13" t="n"/>
      <c r="P83" s="13" t="n"/>
    </row>
    <row r="84">
      <c r="A84" s="13" t="n">
        <v>83</v>
      </c>
      <c r="B84" s="13" t="n"/>
      <c r="C84" s="13" t="n"/>
      <c r="D84" s="13" t="n"/>
      <c r="E84" s="13" t="n"/>
      <c r="F84" s="14" t="n"/>
      <c r="G84" s="14" t="n"/>
      <c r="H84" s="14">
        <f>IF(OR(F84="",G84=""),"",F84-G84)</f>
        <v/>
      </c>
      <c r="I84" s="13">
        <f>IF(F84="","",IF(F84&lt;G84*0.7,"منخفضة جدًا",IF(F84&lt;G84,"منخفضة","مقبولة")))</f>
        <v/>
      </c>
      <c r="J84" s="13" t="n"/>
      <c r="K84" s="13" t="n"/>
      <c r="L84" s="14" t="n"/>
      <c r="M84" s="31" t="n"/>
      <c r="N84" s="13" t="n"/>
      <c r="O84" s="13" t="n"/>
      <c r="P84" s="13" t="n"/>
    </row>
    <row r="85">
      <c r="A85" s="13" t="n">
        <v>84</v>
      </c>
      <c r="B85" s="13" t="n"/>
      <c r="C85" s="13" t="n"/>
      <c r="D85" s="13" t="n"/>
      <c r="E85" s="13" t="n"/>
      <c r="F85" s="14" t="n"/>
      <c r="G85" s="14" t="n"/>
      <c r="H85" s="14">
        <f>IF(OR(F85="",G85=""),"",F85-G85)</f>
        <v/>
      </c>
      <c r="I85" s="13">
        <f>IF(F85="","",IF(F85&lt;G85*0.7,"منخفضة جدًا",IF(F85&lt;G85,"منخفضة","مقبولة")))</f>
        <v/>
      </c>
      <c r="J85" s="13" t="n"/>
      <c r="K85" s="13" t="n"/>
      <c r="L85" s="14" t="n"/>
      <c r="M85" s="31" t="n"/>
      <c r="N85" s="13" t="n"/>
      <c r="O85" s="13" t="n"/>
      <c r="P85" s="13" t="n"/>
    </row>
    <row r="86">
      <c r="A86" s="13" t="n">
        <v>85</v>
      </c>
      <c r="B86" s="13" t="n"/>
      <c r="C86" s="13" t="n"/>
      <c r="D86" s="13" t="n"/>
      <c r="E86" s="13" t="n"/>
      <c r="F86" s="14" t="n"/>
      <c r="G86" s="14" t="n"/>
      <c r="H86" s="14">
        <f>IF(OR(F86="",G86=""),"",F86-G86)</f>
        <v/>
      </c>
      <c r="I86" s="13">
        <f>IF(F86="","",IF(F86&lt;G86*0.7,"منخفضة جدًا",IF(F86&lt;G86,"منخفضة","مقبولة")))</f>
        <v/>
      </c>
      <c r="J86" s="13" t="n"/>
      <c r="K86" s="13" t="n"/>
      <c r="L86" s="14" t="n"/>
      <c r="M86" s="31" t="n"/>
      <c r="N86" s="13" t="n"/>
      <c r="O86" s="13" t="n"/>
      <c r="P86" s="13" t="n"/>
    </row>
    <row r="87">
      <c r="A87" s="13" t="n">
        <v>86</v>
      </c>
      <c r="B87" s="13" t="n"/>
      <c r="C87" s="13" t="n"/>
      <c r="D87" s="13" t="n"/>
      <c r="E87" s="13" t="n"/>
      <c r="F87" s="14" t="n"/>
      <c r="G87" s="14" t="n"/>
      <c r="H87" s="14">
        <f>IF(OR(F87="",G87=""),"",F87-G87)</f>
        <v/>
      </c>
      <c r="I87" s="13">
        <f>IF(F87="","",IF(F87&lt;G87*0.7,"منخفضة جدًا",IF(F87&lt;G87,"منخفضة","مقبولة")))</f>
        <v/>
      </c>
      <c r="J87" s="13" t="n"/>
      <c r="K87" s="13" t="n"/>
      <c r="L87" s="14" t="n"/>
      <c r="M87" s="31" t="n"/>
      <c r="N87" s="13" t="n"/>
      <c r="O87" s="13" t="n"/>
      <c r="P87" s="13" t="n"/>
    </row>
    <row r="88">
      <c r="A88" s="13" t="n">
        <v>87</v>
      </c>
      <c r="B88" s="13" t="n"/>
      <c r="C88" s="13" t="n"/>
      <c r="D88" s="13" t="n"/>
      <c r="E88" s="13" t="n"/>
      <c r="F88" s="14" t="n"/>
      <c r="G88" s="14" t="n"/>
      <c r="H88" s="14">
        <f>IF(OR(F88="",G88=""),"",F88-G88)</f>
        <v/>
      </c>
      <c r="I88" s="13">
        <f>IF(F88="","",IF(F88&lt;G88*0.7,"منخفضة جدًا",IF(F88&lt;G88,"منخفضة","مقبولة")))</f>
        <v/>
      </c>
      <c r="J88" s="13" t="n"/>
      <c r="K88" s="13" t="n"/>
      <c r="L88" s="14" t="n"/>
      <c r="M88" s="31" t="n"/>
      <c r="N88" s="13" t="n"/>
      <c r="O88" s="13" t="n"/>
      <c r="P88" s="13" t="n"/>
    </row>
    <row r="89">
      <c r="A89" s="13" t="n">
        <v>88</v>
      </c>
      <c r="B89" s="13" t="n"/>
      <c r="C89" s="13" t="n"/>
      <c r="D89" s="13" t="n"/>
      <c r="E89" s="13" t="n"/>
      <c r="F89" s="14" t="n"/>
      <c r="G89" s="14" t="n"/>
      <c r="H89" s="14">
        <f>IF(OR(F89="",G89=""),"",F89-G89)</f>
        <v/>
      </c>
      <c r="I89" s="13">
        <f>IF(F89="","",IF(F89&lt;G89*0.7,"منخفضة جدًا",IF(F89&lt;G89,"منخفضة","مقبولة")))</f>
        <v/>
      </c>
      <c r="J89" s="13" t="n"/>
      <c r="K89" s="13" t="n"/>
      <c r="L89" s="14" t="n"/>
      <c r="M89" s="31" t="n"/>
      <c r="N89" s="13" t="n"/>
      <c r="O89" s="13" t="n"/>
      <c r="P89" s="13" t="n"/>
    </row>
    <row r="90">
      <c r="A90" s="13" t="n">
        <v>89</v>
      </c>
      <c r="B90" s="13" t="n"/>
      <c r="C90" s="13" t="n"/>
      <c r="D90" s="13" t="n"/>
      <c r="E90" s="13" t="n"/>
      <c r="F90" s="14" t="n"/>
      <c r="G90" s="14" t="n"/>
      <c r="H90" s="14">
        <f>IF(OR(F90="",G90=""),"",F90-G90)</f>
        <v/>
      </c>
      <c r="I90" s="13">
        <f>IF(F90="","",IF(F90&lt;G90*0.7,"منخفضة جدًا",IF(F90&lt;G90,"منخفضة","مقبولة")))</f>
        <v/>
      </c>
      <c r="J90" s="13" t="n"/>
      <c r="K90" s="13" t="n"/>
      <c r="L90" s="14" t="n"/>
      <c r="M90" s="31" t="n"/>
      <c r="N90" s="13" t="n"/>
      <c r="O90" s="13" t="n"/>
      <c r="P90" s="13" t="n"/>
    </row>
    <row r="91">
      <c r="A91" s="13" t="n">
        <v>90</v>
      </c>
      <c r="B91" s="13" t="n"/>
      <c r="C91" s="13" t="n"/>
      <c r="D91" s="13" t="n"/>
      <c r="E91" s="13" t="n"/>
      <c r="F91" s="14" t="n"/>
      <c r="G91" s="14" t="n"/>
      <c r="H91" s="14">
        <f>IF(OR(F91="",G91=""),"",F91-G91)</f>
        <v/>
      </c>
      <c r="I91" s="13">
        <f>IF(F91="","",IF(F91&lt;G91*0.7,"منخفضة جدًا",IF(F91&lt;G91,"منخفضة","مقبولة")))</f>
        <v/>
      </c>
      <c r="J91" s="13" t="n"/>
      <c r="K91" s="13" t="n"/>
      <c r="L91" s="14" t="n"/>
      <c r="M91" s="31" t="n"/>
      <c r="N91" s="13" t="n"/>
      <c r="O91" s="13" t="n"/>
      <c r="P91" s="13" t="n"/>
    </row>
    <row r="92">
      <c r="A92" s="13" t="n">
        <v>91</v>
      </c>
      <c r="B92" s="13" t="n"/>
      <c r="C92" s="13" t="n"/>
      <c r="D92" s="13" t="n"/>
      <c r="E92" s="13" t="n"/>
      <c r="F92" s="14" t="n"/>
      <c r="G92" s="14" t="n"/>
      <c r="H92" s="14">
        <f>IF(OR(F92="",G92=""),"",F92-G92)</f>
        <v/>
      </c>
      <c r="I92" s="13">
        <f>IF(F92="","",IF(F92&lt;G92*0.7,"منخفضة جدًا",IF(F92&lt;G92,"منخفضة","مقبولة")))</f>
        <v/>
      </c>
      <c r="J92" s="13" t="n"/>
      <c r="K92" s="13" t="n"/>
      <c r="L92" s="14" t="n"/>
      <c r="M92" s="31" t="n"/>
      <c r="N92" s="13" t="n"/>
      <c r="O92" s="13" t="n"/>
      <c r="P92" s="13" t="n"/>
    </row>
    <row r="93">
      <c r="A93" s="13" t="n">
        <v>92</v>
      </c>
      <c r="B93" s="13" t="n"/>
      <c r="C93" s="13" t="n"/>
      <c r="D93" s="13" t="n"/>
      <c r="E93" s="13" t="n"/>
      <c r="F93" s="14" t="n"/>
      <c r="G93" s="14" t="n"/>
      <c r="H93" s="14">
        <f>IF(OR(F93="",G93=""),"",F93-G93)</f>
        <v/>
      </c>
      <c r="I93" s="13">
        <f>IF(F93="","",IF(F93&lt;G93*0.7,"منخفضة جدًا",IF(F93&lt;G93,"منخفضة","مقبولة")))</f>
        <v/>
      </c>
      <c r="J93" s="13" t="n"/>
      <c r="K93" s="13" t="n"/>
      <c r="L93" s="14" t="n"/>
      <c r="M93" s="31" t="n"/>
      <c r="N93" s="13" t="n"/>
      <c r="O93" s="13" t="n"/>
      <c r="P93" s="13" t="n"/>
    </row>
    <row r="94">
      <c r="A94" s="13" t="n">
        <v>93</v>
      </c>
      <c r="B94" s="13" t="n"/>
      <c r="C94" s="13" t="n"/>
      <c r="D94" s="13" t="n"/>
      <c r="E94" s="13" t="n"/>
      <c r="F94" s="14" t="n"/>
      <c r="G94" s="14" t="n"/>
      <c r="H94" s="14">
        <f>IF(OR(F94="",G94=""),"",F94-G94)</f>
        <v/>
      </c>
      <c r="I94" s="13">
        <f>IF(F94="","",IF(F94&lt;G94*0.7,"منخفضة جدًا",IF(F94&lt;G94,"منخفضة","مقبولة")))</f>
        <v/>
      </c>
      <c r="J94" s="13" t="n"/>
      <c r="K94" s="13" t="n"/>
      <c r="L94" s="14" t="n"/>
      <c r="M94" s="31" t="n"/>
      <c r="N94" s="13" t="n"/>
      <c r="O94" s="13" t="n"/>
      <c r="P94" s="13" t="n"/>
    </row>
    <row r="95">
      <c r="A95" s="13" t="n">
        <v>94</v>
      </c>
      <c r="B95" s="13" t="n"/>
      <c r="C95" s="13" t="n"/>
      <c r="D95" s="13" t="n"/>
      <c r="E95" s="13" t="n"/>
      <c r="F95" s="14" t="n"/>
      <c r="G95" s="14" t="n"/>
      <c r="H95" s="14">
        <f>IF(OR(F95="",G95=""),"",F95-G95)</f>
        <v/>
      </c>
      <c r="I95" s="13">
        <f>IF(F95="","",IF(F95&lt;G95*0.7,"منخفضة جدًا",IF(F95&lt;G95,"منخفضة","مقبولة")))</f>
        <v/>
      </c>
      <c r="J95" s="13" t="n"/>
      <c r="K95" s="13" t="n"/>
      <c r="L95" s="14" t="n"/>
      <c r="M95" s="31" t="n"/>
      <c r="N95" s="13" t="n"/>
      <c r="O95" s="13" t="n"/>
      <c r="P95" s="13" t="n"/>
    </row>
    <row r="96">
      <c r="A96" s="13" t="n">
        <v>95</v>
      </c>
      <c r="B96" s="13" t="n"/>
      <c r="C96" s="13" t="n"/>
      <c r="D96" s="13" t="n"/>
      <c r="E96" s="13" t="n"/>
      <c r="F96" s="14" t="n"/>
      <c r="G96" s="14" t="n"/>
      <c r="H96" s="14">
        <f>IF(OR(F96="",G96=""),"",F96-G96)</f>
        <v/>
      </c>
      <c r="I96" s="13">
        <f>IF(F96="","",IF(F96&lt;G96*0.7,"منخفضة جدًا",IF(F96&lt;G96,"منخفضة","مقبولة")))</f>
        <v/>
      </c>
      <c r="J96" s="13" t="n"/>
      <c r="K96" s="13" t="n"/>
      <c r="L96" s="14" t="n"/>
      <c r="M96" s="31" t="n"/>
      <c r="N96" s="13" t="n"/>
      <c r="O96" s="13" t="n"/>
      <c r="P96" s="13" t="n"/>
    </row>
    <row r="97">
      <c r="A97" s="13" t="n">
        <v>96</v>
      </c>
      <c r="B97" s="13" t="n"/>
      <c r="C97" s="13" t="n"/>
      <c r="D97" s="13" t="n"/>
      <c r="E97" s="13" t="n"/>
      <c r="F97" s="14" t="n"/>
      <c r="G97" s="14" t="n"/>
      <c r="H97" s="14">
        <f>IF(OR(F97="",G97=""),"",F97-G97)</f>
        <v/>
      </c>
      <c r="I97" s="13">
        <f>IF(F97="","",IF(F97&lt;G97*0.7,"منخفضة جدًا",IF(F97&lt;G97,"منخفضة","مقبولة")))</f>
        <v/>
      </c>
      <c r="J97" s="13" t="n"/>
      <c r="K97" s="13" t="n"/>
      <c r="L97" s="14" t="n"/>
      <c r="M97" s="31" t="n"/>
      <c r="N97" s="13" t="n"/>
      <c r="O97" s="13" t="n"/>
      <c r="P97" s="13" t="n"/>
    </row>
    <row r="98">
      <c r="A98" s="13" t="n">
        <v>97</v>
      </c>
      <c r="B98" s="13" t="n"/>
      <c r="C98" s="13" t="n"/>
      <c r="D98" s="13" t="n"/>
      <c r="E98" s="13" t="n"/>
      <c r="F98" s="14" t="n"/>
      <c r="G98" s="14" t="n"/>
      <c r="H98" s="14">
        <f>IF(OR(F98="",G98=""),"",F98-G98)</f>
        <v/>
      </c>
      <c r="I98" s="13">
        <f>IF(F98="","",IF(F98&lt;G98*0.7,"منخفضة جدًا",IF(F98&lt;G98,"منخفضة","مقبولة")))</f>
        <v/>
      </c>
      <c r="J98" s="13" t="n"/>
      <c r="K98" s="13" t="n"/>
      <c r="L98" s="14" t="n"/>
      <c r="M98" s="31" t="n"/>
      <c r="N98" s="13" t="n"/>
      <c r="O98" s="13" t="n"/>
      <c r="P98" s="13" t="n"/>
    </row>
    <row r="99">
      <c r="A99" s="13" t="n">
        <v>98</v>
      </c>
      <c r="B99" s="13" t="n"/>
      <c r="C99" s="13" t="n"/>
      <c r="D99" s="13" t="n"/>
      <c r="E99" s="13" t="n"/>
      <c r="F99" s="14" t="n"/>
      <c r="G99" s="14" t="n"/>
      <c r="H99" s="14">
        <f>IF(OR(F99="",G99=""),"",F99-G99)</f>
        <v/>
      </c>
      <c r="I99" s="13">
        <f>IF(F99="","",IF(F99&lt;G99*0.7,"منخفضة جدًا",IF(F99&lt;G99,"منخفضة","مقبولة")))</f>
        <v/>
      </c>
      <c r="J99" s="13" t="n"/>
      <c r="K99" s="13" t="n"/>
      <c r="L99" s="14" t="n"/>
      <c r="M99" s="31" t="n"/>
      <c r="N99" s="13" t="n"/>
      <c r="O99" s="13" t="n"/>
      <c r="P99" s="13" t="n"/>
    </row>
    <row r="100">
      <c r="A100" s="13" t="n">
        <v>99</v>
      </c>
      <c r="B100" s="13" t="n"/>
      <c r="C100" s="13" t="n"/>
      <c r="D100" s="13" t="n"/>
      <c r="E100" s="13" t="n"/>
      <c r="F100" s="14" t="n"/>
      <c r="G100" s="14" t="n"/>
      <c r="H100" s="14">
        <f>IF(OR(F100="",G100=""),"",F100-G100)</f>
        <v/>
      </c>
      <c r="I100" s="13">
        <f>IF(F100="","",IF(F100&lt;G100*0.7,"منخفضة جدًا",IF(F100&lt;G100,"منخفضة","مقبولة")))</f>
        <v/>
      </c>
      <c r="J100" s="13" t="n"/>
      <c r="K100" s="13" t="n"/>
      <c r="L100" s="14" t="n"/>
      <c r="M100" s="31" t="n"/>
      <c r="N100" s="13" t="n"/>
      <c r="O100" s="13" t="n"/>
      <c r="P100" s="13" t="n"/>
    </row>
    <row r="101">
      <c r="A101" s="13" t="n">
        <v>100</v>
      </c>
      <c r="B101" s="13" t="n"/>
      <c r="C101" s="13" t="n"/>
      <c r="D101" s="13" t="n"/>
      <c r="E101" s="13" t="n"/>
      <c r="F101" s="14" t="n"/>
      <c r="G101" s="14" t="n"/>
      <c r="H101" s="14">
        <f>IF(OR(F101="",G101=""),"",F101-G101)</f>
        <v/>
      </c>
      <c r="I101" s="13">
        <f>IF(F101="","",IF(F101&lt;G101*0.7,"منخفضة جدًا",IF(F101&lt;G101,"منخفضة","مقبولة")))</f>
        <v/>
      </c>
      <c r="J101" s="13" t="n"/>
      <c r="K101" s="13" t="n"/>
      <c r="L101" s="14" t="n"/>
      <c r="M101" s="31" t="n"/>
      <c r="N101" s="13" t="n"/>
      <c r="O101" s="13" t="n"/>
      <c r="P101" s="13" t="n"/>
    </row>
  </sheetData>
  <conditionalFormatting sqref="O2:O101">
    <cfRule type="expression" priority="1" dxfId="0">
      <formula>O2="مكتملة"</formula>
    </cfRule>
    <cfRule type="expression" priority="2" dxfId="1">
      <formula>O2="جاري"</formula>
    </cfRule>
    <cfRule type="expression" priority="3" dxfId="2">
      <formula>O2="مؤجلة"</formula>
    </cfRule>
  </conditionalFormatting>
  <dataValidations count="2">
    <dataValidation sqref="J2:J101" showDropDown="0" showInputMessage="0" showErrorMessage="0" allowBlank="1" type="list">
      <formula1>"أولوية 1 - مرتفعة,أولوية 2 - متوسطة,أولوية 3 - منخفضة"</formula1>
    </dataValidation>
    <dataValidation sqref="O2:O101" showDropDown="0" showInputMessage="0" showErrorMessage="0" allowBlank="1" type="list">
      <formula1>"لم تبدأ,جاري,مكتملة,مؤجلة,ملغاة"</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5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8" customWidth="1" min="4" max="4"/>
    <col width="16" customWidth="1" min="5" max="5"/>
    <col width="28" customWidth="1" min="6" max="6"/>
    <col width="18" customWidth="1" min="7" max="7"/>
    <col width="20" customWidth="1" min="8" max="8"/>
    <col width="20" customWidth="1" min="9" max="9"/>
    <col width="16" customWidth="1" min="10" max="10"/>
    <col width="30" customWidth="1" min="11" max="11"/>
  </cols>
  <sheetData>
    <row r="1" ht="28" customHeight="1">
      <c r="A1" s="12" t="inlineStr">
        <is>
          <t>الأسبوع</t>
        </is>
      </c>
      <c r="B1" s="12" t="inlineStr">
        <is>
          <t>التاريخ</t>
        </is>
      </c>
      <c r="C1" s="12" t="inlineStr">
        <is>
          <t>المدينة</t>
        </is>
      </c>
      <c r="D1" s="12" t="inlineStr">
        <is>
          <t>المنطقة</t>
        </is>
      </c>
      <c r="E1" s="12" t="inlineStr">
        <is>
          <t>عدد المحطات</t>
        </is>
      </c>
      <c r="F1" s="12" t="inlineStr">
        <is>
          <t>أكواد المحطات</t>
        </is>
      </c>
      <c r="G1" s="12" t="inlineStr">
        <is>
          <t>كمية المناديل</t>
        </is>
      </c>
      <c r="H1" s="12" t="inlineStr">
        <is>
          <t>جهة التوزيع</t>
        </is>
      </c>
      <c r="I1" s="12" t="inlineStr">
        <is>
          <t>المسؤول</t>
        </is>
      </c>
      <c r="J1" s="12" t="inlineStr">
        <is>
          <t>الحالة</t>
        </is>
      </c>
      <c r="K1" s="12" t="inlineStr">
        <is>
          <t>ملاحظات</t>
        </is>
      </c>
    </row>
    <row r="2">
      <c r="A2" s="24" t="inlineStr">
        <is>
          <t>الأسبوع 1</t>
        </is>
      </c>
      <c r="B2" s="30" t="n">
        <v>46306</v>
      </c>
      <c r="C2" s="24" t="inlineStr">
        <is>
          <t>مكة</t>
        </is>
      </c>
      <c r="D2" s="13" t="inlineStr">
        <is>
          <t>حي المعيصم</t>
        </is>
      </c>
      <c r="E2" s="25" t="n">
        <v>1</v>
      </c>
      <c r="F2" s="24" t="inlineStr">
        <is>
          <t>MK002</t>
        </is>
      </c>
      <c r="G2" s="25">
        <f>ROUND('أساس التوزيع'!I13/'أساس التوزيع'!$C$3,0)</f>
        <v/>
      </c>
      <c r="H2" s="24" t="inlineStr">
        <is>
          <t>موظفو المحطة</t>
        </is>
      </c>
      <c r="I2" s="13" t="inlineStr">
        <is>
          <t>مشرف الوردية</t>
        </is>
      </c>
      <c r="J2" s="24" t="inlineStr">
        <is>
          <t>لم تبدأ</t>
        </is>
      </c>
      <c r="K2" s="13" t="inlineStr">
        <is>
          <t>درب المعيصم — تركيز على الذروة 6م</t>
        </is>
      </c>
    </row>
    <row r="3">
      <c r="A3" s="24" t="inlineStr">
        <is>
          <t>الأسبوع 1</t>
        </is>
      </c>
      <c r="B3" s="30" t="n">
        <v>46306</v>
      </c>
      <c r="C3" s="24" t="inlineStr">
        <is>
          <t>مكة</t>
        </is>
      </c>
      <c r="D3" s="13" t="inlineStr">
        <is>
          <t>حي الخضراء</t>
        </is>
      </c>
      <c r="E3" s="25" t="n">
        <v>1</v>
      </c>
      <c r="F3" s="24" t="inlineStr">
        <is>
          <t>MK019</t>
        </is>
      </c>
      <c r="G3" s="25">
        <f>ROUND('أساس التوزيع'!I14/'أساس التوزيع'!$C$3,0)</f>
        <v/>
      </c>
      <c r="H3" s="24" t="inlineStr">
        <is>
          <t>موظفو المحطة</t>
        </is>
      </c>
      <c r="I3" s="13" t="inlineStr">
        <is>
          <t>مشرف الوردية</t>
        </is>
      </c>
      <c r="J3" s="24" t="inlineStr">
        <is>
          <t>لم تبدأ</t>
        </is>
      </c>
      <c r="K3" s="13" t="inlineStr">
        <is>
          <t>درب عرفات الشرايع — تركيز على الذروة 9م</t>
        </is>
      </c>
    </row>
    <row r="4">
      <c r="A4" s="24" t="inlineStr">
        <is>
          <t>الأسبوع 1</t>
        </is>
      </c>
      <c r="B4" s="30" t="n">
        <v>46306</v>
      </c>
      <c r="C4" s="24" t="inlineStr">
        <is>
          <t>مكة</t>
        </is>
      </c>
      <c r="D4" s="13" t="inlineStr">
        <is>
          <t>حي الخضراء</t>
        </is>
      </c>
      <c r="E4" s="25" t="n">
        <v>1</v>
      </c>
      <c r="F4" s="24" t="inlineStr">
        <is>
          <t>MK023</t>
        </is>
      </c>
      <c r="G4" s="25">
        <f>ROUND('أساس التوزيع'!I15/'أساس التوزيع'!$C$3,0)</f>
        <v/>
      </c>
      <c r="H4" s="24" t="inlineStr">
        <is>
          <t>موظفو المحطة</t>
        </is>
      </c>
      <c r="I4" s="13" t="inlineStr">
        <is>
          <t>مشرف الوردية</t>
        </is>
      </c>
      <c r="J4" s="24" t="inlineStr">
        <is>
          <t>لم تبدأ</t>
        </is>
      </c>
      <c r="K4" s="13" t="inlineStr">
        <is>
          <t>درب بن درويش — تركيز على الذروة 5م</t>
        </is>
      </c>
    </row>
    <row r="5">
      <c r="A5" s="24" t="inlineStr">
        <is>
          <t>الأسبوع 1</t>
        </is>
      </c>
      <c r="B5" s="30" t="n">
        <v>46306</v>
      </c>
      <c r="C5" s="24" t="inlineStr">
        <is>
          <t>مكة</t>
        </is>
      </c>
      <c r="D5" s="13" t="inlineStr">
        <is>
          <t>حي العمرة الجديدة</t>
        </is>
      </c>
      <c r="E5" s="25" t="n">
        <v>1</v>
      </c>
      <c r="F5" s="24" t="inlineStr">
        <is>
          <t>MK007</t>
        </is>
      </c>
      <c r="G5" s="25">
        <f>ROUND('أساس التوزيع'!I16/'أساس التوزيع'!$C$3,0)</f>
        <v/>
      </c>
      <c r="H5" s="24" t="inlineStr">
        <is>
          <t>موظفو المحطة</t>
        </is>
      </c>
      <c r="I5" s="13" t="inlineStr">
        <is>
          <t>مشرف الوردية</t>
        </is>
      </c>
      <c r="J5" s="24" t="inlineStr">
        <is>
          <t>لم تبدأ</t>
        </is>
      </c>
      <c r="K5" s="13" t="inlineStr">
        <is>
          <t>درب العمرة النورية — تركيز على الذروة 5م</t>
        </is>
      </c>
    </row>
    <row r="6">
      <c r="A6" s="24" t="inlineStr">
        <is>
          <t>الأسبوع 1</t>
        </is>
      </c>
      <c r="B6" s="30" t="n">
        <v>46306</v>
      </c>
      <c r="C6" s="24" t="inlineStr">
        <is>
          <t>مكة</t>
        </is>
      </c>
      <c r="D6" s="13" t="inlineStr">
        <is>
          <t>حي الشوقية</t>
        </is>
      </c>
      <c r="E6" s="25" t="n">
        <v>1</v>
      </c>
      <c r="F6" s="24" t="inlineStr">
        <is>
          <t>MK017</t>
        </is>
      </c>
      <c r="G6" s="25">
        <f>ROUND('أساس التوزيع'!I17/'أساس التوزيع'!$C$3,0)</f>
        <v/>
      </c>
      <c r="H6" s="24" t="inlineStr">
        <is>
          <t>موظفو المحطة</t>
        </is>
      </c>
      <c r="I6" s="13" t="inlineStr">
        <is>
          <t>مشرف الوردية</t>
        </is>
      </c>
      <c r="J6" s="24" t="inlineStr">
        <is>
          <t>لم تبدأ</t>
        </is>
      </c>
      <c r="K6" s="13" t="inlineStr">
        <is>
          <t>درب عرفات الشوقية — تركيز على الذروة 10م</t>
        </is>
      </c>
    </row>
    <row r="7">
      <c r="A7" s="24" t="inlineStr">
        <is>
          <t>الأسبوع 2</t>
        </is>
      </c>
      <c r="B7" s="30" t="n">
        <v>46313</v>
      </c>
      <c r="C7" s="24" t="inlineStr">
        <is>
          <t>مكة</t>
        </is>
      </c>
      <c r="D7" s="13" t="inlineStr">
        <is>
          <t>حي المعيصم</t>
        </is>
      </c>
      <c r="E7" s="25" t="n">
        <v>1</v>
      </c>
      <c r="F7" s="24" t="inlineStr">
        <is>
          <t>MK002</t>
        </is>
      </c>
      <c r="G7" s="25">
        <f>ROUND('أساس التوزيع'!I13/'أساس التوزيع'!$C$3,0)</f>
        <v/>
      </c>
      <c r="H7" s="24" t="inlineStr">
        <is>
          <t>موظفو المحطة</t>
        </is>
      </c>
      <c r="I7" s="13" t="inlineStr">
        <is>
          <t>مشرف الوردية</t>
        </is>
      </c>
      <c r="J7" s="24" t="inlineStr">
        <is>
          <t>لم تبدأ</t>
        </is>
      </c>
      <c r="K7" s="13" t="inlineStr">
        <is>
          <t>درب المعيصم — تركيز على الذروة 6م</t>
        </is>
      </c>
    </row>
    <row r="8">
      <c r="A8" s="24" t="inlineStr">
        <is>
          <t>الأسبوع 2</t>
        </is>
      </c>
      <c r="B8" s="30" t="n">
        <v>46313</v>
      </c>
      <c r="C8" s="24" t="inlineStr">
        <is>
          <t>مكة</t>
        </is>
      </c>
      <c r="D8" s="13" t="inlineStr">
        <is>
          <t>حي الخضراء</t>
        </is>
      </c>
      <c r="E8" s="25" t="n">
        <v>1</v>
      </c>
      <c r="F8" s="24" t="inlineStr">
        <is>
          <t>MK019</t>
        </is>
      </c>
      <c r="G8" s="25">
        <f>ROUND('أساس التوزيع'!I14/'أساس التوزيع'!$C$3,0)</f>
        <v/>
      </c>
      <c r="H8" s="24" t="inlineStr">
        <is>
          <t>موظفو المحطة</t>
        </is>
      </c>
      <c r="I8" s="13" t="inlineStr">
        <is>
          <t>مشرف الوردية</t>
        </is>
      </c>
      <c r="J8" s="24" t="inlineStr">
        <is>
          <t>لم تبدأ</t>
        </is>
      </c>
      <c r="K8" s="13" t="inlineStr">
        <is>
          <t>درب عرفات الشرايع — تركيز على الذروة 9م</t>
        </is>
      </c>
    </row>
    <row r="9">
      <c r="A9" s="24" t="inlineStr">
        <is>
          <t>الأسبوع 2</t>
        </is>
      </c>
      <c r="B9" s="30" t="n">
        <v>46313</v>
      </c>
      <c r="C9" s="24" t="inlineStr">
        <is>
          <t>مكة</t>
        </is>
      </c>
      <c r="D9" s="13" t="inlineStr">
        <is>
          <t>حي الخضراء</t>
        </is>
      </c>
      <c r="E9" s="25" t="n">
        <v>1</v>
      </c>
      <c r="F9" s="24" t="inlineStr">
        <is>
          <t>MK023</t>
        </is>
      </c>
      <c r="G9" s="25">
        <f>ROUND('أساس التوزيع'!I15/'أساس التوزيع'!$C$3,0)</f>
        <v/>
      </c>
      <c r="H9" s="24" t="inlineStr">
        <is>
          <t>موظفو المحطة</t>
        </is>
      </c>
      <c r="I9" s="13" t="inlineStr">
        <is>
          <t>مشرف الوردية</t>
        </is>
      </c>
      <c r="J9" s="24" t="inlineStr">
        <is>
          <t>لم تبدأ</t>
        </is>
      </c>
      <c r="K9" s="13" t="inlineStr">
        <is>
          <t>درب بن درويش — تركيز على الذروة 5م</t>
        </is>
      </c>
    </row>
    <row r="10">
      <c r="A10" s="24" t="inlineStr">
        <is>
          <t>الأسبوع 2</t>
        </is>
      </c>
      <c r="B10" s="30" t="n">
        <v>46313</v>
      </c>
      <c r="C10" s="24" t="inlineStr">
        <is>
          <t>مكة</t>
        </is>
      </c>
      <c r="D10" s="13" t="inlineStr">
        <is>
          <t>حي العمرة الجديدة</t>
        </is>
      </c>
      <c r="E10" s="25" t="n">
        <v>1</v>
      </c>
      <c r="F10" s="24" t="inlineStr">
        <is>
          <t>MK007</t>
        </is>
      </c>
      <c r="G10" s="25">
        <f>ROUND('أساس التوزيع'!I16/'أساس التوزيع'!$C$3,0)</f>
        <v/>
      </c>
      <c r="H10" s="24" t="inlineStr">
        <is>
          <t>موظفو المحطة</t>
        </is>
      </c>
      <c r="I10" s="13" t="inlineStr">
        <is>
          <t>مشرف الوردية</t>
        </is>
      </c>
      <c r="J10" s="24" t="inlineStr">
        <is>
          <t>لم تبدأ</t>
        </is>
      </c>
      <c r="K10" s="13" t="inlineStr">
        <is>
          <t>درب العمرة النورية — تركيز على الذروة 5م</t>
        </is>
      </c>
    </row>
    <row r="11">
      <c r="A11" s="24" t="inlineStr">
        <is>
          <t>الأسبوع 2</t>
        </is>
      </c>
      <c r="B11" s="30" t="n">
        <v>46313</v>
      </c>
      <c r="C11" s="24" t="inlineStr">
        <is>
          <t>مكة</t>
        </is>
      </c>
      <c r="D11" s="13" t="inlineStr">
        <is>
          <t>حي الشوقية</t>
        </is>
      </c>
      <c r="E11" s="25" t="n">
        <v>1</v>
      </c>
      <c r="F11" s="24" t="inlineStr">
        <is>
          <t>MK017</t>
        </is>
      </c>
      <c r="G11" s="25">
        <f>ROUND('أساس التوزيع'!I17/'أساس التوزيع'!$C$3,0)</f>
        <v/>
      </c>
      <c r="H11" s="24" t="inlineStr">
        <is>
          <t>موظفو المحطة</t>
        </is>
      </c>
      <c r="I11" s="13" t="inlineStr">
        <is>
          <t>مشرف الوردية</t>
        </is>
      </c>
      <c r="J11" s="24" t="inlineStr">
        <is>
          <t>لم تبدأ</t>
        </is>
      </c>
      <c r="K11" s="13" t="inlineStr">
        <is>
          <t>درب عرفات الشوقية — تركيز على الذروة 10م</t>
        </is>
      </c>
    </row>
    <row r="12">
      <c r="A12" s="24" t="inlineStr">
        <is>
          <t>الأسبوع 3</t>
        </is>
      </c>
      <c r="B12" s="30" t="n">
        <v>46320</v>
      </c>
      <c r="C12" s="24" t="inlineStr">
        <is>
          <t>مكة</t>
        </is>
      </c>
      <c r="D12" s="13" t="inlineStr">
        <is>
          <t>حي المعيصم</t>
        </is>
      </c>
      <c r="E12" s="25" t="n">
        <v>1</v>
      </c>
      <c r="F12" s="24" t="inlineStr">
        <is>
          <t>MK002</t>
        </is>
      </c>
      <c r="G12" s="25">
        <f>ROUND('أساس التوزيع'!I13/'أساس التوزيع'!$C$3,0)</f>
        <v/>
      </c>
      <c r="H12" s="24" t="inlineStr">
        <is>
          <t>موظفو المحطة</t>
        </is>
      </c>
      <c r="I12" s="13" t="inlineStr">
        <is>
          <t>مشرف الوردية</t>
        </is>
      </c>
      <c r="J12" s="24" t="inlineStr">
        <is>
          <t>لم تبدأ</t>
        </is>
      </c>
      <c r="K12" s="13" t="inlineStr">
        <is>
          <t>درب المعيصم — تركيز على الذروة 6م</t>
        </is>
      </c>
    </row>
    <row r="13">
      <c r="A13" s="24" t="inlineStr">
        <is>
          <t>الأسبوع 3</t>
        </is>
      </c>
      <c r="B13" s="30" t="n">
        <v>46320</v>
      </c>
      <c r="C13" s="24" t="inlineStr">
        <is>
          <t>مكة</t>
        </is>
      </c>
      <c r="D13" s="13" t="inlineStr">
        <is>
          <t>حي الخضراء</t>
        </is>
      </c>
      <c r="E13" s="25" t="n">
        <v>1</v>
      </c>
      <c r="F13" s="24" t="inlineStr">
        <is>
          <t>MK019</t>
        </is>
      </c>
      <c r="G13" s="25">
        <f>ROUND('أساس التوزيع'!I14/'أساس التوزيع'!$C$3,0)</f>
        <v/>
      </c>
      <c r="H13" s="24" t="inlineStr">
        <is>
          <t>موظفو المحطة</t>
        </is>
      </c>
      <c r="I13" s="13" t="inlineStr">
        <is>
          <t>مشرف الوردية</t>
        </is>
      </c>
      <c r="J13" s="24" t="inlineStr">
        <is>
          <t>لم تبدأ</t>
        </is>
      </c>
      <c r="K13" s="13" t="inlineStr">
        <is>
          <t>درب عرفات الشرايع — تركيز على الذروة 9م</t>
        </is>
      </c>
    </row>
    <row r="14">
      <c r="A14" s="24" t="inlineStr">
        <is>
          <t>الأسبوع 3</t>
        </is>
      </c>
      <c r="B14" s="30" t="n">
        <v>46320</v>
      </c>
      <c r="C14" s="24" t="inlineStr">
        <is>
          <t>مكة</t>
        </is>
      </c>
      <c r="D14" s="13" t="inlineStr">
        <is>
          <t>حي الخضراء</t>
        </is>
      </c>
      <c r="E14" s="25" t="n">
        <v>1</v>
      </c>
      <c r="F14" s="24" t="inlineStr">
        <is>
          <t>MK023</t>
        </is>
      </c>
      <c r="G14" s="25">
        <f>ROUND('أساس التوزيع'!I15/'أساس التوزيع'!$C$3,0)</f>
        <v/>
      </c>
      <c r="H14" s="24" t="inlineStr">
        <is>
          <t>موظفو المحطة</t>
        </is>
      </c>
      <c r="I14" s="13" t="inlineStr">
        <is>
          <t>مشرف الوردية</t>
        </is>
      </c>
      <c r="J14" s="24" t="inlineStr">
        <is>
          <t>لم تبدأ</t>
        </is>
      </c>
      <c r="K14" s="13" t="inlineStr">
        <is>
          <t>درب بن درويش — تركيز على الذروة 5م</t>
        </is>
      </c>
    </row>
    <row r="15">
      <c r="A15" s="24" t="inlineStr">
        <is>
          <t>الأسبوع 3</t>
        </is>
      </c>
      <c r="B15" s="30" t="n">
        <v>46320</v>
      </c>
      <c r="C15" s="24" t="inlineStr">
        <is>
          <t>مكة</t>
        </is>
      </c>
      <c r="D15" s="13" t="inlineStr">
        <is>
          <t>حي العمرة الجديدة</t>
        </is>
      </c>
      <c r="E15" s="25" t="n">
        <v>1</v>
      </c>
      <c r="F15" s="24" t="inlineStr">
        <is>
          <t>MK007</t>
        </is>
      </c>
      <c r="G15" s="25">
        <f>ROUND('أساس التوزيع'!I16/'أساس التوزيع'!$C$3,0)</f>
        <v/>
      </c>
      <c r="H15" s="24" t="inlineStr">
        <is>
          <t>موظفو المحطة</t>
        </is>
      </c>
      <c r="I15" s="13" t="inlineStr">
        <is>
          <t>مشرف الوردية</t>
        </is>
      </c>
      <c r="J15" s="24" t="inlineStr">
        <is>
          <t>لم تبدأ</t>
        </is>
      </c>
      <c r="K15" s="13" t="inlineStr">
        <is>
          <t>درب العمرة النورية — تركيز على الذروة 5م</t>
        </is>
      </c>
    </row>
    <row r="16">
      <c r="A16" s="24" t="inlineStr">
        <is>
          <t>الأسبوع 3</t>
        </is>
      </c>
      <c r="B16" s="30" t="n">
        <v>46320</v>
      </c>
      <c r="C16" s="24" t="inlineStr">
        <is>
          <t>مكة</t>
        </is>
      </c>
      <c r="D16" s="13" t="inlineStr">
        <is>
          <t>حي الشوقية</t>
        </is>
      </c>
      <c r="E16" s="25" t="n">
        <v>1</v>
      </c>
      <c r="F16" s="24" t="inlineStr">
        <is>
          <t>MK017</t>
        </is>
      </c>
      <c r="G16" s="25">
        <f>ROUND('أساس التوزيع'!I17/'أساس التوزيع'!$C$3,0)</f>
        <v/>
      </c>
      <c r="H16" s="24" t="inlineStr">
        <is>
          <t>موظفو المحطة</t>
        </is>
      </c>
      <c r="I16" s="13" t="inlineStr">
        <is>
          <t>مشرف الوردية</t>
        </is>
      </c>
      <c r="J16" s="24" t="inlineStr">
        <is>
          <t>لم تبدأ</t>
        </is>
      </c>
      <c r="K16" s="13" t="inlineStr">
        <is>
          <t>درب عرفات الشوقية — تركيز على الذروة 10م</t>
        </is>
      </c>
    </row>
    <row r="17">
      <c r="A17" s="24" t="inlineStr">
        <is>
          <t>الأسبوع 4</t>
        </is>
      </c>
      <c r="B17" s="30" t="n">
        <v>46327</v>
      </c>
      <c r="C17" s="24" t="inlineStr">
        <is>
          <t>مكة</t>
        </is>
      </c>
      <c r="D17" s="13" t="inlineStr">
        <is>
          <t>حي المعيصم</t>
        </is>
      </c>
      <c r="E17" s="25" t="n">
        <v>1</v>
      </c>
      <c r="F17" s="24" t="inlineStr">
        <is>
          <t>MK002</t>
        </is>
      </c>
      <c r="G17" s="25">
        <f>ROUND('أساس التوزيع'!I13/'أساس التوزيع'!$C$3,0)</f>
        <v/>
      </c>
      <c r="H17" s="24" t="inlineStr">
        <is>
          <t>موظفو المحطة</t>
        </is>
      </c>
      <c r="I17" s="13" t="inlineStr">
        <is>
          <t>مشرف الوردية</t>
        </is>
      </c>
      <c r="J17" s="24" t="inlineStr">
        <is>
          <t>لم تبدأ</t>
        </is>
      </c>
      <c r="K17" s="13" t="inlineStr">
        <is>
          <t>درب المعيصم — تركيز على الذروة 6م</t>
        </is>
      </c>
    </row>
    <row r="18">
      <c r="A18" s="24" t="inlineStr">
        <is>
          <t>الأسبوع 4</t>
        </is>
      </c>
      <c r="B18" s="30" t="n">
        <v>46327</v>
      </c>
      <c r="C18" s="24" t="inlineStr">
        <is>
          <t>مكة</t>
        </is>
      </c>
      <c r="D18" s="13" t="inlineStr">
        <is>
          <t>حي الخضراء</t>
        </is>
      </c>
      <c r="E18" s="25" t="n">
        <v>1</v>
      </c>
      <c r="F18" s="24" t="inlineStr">
        <is>
          <t>MK019</t>
        </is>
      </c>
      <c r="G18" s="25">
        <f>ROUND('أساس التوزيع'!I14/'أساس التوزيع'!$C$3,0)</f>
        <v/>
      </c>
      <c r="H18" s="24" t="inlineStr">
        <is>
          <t>موظفو المحطة</t>
        </is>
      </c>
      <c r="I18" s="13" t="inlineStr">
        <is>
          <t>مشرف الوردية</t>
        </is>
      </c>
      <c r="J18" s="24" t="inlineStr">
        <is>
          <t>لم تبدأ</t>
        </is>
      </c>
      <c r="K18" s="13" t="inlineStr">
        <is>
          <t>درب عرفات الشرايع — تركيز على الذروة 9م</t>
        </is>
      </c>
    </row>
    <row r="19">
      <c r="A19" s="24" t="inlineStr">
        <is>
          <t>الأسبوع 4</t>
        </is>
      </c>
      <c r="B19" s="30" t="n">
        <v>46327</v>
      </c>
      <c r="C19" s="24" t="inlineStr">
        <is>
          <t>مكة</t>
        </is>
      </c>
      <c r="D19" s="13" t="inlineStr">
        <is>
          <t>حي الخضراء</t>
        </is>
      </c>
      <c r="E19" s="25" t="n">
        <v>1</v>
      </c>
      <c r="F19" s="24" t="inlineStr">
        <is>
          <t>MK023</t>
        </is>
      </c>
      <c r="G19" s="25">
        <f>ROUND('أساس التوزيع'!I15/'أساس التوزيع'!$C$3,0)</f>
        <v/>
      </c>
      <c r="H19" s="24" t="inlineStr">
        <is>
          <t>موظفو المحطة</t>
        </is>
      </c>
      <c r="I19" s="13" t="inlineStr">
        <is>
          <t>مشرف الوردية</t>
        </is>
      </c>
      <c r="J19" s="24" t="inlineStr">
        <is>
          <t>لم تبدأ</t>
        </is>
      </c>
      <c r="K19" s="13" t="inlineStr">
        <is>
          <t>درب بن درويش — تركيز على الذروة 5م</t>
        </is>
      </c>
    </row>
    <row r="20">
      <c r="A20" s="24" t="inlineStr">
        <is>
          <t>الأسبوع 4</t>
        </is>
      </c>
      <c r="B20" s="30" t="n">
        <v>46327</v>
      </c>
      <c r="C20" s="24" t="inlineStr">
        <is>
          <t>مكة</t>
        </is>
      </c>
      <c r="D20" s="13" t="inlineStr">
        <is>
          <t>حي العمرة الجديدة</t>
        </is>
      </c>
      <c r="E20" s="25" t="n">
        <v>1</v>
      </c>
      <c r="F20" s="24" t="inlineStr">
        <is>
          <t>MK007</t>
        </is>
      </c>
      <c r="G20" s="25">
        <f>ROUND('أساس التوزيع'!I16/'أساس التوزيع'!$C$3,0)</f>
        <v/>
      </c>
      <c r="H20" s="24" t="inlineStr">
        <is>
          <t>موظفو المحطة</t>
        </is>
      </c>
      <c r="I20" s="13" t="inlineStr">
        <is>
          <t>مشرف الوردية</t>
        </is>
      </c>
      <c r="J20" s="24" t="inlineStr">
        <is>
          <t>لم تبدأ</t>
        </is>
      </c>
      <c r="K20" s="13" t="inlineStr">
        <is>
          <t>درب العمرة النورية — تركيز على الذروة 5م</t>
        </is>
      </c>
    </row>
    <row r="21">
      <c r="A21" s="24" t="inlineStr">
        <is>
          <t>الأسبوع 4</t>
        </is>
      </c>
      <c r="B21" s="30" t="n">
        <v>46327</v>
      </c>
      <c r="C21" s="24" t="inlineStr">
        <is>
          <t>مكة</t>
        </is>
      </c>
      <c r="D21" s="13" t="inlineStr">
        <is>
          <t>حي الشوقية</t>
        </is>
      </c>
      <c r="E21" s="25" t="n">
        <v>1</v>
      </c>
      <c r="F21" s="24" t="inlineStr">
        <is>
          <t>MK017</t>
        </is>
      </c>
      <c r="G21" s="25">
        <f>ROUND('أساس التوزيع'!I17/'أساس التوزيع'!$C$3,0)</f>
        <v/>
      </c>
      <c r="H21" s="24" t="inlineStr">
        <is>
          <t>موظفو المحطة</t>
        </is>
      </c>
      <c r="I21" s="13" t="inlineStr">
        <is>
          <t>مشرف الوردية</t>
        </is>
      </c>
      <c r="J21" s="24" t="inlineStr">
        <is>
          <t>لم تبدأ</t>
        </is>
      </c>
      <c r="K21" s="13" t="inlineStr">
        <is>
          <t>درب عرفات الشوقية — تركيز على الذروة 10م</t>
        </is>
      </c>
    </row>
    <row r="22">
      <c r="A22" s="13" t="n"/>
      <c r="B22" s="13" t="n"/>
      <c r="C22" s="13" t="n"/>
      <c r="D22" s="13" t="n"/>
      <c r="E22" s="13" t="n"/>
      <c r="F22" s="13" t="n"/>
      <c r="G22" s="14" t="n"/>
      <c r="H22" s="13" t="n"/>
      <c r="I22" s="13" t="n"/>
      <c r="J22" s="13" t="n"/>
      <c r="K22" s="13" t="n"/>
    </row>
    <row r="23">
      <c r="A23" s="13" t="n"/>
      <c r="B23" s="13" t="n"/>
      <c r="C23" s="13" t="n"/>
      <c r="D23" s="13" t="n"/>
      <c r="E23" s="13" t="n"/>
      <c r="F23" s="13" t="n"/>
      <c r="G23" s="14" t="n"/>
      <c r="H23" s="13" t="n"/>
      <c r="I23" s="13" t="n"/>
      <c r="J23" s="13" t="n"/>
      <c r="K23" s="13" t="n"/>
    </row>
    <row r="24">
      <c r="A24" s="13" t="n"/>
      <c r="B24" s="13" t="n"/>
      <c r="C24" s="13" t="n"/>
      <c r="D24" s="13" t="n"/>
      <c r="E24" s="13" t="n"/>
      <c r="F24" s="13" t="n"/>
      <c r="G24" s="14" t="n"/>
      <c r="H24" s="13" t="n"/>
      <c r="I24" s="13" t="n"/>
      <c r="J24" s="13" t="n"/>
      <c r="K24" s="13" t="n"/>
    </row>
    <row r="25">
      <c r="A25" s="13" t="n"/>
      <c r="B25" s="13" t="n"/>
      <c r="C25" s="13" t="n"/>
      <c r="D25" s="13" t="n"/>
      <c r="E25" s="13" t="n"/>
      <c r="F25" s="13" t="n"/>
      <c r="G25" s="14" t="n"/>
      <c r="H25" s="13" t="n"/>
      <c r="I25" s="13" t="n"/>
      <c r="J25" s="13" t="n"/>
      <c r="K25" s="13" t="n"/>
    </row>
    <row r="26">
      <c r="A26" s="13" t="n"/>
      <c r="B26" s="13" t="n"/>
      <c r="C26" s="13" t="n"/>
      <c r="D26" s="13" t="n"/>
      <c r="E26" s="13" t="n"/>
      <c r="F26" s="13" t="n"/>
      <c r="G26" s="14" t="n"/>
      <c r="H26" s="13" t="n"/>
      <c r="I26" s="13" t="n"/>
      <c r="J26" s="13" t="n"/>
      <c r="K26" s="13" t="n"/>
    </row>
    <row r="27">
      <c r="A27" s="13" t="n"/>
      <c r="B27" s="13" t="n"/>
      <c r="C27" s="13" t="n"/>
      <c r="D27" s="13" t="n"/>
      <c r="E27" s="13" t="n"/>
      <c r="F27" s="13" t="n"/>
      <c r="G27" s="14" t="n"/>
      <c r="H27" s="13" t="n"/>
      <c r="I27" s="13" t="n"/>
      <c r="J27" s="13" t="n"/>
      <c r="K27" s="13" t="n"/>
    </row>
    <row r="28">
      <c r="A28" s="13" t="n"/>
      <c r="B28" s="13" t="n"/>
      <c r="C28" s="13" t="n"/>
      <c r="D28" s="13" t="n"/>
      <c r="E28" s="13" t="n"/>
      <c r="F28" s="13" t="n"/>
      <c r="G28" s="14" t="n"/>
      <c r="H28" s="13" t="n"/>
      <c r="I28" s="13" t="n"/>
      <c r="J28" s="13" t="n"/>
      <c r="K28" s="13" t="n"/>
    </row>
    <row r="29">
      <c r="A29" s="13" t="n"/>
      <c r="B29" s="13" t="n"/>
      <c r="C29" s="13" t="n"/>
      <c r="D29" s="13" t="n"/>
      <c r="E29" s="13" t="n"/>
      <c r="F29" s="13" t="n"/>
      <c r="G29" s="14" t="n"/>
      <c r="H29" s="13" t="n"/>
      <c r="I29" s="13" t="n"/>
      <c r="J29" s="13" t="n"/>
      <c r="K29" s="13" t="n"/>
    </row>
    <row r="30">
      <c r="A30" s="13" t="n"/>
      <c r="B30" s="13" t="n"/>
      <c r="C30" s="13" t="n"/>
      <c r="D30" s="13" t="n"/>
      <c r="E30" s="13" t="n"/>
      <c r="F30" s="13" t="n"/>
      <c r="G30" s="14" t="n"/>
      <c r="H30" s="13" t="n"/>
      <c r="I30" s="13" t="n"/>
      <c r="J30" s="13" t="n"/>
      <c r="K30" s="13" t="n"/>
    </row>
    <row r="31">
      <c r="A31" s="13" t="n"/>
      <c r="B31" s="13" t="n"/>
      <c r="C31" s="13" t="n"/>
      <c r="D31" s="13" t="n"/>
      <c r="E31" s="13" t="n"/>
      <c r="F31" s="13" t="n"/>
      <c r="G31" s="14" t="n"/>
      <c r="H31" s="13" t="n"/>
      <c r="I31" s="13" t="n"/>
      <c r="J31" s="13" t="n"/>
      <c r="K31" s="13" t="n"/>
    </row>
    <row r="32">
      <c r="A32" s="13" t="n"/>
      <c r="B32" s="13" t="n"/>
      <c r="C32" s="13" t="n"/>
      <c r="D32" s="13" t="n"/>
      <c r="E32" s="13" t="n"/>
      <c r="F32" s="13" t="n"/>
      <c r="G32" s="14" t="n"/>
      <c r="H32" s="13" t="n"/>
      <c r="I32" s="13" t="n"/>
      <c r="J32" s="13" t="n"/>
      <c r="K32" s="13" t="n"/>
    </row>
    <row r="33">
      <c r="A33" s="13" t="n"/>
      <c r="B33" s="13" t="n"/>
      <c r="C33" s="13" t="n"/>
      <c r="D33" s="13" t="n"/>
      <c r="E33" s="13" t="n"/>
      <c r="F33" s="13" t="n"/>
      <c r="G33" s="14" t="n"/>
      <c r="H33" s="13" t="n"/>
      <c r="I33" s="13" t="n"/>
      <c r="J33" s="13" t="n"/>
      <c r="K33" s="13" t="n"/>
    </row>
    <row r="34">
      <c r="A34" s="13" t="n"/>
      <c r="B34" s="13" t="n"/>
      <c r="C34" s="13" t="n"/>
      <c r="D34" s="13" t="n"/>
      <c r="E34" s="13" t="n"/>
      <c r="F34" s="13" t="n"/>
      <c r="G34" s="14" t="n"/>
      <c r="H34" s="13" t="n"/>
      <c r="I34" s="13" t="n"/>
      <c r="J34" s="13" t="n"/>
      <c r="K34" s="13" t="n"/>
    </row>
    <row r="35">
      <c r="A35" s="13" t="n"/>
      <c r="B35" s="13" t="n"/>
      <c r="C35" s="13" t="n"/>
      <c r="D35" s="13" t="n"/>
      <c r="E35" s="13" t="n"/>
      <c r="F35" s="13" t="n"/>
      <c r="G35" s="14" t="n"/>
      <c r="H35" s="13" t="n"/>
      <c r="I35" s="13" t="n"/>
      <c r="J35" s="13" t="n"/>
      <c r="K35" s="13" t="n"/>
    </row>
    <row r="36">
      <c r="A36" s="13" t="n"/>
      <c r="B36" s="13" t="n"/>
      <c r="C36" s="13" t="n"/>
      <c r="D36" s="13" t="n"/>
      <c r="E36" s="13" t="n"/>
      <c r="F36" s="13" t="n"/>
      <c r="G36" s="14" t="n"/>
      <c r="H36" s="13" t="n"/>
      <c r="I36" s="13" t="n"/>
      <c r="J36" s="13" t="n"/>
      <c r="K36" s="13" t="n"/>
    </row>
    <row r="37">
      <c r="A37" s="13" t="n"/>
      <c r="B37" s="13" t="n"/>
      <c r="C37" s="13" t="n"/>
      <c r="D37" s="13" t="n"/>
      <c r="E37" s="13" t="n"/>
      <c r="F37" s="13" t="n"/>
      <c r="G37" s="14" t="n"/>
      <c r="H37" s="13" t="n"/>
      <c r="I37" s="13" t="n"/>
      <c r="J37" s="13" t="n"/>
      <c r="K37" s="13" t="n"/>
    </row>
    <row r="38">
      <c r="A38" s="13" t="n"/>
      <c r="B38" s="13" t="n"/>
      <c r="C38" s="13" t="n"/>
      <c r="D38" s="13" t="n"/>
      <c r="E38" s="13" t="n"/>
      <c r="F38" s="13" t="n"/>
      <c r="G38" s="14" t="n"/>
      <c r="H38" s="13" t="n"/>
      <c r="I38" s="13" t="n"/>
      <c r="J38" s="13" t="n"/>
      <c r="K38" s="13" t="n"/>
    </row>
    <row r="39">
      <c r="A39" s="13" t="n"/>
      <c r="B39" s="13" t="n"/>
      <c r="C39" s="13" t="n"/>
      <c r="D39" s="13" t="n"/>
      <c r="E39" s="13" t="n"/>
      <c r="F39" s="13" t="n"/>
      <c r="G39" s="14" t="n"/>
      <c r="H39" s="13" t="n"/>
      <c r="I39" s="13" t="n"/>
      <c r="J39" s="13" t="n"/>
      <c r="K39" s="13" t="n"/>
    </row>
    <row r="40">
      <c r="A40" s="13" t="n"/>
      <c r="B40" s="13" t="n"/>
      <c r="C40" s="13" t="n"/>
      <c r="D40" s="13" t="n"/>
      <c r="E40" s="13" t="n"/>
      <c r="F40" s="13" t="n"/>
      <c r="G40" s="14" t="n"/>
      <c r="H40" s="13" t="n"/>
      <c r="I40" s="13" t="n"/>
      <c r="J40" s="13" t="n"/>
      <c r="K40" s="13" t="n"/>
    </row>
    <row r="41">
      <c r="A41" s="13" t="n"/>
      <c r="B41" s="13" t="n"/>
      <c r="C41" s="13" t="n"/>
      <c r="D41" s="13" t="n"/>
      <c r="E41" s="13" t="n"/>
      <c r="F41" s="13" t="n"/>
      <c r="G41" s="14" t="n"/>
      <c r="H41" s="13" t="n"/>
      <c r="I41" s="13" t="n"/>
      <c r="J41" s="13" t="n"/>
      <c r="K41" s="13" t="n"/>
    </row>
    <row r="42">
      <c r="A42" s="13" t="n"/>
      <c r="B42" s="13" t="n"/>
      <c r="C42" s="13" t="n"/>
      <c r="D42" s="13" t="n"/>
      <c r="E42" s="13" t="n"/>
      <c r="F42" s="13" t="n"/>
      <c r="G42" s="14" t="n"/>
      <c r="H42" s="13" t="n"/>
      <c r="I42" s="13" t="n"/>
      <c r="J42" s="13" t="n"/>
      <c r="K42" s="13" t="n"/>
    </row>
    <row r="43">
      <c r="A43" s="13" t="n"/>
      <c r="B43" s="13" t="n"/>
      <c r="C43" s="13" t="n"/>
      <c r="D43" s="13" t="n"/>
      <c r="E43" s="13" t="n"/>
      <c r="F43" s="13" t="n"/>
      <c r="G43" s="14" t="n"/>
      <c r="H43" s="13" t="n"/>
      <c r="I43" s="13" t="n"/>
      <c r="J43" s="13" t="n"/>
      <c r="K43" s="13" t="n"/>
    </row>
    <row r="44">
      <c r="A44" s="13" t="n"/>
      <c r="B44" s="13" t="n"/>
      <c r="C44" s="13" t="n"/>
      <c r="D44" s="13" t="n"/>
      <c r="E44" s="13" t="n"/>
      <c r="F44" s="13" t="n"/>
      <c r="G44" s="14" t="n"/>
      <c r="H44" s="13" t="n"/>
      <c r="I44" s="13" t="n"/>
      <c r="J44" s="13" t="n"/>
      <c r="K44" s="13" t="n"/>
    </row>
    <row r="45">
      <c r="A45" s="13" t="n"/>
      <c r="B45" s="13" t="n"/>
      <c r="C45" s="13" t="n"/>
      <c r="D45" s="13" t="n"/>
      <c r="E45" s="13" t="n"/>
      <c r="F45" s="13" t="n"/>
      <c r="G45" s="14" t="n"/>
      <c r="H45" s="13" t="n"/>
      <c r="I45" s="13" t="n"/>
      <c r="J45" s="13" t="n"/>
      <c r="K45" s="13" t="n"/>
    </row>
    <row r="46">
      <c r="A46" s="13" t="n"/>
      <c r="B46" s="13" t="n"/>
      <c r="C46" s="13" t="n"/>
      <c r="D46" s="13" t="n"/>
      <c r="E46" s="13" t="n"/>
      <c r="F46" s="13" t="n"/>
      <c r="G46" s="14" t="n"/>
      <c r="H46" s="13" t="n"/>
      <c r="I46" s="13" t="n"/>
      <c r="J46" s="13" t="n"/>
      <c r="K46" s="13" t="n"/>
    </row>
    <row r="47">
      <c r="A47" s="13" t="n"/>
      <c r="B47" s="13" t="n"/>
      <c r="C47" s="13" t="n"/>
      <c r="D47" s="13" t="n"/>
      <c r="E47" s="13" t="n"/>
      <c r="F47" s="13" t="n"/>
      <c r="G47" s="14" t="n"/>
      <c r="H47" s="13" t="n"/>
      <c r="I47" s="13" t="n"/>
      <c r="J47" s="13" t="n"/>
      <c r="K47" s="13" t="n"/>
    </row>
    <row r="48">
      <c r="A48" s="13" t="n"/>
      <c r="B48" s="13" t="n"/>
      <c r="C48" s="13" t="n"/>
      <c r="D48" s="13" t="n"/>
      <c r="E48" s="13" t="n"/>
      <c r="F48" s="13" t="n"/>
      <c r="G48" s="14" t="n"/>
      <c r="H48" s="13" t="n"/>
      <c r="I48" s="13" t="n"/>
      <c r="J48" s="13" t="n"/>
      <c r="K48" s="13" t="n"/>
    </row>
    <row r="49">
      <c r="A49" s="13" t="n"/>
      <c r="B49" s="13" t="n"/>
      <c r="C49" s="13" t="n"/>
      <c r="D49" s="13" t="n"/>
      <c r="E49" s="13" t="n"/>
      <c r="F49" s="13" t="n"/>
      <c r="G49" s="14" t="n"/>
      <c r="H49" s="13" t="n"/>
      <c r="I49" s="13" t="n"/>
      <c r="J49" s="13" t="n"/>
      <c r="K49" s="13" t="n"/>
    </row>
    <row r="50">
      <c r="A50" s="13" t="n"/>
      <c r="B50" s="13" t="n"/>
      <c r="C50" s="13" t="n"/>
      <c r="D50" s="13" t="n"/>
      <c r="E50" s="13" t="n"/>
      <c r="F50" s="13" t="n"/>
      <c r="G50" s="14" t="n"/>
      <c r="H50" s="13" t="n"/>
      <c r="I50" s="13" t="n"/>
      <c r="J50" s="13" t="n"/>
      <c r="K50" s="13" t="n"/>
    </row>
    <row r="51">
      <c r="A51" s="13" t="n"/>
      <c r="B51" s="13" t="n"/>
      <c r="C51" s="13" t="n"/>
      <c r="D51" s="13" t="n"/>
      <c r="E51" s="13" t="n"/>
      <c r="F51" s="13" t="n"/>
      <c r="G51" s="14" t="n"/>
      <c r="H51" s="13" t="n"/>
      <c r="I51" s="13" t="n"/>
      <c r="J51" s="13" t="n"/>
      <c r="K51" s="13" t="n"/>
    </row>
  </sheetData>
  <conditionalFormatting sqref="J2:J101">
    <cfRule type="expression" priority="1" dxfId="0">
      <formula>J2="مكتملة"</formula>
    </cfRule>
    <cfRule type="expression" priority="2" dxfId="1">
      <formula>J2="جاري"</formula>
    </cfRule>
    <cfRule type="expression" priority="3" dxfId="2">
      <formula>J2="مؤجلة"</formula>
    </cfRule>
  </conditionalFormatting>
  <dataValidations count="2">
    <dataValidation sqref="H2:H51" showDropDown="0" showInputMessage="0" showErrorMessage="0" allowBlank="1" type="list">
      <formula1>"فريق ميداني,موظفو المحطة,مزود خدمة,أخرى"</formula1>
    </dataValidation>
    <dataValidation sqref="J2:J51" showDropDown="0" showInputMessage="0" showErrorMessage="0" allowBlank="1" type="list">
      <formula1>"لم تبدأ,جاري,مكتملة,مؤجلة,ملغاة"</formula1>
    </dataValidation>
  </dataValidation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8" customWidth="1" min="4" max="4"/>
    <col width="18" customWidth="1" min="5" max="5"/>
    <col width="18" customWidth="1" min="6" max="6"/>
    <col width="14" customWidth="1" min="7" max="7"/>
    <col width="24" customWidth="1" min="8" max="8"/>
    <col width="16" customWidth="1" min="9" max="9"/>
    <col width="32" customWidth="1" min="10" max="10"/>
    <col width="30" customWidth="1" min="11" max="11"/>
  </cols>
  <sheetData>
    <row r="1" ht="28" customHeight="1">
      <c r="A1" s="12" t="inlineStr">
        <is>
          <t>م</t>
        </is>
      </c>
      <c r="B1" s="12" t="inlineStr">
        <is>
          <t>كود المحطة</t>
        </is>
      </c>
      <c r="C1" s="12" t="inlineStr">
        <is>
          <t>اسم المحطة</t>
        </is>
      </c>
      <c r="D1" s="12" t="inlineStr">
        <is>
          <t>تاريخ التوزيع</t>
        </is>
      </c>
      <c r="E1" s="12" t="inlineStr">
        <is>
          <t>الكمية المخططة</t>
        </is>
      </c>
      <c r="F1" s="12" t="inlineStr">
        <is>
          <t>الكمية الفعلية</t>
        </is>
      </c>
      <c r="G1" s="12" t="inlineStr">
        <is>
          <t>الفرق</t>
        </is>
      </c>
      <c r="H1" s="12" t="inlineStr">
        <is>
          <t>المستلم/المسؤول</t>
        </is>
      </c>
      <c r="I1" s="12" t="inlineStr">
        <is>
          <t>الحالة</t>
        </is>
      </c>
      <c r="J1" s="12" t="inlineStr">
        <is>
          <t>رابط الصور/الإثبات</t>
        </is>
      </c>
      <c r="K1" s="12" t="inlineStr">
        <is>
          <t>ملاحظات</t>
        </is>
      </c>
    </row>
    <row r="2">
      <c r="A2" s="13" t="n">
        <v>1</v>
      </c>
      <c r="B2" s="24" t="inlineStr">
        <is>
          <t>MK002</t>
        </is>
      </c>
      <c r="C2" s="13" t="inlineStr">
        <is>
          <t>درب المعيصم</t>
        </is>
      </c>
      <c r="D2" s="30" t="n">
        <v>46306</v>
      </c>
      <c r="E2" s="25">
        <f>'خطة التوزيع'!G2</f>
        <v/>
      </c>
      <c r="F2" s="14" t="n"/>
      <c r="G2" s="14">
        <f>IF(OR(E2="",F2=""),"",F2-E2)</f>
        <v/>
      </c>
      <c r="H2" s="13" t="n"/>
      <c r="I2" s="24" t="inlineStr">
        <is>
          <t>لم تبدأ</t>
        </is>
      </c>
      <c r="J2" s="13" t="n"/>
      <c r="K2" s="24" t="inlineStr">
        <is>
          <t>الأسبوع 1</t>
        </is>
      </c>
    </row>
    <row r="3">
      <c r="A3" s="13" t="n">
        <v>2</v>
      </c>
      <c r="B3" s="24" t="inlineStr">
        <is>
          <t>MK019</t>
        </is>
      </c>
      <c r="C3" s="13" t="inlineStr">
        <is>
          <t>درب عرفات الشرايع</t>
        </is>
      </c>
      <c r="D3" s="30" t="n">
        <v>46306</v>
      </c>
      <c r="E3" s="25">
        <f>'خطة التوزيع'!G3</f>
        <v/>
      </c>
      <c r="F3" s="14" t="n"/>
      <c r="G3" s="14">
        <f>IF(OR(E3="",F3=""),"",F3-E3)</f>
        <v/>
      </c>
      <c r="H3" s="13" t="n"/>
      <c r="I3" s="24" t="inlineStr">
        <is>
          <t>لم تبدأ</t>
        </is>
      </c>
      <c r="J3" s="13" t="n"/>
      <c r="K3" s="24" t="inlineStr">
        <is>
          <t>الأسبوع 1</t>
        </is>
      </c>
    </row>
    <row r="4">
      <c r="A4" s="13" t="n">
        <v>3</v>
      </c>
      <c r="B4" s="24" t="inlineStr">
        <is>
          <t>MK023</t>
        </is>
      </c>
      <c r="C4" s="13" t="inlineStr">
        <is>
          <t>درب بن درويش</t>
        </is>
      </c>
      <c r="D4" s="30" t="n">
        <v>46306</v>
      </c>
      <c r="E4" s="25">
        <f>'خطة التوزيع'!G4</f>
        <v/>
      </c>
      <c r="F4" s="14" t="n"/>
      <c r="G4" s="14">
        <f>IF(OR(E4="",F4=""),"",F4-E4)</f>
        <v/>
      </c>
      <c r="H4" s="13" t="n"/>
      <c r="I4" s="24" t="inlineStr">
        <is>
          <t>لم تبدأ</t>
        </is>
      </c>
      <c r="J4" s="13" t="n"/>
      <c r="K4" s="24" t="inlineStr">
        <is>
          <t>الأسبوع 1</t>
        </is>
      </c>
    </row>
    <row r="5">
      <c r="A5" s="13" t="n">
        <v>4</v>
      </c>
      <c r="B5" s="24" t="inlineStr">
        <is>
          <t>MK007</t>
        </is>
      </c>
      <c r="C5" s="13" t="inlineStr">
        <is>
          <t>درب العمرة النورية</t>
        </is>
      </c>
      <c r="D5" s="30" t="n">
        <v>46306</v>
      </c>
      <c r="E5" s="25">
        <f>'خطة التوزيع'!G5</f>
        <v/>
      </c>
      <c r="F5" s="14" t="n"/>
      <c r="G5" s="14">
        <f>IF(OR(E5="",F5=""),"",F5-E5)</f>
        <v/>
      </c>
      <c r="H5" s="13" t="n"/>
      <c r="I5" s="24" t="inlineStr">
        <is>
          <t>لم تبدأ</t>
        </is>
      </c>
      <c r="J5" s="13" t="n"/>
      <c r="K5" s="24" t="inlineStr">
        <is>
          <t>الأسبوع 1</t>
        </is>
      </c>
    </row>
    <row r="6">
      <c r="A6" s="13" t="n">
        <v>5</v>
      </c>
      <c r="B6" s="24" t="inlineStr">
        <is>
          <t>MK017</t>
        </is>
      </c>
      <c r="C6" s="13" t="inlineStr">
        <is>
          <t>درب عرفات الشوقية</t>
        </is>
      </c>
      <c r="D6" s="30" t="n">
        <v>46306</v>
      </c>
      <c r="E6" s="25">
        <f>'خطة التوزيع'!G6</f>
        <v/>
      </c>
      <c r="F6" s="14" t="n"/>
      <c r="G6" s="14">
        <f>IF(OR(E6="",F6=""),"",F6-E6)</f>
        <v/>
      </c>
      <c r="H6" s="13" t="n"/>
      <c r="I6" s="24" t="inlineStr">
        <is>
          <t>لم تبدأ</t>
        </is>
      </c>
      <c r="J6" s="13" t="n"/>
      <c r="K6" s="24" t="inlineStr">
        <is>
          <t>الأسبوع 1</t>
        </is>
      </c>
    </row>
    <row r="7">
      <c r="A7" s="13" t="n">
        <v>6</v>
      </c>
      <c r="B7" s="24" t="inlineStr">
        <is>
          <t>MK002</t>
        </is>
      </c>
      <c r="C7" s="13" t="inlineStr">
        <is>
          <t>درب المعيصم</t>
        </is>
      </c>
      <c r="D7" s="30" t="n">
        <v>46313</v>
      </c>
      <c r="E7" s="25">
        <f>'خطة التوزيع'!G7</f>
        <v/>
      </c>
      <c r="F7" s="14" t="n"/>
      <c r="G7" s="14">
        <f>IF(OR(E7="",F7=""),"",F7-E7)</f>
        <v/>
      </c>
      <c r="H7" s="13" t="n"/>
      <c r="I7" s="24" t="inlineStr">
        <is>
          <t>لم تبدأ</t>
        </is>
      </c>
      <c r="J7" s="13" t="n"/>
      <c r="K7" s="24" t="inlineStr">
        <is>
          <t>الأسبوع 2</t>
        </is>
      </c>
    </row>
    <row r="8">
      <c r="A8" s="13" t="n">
        <v>7</v>
      </c>
      <c r="B8" s="24" t="inlineStr">
        <is>
          <t>MK019</t>
        </is>
      </c>
      <c r="C8" s="13" t="inlineStr">
        <is>
          <t>درب عرفات الشرايع</t>
        </is>
      </c>
      <c r="D8" s="30" t="n">
        <v>46313</v>
      </c>
      <c r="E8" s="25">
        <f>'خطة التوزيع'!G8</f>
        <v/>
      </c>
      <c r="F8" s="14" t="n"/>
      <c r="G8" s="14">
        <f>IF(OR(E8="",F8=""),"",F8-E8)</f>
        <v/>
      </c>
      <c r="H8" s="13" t="n"/>
      <c r="I8" s="24" t="inlineStr">
        <is>
          <t>لم تبدأ</t>
        </is>
      </c>
      <c r="J8" s="13" t="n"/>
      <c r="K8" s="24" t="inlineStr">
        <is>
          <t>الأسبوع 2</t>
        </is>
      </c>
    </row>
    <row r="9">
      <c r="A9" s="13" t="n">
        <v>8</v>
      </c>
      <c r="B9" s="24" t="inlineStr">
        <is>
          <t>MK023</t>
        </is>
      </c>
      <c r="C9" s="13" t="inlineStr">
        <is>
          <t>درب بن درويش</t>
        </is>
      </c>
      <c r="D9" s="30" t="n">
        <v>46313</v>
      </c>
      <c r="E9" s="25">
        <f>'خطة التوزيع'!G9</f>
        <v/>
      </c>
      <c r="F9" s="14" t="n"/>
      <c r="G9" s="14">
        <f>IF(OR(E9="",F9=""),"",F9-E9)</f>
        <v/>
      </c>
      <c r="H9" s="13" t="n"/>
      <c r="I9" s="24" t="inlineStr">
        <is>
          <t>لم تبدأ</t>
        </is>
      </c>
      <c r="J9" s="13" t="n"/>
      <c r="K9" s="24" t="inlineStr">
        <is>
          <t>الأسبوع 2</t>
        </is>
      </c>
    </row>
    <row r="10">
      <c r="A10" s="13" t="n">
        <v>9</v>
      </c>
      <c r="B10" s="24" t="inlineStr">
        <is>
          <t>MK007</t>
        </is>
      </c>
      <c r="C10" s="13" t="inlineStr">
        <is>
          <t>درب العمرة النورية</t>
        </is>
      </c>
      <c r="D10" s="30" t="n">
        <v>46313</v>
      </c>
      <c r="E10" s="25">
        <f>'خطة التوزيع'!G10</f>
        <v/>
      </c>
      <c r="F10" s="14" t="n"/>
      <c r="G10" s="14">
        <f>IF(OR(E10="",F10=""),"",F10-E10)</f>
        <v/>
      </c>
      <c r="H10" s="13" t="n"/>
      <c r="I10" s="24" t="inlineStr">
        <is>
          <t>لم تبدأ</t>
        </is>
      </c>
      <c r="J10" s="13" t="n"/>
      <c r="K10" s="24" t="inlineStr">
        <is>
          <t>الأسبوع 2</t>
        </is>
      </c>
    </row>
    <row r="11">
      <c r="A11" s="13" t="n">
        <v>10</v>
      </c>
      <c r="B11" s="24" t="inlineStr">
        <is>
          <t>MK017</t>
        </is>
      </c>
      <c r="C11" s="13" t="inlineStr">
        <is>
          <t>درب عرفات الشوقية</t>
        </is>
      </c>
      <c r="D11" s="30" t="n">
        <v>46313</v>
      </c>
      <c r="E11" s="25">
        <f>'خطة التوزيع'!G11</f>
        <v/>
      </c>
      <c r="F11" s="14" t="n"/>
      <c r="G11" s="14">
        <f>IF(OR(E11="",F11=""),"",F11-E11)</f>
        <v/>
      </c>
      <c r="H11" s="13" t="n"/>
      <c r="I11" s="24" t="inlineStr">
        <is>
          <t>لم تبدأ</t>
        </is>
      </c>
      <c r="J11" s="13" t="n"/>
      <c r="K11" s="24" t="inlineStr">
        <is>
          <t>الأسبوع 2</t>
        </is>
      </c>
    </row>
    <row r="12">
      <c r="A12" s="13" t="n">
        <v>11</v>
      </c>
      <c r="B12" s="24" t="inlineStr">
        <is>
          <t>MK002</t>
        </is>
      </c>
      <c r="C12" s="13" t="inlineStr">
        <is>
          <t>درب المعيصم</t>
        </is>
      </c>
      <c r="D12" s="30" t="n">
        <v>46320</v>
      </c>
      <c r="E12" s="25">
        <f>'خطة التوزيع'!G12</f>
        <v/>
      </c>
      <c r="F12" s="14" t="n"/>
      <c r="G12" s="14">
        <f>IF(OR(E12="",F12=""),"",F12-E12)</f>
        <v/>
      </c>
      <c r="H12" s="13" t="n"/>
      <c r="I12" s="24" t="inlineStr">
        <is>
          <t>لم تبدأ</t>
        </is>
      </c>
      <c r="J12" s="13" t="n"/>
      <c r="K12" s="24" t="inlineStr">
        <is>
          <t>الأسبوع 3</t>
        </is>
      </c>
    </row>
    <row r="13">
      <c r="A13" s="13" t="n">
        <v>12</v>
      </c>
      <c r="B13" s="24" t="inlineStr">
        <is>
          <t>MK019</t>
        </is>
      </c>
      <c r="C13" s="13" t="inlineStr">
        <is>
          <t>درب عرفات الشرايع</t>
        </is>
      </c>
      <c r="D13" s="30" t="n">
        <v>46320</v>
      </c>
      <c r="E13" s="25">
        <f>'خطة التوزيع'!G13</f>
        <v/>
      </c>
      <c r="F13" s="14" t="n"/>
      <c r="G13" s="14">
        <f>IF(OR(E13="",F13=""),"",F13-E13)</f>
        <v/>
      </c>
      <c r="H13" s="13" t="n"/>
      <c r="I13" s="24" t="inlineStr">
        <is>
          <t>لم تبدأ</t>
        </is>
      </c>
      <c r="J13" s="13" t="n"/>
      <c r="K13" s="24" t="inlineStr">
        <is>
          <t>الأسبوع 3</t>
        </is>
      </c>
    </row>
    <row r="14">
      <c r="A14" s="13" t="n">
        <v>13</v>
      </c>
      <c r="B14" s="24" t="inlineStr">
        <is>
          <t>MK023</t>
        </is>
      </c>
      <c r="C14" s="13" t="inlineStr">
        <is>
          <t>درب بن درويش</t>
        </is>
      </c>
      <c r="D14" s="30" t="n">
        <v>46320</v>
      </c>
      <c r="E14" s="25">
        <f>'خطة التوزيع'!G14</f>
        <v/>
      </c>
      <c r="F14" s="14" t="n"/>
      <c r="G14" s="14">
        <f>IF(OR(E14="",F14=""),"",F14-E14)</f>
        <v/>
      </c>
      <c r="H14" s="13" t="n"/>
      <c r="I14" s="24" t="inlineStr">
        <is>
          <t>لم تبدأ</t>
        </is>
      </c>
      <c r="J14" s="13" t="n"/>
      <c r="K14" s="24" t="inlineStr">
        <is>
          <t>الأسبوع 3</t>
        </is>
      </c>
    </row>
    <row r="15">
      <c r="A15" s="13" t="n">
        <v>14</v>
      </c>
      <c r="B15" s="24" t="inlineStr">
        <is>
          <t>MK007</t>
        </is>
      </c>
      <c r="C15" s="13" t="inlineStr">
        <is>
          <t>درب العمرة النورية</t>
        </is>
      </c>
      <c r="D15" s="30" t="n">
        <v>46320</v>
      </c>
      <c r="E15" s="25">
        <f>'خطة التوزيع'!G15</f>
        <v/>
      </c>
      <c r="F15" s="14" t="n"/>
      <c r="G15" s="14">
        <f>IF(OR(E15="",F15=""),"",F15-E15)</f>
        <v/>
      </c>
      <c r="H15" s="13" t="n"/>
      <c r="I15" s="24" t="inlineStr">
        <is>
          <t>لم تبدأ</t>
        </is>
      </c>
      <c r="J15" s="13" t="n"/>
      <c r="K15" s="24" t="inlineStr">
        <is>
          <t>الأسبوع 3</t>
        </is>
      </c>
    </row>
    <row r="16">
      <c r="A16" s="13" t="n">
        <v>15</v>
      </c>
      <c r="B16" s="24" t="inlineStr">
        <is>
          <t>MK017</t>
        </is>
      </c>
      <c r="C16" s="13" t="inlineStr">
        <is>
          <t>درب عرفات الشوقية</t>
        </is>
      </c>
      <c r="D16" s="30" t="n">
        <v>46320</v>
      </c>
      <c r="E16" s="25">
        <f>'خطة التوزيع'!G16</f>
        <v/>
      </c>
      <c r="F16" s="14" t="n"/>
      <c r="G16" s="14">
        <f>IF(OR(E16="",F16=""),"",F16-E16)</f>
        <v/>
      </c>
      <c r="H16" s="13" t="n"/>
      <c r="I16" s="24" t="inlineStr">
        <is>
          <t>لم تبدأ</t>
        </is>
      </c>
      <c r="J16" s="13" t="n"/>
      <c r="K16" s="24" t="inlineStr">
        <is>
          <t>الأسبوع 3</t>
        </is>
      </c>
    </row>
    <row r="17">
      <c r="A17" s="13" t="n">
        <v>16</v>
      </c>
      <c r="B17" s="24" t="inlineStr">
        <is>
          <t>MK002</t>
        </is>
      </c>
      <c r="C17" s="13" t="inlineStr">
        <is>
          <t>درب المعيصم</t>
        </is>
      </c>
      <c r="D17" s="30" t="n">
        <v>46327</v>
      </c>
      <c r="E17" s="25">
        <f>'خطة التوزيع'!G17</f>
        <v/>
      </c>
      <c r="F17" s="14" t="n"/>
      <c r="G17" s="14">
        <f>IF(OR(E17="",F17=""),"",F17-E17)</f>
        <v/>
      </c>
      <c r="H17" s="13" t="n"/>
      <c r="I17" s="24" t="inlineStr">
        <is>
          <t>لم تبدأ</t>
        </is>
      </c>
      <c r="J17" s="13" t="n"/>
      <c r="K17" s="24" t="inlineStr">
        <is>
          <t>الأسبوع 4</t>
        </is>
      </c>
    </row>
    <row r="18">
      <c r="A18" s="13" t="n">
        <v>17</v>
      </c>
      <c r="B18" s="24" t="inlineStr">
        <is>
          <t>MK019</t>
        </is>
      </c>
      <c r="C18" s="13" t="inlineStr">
        <is>
          <t>درب عرفات الشرايع</t>
        </is>
      </c>
      <c r="D18" s="30" t="n">
        <v>46327</v>
      </c>
      <c r="E18" s="25">
        <f>'خطة التوزيع'!G18</f>
        <v/>
      </c>
      <c r="F18" s="14" t="n"/>
      <c r="G18" s="14">
        <f>IF(OR(E18="",F18=""),"",F18-E18)</f>
        <v/>
      </c>
      <c r="H18" s="13" t="n"/>
      <c r="I18" s="24" t="inlineStr">
        <is>
          <t>لم تبدأ</t>
        </is>
      </c>
      <c r="J18" s="13" t="n"/>
      <c r="K18" s="24" t="inlineStr">
        <is>
          <t>الأسبوع 4</t>
        </is>
      </c>
    </row>
    <row r="19">
      <c r="A19" s="13" t="n">
        <v>18</v>
      </c>
      <c r="B19" s="24" t="inlineStr">
        <is>
          <t>MK023</t>
        </is>
      </c>
      <c r="C19" s="13" t="inlineStr">
        <is>
          <t>درب بن درويش</t>
        </is>
      </c>
      <c r="D19" s="30" t="n">
        <v>46327</v>
      </c>
      <c r="E19" s="25">
        <f>'خطة التوزيع'!G19</f>
        <v/>
      </c>
      <c r="F19" s="14" t="n"/>
      <c r="G19" s="14">
        <f>IF(OR(E19="",F19=""),"",F19-E19)</f>
        <v/>
      </c>
      <c r="H19" s="13" t="n"/>
      <c r="I19" s="24" t="inlineStr">
        <is>
          <t>لم تبدأ</t>
        </is>
      </c>
      <c r="J19" s="13" t="n"/>
      <c r="K19" s="24" t="inlineStr">
        <is>
          <t>الأسبوع 4</t>
        </is>
      </c>
    </row>
    <row r="20">
      <c r="A20" s="13" t="n">
        <v>19</v>
      </c>
      <c r="B20" s="24" t="inlineStr">
        <is>
          <t>MK007</t>
        </is>
      </c>
      <c r="C20" s="13" t="inlineStr">
        <is>
          <t>درب العمرة النورية</t>
        </is>
      </c>
      <c r="D20" s="30" t="n">
        <v>46327</v>
      </c>
      <c r="E20" s="25">
        <f>'خطة التوزيع'!G20</f>
        <v/>
      </c>
      <c r="F20" s="14" t="n"/>
      <c r="G20" s="14">
        <f>IF(OR(E20="",F20=""),"",F20-E20)</f>
        <v/>
      </c>
      <c r="H20" s="13" t="n"/>
      <c r="I20" s="24" t="inlineStr">
        <is>
          <t>لم تبدأ</t>
        </is>
      </c>
      <c r="J20" s="13" t="n"/>
      <c r="K20" s="24" t="inlineStr">
        <is>
          <t>الأسبوع 4</t>
        </is>
      </c>
    </row>
    <row r="21">
      <c r="A21" s="13" t="n">
        <v>20</v>
      </c>
      <c r="B21" s="24" t="inlineStr">
        <is>
          <t>MK017</t>
        </is>
      </c>
      <c r="C21" s="13" t="inlineStr">
        <is>
          <t>درب عرفات الشوقية</t>
        </is>
      </c>
      <c r="D21" s="30" t="n">
        <v>46327</v>
      </c>
      <c r="E21" s="25">
        <f>'خطة التوزيع'!G21</f>
        <v/>
      </c>
      <c r="F21" s="14" t="n"/>
      <c r="G21" s="14">
        <f>IF(OR(E21="",F21=""),"",F21-E21)</f>
        <v/>
      </c>
      <c r="H21" s="13" t="n"/>
      <c r="I21" s="24" t="inlineStr">
        <is>
          <t>لم تبدأ</t>
        </is>
      </c>
      <c r="J21" s="13" t="n"/>
      <c r="K21" s="24" t="inlineStr">
        <is>
          <t>الأسبوع 4</t>
        </is>
      </c>
    </row>
    <row r="22">
      <c r="A22" s="13" t="n">
        <v>21</v>
      </c>
      <c r="B22" s="13" t="n"/>
      <c r="C22" s="13" t="n"/>
      <c r="D22" s="31" t="n"/>
      <c r="E22" s="14" t="n"/>
      <c r="F22" s="14" t="n"/>
      <c r="G22" s="14">
        <f>IF(OR(E22="",F22=""),"",F22-E22)</f>
        <v/>
      </c>
      <c r="H22" s="13" t="n"/>
      <c r="I22" s="13" t="n"/>
      <c r="J22" s="13" t="n"/>
      <c r="K22" s="13" t="n"/>
    </row>
    <row r="23">
      <c r="A23" s="13" t="n">
        <v>22</v>
      </c>
      <c r="B23" s="13" t="n"/>
      <c r="C23" s="13" t="n"/>
      <c r="D23" s="31" t="n"/>
      <c r="E23" s="14" t="n"/>
      <c r="F23" s="14" t="n"/>
      <c r="G23" s="14">
        <f>IF(OR(E23="",F23=""),"",F23-E23)</f>
        <v/>
      </c>
      <c r="H23" s="13" t="n"/>
      <c r="I23" s="13" t="n"/>
      <c r="J23" s="13" t="n"/>
      <c r="K23" s="13" t="n"/>
    </row>
    <row r="24">
      <c r="A24" s="13" t="n">
        <v>23</v>
      </c>
      <c r="B24" s="13" t="n"/>
      <c r="C24" s="13" t="n"/>
      <c r="D24" s="31" t="n"/>
      <c r="E24" s="14" t="n"/>
      <c r="F24" s="14" t="n"/>
      <c r="G24" s="14">
        <f>IF(OR(E24="",F24=""),"",F24-E24)</f>
        <v/>
      </c>
      <c r="H24" s="13" t="n"/>
      <c r="I24" s="13" t="n"/>
      <c r="J24" s="13" t="n"/>
      <c r="K24" s="13" t="n"/>
    </row>
    <row r="25">
      <c r="A25" s="13" t="n">
        <v>24</v>
      </c>
      <c r="B25" s="13" t="n"/>
      <c r="C25" s="13" t="n"/>
      <c r="D25" s="31" t="n"/>
      <c r="E25" s="14" t="n"/>
      <c r="F25" s="14" t="n"/>
      <c r="G25" s="14">
        <f>IF(OR(E25="",F25=""),"",F25-E25)</f>
        <v/>
      </c>
      <c r="H25" s="13" t="n"/>
      <c r="I25" s="13" t="n"/>
      <c r="J25" s="13" t="n"/>
      <c r="K25" s="13" t="n"/>
    </row>
    <row r="26">
      <c r="A26" s="13" t="n">
        <v>25</v>
      </c>
      <c r="B26" s="13" t="n"/>
      <c r="C26" s="13" t="n"/>
      <c r="D26" s="31" t="n"/>
      <c r="E26" s="14" t="n"/>
      <c r="F26" s="14" t="n"/>
      <c r="G26" s="14">
        <f>IF(OR(E26="",F26=""),"",F26-E26)</f>
        <v/>
      </c>
      <c r="H26" s="13" t="n"/>
      <c r="I26" s="13" t="n"/>
      <c r="J26" s="13" t="n"/>
      <c r="K26" s="13" t="n"/>
    </row>
    <row r="27">
      <c r="A27" s="13" t="n">
        <v>26</v>
      </c>
      <c r="B27" s="13" t="n"/>
      <c r="C27" s="13" t="n"/>
      <c r="D27" s="31" t="n"/>
      <c r="E27" s="14" t="n"/>
      <c r="F27" s="14" t="n"/>
      <c r="G27" s="14">
        <f>IF(OR(E27="",F27=""),"",F27-E27)</f>
        <v/>
      </c>
      <c r="H27" s="13" t="n"/>
      <c r="I27" s="13" t="n"/>
      <c r="J27" s="13" t="n"/>
      <c r="K27" s="13" t="n"/>
    </row>
    <row r="28">
      <c r="A28" s="13" t="n">
        <v>27</v>
      </c>
      <c r="B28" s="13" t="n"/>
      <c r="C28" s="13" t="n"/>
      <c r="D28" s="31" t="n"/>
      <c r="E28" s="14" t="n"/>
      <c r="F28" s="14" t="n"/>
      <c r="G28" s="14">
        <f>IF(OR(E28="",F28=""),"",F28-E28)</f>
        <v/>
      </c>
      <c r="H28" s="13" t="n"/>
      <c r="I28" s="13" t="n"/>
      <c r="J28" s="13" t="n"/>
      <c r="K28" s="13" t="n"/>
    </row>
    <row r="29">
      <c r="A29" s="13" t="n">
        <v>28</v>
      </c>
      <c r="B29" s="13" t="n"/>
      <c r="C29" s="13" t="n"/>
      <c r="D29" s="31" t="n"/>
      <c r="E29" s="14" t="n"/>
      <c r="F29" s="14" t="n"/>
      <c r="G29" s="14">
        <f>IF(OR(E29="",F29=""),"",F29-E29)</f>
        <v/>
      </c>
      <c r="H29" s="13" t="n"/>
      <c r="I29" s="13" t="n"/>
      <c r="J29" s="13" t="n"/>
      <c r="K29" s="13" t="n"/>
    </row>
    <row r="30">
      <c r="A30" s="13" t="n">
        <v>29</v>
      </c>
      <c r="B30" s="13" t="n"/>
      <c r="C30" s="13" t="n"/>
      <c r="D30" s="31" t="n"/>
      <c r="E30" s="14" t="n"/>
      <c r="F30" s="14" t="n"/>
      <c r="G30" s="14">
        <f>IF(OR(E30="",F30=""),"",F30-E30)</f>
        <v/>
      </c>
      <c r="H30" s="13" t="n"/>
      <c r="I30" s="13" t="n"/>
      <c r="J30" s="13" t="n"/>
      <c r="K30" s="13" t="n"/>
    </row>
    <row r="31">
      <c r="A31" s="13" t="n">
        <v>30</v>
      </c>
      <c r="B31" s="13" t="n"/>
      <c r="C31" s="13" t="n"/>
      <c r="D31" s="31" t="n"/>
      <c r="E31" s="14" t="n"/>
      <c r="F31" s="14" t="n"/>
      <c r="G31" s="14">
        <f>IF(OR(E31="",F31=""),"",F31-E31)</f>
        <v/>
      </c>
      <c r="H31" s="13" t="n"/>
      <c r="I31" s="13" t="n"/>
      <c r="J31" s="13" t="n"/>
      <c r="K31" s="13" t="n"/>
    </row>
    <row r="32">
      <c r="A32" s="13" t="n">
        <v>31</v>
      </c>
      <c r="B32" s="13" t="n"/>
      <c r="C32" s="13" t="n"/>
      <c r="D32" s="31" t="n"/>
      <c r="E32" s="14" t="n"/>
      <c r="F32" s="14" t="n"/>
      <c r="G32" s="14">
        <f>IF(OR(E32="",F32=""),"",F32-E32)</f>
        <v/>
      </c>
      <c r="H32" s="13" t="n"/>
      <c r="I32" s="13" t="n"/>
      <c r="J32" s="13" t="n"/>
      <c r="K32" s="13" t="n"/>
    </row>
    <row r="33">
      <c r="A33" s="13" t="n">
        <v>32</v>
      </c>
      <c r="B33" s="13" t="n"/>
      <c r="C33" s="13" t="n"/>
      <c r="D33" s="31" t="n"/>
      <c r="E33" s="14" t="n"/>
      <c r="F33" s="14" t="n"/>
      <c r="G33" s="14">
        <f>IF(OR(E33="",F33=""),"",F33-E33)</f>
        <v/>
      </c>
      <c r="H33" s="13" t="n"/>
      <c r="I33" s="13" t="n"/>
      <c r="J33" s="13" t="n"/>
      <c r="K33" s="13" t="n"/>
    </row>
    <row r="34">
      <c r="A34" s="13" t="n">
        <v>33</v>
      </c>
      <c r="B34" s="13" t="n"/>
      <c r="C34" s="13" t="n"/>
      <c r="D34" s="31" t="n"/>
      <c r="E34" s="14" t="n"/>
      <c r="F34" s="14" t="n"/>
      <c r="G34" s="14">
        <f>IF(OR(E34="",F34=""),"",F34-E34)</f>
        <v/>
      </c>
      <c r="H34" s="13" t="n"/>
      <c r="I34" s="13" t="n"/>
      <c r="J34" s="13" t="n"/>
      <c r="K34" s="13" t="n"/>
    </row>
    <row r="35">
      <c r="A35" s="13" t="n">
        <v>34</v>
      </c>
      <c r="B35" s="13" t="n"/>
      <c r="C35" s="13" t="n"/>
      <c r="D35" s="31" t="n"/>
      <c r="E35" s="14" t="n"/>
      <c r="F35" s="14" t="n"/>
      <c r="G35" s="14">
        <f>IF(OR(E35="",F35=""),"",F35-E35)</f>
        <v/>
      </c>
      <c r="H35" s="13" t="n"/>
      <c r="I35" s="13" t="n"/>
      <c r="J35" s="13" t="n"/>
      <c r="K35" s="13" t="n"/>
    </row>
    <row r="36">
      <c r="A36" s="13" t="n">
        <v>35</v>
      </c>
      <c r="B36" s="13" t="n"/>
      <c r="C36" s="13" t="n"/>
      <c r="D36" s="31" t="n"/>
      <c r="E36" s="14" t="n"/>
      <c r="F36" s="14" t="n"/>
      <c r="G36" s="14">
        <f>IF(OR(E36="",F36=""),"",F36-E36)</f>
        <v/>
      </c>
      <c r="H36" s="13" t="n"/>
      <c r="I36" s="13" t="n"/>
      <c r="J36" s="13" t="n"/>
      <c r="K36" s="13" t="n"/>
    </row>
    <row r="37">
      <c r="A37" s="13" t="n">
        <v>36</v>
      </c>
      <c r="B37" s="13" t="n"/>
      <c r="C37" s="13" t="n"/>
      <c r="D37" s="31" t="n"/>
      <c r="E37" s="14" t="n"/>
      <c r="F37" s="14" t="n"/>
      <c r="G37" s="14">
        <f>IF(OR(E37="",F37=""),"",F37-E37)</f>
        <v/>
      </c>
      <c r="H37" s="13" t="n"/>
      <c r="I37" s="13" t="n"/>
      <c r="J37" s="13" t="n"/>
      <c r="K37" s="13" t="n"/>
    </row>
    <row r="38">
      <c r="A38" s="13" t="n">
        <v>37</v>
      </c>
      <c r="B38" s="13" t="n"/>
      <c r="C38" s="13" t="n"/>
      <c r="D38" s="31" t="n"/>
      <c r="E38" s="14" t="n"/>
      <c r="F38" s="14" t="n"/>
      <c r="G38" s="14">
        <f>IF(OR(E38="",F38=""),"",F38-E38)</f>
        <v/>
      </c>
      <c r="H38" s="13" t="n"/>
      <c r="I38" s="13" t="n"/>
      <c r="J38" s="13" t="n"/>
      <c r="K38" s="13" t="n"/>
    </row>
    <row r="39">
      <c r="A39" s="13" t="n">
        <v>38</v>
      </c>
      <c r="B39" s="13" t="n"/>
      <c r="C39" s="13" t="n"/>
      <c r="D39" s="31" t="n"/>
      <c r="E39" s="14" t="n"/>
      <c r="F39" s="14" t="n"/>
      <c r="G39" s="14">
        <f>IF(OR(E39="",F39=""),"",F39-E39)</f>
        <v/>
      </c>
      <c r="H39" s="13" t="n"/>
      <c r="I39" s="13" t="n"/>
      <c r="J39" s="13" t="n"/>
      <c r="K39" s="13" t="n"/>
    </row>
    <row r="40">
      <c r="A40" s="13" t="n">
        <v>39</v>
      </c>
      <c r="B40" s="13" t="n"/>
      <c r="C40" s="13" t="n"/>
      <c r="D40" s="31" t="n"/>
      <c r="E40" s="14" t="n"/>
      <c r="F40" s="14" t="n"/>
      <c r="G40" s="14">
        <f>IF(OR(E40="",F40=""),"",F40-E40)</f>
        <v/>
      </c>
      <c r="H40" s="13" t="n"/>
      <c r="I40" s="13" t="n"/>
      <c r="J40" s="13" t="n"/>
      <c r="K40" s="13" t="n"/>
    </row>
    <row r="41">
      <c r="A41" s="13" t="n">
        <v>40</v>
      </c>
      <c r="B41" s="13" t="n"/>
      <c r="C41" s="13" t="n"/>
      <c r="D41" s="31" t="n"/>
      <c r="E41" s="14" t="n"/>
      <c r="F41" s="14" t="n"/>
      <c r="G41" s="14">
        <f>IF(OR(E41="",F41=""),"",F41-E41)</f>
        <v/>
      </c>
      <c r="H41" s="13" t="n"/>
      <c r="I41" s="13" t="n"/>
      <c r="J41" s="13" t="n"/>
      <c r="K41" s="13" t="n"/>
    </row>
    <row r="42">
      <c r="A42" s="13" t="n">
        <v>41</v>
      </c>
      <c r="B42" s="13" t="n"/>
      <c r="C42" s="13" t="n"/>
      <c r="D42" s="31" t="n"/>
      <c r="E42" s="14" t="n"/>
      <c r="F42" s="14" t="n"/>
      <c r="G42" s="14">
        <f>IF(OR(E42="",F42=""),"",F42-E42)</f>
        <v/>
      </c>
      <c r="H42" s="13" t="n"/>
      <c r="I42" s="13" t="n"/>
      <c r="J42" s="13" t="n"/>
      <c r="K42" s="13" t="n"/>
    </row>
    <row r="43">
      <c r="A43" s="13" t="n">
        <v>42</v>
      </c>
      <c r="B43" s="13" t="n"/>
      <c r="C43" s="13" t="n"/>
      <c r="D43" s="31" t="n"/>
      <c r="E43" s="14" t="n"/>
      <c r="F43" s="14" t="n"/>
      <c r="G43" s="14">
        <f>IF(OR(E43="",F43=""),"",F43-E43)</f>
        <v/>
      </c>
      <c r="H43" s="13" t="n"/>
      <c r="I43" s="13" t="n"/>
      <c r="J43" s="13" t="n"/>
      <c r="K43" s="13" t="n"/>
    </row>
    <row r="44">
      <c r="A44" s="13" t="n">
        <v>43</v>
      </c>
      <c r="B44" s="13" t="n"/>
      <c r="C44" s="13" t="n"/>
      <c r="D44" s="31" t="n"/>
      <c r="E44" s="14" t="n"/>
      <c r="F44" s="14" t="n"/>
      <c r="G44" s="14">
        <f>IF(OR(E44="",F44=""),"",F44-E44)</f>
        <v/>
      </c>
      <c r="H44" s="13" t="n"/>
      <c r="I44" s="13" t="n"/>
      <c r="J44" s="13" t="n"/>
      <c r="K44" s="13" t="n"/>
    </row>
    <row r="45">
      <c r="A45" s="13" t="n">
        <v>44</v>
      </c>
      <c r="B45" s="13" t="n"/>
      <c r="C45" s="13" t="n"/>
      <c r="D45" s="31" t="n"/>
      <c r="E45" s="14" t="n"/>
      <c r="F45" s="14" t="n"/>
      <c r="G45" s="14">
        <f>IF(OR(E45="",F45=""),"",F45-E45)</f>
        <v/>
      </c>
      <c r="H45" s="13" t="n"/>
      <c r="I45" s="13" t="n"/>
      <c r="J45" s="13" t="n"/>
      <c r="K45" s="13" t="n"/>
    </row>
    <row r="46">
      <c r="A46" s="13" t="n">
        <v>45</v>
      </c>
      <c r="B46" s="13" t="n"/>
      <c r="C46" s="13" t="n"/>
      <c r="D46" s="31" t="n"/>
      <c r="E46" s="14" t="n"/>
      <c r="F46" s="14" t="n"/>
      <c r="G46" s="14">
        <f>IF(OR(E46="",F46=""),"",F46-E46)</f>
        <v/>
      </c>
      <c r="H46" s="13" t="n"/>
      <c r="I46" s="13" t="n"/>
      <c r="J46" s="13" t="n"/>
      <c r="K46" s="13" t="n"/>
    </row>
    <row r="47">
      <c r="A47" s="13" t="n">
        <v>46</v>
      </c>
      <c r="B47" s="13" t="n"/>
      <c r="C47" s="13" t="n"/>
      <c r="D47" s="31" t="n"/>
      <c r="E47" s="14" t="n"/>
      <c r="F47" s="14" t="n"/>
      <c r="G47" s="14">
        <f>IF(OR(E47="",F47=""),"",F47-E47)</f>
        <v/>
      </c>
      <c r="H47" s="13" t="n"/>
      <c r="I47" s="13" t="n"/>
      <c r="J47" s="13" t="n"/>
      <c r="K47" s="13" t="n"/>
    </row>
    <row r="48">
      <c r="A48" s="13" t="n">
        <v>47</v>
      </c>
      <c r="B48" s="13" t="n"/>
      <c r="C48" s="13" t="n"/>
      <c r="D48" s="31" t="n"/>
      <c r="E48" s="14" t="n"/>
      <c r="F48" s="14" t="n"/>
      <c r="G48" s="14">
        <f>IF(OR(E48="",F48=""),"",F48-E48)</f>
        <v/>
      </c>
      <c r="H48" s="13" t="n"/>
      <c r="I48" s="13" t="n"/>
      <c r="J48" s="13" t="n"/>
      <c r="K48" s="13" t="n"/>
    </row>
    <row r="49">
      <c r="A49" s="13" t="n">
        <v>48</v>
      </c>
      <c r="B49" s="13" t="n"/>
      <c r="C49" s="13" t="n"/>
      <c r="D49" s="31" t="n"/>
      <c r="E49" s="14" t="n"/>
      <c r="F49" s="14" t="n"/>
      <c r="G49" s="14">
        <f>IF(OR(E49="",F49=""),"",F49-E49)</f>
        <v/>
      </c>
      <c r="H49" s="13" t="n"/>
      <c r="I49" s="13" t="n"/>
      <c r="J49" s="13" t="n"/>
      <c r="K49" s="13" t="n"/>
    </row>
    <row r="50">
      <c r="A50" s="13" t="n">
        <v>49</v>
      </c>
      <c r="B50" s="13" t="n"/>
      <c r="C50" s="13" t="n"/>
      <c r="D50" s="31" t="n"/>
      <c r="E50" s="14" t="n"/>
      <c r="F50" s="14" t="n"/>
      <c r="G50" s="14">
        <f>IF(OR(E50="",F50=""),"",F50-E50)</f>
        <v/>
      </c>
      <c r="H50" s="13" t="n"/>
      <c r="I50" s="13" t="n"/>
      <c r="J50" s="13" t="n"/>
      <c r="K50" s="13" t="n"/>
    </row>
    <row r="51">
      <c r="A51" s="13" t="n">
        <v>50</v>
      </c>
      <c r="B51" s="13" t="n"/>
      <c r="C51" s="13" t="n"/>
      <c r="D51" s="31" t="n"/>
      <c r="E51" s="14" t="n"/>
      <c r="F51" s="14" t="n"/>
      <c r="G51" s="14">
        <f>IF(OR(E51="",F51=""),"",F51-E51)</f>
        <v/>
      </c>
      <c r="H51" s="13" t="n"/>
      <c r="I51" s="13" t="n"/>
      <c r="J51" s="13" t="n"/>
      <c r="K51" s="13" t="n"/>
    </row>
    <row r="52">
      <c r="A52" s="13" t="n">
        <v>51</v>
      </c>
      <c r="B52" s="13" t="n"/>
      <c r="C52" s="13" t="n"/>
      <c r="D52" s="31" t="n"/>
      <c r="E52" s="14" t="n"/>
      <c r="F52" s="14" t="n"/>
      <c r="G52" s="14">
        <f>IF(OR(E52="",F52=""),"",F52-E52)</f>
        <v/>
      </c>
      <c r="H52" s="13" t="n"/>
      <c r="I52" s="13" t="n"/>
      <c r="J52" s="13" t="n"/>
      <c r="K52" s="13" t="n"/>
    </row>
    <row r="53">
      <c r="A53" s="13" t="n">
        <v>52</v>
      </c>
      <c r="B53" s="13" t="n"/>
      <c r="C53" s="13" t="n"/>
      <c r="D53" s="31" t="n"/>
      <c r="E53" s="14" t="n"/>
      <c r="F53" s="14" t="n"/>
      <c r="G53" s="14">
        <f>IF(OR(E53="",F53=""),"",F53-E53)</f>
        <v/>
      </c>
      <c r="H53" s="13" t="n"/>
      <c r="I53" s="13" t="n"/>
      <c r="J53" s="13" t="n"/>
      <c r="K53" s="13" t="n"/>
    </row>
    <row r="54">
      <c r="A54" s="13" t="n">
        <v>53</v>
      </c>
      <c r="B54" s="13" t="n"/>
      <c r="C54" s="13" t="n"/>
      <c r="D54" s="31" t="n"/>
      <c r="E54" s="14" t="n"/>
      <c r="F54" s="14" t="n"/>
      <c r="G54" s="14">
        <f>IF(OR(E54="",F54=""),"",F54-E54)</f>
        <v/>
      </c>
      <c r="H54" s="13" t="n"/>
      <c r="I54" s="13" t="n"/>
      <c r="J54" s="13" t="n"/>
      <c r="K54" s="13" t="n"/>
    </row>
    <row r="55">
      <c r="A55" s="13" t="n">
        <v>54</v>
      </c>
      <c r="B55" s="13" t="n"/>
      <c r="C55" s="13" t="n"/>
      <c r="D55" s="31" t="n"/>
      <c r="E55" s="14" t="n"/>
      <c r="F55" s="14" t="n"/>
      <c r="G55" s="14">
        <f>IF(OR(E55="",F55=""),"",F55-E55)</f>
        <v/>
      </c>
      <c r="H55" s="13" t="n"/>
      <c r="I55" s="13" t="n"/>
      <c r="J55" s="13" t="n"/>
      <c r="K55" s="13" t="n"/>
    </row>
    <row r="56">
      <c r="A56" s="13" t="n">
        <v>55</v>
      </c>
      <c r="B56" s="13" t="n"/>
      <c r="C56" s="13" t="n"/>
      <c r="D56" s="31" t="n"/>
      <c r="E56" s="14" t="n"/>
      <c r="F56" s="14" t="n"/>
      <c r="G56" s="14">
        <f>IF(OR(E56="",F56=""),"",F56-E56)</f>
        <v/>
      </c>
      <c r="H56" s="13" t="n"/>
      <c r="I56" s="13" t="n"/>
      <c r="J56" s="13" t="n"/>
      <c r="K56" s="13" t="n"/>
    </row>
    <row r="57">
      <c r="A57" s="13" t="n">
        <v>56</v>
      </c>
      <c r="B57" s="13" t="n"/>
      <c r="C57" s="13" t="n"/>
      <c r="D57" s="31" t="n"/>
      <c r="E57" s="14" t="n"/>
      <c r="F57" s="14" t="n"/>
      <c r="G57" s="14">
        <f>IF(OR(E57="",F57=""),"",F57-E57)</f>
        <v/>
      </c>
      <c r="H57" s="13" t="n"/>
      <c r="I57" s="13" t="n"/>
      <c r="J57" s="13" t="n"/>
      <c r="K57" s="13" t="n"/>
    </row>
    <row r="58">
      <c r="A58" s="13" t="n">
        <v>57</v>
      </c>
      <c r="B58" s="13" t="n"/>
      <c r="C58" s="13" t="n"/>
      <c r="D58" s="31" t="n"/>
      <c r="E58" s="14" t="n"/>
      <c r="F58" s="14" t="n"/>
      <c r="G58" s="14">
        <f>IF(OR(E58="",F58=""),"",F58-E58)</f>
        <v/>
      </c>
      <c r="H58" s="13" t="n"/>
      <c r="I58" s="13" t="n"/>
      <c r="J58" s="13" t="n"/>
      <c r="K58" s="13" t="n"/>
    </row>
    <row r="59">
      <c r="A59" s="13" t="n">
        <v>58</v>
      </c>
      <c r="B59" s="13" t="n"/>
      <c r="C59" s="13" t="n"/>
      <c r="D59" s="31" t="n"/>
      <c r="E59" s="14" t="n"/>
      <c r="F59" s="14" t="n"/>
      <c r="G59" s="14">
        <f>IF(OR(E59="",F59=""),"",F59-E59)</f>
        <v/>
      </c>
      <c r="H59" s="13" t="n"/>
      <c r="I59" s="13" t="n"/>
      <c r="J59" s="13" t="n"/>
      <c r="K59" s="13" t="n"/>
    </row>
    <row r="60">
      <c r="A60" s="13" t="n">
        <v>59</v>
      </c>
      <c r="B60" s="13" t="n"/>
      <c r="C60" s="13" t="n"/>
      <c r="D60" s="31" t="n"/>
      <c r="E60" s="14" t="n"/>
      <c r="F60" s="14" t="n"/>
      <c r="G60" s="14">
        <f>IF(OR(E60="",F60=""),"",F60-E60)</f>
        <v/>
      </c>
      <c r="H60" s="13" t="n"/>
      <c r="I60" s="13" t="n"/>
      <c r="J60" s="13" t="n"/>
      <c r="K60" s="13" t="n"/>
    </row>
    <row r="61">
      <c r="A61" s="13" t="n">
        <v>60</v>
      </c>
      <c r="B61" s="13" t="n"/>
      <c r="C61" s="13" t="n"/>
      <c r="D61" s="31" t="n"/>
      <c r="E61" s="14" t="n"/>
      <c r="F61" s="14" t="n"/>
      <c r="G61" s="14">
        <f>IF(OR(E61="",F61=""),"",F61-E61)</f>
        <v/>
      </c>
      <c r="H61" s="13" t="n"/>
      <c r="I61" s="13" t="n"/>
      <c r="J61" s="13" t="n"/>
      <c r="K61" s="13" t="n"/>
    </row>
    <row r="62">
      <c r="A62" s="13" t="n">
        <v>61</v>
      </c>
      <c r="B62" s="13" t="n"/>
      <c r="C62" s="13" t="n"/>
      <c r="D62" s="31" t="n"/>
      <c r="E62" s="14" t="n"/>
      <c r="F62" s="14" t="n"/>
      <c r="G62" s="14">
        <f>IF(OR(E62="",F62=""),"",F62-E62)</f>
        <v/>
      </c>
      <c r="H62" s="13" t="n"/>
      <c r="I62" s="13" t="n"/>
      <c r="J62" s="13" t="n"/>
      <c r="K62" s="13" t="n"/>
    </row>
    <row r="63">
      <c r="A63" s="13" t="n">
        <v>62</v>
      </c>
      <c r="B63" s="13" t="n"/>
      <c r="C63" s="13" t="n"/>
      <c r="D63" s="31" t="n"/>
      <c r="E63" s="14" t="n"/>
      <c r="F63" s="14" t="n"/>
      <c r="G63" s="14">
        <f>IF(OR(E63="",F63=""),"",F63-E63)</f>
        <v/>
      </c>
      <c r="H63" s="13" t="n"/>
      <c r="I63" s="13" t="n"/>
      <c r="J63" s="13" t="n"/>
      <c r="K63" s="13" t="n"/>
    </row>
    <row r="64">
      <c r="A64" s="13" t="n">
        <v>63</v>
      </c>
      <c r="B64" s="13" t="n"/>
      <c r="C64" s="13" t="n"/>
      <c r="D64" s="31" t="n"/>
      <c r="E64" s="14" t="n"/>
      <c r="F64" s="14" t="n"/>
      <c r="G64" s="14">
        <f>IF(OR(E64="",F64=""),"",F64-E64)</f>
        <v/>
      </c>
      <c r="H64" s="13" t="n"/>
      <c r="I64" s="13" t="n"/>
      <c r="J64" s="13" t="n"/>
      <c r="K64" s="13" t="n"/>
    </row>
    <row r="65">
      <c r="A65" s="13" t="n">
        <v>64</v>
      </c>
      <c r="B65" s="13" t="n"/>
      <c r="C65" s="13" t="n"/>
      <c r="D65" s="31" t="n"/>
      <c r="E65" s="14" t="n"/>
      <c r="F65" s="14" t="n"/>
      <c r="G65" s="14">
        <f>IF(OR(E65="",F65=""),"",F65-E65)</f>
        <v/>
      </c>
      <c r="H65" s="13" t="n"/>
      <c r="I65" s="13" t="n"/>
      <c r="J65" s="13" t="n"/>
      <c r="K65" s="13" t="n"/>
    </row>
    <row r="66">
      <c r="A66" s="13" t="n">
        <v>65</v>
      </c>
      <c r="B66" s="13" t="n"/>
      <c r="C66" s="13" t="n"/>
      <c r="D66" s="31" t="n"/>
      <c r="E66" s="14" t="n"/>
      <c r="F66" s="14" t="n"/>
      <c r="G66" s="14">
        <f>IF(OR(E66="",F66=""),"",F66-E66)</f>
        <v/>
      </c>
      <c r="H66" s="13" t="n"/>
      <c r="I66" s="13" t="n"/>
      <c r="J66" s="13" t="n"/>
      <c r="K66" s="13" t="n"/>
    </row>
    <row r="67">
      <c r="A67" s="13" t="n">
        <v>66</v>
      </c>
      <c r="B67" s="13" t="n"/>
      <c r="C67" s="13" t="n"/>
      <c r="D67" s="31" t="n"/>
      <c r="E67" s="14" t="n"/>
      <c r="F67" s="14" t="n"/>
      <c r="G67" s="14">
        <f>IF(OR(E67="",F67=""),"",F67-E67)</f>
        <v/>
      </c>
      <c r="H67" s="13" t="n"/>
      <c r="I67" s="13" t="n"/>
      <c r="J67" s="13" t="n"/>
      <c r="K67" s="13" t="n"/>
    </row>
    <row r="68">
      <c r="A68" s="13" t="n">
        <v>67</v>
      </c>
      <c r="B68" s="13" t="n"/>
      <c r="C68" s="13" t="n"/>
      <c r="D68" s="31" t="n"/>
      <c r="E68" s="14" t="n"/>
      <c r="F68" s="14" t="n"/>
      <c r="G68" s="14">
        <f>IF(OR(E68="",F68=""),"",F68-E68)</f>
        <v/>
      </c>
      <c r="H68" s="13" t="n"/>
      <c r="I68" s="13" t="n"/>
      <c r="J68" s="13" t="n"/>
      <c r="K68" s="13" t="n"/>
    </row>
    <row r="69">
      <c r="A69" s="13" t="n">
        <v>68</v>
      </c>
      <c r="B69" s="13" t="n"/>
      <c r="C69" s="13" t="n"/>
      <c r="D69" s="31" t="n"/>
      <c r="E69" s="14" t="n"/>
      <c r="F69" s="14" t="n"/>
      <c r="G69" s="14">
        <f>IF(OR(E69="",F69=""),"",F69-E69)</f>
        <v/>
      </c>
      <c r="H69" s="13" t="n"/>
      <c r="I69" s="13" t="n"/>
      <c r="J69" s="13" t="n"/>
      <c r="K69" s="13" t="n"/>
    </row>
    <row r="70">
      <c r="A70" s="13" t="n">
        <v>69</v>
      </c>
      <c r="B70" s="13" t="n"/>
      <c r="C70" s="13" t="n"/>
      <c r="D70" s="31" t="n"/>
      <c r="E70" s="14" t="n"/>
      <c r="F70" s="14" t="n"/>
      <c r="G70" s="14">
        <f>IF(OR(E70="",F70=""),"",F70-E70)</f>
        <v/>
      </c>
      <c r="H70" s="13" t="n"/>
      <c r="I70" s="13" t="n"/>
      <c r="J70" s="13" t="n"/>
      <c r="K70" s="13" t="n"/>
    </row>
    <row r="71">
      <c r="A71" s="13" t="n">
        <v>70</v>
      </c>
      <c r="B71" s="13" t="n"/>
      <c r="C71" s="13" t="n"/>
      <c r="D71" s="31" t="n"/>
      <c r="E71" s="14" t="n"/>
      <c r="F71" s="14" t="n"/>
      <c r="G71" s="14">
        <f>IF(OR(E71="",F71=""),"",F71-E71)</f>
        <v/>
      </c>
      <c r="H71" s="13" t="n"/>
      <c r="I71" s="13" t="n"/>
      <c r="J71" s="13" t="n"/>
      <c r="K71" s="13" t="n"/>
    </row>
    <row r="72">
      <c r="A72" s="13" t="n">
        <v>71</v>
      </c>
      <c r="B72" s="13" t="n"/>
      <c r="C72" s="13" t="n"/>
      <c r="D72" s="31" t="n"/>
      <c r="E72" s="14" t="n"/>
      <c r="F72" s="14" t="n"/>
      <c r="G72" s="14">
        <f>IF(OR(E72="",F72=""),"",F72-E72)</f>
        <v/>
      </c>
      <c r="H72" s="13" t="n"/>
      <c r="I72" s="13" t="n"/>
      <c r="J72" s="13" t="n"/>
      <c r="K72" s="13" t="n"/>
    </row>
    <row r="73">
      <c r="A73" s="13" t="n">
        <v>72</v>
      </c>
      <c r="B73" s="13" t="n"/>
      <c r="C73" s="13" t="n"/>
      <c r="D73" s="31" t="n"/>
      <c r="E73" s="14" t="n"/>
      <c r="F73" s="14" t="n"/>
      <c r="G73" s="14">
        <f>IF(OR(E73="",F73=""),"",F73-E73)</f>
        <v/>
      </c>
      <c r="H73" s="13" t="n"/>
      <c r="I73" s="13" t="n"/>
      <c r="J73" s="13" t="n"/>
      <c r="K73" s="13" t="n"/>
    </row>
    <row r="74">
      <c r="A74" s="13" t="n">
        <v>73</v>
      </c>
      <c r="B74" s="13" t="n"/>
      <c r="C74" s="13" t="n"/>
      <c r="D74" s="31" t="n"/>
      <c r="E74" s="14" t="n"/>
      <c r="F74" s="14" t="n"/>
      <c r="G74" s="14">
        <f>IF(OR(E74="",F74=""),"",F74-E74)</f>
        <v/>
      </c>
      <c r="H74" s="13" t="n"/>
      <c r="I74" s="13" t="n"/>
      <c r="J74" s="13" t="n"/>
      <c r="K74" s="13" t="n"/>
    </row>
    <row r="75">
      <c r="A75" s="13" t="n">
        <v>74</v>
      </c>
      <c r="B75" s="13" t="n"/>
      <c r="C75" s="13" t="n"/>
      <c r="D75" s="31" t="n"/>
      <c r="E75" s="14" t="n"/>
      <c r="F75" s="14" t="n"/>
      <c r="G75" s="14">
        <f>IF(OR(E75="",F75=""),"",F75-E75)</f>
        <v/>
      </c>
      <c r="H75" s="13" t="n"/>
      <c r="I75" s="13" t="n"/>
      <c r="J75" s="13" t="n"/>
      <c r="K75" s="13" t="n"/>
    </row>
    <row r="76">
      <c r="A76" s="13" t="n">
        <v>75</v>
      </c>
      <c r="B76" s="13" t="n"/>
      <c r="C76" s="13" t="n"/>
      <c r="D76" s="31" t="n"/>
      <c r="E76" s="14" t="n"/>
      <c r="F76" s="14" t="n"/>
      <c r="G76" s="14">
        <f>IF(OR(E76="",F76=""),"",F76-E76)</f>
        <v/>
      </c>
      <c r="H76" s="13" t="n"/>
      <c r="I76" s="13" t="n"/>
      <c r="J76" s="13" t="n"/>
      <c r="K76" s="13" t="n"/>
    </row>
    <row r="77">
      <c r="A77" s="13" t="n">
        <v>76</v>
      </c>
      <c r="B77" s="13" t="n"/>
      <c r="C77" s="13" t="n"/>
      <c r="D77" s="31" t="n"/>
      <c r="E77" s="14" t="n"/>
      <c r="F77" s="14" t="n"/>
      <c r="G77" s="14">
        <f>IF(OR(E77="",F77=""),"",F77-E77)</f>
        <v/>
      </c>
      <c r="H77" s="13" t="n"/>
      <c r="I77" s="13" t="n"/>
      <c r="J77" s="13" t="n"/>
      <c r="K77" s="13" t="n"/>
    </row>
    <row r="78">
      <c r="A78" s="13" t="n">
        <v>77</v>
      </c>
      <c r="B78" s="13" t="n"/>
      <c r="C78" s="13" t="n"/>
      <c r="D78" s="31" t="n"/>
      <c r="E78" s="14" t="n"/>
      <c r="F78" s="14" t="n"/>
      <c r="G78" s="14">
        <f>IF(OR(E78="",F78=""),"",F78-E78)</f>
        <v/>
      </c>
      <c r="H78" s="13" t="n"/>
      <c r="I78" s="13" t="n"/>
      <c r="J78" s="13" t="n"/>
      <c r="K78" s="13" t="n"/>
    </row>
    <row r="79">
      <c r="A79" s="13" t="n">
        <v>78</v>
      </c>
      <c r="B79" s="13" t="n"/>
      <c r="C79" s="13" t="n"/>
      <c r="D79" s="31" t="n"/>
      <c r="E79" s="14" t="n"/>
      <c r="F79" s="14" t="n"/>
      <c r="G79" s="14">
        <f>IF(OR(E79="",F79=""),"",F79-E79)</f>
        <v/>
      </c>
      <c r="H79" s="13" t="n"/>
      <c r="I79" s="13" t="n"/>
      <c r="J79" s="13" t="n"/>
      <c r="K79" s="13" t="n"/>
    </row>
    <row r="80">
      <c r="A80" s="13" t="n">
        <v>79</v>
      </c>
      <c r="B80" s="13" t="n"/>
      <c r="C80" s="13" t="n"/>
      <c r="D80" s="31" t="n"/>
      <c r="E80" s="14" t="n"/>
      <c r="F80" s="14" t="n"/>
      <c r="G80" s="14">
        <f>IF(OR(E80="",F80=""),"",F80-E80)</f>
        <v/>
      </c>
      <c r="H80" s="13" t="n"/>
      <c r="I80" s="13" t="n"/>
      <c r="J80" s="13" t="n"/>
      <c r="K80" s="13" t="n"/>
    </row>
    <row r="81">
      <c r="A81" s="13" t="n">
        <v>80</v>
      </c>
      <c r="B81" s="13" t="n"/>
      <c r="C81" s="13" t="n"/>
      <c r="D81" s="31" t="n"/>
      <c r="E81" s="14" t="n"/>
      <c r="F81" s="14" t="n"/>
      <c r="G81" s="14">
        <f>IF(OR(E81="",F81=""),"",F81-E81)</f>
        <v/>
      </c>
      <c r="H81" s="13" t="n"/>
      <c r="I81" s="13" t="n"/>
      <c r="J81" s="13" t="n"/>
      <c r="K81" s="13" t="n"/>
    </row>
    <row r="82">
      <c r="A82" s="13" t="n">
        <v>81</v>
      </c>
      <c r="B82" s="13" t="n"/>
      <c r="C82" s="13" t="n"/>
      <c r="D82" s="31" t="n"/>
      <c r="E82" s="14" t="n"/>
      <c r="F82" s="14" t="n"/>
      <c r="G82" s="14">
        <f>IF(OR(E82="",F82=""),"",F82-E82)</f>
        <v/>
      </c>
      <c r="H82" s="13" t="n"/>
      <c r="I82" s="13" t="n"/>
      <c r="J82" s="13" t="n"/>
      <c r="K82" s="13" t="n"/>
    </row>
    <row r="83">
      <c r="A83" s="13" t="n">
        <v>82</v>
      </c>
      <c r="B83" s="13" t="n"/>
      <c r="C83" s="13" t="n"/>
      <c r="D83" s="31" t="n"/>
      <c r="E83" s="14" t="n"/>
      <c r="F83" s="14" t="n"/>
      <c r="G83" s="14">
        <f>IF(OR(E83="",F83=""),"",F83-E83)</f>
        <v/>
      </c>
      <c r="H83" s="13" t="n"/>
      <c r="I83" s="13" t="n"/>
      <c r="J83" s="13" t="n"/>
      <c r="K83" s="13" t="n"/>
    </row>
    <row r="84">
      <c r="A84" s="13" t="n">
        <v>83</v>
      </c>
      <c r="B84" s="13" t="n"/>
      <c r="C84" s="13" t="n"/>
      <c r="D84" s="31" t="n"/>
      <c r="E84" s="14" t="n"/>
      <c r="F84" s="14" t="n"/>
      <c r="G84" s="14">
        <f>IF(OR(E84="",F84=""),"",F84-E84)</f>
        <v/>
      </c>
      <c r="H84" s="13" t="n"/>
      <c r="I84" s="13" t="n"/>
      <c r="J84" s="13" t="n"/>
      <c r="K84" s="13" t="n"/>
    </row>
    <row r="85">
      <c r="A85" s="13" t="n">
        <v>84</v>
      </c>
      <c r="B85" s="13" t="n"/>
      <c r="C85" s="13" t="n"/>
      <c r="D85" s="31" t="n"/>
      <c r="E85" s="14" t="n"/>
      <c r="F85" s="14" t="n"/>
      <c r="G85" s="14">
        <f>IF(OR(E85="",F85=""),"",F85-E85)</f>
        <v/>
      </c>
      <c r="H85" s="13" t="n"/>
      <c r="I85" s="13" t="n"/>
      <c r="J85" s="13" t="n"/>
      <c r="K85" s="13" t="n"/>
    </row>
    <row r="86">
      <c r="A86" s="13" t="n">
        <v>85</v>
      </c>
      <c r="B86" s="13" t="n"/>
      <c r="C86" s="13" t="n"/>
      <c r="D86" s="31" t="n"/>
      <c r="E86" s="14" t="n"/>
      <c r="F86" s="14" t="n"/>
      <c r="G86" s="14">
        <f>IF(OR(E86="",F86=""),"",F86-E86)</f>
        <v/>
      </c>
      <c r="H86" s="13" t="n"/>
      <c r="I86" s="13" t="n"/>
      <c r="J86" s="13" t="n"/>
      <c r="K86" s="13" t="n"/>
    </row>
    <row r="87">
      <c r="A87" s="13" t="n">
        <v>86</v>
      </c>
      <c r="B87" s="13" t="n"/>
      <c r="C87" s="13" t="n"/>
      <c r="D87" s="31" t="n"/>
      <c r="E87" s="14" t="n"/>
      <c r="F87" s="14" t="n"/>
      <c r="G87" s="14">
        <f>IF(OR(E87="",F87=""),"",F87-E87)</f>
        <v/>
      </c>
      <c r="H87" s="13" t="n"/>
      <c r="I87" s="13" t="n"/>
      <c r="J87" s="13" t="n"/>
      <c r="K87" s="13" t="n"/>
    </row>
    <row r="88">
      <c r="A88" s="13" t="n">
        <v>87</v>
      </c>
      <c r="B88" s="13" t="n"/>
      <c r="C88" s="13" t="n"/>
      <c r="D88" s="31" t="n"/>
      <c r="E88" s="14" t="n"/>
      <c r="F88" s="14" t="n"/>
      <c r="G88" s="14">
        <f>IF(OR(E88="",F88=""),"",F88-E88)</f>
        <v/>
      </c>
      <c r="H88" s="13" t="n"/>
      <c r="I88" s="13" t="n"/>
      <c r="J88" s="13" t="n"/>
      <c r="K88" s="13" t="n"/>
    </row>
    <row r="89">
      <c r="A89" s="13" t="n">
        <v>88</v>
      </c>
      <c r="B89" s="13" t="n"/>
      <c r="C89" s="13" t="n"/>
      <c r="D89" s="31" t="n"/>
      <c r="E89" s="14" t="n"/>
      <c r="F89" s="14" t="n"/>
      <c r="G89" s="14">
        <f>IF(OR(E89="",F89=""),"",F89-E89)</f>
        <v/>
      </c>
      <c r="H89" s="13" t="n"/>
      <c r="I89" s="13" t="n"/>
      <c r="J89" s="13" t="n"/>
      <c r="K89" s="13" t="n"/>
    </row>
    <row r="90">
      <c r="A90" s="13" t="n">
        <v>89</v>
      </c>
      <c r="B90" s="13" t="n"/>
      <c r="C90" s="13" t="n"/>
      <c r="D90" s="31" t="n"/>
      <c r="E90" s="14" t="n"/>
      <c r="F90" s="14" t="n"/>
      <c r="G90" s="14">
        <f>IF(OR(E90="",F90=""),"",F90-E90)</f>
        <v/>
      </c>
      <c r="H90" s="13" t="n"/>
      <c r="I90" s="13" t="n"/>
      <c r="J90" s="13" t="n"/>
      <c r="K90" s="13" t="n"/>
    </row>
    <row r="91">
      <c r="A91" s="13" t="n">
        <v>90</v>
      </c>
      <c r="B91" s="13" t="n"/>
      <c r="C91" s="13" t="n"/>
      <c r="D91" s="31" t="n"/>
      <c r="E91" s="14" t="n"/>
      <c r="F91" s="14" t="n"/>
      <c r="G91" s="14">
        <f>IF(OR(E91="",F91=""),"",F91-E91)</f>
        <v/>
      </c>
      <c r="H91" s="13" t="n"/>
      <c r="I91" s="13" t="n"/>
      <c r="J91" s="13" t="n"/>
      <c r="K91" s="13" t="n"/>
    </row>
    <row r="92">
      <c r="A92" s="13" t="n">
        <v>91</v>
      </c>
      <c r="B92" s="13" t="n"/>
      <c r="C92" s="13" t="n"/>
      <c r="D92" s="31" t="n"/>
      <c r="E92" s="14" t="n"/>
      <c r="F92" s="14" t="n"/>
      <c r="G92" s="14">
        <f>IF(OR(E92="",F92=""),"",F92-E92)</f>
        <v/>
      </c>
      <c r="H92" s="13" t="n"/>
      <c r="I92" s="13" t="n"/>
      <c r="J92" s="13" t="n"/>
      <c r="K92" s="13" t="n"/>
    </row>
    <row r="93">
      <c r="A93" s="13" t="n">
        <v>92</v>
      </c>
      <c r="B93" s="13" t="n"/>
      <c r="C93" s="13" t="n"/>
      <c r="D93" s="31" t="n"/>
      <c r="E93" s="14" t="n"/>
      <c r="F93" s="14" t="n"/>
      <c r="G93" s="14">
        <f>IF(OR(E93="",F93=""),"",F93-E93)</f>
        <v/>
      </c>
      <c r="H93" s="13" t="n"/>
      <c r="I93" s="13" t="n"/>
      <c r="J93" s="13" t="n"/>
      <c r="K93" s="13" t="n"/>
    </row>
    <row r="94">
      <c r="A94" s="13" t="n">
        <v>93</v>
      </c>
      <c r="B94" s="13" t="n"/>
      <c r="C94" s="13" t="n"/>
      <c r="D94" s="31" t="n"/>
      <c r="E94" s="14" t="n"/>
      <c r="F94" s="14" t="n"/>
      <c r="G94" s="14">
        <f>IF(OR(E94="",F94=""),"",F94-E94)</f>
        <v/>
      </c>
      <c r="H94" s="13" t="n"/>
      <c r="I94" s="13" t="n"/>
      <c r="J94" s="13" t="n"/>
      <c r="K94" s="13" t="n"/>
    </row>
    <row r="95">
      <c r="A95" s="13" t="n">
        <v>94</v>
      </c>
      <c r="B95" s="13" t="n"/>
      <c r="C95" s="13" t="n"/>
      <c r="D95" s="31" t="n"/>
      <c r="E95" s="14" t="n"/>
      <c r="F95" s="14" t="n"/>
      <c r="G95" s="14">
        <f>IF(OR(E95="",F95=""),"",F95-E95)</f>
        <v/>
      </c>
      <c r="H95" s="13" t="n"/>
      <c r="I95" s="13" t="n"/>
      <c r="J95" s="13" t="n"/>
      <c r="K95" s="13" t="n"/>
    </row>
    <row r="96">
      <c r="A96" s="13" t="n">
        <v>95</v>
      </c>
      <c r="B96" s="13" t="n"/>
      <c r="C96" s="13" t="n"/>
      <c r="D96" s="31" t="n"/>
      <c r="E96" s="14" t="n"/>
      <c r="F96" s="14" t="n"/>
      <c r="G96" s="14">
        <f>IF(OR(E96="",F96=""),"",F96-E96)</f>
        <v/>
      </c>
      <c r="H96" s="13" t="n"/>
      <c r="I96" s="13" t="n"/>
      <c r="J96" s="13" t="n"/>
      <c r="K96" s="13" t="n"/>
    </row>
    <row r="97">
      <c r="A97" s="13" t="n">
        <v>96</v>
      </c>
      <c r="B97" s="13" t="n"/>
      <c r="C97" s="13" t="n"/>
      <c r="D97" s="31" t="n"/>
      <c r="E97" s="14" t="n"/>
      <c r="F97" s="14" t="n"/>
      <c r="G97" s="14">
        <f>IF(OR(E97="",F97=""),"",F97-E97)</f>
        <v/>
      </c>
      <c r="H97" s="13" t="n"/>
      <c r="I97" s="13" t="n"/>
      <c r="J97" s="13" t="n"/>
      <c r="K97" s="13" t="n"/>
    </row>
    <row r="98">
      <c r="A98" s="13" t="n">
        <v>97</v>
      </c>
      <c r="B98" s="13" t="n"/>
      <c r="C98" s="13" t="n"/>
      <c r="D98" s="31" t="n"/>
      <c r="E98" s="14" t="n"/>
      <c r="F98" s="14" t="n"/>
      <c r="G98" s="14">
        <f>IF(OR(E98="",F98=""),"",F98-E98)</f>
        <v/>
      </c>
      <c r="H98" s="13" t="n"/>
      <c r="I98" s="13" t="n"/>
      <c r="J98" s="13" t="n"/>
      <c r="K98" s="13" t="n"/>
    </row>
    <row r="99">
      <c r="A99" s="13" t="n">
        <v>98</v>
      </c>
      <c r="B99" s="13" t="n"/>
      <c r="C99" s="13" t="n"/>
      <c r="D99" s="31" t="n"/>
      <c r="E99" s="14" t="n"/>
      <c r="F99" s="14" t="n"/>
      <c r="G99" s="14">
        <f>IF(OR(E99="",F99=""),"",F99-E99)</f>
        <v/>
      </c>
      <c r="H99" s="13" t="n"/>
      <c r="I99" s="13" t="n"/>
      <c r="J99" s="13" t="n"/>
      <c r="K99" s="13" t="n"/>
    </row>
    <row r="100">
      <c r="A100" s="13" t="n">
        <v>99</v>
      </c>
      <c r="B100" s="13" t="n"/>
      <c r="C100" s="13" t="n"/>
      <c r="D100" s="31" t="n"/>
      <c r="E100" s="14" t="n"/>
      <c r="F100" s="14" t="n"/>
      <c r="G100" s="14">
        <f>IF(OR(E100="",F100=""),"",F100-E100)</f>
        <v/>
      </c>
      <c r="H100" s="13" t="n"/>
      <c r="I100" s="13" t="n"/>
      <c r="J100" s="13" t="n"/>
      <c r="K100" s="13" t="n"/>
    </row>
    <row r="101">
      <c r="A101" s="13" t="n">
        <v>100</v>
      </c>
      <c r="B101" s="13" t="n"/>
      <c r="C101" s="13" t="n"/>
      <c r="D101" s="31" t="n"/>
      <c r="E101" s="14" t="n"/>
      <c r="F101" s="14" t="n"/>
      <c r="G101" s="14">
        <f>IF(OR(E101="",F101=""),"",F101-E101)</f>
        <v/>
      </c>
      <c r="H101" s="13" t="n"/>
      <c r="I101" s="13" t="n"/>
      <c r="J101" s="13" t="n"/>
      <c r="K101" s="13" t="n"/>
    </row>
  </sheetData>
  <conditionalFormatting sqref="I2:I101">
    <cfRule type="expression" priority="1" dxfId="0">
      <formula>I2="مكتملة"</formula>
    </cfRule>
    <cfRule type="expression" priority="2" dxfId="1">
      <formula>I2="جاري"</formula>
    </cfRule>
    <cfRule type="expression" priority="3" dxfId="2">
      <formula>I2="مؤجلة"</formula>
    </cfRule>
  </conditionalFormatting>
  <dataValidations count="1">
    <dataValidation sqref="I2:I101" showDropDown="0" showInputMessage="0" showErrorMessage="0" allowBlank="1" type="list">
      <formula1>"لم تبدأ,جاري,مكتملة,مؤجلة,ملغاة"</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L10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18" customWidth="1" min="4" max="4"/>
    <col width="18" customWidth="1" min="5" max="5"/>
    <col width="18" customWidth="1" min="6" max="6"/>
    <col width="20" customWidth="1" min="7" max="7"/>
    <col width="18" customWidth="1" min="8" max="8"/>
    <col width="20" customWidth="1" min="9" max="9"/>
    <col width="18" customWidth="1" min="10" max="10"/>
    <col width="20" customWidth="1" min="11" max="11"/>
    <col width="30" customWidth="1" min="12" max="12"/>
  </cols>
  <sheetData>
    <row r="1" ht="28" customHeight="1">
      <c r="A1" s="12" t="inlineStr">
        <is>
          <t>كود المحطة</t>
        </is>
      </c>
      <c r="B1" s="12" t="inlineStr">
        <is>
          <t>اسم المحطة</t>
        </is>
      </c>
      <c r="C1" s="12" t="inlineStr">
        <is>
          <t>المبيعات قبل الحملة</t>
        </is>
      </c>
      <c r="D1" s="12" t="inlineStr">
        <is>
          <t>مبيعات أسبوع 1</t>
        </is>
      </c>
      <c r="E1" s="12" t="inlineStr">
        <is>
          <t>مبيعات أسبوع 2</t>
        </is>
      </c>
      <c r="F1" s="12" t="inlineStr">
        <is>
          <t>مبيعات أسبوع 3</t>
        </is>
      </c>
      <c r="G1" s="12" t="inlineStr">
        <is>
          <t>مبيعات بعد الحملة</t>
        </is>
      </c>
      <c r="H1" s="12" t="inlineStr">
        <is>
          <t>نسبة التغير</t>
        </is>
      </c>
      <c r="I1" s="12" t="inlineStr">
        <is>
          <t>كمية المناديل</t>
        </is>
      </c>
      <c r="J1" s="12" t="inlineStr">
        <is>
          <t>تكلفة الحملة</t>
        </is>
      </c>
      <c r="K1" s="12" t="inlineStr">
        <is>
          <t>نتيجة الحملة</t>
        </is>
      </c>
      <c r="L1" s="12" t="inlineStr">
        <is>
          <t>ملاحظات</t>
        </is>
      </c>
    </row>
    <row r="2">
      <c r="A2" s="24" t="inlineStr">
        <is>
          <t>MK002</t>
        </is>
      </c>
      <c r="B2" s="13" t="inlineStr">
        <is>
          <t>درب المعيصم</t>
        </is>
      </c>
      <c r="C2" s="25" t="n">
        <v>375727</v>
      </c>
      <c r="D2" s="14" t="n"/>
      <c r="E2" s="14" t="n"/>
      <c r="F2" s="14" t="n"/>
      <c r="G2" s="14" t="n"/>
      <c r="H2" s="32">
        <f>IF(OR(C2="",G2=""),"",IFERROR((G2-C2)/C2,0))</f>
        <v/>
      </c>
      <c r="I2" s="25">
        <f>'أساس التوزيع'!I13</f>
        <v/>
      </c>
      <c r="J2" s="25">
        <f>'أساس التوزيع'!L13</f>
        <v/>
      </c>
      <c r="K2" s="24" t="inlineStr">
        <is>
          <t>لم يتم القياس</t>
        </is>
      </c>
      <c r="L2" s="13" t="inlineStr">
        <is>
          <t>خط الأساس = لترات يوليو 2026 · الموازنة 1,568,154 لتر</t>
        </is>
      </c>
    </row>
    <row r="3">
      <c r="A3" s="24" t="inlineStr">
        <is>
          <t>MK019</t>
        </is>
      </c>
      <c r="B3" s="13" t="inlineStr">
        <is>
          <t>درب عرفات الشرايع</t>
        </is>
      </c>
      <c r="C3" s="25" t="n">
        <v>250930</v>
      </c>
      <c r="D3" s="14" t="n"/>
      <c r="E3" s="14" t="n"/>
      <c r="F3" s="14" t="n"/>
      <c r="G3" s="14" t="n"/>
      <c r="H3" s="32">
        <f>IF(OR(C3="",G3=""),"",IFERROR((G3-C3)/C3,0))</f>
        <v/>
      </c>
      <c r="I3" s="25">
        <f>'أساس التوزيع'!I14</f>
        <v/>
      </c>
      <c r="J3" s="25">
        <f>'أساس التوزيع'!L14</f>
        <v/>
      </c>
      <c r="K3" s="24" t="inlineStr">
        <is>
          <t>لم يتم القياس</t>
        </is>
      </c>
      <c r="L3" s="13" t="inlineStr">
        <is>
          <t>خط الأساس = لترات يوليو 2026 · الموازنة 875,943 لتر</t>
        </is>
      </c>
    </row>
    <row r="4">
      <c r="A4" s="24" t="inlineStr">
        <is>
          <t>MK023</t>
        </is>
      </c>
      <c r="B4" s="13" t="inlineStr">
        <is>
          <t>درب بن درويش</t>
        </is>
      </c>
      <c r="C4" s="25" t="n">
        <v>428657</v>
      </c>
      <c r="D4" s="14" t="n"/>
      <c r="E4" s="14" t="n"/>
      <c r="F4" s="14" t="n"/>
      <c r="G4" s="14" t="n"/>
      <c r="H4" s="32">
        <f>IF(OR(C4="",G4=""),"",IFERROR((G4-C4)/C4,0))</f>
        <v/>
      </c>
      <c r="I4" s="25">
        <f>'أساس التوزيع'!I15</f>
        <v/>
      </c>
      <c r="J4" s="25">
        <f>'أساس التوزيع'!L15</f>
        <v/>
      </c>
      <c r="K4" s="24" t="inlineStr">
        <is>
          <t>لم يتم القياس</t>
        </is>
      </c>
      <c r="L4" s="13" t="inlineStr">
        <is>
          <t>خط الأساس = لترات يوليو 2026 · الموازنة 502,777 لتر</t>
        </is>
      </c>
    </row>
    <row r="5">
      <c r="A5" s="24" t="inlineStr">
        <is>
          <t>MK007</t>
        </is>
      </c>
      <c r="B5" s="13" t="inlineStr">
        <is>
          <t>درب العمرة النورية</t>
        </is>
      </c>
      <c r="C5" s="25" t="n">
        <v>4111763</v>
      </c>
      <c r="D5" s="14" t="n"/>
      <c r="E5" s="14" t="n"/>
      <c r="F5" s="14" t="n"/>
      <c r="G5" s="14" t="n"/>
      <c r="H5" s="32">
        <f>IF(OR(C5="",G5=""),"",IFERROR((G5-C5)/C5,0))</f>
        <v/>
      </c>
      <c r="I5" s="25">
        <f>'أساس التوزيع'!I16</f>
        <v/>
      </c>
      <c r="J5" s="25">
        <f>'أساس التوزيع'!L16</f>
        <v/>
      </c>
      <c r="K5" s="24" t="inlineStr">
        <is>
          <t>لم يتم القياس</t>
        </is>
      </c>
      <c r="L5" s="13" t="inlineStr">
        <is>
          <t>خط الأساس = لترات يوليو 2026 · الموازنة 4,438,091 لتر</t>
        </is>
      </c>
    </row>
    <row r="6">
      <c r="A6" s="24" t="inlineStr">
        <is>
          <t>MK017</t>
        </is>
      </c>
      <c r="B6" s="13" t="inlineStr">
        <is>
          <t>درب عرفات الشوقية</t>
        </is>
      </c>
      <c r="C6" s="25" t="n">
        <v>744369</v>
      </c>
      <c r="D6" s="14" t="n"/>
      <c r="E6" s="14" t="n"/>
      <c r="F6" s="14" t="n"/>
      <c r="G6" s="14" t="n"/>
      <c r="H6" s="32">
        <f>IF(OR(C6="",G6=""),"",IFERROR((G6-C6)/C6,0))</f>
        <v/>
      </c>
      <c r="I6" s="25">
        <f>'أساس التوزيع'!I17</f>
        <v/>
      </c>
      <c r="J6" s="25">
        <f>'أساس التوزيع'!L17</f>
        <v/>
      </c>
      <c r="K6" s="24" t="inlineStr">
        <is>
          <t>لم يتم القياس</t>
        </is>
      </c>
      <c r="L6" s="13" t="inlineStr">
        <is>
          <t>خط الأساس = لترات يوليو 2026 · الموازنة 769,484 لتر</t>
        </is>
      </c>
    </row>
    <row r="7">
      <c r="A7" s="13" t="n"/>
      <c r="B7" s="13" t="n"/>
      <c r="C7" s="14" t="n"/>
      <c r="D7" s="14" t="n"/>
      <c r="E7" s="14" t="n"/>
      <c r="F7" s="14" t="n"/>
      <c r="G7" s="14" t="n"/>
      <c r="H7" s="33">
        <f>IF(OR(C7="",G7=""),"",IFERROR((G7-C7)/C7,0))</f>
        <v/>
      </c>
      <c r="I7" s="14" t="n"/>
      <c r="J7" s="17" t="n"/>
      <c r="K7" s="13" t="n"/>
      <c r="L7" s="13" t="n"/>
    </row>
    <row r="8">
      <c r="A8" s="13" t="n"/>
      <c r="B8" s="13" t="n"/>
      <c r="C8" s="14" t="n"/>
      <c r="D8" s="14" t="n"/>
      <c r="E8" s="14" t="n"/>
      <c r="F8" s="14" t="n"/>
      <c r="G8" s="14" t="n"/>
      <c r="H8" s="33">
        <f>IF(OR(C8="",G8=""),"",IFERROR((G8-C8)/C8,0))</f>
        <v/>
      </c>
      <c r="I8" s="14" t="n"/>
      <c r="J8" s="17" t="n"/>
      <c r="K8" s="13" t="n"/>
      <c r="L8" s="13" t="n"/>
    </row>
    <row r="9">
      <c r="A9" s="13" t="n"/>
      <c r="B9" s="13" t="n"/>
      <c r="C9" s="14" t="n"/>
      <c r="D9" s="14" t="n"/>
      <c r="E9" s="14" t="n"/>
      <c r="F9" s="14" t="n"/>
      <c r="G9" s="14" t="n"/>
      <c r="H9" s="33">
        <f>IF(OR(C9="",G9=""),"",IFERROR((G9-C9)/C9,0))</f>
        <v/>
      </c>
      <c r="I9" s="14" t="n"/>
      <c r="J9" s="17" t="n"/>
      <c r="K9" s="13" t="n"/>
      <c r="L9" s="13" t="n"/>
    </row>
    <row r="10">
      <c r="A10" s="13" t="n"/>
      <c r="B10" s="13" t="n"/>
      <c r="C10" s="14" t="n"/>
      <c r="D10" s="14" t="n"/>
      <c r="E10" s="14" t="n"/>
      <c r="F10" s="14" t="n"/>
      <c r="G10" s="14" t="n"/>
      <c r="H10" s="33">
        <f>IF(OR(C10="",G10=""),"",IFERROR((G10-C10)/C10,0))</f>
        <v/>
      </c>
      <c r="I10" s="14" t="n"/>
      <c r="J10" s="17" t="n"/>
      <c r="K10" s="13" t="n"/>
      <c r="L10" s="13" t="n"/>
    </row>
    <row r="11">
      <c r="A11" s="13" t="n"/>
      <c r="B11" s="13" t="n"/>
      <c r="C11" s="14" t="n"/>
      <c r="D11" s="14" t="n"/>
      <c r="E11" s="14" t="n"/>
      <c r="F11" s="14" t="n"/>
      <c r="G11" s="14" t="n"/>
      <c r="H11" s="33">
        <f>IF(OR(C11="",G11=""),"",IFERROR((G11-C11)/C11,0))</f>
        <v/>
      </c>
      <c r="I11" s="14" t="n"/>
      <c r="J11" s="17" t="n"/>
      <c r="K11" s="13" t="n"/>
      <c r="L11" s="13" t="n"/>
    </row>
    <row r="12">
      <c r="A12" s="13" t="n"/>
      <c r="B12" s="13" t="n"/>
      <c r="C12" s="14" t="n"/>
      <c r="D12" s="14" t="n"/>
      <c r="E12" s="14" t="n"/>
      <c r="F12" s="14" t="n"/>
      <c r="G12" s="14" t="n"/>
      <c r="H12" s="33">
        <f>IF(OR(C12="",G12=""),"",IFERROR((G12-C12)/C12,0))</f>
        <v/>
      </c>
      <c r="I12" s="14" t="n"/>
      <c r="J12" s="17" t="n"/>
      <c r="K12" s="13" t="n"/>
      <c r="L12" s="13" t="n"/>
    </row>
    <row r="13">
      <c r="A13" s="13" t="n"/>
      <c r="B13" s="13" t="n"/>
      <c r="C13" s="14" t="n"/>
      <c r="D13" s="14" t="n"/>
      <c r="E13" s="14" t="n"/>
      <c r="F13" s="14" t="n"/>
      <c r="G13" s="14" t="n"/>
      <c r="H13" s="33">
        <f>IF(OR(C13="",G13=""),"",IFERROR((G13-C13)/C13,0))</f>
        <v/>
      </c>
      <c r="I13" s="14" t="n"/>
      <c r="J13" s="17" t="n"/>
      <c r="K13" s="13" t="n"/>
      <c r="L13" s="13" t="n"/>
    </row>
    <row r="14">
      <c r="A14" s="13" t="n"/>
      <c r="B14" s="13" t="n"/>
      <c r="C14" s="14" t="n"/>
      <c r="D14" s="14" t="n"/>
      <c r="E14" s="14" t="n"/>
      <c r="F14" s="14" t="n"/>
      <c r="G14" s="14" t="n"/>
      <c r="H14" s="33">
        <f>IF(OR(C14="",G14=""),"",IFERROR((G14-C14)/C14,0))</f>
        <v/>
      </c>
      <c r="I14" s="14" t="n"/>
      <c r="J14" s="17" t="n"/>
      <c r="K14" s="13" t="n"/>
      <c r="L14" s="13" t="n"/>
    </row>
    <row r="15">
      <c r="A15" s="13" t="n"/>
      <c r="B15" s="13" t="n"/>
      <c r="C15" s="14" t="n"/>
      <c r="D15" s="14" t="n"/>
      <c r="E15" s="14" t="n"/>
      <c r="F15" s="14" t="n"/>
      <c r="G15" s="14" t="n"/>
      <c r="H15" s="33">
        <f>IF(OR(C15="",G15=""),"",IFERROR((G15-C15)/C15,0))</f>
        <v/>
      </c>
      <c r="I15" s="14" t="n"/>
      <c r="J15" s="17" t="n"/>
      <c r="K15" s="13" t="n"/>
      <c r="L15" s="13" t="n"/>
    </row>
    <row r="16">
      <c r="A16" s="13" t="n"/>
      <c r="B16" s="13" t="n"/>
      <c r="C16" s="14" t="n"/>
      <c r="D16" s="14" t="n"/>
      <c r="E16" s="14" t="n"/>
      <c r="F16" s="14" t="n"/>
      <c r="G16" s="14" t="n"/>
      <c r="H16" s="33">
        <f>IF(OR(C16="",G16=""),"",IFERROR((G16-C16)/C16,0))</f>
        <v/>
      </c>
      <c r="I16" s="14" t="n"/>
      <c r="J16" s="17" t="n"/>
      <c r="K16" s="13" t="n"/>
      <c r="L16" s="13" t="n"/>
    </row>
    <row r="17">
      <c r="A17" s="13" t="n"/>
      <c r="B17" s="13" t="n"/>
      <c r="C17" s="14" t="n"/>
      <c r="D17" s="14" t="n"/>
      <c r="E17" s="14" t="n"/>
      <c r="F17" s="14" t="n"/>
      <c r="G17" s="14" t="n"/>
      <c r="H17" s="33">
        <f>IF(OR(C17="",G17=""),"",IFERROR((G17-C17)/C17,0))</f>
        <v/>
      </c>
      <c r="I17" s="14" t="n"/>
      <c r="J17" s="17" t="n"/>
      <c r="K17" s="13" t="n"/>
      <c r="L17" s="13" t="n"/>
    </row>
    <row r="18">
      <c r="A18" s="13" t="n"/>
      <c r="B18" s="13" t="n"/>
      <c r="C18" s="14" t="n"/>
      <c r="D18" s="14" t="n"/>
      <c r="E18" s="14" t="n"/>
      <c r="F18" s="14" t="n"/>
      <c r="G18" s="14" t="n"/>
      <c r="H18" s="33">
        <f>IF(OR(C18="",G18=""),"",IFERROR((G18-C18)/C18,0))</f>
        <v/>
      </c>
      <c r="I18" s="14" t="n"/>
      <c r="J18" s="17" t="n"/>
      <c r="K18" s="13" t="n"/>
      <c r="L18" s="13" t="n"/>
    </row>
    <row r="19">
      <c r="A19" s="13" t="n"/>
      <c r="B19" s="13" t="n"/>
      <c r="C19" s="14" t="n"/>
      <c r="D19" s="14" t="n"/>
      <c r="E19" s="14" t="n"/>
      <c r="F19" s="14" t="n"/>
      <c r="G19" s="14" t="n"/>
      <c r="H19" s="33">
        <f>IF(OR(C19="",G19=""),"",IFERROR((G19-C19)/C19,0))</f>
        <v/>
      </c>
      <c r="I19" s="14" t="n"/>
      <c r="J19" s="17" t="n"/>
      <c r="K19" s="13" t="n"/>
      <c r="L19" s="13" t="n"/>
    </row>
    <row r="20">
      <c r="A20" s="13" t="n"/>
      <c r="B20" s="13" t="n"/>
      <c r="C20" s="14" t="n"/>
      <c r="D20" s="14" t="n"/>
      <c r="E20" s="14" t="n"/>
      <c r="F20" s="14" t="n"/>
      <c r="G20" s="14" t="n"/>
      <c r="H20" s="33">
        <f>IF(OR(C20="",G20=""),"",IFERROR((G20-C20)/C20,0))</f>
        <v/>
      </c>
      <c r="I20" s="14" t="n"/>
      <c r="J20" s="17" t="n"/>
      <c r="K20" s="13" t="n"/>
      <c r="L20" s="13" t="n"/>
    </row>
    <row r="21">
      <c r="A21" s="13" t="n"/>
      <c r="B21" s="13" t="n"/>
      <c r="C21" s="14" t="n"/>
      <c r="D21" s="14" t="n"/>
      <c r="E21" s="14" t="n"/>
      <c r="F21" s="14" t="n"/>
      <c r="G21" s="14" t="n"/>
      <c r="H21" s="33">
        <f>IF(OR(C21="",G21=""),"",IFERROR((G21-C21)/C21,0))</f>
        <v/>
      </c>
      <c r="I21" s="14" t="n"/>
      <c r="J21" s="17" t="n"/>
      <c r="K21" s="13" t="n"/>
      <c r="L21" s="13" t="n"/>
    </row>
    <row r="22">
      <c r="A22" s="13" t="n"/>
      <c r="B22" s="13" t="n"/>
      <c r="C22" s="14" t="n"/>
      <c r="D22" s="14" t="n"/>
      <c r="E22" s="14" t="n"/>
      <c r="F22" s="14" t="n"/>
      <c r="G22" s="14" t="n"/>
      <c r="H22" s="33">
        <f>IF(OR(C22="",G22=""),"",IFERROR((G22-C22)/C22,0))</f>
        <v/>
      </c>
      <c r="I22" s="14" t="n"/>
      <c r="J22" s="17" t="n"/>
      <c r="K22" s="13" t="n"/>
      <c r="L22" s="13" t="n"/>
    </row>
    <row r="23">
      <c r="A23" s="13" t="n"/>
      <c r="B23" s="13" t="n"/>
      <c r="C23" s="14" t="n"/>
      <c r="D23" s="14" t="n"/>
      <c r="E23" s="14" t="n"/>
      <c r="F23" s="14" t="n"/>
      <c r="G23" s="14" t="n"/>
      <c r="H23" s="33">
        <f>IF(OR(C23="",G23=""),"",IFERROR((G23-C23)/C23,0))</f>
        <v/>
      </c>
      <c r="I23" s="14" t="n"/>
      <c r="J23" s="17" t="n"/>
      <c r="K23" s="13" t="n"/>
      <c r="L23" s="13" t="n"/>
    </row>
    <row r="24">
      <c r="A24" s="13" t="n"/>
      <c r="B24" s="13" t="n"/>
      <c r="C24" s="14" t="n"/>
      <c r="D24" s="14" t="n"/>
      <c r="E24" s="14" t="n"/>
      <c r="F24" s="14" t="n"/>
      <c r="G24" s="14" t="n"/>
      <c r="H24" s="33">
        <f>IF(OR(C24="",G24=""),"",IFERROR((G24-C24)/C24,0))</f>
        <v/>
      </c>
      <c r="I24" s="14" t="n"/>
      <c r="J24" s="17" t="n"/>
      <c r="K24" s="13" t="n"/>
      <c r="L24" s="13" t="n"/>
    </row>
    <row r="25">
      <c r="A25" s="13" t="n"/>
      <c r="B25" s="13" t="n"/>
      <c r="C25" s="14" t="n"/>
      <c r="D25" s="14" t="n"/>
      <c r="E25" s="14" t="n"/>
      <c r="F25" s="14" t="n"/>
      <c r="G25" s="14" t="n"/>
      <c r="H25" s="33">
        <f>IF(OR(C25="",G25=""),"",IFERROR((G25-C25)/C25,0))</f>
        <v/>
      </c>
      <c r="I25" s="14" t="n"/>
      <c r="J25" s="17" t="n"/>
      <c r="K25" s="13" t="n"/>
      <c r="L25" s="13" t="n"/>
    </row>
    <row r="26">
      <c r="A26" s="13" t="n"/>
      <c r="B26" s="13" t="n"/>
      <c r="C26" s="14" t="n"/>
      <c r="D26" s="14" t="n"/>
      <c r="E26" s="14" t="n"/>
      <c r="F26" s="14" t="n"/>
      <c r="G26" s="14" t="n"/>
      <c r="H26" s="33">
        <f>IF(OR(C26="",G26=""),"",IFERROR((G26-C26)/C26,0))</f>
        <v/>
      </c>
      <c r="I26" s="14" t="n"/>
      <c r="J26" s="17" t="n"/>
      <c r="K26" s="13" t="n"/>
      <c r="L26" s="13" t="n"/>
    </row>
    <row r="27">
      <c r="A27" s="13" t="n"/>
      <c r="B27" s="13" t="n"/>
      <c r="C27" s="14" t="n"/>
      <c r="D27" s="14" t="n"/>
      <c r="E27" s="14" t="n"/>
      <c r="F27" s="14" t="n"/>
      <c r="G27" s="14" t="n"/>
      <c r="H27" s="33">
        <f>IF(OR(C27="",G27=""),"",IFERROR((G27-C27)/C27,0))</f>
        <v/>
      </c>
      <c r="I27" s="14" t="n"/>
      <c r="J27" s="17" t="n"/>
      <c r="K27" s="13" t="n"/>
      <c r="L27" s="13" t="n"/>
    </row>
    <row r="28">
      <c r="A28" s="13" t="n"/>
      <c r="B28" s="13" t="n"/>
      <c r="C28" s="14" t="n"/>
      <c r="D28" s="14" t="n"/>
      <c r="E28" s="14" t="n"/>
      <c r="F28" s="14" t="n"/>
      <c r="G28" s="14" t="n"/>
      <c r="H28" s="33">
        <f>IF(OR(C28="",G28=""),"",IFERROR((G28-C28)/C28,0))</f>
        <v/>
      </c>
      <c r="I28" s="14" t="n"/>
      <c r="J28" s="17" t="n"/>
      <c r="K28" s="13" t="n"/>
      <c r="L28" s="13" t="n"/>
    </row>
    <row r="29">
      <c r="A29" s="13" t="n"/>
      <c r="B29" s="13" t="n"/>
      <c r="C29" s="14" t="n"/>
      <c r="D29" s="14" t="n"/>
      <c r="E29" s="14" t="n"/>
      <c r="F29" s="14" t="n"/>
      <c r="G29" s="14" t="n"/>
      <c r="H29" s="33">
        <f>IF(OR(C29="",G29=""),"",IFERROR((G29-C29)/C29,0))</f>
        <v/>
      </c>
      <c r="I29" s="14" t="n"/>
      <c r="J29" s="17" t="n"/>
      <c r="K29" s="13" t="n"/>
      <c r="L29" s="13" t="n"/>
    </row>
    <row r="30">
      <c r="A30" s="13" t="n"/>
      <c r="B30" s="13" t="n"/>
      <c r="C30" s="14" t="n"/>
      <c r="D30" s="14" t="n"/>
      <c r="E30" s="14" t="n"/>
      <c r="F30" s="14" t="n"/>
      <c r="G30" s="14" t="n"/>
      <c r="H30" s="33">
        <f>IF(OR(C30="",G30=""),"",IFERROR((G30-C30)/C30,0))</f>
        <v/>
      </c>
      <c r="I30" s="14" t="n"/>
      <c r="J30" s="17" t="n"/>
      <c r="K30" s="13" t="n"/>
      <c r="L30" s="13" t="n"/>
    </row>
    <row r="31">
      <c r="A31" s="13" t="n"/>
      <c r="B31" s="13" t="n"/>
      <c r="C31" s="14" t="n"/>
      <c r="D31" s="14" t="n"/>
      <c r="E31" s="14" t="n"/>
      <c r="F31" s="14" t="n"/>
      <c r="G31" s="14" t="n"/>
      <c r="H31" s="33">
        <f>IF(OR(C31="",G31=""),"",IFERROR((G31-C31)/C31,0))</f>
        <v/>
      </c>
      <c r="I31" s="14" t="n"/>
      <c r="J31" s="17" t="n"/>
      <c r="K31" s="13" t="n"/>
      <c r="L31" s="13" t="n"/>
    </row>
    <row r="32">
      <c r="A32" s="13" t="n"/>
      <c r="B32" s="13" t="n"/>
      <c r="C32" s="14" t="n"/>
      <c r="D32" s="14" t="n"/>
      <c r="E32" s="14" t="n"/>
      <c r="F32" s="14" t="n"/>
      <c r="G32" s="14" t="n"/>
      <c r="H32" s="33">
        <f>IF(OR(C32="",G32=""),"",IFERROR((G32-C32)/C32,0))</f>
        <v/>
      </c>
      <c r="I32" s="14" t="n"/>
      <c r="J32" s="17" t="n"/>
      <c r="K32" s="13" t="n"/>
      <c r="L32" s="13" t="n"/>
    </row>
    <row r="33">
      <c r="A33" s="13" t="n"/>
      <c r="B33" s="13" t="n"/>
      <c r="C33" s="14" t="n"/>
      <c r="D33" s="14" t="n"/>
      <c r="E33" s="14" t="n"/>
      <c r="F33" s="14" t="n"/>
      <c r="G33" s="14" t="n"/>
      <c r="H33" s="33">
        <f>IF(OR(C33="",G33=""),"",IFERROR((G33-C33)/C33,0))</f>
        <v/>
      </c>
      <c r="I33" s="14" t="n"/>
      <c r="J33" s="17" t="n"/>
      <c r="K33" s="13" t="n"/>
      <c r="L33" s="13" t="n"/>
    </row>
    <row r="34">
      <c r="A34" s="13" t="n"/>
      <c r="B34" s="13" t="n"/>
      <c r="C34" s="14" t="n"/>
      <c r="D34" s="14" t="n"/>
      <c r="E34" s="14" t="n"/>
      <c r="F34" s="14" t="n"/>
      <c r="G34" s="14" t="n"/>
      <c r="H34" s="33">
        <f>IF(OR(C34="",G34=""),"",IFERROR((G34-C34)/C34,0))</f>
        <v/>
      </c>
      <c r="I34" s="14" t="n"/>
      <c r="J34" s="17" t="n"/>
      <c r="K34" s="13" t="n"/>
      <c r="L34" s="13" t="n"/>
    </row>
    <row r="35">
      <c r="A35" s="13" t="n"/>
      <c r="B35" s="13" t="n"/>
      <c r="C35" s="14" t="n"/>
      <c r="D35" s="14" t="n"/>
      <c r="E35" s="14" t="n"/>
      <c r="F35" s="14" t="n"/>
      <c r="G35" s="14" t="n"/>
      <c r="H35" s="33">
        <f>IF(OR(C35="",G35=""),"",IFERROR((G35-C35)/C35,0))</f>
        <v/>
      </c>
      <c r="I35" s="14" t="n"/>
      <c r="J35" s="17" t="n"/>
      <c r="K35" s="13" t="n"/>
      <c r="L35" s="13" t="n"/>
    </row>
    <row r="36">
      <c r="A36" s="13" t="n"/>
      <c r="B36" s="13" t="n"/>
      <c r="C36" s="14" t="n"/>
      <c r="D36" s="14" t="n"/>
      <c r="E36" s="14" t="n"/>
      <c r="F36" s="14" t="n"/>
      <c r="G36" s="14" t="n"/>
      <c r="H36" s="33">
        <f>IF(OR(C36="",G36=""),"",IFERROR((G36-C36)/C36,0))</f>
        <v/>
      </c>
      <c r="I36" s="14" t="n"/>
      <c r="J36" s="17" t="n"/>
      <c r="K36" s="13" t="n"/>
      <c r="L36" s="13" t="n"/>
    </row>
    <row r="37">
      <c r="A37" s="13" t="n"/>
      <c r="B37" s="13" t="n"/>
      <c r="C37" s="14" t="n"/>
      <c r="D37" s="14" t="n"/>
      <c r="E37" s="14" t="n"/>
      <c r="F37" s="14" t="n"/>
      <c r="G37" s="14" t="n"/>
      <c r="H37" s="33">
        <f>IF(OR(C37="",G37=""),"",IFERROR((G37-C37)/C37,0))</f>
        <v/>
      </c>
      <c r="I37" s="14" t="n"/>
      <c r="J37" s="17" t="n"/>
      <c r="K37" s="13" t="n"/>
      <c r="L37" s="13" t="n"/>
    </row>
    <row r="38">
      <c r="A38" s="13" t="n"/>
      <c r="B38" s="13" t="n"/>
      <c r="C38" s="14" t="n"/>
      <c r="D38" s="14" t="n"/>
      <c r="E38" s="14" t="n"/>
      <c r="F38" s="14" t="n"/>
      <c r="G38" s="14" t="n"/>
      <c r="H38" s="33">
        <f>IF(OR(C38="",G38=""),"",IFERROR((G38-C38)/C38,0))</f>
        <v/>
      </c>
      <c r="I38" s="14" t="n"/>
      <c r="J38" s="17" t="n"/>
      <c r="K38" s="13" t="n"/>
      <c r="L38" s="13" t="n"/>
    </row>
    <row r="39">
      <c r="A39" s="13" t="n"/>
      <c r="B39" s="13" t="n"/>
      <c r="C39" s="14" t="n"/>
      <c r="D39" s="14" t="n"/>
      <c r="E39" s="14" t="n"/>
      <c r="F39" s="14" t="n"/>
      <c r="G39" s="14" t="n"/>
      <c r="H39" s="33">
        <f>IF(OR(C39="",G39=""),"",IFERROR((G39-C39)/C39,0))</f>
        <v/>
      </c>
      <c r="I39" s="14" t="n"/>
      <c r="J39" s="17" t="n"/>
      <c r="K39" s="13" t="n"/>
      <c r="L39" s="13" t="n"/>
    </row>
    <row r="40">
      <c r="A40" s="13" t="n"/>
      <c r="B40" s="13" t="n"/>
      <c r="C40" s="14" t="n"/>
      <c r="D40" s="14" t="n"/>
      <c r="E40" s="14" t="n"/>
      <c r="F40" s="14" t="n"/>
      <c r="G40" s="14" t="n"/>
      <c r="H40" s="33">
        <f>IF(OR(C40="",G40=""),"",IFERROR((G40-C40)/C40,0))</f>
        <v/>
      </c>
      <c r="I40" s="14" t="n"/>
      <c r="J40" s="17" t="n"/>
      <c r="K40" s="13" t="n"/>
      <c r="L40" s="13" t="n"/>
    </row>
    <row r="41">
      <c r="A41" s="13" t="n"/>
      <c r="B41" s="13" t="n"/>
      <c r="C41" s="14" t="n"/>
      <c r="D41" s="14" t="n"/>
      <c r="E41" s="14" t="n"/>
      <c r="F41" s="14" t="n"/>
      <c r="G41" s="14" t="n"/>
      <c r="H41" s="33">
        <f>IF(OR(C41="",G41=""),"",IFERROR((G41-C41)/C41,0))</f>
        <v/>
      </c>
      <c r="I41" s="14" t="n"/>
      <c r="J41" s="17" t="n"/>
      <c r="K41" s="13" t="n"/>
      <c r="L41" s="13" t="n"/>
    </row>
    <row r="42">
      <c r="A42" s="13" t="n"/>
      <c r="B42" s="13" t="n"/>
      <c r="C42" s="14" t="n"/>
      <c r="D42" s="14" t="n"/>
      <c r="E42" s="14" t="n"/>
      <c r="F42" s="14" t="n"/>
      <c r="G42" s="14" t="n"/>
      <c r="H42" s="33">
        <f>IF(OR(C42="",G42=""),"",IFERROR((G42-C42)/C42,0))</f>
        <v/>
      </c>
      <c r="I42" s="14" t="n"/>
      <c r="J42" s="17" t="n"/>
      <c r="K42" s="13" t="n"/>
      <c r="L42" s="13" t="n"/>
    </row>
    <row r="43">
      <c r="A43" s="13" t="n"/>
      <c r="B43" s="13" t="n"/>
      <c r="C43" s="14" t="n"/>
      <c r="D43" s="14" t="n"/>
      <c r="E43" s="14" t="n"/>
      <c r="F43" s="14" t="n"/>
      <c r="G43" s="14" t="n"/>
      <c r="H43" s="33">
        <f>IF(OR(C43="",G43=""),"",IFERROR((G43-C43)/C43,0))</f>
        <v/>
      </c>
      <c r="I43" s="14" t="n"/>
      <c r="J43" s="17" t="n"/>
      <c r="K43" s="13" t="n"/>
      <c r="L43" s="13" t="n"/>
    </row>
    <row r="44">
      <c r="A44" s="13" t="n"/>
      <c r="B44" s="13" t="n"/>
      <c r="C44" s="14" t="n"/>
      <c r="D44" s="14" t="n"/>
      <c r="E44" s="14" t="n"/>
      <c r="F44" s="14" t="n"/>
      <c r="G44" s="14" t="n"/>
      <c r="H44" s="33">
        <f>IF(OR(C44="",G44=""),"",IFERROR((G44-C44)/C44,0))</f>
        <v/>
      </c>
      <c r="I44" s="14" t="n"/>
      <c r="J44" s="17" t="n"/>
      <c r="K44" s="13" t="n"/>
      <c r="L44" s="13" t="n"/>
    </row>
    <row r="45">
      <c r="A45" s="13" t="n"/>
      <c r="B45" s="13" t="n"/>
      <c r="C45" s="14" t="n"/>
      <c r="D45" s="14" t="n"/>
      <c r="E45" s="14" t="n"/>
      <c r="F45" s="14" t="n"/>
      <c r="G45" s="14" t="n"/>
      <c r="H45" s="33">
        <f>IF(OR(C45="",G45=""),"",IFERROR((G45-C45)/C45,0))</f>
        <v/>
      </c>
      <c r="I45" s="14" t="n"/>
      <c r="J45" s="17" t="n"/>
      <c r="K45" s="13" t="n"/>
      <c r="L45" s="13" t="n"/>
    </row>
    <row r="46">
      <c r="A46" s="13" t="n"/>
      <c r="B46" s="13" t="n"/>
      <c r="C46" s="14" t="n"/>
      <c r="D46" s="14" t="n"/>
      <c r="E46" s="14" t="n"/>
      <c r="F46" s="14" t="n"/>
      <c r="G46" s="14" t="n"/>
      <c r="H46" s="33">
        <f>IF(OR(C46="",G46=""),"",IFERROR((G46-C46)/C46,0))</f>
        <v/>
      </c>
      <c r="I46" s="14" t="n"/>
      <c r="J46" s="17" t="n"/>
      <c r="K46" s="13" t="n"/>
      <c r="L46" s="13" t="n"/>
    </row>
    <row r="47">
      <c r="A47" s="13" t="n"/>
      <c r="B47" s="13" t="n"/>
      <c r="C47" s="14" t="n"/>
      <c r="D47" s="14" t="n"/>
      <c r="E47" s="14" t="n"/>
      <c r="F47" s="14" t="n"/>
      <c r="G47" s="14" t="n"/>
      <c r="H47" s="33">
        <f>IF(OR(C47="",G47=""),"",IFERROR((G47-C47)/C47,0))</f>
        <v/>
      </c>
      <c r="I47" s="14" t="n"/>
      <c r="J47" s="17" t="n"/>
      <c r="K47" s="13" t="n"/>
      <c r="L47" s="13" t="n"/>
    </row>
    <row r="48">
      <c r="A48" s="13" t="n"/>
      <c r="B48" s="13" t="n"/>
      <c r="C48" s="14" t="n"/>
      <c r="D48" s="14" t="n"/>
      <c r="E48" s="14" t="n"/>
      <c r="F48" s="14" t="n"/>
      <c r="G48" s="14" t="n"/>
      <c r="H48" s="33">
        <f>IF(OR(C48="",G48=""),"",IFERROR((G48-C48)/C48,0))</f>
        <v/>
      </c>
      <c r="I48" s="14" t="n"/>
      <c r="J48" s="17" t="n"/>
      <c r="K48" s="13" t="n"/>
      <c r="L48" s="13" t="n"/>
    </row>
    <row r="49">
      <c r="A49" s="13" t="n"/>
      <c r="B49" s="13" t="n"/>
      <c r="C49" s="14" t="n"/>
      <c r="D49" s="14" t="n"/>
      <c r="E49" s="14" t="n"/>
      <c r="F49" s="14" t="n"/>
      <c r="G49" s="14" t="n"/>
      <c r="H49" s="33">
        <f>IF(OR(C49="",G49=""),"",IFERROR((G49-C49)/C49,0))</f>
        <v/>
      </c>
      <c r="I49" s="14" t="n"/>
      <c r="J49" s="17" t="n"/>
      <c r="K49" s="13" t="n"/>
      <c r="L49" s="13" t="n"/>
    </row>
    <row r="50">
      <c r="A50" s="13" t="n"/>
      <c r="B50" s="13" t="n"/>
      <c r="C50" s="14" t="n"/>
      <c r="D50" s="14" t="n"/>
      <c r="E50" s="14" t="n"/>
      <c r="F50" s="14" t="n"/>
      <c r="G50" s="14" t="n"/>
      <c r="H50" s="33">
        <f>IF(OR(C50="",G50=""),"",IFERROR((G50-C50)/C50,0))</f>
        <v/>
      </c>
      <c r="I50" s="14" t="n"/>
      <c r="J50" s="17" t="n"/>
      <c r="K50" s="13" t="n"/>
      <c r="L50" s="13" t="n"/>
    </row>
    <row r="51">
      <c r="A51" s="13" t="n"/>
      <c r="B51" s="13" t="n"/>
      <c r="C51" s="14" t="n"/>
      <c r="D51" s="14" t="n"/>
      <c r="E51" s="14" t="n"/>
      <c r="F51" s="14" t="n"/>
      <c r="G51" s="14" t="n"/>
      <c r="H51" s="33">
        <f>IF(OR(C51="",G51=""),"",IFERROR((G51-C51)/C51,0))</f>
        <v/>
      </c>
      <c r="I51" s="14" t="n"/>
      <c r="J51" s="17" t="n"/>
      <c r="K51" s="13" t="n"/>
      <c r="L51" s="13" t="n"/>
    </row>
    <row r="52">
      <c r="A52" s="13" t="n"/>
      <c r="B52" s="13" t="n"/>
      <c r="C52" s="14" t="n"/>
      <c r="D52" s="14" t="n"/>
      <c r="E52" s="14" t="n"/>
      <c r="F52" s="14" t="n"/>
      <c r="G52" s="14" t="n"/>
      <c r="H52" s="33">
        <f>IF(OR(C52="",G52=""),"",IFERROR((G52-C52)/C52,0))</f>
        <v/>
      </c>
      <c r="I52" s="14" t="n"/>
      <c r="J52" s="17" t="n"/>
      <c r="K52" s="13" t="n"/>
      <c r="L52" s="13" t="n"/>
    </row>
    <row r="53">
      <c r="A53" s="13" t="n"/>
      <c r="B53" s="13" t="n"/>
      <c r="C53" s="14" t="n"/>
      <c r="D53" s="14" t="n"/>
      <c r="E53" s="14" t="n"/>
      <c r="F53" s="14" t="n"/>
      <c r="G53" s="14" t="n"/>
      <c r="H53" s="33">
        <f>IF(OR(C53="",G53=""),"",IFERROR((G53-C53)/C53,0))</f>
        <v/>
      </c>
      <c r="I53" s="14" t="n"/>
      <c r="J53" s="17" t="n"/>
      <c r="K53" s="13" t="n"/>
      <c r="L53" s="13" t="n"/>
    </row>
    <row r="54">
      <c r="A54" s="13" t="n"/>
      <c r="B54" s="13" t="n"/>
      <c r="C54" s="14" t="n"/>
      <c r="D54" s="14" t="n"/>
      <c r="E54" s="14" t="n"/>
      <c r="F54" s="14" t="n"/>
      <c r="G54" s="14" t="n"/>
      <c r="H54" s="33">
        <f>IF(OR(C54="",G54=""),"",IFERROR((G54-C54)/C54,0))</f>
        <v/>
      </c>
      <c r="I54" s="14" t="n"/>
      <c r="J54" s="17" t="n"/>
      <c r="K54" s="13" t="n"/>
      <c r="L54" s="13" t="n"/>
    </row>
    <row r="55">
      <c r="A55" s="13" t="n"/>
      <c r="B55" s="13" t="n"/>
      <c r="C55" s="14" t="n"/>
      <c r="D55" s="14" t="n"/>
      <c r="E55" s="14" t="n"/>
      <c r="F55" s="14" t="n"/>
      <c r="G55" s="14" t="n"/>
      <c r="H55" s="33">
        <f>IF(OR(C55="",G55=""),"",IFERROR((G55-C55)/C55,0))</f>
        <v/>
      </c>
      <c r="I55" s="14" t="n"/>
      <c r="J55" s="17" t="n"/>
      <c r="K55" s="13" t="n"/>
      <c r="L55" s="13" t="n"/>
    </row>
    <row r="56">
      <c r="A56" s="13" t="n"/>
      <c r="B56" s="13" t="n"/>
      <c r="C56" s="14" t="n"/>
      <c r="D56" s="14" t="n"/>
      <c r="E56" s="14" t="n"/>
      <c r="F56" s="14" t="n"/>
      <c r="G56" s="14" t="n"/>
      <c r="H56" s="33">
        <f>IF(OR(C56="",G56=""),"",IFERROR((G56-C56)/C56,0))</f>
        <v/>
      </c>
      <c r="I56" s="14" t="n"/>
      <c r="J56" s="17" t="n"/>
      <c r="K56" s="13" t="n"/>
      <c r="L56" s="13" t="n"/>
    </row>
    <row r="57">
      <c r="A57" s="13" t="n"/>
      <c r="B57" s="13" t="n"/>
      <c r="C57" s="14" t="n"/>
      <c r="D57" s="14" t="n"/>
      <c r="E57" s="14" t="n"/>
      <c r="F57" s="14" t="n"/>
      <c r="G57" s="14" t="n"/>
      <c r="H57" s="33">
        <f>IF(OR(C57="",G57=""),"",IFERROR((G57-C57)/C57,0))</f>
        <v/>
      </c>
      <c r="I57" s="14" t="n"/>
      <c r="J57" s="17" t="n"/>
      <c r="K57" s="13" t="n"/>
      <c r="L57" s="13" t="n"/>
    </row>
    <row r="58">
      <c r="A58" s="13" t="n"/>
      <c r="B58" s="13" t="n"/>
      <c r="C58" s="14" t="n"/>
      <c r="D58" s="14" t="n"/>
      <c r="E58" s="14" t="n"/>
      <c r="F58" s="14" t="n"/>
      <c r="G58" s="14" t="n"/>
      <c r="H58" s="33">
        <f>IF(OR(C58="",G58=""),"",IFERROR((G58-C58)/C58,0))</f>
        <v/>
      </c>
      <c r="I58" s="14" t="n"/>
      <c r="J58" s="17" t="n"/>
      <c r="K58" s="13" t="n"/>
      <c r="L58" s="13" t="n"/>
    </row>
    <row r="59">
      <c r="A59" s="13" t="n"/>
      <c r="B59" s="13" t="n"/>
      <c r="C59" s="14" t="n"/>
      <c r="D59" s="14" t="n"/>
      <c r="E59" s="14" t="n"/>
      <c r="F59" s="14" t="n"/>
      <c r="G59" s="14" t="n"/>
      <c r="H59" s="33">
        <f>IF(OR(C59="",G59=""),"",IFERROR((G59-C59)/C59,0))</f>
        <v/>
      </c>
      <c r="I59" s="14" t="n"/>
      <c r="J59" s="17" t="n"/>
      <c r="K59" s="13" t="n"/>
      <c r="L59" s="13" t="n"/>
    </row>
    <row r="60">
      <c r="A60" s="13" t="n"/>
      <c r="B60" s="13" t="n"/>
      <c r="C60" s="14" t="n"/>
      <c r="D60" s="14" t="n"/>
      <c r="E60" s="14" t="n"/>
      <c r="F60" s="14" t="n"/>
      <c r="G60" s="14" t="n"/>
      <c r="H60" s="33">
        <f>IF(OR(C60="",G60=""),"",IFERROR((G60-C60)/C60,0))</f>
        <v/>
      </c>
      <c r="I60" s="14" t="n"/>
      <c r="J60" s="17" t="n"/>
      <c r="K60" s="13" t="n"/>
      <c r="L60" s="13" t="n"/>
    </row>
    <row r="61">
      <c r="A61" s="13" t="n"/>
      <c r="B61" s="13" t="n"/>
      <c r="C61" s="14" t="n"/>
      <c r="D61" s="14" t="n"/>
      <c r="E61" s="14" t="n"/>
      <c r="F61" s="14" t="n"/>
      <c r="G61" s="14" t="n"/>
      <c r="H61" s="33">
        <f>IF(OR(C61="",G61=""),"",IFERROR((G61-C61)/C61,0))</f>
        <v/>
      </c>
      <c r="I61" s="14" t="n"/>
      <c r="J61" s="17" t="n"/>
      <c r="K61" s="13" t="n"/>
      <c r="L61" s="13" t="n"/>
    </row>
    <row r="62">
      <c r="A62" s="13" t="n"/>
      <c r="B62" s="13" t="n"/>
      <c r="C62" s="14" t="n"/>
      <c r="D62" s="14" t="n"/>
      <c r="E62" s="14" t="n"/>
      <c r="F62" s="14" t="n"/>
      <c r="G62" s="14" t="n"/>
      <c r="H62" s="33">
        <f>IF(OR(C62="",G62=""),"",IFERROR((G62-C62)/C62,0))</f>
        <v/>
      </c>
      <c r="I62" s="14" t="n"/>
      <c r="J62" s="17" t="n"/>
      <c r="K62" s="13" t="n"/>
      <c r="L62" s="13" t="n"/>
    </row>
    <row r="63">
      <c r="A63" s="13" t="n"/>
      <c r="B63" s="13" t="n"/>
      <c r="C63" s="14" t="n"/>
      <c r="D63" s="14" t="n"/>
      <c r="E63" s="14" t="n"/>
      <c r="F63" s="14" t="n"/>
      <c r="G63" s="14" t="n"/>
      <c r="H63" s="33">
        <f>IF(OR(C63="",G63=""),"",IFERROR((G63-C63)/C63,0))</f>
        <v/>
      </c>
      <c r="I63" s="14" t="n"/>
      <c r="J63" s="17" t="n"/>
      <c r="K63" s="13" t="n"/>
      <c r="L63" s="13" t="n"/>
    </row>
    <row r="64">
      <c r="A64" s="13" t="n"/>
      <c r="B64" s="13" t="n"/>
      <c r="C64" s="14" t="n"/>
      <c r="D64" s="14" t="n"/>
      <c r="E64" s="14" t="n"/>
      <c r="F64" s="14" t="n"/>
      <c r="G64" s="14" t="n"/>
      <c r="H64" s="33">
        <f>IF(OR(C64="",G64=""),"",IFERROR((G64-C64)/C64,0))</f>
        <v/>
      </c>
      <c r="I64" s="14" t="n"/>
      <c r="J64" s="17" t="n"/>
      <c r="K64" s="13" t="n"/>
      <c r="L64" s="13" t="n"/>
    </row>
    <row r="65">
      <c r="A65" s="13" t="n"/>
      <c r="B65" s="13" t="n"/>
      <c r="C65" s="14" t="n"/>
      <c r="D65" s="14" t="n"/>
      <c r="E65" s="14" t="n"/>
      <c r="F65" s="14" t="n"/>
      <c r="G65" s="14" t="n"/>
      <c r="H65" s="33">
        <f>IF(OR(C65="",G65=""),"",IFERROR((G65-C65)/C65,0))</f>
        <v/>
      </c>
      <c r="I65" s="14" t="n"/>
      <c r="J65" s="17" t="n"/>
      <c r="K65" s="13" t="n"/>
      <c r="L65" s="13" t="n"/>
    </row>
    <row r="66">
      <c r="A66" s="13" t="n"/>
      <c r="B66" s="13" t="n"/>
      <c r="C66" s="14" t="n"/>
      <c r="D66" s="14" t="n"/>
      <c r="E66" s="14" t="n"/>
      <c r="F66" s="14" t="n"/>
      <c r="G66" s="14" t="n"/>
      <c r="H66" s="33">
        <f>IF(OR(C66="",G66=""),"",IFERROR((G66-C66)/C66,0))</f>
        <v/>
      </c>
      <c r="I66" s="14" t="n"/>
      <c r="J66" s="17" t="n"/>
      <c r="K66" s="13" t="n"/>
      <c r="L66" s="13" t="n"/>
    </row>
    <row r="67">
      <c r="A67" s="13" t="n"/>
      <c r="B67" s="13" t="n"/>
      <c r="C67" s="14" t="n"/>
      <c r="D67" s="14" t="n"/>
      <c r="E67" s="14" t="n"/>
      <c r="F67" s="14" t="n"/>
      <c r="G67" s="14" t="n"/>
      <c r="H67" s="33">
        <f>IF(OR(C67="",G67=""),"",IFERROR((G67-C67)/C67,0))</f>
        <v/>
      </c>
      <c r="I67" s="14" t="n"/>
      <c r="J67" s="17" t="n"/>
      <c r="K67" s="13" t="n"/>
      <c r="L67" s="13" t="n"/>
    </row>
    <row r="68">
      <c r="A68" s="13" t="n"/>
      <c r="B68" s="13" t="n"/>
      <c r="C68" s="14" t="n"/>
      <c r="D68" s="14" t="n"/>
      <c r="E68" s="14" t="n"/>
      <c r="F68" s="14" t="n"/>
      <c r="G68" s="14" t="n"/>
      <c r="H68" s="33">
        <f>IF(OR(C68="",G68=""),"",IFERROR((G68-C68)/C68,0))</f>
        <v/>
      </c>
      <c r="I68" s="14" t="n"/>
      <c r="J68" s="17" t="n"/>
      <c r="K68" s="13" t="n"/>
      <c r="L68" s="13" t="n"/>
    </row>
    <row r="69">
      <c r="A69" s="13" t="n"/>
      <c r="B69" s="13" t="n"/>
      <c r="C69" s="14" t="n"/>
      <c r="D69" s="14" t="n"/>
      <c r="E69" s="14" t="n"/>
      <c r="F69" s="14" t="n"/>
      <c r="G69" s="14" t="n"/>
      <c r="H69" s="33">
        <f>IF(OR(C69="",G69=""),"",IFERROR((G69-C69)/C69,0))</f>
        <v/>
      </c>
      <c r="I69" s="14" t="n"/>
      <c r="J69" s="17" t="n"/>
      <c r="K69" s="13" t="n"/>
      <c r="L69" s="13" t="n"/>
    </row>
    <row r="70">
      <c r="A70" s="13" t="n"/>
      <c r="B70" s="13" t="n"/>
      <c r="C70" s="14" t="n"/>
      <c r="D70" s="14" t="n"/>
      <c r="E70" s="14" t="n"/>
      <c r="F70" s="14" t="n"/>
      <c r="G70" s="14" t="n"/>
      <c r="H70" s="33">
        <f>IF(OR(C70="",G70=""),"",IFERROR((G70-C70)/C70,0))</f>
        <v/>
      </c>
      <c r="I70" s="14" t="n"/>
      <c r="J70" s="17" t="n"/>
      <c r="K70" s="13" t="n"/>
      <c r="L70" s="13" t="n"/>
    </row>
    <row r="71">
      <c r="A71" s="13" t="n"/>
      <c r="B71" s="13" t="n"/>
      <c r="C71" s="14" t="n"/>
      <c r="D71" s="14" t="n"/>
      <c r="E71" s="14" t="n"/>
      <c r="F71" s="14" t="n"/>
      <c r="G71" s="14" t="n"/>
      <c r="H71" s="33">
        <f>IF(OR(C71="",G71=""),"",IFERROR((G71-C71)/C71,0))</f>
        <v/>
      </c>
      <c r="I71" s="14" t="n"/>
      <c r="J71" s="17" t="n"/>
      <c r="K71" s="13" t="n"/>
      <c r="L71" s="13" t="n"/>
    </row>
    <row r="72">
      <c r="A72" s="13" t="n"/>
      <c r="B72" s="13" t="n"/>
      <c r="C72" s="14" t="n"/>
      <c r="D72" s="14" t="n"/>
      <c r="E72" s="14" t="n"/>
      <c r="F72" s="14" t="n"/>
      <c r="G72" s="14" t="n"/>
      <c r="H72" s="33">
        <f>IF(OR(C72="",G72=""),"",IFERROR((G72-C72)/C72,0))</f>
        <v/>
      </c>
      <c r="I72" s="14" t="n"/>
      <c r="J72" s="17" t="n"/>
      <c r="K72" s="13" t="n"/>
      <c r="L72" s="13" t="n"/>
    </row>
    <row r="73">
      <c r="A73" s="13" t="n"/>
      <c r="B73" s="13" t="n"/>
      <c r="C73" s="14" t="n"/>
      <c r="D73" s="14" t="n"/>
      <c r="E73" s="14" t="n"/>
      <c r="F73" s="14" t="n"/>
      <c r="G73" s="14" t="n"/>
      <c r="H73" s="33">
        <f>IF(OR(C73="",G73=""),"",IFERROR((G73-C73)/C73,0))</f>
        <v/>
      </c>
      <c r="I73" s="14" t="n"/>
      <c r="J73" s="17" t="n"/>
      <c r="K73" s="13" t="n"/>
      <c r="L73" s="13" t="n"/>
    </row>
    <row r="74">
      <c r="A74" s="13" t="n"/>
      <c r="B74" s="13" t="n"/>
      <c r="C74" s="14" t="n"/>
      <c r="D74" s="14" t="n"/>
      <c r="E74" s="14" t="n"/>
      <c r="F74" s="14" t="n"/>
      <c r="G74" s="14" t="n"/>
      <c r="H74" s="33">
        <f>IF(OR(C74="",G74=""),"",IFERROR((G74-C74)/C74,0))</f>
        <v/>
      </c>
      <c r="I74" s="14" t="n"/>
      <c r="J74" s="17" t="n"/>
      <c r="K74" s="13" t="n"/>
      <c r="L74" s="13" t="n"/>
    </row>
    <row r="75">
      <c r="A75" s="13" t="n"/>
      <c r="B75" s="13" t="n"/>
      <c r="C75" s="14" t="n"/>
      <c r="D75" s="14" t="n"/>
      <c r="E75" s="14" t="n"/>
      <c r="F75" s="14" t="n"/>
      <c r="G75" s="14" t="n"/>
      <c r="H75" s="33">
        <f>IF(OR(C75="",G75=""),"",IFERROR((G75-C75)/C75,0))</f>
        <v/>
      </c>
      <c r="I75" s="14" t="n"/>
      <c r="J75" s="17" t="n"/>
      <c r="K75" s="13" t="n"/>
      <c r="L75" s="13" t="n"/>
    </row>
    <row r="76">
      <c r="A76" s="13" t="n"/>
      <c r="B76" s="13" t="n"/>
      <c r="C76" s="14" t="n"/>
      <c r="D76" s="14" t="n"/>
      <c r="E76" s="14" t="n"/>
      <c r="F76" s="14" t="n"/>
      <c r="G76" s="14" t="n"/>
      <c r="H76" s="33">
        <f>IF(OR(C76="",G76=""),"",IFERROR((G76-C76)/C76,0))</f>
        <v/>
      </c>
      <c r="I76" s="14" t="n"/>
      <c r="J76" s="17" t="n"/>
      <c r="K76" s="13" t="n"/>
      <c r="L76" s="13" t="n"/>
    </row>
    <row r="77">
      <c r="A77" s="13" t="n"/>
      <c r="B77" s="13" t="n"/>
      <c r="C77" s="14" t="n"/>
      <c r="D77" s="14" t="n"/>
      <c r="E77" s="14" t="n"/>
      <c r="F77" s="14" t="n"/>
      <c r="G77" s="14" t="n"/>
      <c r="H77" s="33">
        <f>IF(OR(C77="",G77=""),"",IFERROR((G77-C77)/C77,0))</f>
        <v/>
      </c>
      <c r="I77" s="14" t="n"/>
      <c r="J77" s="17" t="n"/>
      <c r="K77" s="13" t="n"/>
      <c r="L77" s="13" t="n"/>
    </row>
    <row r="78">
      <c r="A78" s="13" t="n"/>
      <c r="B78" s="13" t="n"/>
      <c r="C78" s="14" t="n"/>
      <c r="D78" s="14" t="n"/>
      <c r="E78" s="14" t="n"/>
      <c r="F78" s="14" t="n"/>
      <c r="G78" s="14" t="n"/>
      <c r="H78" s="33">
        <f>IF(OR(C78="",G78=""),"",IFERROR((G78-C78)/C78,0))</f>
        <v/>
      </c>
      <c r="I78" s="14" t="n"/>
      <c r="J78" s="17" t="n"/>
      <c r="K78" s="13" t="n"/>
      <c r="L78" s="13" t="n"/>
    </row>
    <row r="79">
      <c r="A79" s="13" t="n"/>
      <c r="B79" s="13" t="n"/>
      <c r="C79" s="14" t="n"/>
      <c r="D79" s="14" t="n"/>
      <c r="E79" s="14" t="n"/>
      <c r="F79" s="14" t="n"/>
      <c r="G79" s="14" t="n"/>
      <c r="H79" s="33">
        <f>IF(OR(C79="",G79=""),"",IFERROR((G79-C79)/C79,0))</f>
        <v/>
      </c>
      <c r="I79" s="14" t="n"/>
      <c r="J79" s="17" t="n"/>
      <c r="K79" s="13" t="n"/>
      <c r="L79" s="13" t="n"/>
    </row>
    <row r="80">
      <c r="A80" s="13" t="n"/>
      <c r="B80" s="13" t="n"/>
      <c r="C80" s="14" t="n"/>
      <c r="D80" s="14" t="n"/>
      <c r="E80" s="14" t="n"/>
      <c r="F80" s="14" t="n"/>
      <c r="G80" s="14" t="n"/>
      <c r="H80" s="33">
        <f>IF(OR(C80="",G80=""),"",IFERROR((G80-C80)/C80,0))</f>
        <v/>
      </c>
      <c r="I80" s="14" t="n"/>
      <c r="J80" s="17" t="n"/>
      <c r="K80" s="13" t="n"/>
      <c r="L80" s="13" t="n"/>
    </row>
    <row r="81">
      <c r="A81" s="13" t="n"/>
      <c r="B81" s="13" t="n"/>
      <c r="C81" s="14" t="n"/>
      <c r="D81" s="14" t="n"/>
      <c r="E81" s="14" t="n"/>
      <c r="F81" s="14" t="n"/>
      <c r="G81" s="14" t="n"/>
      <c r="H81" s="33">
        <f>IF(OR(C81="",G81=""),"",IFERROR((G81-C81)/C81,0))</f>
        <v/>
      </c>
      <c r="I81" s="14" t="n"/>
      <c r="J81" s="17" t="n"/>
      <c r="K81" s="13" t="n"/>
      <c r="L81" s="13" t="n"/>
    </row>
    <row r="82">
      <c r="A82" s="13" t="n"/>
      <c r="B82" s="13" t="n"/>
      <c r="C82" s="14" t="n"/>
      <c r="D82" s="14" t="n"/>
      <c r="E82" s="14" t="n"/>
      <c r="F82" s="14" t="n"/>
      <c r="G82" s="14" t="n"/>
      <c r="H82" s="33">
        <f>IF(OR(C82="",G82=""),"",IFERROR((G82-C82)/C82,0))</f>
        <v/>
      </c>
      <c r="I82" s="14" t="n"/>
      <c r="J82" s="17" t="n"/>
      <c r="K82" s="13" t="n"/>
      <c r="L82" s="13" t="n"/>
    </row>
    <row r="83">
      <c r="A83" s="13" t="n"/>
      <c r="B83" s="13" t="n"/>
      <c r="C83" s="14" t="n"/>
      <c r="D83" s="14" t="n"/>
      <c r="E83" s="14" t="n"/>
      <c r="F83" s="14" t="n"/>
      <c r="G83" s="14" t="n"/>
      <c r="H83" s="33">
        <f>IF(OR(C83="",G83=""),"",IFERROR((G83-C83)/C83,0))</f>
        <v/>
      </c>
      <c r="I83" s="14" t="n"/>
      <c r="J83" s="17" t="n"/>
      <c r="K83" s="13" t="n"/>
      <c r="L83" s="13" t="n"/>
    </row>
    <row r="84">
      <c r="A84" s="13" t="n"/>
      <c r="B84" s="13" t="n"/>
      <c r="C84" s="14" t="n"/>
      <c r="D84" s="14" t="n"/>
      <c r="E84" s="14" t="n"/>
      <c r="F84" s="14" t="n"/>
      <c r="G84" s="14" t="n"/>
      <c r="H84" s="33">
        <f>IF(OR(C84="",G84=""),"",IFERROR((G84-C84)/C84,0))</f>
        <v/>
      </c>
      <c r="I84" s="14" t="n"/>
      <c r="J84" s="17" t="n"/>
      <c r="K84" s="13" t="n"/>
      <c r="L84" s="13" t="n"/>
    </row>
    <row r="85">
      <c r="A85" s="13" t="n"/>
      <c r="B85" s="13" t="n"/>
      <c r="C85" s="14" t="n"/>
      <c r="D85" s="14" t="n"/>
      <c r="E85" s="14" t="n"/>
      <c r="F85" s="14" t="n"/>
      <c r="G85" s="14" t="n"/>
      <c r="H85" s="33">
        <f>IF(OR(C85="",G85=""),"",IFERROR((G85-C85)/C85,0))</f>
        <v/>
      </c>
      <c r="I85" s="14" t="n"/>
      <c r="J85" s="17" t="n"/>
      <c r="K85" s="13" t="n"/>
      <c r="L85" s="13" t="n"/>
    </row>
    <row r="86">
      <c r="A86" s="13" t="n"/>
      <c r="B86" s="13" t="n"/>
      <c r="C86" s="14" t="n"/>
      <c r="D86" s="14" t="n"/>
      <c r="E86" s="14" t="n"/>
      <c r="F86" s="14" t="n"/>
      <c r="G86" s="14" t="n"/>
      <c r="H86" s="33">
        <f>IF(OR(C86="",G86=""),"",IFERROR((G86-C86)/C86,0))</f>
        <v/>
      </c>
      <c r="I86" s="14" t="n"/>
      <c r="J86" s="17" t="n"/>
      <c r="K86" s="13" t="n"/>
      <c r="L86" s="13" t="n"/>
    </row>
    <row r="87">
      <c r="A87" s="13" t="n"/>
      <c r="B87" s="13" t="n"/>
      <c r="C87" s="14" t="n"/>
      <c r="D87" s="14" t="n"/>
      <c r="E87" s="14" t="n"/>
      <c r="F87" s="14" t="n"/>
      <c r="G87" s="14" t="n"/>
      <c r="H87" s="33">
        <f>IF(OR(C87="",G87=""),"",IFERROR((G87-C87)/C87,0))</f>
        <v/>
      </c>
      <c r="I87" s="14" t="n"/>
      <c r="J87" s="17" t="n"/>
      <c r="K87" s="13" t="n"/>
      <c r="L87" s="13" t="n"/>
    </row>
    <row r="88">
      <c r="A88" s="13" t="n"/>
      <c r="B88" s="13" t="n"/>
      <c r="C88" s="14" t="n"/>
      <c r="D88" s="14" t="n"/>
      <c r="E88" s="14" t="n"/>
      <c r="F88" s="14" t="n"/>
      <c r="G88" s="14" t="n"/>
      <c r="H88" s="33">
        <f>IF(OR(C88="",G88=""),"",IFERROR((G88-C88)/C88,0))</f>
        <v/>
      </c>
      <c r="I88" s="14" t="n"/>
      <c r="J88" s="17" t="n"/>
      <c r="K88" s="13" t="n"/>
      <c r="L88" s="13" t="n"/>
    </row>
    <row r="89">
      <c r="A89" s="13" t="n"/>
      <c r="B89" s="13" t="n"/>
      <c r="C89" s="14" t="n"/>
      <c r="D89" s="14" t="n"/>
      <c r="E89" s="14" t="n"/>
      <c r="F89" s="14" t="n"/>
      <c r="G89" s="14" t="n"/>
      <c r="H89" s="33">
        <f>IF(OR(C89="",G89=""),"",IFERROR((G89-C89)/C89,0))</f>
        <v/>
      </c>
      <c r="I89" s="14" t="n"/>
      <c r="J89" s="17" t="n"/>
      <c r="K89" s="13" t="n"/>
      <c r="L89" s="13" t="n"/>
    </row>
    <row r="90">
      <c r="A90" s="13" t="n"/>
      <c r="B90" s="13" t="n"/>
      <c r="C90" s="14" t="n"/>
      <c r="D90" s="14" t="n"/>
      <c r="E90" s="14" t="n"/>
      <c r="F90" s="14" t="n"/>
      <c r="G90" s="14" t="n"/>
      <c r="H90" s="33">
        <f>IF(OR(C90="",G90=""),"",IFERROR((G90-C90)/C90,0))</f>
        <v/>
      </c>
      <c r="I90" s="14" t="n"/>
      <c r="J90" s="17" t="n"/>
      <c r="K90" s="13" t="n"/>
      <c r="L90" s="13" t="n"/>
    </row>
    <row r="91">
      <c r="A91" s="13" t="n"/>
      <c r="B91" s="13" t="n"/>
      <c r="C91" s="14" t="n"/>
      <c r="D91" s="14" t="n"/>
      <c r="E91" s="14" t="n"/>
      <c r="F91" s="14" t="n"/>
      <c r="G91" s="14" t="n"/>
      <c r="H91" s="33">
        <f>IF(OR(C91="",G91=""),"",IFERROR((G91-C91)/C91,0))</f>
        <v/>
      </c>
      <c r="I91" s="14" t="n"/>
      <c r="J91" s="17" t="n"/>
      <c r="K91" s="13" t="n"/>
      <c r="L91" s="13" t="n"/>
    </row>
    <row r="92">
      <c r="A92" s="13" t="n"/>
      <c r="B92" s="13" t="n"/>
      <c r="C92" s="14" t="n"/>
      <c r="D92" s="14" t="n"/>
      <c r="E92" s="14" t="n"/>
      <c r="F92" s="14" t="n"/>
      <c r="G92" s="14" t="n"/>
      <c r="H92" s="33">
        <f>IF(OR(C92="",G92=""),"",IFERROR((G92-C92)/C92,0))</f>
        <v/>
      </c>
      <c r="I92" s="14" t="n"/>
      <c r="J92" s="17" t="n"/>
      <c r="K92" s="13" t="n"/>
      <c r="L92" s="13" t="n"/>
    </row>
    <row r="93">
      <c r="A93" s="13" t="n"/>
      <c r="B93" s="13" t="n"/>
      <c r="C93" s="14" t="n"/>
      <c r="D93" s="14" t="n"/>
      <c r="E93" s="14" t="n"/>
      <c r="F93" s="14" t="n"/>
      <c r="G93" s="14" t="n"/>
      <c r="H93" s="33">
        <f>IF(OR(C93="",G93=""),"",IFERROR((G93-C93)/C93,0))</f>
        <v/>
      </c>
      <c r="I93" s="14" t="n"/>
      <c r="J93" s="17" t="n"/>
      <c r="K93" s="13" t="n"/>
      <c r="L93" s="13" t="n"/>
    </row>
    <row r="94">
      <c r="A94" s="13" t="n"/>
      <c r="B94" s="13" t="n"/>
      <c r="C94" s="14" t="n"/>
      <c r="D94" s="14" t="n"/>
      <c r="E94" s="14" t="n"/>
      <c r="F94" s="14" t="n"/>
      <c r="G94" s="14" t="n"/>
      <c r="H94" s="33">
        <f>IF(OR(C94="",G94=""),"",IFERROR((G94-C94)/C94,0))</f>
        <v/>
      </c>
      <c r="I94" s="14" t="n"/>
      <c r="J94" s="17" t="n"/>
      <c r="K94" s="13" t="n"/>
      <c r="L94" s="13" t="n"/>
    </row>
    <row r="95">
      <c r="A95" s="13" t="n"/>
      <c r="B95" s="13" t="n"/>
      <c r="C95" s="14" t="n"/>
      <c r="D95" s="14" t="n"/>
      <c r="E95" s="14" t="n"/>
      <c r="F95" s="14" t="n"/>
      <c r="G95" s="14" t="n"/>
      <c r="H95" s="33">
        <f>IF(OR(C95="",G95=""),"",IFERROR((G95-C95)/C95,0))</f>
        <v/>
      </c>
      <c r="I95" s="14" t="n"/>
      <c r="J95" s="17" t="n"/>
      <c r="K95" s="13" t="n"/>
      <c r="L95" s="13" t="n"/>
    </row>
    <row r="96">
      <c r="A96" s="13" t="n"/>
      <c r="B96" s="13" t="n"/>
      <c r="C96" s="14" t="n"/>
      <c r="D96" s="14" t="n"/>
      <c r="E96" s="14" t="n"/>
      <c r="F96" s="14" t="n"/>
      <c r="G96" s="14" t="n"/>
      <c r="H96" s="33">
        <f>IF(OR(C96="",G96=""),"",IFERROR((G96-C96)/C96,0))</f>
        <v/>
      </c>
      <c r="I96" s="14" t="n"/>
      <c r="J96" s="17" t="n"/>
      <c r="K96" s="13" t="n"/>
      <c r="L96" s="13" t="n"/>
    </row>
    <row r="97">
      <c r="A97" s="13" t="n"/>
      <c r="B97" s="13" t="n"/>
      <c r="C97" s="14" t="n"/>
      <c r="D97" s="14" t="n"/>
      <c r="E97" s="14" t="n"/>
      <c r="F97" s="14" t="n"/>
      <c r="G97" s="14" t="n"/>
      <c r="H97" s="33">
        <f>IF(OR(C97="",G97=""),"",IFERROR((G97-C97)/C97,0))</f>
        <v/>
      </c>
      <c r="I97" s="14" t="n"/>
      <c r="J97" s="17" t="n"/>
      <c r="K97" s="13" t="n"/>
      <c r="L97" s="13" t="n"/>
    </row>
    <row r="98">
      <c r="A98" s="13" t="n"/>
      <c r="B98" s="13" t="n"/>
      <c r="C98" s="14" t="n"/>
      <c r="D98" s="14" t="n"/>
      <c r="E98" s="14" t="n"/>
      <c r="F98" s="14" t="n"/>
      <c r="G98" s="14" t="n"/>
      <c r="H98" s="33">
        <f>IF(OR(C98="",G98=""),"",IFERROR((G98-C98)/C98,0))</f>
        <v/>
      </c>
      <c r="I98" s="14" t="n"/>
      <c r="J98" s="17" t="n"/>
      <c r="K98" s="13" t="n"/>
      <c r="L98" s="13" t="n"/>
    </row>
    <row r="99">
      <c r="A99" s="13" t="n"/>
      <c r="B99" s="13" t="n"/>
      <c r="C99" s="14" t="n"/>
      <c r="D99" s="14" t="n"/>
      <c r="E99" s="14" t="n"/>
      <c r="F99" s="14" t="n"/>
      <c r="G99" s="14" t="n"/>
      <c r="H99" s="33">
        <f>IF(OR(C99="",G99=""),"",IFERROR((G99-C99)/C99,0))</f>
        <v/>
      </c>
      <c r="I99" s="14" t="n"/>
      <c r="J99" s="17" t="n"/>
      <c r="K99" s="13" t="n"/>
      <c r="L99" s="13" t="n"/>
    </row>
    <row r="100">
      <c r="A100" s="13" t="n"/>
      <c r="B100" s="13" t="n"/>
      <c r="C100" s="14" t="n"/>
      <c r="D100" s="14" t="n"/>
      <c r="E100" s="14" t="n"/>
      <c r="F100" s="14" t="n"/>
      <c r="G100" s="14" t="n"/>
      <c r="H100" s="33">
        <f>IF(OR(C100="",G100=""),"",IFERROR((G100-C100)/C100,0))</f>
        <v/>
      </c>
      <c r="I100" s="14" t="n"/>
      <c r="J100" s="17" t="n"/>
      <c r="K100" s="13" t="n"/>
      <c r="L100" s="13" t="n"/>
    </row>
    <row r="101">
      <c r="A101" s="13" t="n"/>
      <c r="B101" s="13" t="n"/>
      <c r="C101" s="14" t="n"/>
      <c r="D101" s="14" t="n"/>
      <c r="E101" s="14" t="n"/>
      <c r="F101" s="14" t="n"/>
      <c r="G101" s="14" t="n"/>
      <c r="H101" s="33">
        <f>IF(OR(C101="",G101=""),"",IFERROR((G101-C101)/C101,0))</f>
        <v/>
      </c>
      <c r="I101" s="14" t="n"/>
      <c r="J101" s="17" t="n"/>
      <c r="K101" s="13" t="n"/>
      <c r="L101" s="13" t="n"/>
    </row>
  </sheetData>
  <conditionalFormatting sqref="H2:H101">
    <cfRule type="cellIs" priority="1" operator="greaterThanOrEqual" dxfId="0">
      <formula>0.1</formula>
    </cfRule>
    <cfRule type="cellIs" priority="2" operator="between" dxfId="1">
      <formula>0</formula>
      <formula>0.0999</formula>
    </cfRule>
    <cfRule type="cellIs" priority="3" operator="lessThan" dxfId="2">
      <formula>0</formula>
    </cfRule>
  </conditionalFormatting>
  <dataValidations count="1">
    <dataValidation sqref="K2:K101" showDropDown="0" showInputMessage="0" showErrorMessage="0" allowBlank="1" type="list">
      <formula1>"تحسن واضح,تحسن بسيط,بدون تحسن,انخفاض,لم يتم القياس"</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20" customWidth="1" min="1" max="1"/>
    <col width="28" customWidth="1" min="2" max="2"/>
  </cols>
  <sheetData>
    <row r="1" ht="28" customHeight="1">
      <c r="A1" s="12" t="inlineStr">
        <is>
          <t>القائمة</t>
        </is>
      </c>
      <c r="B1" s="12" t="inlineStr">
        <is>
          <t>القيمة</t>
        </is>
      </c>
    </row>
    <row r="2">
      <c r="A2" s="18" t="inlineStr">
        <is>
          <t>الحالة</t>
        </is>
      </c>
      <c r="B2" s="18" t="inlineStr">
        <is>
          <t>لم تبدأ</t>
        </is>
      </c>
    </row>
    <row r="3">
      <c r="A3" s="18" t="inlineStr">
        <is>
          <t>الحالة</t>
        </is>
      </c>
      <c r="B3" s="18" t="inlineStr">
        <is>
          <t>جاري</t>
        </is>
      </c>
    </row>
    <row r="4">
      <c r="A4" s="18" t="inlineStr">
        <is>
          <t>الحالة</t>
        </is>
      </c>
      <c r="B4" s="18" t="inlineStr">
        <is>
          <t>مكتملة</t>
        </is>
      </c>
    </row>
    <row r="5">
      <c r="A5" s="18" t="inlineStr">
        <is>
          <t>الحالة</t>
        </is>
      </c>
      <c r="B5" s="18" t="inlineStr">
        <is>
          <t>مؤجلة</t>
        </is>
      </c>
    </row>
    <row r="6">
      <c r="A6" s="18" t="inlineStr">
        <is>
          <t>الحالة</t>
        </is>
      </c>
      <c r="B6" s="18" t="inlineStr">
        <is>
          <t>ملغاة</t>
        </is>
      </c>
    </row>
    <row r="7">
      <c r="A7" s="18" t="inlineStr">
        <is>
          <t>الأولوية</t>
        </is>
      </c>
      <c r="B7" s="18" t="inlineStr">
        <is>
          <t>أولوية 1 - مرتفعة</t>
        </is>
      </c>
    </row>
    <row r="8">
      <c r="A8" s="18" t="inlineStr">
        <is>
          <t>الأولوية</t>
        </is>
      </c>
      <c r="B8" s="18" t="inlineStr">
        <is>
          <t>أولوية 2 - متوسطة</t>
        </is>
      </c>
    </row>
    <row r="9">
      <c r="A9" s="18" t="inlineStr">
        <is>
          <t>الأولوية</t>
        </is>
      </c>
      <c r="B9" s="18" t="inlineStr">
        <is>
          <t>أولوية 3 - منخفضة</t>
        </is>
      </c>
    </row>
    <row r="10">
      <c r="A10" s="18" t="inlineStr">
        <is>
          <t>نتيجة الحملة</t>
        </is>
      </c>
      <c r="B10" s="18" t="inlineStr">
        <is>
          <t>تحسن واضح</t>
        </is>
      </c>
    </row>
    <row r="11">
      <c r="A11" s="18" t="inlineStr">
        <is>
          <t>نتيجة الحملة</t>
        </is>
      </c>
      <c r="B11" s="18" t="inlineStr">
        <is>
          <t>تحسن بسيط</t>
        </is>
      </c>
    </row>
    <row r="12">
      <c r="A12" s="18" t="inlineStr">
        <is>
          <t>نتيجة الحملة</t>
        </is>
      </c>
      <c r="B12" s="18" t="inlineStr">
        <is>
          <t>بدون تحسن</t>
        </is>
      </c>
    </row>
    <row r="13">
      <c r="A13" s="18" t="inlineStr">
        <is>
          <t>نتيجة الحملة</t>
        </is>
      </c>
      <c r="B13" s="18" t="inlineStr">
        <is>
          <t>انخفاض</t>
        </is>
      </c>
    </row>
    <row r="14">
      <c r="A14" s="18" t="inlineStr">
        <is>
          <t>نتيجة الحملة</t>
        </is>
      </c>
      <c r="B14" s="18" t="inlineStr">
        <is>
          <t>لم يتم القياس</t>
        </is>
      </c>
    </row>
    <row r="15">
      <c r="A15" s="18" t="inlineStr">
        <is>
          <t>جهة التوزيع</t>
        </is>
      </c>
      <c r="B15" s="18" t="inlineStr">
        <is>
          <t>فريق ميداني</t>
        </is>
      </c>
    </row>
    <row r="16">
      <c r="A16" s="18" t="inlineStr">
        <is>
          <t>جهة التوزيع</t>
        </is>
      </c>
      <c r="B16" s="18" t="inlineStr">
        <is>
          <t>موظفو المحطة</t>
        </is>
      </c>
    </row>
    <row r="17">
      <c r="A17" s="18" t="inlineStr">
        <is>
          <t>جهة التوزيع</t>
        </is>
      </c>
      <c r="B17" s="18" t="inlineStr">
        <is>
          <t>مزود خدمة</t>
        </is>
      </c>
    </row>
    <row r="18">
      <c r="A18" s="18" t="inlineStr">
        <is>
          <t>جهة التوزيع</t>
        </is>
      </c>
      <c r="B18" s="18" t="inlineStr">
        <is>
          <t>أخرى</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2026-10-04T07:32:19Z</dcterms:created>
  <dcterms:modified xsi:type="dcterms:W3CDTF">2026-10-06T09:07:30Z</dcterms:modified>
</cp:coreProperties>
</file>